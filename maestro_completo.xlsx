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4" rupBuild="14420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jforrisi\Desktop\desarrollos\gita\"/>
    </mc:Choice>
  </mc:AlternateContent>
  <bookViews>
    <workbookView xWindow="240" yWindow="12" windowWidth="16092" windowHeight="9660" activeTab="3"/>
  </bookViews>
  <sheets>
    <sheet name="sub_familia" sheetId="8" r:id="rId1"/>
    <sheet name="familia" sheetId="9" r:id="rId2"/>
    <sheet name="Sheet1_old" sheetId="1" r:id="rId3"/>
    <sheet name="maestro" sheetId="10" r:id="rId4"/>
    <sheet name="pais_grupo" sheetId="5" r:id="rId5"/>
    <sheet name="variables" sheetId="4" r:id="rId6"/>
    <sheet name="filtros_graph_pais" sheetId="11" r:id="rId7"/>
    <sheet name="graph" sheetId="12" r:id="rId8"/>
  </sheets>
  <definedNames>
    <definedName name="_xlnm._FilterDatabase" localSheetId="2" hidden="1">Sheet1_old!$G$1:$G$36</definedName>
  </definedNames>
  <calcPr calcId="162913"/>
</workbook>
</file>

<file path=xl/calcChain.xml><?xml version="1.0" encoding="utf-8"?>
<calcChain xmlns="http://schemas.openxmlformats.org/spreadsheetml/2006/main">
  <c r="A18" i="11" l="1"/>
  <c r="A17" i="11"/>
  <c r="A16" i="11"/>
  <c r="A4" i="11"/>
  <c r="A5" i="11"/>
  <c r="A6" i="11" s="1"/>
  <c r="A7" i="11" s="1"/>
  <c r="A8" i="11" s="1"/>
  <c r="A9" i="11" s="1"/>
  <c r="A10" i="11" s="1"/>
  <c r="A11" i="11" s="1"/>
  <c r="A12" i="11" s="1"/>
  <c r="A13" i="11" s="1"/>
  <c r="A14" i="11" s="1"/>
  <c r="A3" i="11"/>
  <c r="E4" i="4"/>
  <c r="E3" i="4"/>
  <c r="D8" i="4"/>
  <c r="D9" i="4" s="1"/>
  <c r="D6" i="4"/>
  <c r="D5" i="4"/>
  <c r="D4" i="4"/>
  <c r="D3" i="4"/>
  <c r="C3" i="4"/>
  <c r="C4" i="4"/>
  <c r="C5" i="4"/>
  <c r="C6" i="4"/>
  <c r="C7" i="4"/>
  <c r="C8" i="4"/>
  <c r="C9" i="4"/>
  <c r="C10" i="4"/>
  <c r="C11" i="4"/>
  <c r="C12" i="4"/>
  <c r="C13" i="4"/>
  <c r="C14" i="4"/>
  <c r="C15" i="4"/>
  <c r="C16" i="4"/>
  <c r="C17" i="4"/>
  <c r="C18" i="4"/>
  <c r="C19" i="4"/>
  <c r="C20" i="4"/>
  <c r="C21" i="4"/>
  <c r="C22" i="4"/>
  <c r="C2" i="4"/>
  <c r="C3" i="8"/>
  <c r="C4" i="8"/>
  <c r="C5" i="8"/>
  <c r="C6" i="8"/>
  <c r="C7" i="8"/>
  <c r="C8" i="8"/>
  <c r="C2" i="8"/>
  <c r="C4" i="9"/>
  <c r="C3" i="9"/>
  <c r="C2" i="9"/>
  <c r="C3" i="5"/>
  <c r="C4" i="5"/>
  <c r="C5" i="5"/>
  <c r="C6" i="5"/>
  <c r="C7" i="5"/>
  <c r="C8" i="5"/>
  <c r="C9" i="5"/>
  <c r="C10" i="5"/>
  <c r="C11" i="5"/>
  <c r="C12" i="5"/>
  <c r="C13" i="5"/>
  <c r="C14" i="5"/>
  <c r="C15" i="5"/>
  <c r="C2" i="5"/>
</calcChain>
</file>

<file path=xl/sharedStrings.xml><?xml version="1.0" encoding="utf-8"?>
<sst xmlns="http://schemas.openxmlformats.org/spreadsheetml/2006/main" count="533" uniqueCount="143">
  <si>
    <t>id</t>
  </si>
  <si>
    <t>nombre</t>
  </si>
  <si>
    <t>fuente</t>
  </si>
  <si>
    <t>periodicidad</t>
  </si>
  <si>
    <t>unidad</t>
  </si>
  <si>
    <t>activo</t>
  </si>
  <si>
    <t>moneda</t>
  </si>
  <si>
    <t>nominal_real</t>
  </si>
  <si>
    <t>link</t>
  </si>
  <si>
    <t>mercado</t>
  </si>
  <si>
    <t>es_cotizacion</t>
  </si>
  <si>
    <t>Soja</t>
  </si>
  <si>
    <t>Arroz</t>
  </si>
  <si>
    <t>Trigo</t>
  </si>
  <si>
    <t>IPC</t>
  </si>
  <si>
    <t>Celulosa -indice-</t>
  </si>
  <si>
    <t>Software</t>
  </si>
  <si>
    <t>Ingeniería</t>
  </si>
  <si>
    <t>Arquitectura</t>
  </si>
  <si>
    <t>Contabilidad (CPA)</t>
  </si>
  <si>
    <t>Bookkeeping / payroll</t>
  </si>
  <si>
    <t>Servicios no tradicionales - sin software</t>
  </si>
  <si>
    <t>Salario real</t>
  </si>
  <si>
    <t>Gasoil</t>
  </si>
  <si>
    <t>P</t>
  </si>
  <si>
    <t>M</t>
  </si>
  <si>
    <t>S</t>
  </si>
  <si>
    <t>INAC – serie mensual precios de hacienda</t>
  </si>
  <si>
    <t>INALE – Exportación leche en polvo entera</t>
  </si>
  <si>
    <t>INALE – Exportación queso</t>
  </si>
  <si>
    <t>INALE – Precio leche en tambo y composición</t>
  </si>
  <si>
    <t>INE</t>
  </si>
  <si>
    <t>WorldBank_CMO</t>
  </si>
  <si>
    <t>INSEE - serie 010600341 (Producer Price Index - Pulp)</t>
  </si>
  <si>
    <t>BLS</t>
  </si>
  <si>
    <t>ANCAP</t>
  </si>
  <si>
    <t>Rava_Scraping</t>
  </si>
  <si>
    <t>BCB_API_PTAX</t>
  </si>
  <si>
    <t>BCRP_API</t>
  </si>
  <si>
    <t>BCCH_API</t>
  </si>
  <si>
    <t>BCB_API</t>
  </si>
  <si>
    <t>BANXICO_API</t>
  </si>
  <si>
    <t>BCRP_HTML</t>
  </si>
  <si>
    <t>W</t>
  </si>
  <si>
    <t>D</t>
  </si>
  <si>
    <t>USD/kg</t>
  </si>
  <si>
    <t>USD/ton</t>
  </si>
  <si>
    <t>UYU/litro</t>
  </si>
  <si>
    <t>UYU por USD</t>
  </si>
  <si>
    <t>UYU por EUR</t>
  </si>
  <si>
    <t>Indice</t>
  </si>
  <si>
    <t>$ por Litro</t>
  </si>
  <si>
    <t>ARS por USD</t>
  </si>
  <si>
    <t>BRL por USD</t>
  </si>
  <si>
    <t>PEN por USD</t>
  </si>
  <si>
    <t>CLP por USD</t>
  </si>
  <si>
    <t>MXN por USD</t>
  </si>
  <si>
    <t>COP por USD</t>
  </si>
  <si>
    <t>AUD por USD</t>
  </si>
  <si>
    <t>NZD por USD</t>
  </si>
  <si>
    <t>ZAR por USD</t>
  </si>
  <si>
    <t>PYG por USD</t>
  </si>
  <si>
    <t>Índice</t>
  </si>
  <si>
    <t>usd</t>
  </si>
  <si>
    <t>eur</t>
  </si>
  <si>
    <t>uyu</t>
  </si>
  <si>
    <t>MXN</t>
  </si>
  <si>
    <t>COP</t>
  </si>
  <si>
    <t>AUD</t>
  </si>
  <si>
    <t>NZD</t>
  </si>
  <si>
    <t>ZAR</t>
  </si>
  <si>
    <t>PYG</t>
  </si>
  <si>
    <t>ARS</t>
  </si>
  <si>
    <t>n</t>
  </si>
  <si>
    <t>r</t>
  </si>
  <si>
    <t>https://data.bls.gov/dataViewer/view/timeseries/PCU513210513210</t>
  </si>
  <si>
    <t>https://data.bls.gov/dataViewer/view/timeseries/PCU541330541330</t>
  </si>
  <si>
    <t>https://data.bls.gov/dataViewer/view/timeseries/PCU541310541310</t>
  </si>
  <si>
    <t>https://data.bls.gov/dataViewer/view/timeseries/PCU541211541211</t>
  </si>
  <si>
    <t>https://data.bls.gov/dataViewer/view/timeseries/PCU541211541211A</t>
  </si>
  <si>
    <t>pais/region</t>
  </si>
  <si>
    <t>Precio Internacional</t>
  </si>
  <si>
    <t>Precios</t>
  </si>
  <si>
    <t>Uruguay</t>
  </si>
  <si>
    <t>USD/LC</t>
  </si>
  <si>
    <t>EUR/LC</t>
  </si>
  <si>
    <t>Tipo de cambio</t>
  </si>
  <si>
    <t xml:space="preserve">Perú </t>
  </si>
  <si>
    <t>Chile</t>
  </si>
  <si>
    <t>México</t>
  </si>
  <si>
    <t>Colombia</t>
  </si>
  <si>
    <t>Australia</t>
  </si>
  <si>
    <t>Paraguay</t>
  </si>
  <si>
    <t>Nueva Zelanda</t>
  </si>
  <si>
    <t>Perú</t>
  </si>
  <si>
    <t>Brasil</t>
  </si>
  <si>
    <t>id_variable</t>
  </si>
  <si>
    <t>USD/LC -informal-</t>
  </si>
  <si>
    <t>id_region</t>
  </si>
  <si>
    <t>Argentina</t>
  </si>
  <si>
    <t>Commodities</t>
  </si>
  <si>
    <t>Sudáfrica</t>
  </si>
  <si>
    <t>I</t>
  </si>
  <si>
    <t>categoria</t>
  </si>
  <si>
    <t>Precio hacienda - INAC</t>
  </si>
  <si>
    <t>Leche en polvo - INALE</t>
  </si>
  <si>
    <t>Queso - INALE</t>
  </si>
  <si>
    <t>Precio leche productor - INALE</t>
  </si>
  <si>
    <t>Precio carne export - INAC</t>
  </si>
  <si>
    <t>id_nombre_variable</t>
  </si>
  <si>
    <t>familia</t>
  </si>
  <si>
    <t>sub_familia</t>
  </si>
  <si>
    <t>Precios y salarios</t>
  </si>
  <si>
    <t>Economía internacional</t>
  </si>
  <si>
    <t>Precio interno de cadena transable</t>
  </si>
  <si>
    <t>Precio de exportación</t>
  </si>
  <si>
    <t>Financiero</t>
  </si>
  <si>
    <t>Materias primas</t>
  </si>
  <si>
    <t>Salarios</t>
  </si>
  <si>
    <t>Servicios</t>
  </si>
  <si>
    <t>nombre_sub_familia</t>
  </si>
  <si>
    <t>id_familia</t>
  </si>
  <si>
    <t>id_sub_familia</t>
  </si>
  <si>
    <t>nombre_familia</t>
  </si>
  <si>
    <t>nominal_o_real</t>
  </si>
  <si>
    <t>Servicios de arquitectura</t>
  </si>
  <si>
    <t>Servicios de Bookkeeping / payroll</t>
  </si>
  <si>
    <t>Servicios de Contabilidad (CPA)</t>
  </si>
  <si>
    <t>lc</t>
  </si>
  <si>
    <t>Servicios de consultoría en ingeniería</t>
  </si>
  <si>
    <t>Servicios de software</t>
  </si>
  <si>
    <t>id_graph</t>
  </si>
  <si>
    <t>Precios de Exportación en Pesos Uruguayos Constantes</t>
  </si>
  <si>
    <t>Cotizaciones de monedas</t>
  </si>
  <si>
    <t>Inflación en dólares</t>
  </si>
  <si>
    <t>Precios de Exportación -corrientes-</t>
  </si>
  <si>
    <t>nombre_graph</t>
  </si>
  <si>
    <t>id_pais_region</t>
  </si>
  <si>
    <t>selector</t>
  </si>
  <si>
    <t>Seleccione producto</t>
  </si>
  <si>
    <t>Seleccione país</t>
  </si>
  <si>
    <t>nombre_pais_grupo</t>
  </si>
  <si>
    <t>id_pais_grupo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</si>
</sst>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3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u/>
      <sz val="11"/>
      <color theme="10"/>
      <name val="Calibri"/>
      <family val="2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2">
    <xf numFmtId="0" fontId="0" fillId="0" borderId="0"/>
    <xf numFmtId="0" fontId="2" fillId="0" borderId="0" applyNumberFormat="0" applyFill="0" applyBorder="0" applyAlignment="0" applyProtection="0">
      <alignment vertical="top"/>
      <protection locked="0"/>
    </xf>
  </cellStyleXfs>
  <cellXfs count="4">
    <xf numFmtId="0" fontId="0" fillId="0" borderId="0" xfId="0"/>
    <xf numFmtId="0" fontId="1" fillId="0" borderId="1" xfId="0" applyFont="1" applyBorder="1" applyAlignment="1">
      <alignment horizontal="center" vertical="top"/>
    </xf>
    <xf numFmtId="0" fontId="2" fillId="0" borderId="0" xfId="1" applyAlignment="1" applyProtection="1"/>
    <xf numFmtId="0" fontId="0" fillId="0" borderId="0" xfId="0" applyAlignment="1">
      <alignment horizontal="left"/>
    </xf>
  </cellXfs>
  <cellStyles count="2">
    <cellStyle name="Hipervínculo" xfId="1" builtinId="8"/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hyperlink" Target="https://data.bls.gov/dataViewer/view/timeseries/PCU541310541310" TargetMode="External"/><Relationship Id="rId2" Type="http://schemas.openxmlformats.org/officeDocument/2006/relationships/hyperlink" Target="https://data.bls.gov/dataViewer/view/timeseries/PCU541330541330" TargetMode="External"/><Relationship Id="rId1" Type="http://schemas.openxmlformats.org/officeDocument/2006/relationships/hyperlink" Target="https://data.bls.gov/dataViewer/view/timeseries/PCU513210513210" TargetMode="External"/><Relationship Id="rId5" Type="http://schemas.openxmlformats.org/officeDocument/2006/relationships/hyperlink" Target="https://data.bls.gov/dataViewer/view/timeseries/PCU541211541211A" TargetMode="External"/><Relationship Id="rId4" Type="http://schemas.openxmlformats.org/officeDocument/2006/relationships/hyperlink" Target="https://data.bls.gov/dataViewer/view/timeseries/PCU541211541211" TargetMode="Externa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hyperlink" Target="https://data.bls.gov/dataViewer/view/timeseries/PCU541310541310" TargetMode="External"/><Relationship Id="rId2" Type="http://schemas.openxmlformats.org/officeDocument/2006/relationships/hyperlink" Target="https://data.bls.gov/dataViewer/view/timeseries/PCU541330541330" TargetMode="External"/><Relationship Id="rId1" Type="http://schemas.openxmlformats.org/officeDocument/2006/relationships/hyperlink" Target="https://data.bls.gov/dataViewer/view/timeseries/PCU513210513210" TargetMode="External"/><Relationship Id="rId5" Type="http://schemas.openxmlformats.org/officeDocument/2006/relationships/hyperlink" Target="https://data.bls.gov/dataViewer/view/timeseries/PCU541211541211A" TargetMode="External"/><Relationship Id="rId4" Type="http://schemas.openxmlformats.org/officeDocument/2006/relationships/hyperlink" Target="https://data.bls.gov/dataViewer/view/timeseries/PCU541211541211" TargetMode="Externa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8"/>
  <sheetViews>
    <sheetView workbookViewId="0">
      <selection activeCell="C1" sqref="C1:C1048576"/>
    </sheetView>
  </sheetViews>
  <sheetFormatPr baseColWidth="10" defaultRowHeight="14.4" x14ac:dyDescent="0.3"/>
  <cols>
    <col min="2" max="2" width="29.5546875" bestFit="1" customWidth="1"/>
  </cols>
  <sheetData>
    <row r="1" spans="1:3" x14ac:dyDescent="0.3">
      <c r="A1" t="s">
        <v>122</v>
      </c>
      <c r="B1" t="s">
        <v>120</v>
      </c>
    </row>
    <row r="2" spans="1:3" x14ac:dyDescent="0.3">
      <c r="A2">
        <v>1</v>
      </c>
      <c r="B2" s="3" t="s">
        <v>117</v>
      </c>
      <c r="C2">
        <f>+A2</f>
        <v>1</v>
      </c>
    </row>
    <row r="3" spans="1:3" x14ac:dyDescent="0.3">
      <c r="A3">
        <v>2</v>
      </c>
      <c r="B3" s="3" t="s">
        <v>115</v>
      </c>
      <c r="C3">
        <f t="shared" ref="C3:C8" si="0">+A3</f>
        <v>2</v>
      </c>
    </row>
    <row r="4" spans="1:3" x14ac:dyDescent="0.3">
      <c r="A4">
        <v>3</v>
      </c>
      <c r="B4" s="3" t="s">
        <v>114</v>
      </c>
      <c r="C4">
        <f t="shared" si="0"/>
        <v>3</v>
      </c>
    </row>
    <row r="5" spans="1:3" x14ac:dyDescent="0.3">
      <c r="A5">
        <v>4</v>
      </c>
      <c r="B5" s="3" t="s">
        <v>82</v>
      </c>
      <c r="C5">
        <f t="shared" si="0"/>
        <v>4</v>
      </c>
    </row>
    <row r="6" spans="1:3" x14ac:dyDescent="0.3">
      <c r="A6">
        <v>5</v>
      </c>
      <c r="B6" s="3" t="s">
        <v>118</v>
      </c>
      <c r="C6">
        <f t="shared" si="0"/>
        <v>5</v>
      </c>
    </row>
    <row r="7" spans="1:3" x14ac:dyDescent="0.3">
      <c r="A7">
        <v>6</v>
      </c>
      <c r="B7" s="3" t="s">
        <v>119</v>
      </c>
      <c r="C7">
        <f t="shared" si="0"/>
        <v>6</v>
      </c>
    </row>
    <row r="8" spans="1:3" x14ac:dyDescent="0.3">
      <c r="A8">
        <v>7</v>
      </c>
      <c r="B8" s="3" t="s">
        <v>86</v>
      </c>
      <c r="C8">
        <f t="shared" si="0"/>
        <v>7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4"/>
  <sheetViews>
    <sheetView workbookViewId="0">
      <selection activeCell="C4" sqref="C4"/>
    </sheetView>
  </sheetViews>
  <sheetFormatPr baseColWidth="10" defaultRowHeight="14.4" x14ac:dyDescent="0.3"/>
  <cols>
    <col min="2" max="2" width="17.44140625" bestFit="1" customWidth="1"/>
  </cols>
  <sheetData>
    <row r="1" spans="1:3" x14ac:dyDescent="0.3">
      <c r="A1" t="s">
        <v>121</v>
      </c>
      <c r="B1" t="s">
        <v>123</v>
      </c>
    </row>
    <row r="2" spans="1:3" x14ac:dyDescent="0.3">
      <c r="A2">
        <v>1</v>
      </c>
      <c r="B2" s="3" t="s">
        <v>116</v>
      </c>
      <c r="C2">
        <f>+A2</f>
        <v>1</v>
      </c>
    </row>
    <row r="3" spans="1:3" x14ac:dyDescent="0.3">
      <c r="A3">
        <v>2</v>
      </c>
      <c r="B3" s="3" t="s">
        <v>81</v>
      </c>
      <c r="C3">
        <f>+A3</f>
        <v>2</v>
      </c>
    </row>
    <row r="4" spans="1:3" x14ac:dyDescent="0.3">
      <c r="A4">
        <v>3</v>
      </c>
      <c r="B4" s="3" t="s">
        <v>112</v>
      </c>
      <c r="C4">
        <f>+A4</f>
        <v>3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S36"/>
  <sheetViews>
    <sheetView workbookViewId="0">
      <selection sqref="A1:XFD1048576"/>
    </sheetView>
  </sheetViews>
  <sheetFormatPr baseColWidth="10" defaultColWidth="8.88671875" defaultRowHeight="14.4" x14ac:dyDescent="0.3"/>
  <cols>
    <col min="2" max="2" width="47.77734375" bestFit="1" customWidth="1"/>
    <col min="3" max="3" width="18" bestFit="1" customWidth="1"/>
    <col min="4" max="4" width="8.88671875" bestFit="1" customWidth="1"/>
    <col min="5" max="5" width="24.109375" customWidth="1"/>
    <col min="6" max="6" width="21.109375" customWidth="1"/>
    <col min="7" max="9" width="47.77734375" customWidth="1"/>
  </cols>
  <sheetData>
    <row r="1" spans="1:19" x14ac:dyDescent="0.3">
      <c r="A1" s="1" t="s">
        <v>0</v>
      </c>
      <c r="B1" s="1" t="s">
        <v>1</v>
      </c>
      <c r="C1" s="1" t="s">
        <v>109</v>
      </c>
      <c r="D1" s="1" t="s">
        <v>98</v>
      </c>
      <c r="E1" s="1" t="s">
        <v>80</v>
      </c>
      <c r="F1" s="1" t="s">
        <v>110</v>
      </c>
      <c r="G1" s="1" t="s">
        <v>111</v>
      </c>
      <c r="H1" s="1" t="s">
        <v>121</v>
      </c>
      <c r="I1" s="1" t="s">
        <v>122</v>
      </c>
      <c r="J1" s="1" t="s">
        <v>103</v>
      </c>
      <c r="K1" s="1" t="s">
        <v>2</v>
      </c>
      <c r="L1" s="1" t="s">
        <v>3</v>
      </c>
      <c r="M1" s="1" t="s">
        <v>4</v>
      </c>
      <c r="N1" s="1" t="s">
        <v>5</v>
      </c>
      <c r="O1" s="1" t="s">
        <v>6</v>
      </c>
      <c r="P1" s="1" t="s">
        <v>7</v>
      </c>
      <c r="Q1" s="1" t="s">
        <v>8</v>
      </c>
      <c r="R1" s="1" t="s">
        <v>9</v>
      </c>
      <c r="S1" s="1" t="s">
        <v>10</v>
      </c>
    </row>
    <row r="2" spans="1:19" x14ac:dyDescent="0.3">
      <c r="A2">
        <v>1</v>
      </c>
      <c r="B2" t="s">
        <v>104</v>
      </c>
      <c r="C2">
        <v>12</v>
      </c>
      <c r="D2">
        <v>12</v>
      </c>
      <c r="E2" s="3" t="s">
        <v>83</v>
      </c>
      <c r="F2" t="s">
        <v>112</v>
      </c>
      <c r="G2" t="s">
        <v>114</v>
      </c>
      <c r="H2">
        <v>3</v>
      </c>
      <c r="I2">
        <v>3</v>
      </c>
      <c r="J2" t="s">
        <v>24</v>
      </c>
      <c r="K2" t="s">
        <v>27</v>
      </c>
      <c r="L2" t="s">
        <v>25</v>
      </c>
      <c r="M2" t="s">
        <v>45</v>
      </c>
      <c r="N2">
        <v>1</v>
      </c>
      <c r="O2" t="s">
        <v>63</v>
      </c>
      <c r="P2" t="s">
        <v>73</v>
      </c>
      <c r="S2">
        <v>0</v>
      </c>
    </row>
    <row r="3" spans="1:19" x14ac:dyDescent="0.3">
      <c r="A3">
        <v>2</v>
      </c>
      <c r="B3" t="s">
        <v>105</v>
      </c>
      <c r="C3">
        <v>10</v>
      </c>
      <c r="D3">
        <v>12</v>
      </c>
      <c r="E3" s="3" t="s">
        <v>83</v>
      </c>
      <c r="F3" t="s">
        <v>112</v>
      </c>
      <c r="G3" t="s">
        <v>115</v>
      </c>
      <c r="H3">
        <v>3</v>
      </c>
      <c r="I3">
        <v>2</v>
      </c>
      <c r="J3" t="s">
        <v>24</v>
      </c>
      <c r="K3" t="s">
        <v>28</v>
      </c>
      <c r="L3" t="s">
        <v>25</v>
      </c>
      <c r="M3" t="s">
        <v>46</v>
      </c>
      <c r="N3">
        <v>1</v>
      </c>
      <c r="O3" t="s">
        <v>63</v>
      </c>
      <c r="P3" t="s">
        <v>73</v>
      </c>
      <c r="S3">
        <v>0</v>
      </c>
    </row>
    <row r="4" spans="1:19" x14ac:dyDescent="0.3">
      <c r="A4">
        <v>3</v>
      </c>
      <c r="B4" t="s">
        <v>106</v>
      </c>
      <c r="C4">
        <v>14</v>
      </c>
      <c r="D4">
        <v>12</v>
      </c>
      <c r="E4" s="3" t="s">
        <v>83</v>
      </c>
      <c r="F4" t="s">
        <v>112</v>
      </c>
      <c r="G4" t="s">
        <v>115</v>
      </c>
      <c r="H4">
        <v>3</v>
      </c>
      <c r="I4">
        <v>2</v>
      </c>
      <c r="J4" t="s">
        <v>24</v>
      </c>
      <c r="K4" t="s">
        <v>29</v>
      </c>
      <c r="L4" t="s">
        <v>25</v>
      </c>
      <c r="M4" t="s">
        <v>46</v>
      </c>
      <c r="N4">
        <v>1</v>
      </c>
      <c r="O4" t="s">
        <v>63</v>
      </c>
      <c r="P4" t="s">
        <v>73</v>
      </c>
      <c r="S4">
        <v>0</v>
      </c>
    </row>
    <row r="5" spans="1:19" x14ac:dyDescent="0.3">
      <c r="A5">
        <v>4</v>
      </c>
      <c r="B5" t="s">
        <v>107</v>
      </c>
      <c r="C5">
        <v>13</v>
      </c>
      <c r="D5">
        <v>12</v>
      </c>
      <c r="E5" s="3" t="s">
        <v>83</v>
      </c>
      <c r="F5" t="s">
        <v>112</v>
      </c>
      <c r="G5" t="s">
        <v>114</v>
      </c>
      <c r="H5">
        <v>3</v>
      </c>
      <c r="I5">
        <v>3</v>
      </c>
      <c r="J5" t="s">
        <v>24</v>
      </c>
      <c r="K5" t="s">
        <v>30</v>
      </c>
      <c r="L5" t="s">
        <v>25</v>
      </c>
      <c r="M5" t="s">
        <v>47</v>
      </c>
      <c r="N5">
        <v>1</v>
      </c>
      <c r="O5" t="s">
        <v>63</v>
      </c>
      <c r="P5" t="s">
        <v>73</v>
      </c>
      <c r="S5">
        <v>0</v>
      </c>
    </row>
    <row r="6" spans="1:19" x14ac:dyDescent="0.3">
      <c r="A6">
        <v>5</v>
      </c>
      <c r="B6" t="s">
        <v>108</v>
      </c>
      <c r="C6">
        <v>11</v>
      </c>
      <c r="D6">
        <v>12</v>
      </c>
      <c r="E6" s="3" t="s">
        <v>83</v>
      </c>
      <c r="F6" t="s">
        <v>112</v>
      </c>
      <c r="G6" t="s">
        <v>115</v>
      </c>
      <c r="H6">
        <v>3</v>
      </c>
      <c r="I6">
        <v>2</v>
      </c>
      <c r="J6" t="s">
        <v>24</v>
      </c>
      <c r="K6" t="s">
        <v>30</v>
      </c>
      <c r="L6" t="s">
        <v>43</v>
      </c>
      <c r="M6" t="s">
        <v>46</v>
      </c>
      <c r="N6">
        <v>1</v>
      </c>
      <c r="O6" t="s">
        <v>63</v>
      </c>
      <c r="P6" t="s">
        <v>73</v>
      </c>
      <c r="S6">
        <v>0</v>
      </c>
    </row>
    <row r="7" spans="1:19" x14ac:dyDescent="0.3">
      <c r="A7">
        <v>6</v>
      </c>
      <c r="B7" t="s">
        <v>84</v>
      </c>
      <c r="C7">
        <v>20</v>
      </c>
      <c r="D7">
        <v>12</v>
      </c>
      <c r="E7" t="s">
        <v>83</v>
      </c>
      <c r="F7" t="s">
        <v>116</v>
      </c>
      <c r="G7" t="s">
        <v>86</v>
      </c>
      <c r="H7">
        <v>1</v>
      </c>
      <c r="I7">
        <v>7</v>
      </c>
      <c r="K7" t="s">
        <v>31</v>
      </c>
      <c r="L7" t="s">
        <v>44</v>
      </c>
      <c r="M7" t="s">
        <v>48</v>
      </c>
      <c r="N7">
        <v>1</v>
      </c>
      <c r="P7" t="s">
        <v>73</v>
      </c>
      <c r="S7">
        <v>1</v>
      </c>
    </row>
    <row r="8" spans="1:19" x14ac:dyDescent="0.3">
      <c r="A8">
        <v>7</v>
      </c>
      <c r="B8" t="s">
        <v>85</v>
      </c>
      <c r="C8">
        <v>6</v>
      </c>
      <c r="D8">
        <v>12</v>
      </c>
      <c r="E8" t="s">
        <v>83</v>
      </c>
      <c r="F8" t="s">
        <v>116</v>
      </c>
      <c r="G8" t="s">
        <v>86</v>
      </c>
      <c r="H8">
        <v>1</v>
      </c>
      <c r="I8">
        <v>7</v>
      </c>
      <c r="K8" t="s">
        <v>31</v>
      </c>
      <c r="L8" t="s">
        <v>44</v>
      </c>
      <c r="M8" t="s">
        <v>49</v>
      </c>
      <c r="N8">
        <v>1</v>
      </c>
      <c r="P8" t="s">
        <v>73</v>
      </c>
      <c r="S8">
        <v>0</v>
      </c>
    </row>
    <row r="9" spans="1:19" x14ac:dyDescent="0.3">
      <c r="A9">
        <v>8</v>
      </c>
      <c r="B9" t="s">
        <v>11</v>
      </c>
      <c r="C9">
        <v>18</v>
      </c>
      <c r="D9">
        <v>11</v>
      </c>
      <c r="E9" s="3" t="s">
        <v>113</v>
      </c>
      <c r="F9" t="s">
        <v>81</v>
      </c>
      <c r="G9" t="s">
        <v>117</v>
      </c>
      <c r="H9">
        <v>2</v>
      </c>
      <c r="I9">
        <v>1</v>
      </c>
      <c r="J9" t="s">
        <v>24</v>
      </c>
      <c r="K9" t="s">
        <v>32</v>
      </c>
      <c r="L9" t="s">
        <v>25</v>
      </c>
      <c r="M9" t="s">
        <v>46</v>
      </c>
      <c r="N9">
        <v>1</v>
      </c>
      <c r="O9" t="s">
        <v>63</v>
      </c>
      <c r="P9" t="s">
        <v>73</v>
      </c>
      <c r="S9">
        <v>0</v>
      </c>
    </row>
    <row r="10" spans="1:19" x14ac:dyDescent="0.3">
      <c r="A10">
        <v>9</v>
      </c>
      <c r="B10" t="s">
        <v>12</v>
      </c>
      <c r="C10">
        <v>2</v>
      </c>
      <c r="D10">
        <v>11</v>
      </c>
      <c r="E10" s="3" t="s">
        <v>113</v>
      </c>
      <c r="F10" t="s">
        <v>81</v>
      </c>
      <c r="G10" t="s">
        <v>117</v>
      </c>
      <c r="H10">
        <v>2</v>
      </c>
      <c r="I10">
        <v>1</v>
      </c>
      <c r="J10" t="s">
        <v>24</v>
      </c>
      <c r="K10" t="s">
        <v>32</v>
      </c>
      <c r="L10" t="s">
        <v>25</v>
      </c>
      <c r="M10" t="s">
        <v>46</v>
      </c>
      <c r="N10">
        <v>1</v>
      </c>
      <c r="O10" t="s">
        <v>63</v>
      </c>
      <c r="P10" t="s">
        <v>73</v>
      </c>
      <c r="S10">
        <v>0</v>
      </c>
    </row>
    <row r="11" spans="1:19" x14ac:dyDescent="0.3">
      <c r="A11">
        <v>10</v>
      </c>
      <c r="B11" t="s">
        <v>13</v>
      </c>
      <c r="C11">
        <v>19</v>
      </c>
      <c r="D11">
        <v>11</v>
      </c>
      <c r="E11" s="3" t="s">
        <v>113</v>
      </c>
      <c r="F11" t="s">
        <v>81</v>
      </c>
      <c r="G11" t="s">
        <v>117</v>
      </c>
      <c r="H11">
        <v>2</v>
      </c>
      <c r="I11">
        <v>1</v>
      </c>
      <c r="J11" t="s">
        <v>24</v>
      </c>
      <c r="K11" t="s">
        <v>32</v>
      </c>
      <c r="L11" t="s">
        <v>25</v>
      </c>
      <c r="M11" t="s">
        <v>46</v>
      </c>
      <c r="N11">
        <v>1</v>
      </c>
      <c r="O11" t="s">
        <v>63</v>
      </c>
      <c r="P11" t="s">
        <v>73</v>
      </c>
      <c r="S11">
        <v>0</v>
      </c>
    </row>
    <row r="12" spans="1:19" x14ac:dyDescent="0.3">
      <c r="A12">
        <v>11</v>
      </c>
      <c r="B12" t="s">
        <v>14</v>
      </c>
      <c r="C12">
        <v>9</v>
      </c>
      <c r="D12">
        <v>12</v>
      </c>
      <c r="E12" t="s">
        <v>83</v>
      </c>
      <c r="F12" t="s">
        <v>112</v>
      </c>
      <c r="G12" t="s">
        <v>82</v>
      </c>
      <c r="H12">
        <v>3</v>
      </c>
      <c r="I12">
        <v>4</v>
      </c>
      <c r="K12" t="s">
        <v>31</v>
      </c>
      <c r="L12" t="s">
        <v>25</v>
      </c>
      <c r="M12" t="s">
        <v>50</v>
      </c>
      <c r="N12">
        <v>1</v>
      </c>
      <c r="P12" t="s">
        <v>73</v>
      </c>
      <c r="S12">
        <v>0</v>
      </c>
    </row>
    <row r="13" spans="1:19" x14ac:dyDescent="0.3">
      <c r="A13">
        <v>12</v>
      </c>
      <c r="B13" t="s">
        <v>15</v>
      </c>
      <c r="C13">
        <v>4</v>
      </c>
      <c r="D13">
        <v>11</v>
      </c>
      <c r="E13" s="3" t="s">
        <v>113</v>
      </c>
      <c r="F13" t="s">
        <v>81</v>
      </c>
      <c r="G13" t="s">
        <v>117</v>
      </c>
      <c r="H13">
        <v>2</v>
      </c>
      <c r="I13">
        <v>1</v>
      </c>
      <c r="J13" t="s">
        <v>24</v>
      </c>
      <c r="K13" t="s">
        <v>33</v>
      </c>
      <c r="L13" t="s">
        <v>25</v>
      </c>
      <c r="M13" t="s">
        <v>50</v>
      </c>
      <c r="N13">
        <v>1</v>
      </c>
      <c r="O13" t="s">
        <v>64</v>
      </c>
      <c r="P13" t="s">
        <v>73</v>
      </c>
      <c r="S13">
        <v>0</v>
      </c>
    </row>
    <row r="14" spans="1:19" x14ac:dyDescent="0.3">
      <c r="A14">
        <v>13</v>
      </c>
      <c r="B14" t="s">
        <v>16</v>
      </c>
      <c r="C14">
        <v>17</v>
      </c>
      <c r="D14">
        <v>11</v>
      </c>
      <c r="E14" s="3" t="s">
        <v>113</v>
      </c>
      <c r="F14" t="s">
        <v>81</v>
      </c>
      <c r="G14" t="s">
        <v>119</v>
      </c>
      <c r="H14">
        <v>2</v>
      </c>
      <c r="I14">
        <v>6</v>
      </c>
      <c r="J14" t="s">
        <v>26</v>
      </c>
      <c r="K14" t="s">
        <v>34</v>
      </c>
      <c r="L14" t="s">
        <v>25</v>
      </c>
      <c r="M14" t="s">
        <v>50</v>
      </c>
      <c r="N14">
        <v>1</v>
      </c>
      <c r="O14" t="s">
        <v>63</v>
      </c>
      <c r="P14" t="s">
        <v>73</v>
      </c>
      <c r="Q14" s="2" t="s">
        <v>75</v>
      </c>
      <c r="S14">
        <v>0</v>
      </c>
    </row>
    <row r="15" spans="1:19" x14ac:dyDescent="0.3">
      <c r="A15">
        <v>14</v>
      </c>
      <c r="B15" t="s">
        <v>17</v>
      </c>
      <c r="C15">
        <v>8</v>
      </c>
      <c r="D15">
        <v>11</v>
      </c>
      <c r="E15" s="3" t="s">
        <v>113</v>
      </c>
      <c r="F15" t="s">
        <v>81</v>
      </c>
      <c r="G15" t="s">
        <v>119</v>
      </c>
      <c r="H15">
        <v>2</v>
      </c>
      <c r="I15">
        <v>6</v>
      </c>
      <c r="J15" t="s">
        <v>26</v>
      </c>
      <c r="K15" t="s">
        <v>34</v>
      </c>
      <c r="L15" t="s">
        <v>25</v>
      </c>
      <c r="M15" t="s">
        <v>50</v>
      </c>
      <c r="N15">
        <v>1</v>
      </c>
      <c r="O15" t="s">
        <v>63</v>
      </c>
      <c r="P15" t="s">
        <v>73</v>
      </c>
      <c r="Q15" s="2" t="s">
        <v>76</v>
      </c>
      <c r="S15">
        <v>0</v>
      </c>
    </row>
    <row r="16" spans="1:19" x14ac:dyDescent="0.3">
      <c r="A16">
        <v>15</v>
      </c>
      <c r="B16" t="s">
        <v>18</v>
      </c>
      <c r="C16">
        <v>1</v>
      </c>
      <c r="D16">
        <v>11</v>
      </c>
      <c r="E16" s="3" t="s">
        <v>113</v>
      </c>
      <c r="F16" t="s">
        <v>81</v>
      </c>
      <c r="G16" t="s">
        <v>119</v>
      </c>
      <c r="H16">
        <v>2</v>
      </c>
      <c r="I16">
        <v>6</v>
      </c>
      <c r="J16" t="s">
        <v>26</v>
      </c>
      <c r="K16" t="s">
        <v>34</v>
      </c>
      <c r="L16" t="s">
        <v>25</v>
      </c>
      <c r="M16" t="s">
        <v>50</v>
      </c>
      <c r="N16">
        <v>1</v>
      </c>
      <c r="O16" t="s">
        <v>63</v>
      </c>
      <c r="P16" t="s">
        <v>73</v>
      </c>
      <c r="Q16" s="2" t="s">
        <v>77</v>
      </c>
      <c r="S16">
        <v>0</v>
      </c>
    </row>
    <row r="17" spans="1:19" x14ac:dyDescent="0.3">
      <c r="A17">
        <v>16</v>
      </c>
      <c r="B17" t="s">
        <v>19</v>
      </c>
      <c r="C17">
        <v>5</v>
      </c>
      <c r="D17">
        <v>11</v>
      </c>
      <c r="E17" s="3" t="s">
        <v>113</v>
      </c>
      <c r="F17" t="s">
        <v>81</v>
      </c>
      <c r="G17" t="s">
        <v>119</v>
      </c>
      <c r="H17">
        <v>2</v>
      </c>
      <c r="I17">
        <v>6</v>
      </c>
      <c r="J17" t="s">
        <v>26</v>
      </c>
      <c r="K17" t="s">
        <v>34</v>
      </c>
      <c r="L17" t="s">
        <v>25</v>
      </c>
      <c r="M17" t="s">
        <v>50</v>
      </c>
      <c r="N17">
        <v>1</v>
      </c>
      <c r="O17" t="s">
        <v>63</v>
      </c>
      <c r="P17" t="s">
        <v>73</v>
      </c>
      <c r="Q17" s="2" t="s">
        <v>78</v>
      </c>
      <c r="S17">
        <v>0</v>
      </c>
    </row>
    <row r="18" spans="1:19" x14ac:dyDescent="0.3">
      <c r="A18">
        <v>17</v>
      </c>
      <c r="B18" t="s">
        <v>20</v>
      </c>
      <c r="C18">
        <v>3</v>
      </c>
      <c r="D18">
        <v>11</v>
      </c>
      <c r="E18" s="3" t="s">
        <v>113</v>
      </c>
      <c r="F18" t="s">
        <v>81</v>
      </c>
      <c r="G18" t="s">
        <v>119</v>
      </c>
      <c r="H18">
        <v>2</v>
      </c>
      <c r="I18">
        <v>6</v>
      </c>
      <c r="J18" t="s">
        <v>26</v>
      </c>
      <c r="K18" t="s">
        <v>34</v>
      </c>
      <c r="L18" t="s">
        <v>25</v>
      </c>
      <c r="M18" t="s">
        <v>50</v>
      </c>
      <c r="N18">
        <v>1</v>
      </c>
      <c r="O18" t="s">
        <v>63</v>
      </c>
      <c r="P18" t="s">
        <v>73</v>
      </c>
      <c r="Q18" s="2" t="s">
        <v>79</v>
      </c>
      <c r="S18">
        <v>0</v>
      </c>
    </row>
    <row r="19" spans="1:19" x14ac:dyDescent="0.3">
      <c r="A19">
        <v>18</v>
      </c>
      <c r="B19" t="s">
        <v>21</v>
      </c>
      <c r="C19">
        <v>16</v>
      </c>
      <c r="D19">
        <v>11</v>
      </c>
      <c r="E19" s="3" t="s">
        <v>113</v>
      </c>
      <c r="F19" t="s">
        <v>81</v>
      </c>
      <c r="G19" t="s">
        <v>119</v>
      </c>
      <c r="H19">
        <v>2</v>
      </c>
      <c r="I19">
        <v>6</v>
      </c>
      <c r="J19" t="s">
        <v>26</v>
      </c>
      <c r="K19" t="s">
        <v>34</v>
      </c>
      <c r="L19" t="s">
        <v>25</v>
      </c>
      <c r="M19" t="s">
        <v>50</v>
      </c>
      <c r="N19">
        <v>1</v>
      </c>
      <c r="O19" t="s">
        <v>63</v>
      </c>
      <c r="P19" t="s">
        <v>73</v>
      </c>
      <c r="S19">
        <v>0</v>
      </c>
    </row>
    <row r="20" spans="1:19" x14ac:dyDescent="0.3">
      <c r="A20">
        <v>19</v>
      </c>
      <c r="B20" t="s">
        <v>22</v>
      </c>
      <c r="C20">
        <v>15</v>
      </c>
      <c r="D20">
        <v>12</v>
      </c>
      <c r="E20" t="s">
        <v>83</v>
      </c>
      <c r="F20" t="s">
        <v>112</v>
      </c>
      <c r="G20" t="s">
        <v>118</v>
      </c>
      <c r="H20">
        <v>3</v>
      </c>
      <c r="I20">
        <v>5</v>
      </c>
      <c r="J20" t="s">
        <v>102</v>
      </c>
      <c r="K20" t="s">
        <v>31</v>
      </c>
      <c r="L20" t="s">
        <v>25</v>
      </c>
      <c r="M20" t="s">
        <v>50</v>
      </c>
      <c r="N20">
        <v>1</v>
      </c>
      <c r="O20" t="s">
        <v>65</v>
      </c>
      <c r="P20" t="s">
        <v>74</v>
      </c>
      <c r="S20">
        <v>0</v>
      </c>
    </row>
    <row r="21" spans="1:19" x14ac:dyDescent="0.3">
      <c r="A21">
        <v>20</v>
      </c>
      <c r="B21" t="s">
        <v>23</v>
      </c>
      <c r="C21">
        <v>7</v>
      </c>
      <c r="D21">
        <v>12</v>
      </c>
      <c r="E21" t="s">
        <v>83</v>
      </c>
      <c r="F21" t="s">
        <v>112</v>
      </c>
      <c r="G21" t="s">
        <v>82</v>
      </c>
      <c r="H21">
        <v>3</v>
      </c>
      <c r="I21">
        <v>4</v>
      </c>
      <c r="J21" t="s">
        <v>102</v>
      </c>
      <c r="K21" t="s">
        <v>35</v>
      </c>
      <c r="L21" t="s">
        <v>25</v>
      </c>
      <c r="M21" t="s">
        <v>51</v>
      </c>
      <c r="N21">
        <v>1</v>
      </c>
      <c r="O21" t="s">
        <v>65</v>
      </c>
      <c r="P21" t="s">
        <v>73</v>
      </c>
      <c r="S21">
        <v>0</v>
      </c>
    </row>
    <row r="22" spans="1:19" x14ac:dyDescent="0.3">
      <c r="A22">
        <v>22</v>
      </c>
      <c r="B22" t="s">
        <v>97</v>
      </c>
      <c r="C22">
        <v>21</v>
      </c>
      <c r="D22">
        <v>1</v>
      </c>
      <c r="E22" t="s">
        <v>99</v>
      </c>
      <c r="F22" t="s">
        <v>116</v>
      </c>
      <c r="G22" t="s">
        <v>86</v>
      </c>
      <c r="H22">
        <v>1</v>
      </c>
      <c r="I22">
        <v>7</v>
      </c>
      <c r="K22" t="s">
        <v>36</v>
      </c>
      <c r="L22" t="s">
        <v>44</v>
      </c>
      <c r="M22" t="s">
        <v>52</v>
      </c>
      <c r="N22">
        <v>1</v>
      </c>
      <c r="O22" t="s">
        <v>63</v>
      </c>
      <c r="P22" t="s">
        <v>73</v>
      </c>
      <c r="S22">
        <v>1</v>
      </c>
    </row>
    <row r="23" spans="1:19" x14ac:dyDescent="0.3">
      <c r="A23">
        <v>23</v>
      </c>
      <c r="B23" t="s">
        <v>84</v>
      </c>
      <c r="C23">
        <v>20</v>
      </c>
      <c r="D23">
        <v>3</v>
      </c>
      <c r="E23" t="s">
        <v>95</v>
      </c>
      <c r="F23" t="s">
        <v>116</v>
      </c>
      <c r="G23" t="s">
        <v>86</v>
      </c>
      <c r="H23">
        <v>1</v>
      </c>
      <c r="I23">
        <v>7</v>
      </c>
      <c r="K23" t="s">
        <v>37</v>
      </c>
      <c r="L23" t="s">
        <v>44</v>
      </c>
      <c r="M23" t="s">
        <v>53</v>
      </c>
      <c r="N23">
        <v>1</v>
      </c>
      <c r="O23" t="s">
        <v>63</v>
      </c>
      <c r="P23" t="s">
        <v>73</v>
      </c>
      <c r="S23">
        <v>1</v>
      </c>
    </row>
    <row r="24" spans="1:19" x14ac:dyDescent="0.3">
      <c r="A24">
        <v>24</v>
      </c>
      <c r="B24" t="s">
        <v>84</v>
      </c>
      <c r="C24">
        <v>20</v>
      </c>
      <c r="D24">
        <v>10</v>
      </c>
      <c r="E24" t="s">
        <v>87</v>
      </c>
      <c r="F24" t="s">
        <v>116</v>
      </c>
      <c r="G24" t="s">
        <v>86</v>
      </c>
      <c r="H24">
        <v>1</v>
      </c>
      <c r="I24">
        <v>7</v>
      </c>
      <c r="K24" t="s">
        <v>38</v>
      </c>
      <c r="L24" t="s">
        <v>44</v>
      </c>
      <c r="M24" t="s">
        <v>54</v>
      </c>
      <c r="N24">
        <v>1</v>
      </c>
      <c r="O24" t="s">
        <v>63</v>
      </c>
      <c r="P24" t="s">
        <v>73</v>
      </c>
      <c r="S24">
        <v>1</v>
      </c>
    </row>
    <row r="25" spans="1:19" x14ac:dyDescent="0.3">
      <c r="A25">
        <v>25</v>
      </c>
      <c r="B25" t="s">
        <v>84</v>
      </c>
      <c r="C25">
        <v>20</v>
      </c>
      <c r="D25">
        <v>4</v>
      </c>
      <c r="E25" t="s">
        <v>88</v>
      </c>
      <c r="F25" t="s">
        <v>116</v>
      </c>
      <c r="G25" t="s">
        <v>86</v>
      </c>
      <c r="H25">
        <v>1</v>
      </c>
      <c r="I25">
        <v>7</v>
      </c>
      <c r="K25" t="s">
        <v>39</v>
      </c>
      <c r="L25" t="s">
        <v>44</v>
      </c>
      <c r="M25" t="s">
        <v>55</v>
      </c>
      <c r="N25">
        <v>1</v>
      </c>
      <c r="O25" t="s">
        <v>63</v>
      </c>
      <c r="P25" t="s">
        <v>73</v>
      </c>
      <c r="S25">
        <v>1</v>
      </c>
    </row>
    <row r="26" spans="1:19" x14ac:dyDescent="0.3">
      <c r="A26">
        <v>26</v>
      </c>
      <c r="B26" t="s">
        <v>84</v>
      </c>
      <c r="C26">
        <v>20</v>
      </c>
      <c r="D26">
        <v>6</v>
      </c>
      <c r="E26" t="s">
        <v>89</v>
      </c>
      <c r="F26" t="s">
        <v>116</v>
      </c>
      <c r="G26" t="s">
        <v>86</v>
      </c>
      <c r="H26">
        <v>1</v>
      </c>
      <c r="I26">
        <v>7</v>
      </c>
      <c r="K26" t="s">
        <v>39</v>
      </c>
      <c r="L26" t="s">
        <v>44</v>
      </c>
      <c r="M26" t="s">
        <v>56</v>
      </c>
      <c r="N26">
        <v>1</v>
      </c>
      <c r="O26" t="s">
        <v>66</v>
      </c>
      <c r="P26" t="s">
        <v>73</v>
      </c>
      <c r="S26">
        <v>1</v>
      </c>
    </row>
    <row r="27" spans="1:19" x14ac:dyDescent="0.3">
      <c r="A27">
        <v>27</v>
      </c>
      <c r="B27" t="s">
        <v>84</v>
      </c>
      <c r="C27">
        <v>20</v>
      </c>
      <c r="D27">
        <v>5</v>
      </c>
      <c r="E27" t="s">
        <v>90</v>
      </c>
      <c r="F27" t="s">
        <v>116</v>
      </c>
      <c r="G27" t="s">
        <v>86</v>
      </c>
      <c r="H27">
        <v>1</v>
      </c>
      <c r="I27">
        <v>7</v>
      </c>
      <c r="K27" t="s">
        <v>39</v>
      </c>
      <c r="L27" t="s">
        <v>44</v>
      </c>
      <c r="M27" t="s">
        <v>57</v>
      </c>
      <c r="N27">
        <v>1</v>
      </c>
      <c r="O27" t="s">
        <v>67</v>
      </c>
      <c r="P27" t="s">
        <v>73</v>
      </c>
      <c r="S27">
        <v>1</v>
      </c>
    </row>
    <row r="28" spans="1:19" x14ac:dyDescent="0.3">
      <c r="A28">
        <v>28</v>
      </c>
      <c r="B28" t="s">
        <v>84</v>
      </c>
      <c r="C28">
        <v>20</v>
      </c>
      <c r="D28">
        <v>2</v>
      </c>
      <c r="E28" t="s">
        <v>91</v>
      </c>
      <c r="F28" t="s">
        <v>116</v>
      </c>
      <c r="G28" t="s">
        <v>86</v>
      </c>
      <c r="H28">
        <v>1</v>
      </c>
      <c r="I28">
        <v>7</v>
      </c>
      <c r="K28" t="s">
        <v>39</v>
      </c>
      <c r="L28" t="s">
        <v>44</v>
      </c>
      <c r="M28" t="s">
        <v>58</v>
      </c>
      <c r="N28">
        <v>1</v>
      </c>
      <c r="O28" t="s">
        <v>68</v>
      </c>
      <c r="P28" t="s">
        <v>73</v>
      </c>
      <c r="S28">
        <v>1</v>
      </c>
    </row>
    <row r="29" spans="1:19" x14ac:dyDescent="0.3">
      <c r="A29">
        <v>29</v>
      </c>
      <c r="B29" t="s">
        <v>84</v>
      </c>
      <c r="C29">
        <v>20</v>
      </c>
      <c r="D29">
        <v>7</v>
      </c>
      <c r="E29" t="s">
        <v>93</v>
      </c>
      <c r="F29" t="s">
        <v>116</v>
      </c>
      <c r="G29" t="s">
        <v>86</v>
      </c>
      <c r="H29">
        <v>1</v>
      </c>
      <c r="I29">
        <v>7</v>
      </c>
      <c r="K29" t="s">
        <v>39</v>
      </c>
      <c r="L29" t="s">
        <v>44</v>
      </c>
      <c r="M29" t="s">
        <v>59</v>
      </c>
      <c r="N29">
        <v>1</v>
      </c>
      <c r="O29" t="s">
        <v>69</v>
      </c>
      <c r="P29" t="s">
        <v>73</v>
      </c>
      <c r="S29">
        <v>1</v>
      </c>
    </row>
    <row r="30" spans="1:19" x14ac:dyDescent="0.3">
      <c r="A30">
        <v>30</v>
      </c>
      <c r="B30" t="s">
        <v>84</v>
      </c>
      <c r="C30">
        <v>20</v>
      </c>
      <c r="D30">
        <v>13</v>
      </c>
      <c r="E30" t="s">
        <v>101</v>
      </c>
      <c r="F30" t="s">
        <v>116</v>
      </c>
      <c r="G30" t="s">
        <v>86</v>
      </c>
      <c r="H30">
        <v>1</v>
      </c>
      <c r="I30">
        <v>7</v>
      </c>
      <c r="K30" t="s">
        <v>39</v>
      </c>
      <c r="L30" t="s">
        <v>44</v>
      </c>
      <c r="M30" t="s">
        <v>60</v>
      </c>
      <c r="N30">
        <v>1</v>
      </c>
      <c r="O30" t="s">
        <v>70</v>
      </c>
      <c r="P30" t="s">
        <v>73</v>
      </c>
      <c r="S30">
        <v>1</v>
      </c>
    </row>
    <row r="31" spans="1:19" x14ac:dyDescent="0.3">
      <c r="A31">
        <v>31</v>
      </c>
      <c r="B31" t="s">
        <v>84</v>
      </c>
      <c r="C31">
        <v>20</v>
      </c>
      <c r="D31">
        <v>8</v>
      </c>
      <c r="E31" t="s">
        <v>92</v>
      </c>
      <c r="F31" t="s">
        <v>116</v>
      </c>
      <c r="G31" t="s">
        <v>86</v>
      </c>
      <c r="H31">
        <v>1</v>
      </c>
      <c r="I31">
        <v>7</v>
      </c>
      <c r="K31" t="s">
        <v>39</v>
      </c>
      <c r="L31" t="s">
        <v>44</v>
      </c>
      <c r="M31" t="s">
        <v>61</v>
      </c>
      <c r="N31">
        <v>1</v>
      </c>
      <c r="O31" t="s">
        <v>71</v>
      </c>
      <c r="P31" t="s">
        <v>73</v>
      </c>
      <c r="S31">
        <v>1</v>
      </c>
    </row>
    <row r="32" spans="1:19" x14ac:dyDescent="0.3">
      <c r="A32">
        <v>32</v>
      </c>
      <c r="B32" t="s">
        <v>84</v>
      </c>
      <c r="C32">
        <v>20</v>
      </c>
      <c r="D32">
        <v>1</v>
      </c>
      <c r="E32" t="s">
        <v>99</v>
      </c>
      <c r="F32" t="s">
        <v>116</v>
      </c>
      <c r="G32" t="s">
        <v>86</v>
      </c>
      <c r="H32">
        <v>1</v>
      </c>
      <c r="I32">
        <v>7</v>
      </c>
      <c r="K32" t="s">
        <v>39</v>
      </c>
      <c r="L32" t="s">
        <v>44</v>
      </c>
      <c r="M32" t="s">
        <v>52</v>
      </c>
      <c r="N32">
        <v>1</v>
      </c>
      <c r="O32" t="s">
        <v>72</v>
      </c>
      <c r="P32" t="s">
        <v>73</v>
      </c>
      <c r="S32">
        <v>1</v>
      </c>
    </row>
    <row r="33" spans="1:19" x14ac:dyDescent="0.3">
      <c r="A33">
        <v>33</v>
      </c>
      <c r="B33" t="s">
        <v>14</v>
      </c>
      <c r="C33">
        <v>9</v>
      </c>
      <c r="D33">
        <v>4</v>
      </c>
      <c r="E33" t="s">
        <v>88</v>
      </c>
      <c r="F33" t="s">
        <v>112</v>
      </c>
      <c r="G33" t="s">
        <v>82</v>
      </c>
      <c r="H33">
        <v>3</v>
      </c>
      <c r="I33">
        <v>4</v>
      </c>
      <c r="K33" t="s">
        <v>39</v>
      </c>
      <c r="L33" t="s">
        <v>25</v>
      </c>
      <c r="M33" t="s">
        <v>62</v>
      </c>
      <c r="N33">
        <v>1</v>
      </c>
      <c r="P33" t="s">
        <v>73</v>
      </c>
      <c r="S33">
        <v>0</v>
      </c>
    </row>
    <row r="34" spans="1:19" x14ac:dyDescent="0.3">
      <c r="A34">
        <v>34</v>
      </c>
      <c r="B34" t="s">
        <v>14</v>
      </c>
      <c r="C34">
        <v>9</v>
      </c>
      <c r="D34">
        <v>3</v>
      </c>
      <c r="E34" t="s">
        <v>95</v>
      </c>
      <c r="F34" t="s">
        <v>112</v>
      </c>
      <c r="G34" t="s">
        <v>82</v>
      </c>
      <c r="H34">
        <v>3</v>
      </c>
      <c r="I34">
        <v>4</v>
      </c>
      <c r="K34" t="s">
        <v>40</v>
      </c>
      <c r="L34" t="s">
        <v>25</v>
      </c>
      <c r="M34" t="s">
        <v>62</v>
      </c>
      <c r="N34">
        <v>1</v>
      </c>
      <c r="P34" t="s">
        <v>73</v>
      </c>
      <c r="S34">
        <v>0</v>
      </c>
    </row>
    <row r="35" spans="1:19" x14ac:dyDescent="0.3">
      <c r="A35">
        <v>35</v>
      </c>
      <c r="B35" t="s">
        <v>14</v>
      </c>
      <c r="C35">
        <v>9</v>
      </c>
      <c r="D35">
        <v>6</v>
      </c>
      <c r="E35" t="s">
        <v>89</v>
      </c>
      <c r="F35" t="s">
        <v>112</v>
      </c>
      <c r="G35" t="s">
        <v>82</v>
      </c>
      <c r="H35">
        <v>3</v>
      </c>
      <c r="I35">
        <v>4</v>
      </c>
      <c r="K35" t="s">
        <v>41</v>
      </c>
      <c r="L35" t="s">
        <v>25</v>
      </c>
      <c r="M35" t="s">
        <v>62</v>
      </c>
      <c r="N35">
        <v>1</v>
      </c>
      <c r="P35" t="s">
        <v>73</v>
      </c>
      <c r="S35">
        <v>0</v>
      </c>
    </row>
    <row r="36" spans="1:19" x14ac:dyDescent="0.3">
      <c r="A36">
        <v>36</v>
      </c>
      <c r="B36" t="s">
        <v>14</v>
      </c>
      <c r="C36">
        <v>9</v>
      </c>
      <c r="D36">
        <v>9</v>
      </c>
      <c r="E36" t="s">
        <v>94</v>
      </c>
      <c r="F36" t="s">
        <v>112</v>
      </c>
      <c r="G36" t="s">
        <v>82</v>
      </c>
      <c r="H36">
        <v>3</v>
      </c>
      <c r="I36">
        <v>4</v>
      </c>
      <c r="K36" t="s">
        <v>42</v>
      </c>
      <c r="L36" t="s">
        <v>25</v>
      </c>
      <c r="M36" t="s">
        <v>62</v>
      </c>
      <c r="N36">
        <v>1</v>
      </c>
      <c r="P36" t="s">
        <v>73</v>
      </c>
      <c r="S36">
        <v>0</v>
      </c>
    </row>
  </sheetData>
  <autoFilter ref="G1:G36"/>
  <hyperlinks>
    <hyperlink ref="Q14" r:id="rId1"/>
    <hyperlink ref="Q15" r:id="rId2"/>
    <hyperlink ref="Q16" r:id="rId3"/>
    <hyperlink ref="Q17" r:id="rId4"/>
    <hyperlink ref="Q18" r:id="rId5"/>
  </hyperlink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36"/>
  <sheetViews>
    <sheetView tabSelected="1" workbookViewId="0">
      <selection activeCell="C1" sqref="C1:C1048576"/>
    </sheetView>
  </sheetViews>
  <sheetFormatPr baseColWidth="10" defaultColWidth="8.88671875" defaultRowHeight="14.4" x14ac:dyDescent="0.3"/>
  <cols>
    <col min="1" max="1" width="18" bestFit="1" customWidth="1"/>
    <col min="2" max="2" width="8.88671875" bestFit="1" customWidth="1"/>
    <col min="3" max="3" width="44.5546875" bestFit="1" customWidth="1"/>
  </cols>
  <sheetData>
    <row r="1" spans="1:6" x14ac:dyDescent="0.3">
      <c r="A1" s="1" t="s">
        <v>109</v>
      </c>
      <c r="B1" s="1" t="s">
        <v>98</v>
      </c>
      <c r="C1" s="1" t="s">
        <v>2</v>
      </c>
      <c r="D1" s="1" t="s">
        <v>3</v>
      </c>
      <c r="E1" s="1" t="s">
        <v>5</v>
      </c>
      <c r="F1" s="1" t="s">
        <v>8</v>
      </c>
    </row>
    <row r="2" spans="1:6" x14ac:dyDescent="0.3">
      <c r="A2">
        <v>12</v>
      </c>
      <c r="B2">
        <v>12</v>
      </c>
      <c r="C2" t="s">
        <v>27</v>
      </c>
      <c r="D2" t="s">
        <v>25</v>
      </c>
      <c r="E2">
        <v>1</v>
      </c>
    </row>
    <row r="3" spans="1:6" x14ac:dyDescent="0.3">
      <c r="A3">
        <v>10</v>
      </c>
      <c r="B3">
        <v>12</v>
      </c>
      <c r="C3" t="s">
        <v>28</v>
      </c>
      <c r="D3" t="s">
        <v>25</v>
      </c>
      <c r="E3">
        <v>1</v>
      </c>
    </row>
    <row r="4" spans="1:6" x14ac:dyDescent="0.3">
      <c r="A4">
        <v>14</v>
      </c>
      <c r="B4">
        <v>12</v>
      </c>
      <c r="C4" t="s">
        <v>29</v>
      </c>
      <c r="D4" t="s">
        <v>25</v>
      </c>
      <c r="E4">
        <v>1</v>
      </c>
    </row>
    <row r="5" spans="1:6" x14ac:dyDescent="0.3">
      <c r="A5">
        <v>13</v>
      </c>
      <c r="B5">
        <v>12</v>
      </c>
      <c r="C5" t="s">
        <v>30</v>
      </c>
      <c r="D5" t="s">
        <v>25</v>
      </c>
      <c r="E5">
        <v>1</v>
      </c>
    </row>
    <row r="6" spans="1:6" x14ac:dyDescent="0.3">
      <c r="A6">
        <v>11</v>
      </c>
      <c r="B6">
        <v>12</v>
      </c>
      <c r="C6" t="s">
        <v>30</v>
      </c>
      <c r="D6" t="s">
        <v>43</v>
      </c>
      <c r="E6">
        <v>1</v>
      </c>
    </row>
    <row r="7" spans="1:6" x14ac:dyDescent="0.3">
      <c r="A7">
        <v>20</v>
      </c>
      <c r="B7">
        <v>12</v>
      </c>
      <c r="C7" t="s">
        <v>31</v>
      </c>
      <c r="D7" t="s">
        <v>44</v>
      </c>
      <c r="E7">
        <v>1</v>
      </c>
    </row>
    <row r="8" spans="1:6" x14ac:dyDescent="0.3">
      <c r="A8">
        <v>6</v>
      </c>
      <c r="B8">
        <v>12</v>
      </c>
      <c r="C8" t="s">
        <v>31</v>
      </c>
      <c r="D8" t="s">
        <v>44</v>
      </c>
      <c r="E8">
        <v>1</v>
      </c>
    </row>
    <row r="9" spans="1:6" x14ac:dyDescent="0.3">
      <c r="A9">
        <v>18</v>
      </c>
      <c r="B9">
        <v>11</v>
      </c>
      <c r="C9" t="s">
        <v>32</v>
      </c>
      <c r="D9" t="s">
        <v>25</v>
      </c>
      <c r="E9">
        <v>1</v>
      </c>
    </row>
    <row r="10" spans="1:6" x14ac:dyDescent="0.3">
      <c r="A10">
        <v>2</v>
      </c>
      <c r="B10">
        <v>11</v>
      </c>
      <c r="C10" t="s">
        <v>32</v>
      </c>
      <c r="D10" t="s">
        <v>25</v>
      </c>
      <c r="E10">
        <v>1</v>
      </c>
    </row>
    <row r="11" spans="1:6" x14ac:dyDescent="0.3">
      <c r="A11">
        <v>19</v>
      </c>
      <c r="B11">
        <v>11</v>
      </c>
      <c r="C11" t="s">
        <v>32</v>
      </c>
      <c r="D11" t="s">
        <v>25</v>
      </c>
      <c r="E11">
        <v>1</v>
      </c>
    </row>
    <row r="12" spans="1:6" x14ac:dyDescent="0.3">
      <c r="A12">
        <v>9</v>
      </c>
      <c r="B12">
        <v>12</v>
      </c>
      <c r="C12" t="s">
        <v>31</v>
      </c>
      <c r="D12" t="s">
        <v>25</v>
      </c>
      <c r="E12">
        <v>1</v>
      </c>
    </row>
    <row r="13" spans="1:6" x14ac:dyDescent="0.3">
      <c r="A13">
        <v>4</v>
      </c>
      <c r="B13">
        <v>11</v>
      </c>
      <c r="C13" t="s">
        <v>33</v>
      </c>
      <c r="D13" t="s">
        <v>25</v>
      </c>
      <c r="E13">
        <v>1</v>
      </c>
    </row>
    <row r="14" spans="1:6" x14ac:dyDescent="0.3">
      <c r="A14">
        <v>17</v>
      </c>
      <c r="B14">
        <v>11</v>
      </c>
      <c r="C14" t="s">
        <v>34</v>
      </c>
      <c r="D14" t="s">
        <v>25</v>
      </c>
      <c r="E14">
        <v>1</v>
      </c>
      <c r="F14" s="2" t="s">
        <v>75</v>
      </c>
    </row>
    <row r="15" spans="1:6" x14ac:dyDescent="0.3">
      <c r="A15">
        <v>8</v>
      </c>
      <c r="B15">
        <v>11</v>
      </c>
      <c r="C15" t="s">
        <v>34</v>
      </c>
      <c r="D15" t="s">
        <v>25</v>
      </c>
      <c r="E15">
        <v>1</v>
      </c>
      <c r="F15" s="2" t="s">
        <v>76</v>
      </c>
    </row>
    <row r="16" spans="1:6" x14ac:dyDescent="0.3">
      <c r="A16">
        <v>1</v>
      </c>
      <c r="B16">
        <v>11</v>
      </c>
      <c r="C16" t="s">
        <v>34</v>
      </c>
      <c r="D16" t="s">
        <v>25</v>
      </c>
      <c r="E16">
        <v>1</v>
      </c>
      <c r="F16" s="2" t="s">
        <v>77</v>
      </c>
    </row>
    <row r="17" spans="1:6" x14ac:dyDescent="0.3">
      <c r="A17">
        <v>5</v>
      </c>
      <c r="B17">
        <v>11</v>
      </c>
      <c r="C17" t="s">
        <v>34</v>
      </c>
      <c r="D17" t="s">
        <v>25</v>
      </c>
      <c r="E17">
        <v>1</v>
      </c>
      <c r="F17" s="2" t="s">
        <v>78</v>
      </c>
    </row>
    <row r="18" spans="1:6" x14ac:dyDescent="0.3">
      <c r="A18">
        <v>3</v>
      </c>
      <c r="B18">
        <v>11</v>
      </c>
      <c r="C18" t="s">
        <v>34</v>
      </c>
      <c r="D18" t="s">
        <v>25</v>
      </c>
      <c r="E18">
        <v>1</v>
      </c>
      <c r="F18" s="2" t="s">
        <v>79</v>
      </c>
    </row>
    <row r="19" spans="1:6" x14ac:dyDescent="0.3">
      <c r="A19">
        <v>16</v>
      </c>
      <c r="B19">
        <v>11</v>
      </c>
      <c r="C19" t="s">
        <v>34</v>
      </c>
      <c r="D19" t="s">
        <v>25</v>
      </c>
      <c r="E19">
        <v>1</v>
      </c>
    </row>
    <row r="20" spans="1:6" x14ac:dyDescent="0.3">
      <c r="A20">
        <v>15</v>
      </c>
      <c r="B20">
        <v>12</v>
      </c>
      <c r="C20" t="s">
        <v>31</v>
      </c>
      <c r="D20" t="s">
        <v>25</v>
      </c>
      <c r="E20">
        <v>1</v>
      </c>
    </row>
    <row r="21" spans="1:6" x14ac:dyDescent="0.3">
      <c r="A21">
        <v>7</v>
      </c>
      <c r="B21">
        <v>12</v>
      </c>
      <c r="C21" t="s">
        <v>35</v>
      </c>
      <c r="D21" t="s">
        <v>25</v>
      </c>
      <c r="E21">
        <v>1</v>
      </c>
    </row>
    <row r="22" spans="1:6" x14ac:dyDescent="0.3">
      <c r="A22">
        <v>21</v>
      </c>
      <c r="B22">
        <v>1</v>
      </c>
      <c r="C22" t="s">
        <v>36</v>
      </c>
      <c r="D22" t="s">
        <v>44</v>
      </c>
      <c r="E22">
        <v>1</v>
      </c>
    </row>
    <row r="23" spans="1:6" x14ac:dyDescent="0.3">
      <c r="A23">
        <v>20</v>
      </c>
      <c r="B23">
        <v>3</v>
      </c>
      <c r="C23" t="s">
        <v>37</v>
      </c>
      <c r="D23" t="s">
        <v>44</v>
      </c>
      <c r="E23">
        <v>1</v>
      </c>
    </row>
    <row r="24" spans="1:6" x14ac:dyDescent="0.3">
      <c r="A24">
        <v>20</v>
      </c>
      <c r="B24">
        <v>10</v>
      </c>
      <c r="C24" t="s">
        <v>38</v>
      </c>
      <c r="D24" t="s">
        <v>44</v>
      </c>
      <c r="E24">
        <v>1</v>
      </c>
    </row>
    <row r="25" spans="1:6" x14ac:dyDescent="0.3">
      <c r="A25">
        <v>20</v>
      </c>
      <c r="B25">
        <v>4</v>
      </c>
      <c r="C25" t="s">
        <v>39</v>
      </c>
      <c r="D25" t="s">
        <v>44</v>
      </c>
      <c r="E25">
        <v>1</v>
      </c>
    </row>
    <row r="26" spans="1:6" x14ac:dyDescent="0.3">
      <c r="A26">
        <v>20</v>
      </c>
      <c r="B26">
        <v>6</v>
      </c>
      <c r="C26" t="s">
        <v>39</v>
      </c>
      <c r="D26" t="s">
        <v>44</v>
      </c>
      <c r="E26">
        <v>1</v>
      </c>
    </row>
    <row r="27" spans="1:6" x14ac:dyDescent="0.3">
      <c r="A27">
        <v>20</v>
      </c>
      <c r="B27">
        <v>5</v>
      </c>
      <c r="C27" t="s">
        <v>39</v>
      </c>
      <c r="D27" t="s">
        <v>44</v>
      </c>
      <c r="E27">
        <v>1</v>
      </c>
    </row>
    <row r="28" spans="1:6" x14ac:dyDescent="0.3">
      <c r="A28">
        <v>20</v>
      </c>
      <c r="B28">
        <v>2</v>
      </c>
      <c r="C28" t="s">
        <v>39</v>
      </c>
      <c r="D28" t="s">
        <v>44</v>
      </c>
      <c r="E28">
        <v>1</v>
      </c>
    </row>
    <row r="29" spans="1:6" x14ac:dyDescent="0.3">
      <c r="A29">
        <v>20</v>
      </c>
      <c r="B29">
        <v>7</v>
      </c>
      <c r="C29" t="s">
        <v>39</v>
      </c>
      <c r="D29" t="s">
        <v>44</v>
      </c>
      <c r="E29">
        <v>1</v>
      </c>
    </row>
    <row r="30" spans="1:6" x14ac:dyDescent="0.3">
      <c r="A30">
        <v>20</v>
      </c>
      <c r="B30">
        <v>13</v>
      </c>
      <c r="C30" t="s">
        <v>39</v>
      </c>
      <c r="D30" t="s">
        <v>44</v>
      </c>
      <c r="E30">
        <v>1</v>
      </c>
    </row>
    <row r="31" spans="1:6" x14ac:dyDescent="0.3">
      <c r="A31">
        <v>20</v>
      </c>
      <c r="B31">
        <v>8</v>
      </c>
      <c r="C31" t="s">
        <v>39</v>
      </c>
      <c r="D31" t="s">
        <v>44</v>
      </c>
      <c r="E31">
        <v>1</v>
      </c>
    </row>
    <row r="32" spans="1:6" x14ac:dyDescent="0.3">
      <c r="A32">
        <v>20</v>
      </c>
      <c r="B32">
        <v>1</v>
      </c>
      <c r="C32" t="s">
        <v>39</v>
      </c>
      <c r="D32" t="s">
        <v>44</v>
      </c>
      <c r="E32">
        <v>1</v>
      </c>
    </row>
    <row r="33" spans="1:5" x14ac:dyDescent="0.3">
      <c r="A33">
        <v>9</v>
      </c>
      <c r="B33">
        <v>4</v>
      </c>
      <c r="C33" t="s">
        <v>39</v>
      </c>
      <c r="D33" t="s">
        <v>25</v>
      </c>
      <c r="E33">
        <v>1</v>
      </c>
    </row>
    <row r="34" spans="1:5" x14ac:dyDescent="0.3">
      <c r="A34">
        <v>9</v>
      </c>
      <c r="B34">
        <v>3</v>
      </c>
      <c r="C34" t="s">
        <v>40</v>
      </c>
      <c r="D34" t="s">
        <v>25</v>
      </c>
      <c r="E34">
        <v>1</v>
      </c>
    </row>
    <row r="35" spans="1:5" x14ac:dyDescent="0.3">
      <c r="A35">
        <v>9</v>
      </c>
      <c r="B35">
        <v>6</v>
      </c>
      <c r="C35" t="s">
        <v>41</v>
      </c>
      <c r="D35" t="s">
        <v>25</v>
      </c>
      <c r="E35">
        <v>1</v>
      </c>
    </row>
    <row r="36" spans="1:5" x14ac:dyDescent="0.3">
      <c r="A36">
        <v>9</v>
      </c>
      <c r="B36">
        <v>9</v>
      </c>
      <c r="C36" t="s">
        <v>42</v>
      </c>
      <c r="D36" t="s">
        <v>25</v>
      </c>
      <c r="E36">
        <v>1</v>
      </c>
    </row>
  </sheetData>
  <hyperlinks>
    <hyperlink ref="F14" r:id="rId1"/>
    <hyperlink ref="F15" r:id="rId2"/>
    <hyperlink ref="F16" r:id="rId3"/>
    <hyperlink ref="F17" r:id="rId4"/>
    <hyperlink ref="F18" r:id="rId5"/>
  </hyperlink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15"/>
  <sheetViews>
    <sheetView workbookViewId="0">
      <selection activeCell="A2" sqref="A2"/>
    </sheetView>
  </sheetViews>
  <sheetFormatPr baseColWidth="10" defaultRowHeight="14.4" x14ac:dyDescent="0.3"/>
  <cols>
    <col min="1" max="1" width="12.33203125" bestFit="1" customWidth="1"/>
    <col min="2" max="2" width="20.33203125" bestFit="1" customWidth="1"/>
  </cols>
  <sheetData>
    <row r="1" spans="1:3" x14ac:dyDescent="0.3">
      <c r="A1" t="s">
        <v>142</v>
      </c>
      <c r="B1" t="s">
        <v>141</v>
      </c>
    </row>
    <row r="2" spans="1:3" x14ac:dyDescent="0.3">
      <c r="A2">
        <v>1</v>
      </c>
      <c r="B2" s="3" t="s">
        <v>99</v>
      </c>
      <c r="C2">
        <f>+A2</f>
        <v>1</v>
      </c>
    </row>
    <row r="3" spans="1:3" x14ac:dyDescent="0.3">
      <c r="A3">
        <v>2</v>
      </c>
      <c r="B3" s="3" t="s">
        <v>91</v>
      </c>
      <c r="C3">
        <f t="shared" ref="C3:C15" si="0">+A3</f>
        <v>2</v>
      </c>
    </row>
    <row r="4" spans="1:3" x14ac:dyDescent="0.3">
      <c r="A4">
        <v>3</v>
      </c>
      <c r="B4" s="3" t="s">
        <v>95</v>
      </c>
      <c r="C4">
        <f t="shared" si="0"/>
        <v>3</v>
      </c>
    </row>
    <row r="5" spans="1:3" x14ac:dyDescent="0.3">
      <c r="A5">
        <v>4</v>
      </c>
      <c r="B5" s="3" t="s">
        <v>88</v>
      </c>
      <c r="C5">
        <f t="shared" si="0"/>
        <v>4</v>
      </c>
    </row>
    <row r="6" spans="1:3" x14ac:dyDescent="0.3">
      <c r="A6">
        <v>5</v>
      </c>
      <c r="B6" s="3" t="s">
        <v>90</v>
      </c>
      <c r="C6">
        <f t="shared" si="0"/>
        <v>5</v>
      </c>
    </row>
    <row r="7" spans="1:3" x14ac:dyDescent="0.3">
      <c r="A7">
        <v>6</v>
      </c>
      <c r="B7" s="3" t="s">
        <v>89</v>
      </c>
      <c r="C7">
        <f t="shared" si="0"/>
        <v>6</v>
      </c>
    </row>
    <row r="8" spans="1:3" x14ac:dyDescent="0.3">
      <c r="A8">
        <v>7</v>
      </c>
      <c r="B8" s="3" t="s">
        <v>93</v>
      </c>
      <c r="C8">
        <f t="shared" si="0"/>
        <v>7</v>
      </c>
    </row>
    <row r="9" spans="1:3" x14ac:dyDescent="0.3">
      <c r="A9">
        <v>8</v>
      </c>
      <c r="B9" s="3" t="s">
        <v>92</v>
      </c>
      <c r="C9">
        <f t="shared" si="0"/>
        <v>8</v>
      </c>
    </row>
    <row r="10" spans="1:3" x14ac:dyDescent="0.3">
      <c r="A10">
        <v>9</v>
      </c>
      <c r="B10" s="3" t="s">
        <v>94</v>
      </c>
      <c r="C10">
        <f t="shared" si="0"/>
        <v>9</v>
      </c>
    </row>
    <row r="11" spans="1:3" x14ac:dyDescent="0.3">
      <c r="A11">
        <v>10</v>
      </c>
      <c r="B11" s="3" t="s">
        <v>87</v>
      </c>
      <c r="C11">
        <f t="shared" si="0"/>
        <v>10</v>
      </c>
    </row>
    <row r="12" spans="1:3" x14ac:dyDescent="0.3">
      <c r="A12">
        <v>11</v>
      </c>
      <c r="B12" s="3" t="s">
        <v>113</v>
      </c>
      <c r="C12">
        <f t="shared" si="0"/>
        <v>11</v>
      </c>
    </row>
    <row r="13" spans="1:3" x14ac:dyDescent="0.3">
      <c r="A13">
        <v>12</v>
      </c>
      <c r="B13" s="3" t="s">
        <v>83</v>
      </c>
      <c r="C13">
        <f t="shared" si="0"/>
        <v>12</v>
      </c>
    </row>
    <row r="14" spans="1:3" x14ac:dyDescent="0.3">
      <c r="A14">
        <v>13</v>
      </c>
      <c r="B14" s="3" t="s">
        <v>101</v>
      </c>
      <c r="C14">
        <f t="shared" si="0"/>
        <v>13</v>
      </c>
    </row>
    <row r="15" spans="1:3" x14ac:dyDescent="0.3">
      <c r="A15">
        <v>14</v>
      </c>
      <c r="B15" s="3" t="s">
        <v>100</v>
      </c>
      <c r="C15">
        <f t="shared" si="0"/>
        <v>14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22"/>
  <sheetViews>
    <sheetView workbookViewId="0">
      <selection activeCell="E6" sqref="E6"/>
    </sheetView>
  </sheetViews>
  <sheetFormatPr baseColWidth="10" defaultRowHeight="14.4" x14ac:dyDescent="0.3"/>
  <cols>
    <col min="2" max="2" width="33.5546875" bestFit="1" customWidth="1"/>
    <col min="3" max="3" width="12.77734375" bestFit="1" customWidth="1"/>
    <col min="4" max="4" width="13.77734375" bestFit="1" customWidth="1"/>
    <col min="5" max="5" width="7.6640625" bestFit="1" customWidth="1"/>
  </cols>
  <sheetData>
    <row r="1" spans="1:5" x14ac:dyDescent="0.3">
      <c r="A1" t="s">
        <v>96</v>
      </c>
      <c r="B1" s="1" t="s">
        <v>109</v>
      </c>
      <c r="C1" s="1" t="s">
        <v>122</v>
      </c>
      <c r="D1" s="1" t="s">
        <v>124</v>
      </c>
      <c r="E1" s="1" t="s">
        <v>6</v>
      </c>
    </row>
    <row r="2" spans="1:5" x14ac:dyDescent="0.3">
      <c r="A2">
        <v>1</v>
      </c>
      <c r="B2" s="3" t="s">
        <v>125</v>
      </c>
      <c r="C2">
        <f>+VLOOKUP(A2,Sheet1_old!C:I,7,FALSE)</f>
        <v>6</v>
      </c>
      <c r="D2" t="s">
        <v>73</v>
      </c>
      <c r="E2" t="s">
        <v>63</v>
      </c>
    </row>
    <row r="3" spans="1:5" x14ac:dyDescent="0.3">
      <c r="A3">
        <v>2</v>
      </c>
      <c r="B3" s="3" t="s">
        <v>12</v>
      </c>
      <c r="C3">
        <f>+VLOOKUP(A3,Sheet1_old!C:I,7,FALSE)</f>
        <v>1</v>
      </c>
      <c r="D3" t="str">
        <f>+D2</f>
        <v>n</v>
      </c>
      <c r="E3" t="str">
        <f>+E2</f>
        <v>usd</v>
      </c>
    </row>
    <row r="4" spans="1:5" x14ac:dyDescent="0.3">
      <c r="A4">
        <v>3</v>
      </c>
      <c r="B4" s="3" t="s">
        <v>126</v>
      </c>
      <c r="C4">
        <f>+VLOOKUP(A4,Sheet1_old!C:I,7,FALSE)</f>
        <v>6</v>
      </c>
      <c r="D4" t="str">
        <f>+D3</f>
        <v>n</v>
      </c>
      <c r="E4" t="str">
        <f>+E3</f>
        <v>usd</v>
      </c>
    </row>
    <row r="5" spans="1:5" x14ac:dyDescent="0.3">
      <c r="A5">
        <v>4</v>
      </c>
      <c r="B5" s="3" t="s">
        <v>15</v>
      </c>
      <c r="C5">
        <f>+VLOOKUP(A5,Sheet1_old!C:I,7,FALSE)</f>
        <v>1</v>
      </c>
      <c r="D5" t="str">
        <f>+D4</f>
        <v>n</v>
      </c>
      <c r="E5" t="s">
        <v>64</v>
      </c>
    </row>
    <row r="6" spans="1:5" x14ac:dyDescent="0.3">
      <c r="A6">
        <v>5</v>
      </c>
      <c r="B6" s="3" t="s">
        <v>127</v>
      </c>
      <c r="C6">
        <f>+VLOOKUP(A6,Sheet1_old!C:I,7,FALSE)</f>
        <v>6</v>
      </c>
      <c r="D6" t="str">
        <f>+D5</f>
        <v>n</v>
      </c>
      <c r="E6" t="s">
        <v>63</v>
      </c>
    </row>
    <row r="7" spans="1:5" x14ac:dyDescent="0.3">
      <c r="A7">
        <v>6</v>
      </c>
      <c r="B7" s="3" t="s">
        <v>85</v>
      </c>
      <c r="C7">
        <f>+VLOOKUP(A7,Sheet1_old!C:I,7,FALSE)</f>
        <v>7</v>
      </c>
      <c r="D7" t="s">
        <v>73</v>
      </c>
      <c r="E7" t="s">
        <v>64</v>
      </c>
    </row>
    <row r="8" spans="1:5" x14ac:dyDescent="0.3">
      <c r="A8">
        <v>7</v>
      </c>
      <c r="B8" s="3" t="s">
        <v>23</v>
      </c>
      <c r="C8">
        <f>+VLOOKUP(A8,Sheet1_old!C:I,7,FALSE)</f>
        <v>4</v>
      </c>
      <c r="D8" t="str">
        <f>+D7</f>
        <v>n</v>
      </c>
      <c r="E8" t="s">
        <v>128</v>
      </c>
    </row>
    <row r="9" spans="1:5" x14ac:dyDescent="0.3">
      <c r="A9">
        <v>8</v>
      </c>
      <c r="B9" s="3" t="s">
        <v>129</v>
      </c>
      <c r="C9">
        <f>+VLOOKUP(A9,Sheet1_old!C:I,7,FALSE)</f>
        <v>6</v>
      </c>
      <c r="D9" t="str">
        <f>+D8</f>
        <v>n</v>
      </c>
      <c r="E9" t="s">
        <v>63</v>
      </c>
    </row>
    <row r="10" spans="1:5" x14ac:dyDescent="0.3">
      <c r="A10">
        <v>9</v>
      </c>
      <c r="B10" s="3" t="s">
        <v>14</v>
      </c>
      <c r="C10">
        <f>+VLOOKUP(A10,Sheet1_old!C:I,7,FALSE)</f>
        <v>4</v>
      </c>
      <c r="D10" t="s">
        <v>73</v>
      </c>
      <c r="E10" t="s">
        <v>128</v>
      </c>
    </row>
    <row r="11" spans="1:5" x14ac:dyDescent="0.3">
      <c r="A11">
        <v>10</v>
      </c>
      <c r="B11" s="3" t="s">
        <v>105</v>
      </c>
      <c r="C11">
        <f>+VLOOKUP(A11,Sheet1_old!C:I,7,FALSE)</f>
        <v>2</v>
      </c>
      <c r="D11" t="s">
        <v>73</v>
      </c>
      <c r="E11" t="s">
        <v>63</v>
      </c>
    </row>
    <row r="12" spans="1:5" x14ac:dyDescent="0.3">
      <c r="A12">
        <v>11</v>
      </c>
      <c r="B12" s="3" t="s">
        <v>108</v>
      </c>
      <c r="C12">
        <f>+VLOOKUP(A12,Sheet1_old!C:I,7,FALSE)</f>
        <v>2</v>
      </c>
      <c r="D12" t="s">
        <v>73</v>
      </c>
      <c r="E12" t="s">
        <v>63</v>
      </c>
    </row>
    <row r="13" spans="1:5" x14ac:dyDescent="0.3">
      <c r="A13">
        <v>12</v>
      </c>
      <c r="B13" s="3" t="s">
        <v>104</v>
      </c>
      <c r="C13">
        <f>+VLOOKUP(A13,Sheet1_old!C:I,7,FALSE)</f>
        <v>3</v>
      </c>
      <c r="D13" t="s">
        <v>73</v>
      </c>
      <c r="E13" t="s">
        <v>63</v>
      </c>
    </row>
    <row r="14" spans="1:5" x14ac:dyDescent="0.3">
      <c r="A14">
        <v>13</v>
      </c>
      <c r="B14" s="3" t="s">
        <v>107</v>
      </c>
      <c r="C14">
        <f>+VLOOKUP(A14,Sheet1_old!C:I,7,FALSE)</f>
        <v>3</v>
      </c>
      <c r="D14" t="s">
        <v>73</v>
      </c>
      <c r="E14" t="s">
        <v>63</v>
      </c>
    </row>
    <row r="15" spans="1:5" x14ac:dyDescent="0.3">
      <c r="A15">
        <v>14</v>
      </c>
      <c r="B15" s="3" t="s">
        <v>106</v>
      </c>
      <c r="C15">
        <f>+VLOOKUP(A15,Sheet1_old!C:I,7,FALSE)</f>
        <v>2</v>
      </c>
      <c r="D15" t="s">
        <v>73</v>
      </c>
      <c r="E15" t="s">
        <v>63</v>
      </c>
    </row>
    <row r="16" spans="1:5" x14ac:dyDescent="0.3">
      <c r="A16">
        <v>15</v>
      </c>
      <c r="B16" s="3" t="s">
        <v>22</v>
      </c>
      <c r="C16">
        <f>+VLOOKUP(A16,Sheet1_old!C:I,7,FALSE)</f>
        <v>5</v>
      </c>
      <c r="D16" t="s">
        <v>74</v>
      </c>
      <c r="E16" t="s">
        <v>128</v>
      </c>
    </row>
    <row r="17" spans="1:5" x14ac:dyDescent="0.3">
      <c r="A17">
        <v>16</v>
      </c>
      <c r="B17" s="3" t="s">
        <v>21</v>
      </c>
      <c r="C17">
        <f>+VLOOKUP(A17,Sheet1_old!C:I,7,FALSE)</f>
        <v>6</v>
      </c>
      <c r="D17" t="s">
        <v>73</v>
      </c>
      <c r="E17" t="s">
        <v>63</v>
      </c>
    </row>
    <row r="18" spans="1:5" x14ac:dyDescent="0.3">
      <c r="A18">
        <v>17</v>
      </c>
      <c r="B18" s="3" t="s">
        <v>130</v>
      </c>
      <c r="C18">
        <f>+VLOOKUP(A18,Sheet1_old!C:I,7,FALSE)</f>
        <v>6</v>
      </c>
      <c r="D18" t="s">
        <v>73</v>
      </c>
      <c r="E18" t="s">
        <v>63</v>
      </c>
    </row>
    <row r="19" spans="1:5" x14ac:dyDescent="0.3">
      <c r="A19">
        <v>18</v>
      </c>
      <c r="B19" s="3" t="s">
        <v>11</v>
      </c>
      <c r="C19">
        <f>+VLOOKUP(A19,Sheet1_old!C:I,7,FALSE)</f>
        <v>1</v>
      </c>
      <c r="D19" t="s">
        <v>73</v>
      </c>
      <c r="E19" t="s">
        <v>63</v>
      </c>
    </row>
    <row r="20" spans="1:5" x14ac:dyDescent="0.3">
      <c r="A20">
        <v>19</v>
      </c>
      <c r="B20" s="3" t="s">
        <v>13</v>
      </c>
      <c r="C20">
        <f>+VLOOKUP(A20,Sheet1_old!C:I,7,FALSE)</f>
        <v>1</v>
      </c>
      <c r="D20" t="s">
        <v>73</v>
      </c>
      <c r="E20" t="s">
        <v>63</v>
      </c>
    </row>
    <row r="21" spans="1:5" x14ac:dyDescent="0.3">
      <c r="A21">
        <v>20</v>
      </c>
      <c r="B21" s="3" t="s">
        <v>84</v>
      </c>
      <c r="C21">
        <f>+VLOOKUP(A21,Sheet1_old!C:I,7,FALSE)</f>
        <v>7</v>
      </c>
      <c r="D21" t="s">
        <v>73</v>
      </c>
      <c r="E21" t="s">
        <v>128</v>
      </c>
    </row>
    <row r="22" spans="1:5" x14ac:dyDescent="0.3">
      <c r="A22">
        <v>21</v>
      </c>
      <c r="B22" s="3" t="s">
        <v>97</v>
      </c>
      <c r="C22">
        <f>+VLOOKUP(A22,Sheet1_old!C:I,7,FALSE)</f>
        <v>7</v>
      </c>
      <c r="D22" t="s">
        <v>73</v>
      </c>
      <c r="E22" t="s">
        <v>128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18"/>
  <sheetViews>
    <sheetView workbookViewId="0">
      <selection activeCell="B15" sqref="B15"/>
    </sheetView>
  </sheetViews>
  <sheetFormatPr baseColWidth="10" defaultRowHeight="14.4" x14ac:dyDescent="0.3"/>
  <cols>
    <col min="2" max="2" width="12.77734375" bestFit="1" customWidth="1"/>
  </cols>
  <sheetData>
    <row r="1" spans="1:2" x14ac:dyDescent="0.3">
      <c r="A1" t="s">
        <v>131</v>
      </c>
      <c r="B1" t="s">
        <v>137</v>
      </c>
    </row>
    <row r="2" spans="1:2" x14ac:dyDescent="0.3">
      <c r="A2">
        <v>2</v>
      </c>
      <c r="B2">
        <v>12</v>
      </c>
    </row>
    <row r="3" spans="1:2" x14ac:dyDescent="0.3">
      <c r="A3">
        <f>+A2</f>
        <v>2</v>
      </c>
      <c r="B3">
        <v>12</v>
      </c>
    </row>
    <row r="4" spans="1:2" x14ac:dyDescent="0.3">
      <c r="A4">
        <f t="shared" ref="A4:A14" si="0">+A3</f>
        <v>2</v>
      </c>
      <c r="B4">
        <v>1</v>
      </c>
    </row>
    <row r="5" spans="1:2" x14ac:dyDescent="0.3">
      <c r="A5">
        <f t="shared" si="0"/>
        <v>2</v>
      </c>
      <c r="B5">
        <v>3</v>
      </c>
    </row>
    <row r="6" spans="1:2" x14ac:dyDescent="0.3">
      <c r="A6">
        <f t="shared" si="0"/>
        <v>2</v>
      </c>
      <c r="B6">
        <v>10</v>
      </c>
    </row>
    <row r="7" spans="1:2" x14ac:dyDescent="0.3">
      <c r="A7">
        <f t="shared" si="0"/>
        <v>2</v>
      </c>
      <c r="B7">
        <v>4</v>
      </c>
    </row>
    <row r="8" spans="1:2" x14ac:dyDescent="0.3">
      <c r="A8">
        <f t="shared" si="0"/>
        <v>2</v>
      </c>
      <c r="B8">
        <v>6</v>
      </c>
    </row>
    <row r="9" spans="1:2" x14ac:dyDescent="0.3">
      <c r="A9">
        <f t="shared" si="0"/>
        <v>2</v>
      </c>
      <c r="B9">
        <v>5</v>
      </c>
    </row>
    <row r="10" spans="1:2" x14ac:dyDescent="0.3">
      <c r="A10">
        <f t="shared" si="0"/>
        <v>2</v>
      </c>
      <c r="B10">
        <v>2</v>
      </c>
    </row>
    <row r="11" spans="1:2" x14ac:dyDescent="0.3">
      <c r="A11">
        <f t="shared" si="0"/>
        <v>2</v>
      </c>
      <c r="B11">
        <v>7</v>
      </c>
    </row>
    <row r="12" spans="1:2" x14ac:dyDescent="0.3">
      <c r="A12">
        <f t="shared" si="0"/>
        <v>2</v>
      </c>
      <c r="B12">
        <v>13</v>
      </c>
    </row>
    <row r="13" spans="1:2" x14ac:dyDescent="0.3">
      <c r="A13">
        <f t="shared" si="0"/>
        <v>2</v>
      </c>
      <c r="B13">
        <v>8</v>
      </c>
    </row>
    <row r="14" spans="1:2" x14ac:dyDescent="0.3">
      <c r="A14">
        <f t="shared" si="0"/>
        <v>2</v>
      </c>
      <c r="B14">
        <v>1</v>
      </c>
    </row>
    <row r="15" spans="1:2" x14ac:dyDescent="0.3">
      <c r="A15">
        <v>3</v>
      </c>
    </row>
    <row r="16" spans="1:2" x14ac:dyDescent="0.3">
      <c r="A16">
        <f>+A15</f>
        <v>3</v>
      </c>
    </row>
    <row r="17" spans="1:1" x14ac:dyDescent="0.3">
      <c r="A17">
        <f>+A16</f>
        <v>3</v>
      </c>
    </row>
    <row r="18" spans="1:1" x14ac:dyDescent="0.3">
      <c r="A18">
        <f>+A17</f>
        <v>3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5"/>
  <sheetViews>
    <sheetView workbookViewId="0">
      <selection activeCell="C5" sqref="C5"/>
    </sheetView>
  </sheetViews>
  <sheetFormatPr baseColWidth="10" defaultRowHeight="14.4" x14ac:dyDescent="0.3"/>
  <cols>
    <col min="2" max="2" width="46.44140625" bestFit="1" customWidth="1"/>
    <col min="3" max="3" width="17.6640625" bestFit="1" customWidth="1"/>
  </cols>
  <sheetData>
    <row r="1" spans="1:3" x14ac:dyDescent="0.3">
      <c r="A1" t="s">
        <v>131</v>
      </c>
      <c r="B1" t="s">
        <v>136</v>
      </c>
      <c r="C1" t="s">
        <v>138</v>
      </c>
    </row>
    <row r="2" spans="1:3" x14ac:dyDescent="0.3">
      <c r="A2">
        <v>1</v>
      </c>
      <c r="B2" t="s">
        <v>132</v>
      </c>
      <c r="C2" t="s">
        <v>139</v>
      </c>
    </row>
    <row r="3" spans="1:3" x14ac:dyDescent="0.3">
      <c r="A3">
        <v>2</v>
      </c>
      <c r="B3" t="s">
        <v>133</v>
      </c>
      <c r="C3" t="s">
        <v>140</v>
      </c>
    </row>
    <row r="4" spans="1:3" x14ac:dyDescent="0.3">
      <c r="A4">
        <v>3</v>
      </c>
      <c r="B4" t="s">
        <v>134</v>
      </c>
      <c r="C4" t="s">
        <v>140</v>
      </c>
    </row>
    <row r="5" spans="1:3" x14ac:dyDescent="0.3">
      <c r="A5">
        <v>4</v>
      </c>
      <c r="B5" t="s">
        <v>135</v>
      </c>
      <c r="C5" t="s">
        <v>139</v>
      </c>
    </row>
  </sheetData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8</vt:i4>
      </vt:variant>
    </vt:vector>
  </HeadingPairs>
  <TitlesOfParts>
    <vt:vector size="8" baseType="lpstr">
      <vt:lpstr>sub_familia</vt:lpstr>
      <vt:lpstr>familia</vt:lpstr>
      <vt:lpstr>Sheet1_old</vt:lpstr>
      <vt:lpstr>maestro</vt:lpstr>
      <vt:lpstr>pais_grupo</vt:lpstr>
      <vt:lpstr>variables</vt:lpstr>
      <vt:lpstr>filtros_graph_pais</vt:lpstr>
      <vt:lpstr>graph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>Joaquin Forrisi</cp:lastModifiedBy>
  <dcterms:created xsi:type="dcterms:W3CDTF">2026-01-22T01:08:46Z</dcterms:created>
  <dcterms:modified xsi:type="dcterms:W3CDTF">2026-02-02T23:38:38Z</dcterms:modified>
</cp:coreProperties>
</file>