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forrisi\Desktop\desarrollos\gita\"/>
    </mc:Choice>
  </mc:AlternateContent>
  <bookViews>
    <workbookView xWindow="240" yWindow="12" windowWidth="16092" windowHeight="9660"/>
  </bookViews>
  <sheets>
    <sheet name="maestro" sheetId="1" r:id="rId1"/>
  </sheets>
  <calcPr calcId="162913"/>
</workbook>
</file>

<file path=xl/calcChain.xml><?xml version="1.0" encoding="utf-8"?>
<calcChain xmlns="http://schemas.openxmlformats.org/spreadsheetml/2006/main">
  <c r="G16" i="1" l="1"/>
  <c r="G17" i="1" s="1"/>
  <c r="G18" i="1" s="1"/>
  <c r="G19" i="1" s="1"/>
  <c r="G20" i="1" s="1"/>
  <c r="G21" i="1" s="1"/>
  <c r="G15" i="1"/>
  <c r="J12" i="1"/>
  <c r="J7" i="1"/>
  <c r="J8" i="1" s="1"/>
</calcChain>
</file>

<file path=xl/sharedStrings.xml><?xml version="1.0" encoding="utf-8"?>
<sst xmlns="http://schemas.openxmlformats.org/spreadsheetml/2006/main" count="190" uniqueCount="76">
  <si>
    <t>id</t>
  </si>
  <si>
    <t>nombre</t>
  </si>
  <si>
    <t>tipo</t>
  </si>
  <si>
    <t>fuente</t>
  </si>
  <si>
    <t>periodicidad</t>
  </si>
  <si>
    <t>unidad</t>
  </si>
  <si>
    <t>categoria</t>
  </si>
  <si>
    <t>activo</t>
  </si>
  <si>
    <t>moneda</t>
  </si>
  <si>
    <t>nominal_real</t>
  </si>
  <si>
    <t>es_cotizacion</t>
  </si>
  <si>
    <t>Precio hacienda</t>
  </si>
  <si>
    <t>Leche en polvo</t>
  </si>
  <si>
    <t>Queso</t>
  </si>
  <si>
    <t>Precio leche productor</t>
  </si>
  <si>
    <t>Precio carne export</t>
  </si>
  <si>
    <t>Tipo de cambio USD/UYU (promedio compra-venta)</t>
  </si>
  <si>
    <t>Tipo de cambio EUR/UYU (promedio compra-venta)</t>
  </si>
  <si>
    <t>Soja</t>
  </si>
  <si>
    <t>Arroz</t>
  </si>
  <si>
    <t>Trigo</t>
  </si>
  <si>
    <t>IPC</t>
  </si>
  <si>
    <t>Celulosa -indice-</t>
  </si>
  <si>
    <t>Software</t>
  </si>
  <si>
    <t>Ingeniería</t>
  </si>
  <si>
    <t>Arquitectura</t>
  </si>
  <si>
    <t>Contabilidad (CPA)</t>
  </si>
  <si>
    <t>Bookkeeping / payroll</t>
  </si>
  <si>
    <t>Servicios no tradicionales - sin software</t>
  </si>
  <si>
    <t>Salario real</t>
  </si>
  <si>
    <t>Gasoil</t>
  </si>
  <si>
    <t>Tipo de cambio USD/ARS (Argentina - Dólar CCL)</t>
  </si>
  <si>
    <t>Tipo de cambio USD/BRL (Brasil)</t>
  </si>
  <si>
    <t>Tipo de cambio USD/PEN (Perú - TC Interbancario Venta)</t>
  </si>
  <si>
    <t>Tipo de cambio USD/CLP (Chile - Dólar Observado)</t>
  </si>
  <si>
    <t>P</t>
  </si>
  <si>
    <t>M</t>
  </si>
  <si>
    <t>S</t>
  </si>
  <si>
    <t>INAC – serie mensual precios de hacienda</t>
  </si>
  <si>
    <t>INALE – Exportación leche en polvo entera</t>
  </si>
  <si>
    <t>INALE – Exportación queso</t>
  </si>
  <si>
    <t>INALE – Precio leche en tambo y composición</t>
  </si>
  <si>
    <t>INE</t>
  </si>
  <si>
    <t>WorldBank_CMO</t>
  </si>
  <si>
    <t>INSEE - serie 010600341 (Producer Price Index - Pulp)</t>
  </si>
  <si>
    <t>BLS</t>
  </si>
  <si>
    <t>ANCAP</t>
  </si>
  <si>
    <t>Rava_Scraping</t>
  </si>
  <si>
    <t>BCB_API_PTAX</t>
  </si>
  <si>
    <t>BCRP_API</t>
  </si>
  <si>
    <t>BCCH_API</t>
  </si>
  <si>
    <t>W</t>
  </si>
  <si>
    <t>D</t>
  </si>
  <si>
    <t>USD/kg</t>
  </si>
  <si>
    <t>USD/ton</t>
  </si>
  <si>
    <t>UYU/litro</t>
  </si>
  <si>
    <t>UYU por USD</t>
  </si>
  <si>
    <t>UYU por EUR</t>
  </si>
  <si>
    <t>Indice</t>
  </si>
  <si>
    <t>$ por Litro</t>
  </si>
  <si>
    <t>ARS por USD</t>
  </si>
  <si>
    <t>BRL por USD</t>
  </si>
  <si>
    <t>PEN por USD</t>
  </si>
  <si>
    <t>CLP por USD</t>
  </si>
  <si>
    <t>Carne</t>
  </si>
  <si>
    <t>Lácteos</t>
  </si>
  <si>
    <t>Macro</t>
  </si>
  <si>
    <t>Granos</t>
  </si>
  <si>
    <t>Productos forestales</t>
  </si>
  <si>
    <t>Macro - Tipo de cambio</t>
  </si>
  <si>
    <t>usd</t>
  </si>
  <si>
    <t>eur</t>
  </si>
  <si>
    <t>uyu</t>
  </si>
  <si>
    <t>n</t>
  </si>
  <si>
    <t>r</t>
  </si>
  <si>
    <t>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</si>
</sst>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tabSelected="1" workbookViewId="0">
      <selection activeCell="C22" sqref="C22"/>
    </sheetView>
  </sheetViews>
  <sheetFormatPr baseColWidth="10" defaultColWidth="8.88671875"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t="s">
        <v>35</v>
      </c>
      <c r="D2" t="s">
        <v>38</v>
      </c>
      <c r="E2" t="s">
        <v>36</v>
      </c>
      <c r="F2" t="s">
        <v>53</v>
      </c>
      <c r="G2" t="s">
        <v>64</v>
      </c>
      <c r="H2">
        <v>1</v>
      </c>
      <c r="I2" t="s">
        <v>70</v>
      </c>
      <c r="J2" t="s">
        <v>73</v>
      </c>
      <c r="K2">
        <v>0</v>
      </c>
    </row>
    <row r="3" spans="1:11" x14ac:dyDescent="0.3">
      <c r="A3">
        <v>2</v>
      </c>
      <c r="B3" t="s">
        <v>12</v>
      </c>
      <c r="C3" t="s">
        <v>35</v>
      </c>
      <c r="D3" t="s">
        <v>39</v>
      </c>
      <c r="E3" t="s">
        <v>36</v>
      </c>
      <c r="F3" t="s">
        <v>54</v>
      </c>
      <c r="G3" t="s">
        <v>65</v>
      </c>
      <c r="H3">
        <v>1</v>
      </c>
      <c r="I3" t="s">
        <v>70</v>
      </c>
      <c r="J3" t="s">
        <v>73</v>
      </c>
      <c r="K3">
        <v>0</v>
      </c>
    </row>
    <row r="4" spans="1:11" x14ac:dyDescent="0.3">
      <c r="A4">
        <v>3</v>
      </c>
      <c r="B4" t="s">
        <v>13</v>
      </c>
      <c r="C4" t="s">
        <v>35</v>
      </c>
      <c r="D4" t="s">
        <v>40</v>
      </c>
      <c r="E4" t="s">
        <v>36</v>
      </c>
      <c r="F4" t="s">
        <v>54</v>
      </c>
      <c r="G4" t="s">
        <v>65</v>
      </c>
      <c r="H4">
        <v>1</v>
      </c>
      <c r="I4" t="s">
        <v>70</v>
      </c>
      <c r="J4" t="s">
        <v>73</v>
      </c>
      <c r="K4">
        <v>0</v>
      </c>
    </row>
    <row r="5" spans="1:11" x14ac:dyDescent="0.3">
      <c r="A5">
        <v>4</v>
      </c>
      <c r="B5" t="s">
        <v>14</v>
      </c>
      <c r="C5" t="s">
        <v>35</v>
      </c>
      <c r="D5" t="s">
        <v>41</v>
      </c>
      <c r="E5" t="s">
        <v>36</v>
      </c>
      <c r="F5" t="s">
        <v>55</v>
      </c>
      <c r="G5" t="s">
        <v>65</v>
      </c>
      <c r="H5">
        <v>1</v>
      </c>
      <c r="I5" t="s">
        <v>70</v>
      </c>
      <c r="J5" t="s">
        <v>73</v>
      </c>
      <c r="K5">
        <v>0</v>
      </c>
    </row>
    <row r="6" spans="1:11" x14ac:dyDescent="0.3">
      <c r="A6">
        <v>5</v>
      </c>
      <c r="B6" t="s">
        <v>15</v>
      </c>
      <c r="C6" t="s">
        <v>35</v>
      </c>
      <c r="D6" t="s">
        <v>41</v>
      </c>
      <c r="E6" t="s">
        <v>51</v>
      </c>
      <c r="F6" t="s">
        <v>54</v>
      </c>
      <c r="G6" t="s">
        <v>64</v>
      </c>
      <c r="H6">
        <v>1</v>
      </c>
      <c r="I6" t="s">
        <v>70</v>
      </c>
      <c r="J6" t="s">
        <v>73</v>
      </c>
      <c r="K6">
        <v>0</v>
      </c>
    </row>
    <row r="7" spans="1:11" x14ac:dyDescent="0.3">
      <c r="A7">
        <v>6</v>
      </c>
      <c r="B7" t="s">
        <v>16</v>
      </c>
      <c r="C7" t="s">
        <v>36</v>
      </c>
      <c r="D7" t="s">
        <v>42</v>
      </c>
      <c r="E7" t="s">
        <v>52</v>
      </c>
      <c r="F7" t="s">
        <v>56</v>
      </c>
      <c r="G7" t="s">
        <v>66</v>
      </c>
      <c r="H7">
        <v>1</v>
      </c>
      <c r="J7" t="str">
        <f>+J6</f>
        <v>n</v>
      </c>
      <c r="K7">
        <v>1</v>
      </c>
    </row>
    <row r="8" spans="1:11" x14ac:dyDescent="0.3">
      <c r="A8">
        <v>7</v>
      </c>
      <c r="B8" t="s">
        <v>17</v>
      </c>
      <c r="C8" t="s">
        <v>36</v>
      </c>
      <c r="D8" t="s">
        <v>42</v>
      </c>
      <c r="E8" t="s">
        <v>52</v>
      </c>
      <c r="F8" t="s">
        <v>57</v>
      </c>
      <c r="G8" t="s">
        <v>66</v>
      </c>
      <c r="H8">
        <v>1</v>
      </c>
      <c r="J8" t="str">
        <f>+J7</f>
        <v>n</v>
      </c>
      <c r="K8">
        <v>0</v>
      </c>
    </row>
    <row r="9" spans="1:11" x14ac:dyDescent="0.3">
      <c r="A9">
        <v>8</v>
      </c>
      <c r="B9" t="s">
        <v>18</v>
      </c>
      <c r="C9" t="s">
        <v>35</v>
      </c>
      <c r="D9" t="s">
        <v>43</v>
      </c>
      <c r="E9" t="s">
        <v>36</v>
      </c>
      <c r="F9" t="s">
        <v>54</v>
      </c>
      <c r="G9" t="s">
        <v>67</v>
      </c>
      <c r="H9">
        <v>1</v>
      </c>
      <c r="I9" t="s">
        <v>70</v>
      </c>
      <c r="J9" t="s">
        <v>73</v>
      </c>
      <c r="K9">
        <v>0</v>
      </c>
    </row>
    <row r="10" spans="1:11" x14ac:dyDescent="0.3">
      <c r="A10">
        <v>9</v>
      </c>
      <c r="B10" t="s">
        <v>19</v>
      </c>
      <c r="C10" t="s">
        <v>35</v>
      </c>
      <c r="D10" t="s">
        <v>43</v>
      </c>
      <c r="E10" t="s">
        <v>36</v>
      </c>
      <c r="F10" t="s">
        <v>54</v>
      </c>
      <c r="G10" t="s">
        <v>67</v>
      </c>
      <c r="H10">
        <v>1</v>
      </c>
      <c r="I10" t="s">
        <v>70</v>
      </c>
      <c r="J10" t="s">
        <v>73</v>
      </c>
      <c r="K10">
        <v>0</v>
      </c>
    </row>
    <row r="11" spans="1:11" x14ac:dyDescent="0.3">
      <c r="A11">
        <v>10</v>
      </c>
      <c r="B11" t="s">
        <v>20</v>
      </c>
      <c r="C11" t="s">
        <v>35</v>
      </c>
      <c r="D11" t="s">
        <v>43</v>
      </c>
      <c r="E11" t="s">
        <v>36</v>
      </c>
      <c r="F11" t="s">
        <v>54</v>
      </c>
      <c r="G11" t="s">
        <v>67</v>
      </c>
      <c r="H11">
        <v>1</v>
      </c>
      <c r="I11" t="s">
        <v>70</v>
      </c>
      <c r="J11" t="s">
        <v>73</v>
      </c>
      <c r="K11">
        <v>0</v>
      </c>
    </row>
    <row r="12" spans="1:11" x14ac:dyDescent="0.3">
      <c r="A12">
        <v>11</v>
      </c>
      <c r="B12" t="s">
        <v>21</v>
      </c>
      <c r="C12" t="s">
        <v>36</v>
      </c>
      <c r="D12" t="s">
        <v>42</v>
      </c>
      <c r="E12" t="s">
        <v>36</v>
      </c>
      <c r="F12" t="s">
        <v>58</v>
      </c>
      <c r="G12" t="s">
        <v>66</v>
      </c>
      <c r="H12">
        <v>1</v>
      </c>
      <c r="J12" t="str">
        <f>+J11</f>
        <v>n</v>
      </c>
      <c r="K12">
        <v>0</v>
      </c>
    </row>
    <row r="13" spans="1:11" x14ac:dyDescent="0.3">
      <c r="A13">
        <v>12</v>
      </c>
      <c r="B13" t="s">
        <v>22</v>
      </c>
      <c r="C13" t="s">
        <v>35</v>
      </c>
      <c r="D13" t="s">
        <v>44</v>
      </c>
      <c r="E13" t="s">
        <v>36</v>
      </c>
      <c r="F13" t="s">
        <v>58</v>
      </c>
      <c r="G13" t="s">
        <v>68</v>
      </c>
      <c r="H13">
        <v>1</v>
      </c>
      <c r="I13" t="s">
        <v>71</v>
      </c>
      <c r="J13" t="s">
        <v>73</v>
      </c>
      <c r="K13">
        <v>0</v>
      </c>
    </row>
    <row r="14" spans="1:11" x14ac:dyDescent="0.3">
      <c r="A14">
        <v>13</v>
      </c>
      <c r="B14" t="s">
        <v>23</v>
      </c>
      <c r="C14" t="s">
        <v>37</v>
      </c>
      <c r="D14" t="s">
        <v>45</v>
      </c>
      <c r="E14" t="s">
        <v>36</v>
      </c>
      <c r="F14" t="s">
        <v>58</v>
      </c>
      <c r="G14" t="s">
        <v>75</v>
      </c>
      <c r="H14">
        <v>1</v>
      </c>
      <c r="I14" t="s">
        <v>70</v>
      </c>
      <c r="J14" t="s">
        <v>73</v>
      </c>
      <c r="K14">
        <v>0</v>
      </c>
    </row>
    <row r="15" spans="1:11" x14ac:dyDescent="0.3">
      <c r="A15">
        <v>14</v>
      </c>
      <c r="B15" t="s">
        <v>24</v>
      </c>
      <c r="C15" t="s">
        <v>37</v>
      </c>
      <c r="D15" t="s">
        <v>45</v>
      </c>
      <c r="E15" t="s">
        <v>36</v>
      </c>
      <c r="F15" t="s">
        <v>58</v>
      </c>
      <c r="G15" t="str">
        <f>+G14</f>
        <v>Servicios</v>
      </c>
      <c r="H15">
        <v>1</v>
      </c>
      <c r="I15" t="s">
        <v>70</v>
      </c>
      <c r="J15" t="s">
        <v>73</v>
      </c>
      <c r="K15">
        <v>0</v>
      </c>
    </row>
    <row r="16" spans="1:11" x14ac:dyDescent="0.3">
      <c r="A16">
        <v>15</v>
      </c>
      <c r="B16" t="s">
        <v>25</v>
      </c>
      <c r="C16" t="s">
        <v>37</v>
      </c>
      <c r="D16" t="s">
        <v>45</v>
      </c>
      <c r="E16" t="s">
        <v>36</v>
      </c>
      <c r="F16" t="s">
        <v>58</v>
      </c>
      <c r="G16" t="str">
        <f t="shared" ref="G16:G21" si="0">+G15</f>
        <v>Servicios</v>
      </c>
      <c r="H16">
        <v>1</v>
      </c>
      <c r="I16" t="s">
        <v>70</v>
      </c>
      <c r="J16" t="s">
        <v>73</v>
      </c>
      <c r="K16">
        <v>0</v>
      </c>
    </row>
    <row r="17" spans="1:11" x14ac:dyDescent="0.3">
      <c r="A17">
        <v>16</v>
      </c>
      <c r="B17" t="s">
        <v>26</v>
      </c>
      <c r="C17" t="s">
        <v>37</v>
      </c>
      <c r="D17" t="s">
        <v>45</v>
      </c>
      <c r="E17" t="s">
        <v>36</v>
      </c>
      <c r="F17" t="s">
        <v>58</v>
      </c>
      <c r="G17" t="str">
        <f t="shared" si="0"/>
        <v>Servicios</v>
      </c>
      <c r="H17">
        <v>1</v>
      </c>
      <c r="I17" t="s">
        <v>70</v>
      </c>
      <c r="J17" t="s">
        <v>73</v>
      </c>
      <c r="K17">
        <v>0</v>
      </c>
    </row>
    <row r="18" spans="1:11" x14ac:dyDescent="0.3">
      <c r="A18">
        <v>17</v>
      </c>
      <c r="B18" t="s">
        <v>27</v>
      </c>
      <c r="C18" t="s">
        <v>37</v>
      </c>
      <c r="D18" t="s">
        <v>45</v>
      </c>
      <c r="E18" t="s">
        <v>36</v>
      </c>
      <c r="F18" t="s">
        <v>58</v>
      </c>
      <c r="G18" t="str">
        <f t="shared" si="0"/>
        <v>Servicios</v>
      </c>
      <c r="H18">
        <v>1</v>
      </c>
      <c r="I18" t="s">
        <v>70</v>
      </c>
      <c r="J18" t="s">
        <v>73</v>
      </c>
      <c r="K18">
        <v>0</v>
      </c>
    </row>
    <row r="19" spans="1:11" x14ac:dyDescent="0.3">
      <c r="A19">
        <v>18</v>
      </c>
      <c r="B19" t="s">
        <v>28</v>
      </c>
      <c r="C19" t="s">
        <v>37</v>
      </c>
      <c r="D19" t="s">
        <v>45</v>
      </c>
      <c r="E19" t="s">
        <v>36</v>
      </c>
      <c r="F19" t="s">
        <v>58</v>
      </c>
      <c r="G19" t="str">
        <f t="shared" si="0"/>
        <v>Servicios</v>
      </c>
      <c r="H19">
        <v>1</v>
      </c>
      <c r="I19" t="s">
        <v>70</v>
      </c>
      <c r="J19" t="s">
        <v>73</v>
      </c>
      <c r="K19">
        <v>0</v>
      </c>
    </row>
    <row r="20" spans="1:11" x14ac:dyDescent="0.3">
      <c r="A20">
        <v>19</v>
      </c>
      <c r="B20" t="s">
        <v>29</v>
      </c>
      <c r="C20" t="s">
        <v>36</v>
      </c>
      <c r="D20" t="s">
        <v>42</v>
      </c>
      <c r="E20" t="s">
        <v>36</v>
      </c>
      <c r="F20" t="s">
        <v>58</v>
      </c>
      <c r="G20" t="str">
        <f t="shared" si="0"/>
        <v>Servicios</v>
      </c>
      <c r="H20">
        <v>1</v>
      </c>
      <c r="I20" t="s">
        <v>72</v>
      </c>
      <c r="J20" t="s">
        <v>74</v>
      </c>
      <c r="K20">
        <v>0</v>
      </c>
    </row>
    <row r="21" spans="1:11" x14ac:dyDescent="0.3">
      <c r="A21">
        <v>20</v>
      </c>
      <c r="B21" t="s">
        <v>30</v>
      </c>
      <c r="C21" t="s">
        <v>36</v>
      </c>
      <c r="D21" t="s">
        <v>46</v>
      </c>
      <c r="E21" t="s">
        <v>36</v>
      </c>
      <c r="F21" t="s">
        <v>59</v>
      </c>
      <c r="G21" t="str">
        <f t="shared" si="0"/>
        <v>Servicios</v>
      </c>
      <c r="H21">
        <v>1</v>
      </c>
      <c r="I21" t="s">
        <v>72</v>
      </c>
      <c r="J21" t="s">
        <v>73</v>
      </c>
      <c r="K21">
        <v>0</v>
      </c>
    </row>
    <row r="22" spans="1:11" x14ac:dyDescent="0.3">
      <c r="A22">
        <v>22</v>
      </c>
      <c r="B22" t="s">
        <v>31</v>
      </c>
      <c r="C22" t="s">
        <v>36</v>
      </c>
      <c r="D22" t="s">
        <v>47</v>
      </c>
      <c r="E22" t="s">
        <v>52</v>
      </c>
      <c r="F22" t="s">
        <v>60</v>
      </c>
      <c r="G22" t="s">
        <v>69</v>
      </c>
      <c r="H22">
        <v>1</v>
      </c>
      <c r="I22" t="s">
        <v>70</v>
      </c>
      <c r="J22" t="s">
        <v>73</v>
      </c>
      <c r="K22">
        <v>1</v>
      </c>
    </row>
    <row r="23" spans="1:11" x14ac:dyDescent="0.3">
      <c r="A23">
        <v>23</v>
      </c>
      <c r="B23" t="s">
        <v>32</v>
      </c>
      <c r="C23" t="s">
        <v>36</v>
      </c>
      <c r="D23" t="s">
        <v>48</v>
      </c>
      <c r="E23" t="s">
        <v>52</v>
      </c>
      <c r="F23" t="s">
        <v>61</v>
      </c>
      <c r="G23" t="s">
        <v>69</v>
      </c>
      <c r="H23">
        <v>1</v>
      </c>
      <c r="I23" t="s">
        <v>70</v>
      </c>
      <c r="J23" t="s">
        <v>73</v>
      </c>
      <c r="K23">
        <v>1</v>
      </c>
    </row>
    <row r="24" spans="1:11" x14ac:dyDescent="0.3">
      <c r="A24">
        <v>24</v>
      </c>
      <c r="B24" t="s">
        <v>33</v>
      </c>
      <c r="C24" t="s">
        <v>36</v>
      </c>
      <c r="D24" t="s">
        <v>49</v>
      </c>
      <c r="E24" t="s">
        <v>52</v>
      </c>
      <c r="F24" t="s">
        <v>62</v>
      </c>
      <c r="G24" t="s">
        <v>69</v>
      </c>
      <c r="H24">
        <v>1</v>
      </c>
      <c r="I24" t="s">
        <v>70</v>
      </c>
      <c r="J24" t="s">
        <v>73</v>
      </c>
      <c r="K24">
        <v>1</v>
      </c>
    </row>
    <row r="25" spans="1:11" x14ac:dyDescent="0.3">
      <c r="A25">
        <v>25</v>
      </c>
      <c r="B25" t="s">
        <v>34</v>
      </c>
      <c r="C25" t="s">
        <v>36</v>
      </c>
      <c r="D25" t="s">
        <v>50</v>
      </c>
      <c r="E25" t="s">
        <v>52</v>
      </c>
      <c r="F25" t="s">
        <v>63</v>
      </c>
      <c r="G25" t="s">
        <v>69</v>
      </c>
      <c r="H25">
        <v>1</v>
      </c>
      <c r="I25" t="s">
        <v>70</v>
      </c>
      <c r="J25" t="s">
        <v>73</v>
      </c>
      <c r="K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maestro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Joaquin Forrisi</cp:lastModifiedBy>
  <dcterms:created xsi:type="dcterms:W3CDTF">2026-01-21T23:11:01Z</dcterms:created>
  <dcterms:modified xsi:type="dcterms:W3CDTF">2026-01-21T23:12:25Z</dcterms:modified>
</cp:coreProperties>
</file>