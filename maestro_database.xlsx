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rrisi\Desktop\desarrollos\gita\"/>
    </mc:Choice>
  </mc:AlternateContent>
  <bookViews>
    <workbookView xWindow="240" yWindow="12" windowWidth="16092" windowHeight="9660" activeTab="3"/>
  </bookViews>
  <sheets>
    <sheet name="familia" sheetId="9" r:id="rId1"/>
    <sheet name="sub_familia" sheetId="8" r:id="rId2"/>
    <sheet name="Sheet1_old" sheetId="1" r:id="rId3"/>
    <sheet name="maestro" sheetId="10" r:id="rId4"/>
    <sheet name="pais_grupo" sheetId="5" r:id="rId5"/>
    <sheet name="variables" sheetId="4" r:id="rId6"/>
    <sheet name="filtros_graph_pais" sheetId="11" r:id="rId7"/>
    <sheet name="graph" sheetId="12" r:id="rId8"/>
  </sheets>
  <definedNames>
    <definedName name="_xlnm._FilterDatabase" localSheetId="2" hidden="1">Sheet1_old!$G$1:$G$36</definedName>
  </definedNames>
  <calcPr calcId="162913"/>
</workbook>
</file>

<file path=xl/calcChain.xml><?xml version="1.0" encoding="utf-8"?>
<calcChain xmlns="http://schemas.openxmlformats.org/spreadsheetml/2006/main">
  <c r="B19" i="10" l="1"/>
  <c r="B18" i="10"/>
  <c r="B17" i="10"/>
  <c r="B16" i="10"/>
  <c r="B15" i="10"/>
  <c r="A15" i="11" l="1"/>
  <c r="A16" i="11" s="1"/>
  <c r="A17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3" i="11"/>
  <c r="E4" i="4"/>
  <c r="E3" i="4"/>
  <c r="D8" i="4"/>
  <c r="D9" i="4" s="1"/>
  <c r="D6" i="4"/>
  <c r="D5" i="4"/>
  <c r="D4" i="4"/>
  <c r="D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" i="4"/>
  <c r="C3" i="8"/>
  <c r="C4" i="8"/>
  <c r="C5" i="8"/>
  <c r="C6" i="8"/>
  <c r="C7" i="8"/>
  <c r="C8" i="8"/>
  <c r="C2" i="8"/>
  <c r="C4" i="9"/>
  <c r="C3" i="9"/>
  <c r="C2" i="9"/>
</calcChain>
</file>

<file path=xl/sharedStrings.xml><?xml version="1.0" encoding="utf-8"?>
<sst xmlns="http://schemas.openxmlformats.org/spreadsheetml/2006/main" count="761" uniqueCount="372">
  <si>
    <t>id</t>
  </si>
  <si>
    <t>nombre</t>
  </si>
  <si>
    <t>fuente</t>
  </si>
  <si>
    <t>periodicidad</t>
  </si>
  <si>
    <t>unidad</t>
  </si>
  <si>
    <t>activo</t>
  </si>
  <si>
    <t>moneda</t>
  </si>
  <si>
    <t>nominal_real</t>
  </si>
  <si>
    <t>link</t>
  </si>
  <si>
    <t>mercado</t>
  </si>
  <si>
    <t>es_cotizacion</t>
  </si>
  <si>
    <t>Soja</t>
  </si>
  <si>
    <t>Arroz</t>
  </si>
  <si>
    <t>Trigo</t>
  </si>
  <si>
    <t>IPC</t>
  </si>
  <si>
    <t>Celulosa -indice-</t>
  </si>
  <si>
    <t>Software</t>
  </si>
  <si>
    <t>Ingeniería</t>
  </si>
  <si>
    <t>Arquitectura</t>
  </si>
  <si>
    <t>Contabilidad (CPA)</t>
  </si>
  <si>
    <t>Bookkeeping / payroll</t>
  </si>
  <si>
    <t>Servicios no tradicionales - sin software</t>
  </si>
  <si>
    <t>Salario real</t>
  </si>
  <si>
    <t>Gasoil</t>
  </si>
  <si>
    <t>P</t>
  </si>
  <si>
    <t>M</t>
  </si>
  <si>
    <t>S</t>
  </si>
  <si>
    <t>INAC – serie mensual precios de hacienda</t>
  </si>
  <si>
    <t>INALE – Exportación leche en polvo entera</t>
  </si>
  <si>
    <t>INALE – Exportación queso</t>
  </si>
  <si>
    <t>INALE – Precio leche en tambo y composición</t>
  </si>
  <si>
    <t>INE</t>
  </si>
  <si>
    <t>WorldBank_CMO</t>
  </si>
  <si>
    <t>INSEE - serie 010600341 (Producer Price Index - Pulp)</t>
  </si>
  <si>
    <t>BLS</t>
  </si>
  <si>
    <t>ANCAP</t>
  </si>
  <si>
    <t>Rava_Scraping</t>
  </si>
  <si>
    <t>BCB_API_PTAX</t>
  </si>
  <si>
    <t>BCRP_API</t>
  </si>
  <si>
    <t>BCCH_API</t>
  </si>
  <si>
    <t>BCB_API</t>
  </si>
  <si>
    <t>BANXICO_API</t>
  </si>
  <si>
    <t>BCRP_HTML</t>
  </si>
  <si>
    <t>W</t>
  </si>
  <si>
    <t>D</t>
  </si>
  <si>
    <t>USD/kg</t>
  </si>
  <si>
    <t>USD/ton</t>
  </si>
  <si>
    <t>UYU/litro</t>
  </si>
  <si>
    <t>UYU por USD</t>
  </si>
  <si>
    <t>UYU por EUR</t>
  </si>
  <si>
    <t>Indice</t>
  </si>
  <si>
    <t>$ por Litro</t>
  </si>
  <si>
    <t>ARS por USD</t>
  </si>
  <si>
    <t>BRL por USD</t>
  </si>
  <si>
    <t>PEN por USD</t>
  </si>
  <si>
    <t>CLP por USD</t>
  </si>
  <si>
    <t>MXN por USD</t>
  </si>
  <si>
    <t>COP por USD</t>
  </si>
  <si>
    <t>AUD por USD</t>
  </si>
  <si>
    <t>NZD por USD</t>
  </si>
  <si>
    <t>ZAR por USD</t>
  </si>
  <si>
    <t>PYG por USD</t>
  </si>
  <si>
    <t>Índice</t>
  </si>
  <si>
    <t>usd</t>
  </si>
  <si>
    <t>eur</t>
  </si>
  <si>
    <t>uyu</t>
  </si>
  <si>
    <t>MXN</t>
  </si>
  <si>
    <t>COP</t>
  </si>
  <si>
    <t>AUD</t>
  </si>
  <si>
    <t>NZD</t>
  </si>
  <si>
    <t>ZAR</t>
  </si>
  <si>
    <t>PYG</t>
  </si>
  <si>
    <t>ARS</t>
  </si>
  <si>
    <t>n</t>
  </si>
  <si>
    <t>r</t>
  </si>
  <si>
    <t>https://data.bls.gov/dataViewer/view/timeseries/PCU513210513210</t>
  </si>
  <si>
    <t>https://data.bls.gov/dataViewer/view/timeseries/PCU541330541330</t>
  </si>
  <si>
    <t>https://data.bls.gov/dataViewer/view/timeseries/PCU541310541310</t>
  </si>
  <si>
    <t>https://data.bls.gov/dataViewer/view/timeseries/PCU541211541211</t>
  </si>
  <si>
    <t>https://data.bls.gov/dataViewer/view/timeseries/PCU541211541211A</t>
  </si>
  <si>
    <t>pais/region</t>
  </si>
  <si>
    <t>Precio Internacional</t>
  </si>
  <si>
    <t>Precios</t>
  </si>
  <si>
    <t>Uruguay</t>
  </si>
  <si>
    <t>USD/LC</t>
  </si>
  <si>
    <t>EUR/LC</t>
  </si>
  <si>
    <t>Tipo de cambio</t>
  </si>
  <si>
    <t xml:space="preserve">Perú </t>
  </si>
  <si>
    <t>Chile</t>
  </si>
  <si>
    <t>México</t>
  </si>
  <si>
    <t>Colombia</t>
  </si>
  <si>
    <t>Australia</t>
  </si>
  <si>
    <t>Paraguay</t>
  </si>
  <si>
    <t>Nueva Zelanda</t>
  </si>
  <si>
    <t>Perú</t>
  </si>
  <si>
    <t>Brasil</t>
  </si>
  <si>
    <t>id_variable</t>
  </si>
  <si>
    <t>USD/LC -informal-</t>
  </si>
  <si>
    <t>id_region</t>
  </si>
  <si>
    <t>Argentina</t>
  </si>
  <si>
    <t>Sudáfrica</t>
  </si>
  <si>
    <t>I</t>
  </si>
  <si>
    <t>categoria</t>
  </si>
  <si>
    <t>Precio hacienda - INAC</t>
  </si>
  <si>
    <t>Leche en polvo - INALE</t>
  </si>
  <si>
    <t>Queso - INALE</t>
  </si>
  <si>
    <t>Precio leche productor - INALE</t>
  </si>
  <si>
    <t>Precio carne export - INAC</t>
  </si>
  <si>
    <t>id_nombre_variable</t>
  </si>
  <si>
    <t>familia</t>
  </si>
  <si>
    <t>sub_familia</t>
  </si>
  <si>
    <t>Precios y salarios</t>
  </si>
  <si>
    <t>Economía internacional</t>
  </si>
  <si>
    <t>Precio interno de cadena transable</t>
  </si>
  <si>
    <t>Precio de exportación</t>
  </si>
  <si>
    <t>Financiero</t>
  </si>
  <si>
    <t>Materias primas</t>
  </si>
  <si>
    <t>Salarios</t>
  </si>
  <si>
    <t>Servicios</t>
  </si>
  <si>
    <t>nombre_sub_familia</t>
  </si>
  <si>
    <t>id_familia</t>
  </si>
  <si>
    <t>id_sub_familia</t>
  </si>
  <si>
    <t>nombre_familia</t>
  </si>
  <si>
    <t>nominal_o_real</t>
  </si>
  <si>
    <t>Servicios de arquitectura</t>
  </si>
  <si>
    <t>Servicios de Bookkeeping / payroll</t>
  </si>
  <si>
    <t>Servicios de Contabilidad (CPA)</t>
  </si>
  <si>
    <t>lc</t>
  </si>
  <si>
    <t>Servicios de consultoría en ingeniería</t>
  </si>
  <si>
    <t>Servicios de software</t>
  </si>
  <si>
    <t>id_graph</t>
  </si>
  <si>
    <t>Precios de Exportación en Pesos Uruguayos Constantes</t>
  </si>
  <si>
    <t>Cotizaciones de monedas</t>
  </si>
  <si>
    <t>Inflación en dólares</t>
  </si>
  <si>
    <t>Precios de Exportación -corrientes-</t>
  </si>
  <si>
    <t>nombre_graph</t>
  </si>
  <si>
    <t>selector</t>
  </si>
  <si>
    <t>Seleccione producto</t>
  </si>
  <si>
    <t>Seleccione país</t>
  </si>
  <si>
    <t>PAÍS</t>
  </si>
  <si>
    <t>Afganistán</t>
  </si>
  <si>
    <t>Albania</t>
  </si>
  <si>
    <t>Alemania</t>
  </si>
  <si>
    <t>Andorra</t>
  </si>
  <si>
    <t>Angola</t>
  </si>
  <si>
    <t>Anguila</t>
  </si>
  <si>
    <t>Antártida</t>
  </si>
  <si>
    <t>Antigua y Barbuda</t>
  </si>
  <si>
    <t>Antillas Neerlandesas</t>
  </si>
  <si>
    <t>Arabia Saudita</t>
  </si>
  <si>
    <t>Argelia</t>
  </si>
  <si>
    <t>Armenia</t>
  </si>
  <si>
    <t>Aruba</t>
  </si>
  <si>
    <t>Austria</t>
  </si>
  <si>
    <t>Azerbaiyán</t>
  </si>
  <si>
    <t>Bahamas</t>
  </si>
  <si>
    <t>Bahréin</t>
  </si>
  <si>
    <t>Bangladesh</t>
  </si>
  <si>
    <t>Barbados</t>
  </si>
  <si>
    <t>Belarús</t>
  </si>
  <si>
    <t>Bélgica</t>
  </si>
  <si>
    <t>Belice</t>
  </si>
  <si>
    <t>Benin</t>
  </si>
  <si>
    <t>Bermudas</t>
  </si>
  <si>
    <t>Bhután</t>
  </si>
  <si>
    <t>Bolivia</t>
  </si>
  <si>
    <t>Bosnia y Herzegovina</t>
  </si>
  <si>
    <t>Botsuana</t>
  </si>
  <si>
    <t>Brunéi</t>
  </si>
  <si>
    <t>Bulgaria</t>
  </si>
  <si>
    <t>Burkina Faso</t>
  </si>
  <si>
    <t>Burundi</t>
  </si>
  <si>
    <t>Cabo Verde</t>
  </si>
  <si>
    <t>Camboya</t>
  </si>
  <si>
    <t>Camerún</t>
  </si>
  <si>
    <t>Canadá</t>
  </si>
  <si>
    <t>Chad</t>
  </si>
  <si>
    <t>China</t>
  </si>
  <si>
    <t>Chipre</t>
  </si>
  <si>
    <t>Ciudad del Vaticano</t>
  </si>
  <si>
    <t>Comoros</t>
  </si>
  <si>
    <t>Congo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</si>
  <si>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</si>
  <si>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</si>
  <si>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</si>
  <si>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</si>
  <si>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</si>
  <si>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</si>
  <si>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</si>
  <si>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Domínica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</si>
  <si>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</si>
  <si>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</si>
  <si>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</si>
  <si>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</si>
  <si>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</si>
  <si>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</si>
  <si>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</si>
  <si>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</si>
  <si>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 de América</t>
  </si>
  <si>
    <t>Estonia</t>
  </si>
  <si>
    <t>Etiopía</t>
  </si>
  <si>
    <t>Fiji</t>
  </si>
  <si>
    <t>Filipinas</t>
  </si>
  <si>
    <t>Finlandia</t>
  </si>
  <si>
    <t>Francia</t>
  </si>
  <si>
    <t>Gabón</t>
  </si>
  <si>
    <t>Gambia</t>
  </si>
  <si>
    <t>Georgia</t>
  </si>
  <si>
    <t>Georgia del Sur e Islas Sandwich del Sur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</si>
  <si>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</si>
  <si>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</si>
  <si>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</si>
  <si>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</si>
  <si>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</si>
  <si>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</si>
  <si>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</si>
  <si>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</si>
  <si>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</t>
  </si>
  <si>
    <t>Guayana Francesa</t>
  </si>
  <si>
    <t>Guernsey</t>
  </si>
  <si>
    <t>Guinea</t>
  </si>
  <si>
    <t>Guinea Ecuatorial</t>
  </si>
  <si>
    <t>Guinea-Bissau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</si>
  <si>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</si>
  <si>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</si>
  <si>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</si>
  <si>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</si>
  <si>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</si>
  <si>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</si>
  <si>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</si>
  <si>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</si>
  <si>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</si>
  <si>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Isla Bouvet</t>
  </si>
  <si>
    <t>Isla de Man</t>
  </si>
  <si>
    <t>Islandia</t>
  </si>
  <si>
    <t>Islas Áland</t>
  </si>
  <si>
    <t>Islas Caimán</t>
  </si>
  <si>
    <t>Islas Christmas</t>
  </si>
  <si>
    <t>Islas Cocos</t>
  </si>
  <si>
    <t>Islas Cook</t>
  </si>
  <si>
    <t>Islas Faroe</t>
  </si>
  <si>
    <t>Islas Heard y McDonald</t>
  </si>
  <si>
    <t>Islas Malvinas</t>
  </si>
  <si>
    <t>Islas Marshall</t>
  </si>
  <si>
    <t>Islas Norkfolk</t>
  </si>
  <si>
    <t>Islas Palaos</t>
  </si>
  <si>
    <t>Islas Pitcairn</t>
  </si>
  <si>
    <t>Islas Solomón</t>
  </si>
  <si>
    <t>Islas Svalbard y Jan Mayen</t>
  </si>
  <si>
    <t>Islas Turcas y Caicos</t>
  </si>
  <si>
    <t>Islas Vírgenes Británicas</t>
  </si>
  <si>
    <t>Islas Vírgenes de los Estados Unidos de América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</si>
  <si>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</si>
  <si>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</si>
  <si>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</si>
  <si>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</si>
  <si>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</si>
  <si>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</si>
  <si>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</si>
  <si>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</si>
  <si>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</si>
  <si>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</si>
  <si>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</si>
  <si>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</si>
  <si>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</si>
  <si>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</si>
  <si>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</si>
  <si>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</si>
  <si>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</si>
  <si>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</si>
  <si>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</si>
  <si>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</si>
  <si>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</si>
  <si>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</si>
  <si>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</si>
  <si>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</si>
  <si>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</si>
  <si>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</si>
  <si>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Mali</t>
  </si>
  <si>
    <t>Malta</t>
  </si>
  <si>
    <t>Marruecos</t>
  </si>
  <si>
    <t>Martinica</t>
  </si>
  <si>
    <t>Mauricio</t>
  </si>
  <si>
    <t>Mauritania</t>
  </si>
  <si>
    <t>Mayotte</t>
  </si>
  <si>
    <t>Micronesia</t>
  </si>
  <si>
    <t>Moldova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</si>
  <si>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</si>
  <si>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</si>
  <si>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</si>
  <si>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</si>
  <si>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</si>
  <si>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</si>
  <si>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</si>
  <si>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</si>
  <si>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</si>
  <si>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</si>
  <si>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</si>
  <si>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</si>
  <si>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</si>
  <si>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</si>
  <si>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</si>
  <si>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Omán</t>
  </si>
  <si>
    <t>Países Bajos</t>
  </si>
  <si>
    <t>Pakistán</t>
  </si>
  <si>
    <t>Palestina</t>
  </si>
  <si>
    <t>Panamá</t>
  </si>
  <si>
    <t>Papúa Nueva Guinea</t>
  </si>
  <si>
    <t>Polinesia Francesa</t>
  </si>
  <si>
    <t>Polonia</t>
  </si>
  <si>
    <t>Portugal</t>
  </si>
  <si>
    <t>Puerto Rico</t>
  </si>
  <si>
    <t>Qatar</t>
  </si>
  <si>
    <t>Reino Unido</t>
  </si>
  <si>
    <t>República Centro-Africana</t>
  </si>
  <si>
    <t>República Checa</t>
  </si>
  <si>
    <t>República Dominicana</t>
  </si>
  <si>
    <t>Reunión</t>
  </si>
  <si>
    <t>Ruanda</t>
  </si>
  <si>
    <t>Rumanía</t>
  </si>
  <si>
    <t>Rusia</t>
  </si>
  <si>
    <t>Sahara Occidental</t>
  </si>
  <si>
    <t>Samoa</t>
  </si>
  <si>
    <t>Samoa Americana</t>
  </si>
  <si>
    <t>San Bartolomé</t>
  </si>
  <si>
    <t>San Cristóbal y Nieves</t>
  </si>
  <si>
    <t>San Marino</t>
  </si>
  <si>
    <t>San Pedro y Miquelón</t>
  </si>
  <si>
    <t>San Vicente y las Granadinas</t>
  </si>
  <si>
    <t>Santa Elena</t>
  </si>
  <si>
    <t>Santa Lucía</t>
  </si>
  <si>
    <t>Santo Tomé y Príncipe</t>
  </si>
  <si>
    <t>Senegal</t>
  </si>
  <si>
    <t>Serbia y Montenegro</t>
  </si>
  <si>
    <t>Seychelles</t>
  </si>
  <si>
    <t>Sierra Leona</t>
  </si>
  <si>
    <t>Singapur</t>
  </si>
  <si>
    <t>Siria</t>
  </si>
  <si>
    <t>Somalia</t>
  </si>
  <si>
    <t>Sri Lanka</t>
  </si>
  <si>
    <t>Suazilandia</t>
  </si>
  <si>
    <t>Sudán</t>
  </si>
  <si>
    <t>Suecia</t>
  </si>
  <si>
    <t>Suiza</t>
  </si>
  <si>
    <t>Surinam</t>
  </si>
  <si>
    <t>Tailandia</t>
  </si>
  <si>
    <t>Taiwán</t>
  </si>
  <si>
    <t>Tanzania</t>
  </si>
  <si>
    <t>Tayikistán</t>
  </si>
  <si>
    <t>Territorio Británico del Océano Índico</t>
  </si>
  <si>
    <t>Territorios Australes Franceses</t>
  </si>
  <si>
    <t>Timor-Leste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</si>
  <si>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</si>
  <si>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</si>
  <si>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</si>
  <si>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</si>
  <si>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</si>
  <si>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</si>
  <si>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</si>
  <si>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</si>
  <si>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</si>
  <si>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</si>
  <si>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Uzbekistán</t>
  </si>
  <si>
    <t>Vanuatu</t>
  </si>
  <si>
    <t>Venezuela</t>
  </si>
  <si>
    <t>Vietnam</t>
  </si>
  <si>
    <t>Wallis y Futuna</t>
  </si>
  <si>
    <t>Yemen</t>
  </si>
  <si>
    <t>Yibuti</t>
  </si>
  <si>
    <t>id_pais</t>
  </si>
  <si>
    <t>Precios Internacionales</t>
  </si>
  <si>
    <t>Mercados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</si>
</sst>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3" displayName="Tabla3" ref="A1:B243" totalsRowShown="0" headerRowDxfId="2" dataDxfId="1">
  <autoFilter ref="A1:B243"/>
  <sortState ref="A2:B241">
    <sortCondition ref="A2"/>
  </sortState>
  <tableColumns count="2">
    <tableColumn id="1" name="PAÍS"/>
    <tableColumn id="2" name="id_pais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ls.gov/dataViewer/view/timeseries/PCU541310541310" TargetMode="External"/><Relationship Id="rId2" Type="http://schemas.openxmlformats.org/officeDocument/2006/relationships/hyperlink" Target="https://data.bls.gov/dataViewer/view/timeseries/PCU541330541330" TargetMode="External"/><Relationship Id="rId1" Type="http://schemas.openxmlformats.org/officeDocument/2006/relationships/hyperlink" Target="https://data.bls.gov/dataViewer/view/timeseries/PCU513210513210" TargetMode="External"/><Relationship Id="rId5" Type="http://schemas.openxmlformats.org/officeDocument/2006/relationships/hyperlink" Target="https://data.bls.gov/dataViewer/view/timeseries/PCU541211541211A" TargetMode="External"/><Relationship Id="rId4" Type="http://schemas.openxmlformats.org/officeDocument/2006/relationships/hyperlink" Target="https://data.bls.gov/dataViewer/view/timeseries/PCU54121154121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ls.gov/dataViewer/view/timeseries/PCU541310541310" TargetMode="External"/><Relationship Id="rId2" Type="http://schemas.openxmlformats.org/officeDocument/2006/relationships/hyperlink" Target="https://data.bls.gov/dataViewer/view/timeseries/PCU541330541330" TargetMode="External"/><Relationship Id="rId1" Type="http://schemas.openxmlformats.org/officeDocument/2006/relationships/hyperlink" Target="https://data.bls.gov/dataViewer/view/timeseries/PCU513210513210" TargetMode="External"/><Relationship Id="rId5" Type="http://schemas.openxmlformats.org/officeDocument/2006/relationships/hyperlink" Target="https://data.bls.gov/dataViewer/view/timeseries/PCU541211541211A" TargetMode="External"/><Relationship Id="rId4" Type="http://schemas.openxmlformats.org/officeDocument/2006/relationships/hyperlink" Target="https://data.bls.gov/dataViewer/view/timeseries/PCU54121154121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33" sqref="B33"/>
    </sheetView>
  </sheetViews>
  <sheetFormatPr baseColWidth="10" defaultRowHeight="14.4" x14ac:dyDescent="0.3"/>
  <cols>
    <col min="2" max="2" width="17.44140625" bestFit="1" customWidth="1"/>
  </cols>
  <sheetData>
    <row r="1" spans="1:3" x14ac:dyDescent="0.3">
      <c r="A1" t="s">
        <v>120</v>
      </c>
      <c r="B1" t="s">
        <v>122</v>
      </c>
    </row>
    <row r="2" spans="1:3" x14ac:dyDescent="0.3">
      <c r="A2">
        <v>1</v>
      </c>
      <c r="B2" s="3" t="s">
        <v>371</v>
      </c>
      <c r="C2">
        <f>+A2</f>
        <v>1</v>
      </c>
    </row>
    <row r="3" spans="1:3" x14ac:dyDescent="0.3">
      <c r="A3">
        <v>2</v>
      </c>
      <c r="B3" s="3" t="s">
        <v>370</v>
      </c>
      <c r="C3">
        <f>+A3</f>
        <v>2</v>
      </c>
    </row>
    <row r="4" spans="1:3" x14ac:dyDescent="0.3">
      <c r="A4">
        <v>3</v>
      </c>
      <c r="B4" s="3" t="s">
        <v>111</v>
      </c>
      <c r="C4">
        <f>+A4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9" sqref="D9"/>
    </sheetView>
  </sheetViews>
  <sheetFormatPr baseColWidth="10" defaultRowHeight="14.4" x14ac:dyDescent="0.3"/>
  <cols>
    <col min="2" max="2" width="29.5546875" bestFit="1" customWidth="1"/>
  </cols>
  <sheetData>
    <row r="1" spans="1:4" x14ac:dyDescent="0.3">
      <c r="A1" t="s">
        <v>121</v>
      </c>
      <c r="B1" t="s">
        <v>119</v>
      </c>
      <c r="D1" t="s">
        <v>120</v>
      </c>
    </row>
    <row r="2" spans="1:4" x14ac:dyDescent="0.3">
      <c r="A2">
        <v>1</v>
      </c>
      <c r="B2" s="3" t="s">
        <v>116</v>
      </c>
      <c r="C2">
        <f>+A2</f>
        <v>1</v>
      </c>
      <c r="D2">
        <v>2</v>
      </c>
    </row>
    <row r="3" spans="1:4" x14ac:dyDescent="0.3">
      <c r="A3">
        <v>2</v>
      </c>
      <c r="B3" s="3" t="s">
        <v>114</v>
      </c>
      <c r="C3">
        <f t="shared" ref="C3:C8" si="0">+A3</f>
        <v>2</v>
      </c>
      <c r="D3">
        <v>3</v>
      </c>
    </row>
    <row r="4" spans="1:4" x14ac:dyDescent="0.3">
      <c r="A4">
        <v>3</v>
      </c>
      <c r="B4" s="3" t="s">
        <v>113</v>
      </c>
      <c r="C4">
        <f t="shared" si="0"/>
        <v>3</v>
      </c>
      <c r="D4">
        <v>3</v>
      </c>
    </row>
    <row r="5" spans="1:4" x14ac:dyDescent="0.3">
      <c r="A5">
        <v>4</v>
      </c>
      <c r="B5" s="3" t="s">
        <v>82</v>
      </c>
      <c r="C5">
        <f t="shared" si="0"/>
        <v>4</v>
      </c>
      <c r="D5">
        <v>3</v>
      </c>
    </row>
    <row r="6" spans="1:4" x14ac:dyDescent="0.3">
      <c r="A6">
        <v>5</v>
      </c>
      <c r="B6" s="3" t="s">
        <v>117</v>
      </c>
      <c r="C6">
        <f t="shared" si="0"/>
        <v>5</v>
      </c>
      <c r="D6">
        <v>3</v>
      </c>
    </row>
    <row r="7" spans="1:4" x14ac:dyDescent="0.3">
      <c r="A7">
        <v>6</v>
      </c>
      <c r="B7" s="3" t="s">
        <v>118</v>
      </c>
      <c r="C7">
        <f t="shared" si="0"/>
        <v>6</v>
      </c>
      <c r="D7">
        <v>2</v>
      </c>
    </row>
    <row r="8" spans="1:4" x14ac:dyDescent="0.3">
      <c r="A8">
        <v>7</v>
      </c>
      <c r="B8" s="3" t="s">
        <v>86</v>
      </c>
      <c r="C8">
        <f t="shared" si="0"/>
        <v>7</v>
      </c>
      <c r="D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36"/>
  <sheetViews>
    <sheetView topLeftCell="D1" workbookViewId="0">
      <selection activeCell="H14" sqref="H14"/>
    </sheetView>
  </sheetViews>
  <sheetFormatPr baseColWidth="10" defaultColWidth="8.88671875" defaultRowHeight="14.4" x14ac:dyDescent="0.3"/>
  <cols>
    <col min="2" max="2" width="47.77734375" bestFit="1" customWidth="1"/>
    <col min="3" max="3" width="18" bestFit="1" customWidth="1"/>
    <col min="4" max="4" width="8.88671875" bestFit="1" customWidth="1"/>
    <col min="5" max="5" width="24.109375" customWidth="1"/>
    <col min="6" max="6" width="21.109375" customWidth="1"/>
    <col min="7" max="9" width="47.77734375" customWidth="1"/>
  </cols>
  <sheetData>
    <row r="1" spans="1:19" x14ac:dyDescent="0.3">
      <c r="A1" s="1" t="s">
        <v>0</v>
      </c>
      <c r="B1" s="1" t="s">
        <v>1</v>
      </c>
      <c r="C1" s="1" t="s">
        <v>108</v>
      </c>
      <c r="D1" s="1" t="s">
        <v>98</v>
      </c>
      <c r="E1" s="1" t="s">
        <v>80</v>
      </c>
      <c r="F1" s="1" t="s">
        <v>109</v>
      </c>
      <c r="G1" s="1" t="s">
        <v>110</v>
      </c>
      <c r="H1" s="1" t="s">
        <v>120</v>
      </c>
      <c r="I1" s="1" t="s">
        <v>121</v>
      </c>
      <c r="J1" s="1" t="s">
        <v>102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hidden="1" x14ac:dyDescent="0.3">
      <c r="A2">
        <v>1</v>
      </c>
      <c r="B2" t="s">
        <v>103</v>
      </c>
      <c r="C2">
        <v>12</v>
      </c>
      <c r="D2">
        <v>12</v>
      </c>
      <c r="E2" s="3" t="s">
        <v>83</v>
      </c>
      <c r="F2" t="s">
        <v>111</v>
      </c>
      <c r="G2" t="s">
        <v>113</v>
      </c>
      <c r="H2">
        <v>3</v>
      </c>
      <c r="I2">
        <v>3</v>
      </c>
      <c r="J2" t="s">
        <v>24</v>
      </c>
      <c r="K2" t="s">
        <v>27</v>
      </c>
      <c r="L2" t="s">
        <v>25</v>
      </c>
      <c r="M2" t="s">
        <v>45</v>
      </c>
      <c r="N2">
        <v>1</v>
      </c>
      <c r="O2" t="s">
        <v>63</v>
      </c>
      <c r="P2" t="s">
        <v>73</v>
      </c>
      <c r="S2">
        <v>0</v>
      </c>
    </row>
    <row r="3" spans="1:19" hidden="1" x14ac:dyDescent="0.3">
      <c r="A3">
        <v>2</v>
      </c>
      <c r="B3" t="s">
        <v>104</v>
      </c>
      <c r="C3">
        <v>10</v>
      </c>
      <c r="D3">
        <v>12</v>
      </c>
      <c r="E3" s="3" t="s">
        <v>83</v>
      </c>
      <c r="F3" t="s">
        <v>111</v>
      </c>
      <c r="G3" t="s">
        <v>114</v>
      </c>
      <c r="H3">
        <v>3</v>
      </c>
      <c r="I3">
        <v>2</v>
      </c>
      <c r="J3" t="s">
        <v>24</v>
      </c>
      <c r="K3" t="s">
        <v>28</v>
      </c>
      <c r="L3" t="s">
        <v>25</v>
      </c>
      <c r="M3" t="s">
        <v>46</v>
      </c>
      <c r="N3">
        <v>1</v>
      </c>
      <c r="O3" t="s">
        <v>63</v>
      </c>
      <c r="P3" t="s">
        <v>73</v>
      </c>
      <c r="S3">
        <v>0</v>
      </c>
    </row>
    <row r="4" spans="1:19" hidden="1" x14ac:dyDescent="0.3">
      <c r="A4">
        <v>3</v>
      </c>
      <c r="B4" t="s">
        <v>105</v>
      </c>
      <c r="C4">
        <v>14</v>
      </c>
      <c r="D4">
        <v>12</v>
      </c>
      <c r="E4" s="3" t="s">
        <v>83</v>
      </c>
      <c r="F4" t="s">
        <v>111</v>
      </c>
      <c r="G4" t="s">
        <v>114</v>
      </c>
      <c r="H4">
        <v>3</v>
      </c>
      <c r="I4">
        <v>2</v>
      </c>
      <c r="J4" t="s">
        <v>24</v>
      </c>
      <c r="K4" t="s">
        <v>29</v>
      </c>
      <c r="L4" t="s">
        <v>25</v>
      </c>
      <c r="M4" t="s">
        <v>46</v>
      </c>
      <c r="N4">
        <v>1</v>
      </c>
      <c r="O4" t="s">
        <v>63</v>
      </c>
      <c r="P4" t="s">
        <v>73</v>
      </c>
      <c r="S4">
        <v>0</v>
      </c>
    </row>
    <row r="5" spans="1:19" hidden="1" x14ac:dyDescent="0.3">
      <c r="A5">
        <v>4</v>
      </c>
      <c r="B5" t="s">
        <v>106</v>
      </c>
      <c r="C5">
        <v>13</v>
      </c>
      <c r="D5">
        <v>12</v>
      </c>
      <c r="E5" s="3" t="s">
        <v>83</v>
      </c>
      <c r="F5" t="s">
        <v>111</v>
      </c>
      <c r="G5" t="s">
        <v>113</v>
      </c>
      <c r="H5">
        <v>3</v>
      </c>
      <c r="I5">
        <v>3</v>
      </c>
      <c r="J5" t="s">
        <v>24</v>
      </c>
      <c r="K5" t="s">
        <v>30</v>
      </c>
      <c r="L5" t="s">
        <v>25</v>
      </c>
      <c r="M5" t="s">
        <v>47</v>
      </c>
      <c r="N5">
        <v>1</v>
      </c>
      <c r="O5" t="s">
        <v>63</v>
      </c>
      <c r="P5" t="s">
        <v>73</v>
      </c>
      <c r="S5">
        <v>0</v>
      </c>
    </row>
    <row r="6" spans="1:19" hidden="1" x14ac:dyDescent="0.3">
      <c r="A6">
        <v>5</v>
      </c>
      <c r="B6" t="s">
        <v>107</v>
      </c>
      <c r="C6">
        <v>11</v>
      </c>
      <c r="D6">
        <v>12</v>
      </c>
      <c r="E6" s="3" t="s">
        <v>83</v>
      </c>
      <c r="F6" t="s">
        <v>111</v>
      </c>
      <c r="G6" t="s">
        <v>114</v>
      </c>
      <c r="H6">
        <v>3</v>
      </c>
      <c r="I6">
        <v>2</v>
      </c>
      <c r="J6" t="s">
        <v>24</v>
      </c>
      <c r="K6" t="s">
        <v>30</v>
      </c>
      <c r="L6" t="s">
        <v>43</v>
      </c>
      <c r="M6" t="s">
        <v>46</v>
      </c>
      <c r="N6">
        <v>1</v>
      </c>
      <c r="O6" t="s">
        <v>63</v>
      </c>
      <c r="P6" t="s">
        <v>73</v>
      </c>
      <c r="S6">
        <v>0</v>
      </c>
    </row>
    <row r="7" spans="1:19" x14ac:dyDescent="0.3">
      <c r="A7">
        <v>6</v>
      </c>
      <c r="B7" t="s">
        <v>84</v>
      </c>
      <c r="C7">
        <v>20</v>
      </c>
      <c r="D7">
        <v>12</v>
      </c>
      <c r="E7" t="s">
        <v>83</v>
      </c>
      <c r="F7" t="s">
        <v>115</v>
      </c>
      <c r="G7" t="s">
        <v>86</v>
      </c>
      <c r="H7">
        <v>1</v>
      </c>
      <c r="I7">
        <v>7</v>
      </c>
      <c r="K7" t="s">
        <v>31</v>
      </c>
      <c r="L7" t="s">
        <v>44</v>
      </c>
      <c r="M7" t="s">
        <v>48</v>
      </c>
      <c r="N7">
        <v>1</v>
      </c>
      <c r="P7" t="s">
        <v>73</v>
      </c>
      <c r="S7">
        <v>1</v>
      </c>
    </row>
    <row r="8" spans="1:19" x14ac:dyDescent="0.3">
      <c r="A8">
        <v>7</v>
      </c>
      <c r="B8" t="s">
        <v>85</v>
      </c>
      <c r="C8">
        <v>6</v>
      </c>
      <c r="D8">
        <v>12</v>
      </c>
      <c r="E8" t="s">
        <v>83</v>
      </c>
      <c r="F8" t="s">
        <v>115</v>
      </c>
      <c r="G8" t="s">
        <v>86</v>
      </c>
      <c r="H8">
        <v>1</v>
      </c>
      <c r="I8">
        <v>7</v>
      </c>
      <c r="K8" t="s">
        <v>31</v>
      </c>
      <c r="L8" t="s">
        <v>44</v>
      </c>
      <c r="M8" t="s">
        <v>49</v>
      </c>
      <c r="N8">
        <v>1</v>
      </c>
      <c r="P8" t="s">
        <v>73</v>
      </c>
      <c r="S8">
        <v>0</v>
      </c>
    </row>
    <row r="9" spans="1:19" hidden="1" x14ac:dyDescent="0.3">
      <c r="A9">
        <v>8</v>
      </c>
      <c r="B9" t="s">
        <v>11</v>
      </c>
      <c r="C9">
        <v>18</v>
      </c>
      <c r="D9">
        <v>11</v>
      </c>
      <c r="E9" s="3" t="s">
        <v>112</v>
      </c>
      <c r="F9" t="s">
        <v>81</v>
      </c>
      <c r="G9" t="s">
        <v>116</v>
      </c>
      <c r="H9">
        <v>2</v>
      </c>
      <c r="I9">
        <v>1</v>
      </c>
      <c r="J9" t="s">
        <v>24</v>
      </c>
      <c r="K9" t="s">
        <v>32</v>
      </c>
      <c r="L9" t="s">
        <v>25</v>
      </c>
      <c r="M9" t="s">
        <v>46</v>
      </c>
      <c r="N9">
        <v>1</v>
      </c>
      <c r="O9" t="s">
        <v>63</v>
      </c>
      <c r="P9" t="s">
        <v>73</v>
      </c>
      <c r="S9">
        <v>0</v>
      </c>
    </row>
    <row r="10" spans="1:19" hidden="1" x14ac:dyDescent="0.3">
      <c r="A10">
        <v>9</v>
      </c>
      <c r="B10" t="s">
        <v>12</v>
      </c>
      <c r="C10">
        <v>2</v>
      </c>
      <c r="D10">
        <v>11</v>
      </c>
      <c r="E10" s="3" t="s">
        <v>112</v>
      </c>
      <c r="F10" t="s">
        <v>81</v>
      </c>
      <c r="G10" t="s">
        <v>116</v>
      </c>
      <c r="H10">
        <v>2</v>
      </c>
      <c r="I10">
        <v>1</v>
      </c>
      <c r="J10" t="s">
        <v>24</v>
      </c>
      <c r="K10" t="s">
        <v>32</v>
      </c>
      <c r="L10" t="s">
        <v>25</v>
      </c>
      <c r="M10" t="s">
        <v>46</v>
      </c>
      <c r="N10">
        <v>1</v>
      </c>
      <c r="O10" t="s">
        <v>63</v>
      </c>
      <c r="P10" t="s">
        <v>73</v>
      </c>
      <c r="S10">
        <v>0</v>
      </c>
    </row>
    <row r="11" spans="1:19" hidden="1" x14ac:dyDescent="0.3">
      <c r="A11">
        <v>10</v>
      </c>
      <c r="B11" t="s">
        <v>13</v>
      </c>
      <c r="C11">
        <v>19</v>
      </c>
      <c r="D11">
        <v>11</v>
      </c>
      <c r="E11" s="3" t="s">
        <v>112</v>
      </c>
      <c r="F11" t="s">
        <v>81</v>
      </c>
      <c r="G11" t="s">
        <v>116</v>
      </c>
      <c r="H11">
        <v>2</v>
      </c>
      <c r="I11">
        <v>1</v>
      </c>
      <c r="J11" t="s">
        <v>24</v>
      </c>
      <c r="K11" t="s">
        <v>32</v>
      </c>
      <c r="L11" t="s">
        <v>25</v>
      </c>
      <c r="M11" t="s">
        <v>46</v>
      </c>
      <c r="N11">
        <v>1</v>
      </c>
      <c r="O11" t="s">
        <v>63</v>
      </c>
      <c r="P11" t="s">
        <v>73</v>
      </c>
      <c r="S11">
        <v>0</v>
      </c>
    </row>
    <row r="12" spans="1:19" hidden="1" x14ac:dyDescent="0.3">
      <c r="A12">
        <v>11</v>
      </c>
      <c r="B12" t="s">
        <v>14</v>
      </c>
      <c r="C12">
        <v>9</v>
      </c>
      <c r="D12">
        <v>12</v>
      </c>
      <c r="E12" t="s">
        <v>83</v>
      </c>
      <c r="F12" t="s">
        <v>111</v>
      </c>
      <c r="G12" t="s">
        <v>82</v>
      </c>
      <c r="H12">
        <v>3</v>
      </c>
      <c r="I12">
        <v>4</v>
      </c>
      <c r="K12" t="s">
        <v>31</v>
      </c>
      <c r="L12" t="s">
        <v>25</v>
      </c>
      <c r="M12" t="s">
        <v>50</v>
      </c>
      <c r="N12">
        <v>1</v>
      </c>
      <c r="P12" t="s">
        <v>73</v>
      </c>
      <c r="S12">
        <v>0</v>
      </c>
    </row>
    <row r="13" spans="1:19" hidden="1" x14ac:dyDescent="0.3">
      <c r="A13">
        <v>12</v>
      </c>
      <c r="B13" t="s">
        <v>15</v>
      </c>
      <c r="C13">
        <v>4</v>
      </c>
      <c r="D13">
        <v>11</v>
      </c>
      <c r="E13" s="3" t="s">
        <v>112</v>
      </c>
      <c r="F13" t="s">
        <v>81</v>
      </c>
      <c r="G13" t="s">
        <v>116</v>
      </c>
      <c r="H13">
        <v>2</v>
      </c>
      <c r="I13">
        <v>1</v>
      </c>
      <c r="J13" t="s">
        <v>24</v>
      </c>
      <c r="K13" t="s">
        <v>33</v>
      </c>
      <c r="L13" t="s">
        <v>25</v>
      </c>
      <c r="M13" t="s">
        <v>50</v>
      </c>
      <c r="N13">
        <v>1</v>
      </c>
      <c r="O13" t="s">
        <v>64</v>
      </c>
      <c r="P13" t="s">
        <v>73</v>
      </c>
      <c r="S13">
        <v>0</v>
      </c>
    </row>
    <row r="14" spans="1:19" hidden="1" x14ac:dyDescent="0.3">
      <c r="A14">
        <v>13</v>
      </c>
      <c r="B14" t="s">
        <v>16</v>
      </c>
      <c r="C14">
        <v>17</v>
      </c>
      <c r="D14">
        <v>11</v>
      </c>
      <c r="E14" s="3" t="s">
        <v>112</v>
      </c>
      <c r="F14" t="s">
        <v>81</v>
      </c>
      <c r="G14" t="s">
        <v>118</v>
      </c>
      <c r="H14">
        <v>2</v>
      </c>
      <c r="I14">
        <v>6</v>
      </c>
      <c r="J14" t="s">
        <v>26</v>
      </c>
      <c r="K14" t="s">
        <v>34</v>
      </c>
      <c r="L14" t="s">
        <v>25</v>
      </c>
      <c r="M14" t="s">
        <v>50</v>
      </c>
      <c r="N14">
        <v>1</v>
      </c>
      <c r="O14" t="s">
        <v>63</v>
      </c>
      <c r="P14" t="s">
        <v>73</v>
      </c>
      <c r="Q14" s="2" t="s">
        <v>75</v>
      </c>
      <c r="S14">
        <v>0</v>
      </c>
    </row>
    <row r="15" spans="1:19" hidden="1" x14ac:dyDescent="0.3">
      <c r="A15">
        <v>14</v>
      </c>
      <c r="B15" t="s">
        <v>17</v>
      </c>
      <c r="C15">
        <v>8</v>
      </c>
      <c r="D15">
        <v>11</v>
      </c>
      <c r="E15" s="3" t="s">
        <v>112</v>
      </c>
      <c r="F15" t="s">
        <v>81</v>
      </c>
      <c r="G15" t="s">
        <v>118</v>
      </c>
      <c r="H15">
        <v>2</v>
      </c>
      <c r="I15">
        <v>6</v>
      </c>
      <c r="J15" t="s">
        <v>26</v>
      </c>
      <c r="K15" t="s">
        <v>34</v>
      </c>
      <c r="L15" t="s">
        <v>25</v>
      </c>
      <c r="M15" t="s">
        <v>50</v>
      </c>
      <c r="N15">
        <v>1</v>
      </c>
      <c r="O15" t="s">
        <v>63</v>
      </c>
      <c r="P15" t="s">
        <v>73</v>
      </c>
      <c r="Q15" s="2" t="s">
        <v>76</v>
      </c>
      <c r="S15">
        <v>0</v>
      </c>
    </row>
    <row r="16" spans="1:19" hidden="1" x14ac:dyDescent="0.3">
      <c r="A16">
        <v>15</v>
      </c>
      <c r="B16" t="s">
        <v>18</v>
      </c>
      <c r="C16">
        <v>1</v>
      </c>
      <c r="D16">
        <v>11</v>
      </c>
      <c r="E16" s="3" t="s">
        <v>112</v>
      </c>
      <c r="F16" t="s">
        <v>81</v>
      </c>
      <c r="G16" t="s">
        <v>118</v>
      </c>
      <c r="H16">
        <v>2</v>
      </c>
      <c r="I16">
        <v>6</v>
      </c>
      <c r="J16" t="s">
        <v>26</v>
      </c>
      <c r="K16" t="s">
        <v>34</v>
      </c>
      <c r="L16" t="s">
        <v>25</v>
      </c>
      <c r="M16" t="s">
        <v>50</v>
      </c>
      <c r="N16">
        <v>1</v>
      </c>
      <c r="O16" t="s">
        <v>63</v>
      </c>
      <c r="P16" t="s">
        <v>73</v>
      </c>
      <c r="Q16" s="2" t="s">
        <v>77</v>
      </c>
      <c r="S16">
        <v>0</v>
      </c>
    </row>
    <row r="17" spans="1:19" hidden="1" x14ac:dyDescent="0.3">
      <c r="A17">
        <v>16</v>
      </c>
      <c r="B17" t="s">
        <v>19</v>
      </c>
      <c r="C17">
        <v>5</v>
      </c>
      <c r="D17">
        <v>11</v>
      </c>
      <c r="E17" s="3" t="s">
        <v>112</v>
      </c>
      <c r="F17" t="s">
        <v>81</v>
      </c>
      <c r="G17" t="s">
        <v>118</v>
      </c>
      <c r="H17">
        <v>2</v>
      </c>
      <c r="I17">
        <v>6</v>
      </c>
      <c r="J17" t="s">
        <v>26</v>
      </c>
      <c r="K17" t="s">
        <v>34</v>
      </c>
      <c r="L17" t="s">
        <v>25</v>
      </c>
      <c r="M17" t="s">
        <v>50</v>
      </c>
      <c r="N17">
        <v>1</v>
      </c>
      <c r="O17" t="s">
        <v>63</v>
      </c>
      <c r="P17" t="s">
        <v>73</v>
      </c>
      <c r="Q17" s="2" t="s">
        <v>78</v>
      </c>
      <c r="S17">
        <v>0</v>
      </c>
    </row>
    <row r="18" spans="1:19" hidden="1" x14ac:dyDescent="0.3">
      <c r="A18">
        <v>17</v>
      </c>
      <c r="B18" t="s">
        <v>20</v>
      </c>
      <c r="C18">
        <v>3</v>
      </c>
      <c r="D18">
        <v>11</v>
      </c>
      <c r="E18" s="3" t="s">
        <v>112</v>
      </c>
      <c r="F18" t="s">
        <v>81</v>
      </c>
      <c r="G18" t="s">
        <v>118</v>
      </c>
      <c r="H18">
        <v>2</v>
      </c>
      <c r="I18">
        <v>6</v>
      </c>
      <c r="J18" t="s">
        <v>26</v>
      </c>
      <c r="K18" t="s">
        <v>34</v>
      </c>
      <c r="L18" t="s">
        <v>25</v>
      </c>
      <c r="M18" t="s">
        <v>50</v>
      </c>
      <c r="N18">
        <v>1</v>
      </c>
      <c r="O18" t="s">
        <v>63</v>
      </c>
      <c r="P18" t="s">
        <v>73</v>
      </c>
      <c r="Q18" s="2" t="s">
        <v>79</v>
      </c>
      <c r="S18">
        <v>0</v>
      </c>
    </row>
    <row r="19" spans="1:19" hidden="1" x14ac:dyDescent="0.3">
      <c r="A19">
        <v>18</v>
      </c>
      <c r="B19" t="s">
        <v>21</v>
      </c>
      <c r="C19">
        <v>16</v>
      </c>
      <c r="D19">
        <v>11</v>
      </c>
      <c r="E19" s="3" t="s">
        <v>112</v>
      </c>
      <c r="F19" t="s">
        <v>81</v>
      </c>
      <c r="G19" t="s">
        <v>118</v>
      </c>
      <c r="H19">
        <v>2</v>
      </c>
      <c r="I19">
        <v>6</v>
      </c>
      <c r="J19" t="s">
        <v>26</v>
      </c>
      <c r="K19" t="s">
        <v>34</v>
      </c>
      <c r="L19" t="s">
        <v>25</v>
      </c>
      <c r="M19" t="s">
        <v>50</v>
      </c>
      <c r="N19">
        <v>1</v>
      </c>
      <c r="O19" t="s">
        <v>63</v>
      </c>
      <c r="P19" t="s">
        <v>73</v>
      </c>
      <c r="S19">
        <v>0</v>
      </c>
    </row>
    <row r="20" spans="1:19" hidden="1" x14ac:dyDescent="0.3">
      <c r="A20">
        <v>19</v>
      </c>
      <c r="B20" t="s">
        <v>22</v>
      </c>
      <c r="C20">
        <v>15</v>
      </c>
      <c r="D20">
        <v>12</v>
      </c>
      <c r="E20" t="s">
        <v>83</v>
      </c>
      <c r="F20" t="s">
        <v>111</v>
      </c>
      <c r="G20" t="s">
        <v>117</v>
      </c>
      <c r="H20">
        <v>3</v>
      </c>
      <c r="I20">
        <v>5</v>
      </c>
      <c r="J20" t="s">
        <v>101</v>
      </c>
      <c r="K20" t="s">
        <v>31</v>
      </c>
      <c r="L20" t="s">
        <v>25</v>
      </c>
      <c r="M20" t="s">
        <v>50</v>
      </c>
      <c r="N20">
        <v>1</v>
      </c>
      <c r="O20" t="s">
        <v>65</v>
      </c>
      <c r="P20" t="s">
        <v>74</v>
      </c>
      <c r="S20">
        <v>0</v>
      </c>
    </row>
    <row r="21" spans="1:19" hidden="1" x14ac:dyDescent="0.3">
      <c r="A21">
        <v>20</v>
      </c>
      <c r="B21" t="s">
        <v>23</v>
      </c>
      <c r="C21">
        <v>7</v>
      </c>
      <c r="D21">
        <v>12</v>
      </c>
      <c r="E21" t="s">
        <v>83</v>
      </c>
      <c r="F21" t="s">
        <v>111</v>
      </c>
      <c r="G21" t="s">
        <v>82</v>
      </c>
      <c r="H21">
        <v>3</v>
      </c>
      <c r="I21">
        <v>4</v>
      </c>
      <c r="J21" t="s">
        <v>101</v>
      </c>
      <c r="K21" t="s">
        <v>35</v>
      </c>
      <c r="L21" t="s">
        <v>25</v>
      </c>
      <c r="M21" t="s">
        <v>51</v>
      </c>
      <c r="N21">
        <v>1</v>
      </c>
      <c r="O21" t="s">
        <v>65</v>
      </c>
      <c r="P21" t="s">
        <v>73</v>
      </c>
      <c r="S21">
        <v>0</v>
      </c>
    </row>
    <row r="22" spans="1:19" x14ac:dyDescent="0.3">
      <c r="A22">
        <v>22</v>
      </c>
      <c r="B22" t="s">
        <v>97</v>
      </c>
      <c r="C22">
        <v>21</v>
      </c>
      <c r="D22">
        <v>1</v>
      </c>
      <c r="E22" t="s">
        <v>99</v>
      </c>
      <c r="F22" t="s">
        <v>115</v>
      </c>
      <c r="G22" t="s">
        <v>86</v>
      </c>
      <c r="H22">
        <v>1</v>
      </c>
      <c r="I22">
        <v>7</v>
      </c>
      <c r="K22" t="s">
        <v>36</v>
      </c>
      <c r="L22" t="s">
        <v>44</v>
      </c>
      <c r="M22" t="s">
        <v>52</v>
      </c>
      <c r="N22">
        <v>1</v>
      </c>
      <c r="O22" t="s">
        <v>63</v>
      </c>
      <c r="P22" t="s">
        <v>73</v>
      </c>
      <c r="S22">
        <v>1</v>
      </c>
    </row>
    <row r="23" spans="1:19" x14ac:dyDescent="0.3">
      <c r="A23">
        <v>23</v>
      </c>
      <c r="B23" t="s">
        <v>84</v>
      </c>
      <c r="C23">
        <v>20</v>
      </c>
      <c r="D23">
        <v>3</v>
      </c>
      <c r="E23" t="s">
        <v>95</v>
      </c>
      <c r="F23" t="s">
        <v>115</v>
      </c>
      <c r="G23" t="s">
        <v>86</v>
      </c>
      <c r="H23">
        <v>1</v>
      </c>
      <c r="I23">
        <v>7</v>
      </c>
      <c r="K23" t="s">
        <v>37</v>
      </c>
      <c r="L23" t="s">
        <v>44</v>
      </c>
      <c r="M23" t="s">
        <v>53</v>
      </c>
      <c r="N23">
        <v>1</v>
      </c>
      <c r="O23" t="s">
        <v>63</v>
      </c>
      <c r="P23" t="s">
        <v>73</v>
      </c>
      <c r="S23">
        <v>1</v>
      </c>
    </row>
    <row r="24" spans="1:19" x14ac:dyDescent="0.3">
      <c r="A24">
        <v>24</v>
      </c>
      <c r="B24" t="s">
        <v>84</v>
      </c>
      <c r="C24">
        <v>20</v>
      </c>
      <c r="D24">
        <v>10</v>
      </c>
      <c r="E24" t="s">
        <v>87</v>
      </c>
      <c r="F24" t="s">
        <v>115</v>
      </c>
      <c r="G24" t="s">
        <v>86</v>
      </c>
      <c r="H24">
        <v>1</v>
      </c>
      <c r="I24">
        <v>7</v>
      </c>
      <c r="K24" t="s">
        <v>38</v>
      </c>
      <c r="L24" t="s">
        <v>44</v>
      </c>
      <c r="M24" t="s">
        <v>54</v>
      </c>
      <c r="N24">
        <v>1</v>
      </c>
      <c r="O24" t="s">
        <v>63</v>
      </c>
      <c r="P24" t="s">
        <v>73</v>
      </c>
      <c r="S24">
        <v>1</v>
      </c>
    </row>
    <row r="25" spans="1:19" x14ac:dyDescent="0.3">
      <c r="A25">
        <v>25</v>
      </c>
      <c r="B25" t="s">
        <v>84</v>
      </c>
      <c r="C25">
        <v>20</v>
      </c>
      <c r="D25">
        <v>4</v>
      </c>
      <c r="E25" t="s">
        <v>88</v>
      </c>
      <c r="F25" t="s">
        <v>115</v>
      </c>
      <c r="G25" t="s">
        <v>86</v>
      </c>
      <c r="H25">
        <v>1</v>
      </c>
      <c r="I25">
        <v>7</v>
      </c>
      <c r="K25" t="s">
        <v>39</v>
      </c>
      <c r="L25" t="s">
        <v>44</v>
      </c>
      <c r="M25" t="s">
        <v>55</v>
      </c>
      <c r="N25">
        <v>1</v>
      </c>
      <c r="O25" t="s">
        <v>63</v>
      </c>
      <c r="P25" t="s">
        <v>73</v>
      </c>
      <c r="S25">
        <v>1</v>
      </c>
    </row>
    <row r="26" spans="1:19" x14ac:dyDescent="0.3">
      <c r="A26">
        <v>26</v>
      </c>
      <c r="B26" t="s">
        <v>84</v>
      </c>
      <c r="C26">
        <v>20</v>
      </c>
      <c r="D26">
        <v>6</v>
      </c>
      <c r="E26" t="s">
        <v>89</v>
      </c>
      <c r="F26" t="s">
        <v>115</v>
      </c>
      <c r="G26" t="s">
        <v>86</v>
      </c>
      <c r="H26">
        <v>1</v>
      </c>
      <c r="I26">
        <v>7</v>
      </c>
      <c r="K26" t="s">
        <v>39</v>
      </c>
      <c r="L26" t="s">
        <v>44</v>
      </c>
      <c r="M26" t="s">
        <v>56</v>
      </c>
      <c r="N26">
        <v>1</v>
      </c>
      <c r="O26" t="s">
        <v>66</v>
      </c>
      <c r="P26" t="s">
        <v>73</v>
      </c>
      <c r="S26">
        <v>1</v>
      </c>
    </row>
    <row r="27" spans="1:19" x14ac:dyDescent="0.3">
      <c r="A27">
        <v>27</v>
      </c>
      <c r="B27" t="s">
        <v>84</v>
      </c>
      <c r="C27">
        <v>20</v>
      </c>
      <c r="D27">
        <v>5</v>
      </c>
      <c r="E27" t="s">
        <v>90</v>
      </c>
      <c r="F27" t="s">
        <v>115</v>
      </c>
      <c r="G27" t="s">
        <v>86</v>
      </c>
      <c r="H27">
        <v>1</v>
      </c>
      <c r="I27">
        <v>7</v>
      </c>
      <c r="K27" t="s">
        <v>39</v>
      </c>
      <c r="L27" t="s">
        <v>44</v>
      </c>
      <c r="M27" t="s">
        <v>57</v>
      </c>
      <c r="N27">
        <v>1</v>
      </c>
      <c r="O27" t="s">
        <v>67</v>
      </c>
      <c r="P27" t="s">
        <v>73</v>
      </c>
      <c r="S27">
        <v>1</v>
      </c>
    </row>
    <row r="28" spans="1:19" x14ac:dyDescent="0.3">
      <c r="A28">
        <v>28</v>
      </c>
      <c r="B28" t="s">
        <v>84</v>
      </c>
      <c r="C28">
        <v>20</v>
      </c>
      <c r="D28">
        <v>2</v>
      </c>
      <c r="E28" t="s">
        <v>91</v>
      </c>
      <c r="F28" t="s">
        <v>115</v>
      </c>
      <c r="G28" t="s">
        <v>86</v>
      </c>
      <c r="H28">
        <v>1</v>
      </c>
      <c r="I28">
        <v>7</v>
      </c>
      <c r="K28" t="s">
        <v>39</v>
      </c>
      <c r="L28" t="s">
        <v>44</v>
      </c>
      <c r="M28" t="s">
        <v>58</v>
      </c>
      <c r="N28">
        <v>1</v>
      </c>
      <c r="O28" t="s">
        <v>68</v>
      </c>
      <c r="P28" t="s">
        <v>73</v>
      </c>
      <c r="S28">
        <v>1</v>
      </c>
    </row>
    <row r="29" spans="1:19" x14ac:dyDescent="0.3">
      <c r="A29">
        <v>29</v>
      </c>
      <c r="B29" t="s">
        <v>84</v>
      </c>
      <c r="C29">
        <v>20</v>
      </c>
      <c r="D29">
        <v>7</v>
      </c>
      <c r="E29" t="s">
        <v>93</v>
      </c>
      <c r="F29" t="s">
        <v>115</v>
      </c>
      <c r="G29" t="s">
        <v>86</v>
      </c>
      <c r="H29">
        <v>1</v>
      </c>
      <c r="I29">
        <v>7</v>
      </c>
      <c r="K29" t="s">
        <v>39</v>
      </c>
      <c r="L29" t="s">
        <v>44</v>
      </c>
      <c r="M29" t="s">
        <v>59</v>
      </c>
      <c r="N29">
        <v>1</v>
      </c>
      <c r="O29" t="s">
        <v>69</v>
      </c>
      <c r="P29" t="s">
        <v>73</v>
      </c>
      <c r="S29">
        <v>1</v>
      </c>
    </row>
    <row r="30" spans="1:19" x14ac:dyDescent="0.3">
      <c r="A30">
        <v>30</v>
      </c>
      <c r="B30" t="s">
        <v>84</v>
      </c>
      <c r="C30">
        <v>20</v>
      </c>
      <c r="D30">
        <v>13</v>
      </c>
      <c r="E30" t="s">
        <v>100</v>
      </c>
      <c r="F30" t="s">
        <v>115</v>
      </c>
      <c r="G30" t="s">
        <v>86</v>
      </c>
      <c r="H30">
        <v>1</v>
      </c>
      <c r="I30">
        <v>7</v>
      </c>
      <c r="K30" t="s">
        <v>39</v>
      </c>
      <c r="L30" t="s">
        <v>44</v>
      </c>
      <c r="M30" t="s">
        <v>60</v>
      </c>
      <c r="N30">
        <v>1</v>
      </c>
      <c r="O30" t="s">
        <v>70</v>
      </c>
      <c r="P30" t="s">
        <v>73</v>
      </c>
      <c r="S30">
        <v>1</v>
      </c>
    </row>
    <row r="31" spans="1:19" x14ac:dyDescent="0.3">
      <c r="A31">
        <v>31</v>
      </c>
      <c r="B31" t="s">
        <v>84</v>
      </c>
      <c r="C31">
        <v>20</v>
      </c>
      <c r="D31">
        <v>8</v>
      </c>
      <c r="E31" t="s">
        <v>92</v>
      </c>
      <c r="F31" t="s">
        <v>115</v>
      </c>
      <c r="G31" t="s">
        <v>86</v>
      </c>
      <c r="H31">
        <v>1</v>
      </c>
      <c r="I31">
        <v>7</v>
      </c>
      <c r="K31" t="s">
        <v>39</v>
      </c>
      <c r="L31" t="s">
        <v>44</v>
      </c>
      <c r="M31" t="s">
        <v>61</v>
      </c>
      <c r="N31">
        <v>1</v>
      </c>
      <c r="O31" t="s">
        <v>71</v>
      </c>
      <c r="P31" t="s">
        <v>73</v>
      </c>
      <c r="S31">
        <v>1</v>
      </c>
    </row>
    <row r="32" spans="1:19" x14ac:dyDescent="0.3">
      <c r="A32">
        <v>32</v>
      </c>
      <c r="B32" t="s">
        <v>84</v>
      </c>
      <c r="C32">
        <v>20</v>
      </c>
      <c r="D32">
        <v>1</v>
      </c>
      <c r="E32" t="s">
        <v>99</v>
      </c>
      <c r="F32" t="s">
        <v>115</v>
      </c>
      <c r="G32" t="s">
        <v>86</v>
      </c>
      <c r="H32">
        <v>1</v>
      </c>
      <c r="I32">
        <v>7</v>
      </c>
      <c r="K32" t="s">
        <v>39</v>
      </c>
      <c r="L32" t="s">
        <v>44</v>
      </c>
      <c r="M32" t="s">
        <v>52</v>
      </c>
      <c r="N32">
        <v>1</v>
      </c>
      <c r="O32" t="s">
        <v>72</v>
      </c>
      <c r="P32" t="s">
        <v>73</v>
      </c>
      <c r="S32">
        <v>1</v>
      </c>
    </row>
    <row r="33" spans="1:19" hidden="1" x14ac:dyDescent="0.3">
      <c r="A33">
        <v>33</v>
      </c>
      <c r="B33" t="s">
        <v>14</v>
      </c>
      <c r="C33">
        <v>9</v>
      </c>
      <c r="D33">
        <v>4</v>
      </c>
      <c r="E33" t="s">
        <v>88</v>
      </c>
      <c r="F33" t="s">
        <v>111</v>
      </c>
      <c r="G33" t="s">
        <v>82</v>
      </c>
      <c r="H33">
        <v>3</v>
      </c>
      <c r="I33">
        <v>4</v>
      </c>
      <c r="K33" t="s">
        <v>39</v>
      </c>
      <c r="L33" t="s">
        <v>25</v>
      </c>
      <c r="M33" t="s">
        <v>62</v>
      </c>
      <c r="N33">
        <v>1</v>
      </c>
      <c r="P33" t="s">
        <v>73</v>
      </c>
      <c r="S33">
        <v>0</v>
      </c>
    </row>
    <row r="34" spans="1:19" hidden="1" x14ac:dyDescent="0.3">
      <c r="A34">
        <v>34</v>
      </c>
      <c r="B34" t="s">
        <v>14</v>
      </c>
      <c r="C34">
        <v>9</v>
      </c>
      <c r="D34">
        <v>3</v>
      </c>
      <c r="E34" t="s">
        <v>95</v>
      </c>
      <c r="F34" t="s">
        <v>111</v>
      </c>
      <c r="G34" t="s">
        <v>82</v>
      </c>
      <c r="H34">
        <v>3</v>
      </c>
      <c r="I34">
        <v>4</v>
      </c>
      <c r="K34" t="s">
        <v>40</v>
      </c>
      <c r="L34" t="s">
        <v>25</v>
      </c>
      <c r="M34" t="s">
        <v>62</v>
      </c>
      <c r="N34">
        <v>1</v>
      </c>
      <c r="P34" t="s">
        <v>73</v>
      </c>
      <c r="S34">
        <v>0</v>
      </c>
    </row>
    <row r="35" spans="1:19" hidden="1" x14ac:dyDescent="0.3">
      <c r="A35">
        <v>35</v>
      </c>
      <c r="B35" t="s">
        <v>14</v>
      </c>
      <c r="C35">
        <v>9</v>
      </c>
      <c r="D35">
        <v>6</v>
      </c>
      <c r="E35" t="s">
        <v>89</v>
      </c>
      <c r="F35" t="s">
        <v>111</v>
      </c>
      <c r="G35" t="s">
        <v>82</v>
      </c>
      <c r="H35">
        <v>3</v>
      </c>
      <c r="I35">
        <v>4</v>
      </c>
      <c r="K35" t="s">
        <v>41</v>
      </c>
      <c r="L35" t="s">
        <v>25</v>
      </c>
      <c r="M35" t="s">
        <v>62</v>
      </c>
      <c r="N35">
        <v>1</v>
      </c>
      <c r="P35" t="s">
        <v>73</v>
      </c>
      <c r="S35">
        <v>0</v>
      </c>
    </row>
    <row r="36" spans="1:19" hidden="1" x14ac:dyDescent="0.3">
      <c r="A36">
        <v>36</v>
      </c>
      <c r="B36" t="s">
        <v>14</v>
      </c>
      <c r="C36">
        <v>9</v>
      </c>
      <c r="D36">
        <v>9</v>
      </c>
      <c r="E36" t="s">
        <v>94</v>
      </c>
      <c r="F36" t="s">
        <v>111</v>
      </c>
      <c r="G36" t="s">
        <v>82</v>
      </c>
      <c r="H36">
        <v>3</v>
      </c>
      <c r="I36">
        <v>4</v>
      </c>
      <c r="K36" t="s">
        <v>42</v>
      </c>
      <c r="L36" t="s">
        <v>25</v>
      </c>
      <c r="M36" t="s">
        <v>62</v>
      </c>
      <c r="N36">
        <v>1</v>
      </c>
      <c r="P36" t="s">
        <v>73</v>
      </c>
      <c r="S36">
        <v>0</v>
      </c>
    </row>
  </sheetData>
  <autoFilter ref="G1:G36">
    <filterColumn colId="0">
      <filters>
        <filter val="Tipo de cambio"/>
      </filters>
    </filterColumn>
  </autoFilter>
  <hyperlinks>
    <hyperlink ref="Q14" r:id="rId1"/>
    <hyperlink ref="Q15" r:id="rId2"/>
    <hyperlink ref="Q16" r:id="rId3"/>
    <hyperlink ref="Q17" r:id="rId4"/>
    <hyperlink ref="Q18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8" bestFit="1" customWidth="1"/>
    <col min="2" max="2" width="8.88671875" bestFit="1" customWidth="1"/>
    <col min="3" max="3" width="44.5546875" bestFit="1" customWidth="1"/>
  </cols>
  <sheetData>
    <row r="1" spans="1:6" x14ac:dyDescent="0.3">
      <c r="A1" s="1" t="s">
        <v>96</v>
      </c>
      <c r="B1" s="7" t="s">
        <v>369</v>
      </c>
      <c r="C1" s="1" t="s">
        <v>2</v>
      </c>
      <c r="D1" s="1" t="s">
        <v>3</v>
      </c>
      <c r="E1" s="1" t="s">
        <v>5</v>
      </c>
      <c r="F1" s="1" t="s">
        <v>8</v>
      </c>
    </row>
    <row r="2" spans="1:6" x14ac:dyDescent="0.3">
      <c r="A2">
        <v>12</v>
      </c>
      <c r="B2" s="6">
        <v>858</v>
      </c>
      <c r="C2" t="s">
        <v>27</v>
      </c>
      <c r="D2" t="s">
        <v>25</v>
      </c>
      <c r="E2">
        <v>1</v>
      </c>
    </row>
    <row r="3" spans="1:6" x14ac:dyDescent="0.3">
      <c r="A3">
        <v>10</v>
      </c>
      <c r="B3" s="6">
        <v>858</v>
      </c>
      <c r="C3" t="s">
        <v>28</v>
      </c>
      <c r="D3" t="s">
        <v>25</v>
      </c>
      <c r="E3">
        <v>1</v>
      </c>
    </row>
    <row r="4" spans="1:6" x14ac:dyDescent="0.3">
      <c r="A4">
        <v>14</v>
      </c>
      <c r="B4" s="6">
        <v>858</v>
      </c>
      <c r="C4" t="s">
        <v>29</v>
      </c>
      <c r="D4" t="s">
        <v>25</v>
      </c>
      <c r="E4">
        <v>1</v>
      </c>
    </row>
    <row r="5" spans="1:6" x14ac:dyDescent="0.3">
      <c r="A5">
        <v>13</v>
      </c>
      <c r="B5" s="6">
        <v>858</v>
      </c>
      <c r="C5" t="s">
        <v>30</v>
      </c>
      <c r="D5" t="s">
        <v>25</v>
      </c>
      <c r="E5">
        <v>1</v>
      </c>
    </row>
    <row r="6" spans="1:6" x14ac:dyDescent="0.3">
      <c r="A6">
        <v>11</v>
      </c>
      <c r="B6" s="6">
        <v>858</v>
      </c>
      <c r="C6" t="s">
        <v>30</v>
      </c>
      <c r="D6" t="s">
        <v>43</v>
      </c>
      <c r="E6">
        <v>1</v>
      </c>
    </row>
    <row r="7" spans="1:6" x14ac:dyDescent="0.3">
      <c r="A7">
        <v>20</v>
      </c>
      <c r="B7" s="6">
        <v>858</v>
      </c>
      <c r="C7" t="s">
        <v>31</v>
      </c>
      <c r="D7" t="s">
        <v>44</v>
      </c>
      <c r="E7">
        <v>1</v>
      </c>
    </row>
    <row r="8" spans="1:6" x14ac:dyDescent="0.3">
      <c r="A8">
        <v>6</v>
      </c>
      <c r="B8" s="6">
        <v>858</v>
      </c>
      <c r="C8" t="s">
        <v>31</v>
      </c>
      <c r="D8" t="s">
        <v>44</v>
      </c>
      <c r="E8">
        <v>1</v>
      </c>
    </row>
    <row r="9" spans="1:6" x14ac:dyDescent="0.3">
      <c r="A9">
        <v>18</v>
      </c>
      <c r="B9">
        <v>999</v>
      </c>
      <c r="C9" t="s">
        <v>32</v>
      </c>
      <c r="D9" t="s">
        <v>25</v>
      </c>
      <c r="E9">
        <v>1</v>
      </c>
    </row>
    <row r="10" spans="1:6" x14ac:dyDescent="0.3">
      <c r="A10">
        <v>2</v>
      </c>
      <c r="B10">
        <v>999</v>
      </c>
      <c r="C10" t="s">
        <v>32</v>
      </c>
      <c r="D10" t="s">
        <v>25</v>
      </c>
      <c r="E10">
        <v>1</v>
      </c>
    </row>
    <row r="11" spans="1:6" x14ac:dyDescent="0.3">
      <c r="A11">
        <v>19</v>
      </c>
      <c r="B11">
        <v>999</v>
      </c>
      <c r="C11" t="s">
        <v>32</v>
      </c>
      <c r="D11" t="s">
        <v>25</v>
      </c>
      <c r="E11">
        <v>1</v>
      </c>
    </row>
    <row r="12" spans="1:6" x14ac:dyDescent="0.3">
      <c r="A12">
        <v>9</v>
      </c>
      <c r="B12" s="6">
        <v>858</v>
      </c>
      <c r="C12" t="s">
        <v>31</v>
      </c>
      <c r="D12" t="s">
        <v>25</v>
      </c>
      <c r="E12">
        <v>1</v>
      </c>
    </row>
    <row r="13" spans="1:6" x14ac:dyDescent="0.3">
      <c r="A13">
        <v>4</v>
      </c>
      <c r="B13">
        <v>999</v>
      </c>
      <c r="C13" t="s">
        <v>33</v>
      </c>
      <c r="D13" t="s">
        <v>25</v>
      </c>
      <c r="E13">
        <v>1</v>
      </c>
    </row>
    <row r="14" spans="1:6" x14ac:dyDescent="0.3">
      <c r="A14">
        <v>17</v>
      </c>
      <c r="B14">
        <v>999</v>
      </c>
      <c r="C14" t="s">
        <v>34</v>
      </c>
      <c r="D14" t="s">
        <v>25</v>
      </c>
      <c r="E14">
        <v>1</v>
      </c>
      <c r="F14" s="2" t="s">
        <v>75</v>
      </c>
    </row>
    <row r="15" spans="1:6" x14ac:dyDescent="0.3">
      <c r="A15">
        <v>8</v>
      </c>
      <c r="B15">
        <f>+B14</f>
        <v>999</v>
      </c>
      <c r="C15" t="s">
        <v>34</v>
      </c>
      <c r="D15" t="s">
        <v>25</v>
      </c>
      <c r="E15">
        <v>1</v>
      </c>
      <c r="F15" s="2" t="s">
        <v>76</v>
      </c>
    </row>
    <row r="16" spans="1:6" x14ac:dyDescent="0.3">
      <c r="A16">
        <v>1</v>
      </c>
      <c r="B16">
        <f>+B15</f>
        <v>999</v>
      </c>
      <c r="C16" t="s">
        <v>34</v>
      </c>
      <c r="D16" t="s">
        <v>25</v>
      </c>
      <c r="E16">
        <v>1</v>
      </c>
      <c r="F16" s="2" t="s">
        <v>77</v>
      </c>
    </row>
    <row r="17" spans="1:6" x14ac:dyDescent="0.3">
      <c r="A17">
        <v>5</v>
      </c>
      <c r="B17">
        <f>+B16</f>
        <v>999</v>
      </c>
      <c r="C17" t="s">
        <v>34</v>
      </c>
      <c r="D17" t="s">
        <v>25</v>
      </c>
      <c r="E17">
        <v>1</v>
      </c>
      <c r="F17" s="2" t="s">
        <v>78</v>
      </c>
    </row>
    <row r="18" spans="1:6" x14ac:dyDescent="0.3">
      <c r="A18">
        <v>3</v>
      </c>
      <c r="B18">
        <f>+B17</f>
        <v>999</v>
      </c>
      <c r="C18" t="s">
        <v>34</v>
      </c>
      <c r="D18" t="s">
        <v>25</v>
      </c>
      <c r="E18">
        <v>1</v>
      </c>
      <c r="F18" s="2" t="s">
        <v>79</v>
      </c>
    </row>
    <row r="19" spans="1:6" x14ac:dyDescent="0.3">
      <c r="A19">
        <v>16</v>
      </c>
      <c r="B19">
        <f>+B18</f>
        <v>999</v>
      </c>
      <c r="C19" t="s">
        <v>34</v>
      </c>
      <c r="D19" t="s">
        <v>25</v>
      </c>
      <c r="E19">
        <v>1</v>
      </c>
    </row>
    <row r="20" spans="1:6" x14ac:dyDescent="0.3">
      <c r="A20">
        <v>15</v>
      </c>
      <c r="B20">
        <v>858</v>
      </c>
      <c r="C20" t="s">
        <v>31</v>
      </c>
      <c r="D20" t="s">
        <v>25</v>
      </c>
      <c r="E20">
        <v>1</v>
      </c>
    </row>
    <row r="21" spans="1:6" x14ac:dyDescent="0.3">
      <c r="A21">
        <v>7</v>
      </c>
      <c r="B21">
        <v>858</v>
      </c>
      <c r="C21" t="s">
        <v>35</v>
      </c>
      <c r="D21" t="s">
        <v>25</v>
      </c>
      <c r="E21">
        <v>1</v>
      </c>
    </row>
    <row r="22" spans="1:6" x14ac:dyDescent="0.3">
      <c r="A22">
        <v>21</v>
      </c>
      <c r="B22" s="6">
        <v>32</v>
      </c>
      <c r="C22" t="s">
        <v>36</v>
      </c>
      <c r="D22" t="s">
        <v>44</v>
      </c>
      <c r="E22">
        <v>1</v>
      </c>
    </row>
    <row r="23" spans="1:6" x14ac:dyDescent="0.3">
      <c r="A23">
        <v>20</v>
      </c>
      <c r="B23" s="6">
        <v>76</v>
      </c>
      <c r="C23" t="s">
        <v>37</v>
      </c>
      <c r="D23" t="s">
        <v>44</v>
      </c>
      <c r="E23">
        <v>1</v>
      </c>
    </row>
    <row r="24" spans="1:6" x14ac:dyDescent="0.3">
      <c r="A24">
        <v>20</v>
      </c>
      <c r="B24" s="6">
        <v>604</v>
      </c>
      <c r="C24" t="s">
        <v>38</v>
      </c>
      <c r="D24" t="s">
        <v>44</v>
      </c>
      <c r="E24">
        <v>1</v>
      </c>
    </row>
    <row r="25" spans="1:6" x14ac:dyDescent="0.3">
      <c r="A25">
        <v>20</v>
      </c>
      <c r="B25" s="6">
        <v>152</v>
      </c>
      <c r="C25" t="s">
        <v>39</v>
      </c>
      <c r="D25" t="s">
        <v>44</v>
      </c>
      <c r="E25">
        <v>1</v>
      </c>
    </row>
    <row r="26" spans="1:6" x14ac:dyDescent="0.3">
      <c r="A26">
        <v>20</v>
      </c>
      <c r="B26" s="6">
        <v>484</v>
      </c>
      <c r="C26" t="s">
        <v>39</v>
      </c>
      <c r="D26" t="s">
        <v>44</v>
      </c>
      <c r="E26">
        <v>1</v>
      </c>
    </row>
    <row r="27" spans="1:6" x14ac:dyDescent="0.3">
      <c r="A27">
        <v>20</v>
      </c>
      <c r="B27" s="6">
        <v>170</v>
      </c>
      <c r="C27" t="s">
        <v>39</v>
      </c>
      <c r="D27" t="s">
        <v>44</v>
      </c>
      <c r="E27">
        <v>1</v>
      </c>
    </row>
    <row r="28" spans="1:6" x14ac:dyDescent="0.3">
      <c r="A28">
        <v>20</v>
      </c>
      <c r="B28" s="6">
        <v>36</v>
      </c>
      <c r="C28" t="s">
        <v>39</v>
      </c>
      <c r="D28" t="s">
        <v>44</v>
      </c>
      <c r="E28">
        <v>1</v>
      </c>
    </row>
    <row r="29" spans="1:6" x14ac:dyDescent="0.3">
      <c r="A29">
        <v>20</v>
      </c>
      <c r="B29" s="6">
        <v>554</v>
      </c>
      <c r="C29" t="s">
        <v>39</v>
      </c>
      <c r="D29" t="s">
        <v>44</v>
      </c>
      <c r="E29">
        <v>1</v>
      </c>
    </row>
    <row r="30" spans="1:6" x14ac:dyDescent="0.3">
      <c r="A30">
        <v>20</v>
      </c>
      <c r="B30" s="6">
        <v>710</v>
      </c>
      <c r="C30" t="s">
        <v>39</v>
      </c>
      <c r="D30" t="s">
        <v>44</v>
      </c>
      <c r="E30">
        <v>1</v>
      </c>
    </row>
    <row r="31" spans="1:6" x14ac:dyDescent="0.3">
      <c r="A31">
        <v>20</v>
      </c>
      <c r="B31" s="6">
        <v>600</v>
      </c>
      <c r="C31" t="s">
        <v>39</v>
      </c>
      <c r="D31" t="s">
        <v>44</v>
      </c>
      <c r="E31">
        <v>1</v>
      </c>
    </row>
    <row r="32" spans="1:6" x14ac:dyDescent="0.3">
      <c r="A32">
        <v>20</v>
      </c>
      <c r="B32" s="6">
        <v>32</v>
      </c>
      <c r="C32" t="s">
        <v>39</v>
      </c>
      <c r="D32" t="s">
        <v>44</v>
      </c>
      <c r="E32">
        <v>1</v>
      </c>
    </row>
    <row r="33" spans="1:5" x14ac:dyDescent="0.3">
      <c r="A33">
        <v>9</v>
      </c>
      <c r="B33" s="6">
        <v>152</v>
      </c>
      <c r="C33" t="s">
        <v>39</v>
      </c>
      <c r="D33" t="s">
        <v>25</v>
      </c>
      <c r="E33">
        <v>1</v>
      </c>
    </row>
    <row r="34" spans="1:5" x14ac:dyDescent="0.3">
      <c r="A34">
        <v>9</v>
      </c>
      <c r="B34" s="6">
        <v>76</v>
      </c>
      <c r="C34" t="s">
        <v>40</v>
      </c>
      <c r="D34" t="s">
        <v>25</v>
      </c>
      <c r="E34">
        <v>1</v>
      </c>
    </row>
    <row r="35" spans="1:5" x14ac:dyDescent="0.3">
      <c r="A35">
        <v>9</v>
      </c>
      <c r="B35" s="6">
        <v>484</v>
      </c>
      <c r="C35" t="s">
        <v>41</v>
      </c>
      <c r="D35" t="s">
        <v>25</v>
      </c>
      <c r="E35">
        <v>1</v>
      </c>
    </row>
    <row r="36" spans="1:5" x14ac:dyDescent="0.3">
      <c r="A36">
        <v>9</v>
      </c>
      <c r="B36" s="6">
        <v>604</v>
      </c>
      <c r="C36" t="s">
        <v>42</v>
      </c>
      <c r="D36" t="s">
        <v>25</v>
      </c>
      <c r="E36">
        <v>1</v>
      </c>
    </row>
  </sheetData>
  <hyperlinks>
    <hyperlink ref="F14" r:id="rId1"/>
    <hyperlink ref="F15" r:id="rId2"/>
    <hyperlink ref="F16" r:id="rId3"/>
    <hyperlink ref="F17" r:id="rId4"/>
    <hyperlink ref="F18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workbookViewId="0">
      <selection activeCell="B1" sqref="B1"/>
    </sheetView>
  </sheetViews>
  <sheetFormatPr baseColWidth="10" defaultRowHeight="14.4" x14ac:dyDescent="0.3"/>
  <cols>
    <col min="1" max="1" width="40.109375" bestFit="1" customWidth="1"/>
  </cols>
  <sheetData>
    <row r="1" spans="1:2" ht="15.6" x14ac:dyDescent="0.3">
      <c r="A1" s="4" t="s">
        <v>139</v>
      </c>
      <c r="B1" s="1" t="s">
        <v>369</v>
      </c>
    </row>
    <row r="2" spans="1:2" x14ac:dyDescent="0.3">
      <c r="A2" t="s">
        <v>140</v>
      </c>
      <c r="B2" s="5">
        <v>4</v>
      </c>
    </row>
    <row r="3" spans="1:2" x14ac:dyDescent="0.3">
      <c r="A3" t="s">
        <v>141</v>
      </c>
      <c r="B3" s="5">
        <v>8</v>
      </c>
    </row>
    <row r="4" spans="1:2" x14ac:dyDescent="0.3">
      <c r="A4" t="s">
        <v>142</v>
      </c>
      <c r="B4" s="5">
        <v>276</v>
      </c>
    </row>
    <row r="5" spans="1:2" x14ac:dyDescent="0.3">
      <c r="A5" t="s">
        <v>143</v>
      </c>
      <c r="B5" s="5">
        <v>20</v>
      </c>
    </row>
    <row r="6" spans="1:2" x14ac:dyDescent="0.3">
      <c r="A6" t="s">
        <v>144</v>
      </c>
      <c r="B6" s="5">
        <v>24</v>
      </c>
    </row>
    <row r="7" spans="1:2" x14ac:dyDescent="0.3">
      <c r="A7" t="s">
        <v>145</v>
      </c>
      <c r="B7" s="5">
        <v>660</v>
      </c>
    </row>
    <row r="8" spans="1:2" x14ac:dyDescent="0.3">
      <c r="A8" t="s">
        <v>146</v>
      </c>
      <c r="B8" s="5">
        <v>10</v>
      </c>
    </row>
    <row r="9" spans="1:2" x14ac:dyDescent="0.3">
      <c r="A9" t="s">
        <v>147</v>
      </c>
      <c r="B9" s="5">
        <v>28</v>
      </c>
    </row>
    <row r="10" spans="1:2" x14ac:dyDescent="0.3">
      <c r="A10" t="s">
        <v>148</v>
      </c>
      <c r="B10" s="5">
        <v>530</v>
      </c>
    </row>
    <row r="11" spans="1:2" x14ac:dyDescent="0.3">
      <c r="A11" t="s">
        <v>149</v>
      </c>
      <c r="B11" s="5">
        <v>682</v>
      </c>
    </row>
    <row r="12" spans="1:2" x14ac:dyDescent="0.3">
      <c r="A12" t="s">
        <v>150</v>
      </c>
      <c r="B12" s="5">
        <v>12</v>
      </c>
    </row>
    <row r="13" spans="1:2" x14ac:dyDescent="0.3">
      <c r="A13" t="s">
        <v>99</v>
      </c>
      <c r="B13" s="5">
        <v>32</v>
      </c>
    </row>
    <row r="14" spans="1:2" x14ac:dyDescent="0.3">
      <c r="A14" t="s">
        <v>151</v>
      </c>
      <c r="B14" s="5">
        <v>51</v>
      </c>
    </row>
    <row r="15" spans="1:2" x14ac:dyDescent="0.3">
      <c r="A15" t="s">
        <v>152</v>
      </c>
      <c r="B15" s="5">
        <v>533</v>
      </c>
    </row>
    <row r="16" spans="1:2" x14ac:dyDescent="0.3">
      <c r="A16" t="s">
        <v>91</v>
      </c>
      <c r="B16" s="5">
        <v>36</v>
      </c>
    </row>
    <row r="17" spans="1:2" x14ac:dyDescent="0.3">
      <c r="A17" t="s">
        <v>153</v>
      </c>
      <c r="B17" s="5">
        <v>40</v>
      </c>
    </row>
    <row r="18" spans="1:2" x14ac:dyDescent="0.3">
      <c r="A18" t="s">
        <v>154</v>
      </c>
      <c r="B18" s="5">
        <v>31</v>
      </c>
    </row>
    <row r="19" spans="1:2" x14ac:dyDescent="0.3">
      <c r="A19" t="s">
        <v>155</v>
      </c>
      <c r="B19" s="5">
        <v>44</v>
      </c>
    </row>
    <row r="20" spans="1:2" x14ac:dyDescent="0.3">
      <c r="A20" t="s">
        <v>156</v>
      </c>
      <c r="B20" s="5">
        <v>48</v>
      </c>
    </row>
    <row r="21" spans="1:2" x14ac:dyDescent="0.3">
      <c r="A21" t="s">
        <v>157</v>
      </c>
      <c r="B21" s="5">
        <v>50</v>
      </c>
    </row>
    <row r="22" spans="1:2" x14ac:dyDescent="0.3">
      <c r="A22" t="s">
        <v>158</v>
      </c>
      <c r="B22" s="5">
        <v>52</v>
      </c>
    </row>
    <row r="23" spans="1:2" x14ac:dyDescent="0.3">
      <c r="A23" t="s">
        <v>159</v>
      </c>
      <c r="B23" s="5">
        <v>112</v>
      </c>
    </row>
    <row r="24" spans="1:2" x14ac:dyDescent="0.3">
      <c r="A24" t="s">
        <v>160</v>
      </c>
      <c r="B24" s="5">
        <v>56</v>
      </c>
    </row>
    <row r="25" spans="1:2" x14ac:dyDescent="0.3">
      <c r="A25" t="s">
        <v>161</v>
      </c>
      <c r="B25" s="5">
        <v>84</v>
      </c>
    </row>
    <row r="26" spans="1:2" x14ac:dyDescent="0.3">
      <c r="A26" t="s">
        <v>162</v>
      </c>
      <c r="B26" s="5">
        <v>204</v>
      </c>
    </row>
    <row r="27" spans="1:2" x14ac:dyDescent="0.3">
      <c r="A27" t="s">
        <v>163</v>
      </c>
      <c r="B27" s="5">
        <v>60</v>
      </c>
    </row>
    <row r="28" spans="1:2" x14ac:dyDescent="0.3">
      <c r="A28" t="s">
        <v>164</v>
      </c>
      <c r="B28" s="5">
        <v>64</v>
      </c>
    </row>
    <row r="29" spans="1:2" x14ac:dyDescent="0.3">
      <c r="A29" t="s">
        <v>165</v>
      </c>
      <c r="B29" s="5">
        <v>68</v>
      </c>
    </row>
    <row r="30" spans="1:2" x14ac:dyDescent="0.3">
      <c r="A30" t="s">
        <v>166</v>
      </c>
      <c r="B30" s="5">
        <v>70</v>
      </c>
    </row>
    <row r="31" spans="1:2" x14ac:dyDescent="0.3">
      <c r="A31" t="s">
        <v>167</v>
      </c>
      <c r="B31" s="5">
        <v>72</v>
      </c>
    </row>
    <row r="32" spans="1:2" x14ac:dyDescent="0.3">
      <c r="A32" t="s">
        <v>95</v>
      </c>
      <c r="B32" s="5">
        <v>76</v>
      </c>
    </row>
    <row r="33" spans="1:2" x14ac:dyDescent="0.3">
      <c r="A33" t="s">
        <v>168</v>
      </c>
      <c r="B33" s="5">
        <v>96</v>
      </c>
    </row>
    <row r="34" spans="1:2" x14ac:dyDescent="0.3">
      <c r="A34" t="s">
        <v>169</v>
      </c>
      <c r="B34" s="5">
        <v>100</v>
      </c>
    </row>
    <row r="35" spans="1:2" x14ac:dyDescent="0.3">
      <c r="A35" t="s">
        <v>170</v>
      </c>
      <c r="B35" s="5">
        <v>854</v>
      </c>
    </row>
    <row r="36" spans="1:2" x14ac:dyDescent="0.3">
      <c r="A36" t="s">
        <v>171</v>
      </c>
      <c r="B36" s="5">
        <v>108</v>
      </c>
    </row>
    <row r="37" spans="1:2" x14ac:dyDescent="0.3">
      <c r="A37" t="s">
        <v>172</v>
      </c>
      <c r="B37" s="5">
        <v>132</v>
      </c>
    </row>
    <row r="38" spans="1:2" x14ac:dyDescent="0.3">
      <c r="A38" t="s">
        <v>173</v>
      </c>
      <c r="B38" s="5">
        <v>116</v>
      </c>
    </row>
    <row r="39" spans="1:2" x14ac:dyDescent="0.3">
      <c r="A39" t="s">
        <v>174</v>
      </c>
      <c r="B39" s="5">
        <v>120</v>
      </c>
    </row>
    <row r="40" spans="1:2" x14ac:dyDescent="0.3">
      <c r="A40" t="s">
        <v>175</v>
      </c>
      <c r="B40" s="5">
        <v>124</v>
      </c>
    </row>
    <row r="41" spans="1:2" x14ac:dyDescent="0.3">
      <c r="A41" t="s">
        <v>176</v>
      </c>
      <c r="B41" s="5">
        <v>148</v>
      </c>
    </row>
    <row r="42" spans="1:2" x14ac:dyDescent="0.3">
      <c r="A42" t="s">
        <v>88</v>
      </c>
      <c r="B42" s="5">
        <v>152</v>
      </c>
    </row>
    <row r="43" spans="1:2" x14ac:dyDescent="0.3">
      <c r="A43" t="s">
        <v>177</v>
      </c>
      <c r="B43" s="5">
        <v>156</v>
      </c>
    </row>
    <row r="44" spans="1:2" x14ac:dyDescent="0.3">
      <c r="A44" t="s">
        <v>178</v>
      </c>
      <c r="B44" s="5">
        <v>196</v>
      </c>
    </row>
    <row r="45" spans="1:2" x14ac:dyDescent="0.3">
      <c r="A45" t="s">
        <v>179</v>
      </c>
      <c r="B45" s="5">
        <v>336</v>
      </c>
    </row>
    <row r="46" spans="1:2" x14ac:dyDescent="0.3">
      <c r="A46" t="s">
        <v>90</v>
      </c>
      <c r="B46" s="5">
        <v>170</v>
      </c>
    </row>
    <row r="47" spans="1:2" x14ac:dyDescent="0.3">
      <c r="A47" t="s">
        <v>180</v>
      </c>
      <c r="B47" s="5">
        <v>174</v>
      </c>
    </row>
    <row r="48" spans="1:2" x14ac:dyDescent="0.3">
      <c r="A48" t="s">
        <v>181</v>
      </c>
      <c r="B48" s="5">
        <v>178</v>
      </c>
    </row>
    <row r="49" spans="1:2" x14ac:dyDescent="0.3">
      <c r="A49" t="s">
        <v>182</v>
      </c>
      <c r="B49" s="5">
        <v>408</v>
      </c>
    </row>
    <row r="50" spans="1:2" x14ac:dyDescent="0.3">
      <c r="A50" t="s">
        <v>183</v>
      </c>
      <c r="B50" s="5">
        <v>410</v>
      </c>
    </row>
    <row r="51" spans="1:2" x14ac:dyDescent="0.3">
      <c r="A51" t="s">
        <v>184</v>
      </c>
      <c r="B51" s="5">
        <v>384</v>
      </c>
    </row>
    <row r="52" spans="1:2" x14ac:dyDescent="0.3">
      <c r="A52" t="s">
        <v>185</v>
      </c>
      <c r="B52" s="5">
        <v>188</v>
      </c>
    </row>
    <row r="53" spans="1:2" x14ac:dyDescent="0.3">
      <c r="A53" t="s">
        <v>186</v>
      </c>
      <c r="B53" s="5">
        <v>191</v>
      </c>
    </row>
    <row r="54" spans="1:2" x14ac:dyDescent="0.3">
      <c r="A54" t="s">
        <v>187</v>
      </c>
      <c r="B54" s="5">
        <v>192</v>
      </c>
    </row>
    <row r="55" spans="1:2" x14ac:dyDescent="0.3">
      <c r="A55" t="s">
        <v>188</v>
      </c>
      <c r="B55" s="5">
        <v>208</v>
      </c>
    </row>
    <row r="56" spans="1:2" x14ac:dyDescent="0.3">
      <c r="A56" t="s">
        <v>189</v>
      </c>
      <c r="B56" s="5">
        <v>212</v>
      </c>
    </row>
    <row r="57" spans="1:2" x14ac:dyDescent="0.3">
      <c r="A57" t="s">
        <v>190</v>
      </c>
      <c r="B57" s="5">
        <v>218</v>
      </c>
    </row>
    <row r="58" spans="1:2" x14ac:dyDescent="0.3">
      <c r="A58" t="s">
        <v>191</v>
      </c>
      <c r="B58" s="5">
        <v>818</v>
      </c>
    </row>
    <row r="59" spans="1:2" x14ac:dyDescent="0.3">
      <c r="A59" t="s">
        <v>192</v>
      </c>
      <c r="B59" s="5">
        <v>222</v>
      </c>
    </row>
    <row r="60" spans="1:2" x14ac:dyDescent="0.3">
      <c r="A60" t="s">
        <v>193</v>
      </c>
      <c r="B60" s="5">
        <v>784</v>
      </c>
    </row>
    <row r="61" spans="1:2" x14ac:dyDescent="0.3">
      <c r="A61" t="s">
        <v>194</v>
      </c>
      <c r="B61" s="5">
        <v>232</v>
      </c>
    </row>
    <row r="62" spans="1:2" x14ac:dyDescent="0.3">
      <c r="A62" t="s">
        <v>195</v>
      </c>
      <c r="B62" s="5">
        <v>703</v>
      </c>
    </row>
    <row r="63" spans="1:2" x14ac:dyDescent="0.3">
      <c r="A63" t="s">
        <v>196</v>
      </c>
      <c r="B63" s="5">
        <v>705</v>
      </c>
    </row>
    <row r="64" spans="1:2" x14ac:dyDescent="0.3">
      <c r="A64" t="s">
        <v>197</v>
      </c>
      <c r="B64" s="5">
        <v>724</v>
      </c>
    </row>
    <row r="65" spans="1:2" x14ac:dyDescent="0.3">
      <c r="A65" t="s">
        <v>198</v>
      </c>
      <c r="B65" s="5">
        <v>840</v>
      </c>
    </row>
    <row r="66" spans="1:2" x14ac:dyDescent="0.3">
      <c r="A66" t="s">
        <v>199</v>
      </c>
      <c r="B66" s="5">
        <v>233</v>
      </c>
    </row>
    <row r="67" spans="1:2" x14ac:dyDescent="0.3">
      <c r="A67" t="s">
        <v>200</v>
      </c>
      <c r="B67" s="5">
        <v>231</v>
      </c>
    </row>
    <row r="68" spans="1:2" x14ac:dyDescent="0.3">
      <c r="A68" t="s">
        <v>201</v>
      </c>
      <c r="B68" s="5">
        <v>242</v>
      </c>
    </row>
    <row r="69" spans="1:2" x14ac:dyDescent="0.3">
      <c r="A69" t="s">
        <v>202</v>
      </c>
      <c r="B69" s="5">
        <v>608</v>
      </c>
    </row>
    <row r="70" spans="1:2" x14ac:dyDescent="0.3">
      <c r="A70" t="s">
        <v>203</v>
      </c>
      <c r="B70" s="5">
        <v>246</v>
      </c>
    </row>
    <row r="71" spans="1:2" x14ac:dyDescent="0.3">
      <c r="A71" t="s">
        <v>204</v>
      </c>
      <c r="B71" s="5">
        <v>250</v>
      </c>
    </row>
    <row r="72" spans="1:2" x14ac:dyDescent="0.3">
      <c r="A72" t="s">
        <v>205</v>
      </c>
      <c r="B72" s="5">
        <v>266</v>
      </c>
    </row>
    <row r="73" spans="1:2" x14ac:dyDescent="0.3">
      <c r="A73" t="s">
        <v>206</v>
      </c>
      <c r="B73" s="5">
        <v>270</v>
      </c>
    </row>
    <row r="74" spans="1:2" x14ac:dyDescent="0.3">
      <c r="A74" t="s">
        <v>207</v>
      </c>
      <c r="B74" s="5">
        <v>268</v>
      </c>
    </row>
    <row r="75" spans="1:2" x14ac:dyDescent="0.3">
      <c r="A75" t="s">
        <v>208</v>
      </c>
      <c r="B75" s="5">
        <v>239</v>
      </c>
    </row>
    <row r="76" spans="1:2" x14ac:dyDescent="0.3">
      <c r="A76" t="s">
        <v>209</v>
      </c>
      <c r="B76" s="5">
        <v>288</v>
      </c>
    </row>
    <row r="77" spans="1:2" x14ac:dyDescent="0.3">
      <c r="A77" t="s">
        <v>210</v>
      </c>
      <c r="B77" s="5">
        <v>292</v>
      </c>
    </row>
    <row r="78" spans="1:2" x14ac:dyDescent="0.3">
      <c r="A78" t="s">
        <v>211</v>
      </c>
      <c r="B78" s="5">
        <v>308</v>
      </c>
    </row>
    <row r="79" spans="1:2" x14ac:dyDescent="0.3">
      <c r="A79" t="s">
        <v>212</v>
      </c>
      <c r="B79" s="5">
        <v>300</v>
      </c>
    </row>
    <row r="80" spans="1:2" x14ac:dyDescent="0.3">
      <c r="A80" t="s">
        <v>213</v>
      </c>
      <c r="B80" s="5">
        <v>304</v>
      </c>
    </row>
    <row r="81" spans="1:2" x14ac:dyDescent="0.3">
      <c r="A81" t="s">
        <v>214</v>
      </c>
      <c r="B81" s="5">
        <v>312</v>
      </c>
    </row>
    <row r="82" spans="1:2" x14ac:dyDescent="0.3">
      <c r="A82" t="s">
        <v>215</v>
      </c>
      <c r="B82" s="5">
        <v>316</v>
      </c>
    </row>
    <row r="83" spans="1:2" x14ac:dyDescent="0.3">
      <c r="A83" t="s">
        <v>216</v>
      </c>
      <c r="B83" s="5">
        <v>320</v>
      </c>
    </row>
    <row r="84" spans="1:2" x14ac:dyDescent="0.3">
      <c r="A84" t="s">
        <v>217</v>
      </c>
      <c r="B84" s="5">
        <v>328</v>
      </c>
    </row>
    <row r="85" spans="1:2" x14ac:dyDescent="0.3">
      <c r="A85" t="s">
        <v>218</v>
      </c>
      <c r="B85" s="5">
        <v>254</v>
      </c>
    </row>
    <row r="86" spans="1:2" x14ac:dyDescent="0.3">
      <c r="A86" t="s">
        <v>219</v>
      </c>
      <c r="B86" s="5">
        <v>831</v>
      </c>
    </row>
    <row r="87" spans="1:2" x14ac:dyDescent="0.3">
      <c r="A87" t="s">
        <v>220</v>
      </c>
      <c r="B87" s="5">
        <v>324</v>
      </c>
    </row>
    <row r="88" spans="1:2" x14ac:dyDescent="0.3">
      <c r="A88" t="s">
        <v>221</v>
      </c>
      <c r="B88" s="5">
        <v>226</v>
      </c>
    </row>
    <row r="89" spans="1:2" x14ac:dyDescent="0.3">
      <c r="A89" t="s">
        <v>222</v>
      </c>
      <c r="B89" s="5">
        <v>624</v>
      </c>
    </row>
    <row r="90" spans="1:2" x14ac:dyDescent="0.3">
      <c r="A90" t="s">
        <v>223</v>
      </c>
      <c r="B90" s="5">
        <v>332</v>
      </c>
    </row>
    <row r="91" spans="1:2" x14ac:dyDescent="0.3">
      <c r="A91" t="s">
        <v>224</v>
      </c>
      <c r="B91" s="5">
        <v>340</v>
      </c>
    </row>
    <row r="92" spans="1:2" x14ac:dyDescent="0.3">
      <c r="A92" t="s">
        <v>225</v>
      </c>
      <c r="B92" s="5">
        <v>344</v>
      </c>
    </row>
    <row r="93" spans="1:2" x14ac:dyDescent="0.3">
      <c r="A93" t="s">
        <v>226</v>
      </c>
      <c r="B93" s="5">
        <v>348</v>
      </c>
    </row>
    <row r="94" spans="1:2" x14ac:dyDescent="0.3">
      <c r="A94" t="s">
        <v>227</v>
      </c>
      <c r="B94" s="5">
        <v>356</v>
      </c>
    </row>
    <row r="95" spans="1:2" x14ac:dyDescent="0.3">
      <c r="A95" t="s">
        <v>228</v>
      </c>
      <c r="B95" s="5">
        <v>360</v>
      </c>
    </row>
    <row r="96" spans="1:2" x14ac:dyDescent="0.3">
      <c r="A96" t="s">
        <v>229</v>
      </c>
      <c r="B96" s="5">
        <v>368</v>
      </c>
    </row>
    <row r="97" spans="1:2" x14ac:dyDescent="0.3">
      <c r="A97" t="s">
        <v>230</v>
      </c>
      <c r="B97" s="5">
        <v>364</v>
      </c>
    </row>
    <row r="98" spans="1:2" x14ac:dyDescent="0.3">
      <c r="A98" t="s">
        <v>231</v>
      </c>
      <c r="B98" s="5">
        <v>372</v>
      </c>
    </row>
    <row r="99" spans="1:2" x14ac:dyDescent="0.3">
      <c r="A99" t="s">
        <v>232</v>
      </c>
      <c r="B99" s="5">
        <v>74</v>
      </c>
    </row>
    <row r="100" spans="1:2" x14ac:dyDescent="0.3">
      <c r="A100" t="s">
        <v>233</v>
      </c>
      <c r="B100" s="5">
        <v>833</v>
      </c>
    </row>
    <row r="101" spans="1:2" x14ac:dyDescent="0.3">
      <c r="A101" t="s">
        <v>234</v>
      </c>
      <c r="B101" s="5">
        <v>352</v>
      </c>
    </row>
    <row r="102" spans="1:2" x14ac:dyDescent="0.3">
      <c r="A102" t="s">
        <v>235</v>
      </c>
      <c r="B102" s="5">
        <v>248</v>
      </c>
    </row>
    <row r="103" spans="1:2" x14ac:dyDescent="0.3">
      <c r="A103" t="s">
        <v>236</v>
      </c>
      <c r="B103" s="5">
        <v>136</v>
      </c>
    </row>
    <row r="104" spans="1:2" x14ac:dyDescent="0.3">
      <c r="A104" t="s">
        <v>237</v>
      </c>
      <c r="B104" s="5">
        <v>162</v>
      </c>
    </row>
    <row r="105" spans="1:2" x14ac:dyDescent="0.3">
      <c r="A105" t="s">
        <v>238</v>
      </c>
      <c r="B105" s="5">
        <v>166</v>
      </c>
    </row>
    <row r="106" spans="1:2" x14ac:dyDescent="0.3">
      <c r="A106" t="s">
        <v>239</v>
      </c>
      <c r="B106" s="5">
        <v>184</v>
      </c>
    </row>
    <row r="107" spans="1:2" x14ac:dyDescent="0.3">
      <c r="A107" t="s">
        <v>240</v>
      </c>
      <c r="B107" s="5">
        <v>234</v>
      </c>
    </row>
    <row r="108" spans="1:2" x14ac:dyDescent="0.3">
      <c r="A108" t="s">
        <v>241</v>
      </c>
      <c r="B108" s="5">
        <v>334</v>
      </c>
    </row>
    <row r="109" spans="1:2" x14ac:dyDescent="0.3">
      <c r="A109" t="s">
        <v>242</v>
      </c>
      <c r="B109" s="5">
        <v>238</v>
      </c>
    </row>
    <row r="110" spans="1:2" x14ac:dyDescent="0.3">
      <c r="A110" t="s">
        <v>243</v>
      </c>
      <c r="B110" s="5">
        <v>584</v>
      </c>
    </row>
    <row r="111" spans="1:2" x14ac:dyDescent="0.3">
      <c r="A111" t="s">
        <v>244</v>
      </c>
      <c r="B111" s="5">
        <v>574</v>
      </c>
    </row>
    <row r="112" spans="1:2" x14ac:dyDescent="0.3">
      <c r="A112" t="s">
        <v>245</v>
      </c>
      <c r="B112" s="5">
        <v>585</v>
      </c>
    </row>
    <row r="113" spans="1:2" x14ac:dyDescent="0.3">
      <c r="A113" t="s">
        <v>246</v>
      </c>
      <c r="B113" s="5">
        <v>612</v>
      </c>
    </row>
    <row r="114" spans="1:2" x14ac:dyDescent="0.3">
      <c r="A114" t="s">
        <v>247</v>
      </c>
      <c r="B114" s="5">
        <v>90</v>
      </c>
    </row>
    <row r="115" spans="1:2" x14ac:dyDescent="0.3">
      <c r="A115" t="s">
        <v>248</v>
      </c>
      <c r="B115" s="5">
        <v>744</v>
      </c>
    </row>
    <row r="116" spans="1:2" x14ac:dyDescent="0.3">
      <c r="A116" t="s">
        <v>249</v>
      </c>
      <c r="B116" s="5">
        <v>796</v>
      </c>
    </row>
    <row r="117" spans="1:2" x14ac:dyDescent="0.3">
      <c r="A117" t="s">
        <v>250</v>
      </c>
      <c r="B117" s="5">
        <v>92</v>
      </c>
    </row>
    <row r="118" spans="1:2" x14ac:dyDescent="0.3">
      <c r="A118" t="s">
        <v>251</v>
      </c>
      <c r="B118" s="5">
        <v>850</v>
      </c>
    </row>
    <row r="119" spans="1:2" x14ac:dyDescent="0.3">
      <c r="A119" t="s">
        <v>252</v>
      </c>
      <c r="B119" s="5">
        <v>376</v>
      </c>
    </row>
    <row r="120" spans="1:2" x14ac:dyDescent="0.3">
      <c r="A120" t="s">
        <v>253</v>
      </c>
      <c r="B120" s="5">
        <v>380</v>
      </c>
    </row>
    <row r="121" spans="1:2" x14ac:dyDescent="0.3">
      <c r="A121" t="s">
        <v>254</v>
      </c>
      <c r="B121" s="5">
        <v>388</v>
      </c>
    </row>
    <row r="122" spans="1:2" x14ac:dyDescent="0.3">
      <c r="A122" t="s">
        <v>255</v>
      </c>
      <c r="B122" s="5">
        <v>392</v>
      </c>
    </row>
    <row r="123" spans="1:2" x14ac:dyDescent="0.3">
      <c r="A123" t="s">
        <v>256</v>
      </c>
      <c r="B123" s="5">
        <v>832</v>
      </c>
    </row>
    <row r="124" spans="1:2" x14ac:dyDescent="0.3">
      <c r="A124" t="s">
        <v>257</v>
      </c>
      <c r="B124" s="5">
        <v>400</v>
      </c>
    </row>
    <row r="125" spans="1:2" x14ac:dyDescent="0.3">
      <c r="A125" t="s">
        <v>258</v>
      </c>
      <c r="B125" s="5">
        <v>398</v>
      </c>
    </row>
    <row r="126" spans="1:2" x14ac:dyDescent="0.3">
      <c r="A126" t="s">
        <v>259</v>
      </c>
      <c r="B126" s="5">
        <v>404</v>
      </c>
    </row>
    <row r="127" spans="1:2" x14ac:dyDescent="0.3">
      <c r="A127" t="s">
        <v>260</v>
      </c>
      <c r="B127" s="5">
        <v>417</v>
      </c>
    </row>
    <row r="128" spans="1:2" x14ac:dyDescent="0.3">
      <c r="A128" t="s">
        <v>261</v>
      </c>
      <c r="B128" s="5">
        <v>296</v>
      </c>
    </row>
    <row r="129" spans="1:2" x14ac:dyDescent="0.3">
      <c r="A129" t="s">
        <v>262</v>
      </c>
      <c r="B129" s="5">
        <v>414</v>
      </c>
    </row>
    <row r="130" spans="1:2" x14ac:dyDescent="0.3">
      <c r="A130" t="s">
        <v>263</v>
      </c>
      <c r="B130" s="5">
        <v>418</v>
      </c>
    </row>
    <row r="131" spans="1:2" x14ac:dyDescent="0.3">
      <c r="A131" t="s">
        <v>264</v>
      </c>
      <c r="B131" s="5">
        <v>426</v>
      </c>
    </row>
    <row r="132" spans="1:2" x14ac:dyDescent="0.3">
      <c r="A132" t="s">
        <v>265</v>
      </c>
      <c r="B132" s="5">
        <v>428</v>
      </c>
    </row>
    <row r="133" spans="1:2" x14ac:dyDescent="0.3">
      <c r="A133" t="s">
        <v>266</v>
      </c>
      <c r="B133" s="5">
        <v>422</v>
      </c>
    </row>
    <row r="134" spans="1:2" x14ac:dyDescent="0.3">
      <c r="A134" t="s">
        <v>267</v>
      </c>
      <c r="B134" s="5">
        <v>430</v>
      </c>
    </row>
    <row r="135" spans="1:2" x14ac:dyDescent="0.3">
      <c r="A135" t="s">
        <v>268</v>
      </c>
      <c r="B135" s="5">
        <v>434</v>
      </c>
    </row>
    <row r="136" spans="1:2" x14ac:dyDescent="0.3">
      <c r="A136" t="s">
        <v>269</v>
      </c>
      <c r="B136" s="5">
        <v>438</v>
      </c>
    </row>
    <row r="137" spans="1:2" x14ac:dyDescent="0.3">
      <c r="A137" t="s">
        <v>270</v>
      </c>
      <c r="B137" s="5">
        <v>440</v>
      </c>
    </row>
    <row r="138" spans="1:2" x14ac:dyDescent="0.3">
      <c r="A138" t="s">
        <v>271</v>
      </c>
      <c r="B138" s="5">
        <v>442</v>
      </c>
    </row>
    <row r="139" spans="1:2" x14ac:dyDescent="0.3">
      <c r="A139" t="s">
        <v>272</v>
      </c>
      <c r="B139" s="5">
        <v>446</v>
      </c>
    </row>
    <row r="140" spans="1:2" x14ac:dyDescent="0.3">
      <c r="A140" t="s">
        <v>273</v>
      </c>
      <c r="B140" s="5">
        <v>807</v>
      </c>
    </row>
    <row r="141" spans="1:2" x14ac:dyDescent="0.3">
      <c r="A141" t="s">
        <v>274</v>
      </c>
      <c r="B141" s="5">
        <v>450</v>
      </c>
    </row>
    <row r="142" spans="1:2" x14ac:dyDescent="0.3">
      <c r="A142" t="s">
        <v>275</v>
      </c>
      <c r="B142" s="5">
        <v>458</v>
      </c>
    </row>
    <row r="143" spans="1:2" x14ac:dyDescent="0.3">
      <c r="A143" t="s">
        <v>276</v>
      </c>
      <c r="B143" s="5">
        <v>454</v>
      </c>
    </row>
    <row r="144" spans="1:2" x14ac:dyDescent="0.3">
      <c r="A144" t="s">
        <v>277</v>
      </c>
      <c r="B144" s="5">
        <v>462</v>
      </c>
    </row>
    <row r="145" spans="1:2" x14ac:dyDescent="0.3">
      <c r="A145" t="s">
        <v>278</v>
      </c>
      <c r="B145" s="5">
        <v>466</v>
      </c>
    </row>
    <row r="146" spans="1:2" x14ac:dyDescent="0.3">
      <c r="A146" t="s">
        <v>279</v>
      </c>
      <c r="B146" s="5">
        <v>470</v>
      </c>
    </row>
    <row r="147" spans="1:2" x14ac:dyDescent="0.3">
      <c r="A147" t="s">
        <v>280</v>
      </c>
      <c r="B147" s="5">
        <v>504</v>
      </c>
    </row>
    <row r="148" spans="1:2" x14ac:dyDescent="0.3">
      <c r="A148" t="s">
        <v>281</v>
      </c>
      <c r="B148" s="5">
        <v>474</v>
      </c>
    </row>
    <row r="149" spans="1:2" x14ac:dyDescent="0.3">
      <c r="A149" t="s">
        <v>282</v>
      </c>
      <c r="B149" s="5">
        <v>480</v>
      </c>
    </row>
    <row r="150" spans="1:2" x14ac:dyDescent="0.3">
      <c r="A150" t="s">
        <v>283</v>
      </c>
      <c r="B150" s="5">
        <v>478</v>
      </c>
    </row>
    <row r="151" spans="1:2" x14ac:dyDescent="0.3">
      <c r="A151" t="s">
        <v>284</v>
      </c>
      <c r="B151" s="5">
        <v>175</v>
      </c>
    </row>
    <row r="152" spans="1:2" x14ac:dyDescent="0.3">
      <c r="A152" t="s">
        <v>89</v>
      </c>
      <c r="B152" s="5">
        <v>484</v>
      </c>
    </row>
    <row r="153" spans="1:2" x14ac:dyDescent="0.3">
      <c r="A153" t="s">
        <v>285</v>
      </c>
      <c r="B153" s="5">
        <v>583</v>
      </c>
    </row>
    <row r="154" spans="1:2" x14ac:dyDescent="0.3">
      <c r="A154" t="s">
        <v>286</v>
      </c>
      <c r="B154" s="5">
        <v>498</v>
      </c>
    </row>
    <row r="155" spans="1:2" x14ac:dyDescent="0.3">
      <c r="A155" t="s">
        <v>287</v>
      </c>
      <c r="B155" s="5">
        <v>492</v>
      </c>
    </row>
    <row r="156" spans="1:2" x14ac:dyDescent="0.3">
      <c r="A156" t="s">
        <v>288</v>
      </c>
      <c r="B156" s="5">
        <v>496</v>
      </c>
    </row>
    <row r="157" spans="1:2" x14ac:dyDescent="0.3">
      <c r="A157" t="s">
        <v>289</v>
      </c>
      <c r="B157" s="5">
        <v>499</v>
      </c>
    </row>
    <row r="158" spans="1:2" x14ac:dyDescent="0.3">
      <c r="A158" t="s">
        <v>290</v>
      </c>
      <c r="B158" s="5">
        <v>500</v>
      </c>
    </row>
    <row r="159" spans="1:2" x14ac:dyDescent="0.3">
      <c r="A159" t="s">
        <v>291</v>
      </c>
      <c r="B159" s="5">
        <v>508</v>
      </c>
    </row>
    <row r="160" spans="1:2" x14ac:dyDescent="0.3">
      <c r="A160" t="s">
        <v>292</v>
      </c>
      <c r="B160" s="5">
        <v>104</v>
      </c>
    </row>
    <row r="161" spans="1:2" x14ac:dyDescent="0.3">
      <c r="A161" t="s">
        <v>293</v>
      </c>
      <c r="B161" s="5">
        <v>516</v>
      </c>
    </row>
    <row r="162" spans="1:2" x14ac:dyDescent="0.3">
      <c r="A162" t="s">
        <v>294</v>
      </c>
      <c r="B162" s="5">
        <v>520</v>
      </c>
    </row>
    <row r="163" spans="1:2" x14ac:dyDescent="0.3">
      <c r="A163" t="s">
        <v>295</v>
      </c>
      <c r="B163" s="5">
        <v>524</v>
      </c>
    </row>
    <row r="164" spans="1:2" x14ac:dyDescent="0.3">
      <c r="A164" t="s">
        <v>296</v>
      </c>
      <c r="B164" s="5">
        <v>558</v>
      </c>
    </row>
    <row r="165" spans="1:2" x14ac:dyDescent="0.3">
      <c r="A165" t="s">
        <v>297</v>
      </c>
      <c r="B165" s="5">
        <v>562</v>
      </c>
    </row>
    <row r="166" spans="1:2" x14ac:dyDescent="0.3">
      <c r="A166" t="s">
        <v>298</v>
      </c>
      <c r="B166" s="5">
        <v>566</v>
      </c>
    </row>
    <row r="167" spans="1:2" x14ac:dyDescent="0.3">
      <c r="A167" t="s">
        <v>299</v>
      </c>
      <c r="B167" s="5">
        <v>570</v>
      </c>
    </row>
    <row r="168" spans="1:2" x14ac:dyDescent="0.3">
      <c r="A168" t="s">
        <v>300</v>
      </c>
      <c r="B168" s="5">
        <v>578</v>
      </c>
    </row>
    <row r="169" spans="1:2" x14ac:dyDescent="0.3">
      <c r="A169" t="s">
        <v>301</v>
      </c>
      <c r="B169" s="5">
        <v>540</v>
      </c>
    </row>
    <row r="170" spans="1:2" x14ac:dyDescent="0.3">
      <c r="A170" t="s">
        <v>93</v>
      </c>
      <c r="B170" s="5">
        <v>554</v>
      </c>
    </row>
    <row r="171" spans="1:2" x14ac:dyDescent="0.3">
      <c r="A171" t="s">
        <v>302</v>
      </c>
      <c r="B171" s="5">
        <v>512</v>
      </c>
    </row>
    <row r="172" spans="1:2" x14ac:dyDescent="0.3">
      <c r="A172" t="s">
        <v>303</v>
      </c>
      <c r="B172" s="5">
        <v>528</v>
      </c>
    </row>
    <row r="173" spans="1:2" x14ac:dyDescent="0.3">
      <c r="A173" t="s">
        <v>304</v>
      </c>
      <c r="B173" s="5">
        <v>586</v>
      </c>
    </row>
    <row r="174" spans="1:2" x14ac:dyDescent="0.3">
      <c r="A174" t="s">
        <v>305</v>
      </c>
      <c r="B174" s="5">
        <v>275</v>
      </c>
    </row>
    <row r="175" spans="1:2" x14ac:dyDescent="0.3">
      <c r="A175" t="s">
        <v>306</v>
      </c>
      <c r="B175" s="5">
        <v>591</v>
      </c>
    </row>
    <row r="176" spans="1:2" x14ac:dyDescent="0.3">
      <c r="A176" t="s">
        <v>307</v>
      </c>
      <c r="B176" s="5">
        <v>598</v>
      </c>
    </row>
    <row r="177" spans="1:2" x14ac:dyDescent="0.3">
      <c r="A177" t="s">
        <v>92</v>
      </c>
      <c r="B177" s="5">
        <v>600</v>
      </c>
    </row>
    <row r="178" spans="1:2" x14ac:dyDescent="0.3">
      <c r="A178" t="s">
        <v>94</v>
      </c>
      <c r="B178" s="5">
        <v>604</v>
      </c>
    </row>
    <row r="179" spans="1:2" x14ac:dyDescent="0.3">
      <c r="A179" t="s">
        <v>308</v>
      </c>
      <c r="B179" s="5">
        <v>258</v>
      </c>
    </row>
    <row r="180" spans="1:2" x14ac:dyDescent="0.3">
      <c r="A180" t="s">
        <v>309</v>
      </c>
      <c r="B180" s="5">
        <v>616</v>
      </c>
    </row>
    <row r="181" spans="1:2" x14ac:dyDescent="0.3">
      <c r="A181" t="s">
        <v>310</v>
      </c>
      <c r="B181" s="5">
        <v>620</v>
      </c>
    </row>
    <row r="182" spans="1:2" x14ac:dyDescent="0.3">
      <c r="A182" t="s">
        <v>311</v>
      </c>
      <c r="B182" s="5">
        <v>630</v>
      </c>
    </row>
    <row r="183" spans="1:2" x14ac:dyDescent="0.3">
      <c r="A183" t="s">
        <v>312</v>
      </c>
      <c r="B183" s="5">
        <v>634</v>
      </c>
    </row>
    <row r="184" spans="1:2" x14ac:dyDescent="0.3">
      <c r="A184" t="s">
        <v>313</v>
      </c>
      <c r="B184" s="5">
        <v>826</v>
      </c>
    </row>
    <row r="185" spans="1:2" x14ac:dyDescent="0.3">
      <c r="A185" t="s">
        <v>314</v>
      </c>
      <c r="B185" s="5">
        <v>140</v>
      </c>
    </row>
    <row r="186" spans="1:2" x14ac:dyDescent="0.3">
      <c r="A186" t="s">
        <v>315</v>
      </c>
      <c r="B186" s="5">
        <v>203</v>
      </c>
    </row>
    <row r="187" spans="1:2" x14ac:dyDescent="0.3">
      <c r="A187" t="s">
        <v>316</v>
      </c>
      <c r="B187" s="5">
        <v>214</v>
      </c>
    </row>
    <row r="188" spans="1:2" x14ac:dyDescent="0.3">
      <c r="A188" t="s">
        <v>317</v>
      </c>
      <c r="B188" s="5">
        <v>638</v>
      </c>
    </row>
    <row r="189" spans="1:2" x14ac:dyDescent="0.3">
      <c r="A189" t="s">
        <v>318</v>
      </c>
      <c r="B189" s="5">
        <v>646</v>
      </c>
    </row>
    <row r="190" spans="1:2" x14ac:dyDescent="0.3">
      <c r="A190" t="s">
        <v>319</v>
      </c>
      <c r="B190" s="5">
        <v>642</v>
      </c>
    </row>
    <row r="191" spans="1:2" x14ac:dyDescent="0.3">
      <c r="A191" t="s">
        <v>320</v>
      </c>
      <c r="B191" s="5">
        <v>643</v>
      </c>
    </row>
    <row r="192" spans="1:2" x14ac:dyDescent="0.3">
      <c r="A192" t="s">
        <v>321</v>
      </c>
      <c r="B192" s="5">
        <v>732</v>
      </c>
    </row>
    <row r="193" spans="1:2" x14ac:dyDescent="0.3">
      <c r="A193" t="s">
        <v>322</v>
      </c>
      <c r="B193" s="5">
        <v>882</v>
      </c>
    </row>
    <row r="194" spans="1:2" x14ac:dyDescent="0.3">
      <c r="A194" t="s">
        <v>323</v>
      </c>
      <c r="B194" s="5">
        <v>16</v>
      </c>
    </row>
    <row r="195" spans="1:2" x14ac:dyDescent="0.3">
      <c r="A195" t="s">
        <v>324</v>
      </c>
      <c r="B195" s="5">
        <v>652</v>
      </c>
    </row>
    <row r="196" spans="1:2" x14ac:dyDescent="0.3">
      <c r="A196" t="s">
        <v>325</v>
      </c>
      <c r="B196" s="5">
        <v>659</v>
      </c>
    </row>
    <row r="197" spans="1:2" x14ac:dyDescent="0.3">
      <c r="A197" t="s">
        <v>326</v>
      </c>
      <c r="B197" s="5">
        <v>674</v>
      </c>
    </row>
    <row r="198" spans="1:2" x14ac:dyDescent="0.3">
      <c r="A198" t="s">
        <v>327</v>
      </c>
      <c r="B198" s="5">
        <v>666</v>
      </c>
    </row>
    <row r="199" spans="1:2" x14ac:dyDescent="0.3">
      <c r="A199" t="s">
        <v>328</v>
      </c>
      <c r="B199" s="5">
        <v>670</v>
      </c>
    </row>
    <row r="200" spans="1:2" x14ac:dyDescent="0.3">
      <c r="A200" t="s">
        <v>329</v>
      </c>
      <c r="B200" s="5">
        <v>654</v>
      </c>
    </row>
    <row r="201" spans="1:2" x14ac:dyDescent="0.3">
      <c r="A201" t="s">
        <v>330</v>
      </c>
      <c r="B201" s="5">
        <v>662</v>
      </c>
    </row>
    <row r="202" spans="1:2" x14ac:dyDescent="0.3">
      <c r="A202" t="s">
        <v>331</v>
      </c>
      <c r="B202" s="5">
        <v>678</v>
      </c>
    </row>
    <row r="203" spans="1:2" x14ac:dyDescent="0.3">
      <c r="A203" t="s">
        <v>332</v>
      </c>
      <c r="B203" s="5">
        <v>686</v>
      </c>
    </row>
    <row r="204" spans="1:2" x14ac:dyDescent="0.3">
      <c r="A204" t="s">
        <v>333</v>
      </c>
      <c r="B204" s="5">
        <v>688</v>
      </c>
    </row>
    <row r="205" spans="1:2" x14ac:dyDescent="0.3">
      <c r="A205" t="s">
        <v>334</v>
      </c>
      <c r="B205" s="5">
        <v>690</v>
      </c>
    </row>
    <row r="206" spans="1:2" x14ac:dyDescent="0.3">
      <c r="A206" t="s">
        <v>335</v>
      </c>
      <c r="B206" s="5">
        <v>694</v>
      </c>
    </row>
    <row r="207" spans="1:2" x14ac:dyDescent="0.3">
      <c r="A207" t="s">
        <v>336</v>
      </c>
      <c r="B207" s="5">
        <v>702</v>
      </c>
    </row>
    <row r="208" spans="1:2" x14ac:dyDescent="0.3">
      <c r="A208" t="s">
        <v>337</v>
      </c>
      <c r="B208" s="5">
        <v>760</v>
      </c>
    </row>
    <row r="209" spans="1:2" x14ac:dyDescent="0.3">
      <c r="A209" t="s">
        <v>338</v>
      </c>
      <c r="B209" s="5">
        <v>706</v>
      </c>
    </row>
    <row r="210" spans="1:2" x14ac:dyDescent="0.3">
      <c r="A210" t="s">
        <v>339</v>
      </c>
      <c r="B210" s="5">
        <v>144</v>
      </c>
    </row>
    <row r="211" spans="1:2" x14ac:dyDescent="0.3">
      <c r="A211" t="s">
        <v>340</v>
      </c>
      <c r="B211" s="5">
        <v>748</v>
      </c>
    </row>
    <row r="212" spans="1:2" x14ac:dyDescent="0.3">
      <c r="A212" t="s">
        <v>100</v>
      </c>
      <c r="B212" s="5">
        <v>710</v>
      </c>
    </row>
    <row r="213" spans="1:2" x14ac:dyDescent="0.3">
      <c r="A213" t="s">
        <v>341</v>
      </c>
      <c r="B213" s="5">
        <v>736</v>
      </c>
    </row>
    <row r="214" spans="1:2" x14ac:dyDescent="0.3">
      <c r="A214" t="s">
        <v>342</v>
      </c>
      <c r="B214" s="5">
        <v>752</v>
      </c>
    </row>
    <row r="215" spans="1:2" x14ac:dyDescent="0.3">
      <c r="A215" t="s">
        <v>343</v>
      </c>
      <c r="B215" s="5">
        <v>756</v>
      </c>
    </row>
    <row r="216" spans="1:2" x14ac:dyDescent="0.3">
      <c r="A216" t="s">
        <v>344</v>
      </c>
      <c r="B216" s="5">
        <v>740</v>
      </c>
    </row>
    <row r="217" spans="1:2" x14ac:dyDescent="0.3">
      <c r="A217" t="s">
        <v>345</v>
      </c>
      <c r="B217" s="5">
        <v>764</v>
      </c>
    </row>
    <row r="218" spans="1:2" x14ac:dyDescent="0.3">
      <c r="A218" t="s">
        <v>346</v>
      </c>
      <c r="B218" s="5">
        <v>158</v>
      </c>
    </row>
    <row r="219" spans="1:2" x14ac:dyDescent="0.3">
      <c r="A219" t="s">
        <v>347</v>
      </c>
      <c r="B219" s="5">
        <v>834</v>
      </c>
    </row>
    <row r="220" spans="1:2" x14ac:dyDescent="0.3">
      <c r="A220" t="s">
        <v>348</v>
      </c>
      <c r="B220" s="5">
        <v>762</v>
      </c>
    </row>
    <row r="221" spans="1:2" x14ac:dyDescent="0.3">
      <c r="A221" t="s">
        <v>349</v>
      </c>
      <c r="B221" s="5">
        <v>86</v>
      </c>
    </row>
    <row r="222" spans="1:2" x14ac:dyDescent="0.3">
      <c r="A222" t="s">
        <v>350</v>
      </c>
      <c r="B222" s="5">
        <v>260</v>
      </c>
    </row>
    <row r="223" spans="1:2" x14ac:dyDescent="0.3">
      <c r="A223" t="s">
        <v>351</v>
      </c>
      <c r="B223" s="5">
        <v>626</v>
      </c>
    </row>
    <row r="224" spans="1:2" x14ac:dyDescent="0.3">
      <c r="A224" t="s">
        <v>352</v>
      </c>
      <c r="B224" s="5">
        <v>768</v>
      </c>
    </row>
    <row r="225" spans="1:2" x14ac:dyDescent="0.3">
      <c r="A225" t="s">
        <v>353</v>
      </c>
      <c r="B225" s="5">
        <v>772</v>
      </c>
    </row>
    <row r="226" spans="1:2" x14ac:dyDescent="0.3">
      <c r="A226" t="s">
        <v>354</v>
      </c>
      <c r="B226" s="5">
        <v>776</v>
      </c>
    </row>
    <row r="227" spans="1:2" x14ac:dyDescent="0.3">
      <c r="A227" t="s">
        <v>355</v>
      </c>
      <c r="B227" s="5">
        <v>780</v>
      </c>
    </row>
    <row r="228" spans="1:2" x14ac:dyDescent="0.3">
      <c r="A228" t="s">
        <v>356</v>
      </c>
      <c r="B228" s="5">
        <v>788</v>
      </c>
    </row>
    <row r="229" spans="1:2" x14ac:dyDescent="0.3">
      <c r="A229" t="s">
        <v>357</v>
      </c>
      <c r="B229" s="5">
        <v>795</v>
      </c>
    </row>
    <row r="230" spans="1:2" x14ac:dyDescent="0.3">
      <c r="A230" t="s">
        <v>358</v>
      </c>
      <c r="B230" s="5">
        <v>792</v>
      </c>
    </row>
    <row r="231" spans="1:2" x14ac:dyDescent="0.3">
      <c r="A231" t="s">
        <v>359</v>
      </c>
      <c r="B231" s="5">
        <v>798</v>
      </c>
    </row>
    <row r="232" spans="1:2" x14ac:dyDescent="0.3">
      <c r="A232" t="s">
        <v>360</v>
      </c>
      <c r="B232" s="5">
        <v>804</v>
      </c>
    </row>
    <row r="233" spans="1:2" x14ac:dyDescent="0.3">
      <c r="A233" t="s">
        <v>361</v>
      </c>
      <c r="B233" s="5">
        <v>800</v>
      </c>
    </row>
    <row r="234" spans="1:2" x14ac:dyDescent="0.3">
      <c r="A234" t="s">
        <v>83</v>
      </c>
      <c r="B234" s="5">
        <v>858</v>
      </c>
    </row>
    <row r="235" spans="1:2" x14ac:dyDescent="0.3">
      <c r="A235" t="s">
        <v>362</v>
      </c>
      <c r="B235" s="5">
        <v>860</v>
      </c>
    </row>
    <row r="236" spans="1:2" x14ac:dyDescent="0.3">
      <c r="A236" t="s">
        <v>363</v>
      </c>
      <c r="B236" s="5">
        <v>548</v>
      </c>
    </row>
    <row r="237" spans="1:2" x14ac:dyDescent="0.3">
      <c r="A237" t="s">
        <v>364</v>
      </c>
      <c r="B237" s="5">
        <v>862</v>
      </c>
    </row>
    <row r="238" spans="1:2" x14ac:dyDescent="0.3">
      <c r="A238" t="s">
        <v>365</v>
      </c>
      <c r="B238" s="5">
        <v>704</v>
      </c>
    </row>
    <row r="239" spans="1:2" x14ac:dyDescent="0.3">
      <c r="A239" t="s">
        <v>366</v>
      </c>
      <c r="B239" s="5">
        <v>876</v>
      </c>
    </row>
    <row r="240" spans="1:2" x14ac:dyDescent="0.3">
      <c r="A240" t="s">
        <v>367</v>
      </c>
      <c r="B240" s="5">
        <v>887</v>
      </c>
    </row>
    <row r="241" spans="1:2" x14ac:dyDescent="0.3">
      <c r="A241" t="s">
        <v>368</v>
      </c>
      <c r="B241" s="5">
        <v>262</v>
      </c>
    </row>
    <row r="242" spans="1:2" x14ac:dyDescent="0.3">
      <c r="A242" s="3" t="s">
        <v>112</v>
      </c>
      <c r="B242" s="5">
        <v>999</v>
      </c>
    </row>
    <row r="243" spans="1:2" x14ac:dyDescent="0.3">
      <c r="A243" s="3"/>
      <c r="B243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0" sqref="A10"/>
    </sheetView>
  </sheetViews>
  <sheetFormatPr baseColWidth="10" defaultRowHeight="14.4" x14ac:dyDescent="0.3"/>
  <cols>
    <col min="2" max="2" width="33.5546875" bestFit="1" customWidth="1"/>
    <col min="3" max="3" width="12.77734375" bestFit="1" customWidth="1"/>
    <col min="4" max="4" width="13.77734375" bestFit="1" customWidth="1"/>
    <col min="5" max="5" width="7.6640625" bestFit="1" customWidth="1"/>
  </cols>
  <sheetData>
    <row r="1" spans="1:5" x14ac:dyDescent="0.3">
      <c r="A1" t="s">
        <v>96</v>
      </c>
      <c r="B1" s="1" t="s">
        <v>108</v>
      </c>
      <c r="C1" s="1" t="s">
        <v>121</v>
      </c>
      <c r="D1" s="1" t="s">
        <v>123</v>
      </c>
      <c r="E1" s="1" t="s">
        <v>6</v>
      </c>
    </row>
    <row r="2" spans="1:5" x14ac:dyDescent="0.3">
      <c r="A2">
        <v>1</v>
      </c>
      <c r="B2" s="3" t="s">
        <v>124</v>
      </c>
      <c r="C2">
        <f>+VLOOKUP(A2,Sheet1_old!C:I,7,FALSE)</f>
        <v>6</v>
      </c>
      <c r="D2" t="s">
        <v>73</v>
      </c>
      <c r="E2" t="s">
        <v>63</v>
      </c>
    </row>
    <row r="3" spans="1:5" x14ac:dyDescent="0.3">
      <c r="A3">
        <v>2</v>
      </c>
      <c r="B3" s="3" t="s">
        <v>12</v>
      </c>
      <c r="C3">
        <f>+VLOOKUP(A3,Sheet1_old!C:I,7,FALSE)</f>
        <v>1</v>
      </c>
      <c r="D3" t="str">
        <f>+D2</f>
        <v>n</v>
      </c>
      <c r="E3" t="str">
        <f>+E2</f>
        <v>usd</v>
      </c>
    </row>
    <row r="4" spans="1:5" x14ac:dyDescent="0.3">
      <c r="A4">
        <v>3</v>
      </c>
      <c r="B4" s="3" t="s">
        <v>125</v>
      </c>
      <c r="C4">
        <f>+VLOOKUP(A4,Sheet1_old!C:I,7,FALSE)</f>
        <v>6</v>
      </c>
      <c r="D4" t="str">
        <f>+D3</f>
        <v>n</v>
      </c>
      <c r="E4" t="str">
        <f>+E3</f>
        <v>usd</v>
      </c>
    </row>
    <row r="5" spans="1:5" x14ac:dyDescent="0.3">
      <c r="A5">
        <v>4</v>
      </c>
      <c r="B5" s="3" t="s">
        <v>15</v>
      </c>
      <c r="C5">
        <f>+VLOOKUP(A5,Sheet1_old!C:I,7,FALSE)</f>
        <v>1</v>
      </c>
      <c r="D5" t="str">
        <f>+D4</f>
        <v>n</v>
      </c>
      <c r="E5" t="s">
        <v>64</v>
      </c>
    </row>
    <row r="6" spans="1:5" x14ac:dyDescent="0.3">
      <c r="A6">
        <v>5</v>
      </c>
      <c r="B6" s="3" t="s">
        <v>126</v>
      </c>
      <c r="C6">
        <f>+VLOOKUP(A6,Sheet1_old!C:I,7,FALSE)</f>
        <v>6</v>
      </c>
      <c r="D6" t="str">
        <f>+D5</f>
        <v>n</v>
      </c>
      <c r="E6" t="s">
        <v>63</v>
      </c>
    </row>
    <row r="7" spans="1:5" x14ac:dyDescent="0.3">
      <c r="A7">
        <v>6</v>
      </c>
      <c r="B7" s="3" t="s">
        <v>85</v>
      </c>
      <c r="C7">
        <f>+VLOOKUP(A7,Sheet1_old!C:I,7,FALSE)</f>
        <v>7</v>
      </c>
      <c r="D7" t="s">
        <v>73</v>
      </c>
      <c r="E7" t="s">
        <v>64</v>
      </c>
    </row>
    <row r="8" spans="1:5" x14ac:dyDescent="0.3">
      <c r="A8">
        <v>7</v>
      </c>
      <c r="B8" s="3" t="s">
        <v>23</v>
      </c>
      <c r="C8">
        <f>+VLOOKUP(A8,Sheet1_old!C:I,7,FALSE)</f>
        <v>4</v>
      </c>
      <c r="D8" t="str">
        <f>+D7</f>
        <v>n</v>
      </c>
      <c r="E8" t="s">
        <v>127</v>
      </c>
    </row>
    <row r="9" spans="1:5" x14ac:dyDescent="0.3">
      <c r="A9">
        <v>8</v>
      </c>
      <c r="B9" s="3" t="s">
        <v>128</v>
      </c>
      <c r="C9">
        <f>+VLOOKUP(A9,Sheet1_old!C:I,7,FALSE)</f>
        <v>6</v>
      </c>
      <c r="D9" t="str">
        <f>+D8</f>
        <v>n</v>
      </c>
      <c r="E9" t="s">
        <v>63</v>
      </c>
    </row>
    <row r="10" spans="1:5" x14ac:dyDescent="0.3">
      <c r="A10">
        <v>9</v>
      </c>
      <c r="B10" s="3" t="s">
        <v>14</v>
      </c>
      <c r="C10">
        <f>+VLOOKUP(A10,Sheet1_old!C:I,7,FALSE)</f>
        <v>4</v>
      </c>
      <c r="D10" t="s">
        <v>73</v>
      </c>
      <c r="E10" t="s">
        <v>127</v>
      </c>
    </row>
    <row r="11" spans="1:5" x14ac:dyDescent="0.3">
      <c r="A11">
        <v>10</v>
      </c>
      <c r="B11" s="3" t="s">
        <v>104</v>
      </c>
      <c r="C11">
        <f>+VLOOKUP(A11,Sheet1_old!C:I,7,FALSE)</f>
        <v>2</v>
      </c>
      <c r="D11" t="s">
        <v>73</v>
      </c>
      <c r="E11" t="s">
        <v>63</v>
      </c>
    </row>
    <row r="12" spans="1:5" x14ac:dyDescent="0.3">
      <c r="A12">
        <v>11</v>
      </c>
      <c r="B12" s="3" t="s">
        <v>107</v>
      </c>
      <c r="C12">
        <f>+VLOOKUP(A12,Sheet1_old!C:I,7,FALSE)</f>
        <v>2</v>
      </c>
      <c r="D12" t="s">
        <v>73</v>
      </c>
      <c r="E12" t="s">
        <v>63</v>
      </c>
    </row>
    <row r="13" spans="1:5" x14ac:dyDescent="0.3">
      <c r="A13">
        <v>12</v>
      </c>
      <c r="B13" s="3" t="s">
        <v>103</v>
      </c>
      <c r="C13">
        <f>+VLOOKUP(A13,Sheet1_old!C:I,7,FALSE)</f>
        <v>3</v>
      </c>
      <c r="D13" t="s">
        <v>73</v>
      </c>
      <c r="E13" t="s">
        <v>63</v>
      </c>
    </row>
    <row r="14" spans="1:5" x14ac:dyDescent="0.3">
      <c r="A14">
        <v>13</v>
      </c>
      <c r="B14" s="3" t="s">
        <v>106</v>
      </c>
      <c r="C14">
        <f>+VLOOKUP(A14,Sheet1_old!C:I,7,FALSE)</f>
        <v>3</v>
      </c>
      <c r="D14" t="s">
        <v>73</v>
      </c>
      <c r="E14" t="s">
        <v>63</v>
      </c>
    </row>
    <row r="15" spans="1:5" x14ac:dyDescent="0.3">
      <c r="A15">
        <v>14</v>
      </c>
      <c r="B15" s="3" t="s">
        <v>105</v>
      </c>
      <c r="C15">
        <f>+VLOOKUP(A15,Sheet1_old!C:I,7,FALSE)</f>
        <v>2</v>
      </c>
      <c r="D15" t="s">
        <v>73</v>
      </c>
      <c r="E15" t="s">
        <v>63</v>
      </c>
    </row>
    <row r="16" spans="1:5" x14ac:dyDescent="0.3">
      <c r="A16">
        <v>15</v>
      </c>
      <c r="B16" s="3" t="s">
        <v>22</v>
      </c>
      <c r="C16">
        <f>+VLOOKUP(A16,Sheet1_old!C:I,7,FALSE)</f>
        <v>5</v>
      </c>
      <c r="D16" t="s">
        <v>74</v>
      </c>
      <c r="E16" t="s">
        <v>127</v>
      </c>
    </row>
    <row r="17" spans="1:5" x14ac:dyDescent="0.3">
      <c r="A17">
        <v>16</v>
      </c>
      <c r="B17" s="3" t="s">
        <v>21</v>
      </c>
      <c r="C17">
        <f>+VLOOKUP(A17,Sheet1_old!C:I,7,FALSE)</f>
        <v>6</v>
      </c>
      <c r="D17" t="s">
        <v>73</v>
      </c>
      <c r="E17" t="s">
        <v>63</v>
      </c>
    </row>
    <row r="18" spans="1:5" x14ac:dyDescent="0.3">
      <c r="A18">
        <v>17</v>
      </c>
      <c r="B18" s="3" t="s">
        <v>129</v>
      </c>
      <c r="C18">
        <f>+VLOOKUP(A18,Sheet1_old!C:I,7,FALSE)</f>
        <v>6</v>
      </c>
      <c r="D18" t="s">
        <v>73</v>
      </c>
      <c r="E18" t="s">
        <v>63</v>
      </c>
    </row>
    <row r="19" spans="1:5" x14ac:dyDescent="0.3">
      <c r="A19">
        <v>18</v>
      </c>
      <c r="B19" s="3" t="s">
        <v>11</v>
      </c>
      <c r="C19">
        <f>+VLOOKUP(A19,Sheet1_old!C:I,7,FALSE)</f>
        <v>1</v>
      </c>
      <c r="D19" t="s">
        <v>73</v>
      </c>
      <c r="E19" t="s">
        <v>63</v>
      </c>
    </row>
    <row r="20" spans="1:5" x14ac:dyDescent="0.3">
      <c r="A20">
        <v>19</v>
      </c>
      <c r="B20" s="3" t="s">
        <v>13</v>
      </c>
      <c r="C20">
        <f>+VLOOKUP(A20,Sheet1_old!C:I,7,FALSE)</f>
        <v>1</v>
      </c>
      <c r="D20" t="s">
        <v>73</v>
      </c>
      <c r="E20" t="s">
        <v>63</v>
      </c>
    </row>
    <row r="21" spans="1:5" x14ac:dyDescent="0.3">
      <c r="A21">
        <v>20</v>
      </c>
      <c r="B21" s="3" t="s">
        <v>84</v>
      </c>
      <c r="C21">
        <f>+VLOOKUP(A21,Sheet1_old!C:I,7,FALSE)</f>
        <v>7</v>
      </c>
      <c r="D21" t="s">
        <v>73</v>
      </c>
      <c r="E21" t="s">
        <v>127</v>
      </c>
    </row>
    <row r="22" spans="1:5" x14ac:dyDescent="0.3">
      <c r="A22">
        <v>21</v>
      </c>
      <c r="B22" s="3" t="s">
        <v>97</v>
      </c>
      <c r="C22">
        <f>+VLOOKUP(A22,Sheet1_old!C:I,7,FALSE)</f>
        <v>7</v>
      </c>
      <c r="D22" t="s">
        <v>73</v>
      </c>
      <c r="E22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" sqref="B1"/>
    </sheetView>
  </sheetViews>
  <sheetFormatPr baseColWidth="10" defaultRowHeight="14.4" x14ac:dyDescent="0.3"/>
  <cols>
    <col min="2" max="2" width="12.77734375" bestFit="1" customWidth="1"/>
  </cols>
  <sheetData>
    <row r="1" spans="1:2" x14ac:dyDescent="0.3">
      <c r="A1" t="s">
        <v>130</v>
      </c>
      <c r="B1" t="s">
        <v>369</v>
      </c>
    </row>
    <row r="2" spans="1:2" x14ac:dyDescent="0.3">
      <c r="A2">
        <v>2</v>
      </c>
      <c r="B2" s="6">
        <v>32</v>
      </c>
    </row>
    <row r="3" spans="1:2" x14ac:dyDescent="0.3">
      <c r="A3">
        <f>+A2</f>
        <v>2</v>
      </c>
      <c r="B3" s="6">
        <v>76</v>
      </c>
    </row>
    <row r="4" spans="1:2" x14ac:dyDescent="0.3">
      <c r="A4">
        <f t="shared" ref="A4:A13" si="0">+A3</f>
        <v>2</v>
      </c>
      <c r="B4" s="6">
        <v>604</v>
      </c>
    </row>
    <row r="5" spans="1:2" x14ac:dyDescent="0.3">
      <c r="A5">
        <f t="shared" si="0"/>
        <v>2</v>
      </c>
      <c r="B5" s="6">
        <v>152</v>
      </c>
    </row>
    <row r="6" spans="1:2" x14ac:dyDescent="0.3">
      <c r="A6">
        <f t="shared" si="0"/>
        <v>2</v>
      </c>
      <c r="B6" s="6">
        <v>484</v>
      </c>
    </row>
    <row r="7" spans="1:2" x14ac:dyDescent="0.3">
      <c r="A7">
        <f t="shared" si="0"/>
        <v>2</v>
      </c>
      <c r="B7" s="6">
        <v>170</v>
      </c>
    </row>
    <row r="8" spans="1:2" x14ac:dyDescent="0.3">
      <c r="A8">
        <f t="shared" si="0"/>
        <v>2</v>
      </c>
      <c r="B8" s="6">
        <v>36</v>
      </c>
    </row>
    <row r="9" spans="1:2" x14ac:dyDescent="0.3">
      <c r="A9">
        <f t="shared" si="0"/>
        <v>2</v>
      </c>
      <c r="B9" s="6">
        <v>554</v>
      </c>
    </row>
    <row r="10" spans="1:2" x14ac:dyDescent="0.3">
      <c r="A10">
        <f t="shared" si="0"/>
        <v>2</v>
      </c>
      <c r="B10" s="6">
        <v>710</v>
      </c>
    </row>
    <row r="11" spans="1:2" x14ac:dyDescent="0.3">
      <c r="A11">
        <f t="shared" si="0"/>
        <v>2</v>
      </c>
      <c r="B11" s="6">
        <v>600</v>
      </c>
    </row>
    <row r="12" spans="1:2" x14ac:dyDescent="0.3">
      <c r="A12">
        <f t="shared" si="0"/>
        <v>2</v>
      </c>
      <c r="B12" s="6">
        <v>32</v>
      </c>
    </row>
    <row r="13" spans="1:2" x14ac:dyDescent="0.3">
      <c r="A13">
        <f t="shared" si="0"/>
        <v>2</v>
      </c>
      <c r="B13" s="6">
        <v>858</v>
      </c>
    </row>
    <row r="14" spans="1:2" x14ac:dyDescent="0.3">
      <c r="A14">
        <v>3</v>
      </c>
      <c r="B14" s="6">
        <v>858</v>
      </c>
    </row>
    <row r="15" spans="1:2" x14ac:dyDescent="0.3">
      <c r="A15">
        <f>+A14</f>
        <v>3</v>
      </c>
      <c r="B15" s="6">
        <v>152</v>
      </c>
    </row>
    <row r="16" spans="1:2" x14ac:dyDescent="0.3">
      <c r="A16">
        <f>+A15</f>
        <v>3</v>
      </c>
      <c r="B16" s="6">
        <v>76</v>
      </c>
    </row>
    <row r="17" spans="1:2" x14ac:dyDescent="0.3">
      <c r="A17">
        <f>+A16</f>
        <v>3</v>
      </c>
      <c r="B17" s="6">
        <v>484</v>
      </c>
    </row>
    <row r="18" spans="1:2" x14ac:dyDescent="0.3">
      <c r="A18">
        <v>3</v>
      </c>
      <c r="B18" s="6">
        <v>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baseColWidth="10" defaultRowHeight="14.4" x14ac:dyDescent="0.3"/>
  <cols>
    <col min="2" max="2" width="46.44140625" bestFit="1" customWidth="1"/>
    <col min="3" max="3" width="17.6640625" bestFit="1" customWidth="1"/>
  </cols>
  <sheetData>
    <row r="1" spans="1:3" x14ac:dyDescent="0.3">
      <c r="A1" t="s">
        <v>130</v>
      </c>
      <c r="B1" t="s">
        <v>135</v>
      </c>
      <c r="C1" t="s">
        <v>136</v>
      </c>
    </row>
    <row r="2" spans="1:3" x14ac:dyDescent="0.3">
      <c r="A2">
        <v>1</v>
      </c>
      <c r="B2" t="s">
        <v>131</v>
      </c>
      <c r="C2" t="s">
        <v>137</v>
      </c>
    </row>
    <row r="3" spans="1:3" x14ac:dyDescent="0.3">
      <c r="A3">
        <v>2</v>
      </c>
      <c r="B3" t="s">
        <v>132</v>
      </c>
      <c r="C3" t="s">
        <v>138</v>
      </c>
    </row>
    <row r="4" spans="1:3" x14ac:dyDescent="0.3">
      <c r="A4">
        <v>3</v>
      </c>
      <c r="B4" t="s">
        <v>133</v>
      </c>
      <c r="C4" t="s">
        <v>138</v>
      </c>
    </row>
    <row r="5" spans="1:3" x14ac:dyDescent="0.3">
      <c r="A5">
        <v>4</v>
      </c>
      <c r="B5" t="s">
        <v>134</v>
      </c>
      <c r="C5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familia</vt:lpstr>
      <vt:lpstr>sub_familia</vt:lpstr>
      <vt:lpstr>Sheet1_old</vt:lpstr>
      <vt:lpstr>maestro</vt:lpstr>
      <vt:lpstr>pais_grupo</vt:lpstr>
      <vt:lpstr>variables</vt:lpstr>
      <vt:lpstr>filtros_graph_pais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Forrisi</dc:creator>
  <cp:lastModifiedBy>Joaquin Forrisi</cp:lastModifiedBy>
  <dcterms:created xsi:type="dcterms:W3CDTF">2026-01-22T01:08:46Z</dcterms:created>
  <dcterms:modified xsi:type="dcterms:W3CDTF">2026-02-03T15:12:28Z</dcterms:modified>
</cp:coreProperties>
</file>