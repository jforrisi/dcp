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GROUP\MESA LOCAL\EMISIONES\NUEVO - OPERACIONES BCU-MEF\"/>
    </mc:Choice>
  </mc:AlternateContent>
  <xr:revisionPtr revIDLastSave="0" documentId="13_ncr:1_{646A7710-95FF-412D-BF8D-B3309E5E1A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N" sheetId="2" r:id="rId1"/>
    <sheet name="LRM" sheetId="1" r:id="rId2"/>
    <sheet name="LRM bajas" sheetId="8" r:id="rId3"/>
    <sheet name="NT MEF" sheetId="5" r:id="rId4"/>
    <sheet name="NT bajas" sheetId="6" r:id="rId5"/>
  </sheets>
  <externalReferences>
    <externalReference r:id="rId6"/>
  </externalReferences>
  <definedNames>
    <definedName name="_xlnm._FilterDatabase" localSheetId="0" hidden="1">DIN!$A$9:$H$2233</definedName>
    <definedName name="_xlnm._FilterDatabase" localSheetId="1" hidden="1">LRM!$A$10:$AD$1271</definedName>
    <definedName name="_xlnm._FilterDatabase" localSheetId="2" hidden="1">'LRM bajas'!$A$10:$G$192</definedName>
    <definedName name="_xlnm._FilterDatabase" localSheetId="4" hidden="1">'NT bajas'!$A$10:$H$126</definedName>
    <definedName name="_xlnm._FilterDatabase" localSheetId="3" hidden="1">'NT MEF'!$A$10:$V$350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19" i="2" l="1"/>
  <c r="D2518" i="2"/>
  <c r="H2519" i="2"/>
  <c r="H2518" i="2"/>
  <c r="V350" i="5"/>
  <c r="N350" i="5"/>
  <c r="D2517" i="2" l="1"/>
  <c r="D2516" i="2"/>
  <c r="H2517" i="2"/>
  <c r="H2516" i="2"/>
  <c r="K350" i="5"/>
  <c r="J350" i="5"/>
  <c r="D2515" i="2"/>
  <c r="D2514" i="2"/>
  <c r="D2513" i="2"/>
  <c r="H2515" i="2"/>
  <c r="H2514" i="2"/>
  <c r="H2513" i="2"/>
  <c r="F277" i="8"/>
  <c r="F278" i="8"/>
  <c r="F279" i="8"/>
  <c r="F280" i="8"/>
  <c r="F281" i="8"/>
  <c r="F282" i="8"/>
  <c r="F283" i="8"/>
  <c r="F284" i="8"/>
  <c r="F285" i="8"/>
  <c r="F286" i="8"/>
  <c r="F276" i="8"/>
  <c r="V349" i="5"/>
  <c r="N349" i="5"/>
  <c r="D2512" i="2"/>
  <c r="H2512" i="2"/>
  <c r="K349" i="5"/>
  <c r="J349" i="5"/>
  <c r="H2511" i="2"/>
  <c r="D2511" i="2"/>
  <c r="D2510" i="2"/>
  <c r="H2510" i="2"/>
  <c r="F270" i="8"/>
  <c r="F271" i="8"/>
  <c r="F272" i="8"/>
  <c r="F273" i="8"/>
  <c r="F274" i="8"/>
  <c r="F275" i="8"/>
  <c r="F269" i="8"/>
  <c r="G274" i="6"/>
  <c r="D2509" i="2"/>
  <c r="D2508" i="2"/>
  <c r="D2507" i="2"/>
  <c r="H2509" i="2"/>
  <c r="H2508" i="2"/>
  <c r="H2507" i="2"/>
  <c r="V348" i="5"/>
  <c r="N348" i="5"/>
  <c r="D2506" i="2"/>
  <c r="H2506" i="2"/>
  <c r="D2505" i="2"/>
  <c r="H2505" i="2"/>
  <c r="K348" i="5"/>
  <c r="J348" i="5"/>
  <c r="D2504" i="2"/>
  <c r="D2503" i="2"/>
  <c r="H2504" i="2"/>
  <c r="H2503" i="2"/>
  <c r="D2502" i="2"/>
  <c r="D2501" i="2"/>
  <c r="D2500" i="2"/>
  <c r="H2502" i="2"/>
  <c r="H2501" i="2"/>
  <c r="H2500" i="2"/>
  <c r="D2499" i="2"/>
  <c r="D2498" i="2"/>
  <c r="D2497" i="2"/>
  <c r="H2499" i="2"/>
  <c r="H2498" i="2"/>
  <c r="H2497" i="2"/>
  <c r="F268" i="8" l="1"/>
  <c r="F267" i="8"/>
  <c r="F266" i="8"/>
  <c r="D2496" i="2"/>
  <c r="D2495" i="2"/>
  <c r="D2494" i="2"/>
  <c r="H2496" i="2"/>
  <c r="H2495" i="2"/>
  <c r="H2494" i="2"/>
  <c r="V347" i="5"/>
  <c r="N347" i="5"/>
  <c r="D2493" i="2"/>
  <c r="D2492" i="2"/>
  <c r="H2493" i="2"/>
  <c r="H2492" i="2"/>
  <c r="K347" i="5"/>
  <c r="J347" i="5"/>
  <c r="F193" i="8"/>
  <c r="D2491" i="2"/>
  <c r="H2491" i="2"/>
  <c r="D2490" i="2"/>
  <c r="H2490" i="2"/>
  <c r="H2488" i="2"/>
  <c r="D2488" i="2"/>
  <c r="D2489" i="2"/>
  <c r="D2487" i="2"/>
  <c r="D2486" i="2"/>
  <c r="D2485" i="2"/>
  <c r="D2484" i="2"/>
  <c r="D2483" i="2"/>
  <c r="D2482" i="2"/>
  <c r="G265" i="8"/>
  <c r="G264" i="8"/>
  <c r="G263" i="8"/>
  <c r="G262" i="8"/>
  <c r="G261" i="8"/>
  <c r="F265" i="8"/>
  <c r="F264" i="8"/>
  <c r="F263" i="8"/>
  <c r="F262" i="8"/>
  <c r="F261" i="8"/>
  <c r="D2481" i="2"/>
  <c r="D2480" i="2"/>
  <c r="D2479" i="2"/>
  <c r="V346" i="5"/>
  <c r="N346" i="5"/>
  <c r="D2478" i="2"/>
  <c r="D2477" i="2"/>
  <c r="D2476" i="2"/>
  <c r="D2475" i="2"/>
  <c r="K346" i="5"/>
  <c r="J346" i="5"/>
  <c r="D2474" i="2"/>
  <c r="D2473" i="2"/>
  <c r="D2472" i="2"/>
  <c r="D2471" i="2"/>
  <c r="D2470" i="2"/>
  <c r="D2469" i="2"/>
  <c r="D2468" i="2" l="1"/>
  <c r="D2467" i="2"/>
  <c r="D2466" i="2"/>
  <c r="D2465" i="2"/>
  <c r="D2464" i="2"/>
  <c r="D2463" i="2"/>
  <c r="D2462" i="2"/>
  <c r="D2461" i="2"/>
  <c r="D2460" i="2" l="1"/>
  <c r="D2459" i="2"/>
  <c r="D2458" i="2"/>
  <c r="D2457" i="2"/>
  <c r="D2456" i="2"/>
  <c r="D2455" i="2"/>
  <c r="G273" i="6"/>
  <c r="F260" i="8"/>
  <c r="V345" i="5"/>
  <c r="N345" i="5"/>
  <c r="D2454" i="2"/>
  <c r="D2453" i="2"/>
  <c r="J345" i="5"/>
  <c r="K345" i="5"/>
  <c r="D2452" i="2"/>
  <c r="D2451" i="2"/>
  <c r="D2450" i="2"/>
  <c r="D2449" i="2"/>
  <c r="D2448" i="2"/>
  <c r="D2447" i="2"/>
  <c r="F259" i="8"/>
  <c r="F258" i="8"/>
  <c r="F257" i="8"/>
  <c r="V344" i="5"/>
  <c r="N344" i="5"/>
  <c r="K344" i="5" l="1"/>
  <c r="J344" i="5"/>
  <c r="D2446" i="2"/>
  <c r="D2445" i="2"/>
  <c r="D2444" i="2"/>
  <c r="D2443" i="2"/>
  <c r="D2442" i="2"/>
  <c r="F256" i="8"/>
  <c r="F255" i="8"/>
  <c r="F254" i="8"/>
  <c r="F253" i="8"/>
  <c r="F252" i="8"/>
  <c r="G272" i="6"/>
  <c r="G271" i="6"/>
  <c r="D2441" i="2"/>
  <c r="D2440" i="2"/>
  <c r="D2439" i="2"/>
  <c r="V343" i="5"/>
  <c r="N343" i="5"/>
  <c r="D2438" i="2"/>
  <c r="D2437" i="2"/>
  <c r="D2436" i="2"/>
  <c r="D2435" i="2"/>
  <c r="K343" i="5"/>
  <c r="J343" i="5"/>
  <c r="G270" i="6"/>
  <c r="D2434" i="2"/>
  <c r="D2433" i="2"/>
  <c r="D2432" i="2" l="1"/>
  <c r="G269" i="6" l="1"/>
  <c r="F248" i="8"/>
  <c r="F249" i="8"/>
  <c r="F250" i="8"/>
  <c r="F251" i="8"/>
  <c r="F247" i="8"/>
  <c r="D2431" i="2"/>
  <c r="D2430" i="2"/>
  <c r="D2429" i="2"/>
  <c r="D2428" i="2"/>
  <c r="V342" i="5"/>
  <c r="N342" i="5"/>
  <c r="D2427" i="2"/>
  <c r="D2426" i="2"/>
  <c r="D2425" i="2"/>
  <c r="D2424" i="2"/>
  <c r="D2423" i="2"/>
  <c r="J342" i="5"/>
  <c r="K342" i="5"/>
  <c r="D2422" i="2"/>
  <c r="D2421" i="2"/>
  <c r="D2420" i="2"/>
  <c r="D2419" i="2"/>
  <c r="D2418" i="2"/>
  <c r="D2417" i="2" l="1"/>
  <c r="D2416" i="2"/>
  <c r="D2415" i="2"/>
  <c r="D2414" i="2"/>
  <c r="G267" i="6"/>
  <c r="G268" i="6"/>
  <c r="F246" i="8"/>
  <c r="V341" i="5"/>
  <c r="N341" i="5"/>
  <c r="D2413" i="2"/>
  <c r="K341" i="5"/>
  <c r="J341" i="5"/>
  <c r="D2412" i="2"/>
  <c r="D2411" i="2"/>
  <c r="D2410" i="2"/>
  <c r="D2409" i="2"/>
  <c r="G266" i="6"/>
  <c r="G265" i="6"/>
  <c r="F245" i="8"/>
  <c r="F244" i="8"/>
  <c r="F243" i="8"/>
  <c r="V340" i="5"/>
  <c r="N340" i="5"/>
  <c r="K340" i="5"/>
  <c r="J340" i="5"/>
  <c r="D2408" i="2"/>
  <c r="D2407" i="2"/>
  <c r="D2406" i="2"/>
  <c r="D2405" i="2"/>
  <c r="D2404" i="2" l="1"/>
  <c r="D2403" i="2"/>
  <c r="D2402" i="2"/>
  <c r="D2401" i="2" l="1"/>
  <c r="D2400" i="2"/>
  <c r="D2399" i="2"/>
  <c r="D2398" i="2"/>
  <c r="D2397" i="2"/>
  <c r="G263" i="6"/>
  <c r="G264" i="6"/>
  <c r="F242" i="8"/>
  <c r="F241" i="8"/>
  <c r="D2396" i="2"/>
  <c r="D2395" i="2"/>
  <c r="V339" i="5"/>
  <c r="N339" i="5"/>
  <c r="D2394" i="2"/>
  <c r="D2393" i="2"/>
  <c r="D2392" i="2"/>
  <c r="D2391" i="2"/>
  <c r="J339" i="5"/>
  <c r="K339" i="5"/>
  <c r="G262" i="6"/>
  <c r="G261" i="6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D2390" i="2" l="1"/>
  <c r="D2389" i="2"/>
  <c r="D2385" i="2"/>
  <c r="D2388" i="2"/>
  <c r="D2387" i="2"/>
  <c r="D2386" i="2"/>
  <c r="D2384" i="2"/>
  <c r="D2383" i="2"/>
  <c r="D2382" i="2"/>
  <c r="D2381" i="2"/>
  <c r="F219" i="8"/>
  <c r="F218" i="8"/>
  <c r="F217" i="8"/>
  <c r="F216" i="8"/>
  <c r="F215" i="8"/>
  <c r="F214" i="8"/>
  <c r="D2380" i="2"/>
  <c r="D2379" i="2"/>
  <c r="D2378" i="2"/>
  <c r="D2377" i="2"/>
  <c r="V338" i="5"/>
  <c r="N338" i="5"/>
  <c r="D2376" i="2"/>
  <c r="D2375" i="2"/>
  <c r="D2374" i="2"/>
  <c r="D2373" i="2"/>
  <c r="K338" i="5" l="1"/>
  <c r="J338" i="5"/>
  <c r="D2372" i="2"/>
  <c r="D2371" i="2"/>
  <c r="D2370" i="2"/>
  <c r="D2369" i="2"/>
  <c r="D2368" i="2"/>
  <c r="D2367" i="2"/>
  <c r="D2366" i="2"/>
  <c r="F212" i="8"/>
  <c r="F213" i="8"/>
  <c r="F206" i="8"/>
  <c r="F207" i="8"/>
  <c r="F208" i="8"/>
  <c r="F209" i="8"/>
  <c r="F210" i="8"/>
  <c r="F211" i="8"/>
  <c r="G260" i="6"/>
  <c r="V337" i="5"/>
  <c r="N337" i="5"/>
  <c r="D2365" i="2"/>
  <c r="D2364" i="2"/>
  <c r="D2363" i="2"/>
  <c r="K337" i="5"/>
  <c r="J337" i="5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F205" i="8"/>
  <c r="F204" i="8"/>
  <c r="F203" i="8"/>
  <c r="F202" i="8"/>
  <c r="F201" i="8"/>
  <c r="F200" i="8"/>
  <c r="D2343" i="2"/>
  <c r="D2342" i="2"/>
  <c r="D2341" i="2"/>
  <c r="V336" i="5"/>
  <c r="N336" i="5"/>
  <c r="D2340" i="2"/>
  <c r="D2339" i="2"/>
  <c r="K336" i="5"/>
  <c r="J336" i="5"/>
  <c r="D2338" i="2"/>
  <c r="D2337" i="2"/>
  <c r="D2336" i="2"/>
  <c r="T335" i="5"/>
  <c r="D2335" i="2" l="1"/>
  <c r="D2334" i="2"/>
  <c r="D2333" i="2"/>
  <c r="D2332" i="2"/>
  <c r="G258" i="6"/>
  <c r="G259" i="6"/>
  <c r="F199" i="8"/>
  <c r="F198" i="8"/>
  <c r="D2329" i="2"/>
  <c r="D2330" i="2"/>
  <c r="D2331" i="2"/>
  <c r="N335" i="5"/>
  <c r="K335" i="5"/>
  <c r="J335" i="5"/>
  <c r="D2328" i="2"/>
  <c r="D2327" i="2"/>
  <c r="D2326" i="2"/>
  <c r="D2325" i="2"/>
  <c r="D2324" i="2"/>
  <c r="D2323" i="2"/>
  <c r="F197" i="8"/>
  <c r="F196" i="8"/>
  <c r="F195" i="8"/>
  <c r="F194" i="8"/>
  <c r="G256" i="6"/>
  <c r="G257" i="6"/>
  <c r="D2322" i="2"/>
  <c r="D2321" i="2"/>
  <c r="D2320" i="2"/>
  <c r="V334" i="5"/>
  <c r="N334" i="5"/>
  <c r="D2319" i="2"/>
  <c r="D2318" i="2"/>
  <c r="D2317" i="2"/>
  <c r="D2316" i="2"/>
  <c r="D2315" i="2"/>
  <c r="D2314" i="2"/>
  <c r="J334" i="5"/>
  <c r="K334" i="5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V333" i="5"/>
  <c r="N333" i="5"/>
  <c r="D2300" i="2"/>
  <c r="D2299" i="2"/>
  <c r="K333" i="5"/>
  <c r="J333" i="5"/>
  <c r="D2298" i="2"/>
  <c r="D2297" i="2"/>
  <c r="D2296" i="2"/>
  <c r="D2295" i="2"/>
  <c r="D2294" i="2"/>
  <c r="D2293" i="2"/>
  <c r="G255" i="6"/>
  <c r="F192" i="8"/>
  <c r="F191" i="8"/>
  <c r="F190" i="8"/>
  <c r="D2292" i="2"/>
  <c r="V332" i="5"/>
  <c r="N332" i="5"/>
  <c r="D2291" i="2"/>
  <c r="D2290" i="2"/>
  <c r="J332" i="5"/>
  <c r="K332" i="5"/>
  <c r="D2289" i="2"/>
  <c r="D2288" i="2"/>
  <c r="D2287" i="2"/>
  <c r="D2286" i="2" l="1"/>
  <c r="D2285" i="2"/>
  <c r="D2284" i="2"/>
  <c r="D2283" i="2"/>
  <c r="D2282" i="2"/>
  <c r="D2281" i="2"/>
  <c r="D2280" i="2"/>
  <c r="D2279" i="2"/>
  <c r="D2278" i="2"/>
  <c r="D2277" i="2"/>
  <c r="N331" i="5"/>
  <c r="D2276" i="2"/>
  <c r="D2275" i="2"/>
  <c r="D2274" i="2"/>
  <c r="J331" i="5"/>
  <c r="K331" i="5"/>
  <c r="D2273" i="2"/>
  <c r="D2272" i="2"/>
  <c r="D2271" i="2"/>
  <c r="D2270" i="2"/>
  <c r="D2269" i="2"/>
  <c r="D2268" i="2"/>
  <c r="D2267" i="2"/>
  <c r="D2266" i="2"/>
  <c r="D2265" i="2"/>
  <c r="G252" i="6"/>
  <c r="G253" i="6"/>
  <c r="G254" i="6"/>
  <c r="F189" i="8"/>
  <c r="F188" i="8"/>
  <c r="F187" i="8"/>
  <c r="D2264" i="2"/>
  <c r="D2263" i="2"/>
  <c r="D2262" i="2"/>
  <c r="D2261" i="2"/>
  <c r="D2260" i="2"/>
  <c r="D2259" i="2"/>
  <c r="N330" i="5"/>
  <c r="D2255" i="2"/>
  <c r="D2258" i="2"/>
  <c r="D2257" i="2"/>
  <c r="D2256" i="2"/>
  <c r="D2254" i="2"/>
  <c r="D2253" i="2"/>
  <c r="J330" i="5"/>
  <c r="K330" i="5"/>
  <c r="D2252" i="2"/>
  <c r="F186" i="8"/>
  <c r="F185" i="8"/>
  <c r="F184" i="8"/>
  <c r="F183" i="8"/>
  <c r="F182" i="8"/>
  <c r="F181" i="8"/>
  <c r="F180" i="8"/>
  <c r="F179" i="8"/>
  <c r="G251" i="6"/>
  <c r="D2251" i="2"/>
  <c r="D2250" i="2"/>
  <c r="D2249" i="2"/>
  <c r="N329" i="5"/>
  <c r="D2248" i="2"/>
  <c r="D2247" i="2"/>
  <c r="D2246" i="2"/>
  <c r="J329" i="5"/>
  <c r="K329" i="5"/>
  <c r="G250" i="6"/>
  <c r="D2245" i="2" l="1"/>
  <c r="G249" i="6"/>
  <c r="F178" i="8"/>
  <c r="F177" i="8"/>
  <c r="F176" i="8"/>
  <c r="F175" i="8"/>
  <c r="F174" i="8"/>
  <c r="F173" i="8"/>
  <c r="F172" i="8"/>
  <c r="D2244" i="2" l="1"/>
  <c r="D2243" i="2"/>
  <c r="D2242" i="2"/>
  <c r="D2241" i="2"/>
  <c r="V328" i="5"/>
  <c r="N328" i="5"/>
  <c r="K328" i="5"/>
  <c r="J328" i="5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2" i="2"/>
  <c r="D2223" i="2"/>
  <c r="D2224" i="2"/>
  <c r="D2225" i="2"/>
  <c r="D2226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V326" i="5"/>
  <c r="D2198" i="2"/>
  <c r="D2197" i="2"/>
  <c r="D2196" i="2"/>
  <c r="D2195" i="2"/>
  <c r="D2194" i="2"/>
  <c r="D2193" i="2"/>
  <c r="D2192" i="2"/>
  <c r="D2191" i="2"/>
  <c r="D2190" i="2"/>
  <c r="D2189" i="2"/>
  <c r="G248" i="6"/>
  <c r="D2188" i="2"/>
  <c r="D2187" i="2"/>
  <c r="D2186" i="2"/>
  <c r="D2185" i="2"/>
  <c r="N327" i="5"/>
  <c r="D2184" i="2"/>
  <c r="D2183" i="2"/>
  <c r="D2182" i="2"/>
  <c r="D2181" i="2"/>
  <c r="D2180" i="2"/>
  <c r="K327" i="5"/>
  <c r="J327" i="5"/>
  <c r="J324" i="5"/>
  <c r="K324" i="5"/>
  <c r="D2178" i="2"/>
  <c r="D2179" i="2"/>
  <c r="D2177" i="2"/>
  <c r="D2176" i="2"/>
  <c r="D2175" i="2"/>
  <c r="D2174" i="2"/>
  <c r="F171" i="8"/>
  <c r="D2173" i="2"/>
  <c r="N326" i="5"/>
  <c r="D2172" i="2" l="1"/>
  <c r="D2171" i="2"/>
  <c r="D2170" i="2"/>
  <c r="K326" i="5"/>
  <c r="J326" i="5"/>
  <c r="D2169" i="2"/>
  <c r="D2168" i="2"/>
  <c r="D2167" i="2"/>
  <c r="N325" i="5"/>
  <c r="D2166" i="2"/>
  <c r="D2165" i="2"/>
  <c r="K325" i="5"/>
  <c r="D2164" i="2"/>
  <c r="D2163" i="2"/>
  <c r="D2162" i="2"/>
  <c r="D2161" i="2"/>
  <c r="D2160" i="2"/>
  <c r="D2159" i="2"/>
  <c r="D2158" i="2"/>
  <c r="F170" i="8"/>
  <c r="G246" i="6"/>
  <c r="G247" i="6"/>
  <c r="D2157" i="2"/>
  <c r="D2156" i="2"/>
  <c r="N324" i="5"/>
  <c r="D2155" i="2"/>
  <c r="G245" i="6"/>
  <c r="D2154" i="2" l="1"/>
  <c r="D2153" i="2"/>
  <c r="D2152" i="2"/>
  <c r="D2151" i="2"/>
  <c r="D2150" i="2"/>
  <c r="G244" i="6"/>
  <c r="F169" i="8"/>
  <c r="F168" i="8"/>
  <c r="D2149" i="2"/>
  <c r="V323" i="5"/>
  <c r="N323" i="5"/>
  <c r="D2148" i="2"/>
  <c r="K323" i="5"/>
  <c r="J323" i="5"/>
  <c r="D2147" i="2"/>
  <c r="D2146" i="2"/>
  <c r="D2145" i="2"/>
  <c r="D2144" i="2"/>
  <c r="D2143" i="2"/>
  <c r="G167" i="8"/>
  <c r="F167" i="8"/>
  <c r="G243" i="6"/>
  <c r="G242" i="6"/>
  <c r="G241" i="6"/>
  <c r="D2142" i="2"/>
  <c r="N322" i="5" l="1"/>
  <c r="D2141" i="2" l="1"/>
  <c r="D2140" i="2"/>
  <c r="K322" i="5"/>
  <c r="J322" i="5"/>
  <c r="D2139" i="2"/>
  <c r="D2138" i="2"/>
  <c r="D2137" i="2"/>
  <c r="D2136" i="2"/>
  <c r="D2135" i="2"/>
  <c r="D2134" i="2"/>
  <c r="D2133" i="2"/>
  <c r="D2132" i="2"/>
  <c r="G240" i="6"/>
  <c r="G239" i="6"/>
  <c r="D2131" i="2"/>
  <c r="T321" i="5"/>
  <c r="N321" i="5"/>
  <c r="J321" i="5"/>
  <c r="K321" i="5"/>
  <c r="D2130" i="2"/>
  <c r="D2129" i="2"/>
  <c r="D2128" i="2"/>
  <c r="D2127" i="2"/>
  <c r="F161" i="8"/>
  <c r="F162" i="8"/>
  <c r="F163" i="8"/>
  <c r="F164" i="8"/>
  <c r="F165" i="8"/>
  <c r="F166" i="8"/>
  <c r="D2126" i="2"/>
  <c r="D2125" i="2" l="1"/>
  <c r="D2124" i="2"/>
  <c r="D2123" i="2"/>
  <c r="T320" i="5"/>
  <c r="N320" i="5"/>
  <c r="D2122" i="2"/>
  <c r="J320" i="5"/>
  <c r="K320" i="5"/>
  <c r="D2121" i="2"/>
  <c r="D2120" i="2"/>
  <c r="D2119" i="2"/>
  <c r="D2118" i="2"/>
  <c r="G238" i="6"/>
  <c r="G237" i="6"/>
  <c r="D2117" i="2"/>
  <c r="D2116" i="2"/>
  <c r="T319" i="5" l="1"/>
  <c r="N319" i="5"/>
  <c r="D2115" i="2"/>
  <c r="K319" i="5" l="1"/>
  <c r="J319" i="5"/>
  <c r="D2114" i="2"/>
  <c r="D2113" i="2"/>
  <c r="D2112" i="2"/>
  <c r="D2111" i="2" l="1"/>
  <c r="D2110" i="2"/>
  <c r="D2109" i="2"/>
  <c r="D2108" i="2"/>
  <c r="D2107" i="2"/>
  <c r="D2106" i="2"/>
  <c r="F160" i="8" l="1"/>
  <c r="F159" i="8"/>
  <c r="F158" i="8"/>
  <c r="F157" i="8"/>
  <c r="F156" i="8"/>
  <c r="F155" i="8"/>
  <c r="F154" i="8"/>
  <c r="D2105" i="2"/>
  <c r="D2104" i="2"/>
  <c r="D2103" i="2"/>
  <c r="D2102" i="2"/>
  <c r="D2101" i="2"/>
  <c r="N318" i="5"/>
  <c r="D2100" i="2"/>
  <c r="D2099" i="2"/>
  <c r="J318" i="5" l="1"/>
  <c r="K318" i="5"/>
  <c r="D2098" i="2"/>
  <c r="D2097" i="2" l="1"/>
  <c r="D2096" i="2" l="1"/>
  <c r="D2095" i="2"/>
  <c r="D2094" i="2"/>
  <c r="D2092" i="2"/>
  <c r="D2093" i="2" l="1"/>
  <c r="G236" i="6"/>
  <c r="G235" i="6"/>
  <c r="F153" i="8"/>
  <c r="F152" i="8"/>
  <c r="F151" i="8"/>
  <c r="D2091" i="2"/>
  <c r="D2090" i="2" l="1"/>
  <c r="T317" i="5"/>
  <c r="N317" i="5"/>
  <c r="K317" i="5"/>
  <c r="J317" i="5"/>
  <c r="D2089" i="2"/>
  <c r="N316" i="5"/>
  <c r="K316" i="5"/>
  <c r="J316" i="5"/>
  <c r="D2088" i="2"/>
  <c r="D2087" i="2"/>
  <c r="F147" i="8" l="1"/>
  <c r="D2086" i="2"/>
  <c r="D2085" i="2" l="1"/>
  <c r="D2084" i="2" l="1"/>
  <c r="F150" i="8" l="1"/>
  <c r="F149" i="8"/>
  <c r="G234" i="6"/>
  <c r="D2083" i="2"/>
  <c r="D2082" i="2"/>
  <c r="D2081" i="2"/>
  <c r="N315" i="5" l="1"/>
  <c r="D2080" i="2"/>
  <c r="D2079" i="2"/>
  <c r="K315" i="5"/>
  <c r="D2078" i="2"/>
  <c r="D2077" i="2" l="1"/>
  <c r="D2076" i="2"/>
  <c r="D2075" i="2"/>
  <c r="D2074" i="2"/>
  <c r="D2073" i="2"/>
  <c r="D2072" i="2"/>
  <c r="D2071" i="2"/>
  <c r="D2070" i="2"/>
  <c r="F148" i="8"/>
  <c r="F146" i="8"/>
  <c r="F145" i="8"/>
  <c r="F144" i="8"/>
  <c r="F143" i="8"/>
  <c r="F142" i="8"/>
  <c r="G233" i="6"/>
  <c r="G232" i="6"/>
  <c r="G231" i="6"/>
  <c r="D2069" i="2"/>
  <c r="D2068" i="2"/>
  <c r="D2067" i="2" l="1"/>
  <c r="D2066" i="2"/>
  <c r="D2065" i="2"/>
  <c r="N314" i="5"/>
  <c r="D2064" i="2"/>
  <c r="D2063" i="2"/>
  <c r="D2062" i="2"/>
  <c r="D2061" i="2"/>
  <c r="K314" i="5"/>
  <c r="J314" i="5"/>
  <c r="D2060" i="2" l="1"/>
  <c r="D2059" i="2"/>
  <c r="D2058" i="2" l="1"/>
  <c r="D2057" i="2" l="1"/>
  <c r="D2056" i="2"/>
  <c r="D2055" i="2"/>
  <c r="D2054" i="2"/>
  <c r="D2053" i="2" l="1"/>
  <c r="D2052" i="2" l="1"/>
  <c r="D2051" i="2"/>
  <c r="F141" i="8"/>
  <c r="F140" i="8"/>
  <c r="F139" i="8"/>
  <c r="F138" i="8"/>
  <c r="G230" i="6"/>
  <c r="D2050" i="2"/>
  <c r="D2049" i="2"/>
  <c r="N313" i="5"/>
  <c r="D2048" i="2"/>
  <c r="D2047" i="2"/>
  <c r="K313" i="5"/>
  <c r="J313" i="5"/>
  <c r="D2046" i="2"/>
  <c r="G228" i="6"/>
  <c r="D2045" i="2"/>
  <c r="D2044" i="2"/>
  <c r="D2043" i="2"/>
  <c r="G229" i="6"/>
  <c r="F137" i="8"/>
  <c r="D2042" i="2"/>
  <c r="N312" i="5"/>
  <c r="D2041" i="2"/>
  <c r="K312" i="5"/>
  <c r="D2040" i="2"/>
  <c r="D2039" i="2"/>
  <c r="D2038" i="2"/>
  <c r="D2037" i="2"/>
  <c r="F136" i="8"/>
  <c r="F135" i="8"/>
  <c r="F134" i="8"/>
  <c r="F133" i="8"/>
  <c r="F132" i="8"/>
  <c r="F131" i="8"/>
  <c r="F130" i="8"/>
  <c r="D2036" i="2"/>
  <c r="N311" i="5"/>
  <c r="D2035" i="2"/>
  <c r="D2034" i="2"/>
  <c r="D2033" i="2"/>
  <c r="K311" i="5"/>
  <c r="J311" i="5"/>
  <c r="D2032" i="2"/>
  <c r="D2031" i="2"/>
  <c r="D2030" i="2"/>
  <c r="D2029" i="2"/>
  <c r="D2028" i="2"/>
  <c r="F129" i="8"/>
  <c r="G227" i="6"/>
  <c r="G226" i="6"/>
  <c r="D2027" i="2"/>
  <c r="D2026" i="2"/>
  <c r="N310" i="5"/>
  <c r="D2025" i="2"/>
  <c r="D2024" i="2"/>
  <c r="D2023" i="2"/>
  <c r="K310" i="5"/>
  <c r="J310" i="5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G225" i="6"/>
  <c r="D2007" i="2"/>
  <c r="D2006" i="2"/>
  <c r="N309" i="5"/>
  <c r="D2005" i="2"/>
  <c r="D2004" i="2"/>
  <c r="K309" i="5"/>
  <c r="D2003" i="2"/>
  <c r="D2002" i="2"/>
  <c r="D2001" i="2"/>
  <c r="G224" i="6"/>
  <c r="G223" i="6"/>
  <c r="F128" i="8"/>
  <c r="F127" i="8"/>
  <c r="N308" i="5"/>
  <c r="J308" i="5"/>
  <c r="H308" i="5"/>
  <c r="K308" i="5" s="1"/>
  <c r="D2000" i="2"/>
  <c r="D1999" i="2"/>
  <c r="D1998" i="2"/>
  <c r="D1997" i="2"/>
  <c r="D1996" i="2"/>
  <c r="G222" i="6"/>
  <c r="F126" i="8"/>
  <c r="N307" i="5"/>
  <c r="D1995" i="2"/>
  <c r="K307" i="5"/>
  <c r="J307" i="5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F125" i="8"/>
  <c r="F124" i="8"/>
  <c r="G221" i="6"/>
  <c r="D1969" i="2"/>
  <c r="D1968" i="2"/>
  <c r="D1967" i="2"/>
  <c r="D1966" i="2"/>
  <c r="N306" i="5"/>
  <c r="D1965" i="2"/>
  <c r="D1964" i="2"/>
  <c r="D1963" i="2"/>
  <c r="D1962" i="2"/>
  <c r="D1961" i="2"/>
  <c r="K306" i="5"/>
  <c r="J306" i="5"/>
  <c r="D1960" i="2"/>
  <c r="D1959" i="2"/>
  <c r="D1958" i="2"/>
  <c r="D1957" i="2"/>
  <c r="D1956" i="2"/>
  <c r="D1955" i="2"/>
  <c r="D1954" i="2"/>
  <c r="D1953" i="2"/>
  <c r="D1952" i="2"/>
  <c r="D1951" i="2"/>
  <c r="G220" i="6"/>
  <c r="G219" i="6"/>
  <c r="G218" i="6"/>
  <c r="D1950" i="2"/>
  <c r="D1949" i="2"/>
  <c r="D1948" i="2"/>
  <c r="N305" i="5"/>
  <c r="D1947" i="2"/>
  <c r="D1946" i="2"/>
  <c r="K305" i="5"/>
  <c r="J305" i="5"/>
  <c r="D1945" i="2"/>
  <c r="D1944" i="2"/>
  <c r="D1943" i="2"/>
  <c r="D1942" i="2"/>
  <c r="D1941" i="2"/>
  <c r="D1940" i="2"/>
  <c r="D1939" i="2"/>
  <c r="D1938" i="2"/>
  <c r="D1936" i="2"/>
  <c r="D1937" i="2"/>
  <c r="D1935" i="2"/>
  <c r="N304" i="5"/>
  <c r="D1934" i="2"/>
  <c r="D1933" i="2"/>
  <c r="J304" i="5"/>
  <c r="K304" i="5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G217" i="6"/>
  <c r="F123" i="8"/>
  <c r="F122" i="8"/>
  <c r="F121" i="8"/>
  <c r="F120" i="8"/>
  <c r="F119" i="8"/>
  <c r="F118" i="8"/>
  <c r="D1910" i="2"/>
  <c r="D1909" i="2"/>
  <c r="D1908" i="2"/>
  <c r="D1907" i="2"/>
  <c r="N303" i="5"/>
  <c r="D1906" i="2"/>
  <c r="D1905" i="2"/>
  <c r="D1904" i="2"/>
  <c r="D1903" i="2"/>
  <c r="D1902" i="2"/>
  <c r="K303" i="5"/>
  <c r="J303" i="5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F117" i="8"/>
  <c r="G216" i="6"/>
  <c r="G215" i="6"/>
  <c r="D1887" i="2"/>
  <c r="D1886" i="2"/>
  <c r="D1885" i="2"/>
  <c r="D1884" i="2"/>
  <c r="D1883" i="2"/>
  <c r="V302" i="5"/>
  <c r="N302" i="5"/>
  <c r="D1882" i="2"/>
  <c r="D1881" i="2"/>
  <c r="D1880" i="2"/>
  <c r="D1879" i="2"/>
  <c r="D1878" i="2"/>
  <c r="J302" i="5"/>
  <c r="H302" i="5"/>
  <c r="K302" i="5" s="1"/>
  <c r="D1877" i="2"/>
  <c r="D1876" i="2"/>
  <c r="D1875" i="2"/>
  <c r="D1874" i="2"/>
  <c r="D1873" i="2"/>
  <c r="D1872" i="2"/>
  <c r="D1871" i="2"/>
  <c r="D1870" i="2"/>
  <c r="D1865" i="2"/>
  <c r="D1869" i="2"/>
  <c r="D1868" i="2"/>
  <c r="D1867" i="2"/>
  <c r="D1866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N301" i="5"/>
  <c r="D1848" i="2"/>
  <c r="D1849" i="2"/>
  <c r="D1850" i="2"/>
  <c r="D1851" i="2"/>
  <c r="D1847" i="2"/>
  <c r="K301" i="5"/>
  <c r="J301" i="5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F116" i="8"/>
  <c r="G214" i="6"/>
  <c r="G213" i="6"/>
  <c r="D1824" i="2"/>
  <c r="D1823" i="2"/>
  <c r="D1822" i="2"/>
  <c r="D1821" i="2"/>
  <c r="V300" i="5"/>
  <c r="N300" i="5"/>
  <c r="D1820" i="2"/>
  <c r="D1819" i="2"/>
  <c r="D1818" i="2"/>
  <c r="D1817" i="2"/>
  <c r="D1816" i="2"/>
  <c r="K300" i="5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N299" i="5"/>
  <c r="D1802" i="2"/>
  <c r="D1801" i="2"/>
  <c r="D1800" i="2"/>
  <c r="D1799" i="2"/>
  <c r="K299" i="5"/>
  <c r="J299" i="5"/>
  <c r="D1798" i="2"/>
  <c r="D1797" i="2"/>
  <c r="D1796" i="2"/>
  <c r="D1795" i="2"/>
  <c r="D1794" i="2"/>
  <c r="D1793" i="2"/>
  <c r="D1792" i="2"/>
  <c r="G211" i="6"/>
  <c r="G212" i="6"/>
  <c r="F115" i="8"/>
  <c r="F114" i="8"/>
  <c r="F113" i="8"/>
  <c r="D1791" i="2"/>
  <c r="D1790" i="2"/>
  <c r="N298" i="5"/>
  <c r="D1787" i="2"/>
  <c r="D1789" i="2"/>
  <c r="D1788" i="2"/>
  <c r="D1786" i="2"/>
  <c r="D1785" i="2"/>
  <c r="D1784" i="2"/>
  <c r="D1783" i="2"/>
  <c r="D1782" i="2"/>
  <c r="D1781" i="2"/>
  <c r="K298" i="5"/>
  <c r="J298" i="5"/>
  <c r="D1780" i="2"/>
  <c r="D1779" i="2"/>
  <c r="D1778" i="2"/>
  <c r="G210" i="6"/>
  <c r="D1777" i="2"/>
  <c r="N297" i="5"/>
  <c r="K297" i="5"/>
  <c r="D1776" i="2"/>
  <c r="D1775" i="2"/>
  <c r="D1774" i="2"/>
  <c r="D1773" i="2"/>
  <c r="D1772" i="2"/>
  <c r="D1771" i="2"/>
  <c r="D1770" i="2"/>
  <c r="D1769" i="2"/>
  <c r="G207" i="6"/>
  <c r="G208" i="6"/>
  <c r="G209" i="6"/>
  <c r="D1768" i="2"/>
  <c r="D1767" i="2"/>
  <c r="D1766" i="2"/>
  <c r="N296" i="5"/>
  <c r="D1765" i="2"/>
  <c r="D1764" i="2"/>
  <c r="D1763" i="2"/>
  <c r="K296" i="5"/>
  <c r="J296" i="5"/>
  <c r="D1762" i="2"/>
  <c r="D1761" i="2"/>
  <c r="D1759" i="2"/>
  <c r="D1760" i="2"/>
  <c r="D1758" i="2"/>
  <c r="D1757" i="2"/>
  <c r="F112" i="8"/>
  <c r="F111" i="8"/>
  <c r="G206" i="6"/>
  <c r="D1756" i="2"/>
  <c r="D1755" i="2"/>
  <c r="N295" i="5"/>
  <c r="D1754" i="2"/>
  <c r="K295" i="5"/>
  <c r="J295" i="5"/>
  <c r="D1753" i="2"/>
  <c r="D1752" i="2"/>
  <c r="D1751" i="2"/>
  <c r="D1750" i="2"/>
  <c r="D1749" i="2"/>
  <c r="D1748" i="2"/>
  <c r="D1747" i="2"/>
  <c r="F109" i="8"/>
  <c r="G202" i="6"/>
  <c r="G205" i="6"/>
  <c r="N294" i="5"/>
  <c r="D1746" i="2"/>
  <c r="D1745" i="2"/>
  <c r="D1744" i="2"/>
  <c r="D1743" i="2"/>
  <c r="G204" i="6"/>
  <c r="D1742" i="2"/>
  <c r="G203" i="6"/>
  <c r="F110" i="8"/>
  <c r="D1741" i="2"/>
  <c r="D1740" i="2"/>
  <c r="D1739" i="2"/>
  <c r="N293" i="5"/>
  <c r="D1738" i="2"/>
  <c r="D1737" i="2"/>
  <c r="D1736" i="2"/>
  <c r="D1735" i="2"/>
  <c r="D1734" i="2"/>
  <c r="J294" i="5"/>
  <c r="K294" i="5"/>
  <c r="D1733" i="2"/>
  <c r="D1732" i="2"/>
  <c r="D1731" i="2"/>
  <c r="D1730" i="2"/>
  <c r="N292" i="5"/>
  <c r="D1729" i="2"/>
  <c r="D1728" i="2"/>
  <c r="D1727" i="2"/>
  <c r="D1726" i="2"/>
  <c r="D1725" i="2"/>
  <c r="D1724" i="2"/>
  <c r="D1723" i="2"/>
  <c r="D1722" i="2"/>
  <c r="D1721" i="2"/>
  <c r="K293" i="5"/>
  <c r="J293" i="5"/>
  <c r="K292" i="5"/>
  <c r="J292" i="5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7" i="2"/>
  <c r="D1698" i="2"/>
  <c r="D1696" i="2"/>
  <c r="D1695" i="2"/>
  <c r="D1694" i="2"/>
  <c r="D1693" i="2"/>
  <c r="D1692" i="2"/>
  <c r="D1691" i="2"/>
  <c r="D1690" i="2"/>
  <c r="D1689" i="2"/>
  <c r="D1688" i="2"/>
  <c r="N291" i="5"/>
  <c r="D1687" i="2"/>
  <c r="D1686" i="2"/>
  <c r="D1685" i="2"/>
  <c r="K291" i="5"/>
  <c r="K290" i="5"/>
  <c r="K289" i="5"/>
  <c r="K288" i="5"/>
  <c r="K287" i="5"/>
  <c r="K286" i="5"/>
  <c r="K285" i="5"/>
  <c r="J291" i="5"/>
  <c r="D1684" i="2"/>
  <c r="D1683" i="2"/>
  <c r="D1682" i="2"/>
  <c r="D1681" i="2"/>
  <c r="D1680" i="2"/>
  <c r="F108" i="8"/>
  <c r="F107" i="8"/>
  <c r="N290" i="5"/>
  <c r="D1679" i="2"/>
  <c r="D1678" i="2"/>
  <c r="J290" i="5"/>
  <c r="D1677" i="2"/>
  <c r="D1676" i="2"/>
  <c r="D1675" i="2"/>
  <c r="D1674" i="2"/>
  <c r="D1673" i="2"/>
  <c r="D1672" i="2"/>
  <c r="D1671" i="2"/>
  <c r="D1670" i="2"/>
  <c r="D1669" i="2"/>
  <c r="D1668" i="2"/>
  <c r="D1667" i="2"/>
  <c r="G201" i="6"/>
  <c r="N289" i="5"/>
  <c r="D1664" i="2"/>
  <c r="D1665" i="2"/>
  <c r="D1666" i="2"/>
  <c r="D1663" i="2"/>
  <c r="D1662" i="2"/>
  <c r="D1661" i="2"/>
  <c r="D1660" i="2"/>
  <c r="J289" i="5"/>
  <c r="G200" i="6"/>
  <c r="D1657" i="2"/>
  <c r="D1659" i="2"/>
  <c r="D1658" i="2"/>
  <c r="D1656" i="2"/>
  <c r="D1655" i="2"/>
  <c r="D1654" i="2"/>
  <c r="D1653" i="2"/>
  <c r="G199" i="6"/>
  <c r="G198" i="6"/>
  <c r="F106" i="8"/>
  <c r="F105" i="8"/>
  <c r="F104" i="8"/>
  <c r="D1652" i="2"/>
  <c r="N288" i="5"/>
  <c r="D1651" i="2"/>
  <c r="G197" i="6"/>
  <c r="D1650" i="2"/>
  <c r="D1647" i="2"/>
  <c r="D1649" i="2"/>
  <c r="D1648" i="2"/>
  <c r="D1646" i="2"/>
  <c r="D1645" i="2"/>
  <c r="D1644" i="2"/>
  <c r="D1643" i="2"/>
  <c r="D1642" i="2"/>
  <c r="D1641" i="2"/>
  <c r="D1640" i="2"/>
  <c r="N287" i="5"/>
  <c r="D1639" i="2"/>
  <c r="D1638" i="2"/>
  <c r="D1637" i="2"/>
  <c r="D1636" i="2"/>
  <c r="J287" i="5"/>
  <c r="D1635" i="2"/>
  <c r="D1634" i="2"/>
  <c r="D1633" i="2"/>
  <c r="D1632" i="2"/>
  <c r="D1631" i="2"/>
  <c r="G196" i="6"/>
  <c r="G195" i="6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D1630" i="2"/>
  <c r="D1629" i="2"/>
  <c r="D1628" i="2"/>
  <c r="D1627" i="2"/>
  <c r="D1626" i="2"/>
  <c r="D1625" i="2"/>
  <c r="D1624" i="2"/>
  <c r="D1623" i="2"/>
  <c r="D1622" i="2"/>
  <c r="D1621" i="2"/>
  <c r="D1618" i="2"/>
  <c r="D1619" i="2"/>
  <c r="D1620" i="2"/>
  <c r="D1617" i="2"/>
  <c r="D1616" i="2"/>
  <c r="D1615" i="2"/>
  <c r="G194" i="6"/>
  <c r="G193" i="6"/>
  <c r="D1614" i="2"/>
  <c r="N286" i="5"/>
  <c r="D1613" i="2"/>
  <c r="D1612" i="2"/>
  <c r="J286" i="5"/>
  <c r="D1611" i="2"/>
  <c r="D1610" i="2"/>
  <c r="D1609" i="2"/>
  <c r="D1608" i="2"/>
  <c r="D1607" i="2"/>
  <c r="G192" i="6"/>
  <c r="D1604" i="2"/>
  <c r="D1605" i="2"/>
  <c r="D1606" i="2"/>
  <c r="D1603" i="2"/>
  <c r="N285" i="5"/>
  <c r="D1602" i="2"/>
  <c r="D1601" i="2"/>
  <c r="D1600" i="2"/>
  <c r="J285" i="5"/>
  <c r="D1599" i="2"/>
  <c r="D1598" i="2"/>
  <c r="G191" i="6"/>
  <c r="G190" i="6"/>
  <c r="D1597" i="2"/>
  <c r="D1596" i="2"/>
  <c r="N284" i="5"/>
  <c r="D1595" i="2"/>
  <c r="K284" i="5"/>
  <c r="J284" i="5"/>
  <c r="D1594" i="2"/>
  <c r="D1593" i="2"/>
  <c r="D1592" i="2"/>
  <c r="D1591" i="2"/>
  <c r="D1590" i="2"/>
  <c r="D1589" i="2"/>
  <c r="G186" i="6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G189" i="6"/>
  <c r="G188" i="6"/>
  <c r="G187" i="6"/>
  <c r="F75" i="8"/>
  <c r="F74" i="8"/>
  <c r="F73" i="8"/>
  <c r="F72" i="8"/>
  <c r="D1570" i="2"/>
  <c r="D1569" i="2"/>
  <c r="T283" i="5"/>
  <c r="N283" i="5"/>
  <c r="D1568" i="2"/>
  <c r="D1567" i="2"/>
  <c r="K283" i="5"/>
  <c r="J283" i="5"/>
  <c r="J277" i="5"/>
  <c r="D1566" i="2"/>
  <c r="D1565" i="2"/>
  <c r="D1564" i="2"/>
  <c r="D1563" i="2"/>
  <c r="D1562" i="2"/>
  <c r="D1561" i="2"/>
  <c r="N282" i="5"/>
  <c r="D1560" i="2"/>
  <c r="D1559" i="2"/>
  <c r="D1558" i="2"/>
  <c r="D1557" i="2"/>
  <c r="K282" i="5"/>
  <c r="J282" i="5"/>
  <c r="D1556" i="2"/>
  <c r="D1555" i="2"/>
  <c r="D1551" i="2"/>
  <c r="D1552" i="2"/>
  <c r="D1553" i="2"/>
  <c r="D1554" i="2"/>
  <c r="D1550" i="2"/>
  <c r="D1549" i="2"/>
  <c r="D1548" i="2"/>
  <c r="D1547" i="2"/>
  <c r="F67" i="8"/>
  <c r="F68" i="8"/>
  <c r="F69" i="8"/>
  <c r="F70" i="8"/>
  <c r="F71" i="8"/>
  <c r="G181" i="6"/>
  <c r="G182" i="6"/>
  <c r="G183" i="6"/>
  <c r="G184" i="6"/>
  <c r="G185" i="6"/>
  <c r="D1546" i="2"/>
  <c r="N281" i="5"/>
  <c r="D1545" i="2"/>
  <c r="D1544" i="2"/>
  <c r="D1543" i="2"/>
  <c r="G61" i="8"/>
  <c r="K281" i="5"/>
  <c r="J281" i="5"/>
  <c r="D1542" i="2"/>
  <c r="D1541" i="2"/>
  <c r="D1540" i="2"/>
  <c r="G180" i="6"/>
  <c r="D1539" i="2"/>
  <c r="D1538" i="2"/>
  <c r="N280" i="5"/>
  <c r="D1537" i="2"/>
  <c r="D1536" i="2"/>
  <c r="J280" i="5"/>
  <c r="K280" i="5"/>
  <c r="D1535" i="2"/>
  <c r="D1534" i="2"/>
  <c r="D1533" i="2"/>
  <c r="D1532" i="2"/>
  <c r="D1531" i="2"/>
  <c r="G178" i="6"/>
  <c r="G179" i="6"/>
  <c r="F66" i="8"/>
  <c r="F65" i="8"/>
  <c r="F64" i="8"/>
  <c r="F63" i="8"/>
  <c r="F62" i="8"/>
  <c r="F61" i="8"/>
  <c r="F60" i="8"/>
  <c r="F59" i="8"/>
  <c r="F58" i="8"/>
  <c r="F57" i="8"/>
  <c r="F56" i="8"/>
  <c r="D1530" i="2"/>
  <c r="D1529" i="2"/>
  <c r="N279" i="5"/>
  <c r="D1528" i="2"/>
  <c r="D1527" i="2"/>
  <c r="K279" i="5"/>
  <c r="J279" i="5"/>
  <c r="D1526" i="2"/>
  <c r="D1525" i="2"/>
  <c r="D1524" i="2"/>
  <c r="D1523" i="2"/>
  <c r="D1522" i="2"/>
  <c r="D1521" i="2"/>
  <c r="D1520" i="2"/>
  <c r="N278" i="5"/>
  <c r="J278" i="5"/>
  <c r="K278" i="5"/>
  <c r="G175" i="6"/>
  <c r="G176" i="6"/>
  <c r="G177" i="6"/>
  <c r="D1519" i="2"/>
  <c r="D1518" i="2"/>
  <c r="D1517" i="2"/>
  <c r="D1516" i="2"/>
  <c r="D1515" i="2"/>
  <c r="G174" i="6"/>
  <c r="F55" i="8"/>
  <c r="F54" i="8"/>
  <c r="F53" i="8"/>
  <c r="F52" i="8"/>
  <c r="F51" i="8"/>
  <c r="F50" i="8"/>
  <c r="F49" i="8"/>
  <c r="D1514" i="2"/>
  <c r="N277" i="5"/>
  <c r="K277" i="5"/>
  <c r="D1513" i="2"/>
  <c r="D1512" i="2"/>
  <c r="D1511" i="2"/>
  <c r="D1510" i="2"/>
  <c r="D1509" i="2"/>
  <c r="D1508" i="2"/>
  <c r="G173" i="6"/>
  <c r="N276" i="5"/>
  <c r="D1507" i="2"/>
  <c r="K276" i="5"/>
  <c r="J276" i="5"/>
  <c r="D1506" i="2"/>
  <c r="D1505" i="2"/>
  <c r="D1497" i="2"/>
  <c r="D1498" i="2"/>
  <c r="D1499" i="2"/>
  <c r="D1500" i="2"/>
  <c r="D1501" i="2"/>
  <c r="D1502" i="2"/>
  <c r="D1503" i="2"/>
  <c r="D1504" i="2"/>
  <c r="D1496" i="2"/>
  <c r="D1495" i="2"/>
  <c r="D1494" i="2"/>
  <c r="D1493" i="2"/>
  <c r="D1492" i="2"/>
  <c r="D1491" i="2"/>
  <c r="D1490" i="2"/>
  <c r="D1487" i="2"/>
  <c r="D1488" i="2"/>
  <c r="D1489" i="2"/>
  <c r="D1484" i="2"/>
  <c r="D1485" i="2"/>
  <c r="D1486" i="2"/>
  <c r="D1483" i="2"/>
  <c r="D1482" i="2"/>
  <c r="D1481" i="2"/>
  <c r="D1480" i="2"/>
  <c r="D1478" i="2"/>
  <c r="D1479" i="2"/>
  <c r="D1477" i="2"/>
  <c r="N275" i="5"/>
  <c r="D1474" i="2"/>
  <c r="D1475" i="2"/>
  <c r="D1476" i="2"/>
  <c r="K275" i="5"/>
  <c r="J275" i="5"/>
  <c r="D1470" i="2"/>
  <c r="D1471" i="2"/>
  <c r="D1472" i="2"/>
  <c r="D1473" i="2"/>
  <c r="D1469" i="2"/>
  <c r="D1468" i="2"/>
  <c r="D1466" i="2"/>
  <c r="D1467" i="2"/>
  <c r="D1465" i="2"/>
  <c r="N274" i="5"/>
  <c r="K274" i="5"/>
  <c r="J274" i="5"/>
  <c r="D1464" i="2"/>
  <c r="D1463" i="2"/>
  <c r="D1462" i="2"/>
  <c r="N273" i="5"/>
  <c r="D1461" i="2"/>
  <c r="D1460" i="2"/>
  <c r="J273" i="5"/>
  <c r="D1459" i="2"/>
  <c r="D1458" i="2"/>
  <c r="D1457" i="2"/>
  <c r="D1456" i="2"/>
  <c r="D1455" i="2"/>
  <c r="D1454" i="2"/>
  <c r="K273" i="5"/>
  <c r="D1453" i="2"/>
  <c r="D1452" i="2"/>
  <c r="G172" i="6"/>
  <c r="D1451" i="2"/>
  <c r="D1450" i="2"/>
  <c r="N272" i="5"/>
  <c r="J272" i="5"/>
  <c r="K272" i="5"/>
  <c r="G171" i="6"/>
  <c r="D1449" i="2"/>
  <c r="D1448" i="2"/>
  <c r="N271" i="5"/>
  <c r="D1446" i="2"/>
  <c r="D1447" i="2"/>
  <c r="D1445" i="2"/>
  <c r="J271" i="5"/>
  <c r="K271" i="5"/>
  <c r="D1444" i="2"/>
  <c r="D1443" i="2"/>
  <c r="D1442" i="2"/>
  <c r="D1441" i="2"/>
  <c r="D1439" i="2"/>
  <c r="D1440" i="2"/>
  <c r="D1438" i="2"/>
  <c r="D1437" i="2"/>
  <c r="D1436" i="2"/>
  <c r="D1435" i="2"/>
  <c r="G170" i="6"/>
  <c r="D1434" i="2"/>
  <c r="N270" i="5"/>
  <c r="D1433" i="2"/>
  <c r="D1432" i="2"/>
  <c r="D1431" i="2"/>
  <c r="D1430" i="2"/>
  <c r="J270" i="5"/>
  <c r="K270" i="5"/>
  <c r="D1428" i="2"/>
  <c r="D1429" i="2"/>
  <c r="D1427" i="2"/>
  <c r="D1426" i="2"/>
  <c r="D1425" i="2"/>
  <c r="D1423" i="2"/>
  <c r="D1424" i="2"/>
  <c r="D1422" i="2"/>
  <c r="D1421" i="2"/>
  <c r="N269" i="5"/>
  <c r="D1420" i="2"/>
  <c r="D1419" i="2"/>
  <c r="K269" i="5"/>
  <c r="J269" i="5"/>
  <c r="G169" i="6"/>
  <c r="T268" i="5"/>
  <c r="N268" i="5"/>
  <c r="J268" i="5"/>
  <c r="K268" i="5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4" i="2"/>
  <c r="D1405" i="2"/>
  <c r="D1406" i="2"/>
  <c r="D1403" i="2"/>
  <c r="D1402" i="2"/>
  <c r="D1401" i="2"/>
  <c r="D1400" i="2"/>
  <c r="G168" i="6"/>
  <c r="D1399" i="2"/>
  <c r="D1398" i="2"/>
  <c r="D1397" i="2"/>
  <c r="D1396" i="2"/>
  <c r="T267" i="5"/>
  <c r="N267" i="5"/>
  <c r="D1394" i="2"/>
  <c r="D1395" i="2"/>
  <c r="D1393" i="2"/>
  <c r="J267" i="5"/>
  <c r="K267" i="5"/>
  <c r="D1390" i="2"/>
  <c r="D1391" i="2"/>
  <c r="D1392" i="2"/>
  <c r="D1389" i="2"/>
  <c r="D1386" i="2"/>
  <c r="D1387" i="2"/>
  <c r="D1388" i="2"/>
  <c r="D1385" i="2"/>
  <c r="G167" i="6"/>
  <c r="D1384" i="2"/>
  <c r="D1383" i="2"/>
  <c r="T266" i="5"/>
  <c r="N266" i="5"/>
  <c r="D1382" i="2"/>
  <c r="D1381" i="2"/>
  <c r="D1380" i="2"/>
  <c r="J266" i="5"/>
  <c r="K266" i="5"/>
  <c r="D1379" i="2"/>
  <c r="D1378" i="2"/>
  <c r="D1377" i="2"/>
  <c r="D1376" i="2"/>
  <c r="D1375" i="2"/>
  <c r="D1374" i="2"/>
  <c r="D1373" i="2"/>
  <c r="G166" i="6"/>
  <c r="D1372" i="2"/>
  <c r="N265" i="5"/>
  <c r="D1371" i="2"/>
  <c r="D1370" i="2"/>
  <c r="D1369" i="2"/>
  <c r="K265" i="5"/>
  <c r="J265" i="5"/>
  <c r="D1368" i="2"/>
  <c r="G165" i="6"/>
  <c r="G164" i="6"/>
  <c r="V264" i="5"/>
  <c r="N264" i="5"/>
  <c r="D1367" i="2"/>
  <c r="K264" i="5"/>
  <c r="J264" i="5"/>
  <c r="D1365" i="2"/>
  <c r="D1366" i="2"/>
  <c r="D1364" i="2"/>
  <c r="D1363" i="2"/>
  <c r="D1362" i="2"/>
  <c r="D1361" i="2"/>
  <c r="G163" i="6"/>
  <c r="G162" i="6"/>
  <c r="D1360" i="2"/>
  <c r="D1359" i="2"/>
  <c r="N263" i="5"/>
  <c r="V263" i="5"/>
  <c r="K263" i="5"/>
  <c r="J263" i="5"/>
  <c r="D1357" i="2"/>
  <c r="D1356" i="2"/>
  <c r="D1355" i="2"/>
  <c r="D1354" i="2"/>
  <c r="D1353" i="2"/>
  <c r="D1352" i="2"/>
  <c r="G161" i="6"/>
  <c r="D1351" i="2"/>
  <c r="D1350" i="2"/>
  <c r="D1349" i="2"/>
  <c r="D1348" i="2"/>
  <c r="D1347" i="2"/>
  <c r="G160" i="6"/>
  <c r="G159" i="6"/>
  <c r="D1346" i="2"/>
  <c r="N262" i="5"/>
  <c r="V262" i="5"/>
  <c r="D1345" i="2"/>
  <c r="D1344" i="2"/>
  <c r="J262" i="5"/>
  <c r="H262" i="5"/>
  <c r="K262" i="5" s="1"/>
  <c r="D1343" i="2"/>
  <c r="D1342" i="2"/>
  <c r="G158" i="6"/>
  <c r="G157" i="6"/>
  <c r="D1338" i="2"/>
  <c r="D1339" i="2"/>
  <c r="D1340" i="2"/>
  <c r="D1341" i="2"/>
  <c r="D1337" i="2"/>
  <c r="V261" i="5"/>
  <c r="N261" i="5"/>
  <c r="D1336" i="2"/>
  <c r="D1335" i="2"/>
  <c r="J261" i="5"/>
  <c r="K261" i="5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G156" i="6"/>
  <c r="D1320" i="2"/>
  <c r="D1318" i="2"/>
  <c r="D1319" i="2"/>
  <c r="D1317" i="2"/>
  <c r="N260" i="5"/>
  <c r="V260" i="5"/>
  <c r="K260" i="5"/>
  <c r="J260" i="5"/>
  <c r="D1316" i="2"/>
  <c r="D1315" i="2"/>
  <c r="D1314" i="2"/>
  <c r="D1313" i="2"/>
  <c r="G155" i="6"/>
  <c r="G154" i="6"/>
  <c r="D1312" i="2"/>
  <c r="D1311" i="2"/>
  <c r="N259" i="5"/>
  <c r="V259" i="5"/>
  <c r="D1308" i="2"/>
  <c r="D1310" i="2"/>
  <c r="D1309" i="2"/>
  <c r="K259" i="5"/>
  <c r="J259" i="5"/>
  <c r="G153" i="6"/>
  <c r="G152" i="6"/>
  <c r="G151" i="6"/>
  <c r="D1307" i="2"/>
  <c r="D1306" i="2"/>
  <c r="D1305" i="2"/>
  <c r="D1304" i="2"/>
  <c r="D1303" i="2"/>
  <c r="D1302" i="2"/>
  <c r="D1301" i="2"/>
  <c r="D1300" i="2"/>
  <c r="N258" i="5"/>
  <c r="D1299" i="2"/>
  <c r="K258" i="5"/>
  <c r="J258" i="5"/>
  <c r="D1298" i="2"/>
  <c r="D1297" i="2"/>
  <c r="D1296" i="2"/>
  <c r="D1295" i="2"/>
  <c r="D1293" i="2"/>
  <c r="D1294" i="2"/>
  <c r="D1292" i="2"/>
  <c r="G150" i="6"/>
  <c r="G149" i="6"/>
  <c r="N257" i="5"/>
  <c r="T257" i="5"/>
  <c r="D1289" i="2"/>
  <c r="D1290" i="2"/>
  <c r="D1291" i="2"/>
  <c r="D1288" i="2"/>
  <c r="K257" i="5"/>
  <c r="J257" i="5"/>
  <c r="D1287" i="2"/>
  <c r="D1286" i="2"/>
  <c r="D1285" i="2"/>
  <c r="D1284" i="2"/>
  <c r="G148" i="6"/>
  <c r="G147" i="6"/>
  <c r="G146" i="6"/>
  <c r="D1283" i="2"/>
  <c r="D1282" i="2"/>
  <c r="D1281" i="2"/>
  <c r="T256" i="5"/>
  <c r="N256" i="5"/>
  <c r="D1280" i="2"/>
  <c r="D1279" i="2"/>
  <c r="K256" i="5"/>
  <c r="J256" i="5"/>
  <c r="D1278" i="2"/>
  <c r="D1277" i="2"/>
  <c r="D1276" i="2"/>
  <c r="D1275" i="2"/>
  <c r="D1274" i="2"/>
  <c r="D1273" i="2"/>
  <c r="G143" i="6"/>
  <c r="G142" i="6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G145" i="6"/>
  <c r="G144" i="6"/>
  <c r="T255" i="5"/>
  <c r="N255" i="5"/>
  <c r="D1253" i="2"/>
  <c r="D1252" i="2"/>
  <c r="K255" i="5"/>
  <c r="J255" i="5"/>
  <c r="K250" i="5"/>
  <c r="J250" i="5"/>
  <c r="T254" i="5"/>
  <c r="N254" i="5"/>
  <c r="J254" i="5"/>
  <c r="K254" i="5"/>
  <c r="D1251" i="2"/>
  <c r="D1250" i="2"/>
  <c r="N253" i="5"/>
  <c r="K253" i="5"/>
  <c r="J253" i="5"/>
  <c r="T252" i="5"/>
  <c r="N252" i="5"/>
  <c r="D1249" i="2"/>
  <c r="D1248" i="2"/>
  <c r="D1247" i="2"/>
  <c r="K252" i="5"/>
  <c r="J252" i="5"/>
  <c r="G141" i="6"/>
  <c r="G140" i="6"/>
  <c r="T251" i="5"/>
  <c r="N251" i="5"/>
  <c r="J251" i="5"/>
  <c r="K251" i="5"/>
  <c r="D1246" i="2"/>
  <c r="D1245" i="2"/>
  <c r="D1244" i="2"/>
  <c r="D1243" i="2"/>
  <c r="V250" i="5"/>
  <c r="N250" i="5"/>
  <c r="D1242" i="2"/>
  <c r="D1241" i="2"/>
  <c r="D1240" i="2"/>
  <c r="G139" i="6"/>
  <c r="G138" i="6"/>
  <c r="G137" i="6"/>
  <c r="G136" i="6"/>
  <c r="D1239" i="2"/>
  <c r="D1238" i="2"/>
  <c r="F40" i="8"/>
  <c r="F41" i="8"/>
  <c r="F42" i="8"/>
  <c r="F43" i="8"/>
  <c r="F44" i="8"/>
  <c r="F45" i="8"/>
  <c r="F46" i="8"/>
  <c r="F47" i="8"/>
  <c r="F48" i="8"/>
  <c r="F31" i="8"/>
  <c r="F32" i="8"/>
  <c r="F33" i="8"/>
  <c r="F34" i="8"/>
  <c r="F35" i="8"/>
  <c r="F36" i="8"/>
  <c r="F37" i="8"/>
  <c r="F38" i="8"/>
  <c r="F39" i="8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V249" i="5"/>
  <c r="N249" i="5"/>
  <c r="D1224" i="2"/>
  <c r="D1223" i="2"/>
  <c r="V248" i="5"/>
  <c r="N248" i="5"/>
  <c r="D1222" i="2"/>
  <c r="V247" i="5"/>
  <c r="N247" i="5"/>
  <c r="V246" i="5"/>
  <c r="N246" i="5"/>
  <c r="D1221" i="2"/>
  <c r="D1220" i="2"/>
  <c r="D1219" i="2"/>
  <c r="K247" i="5"/>
  <c r="K248" i="5"/>
  <c r="K249" i="5"/>
  <c r="J246" i="5"/>
  <c r="J247" i="5"/>
  <c r="J248" i="5"/>
  <c r="J249" i="5"/>
  <c r="K246" i="5"/>
  <c r="J243" i="5"/>
  <c r="K243" i="5"/>
  <c r="D1218" i="2"/>
  <c r="D1217" i="2"/>
  <c r="D1216" i="2"/>
  <c r="D1215" i="2"/>
  <c r="V245" i="5"/>
  <c r="N245" i="5"/>
  <c r="J245" i="5"/>
  <c r="K245" i="5"/>
  <c r="D1214" i="2"/>
  <c r="D1213" i="2"/>
  <c r="D1212" i="2"/>
  <c r="D1211" i="2"/>
  <c r="D1210" i="2"/>
  <c r="V244" i="5"/>
  <c r="N244" i="5"/>
  <c r="D1209" i="2"/>
  <c r="D1208" i="2"/>
  <c r="K244" i="5"/>
  <c r="J244" i="5"/>
  <c r="D1207" i="2"/>
  <c r="D1206" i="2"/>
  <c r="D1205" i="2"/>
  <c r="D1204" i="2"/>
  <c r="D1203" i="2"/>
  <c r="D1202" i="2"/>
  <c r="G135" i="6"/>
  <c r="G134" i="6"/>
  <c r="G133" i="6"/>
  <c r="D1201" i="2"/>
  <c r="D1200" i="2"/>
  <c r="D1199" i="2"/>
  <c r="V243" i="5"/>
  <c r="N243" i="5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G132" i="6"/>
  <c r="G131" i="6"/>
  <c r="D1171" i="2"/>
  <c r="D1170" i="2"/>
  <c r="D1169" i="2"/>
  <c r="V242" i="5"/>
  <c r="N242" i="5"/>
  <c r="D1165" i="2"/>
  <c r="D1166" i="2"/>
  <c r="D1167" i="2"/>
  <c r="D1168" i="2"/>
  <c r="D1164" i="2"/>
  <c r="J242" i="5"/>
  <c r="H242" i="5"/>
  <c r="K242" i="5" s="1"/>
  <c r="D1163" i="2"/>
  <c r="D1162" i="2"/>
  <c r="G130" i="6"/>
  <c r="T241" i="5"/>
  <c r="N241" i="5"/>
  <c r="D1161" i="2"/>
  <c r="H241" i="5"/>
  <c r="K241" i="5" s="1"/>
  <c r="J241" i="5"/>
  <c r="D1160" i="2"/>
  <c r="D1159" i="2"/>
  <c r="D1158" i="2"/>
  <c r="G129" i="6"/>
  <c r="D1157" i="2"/>
  <c r="N240" i="5"/>
  <c r="V240" i="5"/>
  <c r="K240" i="5"/>
  <c r="J240" i="5"/>
  <c r="D1155" i="2"/>
  <c r="D1156" i="2"/>
  <c r="D1154" i="2"/>
  <c r="D1153" i="2"/>
  <c r="G128" i="6"/>
  <c r="D1152" i="2"/>
  <c r="N239" i="5"/>
  <c r="V239" i="5"/>
  <c r="D1151" i="2"/>
  <c r="D1150" i="2"/>
  <c r="D1149" i="2"/>
  <c r="K239" i="5"/>
  <c r="J239" i="5"/>
  <c r="D1148" i="2"/>
  <c r="D1147" i="2"/>
  <c r="D1146" i="2"/>
  <c r="D1145" i="2"/>
  <c r="D1144" i="2"/>
  <c r="G127" i="6"/>
  <c r="D1143" i="2"/>
  <c r="D1142" i="2"/>
  <c r="V238" i="5"/>
  <c r="N238" i="5"/>
  <c r="D1138" i="2"/>
  <c r="D1139" i="2"/>
  <c r="D1140" i="2"/>
  <c r="D1141" i="2"/>
  <c r="D1137" i="2"/>
  <c r="K238" i="5"/>
  <c r="J238" i="5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N237" i="5"/>
  <c r="D1107" i="2"/>
  <c r="D1108" i="2"/>
  <c r="D1109" i="2"/>
  <c r="D1106" i="2"/>
  <c r="J237" i="5"/>
  <c r="H237" i="5"/>
  <c r="K237" i="5" s="1"/>
  <c r="G126" i="6"/>
  <c r="V236" i="5"/>
  <c r="N236" i="5"/>
  <c r="D1105" i="2"/>
  <c r="D1104" i="2"/>
  <c r="D1103" i="2"/>
  <c r="D1102" i="2"/>
  <c r="K236" i="5"/>
  <c r="J236" i="5"/>
  <c r="D1101" i="2"/>
  <c r="D1100" i="2"/>
  <c r="V235" i="5"/>
  <c r="N235" i="5"/>
  <c r="D1099" i="2"/>
  <c r="D1098" i="2"/>
  <c r="K235" i="5"/>
  <c r="J235" i="5"/>
  <c r="D1097" i="2"/>
  <c r="D1096" i="2"/>
  <c r="D1095" i="2"/>
  <c r="D1094" i="2"/>
  <c r="D1093" i="2"/>
  <c r="D1092" i="2"/>
  <c r="D1091" i="2"/>
  <c r="N234" i="5"/>
  <c r="D1090" i="2"/>
  <c r="K234" i="5"/>
  <c r="J234" i="5"/>
  <c r="D1087" i="2"/>
  <c r="D1088" i="2"/>
  <c r="D1089" i="2"/>
  <c r="D1086" i="2"/>
  <c r="D1082" i="2"/>
  <c r="D1083" i="2"/>
  <c r="D1084" i="2"/>
  <c r="D1085" i="2"/>
  <c r="D1081" i="2"/>
  <c r="D1080" i="2"/>
  <c r="D1079" i="2"/>
  <c r="G125" i="6"/>
  <c r="G124" i="6"/>
  <c r="G123" i="6"/>
  <c r="T233" i="5"/>
  <c r="N233" i="5"/>
  <c r="D1078" i="2"/>
  <c r="D1077" i="2"/>
  <c r="D1076" i="2"/>
  <c r="D1075" i="2"/>
  <c r="J233" i="5"/>
  <c r="H233" i="5"/>
  <c r="K233" i="5" s="1"/>
  <c r="D1074" i="2"/>
  <c r="D1073" i="2"/>
  <c r="D1072" i="2"/>
  <c r="D1071" i="2"/>
  <c r="D1070" i="2"/>
  <c r="D1069" i="2"/>
  <c r="D1067" i="2"/>
  <c r="D1068" i="2"/>
  <c r="D1066" i="2"/>
  <c r="D1065" i="2"/>
  <c r="D1064" i="2"/>
  <c r="D1063" i="2"/>
  <c r="D1062" i="2"/>
  <c r="D1061" i="2"/>
  <c r="D1060" i="2"/>
  <c r="D1059" i="2"/>
  <c r="N232" i="5"/>
  <c r="J232" i="5"/>
  <c r="H232" i="5"/>
  <c r="K232" i="5" s="1"/>
  <c r="D1058" i="2"/>
  <c r="D1057" i="2"/>
  <c r="D1056" i="2"/>
  <c r="G122" i="6"/>
  <c r="G121" i="6"/>
  <c r="D1055" i="2"/>
  <c r="D1054" i="2"/>
  <c r="D1053" i="2"/>
  <c r="N231" i="5"/>
  <c r="D1052" i="2"/>
  <c r="D1051" i="2"/>
  <c r="D1050" i="2"/>
  <c r="D1049" i="2"/>
  <c r="J231" i="5"/>
  <c r="H231" i="5"/>
  <c r="K231" i="5" s="1"/>
  <c r="D1048" i="2"/>
  <c r="D1047" i="2"/>
  <c r="D1046" i="2"/>
  <c r="D1045" i="2"/>
  <c r="D1044" i="2"/>
  <c r="D1043" i="2"/>
  <c r="D1042" i="2"/>
  <c r="D1041" i="2"/>
  <c r="G120" i="6"/>
  <c r="D1040" i="2"/>
  <c r="D1039" i="2"/>
  <c r="D1038" i="2"/>
  <c r="N230" i="5"/>
  <c r="D1037" i="2"/>
  <c r="D1036" i="2"/>
  <c r="K230" i="5"/>
  <c r="J230" i="5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V229" i="5"/>
  <c r="N229" i="5"/>
  <c r="D1018" i="2"/>
  <c r="D1017" i="2"/>
  <c r="D1016" i="2"/>
  <c r="K229" i="5"/>
  <c r="J229" i="5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T228" i="5"/>
  <c r="N228" i="5"/>
  <c r="D1002" i="2"/>
  <c r="D1001" i="2"/>
  <c r="D1000" i="2"/>
  <c r="D999" i="2"/>
  <c r="D998" i="2"/>
  <c r="K228" i="5"/>
  <c r="J228" i="5"/>
  <c r="D996" i="2"/>
  <c r="D997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77" i="2"/>
  <c r="D978" i="2"/>
  <c r="D979" i="2"/>
  <c r="D980" i="2"/>
  <c r="D976" i="2"/>
  <c r="D975" i="2"/>
  <c r="D974" i="2"/>
  <c r="D973" i="2"/>
  <c r="D972" i="2"/>
  <c r="D971" i="2"/>
  <c r="D970" i="2"/>
  <c r="D969" i="2"/>
  <c r="D968" i="2"/>
  <c r="D967" i="2"/>
  <c r="T227" i="5"/>
  <c r="N227" i="5"/>
  <c r="D966" i="2"/>
  <c r="D965" i="2"/>
  <c r="D964" i="2"/>
  <c r="J227" i="5"/>
  <c r="H227" i="5"/>
  <c r="K227" i="5" s="1"/>
  <c r="D963" i="2"/>
  <c r="D962" i="2"/>
  <c r="D961" i="2"/>
  <c r="D960" i="2"/>
  <c r="D959" i="2"/>
  <c r="D958" i="2"/>
  <c r="D957" i="2"/>
  <c r="D956" i="2"/>
  <c r="D955" i="2"/>
  <c r="G119" i="6"/>
  <c r="G118" i="6"/>
  <c r="D954" i="2"/>
  <c r="D953" i="2"/>
  <c r="D952" i="2"/>
  <c r="D951" i="2"/>
  <c r="T226" i="5"/>
  <c r="N226" i="5"/>
  <c r="D950" i="2"/>
  <c r="D949" i="2"/>
  <c r="D948" i="2"/>
  <c r="J226" i="5"/>
  <c r="H226" i="5"/>
  <c r="K226" i="5" s="1"/>
  <c r="D947" i="2"/>
  <c r="D946" i="2"/>
  <c r="D945" i="2"/>
  <c r="D944" i="2"/>
  <c r="D943" i="2"/>
  <c r="D942" i="2"/>
  <c r="D941" i="2"/>
  <c r="D940" i="2"/>
  <c r="D939" i="2"/>
  <c r="D938" i="2"/>
  <c r="G117" i="6"/>
  <c r="D937" i="2"/>
  <c r="D936" i="2"/>
  <c r="D935" i="2"/>
  <c r="D934" i="2"/>
  <c r="N225" i="5"/>
  <c r="D931" i="2"/>
  <c r="D933" i="2"/>
  <c r="D932" i="2"/>
  <c r="D930" i="2"/>
  <c r="K225" i="5"/>
  <c r="J225" i="5"/>
  <c r="D929" i="2"/>
  <c r="D928" i="2"/>
  <c r="D927" i="2"/>
  <c r="G116" i="6"/>
  <c r="E925" i="2"/>
  <c r="D925" i="2"/>
  <c r="D926" i="2"/>
  <c r="D924" i="2"/>
  <c r="D923" i="2"/>
  <c r="D922" i="2"/>
  <c r="D921" i="2"/>
  <c r="D920" i="2"/>
  <c r="G115" i="6"/>
  <c r="D919" i="2"/>
  <c r="D918" i="2"/>
  <c r="D917" i="2"/>
  <c r="D916" i="2"/>
  <c r="D915" i="2"/>
  <c r="D914" i="2"/>
  <c r="D913" i="2"/>
  <c r="D912" i="2"/>
  <c r="D911" i="2"/>
  <c r="E909" i="2"/>
  <c r="E908" i="2"/>
  <c r="D910" i="2"/>
  <c r="D909" i="2"/>
  <c r="D908" i="2"/>
  <c r="D907" i="2"/>
  <c r="D906" i="2"/>
  <c r="D905" i="2"/>
  <c r="D904" i="2"/>
  <c r="T224" i="5"/>
  <c r="N224" i="5"/>
  <c r="D903" i="2"/>
  <c r="D902" i="2"/>
  <c r="D901" i="2"/>
  <c r="D900" i="2"/>
  <c r="D899" i="2"/>
  <c r="D898" i="2"/>
  <c r="K224" i="5"/>
  <c r="J224" i="5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T223" i="5"/>
  <c r="N223" i="5"/>
  <c r="D883" i="2"/>
  <c r="D882" i="2"/>
  <c r="D881" i="2"/>
  <c r="J223" i="5"/>
  <c r="K223" i="5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G114" i="6"/>
  <c r="D848" i="2"/>
  <c r="D847" i="2"/>
  <c r="D846" i="2"/>
  <c r="V215" i="5"/>
  <c r="V216" i="5"/>
  <c r="V217" i="5"/>
  <c r="V218" i="5"/>
  <c r="V219" i="5"/>
  <c r="V220" i="5"/>
  <c r="V221" i="5"/>
  <c r="V222" i="5"/>
  <c r="V214" i="5"/>
  <c r="N222" i="5"/>
  <c r="D845" i="2"/>
  <c r="D844" i="2"/>
  <c r="D843" i="2"/>
  <c r="K222" i="5"/>
  <c r="J222" i="5"/>
  <c r="D840" i="2"/>
  <c r="D842" i="2"/>
  <c r="D841" i="2"/>
  <c r="D838" i="2"/>
  <c r="D839" i="2"/>
  <c r="D837" i="2"/>
  <c r="D836" i="2"/>
  <c r="D835" i="2"/>
  <c r="D834" i="2"/>
  <c r="G113" i="6"/>
  <c r="G112" i="6"/>
  <c r="G111" i="6"/>
  <c r="D832" i="2"/>
  <c r="D830" i="2"/>
  <c r="D833" i="2"/>
  <c r="D831" i="2"/>
  <c r="N221" i="5"/>
  <c r="D829" i="2"/>
  <c r="D828" i="2"/>
  <c r="K221" i="5"/>
  <c r="J221" i="5"/>
  <c r="D827" i="2"/>
  <c r="D826" i="2"/>
  <c r="D825" i="2"/>
  <c r="D823" i="2"/>
  <c r="D824" i="2"/>
  <c r="D822" i="2"/>
  <c r="D821" i="2"/>
  <c r="D820" i="2"/>
  <c r="D819" i="2"/>
  <c r="D818" i="2"/>
  <c r="D817" i="2"/>
  <c r="D816" i="2"/>
  <c r="D815" i="2"/>
  <c r="D814" i="2"/>
  <c r="D813" i="2"/>
  <c r="D812" i="2"/>
  <c r="N220" i="5"/>
  <c r="D811" i="2"/>
  <c r="D810" i="2"/>
  <c r="K220" i="5"/>
  <c r="J220" i="5"/>
  <c r="D809" i="2"/>
  <c r="D808" i="2"/>
  <c r="D807" i="2"/>
  <c r="D806" i="2"/>
  <c r="D805" i="2"/>
  <c r="D804" i="2"/>
  <c r="D803" i="2"/>
  <c r="D800" i="2"/>
  <c r="D801" i="2"/>
  <c r="D802" i="2"/>
  <c r="D798" i="2"/>
  <c r="D799" i="2"/>
  <c r="D797" i="2"/>
  <c r="D796" i="2"/>
  <c r="D795" i="2"/>
  <c r="D794" i="2"/>
  <c r="D793" i="2"/>
  <c r="D792" i="2"/>
  <c r="D791" i="2"/>
  <c r="D790" i="2"/>
  <c r="N219" i="5"/>
  <c r="D789" i="2"/>
  <c r="D788" i="2"/>
  <c r="D787" i="2"/>
  <c r="D786" i="2"/>
  <c r="D785" i="2"/>
  <c r="J219" i="5"/>
  <c r="K219" i="5"/>
  <c r="D784" i="2"/>
  <c r="D783" i="2"/>
  <c r="D782" i="2"/>
  <c r="D781" i="2"/>
  <c r="D780" i="2"/>
  <c r="D779" i="2"/>
  <c r="D778" i="2"/>
  <c r="N218" i="5"/>
  <c r="D777" i="2"/>
  <c r="D776" i="2"/>
  <c r="K218" i="5"/>
  <c r="J218" i="5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G110" i="6"/>
  <c r="G109" i="6"/>
  <c r="D761" i="2"/>
  <c r="D760" i="2"/>
  <c r="D759" i="2"/>
  <c r="D758" i="2"/>
  <c r="N217" i="5"/>
  <c r="D757" i="2"/>
  <c r="D756" i="2"/>
  <c r="D755" i="2"/>
  <c r="K217" i="5"/>
  <c r="J217" i="5"/>
  <c r="D754" i="2"/>
  <c r="D753" i="2"/>
  <c r="D752" i="2"/>
  <c r="D751" i="2"/>
  <c r="D750" i="2"/>
  <c r="D749" i="2"/>
  <c r="D748" i="2"/>
  <c r="D747" i="2"/>
  <c r="G108" i="6"/>
  <c r="G107" i="6"/>
  <c r="G106" i="6"/>
  <c r="D746" i="2"/>
  <c r="D745" i="2"/>
  <c r="N216" i="5"/>
  <c r="D743" i="2"/>
  <c r="D744" i="2"/>
  <c r="K216" i="5"/>
  <c r="J216" i="5"/>
  <c r="D742" i="2"/>
  <c r="D741" i="2"/>
  <c r="N215" i="5"/>
  <c r="G105" i="6"/>
  <c r="D740" i="2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K215" i="5"/>
  <c r="J215" i="5"/>
  <c r="D739" i="2"/>
  <c r="D738" i="2"/>
  <c r="N214" i="5"/>
  <c r="F12" i="8"/>
  <c r="F13" i="8"/>
  <c r="F14" i="8"/>
  <c r="F15" i="8"/>
  <c r="F16" i="8"/>
  <c r="F11" i="8"/>
  <c r="D737" i="2"/>
  <c r="D736" i="2"/>
  <c r="V213" i="5"/>
  <c r="N213" i="5"/>
  <c r="D735" i="2"/>
  <c r="N212" i="5"/>
  <c r="D734" i="2"/>
  <c r="V211" i="5"/>
  <c r="N211" i="5"/>
  <c r="D733" i="2"/>
  <c r="D732" i="2"/>
  <c r="D731" i="2"/>
  <c r="K214" i="5"/>
  <c r="K213" i="5"/>
  <c r="K212" i="5"/>
  <c r="K211" i="5"/>
  <c r="J214" i="5"/>
  <c r="J213" i="5"/>
  <c r="J212" i="5"/>
  <c r="J211" i="5"/>
  <c r="D730" i="2"/>
  <c r="D729" i="2"/>
  <c r="D728" i="2"/>
  <c r="D727" i="2"/>
  <c r="D726" i="2"/>
  <c r="D725" i="2"/>
  <c r="D724" i="2"/>
  <c r="E722" i="2"/>
  <c r="D723" i="2"/>
  <c r="D722" i="2"/>
  <c r="N210" i="5"/>
  <c r="D721" i="2"/>
  <c r="D720" i="2"/>
  <c r="D719" i="2"/>
  <c r="J210" i="5"/>
  <c r="H210" i="5"/>
  <c r="K210" i="5" s="1"/>
  <c r="D718" i="2"/>
  <c r="D717" i="2"/>
  <c r="D716" i="2"/>
  <c r="D715" i="2"/>
  <c r="D714" i="2"/>
  <c r="D713" i="2"/>
  <c r="D712" i="2"/>
  <c r="D711" i="2"/>
  <c r="D710" i="2"/>
  <c r="D709" i="2"/>
  <c r="D708" i="2"/>
  <c r="G104" i="6"/>
  <c r="D707" i="2"/>
  <c r="D706" i="2"/>
  <c r="D705" i="2"/>
  <c r="D704" i="2"/>
  <c r="D703" i="2"/>
  <c r="V209" i="5"/>
  <c r="N209" i="5"/>
  <c r="D702" i="2"/>
  <c r="D701" i="2"/>
  <c r="D700" i="2"/>
  <c r="D699" i="2"/>
  <c r="J209" i="5"/>
  <c r="K209" i="5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G103" i="6"/>
  <c r="D664" i="2"/>
  <c r="D663" i="2"/>
  <c r="D662" i="2"/>
  <c r="D661" i="2"/>
  <c r="D660" i="2"/>
  <c r="V208" i="5"/>
  <c r="N208" i="5"/>
  <c r="T207" i="5"/>
  <c r="N207" i="5"/>
  <c r="D659" i="2"/>
  <c r="D658" i="2"/>
  <c r="D657" i="2"/>
  <c r="K208" i="5"/>
  <c r="J208" i="5"/>
  <c r="K207" i="5"/>
  <c r="J207" i="5"/>
  <c r="D656" i="2"/>
  <c r="D655" i="2"/>
  <c r="G102" i="6"/>
  <c r="D654" i="2"/>
  <c r="T206" i="5"/>
  <c r="N206" i="5"/>
  <c r="D653" i="2"/>
  <c r="D652" i="2"/>
  <c r="D651" i="2"/>
  <c r="J206" i="5"/>
  <c r="H206" i="5"/>
  <c r="K206" i="5" s="1"/>
  <c r="D650" i="2"/>
  <c r="D649" i="2"/>
  <c r="D648" i="2"/>
  <c r="D647" i="2"/>
  <c r="G101" i="6"/>
  <c r="D646" i="2"/>
  <c r="D645" i="2"/>
  <c r="D644" i="2"/>
  <c r="D643" i="2"/>
  <c r="D642" i="2"/>
  <c r="T205" i="5"/>
  <c r="T204" i="5"/>
  <c r="T203" i="5"/>
  <c r="N205" i="5"/>
  <c r="D641" i="2"/>
  <c r="D640" i="2"/>
  <c r="K205" i="5"/>
  <c r="J205" i="5"/>
  <c r="D639" i="2"/>
  <c r="G100" i="6"/>
  <c r="D638" i="2"/>
  <c r="N204" i="5"/>
  <c r="D636" i="2"/>
  <c r="D637" i="2"/>
  <c r="J204" i="5"/>
  <c r="K204" i="5"/>
  <c r="E635" i="2"/>
  <c r="D635" i="2"/>
  <c r="D634" i="2"/>
  <c r="D633" i="2"/>
  <c r="N135" i="5"/>
  <c r="K135" i="5"/>
  <c r="J135" i="5"/>
  <c r="T193" i="5"/>
  <c r="T189" i="5"/>
  <c r="T188" i="5"/>
  <c r="T186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85" i="5"/>
  <c r="T187" i="5"/>
  <c r="T190" i="5"/>
  <c r="D632" i="2"/>
  <c r="D631" i="2"/>
  <c r="D630" i="2"/>
  <c r="G99" i="6"/>
  <c r="G98" i="6"/>
  <c r="D629" i="2"/>
  <c r="D628" i="2"/>
  <c r="N203" i="5"/>
  <c r="D627" i="2"/>
  <c r="D626" i="2"/>
  <c r="K203" i="5"/>
  <c r="J203" i="5"/>
  <c r="D625" i="2"/>
  <c r="D624" i="2"/>
  <c r="D623" i="2"/>
  <c r="D622" i="2"/>
  <c r="D621" i="2"/>
  <c r="D620" i="2"/>
  <c r="D604" i="2"/>
  <c r="D605" i="2"/>
  <c r="D606" i="2"/>
  <c r="D607" i="2"/>
  <c r="D603" i="2"/>
  <c r="D601" i="2"/>
  <c r="D602" i="2"/>
  <c r="D595" i="2"/>
  <c r="D596" i="2"/>
  <c r="D597" i="2"/>
  <c r="D598" i="2"/>
  <c r="D599" i="2"/>
  <c r="D600" i="2"/>
  <c r="D594" i="2"/>
  <c r="D593" i="2"/>
  <c r="G97" i="6"/>
  <c r="G96" i="6"/>
  <c r="H202" i="5"/>
  <c r="K202" i="5" s="1"/>
  <c r="T202" i="5"/>
  <c r="N202" i="5"/>
  <c r="J202" i="5"/>
  <c r="D587" i="2"/>
  <c r="D588" i="2"/>
  <c r="D589" i="2"/>
  <c r="D590" i="2"/>
  <c r="D591" i="2"/>
  <c r="D592" i="2"/>
  <c r="D586" i="2"/>
  <c r="D585" i="2"/>
  <c r="D584" i="2"/>
  <c r="D583" i="2"/>
  <c r="G95" i="6"/>
  <c r="G94" i="6"/>
  <c r="G93" i="6"/>
  <c r="H201" i="5"/>
  <c r="K201" i="5" s="1"/>
  <c r="T201" i="5"/>
  <c r="N201" i="5"/>
  <c r="J201" i="5"/>
  <c r="G79" i="6"/>
  <c r="G82" i="6"/>
  <c r="G87" i="6"/>
  <c r="G92" i="6"/>
  <c r="T192" i="5"/>
  <c r="N192" i="5"/>
  <c r="J192" i="5"/>
  <c r="H192" i="5"/>
  <c r="K192" i="5" s="1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G77" i="6"/>
  <c r="G78" i="6"/>
  <c r="G80" i="6"/>
  <c r="G81" i="6"/>
  <c r="G83" i="6"/>
  <c r="G84" i="6"/>
  <c r="G85" i="6"/>
  <c r="G86" i="6"/>
  <c r="G88" i="6"/>
  <c r="G89" i="6"/>
  <c r="G90" i="6"/>
  <c r="G91" i="6"/>
  <c r="T200" i="5"/>
  <c r="T199" i="5"/>
  <c r="T197" i="5"/>
  <c r="T198" i="5"/>
  <c r="T196" i="5"/>
  <c r="N200" i="5"/>
  <c r="N199" i="5"/>
  <c r="N197" i="5"/>
  <c r="N198" i="5"/>
  <c r="N196" i="5"/>
  <c r="K200" i="5"/>
  <c r="K199" i="5"/>
  <c r="K197" i="5"/>
  <c r="K198" i="5"/>
  <c r="K196" i="5"/>
  <c r="J200" i="5"/>
  <c r="J199" i="5"/>
  <c r="J197" i="5"/>
  <c r="J198" i="5"/>
  <c r="J196" i="5"/>
  <c r="T195" i="5"/>
  <c r="N195" i="5"/>
  <c r="J195" i="5"/>
  <c r="H195" i="5"/>
  <c r="K195" i="5" s="1"/>
  <c r="D456" i="2"/>
  <c r="D455" i="2"/>
  <c r="D447" i="2"/>
  <c r="D448" i="2"/>
  <c r="D449" i="2"/>
  <c r="D450" i="2"/>
  <c r="D451" i="2"/>
  <c r="D452" i="2"/>
  <c r="D453" i="2"/>
  <c r="D454" i="2"/>
  <c r="T194" i="5"/>
  <c r="N194" i="5"/>
  <c r="J194" i="5"/>
  <c r="H194" i="5"/>
  <c r="K194" i="5" s="1"/>
  <c r="N193" i="5"/>
  <c r="J193" i="5"/>
  <c r="H193" i="5"/>
  <c r="K193" i="5" s="1"/>
  <c r="D446" i="2"/>
  <c r="D445" i="2"/>
  <c r="G76" i="6"/>
  <c r="G75" i="6"/>
  <c r="N85" i="5"/>
  <c r="N94" i="5"/>
  <c r="N100" i="5"/>
  <c r="N106" i="5"/>
  <c r="N111" i="5"/>
  <c r="N117" i="5"/>
  <c r="N127" i="5"/>
  <c r="N133" i="5"/>
  <c r="N140" i="5"/>
  <c r="N149" i="5"/>
  <c r="N155" i="5"/>
  <c r="N161" i="5"/>
  <c r="N92" i="5"/>
  <c r="N97" i="5"/>
  <c r="N101" i="5"/>
  <c r="N104" i="5"/>
  <c r="N109" i="5"/>
  <c r="N115" i="5"/>
  <c r="N118" i="5"/>
  <c r="N122" i="5"/>
  <c r="N124" i="5"/>
  <c r="N130" i="5"/>
  <c r="N137" i="5"/>
  <c r="N152" i="5"/>
  <c r="N158" i="5"/>
  <c r="N119" i="5"/>
  <c r="N128" i="5"/>
  <c r="N134" i="5"/>
  <c r="N141" i="5"/>
  <c r="N146" i="5"/>
  <c r="N150" i="5"/>
  <c r="N157" i="5"/>
  <c r="N162" i="5"/>
  <c r="N163" i="5"/>
  <c r="N168" i="5"/>
  <c r="N173" i="5"/>
  <c r="N181" i="5"/>
  <c r="N186" i="5"/>
  <c r="N191" i="5"/>
  <c r="N145" i="5"/>
  <c r="N166" i="5"/>
  <c r="N171" i="5"/>
  <c r="N176" i="5"/>
  <c r="N179" i="5"/>
  <c r="N184" i="5"/>
  <c r="N189" i="5"/>
  <c r="J85" i="5"/>
  <c r="K85" i="5"/>
  <c r="J94" i="5"/>
  <c r="K94" i="5"/>
  <c r="J100" i="5"/>
  <c r="K100" i="5"/>
  <c r="J106" i="5"/>
  <c r="K106" i="5"/>
  <c r="J111" i="5"/>
  <c r="K111" i="5"/>
  <c r="J117" i="5"/>
  <c r="K117" i="5"/>
  <c r="J127" i="5"/>
  <c r="K127" i="5"/>
  <c r="J133" i="5"/>
  <c r="K133" i="5"/>
  <c r="J140" i="5"/>
  <c r="K140" i="5"/>
  <c r="J149" i="5"/>
  <c r="K149" i="5"/>
  <c r="J155" i="5"/>
  <c r="K155" i="5"/>
  <c r="J161" i="5"/>
  <c r="K161" i="5"/>
  <c r="J92" i="5"/>
  <c r="K92" i="5"/>
  <c r="J97" i="5"/>
  <c r="K97" i="5"/>
  <c r="J101" i="5"/>
  <c r="K101" i="5"/>
  <c r="J104" i="5"/>
  <c r="K104" i="5"/>
  <c r="J109" i="5"/>
  <c r="K109" i="5"/>
  <c r="J115" i="5"/>
  <c r="K115" i="5"/>
  <c r="J118" i="5"/>
  <c r="K118" i="5"/>
  <c r="J122" i="5"/>
  <c r="K122" i="5"/>
  <c r="J124" i="5"/>
  <c r="K124" i="5"/>
  <c r="J130" i="5"/>
  <c r="K130" i="5"/>
  <c r="J137" i="5"/>
  <c r="K137" i="5"/>
  <c r="J152" i="5"/>
  <c r="K152" i="5"/>
  <c r="J158" i="5"/>
  <c r="K158" i="5"/>
  <c r="J119" i="5"/>
  <c r="K119" i="5"/>
  <c r="J128" i="5"/>
  <c r="K128" i="5"/>
  <c r="J134" i="5"/>
  <c r="K134" i="5"/>
  <c r="J141" i="5"/>
  <c r="K141" i="5"/>
  <c r="J146" i="5"/>
  <c r="K146" i="5"/>
  <c r="J150" i="5"/>
  <c r="K150" i="5"/>
  <c r="J157" i="5"/>
  <c r="K157" i="5"/>
  <c r="J162" i="5"/>
  <c r="K162" i="5"/>
  <c r="J163" i="5"/>
  <c r="K163" i="5"/>
  <c r="J168" i="5"/>
  <c r="K168" i="5"/>
  <c r="J173" i="5"/>
  <c r="K173" i="5"/>
  <c r="J181" i="5"/>
  <c r="K181" i="5"/>
  <c r="J186" i="5"/>
  <c r="K186" i="5"/>
  <c r="J191" i="5"/>
  <c r="K191" i="5"/>
  <c r="J145" i="5"/>
  <c r="K145" i="5"/>
  <c r="J166" i="5"/>
  <c r="K166" i="5"/>
  <c r="J171" i="5"/>
  <c r="K171" i="5"/>
  <c r="J176" i="5"/>
  <c r="K176" i="5"/>
  <c r="J179" i="5"/>
  <c r="K179" i="5"/>
  <c r="J184" i="5"/>
  <c r="K184" i="5"/>
  <c r="J189" i="5"/>
  <c r="K189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91" i="5"/>
  <c r="N96" i="5"/>
  <c r="N103" i="5"/>
  <c r="N108" i="5"/>
  <c r="N114" i="5"/>
  <c r="N121" i="5"/>
  <c r="N126" i="5"/>
  <c r="N132" i="5"/>
  <c r="N139" i="5"/>
  <c r="N144" i="5"/>
  <c r="N148" i="5"/>
  <c r="N154" i="5"/>
  <c r="N45" i="5"/>
  <c r="N46" i="5"/>
  <c r="N47" i="5"/>
  <c r="N48" i="5"/>
  <c r="N49" i="5"/>
  <c r="N50" i="5"/>
  <c r="N51" i="5"/>
  <c r="N52" i="5"/>
  <c r="N53" i="5"/>
  <c r="N54" i="5"/>
  <c r="N79" i="5"/>
  <c r="N82" i="5"/>
  <c r="N86" i="5"/>
  <c r="N55" i="5"/>
  <c r="N56" i="5"/>
  <c r="N57" i="5"/>
  <c r="N58" i="5"/>
  <c r="N59" i="5"/>
  <c r="N60" i="5"/>
  <c r="N62" i="5"/>
  <c r="N64" i="5"/>
  <c r="N66" i="5"/>
  <c r="N68" i="5"/>
  <c r="N70" i="5"/>
  <c r="N72" i="5"/>
  <c r="N74" i="5"/>
  <c r="N76" i="5"/>
  <c r="N78" i="5"/>
  <c r="N81" i="5"/>
  <c r="N84" i="5"/>
  <c r="N88" i="5"/>
  <c r="N61" i="5"/>
  <c r="N63" i="5"/>
  <c r="N65" i="5"/>
  <c r="N67" i="5"/>
  <c r="N69" i="5"/>
  <c r="N71" i="5"/>
  <c r="N73" i="5"/>
  <c r="N75" i="5"/>
  <c r="N77" i="5"/>
  <c r="N89" i="5"/>
  <c r="N93" i="5"/>
  <c r="N98" i="5"/>
  <c r="N99" i="5"/>
  <c r="N105" i="5"/>
  <c r="N110" i="5"/>
  <c r="N120" i="5"/>
  <c r="N80" i="5"/>
  <c r="N83" i="5"/>
  <c r="N87" i="5"/>
  <c r="N90" i="5"/>
  <c r="N95" i="5"/>
  <c r="N102" i="5"/>
  <c r="N107" i="5"/>
  <c r="N112" i="5"/>
  <c r="N113" i="5"/>
  <c r="N125" i="5"/>
  <c r="N131" i="5"/>
  <c r="N138" i="5"/>
  <c r="N147" i="5"/>
  <c r="N153" i="5"/>
  <c r="N159" i="5"/>
  <c r="N165" i="5"/>
  <c r="N170" i="5"/>
  <c r="N175" i="5"/>
  <c r="N182" i="5"/>
  <c r="N187" i="5"/>
  <c r="N116" i="5"/>
  <c r="N123" i="5"/>
  <c r="N129" i="5"/>
  <c r="N136" i="5"/>
  <c r="N142" i="5"/>
  <c r="N143" i="5"/>
  <c r="N151" i="5"/>
  <c r="N156" i="5"/>
  <c r="N160" i="5"/>
  <c r="N164" i="5"/>
  <c r="N167" i="5"/>
  <c r="N169" i="5"/>
  <c r="N172" i="5"/>
  <c r="N174" i="5"/>
  <c r="N177" i="5"/>
  <c r="N178" i="5"/>
  <c r="N180" i="5"/>
  <c r="N183" i="5"/>
  <c r="N185" i="5"/>
  <c r="N188" i="5"/>
  <c r="N19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91" i="5"/>
  <c r="K96" i="5"/>
  <c r="K103" i="5"/>
  <c r="K108" i="5"/>
  <c r="K114" i="5"/>
  <c r="K121" i="5"/>
  <c r="K126" i="5"/>
  <c r="K132" i="5"/>
  <c r="K139" i="5"/>
  <c r="K144" i="5"/>
  <c r="K148" i="5"/>
  <c r="K154" i="5"/>
  <c r="K45" i="5"/>
  <c r="K46" i="5"/>
  <c r="K47" i="5"/>
  <c r="K48" i="5"/>
  <c r="K49" i="5"/>
  <c r="K50" i="5"/>
  <c r="K51" i="5"/>
  <c r="K52" i="5"/>
  <c r="K53" i="5"/>
  <c r="K54" i="5"/>
  <c r="K79" i="5"/>
  <c r="K82" i="5"/>
  <c r="K86" i="5"/>
  <c r="K55" i="5"/>
  <c r="K56" i="5"/>
  <c r="K57" i="5"/>
  <c r="K58" i="5"/>
  <c r="K59" i="5"/>
  <c r="K60" i="5"/>
  <c r="K62" i="5"/>
  <c r="K64" i="5"/>
  <c r="K66" i="5"/>
  <c r="K68" i="5"/>
  <c r="K70" i="5"/>
  <c r="K72" i="5"/>
  <c r="K74" i="5"/>
  <c r="K76" i="5"/>
  <c r="K78" i="5"/>
  <c r="K81" i="5"/>
  <c r="K84" i="5"/>
  <c r="K88" i="5"/>
  <c r="K61" i="5"/>
  <c r="K63" i="5"/>
  <c r="K65" i="5"/>
  <c r="K67" i="5"/>
  <c r="K69" i="5"/>
  <c r="K71" i="5"/>
  <c r="K73" i="5"/>
  <c r="K75" i="5"/>
  <c r="K77" i="5"/>
  <c r="K89" i="5"/>
  <c r="K93" i="5"/>
  <c r="K98" i="5"/>
  <c r="K99" i="5"/>
  <c r="K105" i="5"/>
  <c r="K110" i="5"/>
  <c r="K120" i="5"/>
  <c r="K80" i="5"/>
  <c r="K83" i="5"/>
  <c r="K87" i="5"/>
  <c r="K90" i="5"/>
  <c r="K95" i="5"/>
  <c r="K102" i="5"/>
  <c r="K107" i="5"/>
  <c r="K112" i="5"/>
  <c r="K113" i="5"/>
  <c r="K125" i="5"/>
  <c r="K131" i="5"/>
  <c r="K138" i="5"/>
  <c r="K147" i="5"/>
  <c r="K153" i="5"/>
  <c r="K159" i="5"/>
  <c r="K165" i="5"/>
  <c r="K170" i="5"/>
  <c r="K175" i="5"/>
  <c r="K182" i="5"/>
  <c r="K187" i="5"/>
  <c r="K116" i="5"/>
  <c r="K123" i="5"/>
  <c r="K129" i="5"/>
  <c r="K136" i="5"/>
  <c r="K142" i="5"/>
  <c r="K143" i="5"/>
  <c r="K151" i="5"/>
  <c r="K156" i="5"/>
  <c r="K160" i="5"/>
  <c r="K164" i="5"/>
  <c r="K167" i="5"/>
  <c r="K169" i="5"/>
  <c r="K172" i="5"/>
  <c r="K174" i="5"/>
  <c r="K177" i="5"/>
  <c r="K178" i="5"/>
  <c r="K180" i="5"/>
  <c r="K183" i="5"/>
  <c r="K185" i="5"/>
  <c r="K188" i="5"/>
  <c r="K19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91" i="5"/>
  <c r="J96" i="5"/>
  <c r="J103" i="5"/>
  <c r="J108" i="5"/>
  <c r="J114" i="5"/>
  <c r="J121" i="5"/>
  <c r="J126" i="5"/>
  <c r="J132" i="5"/>
  <c r="J139" i="5"/>
  <c r="J144" i="5"/>
  <c r="J148" i="5"/>
  <c r="J154" i="5"/>
  <c r="J45" i="5"/>
  <c r="J46" i="5"/>
  <c r="J47" i="5"/>
  <c r="J48" i="5"/>
  <c r="J49" i="5"/>
  <c r="J50" i="5"/>
  <c r="J51" i="5"/>
  <c r="J52" i="5"/>
  <c r="J53" i="5"/>
  <c r="J54" i="5"/>
  <c r="J79" i="5"/>
  <c r="J82" i="5"/>
  <c r="J86" i="5"/>
  <c r="J55" i="5"/>
  <c r="J56" i="5"/>
  <c r="J57" i="5"/>
  <c r="J58" i="5"/>
  <c r="J59" i="5"/>
  <c r="J60" i="5"/>
  <c r="J62" i="5"/>
  <c r="J64" i="5"/>
  <c r="J66" i="5"/>
  <c r="J68" i="5"/>
  <c r="J70" i="5"/>
  <c r="J72" i="5"/>
  <c r="J74" i="5"/>
  <c r="J76" i="5"/>
  <c r="J78" i="5"/>
  <c r="J81" i="5"/>
  <c r="J84" i="5"/>
  <c r="J88" i="5"/>
  <c r="J61" i="5"/>
  <c r="J63" i="5"/>
  <c r="J65" i="5"/>
  <c r="J67" i="5"/>
  <c r="J69" i="5"/>
  <c r="J71" i="5"/>
  <c r="J73" i="5"/>
  <c r="J75" i="5"/>
  <c r="J77" i="5"/>
  <c r="J89" i="5"/>
  <c r="J93" i="5"/>
  <c r="J98" i="5"/>
  <c r="J99" i="5"/>
  <c r="J105" i="5"/>
  <c r="J110" i="5"/>
  <c r="J120" i="5"/>
  <c r="J80" i="5"/>
  <c r="J83" i="5"/>
  <c r="J87" i="5"/>
  <c r="J90" i="5"/>
  <c r="J95" i="5"/>
  <c r="J102" i="5"/>
  <c r="J107" i="5"/>
  <c r="J112" i="5"/>
  <c r="J113" i="5"/>
  <c r="J125" i="5"/>
  <c r="J131" i="5"/>
  <c r="J138" i="5"/>
  <c r="J147" i="5"/>
  <c r="J153" i="5"/>
  <c r="J159" i="5"/>
  <c r="J165" i="5"/>
  <c r="J170" i="5"/>
  <c r="J175" i="5"/>
  <c r="J182" i="5"/>
  <c r="J187" i="5"/>
  <c r="J116" i="5"/>
  <c r="J123" i="5"/>
  <c r="J129" i="5"/>
  <c r="J136" i="5"/>
  <c r="J142" i="5"/>
  <c r="J143" i="5"/>
  <c r="J151" i="5"/>
  <c r="J156" i="5"/>
  <c r="J160" i="5"/>
  <c r="J164" i="5"/>
  <c r="J167" i="5"/>
  <c r="J169" i="5"/>
  <c r="J172" i="5"/>
  <c r="J174" i="5"/>
  <c r="J177" i="5"/>
  <c r="J178" i="5"/>
  <c r="J180" i="5"/>
  <c r="J183" i="5"/>
  <c r="J185" i="5"/>
  <c r="J188" i="5"/>
  <c r="J190" i="5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10" i="2"/>
  <c r="H1856" i="2" s="1"/>
  <c r="H892" i="2"/>
  <c r="H822" i="2"/>
  <c r="H792" i="2"/>
  <c r="H758" i="2"/>
  <c r="H725" i="2"/>
  <c r="H694" i="2"/>
  <c r="H663" i="2"/>
  <c r="H632" i="2"/>
  <c r="H11" i="2"/>
  <c r="H251" i="2"/>
  <c r="H507" i="2"/>
  <c r="H12" i="2"/>
  <c r="H140" i="2"/>
  <c r="H268" i="2"/>
  <c r="H380" i="2"/>
  <c r="H492" i="2"/>
  <c r="H588" i="2"/>
  <c r="H239" i="2"/>
  <c r="H85" i="2"/>
  <c r="H173" i="2"/>
  <c r="H253" i="2"/>
  <c r="H341" i="2"/>
  <c r="H429" i="2"/>
  <c r="H501" i="2"/>
  <c r="H573" i="2"/>
  <c r="H279" i="2"/>
  <c r="H78" i="2"/>
  <c r="H142" i="2"/>
  <c r="H206" i="2"/>
  <c r="H270" i="2"/>
  <c r="H334" i="2"/>
  <c r="H398" i="2"/>
  <c r="H462" i="2"/>
  <c r="H526" i="2"/>
  <c r="H590" i="2"/>
  <c r="H135" i="2"/>
  <c r="H32" i="2"/>
  <c r="H96" i="2"/>
  <c r="H160" i="2"/>
  <c r="H224" i="2"/>
  <c r="H288" i="2"/>
  <c r="H352" i="2"/>
  <c r="H416" i="2"/>
  <c r="H480" i="2"/>
  <c r="H544" i="2"/>
  <c r="H73" i="2"/>
  <c r="H201" i="2"/>
  <c r="H57" i="2"/>
  <c r="H169" i="2"/>
  <c r="H42" i="2"/>
  <c r="H106" i="2"/>
  <c r="H170" i="2"/>
  <c r="H234" i="2"/>
  <c r="H298" i="2"/>
  <c r="H362" i="2"/>
  <c r="H426" i="2"/>
  <c r="H490" i="2"/>
  <c r="H554" i="2"/>
  <c r="H457" i="2"/>
  <c r="H543" i="2"/>
  <c r="H495" i="2"/>
  <c r="H305" i="2"/>
  <c r="H585" i="2"/>
  <c r="H439" i="2"/>
  <c r="H281" i="2"/>
  <c r="H537" i="2"/>
  <c r="H385" i="2"/>
  <c r="H359" i="2"/>
  <c r="H423" i="2"/>
  <c r="H599" i="2"/>
  <c r="H319" i="2"/>
  <c r="H570" i="2"/>
  <c r="H594" i="2"/>
  <c r="T191" i="5"/>
  <c r="V225" i="5"/>
  <c r="H391" i="2" l="1"/>
  <c r="H417" i="2"/>
  <c r="H569" i="2"/>
  <c r="H313" i="2"/>
  <c r="H471" i="2"/>
  <c r="H447" i="2"/>
  <c r="H337" i="2"/>
  <c r="H527" i="2"/>
  <c r="H257" i="2"/>
  <c r="H489" i="2"/>
  <c r="H562" i="2"/>
  <c r="H498" i="2"/>
  <c r="H434" i="2"/>
  <c r="H370" i="2"/>
  <c r="H306" i="2"/>
  <c r="H242" i="2"/>
  <c r="H178" i="2"/>
  <c r="H114" i="2"/>
  <c r="H50" i="2"/>
  <c r="H185" i="2"/>
  <c r="H65" i="2"/>
  <c r="H217" i="2"/>
  <c r="H97" i="2"/>
  <c r="H552" i="2"/>
  <c r="H488" i="2"/>
  <c r="H424" i="2"/>
  <c r="H360" i="2"/>
  <c r="H296" i="2"/>
  <c r="H232" i="2"/>
  <c r="H168" i="2"/>
  <c r="H104" i="2"/>
  <c r="H40" i="2"/>
  <c r="H167" i="2"/>
  <c r="H598" i="2"/>
  <c r="H534" i="2"/>
  <c r="H470" i="2"/>
  <c r="H406" i="2"/>
  <c r="H342" i="2"/>
  <c r="H278" i="2"/>
  <c r="H214" i="2"/>
  <c r="H150" i="2"/>
  <c r="H86" i="2"/>
  <c r="H14" i="2"/>
  <c r="H47" i="2"/>
  <c r="H509" i="2"/>
  <c r="H437" i="2"/>
  <c r="H349" i="2"/>
  <c r="H269" i="2"/>
  <c r="H181" i="2"/>
  <c r="H93" i="2"/>
  <c r="H13" i="2"/>
  <c r="H596" i="2"/>
  <c r="H500" i="2"/>
  <c r="H396" i="2"/>
  <c r="H284" i="2"/>
  <c r="H156" i="2"/>
  <c r="H28" i="2"/>
  <c r="H523" i="2"/>
  <c r="H299" i="2"/>
  <c r="H43" i="2"/>
  <c r="H628" i="2"/>
  <c r="H660" i="2"/>
  <c r="H692" i="2"/>
  <c r="H724" i="2"/>
  <c r="H753" i="2"/>
  <c r="H788" i="2"/>
  <c r="H820" i="2"/>
  <c r="H868" i="2"/>
  <c r="H887" i="2"/>
  <c r="H2489" i="2"/>
  <c r="H2475" i="2"/>
  <c r="H2486" i="2"/>
  <c r="H2481" i="2"/>
  <c r="H2478" i="2"/>
  <c r="H2474" i="2"/>
  <c r="H2479" i="2"/>
  <c r="H2484" i="2"/>
  <c r="H2471" i="2"/>
  <c r="H2470" i="2"/>
  <c r="H2469" i="2"/>
  <c r="H2487" i="2"/>
  <c r="H2477" i="2"/>
  <c r="H2476" i="2"/>
  <c r="H2483" i="2"/>
  <c r="H2480" i="2"/>
  <c r="H2482" i="2"/>
  <c r="H2485" i="2"/>
  <c r="H2472" i="2"/>
  <c r="H2473" i="2"/>
  <c r="H2467" i="2"/>
  <c r="H2463" i="2"/>
  <c r="H2462" i="2"/>
  <c r="H2466" i="2"/>
  <c r="H2461" i="2"/>
  <c r="H2465" i="2"/>
  <c r="H2464" i="2"/>
  <c r="H2468" i="2"/>
  <c r="H2457" i="2"/>
  <c r="H2451" i="2"/>
  <c r="H2447" i="2"/>
  <c r="H2450" i="2"/>
  <c r="H2460" i="2"/>
  <c r="H2456" i="2"/>
  <c r="H2454" i="2"/>
  <c r="H2448" i="2"/>
  <c r="H2455" i="2"/>
  <c r="H2453" i="2"/>
  <c r="H2449" i="2"/>
  <c r="H2459" i="2"/>
  <c r="H2458" i="2"/>
  <c r="H2452" i="2"/>
  <c r="H2439" i="2"/>
  <c r="H2436" i="2"/>
  <c r="H2433" i="2"/>
  <c r="H2434" i="2"/>
  <c r="H2443" i="2"/>
  <c r="H2435" i="2"/>
  <c r="H2438" i="2"/>
  <c r="H2446" i="2"/>
  <c r="H2442" i="2"/>
  <c r="H2445" i="2"/>
  <c r="H2440" i="2"/>
  <c r="H2441" i="2"/>
  <c r="H2437" i="2"/>
  <c r="H2444" i="2"/>
  <c r="H2432" i="2"/>
  <c r="H2427" i="2"/>
  <c r="H2420" i="2"/>
  <c r="H2430" i="2"/>
  <c r="H2423" i="2"/>
  <c r="H2426" i="2"/>
  <c r="H2421" i="2"/>
  <c r="H2429" i="2"/>
  <c r="H2419" i="2"/>
  <c r="H2428" i="2"/>
  <c r="H2418" i="2"/>
  <c r="H2425" i="2"/>
  <c r="H2422" i="2"/>
  <c r="H2431" i="2"/>
  <c r="H2424" i="2"/>
  <c r="H2409" i="2"/>
  <c r="H2405" i="2"/>
  <c r="H2417" i="2"/>
  <c r="H2414" i="2"/>
  <c r="H2412" i="2"/>
  <c r="H2413" i="2"/>
  <c r="H2406" i="2"/>
  <c r="H2416" i="2"/>
  <c r="H2411" i="2"/>
  <c r="H2408" i="2"/>
  <c r="H2407" i="2"/>
  <c r="H2410" i="2"/>
  <c r="H2415" i="2"/>
  <c r="H2404" i="2"/>
  <c r="H2403" i="2"/>
  <c r="H2402" i="2"/>
  <c r="H2397" i="2"/>
  <c r="H2401" i="2"/>
  <c r="H2395" i="2"/>
  <c r="H2392" i="2"/>
  <c r="H2393" i="2"/>
  <c r="H2391" i="2"/>
  <c r="H2400" i="2"/>
  <c r="H2394" i="2"/>
  <c r="H2399" i="2"/>
  <c r="H2398" i="2"/>
  <c r="H2396" i="2"/>
  <c r="H2389" i="2"/>
  <c r="H2385" i="2"/>
  <c r="H2390" i="2"/>
  <c r="H353" i="2"/>
  <c r="H505" i="2"/>
  <c r="H479" i="2"/>
  <c r="H407" i="2"/>
  <c r="H529" i="2"/>
  <c r="H265" i="2"/>
  <c r="H463" i="2"/>
  <c r="H383" i="2"/>
  <c r="H425" i="2"/>
  <c r="H546" i="2"/>
  <c r="H482" i="2"/>
  <c r="H418" i="2"/>
  <c r="H354" i="2"/>
  <c r="H290" i="2"/>
  <c r="H226" i="2"/>
  <c r="H162" i="2"/>
  <c r="H98" i="2"/>
  <c r="H34" i="2"/>
  <c r="H153" i="2"/>
  <c r="H49" i="2"/>
  <c r="H193" i="2"/>
  <c r="H600" i="2"/>
  <c r="H536" i="2"/>
  <c r="H472" i="2"/>
  <c r="H408" i="2"/>
  <c r="H344" i="2"/>
  <c r="H280" i="2"/>
  <c r="H216" i="2"/>
  <c r="H152" i="2"/>
  <c r="H88" i="2"/>
  <c r="H24" i="2"/>
  <c r="H103" i="2"/>
  <c r="H582" i="2"/>
  <c r="H518" i="2"/>
  <c r="H454" i="2"/>
  <c r="H390" i="2"/>
  <c r="H326" i="2"/>
  <c r="H262" i="2"/>
  <c r="H198" i="2"/>
  <c r="H134" i="2"/>
  <c r="H70" i="2"/>
  <c r="H215" i="2"/>
  <c r="H565" i="2"/>
  <c r="H493" i="2"/>
  <c r="H413" i="2"/>
  <c r="H333" i="2"/>
  <c r="H245" i="2"/>
  <c r="H157" i="2"/>
  <c r="H77" i="2"/>
  <c r="H207" i="2"/>
  <c r="H572" i="2"/>
  <c r="H476" i="2"/>
  <c r="H372" i="2"/>
  <c r="H252" i="2"/>
  <c r="H124" i="2"/>
  <c r="H223" i="2"/>
  <c r="H491" i="2"/>
  <c r="H235" i="2"/>
  <c r="H607" i="2"/>
  <c r="H636" i="2"/>
  <c r="H665" i="2"/>
  <c r="H705" i="2"/>
  <c r="H733" i="2"/>
  <c r="H765" i="2"/>
  <c r="H796" i="2"/>
  <c r="H829" i="2"/>
  <c r="H902" i="2"/>
  <c r="H577" i="2"/>
  <c r="H551" i="2"/>
  <c r="H295" i="2"/>
  <c r="H321" i="2"/>
  <c r="H473" i="2"/>
  <c r="H351" i="2"/>
  <c r="H375" i="2"/>
  <c r="H497" i="2"/>
  <c r="H593" i="2"/>
  <c r="H431" i="2"/>
  <c r="H602" i="2"/>
  <c r="H393" i="2"/>
  <c r="H538" i="2"/>
  <c r="H474" i="2"/>
  <c r="H410" i="2"/>
  <c r="H346" i="2"/>
  <c r="H282" i="2"/>
  <c r="H218" i="2"/>
  <c r="H154" i="2"/>
  <c r="H90" i="2"/>
  <c r="H26" i="2"/>
  <c r="H137" i="2"/>
  <c r="H41" i="2"/>
  <c r="H177" i="2"/>
  <c r="H592" i="2"/>
  <c r="H528" i="2"/>
  <c r="H464" i="2"/>
  <c r="H400" i="2"/>
  <c r="H336" i="2"/>
  <c r="H272" i="2"/>
  <c r="H208" i="2"/>
  <c r="H144" i="2"/>
  <c r="H80" i="2"/>
  <c r="H16" i="2"/>
  <c r="H87" i="2"/>
  <c r="H574" i="2"/>
  <c r="H510" i="2"/>
  <c r="H446" i="2"/>
  <c r="H382" i="2"/>
  <c r="H318" i="2"/>
  <c r="H254" i="2"/>
  <c r="H190" i="2"/>
  <c r="H126" i="2"/>
  <c r="H54" i="2"/>
  <c r="H183" i="2"/>
  <c r="H557" i="2"/>
  <c r="H485" i="2"/>
  <c r="H405" i="2"/>
  <c r="H317" i="2"/>
  <c r="H237" i="2"/>
  <c r="H149" i="2"/>
  <c r="H61" i="2"/>
  <c r="H175" i="2"/>
  <c r="H564" i="2"/>
  <c r="H460" i="2"/>
  <c r="H364" i="2"/>
  <c r="H236" i="2"/>
  <c r="H108" i="2"/>
  <c r="H159" i="2"/>
  <c r="H443" i="2"/>
  <c r="H187" i="2"/>
  <c r="H605" i="2"/>
  <c r="H637" i="2"/>
  <c r="H672" i="2"/>
  <c r="H706" i="2"/>
  <c r="H736" i="2"/>
  <c r="H767" i="2"/>
  <c r="H799" i="2"/>
  <c r="H837" i="2"/>
  <c r="H924" i="2"/>
  <c r="H327" i="2"/>
  <c r="H519" i="2"/>
  <c r="H545" i="2"/>
  <c r="H289" i="2"/>
  <c r="H441" i="2"/>
  <c r="H586" i="2"/>
  <c r="H343" i="2"/>
  <c r="H465" i="2"/>
  <c r="H415" i="2"/>
  <c r="H399" i="2"/>
  <c r="H601" i="2"/>
  <c r="H361" i="2"/>
  <c r="H530" i="2"/>
  <c r="H466" i="2"/>
  <c r="H402" i="2"/>
  <c r="H338" i="2"/>
  <c r="H274" i="2"/>
  <c r="H210" i="2"/>
  <c r="H146" i="2"/>
  <c r="H82" i="2"/>
  <c r="H18" i="2"/>
  <c r="H121" i="2"/>
  <c r="H33" i="2"/>
  <c r="H161" i="2"/>
  <c r="H584" i="2"/>
  <c r="H520" i="2"/>
  <c r="H456" i="2"/>
  <c r="H392" i="2"/>
  <c r="H328" i="2"/>
  <c r="H264" i="2"/>
  <c r="H200" i="2"/>
  <c r="H136" i="2"/>
  <c r="H72" i="2"/>
  <c r="H15" i="2"/>
  <c r="H63" i="2"/>
  <c r="H566" i="2"/>
  <c r="H502" i="2"/>
  <c r="H438" i="2"/>
  <c r="H374" i="2"/>
  <c r="H310" i="2"/>
  <c r="H246" i="2"/>
  <c r="H182" i="2"/>
  <c r="H118" i="2"/>
  <c r="H46" i="2"/>
  <c r="H151" i="2"/>
  <c r="H549" i="2"/>
  <c r="H477" i="2"/>
  <c r="H397" i="2"/>
  <c r="H309" i="2"/>
  <c r="H221" i="2"/>
  <c r="H141" i="2"/>
  <c r="H53" i="2"/>
  <c r="H111" i="2"/>
  <c r="H556" i="2"/>
  <c r="H444" i="2"/>
  <c r="H348" i="2"/>
  <c r="H220" i="2"/>
  <c r="H92" i="2"/>
  <c r="H10" i="2"/>
  <c r="H427" i="2"/>
  <c r="H171" i="2"/>
  <c r="H611" i="2"/>
  <c r="H644" i="2"/>
  <c r="H676" i="2"/>
  <c r="H709" i="2"/>
  <c r="H740" i="2"/>
  <c r="H771" i="2"/>
  <c r="H805" i="2"/>
  <c r="H843" i="2"/>
  <c r="H933" i="2"/>
  <c r="H487" i="2"/>
  <c r="H513" i="2"/>
  <c r="H511" i="2"/>
  <c r="H409" i="2"/>
  <c r="H567" i="2"/>
  <c r="H311" i="2"/>
  <c r="H433" i="2"/>
  <c r="H561" i="2"/>
  <c r="H367" i="2"/>
  <c r="H578" i="2"/>
  <c r="H329" i="2"/>
  <c r="H522" i="2"/>
  <c r="H458" i="2"/>
  <c r="H394" i="2"/>
  <c r="H330" i="2"/>
  <c r="H266" i="2"/>
  <c r="H202" i="2"/>
  <c r="H138" i="2"/>
  <c r="H74" i="2"/>
  <c r="H233" i="2"/>
  <c r="H105" i="2"/>
  <c r="H25" i="2"/>
  <c r="H145" i="2"/>
  <c r="H576" i="2"/>
  <c r="H512" i="2"/>
  <c r="H448" i="2"/>
  <c r="H384" i="2"/>
  <c r="H320" i="2"/>
  <c r="H256" i="2"/>
  <c r="H192" i="2"/>
  <c r="H128" i="2"/>
  <c r="H64" i="2"/>
  <c r="H263" i="2"/>
  <c r="H39" i="2"/>
  <c r="H558" i="2"/>
  <c r="H494" i="2"/>
  <c r="H430" i="2"/>
  <c r="H366" i="2"/>
  <c r="H302" i="2"/>
  <c r="H238" i="2"/>
  <c r="H174" i="2"/>
  <c r="H110" i="2"/>
  <c r="H38" i="2"/>
  <c r="H119" i="2"/>
  <c r="H541" i="2"/>
  <c r="H469" i="2"/>
  <c r="H381" i="2"/>
  <c r="H301" i="2"/>
  <c r="H213" i="2"/>
  <c r="H125" i="2"/>
  <c r="H45" i="2"/>
  <c r="H79" i="2"/>
  <c r="H540" i="2"/>
  <c r="H436" i="2"/>
  <c r="H332" i="2"/>
  <c r="H204" i="2"/>
  <c r="H76" i="2"/>
  <c r="H587" i="2"/>
  <c r="H379" i="2"/>
  <c r="H123" i="2"/>
  <c r="H610" i="2"/>
  <c r="H645" i="2"/>
  <c r="H678" i="2"/>
  <c r="H708" i="2"/>
  <c r="H742" i="2"/>
  <c r="H770" i="2"/>
  <c r="H806" i="2"/>
  <c r="H852" i="2"/>
  <c r="H956" i="2"/>
  <c r="H455" i="2"/>
  <c r="H481" i="2"/>
  <c r="H287" i="2"/>
  <c r="H377" i="2"/>
  <c r="H535" i="2"/>
  <c r="H273" i="2"/>
  <c r="H401" i="2"/>
  <c r="H583" i="2"/>
  <c r="H335" i="2"/>
  <c r="H553" i="2"/>
  <c r="H297" i="2"/>
  <c r="H514" i="2"/>
  <c r="H450" i="2"/>
  <c r="H386" i="2"/>
  <c r="H322" i="2"/>
  <c r="H258" i="2"/>
  <c r="H194" i="2"/>
  <c r="H130" i="2"/>
  <c r="H66" i="2"/>
  <c r="H225" i="2"/>
  <c r="H89" i="2"/>
  <c r="H17" i="2"/>
  <c r="H129" i="2"/>
  <c r="H568" i="2"/>
  <c r="H504" i="2"/>
  <c r="H440" i="2"/>
  <c r="H376" i="2"/>
  <c r="H312" i="2"/>
  <c r="H248" i="2"/>
  <c r="H184" i="2"/>
  <c r="H120" i="2"/>
  <c r="H56" i="2"/>
  <c r="H231" i="2"/>
  <c r="H31" i="2"/>
  <c r="H550" i="2"/>
  <c r="H486" i="2"/>
  <c r="H422" i="2"/>
  <c r="H358" i="2"/>
  <c r="H294" i="2"/>
  <c r="H230" i="2"/>
  <c r="H166" i="2"/>
  <c r="H102" i="2"/>
  <c r="H30" i="2"/>
  <c r="H95" i="2"/>
  <c r="H533" i="2"/>
  <c r="H461" i="2"/>
  <c r="H373" i="2"/>
  <c r="H285" i="2"/>
  <c r="H205" i="2"/>
  <c r="H117" i="2"/>
  <c r="H29" i="2"/>
  <c r="H55" i="2"/>
  <c r="H524" i="2"/>
  <c r="H428" i="2"/>
  <c r="H316" i="2"/>
  <c r="H188" i="2"/>
  <c r="H60" i="2"/>
  <c r="H571" i="2"/>
  <c r="H363" i="2"/>
  <c r="H107" i="2"/>
  <c r="H621" i="2"/>
  <c r="H652" i="2"/>
  <c r="H684" i="2"/>
  <c r="H713" i="2"/>
  <c r="H747" i="2"/>
  <c r="H780" i="2"/>
  <c r="H812" i="2"/>
  <c r="H853" i="2"/>
  <c r="H964" i="2"/>
  <c r="H449" i="2"/>
  <c r="H591" i="2"/>
  <c r="H345" i="2"/>
  <c r="H503" i="2"/>
  <c r="H575" i="2"/>
  <c r="H369" i="2"/>
  <c r="H559" i="2"/>
  <c r="H303" i="2"/>
  <c r="H521" i="2"/>
  <c r="H249" i="2"/>
  <c r="H506" i="2"/>
  <c r="H442" i="2"/>
  <c r="H378" i="2"/>
  <c r="H314" i="2"/>
  <c r="H250" i="2"/>
  <c r="H186" i="2"/>
  <c r="H122" i="2"/>
  <c r="H58" i="2"/>
  <c r="H209" i="2"/>
  <c r="H81" i="2"/>
  <c r="H241" i="2"/>
  <c r="H113" i="2"/>
  <c r="H560" i="2"/>
  <c r="H496" i="2"/>
  <c r="H432" i="2"/>
  <c r="H368" i="2"/>
  <c r="H304" i="2"/>
  <c r="H240" i="2"/>
  <c r="H176" i="2"/>
  <c r="H112" i="2"/>
  <c r="H48" i="2"/>
  <c r="H199" i="2"/>
  <c r="H23" i="2"/>
  <c r="H542" i="2"/>
  <c r="H478" i="2"/>
  <c r="H414" i="2"/>
  <c r="H350" i="2"/>
  <c r="H286" i="2"/>
  <c r="H222" i="2"/>
  <c r="H158" i="2"/>
  <c r="H94" i="2"/>
  <c r="H22" i="2"/>
  <c r="H71" i="2"/>
  <c r="H525" i="2"/>
  <c r="H445" i="2"/>
  <c r="H365" i="2"/>
  <c r="H277" i="2"/>
  <c r="H189" i="2"/>
  <c r="H109" i="2"/>
  <c r="H21" i="2"/>
  <c r="H589" i="2"/>
  <c r="H508" i="2"/>
  <c r="H412" i="2"/>
  <c r="H300" i="2"/>
  <c r="H172" i="2"/>
  <c r="H44" i="2"/>
  <c r="H555" i="2"/>
  <c r="H315" i="2"/>
  <c r="H59" i="2"/>
  <c r="H622" i="2"/>
  <c r="H654" i="2"/>
  <c r="H686" i="2"/>
  <c r="H714" i="2"/>
  <c r="H749" i="2"/>
  <c r="H782" i="2"/>
  <c r="H814" i="2"/>
  <c r="H859" i="2"/>
  <c r="H987" i="2"/>
  <c r="H1338" i="2"/>
  <c r="H1003" i="2"/>
  <c r="H996" i="2"/>
  <c r="H990" i="2"/>
  <c r="H983" i="2"/>
  <c r="H973" i="2"/>
  <c r="H965" i="2"/>
  <c r="H958" i="2"/>
  <c r="H950" i="2"/>
  <c r="H940" i="2"/>
  <c r="H931" i="2"/>
  <c r="H926" i="2"/>
  <c r="H917" i="2"/>
  <c r="H910" i="2"/>
  <c r="H898" i="2"/>
  <c r="H894" i="2"/>
  <c r="H885" i="2"/>
  <c r="H877" i="2"/>
  <c r="H869" i="2"/>
  <c r="H861" i="2"/>
  <c r="H854" i="2"/>
  <c r="H845" i="2"/>
  <c r="H839" i="2"/>
  <c r="H828" i="2"/>
  <c r="H821" i="2"/>
  <c r="H813" i="2"/>
  <c r="H803" i="2"/>
  <c r="H797" i="2"/>
  <c r="H789" i="2"/>
  <c r="H781" i="2"/>
  <c r="H773" i="2"/>
  <c r="H762" i="2"/>
  <c r="H754" i="2"/>
  <c r="H750" i="2"/>
  <c r="H741" i="2"/>
  <c r="H732" i="2"/>
  <c r="H728" i="2"/>
  <c r="H718" i="2"/>
  <c r="H710" i="2"/>
  <c r="H702" i="2"/>
  <c r="H693" i="2"/>
  <c r="H685" i="2"/>
  <c r="H677" i="2"/>
  <c r="H667" i="2"/>
  <c r="H662" i="2"/>
  <c r="H653" i="2"/>
  <c r="H646" i="2"/>
  <c r="H638" i="2"/>
  <c r="H629" i="2"/>
  <c r="H620" i="2"/>
  <c r="H618" i="2"/>
  <c r="H606" i="2"/>
  <c r="H51" i="2"/>
  <c r="H115" i="2"/>
  <c r="H179" i="2"/>
  <c r="H243" i="2"/>
  <c r="H307" i="2"/>
  <c r="H371" i="2"/>
  <c r="H435" i="2"/>
  <c r="H499" i="2"/>
  <c r="H563" i="2"/>
  <c r="H191" i="2"/>
  <c r="H52" i="2"/>
  <c r="H116" i="2"/>
  <c r="H180" i="2"/>
  <c r="H244" i="2"/>
  <c r="H308" i="2"/>
  <c r="H1013" i="2"/>
  <c r="H979" i="2"/>
  <c r="H971" i="2"/>
  <c r="H963" i="2"/>
  <c r="H955" i="2"/>
  <c r="H944" i="2"/>
  <c r="H941" i="2"/>
  <c r="H932" i="2"/>
  <c r="H923" i="2"/>
  <c r="H913" i="2"/>
  <c r="H904" i="2"/>
  <c r="H900" i="2"/>
  <c r="H893" i="2"/>
  <c r="H883" i="2"/>
  <c r="H875" i="2"/>
  <c r="H867" i="2"/>
  <c r="H860" i="2"/>
  <c r="H851" i="2"/>
  <c r="H844" i="2"/>
  <c r="H836" i="2"/>
  <c r="H827" i="2"/>
  <c r="H819" i="2"/>
  <c r="H809" i="2"/>
  <c r="H804" i="2"/>
  <c r="H795" i="2"/>
  <c r="H785" i="2"/>
  <c r="H779" i="2"/>
  <c r="H776" i="2"/>
  <c r="H764" i="2"/>
  <c r="H756" i="2"/>
  <c r="H748" i="2"/>
  <c r="H734" i="2"/>
  <c r="H731" i="2"/>
  <c r="H721" i="2"/>
  <c r="H717" i="2"/>
  <c r="H707" i="2"/>
  <c r="H704" i="2"/>
  <c r="H689" i="2"/>
  <c r="H683" i="2"/>
  <c r="H673" i="2"/>
  <c r="H671" i="2"/>
  <c r="H659" i="2"/>
  <c r="H651" i="2"/>
  <c r="H643" i="2"/>
  <c r="H635" i="2"/>
  <c r="H626" i="2"/>
  <c r="H608" i="2"/>
  <c r="H612" i="2"/>
  <c r="H603" i="2"/>
  <c r="H67" i="2"/>
  <c r="H131" i="2"/>
  <c r="H195" i="2"/>
  <c r="H259" i="2"/>
  <c r="H323" i="2"/>
  <c r="H387" i="2"/>
  <c r="H451" i="2"/>
  <c r="H515" i="2"/>
  <c r="H579" i="2"/>
  <c r="H255" i="2"/>
  <c r="H68" i="2"/>
  <c r="H132" i="2"/>
  <c r="H196" i="2"/>
  <c r="H260" i="2"/>
  <c r="H324" i="2"/>
  <c r="H388" i="2"/>
  <c r="H452" i="2"/>
  <c r="H516" i="2"/>
  <c r="H580" i="2"/>
  <c r="H143" i="2"/>
  <c r="H37" i="2"/>
  <c r="H101" i="2"/>
  <c r="H165" i="2"/>
  <c r="H229" i="2"/>
  <c r="H293" i="2"/>
  <c r="H357" i="2"/>
  <c r="H421" i="2"/>
  <c r="H970" i="2"/>
  <c r="H962" i="2"/>
  <c r="H953" i="2"/>
  <c r="H947" i="2"/>
  <c r="H938" i="2"/>
  <c r="H930" i="2"/>
  <c r="H922" i="2"/>
  <c r="H915" i="2"/>
  <c r="H905" i="2"/>
  <c r="H901" i="2"/>
  <c r="H891" i="2"/>
  <c r="H882" i="2"/>
  <c r="H873" i="2"/>
  <c r="H866" i="2"/>
  <c r="H856" i="2"/>
  <c r="H850" i="2"/>
  <c r="H840" i="2"/>
  <c r="H835" i="2"/>
  <c r="H826" i="2"/>
  <c r="H818" i="2"/>
  <c r="H810" i="2"/>
  <c r="H802" i="2"/>
  <c r="H790" i="2"/>
  <c r="H787" i="2"/>
  <c r="H778" i="2"/>
  <c r="H769" i="2"/>
  <c r="H763" i="2"/>
  <c r="H752" i="2"/>
  <c r="H746" i="2"/>
  <c r="H739" i="2"/>
  <c r="H723" i="2"/>
  <c r="H727" i="2"/>
  <c r="H712" i="2"/>
  <c r="H700" i="2"/>
  <c r="H698" i="2"/>
  <c r="H691" i="2"/>
  <c r="H682" i="2"/>
  <c r="H674" i="2"/>
  <c r="H670" i="2"/>
  <c r="H658" i="2"/>
  <c r="H650" i="2"/>
  <c r="H642" i="2"/>
  <c r="H634" i="2"/>
  <c r="H627" i="2"/>
  <c r="H616" i="2"/>
  <c r="H613" i="2"/>
  <c r="H75" i="2"/>
  <c r="H139" i="2"/>
  <c r="H203" i="2"/>
  <c r="H267" i="2"/>
  <c r="H331" i="2"/>
  <c r="H395" i="2"/>
  <c r="H459" i="2"/>
  <c r="H981" i="2"/>
  <c r="H977" i="2"/>
  <c r="H967" i="2"/>
  <c r="H961" i="2"/>
  <c r="H952" i="2"/>
  <c r="H946" i="2"/>
  <c r="H937" i="2"/>
  <c r="H929" i="2"/>
  <c r="H921" i="2"/>
  <c r="H914" i="2"/>
  <c r="H906" i="2"/>
  <c r="H895" i="2"/>
  <c r="H889" i="2"/>
  <c r="H881" i="2"/>
  <c r="H874" i="2"/>
  <c r="H865" i="2"/>
  <c r="H858" i="2"/>
  <c r="H849" i="2"/>
  <c r="H842" i="2"/>
  <c r="H834" i="2"/>
  <c r="H825" i="2"/>
  <c r="H817" i="2"/>
  <c r="H811" i="2"/>
  <c r="H801" i="2"/>
  <c r="H791" i="2"/>
  <c r="H786" i="2"/>
  <c r="H774" i="2"/>
  <c r="H772" i="2"/>
  <c r="H760" i="2"/>
  <c r="H755" i="2"/>
  <c r="H745" i="2"/>
  <c r="H738" i="2"/>
  <c r="H730" i="2"/>
  <c r="H720" i="2"/>
  <c r="H716" i="2"/>
  <c r="H703" i="2"/>
  <c r="H696" i="2"/>
  <c r="H690" i="2"/>
  <c r="H681" i="2"/>
  <c r="H675" i="2"/>
  <c r="H669" i="2"/>
  <c r="H657" i="2"/>
  <c r="H649" i="2"/>
  <c r="H640" i="2"/>
  <c r="H633" i="2"/>
  <c r="H625" i="2"/>
  <c r="H619" i="2"/>
  <c r="H614" i="2"/>
  <c r="H19" i="2"/>
  <c r="H83" i="2"/>
  <c r="H147" i="2"/>
  <c r="H211" i="2"/>
  <c r="H275" i="2"/>
  <c r="H339" i="2"/>
  <c r="H403" i="2"/>
  <c r="H467" i="2"/>
  <c r="H531" i="2"/>
  <c r="H595" i="2"/>
  <c r="H20" i="2"/>
  <c r="H84" i="2"/>
  <c r="H148" i="2"/>
  <c r="H212" i="2"/>
  <c r="H276" i="2"/>
  <c r="H340" i="2"/>
  <c r="H404" i="2"/>
  <c r="H468" i="2"/>
  <c r="H532" i="2"/>
  <c r="H1024" i="2"/>
  <c r="H1016" i="2"/>
  <c r="H1008" i="2"/>
  <c r="H1000" i="2"/>
  <c r="H992" i="2"/>
  <c r="H985" i="2"/>
  <c r="H976" i="2"/>
  <c r="H969" i="2"/>
  <c r="H960" i="2"/>
  <c r="H954" i="2"/>
  <c r="H945" i="2"/>
  <c r="H934" i="2"/>
  <c r="H927" i="2"/>
  <c r="H919" i="2"/>
  <c r="H909" i="2"/>
  <c r="H907" i="2"/>
  <c r="H897" i="2"/>
  <c r="H888" i="2"/>
  <c r="H879" i="2"/>
  <c r="H871" i="2"/>
  <c r="H863" i="2"/>
  <c r="H857" i="2"/>
  <c r="H848" i="2"/>
  <c r="H841" i="2"/>
  <c r="H832" i="2"/>
  <c r="H823" i="2"/>
  <c r="H815" i="2"/>
  <c r="H808" i="2"/>
  <c r="H800" i="2"/>
  <c r="H794" i="2"/>
  <c r="H784" i="2"/>
  <c r="H766" i="2"/>
  <c r="H768" i="2"/>
  <c r="H759" i="2"/>
  <c r="H751" i="2"/>
  <c r="H743" i="2"/>
  <c r="H735" i="2"/>
  <c r="H722" i="2"/>
  <c r="H726" i="2"/>
  <c r="H715" i="2"/>
  <c r="H701" i="2"/>
  <c r="H697" i="2"/>
  <c r="H688" i="2"/>
  <c r="H680" i="2"/>
  <c r="H668" i="2"/>
  <c r="H664" i="2"/>
  <c r="H656" i="2"/>
  <c r="H648" i="2"/>
  <c r="H641" i="2"/>
  <c r="H630" i="2"/>
  <c r="H624" i="2"/>
  <c r="H609" i="2"/>
  <c r="H615" i="2"/>
  <c r="H27" i="2"/>
  <c r="H91" i="2"/>
  <c r="H155" i="2"/>
  <c r="H219" i="2"/>
  <c r="H283" i="2"/>
  <c r="H347" i="2"/>
  <c r="H411" i="2"/>
  <c r="H475" i="2"/>
  <c r="H539" i="2"/>
  <c r="H975" i="2"/>
  <c r="H968" i="2"/>
  <c r="H957" i="2"/>
  <c r="H951" i="2"/>
  <c r="H943" i="2"/>
  <c r="H936" i="2"/>
  <c r="H928" i="2"/>
  <c r="H920" i="2"/>
  <c r="H908" i="2"/>
  <c r="H899" i="2"/>
  <c r="H896" i="2"/>
  <c r="H886" i="2"/>
  <c r="H880" i="2"/>
  <c r="H870" i="2"/>
  <c r="H864" i="2"/>
  <c r="H855" i="2"/>
  <c r="H847" i="2"/>
  <c r="H830" i="2"/>
  <c r="H831" i="2"/>
  <c r="H824" i="2"/>
  <c r="H816" i="2"/>
  <c r="H807" i="2"/>
  <c r="H798" i="2"/>
  <c r="H793" i="2"/>
  <c r="H783" i="2"/>
  <c r="H777" i="2"/>
  <c r="H775" i="2"/>
  <c r="H761" i="2"/>
  <c r="H757" i="2"/>
  <c r="H744" i="2"/>
  <c r="H737" i="2"/>
  <c r="H729" i="2"/>
  <c r="H719" i="2"/>
  <c r="H711" i="2"/>
  <c r="H699" i="2"/>
  <c r="H695" i="2"/>
  <c r="H687" i="2"/>
  <c r="H679" i="2"/>
  <c r="H666" i="2"/>
  <c r="H661" i="2"/>
  <c r="H655" i="2"/>
  <c r="H647" i="2"/>
  <c r="H639" i="2"/>
  <c r="H631" i="2"/>
  <c r="H623" i="2"/>
  <c r="H617" i="2"/>
  <c r="H604" i="2"/>
  <c r="H35" i="2"/>
  <c r="H99" i="2"/>
  <c r="H163" i="2"/>
  <c r="H227" i="2"/>
  <c r="H291" i="2"/>
  <c r="H355" i="2"/>
  <c r="H419" i="2"/>
  <c r="H483" i="2"/>
  <c r="H547" i="2"/>
  <c r="H127" i="2"/>
  <c r="H36" i="2"/>
  <c r="H100" i="2"/>
  <c r="H164" i="2"/>
  <c r="H228" i="2"/>
  <c r="H292" i="2"/>
  <c r="H356" i="2"/>
  <c r="H420" i="2"/>
  <c r="H484" i="2"/>
  <c r="H548" i="2"/>
  <c r="H597" i="2"/>
  <c r="H271" i="2"/>
  <c r="H69" i="2"/>
  <c r="H133" i="2"/>
  <c r="H197" i="2"/>
  <c r="H261" i="2"/>
  <c r="H325" i="2"/>
  <c r="H389" i="2"/>
  <c r="H453" i="2"/>
  <c r="H517" i="2"/>
  <c r="H581" i="2"/>
  <c r="H247" i="2"/>
  <c r="H62" i="2"/>
  <c r="H833" i="2"/>
  <c r="H862" i="2"/>
  <c r="H890" i="2"/>
  <c r="H925" i="2"/>
  <c r="H959" i="2"/>
  <c r="H989" i="2"/>
  <c r="H995" i="2"/>
  <c r="H1094" i="2"/>
  <c r="H838" i="2"/>
  <c r="H872" i="2"/>
  <c r="H903" i="2"/>
  <c r="H935" i="2"/>
  <c r="H966" i="2"/>
  <c r="H999" i="2"/>
  <c r="H876" i="2"/>
  <c r="H912" i="2"/>
  <c r="H939" i="2"/>
  <c r="H972" i="2"/>
  <c r="H1005" i="2"/>
  <c r="H846" i="2"/>
  <c r="H878" i="2"/>
  <c r="H911" i="2"/>
  <c r="H942" i="2"/>
  <c r="H974" i="2"/>
  <c r="H1007" i="2"/>
  <c r="H884" i="2"/>
  <c r="H916" i="2"/>
  <c r="H949" i="2"/>
  <c r="H980" i="2"/>
  <c r="H1012" i="2"/>
  <c r="H918" i="2"/>
  <c r="H948" i="2"/>
  <c r="H984" i="2"/>
  <c r="H1022" i="2"/>
  <c r="H982" i="2"/>
  <c r="H991" i="2"/>
  <c r="H1001" i="2"/>
  <c r="H1006" i="2"/>
  <c r="H1015" i="2"/>
  <c r="H1023" i="2"/>
  <c r="H2388" i="2"/>
  <c r="H2387" i="2"/>
  <c r="H2386" i="2"/>
  <c r="H994" i="2"/>
  <c r="H1002" i="2"/>
  <c r="H1010" i="2"/>
  <c r="H1018" i="2"/>
  <c r="H1028" i="2"/>
  <c r="H978" i="2"/>
  <c r="H986" i="2"/>
  <c r="H993" i="2"/>
  <c r="H998" i="2"/>
  <c r="H1009" i="2"/>
  <c r="H1017" i="2"/>
  <c r="H1031" i="2"/>
  <c r="H988" i="2"/>
  <c r="H997" i="2"/>
  <c r="H1004" i="2"/>
  <c r="H1011" i="2"/>
  <c r="H1019" i="2"/>
  <c r="H1046" i="2"/>
  <c r="H1020" i="2"/>
  <c r="H1058" i="2"/>
  <c r="H1014" i="2"/>
  <c r="H1021" i="2"/>
  <c r="H1788" i="2"/>
  <c r="H1033" i="2"/>
  <c r="H1047" i="2"/>
  <c r="H1059" i="2"/>
  <c r="H1118" i="2"/>
  <c r="H2379" i="2"/>
  <c r="H2384" i="2"/>
  <c r="H2376" i="2"/>
  <c r="H2378" i="2"/>
  <c r="H2375" i="2"/>
  <c r="H2383" i="2"/>
  <c r="H2380" i="2"/>
  <c r="H2382" i="2"/>
  <c r="H2373" i="2"/>
  <c r="H2377" i="2"/>
  <c r="H2374" i="2"/>
  <c r="H2381" i="2"/>
  <c r="H2369" i="2"/>
  <c r="H2368" i="2"/>
  <c r="H2367" i="2"/>
  <c r="H2372" i="2"/>
  <c r="H2371" i="2"/>
  <c r="H2370" i="2"/>
  <c r="H2366" i="2"/>
  <c r="H1025" i="2"/>
  <c r="H1035" i="2"/>
  <c r="H1045" i="2"/>
  <c r="H1060" i="2"/>
  <c r="H1124" i="2"/>
  <c r="H1026" i="2"/>
  <c r="H1037" i="2"/>
  <c r="H1049" i="2"/>
  <c r="H1065" i="2"/>
  <c r="H1132" i="2"/>
  <c r="H1027" i="2"/>
  <c r="H1036" i="2"/>
  <c r="H1050" i="2"/>
  <c r="H1069" i="2"/>
  <c r="H1137" i="2"/>
  <c r="H1038" i="2"/>
  <c r="H1052" i="2"/>
  <c r="H1072" i="2"/>
  <c r="H1157" i="2"/>
  <c r="H1029" i="2"/>
  <c r="H1041" i="2"/>
  <c r="H1053" i="2"/>
  <c r="H1077" i="2"/>
  <c r="H1206" i="2"/>
  <c r="H1030" i="2"/>
  <c r="H1043" i="2"/>
  <c r="H1054" i="2"/>
  <c r="H1080" i="2"/>
  <c r="H1081" i="2"/>
  <c r="H1149" i="2"/>
  <c r="H1215" i="2"/>
  <c r="H1401" i="2"/>
  <c r="H2351" i="2"/>
  <c r="H2354" i="2"/>
  <c r="H2346" i="2"/>
  <c r="H2348" i="2"/>
  <c r="H2365" i="2"/>
  <c r="H2358" i="2"/>
  <c r="H2350" i="2"/>
  <c r="H2341" i="2"/>
  <c r="H2340" i="2"/>
  <c r="H2362" i="2"/>
  <c r="H2357" i="2"/>
  <c r="H2349" i="2"/>
  <c r="H2344" i="2"/>
  <c r="H2364" i="2"/>
  <c r="H2361" i="2"/>
  <c r="H2353" i="2"/>
  <c r="H2338" i="2"/>
  <c r="H2342" i="2"/>
  <c r="H2345" i="2"/>
  <c r="H2343" i="2"/>
  <c r="H2352" i="2"/>
  <c r="H2363" i="2"/>
  <c r="H2360" i="2"/>
  <c r="H2356" i="2"/>
  <c r="H2337" i="2"/>
  <c r="H2359" i="2"/>
  <c r="H2355" i="2"/>
  <c r="H2347" i="2"/>
  <c r="H2339" i="2"/>
  <c r="H2336" i="2"/>
  <c r="H2327" i="2"/>
  <c r="H2323" i="2"/>
  <c r="H2316" i="2"/>
  <c r="H2312" i="2"/>
  <c r="H2308" i="2"/>
  <c r="H2335" i="2"/>
  <c r="H2329" i="2"/>
  <c r="H2315" i="2"/>
  <c r="H2300" i="2"/>
  <c r="H2293" i="2"/>
  <c r="H2289" i="2"/>
  <c r="H2298" i="2"/>
  <c r="H2322" i="2"/>
  <c r="H2314" i="2"/>
  <c r="H2311" i="2"/>
  <c r="H2307" i="2"/>
  <c r="H2303" i="2"/>
  <c r="H2297" i="2"/>
  <c r="H2334" i="2"/>
  <c r="H2326" i="2"/>
  <c r="H2321" i="2"/>
  <c r="H2306" i="2"/>
  <c r="H2299" i="2"/>
  <c r="H2291" i="2"/>
  <c r="H2287" i="2"/>
  <c r="H2331" i="2"/>
  <c r="H2325" i="2"/>
  <c r="H2320" i="2"/>
  <c r="H2310" i="2"/>
  <c r="H2302" i="2"/>
  <c r="H2296" i="2"/>
  <c r="H2288" i="2"/>
  <c r="H2332" i="2"/>
  <c r="H2294" i="2"/>
  <c r="H2333" i="2"/>
  <c r="H2330" i="2"/>
  <c r="H2328" i="2"/>
  <c r="H2319" i="2"/>
  <c r="H2295" i="2"/>
  <c r="H2317" i="2"/>
  <c r="H2292" i="2"/>
  <c r="H2324" i="2"/>
  <c r="H2318" i="2"/>
  <c r="H2313" i="2"/>
  <c r="H2305" i="2"/>
  <c r="H2301" i="2"/>
  <c r="H2290" i="2"/>
  <c r="H2309" i="2"/>
  <c r="H2304" i="2"/>
  <c r="H2286" i="2"/>
  <c r="H2275" i="2"/>
  <c r="H2272" i="2"/>
  <c r="H2259" i="2"/>
  <c r="H2282" i="2"/>
  <c r="H2278" i="2"/>
  <c r="H2267" i="2"/>
  <c r="H2262" i="2"/>
  <c r="H2285" i="2"/>
  <c r="H2274" i="2"/>
  <c r="H2271" i="2"/>
  <c r="H2281" i="2"/>
  <c r="H2277" i="2"/>
  <c r="H2255" i="2"/>
  <c r="H2261" i="2"/>
  <c r="H2268" i="2"/>
  <c r="H2270" i="2"/>
  <c r="H2266" i="2"/>
  <c r="H2283" i="2"/>
  <c r="H2284" i="2"/>
  <c r="H2280" i="2"/>
  <c r="H2273" i="2"/>
  <c r="H2260" i="2"/>
  <c r="H2263" i="2"/>
  <c r="H2276" i="2"/>
  <c r="H2269" i="2"/>
  <c r="H2265" i="2"/>
  <c r="H2264" i="2"/>
  <c r="H2279" i="2"/>
  <c r="H1223" i="2"/>
  <c r="H1462" i="2"/>
  <c r="H1103" i="2"/>
  <c r="H1166" i="2"/>
  <c r="H1239" i="2"/>
  <c r="H1531" i="2"/>
  <c r="H1109" i="2"/>
  <c r="H1173" i="2"/>
  <c r="H1260" i="2"/>
  <c r="H1592" i="2"/>
  <c r="H1181" i="2"/>
  <c r="H1263" i="2"/>
  <c r="H1659" i="2"/>
  <c r="H1189" i="2"/>
  <c r="H1277" i="2"/>
  <c r="H1717" i="2"/>
  <c r="H1197" i="2"/>
  <c r="H1298" i="2"/>
  <c r="H2257" i="2"/>
  <c r="H2251" i="2"/>
  <c r="H2258" i="2"/>
  <c r="H2247" i="2"/>
  <c r="H2250" i="2"/>
  <c r="H2246" i="2"/>
  <c r="H2249" i="2"/>
  <c r="H2254" i="2"/>
  <c r="H2253" i="2"/>
  <c r="H2252" i="2"/>
  <c r="H2256" i="2"/>
  <c r="H2248" i="2"/>
  <c r="H2245" i="2"/>
  <c r="H2235" i="2"/>
  <c r="H2226" i="2"/>
  <c r="H2195" i="2"/>
  <c r="H2238" i="2"/>
  <c r="H2234" i="2"/>
  <c r="H2230" i="2"/>
  <c r="H2225" i="2"/>
  <c r="H2218" i="2"/>
  <c r="H2214" i="2"/>
  <c r="H2206" i="2"/>
  <c r="H2185" i="2"/>
  <c r="H2244" i="2"/>
  <c r="H2224" i="2"/>
  <c r="H2198" i="2"/>
  <c r="H2190" i="2"/>
  <c r="H2188" i="2"/>
  <c r="H2178" i="2"/>
  <c r="H2176" i="2"/>
  <c r="H2213" i="2"/>
  <c r="H2210" i="2"/>
  <c r="H2205" i="2"/>
  <c r="H2194" i="2"/>
  <c r="H2243" i="2"/>
  <c r="H2237" i="2"/>
  <c r="H2233" i="2"/>
  <c r="H2229" i="2"/>
  <c r="H2223" i="2"/>
  <c r="H2221" i="2"/>
  <c r="H2217" i="2"/>
  <c r="H2201" i="2"/>
  <c r="H2187" i="2"/>
  <c r="H2175" i="2"/>
  <c r="H2222" i="2"/>
  <c r="H2209" i="2"/>
  <c r="H2197" i="2"/>
  <c r="H2193" i="2"/>
  <c r="H2189" i="2"/>
  <c r="H2186" i="2"/>
  <c r="H2180" i="2"/>
  <c r="H2174" i="2"/>
  <c r="H2232" i="2"/>
  <c r="H2220" i="2"/>
  <c r="H2208" i="2"/>
  <c r="H2204" i="2"/>
  <c r="H2242" i="2"/>
  <c r="H2240" i="2"/>
  <c r="H2236" i="2"/>
  <c r="H2228" i="2"/>
  <c r="H2216" i="2"/>
  <c r="H2212" i="2"/>
  <c r="H2200" i="2"/>
  <c r="H2196" i="2"/>
  <c r="H2192" i="2"/>
  <c r="H2177" i="2"/>
  <c r="H2179" i="2"/>
  <c r="H2241" i="2"/>
  <c r="H2239" i="2"/>
  <c r="H2231" i="2"/>
  <c r="H2227" i="2"/>
  <c r="H2219" i="2"/>
  <c r="H2215" i="2"/>
  <c r="H2211" i="2"/>
  <c r="H2207" i="2"/>
  <c r="H2203" i="2"/>
  <c r="H2199" i="2"/>
  <c r="H2173" i="2"/>
  <c r="H2202" i="2"/>
  <c r="H2191" i="2"/>
  <c r="H2184" i="2"/>
  <c r="H2171" i="2"/>
  <c r="H2181" i="2"/>
  <c r="H2170" i="2"/>
  <c r="H2167" i="2"/>
  <c r="H2160" i="2"/>
  <c r="H2182" i="2"/>
  <c r="H2157" i="2"/>
  <c r="H2183" i="2"/>
  <c r="H2163" i="2"/>
  <c r="H2159" i="2"/>
  <c r="H2156" i="2"/>
  <c r="H2166" i="2"/>
  <c r="H2162" i="2"/>
  <c r="H2169" i="2"/>
  <c r="H2158" i="2"/>
  <c r="H2161" i="2"/>
  <c r="H2165" i="2"/>
  <c r="H2155" i="2"/>
  <c r="H2172" i="2"/>
  <c r="H2168" i="2"/>
  <c r="H2164" i="2"/>
  <c r="H2154" i="2"/>
  <c r="H2153" i="2"/>
  <c r="H1911" i="2"/>
  <c r="H1899" i="2"/>
  <c r="H1870" i="2"/>
  <c r="H1884" i="2"/>
  <c r="H1855" i="2"/>
  <c r="H1847" i="2"/>
  <c r="H1857" i="2"/>
  <c r="H1820" i="2"/>
  <c r="H1828" i="2"/>
  <c r="H1811" i="2"/>
  <c r="H1790" i="2"/>
  <c r="H1794" i="2"/>
  <c r="H1782" i="2"/>
  <c r="H1767" i="2"/>
  <c r="H1780" i="2"/>
  <c r="H1762" i="2"/>
  <c r="H1753" i="2"/>
  <c r="H1743" i="2"/>
  <c r="H1738" i="2"/>
  <c r="H1736" i="2"/>
  <c r="H1713" i="2"/>
  <c r="H1715" i="2"/>
  <c r="H1707" i="2"/>
  <c r="H1706" i="2"/>
  <c r="H1683" i="2"/>
  <c r="H1676" i="2"/>
  <c r="H1680" i="2"/>
  <c r="H1665" i="2"/>
  <c r="H1652" i="2"/>
  <c r="H1637" i="2"/>
  <c r="H1639" i="2"/>
  <c r="H1640" i="2"/>
  <c r="H1616" i="2"/>
  <c r="H1623" i="2"/>
  <c r="H1608" i="2"/>
  <c r="H1600" i="2"/>
  <c r="H1593" i="2"/>
  <c r="H1578" i="2"/>
  <c r="H1584" i="2"/>
  <c r="H1568" i="2"/>
  <c r="H1560" i="2"/>
  <c r="H1547" i="2"/>
  <c r="H1545" i="2"/>
  <c r="H1521" i="2"/>
  <c r="H1530" i="2"/>
  <c r="H1533" i="2"/>
  <c r="H1509" i="2"/>
  <c r="H1487" i="2"/>
  <c r="H1504" i="2"/>
  <c r="H1495" i="2"/>
  <c r="H1480" i="2"/>
  <c r="H1472" i="2"/>
  <c r="H1468" i="2"/>
  <c r="H1442" i="2"/>
  <c r="H1447" i="2"/>
  <c r="H1438" i="2"/>
  <c r="H1433" i="2"/>
  <c r="H1426" i="2"/>
  <c r="H1416" i="2"/>
  <c r="H1407" i="2"/>
  <c r="H1400" i="2"/>
  <c r="H1392" i="2"/>
  <c r="H1377" i="2"/>
  <c r="H1376" i="2"/>
  <c r="H1369" i="2"/>
  <c r="H1358" i="2"/>
  <c r="H1352" i="2"/>
  <c r="H1344" i="2"/>
  <c r="H1337" i="2"/>
  <c r="H1329" i="2"/>
  <c r="H1321" i="2"/>
  <c r="H1312" i="2"/>
  <c r="H1303" i="2"/>
  <c r="H1892" i="2"/>
  <c r="H1917" i="2"/>
  <c r="H1883" i="2"/>
  <c r="H1866" i="2"/>
  <c r="H1851" i="2"/>
  <c r="H1862" i="2"/>
  <c r="H1839" i="2"/>
  <c r="H1816" i="2"/>
  <c r="H1818" i="2"/>
  <c r="H1803" i="2"/>
  <c r="H1802" i="2"/>
  <c r="H1787" i="2"/>
  <c r="H1786" i="2"/>
  <c r="H1775" i="2"/>
  <c r="H1773" i="2"/>
  <c r="H1757" i="2"/>
  <c r="H1752" i="2"/>
  <c r="H1746" i="2"/>
  <c r="H1734" i="2"/>
  <c r="H1733" i="2"/>
  <c r="H1723" i="2"/>
  <c r="H1693" i="2"/>
  <c r="H1695" i="2"/>
  <c r="H1694" i="2"/>
  <c r="H1677" i="2"/>
  <c r="H1671" i="2"/>
  <c r="H1674" i="2"/>
  <c r="H1666" i="2"/>
  <c r="H1658" i="2"/>
  <c r="H1634" i="2"/>
  <c r="H1632" i="2"/>
  <c r="H1627" i="2"/>
  <c r="H1625" i="2"/>
  <c r="H1614" i="2"/>
  <c r="H1607" i="2"/>
  <c r="H1598" i="2"/>
  <c r="H1589" i="2"/>
  <c r="H1586" i="2"/>
  <c r="H1580" i="2"/>
  <c r="H1567" i="2"/>
  <c r="H1558" i="2"/>
  <c r="H1548" i="2"/>
  <c r="H1542" i="2"/>
  <c r="H1532" i="2"/>
  <c r="H1523" i="2"/>
  <c r="H1519" i="2"/>
  <c r="H1512" i="2"/>
  <c r="H1500" i="2"/>
  <c r="H1496" i="2"/>
  <c r="H1488" i="2"/>
  <c r="H1475" i="2"/>
  <c r="H1471" i="2"/>
  <c r="H1467" i="2"/>
  <c r="H1457" i="2"/>
  <c r="H1449" i="2"/>
  <c r="H1439" i="2"/>
  <c r="H1432" i="2"/>
  <c r="H1424" i="2"/>
  <c r="H1415" i="2"/>
  <c r="H1409" i="2"/>
  <c r="H1399" i="2"/>
  <c r="H1390" i="2"/>
  <c r="H1384" i="2"/>
  <c r="H1375" i="2"/>
  <c r="H1367" i="2"/>
  <c r="H1360" i="2"/>
  <c r="H1346" i="2"/>
  <c r="H1343" i="2"/>
  <c r="H1335" i="2"/>
  <c r="H1328" i="2"/>
  <c r="H1320" i="2"/>
  <c r="H1311" i="2"/>
  <c r="H1304" i="2"/>
  <c r="H1297" i="2"/>
  <c r="H1287" i="2"/>
  <c r="H1279" i="2"/>
  <c r="H1271" i="2"/>
  <c r="H1934" i="2"/>
  <c r="H1933" i="2"/>
  <c r="H1877" i="2"/>
  <c r="H1868" i="2"/>
  <c r="H1841" i="2"/>
  <c r="H1858" i="2"/>
  <c r="H1824" i="2"/>
  <c r="H1812" i="2"/>
  <c r="H1821" i="2"/>
  <c r="H1791" i="2"/>
  <c r="H1795" i="2"/>
  <c r="H1808" i="2"/>
  <c r="H1785" i="2"/>
  <c r="H1771" i="2"/>
  <c r="H1769" i="2"/>
  <c r="H1760" i="2"/>
  <c r="H1750" i="2"/>
  <c r="H1742" i="2"/>
  <c r="H1732" i="2"/>
  <c r="H1729" i="2"/>
  <c r="H1712" i="2"/>
  <c r="H1711" i="2"/>
  <c r="H1702" i="2"/>
  <c r="H1705" i="2"/>
  <c r="H1673" i="2"/>
  <c r="H1678" i="2"/>
  <c r="H1670" i="2"/>
  <c r="H1657" i="2"/>
  <c r="H1656" i="2"/>
  <c r="H1649" i="2"/>
  <c r="H1646" i="2"/>
  <c r="H1622" i="2"/>
  <c r="H1621" i="2"/>
  <c r="H1615" i="2"/>
  <c r="H1602" i="2"/>
  <c r="H1599" i="2"/>
  <c r="H1591" i="2"/>
  <c r="H1581" i="2"/>
  <c r="H1574" i="2"/>
  <c r="H1566" i="2"/>
  <c r="H1559" i="2"/>
  <c r="H1549" i="2"/>
  <c r="H1544" i="2"/>
  <c r="H1538" i="2"/>
  <c r="H1525" i="2"/>
  <c r="H1515" i="2"/>
  <c r="H1514" i="2"/>
  <c r="H1501" i="2"/>
  <c r="H1498" i="2"/>
  <c r="H1484" i="2"/>
  <c r="H1477" i="2"/>
  <c r="H1464" i="2"/>
  <c r="H1466" i="2"/>
  <c r="H1450" i="2"/>
  <c r="H1452" i="2"/>
  <c r="H1440" i="2"/>
  <c r="H1430" i="2"/>
  <c r="H1423" i="2"/>
  <c r="H1414" i="2"/>
  <c r="H1406" i="2"/>
  <c r="H1398" i="2"/>
  <c r="H1391" i="2"/>
  <c r="H1383" i="2"/>
  <c r="H1374" i="2"/>
  <c r="H1366" i="2"/>
  <c r="H1359" i="2"/>
  <c r="H1351" i="2"/>
  <c r="H1342" i="2"/>
  <c r="H1333" i="2"/>
  <c r="H1327" i="2"/>
  <c r="H1318" i="2"/>
  <c r="H1310" i="2"/>
  <c r="H1302" i="2"/>
  <c r="H1294" i="2"/>
  <c r="H1286" i="2"/>
  <c r="H1278" i="2"/>
  <c r="H1270" i="2"/>
  <c r="H1253" i="2"/>
  <c r="H1251" i="2"/>
  <c r="H1244" i="2"/>
  <c r="H1238" i="2"/>
  <c r="H1229" i="2"/>
  <c r="H1218" i="2"/>
  <c r="H1214" i="2"/>
  <c r="H1205" i="2"/>
  <c r="H1929" i="2"/>
  <c r="H1923" i="2"/>
  <c r="H1922" i="2"/>
  <c r="H1886" i="2"/>
  <c r="H1864" i="2"/>
  <c r="H1833" i="2"/>
  <c r="H1854" i="2"/>
  <c r="H1817" i="2"/>
  <c r="H1829" i="2"/>
  <c r="H1814" i="2"/>
  <c r="H1807" i="2"/>
  <c r="H1804" i="2"/>
  <c r="H1793" i="2"/>
  <c r="H1781" i="2"/>
  <c r="H1764" i="2"/>
  <c r="H1763" i="2"/>
  <c r="H1759" i="2"/>
  <c r="H1749" i="2"/>
  <c r="H1740" i="2"/>
  <c r="H1737" i="2"/>
  <c r="H1735" i="2"/>
  <c r="H1722" i="2"/>
  <c r="H1710" i="2"/>
  <c r="H1699" i="2"/>
  <c r="H1701" i="2"/>
  <c r="H1682" i="2"/>
  <c r="H1689" i="2"/>
  <c r="H1669" i="2"/>
  <c r="H1662" i="2"/>
  <c r="H1655" i="2"/>
  <c r="H1636" i="2"/>
  <c r="H1638" i="2"/>
  <c r="H1630" i="2"/>
  <c r="H1620" i="2"/>
  <c r="H1612" i="2"/>
  <c r="H1606" i="2"/>
  <c r="H1597" i="2"/>
  <c r="H1590" i="2"/>
  <c r="H1577" i="2"/>
  <c r="H1573" i="2"/>
  <c r="H1565" i="2"/>
  <c r="H1557" i="2"/>
  <c r="H1554" i="2"/>
  <c r="H1540" i="2"/>
  <c r="H1527" i="2"/>
  <c r="H1537" i="2"/>
  <c r="H1516" i="2"/>
  <c r="H1511" i="2"/>
  <c r="H1491" i="2"/>
  <c r="H1492" i="2"/>
  <c r="H1483" i="2"/>
  <c r="H1474" i="2"/>
  <c r="H1473" i="2"/>
  <c r="H1458" i="2"/>
  <c r="H1448" i="2"/>
  <c r="H1446" i="2"/>
  <c r="H1418" i="2"/>
  <c r="H1431" i="2"/>
  <c r="H1422" i="2"/>
  <c r="H1412" i="2"/>
  <c r="H1405" i="2"/>
  <c r="H1396" i="2"/>
  <c r="H1389" i="2"/>
  <c r="H1382" i="2"/>
  <c r="H1373" i="2"/>
  <c r="H1365" i="2"/>
  <c r="H1357" i="2"/>
  <c r="H1350" i="2"/>
  <c r="H1331" i="2"/>
  <c r="H1336" i="2"/>
  <c r="H1326" i="2"/>
  <c r="H1893" i="2"/>
  <c r="H1903" i="2"/>
  <c r="H1902" i="2"/>
  <c r="H1881" i="2"/>
  <c r="H1846" i="2"/>
  <c r="H1836" i="2"/>
  <c r="H1861" i="2"/>
  <c r="H1813" i="2"/>
  <c r="H1825" i="2"/>
  <c r="H1827" i="2"/>
  <c r="H1799" i="2"/>
  <c r="H1809" i="2"/>
  <c r="H1784" i="2"/>
  <c r="H1776" i="2"/>
  <c r="H1768" i="2"/>
  <c r="H1779" i="2"/>
  <c r="H1754" i="2"/>
  <c r="H1748" i="2"/>
  <c r="H1741" i="2"/>
  <c r="H1725" i="2"/>
  <c r="H1718" i="2"/>
  <c r="H1720" i="2"/>
  <c r="H1709" i="2"/>
  <c r="H1698" i="2"/>
  <c r="H1692" i="2"/>
  <c r="H1672" i="2"/>
  <c r="H1681" i="2"/>
  <c r="H1667" i="2"/>
  <c r="H1661" i="2"/>
  <c r="H1653" i="2"/>
  <c r="H1633" i="2"/>
  <c r="H1635" i="2"/>
  <c r="H1631" i="2"/>
  <c r="H1619" i="2"/>
  <c r="H1613" i="2"/>
  <c r="H1605" i="2"/>
  <c r="H1596" i="2"/>
  <c r="H1588" i="2"/>
  <c r="H1585" i="2"/>
  <c r="H1572" i="2"/>
  <c r="H1564" i="2"/>
  <c r="H1556" i="2"/>
  <c r="H1553" i="2"/>
  <c r="H1543" i="2"/>
  <c r="H1524" i="2"/>
  <c r="H1534" i="2"/>
  <c r="H1517" i="2"/>
  <c r="H1505" i="2"/>
  <c r="H1490" i="2"/>
  <c r="H1494" i="2"/>
  <c r="H1485" i="2"/>
  <c r="H1479" i="2"/>
  <c r="H1463" i="2"/>
  <c r="H1454" i="2"/>
  <c r="H1460" i="2"/>
  <c r="H1443" i="2"/>
  <c r="H1437" i="2"/>
  <c r="H1428" i="2"/>
  <c r="H1421" i="2"/>
  <c r="H1413" i="2"/>
  <c r="H1404" i="2"/>
  <c r="H1397" i="2"/>
  <c r="H1388" i="2"/>
  <c r="H1381" i="2"/>
  <c r="H1372" i="2"/>
  <c r="H1364" i="2"/>
  <c r="H1356" i="2"/>
  <c r="H1349" i="2"/>
  <c r="H1341" i="2"/>
  <c r="H1334" i="2"/>
  <c r="H1316" i="2"/>
  <c r="H1319" i="2"/>
  <c r="H1309" i="2"/>
  <c r="H1301" i="2"/>
  <c r="H1292" i="2"/>
  <c r="H1284" i="2"/>
  <c r="H1276" i="2"/>
  <c r="H1265" i="2"/>
  <c r="H1255" i="2"/>
  <c r="H1249" i="2"/>
  <c r="H1245" i="2"/>
  <c r="H1240" i="2"/>
  <c r="H1228" i="2"/>
  <c r="H1219" i="2"/>
  <c r="H1212" i="2"/>
  <c r="H1928" i="2"/>
  <c r="H1913" i="2"/>
  <c r="H1909" i="2"/>
  <c r="H1872" i="2"/>
  <c r="H1834" i="2"/>
  <c r="H1863" i="2"/>
  <c r="H1849" i="2"/>
  <c r="H1830" i="2"/>
  <c r="H1822" i="2"/>
  <c r="H1800" i="2"/>
  <c r="H1796" i="2"/>
  <c r="H1805" i="2"/>
  <c r="H1789" i="2"/>
  <c r="H1772" i="2"/>
  <c r="H1770" i="2"/>
  <c r="H1766" i="2"/>
  <c r="H1756" i="2"/>
  <c r="H1745" i="2"/>
  <c r="H1739" i="2"/>
  <c r="H1730" i="2"/>
  <c r="H1724" i="2"/>
  <c r="H1716" i="2"/>
  <c r="H1704" i="2"/>
  <c r="H1703" i="2"/>
  <c r="H1691" i="2"/>
  <c r="H1679" i="2"/>
  <c r="H1685" i="2"/>
  <c r="H1668" i="2"/>
  <c r="H1660" i="2"/>
  <c r="H1651" i="2"/>
  <c r="H1648" i="2"/>
  <c r="H1644" i="2"/>
  <c r="H1626" i="2"/>
  <c r="H1628" i="2"/>
  <c r="H1611" i="2"/>
  <c r="H1604" i="2"/>
  <c r="H1595" i="2"/>
  <c r="H1587" i="2"/>
  <c r="H1576" i="2"/>
  <c r="H1571" i="2"/>
  <c r="H1562" i="2"/>
  <c r="H1555" i="2"/>
  <c r="H1552" i="2"/>
  <c r="H1536" i="2"/>
  <c r="H1520" i="2"/>
  <c r="H1529" i="2"/>
  <c r="H1518" i="2"/>
  <c r="H1507" i="2"/>
  <c r="H1493" i="2"/>
  <c r="H1489" i="2"/>
  <c r="H1486" i="2"/>
  <c r="H1478" i="2"/>
  <c r="H1469" i="2"/>
  <c r="H1451" i="2"/>
  <c r="H1453" i="2"/>
  <c r="H1455" i="2"/>
  <c r="H1435" i="2"/>
  <c r="H1429" i="2"/>
  <c r="H1420" i="2"/>
  <c r="H1411" i="2"/>
  <c r="H1403" i="2"/>
  <c r="H1395" i="2"/>
  <c r="H1387" i="2"/>
  <c r="H1380" i="2"/>
  <c r="H1368" i="2"/>
  <c r="H1363" i="2"/>
  <c r="H1355" i="2"/>
  <c r="H1348" i="2"/>
  <c r="H1340" i="2"/>
  <c r="H1332" i="2"/>
  <c r="H1324" i="2"/>
  <c r="H1313" i="2"/>
  <c r="H1307" i="2"/>
  <c r="H1300" i="2"/>
  <c r="H1291" i="2"/>
  <c r="H1281" i="2"/>
  <c r="H1275" i="2"/>
  <c r="H1264" i="2"/>
  <c r="H1254" i="2"/>
  <c r="H1256" i="2"/>
  <c r="H1897" i="2"/>
  <c r="H1910" i="2"/>
  <c r="H1890" i="2"/>
  <c r="H1885" i="2"/>
  <c r="H1832" i="2"/>
  <c r="H1840" i="2"/>
  <c r="H1843" i="2"/>
  <c r="H1826" i="2"/>
  <c r="H1819" i="2"/>
  <c r="H1797" i="2"/>
  <c r="H1810" i="2"/>
  <c r="H1798" i="2"/>
  <c r="H1783" i="2"/>
  <c r="H1778" i="2"/>
  <c r="H1777" i="2"/>
  <c r="H1761" i="2"/>
  <c r="H1755" i="2"/>
  <c r="H1747" i="2"/>
  <c r="H1728" i="2"/>
  <c r="H1726" i="2"/>
  <c r="H1714" i="2"/>
  <c r="H1721" i="2"/>
  <c r="H1696" i="2"/>
  <c r="H1697" i="2"/>
  <c r="H1690" i="2"/>
  <c r="H1688" i="2"/>
  <c r="H1675" i="2"/>
  <c r="H1664" i="2"/>
  <c r="H1654" i="2"/>
  <c r="H1647" i="2"/>
  <c r="H1643" i="2"/>
  <c r="H1645" i="2"/>
  <c r="H1629" i="2"/>
  <c r="H1624" i="2"/>
  <c r="H1610" i="2"/>
  <c r="H1603" i="2"/>
  <c r="H1594" i="2"/>
  <c r="H1583" i="2"/>
  <c r="H1579" i="2"/>
  <c r="H1570" i="2"/>
  <c r="H1563" i="2"/>
  <c r="H1551" i="2"/>
  <c r="H1546" i="2"/>
  <c r="H1539" i="2"/>
  <c r="H1535" i="2"/>
  <c r="H1528" i="2"/>
  <c r="H1513" i="2"/>
  <c r="H1510" i="2"/>
  <c r="H1503" i="2"/>
  <c r="H1502" i="2"/>
  <c r="H1482" i="2"/>
  <c r="H1476" i="2"/>
  <c r="H1465" i="2"/>
  <c r="H1461" i="2"/>
  <c r="H1441" i="2"/>
  <c r="H1444" i="2"/>
  <c r="H1436" i="2"/>
  <c r="H1427" i="2"/>
  <c r="H1419" i="2"/>
  <c r="H1408" i="2"/>
  <c r="H1402" i="2"/>
  <c r="H1394" i="2"/>
  <c r="H1386" i="2"/>
  <c r="H1379" i="2"/>
  <c r="H1371" i="2"/>
  <c r="H1362" i="2"/>
  <c r="H1354" i="2"/>
  <c r="H1347" i="2"/>
  <c r="H1339" i="2"/>
  <c r="H1325" i="2"/>
  <c r="H1323" i="2"/>
  <c r="H1315" i="2"/>
  <c r="H1306" i="2"/>
  <c r="H1296" i="2"/>
  <c r="H1290" i="2"/>
  <c r="H1283" i="2"/>
  <c r="H1274" i="2"/>
  <c r="H1062" i="2"/>
  <c r="H1070" i="2"/>
  <c r="H1078" i="2"/>
  <c r="H1089" i="2"/>
  <c r="H1093" i="2"/>
  <c r="H1105" i="2"/>
  <c r="H1110" i="2"/>
  <c r="H1117" i="2"/>
  <c r="H1126" i="2"/>
  <c r="H1135" i="2"/>
  <c r="H1142" i="2"/>
  <c r="H1150" i="2"/>
  <c r="H1158" i="2"/>
  <c r="H1167" i="2"/>
  <c r="H1174" i="2"/>
  <c r="H1182" i="2"/>
  <c r="H1192" i="2"/>
  <c r="H1198" i="2"/>
  <c r="H1207" i="2"/>
  <c r="H1217" i="2"/>
  <c r="H1227" i="2"/>
  <c r="H1237" i="2"/>
  <c r="H1252" i="2"/>
  <c r="H1259" i="2"/>
  <c r="H1280" i="2"/>
  <c r="H1299" i="2"/>
  <c r="H1345" i="2"/>
  <c r="H1410" i="2"/>
  <c r="H1470" i="2"/>
  <c r="H1526" i="2"/>
  <c r="H1601" i="2"/>
  <c r="H1663" i="2"/>
  <c r="H1727" i="2"/>
  <c r="H1801" i="2"/>
  <c r="H1875" i="2"/>
  <c r="H1032" i="2"/>
  <c r="H1040" i="2"/>
  <c r="H1048" i="2"/>
  <c r="H1055" i="2"/>
  <c r="H1063" i="2"/>
  <c r="H1071" i="2"/>
  <c r="H1084" i="2"/>
  <c r="H1088" i="2"/>
  <c r="H1096" i="2"/>
  <c r="H1102" i="2"/>
  <c r="H1111" i="2"/>
  <c r="H1119" i="2"/>
  <c r="H1128" i="2"/>
  <c r="H1134" i="2"/>
  <c r="H1143" i="2"/>
  <c r="H1151" i="2"/>
  <c r="H1159" i="2"/>
  <c r="H1168" i="2"/>
  <c r="H1175" i="2"/>
  <c r="H1183" i="2"/>
  <c r="H1190" i="2"/>
  <c r="H1199" i="2"/>
  <c r="H1209" i="2"/>
  <c r="H1220" i="2"/>
  <c r="H1230" i="2"/>
  <c r="H1236" i="2"/>
  <c r="H1250" i="2"/>
  <c r="H1266" i="2"/>
  <c r="H1282" i="2"/>
  <c r="H1305" i="2"/>
  <c r="H1353" i="2"/>
  <c r="H1417" i="2"/>
  <c r="H1481" i="2"/>
  <c r="H1541" i="2"/>
  <c r="H1609" i="2"/>
  <c r="H1684" i="2"/>
  <c r="H1731" i="2"/>
  <c r="H1806" i="2"/>
  <c r="H1889" i="2"/>
  <c r="H1039" i="2"/>
  <c r="H1044" i="2"/>
  <c r="H1057" i="2"/>
  <c r="H1064" i="2"/>
  <c r="H1073" i="2"/>
  <c r="H1079" i="2"/>
  <c r="H1085" i="2"/>
  <c r="H1097" i="2"/>
  <c r="H1101" i="2"/>
  <c r="H1112" i="2"/>
  <c r="H1120" i="2"/>
  <c r="H1130" i="2"/>
  <c r="H1136" i="2"/>
  <c r="H1145" i="2"/>
  <c r="H1153" i="2"/>
  <c r="H1160" i="2"/>
  <c r="H1164" i="2"/>
  <c r="H1176" i="2"/>
  <c r="H1184" i="2"/>
  <c r="H1191" i="2"/>
  <c r="H1201" i="2"/>
  <c r="H1208" i="2"/>
  <c r="H1221" i="2"/>
  <c r="H1232" i="2"/>
  <c r="H1235" i="2"/>
  <c r="H1257" i="2"/>
  <c r="H1267" i="2"/>
  <c r="H1285" i="2"/>
  <c r="H1308" i="2"/>
  <c r="H1361" i="2"/>
  <c r="H1425" i="2"/>
  <c r="H1497" i="2"/>
  <c r="H1550" i="2"/>
  <c r="H1618" i="2"/>
  <c r="H1686" i="2"/>
  <c r="H1744" i="2"/>
  <c r="H1792" i="2"/>
  <c r="H1918" i="2"/>
  <c r="H1086" i="2"/>
  <c r="H1095" i="2"/>
  <c r="H1100" i="2"/>
  <c r="H1113" i="2"/>
  <c r="H1121" i="2"/>
  <c r="H1129" i="2"/>
  <c r="H1139" i="2"/>
  <c r="H1144" i="2"/>
  <c r="H1155" i="2"/>
  <c r="H1162" i="2"/>
  <c r="H1170" i="2"/>
  <c r="H1177" i="2"/>
  <c r="H1185" i="2"/>
  <c r="H1193" i="2"/>
  <c r="H1200" i="2"/>
  <c r="H1210" i="2"/>
  <c r="H1222" i="2"/>
  <c r="H1233" i="2"/>
  <c r="H1243" i="2"/>
  <c r="H1258" i="2"/>
  <c r="H1268" i="2"/>
  <c r="H1288" i="2"/>
  <c r="H1314" i="2"/>
  <c r="H1370" i="2"/>
  <c r="H1434" i="2"/>
  <c r="H1499" i="2"/>
  <c r="H1561" i="2"/>
  <c r="H1617" i="2"/>
  <c r="H1687" i="2"/>
  <c r="H1751" i="2"/>
  <c r="H1815" i="2"/>
  <c r="H1927" i="2"/>
  <c r="H1034" i="2"/>
  <c r="H1042" i="2"/>
  <c r="H1051" i="2"/>
  <c r="H1056" i="2"/>
  <c r="H1068" i="2"/>
  <c r="H1074" i="2"/>
  <c r="H1082" i="2"/>
  <c r="H1091" i="2"/>
  <c r="H1098" i="2"/>
  <c r="H1106" i="2"/>
  <c r="H1114" i="2"/>
  <c r="H1122" i="2"/>
  <c r="H1131" i="2"/>
  <c r="H1140" i="2"/>
  <c r="H1146" i="2"/>
  <c r="H1154" i="2"/>
  <c r="H1163" i="2"/>
  <c r="H1169" i="2"/>
  <c r="H1179" i="2"/>
  <c r="H1186" i="2"/>
  <c r="H1194" i="2"/>
  <c r="H1202" i="2"/>
  <c r="H1211" i="2"/>
  <c r="H1224" i="2"/>
  <c r="H1231" i="2"/>
  <c r="H1242" i="2"/>
  <c r="H1261" i="2"/>
  <c r="H1269" i="2"/>
  <c r="H1289" i="2"/>
  <c r="H1317" i="2"/>
  <c r="H1378" i="2"/>
  <c r="H1459" i="2"/>
  <c r="H1508" i="2"/>
  <c r="H1569" i="2"/>
  <c r="H1641" i="2"/>
  <c r="H1700" i="2"/>
  <c r="H1758" i="2"/>
  <c r="H1823" i="2"/>
  <c r="H1066" i="2"/>
  <c r="H1075" i="2"/>
  <c r="H1083" i="2"/>
  <c r="H1092" i="2"/>
  <c r="H1099" i="2"/>
  <c r="H1107" i="2"/>
  <c r="H1115" i="2"/>
  <c r="H1123" i="2"/>
  <c r="H1127" i="2"/>
  <c r="H1141" i="2"/>
  <c r="H1147" i="2"/>
  <c r="H1156" i="2"/>
  <c r="H1161" i="2"/>
  <c r="H1171" i="2"/>
  <c r="H1178" i="2"/>
  <c r="H1187" i="2"/>
  <c r="H1195" i="2"/>
  <c r="H1203" i="2"/>
  <c r="H1213" i="2"/>
  <c r="H1225" i="2"/>
  <c r="H1234" i="2"/>
  <c r="H1246" i="2"/>
  <c r="H1247" i="2"/>
  <c r="H1272" i="2"/>
  <c r="H1293" i="2"/>
  <c r="H1322" i="2"/>
  <c r="H1385" i="2"/>
  <c r="H1456" i="2"/>
  <c r="H1506" i="2"/>
  <c r="H1575" i="2"/>
  <c r="H1642" i="2"/>
  <c r="H1708" i="2"/>
  <c r="H1774" i="2"/>
  <c r="H1835" i="2"/>
  <c r="H1061" i="2"/>
  <c r="H1067" i="2"/>
  <c r="H1076" i="2"/>
  <c r="H1087" i="2"/>
  <c r="H1090" i="2"/>
  <c r="H1104" i="2"/>
  <c r="H1108" i="2"/>
  <c r="H1116" i="2"/>
  <c r="H1125" i="2"/>
  <c r="H1133" i="2"/>
  <c r="H1138" i="2"/>
  <c r="H1148" i="2"/>
  <c r="H1152" i="2"/>
  <c r="H1165" i="2"/>
  <c r="H1172" i="2"/>
  <c r="H1180" i="2"/>
  <c r="H1188" i="2"/>
  <c r="H1196" i="2"/>
  <c r="H1204" i="2"/>
  <c r="H1216" i="2"/>
  <c r="H1226" i="2"/>
  <c r="H1241" i="2"/>
  <c r="H1248" i="2"/>
  <c r="H1262" i="2"/>
  <c r="H1273" i="2"/>
  <c r="H1295" i="2"/>
  <c r="H1330" i="2"/>
  <c r="H1393" i="2"/>
  <c r="H1445" i="2"/>
  <c r="H1522" i="2"/>
  <c r="H1582" i="2"/>
  <c r="H1650" i="2"/>
  <c r="H1719" i="2"/>
  <c r="H1765" i="2"/>
  <c r="H1848" i="2"/>
  <c r="H1921" i="2"/>
  <c r="H2040" i="2"/>
  <c r="H2142" i="2"/>
  <c r="H2148" i="2"/>
  <c r="H2152" i="2"/>
  <c r="H2143" i="2"/>
  <c r="H2149" i="2"/>
  <c r="H2147" i="2"/>
  <c r="H2151" i="2"/>
  <c r="H2146" i="2"/>
  <c r="H2144" i="2"/>
  <c r="H2150" i="2"/>
  <c r="H2145" i="2"/>
  <c r="H2140" i="2"/>
  <c r="H2139" i="2"/>
  <c r="H2131" i="2"/>
  <c r="H2141" i="2"/>
  <c r="H2138" i="2"/>
  <c r="H2133" i="2"/>
  <c r="H2135" i="2"/>
  <c r="H2129" i="2"/>
  <c r="H2137" i="2"/>
  <c r="H2128" i="2"/>
  <c r="H2130" i="2"/>
  <c r="H2127" i="2"/>
  <c r="H2126" i="2"/>
  <c r="H2134" i="2"/>
  <c r="H2136" i="2"/>
  <c r="H2132" i="2"/>
  <c r="H2122" i="2"/>
  <c r="H2125" i="2"/>
  <c r="H2124" i="2"/>
  <c r="H2118" i="2"/>
  <c r="H2121" i="2"/>
  <c r="H2123" i="2"/>
  <c r="H2116" i="2"/>
  <c r="H2117" i="2"/>
  <c r="H2120" i="2"/>
  <c r="H2119" i="2"/>
  <c r="H2115" i="2"/>
  <c r="H2114" i="2"/>
  <c r="H2113" i="2"/>
  <c r="H2111" i="2"/>
  <c r="H2112" i="2"/>
  <c r="H2106" i="2"/>
  <c r="H2110" i="2"/>
  <c r="H2109" i="2"/>
  <c r="H2107" i="2"/>
  <c r="H2108" i="2"/>
  <c r="H2105" i="2"/>
  <c r="H2101" i="2"/>
  <c r="H2104" i="2"/>
  <c r="H2100" i="2"/>
  <c r="H2103" i="2"/>
  <c r="H2099" i="2"/>
  <c r="H2102" i="2"/>
  <c r="H2098" i="2"/>
  <c r="H2097" i="2"/>
  <c r="H2096" i="2"/>
  <c r="H2095" i="2"/>
  <c r="H2094" i="2"/>
  <c r="H2092" i="2"/>
  <c r="H1965" i="2"/>
  <c r="H1852" i="2"/>
  <c r="H1850" i="2"/>
  <c r="H1871" i="2"/>
  <c r="H1879" i="2"/>
  <c r="H1874" i="2"/>
  <c r="H1914" i="2"/>
  <c r="H1906" i="2"/>
  <c r="H1915" i="2"/>
  <c r="H1919" i="2"/>
  <c r="H1932" i="2"/>
  <c r="H1925" i="2"/>
  <c r="H1936" i="2"/>
  <c r="H1948" i="2"/>
  <c r="H1969" i="2"/>
  <c r="H1997" i="2"/>
  <c r="H2001" i="2"/>
  <c r="H2019" i="2"/>
  <c r="H2026" i="2"/>
  <c r="H2039" i="2"/>
  <c r="H2048" i="2"/>
  <c r="H1938" i="2"/>
  <c r="H1942" i="2"/>
  <c r="H1951" i="2"/>
  <c r="H1955" i="2"/>
  <c r="H1959" i="2"/>
  <c r="H1962" i="2"/>
  <c r="H1972" i="2"/>
  <c r="H1976" i="2"/>
  <c r="H1980" i="2"/>
  <c r="H1984" i="2"/>
  <c r="H1988" i="2"/>
  <c r="H1992" i="2"/>
  <c r="H1995" i="2"/>
  <c r="H2005" i="2"/>
  <c r="H2008" i="2"/>
  <c r="H2012" i="2"/>
  <c r="H2016" i="2"/>
  <c r="H2020" i="2"/>
  <c r="H2023" i="2"/>
  <c r="H2029" i="2"/>
  <c r="H1831" i="2"/>
  <c r="H1844" i="2"/>
  <c r="H1837" i="2"/>
  <c r="H1860" i="2"/>
  <c r="H1869" i="2"/>
  <c r="H1882" i="2"/>
  <c r="H1873" i="2"/>
  <c r="H1888" i="2"/>
  <c r="H1930" i="2"/>
  <c r="H1926" i="2"/>
  <c r="H1931" i="2"/>
  <c r="H1907" i="2"/>
  <c r="H1904" i="2"/>
  <c r="H2093" i="2"/>
  <c r="H2091" i="2"/>
  <c r="H2090" i="2"/>
  <c r="H2088" i="2"/>
  <c r="H2087" i="2"/>
  <c r="H2089" i="2"/>
  <c r="H2086" i="2"/>
  <c r="H2085" i="2"/>
  <c r="H2084" i="2"/>
  <c r="H2081" i="2"/>
  <c r="H2082" i="2"/>
  <c r="H2083" i="2"/>
  <c r="H2078" i="2"/>
  <c r="H2080" i="2"/>
  <c r="H2079" i="2"/>
  <c r="H2077" i="2"/>
  <c r="H2073" i="2"/>
  <c r="H2069" i="2"/>
  <c r="H2076" i="2"/>
  <c r="H2072" i="2"/>
  <c r="H2068" i="2"/>
  <c r="H2071" i="2"/>
  <c r="H2075" i="2"/>
  <c r="H2070" i="2"/>
  <c r="H2074" i="2"/>
  <c r="H2064" i="2"/>
  <c r="H2067" i="2"/>
  <c r="H2066" i="2"/>
  <c r="H2062" i="2"/>
  <c r="H2061" i="2"/>
  <c r="H2065" i="2"/>
  <c r="H2063" i="2"/>
  <c r="H2059" i="2"/>
  <c r="H2060" i="2"/>
  <c r="H2058" i="2"/>
  <c r="H2056" i="2"/>
  <c r="H2057" i="2"/>
  <c r="H2055" i="2"/>
  <c r="H2054" i="2"/>
  <c r="H2053" i="2"/>
  <c r="H1949" i="2"/>
  <c r="H1966" i="2"/>
  <c r="H1998" i="2"/>
  <c r="H2002" i="2"/>
  <c r="H2027" i="2"/>
  <c r="H2036" i="2"/>
  <c r="H2046" i="2"/>
  <c r="H1912" i="2"/>
  <c r="H1939" i="2"/>
  <c r="H1943" i="2"/>
  <c r="H1946" i="2"/>
  <c r="H1952" i="2"/>
  <c r="H1956" i="2"/>
  <c r="H1960" i="2"/>
  <c r="H1963" i="2"/>
  <c r="H1973" i="2"/>
  <c r="H1977" i="2"/>
  <c r="H1981" i="2"/>
  <c r="H1985" i="2"/>
  <c r="H1989" i="2"/>
  <c r="H1993" i="2"/>
  <c r="H2009" i="2"/>
  <c r="H2013" i="2"/>
  <c r="H2017" i="2"/>
  <c r="H2021" i="2"/>
  <c r="H2024" i="2"/>
  <c r="H2030" i="2"/>
  <c r="H2033" i="2"/>
  <c r="H2037" i="2"/>
  <c r="H2049" i="2"/>
  <c r="H1845" i="2"/>
  <c r="H1842" i="2"/>
  <c r="H1867" i="2"/>
  <c r="H1878" i="2"/>
  <c r="H1880" i="2"/>
  <c r="H1891" i="2"/>
  <c r="H1898" i="2"/>
  <c r="H1894" i="2"/>
  <c r="H1905" i="2"/>
  <c r="H1916" i="2"/>
  <c r="H1901" i="2"/>
  <c r="H1950" i="2"/>
  <c r="H1967" i="2"/>
  <c r="H1999" i="2"/>
  <c r="H2003" i="2"/>
  <c r="H2006" i="2"/>
  <c r="H2041" i="2"/>
  <c r="H2043" i="2"/>
  <c r="H2051" i="2"/>
  <c r="H1920" i="2"/>
  <c r="H1908" i="2"/>
  <c r="H1940" i="2"/>
  <c r="H1944" i="2"/>
  <c r="H1947" i="2"/>
  <c r="H1953" i="2"/>
  <c r="H1957" i="2"/>
  <c r="H1964" i="2"/>
  <c r="H1970" i="2"/>
  <c r="H1974" i="2"/>
  <c r="H1978" i="2"/>
  <c r="H1986" i="2"/>
  <c r="H1990" i="2"/>
  <c r="H1994" i="2"/>
  <c r="H2010" i="2"/>
  <c r="H2014" i="2"/>
  <c r="H2018" i="2"/>
  <c r="H2022" i="2"/>
  <c r="H2025" i="2"/>
  <c r="H2031" i="2"/>
  <c r="H2034" i="2"/>
  <c r="H2044" i="2"/>
  <c r="H2050" i="2"/>
  <c r="H1859" i="2"/>
  <c r="H1853" i="2"/>
  <c r="H1838" i="2"/>
  <c r="H1865" i="2"/>
  <c r="H1876" i="2"/>
  <c r="H1887" i="2"/>
  <c r="H1895" i="2"/>
  <c r="H1937" i="2"/>
  <c r="H1896" i="2"/>
  <c r="H1900" i="2"/>
  <c r="H1924" i="2"/>
  <c r="H1935" i="2"/>
  <c r="H1968" i="2"/>
  <c r="H1982" i="2"/>
  <c r="H1996" i="2"/>
  <c r="H2000" i="2"/>
  <c r="H2007" i="2"/>
  <c r="H2038" i="2"/>
  <c r="H2047" i="2"/>
  <c r="H2052" i="2"/>
  <c r="H1941" i="2"/>
  <c r="H1945" i="2"/>
  <c r="H1954" i="2"/>
  <c r="H1958" i="2"/>
  <c r="H1961" i="2"/>
  <c r="H1971" i="2"/>
  <c r="H1975" i="2"/>
  <c r="H1979" i="2"/>
  <c r="H1983" i="2"/>
  <c r="H1987" i="2"/>
  <c r="H1991" i="2"/>
  <c r="H2004" i="2"/>
  <c r="H2011" i="2"/>
  <c r="H2015" i="2"/>
  <c r="H2028" i="2"/>
  <c r="H2032" i="2"/>
  <c r="H2035" i="2"/>
  <c r="H2042" i="2"/>
  <c r="H2045" i="2"/>
</calcChain>
</file>

<file path=xl/sharedStrings.xml><?xml version="1.0" encoding="utf-8"?>
<sst xmlns="http://schemas.openxmlformats.org/spreadsheetml/2006/main" count="7036" uniqueCount="1537">
  <si>
    <t>Plazo</t>
  </si>
  <si>
    <t>Vencimiento</t>
  </si>
  <si>
    <t>Licitado OP</t>
  </si>
  <si>
    <t>Ofertas OP</t>
  </si>
  <si>
    <t>Adjudicado OP</t>
  </si>
  <si>
    <t>Licitado NC</t>
  </si>
  <si>
    <t>Ofertas NC</t>
  </si>
  <si>
    <t>Adjudicado NC</t>
  </si>
  <si>
    <t>Prorrateo OP</t>
  </si>
  <si>
    <t>Prorrateo NC</t>
  </si>
  <si>
    <t>Tasa Mín.</t>
  </si>
  <si>
    <t>Tasa Máx.</t>
  </si>
  <si>
    <t>Tasa Prom.</t>
  </si>
  <si>
    <t>Hora</t>
  </si>
  <si>
    <t>Serie/Venta</t>
  </si>
  <si>
    <t>B/C OP</t>
  </si>
  <si>
    <t>B/C NC</t>
  </si>
  <si>
    <t>Tasa de corte</t>
  </si>
  <si>
    <t>Fecha</t>
  </si>
  <si>
    <t>Licitado</t>
  </si>
  <si>
    <t>B/C</t>
  </si>
  <si>
    <t>PG Call</t>
  </si>
  <si>
    <t>13250-3</t>
  </si>
  <si>
    <t>13254-4</t>
  </si>
  <si>
    <t>13257-2</t>
  </si>
  <si>
    <t>13259-1</t>
  </si>
  <si>
    <t>13260-1</t>
  </si>
  <si>
    <t>13250-4</t>
  </si>
  <si>
    <t>13259-2</t>
  </si>
  <si>
    <t>13254-5</t>
  </si>
  <si>
    <t>13257-3</t>
  </si>
  <si>
    <t>13245-4</t>
  </si>
  <si>
    <t>13250-5</t>
  </si>
  <si>
    <t>13241-5</t>
  </si>
  <si>
    <t>13254-6</t>
  </si>
  <si>
    <t>13144-7</t>
  </si>
  <si>
    <t>13227-6</t>
  </si>
  <si>
    <t>13250-6</t>
  </si>
  <si>
    <t>13241-6</t>
  </si>
  <si>
    <t>13261-1</t>
  </si>
  <si>
    <t>13144-8</t>
  </si>
  <si>
    <t>13262-1</t>
  </si>
  <si>
    <t>13246-4</t>
  </si>
  <si>
    <t>13261-2</t>
  </si>
  <si>
    <t>13263-1</t>
  </si>
  <si>
    <t>13253-3</t>
  </si>
  <si>
    <t>13264-1</t>
  </si>
  <si>
    <t>13246-5</t>
  </si>
  <si>
    <t>13261-3</t>
  </si>
  <si>
    <t>13263-2</t>
  </si>
  <si>
    <t>13265-1</t>
  </si>
  <si>
    <t>13264-2</t>
  </si>
  <si>
    <t>13246-6</t>
  </si>
  <si>
    <t>13266-1</t>
  </si>
  <si>
    <t>13263-3</t>
  </si>
  <si>
    <t>13264-3</t>
  </si>
  <si>
    <t>13266-2</t>
  </si>
  <si>
    <t>13267-1</t>
  </si>
  <si>
    <t>13264-4</t>
  </si>
  <si>
    <t>13268-1</t>
  </si>
  <si>
    <t>13266-3</t>
  </si>
  <si>
    <t>13269-1</t>
  </si>
  <si>
    <t>13270-1</t>
  </si>
  <si>
    <t>13264-5</t>
  </si>
  <si>
    <t>13268-2</t>
  </si>
  <si>
    <t>13266-4</t>
  </si>
  <si>
    <t>13269-2</t>
  </si>
  <si>
    <t>13271-1</t>
  </si>
  <si>
    <t>13264-6</t>
  </si>
  <si>
    <t>13272-1</t>
  </si>
  <si>
    <t>13273-1</t>
  </si>
  <si>
    <t>13269-3</t>
  </si>
  <si>
    <t>13241-7</t>
  </si>
  <si>
    <t>13274-1</t>
  </si>
  <si>
    <t>13272-2</t>
  </si>
  <si>
    <t>13273-2</t>
  </si>
  <si>
    <t>13269-4</t>
  </si>
  <si>
    <t>13275-1</t>
  </si>
  <si>
    <t>13276-1</t>
  </si>
  <si>
    <t>13273-3</t>
  </si>
  <si>
    <t>13277-1</t>
  </si>
  <si>
    <t>13203-5</t>
  </si>
  <si>
    <t>13276-2</t>
  </si>
  <si>
    <t>13273-4</t>
  </si>
  <si>
    <t>13277-2</t>
  </si>
  <si>
    <t>13278-1</t>
  </si>
  <si>
    <t>13276-3</t>
  </si>
  <si>
    <t>13273-5</t>
  </si>
  <si>
    <t>13277-3</t>
  </si>
  <si>
    <t>13279-1</t>
  </si>
  <si>
    <t>13276-4</t>
  </si>
  <si>
    <t>13280-1</t>
  </si>
  <si>
    <t>13281-1</t>
  </si>
  <si>
    <t>13268-3</t>
  </si>
  <si>
    <t>13282-1</t>
  </si>
  <si>
    <t>13280-2</t>
  </si>
  <si>
    <t>13281-2</t>
  </si>
  <si>
    <t>13283-1</t>
  </si>
  <si>
    <t>13282-2</t>
  </si>
  <si>
    <t>13280-3</t>
  </si>
  <si>
    <t>13281-3</t>
  </si>
  <si>
    <t>13284-1</t>
  </si>
  <si>
    <t>13282-3</t>
  </si>
  <si>
    <t>13280-4</t>
  </si>
  <si>
    <t>13281-4</t>
  </si>
  <si>
    <t>13272-3</t>
  </si>
  <si>
    <t>13282-4</t>
  </si>
  <si>
    <t>13285-1</t>
  </si>
  <si>
    <t>13286-1</t>
  </si>
  <si>
    <t>13287-1</t>
  </si>
  <si>
    <t>13229-5</t>
  </si>
  <si>
    <t>13285-2</t>
  </si>
  <si>
    <t>13286-2</t>
  </si>
  <si>
    <t>13288-1</t>
  </si>
  <si>
    <t>13158-7</t>
  </si>
  <si>
    <t>13285-3</t>
  </si>
  <si>
    <t>13286-3</t>
  </si>
  <si>
    <t>13276-5</t>
  </si>
  <si>
    <t>13158-8</t>
  </si>
  <si>
    <t>13289-1</t>
  </si>
  <si>
    <t>13286-4</t>
  </si>
  <si>
    <t>13290-1</t>
  </si>
  <si>
    <t>13291-1</t>
  </si>
  <si>
    <t>13289-2</t>
  </si>
  <si>
    <t>13286-5</t>
  </si>
  <si>
    <t>13292-1</t>
  </si>
  <si>
    <t>13291-2</t>
  </si>
  <si>
    <t>13289-3</t>
  </si>
  <si>
    <t>13254-7</t>
  </si>
  <si>
    <t>13293-1</t>
  </si>
  <si>
    <t>13291-3</t>
  </si>
  <si>
    <t>13289-4</t>
  </si>
  <si>
    <t>13294-1</t>
  </si>
  <si>
    <t>13295-1</t>
  </si>
  <si>
    <t>13291-4</t>
  </si>
  <si>
    <t>13219-7</t>
  </si>
  <si>
    <t>13294-2</t>
  </si>
  <si>
    <t>13263-4</t>
  </si>
  <si>
    <t>13170-7</t>
  </si>
  <si>
    <t>13219-8</t>
  </si>
  <si>
    <t>13294-3</t>
  </si>
  <si>
    <t>13296-1</t>
  </si>
  <si>
    <t>13170-8</t>
  </si>
  <si>
    <t>13298-1</t>
  </si>
  <si>
    <t>13297-1</t>
  </si>
  <si>
    <t>13299-1</t>
  </si>
  <si>
    <t>13242-8</t>
  </si>
  <si>
    <t>13298-2</t>
  </si>
  <si>
    <t>13297-2</t>
  </si>
  <si>
    <t>13299-2</t>
  </si>
  <si>
    <t>13242-9</t>
  </si>
  <si>
    <t>13298-3</t>
  </si>
  <si>
    <t>13297-3</t>
  </si>
  <si>
    <t>13300-1</t>
  </si>
  <si>
    <t>13242-10</t>
  </si>
  <si>
    <t>13301-1</t>
  </si>
  <si>
    <t>13302-1</t>
  </si>
  <si>
    <t>13303-1</t>
  </si>
  <si>
    <t>13304-1</t>
  </si>
  <si>
    <t>13301-2</t>
  </si>
  <si>
    <t>13302-2</t>
  </si>
  <si>
    <t>13305-1</t>
  </si>
  <si>
    <t>13304-2</t>
  </si>
  <si>
    <t>13301-3</t>
  </si>
  <si>
    <t>13302-3</t>
  </si>
  <si>
    <t>13306-1</t>
  </si>
  <si>
    <t>13304-3</t>
  </si>
  <si>
    <t>13301-4</t>
  </si>
  <si>
    <t>13302-4</t>
  </si>
  <si>
    <t>13307-1</t>
  </si>
  <si>
    <t>13304-4</t>
  </si>
  <si>
    <t>13308-1</t>
  </si>
  <si>
    <t>13309-1</t>
  </si>
  <si>
    <t>13277-4</t>
  </si>
  <si>
    <t>13311-1</t>
  </si>
  <si>
    <t>13308-2</t>
  </si>
  <si>
    <t>13309-2</t>
  </si>
  <si>
    <t>13310-1</t>
  </si>
  <si>
    <t>13311-2</t>
  </si>
  <si>
    <t>13312-1</t>
  </si>
  <si>
    <t>13309-3</t>
  </si>
  <si>
    <t>13313-1</t>
  </si>
  <si>
    <t>13314-1</t>
  </si>
  <si>
    <t>13312-2</t>
  </si>
  <si>
    <t>13315-1</t>
  </si>
  <si>
    <t>13316-1</t>
  </si>
  <si>
    <t>13314-2</t>
  </si>
  <si>
    <t>13312-3</t>
  </si>
  <si>
    <t>13315-2</t>
  </si>
  <si>
    <t>13317-1</t>
  </si>
  <si>
    <t>13318-1</t>
  </si>
  <si>
    <t>13312-4</t>
  </si>
  <si>
    <t>13315-3</t>
  </si>
  <si>
    <t>13319-1</t>
  </si>
  <si>
    <t>13318-2</t>
  </si>
  <si>
    <t>13320-1</t>
  </si>
  <si>
    <t>13315-4</t>
  </si>
  <si>
    <t>13321-1</t>
  </si>
  <si>
    <t>13322-1</t>
  </si>
  <si>
    <t>13320-2</t>
  </si>
  <si>
    <t>13323-1</t>
  </si>
  <si>
    <t>13324-1</t>
  </si>
  <si>
    <t>13322-2</t>
  </si>
  <si>
    <t>13320-3</t>
  </si>
  <si>
    <t>13323-2</t>
  </si>
  <si>
    <t>13324-2</t>
  </si>
  <si>
    <t>13322-3</t>
  </si>
  <si>
    <t>13323-3</t>
  </si>
  <si>
    <t>13325-1</t>
  </si>
  <si>
    <t>13322-4</t>
  </si>
  <si>
    <t>13320-4</t>
  </si>
  <si>
    <t>13326-1</t>
  </si>
  <si>
    <t>13327-1</t>
  </si>
  <si>
    <t>13328-1</t>
  </si>
  <si>
    <t>13329-1</t>
  </si>
  <si>
    <t>13327-2</t>
  </si>
  <si>
    <t>13330-1</t>
  </si>
  <si>
    <t>13314-3</t>
  </si>
  <si>
    <t>13327-3</t>
  </si>
  <si>
    <t>13328-2</t>
  </si>
  <si>
    <t>13318-3</t>
  </si>
  <si>
    <t>13327-4</t>
  </si>
  <si>
    <t>13330-2</t>
  </si>
  <si>
    <t>13331-1</t>
  </si>
  <si>
    <t>13332-1</t>
  </si>
  <si>
    <t>13328-3</t>
  </si>
  <si>
    <t>13333-1</t>
  </si>
  <si>
    <t>13334-1</t>
  </si>
  <si>
    <t>13332-2</t>
  </si>
  <si>
    <t>13322-5</t>
  </si>
  <si>
    <t>13332-3</t>
  </si>
  <si>
    <t>13335-1</t>
  </si>
  <si>
    <t>13336-1</t>
  </si>
  <si>
    <t>13332-4</t>
  </si>
  <si>
    <t>13334-2</t>
  </si>
  <si>
    <t>13337-1</t>
  </si>
  <si>
    <t>13338-1</t>
  </si>
  <si>
    <t>13335-2</t>
  </si>
  <si>
    <t>13339-1</t>
  </si>
  <si>
    <t>13338-2</t>
  </si>
  <si>
    <t>13340-1</t>
  </si>
  <si>
    <t>13327-5</t>
  </si>
  <si>
    <t>13338-3</t>
  </si>
  <si>
    <t>13335-3</t>
  </si>
  <si>
    <t>13341-1</t>
  </si>
  <si>
    <t>13342-1</t>
  </si>
  <si>
    <t>13343-1</t>
  </si>
  <si>
    <t>13344-1</t>
  </si>
  <si>
    <t>13342-2</t>
  </si>
  <si>
    <t>13345-1</t>
  </si>
  <si>
    <t>13346-1</t>
  </si>
  <si>
    <t>13347-1</t>
  </si>
  <si>
    <t>13348-1</t>
  </si>
  <si>
    <t>13346-2</t>
  </si>
  <si>
    <t>13347-2</t>
  </si>
  <si>
    <t>13345-2</t>
  </si>
  <si>
    <t>13346-3</t>
  </si>
  <si>
    <t>13347-3</t>
  </si>
  <si>
    <t>13348-2</t>
  </si>
  <si>
    <t>13349-1</t>
  </si>
  <si>
    <t>13350-1</t>
  </si>
  <si>
    <t>13351-1</t>
  </si>
  <si>
    <t>13352-1</t>
  </si>
  <si>
    <t>13350-2</t>
  </si>
  <si>
    <t>13353-1</t>
  </si>
  <si>
    <t>13352-2</t>
  </si>
  <si>
    <t>13350-3</t>
  </si>
  <si>
    <t>13351-2</t>
  </si>
  <si>
    <t>13354-1</t>
  </si>
  <si>
    <t>13355-1</t>
  </si>
  <si>
    <t>13356-1</t>
  </si>
  <si>
    <t>13354-2</t>
  </si>
  <si>
    <t>13355-2</t>
  </si>
  <si>
    <t>13357-1</t>
  </si>
  <si>
    <t>13342-3</t>
  </si>
  <si>
    <t>13355-3</t>
  </si>
  <si>
    <t>13358-1</t>
  </si>
  <si>
    <t>13359-1</t>
  </si>
  <si>
    <t>13360-1</t>
  </si>
  <si>
    <t>13361-1</t>
  </si>
  <si>
    <t>13359-2</t>
  </si>
  <si>
    <t>13360-2</t>
  </si>
  <si>
    <t>13358-2</t>
  </si>
  <si>
    <t>13362-1</t>
  </si>
  <si>
    <t>13360-3</t>
  </si>
  <si>
    <t>13361-2</t>
  </si>
  <si>
    <t>13350-4</t>
  </si>
  <si>
    <t>13360-4</t>
  </si>
  <si>
    <t>13358-3</t>
  </si>
  <si>
    <t>13350-5</t>
  </si>
  <si>
    <t>13363-1</t>
  </si>
  <si>
    <t>13364-1</t>
  </si>
  <si>
    <t>13365-1</t>
  </si>
  <si>
    <t>Plazo ref.</t>
  </si>
  <si>
    <t>Emisiones de Letras de Regulación Monetaria en Moneda Nacional del Banco Central del Uruguay (exp. en millones de pesos uruguayos)</t>
  </si>
  <si>
    <t>Integ. USD OP</t>
  </si>
  <si>
    <t>Integ. USD NC</t>
  </si>
  <si>
    <t>Tramo competitivo</t>
  </si>
  <si>
    <t>Tramo no competitivo</t>
  </si>
  <si>
    <t>Operaciones del Banco Central del Uruguay en el Mercado de Dinero (exp. en millones de pesos uruguayos)</t>
  </si>
  <si>
    <t>Tipo de operación</t>
  </si>
  <si>
    <t>Tasa mínima</t>
  </si>
  <si>
    <t>Tasa máxima</t>
  </si>
  <si>
    <t>Call</t>
  </si>
  <si>
    <t>Monto: Esterilización (+) / Inyección (-)</t>
  </si>
  <si>
    <t>Liquidación</t>
  </si>
  <si>
    <t>Moneda</t>
  </si>
  <si>
    <t>Unidades Indexadas</t>
  </si>
  <si>
    <t>Ofertas</t>
  </si>
  <si>
    <t>Adjudicado</t>
  </si>
  <si>
    <t>Prorrateo</t>
  </si>
  <si>
    <t>Integ. USD</t>
  </si>
  <si>
    <t>Plazo original (años)</t>
  </si>
  <si>
    <t>Plazo residual (años)</t>
  </si>
  <si>
    <t>Serie</t>
  </si>
  <si>
    <t>Venta</t>
  </si>
  <si>
    <t>Cupón corrido</t>
  </si>
  <si>
    <t>Precio c/cupón</t>
  </si>
  <si>
    <t>Precio limpio</t>
  </si>
  <si>
    <t>Emisiones de Notas del Tesoro del Ministerio de Economía y Finanzas (exp. en millones s/moneda de origen)</t>
  </si>
  <si>
    <t>13363-2</t>
  </si>
  <si>
    <t>13366-1</t>
  </si>
  <si>
    <t>Unidades Previsionales</t>
  </si>
  <si>
    <t>13365-2</t>
  </si>
  <si>
    <t>13363-3</t>
  </si>
  <si>
    <t>13367-1</t>
  </si>
  <si>
    <t>13368-1</t>
  </si>
  <si>
    <t>-</t>
  </si>
  <si>
    <t>13369-1</t>
  </si>
  <si>
    <t>Cupón</t>
  </si>
  <si>
    <t>Fecha Apertura</t>
  </si>
  <si>
    <t>Integr. Títulos</t>
  </si>
  <si>
    <t>Recompra</t>
  </si>
  <si>
    <t xml:space="preserve">Amortización </t>
  </si>
  <si>
    <t>No habilitada</t>
  </si>
  <si>
    <t>Tipo</t>
  </si>
  <si>
    <t>Monto</t>
  </si>
  <si>
    <t>Recompras y amortizaciones de Notas del Tesoro en Pesos, UI y UP, del Tesoro del Ministerio de Economía y Finanzas (exp. en millones s/moneda de origen)</t>
  </si>
  <si>
    <t>Amortización</t>
  </si>
  <si>
    <t>TIR</t>
  </si>
  <si>
    <t>* Se incluyen todas las licitaciones de series con vencimientos a partir del 1/1/2021</t>
  </si>
  <si>
    <t>* Se incluyen todas las bajas de series con vencimientos a partir del 1/1/2021</t>
  </si>
  <si>
    <t>13187-1</t>
  </si>
  <si>
    <t>13187-2</t>
  </si>
  <si>
    <t>13187-3</t>
  </si>
  <si>
    <t>13187-4</t>
  </si>
  <si>
    <t>13187-5</t>
  </si>
  <si>
    <t>13187-6</t>
  </si>
  <si>
    <t>13193-1</t>
  </si>
  <si>
    <t>13193-2</t>
  </si>
  <si>
    <t>13193-3</t>
  </si>
  <si>
    <t>13193-4</t>
  </si>
  <si>
    <t>13193-5</t>
  </si>
  <si>
    <t>13193-6</t>
  </si>
  <si>
    <t>13200-1</t>
  </si>
  <si>
    <t>13200-2</t>
  </si>
  <si>
    <t>13200-3</t>
  </si>
  <si>
    <t>13200-4</t>
  </si>
  <si>
    <t>13200-5</t>
  </si>
  <si>
    <t>13200-6</t>
  </si>
  <si>
    <t>13207-1</t>
  </si>
  <si>
    <t>13207-2</t>
  </si>
  <si>
    <t>13207-3</t>
  </si>
  <si>
    <t>13207-4</t>
  </si>
  <si>
    <t>13207-5</t>
  </si>
  <si>
    <t>13207-6</t>
  </si>
  <si>
    <t>13219-1</t>
  </si>
  <si>
    <t>13219-2</t>
  </si>
  <si>
    <t>13219-3</t>
  </si>
  <si>
    <t>13219-4</t>
  </si>
  <si>
    <t>13219-5</t>
  </si>
  <si>
    <t>13219-6</t>
  </si>
  <si>
    <t>13228-1</t>
  </si>
  <si>
    <t>13228-2</t>
  </si>
  <si>
    <t>13228-3</t>
  </si>
  <si>
    <t>13228-4</t>
  </si>
  <si>
    <t>13228-5</t>
  </si>
  <si>
    <t>13228-6</t>
  </si>
  <si>
    <t>13228-7</t>
  </si>
  <si>
    <t>13240-1</t>
  </si>
  <si>
    <t>13240-2</t>
  </si>
  <si>
    <t>13240-3</t>
  </si>
  <si>
    <t>13240-4</t>
  </si>
  <si>
    <t>13240-5</t>
  </si>
  <si>
    <t>13240-6</t>
  </si>
  <si>
    <t>13250-1</t>
  </si>
  <si>
    <t>13250-2</t>
  </si>
  <si>
    <t>13184-1</t>
  </si>
  <si>
    <t>13185-1</t>
  </si>
  <si>
    <t>13182-2</t>
  </si>
  <si>
    <t>13177-6</t>
  </si>
  <si>
    <t>13183-2</t>
  </si>
  <si>
    <t>13186-1</t>
  </si>
  <si>
    <t>13185-2</t>
  </si>
  <si>
    <t>13182-3</t>
  </si>
  <si>
    <t>13183-3</t>
  </si>
  <si>
    <t>13186-2</t>
  </si>
  <si>
    <t>13185-3</t>
  </si>
  <si>
    <t>13182-4</t>
  </si>
  <si>
    <t>13147-5</t>
  </si>
  <si>
    <t>13154-4</t>
  </si>
  <si>
    <t>13172-4</t>
  </si>
  <si>
    <t>13188-1</t>
  </si>
  <si>
    <t>13147-6</t>
  </si>
  <si>
    <t>13189-1</t>
  </si>
  <si>
    <t>13172-5</t>
  </si>
  <si>
    <t>13188-2</t>
  </si>
  <si>
    <t>13147-7</t>
  </si>
  <si>
    <t>13178-4</t>
  </si>
  <si>
    <t>13172-6</t>
  </si>
  <si>
    <t>13188-3</t>
  </si>
  <si>
    <t>13190-1</t>
  </si>
  <si>
    <t>13161-6</t>
  </si>
  <si>
    <t>13191-1</t>
  </si>
  <si>
    <t>13188-4</t>
  </si>
  <si>
    <t>13190-2</t>
  </si>
  <si>
    <t>13192-1</t>
  </si>
  <si>
    <t>13191-2</t>
  </si>
  <si>
    <t>13194-1</t>
  </si>
  <si>
    <t>13190-3</t>
  </si>
  <si>
    <t>13195-1</t>
  </si>
  <si>
    <t>13191-3</t>
  </si>
  <si>
    <t>13194-2</t>
  </si>
  <si>
    <t>13156-5</t>
  </si>
  <si>
    <t>13185-4</t>
  </si>
  <si>
    <t>13196-1</t>
  </si>
  <si>
    <t>13194-3</t>
  </si>
  <si>
    <t>13156-6</t>
  </si>
  <si>
    <t>13185-5</t>
  </si>
  <si>
    <t>13196-2</t>
  </si>
  <si>
    <t>13194-4</t>
  </si>
  <si>
    <t>13156-7</t>
  </si>
  <si>
    <t>13167-4</t>
  </si>
  <si>
    <t>13180-4</t>
  </si>
  <si>
    <t>13197-1</t>
  </si>
  <si>
    <t>13198-1</t>
  </si>
  <si>
    <t>13199-1</t>
  </si>
  <si>
    <t>13180-5</t>
  </si>
  <si>
    <t>13197-2</t>
  </si>
  <si>
    <t>13198-2</t>
  </si>
  <si>
    <t>13199-2</t>
  </si>
  <si>
    <t>13183-4</t>
  </si>
  <si>
    <t>13197-3</t>
  </si>
  <si>
    <t>13198-3</t>
  </si>
  <si>
    <t>13201-1</t>
  </si>
  <si>
    <t>13183-5</t>
  </si>
  <si>
    <t>13197-4</t>
  </si>
  <si>
    <t>13198-4</t>
  </si>
  <si>
    <t>13176-4</t>
  </si>
  <si>
    <t>13183-6</t>
  </si>
  <si>
    <t>13197-5</t>
  </si>
  <si>
    <t>13171-6</t>
  </si>
  <si>
    <t>13191-4</t>
  </si>
  <si>
    <t>13202-1</t>
  </si>
  <si>
    <t>13203-1</t>
  </si>
  <si>
    <t>13171-7</t>
  </si>
  <si>
    <t>13204-1</t>
  </si>
  <si>
    <t>13202-2</t>
  </si>
  <si>
    <t>13203-2</t>
  </si>
  <si>
    <t>13205-1</t>
  </si>
  <si>
    <t>13180-6</t>
  </si>
  <si>
    <t>13190-4</t>
  </si>
  <si>
    <t>13203-3</t>
  </si>
  <si>
    <t>13205-2</t>
  </si>
  <si>
    <t>13206-1</t>
  </si>
  <si>
    <t>13190-5</t>
  </si>
  <si>
    <t>13203-4</t>
  </si>
  <si>
    <t>13205-3</t>
  </si>
  <si>
    <t>13208-1</t>
  </si>
  <si>
    <t>13209-1</t>
  </si>
  <si>
    <t>13136-7</t>
  </si>
  <si>
    <t>13210-1</t>
  </si>
  <si>
    <t>13211-1</t>
  </si>
  <si>
    <t>13209-2</t>
  </si>
  <si>
    <t>13136-8</t>
  </si>
  <si>
    <t>13210-2</t>
  </si>
  <si>
    <t>13212-1</t>
  </si>
  <si>
    <t>13213-1</t>
  </si>
  <si>
    <t>13136-9</t>
  </si>
  <si>
    <t>13210-3</t>
  </si>
  <si>
    <t>13202-3</t>
  </si>
  <si>
    <t>13213-2</t>
  </si>
  <si>
    <t>13214-1</t>
  </si>
  <si>
    <t>13215-1</t>
  </si>
  <si>
    <t>13216-1</t>
  </si>
  <si>
    <t>13165-5</t>
  </si>
  <si>
    <t>13214-2</t>
  </si>
  <si>
    <t>13215-2</t>
  </si>
  <si>
    <t>13217-1</t>
  </si>
  <si>
    <t>13218-1</t>
  </si>
  <si>
    <t>13214-3</t>
  </si>
  <si>
    <t>13215-3</t>
  </si>
  <si>
    <t>13220-1</t>
  </si>
  <si>
    <t>13214-4</t>
  </si>
  <si>
    <t>13218-2</t>
  </si>
  <si>
    <t>13221-1</t>
  </si>
  <si>
    <t>13222-1</t>
  </si>
  <si>
    <t>13218-3</t>
  </si>
  <si>
    <t>13223-1</t>
  </si>
  <si>
    <t>13221-2</t>
  </si>
  <si>
    <t>13224-1</t>
  </si>
  <si>
    <t>13225-1</t>
  </si>
  <si>
    <t>13223-2</t>
  </si>
  <si>
    <t>13221-3</t>
  </si>
  <si>
    <t>13209-3</t>
  </si>
  <si>
    <t>13225-2</t>
  </si>
  <si>
    <t>13223-3</t>
  </si>
  <si>
    <t>13221-4</t>
  </si>
  <si>
    <t>13226-1</t>
  </si>
  <si>
    <t>13225-3</t>
  </si>
  <si>
    <t>13223-4</t>
  </si>
  <si>
    <t>13227-1</t>
  </si>
  <si>
    <t>13213-3</t>
  </si>
  <si>
    <t>13230-1</t>
  </si>
  <si>
    <t>13229-1</t>
  </si>
  <si>
    <t>13227-2</t>
  </si>
  <si>
    <t>13231-1</t>
  </si>
  <si>
    <t>13230-2</t>
  </si>
  <si>
    <t>13229-2</t>
  </si>
  <si>
    <t>13227-3</t>
  </si>
  <si>
    <t>13232-1</t>
  </si>
  <si>
    <t>13233-1</t>
  </si>
  <si>
    <t>13229-3</t>
  </si>
  <si>
    <t>13227-4</t>
  </si>
  <si>
    <t>13218-4</t>
  </si>
  <si>
    <t>13233-2</t>
  </si>
  <si>
    <t>13229-4</t>
  </si>
  <si>
    <t>13234-1</t>
  </si>
  <si>
    <t>13235-1</t>
  </si>
  <si>
    <t>13215-4</t>
  </si>
  <si>
    <t>13236-1</t>
  </si>
  <si>
    <t>13234-2</t>
  </si>
  <si>
    <t>13237-1</t>
  </si>
  <si>
    <t>13215-5</t>
  </si>
  <si>
    <t>13236-2</t>
  </si>
  <si>
    <t>13234-3</t>
  </si>
  <si>
    <t>13225-4</t>
  </si>
  <si>
    <t>13238-1</t>
  </si>
  <si>
    <t>13236-3</t>
  </si>
  <si>
    <t>13234-4</t>
  </si>
  <si>
    <t>13239-1</t>
  </si>
  <si>
    <t>13238-2</t>
  </si>
  <si>
    <t>13236-4</t>
  </si>
  <si>
    <t>13241-1</t>
  </si>
  <si>
    <t>13239-2</t>
  </si>
  <si>
    <t>13238-3</t>
  </si>
  <si>
    <t>13242-1</t>
  </si>
  <si>
    <t>13241-2</t>
  </si>
  <si>
    <t>13230-3</t>
  </si>
  <si>
    <t>13243-1</t>
  </si>
  <si>
    <t>13242-2</t>
  </si>
  <si>
    <t>13241-3</t>
  </si>
  <si>
    <t>13233-3</t>
  </si>
  <si>
    <t>13243-2</t>
  </si>
  <si>
    <t>13242-3</t>
  </si>
  <si>
    <t>13241-4</t>
  </si>
  <si>
    <t>13244-1</t>
  </si>
  <si>
    <t>13245-1</t>
  </si>
  <si>
    <t>13242-4</t>
  </si>
  <si>
    <t>13246-1</t>
  </si>
  <si>
    <t>13247-1</t>
  </si>
  <si>
    <t>13245-2</t>
  </si>
  <si>
    <t>13242-5</t>
  </si>
  <si>
    <t>13246-2</t>
  </si>
  <si>
    <t>13248-1</t>
  </si>
  <si>
    <t>13245-3</t>
  </si>
  <si>
    <t>13242-6</t>
  </si>
  <si>
    <t>13246-3</t>
  </si>
  <si>
    <t>13249-1</t>
  </si>
  <si>
    <t>13227-5</t>
  </si>
  <si>
    <t>13242-7</t>
  </si>
  <si>
    <t>13251-1</t>
  </si>
  <si>
    <t>13252-1</t>
  </si>
  <si>
    <t>13253-1</t>
  </si>
  <si>
    <t>13254-1</t>
  </si>
  <si>
    <t>13251-2</t>
  </si>
  <si>
    <t>13255-1</t>
  </si>
  <si>
    <t>13253-2</t>
  </si>
  <si>
    <t>13254-2</t>
  </si>
  <si>
    <t>13251-3</t>
  </si>
  <si>
    <t>13256-1</t>
  </si>
  <si>
    <t>13234-5</t>
  </si>
  <si>
    <t>13254-3</t>
  </si>
  <si>
    <t>13257-1</t>
  </si>
  <si>
    <t>13258-1</t>
  </si>
  <si>
    <t>13370-1</t>
  </si>
  <si>
    <t>13368-2</t>
  </si>
  <si>
    <t>13369-2</t>
  </si>
  <si>
    <t>13371-1</t>
  </si>
  <si>
    <t>13372-1</t>
  </si>
  <si>
    <t>13369-3</t>
  </si>
  <si>
    <t>13370-2</t>
  </si>
  <si>
    <t>13372-2</t>
  </si>
  <si>
    <t>13373-1</t>
  </si>
  <si>
    <t>13374-1</t>
  </si>
  <si>
    <t>13375-1</t>
  </si>
  <si>
    <t>13373-2</t>
  </si>
  <si>
    <t>13376-1</t>
  </si>
  <si>
    <t>13375-2</t>
  </si>
  <si>
    <t>13373-3</t>
  </si>
  <si>
    <t>13377-1</t>
  </si>
  <si>
    <t>13378-1</t>
  </si>
  <si>
    <t>13379-1</t>
  </si>
  <si>
    <t>13380-1</t>
  </si>
  <si>
    <t>13376-2</t>
  </si>
  <si>
    <t>13378-2</t>
  </si>
  <si>
    <t>13380-2</t>
  </si>
  <si>
    <t>13381-1</t>
  </si>
  <si>
    <t>13382-1</t>
  </si>
  <si>
    <t>13380-3</t>
  </si>
  <si>
    <t>13383-1</t>
  </si>
  <si>
    <t>13382-2</t>
  </si>
  <si>
    <t>13380-4</t>
  </si>
  <si>
    <t>13384-1</t>
  </si>
  <si>
    <t>13385-1</t>
  </si>
  <si>
    <t>13386-1</t>
  </si>
  <si>
    <t>13383-2</t>
  </si>
  <si>
    <t>13385-2</t>
  </si>
  <si>
    <t>13379-2</t>
  </si>
  <si>
    <t>13386-2</t>
  </si>
  <si>
    <t>13387-1</t>
  </si>
  <si>
    <t>13388-1</t>
  </si>
  <si>
    <t>13386-3</t>
  </si>
  <si>
    <t>13389-1</t>
  </si>
  <si>
    <t>13388-2</t>
  </si>
  <si>
    <t>13386-4</t>
  </si>
  <si>
    <t>13390-1</t>
  </si>
  <si>
    <t>13391-1</t>
  </si>
  <si>
    <t>13392-1</t>
  </si>
  <si>
    <t>13389-2</t>
  </si>
  <si>
    <t>13395-1</t>
  </si>
  <si>
    <t>13379-3</t>
  </si>
  <si>
    <t>13392-2</t>
  </si>
  <si>
    <t>13390-2</t>
  </si>
  <si>
    <t>13393-1</t>
  </si>
  <si>
    <t>13392-3</t>
  </si>
  <si>
    <t>14.00</t>
  </si>
  <si>
    <t>14.30</t>
  </si>
  <si>
    <t>14.15</t>
  </si>
  <si>
    <t>13394-1</t>
  </si>
  <si>
    <t>13396-1</t>
  </si>
  <si>
    <t>Pesos uruguayos</t>
  </si>
  <si>
    <t>13397-1</t>
  </si>
  <si>
    <t>13398-1</t>
  </si>
  <si>
    <t>13399-1</t>
  </si>
  <si>
    <t>13397-2</t>
  </si>
  <si>
    <t>13394-2</t>
  </si>
  <si>
    <t>13399-2</t>
  </si>
  <si>
    <t>13379-4</t>
  </si>
  <si>
    <t>13397-3</t>
  </si>
  <si>
    <t>13400-1</t>
  </si>
  <si>
    <t>13401-1</t>
  </si>
  <si>
    <t>13398-2</t>
  </si>
  <si>
    <t>13402-1</t>
  </si>
  <si>
    <t>13400-2</t>
  </si>
  <si>
    <t>Total licitación</t>
  </si>
  <si>
    <t>% Adjudicado OP</t>
  </si>
  <si>
    <t>% Adjudicado NC</t>
  </si>
  <si>
    <t>% Adjudicado</t>
  </si>
  <si>
    <t>Stock neto: pasivo (+), activo (-)</t>
  </si>
  <si>
    <t>13401-2</t>
  </si>
  <si>
    <t>13403-1</t>
  </si>
  <si>
    <t>13404-1</t>
  </si>
  <si>
    <t>13405-1</t>
  </si>
  <si>
    <t>13402-2</t>
  </si>
  <si>
    <t>13404-2</t>
  </si>
  <si>
    <t>13405-2</t>
  </si>
  <si>
    <t>13403-2</t>
  </si>
  <si>
    <t>13406-1</t>
  </si>
  <si>
    <t>13407-1</t>
  </si>
  <si>
    <t>13405-3</t>
  </si>
  <si>
    <t>13402-3</t>
  </si>
  <si>
    <t>13406-2</t>
  </si>
  <si>
    <t>13405-4</t>
  </si>
  <si>
    <t>13366-2</t>
  </si>
  <si>
    <t>13408-1</t>
  </si>
  <si>
    <t>13409-1</t>
  </si>
  <si>
    <t>13410-1</t>
  </si>
  <si>
    <t>13408-2</t>
  </si>
  <si>
    <t>13409-2</t>
  </si>
  <si>
    <t>13366-3</t>
  </si>
  <si>
    <t>13411-1</t>
  </si>
  <si>
    <t>13407-2</t>
  </si>
  <si>
    <t>13409-3</t>
  </si>
  <si>
    <t>13412-1</t>
  </si>
  <si>
    <t>13411-2</t>
  </si>
  <si>
    <t>13274-2</t>
  </si>
  <si>
    <t>13413-1</t>
  </si>
  <si>
    <t>6.05%</t>
  </si>
  <si>
    <t>13414-1</t>
  </si>
  <si>
    <t>13274-3</t>
  </si>
  <si>
    <t>13412-2</t>
  </si>
  <si>
    <t>13414-2</t>
  </si>
  <si>
    <t>13274-4</t>
  </si>
  <si>
    <t>13413-2</t>
  </si>
  <si>
    <t>13264-7</t>
  </si>
  <si>
    <t>13407-3</t>
  </si>
  <si>
    <t>13415-1</t>
  </si>
  <si>
    <t>13412-3</t>
  </si>
  <si>
    <t>Recompras de Letras de Regulación Monetaria emitidas por el Banco Central del Uruguay (exp. en millones s/moneda de origen)</t>
  </si>
  <si>
    <t>Recompra - Operación especial MEF</t>
  </si>
  <si>
    <t>Pesos Uruguayos</t>
  </si>
  <si>
    <t>Plazo residual (días)</t>
  </si>
  <si>
    <t>13340-canje</t>
  </si>
  <si>
    <t>13414-canje</t>
  </si>
  <si>
    <t>13381-canje</t>
  </si>
  <si>
    <t>13405-canje</t>
  </si>
  <si>
    <t>13343-canje</t>
  </si>
  <si>
    <t>13264-canje</t>
  </si>
  <si>
    <t>13384-canje</t>
  </si>
  <si>
    <t>13409-canje</t>
  </si>
  <si>
    <t>13348-canje</t>
  </si>
  <si>
    <t>13390-canje</t>
  </si>
  <si>
    <t>13274-canje</t>
  </si>
  <si>
    <t>13353-canje</t>
  </si>
  <si>
    <t>13356-canje</t>
  </si>
  <si>
    <t>13398-canje</t>
  </si>
  <si>
    <t>13358-canje</t>
  </si>
  <si>
    <t>13366-canje</t>
  </si>
  <si>
    <t>13370-canje</t>
  </si>
  <si>
    <t>13376-canje</t>
  </si>
  <si>
    <t>13383-canje</t>
  </si>
  <si>
    <t>13412-canje</t>
  </si>
  <si>
    <t>13416-1</t>
  </si>
  <si>
    <t>13415-2</t>
  </si>
  <si>
    <t>13417-1</t>
  </si>
  <si>
    <t>13418-1</t>
  </si>
  <si>
    <t>15.00</t>
  </si>
  <si>
    <t>13415-3</t>
  </si>
  <si>
    <t>13419-1</t>
  </si>
  <si>
    <t>13418-2</t>
  </si>
  <si>
    <t>13407-4</t>
  </si>
  <si>
    <t>13420-1</t>
  </si>
  <si>
    <t>13417-2</t>
  </si>
  <si>
    <t>13421-1</t>
  </si>
  <si>
    <t>13420-2</t>
  </si>
  <si>
    <t>13419-2</t>
  </si>
  <si>
    <t>13421-2</t>
  </si>
  <si>
    <t>13422-1</t>
  </si>
  <si>
    <t>13423-1</t>
  </si>
  <si>
    <t>13424-1</t>
  </si>
  <si>
    <t>13422-2</t>
  </si>
  <si>
    <t>13425-1</t>
  </si>
  <si>
    <t>13426-1</t>
  </si>
  <si>
    <t>13427-1</t>
  </si>
  <si>
    <t>13423-2</t>
  </si>
  <si>
    <t>13428-1</t>
  </si>
  <si>
    <t>13429-1</t>
  </si>
  <si>
    <t>13427-2</t>
  </si>
  <si>
    <t>13428-2</t>
  </si>
  <si>
    <t>13425-2</t>
  </si>
  <si>
    <t>13430-1</t>
  </si>
  <si>
    <t>13431-1</t>
  </si>
  <si>
    <t>13432-1</t>
  </si>
  <si>
    <t>13425-3</t>
  </si>
  <si>
    <t>13430-2</t>
  </si>
  <si>
    <t>13433-1</t>
  </si>
  <si>
    <t>13434-1</t>
  </si>
  <si>
    <t>13431-2</t>
  </si>
  <si>
    <t>13435-1</t>
  </si>
  <si>
    <t>13429-2</t>
  </si>
  <si>
    <t>13434-2</t>
  </si>
  <si>
    <t>13436-1</t>
  </si>
  <si>
    <t>13435-2</t>
  </si>
  <si>
    <t>13434-3</t>
  </si>
  <si>
    <t>13437-1</t>
  </si>
  <si>
    <t>13438-1</t>
  </si>
  <si>
    <t>13439-1</t>
  </si>
  <si>
    <t>13436-2</t>
  </si>
  <si>
    <t>13438-2</t>
  </si>
  <si>
    <t>13439-2</t>
  </si>
  <si>
    <t>13437-2</t>
  </si>
  <si>
    <t>13440-1</t>
  </si>
  <si>
    <t>13441-1</t>
  </si>
  <si>
    <t>13436-3</t>
  </si>
  <si>
    <t>13442-1</t>
  </si>
  <si>
    <t>13429-3</t>
  </si>
  <si>
    <t>13441-2</t>
  </si>
  <si>
    <t>13410-2</t>
  </si>
  <si>
    <t>13443-1</t>
  </si>
  <si>
    <t>13444-1</t>
  </si>
  <si>
    <t>13445-1</t>
  </si>
  <si>
    <t>13446-1</t>
  </si>
  <si>
    <t>13444-2</t>
  </si>
  <si>
    <t>13410-3</t>
  </si>
  <si>
    <t>13447-1</t>
  </si>
  <si>
    <t>13448-1</t>
  </si>
  <si>
    <t>13445-2</t>
  </si>
  <si>
    <t>13449-1</t>
  </si>
  <si>
    <t>13450-1</t>
  </si>
  <si>
    <t>13448-2</t>
  </si>
  <si>
    <t>13412-4</t>
  </si>
  <si>
    <t>13451-1</t>
  </si>
  <si>
    <t>13452-1</t>
  </si>
  <si>
    <t>13453-1</t>
  </si>
  <si>
    <t>13455-1</t>
  </si>
  <si>
    <t>13452-2</t>
  </si>
  <si>
    <t>13454-1</t>
  </si>
  <si>
    <t>13456-1</t>
  </si>
  <si>
    <t>13457-1</t>
  </si>
  <si>
    <t>13453-2</t>
  </si>
  <si>
    <t>13458-1</t>
  </si>
  <si>
    <t>13450-2</t>
  </si>
  <si>
    <t>13459-1</t>
  </si>
  <si>
    <t>13454-2</t>
  </si>
  <si>
    <t>13460-1</t>
  </si>
  <si>
    <t>13459-2</t>
  </si>
  <si>
    <t>13453-3</t>
  </si>
  <si>
    <t>13461-1</t>
  </si>
  <si>
    <t>13463-1</t>
  </si>
  <si>
    <t>13462-1</t>
  </si>
  <si>
    <t>13464-1</t>
  </si>
  <si>
    <t>13465-1</t>
  </si>
  <si>
    <t>13466-1</t>
  </si>
  <si>
    <t>13467-1</t>
  </si>
  <si>
    <t>13468-1</t>
  </si>
  <si>
    <t>13462-2</t>
  </si>
  <si>
    <t>13469-1</t>
  </si>
  <si>
    <t>13470-1</t>
  </si>
  <si>
    <t>13468-2</t>
  </si>
  <si>
    <t>13466-2</t>
  </si>
  <si>
    <t>13471-1</t>
  </si>
  <si>
    <t>13472-1</t>
  </si>
  <si>
    <t>13473-1</t>
  </si>
  <si>
    <t>13474-1</t>
  </si>
  <si>
    <t>13475-1</t>
  </si>
  <si>
    <t>13476-1</t>
  </si>
  <si>
    <t>13477-1</t>
  </si>
  <si>
    <t>13478-1</t>
  </si>
  <si>
    <t>13473-2</t>
  </si>
  <si>
    <t>13479-1</t>
  </si>
  <si>
    <t>13470-2</t>
  </si>
  <si>
    <t>13480-1</t>
  </si>
  <si>
    <t>13476-2</t>
  </si>
  <si>
    <t>13481-1</t>
  </si>
  <si>
    <t>13480-2</t>
  </si>
  <si>
    <t>13482-1</t>
  </si>
  <si>
    <t>13483-1</t>
  </si>
  <si>
    <t>13484-1</t>
  </si>
  <si>
    <t>13485-1</t>
  </si>
  <si>
    <t>13486-1</t>
  </si>
  <si>
    <t>13487-1</t>
  </si>
  <si>
    <t>13482-2</t>
  </si>
  <si>
    <t>13488-1</t>
  </si>
  <si>
    <t>13470-3</t>
  </si>
  <si>
    <t>13487-2</t>
  </si>
  <si>
    <t>13485-2</t>
  </si>
  <si>
    <t>13489-1</t>
  </si>
  <si>
    <t>13490-1</t>
  </si>
  <si>
    <t>13491-1</t>
  </si>
  <si>
    <t>13492-1</t>
  </si>
  <si>
    <t>13493-1</t>
  </si>
  <si>
    <t>13485-3</t>
  </si>
  <si>
    <t>13494-1</t>
  </si>
  <si>
    <t>13495-1</t>
  </si>
  <si>
    <t>13491-2</t>
  </si>
  <si>
    <t>13496-1</t>
  </si>
  <si>
    <t>13497-1</t>
  </si>
  <si>
    <t>13498-1</t>
  </si>
  <si>
    <t>13496-2</t>
  </si>
  <si>
    <t>14.45</t>
  </si>
  <si>
    <t>13470-4</t>
  </si>
  <si>
    <t>13497-2</t>
  </si>
  <si>
    <t>13499-1</t>
  </si>
  <si>
    <t>13500-1</t>
  </si>
  <si>
    <t>13501-1</t>
  </si>
  <si>
    <t>13498-2</t>
  </si>
  <si>
    <t>13500-2</t>
  </si>
  <si>
    <t>13501-2</t>
  </si>
  <si>
    <t>13499-2</t>
  </si>
  <si>
    <t>13502-1</t>
  </si>
  <si>
    <t>13503-1</t>
  </si>
  <si>
    <t>13504-1</t>
  </si>
  <si>
    <t>13505-1</t>
  </si>
  <si>
    <t>13506-1</t>
  </si>
  <si>
    <t>13503-2</t>
  </si>
  <si>
    <t>13507-1</t>
  </si>
  <si>
    <t>13505-2</t>
  </si>
  <si>
    <t>13508-1</t>
  </si>
  <si>
    <t>13509-1</t>
  </si>
  <si>
    <t>13510-1</t>
  </si>
  <si>
    <t>13508-2</t>
  </si>
  <si>
    <t>13507-2</t>
  </si>
  <si>
    <t>13511-1</t>
  </si>
  <si>
    <t>13508-3</t>
  </si>
  <si>
    <t>13512-1</t>
  </si>
  <si>
    <t>13495-2</t>
  </si>
  <si>
    <t>13514-1</t>
  </si>
  <si>
    <t>13515-1</t>
  </si>
  <si>
    <t>13516-1</t>
  </si>
  <si>
    <t>13506-2</t>
  </si>
  <si>
    <t>13514-2</t>
  </si>
  <si>
    <t>13517-1</t>
  </si>
  <si>
    <t>13518-1</t>
  </si>
  <si>
    <t>13519-1</t>
  </si>
  <si>
    <t>13515-2</t>
  </si>
  <si>
    <t>13521-1</t>
  </si>
  <si>
    <t>13519-2</t>
  </si>
  <si>
    <t>13462-canje</t>
  </si>
  <si>
    <t>13419-canje</t>
  </si>
  <si>
    <t>13501-canje</t>
  </si>
  <si>
    <t>13473-canje</t>
  </si>
  <si>
    <t>13503-canje</t>
  </si>
  <si>
    <t>13425-canje</t>
  </si>
  <si>
    <t>13482-canje</t>
  </si>
  <si>
    <t>13508-canje</t>
  </si>
  <si>
    <t>13436-canje</t>
  </si>
  <si>
    <t>13499-canje</t>
  </si>
  <si>
    <t>13445-canje</t>
  </si>
  <si>
    <t>13507-canje</t>
  </si>
  <si>
    <t>13453-canje</t>
  </si>
  <si>
    <t>13515-canje</t>
  </si>
  <si>
    <t>13466-canje</t>
  </si>
  <si>
    <t>13476-canje</t>
  </si>
  <si>
    <t>13498-canje</t>
  </si>
  <si>
    <t>13504-canje</t>
  </si>
  <si>
    <t>13517-2</t>
  </si>
  <si>
    <t>13522-1</t>
  </si>
  <si>
    <t>13506-3</t>
  </si>
  <si>
    <t>13523-1</t>
  </si>
  <si>
    <t>13524-1</t>
  </si>
  <si>
    <t>13522-2</t>
  </si>
  <si>
    <t>13523-2</t>
  </si>
  <si>
    <t>13525-1</t>
  </si>
  <si>
    <t>13526-1</t>
  </si>
  <si>
    <t>13523-3</t>
  </si>
  <si>
    <t>13524-2</t>
  </si>
  <si>
    <t>13527-1</t>
  </si>
  <si>
    <t>13528-1</t>
  </si>
  <si>
    <t>13525-2</t>
  </si>
  <si>
    <t>13527-2</t>
  </si>
  <si>
    <t>13529-1</t>
  </si>
  <si>
    <t>13528-2</t>
  </si>
  <si>
    <t>13530-1</t>
  </si>
  <si>
    <t>13531-1</t>
  </si>
  <si>
    <t>13528-3</t>
  </si>
  <si>
    <t>13525-3</t>
  </si>
  <si>
    <t>13531-2</t>
  </si>
  <si>
    <t>13532-1</t>
  </si>
  <si>
    <t>13530-2</t>
  </si>
  <si>
    <t>13533-1</t>
  </si>
  <si>
    <t>13532-2</t>
  </si>
  <si>
    <t>13534-1</t>
  </si>
  <si>
    <t>13535-1</t>
  </si>
  <si>
    <t>13529-2</t>
  </si>
  <si>
    <t>13536-1</t>
  </si>
  <si>
    <t>13537-1</t>
  </si>
  <si>
    <t>13538-1</t>
  </si>
  <si>
    <t>13536-2</t>
  </si>
  <si>
    <t>13539-1</t>
  </si>
  <si>
    <t>13540-1</t>
  </si>
  <si>
    <t>13541-1</t>
  </si>
  <si>
    <t>13537-2</t>
  </si>
  <si>
    <t>13542-1</t>
  </si>
  <si>
    <t>13541-2</t>
  </si>
  <si>
    <t>13539-2</t>
  </si>
  <si>
    <t>13542-2</t>
  </si>
  <si>
    <t>13541-3</t>
  </si>
  <si>
    <t>13543-1</t>
  </si>
  <si>
    <t>13544-1</t>
  </si>
  <si>
    <t>13529-3</t>
  </si>
  <si>
    <t>13545-1</t>
  </si>
  <si>
    <t>13546-1</t>
  </si>
  <si>
    <t>13544-2</t>
  </si>
  <si>
    <t>13545-2</t>
  </si>
  <si>
    <t>13543-2</t>
  </si>
  <si>
    <t>13547-1</t>
  </si>
  <si>
    <t>13545-3</t>
  </si>
  <si>
    <t>13546-2</t>
  </si>
  <si>
    <t>13532-3</t>
  </si>
  <si>
    <t>13476-3</t>
  </si>
  <si>
    <t>13548-1</t>
  </si>
  <si>
    <t>13549-1</t>
  </si>
  <si>
    <t>13550-1</t>
  </si>
  <si>
    <t>13551-1</t>
  </si>
  <si>
    <t>13552-1</t>
  </si>
  <si>
    <t>13549-2</t>
  </si>
  <si>
    <t>13551-2</t>
  </si>
  <si>
    <t>13548-2</t>
  </si>
  <si>
    <t>13553-1</t>
  </si>
  <si>
    <t>13551-3</t>
  </si>
  <si>
    <t>13554-1</t>
  </si>
  <si>
    <t>13555-1</t>
  </si>
  <si>
    <t>13556-1</t>
  </si>
  <si>
    <t>13557-1</t>
  </si>
  <si>
    <t>13555-2</t>
  </si>
  <si>
    <t>13550-2</t>
  </si>
  <si>
    <t>13558-1</t>
  </si>
  <si>
    <t>13554-2</t>
  </si>
  <si>
    <t>13559-1</t>
  </si>
  <si>
    <t>13558-2</t>
  </si>
  <si>
    <t>13557-2</t>
  </si>
  <si>
    <t>13560-1</t>
  </si>
  <si>
    <t>13561-1</t>
  </si>
  <si>
    <t>13562-1</t>
  </si>
  <si>
    <t>13560-2</t>
  </si>
  <si>
    <t>13561-2</t>
  </si>
  <si>
    <t>13563-1</t>
  </si>
  <si>
    <t>13564-1</t>
  </si>
  <si>
    <t>13565-1</t>
  </si>
  <si>
    <t>13562-2</t>
  </si>
  <si>
    <t>13566-1</t>
  </si>
  <si>
    <t>13567-1</t>
  </si>
  <si>
    <t>13565-2</t>
  </si>
  <si>
    <t>13563-2</t>
  </si>
  <si>
    <t>13566-2</t>
  </si>
  <si>
    <t>13565-3</t>
  </si>
  <si>
    <t>13568-1</t>
  </si>
  <si>
    <t>13569-1</t>
  </si>
  <si>
    <t>13570-1</t>
  </si>
  <si>
    <t>13571-1</t>
  </si>
  <si>
    <t>13572-1</t>
  </si>
  <si>
    <t xml:space="preserve"> </t>
  </si>
  <si>
    <t>13570-2</t>
  </si>
  <si>
    <t>13568-2</t>
  </si>
  <si>
    <t>13572-2</t>
  </si>
  <si>
    <t>13567-2</t>
  </si>
  <si>
    <t>13573-1</t>
  </si>
  <si>
    <t>13571-2</t>
  </si>
  <si>
    <t>13574-1</t>
  </si>
  <si>
    <t>13573-2</t>
  </si>
  <si>
    <t>13575-1</t>
  </si>
  <si>
    <t>13574-2</t>
  </si>
  <si>
    <t>13576-1</t>
  </si>
  <si>
    <t>13577-1</t>
  </si>
  <si>
    <t>13578-1</t>
  </si>
  <si>
    <t>13576-2</t>
  </si>
  <si>
    <t>13575-2</t>
  </si>
  <si>
    <t>13579-1</t>
  </si>
  <si>
    <t>13580-1</t>
  </si>
  <si>
    <t>13577-2</t>
  </si>
  <si>
    <t>13581-1</t>
  </si>
  <si>
    <t>13575-3</t>
  </si>
  <si>
    <t>13567-3</t>
  </si>
  <si>
    <t>13580-2</t>
  </si>
  <si>
    <t>13582-1</t>
  </si>
  <si>
    <t>13583-1</t>
  </si>
  <si>
    <t>13584-1</t>
  </si>
  <si>
    <t>13585-1</t>
  </si>
  <si>
    <t>13583-2</t>
  </si>
  <si>
    <t>13586-1</t>
  </si>
  <si>
    <t>13585-2</t>
  </si>
  <si>
    <t>13587-1</t>
  </si>
  <si>
    <t>13584-2</t>
  </si>
  <si>
    <t>13588-1</t>
  </si>
  <si>
    <t>13589-1</t>
  </si>
  <si>
    <t>13587-2</t>
  </si>
  <si>
    <t>13586-2</t>
  </si>
  <si>
    <t>13590-1</t>
  </si>
  <si>
    <t>13587-3</t>
  </si>
  <si>
    <t>13591-1</t>
  </si>
  <si>
    <t>13590-2</t>
  </si>
  <si>
    <t>13592-1</t>
  </si>
  <si>
    <t>13593-1</t>
  </si>
  <si>
    <t>13594-1</t>
  </si>
  <si>
    <t>13592-2</t>
  </si>
  <si>
    <t>13591-2</t>
  </si>
  <si>
    <t>13595-1</t>
  </si>
  <si>
    <t>13589-2</t>
  </si>
  <si>
    <t>13592-3</t>
  </si>
  <si>
    <t>13593-2</t>
  </si>
  <si>
    <t>13595-2</t>
  </si>
  <si>
    <t>13596-1</t>
  </si>
  <si>
    <t>13597-1</t>
  </si>
  <si>
    <t>13598-1</t>
  </si>
  <si>
    <t>13596-2</t>
  </si>
  <si>
    <t>13599-1</t>
  </si>
  <si>
    <t>13600-1</t>
  </si>
  <si>
    <t>13429-4</t>
  </si>
  <si>
    <t>13601-1</t>
  </si>
  <si>
    <t>13602-1</t>
  </si>
  <si>
    <t>13603-1</t>
  </si>
  <si>
    <t>Integración de NT Calendario MEF</t>
  </si>
  <si>
    <t>13429-integración</t>
  </si>
  <si>
    <t>13517-integración</t>
  </si>
  <si>
    <t>13563-integración</t>
  </si>
  <si>
    <t>13567-integración</t>
  </si>
  <si>
    <t>13571-integración</t>
  </si>
  <si>
    <t>13592-integración</t>
  </si>
  <si>
    <t>13595-integración</t>
  </si>
  <si>
    <t>13599-2</t>
  </si>
  <si>
    <t>13604-1</t>
  </si>
  <si>
    <t>13603-2</t>
  </si>
  <si>
    <t>13605-1</t>
  </si>
  <si>
    <t>13606-1</t>
  </si>
  <si>
    <t>13607-1</t>
  </si>
  <si>
    <t>13608-1</t>
  </si>
  <si>
    <t>13606-2</t>
  </si>
  <si>
    <t>13607-2</t>
  </si>
  <si>
    <t>13605-2</t>
  </si>
  <si>
    <t>13609-1</t>
  </si>
  <si>
    <t>13610-1</t>
  </si>
  <si>
    <t>13608-2</t>
  </si>
  <si>
    <t>13525-integración</t>
  </si>
  <si>
    <t>13539-integración</t>
  </si>
  <si>
    <t>13554-integración</t>
  </si>
  <si>
    <t>13584-integración</t>
  </si>
  <si>
    <t>13591-integración</t>
  </si>
  <si>
    <t>13593-integración</t>
  </si>
  <si>
    <t>13596-integración</t>
  </si>
  <si>
    <t>13602-integración</t>
  </si>
  <si>
    <t>13603-integración</t>
  </si>
  <si>
    <t>13606-integración</t>
  </si>
  <si>
    <t>13609-2</t>
  </si>
  <si>
    <t>13610-2</t>
  </si>
  <si>
    <t>13611-1</t>
  </si>
  <si>
    <t>13612-1</t>
  </si>
  <si>
    <t>13613-1</t>
  </si>
  <si>
    <t>13607-integración</t>
  </si>
  <si>
    <t>13609-integración</t>
  </si>
  <si>
    <t>13610-integración</t>
  </si>
  <si>
    <t>13612-integración</t>
  </si>
  <si>
    <t>13614-1</t>
  </si>
  <si>
    <t>13615-1</t>
  </si>
  <si>
    <t>13613-2</t>
  </si>
  <si>
    <t>13611-2</t>
  </si>
  <si>
    <t>13616-1</t>
  </si>
  <si>
    <t>13617-1</t>
  </si>
  <si>
    <t>13615-integración</t>
  </si>
  <si>
    <t>13614-2</t>
  </si>
  <si>
    <t>13618-1</t>
  </si>
  <si>
    <t>13617-2</t>
  </si>
  <si>
    <t>13619-1</t>
  </si>
  <si>
    <t>13618-2</t>
  </si>
  <si>
    <t>13450-3</t>
  </si>
  <si>
    <t>13620-1</t>
  </si>
  <si>
    <t>13621-1</t>
  </si>
  <si>
    <t>13622-1</t>
  </si>
  <si>
    <t>13619-2</t>
  </si>
  <si>
    <t>13623-1</t>
  </si>
  <si>
    <t>13622-2</t>
  </si>
  <si>
    <t>13620-2</t>
  </si>
  <si>
    <t>13623-2</t>
  </si>
  <si>
    <t>13624-1</t>
  </si>
  <si>
    <t>13625-1</t>
  </si>
  <si>
    <t>13626-1</t>
  </si>
  <si>
    <t>13624-2</t>
  </si>
  <si>
    <t>13627-1</t>
  </si>
  <si>
    <t>13626-2</t>
  </si>
  <si>
    <t>13628-1</t>
  </si>
  <si>
    <t>13625-2</t>
  </si>
  <si>
    <t>13629-1</t>
  </si>
  <si>
    <t>13630-1</t>
  </si>
  <si>
    <t>13627-2</t>
  </si>
  <si>
    <t>13450-integración</t>
  </si>
  <si>
    <t>13470-integración</t>
  </si>
  <si>
    <t>13546-integración</t>
  </si>
  <si>
    <t>13552-integración</t>
  </si>
  <si>
    <t>13562-integración</t>
  </si>
  <si>
    <t>13568-integración</t>
  </si>
  <si>
    <t>13575-integración</t>
  </si>
  <si>
    <t>13586-integración</t>
  </si>
  <si>
    <t>13601-integración</t>
  </si>
  <si>
    <t>13613-integración</t>
  </si>
  <si>
    <t>13617-integración</t>
  </si>
  <si>
    <t>13619-integración</t>
  </si>
  <si>
    <t>13622-integración</t>
  </si>
  <si>
    <t>13623-integración</t>
  </si>
  <si>
    <t>13624-integración</t>
  </si>
  <si>
    <t>13626-integración</t>
  </si>
  <si>
    <t>13506-integración</t>
  </si>
  <si>
    <t>13529-integración</t>
  </si>
  <si>
    <t>13550-integración</t>
  </si>
  <si>
    <t>13589-integración</t>
  </si>
  <si>
    <t>13599-integración</t>
  </si>
  <si>
    <t>13608-integración</t>
  </si>
  <si>
    <t>13614-integración</t>
  </si>
  <si>
    <t>13620-integración</t>
  </si>
  <si>
    <t>13631-1</t>
  </si>
  <si>
    <t>13630-2</t>
  </si>
  <si>
    <t>13632-1</t>
  </si>
  <si>
    <t>13633-1</t>
  </si>
  <si>
    <t>13634-1</t>
  </si>
  <si>
    <t>13635-1</t>
  </si>
  <si>
    <t>13631-integración</t>
  </si>
  <si>
    <t>13633-2</t>
  </si>
  <si>
    <t>13634-2</t>
  </si>
  <si>
    <t>13632-2</t>
  </si>
  <si>
    <t>13636-1</t>
  </si>
  <si>
    <t>13637-1</t>
  </si>
  <si>
    <t>13635-2</t>
  </si>
  <si>
    <t>13638-1</t>
  </si>
  <si>
    <t>13637-2</t>
  </si>
  <si>
    <t>13639-1</t>
  </si>
  <si>
    <t>13640-1</t>
  </si>
  <si>
    <t>13641-1</t>
  </si>
  <si>
    <t>13642-1</t>
  </si>
  <si>
    <t>13643-1</t>
  </si>
  <si>
    <t>13641-2</t>
  </si>
  <si>
    <t>8,,5%</t>
  </si>
  <si>
    <t>13639-2</t>
  </si>
  <si>
    <t>13644-1</t>
  </si>
  <si>
    <t>13645-1</t>
  </si>
  <si>
    <t>13642-2</t>
  </si>
  <si>
    <t>13646-1</t>
  </si>
  <si>
    <t>13645-2</t>
  </si>
  <si>
    <t>13647-1</t>
  </si>
  <si>
    <t>13648-1</t>
  </si>
  <si>
    <t>13649-1</t>
  </si>
  <si>
    <t>13650-1</t>
  </si>
  <si>
    <t>13651-1</t>
  </si>
  <si>
    <t>13649-2</t>
  </si>
  <si>
    <t>13647-2</t>
  </si>
  <si>
    <t>13611-integración</t>
  </si>
  <si>
    <t>13640-integración</t>
  </si>
  <si>
    <t>13646-integración</t>
  </si>
  <si>
    <t>13652-1</t>
  </si>
  <si>
    <t>13653-1</t>
  </si>
  <si>
    <t>13650-2</t>
  </si>
  <si>
    <t>13654-1</t>
  </si>
  <si>
    <t>13653-2</t>
  </si>
  <si>
    <t>13651-integración</t>
  </si>
  <si>
    <t>13655-1</t>
  </si>
  <si>
    <t>13656-1</t>
  </si>
  <si>
    <t>13657-1</t>
  </si>
  <si>
    <t>13658-1</t>
  </si>
  <si>
    <t>13659-1</t>
  </si>
  <si>
    <t>13657-2</t>
  </si>
  <si>
    <t>13655-2</t>
  </si>
  <si>
    <t>13660-1</t>
  </si>
  <si>
    <t>13661-1</t>
  </si>
  <si>
    <t>13658-2</t>
  </si>
  <si>
    <t>13662-1</t>
  </si>
  <si>
    <t>13661-2</t>
  </si>
  <si>
    <t>13663-1</t>
  </si>
  <si>
    <t>13637-integración</t>
  </si>
  <si>
    <t>13654-integración</t>
  </si>
  <si>
    <t>13660-integración</t>
  </si>
  <si>
    <t>13664-1</t>
  </si>
  <si>
    <t>13665-1</t>
  </si>
  <si>
    <t>13666-1</t>
  </si>
  <si>
    <t>13667-1</t>
  </si>
  <si>
    <t>13665-2</t>
  </si>
  <si>
    <t>13663-2</t>
  </si>
  <si>
    <t>13668-1</t>
  </si>
  <si>
    <t>13669-1</t>
  </si>
  <si>
    <t>13666-2</t>
  </si>
  <si>
    <t>13668-2</t>
  </si>
  <si>
    <t>13669-2</t>
  </si>
  <si>
    <t>13670-1</t>
  </si>
  <si>
    <t>13671-1</t>
  </si>
  <si>
    <t>13672-1</t>
  </si>
  <si>
    <t>13673-1</t>
  </si>
  <si>
    <t>13674-1</t>
  </si>
  <si>
    <t>13672-2</t>
  </si>
  <si>
    <t>13632-integración</t>
  </si>
  <si>
    <t>13639-integración</t>
  </si>
  <si>
    <t>13671-integración</t>
  </si>
  <si>
    <t>13672-integración</t>
  </si>
  <si>
    <t>13674-integración</t>
  </si>
  <si>
    <t>13670-2</t>
  </si>
  <si>
    <t>13675-1</t>
  </si>
  <si>
    <t>13676-1</t>
  </si>
  <si>
    <t>13677-1</t>
  </si>
  <si>
    <t>13678-1</t>
  </si>
  <si>
    <t>13679-1</t>
  </si>
  <si>
    <t>13680-1</t>
  </si>
  <si>
    <t>13681-1</t>
  </si>
  <si>
    <t>13679-2</t>
  </si>
  <si>
    <t>13677-2</t>
  </si>
  <si>
    <t>13682-1</t>
  </si>
  <si>
    <t>13683-1</t>
  </si>
  <si>
    <t>13647-integración</t>
  </si>
  <si>
    <t>13680-2</t>
  </si>
  <si>
    <t>13684-1</t>
  </si>
  <si>
    <t>13685-1</t>
  </si>
  <si>
    <t>13686-1</t>
  </si>
  <si>
    <t>13687-1</t>
  </si>
  <si>
    <t>13685-2</t>
  </si>
  <si>
    <t>13678 - integración</t>
  </si>
  <si>
    <t>13688-1</t>
  </si>
  <si>
    <t>13689-1</t>
  </si>
  <si>
    <t>13690-1</t>
  </si>
  <si>
    <t>13684 - integración</t>
  </si>
  <si>
    <t>13689 - integración</t>
  </si>
  <si>
    <t>13686-2</t>
  </si>
  <si>
    <t>13691-1</t>
  </si>
  <si>
    <t>13690-2</t>
  </si>
  <si>
    <t>13688-2</t>
  </si>
  <si>
    <t>13692-1</t>
  </si>
  <si>
    <t>13693-1</t>
  </si>
  <si>
    <t>13694-1</t>
  </si>
  <si>
    <t>13695-1</t>
  </si>
  <si>
    <t>13693-2</t>
  </si>
  <si>
    <t>13696-1</t>
  </si>
  <si>
    <t>13697-1</t>
  </si>
  <si>
    <t>13698-1</t>
  </si>
  <si>
    <t>13694-2</t>
  </si>
  <si>
    <t>13699-1</t>
  </si>
  <si>
    <t>13698-2</t>
  </si>
  <si>
    <t>13690 - integración</t>
  </si>
  <si>
    <t>13696-2</t>
  </si>
  <si>
    <t>13700-1</t>
  </si>
  <si>
    <t>13701-1</t>
  </si>
  <si>
    <t>13506 - integración</t>
  </si>
  <si>
    <t>13676 - integración</t>
  </si>
  <si>
    <t>13697 - integración</t>
  </si>
  <si>
    <t>13679 - integración</t>
  </si>
  <si>
    <t>13699 - integración</t>
  </si>
  <si>
    <t>13680 - integración</t>
  </si>
  <si>
    <t>13695 - integración</t>
  </si>
  <si>
    <t>13694-3</t>
  </si>
  <si>
    <t>13700-2</t>
  </si>
  <si>
    <t>13701-2</t>
  </si>
  <si>
    <t xml:space="preserve">13627 - integración </t>
  </si>
  <si>
    <t>13702-1</t>
  </si>
  <si>
    <t>13703-1</t>
  </si>
  <si>
    <t>13704-1</t>
  </si>
  <si>
    <t>13705-1</t>
  </si>
  <si>
    <t>13706-1</t>
  </si>
  <si>
    <t>13707-1</t>
  </si>
  <si>
    <t>13700 - integración</t>
  </si>
  <si>
    <t>13701 - integración</t>
  </si>
  <si>
    <t>13704 - intregración</t>
  </si>
  <si>
    <t>13702-2</t>
  </si>
  <si>
    <t>13708-1</t>
  </si>
  <si>
    <t>13709-1</t>
  </si>
  <si>
    <t>13655 - integración</t>
  </si>
  <si>
    <t>13683 - integración</t>
  </si>
  <si>
    <t>13703 - integración</t>
  </si>
  <si>
    <t>13706 - integración</t>
  </si>
  <si>
    <t>13705-2</t>
  </si>
  <si>
    <t>13710-1</t>
  </si>
  <si>
    <t>13694 - integración</t>
  </si>
  <si>
    <t>13709-2</t>
  </si>
  <si>
    <t>13711-1</t>
  </si>
  <si>
    <t>13712-1</t>
  </si>
  <si>
    <t>13713-1</t>
  </si>
  <si>
    <t>13714-1</t>
  </si>
  <si>
    <t>13712-2</t>
  </si>
  <si>
    <t>13715-1</t>
  </si>
  <si>
    <t>13711-2</t>
  </si>
  <si>
    <t>13716-1</t>
  </si>
  <si>
    <t>13715-2</t>
  </si>
  <si>
    <t>13693 - integración</t>
  </si>
  <si>
    <t>13711 - integración</t>
  </si>
  <si>
    <t>13712 - integración</t>
  </si>
  <si>
    <t>13714-2</t>
  </si>
  <si>
    <t>13717-1</t>
  </si>
  <si>
    <t>13718-1</t>
  </si>
  <si>
    <t>13714 - integración</t>
  </si>
  <si>
    <t>13620 - integración</t>
  </si>
  <si>
    <t>13658 - integración</t>
  </si>
  <si>
    <t>13529 - integración</t>
  </si>
  <si>
    <t>13710 - integración</t>
  </si>
  <si>
    <t>13719-1</t>
  </si>
  <si>
    <t>13720-1</t>
  </si>
  <si>
    <t>13718-2</t>
  </si>
  <si>
    <t>13721-1</t>
  </si>
  <si>
    <t>13722-1</t>
  </si>
  <si>
    <t>13723-1</t>
  </si>
  <si>
    <t>13719-2</t>
  </si>
  <si>
    <t>13724-1</t>
  </si>
  <si>
    <t>13721-2</t>
  </si>
  <si>
    <t>13723-2</t>
  </si>
  <si>
    <t>13725-1</t>
  </si>
  <si>
    <t>13726-1</t>
  </si>
  <si>
    <t>13627 - integración</t>
  </si>
  <si>
    <t>13715 - integración</t>
  </si>
  <si>
    <t>13717 - integración</t>
  </si>
  <si>
    <t>13722 - integración</t>
  </si>
  <si>
    <t>13727-1</t>
  </si>
  <si>
    <t>13728-1</t>
  </si>
  <si>
    <t>13729-1</t>
  </si>
  <si>
    <t>13726-2</t>
  </si>
  <si>
    <t>13730-1</t>
  </si>
  <si>
    <t>13731-1</t>
  </si>
  <si>
    <t>13732-1</t>
  </si>
  <si>
    <t>13733-1</t>
  </si>
  <si>
    <t>13731-2</t>
  </si>
  <si>
    <t>13726 - integración</t>
  </si>
  <si>
    <t>13729-2</t>
  </si>
  <si>
    <t>13734-1</t>
  </si>
  <si>
    <t>13735-1</t>
  </si>
  <si>
    <t>13707 - integración</t>
  </si>
  <si>
    <t>13725 - integración</t>
  </si>
  <si>
    <t>13732-2</t>
  </si>
  <si>
    <t>13736-1</t>
  </si>
  <si>
    <t>13737-1</t>
  </si>
  <si>
    <t>13736 - integración</t>
  </si>
  <si>
    <t>13738-1</t>
  </si>
  <si>
    <t>13739-1</t>
  </si>
  <si>
    <t>13737-2</t>
  </si>
  <si>
    <t>13686-3</t>
  </si>
  <si>
    <t>13740-1</t>
  </si>
  <si>
    <t>13741-1</t>
  </si>
  <si>
    <t>13738-2</t>
  </si>
  <si>
    <t>13742-1</t>
  </si>
  <si>
    <t>13743-1</t>
  </si>
  <si>
    <t>13718 - integración</t>
  </si>
  <si>
    <t>13744-1</t>
  </si>
  <si>
    <t>13745-1</t>
  </si>
  <si>
    <t>13567-4</t>
  </si>
  <si>
    <t>13746-1</t>
  </si>
  <si>
    <t>13747-1</t>
  </si>
  <si>
    <t>13748-1</t>
  </si>
  <si>
    <t>13744-2</t>
  </si>
  <si>
    <t>13747-2</t>
  </si>
  <si>
    <t>13748-2</t>
  </si>
  <si>
    <t>13746-2</t>
  </si>
  <si>
    <t>13749-1</t>
  </si>
  <si>
    <t>13750-1</t>
  </si>
  <si>
    <t>13751-1</t>
  </si>
  <si>
    <t>13752-1</t>
  </si>
  <si>
    <t>13750-2</t>
  </si>
  <si>
    <t>13753-1</t>
  </si>
  <si>
    <t>13749 - integración</t>
  </si>
  <si>
    <t>13732 - integración</t>
  </si>
  <si>
    <t>13738 - integración</t>
  </si>
  <si>
    <t>13650 - integración</t>
  </si>
  <si>
    <t>13754-1</t>
  </si>
  <si>
    <t>13755-1</t>
  </si>
  <si>
    <t>13702 - integración</t>
  </si>
  <si>
    <t>13729 - integración</t>
  </si>
  <si>
    <t>13747 - integración</t>
  </si>
  <si>
    <t>13751-2</t>
  </si>
  <si>
    <t>13756-1</t>
  </si>
  <si>
    <t>13755-2</t>
  </si>
  <si>
    <t>13753-2</t>
  </si>
  <si>
    <t>13751 - integración</t>
  </si>
  <si>
    <t>13746 - integración</t>
  </si>
  <si>
    <t>13757-1</t>
  </si>
  <si>
    <t xml:space="preserve">  </t>
  </si>
  <si>
    <t>13758-1</t>
  </si>
  <si>
    <t>13759-1</t>
  </si>
  <si>
    <t>13760-1</t>
  </si>
  <si>
    <t>13758-2</t>
  </si>
  <si>
    <t>13761-1</t>
  </si>
  <si>
    <t>13753 - integración</t>
  </si>
  <si>
    <t>13762-1</t>
  </si>
  <si>
    <t>13763-1</t>
  </si>
  <si>
    <t>13759-2</t>
  </si>
  <si>
    <t>13764-1</t>
  </si>
  <si>
    <t>13763-2</t>
  </si>
  <si>
    <t>13761-2</t>
  </si>
  <si>
    <t>13764-2</t>
  </si>
  <si>
    <t>13765-1</t>
  </si>
  <si>
    <t>13766-1</t>
  </si>
  <si>
    <t>13761 - integración</t>
  </si>
  <si>
    <t>13567 - integración</t>
  </si>
  <si>
    <t>13666 - integración</t>
  </si>
  <si>
    <t>13673 - integración</t>
  </si>
  <si>
    <t>13767-1</t>
  </si>
  <si>
    <t>13765-2</t>
  </si>
  <si>
    <t>13768-1</t>
  </si>
  <si>
    <t>13767-2</t>
  </si>
  <si>
    <t>13589-3</t>
  </si>
  <si>
    <t>13677 - integración</t>
  </si>
  <si>
    <t>13748 - integración</t>
  </si>
  <si>
    <t>13768 - integración</t>
  </si>
  <si>
    <t>13766-2</t>
  </si>
  <si>
    <t>13769-1</t>
  </si>
  <si>
    <t>13589-4</t>
  </si>
  <si>
    <t>13768-2</t>
  </si>
  <si>
    <t>13770-1</t>
  </si>
  <si>
    <t>13771-1</t>
  </si>
  <si>
    <t>13721-3</t>
  </si>
  <si>
    <t>13772-1</t>
  </si>
  <si>
    <t>13771-2</t>
  </si>
  <si>
    <t>13686 - integración</t>
  </si>
  <si>
    <t>13721 - integración</t>
  </si>
  <si>
    <t>13773-1</t>
  </si>
  <si>
    <t>13774-1</t>
  </si>
  <si>
    <t>13775-1</t>
  </si>
  <si>
    <t>13727 - integración</t>
  </si>
  <si>
    <t>13732 -  integración</t>
  </si>
  <si>
    <t>13755 - integración</t>
  </si>
  <si>
    <t>13758 - integración</t>
  </si>
  <si>
    <t>13772 - integración</t>
  </si>
  <si>
    <t>13776-1</t>
  </si>
  <si>
    <t>13774-2</t>
  </si>
  <si>
    <t>13763 - integración</t>
  </si>
  <si>
    <t>13765 - integración</t>
  </si>
  <si>
    <t>13744 - integración</t>
  </si>
  <si>
    <t>13589 - integración</t>
  </si>
  <si>
    <t>13771 - integración</t>
  </si>
  <si>
    <t>13705 - integración</t>
  </si>
  <si>
    <t>13766 - integración</t>
  </si>
  <si>
    <t>13773 - integración</t>
  </si>
  <si>
    <t>13775-2</t>
  </si>
  <si>
    <t>13773-2</t>
  </si>
  <si>
    <t>13777-1</t>
  </si>
  <si>
    <t>13778-1</t>
  </si>
  <si>
    <t>13776-2</t>
  </si>
  <si>
    <t>13777-2</t>
  </si>
  <si>
    <t>13778-2</t>
  </si>
  <si>
    <t>13779-1</t>
  </si>
  <si>
    <t>13780-1</t>
  </si>
  <si>
    <t>13781-1</t>
  </si>
  <si>
    <t>13782-1</t>
  </si>
  <si>
    <t>13780-2</t>
  </si>
  <si>
    <t>13781-2</t>
  </si>
  <si>
    <t>13779 - integración</t>
  </si>
  <si>
    <t>13779-2</t>
  </si>
  <si>
    <t>13783-1</t>
  </si>
  <si>
    <t>13784-1</t>
  </si>
  <si>
    <t>13782-2</t>
  </si>
  <si>
    <t>13783-2</t>
  </si>
  <si>
    <t>13784-2</t>
  </si>
  <si>
    <t>13782 - integración</t>
  </si>
  <si>
    <t>13775 - integración</t>
  </si>
  <si>
    <t>13785-1</t>
  </si>
  <si>
    <t>13786-1</t>
  </si>
  <si>
    <t>13787-1</t>
  </si>
  <si>
    <t>13746-3</t>
  </si>
  <si>
    <t>13771- integración</t>
  </si>
  <si>
    <t>13780 - integración</t>
  </si>
  <si>
    <t>13786-2</t>
  </si>
  <si>
    <t>13785-2</t>
  </si>
  <si>
    <t>13787-2</t>
  </si>
  <si>
    <t>13788-1</t>
  </si>
  <si>
    <t>13789-1</t>
  </si>
  <si>
    <t>13790-1</t>
  </si>
  <si>
    <t>13791-1</t>
  </si>
  <si>
    <t>13789-2</t>
  </si>
  <si>
    <t>13792-1</t>
  </si>
  <si>
    <t>13793-1</t>
  </si>
  <si>
    <t>13794-1</t>
  </si>
  <si>
    <t>13784 - integración</t>
  </si>
  <si>
    <t>13790-2</t>
  </si>
  <si>
    <t>13795-1</t>
  </si>
  <si>
    <t>13794-2</t>
  </si>
  <si>
    <t>13776 - integración</t>
  </si>
  <si>
    <t>13794 - integración</t>
  </si>
  <si>
    <t>13792-2</t>
  </si>
  <si>
    <t>13795-2</t>
  </si>
  <si>
    <t>13796-1</t>
  </si>
  <si>
    <t>13785 - integración</t>
  </si>
  <si>
    <t>13790-3</t>
  </si>
  <si>
    <t>13798-1</t>
  </si>
  <si>
    <t>13796-2</t>
  </si>
  <si>
    <t>13797-1</t>
  </si>
  <si>
    <t>13793 - integración</t>
  </si>
  <si>
    <t>13778 - integración</t>
  </si>
  <si>
    <t>13792 - integración</t>
  </si>
  <si>
    <t>13799-1</t>
  </si>
  <si>
    <t>13796-3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</si>
</sst>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* #,##0.00\ _€_-;\-* #,##0.00\ _€_-;_-* &quot;-&quot;??\ _€_-;_-@_-"/>
    <numFmt numFmtId="166" formatCode="_-* #,##0.00\ [$€]_-;\-* #,##0.00\ [$€]_-;_-* &quot;-&quot;??\ [$€]_-;_-@_-"/>
    <numFmt numFmtId="167" formatCode="_ * #,##0.00_ ;_ * \-#,##0.00_ ;_ * &quot;-&quot;??_ ;_ @_ "/>
    <numFmt numFmtId="168" formatCode="0.0%"/>
    <numFmt numFmtId="169" formatCode="_-* #,##0_-;\-* #,##0_-;_-* &quot;-&quot;??_-;_-@_-"/>
    <numFmt numFmtId="170" formatCode="0.0"/>
    <numFmt numFmtId="171" formatCode="#,##0.00_ ;\-#,##0.00\ "/>
    <numFmt numFmtId="172" formatCode="0.000%"/>
    <numFmt numFmtId="173" formatCode="_-* #,##0.000000000_-;\-* #,##0.000000000_-;_-* &quot;-&quot;??_-;_-@_-"/>
    <numFmt numFmtId="174" formatCode="_-* #,##0.0_-;\-* #,##0.0_-;_-* &quot;-&quot;??_-;_-@_-"/>
    <numFmt numFmtId="175" formatCode="_-* #,##0.000_-;\-* #,##0.000_-;_-* &quot;-&quot;??_-;_-@_-"/>
    <numFmt numFmtId="176" formatCode="_-* #,##0.0000_-;\-* #,##0.0000_-;_-* &quot;-&quot;??_-;_-@_-"/>
    <numFmt numFmtId="177" formatCode="_-* #,##0.0000000_-;\-* #,##0.0000000_-;_-* &quot;-&quot;??_-;_-@_-"/>
    <numFmt numFmtId="178" formatCode="_-* #,##0.00000_-;\-* #,##0.000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color indexed="9"/>
      <name val="Le Monde Sans Std"/>
      <family val="3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166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" fillId="0" borderId="0"/>
    <xf numFmtId="0" fontId="3" fillId="0" borderId="0"/>
  </cellStyleXfs>
  <cellXfs count="84">
    <xf numFmtId="0" fontId="0" fillId="0" borderId="0" xfId="0"/>
    <xf numFmtId="0" fontId="0" fillId="3" borderId="0" xfId="0" applyFill="1"/>
    <xf numFmtId="14" fontId="0" fillId="3" borderId="0" xfId="0" applyNumberFormat="1" applyFill="1"/>
    <xf numFmtId="0" fontId="0" fillId="3" borderId="0" xfId="0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14" fontId="1" fillId="4" borderId="6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0" fontId="0" fillId="6" borderId="0" xfId="8" applyNumberFormat="1" applyFont="1" applyFill="1" applyBorder="1" applyAlignment="1">
      <alignment horizontal="center"/>
    </xf>
    <xf numFmtId="0" fontId="4" fillId="3" borderId="0" xfId="4" applyFont="1" applyFill="1" applyAlignment="1">
      <alignment vertical="center" wrapText="1"/>
    </xf>
    <xf numFmtId="10" fontId="0" fillId="3" borderId="2" xfId="8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14" fontId="0" fillId="3" borderId="7" xfId="0" applyNumberFormat="1" applyFill="1" applyBorder="1" applyAlignment="1">
      <alignment horizontal="center"/>
    </xf>
    <xf numFmtId="20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9" fontId="0" fillId="6" borderId="7" xfId="9" applyNumberFormat="1" applyFont="1" applyFill="1" applyBorder="1" applyAlignment="1">
      <alignment horizontal="center"/>
    </xf>
    <xf numFmtId="164" fontId="0" fillId="6" borderId="7" xfId="0" applyNumberFormat="1" applyFill="1" applyBorder="1" applyAlignment="1">
      <alignment horizontal="center"/>
    </xf>
    <xf numFmtId="164" fontId="0" fillId="6" borderId="7" xfId="9" applyFont="1" applyFill="1" applyBorder="1" applyAlignment="1">
      <alignment horizontal="center"/>
    </xf>
    <xf numFmtId="168" fontId="0" fillId="6" borderId="7" xfId="8" applyNumberFormat="1" applyFont="1" applyFill="1" applyBorder="1" applyAlignment="1">
      <alignment horizontal="center"/>
    </xf>
    <xf numFmtId="9" fontId="0" fillId="6" borderId="7" xfId="8" applyFont="1" applyFill="1" applyBorder="1" applyAlignment="1">
      <alignment horizontal="center"/>
    </xf>
    <xf numFmtId="164" fontId="0" fillId="6" borderId="7" xfId="8" applyNumberFormat="1" applyFont="1" applyFill="1" applyBorder="1" applyAlignment="1">
      <alignment horizontal="center"/>
    </xf>
    <xf numFmtId="169" fontId="0" fillId="5" borderId="7" xfId="9" applyNumberFormat="1" applyFont="1" applyFill="1" applyBorder="1" applyAlignment="1">
      <alignment horizontal="center"/>
    </xf>
    <xf numFmtId="164" fontId="0" fillId="5" borderId="7" xfId="9" applyFont="1" applyFill="1" applyBorder="1" applyAlignment="1">
      <alignment horizontal="center"/>
    </xf>
    <xf numFmtId="168" fontId="0" fillId="5" borderId="7" xfId="8" applyNumberFormat="1" applyFont="1" applyFill="1" applyBorder="1" applyAlignment="1">
      <alignment horizontal="center"/>
    </xf>
    <xf numFmtId="9" fontId="0" fillId="5" borderId="7" xfId="8" applyFont="1" applyFill="1" applyBorder="1" applyAlignment="1">
      <alignment horizontal="center"/>
    </xf>
    <xf numFmtId="10" fontId="0" fillId="3" borderId="7" xfId="8" applyNumberFormat="1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14" fontId="1" fillId="4" borderId="8" xfId="0" applyNumberFormat="1" applyFont="1" applyFill="1" applyBorder="1" applyAlignment="1">
      <alignment horizontal="center"/>
    </xf>
    <xf numFmtId="10" fontId="1" fillId="7" borderId="7" xfId="8" applyNumberFormat="1" applyFont="1" applyFill="1" applyBorder="1" applyAlignment="1">
      <alignment horizontal="center"/>
    </xf>
    <xf numFmtId="0" fontId="0" fillId="3" borderId="7" xfId="0" applyFill="1" applyBorder="1" applyAlignment="1">
      <alignment horizontal="left"/>
    </xf>
    <xf numFmtId="170" fontId="0" fillId="3" borderId="7" xfId="0" applyNumberFormat="1" applyFill="1" applyBorder="1" applyAlignment="1">
      <alignment horizontal="center"/>
    </xf>
    <xf numFmtId="9" fontId="0" fillId="3" borderId="7" xfId="8" applyFont="1" applyFill="1" applyBorder="1" applyAlignment="1">
      <alignment horizontal="center"/>
    </xf>
    <xf numFmtId="171" fontId="0" fillId="3" borderId="7" xfId="9" applyNumberFormat="1" applyFont="1" applyFill="1" applyBorder="1" applyAlignment="1">
      <alignment horizontal="center"/>
    </xf>
    <xf numFmtId="14" fontId="0" fillId="3" borderId="7" xfId="0" applyNumberFormat="1" applyFill="1" applyBorder="1" applyAlignment="1">
      <alignment horizontal="left"/>
    </xf>
    <xf numFmtId="1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64" fontId="0" fillId="3" borderId="0" xfId="9" applyFont="1" applyFill="1" applyAlignment="1">
      <alignment horizontal="center"/>
    </xf>
    <xf numFmtId="164" fontId="0" fillId="3" borderId="0" xfId="9" applyFont="1" applyFill="1" applyBorder="1" applyAlignment="1">
      <alignment horizontal="center"/>
    </xf>
    <xf numFmtId="0" fontId="4" fillId="3" borderId="0" xfId="4" applyFont="1" applyFill="1" applyAlignment="1">
      <alignment horizontal="center" vertical="center" wrapText="1"/>
    </xf>
    <xf numFmtId="172" fontId="0" fillId="3" borderId="7" xfId="8" applyNumberFormat="1" applyFont="1" applyFill="1" applyBorder="1" applyAlignment="1">
      <alignment horizontal="center"/>
    </xf>
    <xf numFmtId="9" fontId="0" fillId="6" borderId="0" xfId="8" applyFont="1" applyFill="1" applyBorder="1" applyAlignment="1">
      <alignment horizontal="center"/>
    </xf>
    <xf numFmtId="9" fontId="0" fillId="5" borderId="0" xfId="8" applyFont="1" applyFill="1" applyBorder="1" applyAlignment="1">
      <alignment horizontal="center"/>
    </xf>
    <xf numFmtId="2" fontId="0" fillId="3" borderId="0" xfId="0" applyNumberFormat="1" applyFill="1"/>
    <xf numFmtId="2" fontId="1" fillId="4" borderId="1" xfId="0" applyNumberFormat="1" applyFont="1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9" fontId="0" fillId="3" borderId="0" xfId="8" applyFont="1" applyFill="1" applyBorder="1"/>
    <xf numFmtId="168" fontId="0" fillId="6" borderId="0" xfId="8" applyNumberFormat="1" applyFont="1" applyFill="1" applyBorder="1" applyAlignment="1">
      <alignment horizontal="center"/>
    </xf>
    <xf numFmtId="168" fontId="0" fillId="3" borderId="0" xfId="8" applyNumberFormat="1" applyFont="1" applyFill="1" applyBorder="1" applyAlignment="1">
      <alignment horizontal="center"/>
    </xf>
    <xf numFmtId="168" fontId="0" fillId="5" borderId="0" xfId="8" applyNumberFormat="1" applyFont="1" applyFill="1" applyBorder="1" applyAlignment="1">
      <alignment horizontal="center"/>
    </xf>
    <xf numFmtId="168" fontId="0" fillId="3" borderId="0" xfId="8" applyNumberFormat="1" applyFont="1" applyFill="1" applyBorder="1"/>
    <xf numFmtId="169" fontId="0" fillId="3" borderId="7" xfId="0" applyNumberFormat="1" applyFill="1" applyBorder="1" applyAlignment="1">
      <alignment horizontal="center"/>
    </xf>
    <xf numFmtId="1" fontId="0" fillId="3" borderId="7" xfId="0" applyNumberFormat="1" applyFill="1" applyBorder="1" applyAlignment="1">
      <alignment horizontal="center"/>
    </xf>
    <xf numFmtId="164" fontId="0" fillId="3" borderId="0" xfId="9" applyFont="1" applyFill="1"/>
    <xf numFmtId="14" fontId="0" fillId="3" borderId="7" xfId="9" applyNumberFormat="1" applyFont="1" applyFill="1" applyBorder="1" applyAlignment="1">
      <alignment horizontal="center"/>
    </xf>
    <xf numFmtId="173" fontId="0" fillId="3" borderId="0" xfId="0" applyNumberFormat="1" applyFill="1"/>
    <xf numFmtId="174" fontId="0" fillId="6" borderId="7" xfId="9" applyNumberFormat="1" applyFont="1" applyFill="1" applyBorder="1" applyAlignment="1">
      <alignment horizontal="center"/>
    </xf>
    <xf numFmtId="175" fontId="0" fillId="6" borderId="7" xfId="9" applyNumberFormat="1" applyFont="1" applyFill="1" applyBorder="1" applyAlignment="1">
      <alignment horizontal="center"/>
    </xf>
    <xf numFmtId="176" fontId="0" fillId="6" borderId="7" xfId="9" applyNumberFormat="1" applyFont="1" applyFill="1" applyBorder="1" applyAlignment="1">
      <alignment horizontal="center"/>
    </xf>
    <xf numFmtId="177" fontId="0" fillId="3" borderId="0" xfId="9" applyNumberFormat="1" applyFont="1" applyFill="1"/>
    <xf numFmtId="174" fontId="0" fillId="3" borderId="0" xfId="0" applyNumberFormat="1" applyFill="1" applyAlignment="1">
      <alignment horizontal="center"/>
    </xf>
    <xf numFmtId="174" fontId="0" fillId="3" borderId="0" xfId="0" applyNumberFormat="1" applyFill="1"/>
    <xf numFmtId="174" fontId="1" fillId="4" borderId="1" xfId="0" applyNumberFormat="1" applyFont="1" applyFill="1" applyBorder="1" applyAlignment="1">
      <alignment horizontal="center"/>
    </xf>
    <xf numFmtId="0" fontId="7" fillId="0" borderId="0" xfId="0" applyFont="1"/>
    <xf numFmtId="164" fontId="7" fillId="0" borderId="0" xfId="9" applyFont="1"/>
    <xf numFmtId="164" fontId="0" fillId="3" borderId="0" xfId="0" applyNumberFormat="1" applyFill="1"/>
    <xf numFmtId="177" fontId="0" fillId="6" borderId="7" xfId="9" applyNumberFormat="1" applyFont="1" applyFill="1" applyBorder="1" applyAlignment="1">
      <alignment horizontal="center"/>
    </xf>
    <xf numFmtId="178" fontId="0" fillId="3" borderId="0" xfId="9" applyNumberFormat="1" applyFont="1" applyFill="1"/>
    <xf numFmtId="14" fontId="0" fillId="0" borderId="7" xfId="0" applyNumberFormat="1" applyBorder="1" applyAlignment="1">
      <alignment horizontal="center"/>
    </xf>
    <xf numFmtId="14" fontId="0" fillId="3" borderId="0" xfId="0" applyNumberFormat="1" applyFill="1" applyAlignment="1">
      <alignment horizontal="center"/>
    </xf>
    <xf numFmtId="169" fontId="0" fillId="6" borderId="7" xfId="9" applyNumberFormat="1" applyFont="1" applyFill="1" applyBorder="1" applyAlignment="1">
      <alignment horizontal="left"/>
    </xf>
    <xf numFmtId="168" fontId="0" fillId="3" borderId="7" xfId="8" applyNumberFormat="1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71" fontId="0" fillId="3" borderId="0" xfId="0" applyNumberFormat="1" applyFill="1"/>
    <xf numFmtId="164" fontId="0" fillId="3" borderId="0" xfId="9" applyFont="1" applyFill="1" applyAlignment="1">
      <alignment horizontal="left"/>
    </xf>
    <xf numFmtId="169" fontId="0" fillId="3" borderId="0" xfId="0" applyNumberFormat="1" applyFill="1" applyAlignment="1">
      <alignment horizontal="center"/>
    </xf>
    <xf numFmtId="169" fontId="0" fillId="3" borderId="0" xfId="0" applyNumberFormat="1" applyFill="1"/>
    <xf numFmtId="178" fontId="0" fillId="6" borderId="7" xfId="9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4" fillId="2" borderId="0" xfId="4" applyFont="1" applyFill="1" applyAlignment="1">
      <alignment horizontal="center" vertical="center" wrapText="1"/>
    </xf>
    <xf numFmtId="0" fontId="4" fillId="2" borderId="0" xfId="4" applyFont="1" applyFill="1" applyAlignment="1">
      <alignment horizontal="left" vertical="center" wrapText="1"/>
    </xf>
  </cellXfs>
  <cellStyles count="12">
    <cellStyle name="Euro" xfId="1" xr:uid="{00000000-0005-0000-0000-000000000000}"/>
    <cellStyle name="Millares" xfId="9" builtinId="3"/>
    <cellStyle name="Millares 2" xfId="3" xr:uid="{00000000-0005-0000-0000-000002000000}"/>
    <cellStyle name="Millares 2 2" xfId="7" xr:uid="{00000000-0005-0000-0000-000003000000}"/>
    <cellStyle name="Millares 3" xfId="2" xr:uid="{00000000-0005-0000-0000-000004000000}"/>
    <cellStyle name="Millares 4" xfId="6" xr:uid="{00000000-0005-0000-0000-000005000000}"/>
    <cellStyle name="Normal" xfId="0" builtinId="0"/>
    <cellStyle name="Normal 2" xfId="4" xr:uid="{00000000-0005-0000-0000-000007000000}"/>
    <cellStyle name="Normal 2 2" xfId="10" xr:uid="{00000000-0005-0000-0000-000008000000}"/>
    <cellStyle name="Normal 3" xfId="11" xr:uid="{00000000-0005-0000-0000-000009000000}"/>
    <cellStyle name="Porcentaje" xfId="8" builtinId="5"/>
    <cellStyle name="Porcentaje 2" xfId="5" xr:uid="{00000000-0005-0000-0000-00000B000000}"/>
  </cellStyles>
  <dxfs count="0"/>
  <tableStyles count="0" defaultTableStyle="TableStyleMedium2" defaultPivotStyle="PivotStyleLight16"/>
  <colors>
    <mruColors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454538</xdr:colOff>
      <xdr:row>1</xdr:row>
      <xdr:rowOff>107156</xdr:rowOff>
    </xdr:from>
    <xdr:to>
      <xdr:col>3</xdr:col>
      <xdr:colOff>239933</xdr:colOff>
      <xdr:row>5</xdr:row>
      <xdr:rowOff>78489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4538" y="297656"/>
          <a:ext cx="2321427" cy="7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168787</xdr:colOff>
      <xdr:row>1</xdr:row>
      <xdr:rowOff>107155</xdr:rowOff>
    </xdr:from>
    <xdr:to>
      <xdr:col>3</xdr:col>
      <xdr:colOff>13714</xdr:colOff>
      <xdr:row>5</xdr:row>
      <xdr:rowOff>78488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787" y="297655"/>
          <a:ext cx="2333333" cy="733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188118</xdr:colOff>
      <xdr:row>1</xdr:row>
      <xdr:rowOff>66675</xdr:rowOff>
    </xdr:from>
    <xdr:to>
      <xdr:col>1</xdr:col>
      <xdr:colOff>1714627</xdr:colOff>
      <xdr:row>5</xdr:row>
      <xdr:rowOff>49214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118" y="257175"/>
          <a:ext cx="2324088" cy="7350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511968</xdr:colOff>
      <xdr:row>1</xdr:row>
      <xdr:rowOff>95250</xdr:rowOff>
    </xdr:from>
    <xdr:to>
      <xdr:col>4</xdr:col>
      <xdr:colOff>551205</xdr:colOff>
      <xdr:row>5</xdr:row>
      <xdr:rowOff>60868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968" y="285750"/>
          <a:ext cx="2330952" cy="7333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188118</xdr:colOff>
      <xdr:row>1</xdr:row>
      <xdr:rowOff>66675</xdr:rowOff>
    </xdr:from>
    <xdr:to>
      <xdr:col>1</xdr:col>
      <xdr:colOff>1835370</xdr:colOff>
      <xdr:row>5</xdr:row>
      <xdr:rowOff>49214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118" y="257175"/>
          <a:ext cx="2328570" cy="7333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gzech\Documents\GroupWise\Instrumentos%20Reservados%20al%2020260113174149.xls" TargetMode="External"/><Relationship Id="rId1" Type="http://schemas.openxmlformats.org/officeDocument/2006/relationships/externalLinkPath" Target="file:///C:\Users\mgzech\Documents\GroupWise\Instrumentos%20Reservados%20al%202026011317414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  <sheetName val="Hoja3"/>
    </sheetNames>
    <sheetDataSet>
      <sheetData sheetId="0">
        <row r="6">
          <cell r="I6">
            <v>110762252</v>
          </cell>
        </row>
        <row r="7">
          <cell r="I7">
            <v>200000000</v>
          </cell>
        </row>
        <row r="12">
          <cell r="I12">
            <v>521850000</v>
          </cell>
        </row>
        <row r="15">
          <cell r="I15">
            <v>1436760625</v>
          </cell>
        </row>
        <row r="18">
          <cell r="I18">
            <v>531888403</v>
          </cell>
        </row>
        <row r="23">
          <cell r="I23">
            <v>263939209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Q2519"/>
  <sheetViews>
    <sheetView tabSelected="1" zoomScale="90" zoomScaleNormal="90" workbookViewId="0">
      <pane ySplit="9" topLeftCell="A2507" activePane="bottomLeft" state="frozen"/>
      <selection pane="bottomLeft" activeCell="I2526" sqref="I2526"/>
    </sheetView>
  </sheetViews>
  <sheetFormatPr baseColWidth="10" defaultColWidth="11.42578125" defaultRowHeight="15" x14ac:dyDescent="0.25"/>
  <cols>
    <col min="1" max="1" width="11.7109375" style="2" customWidth="1"/>
    <col min="2" max="2" width="17.85546875" style="1" bestFit="1" customWidth="1"/>
    <col min="3" max="3" width="6.42578125" style="3" bestFit="1" customWidth="1"/>
    <col min="4" max="4" width="13.5703125" style="3" bestFit="1" customWidth="1"/>
    <col min="5" max="5" width="39.28515625" style="3" bestFit="1" customWidth="1"/>
    <col min="6" max="6" width="14.140625" style="3" bestFit="1" customWidth="1"/>
    <col min="7" max="7" width="13.5703125" style="3" bestFit="1" customWidth="1"/>
    <col min="8" max="8" width="31.7109375" style="3" bestFit="1" customWidth="1"/>
    <col min="9" max="16384" width="11.42578125" style="1"/>
  </cols>
  <sheetData>
    <row r="1" spans="1:8" x14ac:dyDescent="0.25">
      <c r="H1" s="1"/>
    </row>
    <row r="2" spans="1:8" ht="15" customHeight="1" x14ac:dyDescent="0.25">
      <c r="E2" s="82" t="s">
        <v>299</v>
      </c>
      <c r="F2" s="82"/>
      <c r="G2" s="82"/>
      <c r="H2" s="1"/>
    </row>
    <row r="3" spans="1:8" x14ac:dyDescent="0.25">
      <c r="E3" s="82"/>
      <c r="F3" s="82"/>
      <c r="G3" s="82"/>
      <c r="H3" s="1"/>
    </row>
    <row r="4" spans="1:8" x14ac:dyDescent="0.25">
      <c r="E4" s="82"/>
      <c r="F4" s="82"/>
      <c r="G4" s="82"/>
      <c r="H4" s="1"/>
    </row>
    <row r="5" spans="1:8" x14ac:dyDescent="0.25">
      <c r="E5" s="82"/>
      <c r="F5" s="82"/>
      <c r="G5" s="82"/>
      <c r="H5" s="1"/>
    </row>
    <row r="6" spans="1:8" x14ac:dyDescent="0.25">
      <c r="E6" s="82"/>
      <c r="F6" s="82"/>
      <c r="G6" s="82"/>
      <c r="H6" s="1"/>
    </row>
    <row r="7" spans="1:8" x14ac:dyDescent="0.25">
      <c r="H7" s="1"/>
    </row>
    <row r="8" spans="1:8" x14ac:dyDescent="0.25">
      <c r="H8" s="1"/>
    </row>
    <row r="9" spans="1:8" ht="15" customHeight="1" x14ac:dyDescent="0.25">
      <c r="A9" s="7" t="s">
        <v>18</v>
      </c>
      <c r="B9" s="8" t="s">
        <v>300</v>
      </c>
      <c r="C9" s="28" t="s">
        <v>0</v>
      </c>
      <c r="D9" s="7" t="s">
        <v>1</v>
      </c>
      <c r="E9" s="8" t="s">
        <v>304</v>
      </c>
      <c r="F9" s="29" t="s">
        <v>301</v>
      </c>
      <c r="G9" s="8" t="s">
        <v>302</v>
      </c>
      <c r="H9" s="8" t="s">
        <v>659</v>
      </c>
    </row>
    <row r="10" spans="1:8" x14ac:dyDescent="0.25">
      <c r="A10" s="13">
        <v>43861</v>
      </c>
      <c r="B10" s="15" t="s">
        <v>21</v>
      </c>
      <c r="C10" s="3">
        <v>3</v>
      </c>
      <c r="D10" s="13">
        <f>+A10+C10</f>
        <v>43864</v>
      </c>
      <c r="E10" s="15">
        <v>-360</v>
      </c>
      <c r="F10" s="9">
        <v>0.25</v>
      </c>
      <c r="G10" s="9">
        <v>0.25</v>
      </c>
      <c r="H10" s="15">
        <f t="shared" ref="H10:H73" si="0">+SUMIFS($E$10:$E$4503,$A$10:$A$4503,"&lt;="&amp;A10,$D$10:$D$4503,"&gt;"&amp;A10)</f>
        <v>-360</v>
      </c>
    </row>
    <row r="11" spans="1:8" x14ac:dyDescent="0.25">
      <c r="A11" s="13">
        <v>44061</v>
      </c>
      <c r="B11" s="15" t="s">
        <v>21</v>
      </c>
      <c r="C11" s="3">
        <v>3</v>
      </c>
      <c r="D11" s="13">
        <f t="shared" ref="D11:D74" si="1">+A11+C11</f>
        <v>44064</v>
      </c>
      <c r="E11" s="15">
        <v>100</v>
      </c>
      <c r="F11" s="9">
        <v>5.2499999999999998E-2</v>
      </c>
      <c r="G11" s="9">
        <v>5.2499999999999998E-2</v>
      </c>
      <c r="H11" s="15">
        <f t="shared" si="0"/>
        <v>100</v>
      </c>
    </row>
    <row r="12" spans="1:8" x14ac:dyDescent="0.25">
      <c r="A12" s="13">
        <v>44062</v>
      </c>
      <c r="B12" s="15" t="s">
        <v>21</v>
      </c>
      <c r="C12" s="3">
        <v>5</v>
      </c>
      <c r="D12" s="13">
        <f t="shared" si="1"/>
        <v>44067</v>
      </c>
      <c r="E12" s="15">
        <v>100</v>
      </c>
      <c r="F12" s="9">
        <v>5.2499999999999998E-2</v>
      </c>
      <c r="G12" s="9">
        <v>5.2499999999999998E-2</v>
      </c>
      <c r="H12" s="15">
        <f t="shared" si="0"/>
        <v>200</v>
      </c>
    </row>
    <row r="13" spans="1:8" x14ac:dyDescent="0.25">
      <c r="A13" s="13">
        <v>44067</v>
      </c>
      <c r="B13" s="15" t="s">
        <v>21</v>
      </c>
      <c r="C13" s="3">
        <v>8</v>
      </c>
      <c r="D13" s="13">
        <f t="shared" si="1"/>
        <v>44075</v>
      </c>
      <c r="E13" s="15">
        <v>900</v>
      </c>
      <c r="F13" s="9">
        <v>4.4999999999999998E-2</v>
      </c>
      <c r="G13" s="9">
        <v>4.4999999999999998E-2</v>
      </c>
      <c r="H13" s="15">
        <f t="shared" si="0"/>
        <v>1100</v>
      </c>
    </row>
    <row r="14" spans="1:8" x14ac:dyDescent="0.25">
      <c r="A14" s="13">
        <v>44067</v>
      </c>
      <c r="B14" s="15" t="s">
        <v>21</v>
      </c>
      <c r="C14" s="3">
        <v>3</v>
      </c>
      <c r="D14" s="13">
        <f t="shared" si="1"/>
        <v>44070</v>
      </c>
      <c r="E14" s="15">
        <v>200</v>
      </c>
      <c r="F14" s="9">
        <v>0.04</v>
      </c>
      <c r="G14" s="9">
        <v>0.04</v>
      </c>
      <c r="H14" s="15">
        <f t="shared" si="0"/>
        <v>1100</v>
      </c>
    </row>
    <row r="15" spans="1:8" x14ac:dyDescent="0.25">
      <c r="A15" s="13">
        <v>44070</v>
      </c>
      <c r="B15" s="15" t="s">
        <v>21</v>
      </c>
      <c r="C15" s="3">
        <v>4</v>
      </c>
      <c r="D15" s="13">
        <f t="shared" si="1"/>
        <v>44074</v>
      </c>
      <c r="E15" s="15">
        <v>100</v>
      </c>
      <c r="F15" s="9">
        <v>4.4999999999999998E-2</v>
      </c>
      <c r="G15" s="9">
        <v>4.4999999999999998E-2</v>
      </c>
      <c r="H15" s="15">
        <f t="shared" si="0"/>
        <v>1000</v>
      </c>
    </row>
    <row r="16" spans="1:8" x14ac:dyDescent="0.25">
      <c r="A16" s="13">
        <v>44071</v>
      </c>
      <c r="B16" s="15" t="s">
        <v>21</v>
      </c>
      <c r="C16" s="3">
        <v>4</v>
      </c>
      <c r="D16" s="13">
        <f t="shared" si="1"/>
        <v>44075</v>
      </c>
      <c r="E16" s="15">
        <v>100</v>
      </c>
      <c r="F16" s="9">
        <v>4.2000000000000003E-2</v>
      </c>
      <c r="G16" s="9">
        <v>4.2000000000000003E-2</v>
      </c>
      <c r="H16" s="15">
        <f t="shared" si="0"/>
        <v>1100</v>
      </c>
    </row>
    <row r="17" spans="1:8" x14ac:dyDescent="0.25">
      <c r="A17" s="13">
        <v>44078</v>
      </c>
      <c r="B17" s="15" t="s">
        <v>21</v>
      </c>
      <c r="C17" s="3">
        <v>7</v>
      </c>
      <c r="D17" s="13">
        <f t="shared" si="1"/>
        <v>44085</v>
      </c>
      <c r="E17" s="15">
        <v>1600</v>
      </c>
      <c r="F17" s="9">
        <v>4.4999999999999998E-2</v>
      </c>
      <c r="G17" s="9">
        <v>4.4999999999999998E-2</v>
      </c>
      <c r="H17" s="15">
        <f t="shared" si="0"/>
        <v>2500</v>
      </c>
    </row>
    <row r="18" spans="1:8" x14ac:dyDescent="0.25">
      <c r="A18" s="13">
        <v>44078</v>
      </c>
      <c r="B18" s="15" t="s">
        <v>21</v>
      </c>
      <c r="C18" s="3">
        <v>5</v>
      </c>
      <c r="D18" s="13">
        <f t="shared" si="1"/>
        <v>44083</v>
      </c>
      <c r="E18" s="15">
        <v>900</v>
      </c>
      <c r="F18" s="9">
        <v>4.4999999999999998E-2</v>
      </c>
      <c r="G18" s="9">
        <v>4.7E-2</v>
      </c>
      <c r="H18" s="15">
        <f t="shared" si="0"/>
        <v>2500</v>
      </c>
    </row>
    <row r="19" spans="1:8" x14ac:dyDescent="0.25">
      <c r="A19" s="13">
        <v>44081</v>
      </c>
      <c r="B19" s="15" t="s">
        <v>21</v>
      </c>
      <c r="C19" s="3">
        <v>3</v>
      </c>
      <c r="D19" s="13">
        <f t="shared" si="1"/>
        <v>44084</v>
      </c>
      <c r="E19" s="15">
        <v>400</v>
      </c>
      <c r="F19" s="9">
        <v>4.5999999999999999E-2</v>
      </c>
      <c r="G19" s="9">
        <v>4.5999999999999999E-2</v>
      </c>
      <c r="H19" s="15">
        <f t="shared" si="0"/>
        <v>2900</v>
      </c>
    </row>
    <row r="20" spans="1:8" x14ac:dyDescent="0.25">
      <c r="A20" s="13">
        <v>44082</v>
      </c>
      <c r="B20" s="15" t="s">
        <v>21</v>
      </c>
      <c r="C20" s="3">
        <v>6</v>
      </c>
      <c r="D20" s="13">
        <f t="shared" si="1"/>
        <v>44088</v>
      </c>
      <c r="E20" s="15">
        <v>1060</v>
      </c>
      <c r="F20" s="9">
        <v>4.4999999999999998E-2</v>
      </c>
      <c r="G20" s="9">
        <v>4.4999999999999998E-2</v>
      </c>
      <c r="H20" s="15">
        <f t="shared" si="0"/>
        <v>3960</v>
      </c>
    </row>
    <row r="21" spans="1:8" x14ac:dyDescent="0.25">
      <c r="A21" s="13">
        <v>44083</v>
      </c>
      <c r="B21" s="15" t="s">
        <v>21</v>
      </c>
      <c r="C21" s="3">
        <v>7</v>
      </c>
      <c r="D21" s="13">
        <f t="shared" si="1"/>
        <v>44090</v>
      </c>
      <c r="E21" s="15">
        <v>1000</v>
      </c>
      <c r="F21" s="9">
        <v>4.4999999999999998E-2</v>
      </c>
      <c r="G21" s="9">
        <v>4.4999999999999998E-2</v>
      </c>
      <c r="H21" s="15">
        <f t="shared" si="0"/>
        <v>4260</v>
      </c>
    </row>
    <row r="22" spans="1:8" x14ac:dyDescent="0.25">
      <c r="A22" s="13">
        <v>44083</v>
      </c>
      <c r="B22" s="15" t="s">
        <v>21</v>
      </c>
      <c r="C22" s="3">
        <v>2</v>
      </c>
      <c r="D22" s="13">
        <f t="shared" si="1"/>
        <v>44085</v>
      </c>
      <c r="E22" s="15">
        <v>200</v>
      </c>
      <c r="F22" s="9">
        <v>4.4999999999999998E-2</v>
      </c>
      <c r="G22" s="9">
        <v>4.4999999999999998E-2</v>
      </c>
      <c r="H22" s="15">
        <f t="shared" si="0"/>
        <v>4260</v>
      </c>
    </row>
    <row r="23" spans="1:8" x14ac:dyDescent="0.25">
      <c r="A23" s="13">
        <v>44084</v>
      </c>
      <c r="B23" s="15" t="s">
        <v>21</v>
      </c>
      <c r="C23" s="3">
        <v>4</v>
      </c>
      <c r="D23" s="13">
        <f t="shared" si="1"/>
        <v>44088</v>
      </c>
      <c r="E23" s="15">
        <v>900</v>
      </c>
      <c r="F23" s="9">
        <v>4.4999999999999998E-2</v>
      </c>
      <c r="G23" s="9">
        <v>4.4999999999999998E-2</v>
      </c>
      <c r="H23" s="15">
        <f t="shared" si="0"/>
        <v>4760</v>
      </c>
    </row>
    <row r="24" spans="1:8" x14ac:dyDescent="0.25">
      <c r="A24" s="13">
        <v>44085</v>
      </c>
      <c r="B24" s="15" t="s">
        <v>21</v>
      </c>
      <c r="C24" s="3">
        <v>3</v>
      </c>
      <c r="D24" s="13">
        <f t="shared" si="1"/>
        <v>44088</v>
      </c>
      <c r="E24" s="15">
        <v>300</v>
      </c>
      <c r="F24" s="9">
        <v>0.04</v>
      </c>
      <c r="G24" s="9">
        <v>4.4999999999999998E-2</v>
      </c>
      <c r="H24" s="15">
        <f t="shared" si="0"/>
        <v>6860</v>
      </c>
    </row>
    <row r="25" spans="1:8" x14ac:dyDescent="0.25">
      <c r="A25" s="13">
        <v>44085</v>
      </c>
      <c r="B25" s="15" t="s">
        <v>21</v>
      </c>
      <c r="C25" s="3">
        <v>4</v>
      </c>
      <c r="D25" s="13">
        <f t="shared" si="1"/>
        <v>44089</v>
      </c>
      <c r="E25" s="15">
        <v>3000</v>
      </c>
      <c r="F25" s="9">
        <v>4.4999999999999998E-2</v>
      </c>
      <c r="G25" s="9">
        <v>4.4999999999999998E-2</v>
      </c>
      <c r="H25" s="15">
        <f t="shared" si="0"/>
        <v>6860</v>
      </c>
    </row>
    <row r="26" spans="1:8" x14ac:dyDescent="0.25">
      <c r="A26" s="13">
        <v>44085</v>
      </c>
      <c r="B26" s="15" t="s">
        <v>21</v>
      </c>
      <c r="C26" s="3">
        <v>6</v>
      </c>
      <c r="D26" s="13">
        <f t="shared" si="1"/>
        <v>44091</v>
      </c>
      <c r="E26" s="15">
        <v>600</v>
      </c>
      <c r="F26" s="9">
        <v>4.4999999999999998E-2</v>
      </c>
      <c r="G26" s="9">
        <v>4.4999999999999998E-2</v>
      </c>
      <c r="H26" s="15">
        <f t="shared" si="0"/>
        <v>6860</v>
      </c>
    </row>
    <row r="27" spans="1:8" x14ac:dyDescent="0.25">
      <c r="A27" s="13">
        <v>44089</v>
      </c>
      <c r="B27" s="15" t="s">
        <v>21</v>
      </c>
      <c r="C27" s="3">
        <v>2</v>
      </c>
      <c r="D27" s="13">
        <f t="shared" si="1"/>
        <v>44091</v>
      </c>
      <c r="E27" s="15">
        <v>400</v>
      </c>
      <c r="F27" s="9">
        <v>4.7E-2</v>
      </c>
      <c r="G27" s="9">
        <v>4.7E-2</v>
      </c>
      <c r="H27" s="15">
        <f t="shared" si="0"/>
        <v>4100</v>
      </c>
    </row>
    <row r="28" spans="1:8" x14ac:dyDescent="0.25">
      <c r="A28" s="13">
        <v>44089</v>
      </c>
      <c r="B28" s="15" t="s">
        <v>21</v>
      </c>
      <c r="C28" s="3">
        <v>3</v>
      </c>
      <c r="D28" s="13">
        <f t="shared" si="1"/>
        <v>44092</v>
      </c>
      <c r="E28" s="15">
        <v>1200</v>
      </c>
      <c r="F28" s="9">
        <v>4.7E-2</v>
      </c>
      <c r="G28" s="9">
        <v>4.7E-2</v>
      </c>
      <c r="H28" s="15">
        <f t="shared" si="0"/>
        <v>4100</v>
      </c>
    </row>
    <row r="29" spans="1:8" x14ac:dyDescent="0.25">
      <c r="A29" s="13">
        <v>44089</v>
      </c>
      <c r="B29" s="15" t="s">
        <v>21</v>
      </c>
      <c r="C29" s="3">
        <v>6</v>
      </c>
      <c r="D29" s="13">
        <f t="shared" si="1"/>
        <v>44095</v>
      </c>
      <c r="E29" s="15">
        <v>500</v>
      </c>
      <c r="F29" s="9">
        <v>4.7E-2</v>
      </c>
      <c r="G29" s="9">
        <v>4.7E-2</v>
      </c>
      <c r="H29" s="15">
        <f t="shared" si="0"/>
        <v>4100</v>
      </c>
    </row>
    <row r="30" spans="1:8" x14ac:dyDescent="0.25">
      <c r="A30" s="13">
        <v>44089</v>
      </c>
      <c r="B30" s="15" t="s">
        <v>21</v>
      </c>
      <c r="C30" s="3">
        <v>13</v>
      </c>
      <c r="D30" s="13">
        <f t="shared" si="1"/>
        <v>44102</v>
      </c>
      <c r="E30" s="15">
        <v>400</v>
      </c>
      <c r="F30" s="9">
        <v>4.9000000000000002E-2</v>
      </c>
      <c r="G30" s="9">
        <v>4.9000000000000002E-2</v>
      </c>
      <c r="H30" s="15">
        <f t="shared" si="0"/>
        <v>4100</v>
      </c>
    </row>
    <row r="31" spans="1:8" x14ac:dyDescent="0.25">
      <c r="A31" s="13">
        <v>44091</v>
      </c>
      <c r="B31" s="15" t="s">
        <v>21</v>
      </c>
      <c r="C31" s="3">
        <v>4</v>
      </c>
      <c r="D31" s="13">
        <f t="shared" si="1"/>
        <v>44095</v>
      </c>
      <c r="E31" s="15">
        <v>-400</v>
      </c>
      <c r="F31" s="9">
        <v>4.9000000000000002E-2</v>
      </c>
      <c r="G31" s="9">
        <v>4.9000000000000002E-2</v>
      </c>
      <c r="H31" s="15">
        <f t="shared" si="0"/>
        <v>1700</v>
      </c>
    </row>
    <row r="32" spans="1:8" x14ac:dyDescent="0.25">
      <c r="A32" s="13">
        <v>44095</v>
      </c>
      <c r="B32" s="15" t="s">
        <v>21</v>
      </c>
      <c r="C32" s="3">
        <v>3</v>
      </c>
      <c r="D32" s="13">
        <f t="shared" si="1"/>
        <v>44098</v>
      </c>
      <c r="E32" s="15">
        <v>400</v>
      </c>
      <c r="F32" s="9">
        <v>4.7E-2</v>
      </c>
      <c r="G32" s="9">
        <v>4.7E-2</v>
      </c>
      <c r="H32" s="15">
        <f t="shared" si="0"/>
        <v>1700</v>
      </c>
    </row>
    <row r="33" spans="1:8" x14ac:dyDescent="0.25">
      <c r="A33" s="13">
        <v>44095</v>
      </c>
      <c r="B33" s="15" t="s">
        <v>21</v>
      </c>
      <c r="C33" s="3">
        <v>4</v>
      </c>
      <c r="D33" s="13">
        <f t="shared" si="1"/>
        <v>44099</v>
      </c>
      <c r="E33" s="15">
        <v>500</v>
      </c>
      <c r="F33" s="9">
        <v>4.7E-2</v>
      </c>
      <c r="G33" s="9">
        <v>4.8000000000000001E-2</v>
      </c>
      <c r="H33" s="15">
        <f t="shared" si="0"/>
        <v>1700</v>
      </c>
    </row>
    <row r="34" spans="1:8" x14ac:dyDescent="0.25">
      <c r="A34" s="13">
        <v>44095</v>
      </c>
      <c r="B34" s="15" t="s">
        <v>21</v>
      </c>
      <c r="C34" s="3">
        <v>10</v>
      </c>
      <c r="D34" s="13">
        <f t="shared" si="1"/>
        <v>44105</v>
      </c>
      <c r="E34" s="15">
        <v>400</v>
      </c>
      <c r="F34" s="9">
        <v>4.9000000000000002E-2</v>
      </c>
      <c r="G34" s="9">
        <v>0.05</v>
      </c>
      <c r="H34" s="15">
        <f t="shared" si="0"/>
        <v>1700</v>
      </c>
    </row>
    <row r="35" spans="1:8" x14ac:dyDescent="0.25">
      <c r="A35" s="13">
        <v>44096</v>
      </c>
      <c r="B35" s="15" t="s">
        <v>21</v>
      </c>
      <c r="C35" s="3">
        <v>2</v>
      </c>
      <c r="D35" s="13">
        <f t="shared" si="1"/>
        <v>44098</v>
      </c>
      <c r="E35" s="15">
        <v>600</v>
      </c>
      <c r="F35" s="9">
        <v>4.7E-2</v>
      </c>
      <c r="G35" s="9">
        <v>4.7E-2</v>
      </c>
      <c r="H35" s="15">
        <f t="shared" si="0"/>
        <v>3100</v>
      </c>
    </row>
    <row r="36" spans="1:8" x14ac:dyDescent="0.25">
      <c r="A36" s="13">
        <v>44096</v>
      </c>
      <c r="B36" s="15" t="s">
        <v>21</v>
      </c>
      <c r="C36" s="3">
        <v>3</v>
      </c>
      <c r="D36" s="13">
        <f t="shared" si="1"/>
        <v>44099</v>
      </c>
      <c r="E36" s="15">
        <v>400</v>
      </c>
      <c r="F36" s="9">
        <v>4.7500000000000001E-2</v>
      </c>
      <c r="G36" s="9">
        <v>4.8000000000000001E-2</v>
      </c>
      <c r="H36" s="15">
        <f t="shared" si="0"/>
        <v>3100</v>
      </c>
    </row>
    <row r="37" spans="1:8" x14ac:dyDescent="0.25">
      <c r="A37" s="13">
        <v>44096</v>
      </c>
      <c r="B37" s="15" t="s">
        <v>21</v>
      </c>
      <c r="C37" s="3">
        <v>9</v>
      </c>
      <c r="D37" s="13">
        <f t="shared" si="1"/>
        <v>44105</v>
      </c>
      <c r="E37" s="15">
        <v>400</v>
      </c>
      <c r="F37" s="9">
        <v>0.05</v>
      </c>
      <c r="G37" s="9">
        <v>0.05</v>
      </c>
      <c r="H37" s="15">
        <f t="shared" si="0"/>
        <v>3100</v>
      </c>
    </row>
    <row r="38" spans="1:8" x14ac:dyDescent="0.25">
      <c r="A38" s="13">
        <v>44097</v>
      </c>
      <c r="B38" s="15" t="s">
        <v>21</v>
      </c>
      <c r="C38" s="3">
        <v>2</v>
      </c>
      <c r="D38" s="13">
        <f t="shared" si="1"/>
        <v>44099</v>
      </c>
      <c r="E38" s="15">
        <v>700</v>
      </c>
      <c r="F38" s="9">
        <v>4.8000000000000001E-2</v>
      </c>
      <c r="G38" s="9">
        <v>4.8000000000000001E-2</v>
      </c>
      <c r="H38" s="15">
        <f t="shared" si="0"/>
        <v>3800</v>
      </c>
    </row>
    <row r="39" spans="1:8" x14ac:dyDescent="0.25">
      <c r="A39" s="13">
        <v>44098</v>
      </c>
      <c r="B39" s="15" t="s">
        <v>21</v>
      </c>
      <c r="C39" s="3">
        <v>4</v>
      </c>
      <c r="D39" s="13">
        <f t="shared" si="1"/>
        <v>44102</v>
      </c>
      <c r="E39" s="15">
        <v>-3100</v>
      </c>
      <c r="F39" s="9">
        <v>0.05</v>
      </c>
      <c r="G39" s="9">
        <v>0.05</v>
      </c>
      <c r="H39" s="15">
        <f t="shared" si="0"/>
        <v>-500</v>
      </c>
    </row>
    <row r="40" spans="1:8" x14ac:dyDescent="0.25">
      <c r="A40" s="13">
        <v>44098</v>
      </c>
      <c r="B40" s="15" t="s">
        <v>21</v>
      </c>
      <c r="C40" s="3">
        <v>5</v>
      </c>
      <c r="D40" s="13">
        <f t="shared" si="1"/>
        <v>44103</v>
      </c>
      <c r="E40" s="15">
        <v>-200</v>
      </c>
      <c r="F40" s="9">
        <v>0.05</v>
      </c>
      <c r="G40" s="9">
        <v>0.05</v>
      </c>
      <c r="H40" s="15">
        <f t="shared" si="0"/>
        <v>-500</v>
      </c>
    </row>
    <row r="41" spans="1:8" x14ac:dyDescent="0.25">
      <c r="A41" s="13">
        <v>44099</v>
      </c>
      <c r="B41" s="15" t="s">
        <v>21</v>
      </c>
      <c r="C41" s="3">
        <v>4</v>
      </c>
      <c r="D41" s="13">
        <f t="shared" si="1"/>
        <v>44103</v>
      </c>
      <c r="E41" s="15">
        <v>400</v>
      </c>
      <c r="F41" s="9">
        <v>4.8000000000000001E-2</v>
      </c>
      <c r="G41" s="9">
        <v>4.8000000000000001E-2</v>
      </c>
      <c r="H41" s="15">
        <f t="shared" si="0"/>
        <v>-1700</v>
      </c>
    </row>
    <row r="42" spans="1:8" x14ac:dyDescent="0.25">
      <c r="A42" s="13">
        <v>44103</v>
      </c>
      <c r="B42" s="15" t="s">
        <v>21</v>
      </c>
      <c r="C42" s="3">
        <v>2</v>
      </c>
      <c r="D42" s="13">
        <f t="shared" si="1"/>
        <v>44105</v>
      </c>
      <c r="E42" s="15">
        <v>-1250</v>
      </c>
      <c r="F42" s="9">
        <v>0.05</v>
      </c>
      <c r="G42" s="9">
        <v>5.2499999999999998E-2</v>
      </c>
      <c r="H42" s="15">
        <f t="shared" si="0"/>
        <v>-450</v>
      </c>
    </row>
    <row r="43" spans="1:8" x14ac:dyDescent="0.25">
      <c r="A43" s="13">
        <v>44104</v>
      </c>
      <c r="B43" s="15" t="s">
        <v>21</v>
      </c>
      <c r="C43" s="3">
        <v>2</v>
      </c>
      <c r="D43" s="13">
        <f t="shared" si="1"/>
        <v>44106</v>
      </c>
      <c r="E43" s="15">
        <v>-1900</v>
      </c>
      <c r="F43" s="9">
        <v>0.05</v>
      </c>
      <c r="G43" s="9">
        <v>5.0500000000000003E-2</v>
      </c>
      <c r="H43" s="15">
        <f t="shared" si="0"/>
        <v>-3150</v>
      </c>
    </row>
    <row r="44" spans="1:8" x14ac:dyDescent="0.25">
      <c r="A44" s="13">
        <v>44104</v>
      </c>
      <c r="B44" s="15" t="s">
        <v>21</v>
      </c>
      <c r="C44" s="3">
        <v>5</v>
      </c>
      <c r="D44" s="13">
        <f t="shared" si="1"/>
        <v>44109</v>
      </c>
      <c r="E44" s="15">
        <v>-800</v>
      </c>
      <c r="F44" s="9">
        <v>5.2499999999999998E-2</v>
      </c>
      <c r="G44" s="9">
        <v>5.2999999999999999E-2</v>
      </c>
      <c r="H44" s="15">
        <f t="shared" si="0"/>
        <v>-3150</v>
      </c>
    </row>
    <row r="45" spans="1:8" x14ac:dyDescent="0.25">
      <c r="A45" s="13">
        <v>44105</v>
      </c>
      <c r="B45" s="15" t="s">
        <v>21</v>
      </c>
      <c r="C45" s="3">
        <v>1</v>
      </c>
      <c r="D45" s="13">
        <f t="shared" si="1"/>
        <v>44106</v>
      </c>
      <c r="E45" s="15">
        <v>-100</v>
      </c>
      <c r="F45" s="9">
        <v>4.6500000000000007E-2</v>
      </c>
      <c r="G45" s="9">
        <v>4.7E-2</v>
      </c>
      <c r="H45" s="15">
        <f t="shared" si="0"/>
        <v>-7200</v>
      </c>
    </row>
    <row r="46" spans="1:8" x14ac:dyDescent="0.25">
      <c r="A46" s="13">
        <v>44105</v>
      </c>
      <c r="B46" s="15" t="s">
        <v>21</v>
      </c>
      <c r="C46" s="3">
        <v>4</v>
      </c>
      <c r="D46" s="13">
        <f t="shared" si="1"/>
        <v>44109</v>
      </c>
      <c r="E46" s="15">
        <v>-2000</v>
      </c>
      <c r="F46" s="9">
        <v>4.9000000000000002E-2</v>
      </c>
      <c r="G46" s="9">
        <v>5.0999999999999997E-2</v>
      </c>
      <c r="H46" s="15">
        <f t="shared" si="0"/>
        <v>-7200</v>
      </c>
    </row>
    <row r="47" spans="1:8" x14ac:dyDescent="0.25">
      <c r="A47" s="13">
        <v>44105</v>
      </c>
      <c r="B47" s="15" t="s">
        <v>21</v>
      </c>
      <c r="C47" s="3">
        <v>5</v>
      </c>
      <c r="D47" s="13">
        <f t="shared" si="1"/>
        <v>44110</v>
      </c>
      <c r="E47" s="15">
        <v>-1300</v>
      </c>
      <c r="F47" s="9">
        <v>4.9000000000000002E-2</v>
      </c>
      <c r="G47" s="9">
        <v>0.05</v>
      </c>
      <c r="H47" s="15">
        <f t="shared" si="0"/>
        <v>-7200</v>
      </c>
    </row>
    <row r="48" spans="1:8" x14ac:dyDescent="0.25">
      <c r="A48" s="13">
        <v>44105</v>
      </c>
      <c r="B48" s="15" t="s">
        <v>21</v>
      </c>
      <c r="C48" s="3">
        <v>8</v>
      </c>
      <c r="D48" s="13">
        <f t="shared" si="1"/>
        <v>44113</v>
      </c>
      <c r="E48" s="15">
        <v>-900</v>
      </c>
      <c r="F48" s="9">
        <v>4.9000000000000002E-2</v>
      </c>
      <c r="G48" s="9">
        <v>0.05</v>
      </c>
      <c r="H48" s="15">
        <f t="shared" si="0"/>
        <v>-7200</v>
      </c>
    </row>
    <row r="49" spans="1:8" x14ac:dyDescent="0.25">
      <c r="A49" s="13">
        <v>44105</v>
      </c>
      <c r="B49" s="15" t="s">
        <v>21</v>
      </c>
      <c r="C49" s="3">
        <v>12</v>
      </c>
      <c r="D49" s="13">
        <f t="shared" si="1"/>
        <v>44117</v>
      </c>
      <c r="E49" s="15">
        <v>-200</v>
      </c>
      <c r="F49" s="9">
        <v>0.05</v>
      </c>
      <c r="G49" s="9">
        <v>0.05</v>
      </c>
      <c r="H49" s="15">
        <f t="shared" si="0"/>
        <v>-7200</v>
      </c>
    </row>
    <row r="50" spans="1:8" x14ac:dyDescent="0.25">
      <c r="A50" s="13">
        <v>44106</v>
      </c>
      <c r="B50" s="15" t="s">
        <v>21</v>
      </c>
      <c r="C50" s="3">
        <v>5</v>
      </c>
      <c r="D50" s="13">
        <f t="shared" si="1"/>
        <v>44111</v>
      </c>
      <c r="E50" s="15">
        <v>-600</v>
      </c>
      <c r="F50" s="9">
        <v>4.9000000000000002E-2</v>
      </c>
      <c r="G50" s="9">
        <v>0.05</v>
      </c>
      <c r="H50" s="15">
        <f t="shared" si="0"/>
        <v>-6800</v>
      </c>
    </row>
    <row r="51" spans="1:8" x14ac:dyDescent="0.25">
      <c r="A51" s="13">
        <v>44106</v>
      </c>
      <c r="B51" s="15" t="s">
        <v>21</v>
      </c>
      <c r="C51" s="3">
        <v>6</v>
      </c>
      <c r="D51" s="13">
        <f t="shared" si="1"/>
        <v>44112</v>
      </c>
      <c r="E51" s="15">
        <v>-400</v>
      </c>
      <c r="F51" s="9">
        <v>4.9000000000000002E-2</v>
      </c>
      <c r="G51" s="9">
        <v>4.9000000000000002E-2</v>
      </c>
      <c r="H51" s="15">
        <f t="shared" si="0"/>
        <v>-6800</v>
      </c>
    </row>
    <row r="52" spans="1:8" x14ac:dyDescent="0.25">
      <c r="A52" s="13">
        <v>44106</v>
      </c>
      <c r="B52" s="15" t="s">
        <v>21</v>
      </c>
      <c r="C52" s="3">
        <v>7</v>
      </c>
      <c r="D52" s="13">
        <f t="shared" si="1"/>
        <v>44113</v>
      </c>
      <c r="E52" s="15">
        <v>-600</v>
      </c>
      <c r="F52" s="9">
        <v>4.9000000000000002E-2</v>
      </c>
      <c r="G52" s="9">
        <v>0.05</v>
      </c>
      <c r="H52" s="15">
        <f t="shared" si="0"/>
        <v>-6800</v>
      </c>
    </row>
    <row r="53" spans="1:8" x14ac:dyDescent="0.25">
      <c r="A53" s="13">
        <v>44112</v>
      </c>
      <c r="B53" s="15" t="s">
        <v>21</v>
      </c>
      <c r="C53" s="3">
        <v>5</v>
      </c>
      <c r="D53" s="13">
        <f t="shared" si="1"/>
        <v>44117</v>
      </c>
      <c r="E53" s="15">
        <v>-500</v>
      </c>
      <c r="F53" s="9">
        <v>4.8000000000000001E-2</v>
      </c>
      <c r="G53" s="9">
        <v>4.9000000000000002E-2</v>
      </c>
      <c r="H53" s="15">
        <f t="shared" si="0"/>
        <v>-2200</v>
      </c>
    </row>
    <row r="54" spans="1:8" x14ac:dyDescent="0.25">
      <c r="A54" s="13">
        <v>44113</v>
      </c>
      <c r="B54" s="15" t="s">
        <v>21</v>
      </c>
      <c r="C54" s="3">
        <v>5</v>
      </c>
      <c r="D54" s="13">
        <f t="shared" si="1"/>
        <v>44118</v>
      </c>
      <c r="E54" s="15">
        <v>-510</v>
      </c>
      <c r="F54" s="9">
        <v>4.7500000000000001E-2</v>
      </c>
      <c r="G54" s="9">
        <v>4.8499999999999995E-2</v>
      </c>
      <c r="H54" s="15">
        <f t="shared" si="0"/>
        <v>-1210</v>
      </c>
    </row>
    <row r="55" spans="1:8" x14ac:dyDescent="0.25">
      <c r="A55" s="13">
        <v>44117</v>
      </c>
      <c r="B55" s="15" t="s">
        <v>21</v>
      </c>
      <c r="C55" s="3">
        <v>2</v>
      </c>
      <c r="D55" s="13">
        <f t="shared" si="1"/>
        <v>44119</v>
      </c>
      <c r="E55" s="15">
        <v>-300</v>
      </c>
      <c r="F55" s="9">
        <v>4.7E-2</v>
      </c>
      <c r="G55" s="9">
        <v>4.7E-2</v>
      </c>
      <c r="H55" s="15">
        <f t="shared" si="0"/>
        <v>-1010</v>
      </c>
    </row>
    <row r="56" spans="1:8" x14ac:dyDescent="0.25">
      <c r="A56" s="13">
        <v>44117</v>
      </c>
      <c r="B56" s="15" t="s">
        <v>21</v>
      </c>
      <c r="C56" s="3">
        <v>3</v>
      </c>
      <c r="D56" s="13">
        <f t="shared" si="1"/>
        <v>44120</v>
      </c>
      <c r="E56" s="15">
        <v>-200</v>
      </c>
      <c r="F56" s="9">
        <v>4.7E-2</v>
      </c>
      <c r="G56" s="9">
        <v>4.7500000000000001E-2</v>
      </c>
      <c r="H56" s="15">
        <f t="shared" si="0"/>
        <v>-1010</v>
      </c>
    </row>
    <row r="57" spans="1:8" x14ac:dyDescent="0.25">
      <c r="A57" s="13">
        <v>44120</v>
      </c>
      <c r="B57" s="15" t="s">
        <v>21</v>
      </c>
      <c r="C57" s="3">
        <v>3</v>
      </c>
      <c r="D57" s="13">
        <f t="shared" si="1"/>
        <v>44123</v>
      </c>
      <c r="E57" s="15">
        <v>300</v>
      </c>
      <c r="F57" s="9">
        <v>0.04</v>
      </c>
      <c r="G57" s="9">
        <v>4.2500000000000003E-2</v>
      </c>
      <c r="H57" s="15">
        <f t="shared" si="0"/>
        <v>200</v>
      </c>
    </row>
    <row r="58" spans="1:8" x14ac:dyDescent="0.25">
      <c r="A58" s="13">
        <v>44120</v>
      </c>
      <c r="B58" s="15" t="s">
        <v>21</v>
      </c>
      <c r="C58" s="3">
        <v>3</v>
      </c>
      <c r="D58" s="13">
        <f t="shared" si="1"/>
        <v>44123</v>
      </c>
      <c r="E58" s="15">
        <v>-100</v>
      </c>
      <c r="F58" s="9">
        <v>4.3499999999999997E-2</v>
      </c>
      <c r="G58" s="9">
        <v>4.3499999999999997E-2</v>
      </c>
      <c r="H58" s="15">
        <f t="shared" si="0"/>
        <v>200</v>
      </c>
    </row>
    <row r="59" spans="1:8" x14ac:dyDescent="0.25">
      <c r="A59" s="13">
        <v>44124</v>
      </c>
      <c r="B59" s="15" t="s">
        <v>21</v>
      </c>
      <c r="C59" s="3">
        <v>1</v>
      </c>
      <c r="D59" s="13">
        <f t="shared" si="1"/>
        <v>44125</v>
      </c>
      <c r="E59" s="15">
        <v>100</v>
      </c>
      <c r="F59" s="9">
        <v>4.2000000000000003E-2</v>
      </c>
      <c r="G59" s="9">
        <v>4.2000000000000003E-2</v>
      </c>
      <c r="H59" s="15">
        <f t="shared" si="0"/>
        <v>3200</v>
      </c>
    </row>
    <row r="60" spans="1:8" x14ac:dyDescent="0.25">
      <c r="A60" s="13">
        <v>44124</v>
      </c>
      <c r="B60" s="15" t="s">
        <v>21</v>
      </c>
      <c r="C60" s="3">
        <v>2</v>
      </c>
      <c r="D60" s="13">
        <f t="shared" si="1"/>
        <v>44126</v>
      </c>
      <c r="E60" s="15">
        <v>900</v>
      </c>
      <c r="F60" s="9">
        <v>4.2000000000000003E-2</v>
      </c>
      <c r="G60" s="9">
        <v>4.2999999999999997E-2</v>
      </c>
      <c r="H60" s="15">
        <f t="shared" si="0"/>
        <v>3200</v>
      </c>
    </row>
    <row r="61" spans="1:8" x14ac:dyDescent="0.25">
      <c r="A61" s="13">
        <v>44124</v>
      </c>
      <c r="B61" s="15" t="s">
        <v>21</v>
      </c>
      <c r="C61" s="3">
        <v>3</v>
      </c>
      <c r="D61" s="13">
        <f t="shared" si="1"/>
        <v>44127</v>
      </c>
      <c r="E61" s="15">
        <v>600</v>
      </c>
      <c r="F61" s="9">
        <v>4.2999999999999997E-2</v>
      </c>
      <c r="G61" s="9">
        <v>4.2999999999999997E-2</v>
      </c>
      <c r="H61" s="15">
        <f t="shared" si="0"/>
        <v>3200</v>
      </c>
    </row>
    <row r="62" spans="1:8" x14ac:dyDescent="0.25">
      <c r="A62" s="13">
        <v>44124</v>
      </c>
      <c r="B62" s="15" t="s">
        <v>21</v>
      </c>
      <c r="C62" s="3">
        <v>6</v>
      </c>
      <c r="D62" s="13">
        <f t="shared" si="1"/>
        <v>44130</v>
      </c>
      <c r="E62" s="15">
        <v>900</v>
      </c>
      <c r="F62" s="9">
        <v>4.4999999999999998E-2</v>
      </c>
      <c r="G62" s="9">
        <v>4.4999999999999998E-2</v>
      </c>
      <c r="H62" s="15">
        <f t="shared" si="0"/>
        <v>3200</v>
      </c>
    </row>
    <row r="63" spans="1:8" x14ac:dyDescent="0.25">
      <c r="A63" s="13">
        <v>44124</v>
      </c>
      <c r="B63" s="15" t="s">
        <v>21</v>
      </c>
      <c r="C63" s="3">
        <v>7</v>
      </c>
      <c r="D63" s="13">
        <f t="shared" si="1"/>
        <v>44131</v>
      </c>
      <c r="E63" s="15">
        <v>700</v>
      </c>
      <c r="F63" s="9">
        <v>4.4999999999999998E-2</v>
      </c>
      <c r="G63" s="9">
        <v>4.4999999999999998E-2</v>
      </c>
      <c r="H63" s="15">
        <f t="shared" si="0"/>
        <v>3200</v>
      </c>
    </row>
    <row r="64" spans="1:8" x14ac:dyDescent="0.25">
      <c r="A64" s="13">
        <v>44125</v>
      </c>
      <c r="B64" s="15" t="s">
        <v>21</v>
      </c>
      <c r="C64" s="3">
        <v>9</v>
      </c>
      <c r="D64" s="13">
        <f t="shared" si="1"/>
        <v>44134</v>
      </c>
      <c r="E64" s="15">
        <v>10</v>
      </c>
      <c r="F64" s="9">
        <v>4.4999999999999998E-2</v>
      </c>
      <c r="G64" s="9">
        <v>4.4999999999999998E-2</v>
      </c>
      <c r="H64" s="15">
        <f t="shared" si="0"/>
        <v>3110</v>
      </c>
    </row>
    <row r="65" spans="1:8" x14ac:dyDescent="0.25">
      <c r="A65" s="13">
        <v>44126</v>
      </c>
      <c r="B65" s="15" t="s">
        <v>21</v>
      </c>
      <c r="C65" s="3">
        <v>1</v>
      </c>
      <c r="D65" s="13">
        <f t="shared" si="1"/>
        <v>44127</v>
      </c>
      <c r="E65" s="15">
        <v>900</v>
      </c>
      <c r="F65" s="9">
        <v>0.04</v>
      </c>
      <c r="G65" s="9">
        <v>0.04</v>
      </c>
      <c r="H65" s="15">
        <f t="shared" si="0"/>
        <v>4810</v>
      </c>
    </row>
    <row r="66" spans="1:8" x14ac:dyDescent="0.25">
      <c r="A66" s="13">
        <v>44126</v>
      </c>
      <c r="B66" s="15" t="s">
        <v>21</v>
      </c>
      <c r="C66" s="3">
        <v>4</v>
      </c>
      <c r="D66" s="13">
        <f t="shared" si="1"/>
        <v>44130</v>
      </c>
      <c r="E66" s="15">
        <v>700</v>
      </c>
      <c r="F66" s="9">
        <v>4.2000000000000003E-2</v>
      </c>
      <c r="G66" s="9">
        <v>4.3499999999999997E-2</v>
      </c>
      <c r="H66" s="15">
        <f t="shared" si="0"/>
        <v>4810</v>
      </c>
    </row>
    <row r="67" spans="1:8" x14ac:dyDescent="0.25">
      <c r="A67" s="13">
        <v>44126</v>
      </c>
      <c r="B67" s="15" t="s">
        <v>21</v>
      </c>
      <c r="C67" s="3">
        <v>6</v>
      </c>
      <c r="D67" s="13">
        <f t="shared" si="1"/>
        <v>44132</v>
      </c>
      <c r="E67" s="15">
        <v>300</v>
      </c>
      <c r="F67" s="9">
        <v>4.2500000000000003E-2</v>
      </c>
      <c r="G67" s="9">
        <v>4.2999999999999997E-2</v>
      </c>
      <c r="H67" s="15">
        <f t="shared" si="0"/>
        <v>4810</v>
      </c>
    </row>
    <row r="68" spans="1:8" x14ac:dyDescent="0.25">
      <c r="A68" s="13">
        <v>44126</v>
      </c>
      <c r="B68" s="15" t="s">
        <v>21</v>
      </c>
      <c r="C68" s="3">
        <v>8</v>
      </c>
      <c r="D68" s="13">
        <f t="shared" si="1"/>
        <v>44134</v>
      </c>
      <c r="E68" s="15">
        <v>700</v>
      </c>
      <c r="F68" s="9">
        <v>4.2999999999999997E-2</v>
      </c>
      <c r="G68" s="9">
        <v>4.4499999999999998E-2</v>
      </c>
      <c r="H68" s="15">
        <f t="shared" si="0"/>
        <v>4810</v>
      </c>
    </row>
    <row r="69" spans="1:8" x14ac:dyDescent="0.25">
      <c r="A69" s="13">
        <v>44127</v>
      </c>
      <c r="B69" s="15" t="s">
        <v>21</v>
      </c>
      <c r="C69" s="3">
        <v>4</v>
      </c>
      <c r="D69" s="13">
        <f t="shared" si="1"/>
        <v>44131</v>
      </c>
      <c r="E69" s="15">
        <v>400</v>
      </c>
      <c r="F69" s="9">
        <v>4.4999999999999998E-2</v>
      </c>
      <c r="G69" s="9">
        <v>4.4999999999999998E-2</v>
      </c>
      <c r="H69" s="15">
        <f t="shared" si="0"/>
        <v>3710</v>
      </c>
    </row>
    <row r="70" spans="1:8" x14ac:dyDescent="0.25">
      <c r="A70" s="13">
        <v>44130</v>
      </c>
      <c r="B70" s="15" t="s">
        <v>21</v>
      </c>
      <c r="C70" s="3">
        <v>1</v>
      </c>
      <c r="D70" s="13">
        <f t="shared" si="1"/>
        <v>44131</v>
      </c>
      <c r="E70" s="15">
        <v>-450</v>
      </c>
      <c r="F70" s="9">
        <v>4.5499999999999999E-2</v>
      </c>
      <c r="G70" s="9">
        <v>4.5499999999999999E-2</v>
      </c>
      <c r="H70" s="15">
        <f t="shared" si="0"/>
        <v>-540</v>
      </c>
    </row>
    <row r="71" spans="1:8" x14ac:dyDescent="0.25">
      <c r="A71" s="13">
        <v>44130</v>
      </c>
      <c r="B71" s="15" t="s">
        <v>21</v>
      </c>
      <c r="C71" s="3">
        <v>2</v>
      </c>
      <c r="D71" s="13">
        <f t="shared" si="1"/>
        <v>44132</v>
      </c>
      <c r="E71" s="15">
        <v>-1300</v>
      </c>
      <c r="F71" s="9">
        <v>4.5499999999999999E-2</v>
      </c>
      <c r="G71" s="9">
        <v>4.65E-2</v>
      </c>
      <c r="H71" s="15">
        <f t="shared" si="0"/>
        <v>-540</v>
      </c>
    </row>
    <row r="72" spans="1:8" x14ac:dyDescent="0.25">
      <c r="A72" s="13">
        <v>44130</v>
      </c>
      <c r="B72" s="15" t="s">
        <v>21</v>
      </c>
      <c r="C72" s="3">
        <v>4</v>
      </c>
      <c r="D72" s="13">
        <f t="shared" si="1"/>
        <v>44134</v>
      </c>
      <c r="E72" s="15">
        <v>-900</v>
      </c>
      <c r="F72" s="9">
        <v>0.05</v>
      </c>
      <c r="G72" s="9">
        <v>5.0999999999999997E-2</v>
      </c>
      <c r="H72" s="15">
        <f t="shared" si="0"/>
        <v>-540</v>
      </c>
    </row>
    <row r="73" spans="1:8" x14ac:dyDescent="0.25">
      <c r="A73" s="13">
        <v>44132</v>
      </c>
      <c r="B73" s="15" t="s">
        <v>21</v>
      </c>
      <c r="C73" s="3">
        <v>2</v>
      </c>
      <c r="D73" s="13">
        <f t="shared" si="1"/>
        <v>44134</v>
      </c>
      <c r="E73" s="15">
        <v>-550</v>
      </c>
      <c r="F73" s="9">
        <v>4.5999999999999999E-2</v>
      </c>
      <c r="G73" s="9">
        <v>0.05</v>
      </c>
      <c r="H73" s="15">
        <f t="shared" si="0"/>
        <v>-740</v>
      </c>
    </row>
    <row r="74" spans="1:8" x14ac:dyDescent="0.25">
      <c r="A74" s="13">
        <v>44133</v>
      </c>
      <c r="B74" s="15" t="s">
        <v>21</v>
      </c>
      <c r="C74" s="3">
        <v>5</v>
      </c>
      <c r="D74" s="13">
        <f t="shared" si="1"/>
        <v>44138</v>
      </c>
      <c r="E74" s="15">
        <v>-300</v>
      </c>
      <c r="F74" s="9">
        <v>0.05</v>
      </c>
      <c r="G74" s="9">
        <v>0.05</v>
      </c>
      <c r="H74" s="15">
        <f t="shared" ref="H74:H137" si="2">+SUMIFS($E$10:$E$4503,$A$10:$A$4503,"&lt;="&amp;A74,$D$10:$D$4503,"&gt;"&amp;A74)</f>
        <v>-2840</v>
      </c>
    </row>
    <row r="75" spans="1:8" x14ac:dyDescent="0.25">
      <c r="A75" s="13">
        <v>44133</v>
      </c>
      <c r="B75" s="15" t="s">
        <v>21</v>
      </c>
      <c r="C75" s="3">
        <v>7</v>
      </c>
      <c r="D75" s="13">
        <f t="shared" ref="D75:D138" si="3">+A75+C75</f>
        <v>44140</v>
      </c>
      <c r="E75" s="15">
        <v>-1400</v>
      </c>
      <c r="F75" s="9">
        <v>0.05</v>
      </c>
      <c r="G75" s="9">
        <v>0.05</v>
      </c>
      <c r="H75" s="15">
        <f t="shared" si="2"/>
        <v>-2840</v>
      </c>
    </row>
    <row r="76" spans="1:8" x14ac:dyDescent="0.25">
      <c r="A76" s="13">
        <v>44133</v>
      </c>
      <c r="B76" s="15" t="s">
        <v>21</v>
      </c>
      <c r="C76" s="3">
        <v>8</v>
      </c>
      <c r="D76" s="13">
        <f t="shared" si="3"/>
        <v>44141</v>
      </c>
      <c r="E76" s="15">
        <v>-400</v>
      </c>
      <c r="F76" s="9">
        <v>0.05</v>
      </c>
      <c r="G76" s="9">
        <v>0.05</v>
      </c>
      <c r="H76" s="15">
        <f t="shared" si="2"/>
        <v>-2840</v>
      </c>
    </row>
    <row r="77" spans="1:8" x14ac:dyDescent="0.25">
      <c r="A77" s="13">
        <v>44134</v>
      </c>
      <c r="B77" s="15" t="s">
        <v>21</v>
      </c>
      <c r="C77" s="3">
        <v>5</v>
      </c>
      <c r="D77" s="13">
        <f t="shared" si="3"/>
        <v>44139</v>
      </c>
      <c r="E77" s="15">
        <v>-50</v>
      </c>
      <c r="F77" s="9">
        <v>4.4999999999999998E-2</v>
      </c>
      <c r="G77" s="9">
        <v>4.4999999999999998E-2</v>
      </c>
      <c r="H77" s="15">
        <f t="shared" si="2"/>
        <v>-5350</v>
      </c>
    </row>
    <row r="78" spans="1:8" x14ac:dyDescent="0.25">
      <c r="A78" s="13">
        <v>44134</v>
      </c>
      <c r="B78" s="15" t="s">
        <v>21</v>
      </c>
      <c r="C78" s="3">
        <v>6</v>
      </c>
      <c r="D78" s="13">
        <f t="shared" si="3"/>
        <v>44140</v>
      </c>
      <c r="E78" s="15">
        <v>-1350</v>
      </c>
      <c r="F78" s="9">
        <v>4.8000000000000001E-2</v>
      </c>
      <c r="G78" s="9">
        <v>5.5E-2</v>
      </c>
      <c r="H78" s="15">
        <f t="shared" si="2"/>
        <v>-5350</v>
      </c>
    </row>
    <row r="79" spans="1:8" x14ac:dyDescent="0.25">
      <c r="A79" s="13">
        <v>44134</v>
      </c>
      <c r="B79" s="15" t="s">
        <v>21</v>
      </c>
      <c r="C79" s="3">
        <v>7</v>
      </c>
      <c r="D79" s="13">
        <f t="shared" si="3"/>
        <v>44141</v>
      </c>
      <c r="E79" s="15">
        <v>-1150</v>
      </c>
      <c r="F79" s="9">
        <v>0.05</v>
      </c>
      <c r="G79" s="9">
        <v>5.7500000000000002E-2</v>
      </c>
      <c r="H79" s="15">
        <f t="shared" si="2"/>
        <v>-5350</v>
      </c>
    </row>
    <row r="80" spans="1:8" x14ac:dyDescent="0.25">
      <c r="A80" s="13">
        <v>44134</v>
      </c>
      <c r="B80" s="15" t="s">
        <v>21</v>
      </c>
      <c r="C80" s="3">
        <v>10</v>
      </c>
      <c r="D80" s="13">
        <f t="shared" si="3"/>
        <v>44144</v>
      </c>
      <c r="E80" s="15">
        <v>-200</v>
      </c>
      <c r="F80" s="9">
        <v>5.7500000000000002E-2</v>
      </c>
      <c r="G80" s="9">
        <v>5.7500000000000002E-2</v>
      </c>
      <c r="H80" s="15">
        <f t="shared" si="2"/>
        <v>-5350</v>
      </c>
    </row>
    <row r="81" spans="1:8" x14ac:dyDescent="0.25">
      <c r="A81" s="13">
        <v>44134</v>
      </c>
      <c r="B81" s="15" t="s">
        <v>21</v>
      </c>
      <c r="C81" s="3">
        <v>11</v>
      </c>
      <c r="D81" s="13">
        <f t="shared" si="3"/>
        <v>44145</v>
      </c>
      <c r="E81" s="15">
        <v>-500</v>
      </c>
      <c r="F81" s="9">
        <v>5.7500000000000002E-2</v>
      </c>
      <c r="G81" s="9">
        <v>5.7500000000000002E-2</v>
      </c>
      <c r="H81" s="15">
        <f t="shared" si="2"/>
        <v>-5350</v>
      </c>
    </row>
    <row r="82" spans="1:8" x14ac:dyDescent="0.25">
      <c r="A82" s="13">
        <v>44138</v>
      </c>
      <c r="B82" s="15" t="s">
        <v>21</v>
      </c>
      <c r="C82" s="3">
        <v>2</v>
      </c>
      <c r="D82" s="13">
        <f t="shared" si="3"/>
        <v>44140</v>
      </c>
      <c r="E82" s="15">
        <v>-100</v>
      </c>
      <c r="F82" s="9">
        <v>4.8000000000000001E-2</v>
      </c>
      <c r="G82" s="9">
        <v>4.8000000000000001E-2</v>
      </c>
      <c r="H82" s="15">
        <f t="shared" si="2"/>
        <v>-5450</v>
      </c>
    </row>
    <row r="83" spans="1:8" x14ac:dyDescent="0.25">
      <c r="A83" s="13">
        <v>44138</v>
      </c>
      <c r="B83" s="15" t="s">
        <v>21</v>
      </c>
      <c r="C83" s="3">
        <v>3</v>
      </c>
      <c r="D83" s="13">
        <f t="shared" si="3"/>
        <v>44141</v>
      </c>
      <c r="E83" s="15">
        <v>-300</v>
      </c>
      <c r="F83" s="9">
        <v>4.7500000000000001E-2</v>
      </c>
      <c r="G83" s="9">
        <v>4.7500000000000001E-2</v>
      </c>
      <c r="H83" s="15">
        <f t="shared" si="2"/>
        <v>-5450</v>
      </c>
    </row>
    <row r="84" spans="1:8" x14ac:dyDescent="0.25">
      <c r="A84" s="13">
        <v>44139</v>
      </c>
      <c r="B84" s="15" t="s">
        <v>21</v>
      </c>
      <c r="C84" s="3">
        <v>2</v>
      </c>
      <c r="D84" s="13">
        <f t="shared" si="3"/>
        <v>44141</v>
      </c>
      <c r="E84" s="15">
        <v>-1000</v>
      </c>
      <c r="F84" s="9">
        <v>4.9500000000000002E-2</v>
      </c>
      <c r="G84" s="9">
        <v>0.05</v>
      </c>
      <c r="H84" s="15">
        <f t="shared" si="2"/>
        <v>-6550</v>
      </c>
    </row>
    <row r="85" spans="1:8" x14ac:dyDescent="0.25">
      <c r="A85" s="13">
        <v>44139</v>
      </c>
      <c r="B85" s="15" t="s">
        <v>21</v>
      </c>
      <c r="C85" s="3">
        <v>5</v>
      </c>
      <c r="D85" s="13">
        <f t="shared" si="3"/>
        <v>44144</v>
      </c>
      <c r="E85" s="15">
        <v>-150</v>
      </c>
      <c r="F85" s="9">
        <v>5.5E-2</v>
      </c>
      <c r="G85" s="9">
        <v>5.5E-2</v>
      </c>
      <c r="H85" s="15">
        <f t="shared" si="2"/>
        <v>-6550</v>
      </c>
    </row>
    <row r="86" spans="1:8" x14ac:dyDescent="0.25">
      <c r="A86" s="13">
        <v>44140</v>
      </c>
      <c r="B86" s="15" t="s">
        <v>21</v>
      </c>
      <c r="C86" s="3">
        <v>4</v>
      </c>
      <c r="D86" s="13">
        <f t="shared" si="3"/>
        <v>44144</v>
      </c>
      <c r="E86" s="15">
        <v>-200</v>
      </c>
      <c r="F86" s="9">
        <v>0.05</v>
      </c>
      <c r="G86" s="9">
        <v>0.05</v>
      </c>
      <c r="H86" s="15">
        <f t="shared" si="2"/>
        <v>-5600</v>
      </c>
    </row>
    <row r="87" spans="1:8" x14ac:dyDescent="0.25">
      <c r="A87" s="13">
        <v>44140</v>
      </c>
      <c r="B87" s="15" t="s">
        <v>21</v>
      </c>
      <c r="C87" s="3">
        <v>5</v>
      </c>
      <c r="D87" s="13">
        <f t="shared" si="3"/>
        <v>44145</v>
      </c>
      <c r="E87" s="15">
        <v>-600</v>
      </c>
      <c r="F87" s="9">
        <v>0.05</v>
      </c>
      <c r="G87" s="9">
        <v>0.05</v>
      </c>
      <c r="H87" s="15">
        <f t="shared" si="2"/>
        <v>-5600</v>
      </c>
    </row>
    <row r="88" spans="1:8" x14ac:dyDescent="0.25">
      <c r="A88" s="13">
        <v>44140</v>
      </c>
      <c r="B88" s="15" t="s">
        <v>21</v>
      </c>
      <c r="C88" s="3">
        <v>6</v>
      </c>
      <c r="D88" s="13">
        <f t="shared" si="3"/>
        <v>44146</v>
      </c>
      <c r="E88" s="15">
        <v>-1100</v>
      </c>
      <c r="F88" s="9">
        <v>0.05</v>
      </c>
      <c r="G88" s="9">
        <v>0.05</v>
      </c>
      <c r="H88" s="15">
        <f t="shared" si="2"/>
        <v>-5600</v>
      </c>
    </row>
    <row r="89" spans="1:8" x14ac:dyDescent="0.25">
      <c r="A89" s="13">
        <v>44141</v>
      </c>
      <c r="B89" s="15" t="s">
        <v>21</v>
      </c>
      <c r="C89" s="3">
        <v>6</v>
      </c>
      <c r="D89" s="13">
        <f t="shared" si="3"/>
        <v>44147</v>
      </c>
      <c r="E89" s="15">
        <v>-800</v>
      </c>
      <c r="F89" s="9">
        <v>0.05</v>
      </c>
      <c r="G89" s="9">
        <v>0.05</v>
      </c>
      <c r="H89" s="15">
        <f t="shared" si="2"/>
        <v>-4250</v>
      </c>
    </row>
    <row r="90" spans="1:8" x14ac:dyDescent="0.25">
      <c r="A90" s="13">
        <v>44141</v>
      </c>
      <c r="B90" s="15" t="s">
        <v>21</v>
      </c>
      <c r="C90" s="3">
        <v>7</v>
      </c>
      <c r="D90" s="13">
        <f t="shared" si="3"/>
        <v>44148</v>
      </c>
      <c r="E90" s="15">
        <v>-700</v>
      </c>
      <c r="F90" s="9">
        <v>0.05</v>
      </c>
      <c r="G90" s="9">
        <v>0.05</v>
      </c>
      <c r="H90" s="15">
        <f t="shared" si="2"/>
        <v>-4250</v>
      </c>
    </row>
    <row r="91" spans="1:8" x14ac:dyDescent="0.25">
      <c r="A91" s="13">
        <v>44147</v>
      </c>
      <c r="B91" s="15" t="s">
        <v>21</v>
      </c>
      <c r="C91" s="3">
        <v>7</v>
      </c>
      <c r="D91" s="13">
        <f t="shared" si="3"/>
        <v>44154</v>
      </c>
      <c r="E91" s="15">
        <v>1200</v>
      </c>
      <c r="F91" s="9">
        <v>4.4999999999999998E-2</v>
      </c>
      <c r="G91" s="9">
        <v>4.4999999999999998E-2</v>
      </c>
      <c r="H91" s="15">
        <f t="shared" si="2"/>
        <v>500</v>
      </c>
    </row>
    <row r="92" spans="1:8" x14ac:dyDescent="0.25">
      <c r="A92" s="13">
        <v>44152</v>
      </c>
      <c r="B92" s="15" t="s">
        <v>21</v>
      </c>
      <c r="C92" s="3">
        <v>1</v>
      </c>
      <c r="D92" s="13">
        <f t="shared" si="3"/>
        <v>44153</v>
      </c>
      <c r="E92" s="15">
        <v>400</v>
      </c>
      <c r="F92" s="9">
        <v>4.2500000000000003E-2</v>
      </c>
      <c r="G92" s="9">
        <v>4.2500000000000003E-2</v>
      </c>
      <c r="H92" s="15">
        <f t="shared" si="2"/>
        <v>2300</v>
      </c>
    </row>
    <row r="93" spans="1:8" x14ac:dyDescent="0.25">
      <c r="A93" s="13">
        <v>44152</v>
      </c>
      <c r="B93" s="15" t="s">
        <v>21</v>
      </c>
      <c r="C93" s="3">
        <v>2</v>
      </c>
      <c r="D93" s="13">
        <f t="shared" si="3"/>
        <v>44154</v>
      </c>
      <c r="E93" s="15">
        <v>200</v>
      </c>
      <c r="F93" s="9">
        <v>4.2500000000000003E-2</v>
      </c>
      <c r="G93" s="9">
        <v>4.2500000000000003E-2</v>
      </c>
      <c r="H93" s="15">
        <f t="shared" si="2"/>
        <v>2300</v>
      </c>
    </row>
    <row r="94" spans="1:8" x14ac:dyDescent="0.25">
      <c r="A94" s="13">
        <v>44152</v>
      </c>
      <c r="B94" s="15" t="s">
        <v>21</v>
      </c>
      <c r="C94" s="3">
        <v>7</v>
      </c>
      <c r="D94" s="13">
        <f t="shared" si="3"/>
        <v>44159</v>
      </c>
      <c r="E94" s="15">
        <v>300</v>
      </c>
      <c r="F94" s="9">
        <v>4.4999999999999998E-2</v>
      </c>
      <c r="G94" s="9">
        <v>4.4999999999999998E-2</v>
      </c>
      <c r="H94" s="15">
        <f t="shared" si="2"/>
        <v>2300</v>
      </c>
    </row>
    <row r="95" spans="1:8" x14ac:dyDescent="0.25">
      <c r="A95" s="13">
        <v>44152</v>
      </c>
      <c r="B95" s="15" t="s">
        <v>21</v>
      </c>
      <c r="C95" s="3">
        <v>8</v>
      </c>
      <c r="D95" s="13">
        <f t="shared" si="3"/>
        <v>44160</v>
      </c>
      <c r="E95" s="15">
        <v>200</v>
      </c>
      <c r="F95" s="9">
        <v>4.4999999999999998E-2</v>
      </c>
      <c r="G95" s="9">
        <v>4.4999999999999998E-2</v>
      </c>
      <c r="H95" s="15">
        <f t="shared" si="2"/>
        <v>2300</v>
      </c>
    </row>
    <row r="96" spans="1:8" x14ac:dyDescent="0.25">
      <c r="A96" s="13">
        <v>44153</v>
      </c>
      <c r="B96" s="15" t="s">
        <v>21</v>
      </c>
      <c r="C96" s="3">
        <v>7</v>
      </c>
      <c r="D96" s="13">
        <f t="shared" si="3"/>
        <v>44160</v>
      </c>
      <c r="E96" s="15">
        <v>1230</v>
      </c>
      <c r="F96" s="9">
        <v>4.4999999999999998E-2</v>
      </c>
      <c r="G96" s="9">
        <v>4.4999999999999998E-2</v>
      </c>
      <c r="H96" s="15">
        <f t="shared" si="2"/>
        <v>3530</v>
      </c>
    </row>
    <row r="97" spans="1:8" x14ac:dyDescent="0.25">
      <c r="A97" s="13">
        <v>44153</v>
      </c>
      <c r="B97" s="15" t="s">
        <v>21</v>
      </c>
      <c r="C97" s="3">
        <v>5</v>
      </c>
      <c r="D97" s="13">
        <f t="shared" si="3"/>
        <v>44158</v>
      </c>
      <c r="E97" s="15">
        <v>400</v>
      </c>
      <c r="F97" s="9">
        <v>4.2999999999999997E-2</v>
      </c>
      <c r="G97" s="9">
        <v>4.2999999999999997E-2</v>
      </c>
      <c r="H97" s="15">
        <f t="shared" si="2"/>
        <v>3530</v>
      </c>
    </row>
    <row r="98" spans="1:8" x14ac:dyDescent="0.25">
      <c r="A98" s="13">
        <v>44154</v>
      </c>
      <c r="B98" s="15" t="s">
        <v>21</v>
      </c>
      <c r="C98" s="3">
        <v>7</v>
      </c>
      <c r="D98" s="13">
        <f t="shared" si="3"/>
        <v>44161</v>
      </c>
      <c r="E98" s="15">
        <v>300</v>
      </c>
      <c r="F98" s="9">
        <v>4.4999999999999998E-2</v>
      </c>
      <c r="G98" s="9">
        <v>4.4999999999999998E-2</v>
      </c>
      <c r="H98" s="15">
        <f t="shared" si="2"/>
        <v>2430</v>
      </c>
    </row>
    <row r="99" spans="1:8" x14ac:dyDescent="0.25">
      <c r="A99" s="13">
        <v>44155</v>
      </c>
      <c r="B99" s="15" t="s">
        <v>21</v>
      </c>
      <c r="C99" s="3">
        <v>3</v>
      </c>
      <c r="D99" s="13">
        <f t="shared" si="3"/>
        <v>44158</v>
      </c>
      <c r="E99" s="15">
        <v>100</v>
      </c>
      <c r="F99" s="9">
        <v>0.04</v>
      </c>
      <c r="G99" s="9">
        <v>0.04</v>
      </c>
      <c r="H99" s="15">
        <f t="shared" si="2"/>
        <v>2330</v>
      </c>
    </row>
    <row r="100" spans="1:8" x14ac:dyDescent="0.25">
      <c r="A100" s="13">
        <v>44155</v>
      </c>
      <c r="B100" s="15" t="s">
        <v>21</v>
      </c>
      <c r="C100" s="3">
        <v>3</v>
      </c>
      <c r="D100" s="13">
        <f t="shared" si="3"/>
        <v>44158</v>
      </c>
      <c r="E100" s="15">
        <v>-100</v>
      </c>
      <c r="F100" s="9">
        <v>4.4999999999999998E-2</v>
      </c>
      <c r="G100" s="9">
        <v>4.4999999999999998E-2</v>
      </c>
      <c r="H100" s="15">
        <f t="shared" si="2"/>
        <v>2330</v>
      </c>
    </row>
    <row r="101" spans="1:8" x14ac:dyDescent="0.25">
      <c r="A101" s="13">
        <v>44155</v>
      </c>
      <c r="B101" s="15" t="s">
        <v>21</v>
      </c>
      <c r="C101" s="3">
        <v>4</v>
      </c>
      <c r="D101" s="13">
        <f t="shared" si="3"/>
        <v>44159</v>
      </c>
      <c r="E101" s="15">
        <v>100</v>
      </c>
      <c r="F101" s="9">
        <v>4.2500000000000003E-2</v>
      </c>
      <c r="G101" s="9">
        <v>4.2500000000000003E-2</v>
      </c>
      <c r="H101" s="15">
        <f t="shared" si="2"/>
        <v>2330</v>
      </c>
    </row>
    <row r="102" spans="1:8" x14ac:dyDescent="0.25">
      <c r="A102" s="13">
        <v>44155</v>
      </c>
      <c r="B102" s="15" t="s">
        <v>21</v>
      </c>
      <c r="C102" s="3">
        <v>4</v>
      </c>
      <c r="D102" s="13">
        <f t="shared" si="3"/>
        <v>44159</v>
      </c>
      <c r="E102" s="15">
        <v>-100</v>
      </c>
      <c r="F102" s="9">
        <v>4.4999999999999998E-2</v>
      </c>
      <c r="G102" s="9">
        <v>4.4999999999999998E-2</v>
      </c>
      <c r="H102" s="15">
        <f t="shared" si="2"/>
        <v>2330</v>
      </c>
    </row>
    <row r="103" spans="1:8" x14ac:dyDescent="0.25">
      <c r="A103" s="13">
        <v>44155</v>
      </c>
      <c r="B103" s="15" t="s">
        <v>21</v>
      </c>
      <c r="C103" s="3">
        <v>5</v>
      </c>
      <c r="D103" s="13">
        <f t="shared" si="3"/>
        <v>44160</v>
      </c>
      <c r="E103" s="15">
        <v>-100</v>
      </c>
      <c r="F103" s="9">
        <v>4.4999999999999998E-2</v>
      </c>
      <c r="G103" s="9">
        <v>4.4999999999999998E-2</v>
      </c>
      <c r="H103" s="15">
        <f t="shared" si="2"/>
        <v>2330</v>
      </c>
    </row>
    <row r="104" spans="1:8" x14ac:dyDescent="0.25">
      <c r="A104" s="13">
        <v>44158</v>
      </c>
      <c r="B104" s="15" t="s">
        <v>303</v>
      </c>
      <c r="C104" s="3">
        <v>1</v>
      </c>
      <c r="D104" s="13">
        <f t="shared" si="3"/>
        <v>44159</v>
      </c>
      <c r="E104" s="15">
        <v>300</v>
      </c>
      <c r="F104" s="9">
        <v>4.2999999999999997E-2</v>
      </c>
      <c r="G104" s="9">
        <v>4.2999999999999997E-2</v>
      </c>
      <c r="H104" s="15">
        <f t="shared" si="2"/>
        <v>8730</v>
      </c>
    </row>
    <row r="105" spans="1:8" x14ac:dyDescent="0.25">
      <c r="A105" s="13">
        <v>44158</v>
      </c>
      <c r="B105" s="15" t="s">
        <v>21</v>
      </c>
      <c r="C105" s="3">
        <v>1</v>
      </c>
      <c r="D105" s="13">
        <f t="shared" si="3"/>
        <v>44159</v>
      </c>
      <c r="E105" s="15">
        <v>1400</v>
      </c>
      <c r="F105" s="9">
        <v>0.04</v>
      </c>
      <c r="G105" s="9">
        <v>4.2999999999999997E-2</v>
      </c>
      <c r="H105" s="15">
        <f t="shared" si="2"/>
        <v>8730</v>
      </c>
    </row>
    <row r="106" spans="1:8" x14ac:dyDescent="0.25">
      <c r="A106" s="13">
        <v>44158</v>
      </c>
      <c r="B106" s="15" t="s">
        <v>21</v>
      </c>
      <c r="C106" s="3">
        <v>2</v>
      </c>
      <c r="D106" s="13">
        <f t="shared" si="3"/>
        <v>44160</v>
      </c>
      <c r="E106" s="15">
        <v>1100</v>
      </c>
      <c r="F106" s="9">
        <v>4.2500000000000003E-2</v>
      </c>
      <c r="G106" s="9">
        <v>4.4999999999999998E-2</v>
      </c>
      <c r="H106" s="15">
        <f t="shared" si="2"/>
        <v>8730</v>
      </c>
    </row>
    <row r="107" spans="1:8" x14ac:dyDescent="0.25">
      <c r="A107" s="13">
        <v>44158</v>
      </c>
      <c r="B107" s="15" t="s">
        <v>21</v>
      </c>
      <c r="C107" s="3">
        <v>3</v>
      </c>
      <c r="D107" s="13">
        <f t="shared" si="3"/>
        <v>44161</v>
      </c>
      <c r="E107" s="15">
        <v>1100</v>
      </c>
      <c r="F107" s="9">
        <v>4.4999999999999998E-2</v>
      </c>
      <c r="G107" s="9">
        <v>4.4999999999999998E-2</v>
      </c>
      <c r="H107" s="15">
        <f t="shared" si="2"/>
        <v>8730</v>
      </c>
    </row>
    <row r="108" spans="1:8" x14ac:dyDescent="0.25">
      <c r="A108" s="13">
        <v>44158</v>
      </c>
      <c r="B108" s="15" t="s">
        <v>21</v>
      </c>
      <c r="C108" s="3">
        <v>4</v>
      </c>
      <c r="D108" s="13">
        <f t="shared" si="3"/>
        <v>44162</v>
      </c>
      <c r="E108" s="15">
        <v>2000</v>
      </c>
      <c r="F108" s="9">
        <v>4.2500000000000003E-2</v>
      </c>
      <c r="G108" s="9">
        <v>4.5999999999999999E-2</v>
      </c>
      <c r="H108" s="15">
        <f t="shared" si="2"/>
        <v>8730</v>
      </c>
    </row>
    <row r="109" spans="1:8" x14ac:dyDescent="0.25">
      <c r="A109" s="13">
        <v>44158</v>
      </c>
      <c r="B109" s="15" t="s">
        <v>21</v>
      </c>
      <c r="C109" s="3">
        <v>7</v>
      </c>
      <c r="D109" s="13">
        <f t="shared" si="3"/>
        <v>44165</v>
      </c>
      <c r="E109" s="15">
        <v>500</v>
      </c>
      <c r="F109" s="9">
        <v>4.4999999999999998E-2</v>
      </c>
      <c r="G109" s="9">
        <v>4.4999999999999998E-2</v>
      </c>
      <c r="H109" s="15">
        <f t="shared" si="2"/>
        <v>8730</v>
      </c>
    </row>
    <row r="110" spans="1:8" x14ac:dyDescent="0.25">
      <c r="A110" s="13">
        <v>44158</v>
      </c>
      <c r="B110" s="15" t="s">
        <v>21</v>
      </c>
      <c r="C110" s="3">
        <v>8</v>
      </c>
      <c r="D110" s="13">
        <f t="shared" si="3"/>
        <v>44166</v>
      </c>
      <c r="E110" s="15">
        <v>400</v>
      </c>
      <c r="F110" s="9">
        <v>4.5999999999999999E-2</v>
      </c>
      <c r="G110" s="9">
        <v>4.5999999999999999E-2</v>
      </c>
      <c r="H110" s="15">
        <f t="shared" si="2"/>
        <v>8730</v>
      </c>
    </row>
    <row r="111" spans="1:8" x14ac:dyDescent="0.25">
      <c r="A111" s="13">
        <v>44159</v>
      </c>
      <c r="B111" s="15" t="s">
        <v>21</v>
      </c>
      <c r="C111" s="3">
        <v>1</v>
      </c>
      <c r="D111" s="13">
        <f t="shared" si="3"/>
        <v>44160</v>
      </c>
      <c r="E111" s="15">
        <v>610</v>
      </c>
      <c r="F111" s="9">
        <v>4.2500000000000003E-2</v>
      </c>
      <c r="G111" s="9">
        <v>4.4999999999999998E-2</v>
      </c>
      <c r="H111" s="15">
        <f t="shared" si="2"/>
        <v>7640</v>
      </c>
    </row>
    <row r="112" spans="1:8" x14ac:dyDescent="0.25">
      <c r="A112" s="13">
        <v>44159</v>
      </c>
      <c r="B112" s="15" t="s">
        <v>21</v>
      </c>
      <c r="C112" s="3">
        <v>2</v>
      </c>
      <c r="D112" s="13">
        <f t="shared" si="3"/>
        <v>44161</v>
      </c>
      <c r="E112" s="15">
        <v>100</v>
      </c>
      <c r="F112" s="9">
        <v>4.5999999999999999E-2</v>
      </c>
      <c r="G112" s="9">
        <v>4.5999999999999999E-2</v>
      </c>
      <c r="H112" s="15">
        <f t="shared" si="2"/>
        <v>7640</v>
      </c>
    </row>
    <row r="113" spans="1:8" x14ac:dyDescent="0.25">
      <c r="A113" s="13">
        <v>44159</v>
      </c>
      <c r="B113" s="15" t="s">
        <v>21</v>
      </c>
      <c r="C113" s="3">
        <v>7</v>
      </c>
      <c r="D113" s="13">
        <f t="shared" si="3"/>
        <v>44166</v>
      </c>
      <c r="E113" s="15">
        <v>200</v>
      </c>
      <c r="F113" s="9">
        <v>4.5999999999999999E-2</v>
      </c>
      <c r="G113" s="9">
        <v>4.5999999999999999E-2</v>
      </c>
      <c r="H113" s="15">
        <f t="shared" si="2"/>
        <v>7640</v>
      </c>
    </row>
    <row r="114" spans="1:8" x14ac:dyDescent="0.25">
      <c r="A114" s="13">
        <v>44160</v>
      </c>
      <c r="B114" s="15" t="s">
        <v>21</v>
      </c>
      <c r="C114" s="3">
        <v>2</v>
      </c>
      <c r="D114" s="13">
        <f t="shared" si="3"/>
        <v>44162</v>
      </c>
      <c r="E114" s="15">
        <v>-500</v>
      </c>
      <c r="F114" s="9">
        <v>0.05</v>
      </c>
      <c r="G114" s="9">
        <v>0.05</v>
      </c>
      <c r="H114" s="15">
        <f t="shared" si="2"/>
        <v>4100</v>
      </c>
    </row>
    <row r="115" spans="1:8" x14ac:dyDescent="0.25">
      <c r="A115" s="13">
        <v>44161</v>
      </c>
      <c r="B115" s="15" t="s">
        <v>21</v>
      </c>
      <c r="C115" s="3">
        <v>1</v>
      </c>
      <c r="D115" s="13">
        <f t="shared" si="3"/>
        <v>44162</v>
      </c>
      <c r="E115" s="15">
        <v>-100</v>
      </c>
      <c r="F115" s="9">
        <v>0.05</v>
      </c>
      <c r="G115" s="9">
        <v>0.05</v>
      </c>
      <c r="H115" s="15">
        <f t="shared" si="2"/>
        <v>1600</v>
      </c>
    </row>
    <row r="116" spans="1:8" x14ac:dyDescent="0.25">
      <c r="A116" s="13">
        <v>44161</v>
      </c>
      <c r="B116" s="15" t="s">
        <v>21</v>
      </c>
      <c r="C116" s="3">
        <v>4</v>
      </c>
      <c r="D116" s="13">
        <f t="shared" si="3"/>
        <v>44165</v>
      </c>
      <c r="E116" s="15">
        <v>-900</v>
      </c>
      <c r="F116" s="9">
        <v>4.9000000000000002E-2</v>
      </c>
      <c r="G116" s="9">
        <v>0.05</v>
      </c>
      <c r="H116" s="15">
        <f t="shared" si="2"/>
        <v>1600</v>
      </c>
    </row>
    <row r="117" spans="1:8" x14ac:dyDescent="0.25">
      <c r="A117" s="13">
        <v>44162</v>
      </c>
      <c r="B117" s="15" t="s">
        <v>21</v>
      </c>
      <c r="C117" s="3">
        <v>3</v>
      </c>
      <c r="D117" s="13">
        <f t="shared" si="3"/>
        <v>44165</v>
      </c>
      <c r="E117" s="15">
        <v>800</v>
      </c>
      <c r="F117" s="9">
        <v>0.04</v>
      </c>
      <c r="G117" s="9">
        <v>4.2500000000000003E-2</v>
      </c>
      <c r="H117" s="15">
        <f t="shared" si="2"/>
        <v>3600</v>
      </c>
    </row>
    <row r="118" spans="1:8" x14ac:dyDescent="0.25">
      <c r="A118" s="13">
        <v>44162</v>
      </c>
      <c r="B118" s="15" t="s">
        <v>21</v>
      </c>
      <c r="C118" s="3">
        <v>4</v>
      </c>
      <c r="D118" s="13">
        <f t="shared" si="3"/>
        <v>44166</v>
      </c>
      <c r="E118" s="15">
        <v>2600</v>
      </c>
      <c r="F118" s="9">
        <v>4.4999999999999998E-2</v>
      </c>
      <c r="G118" s="9">
        <v>4.4999999999999998E-2</v>
      </c>
      <c r="H118" s="15">
        <f t="shared" si="2"/>
        <v>3600</v>
      </c>
    </row>
    <row r="119" spans="1:8" x14ac:dyDescent="0.25">
      <c r="A119" s="13">
        <v>44166</v>
      </c>
      <c r="B119" s="15" t="s">
        <v>21</v>
      </c>
      <c r="C119" s="3">
        <v>2</v>
      </c>
      <c r="D119" s="13">
        <f t="shared" si="3"/>
        <v>44168</v>
      </c>
      <c r="E119" s="15">
        <v>-100</v>
      </c>
      <c r="F119" s="9">
        <v>0.05</v>
      </c>
      <c r="G119" s="9">
        <v>0.05</v>
      </c>
      <c r="H119" s="15">
        <f t="shared" si="2"/>
        <v>-200</v>
      </c>
    </row>
    <row r="120" spans="1:8" x14ac:dyDescent="0.25">
      <c r="A120" s="13">
        <v>44166</v>
      </c>
      <c r="B120" s="15" t="s">
        <v>21</v>
      </c>
      <c r="C120" s="3">
        <v>3</v>
      </c>
      <c r="D120" s="13">
        <f t="shared" si="3"/>
        <v>44169</v>
      </c>
      <c r="E120" s="15">
        <v>-100</v>
      </c>
      <c r="F120" s="9">
        <v>0.05</v>
      </c>
      <c r="G120" s="9">
        <v>0.05</v>
      </c>
      <c r="H120" s="15">
        <f t="shared" si="2"/>
        <v>-200</v>
      </c>
    </row>
    <row r="121" spans="1:8" x14ac:dyDescent="0.25">
      <c r="A121" s="13">
        <v>44167</v>
      </c>
      <c r="B121" s="15" t="s">
        <v>21</v>
      </c>
      <c r="C121" s="3">
        <v>2</v>
      </c>
      <c r="D121" s="13">
        <f t="shared" si="3"/>
        <v>44169</v>
      </c>
      <c r="E121" s="15">
        <v>-700</v>
      </c>
      <c r="F121" s="9">
        <v>0.05</v>
      </c>
      <c r="G121" s="9">
        <v>0.05</v>
      </c>
      <c r="H121" s="15">
        <f t="shared" si="2"/>
        <v>-900</v>
      </c>
    </row>
    <row r="122" spans="1:8" x14ac:dyDescent="0.25">
      <c r="A122" s="13">
        <v>44168</v>
      </c>
      <c r="B122" s="15" t="s">
        <v>21</v>
      </c>
      <c r="C122" s="3">
        <v>4</v>
      </c>
      <c r="D122" s="13">
        <f t="shared" si="3"/>
        <v>44172</v>
      </c>
      <c r="E122" s="15">
        <v>-200</v>
      </c>
      <c r="F122" s="9">
        <v>0.05</v>
      </c>
      <c r="G122" s="9">
        <v>0.05</v>
      </c>
      <c r="H122" s="15">
        <f t="shared" si="2"/>
        <v>-1000</v>
      </c>
    </row>
    <row r="123" spans="1:8" x14ac:dyDescent="0.25">
      <c r="A123" s="13">
        <v>44169</v>
      </c>
      <c r="B123" s="15" t="s">
        <v>21</v>
      </c>
      <c r="C123" s="3">
        <v>4</v>
      </c>
      <c r="D123" s="13">
        <f t="shared" si="3"/>
        <v>44173</v>
      </c>
      <c r="E123" s="15">
        <v>-800</v>
      </c>
      <c r="F123" s="9">
        <v>0.05</v>
      </c>
      <c r="G123" s="9">
        <v>5.0500000000000003E-2</v>
      </c>
      <c r="H123" s="15">
        <f t="shared" si="2"/>
        <v>-1000</v>
      </c>
    </row>
    <row r="124" spans="1:8" x14ac:dyDescent="0.25">
      <c r="A124" s="13">
        <v>44174</v>
      </c>
      <c r="B124" s="15" t="s">
        <v>21</v>
      </c>
      <c r="C124" s="3">
        <v>2</v>
      </c>
      <c r="D124" s="13">
        <f t="shared" si="3"/>
        <v>44176</v>
      </c>
      <c r="E124" s="15">
        <v>-200</v>
      </c>
      <c r="F124" s="9">
        <v>0.05</v>
      </c>
      <c r="G124" s="9">
        <v>0.05</v>
      </c>
      <c r="H124" s="15">
        <f t="shared" si="2"/>
        <v>-800</v>
      </c>
    </row>
    <row r="125" spans="1:8" x14ac:dyDescent="0.25">
      <c r="A125" s="13">
        <v>44174</v>
      </c>
      <c r="B125" s="15" t="s">
        <v>21</v>
      </c>
      <c r="C125" s="3">
        <v>5</v>
      </c>
      <c r="D125" s="13">
        <f t="shared" si="3"/>
        <v>44179</v>
      </c>
      <c r="E125" s="15">
        <v>-600</v>
      </c>
      <c r="F125" s="9">
        <v>0.05</v>
      </c>
      <c r="G125" s="9">
        <v>0.05</v>
      </c>
      <c r="H125" s="15">
        <f t="shared" si="2"/>
        <v>-800</v>
      </c>
    </row>
    <row r="126" spans="1:8" x14ac:dyDescent="0.25">
      <c r="A126" s="13">
        <v>44179</v>
      </c>
      <c r="B126" s="15" t="s">
        <v>21</v>
      </c>
      <c r="C126" s="3">
        <v>2</v>
      </c>
      <c r="D126" s="13">
        <f t="shared" si="3"/>
        <v>44181</v>
      </c>
      <c r="E126" s="15">
        <v>300</v>
      </c>
      <c r="F126" s="9">
        <v>4.7E-2</v>
      </c>
      <c r="G126" s="9">
        <v>4.7E-2</v>
      </c>
      <c r="H126" s="15">
        <f t="shared" si="2"/>
        <v>600</v>
      </c>
    </row>
    <row r="127" spans="1:8" x14ac:dyDescent="0.25">
      <c r="A127" s="13">
        <v>44179</v>
      </c>
      <c r="B127" s="15" t="s">
        <v>21</v>
      </c>
      <c r="C127" s="3">
        <v>3</v>
      </c>
      <c r="D127" s="13">
        <f t="shared" si="3"/>
        <v>44182</v>
      </c>
      <c r="E127" s="15">
        <v>300</v>
      </c>
      <c r="F127" s="9">
        <v>4.7E-2</v>
      </c>
      <c r="G127" s="9">
        <v>4.7500000000000001E-2</v>
      </c>
      <c r="H127" s="15">
        <f t="shared" si="2"/>
        <v>600</v>
      </c>
    </row>
    <row r="128" spans="1:8" x14ac:dyDescent="0.25">
      <c r="A128" s="13">
        <v>44180</v>
      </c>
      <c r="B128" s="15" t="s">
        <v>21</v>
      </c>
      <c r="C128" s="3">
        <v>2</v>
      </c>
      <c r="D128" s="13">
        <f t="shared" si="3"/>
        <v>44182</v>
      </c>
      <c r="E128" s="15">
        <v>100</v>
      </c>
      <c r="F128" s="9">
        <v>4.5999999999999999E-2</v>
      </c>
      <c r="G128" s="9">
        <v>4.5999999999999999E-2</v>
      </c>
      <c r="H128" s="15">
        <f t="shared" si="2"/>
        <v>1000</v>
      </c>
    </row>
    <row r="129" spans="1:8" x14ac:dyDescent="0.25">
      <c r="A129" s="13">
        <v>44180</v>
      </c>
      <c r="B129" s="15" t="s">
        <v>21</v>
      </c>
      <c r="C129" s="3">
        <v>3</v>
      </c>
      <c r="D129" s="13">
        <f t="shared" si="3"/>
        <v>44183</v>
      </c>
      <c r="E129" s="15">
        <v>300</v>
      </c>
      <c r="F129" s="9">
        <v>4.5999999999999999E-2</v>
      </c>
      <c r="G129" s="9">
        <v>4.5999999999999999E-2</v>
      </c>
      <c r="H129" s="15">
        <f t="shared" si="2"/>
        <v>1000</v>
      </c>
    </row>
    <row r="130" spans="1:8" x14ac:dyDescent="0.25">
      <c r="A130" s="13">
        <v>44181</v>
      </c>
      <c r="B130" s="15" t="s">
        <v>21</v>
      </c>
      <c r="C130" s="3">
        <v>2</v>
      </c>
      <c r="D130" s="13">
        <f t="shared" si="3"/>
        <v>44183</v>
      </c>
      <c r="E130" s="15">
        <v>-100</v>
      </c>
      <c r="F130" s="9">
        <v>4.9000000000000002E-2</v>
      </c>
      <c r="G130" s="9">
        <v>4.9000000000000002E-2</v>
      </c>
      <c r="H130" s="15">
        <f t="shared" si="2"/>
        <v>600</v>
      </c>
    </row>
    <row r="131" spans="1:8" x14ac:dyDescent="0.25">
      <c r="A131" s="13">
        <v>44183</v>
      </c>
      <c r="B131" s="15" t="s">
        <v>21</v>
      </c>
      <c r="C131" s="3">
        <v>4</v>
      </c>
      <c r="D131" s="13">
        <f t="shared" si="3"/>
        <v>44187</v>
      </c>
      <c r="E131" s="15">
        <v>400</v>
      </c>
      <c r="F131" s="9">
        <v>4.3999999999999997E-2</v>
      </c>
      <c r="G131" s="9">
        <v>4.4999999999999998E-2</v>
      </c>
      <c r="H131" s="15">
        <f t="shared" si="2"/>
        <v>400</v>
      </c>
    </row>
    <row r="132" spans="1:8" x14ac:dyDescent="0.25">
      <c r="A132" s="13">
        <v>44187</v>
      </c>
      <c r="B132" s="15" t="s">
        <v>21</v>
      </c>
      <c r="C132" s="3">
        <v>1</v>
      </c>
      <c r="D132" s="13">
        <f t="shared" si="3"/>
        <v>44188</v>
      </c>
      <c r="E132" s="15">
        <v>1200</v>
      </c>
      <c r="F132" s="9">
        <v>4.2500000000000003E-2</v>
      </c>
      <c r="G132" s="9">
        <v>4.2500000000000003E-2</v>
      </c>
      <c r="H132" s="15">
        <f t="shared" si="2"/>
        <v>6000</v>
      </c>
    </row>
    <row r="133" spans="1:8" x14ac:dyDescent="0.25">
      <c r="A133" s="13">
        <v>44187</v>
      </c>
      <c r="B133" s="15" t="s">
        <v>21</v>
      </c>
      <c r="C133" s="3">
        <v>2</v>
      </c>
      <c r="D133" s="13">
        <f t="shared" si="3"/>
        <v>44189</v>
      </c>
      <c r="E133" s="15">
        <v>2200</v>
      </c>
      <c r="F133" s="9">
        <v>4.2999999999999997E-2</v>
      </c>
      <c r="G133" s="9">
        <v>4.3499999999999997E-2</v>
      </c>
      <c r="H133" s="15">
        <f t="shared" si="2"/>
        <v>6000</v>
      </c>
    </row>
    <row r="134" spans="1:8" x14ac:dyDescent="0.25">
      <c r="A134" s="13">
        <v>44187</v>
      </c>
      <c r="B134" s="15" t="s">
        <v>21</v>
      </c>
      <c r="C134" s="3">
        <v>6</v>
      </c>
      <c r="D134" s="13">
        <f t="shared" si="3"/>
        <v>44193</v>
      </c>
      <c r="E134" s="15">
        <v>1300</v>
      </c>
      <c r="F134" s="9">
        <v>4.4999999999999998E-2</v>
      </c>
      <c r="G134" s="9">
        <v>4.4999999999999998E-2</v>
      </c>
      <c r="H134" s="15">
        <f t="shared" si="2"/>
        <v>6000</v>
      </c>
    </row>
    <row r="135" spans="1:8" x14ac:dyDescent="0.25">
      <c r="A135" s="13">
        <v>44187</v>
      </c>
      <c r="B135" s="15" t="s">
        <v>21</v>
      </c>
      <c r="C135" s="3">
        <v>7</v>
      </c>
      <c r="D135" s="13">
        <f t="shared" si="3"/>
        <v>44194</v>
      </c>
      <c r="E135" s="15">
        <v>1300</v>
      </c>
      <c r="F135" s="9">
        <v>4.4999999999999998E-2</v>
      </c>
      <c r="G135" s="9">
        <v>4.4999999999999998E-2</v>
      </c>
      <c r="H135" s="15">
        <f t="shared" si="2"/>
        <v>6000</v>
      </c>
    </row>
    <row r="136" spans="1:8" x14ac:dyDescent="0.25">
      <c r="A136" s="13">
        <v>44188</v>
      </c>
      <c r="B136" s="15" t="s">
        <v>21</v>
      </c>
      <c r="C136" s="3">
        <v>1</v>
      </c>
      <c r="D136" s="13">
        <f t="shared" si="3"/>
        <v>44189</v>
      </c>
      <c r="E136" s="15">
        <v>-300</v>
      </c>
      <c r="F136" s="9">
        <v>0.04</v>
      </c>
      <c r="G136" s="9">
        <v>0.04</v>
      </c>
      <c r="H136" s="15">
        <f t="shared" si="2"/>
        <v>4500</v>
      </c>
    </row>
    <row r="137" spans="1:8" x14ac:dyDescent="0.25">
      <c r="A137" s="13">
        <v>44189</v>
      </c>
      <c r="B137" s="15" t="s">
        <v>21</v>
      </c>
      <c r="C137" s="3">
        <v>5</v>
      </c>
      <c r="D137" s="13">
        <f t="shared" si="3"/>
        <v>44194</v>
      </c>
      <c r="E137" s="15">
        <v>-300</v>
      </c>
      <c r="F137" s="9">
        <v>4.4999999999999998E-2</v>
      </c>
      <c r="G137" s="9">
        <v>4.4999999999999998E-2</v>
      </c>
      <c r="H137" s="15">
        <f t="shared" si="2"/>
        <v>2100</v>
      </c>
    </row>
    <row r="138" spans="1:8" x14ac:dyDescent="0.25">
      <c r="A138" s="13">
        <v>44189</v>
      </c>
      <c r="B138" s="15" t="s">
        <v>21</v>
      </c>
      <c r="C138" s="3">
        <v>12</v>
      </c>
      <c r="D138" s="13">
        <f t="shared" si="3"/>
        <v>44201</v>
      </c>
      <c r="E138" s="15">
        <v>-200</v>
      </c>
      <c r="F138" s="9">
        <v>4.7500000000000001E-2</v>
      </c>
      <c r="G138" s="9">
        <v>4.7500000000000001E-2</v>
      </c>
      <c r="H138" s="15">
        <f t="shared" ref="H138:H201" si="4">+SUMIFS($E$10:$E$4503,$A$10:$A$4503,"&lt;="&amp;A138,$D$10:$D$4503,"&gt;"&amp;A138)</f>
        <v>2100</v>
      </c>
    </row>
    <row r="139" spans="1:8" x14ac:dyDescent="0.25">
      <c r="A139" s="13">
        <v>44194</v>
      </c>
      <c r="B139" s="15" t="s">
        <v>21</v>
      </c>
      <c r="C139" s="3">
        <v>1</v>
      </c>
      <c r="D139" s="13">
        <f t="shared" ref="D139:D202" si="5">+A139+C139</f>
        <v>44195</v>
      </c>
      <c r="E139" s="15">
        <v>900</v>
      </c>
      <c r="F139" s="9">
        <v>0.04</v>
      </c>
      <c r="G139" s="9">
        <v>0.04</v>
      </c>
      <c r="H139" s="15">
        <f t="shared" si="4"/>
        <v>700</v>
      </c>
    </row>
    <row r="140" spans="1:8" x14ac:dyDescent="0.25">
      <c r="A140" s="13">
        <v>44195</v>
      </c>
      <c r="B140" s="15" t="s">
        <v>21</v>
      </c>
      <c r="C140" s="3">
        <v>5</v>
      </c>
      <c r="D140" s="13">
        <f t="shared" si="5"/>
        <v>44200</v>
      </c>
      <c r="E140" s="15">
        <v>900</v>
      </c>
      <c r="F140" s="9">
        <v>0.04</v>
      </c>
      <c r="G140" s="9">
        <v>4.2000000000000003E-2</v>
      </c>
      <c r="H140" s="15">
        <f t="shared" si="4"/>
        <v>700</v>
      </c>
    </row>
    <row r="141" spans="1:8" x14ac:dyDescent="0.25">
      <c r="A141" s="13">
        <v>44201</v>
      </c>
      <c r="B141" s="15" t="s">
        <v>21</v>
      </c>
      <c r="C141" s="3">
        <v>3</v>
      </c>
      <c r="D141" s="13">
        <f t="shared" si="5"/>
        <v>44204</v>
      </c>
      <c r="E141" s="15">
        <v>1600</v>
      </c>
      <c r="F141" s="9">
        <v>4.4999999999999998E-2</v>
      </c>
      <c r="G141" s="9">
        <v>4.5999999999999999E-2</v>
      </c>
      <c r="H141" s="15">
        <f t="shared" si="4"/>
        <v>2000</v>
      </c>
    </row>
    <row r="142" spans="1:8" x14ac:dyDescent="0.25">
      <c r="A142" s="13">
        <v>44201</v>
      </c>
      <c r="B142" s="15" t="s">
        <v>21</v>
      </c>
      <c r="C142" s="3">
        <v>6</v>
      </c>
      <c r="D142" s="13">
        <f t="shared" si="5"/>
        <v>44207</v>
      </c>
      <c r="E142" s="15">
        <v>400</v>
      </c>
      <c r="F142" s="9">
        <v>4.4999999999999998E-2</v>
      </c>
      <c r="G142" s="9">
        <v>4.65E-2</v>
      </c>
      <c r="H142" s="15">
        <f t="shared" si="4"/>
        <v>2000</v>
      </c>
    </row>
    <row r="143" spans="1:8" x14ac:dyDescent="0.25">
      <c r="A143" s="13">
        <v>44203</v>
      </c>
      <c r="B143" s="15" t="s">
        <v>21</v>
      </c>
      <c r="C143" s="3">
        <v>4</v>
      </c>
      <c r="D143" s="13">
        <f t="shared" si="5"/>
        <v>44207</v>
      </c>
      <c r="E143" s="15">
        <v>2100</v>
      </c>
      <c r="F143" s="9">
        <v>4.4999999999999998E-2</v>
      </c>
      <c r="G143" s="9">
        <v>4.4999999999999998E-2</v>
      </c>
      <c r="H143" s="15">
        <f t="shared" si="4"/>
        <v>5500</v>
      </c>
    </row>
    <row r="144" spans="1:8" x14ac:dyDescent="0.25">
      <c r="A144" s="13">
        <v>44203</v>
      </c>
      <c r="B144" s="15" t="s">
        <v>21</v>
      </c>
      <c r="C144" s="3">
        <v>7</v>
      </c>
      <c r="D144" s="13">
        <f t="shared" si="5"/>
        <v>44210</v>
      </c>
      <c r="E144" s="15">
        <v>1000</v>
      </c>
      <c r="F144" s="9">
        <v>4.4999999999999998E-2</v>
      </c>
      <c r="G144" s="9">
        <v>4.5999999999999999E-2</v>
      </c>
      <c r="H144" s="15">
        <f t="shared" si="4"/>
        <v>5500</v>
      </c>
    </row>
    <row r="145" spans="1:8" x14ac:dyDescent="0.25">
      <c r="A145" s="13">
        <v>44203</v>
      </c>
      <c r="B145" s="15" t="s">
        <v>21</v>
      </c>
      <c r="C145" s="3">
        <v>11</v>
      </c>
      <c r="D145" s="13">
        <f t="shared" si="5"/>
        <v>44214</v>
      </c>
      <c r="E145" s="15">
        <v>400</v>
      </c>
      <c r="F145" s="9">
        <v>4.5999999999999999E-2</v>
      </c>
      <c r="G145" s="9">
        <v>4.5999999999999999E-2</v>
      </c>
      <c r="H145" s="15">
        <f t="shared" si="4"/>
        <v>5500</v>
      </c>
    </row>
    <row r="146" spans="1:8" x14ac:dyDescent="0.25">
      <c r="A146" s="13">
        <v>44204</v>
      </c>
      <c r="B146" s="15" t="s">
        <v>303</v>
      </c>
      <c r="C146" s="3">
        <v>1</v>
      </c>
      <c r="D146" s="13">
        <f t="shared" si="5"/>
        <v>44205</v>
      </c>
      <c r="E146" s="15">
        <v>1500</v>
      </c>
      <c r="F146" s="9">
        <v>4.4999999999999998E-2</v>
      </c>
      <c r="G146" s="9">
        <v>4.5999999999999999E-2</v>
      </c>
      <c r="H146" s="15">
        <f t="shared" si="4"/>
        <v>6900</v>
      </c>
    </row>
    <row r="147" spans="1:8" x14ac:dyDescent="0.25">
      <c r="A147" s="13">
        <v>44204</v>
      </c>
      <c r="B147" s="15" t="s">
        <v>21</v>
      </c>
      <c r="C147" s="3">
        <v>3</v>
      </c>
      <c r="D147" s="13">
        <f t="shared" si="5"/>
        <v>44207</v>
      </c>
      <c r="E147" s="15">
        <v>500</v>
      </c>
      <c r="F147" s="9">
        <v>4.5999999999999999E-2</v>
      </c>
      <c r="G147" s="9">
        <v>4.5999999999999999E-2</v>
      </c>
      <c r="H147" s="15">
        <f t="shared" si="4"/>
        <v>6900</v>
      </c>
    </row>
    <row r="148" spans="1:8" x14ac:dyDescent="0.25">
      <c r="A148" s="13">
        <v>44204</v>
      </c>
      <c r="B148" s="15" t="s">
        <v>21</v>
      </c>
      <c r="C148" s="3">
        <v>4</v>
      </c>
      <c r="D148" s="13">
        <f t="shared" si="5"/>
        <v>44208</v>
      </c>
      <c r="E148" s="15">
        <v>600</v>
      </c>
      <c r="F148" s="9">
        <v>4.5999999999999999E-2</v>
      </c>
      <c r="G148" s="9">
        <v>4.5999999999999999E-2</v>
      </c>
      <c r="H148" s="15">
        <f t="shared" si="4"/>
        <v>6900</v>
      </c>
    </row>
    <row r="149" spans="1:8" x14ac:dyDescent="0.25">
      <c r="A149" s="13">
        <v>44204</v>
      </c>
      <c r="B149" s="15" t="s">
        <v>21</v>
      </c>
      <c r="C149" s="3">
        <v>10</v>
      </c>
      <c r="D149" s="13">
        <f t="shared" si="5"/>
        <v>44214</v>
      </c>
      <c r="E149" s="15">
        <v>400</v>
      </c>
      <c r="F149" s="9">
        <v>4.7E-2</v>
      </c>
      <c r="G149" s="9">
        <v>4.7E-2</v>
      </c>
      <c r="H149" s="15">
        <f t="shared" si="4"/>
        <v>6900</v>
      </c>
    </row>
    <row r="150" spans="1:8" x14ac:dyDescent="0.25">
      <c r="A150" s="13">
        <v>44207</v>
      </c>
      <c r="B150" s="15" t="s">
        <v>21</v>
      </c>
      <c r="C150" s="3">
        <v>2</v>
      </c>
      <c r="D150" s="13">
        <f t="shared" si="5"/>
        <v>44209</v>
      </c>
      <c r="E150" s="15">
        <v>600</v>
      </c>
      <c r="F150" s="9">
        <v>4.5999999999999999E-2</v>
      </c>
      <c r="G150" s="9">
        <v>4.5999999999999999E-2</v>
      </c>
      <c r="H150" s="15">
        <f t="shared" si="4"/>
        <v>6900</v>
      </c>
    </row>
    <row r="151" spans="1:8" x14ac:dyDescent="0.25">
      <c r="A151" s="13">
        <v>44207</v>
      </c>
      <c r="B151" s="15" t="s">
        <v>21</v>
      </c>
      <c r="C151" s="3">
        <v>4</v>
      </c>
      <c r="D151" s="13">
        <f t="shared" si="5"/>
        <v>44211</v>
      </c>
      <c r="E151" s="15">
        <v>2900</v>
      </c>
      <c r="F151" s="9">
        <v>4.5499999999999999E-2</v>
      </c>
      <c r="G151" s="9">
        <v>4.7E-2</v>
      </c>
      <c r="H151" s="15">
        <f t="shared" si="4"/>
        <v>6900</v>
      </c>
    </row>
    <row r="152" spans="1:8" x14ac:dyDescent="0.25">
      <c r="A152" s="13">
        <v>44207</v>
      </c>
      <c r="B152" s="15" t="s">
        <v>21</v>
      </c>
      <c r="C152" s="3">
        <v>7</v>
      </c>
      <c r="D152" s="13">
        <f t="shared" si="5"/>
        <v>44214</v>
      </c>
      <c r="E152" s="15">
        <v>1000</v>
      </c>
      <c r="F152" s="9">
        <v>4.5999999999999999E-2</v>
      </c>
      <c r="G152" s="9">
        <v>4.7E-2</v>
      </c>
      <c r="H152" s="15">
        <f t="shared" si="4"/>
        <v>6900</v>
      </c>
    </row>
    <row r="153" spans="1:8" x14ac:dyDescent="0.25">
      <c r="A153" s="13">
        <v>44208</v>
      </c>
      <c r="B153" s="15" t="s">
        <v>21</v>
      </c>
      <c r="C153" s="3">
        <v>2</v>
      </c>
      <c r="D153" s="13">
        <f t="shared" si="5"/>
        <v>44210</v>
      </c>
      <c r="E153" s="15">
        <v>1000</v>
      </c>
      <c r="F153" s="9">
        <v>4.5999999999999999E-2</v>
      </c>
      <c r="G153" s="9">
        <v>4.5999999999999999E-2</v>
      </c>
      <c r="H153" s="15">
        <f t="shared" si="4"/>
        <v>8600</v>
      </c>
    </row>
    <row r="154" spans="1:8" x14ac:dyDescent="0.25">
      <c r="A154" s="13">
        <v>44208</v>
      </c>
      <c r="B154" s="15" t="s">
        <v>21</v>
      </c>
      <c r="C154" s="3">
        <v>3</v>
      </c>
      <c r="D154" s="13">
        <f t="shared" si="5"/>
        <v>44211</v>
      </c>
      <c r="E154" s="15">
        <v>600</v>
      </c>
      <c r="F154" s="9">
        <v>4.5999999999999999E-2</v>
      </c>
      <c r="G154" s="9">
        <v>4.5999999999999999E-2</v>
      </c>
      <c r="H154" s="15">
        <f t="shared" si="4"/>
        <v>8600</v>
      </c>
    </row>
    <row r="155" spans="1:8" x14ac:dyDescent="0.25">
      <c r="A155" s="13">
        <v>44208</v>
      </c>
      <c r="B155" s="15" t="s">
        <v>21</v>
      </c>
      <c r="C155" s="3">
        <v>7</v>
      </c>
      <c r="D155" s="13">
        <f t="shared" si="5"/>
        <v>44215</v>
      </c>
      <c r="E155" s="15">
        <v>700</v>
      </c>
      <c r="F155" s="9">
        <v>4.5999999999999999E-2</v>
      </c>
      <c r="G155" s="9">
        <v>4.7E-2</v>
      </c>
      <c r="H155" s="15">
        <f t="shared" si="4"/>
        <v>8600</v>
      </c>
    </row>
    <row r="156" spans="1:8" x14ac:dyDescent="0.25">
      <c r="A156" s="13">
        <v>44209</v>
      </c>
      <c r="B156" s="15" t="s">
        <v>21</v>
      </c>
      <c r="C156" s="3">
        <v>1</v>
      </c>
      <c r="D156" s="13">
        <f t="shared" si="5"/>
        <v>44210</v>
      </c>
      <c r="E156" s="15">
        <v>400</v>
      </c>
      <c r="F156" s="9">
        <v>4.4999999999999998E-2</v>
      </c>
      <c r="G156" s="9">
        <v>4.4999999999999998E-2</v>
      </c>
      <c r="H156" s="15">
        <f t="shared" si="4"/>
        <v>11000</v>
      </c>
    </row>
    <row r="157" spans="1:8" x14ac:dyDescent="0.25">
      <c r="A157" s="13">
        <v>44209</v>
      </c>
      <c r="B157" s="15" t="s">
        <v>21</v>
      </c>
      <c r="C157" s="3">
        <v>2</v>
      </c>
      <c r="D157" s="13">
        <f t="shared" si="5"/>
        <v>44211</v>
      </c>
      <c r="E157" s="15">
        <v>2000</v>
      </c>
      <c r="F157" s="9">
        <v>4.5999999999999999E-2</v>
      </c>
      <c r="G157" s="9">
        <v>4.5999999999999999E-2</v>
      </c>
      <c r="H157" s="15">
        <f t="shared" si="4"/>
        <v>11000</v>
      </c>
    </row>
    <row r="158" spans="1:8" x14ac:dyDescent="0.25">
      <c r="A158" s="13">
        <v>44209</v>
      </c>
      <c r="B158" s="15" t="s">
        <v>21</v>
      </c>
      <c r="C158" s="3">
        <v>9</v>
      </c>
      <c r="D158" s="13">
        <f t="shared" si="5"/>
        <v>44218</v>
      </c>
      <c r="E158" s="15">
        <v>600</v>
      </c>
      <c r="F158" s="9">
        <v>4.5999999999999999E-2</v>
      </c>
      <c r="G158" s="9">
        <v>4.5999999999999999E-2</v>
      </c>
      <c r="H158" s="15">
        <f t="shared" si="4"/>
        <v>11000</v>
      </c>
    </row>
    <row r="159" spans="1:8" x14ac:dyDescent="0.25">
      <c r="A159" s="13">
        <v>44210</v>
      </c>
      <c r="B159" s="15" t="s">
        <v>21</v>
      </c>
      <c r="C159" s="3">
        <v>4</v>
      </c>
      <c r="D159" s="13">
        <f t="shared" si="5"/>
        <v>44214</v>
      </c>
      <c r="E159" s="15">
        <v>1400</v>
      </c>
      <c r="F159" s="9">
        <v>4.5999999999999999E-2</v>
      </c>
      <c r="G159" s="9">
        <v>4.5999999999999999E-2</v>
      </c>
      <c r="H159" s="15">
        <f t="shared" si="4"/>
        <v>11200</v>
      </c>
    </row>
    <row r="160" spans="1:8" x14ac:dyDescent="0.25">
      <c r="A160" s="13">
        <v>44210</v>
      </c>
      <c r="B160" s="15" t="s">
        <v>21</v>
      </c>
      <c r="C160" s="3">
        <v>7</v>
      </c>
      <c r="D160" s="13">
        <f t="shared" si="5"/>
        <v>44217</v>
      </c>
      <c r="E160" s="15">
        <v>400</v>
      </c>
      <c r="F160" s="9">
        <v>4.7E-2</v>
      </c>
      <c r="G160" s="9">
        <v>4.7E-2</v>
      </c>
      <c r="H160" s="15">
        <f t="shared" si="4"/>
        <v>11200</v>
      </c>
    </row>
    <row r="161" spans="1:8" x14ac:dyDescent="0.25">
      <c r="A161" s="13">
        <v>44210</v>
      </c>
      <c r="B161" s="15" t="s">
        <v>21</v>
      </c>
      <c r="C161" s="3">
        <v>11</v>
      </c>
      <c r="D161" s="13">
        <f t="shared" si="5"/>
        <v>44221</v>
      </c>
      <c r="E161" s="15">
        <v>800</v>
      </c>
      <c r="F161" s="9">
        <v>4.5999999999999999E-2</v>
      </c>
      <c r="G161" s="9">
        <v>4.7500000000000001E-2</v>
      </c>
      <c r="H161" s="15">
        <f t="shared" si="4"/>
        <v>11200</v>
      </c>
    </row>
    <row r="162" spans="1:8" x14ac:dyDescent="0.25">
      <c r="A162" s="13">
        <v>44211</v>
      </c>
      <c r="B162" s="15" t="s">
        <v>21</v>
      </c>
      <c r="C162" s="3">
        <v>3</v>
      </c>
      <c r="D162" s="13">
        <f t="shared" si="5"/>
        <v>44214</v>
      </c>
      <c r="E162" s="15">
        <v>1300</v>
      </c>
      <c r="F162" s="9">
        <v>4.4999999999999998E-2</v>
      </c>
      <c r="G162" s="9">
        <v>4.4999999999999998E-2</v>
      </c>
      <c r="H162" s="15">
        <f t="shared" si="4"/>
        <v>9500</v>
      </c>
    </row>
    <row r="163" spans="1:8" x14ac:dyDescent="0.25">
      <c r="A163" s="13">
        <v>44211</v>
      </c>
      <c r="B163" s="15" t="s">
        <v>21</v>
      </c>
      <c r="C163" s="3">
        <v>4</v>
      </c>
      <c r="D163" s="13">
        <f t="shared" si="5"/>
        <v>44215</v>
      </c>
      <c r="E163" s="15">
        <v>200</v>
      </c>
      <c r="F163" s="9">
        <v>4.5999999999999999E-2</v>
      </c>
      <c r="G163" s="9">
        <v>4.5999999999999999E-2</v>
      </c>
      <c r="H163" s="15">
        <f t="shared" si="4"/>
        <v>9500</v>
      </c>
    </row>
    <row r="164" spans="1:8" x14ac:dyDescent="0.25">
      <c r="A164" s="13">
        <v>44211</v>
      </c>
      <c r="B164" s="15" t="s">
        <v>21</v>
      </c>
      <c r="C164" s="3">
        <v>5</v>
      </c>
      <c r="D164" s="13">
        <f t="shared" si="5"/>
        <v>44216</v>
      </c>
      <c r="E164" s="15">
        <v>2000</v>
      </c>
      <c r="F164" s="9">
        <v>4.5999999999999999E-2</v>
      </c>
      <c r="G164" s="9">
        <v>4.5999999999999999E-2</v>
      </c>
      <c r="H164" s="15">
        <f t="shared" si="4"/>
        <v>9500</v>
      </c>
    </row>
    <row r="165" spans="1:8" x14ac:dyDescent="0.25">
      <c r="A165" s="13">
        <v>44211</v>
      </c>
      <c r="B165" s="15" t="s">
        <v>21</v>
      </c>
      <c r="C165" s="3">
        <v>10</v>
      </c>
      <c r="D165" s="13">
        <f t="shared" si="5"/>
        <v>44221</v>
      </c>
      <c r="E165" s="15">
        <v>300</v>
      </c>
      <c r="F165" s="9">
        <v>4.7E-2</v>
      </c>
      <c r="G165" s="9">
        <v>4.7E-2</v>
      </c>
      <c r="H165" s="15">
        <f t="shared" si="4"/>
        <v>9500</v>
      </c>
    </row>
    <row r="166" spans="1:8" x14ac:dyDescent="0.25">
      <c r="A166" s="13">
        <v>44214</v>
      </c>
      <c r="B166" s="15" t="s">
        <v>21</v>
      </c>
      <c r="C166" s="3">
        <v>2</v>
      </c>
      <c r="D166" s="13">
        <f t="shared" si="5"/>
        <v>44216</v>
      </c>
      <c r="E166" s="15">
        <v>1300</v>
      </c>
      <c r="F166" s="9">
        <v>4.5999999999999999E-2</v>
      </c>
      <c r="G166" s="9">
        <v>4.5999999999999999E-2</v>
      </c>
      <c r="H166" s="15">
        <f t="shared" si="4"/>
        <v>7520</v>
      </c>
    </row>
    <row r="167" spans="1:8" x14ac:dyDescent="0.25">
      <c r="A167" s="13">
        <v>44214</v>
      </c>
      <c r="B167" s="15" t="s">
        <v>21</v>
      </c>
      <c r="C167" s="3">
        <v>4</v>
      </c>
      <c r="D167" s="13">
        <f t="shared" si="5"/>
        <v>44218</v>
      </c>
      <c r="E167" s="15">
        <v>400</v>
      </c>
      <c r="F167" s="9">
        <v>4.5999999999999999E-2</v>
      </c>
      <c r="G167" s="9">
        <v>4.5999999999999999E-2</v>
      </c>
      <c r="H167" s="15">
        <f t="shared" si="4"/>
        <v>7520</v>
      </c>
    </row>
    <row r="168" spans="1:8" x14ac:dyDescent="0.25">
      <c r="A168" s="13">
        <v>44214</v>
      </c>
      <c r="B168" s="15" t="s">
        <v>21</v>
      </c>
      <c r="C168" s="3">
        <v>7</v>
      </c>
      <c r="D168" s="13">
        <f t="shared" si="5"/>
        <v>44221</v>
      </c>
      <c r="E168" s="15">
        <v>20</v>
      </c>
      <c r="F168" s="9">
        <v>4.5999999999999999E-2</v>
      </c>
      <c r="G168" s="9">
        <v>4.5999999999999999E-2</v>
      </c>
      <c r="H168" s="15">
        <f t="shared" si="4"/>
        <v>7520</v>
      </c>
    </row>
    <row r="169" spans="1:8" x14ac:dyDescent="0.25">
      <c r="A169" s="13">
        <v>44214</v>
      </c>
      <c r="B169" s="15" t="s">
        <v>21</v>
      </c>
      <c r="C169" s="3">
        <v>14</v>
      </c>
      <c r="D169" s="13">
        <f t="shared" si="5"/>
        <v>44228</v>
      </c>
      <c r="E169" s="15">
        <v>800</v>
      </c>
      <c r="F169" s="9">
        <v>4.7E-2</v>
      </c>
      <c r="G169" s="9">
        <v>4.7E-2</v>
      </c>
      <c r="H169" s="15">
        <f t="shared" si="4"/>
        <v>7520</v>
      </c>
    </row>
    <row r="170" spans="1:8" x14ac:dyDescent="0.25">
      <c r="A170" s="13">
        <v>44215</v>
      </c>
      <c r="B170" s="15" t="s">
        <v>303</v>
      </c>
      <c r="C170" s="3">
        <v>1</v>
      </c>
      <c r="D170" s="13">
        <f t="shared" si="5"/>
        <v>44216</v>
      </c>
      <c r="E170" s="15">
        <v>400</v>
      </c>
      <c r="F170" s="9">
        <v>4.3499999999999997E-2</v>
      </c>
      <c r="G170" s="9">
        <v>4.4999999999999998E-2</v>
      </c>
      <c r="H170" s="15">
        <f t="shared" si="4"/>
        <v>9550</v>
      </c>
    </row>
    <row r="171" spans="1:8" x14ac:dyDescent="0.25">
      <c r="A171" s="13">
        <v>44215</v>
      </c>
      <c r="B171" s="15" t="s">
        <v>21</v>
      </c>
      <c r="C171" s="3">
        <v>1</v>
      </c>
      <c r="D171" s="13">
        <f t="shared" si="5"/>
        <v>44216</v>
      </c>
      <c r="E171" s="15">
        <v>500</v>
      </c>
      <c r="F171" s="9">
        <v>4.4999999999999998E-2</v>
      </c>
      <c r="G171" s="9">
        <v>4.4999999999999998E-2</v>
      </c>
      <c r="H171" s="15">
        <f t="shared" si="4"/>
        <v>9550</v>
      </c>
    </row>
    <row r="172" spans="1:8" x14ac:dyDescent="0.25">
      <c r="A172" s="13">
        <v>44215</v>
      </c>
      <c r="B172" s="15" t="s">
        <v>21</v>
      </c>
      <c r="C172" s="3">
        <v>2</v>
      </c>
      <c r="D172" s="13">
        <f t="shared" si="5"/>
        <v>44217</v>
      </c>
      <c r="E172" s="15">
        <v>800</v>
      </c>
      <c r="F172" s="9">
        <v>4.5999999999999999E-2</v>
      </c>
      <c r="G172" s="9">
        <v>4.5999999999999999E-2</v>
      </c>
      <c r="H172" s="15">
        <f t="shared" si="4"/>
        <v>9550</v>
      </c>
    </row>
    <row r="173" spans="1:8" x14ac:dyDescent="0.25">
      <c r="A173" s="13">
        <v>44215</v>
      </c>
      <c r="B173" s="15" t="s">
        <v>21</v>
      </c>
      <c r="C173" s="3">
        <v>6</v>
      </c>
      <c r="D173" s="13">
        <f t="shared" si="5"/>
        <v>44221</v>
      </c>
      <c r="E173" s="15">
        <v>400</v>
      </c>
      <c r="F173" s="9">
        <v>4.5999999999999999E-2</v>
      </c>
      <c r="G173" s="9">
        <v>4.5999999999999999E-2</v>
      </c>
      <c r="H173" s="15">
        <f t="shared" si="4"/>
        <v>9550</v>
      </c>
    </row>
    <row r="174" spans="1:8" x14ac:dyDescent="0.25">
      <c r="A174" s="13">
        <v>44215</v>
      </c>
      <c r="B174" s="15" t="s">
        <v>21</v>
      </c>
      <c r="C174" s="3">
        <v>13</v>
      </c>
      <c r="D174" s="13">
        <f t="shared" si="5"/>
        <v>44228</v>
      </c>
      <c r="E174" s="15">
        <v>830</v>
      </c>
      <c r="F174" s="9">
        <v>4.5999999999999999E-2</v>
      </c>
      <c r="G174" s="9">
        <v>4.7E-2</v>
      </c>
      <c r="H174" s="15">
        <f t="shared" si="4"/>
        <v>9550</v>
      </c>
    </row>
    <row r="175" spans="1:8" x14ac:dyDescent="0.25">
      <c r="A175" s="13">
        <v>44216</v>
      </c>
      <c r="B175" s="15" t="s">
        <v>21</v>
      </c>
      <c r="C175" s="3">
        <v>2</v>
      </c>
      <c r="D175" s="13">
        <f t="shared" si="5"/>
        <v>44218</v>
      </c>
      <c r="E175" s="15">
        <v>1000</v>
      </c>
      <c r="F175" s="9">
        <v>4.5999999999999999E-2</v>
      </c>
      <c r="G175" s="9">
        <v>4.5999999999999999E-2</v>
      </c>
      <c r="H175" s="15">
        <f t="shared" si="4"/>
        <v>6950</v>
      </c>
    </row>
    <row r="176" spans="1:8" x14ac:dyDescent="0.25">
      <c r="A176" s="13">
        <v>44216</v>
      </c>
      <c r="B176" s="15" t="s">
        <v>21</v>
      </c>
      <c r="C176" s="3">
        <v>12</v>
      </c>
      <c r="D176" s="13">
        <f t="shared" si="5"/>
        <v>44228</v>
      </c>
      <c r="E176" s="15">
        <v>600</v>
      </c>
      <c r="F176" s="9">
        <v>4.7E-2</v>
      </c>
      <c r="G176" s="9">
        <v>4.7E-2</v>
      </c>
      <c r="H176" s="15">
        <f t="shared" si="4"/>
        <v>6950</v>
      </c>
    </row>
    <row r="177" spans="1:8" x14ac:dyDescent="0.25">
      <c r="A177" s="13">
        <v>44217</v>
      </c>
      <c r="B177" s="15" t="s">
        <v>21</v>
      </c>
      <c r="C177" s="3">
        <v>4</v>
      </c>
      <c r="D177" s="13">
        <f t="shared" si="5"/>
        <v>44221</v>
      </c>
      <c r="E177" s="15">
        <v>800</v>
      </c>
      <c r="F177" s="9">
        <v>4.5999999999999999E-2</v>
      </c>
      <c r="G177" s="9">
        <v>4.5999999999999999E-2</v>
      </c>
      <c r="H177" s="15">
        <f t="shared" si="4"/>
        <v>7950</v>
      </c>
    </row>
    <row r="178" spans="1:8" x14ac:dyDescent="0.25">
      <c r="A178" s="13">
        <v>44217</v>
      </c>
      <c r="B178" s="15" t="s">
        <v>21</v>
      </c>
      <c r="C178" s="3">
        <v>11</v>
      </c>
      <c r="D178" s="13">
        <f t="shared" si="5"/>
        <v>44228</v>
      </c>
      <c r="E178" s="15">
        <v>1400</v>
      </c>
      <c r="F178" s="9">
        <v>4.65E-2</v>
      </c>
      <c r="G178" s="9">
        <v>4.65E-2</v>
      </c>
      <c r="H178" s="15">
        <f t="shared" si="4"/>
        <v>7950</v>
      </c>
    </row>
    <row r="179" spans="1:8" x14ac:dyDescent="0.25">
      <c r="A179" s="13">
        <v>44218</v>
      </c>
      <c r="B179" s="15" t="s">
        <v>303</v>
      </c>
      <c r="C179" s="3">
        <v>3</v>
      </c>
      <c r="D179" s="13">
        <f t="shared" si="5"/>
        <v>44221</v>
      </c>
      <c r="E179" s="15">
        <v>250</v>
      </c>
      <c r="F179" s="9">
        <v>4.4999999999999998E-2</v>
      </c>
      <c r="G179" s="9">
        <v>4.4999999999999998E-2</v>
      </c>
      <c r="H179" s="15">
        <f t="shared" si="4"/>
        <v>11350</v>
      </c>
    </row>
    <row r="180" spans="1:8" x14ac:dyDescent="0.25">
      <c r="A180" s="13">
        <v>44218</v>
      </c>
      <c r="B180" s="15" t="s">
        <v>21</v>
      </c>
      <c r="C180" s="3">
        <v>3</v>
      </c>
      <c r="D180" s="13">
        <f t="shared" si="5"/>
        <v>44221</v>
      </c>
      <c r="E180" s="15">
        <v>2250</v>
      </c>
      <c r="F180" s="9">
        <v>4.4499999999999998E-2</v>
      </c>
      <c r="G180" s="9">
        <v>4.4999999999999998E-2</v>
      </c>
      <c r="H180" s="15">
        <f t="shared" si="4"/>
        <v>11350</v>
      </c>
    </row>
    <row r="181" spans="1:8" x14ac:dyDescent="0.25">
      <c r="A181" s="13">
        <v>44218</v>
      </c>
      <c r="B181" s="15" t="s">
        <v>21</v>
      </c>
      <c r="C181" s="3">
        <v>4</v>
      </c>
      <c r="D181" s="13">
        <f t="shared" si="5"/>
        <v>44222</v>
      </c>
      <c r="E181" s="15">
        <v>800</v>
      </c>
      <c r="F181" s="9">
        <v>4.5999999999999999E-2</v>
      </c>
      <c r="G181" s="9">
        <v>4.5999999999999999E-2</v>
      </c>
      <c r="H181" s="15">
        <f t="shared" si="4"/>
        <v>11350</v>
      </c>
    </row>
    <row r="182" spans="1:8" x14ac:dyDescent="0.25">
      <c r="A182" s="13">
        <v>44218</v>
      </c>
      <c r="B182" s="15" t="s">
        <v>21</v>
      </c>
      <c r="C182" s="3">
        <v>5</v>
      </c>
      <c r="D182" s="13">
        <f t="shared" si="5"/>
        <v>44223</v>
      </c>
      <c r="E182" s="15">
        <v>1600</v>
      </c>
      <c r="F182" s="9">
        <v>4.5999999999999999E-2</v>
      </c>
      <c r="G182" s="9">
        <v>4.5999999999999999E-2</v>
      </c>
      <c r="H182" s="15">
        <f t="shared" si="4"/>
        <v>11350</v>
      </c>
    </row>
    <row r="183" spans="1:8" x14ac:dyDescent="0.25">
      <c r="A183" s="13">
        <v>44218</v>
      </c>
      <c r="B183" s="15" t="s">
        <v>21</v>
      </c>
      <c r="C183" s="3">
        <v>10</v>
      </c>
      <c r="D183" s="13">
        <f t="shared" si="5"/>
        <v>44228</v>
      </c>
      <c r="E183" s="15">
        <v>500</v>
      </c>
      <c r="F183" s="9">
        <v>4.5999999999999999E-2</v>
      </c>
      <c r="G183" s="9">
        <v>4.5999999999999999E-2</v>
      </c>
      <c r="H183" s="15">
        <f t="shared" si="4"/>
        <v>11350</v>
      </c>
    </row>
    <row r="184" spans="1:8" x14ac:dyDescent="0.25">
      <c r="A184" s="13">
        <v>44221</v>
      </c>
      <c r="B184" s="15" t="s">
        <v>303</v>
      </c>
      <c r="C184" s="3">
        <v>1</v>
      </c>
      <c r="D184" s="13">
        <f t="shared" si="5"/>
        <v>44222</v>
      </c>
      <c r="E184" s="15">
        <v>400</v>
      </c>
      <c r="F184" s="9">
        <v>0.04</v>
      </c>
      <c r="G184" s="9">
        <v>4.4999999999999998E-2</v>
      </c>
      <c r="H184" s="15">
        <f t="shared" si="4"/>
        <v>12730</v>
      </c>
    </row>
    <row r="185" spans="1:8" x14ac:dyDescent="0.25">
      <c r="A185" s="13">
        <v>44221</v>
      </c>
      <c r="B185" s="15" t="s">
        <v>21</v>
      </c>
      <c r="C185" s="3">
        <v>1</v>
      </c>
      <c r="D185" s="13">
        <f t="shared" si="5"/>
        <v>44222</v>
      </c>
      <c r="E185" s="15">
        <v>1600</v>
      </c>
      <c r="F185" s="9">
        <v>0.04</v>
      </c>
      <c r="G185" s="9">
        <v>4.4999999999999998E-2</v>
      </c>
      <c r="H185" s="15">
        <f t="shared" si="4"/>
        <v>12730</v>
      </c>
    </row>
    <row r="186" spans="1:8" x14ac:dyDescent="0.25">
      <c r="A186" s="13">
        <v>44221</v>
      </c>
      <c r="B186" s="15" t="s">
        <v>21</v>
      </c>
      <c r="C186" s="3">
        <v>2</v>
      </c>
      <c r="D186" s="13">
        <f t="shared" si="5"/>
        <v>44223</v>
      </c>
      <c r="E186" s="15">
        <v>2800</v>
      </c>
      <c r="F186" s="9">
        <v>4.4999999999999998E-2</v>
      </c>
      <c r="G186" s="9">
        <v>4.5499999999999999E-2</v>
      </c>
      <c r="H186" s="15">
        <f t="shared" si="4"/>
        <v>12730</v>
      </c>
    </row>
    <row r="187" spans="1:8" x14ac:dyDescent="0.25">
      <c r="A187" s="13">
        <v>44221</v>
      </c>
      <c r="B187" s="15" t="s">
        <v>21</v>
      </c>
      <c r="C187" s="3">
        <v>3</v>
      </c>
      <c r="D187" s="13">
        <f t="shared" si="5"/>
        <v>44224</v>
      </c>
      <c r="E187" s="15">
        <v>1000</v>
      </c>
      <c r="F187" s="9">
        <v>4.5499999999999999E-2</v>
      </c>
      <c r="G187" s="9">
        <v>4.5499999999999999E-2</v>
      </c>
      <c r="H187" s="15">
        <f t="shared" si="4"/>
        <v>12730</v>
      </c>
    </row>
    <row r="188" spans="1:8" x14ac:dyDescent="0.25">
      <c r="A188" s="13">
        <v>44221</v>
      </c>
      <c r="B188" s="15" t="s">
        <v>21</v>
      </c>
      <c r="C188" s="3">
        <v>4</v>
      </c>
      <c r="D188" s="13">
        <f t="shared" si="5"/>
        <v>44225</v>
      </c>
      <c r="E188" s="15">
        <v>400</v>
      </c>
      <c r="F188" s="9">
        <v>4.5499999999999999E-2</v>
      </c>
      <c r="G188" s="9">
        <v>4.5499999999999999E-2</v>
      </c>
      <c r="H188" s="15">
        <f t="shared" si="4"/>
        <v>12730</v>
      </c>
    </row>
    <row r="189" spans="1:8" x14ac:dyDescent="0.25">
      <c r="A189" s="13">
        <v>44222</v>
      </c>
      <c r="B189" s="15" t="s">
        <v>21</v>
      </c>
      <c r="C189" s="3">
        <v>2</v>
      </c>
      <c r="D189" s="13">
        <f t="shared" si="5"/>
        <v>44224</v>
      </c>
      <c r="E189" s="15">
        <v>300</v>
      </c>
      <c r="F189" s="9">
        <v>4.4999999999999998E-2</v>
      </c>
      <c r="G189" s="9">
        <v>4.4999999999999998E-2</v>
      </c>
      <c r="H189" s="15">
        <f t="shared" si="4"/>
        <v>10230</v>
      </c>
    </row>
    <row r="190" spans="1:8" x14ac:dyDescent="0.25">
      <c r="A190" s="13">
        <v>44223</v>
      </c>
      <c r="B190" s="15" t="s">
        <v>303</v>
      </c>
      <c r="C190" s="3">
        <v>1</v>
      </c>
      <c r="D190" s="13">
        <f t="shared" si="5"/>
        <v>44224</v>
      </c>
      <c r="E190" s="15">
        <v>100</v>
      </c>
      <c r="F190" s="9">
        <v>0.04</v>
      </c>
      <c r="G190" s="9">
        <v>0.04</v>
      </c>
      <c r="H190" s="15">
        <f t="shared" si="4"/>
        <v>12330</v>
      </c>
    </row>
    <row r="191" spans="1:8" x14ac:dyDescent="0.25">
      <c r="A191" s="13">
        <v>44223</v>
      </c>
      <c r="B191" s="15" t="s">
        <v>21</v>
      </c>
      <c r="C191" s="3">
        <v>1</v>
      </c>
      <c r="D191" s="13">
        <f t="shared" si="5"/>
        <v>44224</v>
      </c>
      <c r="E191" s="15">
        <v>1200</v>
      </c>
      <c r="F191" s="9">
        <v>0.04</v>
      </c>
      <c r="G191" s="9">
        <v>0.04</v>
      </c>
      <c r="H191" s="15">
        <f t="shared" si="4"/>
        <v>12330</v>
      </c>
    </row>
    <row r="192" spans="1:8" x14ac:dyDescent="0.25">
      <c r="A192" s="13">
        <v>44223</v>
      </c>
      <c r="B192" s="15" t="s">
        <v>21</v>
      </c>
      <c r="C192" s="3">
        <v>2</v>
      </c>
      <c r="D192" s="13">
        <f t="shared" si="5"/>
        <v>44225</v>
      </c>
      <c r="E192" s="15">
        <v>3000</v>
      </c>
      <c r="F192" s="9">
        <v>4.4999999999999998E-2</v>
      </c>
      <c r="G192" s="9">
        <v>4.5499999999999999E-2</v>
      </c>
      <c r="H192" s="15">
        <f t="shared" si="4"/>
        <v>12330</v>
      </c>
    </row>
    <row r="193" spans="1:8" x14ac:dyDescent="0.25">
      <c r="A193" s="13">
        <v>44223</v>
      </c>
      <c r="B193" s="15" t="s">
        <v>21</v>
      </c>
      <c r="C193" s="3">
        <v>5</v>
      </c>
      <c r="D193" s="13">
        <f t="shared" si="5"/>
        <v>44228</v>
      </c>
      <c r="E193" s="15">
        <v>2200</v>
      </c>
      <c r="F193" s="9">
        <v>4.5499999999999999E-2</v>
      </c>
      <c r="G193" s="9">
        <v>4.5999999999999999E-2</v>
      </c>
      <c r="H193" s="15">
        <f t="shared" si="4"/>
        <v>12330</v>
      </c>
    </row>
    <row r="194" spans="1:8" x14ac:dyDescent="0.25">
      <c r="A194" s="13">
        <v>44224</v>
      </c>
      <c r="B194" s="15" t="s">
        <v>21</v>
      </c>
      <c r="C194" s="3">
        <v>1</v>
      </c>
      <c r="D194" s="13">
        <f t="shared" si="5"/>
        <v>44225</v>
      </c>
      <c r="E194" s="15">
        <v>1600</v>
      </c>
      <c r="F194" s="9">
        <v>4.4999999999999998E-2</v>
      </c>
      <c r="G194" s="9">
        <v>4.4999999999999998E-2</v>
      </c>
      <c r="H194" s="15">
        <f t="shared" si="4"/>
        <v>12630</v>
      </c>
    </row>
    <row r="195" spans="1:8" x14ac:dyDescent="0.25">
      <c r="A195" s="13">
        <v>44224</v>
      </c>
      <c r="B195" s="15" t="s">
        <v>21</v>
      </c>
      <c r="C195" s="3">
        <v>4</v>
      </c>
      <c r="D195" s="13">
        <f t="shared" si="5"/>
        <v>44228</v>
      </c>
      <c r="E195" s="15">
        <v>1300</v>
      </c>
      <c r="F195" s="9">
        <v>4.4999999999999998E-2</v>
      </c>
      <c r="G195" s="9">
        <v>4.5499999999999999E-2</v>
      </c>
      <c r="H195" s="15">
        <f t="shared" si="4"/>
        <v>12630</v>
      </c>
    </row>
    <row r="196" spans="1:8" x14ac:dyDescent="0.25">
      <c r="A196" s="13">
        <v>44225</v>
      </c>
      <c r="B196" s="15" t="s">
        <v>21</v>
      </c>
      <c r="C196" s="3">
        <v>3</v>
      </c>
      <c r="D196" s="13">
        <f t="shared" si="5"/>
        <v>44228</v>
      </c>
      <c r="E196" s="15">
        <v>3100</v>
      </c>
      <c r="F196" s="9">
        <v>0.04</v>
      </c>
      <c r="G196" s="9">
        <v>4.4999999999999998E-2</v>
      </c>
      <c r="H196" s="15">
        <f t="shared" si="4"/>
        <v>11530</v>
      </c>
    </row>
    <row r="197" spans="1:8" x14ac:dyDescent="0.25">
      <c r="A197" s="13">
        <v>44225</v>
      </c>
      <c r="B197" s="15" t="s">
        <v>21</v>
      </c>
      <c r="C197" s="3">
        <v>4</v>
      </c>
      <c r="D197" s="13">
        <f t="shared" si="5"/>
        <v>44229</v>
      </c>
      <c r="E197" s="15">
        <v>800</v>
      </c>
      <c r="F197" s="9">
        <v>4.5499999999999999E-2</v>
      </c>
      <c r="G197" s="9">
        <v>4.5499999999999999E-2</v>
      </c>
      <c r="H197" s="15">
        <f t="shared" si="4"/>
        <v>11530</v>
      </c>
    </row>
    <row r="198" spans="1:8" x14ac:dyDescent="0.25">
      <c r="A198" s="13">
        <v>44228</v>
      </c>
      <c r="B198" s="15" t="s">
        <v>21</v>
      </c>
      <c r="C198" s="3">
        <v>2</v>
      </c>
      <c r="D198" s="13">
        <f t="shared" si="5"/>
        <v>44230</v>
      </c>
      <c r="E198" s="15">
        <v>-800</v>
      </c>
      <c r="F198" s="9">
        <v>5.0999999999999997E-2</v>
      </c>
      <c r="G198" s="9">
        <v>5.0999999999999997E-2</v>
      </c>
      <c r="H198" s="15">
        <f t="shared" si="4"/>
        <v>0</v>
      </c>
    </row>
    <row r="199" spans="1:8" x14ac:dyDescent="0.25">
      <c r="A199" s="13">
        <v>44232</v>
      </c>
      <c r="B199" s="15" t="s">
        <v>21</v>
      </c>
      <c r="C199" s="3">
        <v>4</v>
      </c>
      <c r="D199" s="13">
        <f t="shared" si="5"/>
        <v>44236</v>
      </c>
      <c r="E199" s="15">
        <v>1800</v>
      </c>
      <c r="F199" s="9">
        <v>4.5999999999999999E-2</v>
      </c>
      <c r="G199" s="9">
        <v>4.5999999999999999E-2</v>
      </c>
      <c r="H199" s="15">
        <f t="shared" si="4"/>
        <v>3600</v>
      </c>
    </row>
    <row r="200" spans="1:8" x14ac:dyDescent="0.25">
      <c r="A200" s="13">
        <v>44232</v>
      </c>
      <c r="B200" s="15" t="s">
        <v>21</v>
      </c>
      <c r="C200" s="3">
        <v>7</v>
      </c>
      <c r="D200" s="13">
        <f t="shared" si="5"/>
        <v>44239</v>
      </c>
      <c r="E200" s="15">
        <v>1800</v>
      </c>
      <c r="F200" s="9">
        <v>4.5999999999999999E-2</v>
      </c>
      <c r="G200" s="9">
        <v>4.7E-2</v>
      </c>
      <c r="H200" s="15">
        <f t="shared" si="4"/>
        <v>3600</v>
      </c>
    </row>
    <row r="201" spans="1:8" x14ac:dyDescent="0.25">
      <c r="A201" s="13">
        <v>44235</v>
      </c>
      <c r="B201" s="15" t="s">
        <v>21</v>
      </c>
      <c r="C201" s="3">
        <v>2</v>
      </c>
      <c r="D201" s="13">
        <f t="shared" si="5"/>
        <v>44237</v>
      </c>
      <c r="E201" s="15">
        <v>1000</v>
      </c>
      <c r="F201" s="9">
        <v>4.5999999999999999E-2</v>
      </c>
      <c r="G201" s="9">
        <v>4.5999999999999999E-2</v>
      </c>
      <c r="H201" s="15">
        <f t="shared" si="4"/>
        <v>6600</v>
      </c>
    </row>
    <row r="202" spans="1:8" x14ac:dyDescent="0.25">
      <c r="A202" s="13">
        <v>44235</v>
      </c>
      <c r="B202" s="15" t="s">
        <v>21</v>
      </c>
      <c r="C202" s="3">
        <v>9</v>
      </c>
      <c r="D202" s="13">
        <f t="shared" si="5"/>
        <v>44244</v>
      </c>
      <c r="E202" s="15">
        <v>2000</v>
      </c>
      <c r="F202" s="9">
        <v>4.7E-2</v>
      </c>
      <c r="G202" s="9">
        <v>4.7E-2</v>
      </c>
      <c r="H202" s="15">
        <f t="shared" ref="H202:H265" si="6">+SUMIFS($E$10:$E$4503,$A$10:$A$4503,"&lt;="&amp;A202,$D$10:$D$4503,"&gt;"&amp;A202)</f>
        <v>6600</v>
      </c>
    </row>
    <row r="203" spans="1:8" x14ac:dyDescent="0.25">
      <c r="A203" s="13">
        <v>44236</v>
      </c>
      <c r="B203" s="15" t="s">
        <v>21</v>
      </c>
      <c r="C203" s="3">
        <v>2</v>
      </c>
      <c r="D203" s="13">
        <f t="shared" ref="D203:D266" si="7">+A203+C203</f>
        <v>44238</v>
      </c>
      <c r="E203" s="15">
        <v>600</v>
      </c>
      <c r="F203" s="9">
        <v>4.4999999999999998E-2</v>
      </c>
      <c r="G203" s="9">
        <v>4.4999999999999998E-2</v>
      </c>
      <c r="H203" s="15">
        <f t="shared" si="6"/>
        <v>6800</v>
      </c>
    </row>
    <row r="204" spans="1:8" x14ac:dyDescent="0.25">
      <c r="A204" s="13">
        <v>44236</v>
      </c>
      <c r="B204" s="15" t="s">
        <v>21</v>
      </c>
      <c r="C204" s="3">
        <v>8</v>
      </c>
      <c r="D204" s="13">
        <f t="shared" si="7"/>
        <v>44244</v>
      </c>
      <c r="E204" s="15">
        <v>1400</v>
      </c>
      <c r="F204" s="9">
        <v>4.7E-2</v>
      </c>
      <c r="G204" s="9">
        <v>4.7E-2</v>
      </c>
      <c r="H204" s="15">
        <f t="shared" si="6"/>
        <v>6800</v>
      </c>
    </row>
    <row r="205" spans="1:8" x14ac:dyDescent="0.25">
      <c r="A205" s="13">
        <v>44237</v>
      </c>
      <c r="B205" s="15" t="s">
        <v>21</v>
      </c>
      <c r="C205" s="3">
        <v>1</v>
      </c>
      <c r="D205" s="13">
        <f t="shared" si="7"/>
        <v>44238</v>
      </c>
      <c r="E205" s="15">
        <v>750</v>
      </c>
      <c r="F205" s="9">
        <v>4.4999999999999998E-2</v>
      </c>
      <c r="G205" s="9">
        <v>4.65E-2</v>
      </c>
      <c r="H205" s="15">
        <f t="shared" si="6"/>
        <v>9650</v>
      </c>
    </row>
    <row r="206" spans="1:8" x14ac:dyDescent="0.25">
      <c r="A206" s="13">
        <v>44237</v>
      </c>
      <c r="B206" s="15" t="s">
        <v>21</v>
      </c>
      <c r="C206" s="3">
        <v>2</v>
      </c>
      <c r="D206" s="13">
        <f t="shared" si="7"/>
        <v>44239</v>
      </c>
      <c r="E206" s="15">
        <v>500</v>
      </c>
      <c r="F206" s="9">
        <v>4.4999999999999998E-2</v>
      </c>
      <c r="G206" s="9">
        <v>4.4999999999999998E-2</v>
      </c>
      <c r="H206" s="15">
        <f t="shared" si="6"/>
        <v>9650</v>
      </c>
    </row>
    <row r="207" spans="1:8" x14ac:dyDescent="0.25">
      <c r="A207" s="13">
        <v>44237</v>
      </c>
      <c r="B207" s="15" t="s">
        <v>21</v>
      </c>
      <c r="C207" s="3">
        <v>7</v>
      </c>
      <c r="D207" s="13">
        <f t="shared" si="7"/>
        <v>44244</v>
      </c>
      <c r="E207" s="15">
        <v>2600</v>
      </c>
      <c r="F207" s="9">
        <v>4.5999999999999999E-2</v>
      </c>
      <c r="G207" s="9">
        <v>4.7E-2</v>
      </c>
      <c r="H207" s="15">
        <f t="shared" si="6"/>
        <v>9650</v>
      </c>
    </row>
    <row r="208" spans="1:8" x14ac:dyDescent="0.25">
      <c r="A208" s="13">
        <v>44238</v>
      </c>
      <c r="B208" s="15" t="s">
        <v>21</v>
      </c>
      <c r="C208" s="3">
        <v>6</v>
      </c>
      <c r="D208" s="13">
        <f t="shared" si="7"/>
        <v>44244</v>
      </c>
      <c r="E208" s="15">
        <v>600</v>
      </c>
      <c r="F208" s="9">
        <v>4.5999999999999999E-2</v>
      </c>
      <c r="G208" s="9">
        <v>4.5999999999999999E-2</v>
      </c>
      <c r="H208" s="15">
        <f t="shared" si="6"/>
        <v>9700</v>
      </c>
    </row>
    <row r="209" spans="1:8" x14ac:dyDescent="0.25">
      <c r="A209" s="13">
        <v>44238</v>
      </c>
      <c r="B209" s="15" t="s">
        <v>21</v>
      </c>
      <c r="C209" s="3">
        <v>7</v>
      </c>
      <c r="D209" s="13">
        <f t="shared" si="7"/>
        <v>44245</v>
      </c>
      <c r="E209" s="15">
        <v>800</v>
      </c>
      <c r="F209" s="9">
        <v>4.5999999999999999E-2</v>
      </c>
      <c r="G209" s="9">
        <v>4.5999999999999999E-2</v>
      </c>
      <c r="H209" s="15">
        <f t="shared" si="6"/>
        <v>9700</v>
      </c>
    </row>
    <row r="210" spans="1:8" x14ac:dyDescent="0.25">
      <c r="A210" s="13">
        <v>44239</v>
      </c>
      <c r="B210" s="15" t="s">
        <v>21</v>
      </c>
      <c r="C210" s="3">
        <v>5</v>
      </c>
      <c r="D210" s="13">
        <f t="shared" si="7"/>
        <v>44244</v>
      </c>
      <c r="E210" s="15">
        <v>1650</v>
      </c>
      <c r="F210" s="9">
        <v>4.4999999999999998E-2</v>
      </c>
      <c r="G210" s="9">
        <v>4.4999999999999998E-2</v>
      </c>
      <c r="H210" s="15">
        <f t="shared" si="6"/>
        <v>14050</v>
      </c>
    </row>
    <row r="211" spans="1:8" x14ac:dyDescent="0.25">
      <c r="A211" s="13">
        <v>44239</v>
      </c>
      <c r="B211" s="15" t="s">
        <v>21</v>
      </c>
      <c r="C211" s="3">
        <v>7</v>
      </c>
      <c r="D211" s="13">
        <f t="shared" si="7"/>
        <v>44246</v>
      </c>
      <c r="E211" s="15">
        <v>5000</v>
      </c>
      <c r="F211" s="9">
        <v>4.7E-2</v>
      </c>
      <c r="G211" s="9">
        <v>4.7E-2</v>
      </c>
      <c r="H211" s="15">
        <f t="shared" si="6"/>
        <v>14050</v>
      </c>
    </row>
    <row r="212" spans="1:8" x14ac:dyDescent="0.25">
      <c r="A212" s="13">
        <v>44244</v>
      </c>
      <c r="B212" s="15" t="s">
        <v>21</v>
      </c>
      <c r="C212" s="3">
        <v>1</v>
      </c>
      <c r="D212" s="13">
        <f t="shared" si="7"/>
        <v>44245</v>
      </c>
      <c r="E212" s="15">
        <v>380</v>
      </c>
      <c r="F212" s="9">
        <v>4.4999999999999998E-2</v>
      </c>
      <c r="G212" s="9">
        <v>4.4999999999999998E-2</v>
      </c>
      <c r="H212" s="15">
        <f t="shared" si="6"/>
        <v>9380</v>
      </c>
    </row>
    <row r="213" spans="1:8" x14ac:dyDescent="0.25">
      <c r="A213" s="13">
        <v>44244</v>
      </c>
      <c r="B213" s="15" t="s">
        <v>21</v>
      </c>
      <c r="C213" s="3">
        <v>2</v>
      </c>
      <c r="D213" s="13">
        <f t="shared" si="7"/>
        <v>44246</v>
      </c>
      <c r="E213" s="15">
        <v>600</v>
      </c>
      <c r="F213" s="9">
        <v>4.4999999999999998E-2</v>
      </c>
      <c r="G213" s="9">
        <v>4.5499999999999999E-2</v>
      </c>
      <c r="H213" s="15">
        <f t="shared" si="6"/>
        <v>9380</v>
      </c>
    </row>
    <row r="214" spans="1:8" x14ac:dyDescent="0.25">
      <c r="A214" s="13">
        <v>44244</v>
      </c>
      <c r="B214" s="15" t="s">
        <v>21</v>
      </c>
      <c r="C214" s="3">
        <v>7</v>
      </c>
      <c r="D214" s="13">
        <f t="shared" si="7"/>
        <v>44251</v>
      </c>
      <c r="E214" s="15">
        <v>2600</v>
      </c>
      <c r="F214" s="9">
        <v>4.65E-2</v>
      </c>
      <c r="G214" s="9">
        <v>4.7E-2</v>
      </c>
      <c r="H214" s="15">
        <f t="shared" si="6"/>
        <v>9380</v>
      </c>
    </row>
    <row r="215" spans="1:8" x14ac:dyDescent="0.25">
      <c r="A215" s="13">
        <v>44245</v>
      </c>
      <c r="B215" s="15" t="s">
        <v>21</v>
      </c>
      <c r="C215" s="3">
        <v>1</v>
      </c>
      <c r="D215" s="13">
        <f t="shared" si="7"/>
        <v>44246</v>
      </c>
      <c r="E215" s="15">
        <v>400</v>
      </c>
      <c r="F215" s="9">
        <v>4.4999999999999998E-2</v>
      </c>
      <c r="G215" s="9">
        <v>4.4999999999999998E-2</v>
      </c>
      <c r="H215" s="15">
        <f t="shared" si="6"/>
        <v>11100</v>
      </c>
    </row>
    <row r="216" spans="1:8" x14ac:dyDescent="0.25">
      <c r="A216" s="13">
        <v>44245</v>
      </c>
      <c r="B216" s="15" t="s">
        <v>21</v>
      </c>
      <c r="C216" s="3">
        <v>4</v>
      </c>
      <c r="D216" s="13">
        <f t="shared" si="7"/>
        <v>44249</v>
      </c>
      <c r="E216" s="15">
        <v>1200</v>
      </c>
      <c r="F216" s="9">
        <v>4.4999999999999998E-2</v>
      </c>
      <c r="G216" s="9">
        <v>4.4999999999999998E-2</v>
      </c>
      <c r="H216" s="15">
        <f t="shared" si="6"/>
        <v>11100</v>
      </c>
    </row>
    <row r="217" spans="1:8" x14ac:dyDescent="0.25">
      <c r="A217" s="13">
        <v>44245</v>
      </c>
      <c r="B217" s="15" t="s">
        <v>21</v>
      </c>
      <c r="C217" s="3">
        <v>7</v>
      </c>
      <c r="D217" s="13">
        <f t="shared" si="7"/>
        <v>44252</v>
      </c>
      <c r="E217" s="15">
        <v>1300</v>
      </c>
      <c r="F217" s="9">
        <v>4.5999999999999999E-2</v>
      </c>
      <c r="G217" s="9">
        <v>4.65E-2</v>
      </c>
      <c r="H217" s="15">
        <f t="shared" si="6"/>
        <v>11100</v>
      </c>
    </row>
    <row r="218" spans="1:8" x14ac:dyDescent="0.25">
      <c r="A218" s="13">
        <v>44246</v>
      </c>
      <c r="B218" s="15" t="s">
        <v>21</v>
      </c>
      <c r="C218" s="3">
        <v>3</v>
      </c>
      <c r="D218" s="13">
        <f t="shared" si="7"/>
        <v>44249</v>
      </c>
      <c r="E218" s="15">
        <v>650</v>
      </c>
      <c r="F218" s="9">
        <v>4.4999999999999998E-2</v>
      </c>
      <c r="G218" s="9">
        <v>4.4999999999999998E-2</v>
      </c>
      <c r="H218" s="15">
        <f t="shared" si="6"/>
        <v>10050</v>
      </c>
    </row>
    <row r="219" spans="1:8" x14ac:dyDescent="0.25">
      <c r="A219" s="13">
        <v>44246</v>
      </c>
      <c r="B219" s="15" t="s">
        <v>21</v>
      </c>
      <c r="C219" s="3">
        <v>4</v>
      </c>
      <c r="D219" s="13">
        <f t="shared" si="7"/>
        <v>44250</v>
      </c>
      <c r="E219" s="15">
        <v>2300</v>
      </c>
      <c r="F219" s="9">
        <v>4.4999999999999998E-2</v>
      </c>
      <c r="G219" s="9">
        <v>4.4999999999999998E-2</v>
      </c>
      <c r="H219" s="15">
        <f t="shared" si="6"/>
        <v>10050</v>
      </c>
    </row>
    <row r="220" spans="1:8" x14ac:dyDescent="0.25">
      <c r="A220" s="13">
        <v>44246</v>
      </c>
      <c r="B220" s="15" t="s">
        <v>21</v>
      </c>
      <c r="C220" s="3">
        <v>7</v>
      </c>
      <c r="D220" s="13">
        <f t="shared" si="7"/>
        <v>44253</v>
      </c>
      <c r="E220" s="15">
        <v>2000</v>
      </c>
      <c r="F220" s="9">
        <v>4.65E-2</v>
      </c>
      <c r="G220" s="9">
        <v>4.65E-2</v>
      </c>
      <c r="H220" s="15">
        <f t="shared" si="6"/>
        <v>10050</v>
      </c>
    </row>
    <row r="221" spans="1:8" x14ac:dyDescent="0.25">
      <c r="A221" s="13">
        <v>44249</v>
      </c>
      <c r="B221" s="15" t="s">
        <v>21</v>
      </c>
      <c r="C221" s="3">
        <v>1</v>
      </c>
      <c r="D221" s="13">
        <f t="shared" si="7"/>
        <v>44250</v>
      </c>
      <c r="E221" s="15">
        <v>700</v>
      </c>
      <c r="F221" s="9">
        <v>4.3999999999999997E-2</v>
      </c>
      <c r="G221" s="9">
        <v>4.3999999999999997E-2</v>
      </c>
      <c r="H221" s="15">
        <f t="shared" si="6"/>
        <v>14650</v>
      </c>
    </row>
    <row r="222" spans="1:8" x14ac:dyDescent="0.25">
      <c r="A222" s="13">
        <v>44249</v>
      </c>
      <c r="B222" s="15" t="s">
        <v>21</v>
      </c>
      <c r="C222" s="3">
        <v>2</v>
      </c>
      <c r="D222" s="13">
        <f t="shared" si="7"/>
        <v>44251</v>
      </c>
      <c r="E222" s="15">
        <v>2200</v>
      </c>
      <c r="F222" s="9">
        <v>4.3999999999999997E-2</v>
      </c>
      <c r="G222" s="9">
        <v>4.4999999999999998E-2</v>
      </c>
      <c r="H222" s="15">
        <f t="shared" si="6"/>
        <v>14650</v>
      </c>
    </row>
    <row r="223" spans="1:8" x14ac:dyDescent="0.25">
      <c r="A223" s="13">
        <v>44249</v>
      </c>
      <c r="B223" s="15" t="s">
        <v>21</v>
      </c>
      <c r="C223" s="3">
        <v>3</v>
      </c>
      <c r="D223" s="13">
        <f t="shared" si="7"/>
        <v>44252</v>
      </c>
      <c r="E223" s="15">
        <v>2600</v>
      </c>
      <c r="F223" s="9">
        <v>4.4999999999999998E-2</v>
      </c>
      <c r="G223" s="9">
        <v>4.5999999999999999E-2</v>
      </c>
      <c r="H223" s="15">
        <f t="shared" si="6"/>
        <v>14650</v>
      </c>
    </row>
    <row r="224" spans="1:8" x14ac:dyDescent="0.25">
      <c r="A224" s="13">
        <v>44249</v>
      </c>
      <c r="B224" s="15" t="s">
        <v>21</v>
      </c>
      <c r="C224" s="3">
        <v>7</v>
      </c>
      <c r="D224" s="13">
        <f t="shared" si="7"/>
        <v>44256</v>
      </c>
      <c r="E224" s="15">
        <v>950</v>
      </c>
      <c r="F224" s="9">
        <v>4.7E-2</v>
      </c>
      <c r="G224" s="9">
        <v>4.7E-2</v>
      </c>
      <c r="H224" s="15">
        <f t="shared" si="6"/>
        <v>14650</v>
      </c>
    </row>
    <row r="225" spans="1:8" x14ac:dyDescent="0.25">
      <c r="A225" s="13">
        <v>44250</v>
      </c>
      <c r="B225" s="15" t="s">
        <v>303</v>
      </c>
      <c r="C225" s="3">
        <v>1</v>
      </c>
      <c r="D225" s="13">
        <f t="shared" si="7"/>
        <v>44251</v>
      </c>
      <c r="E225" s="15">
        <v>200</v>
      </c>
      <c r="F225" s="9">
        <v>4.2500000000000003E-2</v>
      </c>
      <c r="G225" s="9">
        <v>4.4999999999999998E-2</v>
      </c>
      <c r="H225" s="15">
        <f t="shared" si="6"/>
        <v>18350</v>
      </c>
    </row>
    <row r="226" spans="1:8" x14ac:dyDescent="0.25">
      <c r="A226" s="13">
        <v>44250</v>
      </c>
      <c r="B226" s="15" t="s">
        <v>21</v>
      </c>
      <c r="C226" s="3">
        <v>1</v>
      </c>
      <c r="D226" s="13">
        <f t="shared" si="7"/>
        <v>44251</v>
      </c>
      <c r="E226" s="15">
        <v>2900</v>
      </c>
      <c r="F226" s="9">
        <v>4.4499999999999998E-2</v>
      </c>
      <c r="G226" s="9">
        <v>4.4999999999999998E-2</v>
      </c>
      <c r="H226" s="15">
        <f t="shared" si="6"/>
        <v>18350</v>
      </c>
    </row>
    <row r="227" spans="1:8" x14ac:dyDescent="0.25">
      <c r="A227" s="13">
        <v>44250</v>
      </c>
      <c r="B227" s="15" t="s">
        <v>21</v>
      </c>
      <c r="C227" s="3">
        <v>2</v>
      </c>
      <c r="D227" s="13">
        <f t="shared" si="7"/>
        <v>44252</v>
      </c>
      <c r="E227" s="15">
        <v>2600</v>
      </c>
      <c r="F227" s="9">
        <v>4.5499999999999999E-2</v>
      </c>
      <c r="G227" s="9">
        <v>4.5499999999999999E-2</v>
      </c>
      <c r="H227" s="15">
        <f t="shared" si="6"/>
        <v>18350</v>
      </c>
    </row>
    <row r="228" spans="1:8" x14ac:dyDescent="0.25">
      <c r="A228" s="13">
        <v>44250</v>
      </c>
      <c r="B228" s="15" t="s">
        <v>21</v>
      </c>
      <c r="C228" s="3">
        <v>3</v>
      </c>
      <c r="D228" s="13">
        <f t="shared" si="7"/>
        <v>44253</v>
      </c>
      <c r="E228" s="15">
        <v>800</v>
      </c>
      <c r="F228" s="9">
        <v>4.5999999999999999E-2</v>
      </c>
      <c r="G228" s="9">
        <v>4.5999999999999999E-2</v>
      </c>
      <c r="H228" s="15">
        <f t="shared" si="6"/>
        <v>18350</v>
      </c>
    </row>
    <row r="229" spans="1:8" x14ac:dyDescent="0.25">
      <c r="A229" s="13">
        <v>44250</v>
      </c>
      <c r="B229" s="15" t="s">
        <v>21</v>
      </c>
      <c r="C229" s="3">
        <v>6</v>
      </c>
      <c r="D229" s="13">
        <f t="shared" si="7"/>
        <v>44256</v>
      </c>
      <c r="E229" s="15">
        <v>200</v>
      </c>
      <c r="F229" s="9">
        <v>4.65E-2</v>
      </c>
      <c r="G229" s="9">
        <v>4.65E-2</v>
      </c>
      <c r="H229" s="15">
        <f t="shared" si="6"/>
        <v>18350</v>
      </c>
    </row>
    <row r="230" spans="1:8" x14ac:dyDescent="0.25">
      <c r="A230" s="13">
        <v>44251</v>
      </c>
      <c r="B230" s="15" t="s">
        <v>303</v>
      </c>
      <c r="C230" s="3">
        <v>1</v>
      </c>
      <c r="D230" s="13">
        <f t="shared" si="7"/>
        <v>44252</v>
      </c>
      <c r="E230" s="15">
        <v>1910</v>
      </c>
      <c r="F230" s="9">
        <v>4.4999999999999998E-2</v>
      </c>
      <c r="G230" s="9">
        <v>4.4999999999999998E-2</v>
      </c>
      <c r="H230" s="15">
        <f t="shared" si="6"/>
        <v>16140</v>
      </c>
    </row>
    <row r="231" spans="1:8" x14ac:dyDescent="0.25">
      <c r="A231" s="13">
        <v>44251</v>
      </c>
      <c r="B231" s="15" t="s">
        <v>21</v>
      </c>
      <c r="C231" s="3">
        <v>1</v>
      </c>
      <c r="D231" s="13">
        <f t="shared" si="7"/>
        <v>44252</v>
      </c>
      <c r="E231" s="15">
        <v>800</v>
      </c>
      <c r="F231" s="9">
        <v>4.4999999999999998E-2</v>
      </c>
      <c r="G231" s="9">
        <v>4.4999999999999998E-2</v>
      </c>
      <c r="H231" s="15">
        <f t="shared" si="6"/>
        <v>16140</v>
      </c>
    </row>
    <row r="232" spans="1:8" x14ac:dyDescent="0.25">
      <c r="A232" s="13">
        <v>44251</v>
      </c>
      <c r="B232" s="15" t="s">
        <v>21</v>
      </c>
      <c r="C232" s="3">
        <v>2</v>
      </c>
      <c r="D232" s="13">
        <f t="shared" si="7"/>
        <v>44253</v>
      </c>
      <c r="E232" s="15">
        <v>1380</v>
      </c>
      <c r="F232" s="9">
        <v>4.4999999999999998E-2</v>
      </c>
      <c r="G232" s="9">
        <v>4.4999999999999998E-2</v>
      </c>
      <c r="H232" s="15">
        <f t="shared" si="6"/>
        <v>16140</v>
      </c>
    </row>
    <row r="233" spans="1:8" x14ac:dyDescent="0.25">
      <c r="A233" s="13">
        <v>44251</v>
      </c>
      <c r="B233" s="15" t="s">
        <v>21</v>
      </c>
      <c r="C233" s="3">
        <v>5</v>
      </c>
      <c r="D233" s="13">
        <f t="shared" si="7"/>
        <v>44256</v>
      </c>
      <c r="E233" s="15">
        <v>1600</v>
      </c>
      <c r="F233" s="9">
        <v>4.5499999999999999E-2</v>
      </c>
      <c r="G233" s="9">
        <v>4.5499999999999999E-2</v>
      </c>
      <c r="H233" s="15">
        <f t="shared" si="6"/>
        <v>16140</v>
      </c>
    </row>
    <row r="234" spans="1:8" x14ac:dyDescent="0.25">
      <c r="A234" s="13">
        <v>44252</v>
      </c>
      <c r="B234" s="15" t="s">
        <v>303</v>
      </c>
      <c r="C234" s="3">
        <v>1</v>
      </c>
      <c r="D234" s="13">
        <f t="shared" si="7"/>
        <v>44253</v>
      </c>
      <c r="E234" s="15">
        <v>2200</v>
      </c>
      <c r="F234" s="9">
        <v>4.4999999999999998E-2</v>
      </c>
      <c r="G234" s="9">
        <v>4.4999999999999998E-2</v>
      </c>
      <c r="H234" s="15">
        <f t="shared" si="6"/>
        <v>9730</v>
      </c>
    </row>
    <row r="235" spans="1:8" x14ac:dyDescent="0.25">
      <c r="A235" s="13">
        <v>44252</v>
      </c>
      <c r="B235" s="15" t="s">
        <v>21</v>
      </c>
      <c r="C235" s="3">
        <v>1</v>
      </c>
      <c r="D235" s="13">
        <f t="shared" si="7"/>
        <v>44253</v>
      </c>
      <c r="E235" s="15">
        <v>400</v>
      </c>
      <c r="F235" s="9">
        <v>4.4999999999999998E-2</v>
      </c>
      <c r="G235" s="9">
        <v>4.4999999999999998E-2</v>
      </c>
      <c r="H235" s="15">
        <f t="shared" si="6"/>
        <v>9730</v>
      </c>
    </row>
    <row r="236" spans="1:8" x14ac:dyDescent="0.25">
      <c r="A236" s="13">
        <v>44252</v>
      </c>
      <c r="B236" s="15" t="s">
        <v>21</v>
      </c>
      <c r="C236" s="3">
        <v>4</v>
      </c>
      <c r="D236" s="13">
        <f t="shared" si="7"/>
        <v>44256</v>
      </c>
      <c r="E236" s="15">
        <v>200</v>
      </c>
      <c r="F236" s="9">
        <v>4.4999999999999998E-2</v>
      </c>
      <c r="G236" s="9">
        <v>4.4999999999999998E-2</v>
      </c>
      <c r="H236" s="15">
        <f t="shared" si="6"/>
        <v>9730</v>
      </c>
    </row>
    <row r="237" spans="1:8" x14ac:dyDescent="0.25">
      <c r="A237" s="13">
        <v>44253</v>
      </c>
      <c r="B237" s="15" t="s">
        <v>21</v>
      </c>
      <c r="C237" s="3">
        <v>3</v>
      </c>
      <c r="D237" s="13">
        <f t="shared" si="7"/>
        <v>44256</v>
      </c>
      <c r="E237" s="15">
        <v>2500</v>
      </c>
      <c r="F237" s="9">
        <v>4.4499999999999998E-2</v>
      </c>
      <c r="G237" s="9">
        <v>4.4999999999999998E-2</v>
      </c>
      <c r="H237" s="15">
        <f t="shared" si="6"/>
        <v>8850</v>
      </c>
    </row>
    <row r="238" spans="1:8" x14ac:dyDescent="0.25">
      <c r="A238" s="13">
        <v>44253</v>
      </c>
      <c r="B238" s="15" t="s">
        <v>21</v>
      </c>
      <c r="C238" s="3">
        <v>5</v>
      </c>
      <c r="D238" s="13">
        <f t="shared" si="7"/>
        <v>44258</v>
      </c>
      <c r="E238" s="15">
        <v>1600</v>
      </c>
      <c r="F238" s="9">
        <v>4.5499999999999999E-2</v>
      </c>
      <c r="G238" s="9">
        <v>4.5499999999999999E-2</v>
      </c>
      <c r="H238" s="15">
        <f t="shared" si="6"/>
        <v>8850</v>
      </c>
    </row>
    <row r="239" spans="1:8" x14ac:dyDescent="0.25">
      <c r="A239" s="13">
        <v>44253</v>
      </c>
      <c r="B239" s="15" t="s">
        <v>21</v>
      </c>
      <c r="C239" s="3">
        <v>7</v>
      </c>
      <c r="D239" s="13">
        <f t="shared" si="7"/>
        <v>44260</v>
      </c>
      <c r="E239" s="15">
        <v>1800</v>
      </c>
      <c r="F239" s="9">
        <v>4.5999999999999999E-2</v>
      </c>
      <c r="G239" s="9">
        <v>4.5999999999999999E-2</v>
      </c>
      <c r="H239" s="15">
        <f t="shared" si="6"/>
        <v>8850</v>
      </c>
    </row>
    <row r="240" spans="1:8" x14ac:dyDescent="0.25">
      <c r="A240" s="13">
        <v>44264</v>
      </c>
      <c r="B240" s="15" t="s">
        <v>21</v>
      </c>
      <c r="C240" s="3">
        <v>2</v>
      </c>
      <c r="D240" s="13">
        <f t="shared" si="7"/>
        <v>44266</v>
      </c>
      <c r="E240" s="15">
        <v>700</v>
      </c>
      <c r="F240" s="9">
        <v>4.4999999999999998E-2</v>
      </c>
      <c r="G240" s="9">
        <v>4.4999999999999998E-2</v>
      </c>
      <c r="H240" s="15">
        <f t="shared" si="6"/>
        <v>2000</v>
      </c>
    </row>
    <row r="241" spans="1:8" x14ac:dyDescent="0.25">
      <c r="A241" s="13">
        <v>44264</v>
      </c>
      <c r="B241" s="15" t="s">
        <v>21</v>
      </c>
      <c r="C241" s="3">
        <v>3</v>
      </c>
      <c r="D241" s="13">
        <f t="shared" si="7"/>
        <v>44267</v>
      </c>
      <c r="E241" s="15">
        <v>1300</v>
      </c>
      <c r="F241" s="9">
        <v>4.4999999999999998E-2</v>
      </c>
      <c r="G241" s="9">
        <v>4.4999999999999998E-2</v>
      </c>
      <c r="H241" s="15">
        <f t="shared" si="6"/>
        <v>2000</v>
      </c>
    </row>
    <row r="242" spans="1:8" x14ac:dyDescent="0.25">
      <c r="A242" s="13">
        <v>44265</v>
      </c>
      <c r="B242" s="15" t="s">
        <v>21</v>
      </c>
      <c r="C242" s="3">
        <v>2</v>
      </c>
      <c r="D242" s="13">
        <f t="shared" si="7"/>
        <v>44267</v>
      </c>
      <c r="E242" s="15">
        <v>2550</v>
      </c>
      <c r="F242" s="9">
        <v>4.5499999999999999E-2</v>
      </c>
      <c r="G242" s="9">
        <v>4.5499999999999999E-2</v>
      </c>
      <c r="H242" s="15">
        <f t="shared" si="6"/>
        <v>8330</v>
      </c>
    </row>
    <row r="243" spans="1:8" x14ac:dyDescent="0.25">
      <c r="A243" s="13">
        <v>44265</v>
      </c>
      <c r="B243" s="15" t="s">
        <v>21</v>
      </c>
      <c r="C243" s="3">
        <v>5</v>
      </c>
      <c r="D243" s="13">
        <f t="shared" si="7"/>
        <v>44270</v>
      </c>
      <c r="E243" s="15">
        <v>1580</v>
      </c>
      <c r="F243" s="9">
        <v>4.5999999999999999E-2</v>
      </c>
      <c r="G243" s="9">
        <v>4.5999999999999999E-2</v>
      </c>
      <c r="H243" s="15">
        <f t="shared" si="6"/>
        <v>8330</v>
      </c>
    </row>
    <row r="244" spans="1:8" x14ac:dyDescent="0.25">
      <c r="A244" s="13">
        <v>44265</v>
      </c>
      <c r="B244" s="15" t="s">
        <v>21</v>
      </c>
      <c r="C244" s="3">
        <v>7</v>
      </c>
      <c r="D244" s="13">
        <f t="shared" si="7"/>
        <v>44272</v>
      </c>
      <c r="E244" s="15">
        <v>1800</v>
      </c>
      <c r="F244" s="9">
        <v>4.65E-2</v>
      </c>
      <c r="G244" s="9">
        <v>4.65E-2</v>
      </c>
      <c r="H244" s="15">
        <f t="shared" si="6"/>
        <v>8330</v>
      </c>
    </row>
    <row r="245" spans="1:8" x14ac:dyDescent="0.25">
      <c r="A245" s="13">
        <v>44265</v>
      </c>
      <c r="B245" s="15" t="s">
        <v>21</v>
      </c>
      <c r="C245" s="3">
        <v>12</v>
      </c>
      <c r="D245" s="13">
        <f t="shared" si="7"/>
        <v>44277</v>
      </c>
      <c r="E245" s="15">
        <v>400</v>
      </c>
      <c r="F245" s="9">
        <v>4.65E-2</v>
      </c>
      <c r="G245" s="9">
        <v>4.65E-2</v>
      </c>
      <c r="H245" s="15">
        <f t="shared" si="6"/>
        <v>8330</v>
      </c>
    </row>
    <row r="246" spans="1:8" x14ac:dyDescent="0.25">
      <c r="A246" s="13">
        <v>44266</v>
      </c>
      <c r="B246" s="15" t="s">
        <v>21</v>
      </c>
      <c r="C246" s="3">
        <v>4</v>
      </c>
      <c r="D246" s="13">
        <f t="shared" si="7"/>
        <v>44270</v>
      </c>
      <c r="E246" s="15">
        <v>1600</v>
      </c>
      <c r="F246" s="9">
        <v>4.5499999999999999E-2</v>
      </c>
      <c r="G246" s="9">
        <v>4.5499999999999999E-2</v>
      </c>
      <c r="H246" s="15">
        <f t="shared" si="6"/>
        <v>10830</v>
      </c>
    </row>
    <row r="247" spans="1:8" x14ac:dyDescent="0.25">
      <c r="A247" s="13">
        <v>44266</v>
      </c>
      <c r="B247" s="15" t="s">
        <v>21</v>
      </c>
      <c r="C247" s="3">
        <v>7</v>
      </c>
      <c r="D247" s="13">
        <f t="shared" si="7"/>
        <v>44273</v>
      </c>
      <c r="E247" s="15">
        <v>800</v>
      </c>
      <c r="F247" s="9">
        <v>4.5999999999999999E-2</v>
      </c>
      <c r="G247" s="9">
        <v>4.5999999999999999E-2</v>
      </c>
      <c r="H247" s="15">
        <f t="shared" si="6"/>
        <v>10830</v>
      </c>
    </row>
    <row r="248" spans="1:8" x14ac:dyDescent="0.25">
      <c r="A248" s="13">
        <v>44266</v>
      </c>
      <c r="B248" s="15" t="s">
        <v>21</v>
      </c>
      <c r="C248" s="3">
        <v>11</v>
      </c>
      <c r="D248" s="13">
        <f t="shared" si="7"/>
        <v>44277</v>
      </c>
      <c r="E248" s="15">
        <v>800</v>
      </c>
      <c r="F248" s="9">
        <v>4.65E-2</v>
      </c>
      <c r="G248" s="9">
        <v>4.65E-2</v>
      </c>
      <c r="H248" s="15">
        <f t="shared" si="6"/>
        <v>10830</v>
      </c>
    </row>
    <row r="249" spans="1:8" x14ac:dyDescent="0.25">
      <c r="A249" s="13">
        <v>44267</v>
      </c>
      <c r="B249" s="15" t="s">
        <v>303</v>
      </c>
      <c r="C249" s="3">
        <v>3</v>
      </c>
      <c r="D249" s="13">
        <f t="shared" si="7"/>
        <v>44270</v>
      </c>
      <c r="E249" s="15">
        <v>1350</v>
      </c>
      <c r="F249" s="9">
        <v>4.4499999999999998E-2</v>
      </c>
      <c r="G249" s="9">
        <v>4.4999999999999998E-2</v>
      </c>
      <c r="H249" s="15">
        <f t="shared" si="6"/>
        <v>11370</v>
      </c>
    </row>
    <row r="250" spans="1:8" x14ac:dyDescent="0.25">
      <c r="A250" s="13">
        <v>44267</v>
      </c>
      <c r="B250" s="15" t="s">
        <v>21</v>
      </c>
      <c r="C250" s="3">
        <v>3</v>
      </c>
      <c r="D250" s="13">
        <f t="shared" si="7"/>
        <v>44270</v>
      </c>
      <c r="E250" s="15">
        <v>700</v>
      </c>
      <c r="F250" s="9">
        <v>4.4999999999999998E-2</v>
      </c>
      <c r="G250" s="9">
        <v>4.4999999999999998E-2</v>
      </c>
      <c r="H250" s="15">
        <f t="shared" si="6"/>
        <v>11370</v>
      </c>
    </row>
    <row r="251" spans="1:8" x14ac:dyDescent="0.25">
      <c r="A251" s="13">
        <v>44267</v>
      </c>
      <c r="B251" s="15" t="s">
        <v>21</v>
      </c>
      <c r="C251" s="3">
        <v>4</v>
      </c>
      <c r="D251" s="13">
        <f t="shared" si="7"/>
        <v>44271</v>
      </c>
      <c r="E251" s="15">
        <v>1300</v>
      </c>
      <c r="F251" s="9">
        <v>4.5499999999999999E-2</v>
      </c>
      <c r="G251" s="9">
        <v>4.5499999999999999E-2</v>
      </c>
      <c r="H251" s="15">
        <f t="shared" si="6"/>
        <v>11370</v>
      </c>
    </row>
    <row r="252" spans="1:8" x14ac:dyDescent="0.25">
      <c r="A252" s="13">
        <v>44267</v>
      </c>
      <c r="B252" s="15" t="s">
        <v>21</v>
      </c>
      <c r="C252" s="3">
        <v>7</v>
      </c>
      <c r="D252" s="13">
        <f t="shared" si="7"/>
        <v>44274</v>
      </c>
      <c r="E252" s="15">
        <v>600</v>
      </c>
      <c r="F252" s="9">
        <v>4.5999999999999999E-2</v>
      </c>
      <c r="G252" s="9">
        <v>4.5999999999999999E-2</v>
      </c>
      <c r="H252" s="15">
        <f t="shared" si="6"/>
        <v>11370</v>
      </c>
    </row>
    <row r="253" spans="1:8" x14ac:dyDescent="0.25">
      <c r="A253" s="13">
        <v>44267</v>
      </c>
      <c r="B253" s="15" t="s">
        <v>21</v>
      </c>
      <c r="C253" s="3">
        <v>10</v>
      </c>
      <c r="D253" s="13">
        <f t="shared" si="7"/>
        <v>44277</v>
      </c>
      <c r="E253" s="15">
        <v>440</v>
      </c>
      <c r="F253" s="9">
        <v>4.65E-2</v>
      </c>
      <c r="G253" s="9">
        <v>4.65E-2</v>
      </c>
      <c r="H253" s="15">
        <f t="shared" si="6"/>
        <v>11370</v>
      </c>
    </row>
    <row r="254" spans="1:8" x14ac:dyDescent="0.25">
      <c r="A254" s="13">
        <v>44270</v>
      </c>
      <c r="B254" s="15" t="s">
        <v>21</v>
      </c>
      <c r="C254" s="3">
        <v>2</v>
      </c>
      <c r="D254" s="13">
        <f t="shared" si="7"/>
        <v>44272</v>
      </c>
      <c r="E254" s="15">
        <v>1000</v>
      </c>
      <c r="F254" s="9">
        <v>4.5499999999999999E-2</v>
      </c>
      <c r="G254" s="9">
        <v>4.5499999999999999E-2</v>
      </c>
      <c r="H254" s="15">
        <f t="shared" si="6"/>
        <v>9140</v>
      </c>
    </row>
    <row r="255" spans="1:8" x14ac:dyDescent="0.25">
      <c r="A255" s="13">
        <v>44270</v>
      </c>
      <c r="B255" s="15" t="s">
        <v>21</v>
      </c>
      <c r="C255" s="3">
        <v>9</v>
      </c>
      <c r="D255" s="13">
        <f t="shared" si="7"/>
        <v>44279</v>
      </c>
      <c r="E255" s="15">
        <v>2000</v>
      </c>
      <c r="F255" s="9">
        <v>4.65E-2</v>
      </c>
      <c r="G255" s="9">
        <v>4.65E-2</v>
      </c>
      <c r="H255" s="15">
        <f t="shared" si="6"/>
        <v>9140</v>
      </c>
    </row>
    <row r="256" spans="1:8" x14ac:dyDescent="0.25">
      <c r="A256" s="13">
        <v>44271</v>
      </c>
      <c r="B256" s="15" t="s">
        <v>21</v>
      </c>
      <c r="C256" s="3">
        <v>2</v>
      </c>
      <c r="D256" s="13">
        <f t="shared" si="7"/>
        <v>44273</v>
      </c>
      <c r="E256" s="15">
        <v>800</v>
      </c>
      <c r="F256" s="9">
        <v>4.5499999999999999E-2</v>
      </c>
      <c r="G256" s="9">
        <v>4.5499999999999999E-2</v>
      </c>
      <c r="H256" s="15">
        <f t="shared" si="6"/>
        <v>10640</v>
      </c>
    </row>
    <row r="257" spans="1:8" x14ac:dyDescent="0.25">
      <c r="A257" s="13">
        <v>44271</v>
      </c>
      <c r="B257" s="15" t="s">
        <v>21</v>
      </c>
      <c r="C257" s="3">
        <v>6</v>
      </c>
      <c r="D257" s="13">
        <f t="shared" si="7"/>
        <v>44277</v>
      </c>
      <c r="E257" s="15">
        <v>400</v>
      </c>
      <c r="F257" s="9">
        <v>4.5999999999999999E-2</v>
      </c>
      <c r="G257" s="9">
        <v>4.5999999999999999E-2</v>
      </c>
      <c r="H257" s="15">
        <f t="shared" si="6"/>
        <v>10640</v>
      </c>
    </row>
    <row r="258" spans="1:8" x14ac:dyDescent="0.25">
      <c r="A258" s="13">
        <v>44271</v>
      </c>
      <c r="B258" s="15" t="s">
        <v>21</v>
      </c>
      <c r="C258" s="3">
        <v>9</v>
      </c>
      <c r="D258" s="13">
        <f t="shared" si="7"/>
        <v>44280</v>
      </c>
      <c r="E258" s="15">
        <v>1600</v>
      </c>
      <c r="F258" s="9">
        <v>4.65E-2</v>
      </c>
      <c r="G258" s="9">
        <v>4.65E-2</v>
      </c>
      <c r="H258" s="15">
        <f t="shared" si="6"/>
        <v>10640</v>
      </c>
    </row>
    <row r="259" spans="1:8" x14ac:dyDescent="0.25">
      <c r="A259" s="13">
        <v>44272</v>
      </c>
      <c r="B259" s="15" t="s">
        <v>21</v>
      </c>
      <c r="C259" s="3">
        <v>2</v>
      </c>
      <c r="D259" s="13">
        <f t="shared" si="7"/>
        <v>44274</v>
      </c>
      <c r="E259" s="15">
        <v>1400</v>
      </c>
      <c r="F259" s="9">
        <v>4.5499999999999999E-2</v>
      </c>
      <c r="G259" s="9">
        <v>4.5499999999999999E-2</v>
      </c>
      <c r="H259" s="15">
        <f t="shared" si="6"/>
        <v>10440</v>
      </c>
    </row>
    <row r="260" spans="1:8" x14ac:dyDescent="0.25">
      <c r="A260" s="13">
        <v>44272</v>
      </c>
      <c r="B260" s="15" t="s">
        <v>21</v>
      </c>
      <c r="C260" s="3">
        <v>7</v>
      </c>
      <c r="D260" s="13">
        <f t="shared" si="7"/>
        <v>44279</v>
      </c>
      <c r="E260" s="15">
        <v>1000</v>
      </c>
      <c r="F260" s="9">
        <v>4.5999999999999999E-2</v>
      </c>
      <c r="G260" s="9">
        <v>4.5999999999999999E-2</v>
      </c>
      <c r="H260" s="15">
        <f t="shared" si="6"/>
        <v>10440</v>
      </c>
    </row>
    <row r="261" spans="1:8" x14ac:dyDescent="0.25">
      <c r="A261" s="13">
        <v>44272</v>
      </c>
      <c r="B261" s="15" t="s">
        <v>21</v>
      </c>
      <c r="C261" s="3">
        <v>12</v>
      </c>
      <c r="D261" s="13">
        <f t="shared" si="7"/>
        <v>44284</v>
      </c>
      <c r="E261" s="15">
        <v>200</v>
      </c>
      <c r="F261" s="9">
        <v>4.65E-2</v>
      </c>
      <c r="G261" s="9">
        <v>4.65E-2</v>
      </c>
      <c r="H261" s="15">
        <f t="shared" si="6"/>
        <v>10440</v>
      </c>
    </row>
    <row r="262" spans="1:8" x14ac:dyDescent="0.25">
      <c r="A262" s="13">
        <v>44273</v>
      </c>
      <c r="B262" s="15" t="s">
        <v>21</v>
      </c>
      <c r="C262" s="3">
        <v>8</v>
      </c>
      <c r="D262" s="13">
        <f t="shared" si="7"/>
        <v>44281</v>
      </c>
      <c r="E262" s="15">
        <v>800</v>
      </c>
      <c r="F262" s="9">
        <v>4.5999999999999999E-2</v>
      </c>
      <c r="G262" s="9">
        <v>4.5999999999999999E-2</v>
      </c>
      <c r="H262" s="15">
        <f t="shared" si="6"/>
        <v>9640</v>
      </c>
    </row>
    <row r="263" spans="1:8" x14ac:dyDescent="0.25">
      <c r="A263" s="13">
        <v>44274</v>
      </c>
      <c r="B263" s="15" t="s">
        <v>21</v>
      </c>
      <c r="C263" s="3">
        <v>4</v>
      </c>
      <c r="D263" s="13">
        <f t="shared" si="7"/>
        <v>44278</v>
      </c>
      <c r="E263" s="15">
        <v>2800</v>
      </c>
      <c r="F263" s="9">
        <v>4.5499999999999999E-2</v>
      </c>
      <c r="G263" s="9">
        <v>4.5499999999999999E-2</v>
      </c>
      <c r="H263" s="15">
        <f t="shared" si="6"/>
        <v>11240</v>
      </c>
    </row>
    <row r="264" spans="1:8" x14ac:dyDescent="0.25">
      <c r="A264" s="13">
        <v>44274</v>
      </c>
      <c r="B264" s="15" t="s">
        <v>21</v>
      </c>
      <c r="C264" s="3">
        <v>7</v>
      </c>
      <c r="D264" s="13">
        <f t="shared" si="7"/>
        <v>44281</v>
      </c>
      <c r="E264" s="15">
        <v>600</v>
      </c>
      <c r="F264" s="9">
        <v>4.5999999999999999E-2</v>
      </c>
      <c r="G264" s="9">
        <v>4.5999999999999999E-2</v>
      </c>
      <c r="H264" s="15">
        <f t="shared" si="6"/>
        <v>11240</v>
      </c>
    </row>
    <row r="265" spans="1:8" x14ac:dyDescent="0.25">
      <c r="A265" s="13">
        <v>44274</v>
      </c>
      <c r="B265" s="15" t="s">
        <v>21</v>
      </c>
      <c r="C265" s="3">
        <v>10</v>
      </c>
      <c r="D265" s="13">
        <f t="shared" si="7"/>
        <v>44284</v>
      </c>
      <c r="E265" s="15">
        <v>200</v>
      </c>
      <c r="F265" s="9">
        <v>4.65E-2</v>
      </c>
      <c r="G265" s="9">
        <v>4.65E-2</v>
      </c>
      <c r="H265" s="15">
        <f t="shared" si="6"/>
        <v>11240</v>
      </c>
    </row>
    <row r="266" spans="1:8" x14ac:dyDescent="0.25">
      <c r="A266" s="13">
        <v>44277</v>
      </c>
      <c r="B266" s="15" t="s">
        <v>21</v>
      </c>
      <c r="C266" s="3">
        <v>1</v>
      </c>
      <c r="D266" s="13">
        <f t="shared" si="7"/>
        <v>44278</v>
      </c>
      <c r="E266" s="15">
        <v>200</v>
      </c>
      <c r="F266" s="9">
        <v>4.5499999999999999E-2</v>
      </c>
      <c r="G266" s="9">
        <v>4.5499999999999999E-2</v>
      </c>
      <c r="H266" s="15">
        <f t="shared" ref="H266:H329" si="8">+SUMIFS($E$10:$E$4503,$A$10:$A$4503,"&lt;="&amp;A266,$D$10:$D$4503,"&gt;"&amp;A266)</f>
        <v>11500</v>
      </c>
    </row>
    <row r="267" spans="1:8" x14ac:dyDescent="0.25">
      <c r="A267" s="13">
        <v>44277</v>
      </c>
      <c r="B267" s="15" t="s">
        <v>21</v>
      </c>
      <c r="C267" s="3">
        <v>2</v>
      </c>
      <c r="D267" s="13">
        <f t="shared" ref="D267:D330" si="9">+A267+C267</f>
        <v>44279</v>
      </c>
      <c r="E267" s="15">
        <v>1600</v>
      </c>
      <c r="F267" s="9">
        <v>4.5499999999999999E-2</v>
      </c>
      <c r="G267" s="9">
        <v>4.5499999999999999E-2</v>
      </c>
      <c r="H267" s="15">
        <f t="shared" si="8"/>
        <v>11500</v>
      </c>
    </row>
    <row r="268" spans="1:8" x14ac:dyDescent="0.25">
      <c r="A268" s="13">
        <v>44277</v>
      </c>
      <c r="B268" s="15" t="s">
        <v>21</v>
      </c>
      <c r="C268" s="3">
        <v>7</v>
      </c>
      <c r="D268" s="13">
        <f t="shared" si="9"/>
        <v>44284</v>
      </c>
      <c r="E268" s="15">
        <v>500</v>
      </c>
      <c r="F268" s="9">
        <v>4.5999999999999999E-2</v>
      </c>
      <c r="G268" s="9">
        <v>4.5999999999999999E-2</v>
      </c>
      <c r="H268" s="15">
        <f t="shared" si="8"/>
        <v>11500</v>
      </c>
    </row>
    <row r="269" spans="1:8" x14ac:dyDescent="0.25">
      <c r="A269" s="13">
        <v>44278</v>
      </c>
      <c r="B269" s="15" t="s">
        <v>21</v>
      </c>
      <c r="C269" s="3">
        <v>2</v>
      </c>
      <c r="D269" s="13">
        <f t="shared" si="9"/>
        <v>44280</v>
      </c>
      <c r="E269" s="15">
        <v>2600</v>
      </c>
      <c r="F269" s="9">
        <v>4.5499999999999999E-2</v>
      </c>
      <c r="G269" s="9">
        <v>4.5499999999999999E-2</v>
      </c>
      <c r="H269" s="15">
        <f t="shared" si="8"/>
        <v>11400</v>
      </c>
    </row>
    <row r="270" spans="1:8" x14ac:dyDescent="0.25">
      <c r="A270" s="13">
        <v>44278</v>
      </c>
      <c r="B270" s="15" t="s">
        <v>21</v>
      </c>
      <c r="C270" s="3">
        <v>8</v>
      </c>
      <c r="D270" s="13">
        <f t="shared" si="9"/>
        <v>44286</v>
      </c>
      <c r="E270" s="15">
        <v>300</v>
      </c>
      <c r="F270" s="9">
        <v>4.65E-2</v>
      </c>
      <c r="G270" s="9">
        <v>4.65E-2</v>
      </c>
      <c r="H270" s="15">
        <f t="shared" si="8"/>
        <v>11400</v>
      </c>
    </row>
    <row r="271" spans="1:8" x14ac:dyDescent="0.25">
      <c r="A271" s="13">
        <v>44279</v>
      </c>
      <c r="B271" s="15" t="s">
        <v>21</v>
      </c>
      <c r="C271" s="3">
        <v>2</v>
      </c>
      <c r="D271" s="13">
        <f t="shared" si="9"/>
        <v>44281</v>
      </c>
      <c r="E271" s="15">
        <v>1400</v>
      </c>
      <c r="F271" s="9">
        <v>4.4999999999999998E-2</v>
      </c>
      <c r="G271" s="9">
        <v>4.5499999999999999E-2</v>
      </c>
      <c r="H271" s="15">
        <f t="shared" si="8"/>
        <v>8200</v>
      </c>
    </row>
    <row r="272" spans="1:8" x14ac:dyDescent="0.25">
      <c r="A272" s="13">
        <v>44280</v>
      </c>
      <c r="B272" s="15" t="s">
        <v>21</v>
      </c>
      <c r="C272" s="3">
        <v>4</v>
      </c>
      <c r="D272" s="13">
        <f t="shared" si="9"/>
        <v>44284</v>
      </c>
      <c r="E272" s="15">
        <v>1200</v>
      </c>
      <c r="F272" s="9">
        <v>4.5499999999999999E-2</v>
      </c>
      <c r="G272" s="9">
        <v>4.5499999999999999E-2</v>
      </c>
      <c r="H272" s="15">
        <f t="shared" si="8"/>
        <v>5200</v>
      </c>
    </row>
    <row r="273" spans="1:8" x14ac:dyDescent="0.25">
      <c r="A273" s="13">
        <v>44281</v>
      </c>
      <c r="B273" s="15" t="s">
        <v>21</v>
      </c>
      <c r="C273" s="3">
        <v>4</v>
      </c>
      <c r="D273" s="13">
        <f t="shared" si="9"/>
        <v>44285</v>
      </c>
      <c r="E273" s="15">
        <v>2500</v>
      </c>
      <c r="F273" s="9">
        <v>4.4999999999999998E-2</v>
      </c>
      <c r="G273" s="9">
        <v>4.5499999999999999E-2</v>
      </c>
      <c r="H273" s="15">
        <f t="shared" si="8"/>
        <v>6900</v>
      </c>
    </row>
    <row r="274" spans="1:8" x14ac:dyDescent="0.25">
      <c r="A274" s="13">
        <v>44281</v>
      </c>
      <c r="B274" s="15" t="s">
        <v>21</v>
      </c>
      <c r="C274" s="3">
        <v>5</v>
      </c>
      <c r="D274" s="13">
        <f t="shared" si="9"/>
        <v>44286</v>
      </c>
      <c r="E274" s="15">
        <v>2000</v>
      </c>
      <c r="F274" s="9">
        <v>4.5499999999999999E-2</v>
      </c>
      <c r="G274" s="9">
        <v>4.5499999999999999E-2</v>
      </c>
      <c r="H274" s="15">
        <f t="shared" si="8"/>
        <v>6900</v>
      </c>
    </row>
    <row r="275" spans="1:8" x14ac:dyDescent="0.25">
      <c r="A275" s="13">
        <v>44284</v>
      </c>
      <c r="B275" s="15" t="s">
        <v>21</v>
      </c>
      <c r="C275" s="3">
        <v>1</v>
      </c>
      <c r="D275" s="13">
        <f t="shared" si="9"/>
        <v>44285</v>
      </c>
      <c r="E275" s="15">
        <v>50</v>
      </c>
      <c r="F275" s="9">
        <v>4.4999999999999998E-2</v>
      </c>
      <c r="G275" s="9">
        <v>4.4999999999999998E-2</v>
      </c>
      <c r="H275" s="15">
        <f t="shared" si="8"/>
        <v>9000</v>
      </c>
    </row>
    <row r="276" spans="1:8" x14ac:dyDescent="0.25">
      <c r="A276" s="13">
        <v>44284</v>
      </c>
      <c r="B276" s="15" t="s">
        <v>303</v>
      </c>
      <c r="C276" s="3">
        <v>1</v>
      </c>
      <c r="D276" s="13">
        <f t="shared" si="9"/>
        <v>44285</v>
      </c>
      <c r="E276" s="15">
        <v>450</v>
      </c>
      <c r="F276" s="9">
        <v>4.4999999999999998E-2</v>
      </c>
      <c r="G276" s="9">
        <v>4.4999999999999998E-2</v>
      </c>
      <c r="H276" s="15">
        <f t="shared" si="8"/>
        <v>9000</v>
      </c>
    </row>
    <row r="277" spans="1:8" x14ac:dyDescent="0.25">
      <c r="A277" s="13">
        <v>44284</v>
      </c>
      <c r="B277" s="15" t="s">
        <v>21</v>
      </c>
      <c r="C277" s="3">
        <v>2</v>
      </c>
      <c r="D277" s="13">
        <f t="shared" si="9"/>
        <v>44286</v>
      </c>
      <c r="E277" s="15">
        <v>3700</v>
      </c>
      <c r="F277" s="9">
        <v>4.4999999999999998E-2</v>
      </c>
      <c r="G277" s="9">
        <v>4.5499999999999999E-2</v>
      </c>
      <c r="H277" s="15">
        <f t="shared" si="8"/>
        <v>9000</v>
      </c>
    </row>
    <row r="278" spans="1:8" x14ac:dyDescent="0.25">
      <c r="A278" s="13">
        <v>44285</v>
      </c>
      <c r="B278" s="15" t="s">
        <v>21</v>
      </c>
      <c r="C278" s="3">
        <v>1</v>
      </c>
      <c r="D278" s="13">
        <f t="shared" si="9"/>
        <v>44286</v>
      </c>
      <c r="E278" s="15">
        <v>1500</v>
      </c>
      <c r="F278" s="9">
        <v>4.3999999999999997E-2</v>
      </c>
      <c r="G278" s="9">
        <v>4.4999999999999998E-2</v>
      </c>
      <c r="H278" s="15">
        <f t="shared" si="8"/>
        <v>9350</v>
      </c>
    </row>
    <row r="279" spans="1:8" x14ac:dyDescent="0.25">
      <c r="A279" s="13">
        <v>44285</v>
      </c>
      <c r="B279" s="15" t="s">
        <v>303</v>
      </c>
      <c r="C279" s="3">
        <v>1</v>
      </c>
      <c r="D279" s="13">
        <f t="shared" si="9"/>
        <v>44286</v>
      </c>
      <c r="E279" s="15">
        <v>550</v>
      </c>
      <c r="F279" s="9">
        <v>4.3999999999999997E-2</v>
      </c>
      <c r="G279" s="9">
        <v>4.4999999999999998E-2</v>
      </c>
      <c r="H279" s="15">
        <f t="shared" si="8"/>
        <v>9350</v>
      </c>
    </row>
    <row r="280" spans="1:8" x14ac:dyDescent="0.25">
      <c r="A280" s="13">
        <v>44285</v>
      </c>
      <c r="B280" s="15" t="s">
        <v>21</v>
      </c>
      <c r="C280" s="3">
        <v>6</v>
      </c>
      <c r="D280" s="13">
        <f t="shared" si="9"/>
        <v>44291</v>
      </c>
      <c r="E280" s="15">
        <v>1300</v>
      </c>
      <c r="F280" s="9">
        <v>4.5499999999999999E-2</v>
      </c>
      <c r="G280" s="9">
        <v>4.5999999999999999E-2</v>
      </c>
      <c r="H280" s="15">
        <f t="shared" si="8"/>
        <v>9350</v>
      </c>
    </row>
    <row r="281" spans="1:8" x14ac:dyDescent="0.25">
      <c r="A281" s="13">
        <v>44291</v>
      </c>
      <c r="B281" s="15" t="s">
        <v>21</v>
      </c>
      <c r="C281" s="3">
        <v>2</v>
      </c>
      <c r="D281" s="13">
        <f t="shared" si="9"/>
        <v>44293</v>
      </c>
      <c r="E281" s="15">
        <v>-600</v>
      </c>
      <c r="F281" s="9">
        <v>0.05</v>
      </c>
      <c r="G281" s="9">
        <v>0.05</v>
      </c>
      <c r="H281" s="15">
        <f t="shared" si="8"/>
        <v>-600</v>
      </c>
    </row>
    <row r="282" spans="1:8" x14ac:dyDescent="0.25">
      <c r="A282" s="13">
        <v>44293</v>
      </c>
      <c r="B282" s="15" t="s">
        <v>21</v>
      </c>
      <c r="C282" s="3">
        <v>2</v>
      </c>
      <c r="D282" s="13">
        <f t="shared" si="9"/>
        <v>44295</v>
      </c>
      <c r="E282" s="15">
        <v>-400</v>
      </c>
      <c r="F282" s="9">
        <v>0.05</v>
      </c>
      <c r="G282" s="9">
        <v>0.05</v>
      </c>
      <c r="H282" s="15">
        <f t="shared" si="8"/>
        <v>-400</v>
      </c>
    </row>
    <row r="283" spans="1:8" x14ac:dyDescent="0.25">
      <c r="A283" s="13">
        <v>44299</v>
      </c>
      <c r="B283" s="15" t="s">
        <v>21</v>
      </c>
      <c r="C283" s="3">
        <v>2</v>
      </c>
      <c r="D283" s="13">
        <f t="shared" si="9"/>
        <v>44301</v>
      </c>
      <c r="E283" s="15">
        <v>2100</v>
      </c>
      <c r="F283" s="9">
        <v>4.5499999999999999E-2</v>
      </c>
      <c r="G283" s="9">
        <v>4.5499999999999999E-2</v>
      </c>
      <c r="H283" s="15">
        <f t="shared" si="8"/>
        <v>3600</v>
      </c>
    </row>
    <row r="284" spans="1:8" x14ac:dyDescent="0.25">
      <c r="A284" s="13">
        <v>44299</v>
      </c>
      <c r="B284" s="15" t="s">
        <v>21</v>
      </c>
      <c r="C284" s="3">
        <v>7</v>
      </c>
      <c r="D284" s="13">
        <f t="shared" si="9"/>
        <v>44306</v>
      </c>
      <c r="E284" s="15">
        <v>1500</v>
      </c>
      <c r="F284" s="9">
        <v>4.5999999999999999E-2</v>
      </c>
      <c r="G284" s="9">
        <v>4.5999999999999999E-2</v>
      </c>
      <c r="H284" s="15">
        <f t="shared" si="8"/>
        <v>3600</v>
      </c>
    </row>
    <row r="285" spans="1:8" x14ac:dyDescent="0.25">
      <c r="A285" s="13">
        <v>44300</v>
      </c>
      <c r="B285" s="15" t="s">
        <v>21</v>
      </c>
      <c r="C285" s="3">
        <v>2</v>
      </c>
      <c r="D285" s="13">
        <f t="shared" si="9"/>
        <v>44302</v>
      </c>
      <c r="E285" s="15">
        <v>3600</v>
      </c>
      <c r="F285" s="9">
        <v>4.5499999999999999E-2</v>
      </c>
      <c r="G285" s="9">
        <v>4.5499999999999999E-2</v>
      </c>
      <c r="H285" s="15">
        <f t="shared" si="8"/>
        <v>11300</v>
      </c>
    </row>
    <row r="286" spans="1:8" x14ac:dyDescent="0.25">
      <c r="A286" s="13">
        <v>44300</v>
      </c>
      <c r="B286" s="15" t="s">
        <v>21</v>
      </c>
      <c r="C286" s="3">
        <v>6</v>
      </c>
      <c r="D286" s="13">
        <f t="shared" si="9"/>
        <v>44306</v>
      </c>
      <c r="E286" s="15">
        <v>900</v>
      </c>
      <c r="F286" s="9">
        <v>4.5999999999999999E-2</v>
      </c>
      <c r="G286" s="9">
        <v>4.5999999999999999E-2</v>
      </c>
      <c r="H286" s="15">
        <f t="shared" si="8"/>
        <v>11300</v>
      </c>
    </row>
    <row r="287" spans="1:8" x14ac:dyDescent="0.25">
      <c r="A287" s="13">
        <v>44300</v>
      </c>
      <c r="B287" s="15" t="s">
        <v>21</v>
      </c>
      <c r="C287" s="3">
        <v>12</v>
      </c>
      <c r="D287" s="13">
        <f t="shared" si="9"/>
        <v>44312</v>
      </c>
      <c r="E287" s="15">
        <v>3200</v>
      </c>
      <c r="F287" s="9">
        <v>4.65E-2</v>
      </c>
      <c r="G287" s="9">
        <v>4.7E-2</v>
      </c>
      <c r="H287" s="15">
        <f t="shared" si="8"/>
        <v>11300</v>
      </c>
    </row>
    <row r="288" spans="1:8" x14ac:dyDescent="0.25">
      <c r="A288" s="13">
        <v>44301</v>
      </c>
      <c r="B288" s="15" t="s">
        <v>21</v>
      </c>
      <c r="C288" s="3">
        <v>5</v>
      </c>
      <c r="D288" s="13">
        <f t="shared" si="9"/>
        <v>44306</v>
      </c>
      <c r="E288" s="15">
        <v>2000</v>
      </c>
      <c r="F288" s="9">
        <v>4.5499999999999999E-2</v>
      </c>
      <c r="G288" s="9">
        <v>4.5499999999999999E-2</v>
      </c>
      <c r="H288" s="15">
        <f t="shared" si="8"/>
        <v>14400</v>
      </c>
    </row>
    <row r="289" spans="1:8" x14ac:dyDescent="0.25">
      <c r="A289" s="13">
        <v>44301</v>
      </c>
      <c r="B289" s="15" t="s">
        <v>21</v>
      </c>
      <c r="C289" s="3">
        <v>7</v>
      </c>
      <c r="D289" s="13">
        <f t="shared" si="9"/>
        <v>44308</v>
      </c>
      <c r="E289" s="15">
        <v>3200</v>
      </c>
      <c r="F289" s="9">
        <v>4.5999999999999999E-2</v>
      </c>
      <c r="G289" s="9">
        <v>4.5999999999999999E-2</v>
      </c>
      <c r="H289" s="15">
        <f t="shared" si="8"/>
        <v>14400</v>
      </c>
    </row>
    <row r="290" spans="1:8" x14ac:dyDescent="0.25">
      <c r="A290" s="13">
        <v>44306</v>
      </c>
      <c r="B290" s="15" t="s">
        <v>21</v>
      </c>
      <c r="C290" s="3">
        <v>1</v>
      </c>
      <c r="D290" s="13">
        <f t="shared" si="9"/>
        <v>44307</v>
      </c>
      <c r="E290" s="15">
        <v>1600</v>
      </c>
      <c r="F290" s="9">
        <v>4.3999999999999997E-2</v>
      </c>
      <c r="G290" s="9">
        <v>4.4999999999999998E-2</v>
      </c>
      <c r="H290" s="15">
        <f t="shared" si="8"/>
        <v>8000</v>
      </c>
    </row>
    <row r="291" spans="1:8" x14ac:dyDescent="0.25">
      <c r="A291" s="13">
        <v>44307</v>
      </c>
      <c r="B291" s="15" t="s">
        <v>21</v>
      </c>
      <c r="C291" s="3">
        <v>1</v>
      </c>
      <c r="D291" s="13">
        <f t="shared" si="9"/>
        <v>44308</v>
      </c>
      <c r="E291" s="15">
        <v>800</v>
      </c>
      <c r="F291" s="9">
        <v>4.3999999999999997E-2</v>
      </c>
      <c r="G291" s="9">
        <v>4.4499999999999998E-2</v>
      </c>
      <c r="H291" s="15">
        <f t="shared" si="8"/>
        <v>15200</v>
      </c>
    </row>
    <row r="292" spans="1:8" x14ac:dyDescent="0.25">
      <c r="A292" s="13">
        <v>44307</v>
      </c>
      <c r="B292" s="15" t="s">
        <v>21</v>
      </c>
      <c r="C292" s="3">
        <v>2</v>
      </c>
      <c r="D292" s="13">
        <f t="shared" si="9"/>
        <v>44309</v>
      </c>
      <c r="E292" s="15">
        <v>1400</v>
      </c>
      <c r="F292" s="9">
        <v>4.3999999999999997E-2</v>
      </c>
      <c r="G292" s="9">
        <v>4.4999999999999998E-2</v>
      </c>
      <c r="H292" s="15">
        <f t="shared" si="8"/>
        <v>15200</v>
      </c>
    </row>
    <row r="293" spans="1:8" x14ac:dyDescent="0.25">
      <c r="A293" s="13">
        <v>44307</v>
      </c>
      <c r="B293" s="15" t="s">
        <v>21</v>
      </c>
      <c r="C293" s="3">
        <v>5</v>
      </c>
      <c r="D293" s="13">
        <f t="shared" si="9"/>
        <v>44312</v>
      </c>
      <c r="E293" s="15">
        <v>1000</v>
      </c>
      <c r="F293" s="9">
        <v>4.5499999999999999E-2</v>
      </c>
      <c r="G293" s="9">
        <v>4.5499999999999999E-2</v>
      </c>
      <c r="H293" s="15">
        <f t="shared" si="8"/>
        <v>15200</v>
      </c>
    </row>
    <row r="294" spans="1:8" x14ac:dyDescent="0.25">
      <c r="A294" s="13">
        <v>44307</v>
      </c>
      <c r="B294" s="15" t="s">
        <v>21</v>
      </c>
      <c r="C294" s="3">
        <v>9</v>
      </c>
      <c r="D294" s="13">
        <f t="shared" si="9"/>
        <v>44316</v>
      </c>
      <c r="E294" s="15">
        <v>5600</v>
      </c>
      <c r="F294" s="9">
        <v>4.5999999999999999E-2</v>
      </c>
      <c r="G294" s="9">
        <v>4.5999999999999999E-2</v>
      </c>
      <c r="H294" s="15">
        <f t="shared" si="8"/>
        <v>15200</v>
      </c>
    </row>
    <row r="295" spans="1:8" x14ac:dyDescent="0.25">
      <c r="A295" s="13">
        <v>44308</v>
      </c>
      <c r="B295" s="15" t="s">
        <v>21</v>
      </c>
      <c r="C295" s="3">
        <v>1</v>
      </c>
      <c r="D295" s="13">
        <f t="shared" si="9"/>
        <v>44309</v>
      </c>
      <c r="E295" s="15">
        <v>2600</v>
      </c>
      <c r="F295" s="9">
        <v>4.2999999999999997E-2</v>
      </c>
      <c r="G295" s="9">
        <v>4.3999999999999997E-2</v>
      </c>
      <c r="H295" s="15">
        <f t="shared" si="8"/>
        <v>20400</v>
      </c>
    </row>
    <row r="296" spans="1:8" x14ac:dyDescent="0.25">
      <c r="A296" s="13">
        <v>44308</v>
      </c>
      <c r="B296" s="15" t="s">
        <v>21</v>
      </c>
      <c r="C296" s="3">
        <v>4</v>
      </c>
      <c r="D296" s="13">
        <f t="shared" si="9"/>
        <v>44312</v>
      </c>
      <c r="E296" s="15">
        <v>2900</v>
      </c>
      <c r="F296" s="9">
        <v>4.4999999999999998E-2</v>
      </c>
      <c r="G296" s="9">
        <v>4.4999999999999998E-2</v>
      </c>
      <c r="H296" s="15">
        <f t="shared" si="8"/>
        <v>20400</v>
      </c>
    </row>
    <row r="297" spans="1:8" x14ac:dyDescent="0.25">
      <c r="A297" s="13">
        <v>44308</v>
      </c>
      <c r="B297" s="15" t="s">
        <v>21</v>
      </c>
      <c r="C297" s="3">
        <v>5</v>
      </c>
      <c r="D297" s="13">
        <f t="shared" si="9"/>
        <v>44313</v>
      </c>
      <c r="E297" s="15">
        <v>1200</v>
      </c>
      <c r="F297" s="9">
        <v>4.4999999999999998E-2</v>
      </c>
      <c r="G297" s="9">
        <v>4.5499999999999999E-2</v>
      </c>
      <c r="H297" s="15">
        <f t="shared" si="8"/>
        <v>20400</v>
      </c>
    </row>
    <row r="298" spans="1:8" x14ac:dyDescent="0.25">
      <c r="A298" s="13">
        <v>44308</v>
      </c>
      <c r="B298" s="15" t="s">
        <v>21</v>
      </c>
      <c r="C298" s="3">
        <v>8</v>
      </c>
      <c r="D298" s="13">
        <f t="shared" si="9"/>
        <v>44316</v>
      </c>
      <c r="E298" s="15">
        <v>2500</v>
      </c>
      <c r="F298" s="9">
        <v>4.5999999999999999E-2</v>
      </c>
      <c r="G298" s="9">
        <v>4.5999999999999999E-2</v>
      </c>
      <c r="H298" s="15">
        <f t="shared" si="8"/>
        <v>20400</v>
      </c>
    </row>
    <row r="299" spans="1:8" x14ac:dyDescent="0.25">
      <c r="A299" s="13">
        <v>44309</v>
      </c>
      <c r="B299" s="15" t="s">
        <v>21</v>
      </c>
      <c r="C299" s="3">
        <v>3</v>
      </c>
      <c r="D299" s="13">
        <f t="shared" si="9"/>
        <v>44312</v>
      </c>
      <c r="E299" s="15">
        <v>1300</v>
      </c>
      <c r="F299" s="9">
        <v>4.2999999999999997E-2</v>
      </c>
      <c r="G299" s="9">
        <v>4.3999999999999997E-2</v>
      </c>
      <c r="H299" s="15">
        <f t="shared" si="8"/>
        <v>22100</v>
      </c>
    </row>
    <row r="300" spans="1:8" x14ac:dyDescent="0.25">
      <c r="A300" s="13">
        <v>44309</v>
      </c>
      <c r="B300" s="15" t="s">
        <v>21</v>
      </c>
      <c r="C300" s="3">
        <v>4</v>
      </c>
      <c r="D300" s="13">
        <f t="shared" si="9"/>
        <v>44313</v>
      </c>
      <c r="E300" s="15">
        <v>2700</v>
      </c>
      <c r="F300" s="9">
        <v>4.4999999999999998E-2</v>
      </c>
      <c r="G300" s="9">
        <v>4.4999999999999998E-2</v>
      </c>
      <c r="H300" s="15">
        <f t="shared" si="8"/>
        <v>22100</v>
      </c>
    </row>
    <row r="301" spans="1:8" x14ac:dyDescent="0.25">
      <c r="A301" s="13">
        <v>44309</v>
      </c>
      <c r="B301" s="15" t="s">
        <v>21</v>
      </c>
      <c r="C301" s="3">
        <v>7</v>
      </c>
      <c r="D301" s="13">
        <f t="shared" si="9"/>
        <v>44316</v>
      </c>
      <c r="E301" s="15">
        <v>1700</v>
      </c>
      <c r="F301" s="9">
        <v>4.5999999999999999E-2</v>
      </c>
      <c r="G301" s="9">
        <v>4.5999999999999999E-2</v>
      </c>
      <c r="H301" s="15">
        <f t="shared" si="8"/>
        <v>22100</v>
      </c>
    </row>
    <row r="302" spans="1:8" x14ac:dyDescent="0.25">
      <c r="A302" s="13">
        <v>44312</v>
      </c>
      <c r="B302" s="15" t="s">
        <v>21</v>
      </c>
      <c r="C302" s="3">
        <v>1</v>
      </c>
      <c r="D302" s="13">
        <f t="shared" si="9"/>
        <v>44313</v>
      </c>
      <c r="E302" s="15">
        <v>400</v>
      </c>
      <c r="F302" s="9">
        <v>4.3999999999999997E-2</v>
      </c>
      <c r="G302" s="9">
        <v>4.4499999999999998E-2</v>
      </c>
      <c r="H302" s="15">
        <f t="shared" si="8"/>
        <v>15800</v>
      </c>
    </row>
    <row r="303" spans="1:8" x14ac:dyDescent="0.25">
      <c r="A303" s="13">
        <v>44312</v>
      </c>
      <c r="B303" s="15" t="s">
        <v>21</v>
      </c>
      <c r="C303" s="3">
        <v>4</v>
      </c>
      <c r="D303" s="13">
        <f t="shared" si="9"/>
        <v>44316</v>
      </c>
      <c r="E303" s="15">
        <v>1700</v>
      </c>
      <c r="F303" s="9">
        <v>4.4999999999999998E-2</v>
      </c>
      <c r="G303" s="9">
        <v>4.4999999999999998E-2</v>
      </c>
      <c r="H303" s="15">
        <f t="shared" si="8"/>
        <v>15800</v>
      </c>
    </row>
    <row r="304" spans="1:8" x14ac:dyDescent="0.25">
      <c r="A304" s="13">
        <v>44313</v>
      </c>
      <c r="B304" s="15" t="s">
        <v>21</v>
      </c>
      <c r="C304" s="3">
        <v>2</v>
      </c>
      <c r="D304" s="13">
        <f t="shared" si="9"/>
        <v>44315</v>
      </c>
      <c r="E304" s="15">
        <v>450</v>
      </c>
      <c r="F304" s="9">
        <v>4.4499999999999998E-2</v>
      </c>
      <c r="G304" s="9">
        <v>4.4499999999999998E-2</v>
      </c>
      <c r="H304" s="15">
        <f t="shared" si="8"/>
        <v>14950</v>
      </c>
    </row>
    <row r="305" spans="1:8" x14ac:dyDescent="0.25">
      <c r="A305" s="13">
        <v>44313</v>
      </c>
      <c r="B305" s="15" t="s">
        <v>21</v>
      </c>
      <c r="C305" s="3">
        <v>3</v>
      </c>
      <c r="D305" s="13">
        <f t="shared" si="9"/>
        <v>44316</v>
      </c>
      <c r="E305" s="15">
        <v>3000</v>
      </c>
      <c r="F305" s="9">
        <v>4.4999999999999998E-2</v>
      </c>
      <c r="G305" s="9">
        <v>4.4999999999999998E-2</v>
      </c>
      <c r="H305" s="15">
        <f t="shared" si="8"/>
        <v>14950</v>
      </c>
    </row>
    <row r="306" spans="1:8" x14ac:dyDescent="0.25">
      <c r="A306" s="13">
        <v>44319</v>
      </c>
      <c r="B306" s="15" t="s">
        <v>21</v>
      </c>
      <c r="C306" s="3">
        <v>2</v>
      </c>
      <c r="D306" s="13">
        <f t="shared" si="9"/>
        <v>44321</v>
      </c>
      <c r="E306" s="15">
        <v>-975</v>
      </c>
      <c r="F306" s="9">
        <v>0.05</v>
      </c>
      <c r="G306" s="9">
        <v>0.05</v>
      </c>
      <c r="H306" s="15">
        <f t="shared" si="8"/>
        <v>-1175</v>
      </c>
    </row>
    <row r="307" spans="1:8" x14ac:dyDescent="0.25">
      <c r="A307" s="13">
        <v>44319</v>
      </c>
      <c r="B307" s="15" t="s">
        <v>21</v>
      </c>
      <c r="C307" s="3">
        <v>3</v>
      </c>
      <c r="D307" s="13">
        <f t="shared" si="9"/>
        <v>44322</v>
      </c>
      <c r="E307" s="15">
        <v>-200</v>
      </c>
      <c r="F307" s="9">
        <v>0.05</v>
      </c>
      <c r="G307" s="9">
        <v>0.05</v>
      </c>
      <c r="H307" s="15">
        <f t="shared" si="8"/>
        <v>-1175</v>
      </c>
    </row>
    <row r="308" spans="1:8" x14ac:dyDescent="0.25">
      <c r="A308" s="13">
        <v>44323</v>
      </c>
      <c r="B308" s="15" t="s">
        <v>21</v>
      </c>
      <c r="C308" s="3">
        <v>3</v>
      </c>
      <c r="D308" s="13">
        <f t="shared" si="9"/>
        <v>44326</v>
      </c>
      <c r="E308" s="15">
        <v>1100</v>
      </c>
      <c r="F308" s="9">
        <v>4.4999999999999998E-2</v>
      </c>
      <c r="G308" s="9">
        <v>4.4999999999999998E-2</v>
      </c>
      <c r="H308" s="15">
        <f t="shared" si="8"/>
        <v>1100</v>
      </c>
    </row>
    <row r="309" spans="1:8" x14ac:dyDescent="0.25">
      <c r="A309" s="13">
        <v>44326</v>
      </c>
      <c r="B309" s="15" t="s">
        <v>21</v>
      </c>
      <c r="C309" s="3">
        <v>2</v>
      </c>
      <c r="D309" s="13">
        <f t="shared" si="9"/>
        <v>44328</v>
      </c>
      <c r="E309" s="15">
        <v>1200</v>
      </c>
      <c r="F309" s="9">
        <v>4.4999999999999998E-2</v>
      </c>
      <c r="G309" s="9">
        <v>4.4999999999999998E-2</v>
      </c>
      <c r="H309" s="15">
        <f t="shared" si="8"/>
        <v>1600</v>
      </c>
    </row>
    <row r="310" spans="1:8" x14ac:dyDescent="0.25">
      <c r="A310" s="13">
        <v>44326</v>
      </c>
      <c r="B310" s="15" t="s">
        <v>21</v>
      </c>
      <c r="C310" s="3">
        <v>8</v>
      </c>
      <c r="D310" s="13">
        <f t="shared" si="9"/>
        <v>44334</v>
      </c>
      <c r="E310" s="15">
        <v>400</v>
      </c>
      <c r="F310" s="9">
        <v>4.5999999999999999E-2</v>
      </c>
      <c r="G310" s="9">
        <v>4.5999999999999999E-2</v>
      </c>
      <c r="H310" s="15">
        <f t="shared" si="8"/>
        <v>1600</v>
      </c>
    </row>
    <row r="311" spans="1:8" x14ac:dyDescent="0.25">
      <c r="A311" s="13">
        <v>44327</v>
      </c>
      <c r="B311" s="15" t="s">
        <v>21</v>
      </c>
      <c r="C311" s="3">
        <v>2</v>
      </c>
      <c r="D311" s="13">
        <f t="shared" si="9"/>
        <v>44329</v>
      </c>
      <c r="E311" s="15">
        <v>800</v>
      </c>
      <c r="F311" s="9">
        <v>4.4999999999999998E-2</v>
      </c>
      <c r="G311" s="9">
        <v>4.4999999999999998E-2</v>
      </c>
      <c r="H311" s="15">
        <f t="shared" si="8"/>
        <v>2600</v>
      </c>
    </row>
    <row r="312" spans="1:8" x14ac:dyDescent="0.25">
      <c r="A312" s="13">
        <v>44327</v>
      </c>
      <c r="B312" s="15" t="s">
        <v>21</v>
      </c>
      <c r="C312" s="3">
        <v>7</v>
      </c>
      <c r="D312" s="13">
        <f t="shared" si="9"/>
        <v>44334</v>
      </c>
      <c r="E312" s="15">
        <v>200</v>
      </c>
      <c r="F312" s="9">
        <v>4.5999999999999999E-2</v>
      </c>
      <c r="G312" s="9">
        <v>4.5999999999999999E-2</v>
      </c>
      <c r="H312" s="15">
        <f t="shared" si="8"/>
        <v>2600</v>
      </c>
    </row>
    <row r="313" spans="1:8" x14ac:dyDescent="0.25">
      <c r="A313" s="13">
        <v>44328</v>
      </c>
      <c r="B313" s="15" t="s">
        <v>21</v>
      </c>
      <c r="C313" s="3">
        <v>2</v>
      </c>
      <c r="D313" s="13">
        <f t="shared" si="9"/>
        <v>44330</v>
      </c>
      <c r="E313" s="15">
        <v>600</v>
      </c>
      <c r="F313" s="9">
        <v>4.4999999999999998E-2</v>
      </c>
      <c r="G313" s="9">
        <v>4.4999999999999998E-2</v>
      </c>
      <c r="H313" s="15">
        <f t="shared" si="8"/>
        <v>2175</v>
      </c>
    </row>
    <row r="314" spans="1:8" x14ac:dyDescent="0.25">
      <c r="A314" s="13">
        <v>44328</v>
      </c>
      <c r="B314" s="15" t="s">
        <v>21</v>
      </c>
      <c r="C314" s="3">
        <v>7</v>
      </c>
      <c r="D314" s="13">
        <f t="shared" si="9"/>
        <v>44335</v>
      </c>
      <c r="E314" s="15">
        <v>175</v>
      </c>
      <c r="F314" s="9">
        <v>4.5999999999999999E-2</v>
      </c>
      <c r="G314" s="9">
        <v>4.5999999999999999E-2</v>
      </c>
      <c r="H314" s="15">
        <f t="shared" si="8"/>
        <v>2175</v>
      </c>
    </row>
    <row r="315" spans="1:8" x14ac:dyDescent="0.25">
      <c r="A315" s="13">
        <v>44329</v>
      </c>
      <c r="B315" s="15" t="s">
        <v>21</v>
      </c>
      <c r="C315" s="3">
        <v>5</v>
      </c>
      <c r="D315" s="13">
        <f t="shared" si="9"/>
        <v>44334</v>
      </c>
      <c r="E315" s="15">
        <v>2000</v>
      </c>
      <c r="F315" s="9">
        <v>4.4999999999999998E-2</v>
      </c>
      <c r="G315" s="9">
        <v>4.4999999999999998E-2</v>
      </c>
      <c r="H315" s="15">
        <f t="shared" si="8"/>
        <v>5375</v>
      </c>
    </row>
    <row r="316" spans="1:8" x14ac:dyDescent="0.25">
      <c r="A316" s="13">
        <v>44329</v>
      </c>
      <c r="B316" s="15" t="s">
        <v>21</v>
      </c>
      <c r="C316" s="3">
        <v>8</v>
      </c>
      <c r="D316" s="13">
        <f t="shared" si="9"/>
        <v>44337</v>
      </c>
      <c r="E316" s="15">
        <v>2000</v>
      </c>
      <c r="F316" s="9">
        <v>4.5999999999999999E-2</v>
      </c>
      <c r="G316" s="9">
        <v>4.5999999999999999E-2</v>
      </c>
      <c r="H316" s="15">
        <f t="shared" si="8"/>
        <v>5375</v>
      </c>
    </row>
    <row r="317" spans="1:8" x14ac:dyDescent="0.25">
      <c r="A317" s="13">
        <v>44330</v>
      </c>
      <c r="B317" s="15" t="s">
        <v>21</v>
      </c>
      <c r="C317" s="3">
        <v>4</v>
      </c>
      <c r="D317" s="13">
        <f t="shared" si="9"/>
        <v>44334</v>
      </c>
      <c r="E317" s="15">
        <v>800</v>
      </c>
      <c r="F317" s="9">
        <v>4.4999999999999998E-2</v>
      </c>
      <c r="G317" s="9">
        <v>4.4999999999999998E-2</v>
      </c>
      <c r="H317" s="15">
        <f t="shared" si="8"/>
        <v>6975</v>
      </c>
    </row>
    <row r="318" spans="1:8" x14ac:dyDescent="0.25">
      <c r="A318" s="13">
        <v>44330</v>
      </c>
      <c r="B318" s="15" t="s">
        <v>21</v>
      </c>
      <c r="C318" s="3">
        <v>5</v>
      </c>
      <c r="D318" s="13">
        <f t="shared" si="9"/>
        <v>44335</v>
      </c>
      <c r="E318" s="15">
        <v>1400</v>
      </c>
      <c r="F318" s="9">
        <v>4.4999999999999998E-2</v>
      </c>
      <c r="G318" s="9">
        <v>4.4999999999999998E-2</v>
      </c>
      <c r="H318" s="15">
        <f t="shared" si="8"/>
        <v>6975</v>
      </c>
    </row>
    <row r="319" spans="1:8" x14ac:dyDescent="0.25">
      <c r="A319" s="13">
        <v>44334</v>
      </c>
      <c r="B319" s="15" t="s">
        <v>21</v>
      </c>
      <c r="C319" s="3">
        <v>3</v>
      </c>
      <c r="D319" s="13">
        <f t="shared" si="9"/>
        <v>44337</v>
      </c>
      <c r="E319" s="15">
        <v>2600</v>
      </c>
      <c r="F319" s="9">
        <v>4.4999999999999998E-2</v>
      </c>
      <c r="G319" s="9">
        <v>4.4999999999999998E-2</v>
      </c>
      <c r="H319" s="15">
        <f t="shared" si="8"/>
        <v>7175</v>
      </c>
    </row>
    <row r="320" spans="1:8" x14ac:dyDescent="0.25">
      <c r="A320" s="13">
        <v>44334</v>
      </c>
      <c r="B320" s="15" t="s">
        <v>21</v>
      </c>
      <c r="C320" s="3">
        <v>10</v>
      </c>
      <c r="D320" s="13">
        <f t="shared" si="9"/>
        <v>44344</v>
      </c>
      <c r="E320" s="15">
        <v>1000</v>
      </c>
      <c r="F320" s="9">
        <v>4.5999999999999999E-2</v>
      </c>
      <c r="G320" s="9">
        <v>4.5999999999999999E-2</v>
      </c>
      <c r="H320" s="15">
        <f t="shared" si="8"/>
        <v>7175</v>
      </c>
    </row>
    <row r="321" spans="1:8" x14ac:dyDescent="0.25">
      <c r="A321" s="13">
        <v>44335</v>
      </c>
      <c r="B321" s="15" t="s">
        <v>21</v>
      </c>
      <c r="C321" s="3">
        <v>2</v>
      </c>
      <c r="D321" s="13">
        <f t="shared" si="9"/>
        <v>44337</v>
      </c>
      <c r="E321" s="15">
        <v>3150</v>
      </c>
      <c r="F321" s="9">
        <v>4.4999999999999998E-2</v>
      </c>
      <c r="G321" s="9">
        <v>4.4999999999999998E-2</v>
      </c>
      <c r="H321" s="15">
        <f t="shared" si="8"/>
        <v>10950</v>
      </c>
    </row>
    <row r="322" spans="1:8" x14ac:dyDescent="0.25">
      <c r="A322" s="13">
        <v>44335</v>
      </c>
      <c r="B322" s="15" t="s">
        <v>21</v>
      </c>
      <c r="C322" s="3">
        <v>7</v>
      </c>
      <c r="D322" s="13">
        <f t="shared" si="9"/>
        <v>44342</v>
      </c>
      <c r="E322" s="15">
        <v>2200</v>
      </c>
      <c r="F322" s="9">
        <v>4.5999999999999999E-2</v>
      </c>
      <c r="G322" s="9">
        <v>4.5999999999999999E-2</v>
      </c>
      <c r="H322" s="15">
        <f t="shared" si="8"/>
        <v>10950</v>
      </c>
    </row>
    <row r="323" spans="1:8" x14ac:dyDescent="0.25">
      <c r="A323" s="13">
        <v>44336</v>
      </c>
      <c r="B323" s="15" t="s">
        <v>21</v>
      </c>
      <c r="C323" s="3">
        <v>4</v>
      </c>
      <c r="D323" s="13">
        <f t="shared" si="9"/>
        <v>44340</v>
      </c>
      <c r="E323" s="15">
        <v>3600</v>
      </c>
      <c r="F323" s="9">
        <v>4.4999999999999998E-2</v>
      </c>
      <c r="G323" s="9">
        <v>4.4999999999999998E-2</v>
      </c>
      <c r="H323" s="15">
        <f t="shared" si="8"/>
        <v>14550</v>
      </c>
    </row>
    <row r="324" spans="1:8" x14ac:dyDescent="0.25">
      <c r="A324" s="13">
        <v>44337</v>
      </c>
      <c r="B324" s="15" t="s">
        <v>21</v>
      </c>
      <c r="C324" s="3">
        <v>3</v>
      </c>
      <c r="D324" s="13">
        <f t="shared" si="9"/>
        <v>44340</v>
      </c>
      <c r="E324" s="15">
        <v>400</v>
      </c>
      <c r="F324" s="9">
        <v>4.4999999999999998E-2</v>
      </c>
      <c r="G324" s="9">
        <v>4.4999999999999998E-2</v>
      </c>
      <c r="H324" s="15">
        <f t="shared" si="8"/>
        <v>10900</v>
      </c>
    </row>
    <row r="325" spans="1:8" x14ac:dyDescent="0.25">
      <c r="A325" s="13">
        <v>44337</v>
      </c>
      <c r="B325" s="15" t="s">
        <v>21</v>
      </c>
      <c r="C325" s="3">
        <v>4</v>
      </c>
      <c r="D325" s="13">
        <f t="shared" si="9"/>
        <v>44341</v>
      </c>
      <c r="E325" s="15">
        <v>3100</v>
      </c>
      <c r="F325" s="9">
        <v>4.4999999999999998E-2</v>
      </c>
      <c r="G325" s="9">
        <v>4.4999999999999998E-2</v>
      </c>
      <c r="H325" s="15">
        <f t="shared" si="8"/>
        <v>10900</v>
      </c>
    </row>
    <row r="326" spans="1:8" x14ac:dyDescent="0.25">
      <c r="A326" s="13">
        <v>44337</v>
      </c>
      <c r="B326" s="15" t="s">
        <v>21</v>
      </c>
      <c r="C326" s="3">
        <v>7</v>
      </c>
      <c r="D326" s="13">
        <f t="shared" si="9"/>
        <v>44344</v>
      </c>
      <c r="E326" s="15">
        <v>600</v>
      </c>
      <c r="F326" s="9">
        <v>4.5499999999999999E-2</v>
      </c>
      <c r="G326" s="9">
        <v>4.5499999999999999E-2</v>
      </c>
      <c r="H326" s="15">
        <f t="shared" si="8"/>
        <v>10900</v>
      </c>
    </row>
    <row r="327" spans="1:8" x14ac:dyDescent="0.25">
      <c r="A327" s="13">
        <v>44340</v>
      </c>
      <c r="B327" s="15" t="s">
        <v>21</v>
      </c>
      <c r="C327" s="3">
        <v>2</v>
      </c>
      <c r="D327" s="13">
        <f t="shared" si="9"/>
        <v>44342</v>
      </c>
      <c r="E327" s="15">
        <v>3750</v>
      </c>
      <c r="F327" s="9">
        <v>4.4999999999999998E-2</v>
      </c>
      <c r="G327" s="9">
        <v>4.4999999999999998E-2</v>
      </c>
      <c r="H327" s="15">
        <f t="shared" si="8"/>
        <v>13250</v>
      </c>
    </row>
    <row r="328" spans="1:8" x14ac:dyDescent="0.25">
      <c r="A328" s="13">
        <v>44340</v>
      </c>
      <c r="B328" s="15" t="s">
        <v>21</v>
      </c>
      <c r="C328" s="3">
        <v>4</v>
      </c>
      <c r="D328" s="13">
        <f t="shared" si="9"/>
        <v>44344</v>
      </c>
      <c r="E328" s="15">
        <v>1800</v>
      </c>
      <c r="F328" s="9">
        <v>4.5499999999999999E-2</v>
      </c>
      <c r="G328" s="9">
        <v>4.5499999999999999E-2</v>
      </c>
      <c r="H328" s="15">
        <f t="shared" si="8"/>
        <v>13250</v>
      </c>
    </row>
    <row r="329" spans="1:8" x14ac:dyDescent="0.25">
      <c r="A329" s="13">
        <v>44340</v>
      </c>
      <c r="B329" s="15" t="s">
        <v>21</v>
      </c>
      <c r="C329" s="3">
        <v>7</v>
      </c>
      <c r="D329" s="13">
        <f t="shared" si="9"/>
        <v>44347</v>
      </c>
      <c r="E329" s="15">
        <v>800</v>
      </c>
      <c r="F329" s="9">
        <v>4.5999999999999999E-2</v>
      </c>
      <c r="G329" s="9">
        <v>4.5999999999999999E-2</v>
      </c>
      <c r="H329" s="15">
        <f t="shared" si="8"/>
        <v>13250</v>
      </c>
    </row>
    <row r="330" spans="1:8" x14ac:dyDescent="0.25">
      <c r="A330" s="13">
        <v>44341</v>
      </c>
      <c r="B330" s="15" t="s">
        <v>21</v>
      </c>
      <c r="C330" s="3">
        <v>1</v>
      </c>
      <c r="D330" s="13">
        <f t="shared" si="9"/>
        <v>44342</v>
      </c>
      <c r="E330" s="15">
        <v>1400</v>
      </c>
      <c r="F330" s="9">
        <v>4.3999999999999997E-2</v>
      </c>
      <c r="G330" s="9">
        <v>4.3999999999999997E-2</v>
      </c>
      <c r="H330" s="15">
        <f t="shared" ref="H330:H393" si="10">+SUMIFS($E$10:$E$4503,$A$10:$A$4503,"&lt;="&amp;A330,$D$10:$D$4503,"&gt;"&amp;A330)</f>
        <v>13250</v>
      </c>
    </row>
    <row r="331" spans="1:8" x14ac:dyDescent="0.25">
      <c r="A331" s="13">
        <v>44341</v>
      </c>
      <c r="B331" s="15" t="s">
        <v>21</v>
      </c>
      <c r="C331" s="3">
        <v>2</v>
      </c>
      <c r="D331" s="13">
        <f t="shared" ref="D331:D340" si="11">+A331+C331</f>
        <v>44343</v>
      </c>
      <c r="E331" s="15">
        <v>2700</v>
      </c>
      <c r="F331" s="9">
        <v>4.4999999999999998E-2</v>
      </c>
      <c r="G331" s="9">
        <v>4.4999999999999998E-2</v>
      </c>
      <c r="H331" s="15">
        <f t="shared" si="10"/>
        <v>13250</v>
      </c>
    </row>
    <row r="332" spans="1:8" x14ac:dyDescent="0.25">
      <c r="A332" s="13">
        <v>44341</v>
      </c>
      <c r="B332" s="15" t="s">
        <v>21</v>
      </c>
      <c r="C332" s="3">
        <v>2</v>
      </c>
      <c r="D332" s="13">
        <f t="shared" si="11"/>
        <v>44343</v>
      </c>
      <c r="E332" s="15">
        <v>-1000</v>
      </c>
      <c r="F332" s="9">
        <v>4.7E-2</v>
      </c>
      <c r="G332" s="9">
        <v>4.7E-2</v>
      </c>
      <c r="H332" s="15">
        <f t="shared" si="10"/>
        <v>13250</v>
      </c>
    </row>
    <row r="333" spans="1:8" x14ac:dyDescent="0.25">
      <c r="A333" s="13">
        <v>44342</v>
      </c>
      <c r="B333" s="15" t="s">
        <v>21</v>
      </c>
      <c r="C333" s="3">
        <v>1</v>
      </c>
      <c r="D333" s="13">
        <f t="shared" si="11"/>
        <v>44343</v>
      </c>
      <c r="E333" s="15">
        <v>400</v>
      </c>
      <c r="F333" s="9">
        <v>4.2999999999999997E-2</v>
      </c>
      <c r="G333" s="9">
        <v>4.2999999999999997E-2</v>
      </c>
      <c r="H333" s="15">
        <f t="shared" si="10"/>
        <v>8100</v>
      </c>
    </row>
    <row r="334" spans="1:8" x14ac:dyDescent="0.25">
      <c r="A334" s="13">
        <v>44342</v>
      </c>
      <c r="B334" s="15" t="s">
        <v>21</v>
      </c>
      <c r="C334" s="3">
        <v>2</v>
      </c>
      <c r="D334" s="13">
        <f t="shared" si="11"/>
        <v>44344</v>
      </c>
      <c r="E334" s="15">
        <v>1600</v>
      </c>
      <c r="F334" s="9">
        <v>4.4999999999999998E-2</v>
      </c>
      <c r="G334" s="9">
        <v>4.4999999999999998E-2</v>
      </c>
      <c r="H334" s="15">
        <f t="shared" si="10"/>
        <v>8100</v>
      </c>
    </row>
    <row r="335" spans="1:8" x14ac:dyDescent="0.25">
      <c r="A335" s="13">
        <v>44342</v>
      </c>
      <c r="B335" s="15" t="s">
        <v>21</v>
      </c>
      <c r="C335" s="3">
        <v>5</v>
      </c>
      <c r="D335" s="13">
        <f t="shared" si="11"/>
        <v>44347</v>
      </c>
      <c r="E335" s="15">
        <v>200</v>
      </c>
      <c r="F335" s="9">
        <v>4.5499999999999999E-2</v>
      </c>
      <c r="G335" s="9">
        <v>4.5499999999999999E-2</v>
      </c>
      <c r="H335" s="15">
        <f t="shared" si="10"/>
        <v>8100</v>
      </c>
    </row>
    <row r="336" spans="1:8" x14ac:dyDescent="0.25">
      <c r="A336" s="13">
        <v>44343</v>
      </c>
      <c r="B336" s="15" t="s">
        <v>21</v>
      </c>
      <c r="C336" s="3">
        <v>4</v>
      </c>
      <c r="D336" s="13">
        <f t="shared" si="11"/>
        <v>44347</v>
      </c>
      <c r="E336" s="15">
        <v>250</v>
      </c>
      <c r="F336" s="9">
        <v>4.4499999999999998E-2</v>
      </c>
      <c r="G336" s="9">
        <v>4.4499999999999998E-2</v>
      </c>
      <c r="H336" s="15">
        <f t="shared" si="10"/>
        <v>6250</v>
      </c>
    </row>
    <row r="337" spans="1:8" x14ac:dyDescent="0.25">
      <c r="A337" s="13">
        <v>44344</v>
      </c>
      <c r="B337" s="15" t="s">
        <v>21</v>
      </c>
      <c r="C337" s="3">
        <v>3</v>
      </c>
      <c r="D337" s="13">
        <f t="shared" si="11"/>
        <v>44347</v>
      </c>
      <c r="E337" s="15">
        <v>2350</v>
      </c>
      <c r="F337" s="9">
        <v>4.1500000000000002E-2</v>
      </c>
      <c r="G337" s="9">
        <v>4.2000000000000003E-2</v>
      </c>
      <c r="H337" s="15">
        <f t="shared" si="10"/>
        <v>10200</v>
      </c>
    </row>
    <row r="338" spans="1:8" x14ac:dyDescent="0.25">
      <c r="A338" s="13">
        <v>44344</v>
      </c>
      <c r="B338" s="15" t="s">
        <v>21</v>
      </c>
      <c r="C338" s="3">
        <v>4</v>
      </c>
      <c r="D338" s="13">
        <f t="shared" si="11"/>
        <v>44348</v>
      </c>
      <c r="E338" s="15">
        <v>5400</v>
      </c>
      <c r="F338" s="9">
        <v>4.2999999999999997E-2</v>
      </c>
      <c r="G338" s="9">
        <v>4.3499999999999997E-2</v>
      </c>
      <c r="H338" s="15">
        <f t="shared" si="10"/>
        <v>10200</v>
      </c>
    </row>
    <row r="339" spans="1:8" x14ac:dyDescent="0.25">
      <c r="A339" s="13">
        <v>44344</v>
      </c>
      <c r="B339" s="15" t="s">
        <v>21</v>
      </c>
      <c r="C339" s="3">
        <v>5</v>
      </c>
      <c r="D339" s="13">
        <f t="shared" si="11"/>
        <v>44349</v>
      </c>
      <c r="E339" s="15">
        <v>1200</v>
      </c>
      <c r="F339" s="9">
        <v>4.3999999999999997E-2</v>
      </c>
      <c r="G339" s="9">
        <v>4.3999999999999997E-2</v>
      </c>
      <c r="H339" s="15">
        <f t="shared" si="10"/>
        <v>10200</v>
      </c>
    </row>
    <row r="340" spans="1:8" x14ac:dyDescent="0.25">
      <c r="A340" s="13">
        <v>44347</v>
      </c>
      <c r="B340" s="15" t="s">
        <v>21</v>
      </c>
      <c r="C340" s="3">
        <v>1</v>
      </c>
      <c r="D340" s="13">
        <f t="shared" si="11"/>
        <v>44348</v>
      </c>
      <c r="E340" s="15">
        <v>3700</v>
      </c>
      <c r="F340" s="9">
        <v>4.3999999999999997E-2</v>
      </c>
      <c r="G340" s="9">
        <v>4.4999999999999998E-2</v>
      </c>
      <c r="H340" s="15">
        <f t="shared" si="10"/>
        <v>10300</v>
      </c>
    </row>
    <row r="341" spans="1:8" x14ac:dyDescent="0.25">
      <c r="A341" s="13">
        <v>44351</v>
      </c>
      <c r="B341" s="15" t="s">
        <v>21</v>
      </c>
      <c r="C341" s="3">
        <v>4</v>
      </c>
      <c r="D341" s="13">
        <v>44355</v>
      </c>
      <c r="E341" s="15">
        <v>700</v>
      </c>
      <c r="F341" s="9">
        <v>4.5499999999999999E-2</v>
      </c>
      <c r="G341" s="9">
        <v>4.5499999999999999E-2</v>
      </c>
      <c r="H341" s="15">
        <f t="shared" si="10"/>
        <v>700</v>
      </c>
    </row>
    <row r="342" spans="1:8" x14ac:dyDescent="0.25">
      <c r="A342" s="13">
        <v>44354</v>
      </c>
      <c r="B342" s="15" t="s">
        <v>21</v>
      </c>
      <c r="C342" s="3">
        <v>2</v>
      </c>
      <c r="D342" s="13">
        <v>44356</v>
      </c>
      <c r="E342" s="15">
        <v>3600</v>
      </c>
      <c r="F342" s="9">
        <v>4.4999999999999998E-2</v>
      </c>
      <c r="G342" s="9">
        <v>4.5499999999999999E-2</v>
      </c>
      <c r="H342" s="15">
        <f t="shared" si="10"/>
        <v>6500</v>
      </c>
    </row>
    <row r="343" spans="1:8" x14ac:dyDescent="0.25">
      <c r="A343" s="13">
        <v>44354</v>
      </c>
      <c r="B343" s="15" t="s">
        <v>21</v>
      </c>
      <c r="C343" s="3">
        <v>7</v>
      </c>
      <c r="D343" s="13">
        <v>44361</v>
      </c>
      <c r="E343" s="15">
        <v>2200</v>
      </c>
      <c r="F343" s="9">
        <v>4.5999999999999999E-2</v>
      </c>
      <c r="G343" s="9">
        <v>4.5999999999999999E-2</v>
      </c>
      <c r="H343" s="15">
        <f t="shared" si="10"/>
        <v>6500</v>
      </c>
    </row>
    <row r="344" spans="1:8" x14ac:dyDescent="0.25">
      <c r="A344" s="13">
        <v>44355</v>
      </c>
      <c r="B344" s="15" t="s">
        <v>21</v>
      </c>
      <c r="C344" s="3">
        <v>2</v>
      </c>
      <c r="D344" s="13">
        <v>44357</v>
      </c>
      <c r="E344" s="15">
        <v>400</v>
      </c>
      <c r="F344" s="9">
        <v>4.4999999999999998E-2</v>
      </c>
      <c r="G344" s="9">
        <v>4.4999999999999998E-2</v>
      </c>
      <c r="H344" s="15">
        <f t="shared" si="10"/>
        <v>7000</v>
      </c>
    </row>
    <row r="345" spans="1:8" x14ac:dyDescent="0.25">
      <c r="A345" s="13">
        <v>44355</v>
      </c>
      <c r="B345" s="15" t="s">
        <v>21</v>
      </c>
      <c r="C345" s="3">
        <v>7</v>
      </c>
      <c r="D345" s="13">
        <v>44362</v>
      </c>
      <c r="E345" s="15">
        <v>400</v>
      </c>
      <c r="F345" s="9">
        <v>4.5999999999999999E-2</v>
      </c>
      <c r="G345" s="9">
        <v>4.5999999999999999E-2</v>
      </c>
      <c r="H345" s="15">
        <f t="shared" si="10"/>
        <v>7000</v>
      </c>
    </row>
    <row r="346" spans="1:8" x14ac:dyDescent="0.25">
      <c r="A346" s="13">
        <v>44355</v>
      </c>
      <c r="B346" s="15" t="s">
        <v>21</v>
      </c>
      <c r="C346" s="3">
        <v>14</v>
      </c>
      <c r="D346" s="13">
        <v>44369</v>
      </c>
      <c r="E346" s="15">
        <v>400</v>
      </c>
      <c r="F346" s="9">
        <v>4.7E-2</v>
      </c>
      <c r="G346" s="9">
        <v>4.7E-2</v>
      </c>
      <c r="H346" s="15">
        <f t="shared" si="10"/>
        <v>7000</v>
      </c>
    </row>
    <row r="347" spans="1:8" x14ac:dyDescent="0.25">
      <c r="A347" s="13">
        <v>44356</v>
      </c>
      <c r="B347" s="15" t="s">
        <v>21</v>
      </c>
      <c r="C347" s="3">
        <v>2</v>
      </c>
      <c r="D347" s="13">
        <v>44358</v>
      </c>
      <c r="E347" s="15">
        <v>3100</v>
      </c>
      <c r="F347" s="9">
        <v>4.4999999999999998E-2</v>
      </c>
      <c r="G347" s="9">
        <v>4.4999999999999998E-2</v>
      </c>
      <c r="H347" s="15">
        <f t="shared" si="10"/>
        <v>10200</v>
      </c>
    </row>
    <row r="348" spans="1:8" x14ac:dyDescent="0.25">
      <c r="A348" s="13">
        <v>44356</v>
      </c>
      <c r="B348" s="15" t="s">
        <v>21</v>
      </c>
      <c r="C348" s="3">
        <v>7</v>
      </c>
      <c r="D348" s="13">
        <v>44363</v>
      </c>
      <c r="E348" s="15">
        <v>1400</v>
      </c>
      <c r="F348" s="9">
        <v>4.5999999999999999E-2</v>
      </c>
      <c r="G348" s="9">
        <v>4.5999999999999999E-2</v>
      </c>
      <c r="H348" s="15">
        <f t="shared" si="10"/>
        <v>10200</v>
      </c>
    </row>
    <row r="349" spans="1:8" x14ac:dyDescent="0.25">
      <c r="A349" s="13">
        <v>44356</v>
      </c>
      <c r="B349" s="15" t="s">
        <v>21</v>
      </c>
      <c r="C349" s="3">
        <v>12</v>
      </c>
      <c r="D349" s="13">
        <v>44368</v>
      </c>
      <c r="E349" s="15">
        <v>2300</v>
      </c>
      <c r="F349" s="9">
        <v>4.6500000000000007E-2</v>
      </c>
      <c r="G349" s="9">
        <v>4.6500000000000007E-2</v>
      </c>
      <c r="H349" s="15">
        <f t="shared" si="10"/>
        <v>10200</v>
      </c>
    </row>
    <row r="350" spans="1:8" x14ac:dyDescent="0.25">
      <c r="A350" s="13">
        <v>44357</v>
      </c>
      <c r="B350" s="15" t="s">
        <v>21</v>
      </c>
      <c r="C350" s="3">
        <v>1</v>
      </c>
      <c r="D350" s="13">
        <v>44358</v>
      </c>
      <c r="E350" s="15">
        <v>800</v>
      </c>
      <c r="F350" s="9">
        <v>4.4999999999999998E-2</v>
      </c>
      <c r="G350" s="9">
        <v>4.4999999999999998E-2</v>
      </c>
      <c r="H350" s="15">
        <f t="shared" si="10"/>
        <v>14000</v>
      </c>
    </row>
    <row r="351" spans="1:8" x14ac:dyDescent="0.25">
      <c r="A351" s="13">
        <v>44357</v>
      </c>
      <c r="B351" s="15" t="s">
        <v>21</v>
      </c>
      <c r="C351" s="3">
        <v>4</v>
      </c>
      <c r="D351" s="13">
        <v>44361</v>
      </c>
      <c r="E351" s="15">
        <v>2000</v>
      </c>
      <c r="F351" s="9">
        <v>4.5499999999999999E-2</v>
      </c>
      <c r="G351" s="9">
        <v>4.5499999999999999E-2</v>
      </c>
      <c r="H351" s="15">
        <f t="shared" si="10"/>
        <v>14000</v>
      </c>
    </row>
    <row r="352" spans="1:8" x14ac:dyDescent="0.25">
      <c r="A352" s="13">
        <v>44357</v>
      </c>
      <c r="B352" s="15" t="s">
        <v>21</v>
      </c>
      <c r="C352" s="3">
        <v>7</v>
      </c>
      <c r="D352" s="13">
        <v>44364</v>
      </c>
      <c r="E352" s="15">
        <v>1400</v>
      </c>
      <c r="F352" s="9">
        <v>4.5999999999999999E-2</v>
      </c>
      <c r="G352" s="9">
        <v>4.5999999999999999E-2</v>
      </c>
      <c r="H352" s="15">
        <f t="shared" si="10"/>
        <v>14000</v>
      </c>
    </row>
    <row r="353" spans="1:8" x14ac:dyDescent="0.25">
      <c r="A353" s="13">
        <v>44358</v>
      </c>
      <c r="B353" s="15" t="s">
        <v>21</v>
      </c>
      <c r="C353" s="3">
        <v>3</v>
      </c>
      <c r="D353" s="13">
        <v>44361</v>
      </c>
      <c r="E353" s="15">
        <v>600</v>
      </c>
      <c r="F353" s="9">
        <v>4.4999999999999998E-2</v>
      </c>
      <c r="G353" s="9">
        <v>4.4999999999999998E-2</v>
      </c>
      <c r="H353" s="15">
        <f t="shared" si="10"/>
        <v>13300</v>
      </c>
    </row>
    <row r="354" spans="1:8" x14ac:dyDescent="0.25">
      <c r="A354" s="13">
        <v>44358</v>
      </c>
      <c r="B354" s="15" t="s">
        <v>21</v>
      </c>
      <c r="C354" s="3">
        <v>4</v>
      </c>
      <c r="D354" s="13">
        <v>44362</v>
      </c>
      <c r="E354" s="15">
        <v>2400</v>
      </c>
      <c r="F354" s="9">
        <v>4.4999999999999998E-2</v>
      </c>
      <c r="G354" s="9">
        <v>4.4999999999999998E-2</v>
      </c>
      <c r="H354" s="15">
        <f t="shared" si="10"/>
        <v>13300</v>
      </c>
    </row>
    <row r="355" spans="1:8" x14ac:dyDescent="0.25">
      <c r="A355" s="13">
        <v>44358</v>
      </c>
      <c r="B355" s="15" t="s">
        <v>21</v>
      </c>
      <c r="C355" s="3">
        <v>10</v>
      </c>
      <c r="D355" s="13">
        <v>44368</v>
      </c>
      <c r="E355" s="15">
        <v>200</v>
      </c>
      <c r="F355" s="9">
        <v>4.5999999999999999E-2</v>
      </c>
      <c r="G355" s="9">
        <v>4.5999999999999999E-2</v>
      </c>
      <c r="H355" s="15">
        <f t="shared" si="10"/>
        <v>13300</v>
      </c>
    </row>
    <row r="356" spans="1:8" x14ac:dyDescent="0.25">
      <c r="A356" s="13">
        <v>44361</v>
      </c>
      <c r="B356" s="15" t="s">
        <v>21</v>
      </c>
      <c r="C356" s="3">
        <v>1</v>
      </c>
      <c r="D356" s="13">
        <v>44362</v>
      </c>
      <c r="E356" s="15">
        <v>400</v>
      </c>
      <c r="F356" s="9">
        <v>4.4999999999999998E-2</v>
      </c>
      <c r="G356" s="9">
        <v>4.4999999999999998E-2</v>
      </c>
      <c r="H356" s="15">
        <f t="shared" si="10"/>
        <v>11900</v>
      </c>
    </row>
    <row r="357" spans="1:8" x14ac:dyDescent="0.25">
      <c r="A357" s="13">
        <v>44361</v>
      </c>
      <c r="B357" s="15" t="s">
        <v>21</v>
      </c>
      <c r="C357" s="3">
        <v>4</v>
      </c>
      <c r="D357" s="13">
        <v>44365</v>
      </c>
      <c r="E357" s="15">
        <v>1800</v>
      </c>
      <c r="F357" s="9">
        <v>4.5499999999999999E-2</v>
      </c>
      <c r="G357" s="9">
        <v>4.5499999999999999E-2</v>
      </c>
      <c r="H357" s="15">
        <f t="shared" si="10"/>
        <v>11900</v>
      </c>
    </row>
    <row r="358" spans="1:8" x14ac:dyDescent="0.25">
      <c r="A358" s="13">
        <v>44361</v>
      </c>
      <c r="B358" s="15" t="s">
        <v>21</v>
      </c>
      <c r="C358" s="3">
        <v>7</v>
      </c>
      <c r="D358" s="13">
        <v>44368</v>
      </c>
      <c r="E358" s="15">
        <v>1200</v>
      </c>
      <c r="F358" s="9">
        <v>4.5499999999999999E-2</v>
      </c>
      <c r="G358" s="9">
        <v>4.5499999999999999E-2</v>
      </c>
      <c r="H358" s="15">
        <f t="shared" si="10"/>
        <v>11900</v>
      </c>
    </row>
    <row r="359" spans="1:8" x14ac:dyDescent="0.25">
      <c r="A359" s="13">
        <v>44362</v>
      </c>
      <c r="B359" s="15" t="s">
        <v>21</v>
      </c>
      <c r="C359" s="3">
        <v>1</v>
      </c>
      <c r="D359" s="13">
        <v>44363</v>
      </c>
      <c r="E359" s="15">
        <v>300</v>
      </c>
      <c r="F359" s="9">
        <v>4.4999999999999998E-2</v>
      </c>
      <c r="G359" s="9">
        <v>4.4999999999999998E-2</v>
      </c>
      <c r="H359" s="15">
        <f t="shared" si="10"/>
        <v>14200</v>
      </c>
    </row>
    <row r="360" spans="1:8" x14ac:dyDescent="0.25">
      <c r="A360" s="13">
        <v>44362</v>
      </c>
      <c r="B360" s="15" t="s">
        <v>21</v>
      </c>
      <c r="C360" s="3">
        <v>3</v>
      </c>
      <c r="D360" s="13">
        <v>44365</v>
      </c>
      <c r="E360" s="15">
        <v>3400</v>
      </c>
      <c r="F360" s="9">
        <v>4.4999999999999998E-2</v>
      </c>
      <c r="G360" s="9">
        <v>4.5499999999999999E-2</v>
      </c>
      <c r="H360" s="15">
        <f t="shared" si="10"/>
        <v>14200</v>
      </c>
    </row>
    <row r="361" spans="1:8" x14ac:dyDescent="0.25">
      <c r="A361" s="13">
        <v>44362</v>
      </c>
      <c r="B361" s="15" t="s">
        <v>21</v>
      </c>
      <c r="C361" s="3">
        <v>6</v>
      </c>
      <c r="D361" s="13">
        <v>44368</v>
      </c>
      <c r="E361" s="15">
        <v>1800</v>
      </c>
      <c r="F361" s="9">
        <v>4.5499999999999999E-2</v>
      </c>
      <c r="G361" s="9">
        <v>4.5499999999999999E-2</v>
      </c>
      <c r="H361" s="15">
        <f t="shared" si="10"/>
        <v>14200</v>
      </c>
    </row>
    <row r="362" spans="1:8" x14ac:dyDescent="0.25">
      <c r="A362" s="13">
        <v>44363</v>
      </c>
      <c r="B362" s="15" t="s">
        <v>21</v>
      </c>
      <c r="C362" s="3">
        <v>2</v>
      </c>
      <c r="D362" s="13">
        <v>44365</v>
      </c>
      <c r="E362" s="15">
        <v>2300</v>
      </c>
      <c r="F362" s="9">
        <v>4.5499999999999999E-2</v>
      </c>
      <c r="G362" s="9">
        <v>4.5499999999999999E-2</v>
      </c>
      <c r="H362" s="15">
        <f t="shared" si="10"/>
        <v>17800</v>
      </c>
    </row>
    <row r="363" spans="1:8" x14ac:dyDescent="0.25">
      <c r="A363" s="13">
        <v>44363</v>
      </c>
      <c r="B363" s="15" t="s">
        <v>21</v>
      </c>
      <c r="C363" s="3">
        <v>7</v>
      </c>
      <c r="D363" s="13">
        <v>44370</v>
      </c>
      <c r="E363" s="15">
        <v>3000</v>
      </c>
      <c r="F363" s="9">
        <v>4.65E-2</v>
      </c>
      <c r="G363" s="9">
        <v>4.65E-2</v>
      </c>
      <c r="H363" s="15">
        <f t="shared" si="10"/>
        <v>17800</v>
      </c>
    </row>
    <row r="364" spans="1:8" x14ac:dyDescent="0.25">
      <c r="A364" s="13">
        <v>44364</v>
      </c>
      <c r="B364" s="15" t="s">
        <v>21</v>
      </c>
      <c r="C364" s="3">
        <v>5</v>
      </c>
      <c r="D364" s="13">
        <v>44369</v>
      </c>
      <c r="E364" s="15">
        <v>2000</v>
      </c>
      <c r="F364" s="9">
        <v>4.5499999999999999E-2</v>
      </c>
      <c r="G364" s="9">
        <v>4.5499999999999999E-2</v>
      </c>
      <c r="H364" s="15">
        <f t="shared" si="10"/>
        <v>18400</v>
      </c>
    </row>
    <row r="365" spans="1:8" x14ac:dyDescent="0.25">
      <c r="A365" s="13">
        <v>44365</v>
      </c>
      <c r="B365" s="15" t="s">
        <v>21</v>
      </c>
      <c r="C365" s="3">
        <v>3</v>
      </c>
      <c r="D365" s="13">
        <v>44368</v>
      </c>
      <c r="E365" s="15">
        <v>3800</v>
      </c>
      <c r="F365" s="9">
        <v>4.4499999999999998E-2</v>
      </c>
      <c r="G365" s="9">
        <v>4.4999999999999998E-2</v>
      </c>
      <c r="H365" s="15">
        <f t="shared" si="10"/>
        <v>19700</v>
      </c>
    </row>
    <row r="366" spans="1:8" x14ac:dyDescent="0.25">
      <c r="A366" s="13">
        <v>44365</v>
      </c>
      <c r="B366" s="15" t="s">
        <v>21</v>
      </c>
      <c r="C366" s="3">
        <v>7</v>
      </c>
      <c r="D366" s="13">
        <v>44372</v>
      </c>
      <c r="E366" s="15">
        <v>3900</v>
      </c>
      <c r="F366" s="9">
        <v>4.5999999999999999E-2</v>
      </c>
      <c r="G366" s="9">
        <v>4.5999999999999999E-2</v>
      </c>
      <c r="H366" s="15">
        <f t="shared" si="10"/>
        <v>19700</v>
      </c>
    </row>
    <row r="367" spans="1:8" x14ac:dyDescent="0.25">
      <c r="A367" s="13">
        <v>44365</v>
      </c>
      <c r="B367" s="15" t="s">
        <v>21</v>
      </c>
      <c r="C367" s="3">
        <v>10</v>
      </c>
      <c r="D367" s="13">
        <v>44375</v>
      </c>
      <c r="E367" s="15">
        <v>1100</v>
      </c>
      <c r="F367" s="9">
        <v>4.5999999999999999E-2</v>
      </c>
      <c r="G367" s="9">
        <v>4.5999999999999999E-2</v>
      </c>
      <c r="H367" s="15">
        <f t="shared" si="10"/>
        <v>19700</v>
      </c>
    </row>
    <row r="368" spans="1:8" x14ac:dyDescent="0.25">
      <c r="A368" s="13">
        <v>44368</v>
      </c>
      <c r="B368" s="15" t="s">
        <v>21</v>
      </c>
      <c r="C368" s="3">
        <v>2</v>
      </c>
      <c r="D368" s="13">
        <v>44370</v>
      </c>
      <c r="E368" s="15">
        <v>5500</v>
      </c>
      <c r="F368" s="9">
        <v>4.4999999999999998E-2</v>
      </c>
      <c r="G368" s="9">
        <v>4.4999999999999998E-2</v>
      </c>
      <c r="H368" s="15">
        <f t="shared" si="10"/>
        <v>22400</v>
      </c>
    </row>
    <row r="369" spans="1:8" x14ac:dyDescent="0.25">
      <c r="A369" s="13">
        <v>44368</v>
      </c>
      <c r="B369" s="15" t="s">
        <v>21</v>
      </c>
      <c r="C369" s="3">
        <v>7</v>
      </c>
      <c r="D369" s="13">
        <v>44375</v>
      </c>
      <c r="E369" s="15">
        <v>6500</v>
      </c>
      <c r="F369" s="9">
        <v>4.5999999999999999E-2</v>
      </c>
      <c r="G369" s="9">
        <v>4.5999999999999999E-2</v>
      </c>
      <c r="H369" s="15">
        <f t="shared" si="10"/>
        <v>22400</v>
      </c>
    </row>
    <row r="370" spans="1:8" x14ac:dyDescent="0.25">
      <c r="A370" s="13">
        <v>44369</v>
      </c>
      <c r="B370" s="15" t="s">
        <v>21</v>
      </c>
      <c r="C370" s="3">
        <v>1</v>
      </c>
      <c r="D370" s="13">
        <v>44370</v>
      </c>
      <c r="E370" s="15">
        <v>40</v>
      </c>
      <c r="F370" s="9">
        <v>4.4999999999999998E-2</v>
      </c>
      <c r="G370" s="9">
        <v>4.4999999999999998E-2</v>
      </c>
      <c r="H370" s="15">
        <f t="shared" si="10"/>
        <v>25060</v>
      </c>
    </row>
    <row r="371" spans="1:8" x14ac:dyDescent="0.25">
      <c r="A371" s="13">
        <v>44369</v>
      </c>
      <c r="B371" s="15" t="s">
        <v>21</v>
      </c>
      <c r="C371" s="3">
        <v>3</v>
      </c>
      <c r="D371" s="13">
        <v>44372</v>
      </c>
      <c r="E371" s="15">
        <v>200</v>
      </c>
      <c r="F371" s="9">
        <v>4.4999999999999998E-2</v>
      </c>
      <c r="G371" s="9">
        <v>4.4999999999999998E-2</v>
      </c>
      <c r="H371" s="15">
        <f t="shared" si="10"/>
        <v>25060</v>
      </c>
    </row>
    <row r="372" spans="1:8" x14ac:dyDescent="0.25">
      <c r="A372" s="13">
        <v>44369</v>
      </c>
      <c r="B372" s="15" t="s">
        <v>21</v>
      </c>
      <c r="C372" s="3">
        <v>6</v>
      </c>
      <c r="D372" s="13">
        <v>44375</v>
      </c>
      <c r="E372" s="15">
        <v>3300</v>
      </c>
      <c r="F372" s="9">
        <v>4.5499999999999999E-2</v>
      </c>
      <c r="G372" s="9">
        <v>4.5499999999999999E-2</v>
      </c>
      <c r="H372" s="15">
        <f t="shared" si="10"/>
        <v>25060</v>
      </c>
    </row>
    <row r="373" spans="1:8" x14ac:dyDescent="0.25">
      <c r="A373" s="13">
        <v>44369</v>
      </c>
      <c r="B373" s="15" t="s">
        <v>21</v>
      </c>
      <c r="C373" s="3">
        <v>7</v>
      </c>
      <c r="D373" s="13">
        <v>44376</v>
      </c>
      <c r="E373" s="15">
        <v>500</v>
      </c>
      <c r="F373" s="9">
        <v>4.5499999999999999E-2</v>
      </c>
      <c r="G373" s="9">
        <v>4.5499999999999999E-2</v>
      </c>
      <c r="H373" s="15">
        <f t="shared" si="10"/>
        <v>25060</v>
      </c>
    </row>
    <row r="374" spans="1:8" x14ac:dyDescent="0.25">
      <c r="A374" s="13">
        <v>44369</v>
      </c>
      <c r="B374" s="15" t="s">
        <v>21</v>
      </c>
      <c r="C374" s="3">
        <v>9</v>
      </c>
      <c r="D374" s="13">
        <v>44378</v>
      </c>
      <c r="E374" s="15">
        <v>1020</v>
      </c>
      <c r="F374" s="9">
        <v>4.5999999999999999E-2</v>
      </c>
      <c r="G374" s="9">
        <v>4.5999999999999999E-2</v>
      </c>
      <c r="H374" s="15">
        <f t="shared" si="10"/>
        <v>25060</v>
      </c>
    </row>
    <row r="375" spans="1:8" x14ac:dyDescent="0.25">
      <c r="A375" s="13">
        <v>44370</v>
      </c>
      <c r="B375" s="15" t="s">
        <v>21</v>
      </c>
      <c r="C375" s="3">
        <v>5</v>
      </c>
      <c r="D375" s="13">
        <v>44375</v>
      </c>
      <c r="E375" s="15">
        <v>3050</v>
      </c>
      <c r="F375" s="9">
        <v>4.5499999999999999E-2</v>
      </c>
      <c r="G375" s="9">
        <v>4.5499999999999999E-2</v>
      </c>
      <c r="H375" s="15">
        <f t="shared" si="10"/>
        <v>21870</v>
      </c>
    </row>
    <row r="376" spans="1:8" x14ac:dyDescent="0.25">
      <c r="A376" s="13">
        <v>44370</v>
      </c>
      <c r="B376" s="15" t="s">
        <v>21</v>
      </c>
      <c r="C376" s="3">
        <v>8</v>
      </c>
      <c r="D376" s="13">
        <v>44378</v>
      </c>
      <c r="E376" s="15">
        <v>2300</v>
      </c>
      <c r="F376" s="9">
        <v>4.5999999999999999E-2</v>
      </c>
      <c r="G376" s="9">
        <v>4.5999999999999999E-2</v>
      </c>
      <c r="H376" s="15">
        <f t="shared" si="10"/>
        <v>21870</v>
      </c>
    </row>
    <row r="377" spans="1:8" x14ac:dyDescent="0.25">
      <c r="A377" s="13">
        <v>44371</v>
      </c>
      <c r="B377" s="15" t="s">
        <v>21</v>
      </c>
      <c r="C377" s="3">
        <v>1</v>
      </c>
      <c r="D377" s="13">
        <v>44372</v>
      </c>
      <c r="E377" s="15">
        <v>400</v>
      </c>
      <c r="F377" s="9">
        <v>4.4999999999999998E-2</v>
      </c>
      <c r="G377" s="9">
        <v>4.4999999999999998E-2</v>
      </c>
      <c r="H377" s="15">
        <f t="shared" si="10"/>
        <v>23270</v>
      </c>
    </row>
    <row r="378" spans="1:8" x14ac:dyDescent="0.25">
      <c r="A378" s="13">
        <v>44371</v>
      </c>
      <c r="B378" s="15" t="s">
        <v>21</v>
      </c>
      <c r="C378" s="3">
        <v>7</v>
      </c>
      <c r="D378" s="13">
        <v>44378</v>
      </c>
      <c r="E378" s="15">
        <v>1000</v>
      </c>
      <c r="F378" s="9">
        <v>4.5499999999999999E-2</v>
      </c>
      <c r="G378" s="9">
        <v>4.5999999999999999E-2</v>
      </c>
      <c r="H378" s="15">
        <f t="shared" si="10"/>
        <v>23270</v>
      </c>
    </row>
    <row r="379" spans="1:8" x14ac:dyDescent="0.25">
      <c r="A379" s="13">
        <v>44372</v>
      </c>
      <c r="B379" s="15" t="s">
        <v>21</v>
      </c>
      <c r="C379" s="3">
        <v>6</v>
      </c>
      <c r="D379" s="13">
        <v>44378</v>
      </c>
      <c r="E379" s="15">
        <v>600</v>
      </c>
      <c r="F379" s="9">
        <v>4.5999999999999999E-2</v>
      </c>
      <c r="G379" s="9">
        <v>4.5999999999999999E-2</v>
      </c>
      <c r="H379" s="15">
        <f t="shared" si="10"/>
        <v>19370</v>
      </c>
    </row>
    <row r="380" spans="1:8" x14ac:dyDescent="0.25">
      <c r="A380" s="13">
        <v>44375</v>
      </c>
      <c r="B380" s="15" t="s">
        <v>21</v>
      </c>
      <c r="C380" s="3">
        <v>1</v>
      </c>
      <c r="D380" s="13">
        <v>44376</v>
      </c>
      <c r="E380" s="15">
        <v>600</v>
      </c>
      <c r="F380" s="9">
        <v>4.4999999999999998E-2</v>
      </c>
      <c r="G380" s="9">
        <v>4.4999999999999998E-2</v>
      </c>
      <c r="H380" s="15">
        <f t="shared" si="10"/>
        <v>18370</v>
      </c>
    </row>
    <row r="381" spans="1:8" x14ac:dyDescent="0.25">
      <c r="A381" s="13">
        <v>44375</v>
      </c>
      <c r="B381" s="15" t="s">
        <v>21</v>
      </c>
      <c r="C381" s="3">
        <v>3</v>
      </c>
      <c r="D381" s="13">
        <v>44378</v>
      </c>
      <c r="E381" s="15">
        <v>12350</v>
      </c>
      <c r="F381" s="9">
        <v>4.4999999999999998E-2</v>
      </c>
      <c r="G381" s="9">
        <v>4.4999999999999998E-2</v>
      </c>
      <c r="H381" s="15">
        <f t="shared" si="10"/>
        <v>18370</v>
      </c>
    </row>
    <row r="382" spans="1:8" x14ac:dyDescent="0.25">
      <c r="A382" s="13">
        <v>44376</v>
      </c>
      <c r="B382" s="15" t="s">
        <v>21</v>
      </c>
      <c r="C382" s="3">
        <v>2</v>
      </c>
      <c r="D382" s="13">
        <v>44378</v>
      </c>
      <c r="E382" s="15">
        <v>5400</v>
      </c>
      <c r="F382" s="9">
        <v>4.4999999999999998E-2</v>
      </c>
      <c r="G382" s="9">
        <v>4.4999999999999998E-2</v>
      </c>
      <c r="H382" s="15">
        <f t="shared" si="10"/>
        <v>22670</v>
      </c>
    </row>
    <row r="383" spans="1:8" x14ac:dyDescent="0.25">
      <c r="A383" s="13">
        <v>44378</v>
      </c>
      <c r="B383" s="15" t="s">
        <v>21</v>
      </c>
      <c r="C383" s="3">
        <v>7</v>
      </c>
      <c r="D383" s="13">
        <v>44385</v>
      </c>
      <c r="E383" s="15">
        <v>1200</v>
      </c>
      <c r="F383" s="9">
        <v>4.5999999999999999E-2</v>
      </c>
      <c r="G383" s="9">
        <v>4.5999999999999999E-2</v>
      </c>
      <c r="H383" s="15">
        <f t="shared" si="10"/>
        <v>1200</v>
      </c>
    </row>
    <row r="384" spans="1:8" x14ac:dyDescent="0.25">
      <c r="A384" s="13">
        <v>44379</v>
      </c>
      <c r="B384" s="15" t="s">
        <v>21</v>
      </c>
      <c r="C384" s="3">
        <v>3</v>
      </c>
      <c r="D384" s="13">
        <v>44382</v>
      </c>
      <c r="E384" s="15">
        <v>950</v>
      </c>
      <c r="F384" s="9">
        <v>4.4999999999999998E-2</v>
      </c>
      <c r="G384" s="9">
        <v>4.4999999999999998E-2</v>
      </c>
      <c r="H384" s="15">
        <f t="shared" si="10"/>
        <v>4350</v>
      </c>
    </row>
    <row r="385" spans="1:8" x14ac:dyDescent="0.25">
      <c r="A385" s="13">
        <v>44379</v>
      </c>
      <c r="B385" s="15" t="s">
        <v>21</v>
      </c>
      <c r="C385" s="3">
        <v>5</v>
      </c>
      <c r="D385" s="13">
        <v>44384</v>
      </c>
      <c r="E385" s="15">
        <v>1800</v>
      </c>
      <c r="F385" s="9">
        <v>4.5499999999999999E-2</v>
      </c>
      <c r="G385" s="9">
        <v>4.5499999999999999E-2</v>
      </c>
      <c r="H385" s="15">
        <f t="shared" si="10"/>
        <v>4350</v>
      </c>
    </row>
    <row r="386" spans="1:8" x14ac:dyDescent="0.25">
      <c r="A386" s="13">
        <v>44379</v>
      </c>
      <c r="B386" s="15" t="s">
        <v>21</v>
      </c>
      <c r="C386" s="3">
        <v>7</v>
      </c>
      <c r="D386" s="13">
        <v>44386</v>
      </c>
      <c r="E386" s="15">
        <v>400</v>
      </c>
      <c r="F386" s="9">
        <v>4.5999999999999999E-2</v>
      </c>
      <c r="G386" s="9">
        <v>4.5999999999999999E-2</v>
      </c>
      <c r="H386" s="15">
        <f t="shared" si="10"/>
        <v>4350</v>
      </c>
    </row>
    <row r="387" spans="1:8" x14ac:dyDescent="0.25">
      <c r="A387" s="13">
        <v>44382</v>
      </c>
      <c r="B387" s="15" t="s">
        <v>21</v>
      </c>
      <c r="C387" s="3">
        <v>1</v>
      </c>
      <c r="D387" s="13">
        <v>44383</v>
      </c>
      <c r="E387" s="15">
        <v>500</v>
      </c>
      <c r="F387" s="9">
        <v>4.3999999999999997E-2</v>
      </c>
      <c r="G387" s="9">
        <v>4.4999999999999998E-2</v>
      </c>
      <c r="H387" s="15">
        <f t="shared" si="10"/>
        <v>5300</v>
      </c>
    </row>
    <row r="388" spans="1:8" x14ac:dyDescent="0.25">
      <c r="A388" s="13">
        <v>44382</v>
      </c>
      <c r="B388" s="15" t="s">
        <v>21</v>
      </c>
      <c r="C388" s="3">
        <v>2</v>
      </c>
      <c r="D388" s="13">
        <v>44384</v>
      </c>
      <c r="E388" s="15">
        <v>1200</v>
      </c>
      <c r="F388" s="9">
        <v>4.5499999999999999E-2</v>
      </c>
      <c r="G388" s="9">
        <v>4.5499999999999999E-2</v>
      </c>
      <c r="H388" s="15">
        <f t="shared" si="10"/>
        <v>5300</v>
      </c>
    </row>
    <row r="389" spans="1:8" x14ac:dyDescent="0.25">
      <c r="A389" s="13">
        <v>44382</v>
      </c>
      <c r="B389" s="15" t="s">
        <v>21</v>
      </c>
      <c r="C389" s="3">
        <v>7</v>
      </c>
      <c r="D389" s="13">
        <v>44389</v>
      </c>
      <c r="E389" s="15">
        <v>200</v>
      </c>
      <c r="F389" s="9">
        <v>4.5999999999999999E-2</v>
      </c>
      <c r="G389" s="9">
        <v>4.5999999999999999E-2</v>
      </c>
      <c r="H389" s="15">
        <f t="shared" si="10"/>
        <v>5300</v>
      </c>
    </row>
    <row r="390" spans="1:8" x14ac:dyDescent="0.25">
      <c r="A390" s="13">
        <v>44383</v>
      </c>
      <c r="B390" s="15" t="s">
        <v>21</v>
      </c>
      <c r="C390" s="3">
        <v>1</v>
      </c>
      <c r="D390" s="13">
        <v>44384</v>
      </c>
      <c r="E390" s="15">
        <v>800</v>
      </c>
      <c r="F390" s="9">
        <v>4.4999999999999998E-2</v>
      </c>
      <c r="G390" s="9">
        <v>4.4999999999999998E-2</v>
      </c>
      <c r="H390" s="15">
        <f t="shared" si="10"/>
        <v>10700</v>
      </c>
    </row>
    <row r="391" spans="1:8" x14ac:dyDescent="0.25">
      <c r="A391" s="13">
        <v>44383</v>
      </c>
      <c r="B391" s="15" t="s">
        <v>21</v>
      </c>
      <c r="C391" s="3">
        <v>2</v>
      </c>
      <c r="D391" s="13">
        <v>44385</v>
      </c>
      <c r="E391" s="15">
        <v>2300</v>
      </c>
      <c r="F391" s="9">
        <v>4.5499999999999999E-2</v>
      </c>
      <c r="G391" s="9">
        <v>4.5499999999999999E-2</v>
      </c>
      <c r="H391" s="15">
        <f t="shared" si="10"/>
        <v>10700</v>
      </c>
    </row>
    <row r="392" spans="1:8" x14ac:dyDescent="0.25">
      <c r="A392" s="13">
        <v>44383</v>
      </c>
      <c r="B392" s="15" t="s">
        <v>21</v>
      </c>
      <c r="C392" s="3">
        <v>6</v>
      </c>
      <c r="D392" s="13">
        <v>44389</v>
      </c>
      <c r="E392" s="15">
        <v>2800</v>
      </c>
      <c r="F392" s="9">
        <v>4.5999999999999999E-2</v>
      </c>
      <c r="G392" s="9">
        <v>4.5999999999999999E-2</v>
      </c>
      <c r="H392" s="15">
        <f t="shared" si="10"/>
        <v>10700</v>
      </c>
    </row>
    <row r="393" spans="1:8" x14ac:dyDescent="0.25">
      <c r="A393" s="13">
        <v>44384</v>
      </c>
      <c r="B393" s="15" t="s">
        <v>21</v>
      </c>
      <c r="C393" s="3">
        <v>2</v>
      </c>
      <c r="D393" s="13">
        <v>44386</v>
      </c>
      <c r="E393" s="15">
        <v>3200</v>
      </c>
      <c r="F393" s="9">
        <v>4.5499999999999999E-2</v>
      </c>
      <c r="G393" s="9">
        <v>4.5499999999999999E-2</v>
      </c>
      <c r="H393" s="15">
        <f t="shared" si="10"/>
        <v>13700</v>
      </c>
    </row>
    <row r="394" spans="1:8" x14ac:dyDescent="0.25">
      <c r="A394" s="13">
        <v>44384</v>
      </c>
      <c r="B394" s="15" t="s">
        <v>21</v>
      </c>
      <c r="C394" s="3">
        <v>7</v>
      </c>
      <c r="D394" s="13">
        <v>44391</v>
      </c>
      <c r="E394" s="15">
        <v>3600</v>
      </c>
      <c r="F394" s="9">
        <v>4.5999999999999999E-2</v>
      </c>
      <c r="G394" s="9">
        <v>4.5999999999999999E-2</v>
      </c>
      <c r="H394" s="15">
        <f t="shared" ref="H394:H457" si="12">+SUMIFS($E$10:$E$4503,$A$10:$A$4503,"&lt;="&amp;A394,$D$10:$D$4503,"&gt;"&amp;A394)</f>
        <v>13700</v>
      </c>
    </row>
    <row r="395" spans="1:8" x14ac:dyDescent="0.25">
      <c r="A395" s="13">
        <v>44385</v>
      </c>
      <c r="B395" s="15" t="s">
        <v>21</v>
      </c>
      <c r="C395" s="3">
        <v>1</v>
      </c>
      <c r="D395" s="13">
        <v>44386</v>
      </c>
      <c r="E395" s="15">
        <v>1400</v>
      </c>
      <c r="F395" s="9">
        <v>4.4999999999999998E-2</v>
      </c>
      <c r="G395" s="9">
        <v>4.4999999999999998E-2</v>
      </c>
      <c r="H395" s="15">
        <f t="shared" si="12"/>
        <v>15800</v>
      </c>
    </row>
    <row r="396" spans="1:8" x14ac:dyDescent="0.25">
      <c r="A396" s="13">
        <v>44385</v>
      </c>
      <c r="B396" s="15" t="s">
        <v>21</v>
      </c>
      <c r="C396" s="3">
        <v>4</v>
      </c>
      <c r="D396" s="13">
        <v>44389</v>
      </c>
      <c r="E396" s="15">
        <v>2600</v>
      </c>
      <c r="F396" s="9">
        <v>4.5499999999999999E-2</v>
      </c>
      <c r="G396" s="9">
        <v>4.5999999999999999E-2</v>
      </c>
      <c r="H396" s="15">
        <f t="shared" si="12"/>
        <v>15800</v>
      </c>
    </row>
    <row r="397" spans="1:8" x14ac:dyDescent="0.25">
      <c r="A397" s="13">
        <v>44385</v>
      </c>
      <c r="B397" s="15" t="s">
        <v>21</v>
      </c>
      <c r="C397" s="3">
        <v>7</v>
      </c>
      <c r="D397" s="13">
        <v>44392</v>
      </c>
      <c r="E397" s="15">
        <v>1600</v>
      </c>
      <c r="F397" s="9">
        <v>4.5999999999999999E-2</v>
      </c>
      <c r="G397" s="9">
        <v>4.5999999999999999E-2</v>
      </c>
      <c r="H397" s="15">
        <f t="shared" si="12"/>
        <v>15800</v>
      </c>
    </row>
    <row r="398" spans="1:8" x14ac:dyDescent="0.25">
      <c r="A398" s="13">
        <v>44386</v>
      </c>
      <c r="B398" s="15" t="s">
        <v>21</v>
      </c>
      <c r="C398" s="3">
        <v>3</v>
      </c>
      <c r="D398" s="13">
        <v>44389</v>
      </c>
      <c r="E398" s="15">
        <v>1400</v>
      </c>
      <c r="F398" s="9">
        <v>4.4999999999999998E-2</v>
      </c>
      <c r="G398" s="9">
        <v>4.4999999999999998E-2</v>
      </c>
      <c r="H398" s="15">
        <f t="shared" si="12"/>
        <v>14700</v>
      </c>
    </row>
    <row r="399" spans="1:8" x14ac:dyDescent="0.25">
      <c r="A399" s="13">
        <v>44386</v>
      </c>
      <c r="B399" s="15" t="s">
        <v>21</v>
      </c>
      <c r="C399" s="3">
        <v>7</v>
      </c>
      <c r="D399" s="13">
        <v>44393</v>
      </c>
      <c r="E399" s="15">
        <v>2500</v>
      </c>
      <c r="F399" s="9">
        <v>4.5999999999999999E-2</v>
      </c>
      <c r="G399" s="9">
        <v>4.5999999999999999E-2</v>
      </c>
      <c r="H399" s="15">
        <f t="shared" si="12"/>
        <v>14700</v>
      </c>
    </row>
    <row r="400" spans="1:8" x14ac:dyDescent="0.25">
      <c r="A400" s="13">
        <v>44389</v>
      </c>
      <c r="B400" s="15" t="s">
        <v>21</v>
      </c>
      <c r="C400" s="3">
        <v>1</v>
      </c>
      <c r="D400" s="13">
        <v>44390</v>
      </c>
      <c r="E400" s="15">
        <v>300</v>
      </c>
      <c r="F400" s="9">
        <v>4.4999999999999998E-2</v>
      </c>
      <c r="G400" s="9">
        <v>4.4999999999999998E-2</v>
      </c>
      <c r="H400" s="15">
        <f t="shared" si="12"/>
        <v>12200</v>
      </c>
    </row>
    <row r="401" spans="1:8" x14ac:dyDescent="0.25">
      <c r="A401" s="13">
        <v>44389</v>
      </c>
      <c r="B401" s="15" t="s">
        <v>21</v>
      </c>
      <c r="C401" s="3">
        <v>2</v>
      </c>
      <c r="D401" s="13">
        <v>44391</v>
      </c>
      <c r="E401" s="15">
        <v>1000</v>
      </c>
      <c r="F401" s="9">
        <v>4.4999999999999998E-2</v>
      </c>
      <c r="G401" s="9">
        <v>4.4999999999999998E-2</v>
      </c>
      <c r="H401" s="15">
        <f t="shared" si="12"/>
        <v>12200</v>
      </c>
    </row>
    <row r="402" spans="1:8" x14ac:dyDescent="0.25">
      <c r="A402" s="13">
        <v>44389</v>
      </c>
      <c r="B402" s="15" t="s">
        <v>21</v>
      </c>
      <c r="C402" s="3">
        <v>3</v>
      </c>
      <c r="D402" s="13">
        <v>44392</v>
      </c>
      <c r="E402" s="15">
        <v>1000</v>
      </c>
      <c r="F402" s="9">
        <v>4.5499999999999999E-2</v>
      </c>
      <c r="G402" s="9">
        <v>4.5499999999999999E-2</v>
      </c>
      <c r="H402" s="15">
        <f t="shared" si="12"/>
        <v>12200</v>
      </c>
    </row>
    <row r="403" spans="1:8" x14ac:dyDescent="0.25">
      <c r="A403" s="13">
        <v>44389</v>
      </c>
      <c r="B403" s="15" t="s">
        <v>21</v>
      </c>
      <c r="C403" s="3">
        <v>7</v>
      </c>
      <c r="D403" s="13">
        <v>44396</v>
      </c>
      <c r="E403" s="15">
        <v>2200</v>
      </c>
      <c r="F403" s="9">
        <v>4.5999999999999999E-2</v>
      </c>
      <c r="G403" s="9">
        <v>4.5999999999999999E-2</v>
      </c>
      <c r="H403" s="15">
        <f t="shared" si="12"/>
        <v>12200</v>
      </c>
    </row>
    <row r="404" spans="1:8" x14ac:dyDescent="0.25">
      <c r="A404" s="13">
        <v>44390</v>
      </c>
      <c r="B404" s="15" t="s">
        <v>21</v>
      </c>
      <c r="C404" s="3">
        <v>1</v>
      </c>
      <c r="D404" s="13">
        <v>44391</v>
      </c>
      <c r="E404" s="15">
        <v>100</v>
      </c>
      <c r="F404" s="9">
        <v>4.4999999999999998E-2</v>
      </c>
      <c r="G404" s="9">
        <v>4.4999999999999998E-2</v>
      </c>
      <c r="H404" s="15">
        <f t="shared" si="12"/>
        <v>12000</v>
      </c>
    </row>
    <row r="405" spans="1:8" x14ac:dyDescent="0.25">
      <c r="A405" s="13">
        <v>44391</v>
      </c>
      <c r="B405" s="15" t="s">
        <v>21</v>
      </c>
      <c r="C405" s="3">
        <v>1</v>
      </c>
      <c r="D405" s="13">
        <v>44392</v>
      </c>
      <c r="E405" s="15">
        <v>100</v>
      </c>
      <c r="F405" s="9">
        <v>4.4999999999999998E-2</v>
      </c>
      <c r="G405" s="9">
        <v>4.4999999999999998E-2</v>
      </c>
      <c r="H405" s="15">
        <f t="shared" si="12"/>
        <v>11600</v>
      </c>
    </row>
    <row r="406" spans="1:8" x14ac:dyDescent="0.25">
      <c r="A406" s="13">
        <v>44391</v>
      </c>
      <c r="B406" s="15" t="s">
        <v>21</v>
      </c>
      <c r="C406" s="3">
        <v>2</v>
      </c>
      <c r="D406" s="13">
        <v>44393</v>
      </c>
      <c r="E406" s="15">
        <v>400</v>
      </c>
      <c r="F406" s="9">
        <v>4.5499999999999999E-2</v>
      </c>
      <c r="G406" s="9">
        <v>4.5499999999999999E-2</v>
      </c>
      <c r="H406" s="15">
        <f t="shared" si="12"/>
        <v>11600</v>
      </c>
    </row>
    <row r="407" spans="1:8" x14ac:dyDescent="0.25">
      <c r="A407" s="13">
        <v>44391</v>
      </c>
      <c r="B407" s="15" t="s">
        <v>21</v>
      </c>
      <c r="C407" s="3">
        <v>7</v>
      </c>
      <c r="D407" s="13">
        <v>44398</v>
      </c>
      <c r="E407" s="15">
        <v>3800</v>
      </c>
      <c r="F407" s="9">
        <v>4.5999999999999999E-2</v>
      </c>
      <c r="G407" s="9">
        <v>4.5999999999999999E-2</v>
      </c>
      <c r="H407" s="15">
        <f t="shared" si="12"/>
        <v>11600</v>
      </c>
    </row>
    <row r="408" spans="1:8" x14ac:dyDescent="0.25">
      <c r="A408" s="13">
        <v>44392</v>
      </c>
      <c r="B408" s="15" t="s">
        <v>21</v>
      </c>
      <c r="C408" s="3">
        <v>1</v>
      </c>
      <c r="D408" s="13">
        <v>44393</v>
      </c>
      <c r="E408" s="15">
        <v>150</v>
      </c>
      <c r="F408" s="9">
        <v>4.4999999999999998E-2</v>
      </c>
      <c r="G408" s="9">
        <v>4.4999999999999998E-2</v>
      </c>
      <c r="H408" s="15">
        <f t="shared" si="12"/>
        <v>16150</v>
      </c>
    </row>
    <row r="409" spans="1:8" x14ac:dyDescent="0.25">
      <c r="A409" s="13">
        <v>44392</v>
      </c>
      <c r="B409" s="15" t="s">
        <v>21</v>
      </c>
      <c r="C409" s="3">
        <v>4</v>
      </c>
      <c r="D409" s="13">
        <v>44396</v>
      </c>
      <c r="E409" s="15">
        <v>1900</v>
      </c>
      <c r="F409" s="9">
        <v>4.5499999999999999E-2</v>
      </c>
      <c r="G409" s="9">
        <v>4.5499999999999999E-2</v>
      </c>
      <c r="H409" s="15">
        <f t="shared" si="12"/>
        <v>16150</v>
      </c>
    </row>
    <row r="410" spans="1:8" x14ac:dyDescent="0.25">
      <c r="A410" s="13">
        <v>44392</v>
      </c>
      <c r="B410" s="15" t="s">
        <v>21</v>
      </c>
      <c r="C410" s="3">
        <v>7</v>
      </c>
      <c r="D410" s="13">
        <v>44399</v>
      </c>
      <c r="E410" s="15">
        <v>5200</v>
      </c>
      <c r="F410" s="9">
        <v>4.5999999999999999E-2</v>
      </c>
      <c r="G410" s="9">
        <v>4.5999999999999999E-2</v>
      </c>
      <c r="H410" s="15">
        <f t="shared" si="12"/>
        <v>16150</v>
      </c>
    </row>
    <row r="411" spans="1:8" x14ac:dyDescent="0.25">
      <c r="A411" s="13">
        <v>44393</v>
      </c>
      <c r="B411" s="15" t="s">
        <v>21</v>
      </c>
      <c r="C411" s="3">
        <v>3</v>
      </c>
      <c r="D411" s="13">
        <v>44396</v>
      </c>
      <c r="E411" s="15">
        <v>1450</v>
      </c>
      <c r="F411" s="9">
        <v>4.4499999999999998E-2</v>
      </c>
      <c r="G411" s="9">
        <v>4.4999999999999998E-2</v>
      </c>
      <c r="H411" s="15">
        <f t="shared" si="12"/>
        <v>23350</v>
      </c>
    </row>
    <row r="412" spans="1:8" x14ac:dyDescent="0.25">
      <c r="A412" s="13">
        <v>44393</v>
      </c>
      <c r="B412" s="15" t="s">
        <v>21</v>
      </c>
      <c r="C412" s="3">
        <v>4</v>
      </c>
      <c r="D412" s="13">
        <v>44397</v>
      </c>
      <c r="E412" s="15">
        <v>4300</v>
      </c>
      <c r="F412" s="9">
        <v>4.4999999999999998E-2</v>
      </c>
      <c r="G412" s="9">
        <v>4.4999999999999998E-2</v>
      </c>
      <c r="H412" s="15">
        <f t="shared" si="12"/>
        <v>23350</v>
      </c>
    </row>
    <row r="413" spans="1:8" x14ac:dyDescent="0.25">
      <c r="A413" s="13">
        <v>44393</v>
      </c>
      <c r="B413" s="15" t="s">
        <v>21</v>
      </c>
      <c r="C413" s="3">
        <v>7</v>
      </c>
      <c r="D413" s="13">
        <v>44400</v>
      </c>
      <c r="E413" s="15">
        <v>1500</v>
      </c>
      <c r="F413" s="9">
        <v>4.5499999999999999E-2</v>
      </c>
      <c r="G413" s="9">
        <v>4.5499999999999999E-2</v>
      </c>
      <c r="H413" s="15">
        <f t="shared" si="12"/>
        <v>23350</v>
      </c>
    </row>
    <row r="414" spans="1:8" x14ac:dyDescent="0.25">
      <c r="A414" s="13">
        <v>44393</v>
      </c>
      <c r="B414" s="15" t="s">
        <v>21</v>
      </c>
      <c r="C414" s="3">
        <v>12</v>
      </c>
      <c r="D414" s="13">
        <v>44405</v>
      </c>
      <c r="E414" s="15">
        <v>3000</v>
      </c>
      <c r="F414" s="9">
        <v>4.5999999999999999E-2</v>
      </c>
      <c r="G414" s="9">
        <v>4.5999999999999999E-2</v>
      </c>
      <c r="H414" s="15">
        <f t="shared" si="12"/>
        <v>23350</v>
      </c>
    </row>
    <row r="415" spans="1:8" x14ac:dyDescent="0.25">
      <c r="A415" s="13">
        <v>44396</v>
      </c>
      <c r="B415" s="15" t="s">
        <v>21</v>
      </c>
      <c r="C415" s="3">
        <v>1</v>
      </c>
      <c r="D415" s="13">
        <v>44397</v>
      </c>
      <c r="E415" s="15">
        <v>200</v>
      </c>
      <c r="F415" s="9">
        <v>4.4999999999999998E-2</v>
      </c>
      <c r="G415" s="9">
        <v>4.4999999999999998E-2</v>
      </c>
      <c r="H415" s="15">
        <f t="shared" si="12"/>
        <v>26300</v>
      </c>
    </row>
    <row r="416" spans="1:8" x14ac:dyDescent="0.25">
      <c r="A416" s="13">
        <v>44396</v>
      </c>
      <c r="B416" s="15" t="s">
        <v>21</v>
      </c>
      <c r="C416" s="3">
        <v>2</v>
      </c>
      <c r="D416" s="13">
        <v>44398</v>
      </c>
      <c r="E416" s="15">
        <v>2300</v>
      </c>
      <c r="F416" s="9">
        <v>4.4999999999999998E-2</v>
      </c>
      <c r="G416" s="9">
        <v>4.4999999999999998E-2</v>
      </c>
      <c r="H416" s="15">
        <f t="shared" si="12"/>
        <v>26300</v>
      </c>
    </row>
    <row r="417" spans="1:8" x14ac:dyDescent="0.25">
      <c r="A417" s="13">
        <v>44396</v>
      </c>
      <c r="B417" s="15" t="s">
        <v>21</v>
      </c>
      <c r="C417" s="3">
        <v>7</v>
      </c>
      <c r="D417" s="13">
        <v>44403</v>
      </c>
      <c r="E417" s="15">
        <v>1700</v>
      </c>
      <c r="F417" s="9">
        <v>4.5499999999999999E-2</v>
      </c>
      <c r="G417" s="9">
        <v>4.5499999999999999E-2</v>
      </c>
      <c r="H417" s="15">
        <f t="shared" si="12"/>
        <v>26300</v>
      </c>
    </row>
    <row r="418" spans="1:8" x14ac:dyDescent="0.25">
      <c r="A418" s="13">
        <v>44396</v>
      </c>
      <c r="B418" s="15" t="s">
        <v>21</v>
      </c>
      <c r="C418" s="3">
        <v>11</v>
      </c>
      <c r="D418" s="13">
        <v>44407</v>
      </c>
      <c r="E418" s="15">
        <v>4300</v>
      </c>
      <c r="F418" s="9">
        <v>4.65E-2</v>
      </c>
      <c r="G418" s="9">
        <v>4.65E-2</v>
      </c>
      <c r="H418" s="15">
        <f t="shared" si="12"/>
        <v>26300</v>
      </c>
    </row>
    <row r="419" spans="1:8" x14ac:dyDescent="0.25">
      <c r="A419" s="13">
        <v>44397</v>
      </c>
      <c r="B419" s="15" t="s">
        <v>21</v>
      </c>
      <c r="C419" s="3">
        <v>2</v>
      </c>
      <c r="D419" s="13">
        <v>44399</v>
      </c>
      <c r="E419" s="15">
        <v>2000</v>
      </c>
      <c r="F419" s="9">
        <v>4.4999999999999998E-2</v>
      </c>
      <c r="G419" s="9">
        <v>4.4999999999999998E-2</v>
      </c>
      <c r="H419" s="15">
        <f t="shared" si="12"/>
        <v>33400</v>
      </c>
    </row>
    <row r="420" spans="1:8" x14ac:dyDescent="0.25">
      <c r="A420" s="13">
        <v>44397</v>
      </c>
      <c r="B420" s="15" t="s">
        <v>21</v>
      </c>
      <c r="C420" s="3">
        <v>3</v>
      </c>
      <c r="D420" s="13">
        <v>44400</v>
      </c>
      <c r="E420" s="15">
        <v>4300</v>
      </c>
      <c r="F420" s="9">
        <v>4.4999999999999998E-2</v>
      </c>
      <c r="G420" s="9">
        <v>4.4999999999999998E-2</v>
      </c>
      <c r="H420" s="15">
        <f t="shared" si="12"/>
        <v>33400</v>
      </c>
    </row>
    <row r="421" spans="1:8" x14ac:dyDescent="0.25">
      <c r="A421" s="13">
        <v>44397</v>
      </c>
      <c r="B421" s="15" t="s">
        <v>21</v>
      </c>
      <c r="C421" s="3">
        <v>7</v>
      </c>
      <c r="D421" s="13">
        <v>44404</v>
      </c>
      <c r="E421" s="15">
        <v>3300</v>
      </c>
      <c r="F421" s="9">
        <v>4.5499999999999999E-2</v>
      </c>
      <c r="G421" s="9">
        <v>4.5499999999999999E-2</v>
      </c>
      <c r="H421" s="15">
        <f t="shared" si="12"/>
        <v>33400</v>
      </c>
    </row>
    <row r="422" spans="1:8" x14ac:dyDescent="0.25">
      <c r="A422" s="13">
        <v>44397</v>
      </c>
      <c r="B422" s="15" t="s">
        <v>21</v>
      </c>
      <c r="C422" s="3">
        <v>10</v>
      </c>
      <c r="D422" s="13">
        <v>44407</v>
      </c>
      <c r="E422" s="15">
        <v>2000</v>
      </c>
      <c r="F422" s="9">
        <v>4.65E-2</v>
      </c>
      <c r="G422" s="9">
        <v>4.65E-2</v>
      </c>
      <c r="H422" s="15">
        <f t="shared" si="12"/>
        <v>33400</v>
      </c>
    </row>
    <row r="423" spans="1:8" x14ac:dyDescent="0.25">
      <c r="A423" s="13">
        <v>44398</v>
      </c>
      <c r="B423" s="15" t="s">
        <v>21</v>
      </c>
      <c r="C423" s="3">
        <v>1</v>
      </c>
      <c r="D423" s="13">
        <v>44399</v>
      </c>
      <c r="E423" s="15">
        <v>200</v>
      </c>
      <c r="F423" s="9">
        <v>4.4999999999999998E-2</v>
      </c>
      <c r="G423" s="9">
        <v>4.4999999999999998E-2</v>
      </c>
      <c r="H423" s="15">
        <f t="shared" si="12"/>
        <v>31520</v>
      </c>
    </row>
    <row r="424" spans="1:8" x14ac:dyDescent="0.25">
      <c r="A424" s="13">
        <v>44398</v>
      </c>
      <c r="B424" s="15" t="s">
        <v>21</v>
      </c>
      <c r="C424" s="3">
        <v>2</v>
      </c>
      <c r="D424" s="13">
        <v>44400</v>
      </c>
      <c r="E424" s="15">
        <v>2700</v>
      </c>
      <c r="F424" s="9">
        <v>4.4999999999999998E-2</v>
      </c>
      <c r="G424" s="9">
        <v>4.4999999999999998E-2</v>
      </c>
      <c r="H424" s="15">
        <f t="shared" si="12"/>
        <v>31520</v>
      </c>
    </row>
    <row r="425" spans="1:8" x14ac:dyDescent="0.25">
      <c r="A425" s="13">
        <v>44398</v>
      </c>
      <c r="B425" s="15" t="s">
        <v>21</v>
      </c>
      <c r="C425" s="3">
        <v>7</v>
      </c>
      <c r="D425" s="13">
        <v>44405</v>
      </c>
      <c r="E425" s="15">
        <v>1300</v>
      </c>
      <c r="F425" s="9">
        <v>4.5499999999999999E-2</v>
      </c>
      <c r="G425" s="9">
        <v>4.5499999999999999E-2</v>
      </c>
      <c r="H425" s="15">
        <f t="shared" si="12"/>
        <v>31520</v>
      </c>
    </row>
    <row r="426" spans="1:8" x14ac:dyDescent="0.25">
      <c r="A426" s="13">
        <v>44398</v>
      </c>
      <c r="B426" s="15" t="s">
        <v>21</v>
      </c>
      <c r="C426" s="3">
        <v>9</v>
      </c>
      <c r="D426" s="13">
        <v>44407</v>
      </c>
      <c r="E426" s="15">
        <v>20</v>
      </c>
      <c r="F426" s="9">
        <v>4.5999999999999999E-2</v>
      </c>
      <c r="G426" s="9">
        <v>4.5999999999999999E-2</v>
      </c>
      <c r="H426" s="15">
        <f t="shared" si="12"/>
        <v>31520</v>
      </c>
    </row>
    <row r="427" spans="1:8" x14ac:dyDescent="0.25">
      <c r="A427" s="13">
        <v>44399</v>
      </c>
      <c r="B427" s="15" t="s">
        <v>21</v>
      </c>
      <c r="C427" s="3">
        <v>1</v>
      </c>
      <c r="D427" s="13">
        <v>44400</v>
      </c>
      <c r="E427" s="15">
        <v>100</v>
      </c>
      <c r="F427" s="9">
        <v>0.04</v>
      </c>
      <c r="G427" s="9">
        <v>0.04</v>
      </c>
      <c r="H427" s="15">
        <f t="shared" si="12"/>
        <v>32520</v>
      </c>
    </row>
    <row r="428" spans="1:8" x14ac:dyDescent="0.25">
      <c r="A428" s="13">
        <v>44399</v>
      </c>
      <c r="B428" s="15" t="s">
        <v>21</v>
      </c>
      <c r="C428" s="3">
        <v>4</v>
      </c>
      <c r="D428" s="13">
        <v>44403</v>
      </c>
      <c r="E428" s="15">
        <v>6600</v>
      </c>
      <c r="F428" s="9">
        <v>4.4999999999999998E-2</v>
      </c>
      <c r="G428" s="9">
        <v>4.5499999999999999E-2</v>
      </c>
      <c r="H428" s="15">
        <f t="shared" si="12"/>
        <v>32520</v>
      </c>
    </row>
    <row r="429" spans="1:8" x14ac:dyDescent="0.25">
      <c r="A429" s="13">
        <v>44399</v>
      </c>
      <c r="B429" s="15" t="s">
        <v>21</v>
      </c>
      <c r="C429" s="3">
        <v>6</v>
      </c>
      <c r="D429" s="13">
        <v>44405</v>
      </c>
      <c r="E429" s="15">
        <v>1200</v>
      </c>
      <c r="F429" s="9">
        <v>4.5499999999999999E-2</v>
      </c>
      <c r="G429" s="9">
        <v>4.5499999999999999E-2</v>
      </c>
      <c r="H429" s="15">
        <f t="shared" si="12"/>
        <v>32520</v>
      </c>
    </row>
    <row r="430" spans="1:8" x14ac:dyDescent="0.25">
      <c r="A430" s="13">
        <v>44399</v>
      </c>
      <c r="B430" s="15" t="s">
        <v>21</v>
      </c>
      <c r="C430" s="3">
        <v>8</v>
      </c>
      <c r="D430" s="13">
        <v>44407</v>
      </c>
      <c r="E430" s="15">
        <v>500</v>
      </c>
      <c r="F430" s="9">
        <v>4.5999999999999999E-2</v>
      </c>
      <c r="G430" s="9">
        <v>4.5999999999999999E-2</v>
      </c>
      <c r="H430" s="15">
        <f t="shared" si="12"/>
        <v>32520</v>
      </c>
    </row>
    <row r="431" spans="1:8" x14ac:dyDescent="0.25">
      <c r="A431" s="13">
        <v>44400</v>
      </c>
      <c r="B431" s="15" t="s">
        <v>21</v>
      </c>
      <c r="C431" s="3">
        <v>3</v>
      </c>
      <c r="D431" s="13">
        <v>44403</v>
      </c>
      <c r="E431" s="15">
        <v>200</v>
      </c>
      <c r="F431" s="9">
        <v>4.4999999999999998E-2</v>
      </c>
      <c r="G431" s="9">
        <v>4.4999999999999998E-2</v>
      </c>
      <c r="H431" s="15">
        <f t="shared" si="12"/>
        <v>28120</v>
      </c>
    </row>
    <row r="432" spans="1:8" x14ac:dyDescent="0.25">
      <c r="A432" s="13">
        <v>44400</v>
      </c>
      <c r="B432" s="15" t="s">
        <v>21</v>
      </c>
      <c r="C432" s="3">
        <v>4</v>
      </c>
      <c r="D432" s="13">
        <v>44404</v>
      </c>
      <c r="E432" s="15">
        <v>4000</v>
      </c>
      <c r="F432" s="9">
        <v>4.5499999999999999E-2</v>
      </c>
      <c r="G432" s="9">
        <v>4.5499999999999999E-2</v>
      </c>
      <c r="H432" s="15">
        <f t="shared" si="12"/>
        <v>28120</v>
      </c>
    </row>
    <row r="433" spans="1:8" x14ac:dyDescent="0.25">
      <c r="A433" s="13">
        <v>44403</v>
      </c>
      <c r="B433" s="15" t="s">
        <v>21</v>
      </c>
      <c r="C433" s="3">
        <v>1</v>
      </c>
      <c r="D433" s="13">
        <v>44404</v>
      </c>
      <c r="E433" s="15">
        <v>200</v>
      </c>
      <c r="F433" s="9">
        <v>4.4999999999999998E-2</v>
      </c>
      <c r="G433" s="9">
        <v>4.4999999999999998E-2</v>
      </c>
      <c r="H433" s="15">
        <f t="shared" si="12"/>
        <v>23420</v>
      </c>
    </row>
    <row r="434" spans="1:8" x14ac:dyDescent="0.25">
      <c r="A434" s="13">
        <v>44403</v>
      </c>
      <c r="B434" s="15" t="s">
        <v>21</v>
      </c>
      <c r="C434" s="3">
        <v>2</v>
      </c>
      <c r="D434" s="13">
        <v>44405</v>
      </c>
      <c r="E434" s="15">
        <v>1900</v>
      </c>
      <c r="F434" s="9">
        <v>4.4999999999999998E-2</v>
      </c>
      <c r="G434" s="9">
        <v>4.4999999999999998E-2</v>
      </c>
      <c r="H434" s="15">
        <f t="shared" si="12"/>
        <v>23420</v>
      </c>
    </row>
    <row r="435" spans="1:8" x14ac:dyDescent="0.25">
      <c r="A435" s="13">
        <v>44403</v>
      </c>
      <c r="B435" s="15" t="s">
        <v>21</v>
      </c>
      <c r="C435" s="3">
        <v>4</v>
      </c>
      <c r="D435" s="13">
        <v>44407</v>
      </c>
      <c r="E435" s="15">
        <v>1700</v>
      </c>
      <c r="F435" s="9">
        <v>4.5499999999999999E-2</v>
      </c>
      <c r="G435" s="9">
        <v>4.5499999999999999E-2</v>
      </c>
      <c r="H435" s="15">
        <f t="shared" si="12"/>
        <v>23420</v>
      </c>
    </row>
    <row r="436" spans="1:8" x14ac:dyDescent="0.25">
      <c r="A436" s="13">
        <v>44404</v>
      </c>
      <c r="B436" s="15" t="s">
        <v>21</v>
      </c>
      <c r="C436" s="3">
        <v>1</v>
      </c>
      <c r="D436" s="13">
        <v>44405</v>
      </c>
      <c r="E436" s="15">
        <v>400</v>
      </c>
      <c r="F436" s="9">
        <v>4.4499999999999998E-2</v>
      </c>
      <c r="G436" s="9">
        <v>4.4999999999999998E-2</v>
      </c>
      <c r="H436" s="15">
        <f t="shared" si="12"/>
        <v>23320</v>
      </c>
    </row>
    <row r="437" spans="1:8" x14ac:dyDescent="0.25">
      <c r="A437" s="13">
        <v>44404</v>
      </c>
      <c r="B437" s="15" t="s">
        <v>21</v>
      </c>
      <c r="C437" s="3">
        <v>2</v>
      </c>
      <c r="D437" s="13">
        <v>44406</v>
      </c>
      <c r="E437" s="15">
        <v>4600</v>
      </c>
      <c r="F437" s="9">
        <v>4.4999999999999998E-2</v>
      </c>
      <c r="G437" s="9">
        <v>4.4999999999999998E-2</v>
      </c>
      <c r="H437" s="15">
        <f t="shared" si="12"/>
        <v>23320</v>
      </c>
    </row>
    <row r="438" spans="1:8" x14ac:dyDescent="0.25">
      <c r="A438" s="13">
        <v>44404</v>
      </c>
      <c r="B438" s="15" t="s">
        <v>21</v>
      </c>
      <c r="C438" s="3">
        <v>3</v>
      </c>
      <c r="D438" s="13">
        <v>44407</v>
      </c>
      <c r="E438" s="15">
        <v>2400</v>
      </c>
      <c r="F438" s="9">
        <v>4.5499999999999999E-2</v>
      </c>
      <c r="G438" s="9">
        <v>4.5499999999999999E-2</v>
      </c>
      <c r="H438" s="15">
        <f t="shared" si="12"/>
        <v>23320</v>
      </c>
    </row>
    <row r="439" spans="1:8" x14ac:dyDescent="0.25">
      <c r="A439" s="13">
        <v>44405</v>
      </c>
      <c r="B439" s="15" t="s">
        <v>21</v>
      </c>
      <c r="C439" s="3">
        <v>1</v>
      </c>
      <c r="D439" s="13">
        <v>44406</v>
      </c>
      <c r="E439" s="15">
        <v>400</v>
      </c>
      <c r="F439" s="9">
        <v>4.4999999999999998E-2</v>
      </c>
      <c r="G439" s="9">
        <v>4.4999999999999998E-2</v>
      </c>
      <c r="H439" s="15">
        <f t="shared" si="12"/>
        <v>20320</v>
      </c>
    </row>
    <row r="440" spans="1:8" x14ac:dyDescent="0.25">
      <c r="A440" s="13">
        <v>44405</v>
      </c>
      <c r="B440" s="15" t="s">
        <v>21</v>
      </c>
      <c r="C440" s="3">
        <v>2</v>
      </c>
      <c r="D440" s="13">
        <v>44407</v>
      </c>
      <c r="E440" s="15">
        <v>4400</v>
      </c>
      <c r="F440" s="9">
        <v>4.4999999999999998E-2</v>
      </c>
      <c r="G440" s="9">
        <v>4.4999999999999998E-2</v>
      </c>
      <c r="H440" s="15">
        <f t="shared" si="12"/>
        <v>20320</v>
      </c>
    </row>
    <row r="441" spans="1:8" x14ac:dyDescent="0.25">
      <c r="A441" s="13">
        <v>44406</v>
      </c>
      <c r="B441" s="15" t="s">
        <v>21</v>
      </c>
      <c r="C441" s="3">
        <v>1</v>
      </c>
      <c r="D441" s="13">
        <v>44407</v>
      </c>
      <c r="E441" s="15">
        <v>700</v>
      </c>
      <c r="F441" s="9">
        <v>4.4999999999999998E-2</v>
      </c>
      <c r="G441" s="9">
        <v>4.4999999999999998E-2</v>
      </c>
      <c r="H441" s="15">
        <f t="shared" si="12"/>
        <v>19020</v>
      </c>
    </row>
    <row r="442" spans="1:8" x14ac:dyDescent="0.25">
      <c r="A442" s="13">
        <v>44406</v>
      </c>
      <c r="B442" s="15" t="s">
        <v>21</v>
      </c>
      <c r="C442" s="3">
        <v>4</v>
      </c>
      <c r="D442" s="13">
        <v>44410</v>
      </c>
      <c r="E442" s="15">
        <v>3000</v>
      </c>
      <c r="F442" s="9">
        <v>4.5499999999999999E-2</v>
      </c>
      <c r="G442" s="9">
        <v>4.5499999999999999E-2</v>
      </c>
      <c r="H442" s="15">
        <f t="shared" si="12"/>
        <v>19020</v>
      </c>
    </row>
    <row r="443" spans="1:8" x14ac:dyDescent="0.25">
      <c r="A443" s="13">
        <v>44407</v>
      </c>
      <c r="B443" s="15" t="s">
        <v>21</v>
      </c>
      <c r="C443" s="3">
        <v>3</v>
      </c>
      <c r="D443" s="13">
        <v>44410</v>
      </c>
      <c r="E443" s="15">
        <v>2600</v>
      </c>
      <c r="F443" s="9">
        <v>4.3999999999999997E-2</v>
      </c>
      <c r="G443" s="9">
        <v>4.4999999999999998E-2</v>
      </c>
      <c r="H443" s="15">
        <f t="shared" si="12"/>
        <v>6650</v>
      </c>
    </row>
    <row r="444" spans="1:8" x14ac:dyDescent="0.25">
      <c r="A444" s="13">
        <v>44407</v>
      </c>
      <c r="B444" s="15" t="s">
        <v>21</v>
      </c>
      <c r="C444" s="3">
        <v>4</v>
      </c>
      <c r="D444" s="13">
        <v>44411</v>
      </c>
      <c r="E444" s="15">
        <v>1050</v>
      </c>
      <c r="F444" s="9">
        <v>4.4999999999999998E-2</v>
      </c>
      <c r="G444" s="9">
        <v>4.4999999999999998E-2</v>
      </c>
      <c r="H444" s="15">
        <f t="shared" si="12"/>
        <v>6650</v>
      </c>
    </row>
    <row r="445" spans="1:8" x14ac:dyDescent="0.25">
      <c r="A445" s="13">
        <v>44413</v>
      </c>
      <c r="B445" s="15" t="s">
        <v>21</v>
      </c>
      <c r="C445" s="3">
        <v>4</v>
      </c>
      <c r="D445" s="13">
        <f>+A445+C445</f>
        <v>44417</v>
      </c>
      <c r="E445" s="15">
        <v>2500</v>
      </c>
      <c r="F445" s="9">
        <v>4.4999999999999998E-2</v>
      </c>
      <c r="G445" s="9">
        <v>4.4999999999999998E-2</v>
      </c>
      <c r="H445" s="15">
        <f t="shared" si="12"/>
        <v>4530</v>
      </c>
    </row>
    <row r="446" spans="1:8" x14ac:dyDescent="0.25">
      <c r="A446" s="13">
        <v>44413</v>
      </c>
      <c r="B446" s="15" t="s">
        <v>21</v>
      </c>
      <c r="C446" s="3">
        <v>8</v>
      </c>
      <c r="D446" s="13">
        <f>+A446+C446</f>
        <v>44421</v>
      </c>
      <c r="E446" s="15">
        <v>2030</v>
      </c>
      <c r="F446" s="9">
        <v>4.5499999999999999E-2</v>
      </c>
      <c r="G446" s="9">
        <v>4.5499999999999999E-2</v>
      </c>
      <c r="H446" s="15">
        <f t="shared" si="12"/>
        <v>4530</v>
      </c>
    </row>
    <row r="447" spans="1:8" x14ac:dyDescent="0.25">
      <c r="A447" s="13">
        <v>44414</v>
      </c>
      <c r="B447" s="15" t="s">
        <v>21</v>
      </c>
      <c r="C447" s="3">
        <v>3</v>
      </c>
      <c r="D447" s="13">
        <f t="shared" ref="D447:D510" si="13">+A447+C447</f>
        <v>44417</v>
      </c>
      <c r="E447" s="15">
        <v>200</v>
      </c>
      <c r="F447" s="9">
        <v>4.4999999999999998E-2</v>
      </c>
      <c r="G447" s="9">
        <v>4.4999999999999998E-2</v>
      </c>
      <c r="H447" s="15">
        <f t="shared" si="12"/>
        <v>7130</v>
      </c>
    </row>
    <row r="448" spans="1:8" x14ac:dyDescent="0.25">
      <c r="A448" s="13">
        <v>44414</v>
      </c>
      <c r="B448" s="15" t="s">
        <v>21</v>
      </c>
      <c r="C448" s="3">
        <v>4</v>
      </c>
      <c r="D448" s="13">
        <f t="shared" si="13"/>
        <v>44418</v>
      </c>
      <c r="E448" s="15">
        <v>1400</v>
      </c>
      <c r="F448" s="9">
        <v>4.4999999999999998E-2</v>
      </c>
      <c r="G448" s="9">
        <v>4.4999999999999998E-2</v>
      </c>
      <c r="H448" s="15">
        <f t="shared" si="12"/>
        <v>7130</v>
      </c>
    </row>
    <row r="449" spans="1:8" x14ac:dyDescent="0.25">
      <c r="A449" s="13">
        <v>44414</v>
      </c>
      <c r="B449" s="15" t="s">
        <v>21</v>
      </c>
      <c r="C449" s="3">
        <v>7</v>
      </c>
      <c r="D449" s="13">
        <f t="shared" si="13"/>
        <v>44421</v>
      </c>
      <c r="E449" s="15">
        <v>1000</v>
      </c>
      <c r="F449" s="9">
        <v>4.5499999999999999E-2</v>
      </c>
      <c r="G449" s="9">
        <v>4.5499999999999999E-2</v>
      </c>
      <c r="H449" s="15">
        <f t="shared" si="12"/>
        <v>7130</v>
      </c>
    </row>
    <row r="450" spans="1:8" x14ac:dyDescent="0.25">
      <c r="A450" s="13">
        <v>44417</v>
      </c>
      <c r="B450" s="15" t="s">
        <v>21</v>
      </c>
      <c r="C450" s="3">
        <v>2</v>
      </c>
      <c r="D450" s="13">
        <f t="shared" si="13"/>
        <v>44419</v>
      </c>
      <c r="E450" s="15">
        <v>950</v>
      </c>
      <c r="F450" s="9">
        <v>4.4999999999999998E-2</v>
      </c>
      <c r="G450" s="9">
        <v>4.4999999999999998E-2</v>
      </c>
      <c r="H450" s="15">
        <f t="shared" si="12"/>
        <v>6380</v>
      </c>
    </row>
    <row r="451" spans="1:8" x14ac:dyDescent="0.25">
      <c r="A451" s="13">
        <v>44417</v>
      </c>
      <c r="B451" s="15" t="s">
        <v>21</v>
      </c>
      <c r="C451" s="3">
        <v>7</v>
      </c>
      <c r="D451" s="13">
        <f t="shared" si="13"/>
        <v>44424</v>
      </c>
      <c r="E451" s="15">
        <v>1000</v>
      </c>
      <c r="F451" s="9">
        <v>4.5499999999999999E-2</v>
      </c>
      <c r="G451" s="9">
        <v>4.5499999999999999E-2</v>
      </c>
      <c r="H451" s="15">
        <f t="shared" si="12"/>
        <v>6380</v>
      </c>
    </row>
    <row r="452" spans="1:8" x14ac:dyDescent="0.25">
      <c r="A452" s="13">
        <v>44418</v>
      </c>
      <c r="B452" s="15" t="s">
        <v>21</v>
      </c>
      <c r="C452" s="3">
        <v>1</v>
      </c>
      <c r="D452" s="13">
        <f t="shared" si="13"/>
        <v>44419</v>
      </c>
      <c r="E452" s="15">
        <v>600</v>
      </c>
      <c r="F452" s="9">
        <v>4.4999999999999998E-2</v>
      </c>
      <c r="G452" s="9">
        <v>4.4999999999999998E-2</v>
      </c>
      <c r="H452" s="15">
        <f t="shared" si="12"/>
        <v>7880</v>
      </c>
    </row>
    <row r="453" spans="1:8" x14ac:dyDescent="0.25">
      <c r="A453" s="13">
        <v>44418</v>
      </c>
      <c r="B453" s="15" t="s">
        <v>21</v>
      </c>
      <c r="C453" s="3">
        <v>2</v>
      </c>
      <c r="D453" s="13">
        <f t="shared" si="13"/>
        <v>44420</v>
      </c>
      <c r="E453" s="15">
        <v>1300</v>
      </c>
      <c r="F453" s="9">
        <v>4.4999999999999998E-2</v>
      </c>
      <c r="G453" s="9">
        <v>4.4999999999999998E-2</v>
      </c>
      <c r="H453" s="15">
        <f t="shared" si="12"/>
        <v>7880</v>
      </c>
    </row>
    <row r="454" spans="1:8" x14ac:dyDescent="0.25">
      <c r="A454" s="13">
        <v>44418</v>
      </c>
      <c r="B454" s="15" t="s">
        <v>21</v>
      </c>
      <c r="C454" s="3">
        <v>7</v>
      </c>
      <c r="D454" s="13">
        <f t="shared" si="13"/>
        <v>44425</v>
      </c>
      <c r="E454" s="15">
        <v>1000</v>
      </c>
      <c r="F454" s="9">
        <v>4.5499999999999999E-2</v>
      </c>
      <c r="G454" s="9">
        <v>4.5499999999999999E-2</v>
      </c>
      <c r="H454" s="15">
        <f t="shared" si="12"/>
        <v>7880</v>
      </c>
    </row>
    <row r="455" spans="1:8" x14ac:dyDescent="0.25">
      <c r="A455" s="13">
        <v>44419</v>
      </c>
      <c r="B455" s="15" t="s">
        <v>21</v>
      </c>
      <c r="C455" s="3">
        <v>2</v>
      </c>
      <c r="D455" s="13">
        <f t="shared" si="13"/>
        <v>44421</v>
      </c>
      <c r="E455" s="15">
        <v>600</v>
      </c>
      <c r="F455" s="9">
        <v>4.4999999999999998E-2</v>
      </c>
      <c r="G455" s="9">
        <v>4.4999999999999998E-2</v>
      </c>
      <c r="H455" s="15">
        <f t="shared" si="12"/>
        <v>7430</v>
      </c>
    </row>
    <row r="456" spans="1:8" x14ac:dyDescent="0.25">
      <c r="A456" s="13">
        <v>44419</v>
      </c>
      <c r="B456" s="15" t="s">
        <v>21</v>
      </c>
      <c r="C456" s="3">
        <v>7</v>
      </c>
      <c r="D456" s="13">
        <f t="shared" si="13"/>
        <v>44426</v>
      </c>
      <c r="E456" s="15">
        <v>500</v>
      </c>
      <c r="F456" s="9">
        <v>4.5499999999999999E-2</v>
      </c>
      <c r="G456" s="9">
        <v>4.5499999999999999E-2</v>
      </c>
      <c r="H456" s="15">
        <f t="shared" si="12"/>
        <v>7430</v>
      </c>
    </row>
    <row r="457" spans="1:8" x14ac:dyDescent="0.25">
      <c r="A457" s="13">
        <v>44420</v>
      </c>
      <c r="B457" s="15" t="s">
        <v>21</v>
      </c>
      <c r="C457" s="3">
        <v>1</v>
      </c>
      <c r="D457" s="13">
        <f t="shared" si="13"/>
        <v>44421</v>
      </c>
      <c r="E457" s="15">
        <v>700</v>
      </c>
      <c r="F457" s="9">
        <v>0.05</v>
      </c>
      <c r="G457" s="9">
        <v>0.05</v>
      </c>
      <c r="H457" s="15">
        <f t="shared" si="12"/>
        <v>11630</v>
      </c>
    </row>
    <row r="458" spans="1:8" x14ac:dyDescent="0.25">
      <c r="A458" s="13">
        <v>44420</v>
      </c>
      <c r="B458" s="15" t="s">
        <v>21</v>
      </c>
      <c r="C458" s="3">
        <v>4</v>
      </c>
      <c r="D458" s="13">
        <f t="shared" si="13"/>
        <v>44424</v>
      </c>
      <c r="E458" s="15">
        <v>2500</v>
      </c>
      <c r="F458" s="9">
        <v>0.05</v>
      </c>
      <c r="G458" s="9">
        <v>0.05</v>
      </c>
      <c r="H458" s="15">
        <f t="shared" ref="H458:H521" si="14">+SUMIFS($E$10:$E$4503,$A$10:$A$4503,"&lt;="&amp;A458,$D$10:$D$4503,"&gt;"&amp;A458)</f>
        <v>11630</v>
      </c>
    </row>
    <row r="459" spans="1:8" x14ac:dyDescent="0.25">
      <c r="A459" s="13">
        <v>44420</v>
      </c>
      <c r="B459" s="15" t="s">
        <v>21</v>
      </c>
      <c r="C459" s="3">
        <v>7</v>
      </c>
      <c r="D459" s="13">
        <f t="shared" si="13"/>
        <v>44427</v>
      </c>
      <c r="E459" s="15">
        <v>1200</v>
      </c>
      <c r="F459" s="9">
        <v>5.0500000000000003E-2</v>
      </c>
      <c r="G459" s="9">
        <v>5.0500000000000003E-2</v>
      </c>
      <c r="H459" s="15">
        <f t="shared" si="14"/>
        <v>11630</v>
      </c>
    </row>
    <row r="460" spans="1:8" x14ac:dyDescent="0.25">
      <c r="A460" s="13">
        <v>44420</v>
      </c>
      <c r="B460" s="15" t="s">
        <v>21</v>
      </c>
      <c r="C460" s="3">
        <v>11</v>
      </c>
      <c r="D460" s="13">
        <f t="shared" si="13"/>
        <v>44431</v>
      </c>
      <c r="E460" s="15">
        <v>1100</v>
      </c>
      <c r="F460" s="9">
        <v>5.0999999999999997E-2</v>
      </c>
      <c r="G460" s="9">
        <v>5.0999999999999997E-2</v>
      </c>
      <c r="H460" s="15">
        <f t="shared" si="14"/>
        <v>11630</v>
      </c>
    </row>
    <row r="461" spans="1:8" x14ac:dyDescent="0.25">
      <c r="A461" s="13">
        <v>44421</v>
      </c>
      <c r="B461" s="15" t="s">
        <v>21</v>
      </c>
      <c r="C461" s="3">
        <v>3</v>
      </c>
      <c r="D461" s="13">
        <f t="shared" si="13"/>
        <v>44424</v>
      </c>
      <c r="E461" s="15">
        <v>500</v>
      </c>
      <c r="F461" s="9">
        <v>0.05</v>
      </c>
      <c r="G461" s="9">
        <v>0.05</v>
      </c>
      <c r="H461" s="15">
        <f t="shared" si="14"/>
        <v>12250</v>
      </c>
    </row>
    <row r="462" spans="1:8" x14ac:dyDescent="0.25">
      <c r="A462" s="13">
        <v>44421</v>
      </c>
      <c r="B462" s="15" t="s">
        <v>21</v>
      </c>
      <c r="C462" s="3">
        <v>4</v>
      </c>
      <c r="D462" s="13">
        <f t="shared" si="13"/>
        <v>44425</v>
      </c>
      <c r="E462" s="15">
        <v>2850</v>
      </c>
      <c r="F462" s="9">
        <v>0.05</v>
      </c>
      <c r="G462" s="9">
        <v>0.05</v>
      </c>
      <c r="H462" s="15">
        <f t="shared" si="14"/>
        <v>12250</v>
      </c>
    </row>
    <row r="463" spans="1:8" x14ac:dyDescent="0.25">
      <c r="A463" s="13">
        <v>44421</v>
      </c>
      <c r="B463" s="15" t="s">
        <v>21</v>
      </c>
      <c r="C463" s="3">
        <v>5</v>
      </c>
      <c r="D463" s="13">
        <f t="shared" si="13"/>
        <v>44426</v>
      </c>
      <c r="E463" s="15">
        <v>1100</v>
      </c>
      <c r="F463" s="9">
        <v>0.05</v>
      </c>
      <c r="G463" s="9">
        <v>0.05</v>
      </c>
      <c r="H463" s="15">
        <f t="shared" si="14"/>
        <v>12250</v>
      </c>
    </row>
    <row r="464" spans="1:8" x14ac:dyDescent="0.25">
      <c r="A464" s="13">
        <v>44421</v>
      </c>
      <c r="B464" s="15" t="s">
        <v>21</v>
      </c>
      <c r="C464" s="3">
        <v>7</v>
      </c>
      <c r="D464" s="13">
        <f t="shared" si="13"/>
        <v>44428</v>
      </c>
      <c r="E464" s="15">
        <v>500</v>
      </c>
      <c r="F464" s="9">
        <v>5.0500000000000003E-2</v>
      </c>
      <c r="G464" s="9">
        <v>5.0500000000000003E-2</v>
      </c>
      <c r="H464" s="15">
        <f t="shared" si="14"/>
        <v>12250</v>
      </c>
    </row>
    <row r="465" spans="1:8" x14ac:dyDescent="0.25">
      <c r="A465" s="13">
        <v>44424</v>
      </c>
      <c r="B465" s="15" t="s">
        <v>21</v>
      </c>
      <c r="C465" s="3">
        <v>1</v>
      </c>
      <c r="D465" s="13">
        <f t="shared" si="13"/>
        <v>44425</v>
      </c>
      <c r="E465" s="15">
        <v>600</v>
      </c>
      <c r="F465" s="9">
        <v>0.05</v>
      </c>
      <c r="G465" s="9">
        <v>0.05</v>
      </c>
      <c r="H465" s="15">
        <f t="shared" si="14"/>
        <v>14500</v>
      </c>
    </row>
    <row r="466" spans="1:8" x14ac:dyDescent="0.25">
      <c r="A466" s="13">
        <v>44424</v>
      </c>
      <c r="B466" s="15" t="s">
        <v>21</v>
      </c>
      <c r="C466" s="3">
        <v>2</v>
      </c>
      <c r="D466" s="13">
        <f t="shared" si="13"/>
        <v>44426</v>
      </c>
      <c r="E466" s="15">
        <v>2000</v>
      </c>
      <c r="F466" s="9">
        <v>0.05</v>
      </c>
      <c r="G466" s="9">
        <v>0.05</v>
      </c>
      <c r="H466" s="15">
        <f t="shared" si="14"/>
        <v>14500</v>
      </c>
    </row>
    <row r="467" spans="1:8" x14ac:dyDescent="0.25">
      <c r="A467" s="13">
        <v>44424</v>
      </c>
      <c r="B467" s="15" t="s">
        <v>21</v>
      </c>
      <c r="C467" s="3">
        <v>4</v>
      </c>
      <c r="D467" s="13">
        <f t="shared" si="13"/>
        <v>44428</v>
      </c>
      <c r="E467" s="15">
        <v>2000</v>
      </c>
      <c r="F467" s="9">
        <v>0.05</v>
      </c>
      <c r="G467" s="9">
        <v>0.05</v>
      </c>
      <c r="H467" s="15">
        <f t="shared" si="14"/>
        <v>14500</v>
      </c>
    </row>
    <row r="468" spans="1:8" x14ac:dyDescent="0.25">
      <c r="A468" s="13">
        <v>44424</v>
      </c>
      <c r="B468" s="15" t="s">
        <v>21</v>
      </c>
      <c r="C468" s="3">
        <v>7</v>
      </c>
      <c r="D468" s="13">
        <f t="shared" si="13"/>
        <v>44431</v>
      </c>
      <c r="E468" s="15">
        <v>1650</v>
      </c>
      <c r="F468" s="9">
        <v>5.0500000000000003E-2</v>
      </c>
      <c r="G468" s="9">
        <v>5.0500000000000003E-2</v>
      </c>
      <c r="H468" s="15">
        <f t="shared" si="14"/>
        <v>14500</v>
      </c>
    </row>
    <row r="469" spans="1:8" x14ac:dyDescent="0.25">
      <c r="A469" s="13">
        <v>44425</v>
      </c>
      <c r="B469" s="15" t="s">
        <v>21</v>
      </c>
      <c r="C469" s="3">
        <v>1</v>
      </c>
      <c r="D469" s="13">
        <f t="shared" si="13"/>
        <v>44426</v>
      </c>
      <c r="E469" s="15">
        <v>1050</v>
      </c>
      <c r="F469" s="9">
        <v>4.9500000000000002E-2</v>
      </c>
      <c r="G469" s="9">
        <v>0.05</v>
      </c>
      <c r="H469" s="15">
        <f t="shared" si="14"/>
        <v>14800</v>
      </c>
    </row>
    <row r="470" spans="1:8" x14ac:dyDescent="0.25">
      <c r="A470" s="13">
        <v>44425</v>
      </c>
      <c r="B470" s="15" t="s">
        <v>21</v>
      </c>
      <c r="C470" s="3">
        <v>2</v>
      </c>
      <c r="D470" s="13">
        <f t="shared" si="13"/>
        <v>44427</v>
      </c>
      <c r="E470" s="15">
        <v>1800</v>
      </c>
      <c r="F470" s="9">
        <v>0.05</v>
      </c>
      <c r="G470" s="9">
        <v>0.05</v>
      </c>
      <c r="H470" s="15">
        <f t="shared" si="14"/>
        <v>14800</v>
      </c>
    </row>
    <row r="471" spans="1:8" x14ac:dyDescent="0.25">
      <c r="A471" s="13">
        <v>44425</v>
      </c>
      <c r="B471" s="15" t="s">
        <v>21</v>
      </c>
      <c r="C471" s="3">
        <v>3</v>
      </c>
      <c r="D471" s="13">
        <f t="shared" si="13"/>
        <v>44428</v>
      </c>
      <c r="E471" s="15">
        <v>1400</v>
      </c>
      <c r="F471" s="9">
        <v>0.05</v>
      </c>
      <c r="G471" s="9">
        <v>0.05</v>
      </c>
      <c r="H471" s="15">
        <f t="shared" si="14"/>
        <v>14800</v>
      </c>
    </row>
    <row r="472" spans="1:8" x14ac:dyDescent="0.25">
      <c r="A472" s="13">
        <v>44425</v>
      </c>
      <c r="B472" s="15" t="s">
        <v>21</v>
      </c>
      <c r="C472" s="3">
        <v>6</v>
      </c>
      <c r="D472" s="13">
        <f t="shared" si="13"/>
        <v>44431</v>
      </c>
      <c r="E472" s="15">
        <v>500</v>
      </c>
      <c r="F472" s="9">
        <v>0.05</v>
      </c>
      <c r="G472" s="9">
        <v>0.05</v>
      </c>
      <c r="H472" s="15">
        <f t="shared" si="14"/>
        <v>14800</v>
      </c>
    </row>
    <row r="473" spans="1:8" x14ac:dyDescent="0.25">
      <c r="A473" s="13">
        <v>44426</v>
      </c>
      <c r="B473" s="15" t="s">
        <v>21</v>
      </c>
      <c r="C473" s="3">
        <v>1</v>
      </c>
      <c r="D473" s="13">
        <f t="shared" si="13"/>
        <v>44427</v>
      </c>
      <c r="E473" s="15">
        <v>600</v>
      </c>
      <c r="F473" s="9">
        <v>0.05</v>
      </c>
      <c r="G473" s="9">
        <v>0.05</v>
      </c>
      <c r="H473" s="15">
        <f t="shared" si="14"/>
        <v>14250</v>
      </c>
    </row>
    <row r="474" spans="1:8" x14ac:dyDescent="0.25">
      <c r="A474" s="13">
        <v>44426</v>
      </c>
      <c r="B474" s="15" t="s">
        <v>21</v>
      </c>
      <c r="C474" s="3">
        <v>2</v>
      </c>
      <c r="D474" s="13">
        <f t="shared" si="13"/>
        <v>44428</v>
      </c>
      <c r="E474" s="15">
        <v>2000</v>
      </c>
      <c r="F474" s="9">
        <v>0.05</v>
      </c>
      <c r="G474" s="9">
        <v>0.05</v>
      </c>
      <c r="H474" s="15">
        <f t="shared" si="14"/>
        <v>14250</v>
      </c>
    </row>
    <row r="475" spans="1:8" x14ac:dyDescent="0.25">
      <c r="A475" s="13">
        <v>44426</v>
      </c>
      <c r="B475" s="15" t="s">
        <v>21</v>
      </c>
      <c r="C475" s="3">
        <v>6</v>
      </c>
      <c r="D475" s="13">
        <f t="shared" si="13"/>
        <v>44432</v>
      </c>
      <c r="E475" s="15">
        <v>1500</v>
      </c>
      <c r="F475" s="9">
        <v>5.0500000000000003E-2</v>
      </c>
      <c r="G475" s="9">
        <v>5.0500000000000003E-2</v>
      </c>
      <c r="H475" s="15">
        <f t="shared" si="14"/>
        <v>14250</v>
      </c>
    </row>
    <row r="476" spans="1:8" x14ac:dyDescent="0.25">
      <c r="A476" s="13">
        <v>44427</v>
      </c>
      <c r="B476" s="15" t="s">
        <v>21</v>
      </c>
      <c r="C476" s="3">
        <v>1</v>
      </c>
      <c r="D476" s="13">
        <f t="shared" si="13"/>
        <v>44428</v>
      </c>
      <c r="E476" s="15">
        <v>700</v>
      </c>
      <c r="F476" s="9">
        <v>0.05</v>
      </c>
      <c r="G476" s="9">
        <v>0.05</v>
      </c>
      <c r="H476" s="15">
        <f t="shared" si="14"/>
        <v>14650</v>
      </c>
    </row>
    <row r="477" spans="1:8" x14ac:dyDescent="0.25">
      <c r="A477" s="13">
        <v>44427</v>
      </c>
      <c r="B477" s="15" t="s">
        <v>21</v>
      </c>
      <c r="C477" s="3">
        <v>4</v>
      </c>
      <c r="D477" s="13">
        <f t="shared" si="13"/>
        <v>44431</v>
      </c>
      <c r="E477" s="15">
        <v>2800</v>
      </c>
      <c r="F477" s="9">
        <v>0.05</v>
      </c>
      <c r="G477" s="9">
        <v>0.05</v>
      </c>
      <c r="H477" s="15">
        <f t="shared" si="14"/>
        <v>14650</v>
      </c>
    </row>
    <row r="478" spans="1:8" x14ac:dyDescent="0.25">
      <c r="A478" s="13">
        <v>44427</v>
      </c>
      <c r="B478" s="15" t="s">
        <v>21</v>
      </c>
      <c r="C478" s="3">
        <v>7</v>
      </c>
      <c r="D478" s="13">
        <f t="shared" si="13"/>
        <v>44434</v>
      </c>
      <c r="E478" s="15">
        <v>500</v>
      </c>
      <c r="F478" s="9">
        <v>5.0500000000000003E-2</v>
      </c>
      <c r="G478" s="9">
        <v>5.0500000000000003E-2</v>
      </c>
      <c r="H478" s="15">
        <f t="shared" si="14"/>
        <v>14650</v>
      </c>
    </row>
    <row r="479" spans="1:8" x14ac:dyDescent="0.25">
      <c r="A479" s="13">
        <v>44428</v>
      </c>
      <c r="B479" s="15" t="s">
        <v>21</v>
      </c>
      <c r="C479" s="3">
        <v>3</v>
      </c>
      <c r="D479" s="13">
        <f t="shared" si="13"/>
        <v>44431</v>
      </c>
      <c r="E479" s="15">
        <v>4850</v>
      </c>
      <c r="F479" s="9">
        <v>0.05</v>
      </c>
      <c r="G479" s="9">
        <v>0.05</v>
      </c>
      <c r="H479" s="15">
        <f t="shared" si="14"/>
        <v>17850</v>
      </c>
    </row>
    <row r="480" spans="1:8" x14ac:dyDescent="0.25">
      <c r="A480" s="13">
        <v>44428</v>
      </c>
      <c r="B480" s="15" t="s">
        <v>21</v>
      </c>
      <c r="C480" s="3">
        <v>4</v>
      </c>
      <c r="D480" s="13">
        <f t="shared" si="13"/>
        <v>44432</v>
      </c>
      <c r="E480" s="15">
        <v>3950</v>
      </c>
      <c r="F480" s="9">
        <v>0.05</v>
      </c>
      <c r="G480" s="9">
        <v>0.05</v>
      </c>
      <c r="H480" s="15">
        <f t="shared" si="14"/>
        <v>17850</v>
      </c>
    </row>
    <row r="481" spans="1:8" x14ac:dyDescent="0.25">
      <c r="A481" s="13">
        <v>44428</v>
      </c>
      <c r="B481" s="15" t="s">
        <v>21</v>
      </c>
      <c r="C481" s="3">
        <v>7</v>
      </c>
      <c r="D481" s="13">
        <f t="shared" si="13"/>
        <v>44435</v>
      </c>
      <c r="E481" s="15">
        <v>1000</v>
      </c>
      <c r="F481" s="9">
        <v>5.0500000000000003E-2</v>
      </c>
      <c r="G481" s="9">
        <v>5.0500000000000003E-2</v>
      </c>
      <c r="H481" s="15">
        <f t="shared" si="14"/>
        <v>17850</v>
      </c>
    </row>
    <row r="482" spans="1:8" x14ac:dyDescent="0.25">
      <c r="A482" s="13">
        <v>44431</v>
      </c>
      <c r="B482" s="15" t="s">
        <v>21</v>
      </c>
      <c r="C482" s="3">
        <v>1</v>
      </c>
      <c r="D482" s="13">
        <f t="shared" si="13"/>
        <v>44432</v>
      </c>
      <c r="E482" s="15">
        <v>2800</v>
      </c>
      <c r="F482" s="9">
        <v>0.05</v>
      </c>
      <c r="G482" s="9">
        <v>0.05</v>
      </c>
      <c r="H482" s="15">
        <f t="shared" si="14"/>
        <v>14950</v>
      </c>
    </row>
    <row r="483" spans="1:8" x14ac:dyDescent="0.25">
      <c r="A483" s="13">
        <v>44431</v>
      </c>
      <c r="B483" s="15" t="s">
        <v>21</v>
      </c>
      <c r="C483" s="3">
        <v>3</v>
      </c>
      <c r="D483" s="13">
        <f t="shared" si="13"/>
        <v>44434</v>
      </c>
      <c r="E483" s="15">
        <v>4000</v>
      </c>
      <c r="F483" s="9">
        <v>0.05</v>
      </c>
      <c r="G483" s="9">
        <v>0.05</v>
      </c>
      <c r="H483" s="15">
        <f t="shared" si="14"/>
        <v>14950</v>
      </c>
    </row>
    <row r="484" spans="1:8" x14ac:dyDescent="0.25">
      <c r="A484" s="13">
        <v>44431</v>
      </c>
      <c r="B484" s="15" t="s">
        <v>21</v>
      </c>
      <c r="C484" s="3">
        <v>7</v>
      </c>
      <c r="D484" s="13">
        <f t="shared" si="13"/>
        <v>44438</v>
      </c>
      <c r="E484" s="15">
        <v>1200</v>
      </c>
      <c r="F484" s="9">
        <v>5.0500000000000003E-2</v>
      </c>
      <c r="G484" s="9">
        <v>5.0500000000000003E-2</v>
      </c>
      <c r="H484" s="15">
        <f t="shared" si="14"/>
        <v>14950</v>
      </c>
    </row>
    <row r="485" spans="1:8" x14ac:dyDescent="0.25">
      <c r="A485" s="13">
        <v>44432</v>
      </c>
      <c r="B485" s="15" t="s">
        <v>21</v>
      </c>
      <c r="C485" s="3">
        <v>2</v>
      </c>
      <c r="D485" s="13">
        <f t="shared" si="13"/>
        <v>44434</v>
      </c>
      <c r="E485" s="15">
        <v>2400</v>
      </c>
      <c r="F485" s="9">
        <v>4.9000000000000002E-2</v>
      </c>
      <c r="G485" s="9">
        <v>0.05</v>
      </c>
      <c r="H485" s="15">
        <f t="shared" si="14"/>
        <v>16850</v>
      </c>
    </row>
    <row r="486" spans="1:8" x14ac:dyDescent="0.25">
      <c r="A486" s="13">
        <v>44432</v>
      </c>
      <c r="B486" s="15" t="s">
        <v>21</v>
      </c>
      <c r="C486" s="3">
        <v>3</v>
      </c>
      <c r="D486" s="13">
        <f t="shared" si="13"/>
        <v>44435</v>
      </c>
      <c r="E486" s="15">
        <v>4600</v>
      </c>
      <c r="F486" s="9">
        <v>0.05</v>
      </c>
      <c r="G486" s="9">
        <v>0.05</v>
      </c>
      <c r="H486" s="15">
        <f t="shared" si="14"/>
        <v>16850</v>
      </c>
    </row>
    <row r="487" spans="1:8" x14ac:dyDescent="0.25">
      <c r="A487" s="13">
        <v>44432</v>
      </c>
      <c r="B487" s="15" t="s">
        <v>21</v>
      </c>
      <c r="C487" s="3">
        <v>7</v>
      </c>
      <c r="D487" s="13">
        <f t="shared" si="13"/>
        <v>44439</v>
      </c>
      <c r="E487" s="15">
        <v>3150</v>
      </c>
      <c r="F487" s="9">
        <v>5.0500000000000003E-2</v>
      </c>
      <c r="G487" s="9">
        <v>5.0500000000000003E-2</v>
      </c>
      <c r="H487" s="15">
        <f t="shared" si="14"/>
        <v>16850</v>
      </c>
    </row>
    <row r="488" spans="1:8" x14ac:dyDescent="0.25">
      <c r="A488" s="13">
        <v>44434</v>
      </c>
      <c r="B488" s="15" t="s">
        <v>21</v>
      </c>
      <c r="C488" s="3">
        <v>1</v>
      </c>
      <c r="D488" s="13">
        <f t="shared" si="13"/>
        <v>44435</v>
      </c>
      <c r="E488" s="15">
        <v>900</v>
      </c>
      <c r="F488" s="9">
        <v>0.05</v>
      </c>
      <c r="G488" s="9">
        <v>0.05</v>
      </c>
      <c r="H488" s="15">
        <f t="shared" si="14"/>
        <v>10850</v>
      </c>
    </row>
    <row r="489" spans="1:8" x14ac:dyDescent="0.25">
      <c r="A489" s="13">
        <v>44435</v>
      </c>
      <c r="B489" s="15" t="s">
        <v>21</v>
      </c>
      <c r="C489" s="3">
        <v>3</v>
      </c>
      <c r="D489" s="13">
        <f t="shared" si="13"/>
        <v>44438</v>
      </c>
      <c r="E489" s="15">
        <v>3750</v>
      </c>
      <c r="F489" s="9">
        <v>4.9000000000000002E-2</v>
      </c>
      <c r="G489" s="9">
        <v>0.05</v>
      </c>
      <c r="H489" s="15">
        <f t="shared" si="14"/>
        <v>13950</v>
      </c>
    </row>
    <row r="490" spans="1:8" x14ac:dyDescent="0.25">
      <c r="A490" s="13">
        <v>44435</v>
      </c>
      <c r="B490" s="15" t="s">
        <v>21</v>
      </c>
      <c r="C490" s="3">
        <v>4</v>
      </c>
      <c r="D490" s="13">
        <f t="shared" si="13"/>
        <v>44439</v>
      </c>
      <c r="E490" s="15">
        <v>2350</v>
      </c>
      <c r="F490" s="9">
        <v>0.05</v>
      </c>
      <c r="G490" s="9">
        <v>0.05</v>
      </c>
      <c r="H490" s="15">
        <f t="shared" si="14"/>
        <v>13950</v>
      </c>
    </row>
    <row r="491" spans="1:8" x14ac:dyDescent="0.25">
      <c r="A491" s="13">
        <v>44435</v>
      </c>
      <c r="B491" s="15" t="s">
        <v>21</v>
      </c>
      <c r="C491" s="3">
        <v>5</v>
      </c>
      <c r="D491" s="13">
        <f t="shared" si="13"/>
        <v>44440</v>
      </c>
      <c r="E491" s="15">
        <v>3500</v>
      </c>
      <c r="F491" s="9">
        <v>5.0500000000000003E-2</v>
      </c>
      <c r="G491" s="9">
        <v>5.0500000000000003E-2</v>
      </c>
      <c r="H491" s="15">
        <f t="shared" si="14"/>
        <v>13950</v>
      </c>
    </row>
    <row r="492" spans="1:8" x14ac:dyDescent="0.25">
      <c r="A492" s="13">
        <v>44438</v>
      </c>
      <c r="B492" s="15" t="s">
        <v>21</v>
      </c>
      <c r="C492" s="3">
        <v>1</v>
      </c>
      <c r="D492" s="13">
        <f t="shared" si="13"/>
        <v>44439</v>
      </c>
      <c r="E492" s="15">
        <v>700</v>
      </c>
      <c r="F492" s="9">
        <v>4.9500000000000002E-2</v>
      </c>
      <c r="G492" s="9">
        <v>0.05</v>
      </c>
      <c r="H492" s="15">
        <f t="shared" si="14"/>
        <v>11700</v>
      </c>
    </row>
    <row r="493" spans="1:8" x14ac:dyDescent="0.25">
      <c r="A493" s="13">
        <v>44438</v>
      </c>
      <c r="B493" s="15" t="s">
        <v>21</v>
      </c>
      <c r="C493" s="3">
        <v>2</v>
      </c>
      <c r="D493" s="13">
        <f t="shared" si="13"/>
        <v>44440</v>
      </c>
      <c r="E493" s="15">
        <v>2000</v>
      </c>
      <c r="F493" s="9">
        <v>0.05</v>
      </c>
      <c r="G493" s="9">
        <v>0.05</v>
      </c>
      <c r="H493" s="15">
        <f t="shared" si="14"/>
        <v>11700</v>
      </c>
    </row>
    <row r="494" spans="1:8" x14ac:dyDescent="0.25">
      <c r="A494" s="13">
        <v>44439</v>
      </c>
      <c r="B494" s="15" t="s">
        <v>21</v>
      </c>
      <c r="C494" s="3">
        <v>1</v>
      </c>
      <c r="D494" s="13">
        <f t="shared" si="13"/>
        <v>44440</v>
      </c>
      <c r="E494" s="15">
        <v>600</v>
      </c>
      <c r="F494" s="9">
        <v>0.05</v>
      </c>
      <c r="G494" s="9">
        <v>0.05</v>
      </c>
      <c r="H494" s="15">
        <f t="shared" si="14"/>
        <v>7600</v>
      </c>
    </row>
    <row r="495" spans="1:8" x14ac:dyDescent="0.25">
      <c r="A495" s="13">
        <v>44439</v>
      </c>
      <c r="B495" s="15" t="s">
        <v>21</v>
      </c>
      <c r="C495" s="3">
        <v>2</v>
      </c>
      <c r="D495" s="13">
        <f t="shared" si="13"/>
        <v>44441</v>
      </c>
      <c r="E495" s="15">
        <v>1000</v>
      </c>
      <c r="F495" s="9">
        <v>0.05</v>
      </c>
      <c r="G495" s="9">
        <v>0.05</v>
      </c>
      <c r="H495" s="15">
        <f t="shared" si="14"/>
        <v>7600</v>
      </c>
    </row>
    <row r="496" spans="1:8" x14ac:dyDescent="0.25">
      <c r="A496" s="13">
        <v>44439</v>
      </c>
      <c r="B496" s="15" t="s">
        <v>21</v>
      </c>
      <c r="C496" s="3">
        <v>3</v>
      </c>
      <c r="D496" s="13">
        <f t="shared" si="13"/>
        <v>44442</v>
      </c>
      <c r="E496" s="15">
        <v>500</v>
      </c>
      <c r="F496" s="9">
        <v>5.0500000000000003E-2</v>
      </c>
      <c r="G496" s="9">
        <v>5.0500000000000003E-2</v>
      </c>
      <c r="H496" s="15">
        <f t="shared" si="14"/>
        <v>7600</v>
      </c>
    </row>
    <row r="497" spans="1:8" x14ac:dyDescent="0.25">
      <c r="A497" s="13">
        <v>44441</v>
      </c>
      <c r="B497" s="15" t="s">
        <v>21</v>
      </c>
      <c r="C497" s="3">
        <v>1</v>
      </c>
      <c r="D497" s="13">
        <f t="shared" si="13"/>
        <v>44442</v>
      </c>
      <c r="E497" s="15">
        <v>800</v>
      </c>
      <c r="F497" s="9">
        <v>4.9000000000000002E-2</v>
      </c>
      <c r="G497" s="9">
        <v>0.05</v>
      </c>
      <c r="H497" s="15">
        <f t="shared" si="14"/>
        <v>3900</v>
      </c>
    </row>
    <row r="498" spans="1:8" x14ac:dyDescent="0.25">
      <c r="A498" s="13">
        <v>44441</v>
      </c>
      <c r="B498" s="15" t="s">
        <v>21</v>
      </c>
      <c r="C498" s="3">
        <v>4</v>
      </c>
      <c r="D498" s="13">
        <f t="shared" si="13"/>
        <v>44445</v>
      </c>
      <c r="E498" s="15">
        <v>1600</v>
      </c>
      <c r="F498" s="9">
        <v>0.05</v>
      </c>
      <c r="G498" s="9">
        <v>0.05</v>
      </c>
      <c r="H498" s="15">
        <f t="shared" si="14"/>
        <v>3900</v>
      </c>
    </row>
    <row r="499" spans="1:8" x14ac:dyDescent="0.25">
      <c r="A499" s="13">
        <v>44441</v>
      </c>
      <c r="B499" s="15" t="s">
        <v>21</v>
      </c>
      <c r="C499" s="3">
        <v>8</v>
      </c>
      <c r="D499" s="13">
        <f t="shared" si="13"/>
        <v>44449</v>
      </c>
      <c r="E499" s="15">
        <v>1000</v>
      </c>
      <c r="F499" s="9">
        <v>5.0500000000000003E-2</v>
      </c>
      <c r="G499" s="9">
        <v>5.0500000000000003E-2</v>
      </c>
      <c r="H499" s="15">
        <f t="shared" si="14"/>
        <v>3900</v>
      </c>
    </row>
    <row r="500" spans="1:8" x14ac:dyDescent="0.25">
      <c r="A500" s="13">
        <v>44442</v>
      </c>
      <c r="B500" s="15" t="s">
        <v>21</v>
      </c>
      <c r="C500" s="3">
        <v>3</v>
      </c>
      <c r="D500" s="13">
        <f t="shared" si="13"/>
        <v>44445</v>
      </c>
      <c r="E500" s="15">
        <v>700</v>
      </c>
      <c r="F500" s="9">
        <v>0.05</v>
      </c>
      <c r="G500" s="9">
        <v>0.05</v>
      </c>
      <c r="H500" s="15">
        <f t="shared" si="14"/>
        <v>4700</v>
      </c>
    </row>
    <row r="501" spans="1:8" x14ac:dyDescent="0.25">
      <c r="A501" s="13">
        <v>44442</v>
      </c>
      <c r="B501" s="15" t="s">
        <v>21</v>
      </c>
      <c r="C501" s="3">
        <v>4</v>
      </c>
      <c r="D501" s="13">
        <f t="shared" si="13"/>
        <v>44446</v>
      </c>
      <c r="E501" s="15">
        <v>1400</v>
      </c>
      <c r="F501" s="9">
        <v>0.05</v>
      </c>
      <c r="G501" s="9">
        <v>5.0500000000000003E-2</v>
      </c>
      <c r="H501" s="15">
        <f t="shared" si="14"/>
        <v>4700</v>
      </c>
    </row>
    <row r="502" spans="1:8" x14ac:dyDescent="0.25">
      <c r="A502" s="13">
        <v>44445</v>
      </c>
      <c r="B502" s="15" t="s">
        <v>21</v>
      </c>
      <c r="C502" s="3">
        <v>2</v>
      </c>
      <c r="D502" s="13">
        <f t="shared" si="13"/>
        <v>44447</v>
      </c>
      <c r="E502" s="15">
        <v>1600</v>
      </c>
      <c r="F502" s="9">
        <v>0.05</v>
      </c>
      <c r="G502" s="9">
        <v>0.05</v>
      </c>
      <c r="H502" s="15">
        <f t="shared" si="14"/>
        <v>5300</v>
      </c>
    </row>
    <row r="503" spans="1:8" x14ac:dyDescent="0.25">
      <c r="A503" s="13">
        <v>44445</v>
      </c>
      <c r="B503" s="15" t="s">
        <v>21</v>
      </c>
      <c r="C503" s="3">
        <v>7</v>
      </c>
      <c r="D503" s="13">
        <f t="shared" si="13"/>
        <v>44452</v>
      </c>
      <c r="E503" s="15">
        <v>1300</v>
      </c>
      <c r="F503" s="9">
        <v>5.0500000000000003E-2</v>
      </c>
      <c r="G503" s="9">
        <v>5.0500000000000003E-2</v>
      </c>
      <c r="H503" s="15">
        <f t="shared" si="14"/>
        <v>5300</v>
      </c>
    </row>
    <row r="504" spans="1:8" x14ac:dyDescent="0.25">
      <c r="A504" s="13">
        <v>44446</v>
      </c>
      <c r="B504" s="15" t="s">
        <v>21</v>
      </c>
      <c r="C504" s="3">
        <v>1</v>
      </c>
      <c r="D504" s="13">
        <f t="shared" si="13"/>
        <v>44447</v>
      </c>
      <c r="E504" s="15">
        <v>200</v>
      </c>
      <c r="F504" s="9">
        <v>0.05</v>
      </c>
      <c r="G504" s="9">
        <v>0.05</v>
      </c>
      <c r="H504" s="15">
        <f t="shared" si="14"/>
        <v>8200</v>
      </c>
    </row>
    <row r="505" spans="1:8" x14ac:dyDescent="0.25">
      <c r="A505" s="13">
        <v>44446</v>
      </c>
      <c r="B505" s="15" t="s">
        <v>21</v>
      </c>
      <c r="C505" s="3">
        <v>7</v>
      </c>
      <c r="D505" s="13">
        <f t="shared" si="13"/>
        <v>44453</v>
      </c>
      <c r="E505" s="15">
        <v>4100</v>
      </c>
      <c r="F505" s="9">
        <v>5.0500000000000003E-2</v>
      </c>
      <c r="G505" s="9">
        <v>5.0500000000000003E-2</v>
      </c>
      <c r="H505" s="15">
        <f t="shared" si="14"/>
        <v>8200</v>
      </c>
    </row>
    <row r="506" spans="1:8" x14ac:dyDescent="0.25">
      <c r="A506" s="13">
        <v>44447</v>
      </c>
      <c r="B506" s="15" t="s">
        <v>21</v>
      </c>
      <c r="C506" s="3">
        <v>1</v>
      </c>
      <c r="D506" s="13">
        <f t="shared" si="13"/>
        <v>44448</v>
      </c>
      <c r="E506" s="15">
        <v>700</v>
      </c>
      <c r="F506" s="9">
        <v>0.05</v>
      </c>
      <c r="G506" s="9">
        <v>0.05</v>
      </c>
      <c r="H506" s="15">
        <f t="shared" si="14"/>
        <v>10300</v>
      </c>
    </row>
    <row r="507" spans="1:8" x14ac:dyDescent="0.25">
      <c r="A507" s="13">
        <v>44447</v>
      </c>
      <c r="B507" s="15" t="s">
        <v>21</v>
      </c>
      <c r="C507" s="3">
        <v>2</v>
      </c>
      <c r="D507" s="13">
        <f t="shared" si="13"/>
        <v>44449</v>
      </c>
      <c r="E507" s="15">
        <v>200</v>
      </c>
      <c r="F507" s="9">
        <v>0.05</v>
      </c>
      <c r="G507" s="9">
        <v>0.05</v>
      </c>
      <c r="H507" s="15">
        <f t="shared" si="14"/>
        <v>10300</v>
      </c>
    </row>
    <row r="508" spans="1:8" x14ac:dyDescent="0.25">
      <c r="A508" s="13">
        <v>44447</v>
      </c>
      <c r="B508" s="15" t="s">
        <v>21</v>
      </c>
      <c r="C508" s="3">
        <v>5</v>
      </c>
      <c r="D508" s="13">
        <f t="shared" si="13"/>
        <v>44452</v>
      </c>
      <c r="E508" s="15">
        <v>1600</v>
      </c>
      <c r="F508" s="9">
        <v>5.0500000000000003E-2</v>
      </c>
      <c r="G508" s="9">
        <v>5.0500000000000003E-2</v>
      </c>
      <c r="H508" s="15">
        <f t="shared" si="14"/>
        <v>10300</v>
      </c>
    </row>
    <row r="509" spans="1:8" x14ac:dyDescent="0.25">
      <c r="A509" s="13">
        <v>44447</v>
      </c>
      <c r="B509" s="15" t="s">
        <v>21</v>
      </c>
      <c r="C509" s="3">
        <v>7</v>
      </c>
      <c r="D509" s="13">
        <f t="shared" si="13"/>
        <v>44454</v>
      </c>
      <c r="E509" s="15">
        <v>1400</v>
      </c>
      <c r="F509" s="9">
        <v>5.0500000000000003E-2</v>
      </c>
      <c r="G509" s="9">
        <v>5.0500000000000003E-2</v>
      </c>
      <c r="H509" s="15">
        <f t="shared" si="14"/>
        <v>10300</v>
      </c>
    </row>
    <row r="510" spans="1:8" x14ac:dyDescent="0.25">
      <c r="A510" s="13">
        <v>44448</v>
      </c>
      <c r="B510" s="15" t="s">
        <v>21</v>
      </c>
      <c r="C510" s="3">
        <v>1</v>
      </c>
      <c r="D510" s="13">
        <f t="shared" si="13"/>
        <v>44449</v>
      </c>
      <c r="E510" s="15">
        <v>900</v>
      </c>
      <c r="F510" s="9">
        <v>0.05</v>
      </c>
      <c r="G510" s="9">
        <v>0.05</v>
      </c>
      <c r="H510" s="15">
        <f t="shared" si="14"/>
        <v>11950</v>
      </c>
    </row>
    <row r="511" spans="1:8" x14ac:dyDescent="0.25">
      <c r="A511" s="13">
        <v>44448</v>
      </c>
      <c r="B511" s="15" t="s">
        <v>21</v>
      </c>
      <c r="C511" s="3">
        <v>4</v>
      </c>
      <c r="D511" s="13">
        <f t="shared" ref="D511:D571" si="15">+A511+C511</f>
        <v>44452</v>
      </c>
      <c r="E511" s="15">
        <v>50</v>
      </c>
      <c r="F511" s="9">
        <v>0.05</v>
      </c>
      <c r="G511" s="9">
        <v>0.05</v>
      </c>
      <c r="H511" s="15">
        <f t="shared" si="14"/>
        <v>11950</v>
      </c>
    </row>
    <row r="512" spans="1:8" x14ac:dyDescent="0.25">
      <c r="A512" s="13">
        <v>44448</v>
      </c>
      <c r="B512" s="15" t="s">
        <v>21</v>
      </c>
      <c r="C512" s="3">
        <v>11</v>
      </c>
      <c r="D512" s="13">
        <f t="shared" si="15"/>
        <v>44459</v>
      </c>
      <c r="E512" s="15">
        <v>1400</v>
      </c>
      <c r="F512" s="9">
        <v>5.0999999999999997E-2</v>
      </c>
      <c r="G512" s="9">
        <v>5.0999999999999997E-2</v>
      </c>
      <c r="H512" s="15">
        <f t="shared" si="14"/>
        <v>11950</v>
      </c>
    </row>
    <row r="513" spans="1:8" x14ac:dyDescent="0.25">
      <c r="A513" s="13">
        <v>44449</v>
      </c>
      <c r="B513" s="15" t="s">
        <v>21</v>
      </c>
      <c r="C513" s="3">
        <v>7</v>
      </c>
      <c r="D513" s="13">
        <f t="shared" si="15"/>
        <v>44456</v>
      </c>
      <c r="E513" s="15">
        <v>1000</v>
      </c>
      <c r="F513" s="9">
        <v>5.0500000000000003E-2</v>
      </c>
      <c r="G513" s="9">
        <v>5.0500000000000003E-2</v>
      </c>
      <c r="H513" s="15">
        <f t="shared" si="14"/>
        <v>12050</v>
      </c>
    </row>
    <row r="514" spans="1:8" x14ac:dyDescent="0.25">
      <c r="A514" s="13">
        <v>44449</v>
      </c>
      <c r="B514" s="15" t="s">
        <v>21</v>
      </c>
      <c r="C514" s="3">
        <v>10</v>
      </c>
      <c r="D514" s="13">
        <f t="shared" si="15"/>
        <v>44459</v>
      </c>
      <c r="E514" s="15">
        <v>1200</v>
      </c>
      <c r="F514" s="9">
        <v>5.0999999999999997E-2</v>
      </c>
      <c r="G514" s="9">
        <v>5.0999999999999997E-2</v>
      </c>
      <c r="H514" s="15">
        <f t="shared" si="14"/>
        <v>12050</v>
      </c>
    </row>
    <row r="515" spans="1:8" x14ac:dyDescent="0.25">
      <c r="A515" s="13">
        <v>44452</v>
      </c>
      <c r="B515" s="15" t="s">
        <v>21</v>
      </c>
      <c r="C515" s="3">
        <v>1</v>
      </c>
      <c r="D515" s="13">
        <f t="shared" si="15"/>
        <v>44453</v>
      </c>
      <c r="E515" s="15">
        <v>250</v>
      </c>
      <c r="F515" s="9">
        <v>0.05</v>
      </c>
      <c r="G515" s="9">
        <v>0.05</v>
      </c>
      <c r="H515" s="15">
        <f t="shared" si="14"/>
        <v>13100</v>
      </c>
    </row>
    <row r="516" spans="1:8" x14ac:dyDescent="0.25">
      <c r="A516" s="13">
        <v>44452</v>
      </c>
      <c r="B516" s="15" t="s">
        <v>21</v>
      </c>
      <c r="C516" s="3">
        <v>2</v>
      </c>
      <c r="D516" s="13">
        <f t="shared" si="15"/>
        <v>44454</v>
      </c>
      <c r="E516" s="15">
        <v>500</v>
      </c>
      <c r="F516" s="9">
        <v>0.05</v>
      </c>
      <c r="G516" s="9">
        <v>0.05</v>
      </c>
      <c r="H516" s="15">
        <f t="shared" si="14"/>
        <v>13100</v>
      </c>
    </row>
    <row r="517" spans="1:8" x14ac:dyDescent="0.25">
      <c r="A517" s="13">
        <v>44452</v>
      </c>
      <c r="B517" s="15" t="s">
        <v>21</v>
      </c>
      <c r="C517" s="3">
        <v>4</v>
      </c>
      <c r="D517" s="13">
        <f t="shared" si="15"/>
        <v>44456</v>
      </c>
      <c r="E517" s="15">
        <v>1650</v>
      </c>
      <c r="F517" s="9">
        <v>5.0500000000000003E-2</v>
      </c>
      <c r="G517" s="9">
        <v>5.0500000000000003E-2</v>
      </c>
      <c r="H517" s="15">
        <f t="shared" si="14"/>
        <v>13100</v>
      </c>
    </row>
    <row r="518" spans="1:8" x14ac:dyDescent="0.25">
      <c r="A518" s="13">
        <v>44452</v>
      </c>
      <c r="B518" s="15" t="s">
        <v>21</v>
      </c>
      <c r="C518" s="3">
        <v>7</v>
      </c>
      <c r="D518" s="13">
        <f t="shared" si="15"/>
        <v>44459</v>
      </c>
      <c r="E518" s="15">
        <v>1600</v>
      </c>
      <c r="F518" s="9">
        <v>5.0999999999999997E-2</v>
      </c>
      <c r="G518" s="9">
        <v>5.0999999999999997E-2</v>
      </c>
      <c r="H518" s="15">
        <f t="shared" si="14"/>
        <v>13100</v>
      </c>
    </row>
    <row r="519" spans="1:8" x14ac:dyDescent="0.25">
      <c r="A519" s="13">
        <v>44453</v>
      </c>
      <c r="B519" s="15" t="s">
        <v>21</v>
      </c>
      <c r="C519" s="3">
        <v>3</v>
      </c>
      <c r="D519" s="13">
        <f t="shared" si="15"/>
        <v>44456</v>
      </c>
      <c r="E519" s="15">
        <v>600</v>
      </c>
      <c r="F519" s="9">
        <v>5.0500000000000003E-2</v>
      </c>
      <c r="G519" s="9">
        <v>5.0500000000000003E-2</v>
      </c>
      <c r="H519" s="15">
        <f t="shared" si="14"/>
        <v>11150</v>
      </c>
    </row>
    <row r="520" spans="1:8" x14ac:dyDescent="0.25">
      <c r="A520" s="13">
        <v>44453</v>
      </c>
      <c r="B520" s="15" t="s">
        <v>21</v>
      </c>
      <c r="C520" s="3">
        <v>6</v>
      </c>
      <c r="D520" s="13">
        <f t="shared" si="15"/>
        <v>44459</v>
      </c>
      <c r="E520" s="15">
        <v>1800</v>
      </c>
      <c r="F520" s="9">
        <v>5.0999999999999997E-2</v>
      </c>
      <c r="G520" s="9">
        <v>5.0999999999999997E-2</v>
      </c>
      <c r="H520" s="15">
        <f t="shared" si="14"/>
        <v>11150</v>
      </c>
    </row>
    <row r="521" spans="1:8" x14ac:dyDescent="0.25">
      <c r="A521" s="13">
        <v>44454</v>
      </c>
      <c r="B521" s="15" t="s">
        <v>21</v>
      </c>
      <c r="C521" s="3">
        <v>1</v>
      </c>
      <c r="D521" s="13">
        <f t="shared" si="15"/>
        <v>44455</v>
      </c>
      <c r="E521" s="15">
        <v>500</v>
      </c>
      <c r="F521" s="9">
        <v>0.05</v>
      </c>
      <c r="G521" s="9">
        <v>0.05</v>
      </c>
      <c r="H521" s="15">
        <f t="shared" si="14"/>
        <v>10950</v>
      </c>
    </row>
    <row r="522" spans="1:8" x14ac:dyDescent="0.25">
      <c r="A522" s="13">
        <v>44454</v>
      </c>
      <c r="B522" s="15" t="s">
        <v>21</v>
      </c>
      <c r="C522" s="3">
        <v>9</v>
      </c>
      <c r="D522" s="13">
        <f t="shared" si="15"/>
        <v>44463</v>
      </c>
      <c r="E522" s="15">
        <v>1200</v>
      </c>
      <c r="F522" s="9">
        <v>5.0999999999999997E-2</v>
      </c>
      <c r="G522" s="9">
        <v>5.0999999999999997E-2</v>
      </c>
      <c r="H522" s="15">
        <f t="shared" ref="H522:H585" si="16">+SUMIFS($E$10:$E$4503,$A$10:$A$4503,"&lt;="&amp;A522,$D$10:$D$4503,"&gt;"&amp;A522)</f>
        <v>10950</v>
      </c>
    </row>
    <row r="523" spans="1:8" x14ac:dyDescent="0.25">
      <c r="A523" s="13">
        <v>44455</v>
      </c>
      <c r="B523" s="15" t="s">
        <v>21</v>
      </c>
      <c r="C523" s="3">
        <v>4</v>
      </c>
      <c r="D523" s="13">
        <f t="shared" si="15"/>
        <v>44459</v>
      </c>
      <c r="E523" s="15">
        <v>800</v>
      </c>
      <c r="F523" s="9">
        <v>5.0500000000000003E-2</v>
      </c>
      <c r="G523" s="9">
        <v>5.0500000000000003E-2</v>
      </c>
      <c r="H523" s="15">
        <f t="shared" si="16"/>
        <v>14750</v>
      </c>
    </row>
    <row r="524" spans="1:8" x14ac:dyDescent="0.25">
      <c r="A524" s="13">
        <v>44455</v>
      </c>
      <c r="B524" s="15" t="s">
        <v>21</v>
      </c>
      <c r="C524" s="3">
        <v>8</v>
      </c>
      <c r="D524" s="13">
        <f t="shared" si="15"/>
        <v>44463</v>
      </c>
      <c r="E524" s="15">
        <v>3500</v>
      </c>
      <c r="F524" s="9">
        <v>5.0999999999999997E-2</v>
      </c>
      <c r="G524" s="9">
        <v>5.0999999999999997E-2</v>
      </c>
      <c r="H524" s="15">
        <f t="shared" si="16"/>
        <v>14750</v>
      </c>
    </row>
    <row r="525" spans="1:8" x14ac:dyDescent="0.25">
      <c r="A525" s="13">
        <v>44459</v>
      </c>
      <c r="B525" s="15" t="s">
        <v>21</v>
      </c>
      <c r="C525" s="3">
        <v>1</v>
      </c>
      <c r="D525" s="13">
        <f t="shared" si="15"/>
        <v>44460</v>
      </c>
      <c r="E525" s="15">
        <v>800</v>
      </c>
      <c r="F525" s="9">
        <v>0.05</v>
      </c>
      <c r="G525" s="9">
        <v>0.05</v>
      </c>
      <c r="H525" s="15">
        <f t="shared" si="16"/>
        <v>10600</v>
      </c>
    </row>
    <row r="526" spans="1:8" x14ac:dyDescent="0.25">
      <c r="A526" s="13">
        <v>44459</v>
      </c>
      <c r="B526" s="15" t="s">
        <v>21</v>
      </c>
      <c r="C526" s="3">
        <v>2</v>
      </c>
      <c r="D526" s="13">
        <f t="shared" si="15"/>
        <v>44461</v>
      </c>
      <c r="E526" s="15">
        <v>3100</v>
      </c>
      <c r="F526" s="9">
        <v>0.05</v>
      </c>
      <c r="G526" s="9">
        <v>0.05</v>
      </c>
      <c r="H526" s="15">
        <f t="shared" si="16"/>
        <v>10600</v>
      </c>
    </row>
    <row r="527" spans="1:8" x14ac:dyDescent="0.25">
      <c r="A527" s="13">
        <v>44459</v>
      </c>
      <c r="B527" s="15" t="s">
        <v>21</v>
      </c>
      <c r="C527" s="3">
        <v>7</v>
      </c>
      <c r="D527" s="13">
        <f t="shared" si="15"/>
        <v>44466</v>
      </c>
      <c r="E527" s="15">
        <v>2000</v>
      </c>
      <c r="F527" s="9">
        <v>5.0500000000000003E-2</v>
      </c>
      <c r="G527" s="9">
        <v>5.0500000000000003E-2</v>
      </c>
      <c r="H527" s="15">
        <f t="shared" si="16"/>
        <v>10600</v>
      </c>
    </row>
    <row r="528" spans="1:8" x14ac:dyDescent="0.25">
      <c r="A528" s="13">
        <v>44460</v>
      </c>
      <c r="B528" s="15" t="s">
        <v>21</v>
      </c>
      <c r="C528" s="3">
        <v>1</v>
      </c>
      <c r="D528" s="13">
        <f t="shared" si="15"/>
        <v>44461</v>
      </c>
      <c r="E528" s="15">
        <v>400</v>
      </c>
      <c r="F528" s="9">
        <v>0.05</v>
      </c>
      <c r="G528" s="9">
        <v>0.05</v>
      </c>
      <c r="H528" s="15">
        <f t="shared" si="16"/>
        <v>11400</v>
      </c>
    </row>
    <row r="529" spans="1:8" x14ac:dyDescent="0.25">
      <c r="A529" s="13">
        <v>44460</v>
      </c>
      <c r="B529" s="15" t="s">
        <v>21</v>
      </c>
      <c r="C529" s="3">
        <v>2</v>
      </c>
      <c r="D529" s="13">
        <f t="shared" si="15"/>
        <v>44462</v>
      </c>
      <c r="E529" s="15">
        <v>600</v>
      </c>
      <c r="F529" s="9">
        <v>0.05</v>
      </c>
      <c r="G529" s="9">
        <v>0.05</v>
      </c>
      <c r="H529" s="15">
        <f t="shared" si="16"/>
        <v>11400</v>
      </c>
    </row>
    <row r="530" spans="1:8" x14ac:dyDescent="0.25">
      <c r="A530" s="13">
        <v>44460</v>
      </c>
      <c r="B530" s="15" t="s">
        <v>21</v>
      </c>
      <c r="C530" s="3">
        <v>7</v>
      </c>
      <c r="D530" s="13">
        <f t="shared" si="15"/>
        <v>44467</v>
      </c>
      <c r="E530" s="15">
        <v>600</v>
      </c>
      <c r="F530" s="9">
        <v>5.0500000000000003E-2</v>
      </c>
      <c r="G530" s="9">
        <v>5.0500000000000003E-2</v>
      </c>
      <c r="H530" s="15">
        <f t="shared" si="16"/>
        <v>11400</v>
      </c>
    </row>
    <row r="531" spans="1:8" x14ac:dyDescent="0.25">
      <c r="A531" s="13">
        <v>44461</v>
      </c>
      <c r="B531" s="15" t="s">
        <v>21</v>
      </c>
      <c r="C531" s="3">
        <v>1</v>
      </c>
      <c r="D531" s="13">
        <f t="shared" si="15"/>
        <v>44462</v>
      </c>
      <c r="E531" s="15">
        <v>500</v>
      </c>
      <c r="F531" s="9">
        <v>0.05</v>
      </c>
      <c r="G531" s="9">
        <v>0.05</v>
      </c>
      <c r="H531" s="15">
        <f t="shared" si="16"/>
        <v>11100</v>
      </c>
    </row>
    <row r="532" spans="1:8" x14ac:dyDescent="0.25">
      <c r="A532" s="13">
        <v>44461</v>
      </c>
      <c r="B532" s="15" t="s">
        <v>21</v>
      </c>
      <c r="C532" s="3">
        <v>2</v>
      </c>
      <c r="D532" s="13">
        <f t="shared" si="15"/>
        <v>44463</v>
      </c>
      <c r="E532" s="15">
        <v>2200</v>
      </c>
      <c r="F532" s="9">
        <v>0.05</v>
      </c>
      <c r="G532" s="9">
        <v>0.05</v>
      </c>
      <c r="H532" s="15">
        <f t="shared" si="16"/>
        <v>11100</v>
      </c>
    </row>
    <row r="533" spans="1:8" x14ac:dyDescent="0.25">
      <c r="A533" s="13">
        <v>44461</v>
      </c>
      <c r="B533" s="15" t="s">
        <v>21</v>
      </c>
      <c r="C533" s="3">
        <v>8</v>
      </c>
      <c r="D533" s="13">
        <f t="shared" si="15"/>
        <v>44469</v>
      </c>
      <c r="E533" s="15">
        <v>500</v>
      </c>
      <c r="F533" s="9">
        <v>5.0500000000000003E-2</v>
      </c>
      <c r="G533" s="9">
        <v>5.0500000000000003E-2</v>
      </c>
      <c r="H533" s="15">
        <f t="shared" si="16"/>
        <v>11100</v>
      </c>
    </row>
    <row r="534" spans="1:8" x14ac:dyDescent="0.25">
      <c r="A534" s="13">
        <v>44462</v>
      </c>
      <c r="B534" s="15" t="s">
        <v>21</v>
      </c>
      <c r="C534" s="3">
        <v>1</v>
      </c>
      <c r="D534" s="13">
        <f t="shared" si="15"/>
        <v>44463</v>
      </c>
      <c r="E534" s="15">
        <v>2000</v>
      </c>
      <c r="F534" s="9">
        <v>4.9000000000000002E-2</v>
      </c>
      <c r="G534" s="9">
        <v>4.9000000000000002E-2</v>
      </c>
      <c r="H534" s="15">
        <f t="shared" si="16"/>
        <v>15100</v>
      </c>
    </row>
    <row r="535" spans="1:8" x14ac:dyDescent="0.25">
      <c r="A535" s="13">
        <v>44462</v>
      </c>
      <c r="B535" s="15" t="s">
        <v>21</v>
      </c>
      <c r="C535" s="3">
        <v>4</v>
      </c>
      <c r="D535" s="13">
        <f t="shared" si="15"/>
        <v>44466</v>
      </c>
      <c r="E535" s="15">
        <v>1200</v>
      </c>
      <c r="F535" s="9">
        <v>0.05</v>
      </c>
      <c r="G535" s="9">
        <v>0.05</v>
      </c>
      <c r="H535" s="15">
        <f t="shared" si="16"/>
        <v>15100</v>
      </c>
    </row>
    <row r="536" spans="1:8" x14ac:dyDescent="0.25">
      <c r="A536" s="13">
        <v>44462</v>
      </c>
      <c r="B536" s="15" t="s">
        <v>21</v>
      </c>
      <c r="C536" s="3">
        <v>7</v>
      </c>
      <c r="D536" s="13">
        <f t="shared" si="15"/>
        <v>44469</v>
      </c>
      <c r="E536" s="15">
        <v>1900</v>
      </c>
      <c r="F536" s="9">
        <v>5.0500000000000003E-2</v>
      </c>
      <c r="G536" s="9">
        <v>5.0500000000000003E-2</v>
      </c>
      <c r="H536" s="15">
        <f t="shared" si="16"/>
        <v>15100</v>
      </c>
    </row>
    <row r="537" spans="1:8" x14ac:dyDescent="0.25">
      <c r="A537" s="13">
        <v>44463</v>
      </c>
      <c r="B537" s="15" t="s">
        <v>21</v>
      </c>
      <c r="C537" s="3">
        <v>3</v>
      </c>
      <c r="D537" s="13">
        <f t="shared" si="15"/>
        <v>44466</v>
      </c>
      <c r="E537" s="15">
        <v>1300</v>
      </c>
      <c r="F537" s="9">
        <v>4.9000000000000002E-2</v>
      </c>
      <c r="G537" s="9">
        <v>0.05</v>
      </c>
      <c r="H537" s="15">
        <f t="shared" si="16"/>
        <v>9300</v>
      </c>
    </row>
    <row r="538" spans="1:8" x14ac:dyDescent="0.25">
      <c r="A538" s="13">
        <v>44463</v>
      </c>
      <c r="B538" s="15" t="s">
        <v>21</v>
      </c>
      <c r="C538" s="3">
        <v>4</v>
      </c>
      <c r="D538" s="13">
        <f t="shared" si="15"/>
        <v>44467</v>
      </c>
      <c r="E538" s="15">
        <v>800</v>
      </c>
      <c r="F538" s="9">
        <v>0.05</v>
      </c>
      <c r="G538" s="9">
        <v>0.05</v>
      </c>
      <c r="H538" s="15">
        <f t="shared" si="16"/>
        <v>9300</v>
      </c>
    </row>
    <row r="539" spans="1:8" x14ac:dyDescent="0.25">
      <c r="A539" s="13">
        <v>44463</v>
      </c>
      <c r="B539" s="15" t="s">
        <v>21</v>
      </c>
      <c r="C539" s="3">
        <v>6</v>
      </c>
      <c r="D539" s="13">
        <f t="shared" si="15"/>
        <v>44469</v>
      </c>
      <c r="E539" s="15">
        <v>1000</v>
      </c>
      <c r="F539" s="9">
        <v>5.0500000000000003E-2</v>
      </c>
      <c r="G539" s="9">
        <v>5.0500000000000003E-2</v>
      </c>
      <c r="H539" s="15">
        <f t="shared" si="16"/>
        <v>9300</v>
      </c>
    </row>
    <row r="540" spans="1:8" x14ac:dyDescent="0.25">
      <c r="A540" s="13">
        <v>44466</v>
      </c>
      <c r="B540" s="15" t="s">
        <v>21</v>
      </c>
      <c r="C540" s="3">
        <v>2</v>
      </c>
      <c r="D540" s="13">
        <f t="shared" si="15"/>
        <v>44468</v>
      </c>
      <c r="E540" s="15">
        <v>1800</v>
      </c>
      <c r="F540" s="9">
        <v>0.05</v>
      </c>
      <c r="G540" s="9">
        <v>0.05</v>
      </c>
      <c r="H540" s="15">
        <f t="shared" si="16"/>
        <v>10400</v>
      </c>
    </row>
    <row r="541" spans="1:8" x14ac:dyDescent="0.25">
      <c r="A541" s="13">
        <v>44466</v>
      </c>
      <c r="B541" s="15" t="s">
        <v>21</v>
      </c>
      <c r="C541" s="3">
        <v>3</v>
      </c>
      <c r="D541" s="13">
        <f t="shared" si="15"/>
        <v>44469</v>
      </c>
      <c r="E541" s="15">
        <v>400</v>
      </c>
      <c r="F541" s="9">
        <v>0.05</v>
      </c>
      <c r="G541" s="9">
        <v>0.05</v>
      </c>
      <c r="H541" s="15">
        <f t="shared" si="16"/>
        <v>10400</v>
      </c>
    </row>
    <row r="542" spans="1:8" x14ac:dyDescent="0.25">
      <c r="A542" s="13">
        <v>44466</v>
      </c>
      <c r="B542" s="15" t="s">
        <v>21</v>
      </c>
      <c r="C542" s="3">
        <v>4</v>
      </c>
      <c r="D542" s="13">
        <f t="shared" si="15"/>
        <v>44470</v>
      </c>
      <c r="E542" s="15">
        <v>3400</v>
      </c>
      <c r="F542" s="9">
        <v>5.0500000000000003E-2</v>
      </c>
      <c r="G542" s="9">
        <v>5.0500000000000003E-2</v>
      </c>
      <c r="H542" s="15">
        <f t="shared" si="16"/>
        <v>10400</v>
      </c>
    </row>
    <row r="543" spans="1:8" x14ac:dyDescent="0.25">
      <c r="A543" s="13">
        <v>44467</v>
      </c>
      <c r="B543" s="15" t="s">
        <v>21</v>
      </c>
      <c r="C543" s="3">
        <v>2</v>
      </c>
      <c r="D543" s="13">
        <f t="shared" si="15"/>
        <v>44469</v>
      </c>
      <c r="E543" s="15">
        <v>1900</v>
      </c>
      <c r="F543" s="9">
        <v>0.05</v>
      </c>
      <c r="G543" s="9">
        <v>0.05</v>
      </c>
      <c r="H543" s="15">
        <f t="shared" si="16"/>
        <v>12900</v>
      </c>
    </row>
    <row r="544" spans="1:8" x14ac:dyDescent="0.25">
      <c r="A544" s="13">
        <v>44467</v>
      </c>
      <c r="B544" s="15" t="s">
        <v>21</v>
      </c>
      <c r="C544" s="3">
        <v>3</v>
      </c>
      <c r="D544" s="13">
        <f t="shared" si="15"/>
        <v>44470</v>
      </c>
      <c r="E544" s="15">
        <v>2000</v>
      </c>
      <c r="F544" s="9">
        <v>5.0500000000000003E-2</v>
      </c>
      <c r="G544" s="9">
        <v>5.0500000000000003E-2</v>
      </c>
      <c r="H544" s="15">
        <f t="shared" si="16"/>
        <v>12900</v>
      </c>
    </row>
    <row r="545" spans="1:8" x14ac:dyDescent="0.25">
      <c r="A545" s="13">
        <v>44468</v>
      </c>
      <c r="B545" s="15" t="s">
        <v>21</v>
      </c>
      <c r="C545" s="3">
        <v>1</v>
      </c>
      <c r="D545" s="13">
        <f t="shared" si="15"/>
        <v>44469</v>
      </c>
      <c r="E545" s="15">
        <v>-50</v>
      </c>
      <c r="F545" s="9">
        <v>5.1999999999999998E-2</v>
      </c>
      <c r="G545" s="9">
        <v>5.1999999999999998E-2</v>
      </c>
      <c r="H545" s="15">
        <f t="shared" si="16"/>
        <v>9850</v>
      </c>
    </row>
    <row r="546" spans="1:8" x14ac:dyDescent="0.25">
      <c r="A546" s="13">
        <v>44468</v>
      </c>
      <c r="B546" s="15" t="s">
        <v>21</v>
      </c>
      <c r="C546" s="3">
        <v>2</v>
      </c>
      <c r="D546" s="13">
        <f t="shared" si="15"/>
        <v>44470</v>
      </c>
      <c r="E546" s="15">
        <v>-1200</v>
      </c>
      <c r="F546" s="9">
        <v>5.0500000000000003E-2</v>
      </c>
      <c r="G546" s="9">
        <v>5.0500000000000003E-2</v>
      </c>
      <c r="H546" s="15">
        <f t="shared" si="16"/>
        <v>9850</v>
      </c>
    </row>
    <row r="547" spans="1:8" x14ac:dyDescent="0.25">
      <c r="A547" s="13">
        <v>44469</v>
      </c>
      <c r="B547" s="15" t="s">
        <v>21</v>
      </c>
      <c r="C547" s="3">
        <v>1</v>
      </c>
      <c r="D547" s="13">
        <f t="shared" si="15"/>
        <v>44470</v>
      </c>
      <c r="E547" s="15">
        <v>1700</v>
      </c>
      <c r="F547" s="9">
        <v>4.9000000000000002E-2</v>
      </c>
      <c r="G547" s="9">
        <v>0.05</v>
      </c>
      <c r="H547" s="15">
        <f t="shared" si="16"/>
        <v>5900</v>
      </c>
    </row>
    <row r="548" spans="1:8" x14ac:dyDescent="0.25">
      <c r="A548" s="13">
        <v>44475</v>
      </c>
      <c r="B548" s="15" t="s">
        <v>21</v>
      </c>
      <c r="C548" s="3">
        <v>1</v>
      </c>
      <c r="D548" s="13">
        <f t="shared" si="15"/>
        <v>44476</v>
      </c>
      <c r="E548" s="15">
        <v>1100</v>
      </c>
      <c r="F548" s="9">
        <v>5.2499999999999998E-2</v>
      </c>
      <c r="G548" s="9">
        <v>5.2499999999999998E-2</v>
      </c>
      <c r="H548" s="15">
        <f t="shared" si="16"/>
        <v>5600</v>
      </c>
    </row>
    <row r="549" spans="1:8" x14ac:dyDescent="0.25">
      <c r="A549" s="13">
        <v>44475</v>
      </c>
      <c r="B549" s="15" t="s">
        <v>21</v>
      </c>
      <c r="C549" s="3">
        <v>2</v>
      </c>
      <c r="D549" s="13">
        <f t="shared" si="15"/>
        <v>44477</v>
      </c>
      <c r="E549" s="15">
        <v>3400</v>
      </c>
      <c r="F549" s="9">
        <v>5.2499999999999998E-2</v>
      </c>
      <c r="G549" s="9">
        <v>5.2499999999999998E-2</v>
      </c>
      <c r="H549" s="15">
        <f t="shared" si="16"/>
        <v>5600</v>
      </c>
    </row>
    <row r="550" spans="1:8" x14ac:dyDescent="0.25">
      <c r="A550" s="13">
        <v>44475</v>
      </c>
      <c r="B550" s="15" t="s">
        <v>21</v>
      </c>
      <c r="C550" s="3">
        <v>7</v>
      </c>
      <c r="D550" s="13">
        <f t="shared" si="15"/>
        <v>44482</v>
      </c>
      <c r="E550" s="15">
        <v>1100</v>
      </c>
      <c r="F550" s="9">
        <v>5.2999999999999999E-2</v>
      </c>
      <c r="G550" s="9">
        <v>5.2999999999999999E-2</v>
      </c>
      <c r="H550" s="15">
        <f t="shared" si="16"/>
        <v>5600</v>
      </c>
    </row>
    <row r="551" spans="1:8" x14ac:dyDescent="0.25">
      <c r="A551" s="13">
        <v>44476</v>
      </c>
      <c r="B551" s="15" t="s">
        <v>21</v>
      </c>
      <c r="C551" s="3">
        <v>5</v>
      </c>
      <c r="D551" s="13">
        <f t="shared" si="15"/>
        <v>44481</v>
      </c>
      <c r="E551" s="15">
        <v>200</v>
      </c>
      <c r="F551" s="9">
        <v>5.2499999999999998E-2</v>
      </c>
      <c r="G551" s="9">
        <v>5.2499999999999998E-2</v>
      </c>
      <c r="H551" s="15">
        <f t="shared" si="16"/>
        <v>5900</v>
      </c>
    </row>
    <row r="552" spans="1:8" x14ac:dyDescent="0.25">
      <c r="A552" s="13">
        <v>44476</v>
      </c>
      <c r="B552" s="15" t="s">
        <v>21</v>
      </c>
      <c r="C552" s="3">
        <v>7</v>
      </c>
      <c r="D552" s="13">
        <f t="shared" si="15"/>
        <v>44483</v>
      </c>
      <c r="E552" s="15">
        <v>200</v>
      </c>
      <c r="F552" s="9">
        <v>5.3499999999999999E-2</v>
      </c>
      <c r="G552" s="9">
        <v>5.3499999999999999E-2</v>
      </c>
      <c r="H552" s="15">
        <f t="shared" si="16"/>
        <v>5900</v>
      </c>
    </row>
    <row r="553" spans="1:8" x14ac:dyDescent="0.25">
      <c r="A553" s="13">
        <v>44476</v>
      </c>
      <c r="B553" s="15" t="s">
        <v>21</v>
      </c>
      <c r="C553" s="3">
        <v>14</v>
      </c>
      <c r="D553" s="13">
        <f t="shared" si="15"/>
        <v>44490</v>
      </c>
      <c r="E553" s="15">
        <v>1000</v>
      </c>
      <c r="F553" s="9">
        <v>5.3999999999999999E-2</v>
      </c>
      <c r="G553" s="9">
        <v>5.3999999999999999E-2</v>
      </c>
      <c r="H553" s="15">
        <f t="shared" si="16"/>
        <v>5900</v>
      </c>
    </row>
    <row r="554" spans="1:8" x14ac:dyDescent="0.25">
      <c r="A554" s="13">
        <v>44477</v>
      </c>
      <c r="B554" s="15" t="s">
        <v>21</v>
      </c>
      <c r="C554" s="3">
        <v>4</v>
      </c>
      <c r="D554" s="13">
        <f t="shared" si="15"/>
        <v>44481</v>
      </c>
      <c r="E554" s="15">
        <v>1700</v>
      </c>
      <c r="F554" s="9">
        <v>5.2499999999999998E-2</v>
      </c>
      <c r="G554" s="9">
        <v>5.2499999999999998E-2</v>
      </c>
      <c r="H554" s="15">
        <f t="shared" si="16"/>
        <v>8700</v>
      </c>
    </row>
    <row r="555" spans="1:8" x14ac:dyDescent="0.25">
      <c r="A555" s="13">
        <v>44477</v>
      </c>
      <c r="B555" s="15" t="s">
        <v>21</v>
      </c>
      <c r="C555" s="3">
        <v>5</v>
      </c>
      <c r="D555" s="13">
        <f t="shared" si="15"/>
        <v>44482</v>
      </c>
      <c r="E555" s="15">
        <v>1500</v>
      </c>
      <c r="F555" s="9">
        <v>5.2499999999999998E-2</v>
      </c>
      <c r="G555" s="9">
        <v>5.2499999999999998E-2</v>
      </c>
      <c r="H555" s="15">
        <f t="shared" si="16"/>
        <v>8700</v>
      </c>
    </row>
    <row r="556" spans="1:8" x14ac:dyDescent="0.25">
      <c r="A556" s="13">
        <v>44477</v>
      </c>
      <c r="B556" s="15" t="s">
        <v>21</v>
      </c>
      <c r="C556" s="3">
        <v>7</v>
      </c>
      <c r="D556" s="13">
        <f t="shared" si="15"/>
        <v>44484</v>
      </c>
      <c r="E556" s="15">
        <v>2000</v>
      </c>
      <c r="F556" s="9">
        <v>5.3499999999999999E-2</v>
      </c>
      <c r="G556" s="9">
        <v>5.3499999999999999E-2</v>
      </c>
      <c r="H556" s="15">
        <f t="shared" si="16"/>
        <v>8700</v>
      </c>
    </row>
    <row r="557" spans="1:8" x14ac:dyDescent="0.25">
      <c r="A557" s="13">
        <v>44477</v>
      </c>
      <c r="B557" s="15" t="s">
        <v>21</v>
      </c>
      <c r="C557" s="3">
        <v>14</v>
      </c>
      <c r="D557" s="13">
        <f t="shared" si="15"/>
        <v>44491</v>
      </c>
      <c r="E557" s="15">
        <v>1000</v>
      </c>
      <c r="F557" s="9">
        <v>5.3999999999999999E-2</v>
      </c>
      <c r="G557" s="9">
        <v>5.3999999999999999E-2</v>
      </c>
      <c r="H557" s="15">
        <f t="shared" si="16"/>
        <v>8700</v>
      </c>
    </row>
    <row r="558" spans="1:8" x14ac:dyDescent="0.25">
      <c r="A558" s="13">
        <v>44481</v>
      </c>
      <c r="B558" s="15" t="s">
        <v>21</v>
      </c>
      <c r="C558" s="3">
        <v>1</v>
      </c>
      <c r="D558" s="13">
        <f t="shared" si="15"/>
        <v>44482</v>
      </c>
      <c r="E558" s="15">
        <v>600</v>
      </c>
      <c r="F558" s="9">
        <v>5.2499999999999998E-2</v>
      </c>
      <c r="G558" s="9">
        <v>5.2499999999999998E-2</v>
      </c>
      <c r="H558" s="15">
        <f t="shared" si="16"/>
        <v>11000</v>
      </c>
    </row>
    <row r="559" spans="1:8" x14ac:dyDescent="0.25">
      <c r="A559" s="13">
        <v>44481</v>
      </c>
      <c r="B559" s="15" t="s">
        <v>21</v>
      </c>
      <c r="C559" s="3">
        <v>2</v>
      </c>
      <c r="D559" s="13">
        <f t="shared" si="15"/>
        <v>44483</v>
      </c>
      <c r="E559" s="15">
        <v>1600</v>
      </c>
      <c r="F559" s="9">
        <v>5.2499999999999998E-2</v>
      </c>
      <c r="G559" s="9">
        <v>5.2499999999999998E-2</v>
      </c>
      <c r="H559" s="15">
        <f t="shared" si="16"/>
        <v>11000</v>
      </c>
    </row>
    <row r="560" spans="1:8" x14ac:dyDescent="0.25">
      <c r="A560" s="13">
        <v>44481</v>
      </c>
      <c r="B560" s="15" t="s">
        <v>21</v>
      </c>
      <c r="C560" s="3">
        <v>7</v>
      </c>
      <c r="D560" s="13">
        <f t="shared" si="15"/>
        <v>44488</v>
      </c>
      <c r="E560" s="15">
        <v>2000</v>
      </c>
      <c r="F560" s="9">
        <v>5.3499999999999999E-2</v>
      </c>
      <c r="G560" s="9">
        <v>5.3499999999999999E-2</v>
      </c>
      <c r="H560" s="15">
        <f t="shared" si="16"/>
        <v>11000</v>
      </c>
    </row>
    <row r="561" spans="1:8" x14ac:dyDescent="0.25">
      <c r="A561" s="13">
        <v>44482</v>
      </c>
      <c r="B561" s="15" t="s">
        <v>21</v>
      </c>
      <c r="C561" s="3">
        <v>1</v>
      </c>
      <c r="D561" s="13">
        <f t="shared" si="15"/>
        <v>44483</v>
      </c>
      <c r="E561" s="15">
        <v>700</v>
      </c>
      <c r="F561" s="9">
        <v>5.2499999999999998E-2</v>
      </c>
      <c r="G561" s="9">
        <v>5.2499999999999998E-2</v>
      </c>
      <c r="H561" s="15">
        <f t="shared" si="16"/>
        <v>12900</v>
      </c>
    </row>
    <row r="562" spans="1:8" x14ac:dyDescent="0.25">
      <c r="A562" s="13">
        <v>44482</v>
      </c>
      <c r="B562" s="15" t="s">
        <v>21</v>
      </c>
      <c r="C562" s="3">
        <v>2</v>
      </c>
      <c r="D562" s="13">
        <f t="shared" si="15"/>
        <v>44484</v>
      </c>
      <c r="E562" s="15">
        <v>1300</v>
      </c>
      <c r="F562" s="9">
        <v>5.2499999999999998E-2</v>
      </c>
      <c r="G562" s="9">
        <v>5.2499999999999998E-2</v>
      </c>
      <c r="H562" s="15">
        <f t="shared" si="16"/>
        <v>12900</v>
      </c>
    </row>
    <row r="563" spans="1:8" x14ac:dyDescent="0.25">
      <c r="A563" s="13">
        <v>44482</v>
      </c>
      <c r="B563" s="15" t="s">
        <v>21</v>
      </c>
      <c r="C563" s="3">
        <v>7</v>
      </c>
      <c r="D563" s="13">
        <f t="shared" si="15"/>
        <v>44489</v>
      </c>
      <c r="E563" s="15">
        <v>2900</v>
      </c>
      <c r="F563" s="9">
        <v>5.3499999999999999E-2</v>
      </c>
      <c r="G563" s="9">
        <v>5.3499999999999999E-2</v>
      </c>
      <c r="H563" s="15">
        <f t="shared" si="16"/>
        <v>12900</v>
      </c>
    </row>
    <row r="564" spans="1:8" x14ac:dyDescent="0.25">
      <c r="A564" s="13">
        <v>44482</v>
      </c>
      <c r="B564" s="15" t="s">
        <v>21</v>
      </c>
      <c r="C564" s="3">
        <v>14</v>
      </c>
      <c r="D564" s="13">
        <f t="shared" si="15"/>
        <v>44496</v>
      </c>
      <c r="E564" s="15">
        <v>200</v>
      </c>
      <c r="F564" s="9">
        <v>5.3999999999999999E-2</v>
      </c>
      <c r="G564" s="9">
        <v>5.3999999999999999E-2</v>
      </c>
      <c r="H564" s="15">
        <f t="shared" si="16"/>
        <v>12900</v>
      </c>
    </row>
    <row r="565" spans="1:8" x14ac:dyDescent="0.25">
      <c r="A565" s="13">
        <v>44483</v>
      </c>
      <c r="B565" s="15" t="s">
        <v>21</v>
      </c>
      <c r="C565" s="3">
        <v>1</v>
      </c>
      <c r="D565" s="13">
        <f t="shared" si="15"/>
        <v>44484</v>
      </c>
      <c r="E565" s="15">
        <v>800</v>
      </c>
      <c r="F565" s="9">
        <v>5.2499999999999998E-2</v>
      </c>
      <c r="G565" s="9">
        <v>5.2499999999999998E-2</v>
      </c>
      <c r="H565" s="15">
        <f t="shared" si="16"/>
        <v>13900</v>
      </c>
    </row>
    <row r="566" spans="1:8" x14ac:dyDescent="0.25">
      <c r="A566" s="13">
        <v>44483</v>
      </c>
      <c r="B566" s="15" t="s">
        <v>21</v>
      </c>
      <c r="C566" s="3">
        <v>4</v>
      </c>
      <c r="D566" s="13">
        <f t="shared" si="15"/>
        <v>44487</v>
      </c>
      <c r="E566" s="15">
        <v>1500</v>
      </c>
      <c r="F566" s="9">
        <v>5.2499999999999998E-2</v>
      </c>
      <c r="G566" s="9">
        <v>5.2499999999999998E-2</v>
      </c>
      <c r="H566" s="15">
        <f t="shared" si="16"/>
        <v>13900</v>
      </c>
    </row>
    <row r="567" spans="1:8" x14ac:dyDescent="0.25">
      <c r="A567" s="13">
        <v>44483</v>
      </c>
      <c r="B567" s="15" t="s">
        <v>21</v>
      </c>
      <c r="C567" s="3">
        <v>8</v>
      </c>
      <c r="D567" s="13">
        <f t="shared" si="15"/>
        <v>44491</v>
      </c>
      <c r="E567" s="15">
        <v>1200</v>
      </c>
      <c r="F567" s="9">
        <v>5.3499999999999999E-2</v>
      </c>
      <c r="G567" s="9">
        <v>5.3499999999999999E-2</v>
      </c>
      <c r="H567" s="15">
        <f t="shared" si="16"/>
        <v>13900</v>
      </c>
    </row>
    <row r="568" spans="1:8" x14ac:dyDescent="0.25">
      <c r="A568" s="13">
        <v>44484</v>
      </c>
      <c r="B568" s="15" t="s">
        <v>21</v>
      </c>
      <c r="C568" s="3">
        <v>3</v>
      </c>
      <c r="D568" s="13">
        <f t="shared" si="15"/>
        <v>44487</v>
      </c>
      <c r="E568" s="15">
        <v>1200</v>
      </c>
      <c r="F568" s="9">
        <v>5.2499999999999998E-2</v>
      </c>
      <c r="G568" s="9">
        <v>5.2499999999999998E-2</v>
      </c>
      <c r="H568" s="15">
        <f t="shared" si="16"/>
        <v>17700</v>
      </c>
    </row>
    <row r="569" spans="1:8" x14ac:dyDescent="0.25">
      <c r="A569" s="13">
        <v>44484</v>
      </c>
      <c r="B569" s="15" t="s">
        <v>21</v>
      </c>
      <c r="C569" s="3">
        <v>4</v>
      </c>
      <c r="D569" s="13">
        <f t="shared" si="15"/>
        <v>44488</v>
      </c>
      <c r="E569" s="15">
        <v>4300</v>
      </c>
      <c r="F569" s="9">
        <v>5.2499999999999998E-2</v>
      </c>
      <c r="G569" s="9">
        <v>5.2499999999999998E-2</v>
      </c>
      <c r="H569" s="15">
        <f t="shared" si="16"/>
        <v>17700</v>
      </c>
    </row>
    <row r="570" spans="1:8" x14ac:dyDescent="0.25">
      <c r="A570" s="13">
        <v>44484</v>
      </c>
      <c r="B570" s="15" t="s">
        <v>21</v>
      </c>
      <c r="C570" s="3">
        <v>7</v>
      </c>
      <c r="D570" s="13">
        <f t="shared" si="15"/>
        <v>44491</v>
      </c>
      <c r="E570" s="15">
        <v>1800</v>
      </c>
      <c r="F570" s="9">
        <v>5.3499999999999999E-2</v>
      </c>
      <c r="G570" s="9">
        <v>5.3499999999999999E-2</v>
      </c>
      <c r="H570" s="15">
        <f t="shared" si="16"/>
        <v>17700</v>
      </c>
    </row>
    <row r="571" spans="1:8" x14ac:dyDescent="0.25">
      <c r="A571" s="13">
        <v>44484</v>
      </c>
      <c r="B571" s="15" t="s">
        <v>21</v>
      </c>
      <c r="C571" s="3">
        <v>14</v>
      </c>
      <c r="D571" s="13">
        <f t="shared" si="15"/>
        <v>44498</v>
      </c>
      <c r="E571" s="15">
        <v>600</v>
      </c>
      <c r="F571" s="9">
        <v>5.3999999999999999E-2</v>
      </c>
      <c r="G571" s="9">
        <v>5.3999999999999999E-2</v>
      </c>
      <c r="H571" s="15">
        <f t="shared" si="16"/>
        <v>17700</v>
      </c>
    </row>
    <row r="572" spans="1:8" x14ac:dyDescent="0.25">
      <c r="A572" s="13">
        <v>44487</v>
      </c>
      <c r="B572" s="15" t="s">
        <v>21</v>
      </c>
      <c r="C572" s="3">
        <v>2</v>
      </c>
      <c r="D572" s="13">
        <v>44489</v>
      </c>
      <c r="E572" s="15">
        <v>2100</v>
      </c>
      <c r="F572" s="9">
        <v>5.2499999999999998E-2</v>
      </c>
      <c r="G572" s="9">
        <v>5.2499999999999998E-2</v>
      </c>
      <c r="H572" s="15">
        <f t="shared" si="16"/>
        <v>19700</v>
      </c>
    </row>
    <row r="573" spans="1:8" x14ac:dyDescent="0.25">
      <c r="A573" s="13">
        <v>44487</v>
      </c>
      <c r="B573" s="15" t="s">
        <v>21</v>
      </c>
      <c r="C573" s="3">
        <v>7</v>
      </c>
      <c r="D573" s="13">
        <v>44494</v>
      </c>
      <c r="E573" s="15">
        <v>1400</v>
      </c>
      <c r="F573" s="9">
        <v>5.3499999999999999E-2</v>
      </c>
      <c r="G573" s="9">
        <v>5.3499999999999999E-2</v>
      </c>
      <c r="H573" s="15">
        <f t="shared" si="16"/>
        <v>19700</v>
      </c>
    </row>
    <row r="574" spans="1:8" x14ac:dyDescent="0.25">
      <c r="A574" s="13">
        <v>44487</v>
      </c>
      <c r="B574" s="15" t="s">
        <v>21</v>
      </c>
      <c r="C574" s="3">
        <v>14</v>
      </c>
      <c r="D574" s="13">
        <v>44501</v>
      </c>
      <c r="E574" s="15">
        <v>1200</v>
      </c>
      <c r="F574" s="9">
        <v>5.3999999999999999E-2</v>
      </c>
      <c r="G574" s="9">
        <v>5.3999999999999999E-2</v>
      </c>
      <c r="H574" s="15">
        <f t="shared" si="16"/>
        <v>19700</v>
      </c>
    </row>
    <row r="575" spans="1:8" x14ac:dyDescent="0.25">
      <c r="A575" s="13">
        <v>44488</v>
      </c>
      <c r="B575" s="15" t="s">
        <v>21</v>
      </c>
      <c r="C575" s="3">
        <v>1</v>
      </c>
      <c r="D575" s="13">
        <v>44489</v>
      </c>
      <c r="E575" s="15">
        <v>200</v>
      </c>
      <c r="F575" s="9">
        <v>5.2499999999999998E-2</v>
      </c>
      <c r="G575" s="9">
        <v>5.2499999999999998E-2</v>
      </c>
      <c r="H575" s="15">
        <f t="shared" si="16"/>
        <v>15900</v>
      </c>
    </row>
    <row r="576" spans="1:8" x14ac:dyDescent="0.25">
      <c r="A576" s="13">
        <v>44488</v>
      </c>
      <c r="B576" s="15" t="s">
        <v>21</v>
      </c>
      <c r="C576" s="3">
        <v>2</v>
      </c>
      <c r="D576" s="13">
        <v>44490</v>
      </c>
      <c r="E576" s="15">
        <v>1500</v>
      </c>
      <c r="F576" s="9">
        <v>5.2499999999999998E-2</v>
      </c>
      <c r="G576" s="9">
        <v>5.2499999999999998E-2</v>
      </c>
      <c r="H576" s="15">
        <f t="shared" si="16"/>
        <v>15900</v>
      </c>
    </row>
    <row r="577" spans="1:8" x14ac:dyDescent="0.25">
      <c r="A577" s="13">
        <v>44488</v>
      </c>
      <c r="B577" s="15" t="s">
        <v>21</v>
      </c>
      <c r="C577" s="3">
        <v>6</v>
      </c>
      <c r="D577" s="13">
        <v>44494</v>
      </c>
      <c r="E577" s="15">
        <v>200</v>
      </c>
      <c r="F577" s="9">
        <v>5.2999999999999999E-2</v>
      </c>
      <c r="G577" s="9">
        <v>5.2999999999999999E-2</v>
      </c>
      <c r="H577" s="15">
        <f t="shared" si="16"/>
        <v>15900</v>
      </c>
    </row>
    <row r="578" spans="1:8" x14ac:dyDescent="0.25">
      <c r="A578" s="13">
        <v>44488</v>
      </c>
      <c r="B578" s="15" t="s">
        <v>21</v>
      </c>
      <c r="C578" s="3">
        <v>7</v>
      </c>
      <c r="D578" s="13">
        <v>44495</v>
      </c>
      <c r="E578" s="15">
        <v>200</v>
      </c>
      <c r="F578" s="9">
        <v>5.3499999999999999E-2</v>
      </c>
      <c r="G578" s="9">
        <v>5.3499999999999999E-2</v>
      </c>
      <c r="H578" s="15">
        <f t="shared" si="16"/>
        <v>15900</v>
      </c>
    </row>
    <row r="579" spans="1:8" x14ac:dyDescent="0.25">
      <c r="A579" s="13">
        <v>44488</v>
      </c>
      <c r="B579" s="15" t="s">
        <v>21</v>
      </c>
      <c r="C579" s="3">
        <v>13</v>
      </c>
      <c r="D579" s="13">
        <v>44501</v>
      </c>
      <c r="E579" s="15">
        <v>400</v>
      </c>
      <c r="F579" s="9">
        <v>5.3999999999999999E-2</v>
      </c>
      <c r="G579" s="9">
        <v>5.3999999999999999E-2</v>
      </c>
      <c r="H579" s="15">
        <f t="shared" si="16"/>
        <v>15900</v>
      </c>
    </row>
    <row r="580" spans="1:8" x14ac:dyDescent="0.25">
      <c r="A580" s="13">
        <v>44489</v>
      </c>
      <c r="B580" s="15" t="s">
        <v>21</v>
      </c>
      <c r="C580" s="3">
        <v>2</v>
      </c>
      <c r="D580" s="13">
        <v>44491</v>
      </c>
      <c r="E580" s="15">
        <v>1200</v>
      </c>
      <c r="F580" s="9">
        <v>5.2499999999999998E-2</v>
      </c>
      <c r="G580" s="9">
        <v>5.2499999999999998E-2</v>
      </c>
      <c r="H580" s="15">
        <f t="shared" si="16"/>
        <v>14600</v>
      </c>
    </row>
    <row r="581" spans="1:8" x14ac:dyDescent="0.25">
      <c r="A581" s="13">
        <v>44489</v>
      </c>
      <c r="B581" s="15" t="s">
        <v>21</v>
      </c>
      <c r="C581" s="3">
        <v>7</v>
      </c>
      <c r="D581" s="13">
        <v>44496</v>
      </c>
      <c r="E581" s="15">
        <v>2000</v>
      </c>
      <c r="F581" s="9">
        <v>5.3499999999999999E-2</v>
      </c>
      <c r="G581" s="9">
        <v>5.3499999999999999E-2</v>
      </c>
      <c r="H581" s="15">
        <f t="shared" si="16"/>
        <v>14600</v>
      </c>
    </row>
    <row r="582" spans="1:8" x14ac:dyDescent="0.25">
      <c r="A582" s="13">
        <v>44489</v>
      </c>
      <c r="B582" s="15" t="s">
        <v>21</v>
      </c>
      <c r="C582" s="3">
        <v>12</v>
      </c>
      <c r="D582" s="13">
        <v>44501</v>
      </c>
      <c r="E582" s="15">
        <v>700</v>
      </c>
      <c r="F582" s="9">
        <v>5.3999999999999999E-2</v>
      </c>
      <c r="G582" s="9">
        <v>5.3999999999999999E-2</v>
      </c>
      <c r="H582" s="15">
        <f t="shared" si="16"/>
        <v>14600</v>
      </c>
    </row>
    <row r="583" spans="1:8" x14ac:dyDescent="0.25">
      <c r="A583" s="13">
        <v>44490</v>
      </c>
      <c r="B583" s="15" t="s">
        <v>21</v>
      </c>
      <c r="C583" s="3">
        <v>1</v>
      </c>
      <c r="D583" s="13">
        <f>+A583+C583</f>
        <v>44491</v>
      </c>
      <c r="E583" s="15">
        <v>400</v>
      </c>
      <c r="F583" s="9">
        <v>5.2499999999999998E-2</v>
      </c>
      <c r="G583" s="9">
        <v>5.2499999999999998E-2</v>
      </c>
      <c r="H583" s="15">
        <f t="shared" si="16"/>
        <v>14200</v>
      </c>
    </row>
    <row r="584" spans="1:8" x14ac:dyDescent="0.25">
      <c r="A584" s="13">
        <v>44490</v>
      </c>
      <c r="B584" s="15" t="s">
        <v>21</v>
      </c>
      <c r="C584" s="3">
        <v>4</v>
      </c>
      <c r="D584" s="13">
        <f>+A584+C584</f>
        <v>44494</v>
      </c>
      <c r="E584" s="15">
        <v>1100</v>
      </c>
      <c r="F584" s="9">
        <v>5.2499999999999998E-2</v>
      </c>
      <c r="G584" s="9">
        <v>5.2499999999999998E-2</v>
      </c>
      <c r="H584" s="15">
        <f t="shared" si="16"/>
        <v>14200</v>
      </c>
    </row>
    <row r="585" spans="1:8" x14ac:dyDescent="0.25">
      <c r="A585" s="13">
        <v>44490</v>
      </c>
      <c r="B585" s="15" t="s">
        <v>21</v>
      </c>
      <c r="C585" s="3">
        <v>5</v>
      </c>
      <c r="D585" s="13">
        <f>+A585+C585</f>
        <v>44495</v>
      </c>
      <c r="E585" s="15">
        <v>200</v>
      </c>
      <c r="F585" s="9">
        <v>5.2499999999999998E-2</v>
      </c>
      <c r="G585" s="9">
        <v>5.2499999999999998E-2</v>
      </c>
      <c r="H585" s="15">
        <f t="shared" si="16"/>
        <v>14200</v>
      </c>
    </row>
    <row r="586" spans="1:8" x14ac:dyDescent="0.25">
      <c r="A586" s="13">
        <v>44490</v>
      </c>
      <c r="B586" s="15" t="s">
        <v>21</v>
      </c>
      <c r="C586" s="3">
        <v>11</v>
      </c>
      <c r="D586" s="13">
        <f>+A586+C586</f>
        <v>44501</v>
      </c>
      <c r="E586" s="15">
        <v>400</v>
      </c>
      <c r="F586" s="9">
        <v>5.3999999999999999E-2</v>
      </c>
      <c r="G586" s="9">
        <v>5.3999999999999999E-2</v>
      </c>
      <c r="H586" s="15">
        <f t="shared" ref="H586:H649" si="17">+SUMIFS($E$10:$E$4503,$A$10:$A$4503,"&lt;="&amp;A586,$D$10:$D$4503,"&gt;"&amp;A586)</f>
        <v>14200</v>
      </c>
    </row>
    <row r="587" spans="1:8" x14ac:dyDescent="0.25">
      <c r="A587" s="13">
        <v>44491</v>
      </c>
      <c r="B587" s="15" t="s">
        <v>21</v>
      </c>
      <c r="C587" s="3">
        <v>3</v>
      </c>
      <c r="D587" s="13">
        <f t="shared" ref="D587:D607" si="18">+A587+C587</f>
        <v>44494</v>
      </c>
      <c r="E587" s="15">
        <v>2700</v>
      </c>
      <c r="F587" s="9">
        <v>5.1999999999999998E-2</v>
      </c>
      <c r="G587" s="9">
        <v>5.2499999999999998E-2</v>
      </c>
      <c r="H587" s="15">
        <f t="shared" si="17"/>
        <v>19100</v>
      </c>
    </row>
    <row r="588" spans="1:8" x14ac:dyDescent="0.25">
      <c r="A588" s="13">
        <v>44491</v>
      </c>
      <c r="B588" s="15" t="s">
        <v>21</v>
      </c>
      <c r="C588" s="3">
        <v>4</v>
      </c>
      <c r="D588" s="13">
        <f t="shared" si="18"/>
        <v>44495</v>
      </c>
      <c r="E588" s="15">
        <v>4700</v>
      </c>
      <c r="F588" s="9">
        <v>5.2499999999999998E-2</v>
      </c>
      <c r="G588" s="9">
        <v>5.2499999999999998E-2</v>
      </c>
      <c r="H588" s="15">
        <f t="shared" si="17"/>
        <v>19100</v>
      </c>
    </row>
    <row r="589" spans="1:8" x14ac:dyDescent="0.25">
      <c r="A589" s="13">
        <v>44491</v>
      </c>
      <c r="B589" s="15" t="s">
        <v>21</v>
      </c>
      <c r="C589" s="3">
        <v>7</v>
      </c>
      <c r="D589" s="13">
        <f t="shared" si="18"/>
        <v>44498</v>
      </c>
      <c r="E589" s="15">
        <v>1600</v>
      </c>
      <c r="F589" s="9">
        <v>5.3499999999999999E-2</v>
      </c>
      <c r="G589" s="9">
        <v>5.3499999999999999E-2</v>
      </c>
      <c r="H589" s="15">
        <f t="shared" si="17"/>
        <v>19100</v>
      </c>
    </row>
    <row r="590" spans="1:8" x14ac:dyDescent="0.25">
      <c r="A590" s="13">
        <v>44491</v>
      </c>
      <c r="B590" s="15" t="s">
        <v>21</v>
      </c>
      <c r="C590" s="3">
        <v>10</v>
      </c>
      <c r="D590" s="13">
        <f t="shared" si="18"/>
        <v>44501</v>
      </c>
      <c r="E590" s="15">
        <v>1500</v>
      </c>
      <c r="F590" s="9">
        <v>5.3999999999999999E-2</v>
      </c>
      <c r="G590" s="9">
        <v>5.3999999999999999E-2</v>
      </c>
      <c r="H590" s="15">
        <f t="shared" si="17"/>
        <v>19100</v>
      </c>
    </row>
    <row r="591" spans="1:8" x14ac:dyDescent="0.25">
      <c r="A591" s="13">
        <v>44494</v>
      </c>
      <c r="B591" s="15" t="s">
        <v>21</v>
      </c>
      <c r="C591" s="3">
        <v>2</v>
      </c>
      <c r="D591" s="13">
        <f t="shared" si="18"/>
        <v>44496</v>
      </c>
      <c r="E591" s="15">
        <v>2000</v>
      </c>
      <c r="F591" s="9">
        <v>5.2499999999999998E-2</v>
      </c>
      <c r="G591" s="9">
        <v>5.2499999999999998E-2</v>
      </c>
      <c r="H591" s="15">
        <f t="shared" si="17"/>
        <v>16700</v>
      </c>
    </row>
    <row r="592" spans="1:8" x14ac:dyDescent="0.25">
      <c r="A592" s="13">
        <v>44494</v>
      </c>
      <c r="B592" s="15" t="s">
        <v>21</v>
      </c>
      <c r="C592" s="3">
        <v>7</v>
      </c>
      <c r="D592" s="13">
        <f t="shared" si="18"/>
        <v>44501</v>
      </c>
      <c r="E592" s="15">
        <v>1000</v>
      </c>
      <c r="F592" s="9">
        <v>5.3499999999999999E-2</v>
      </c>
      <c r="G592" s="9">
        <v>5.3499999999999999E-2</v>
      </c>
      <c r="H592" s="15">
        <f t="shared" si="17"/>
        <v>16700</v>
      </c>
    </row>
    <row r="593" spans="1:8" x14ac:dyDescent="0.25">
      <c r="A593" s="13">
        <v>44495</v>
      </c>
      <c r="B593" s="15" t="s">
        <v>21</v>
      </c>
      <c r="C593" s="3">
        <v>2</v>
      </c>
      <c r="D593" s="13">
        <f t="shared" si="18"/>
        <v>44497</v>
      </c>
      <c r="E593" s="15">
        <v>2000</v>
      </c>
      <c r="F593" s="9">
        <v>5.2499999999999998E-2</v>
      </c>
      <c r="G593" s="9">
        <v>5.2499999999999998E-2</v>
      </c>
      <c r="H593" s="15">
        <f t="shared" si="17"/>
        <v>14400</v>
      </c>
    </row>
    <row r="594" spans="1:8" x14ac:dyDescent="0.25">
      <c r="A594" s="13">
        <v>44495</v>
      </c>
      <c r="B594" s="15" t="s">
        <v>21</v>
      </c>
      <c r="C594" s="3">
        <v>6</v>
      </c>
      <c r="D594" s="13">
        <f t="shared" si="18"/>
        <v>44501</v>
      </c>
      <c r="E594" s="15">
        <v>800</v>
      </c>
      <c r="F594" s="9">
        <v>5.3499999999999999E-2</v>
      </c>
      <c r="G594" s="9">
        <v>5.3499999999999999E-2</v>
      </c>
      <c r="H594" s="15">
        <f t="shared" si="17"/>
        <v>14400</v>
      </c>
    </row>
    <row r="595" spans="1:8" x14ac:dyDescent="0.25">
      <c r="A595" s="13">
        <v>44496</v>
      </c>
      <c r="B595" s="15" t="s">
        <v>21</v>
      </c>
      <c r="C595" s="3">
        <v>2</v>
      </c>
      <c r="D595" s="13">
        <f t="shared" si="18"/>
        <v>44498</v>
      </c>
      <c r="E595" s="15">
        <v>200</v>
      </c>
      <c r="F595" s="9">
        <v>5.2499999999999998E-2</v>
      </c>
      <c r="G595" s="9">
        <v>5.2499999999999998E-2</v>
      </c>
      <c r="H595" s="15">
        <f t="shared" si="17"/>
        <v>10600</v>
      </c>
    </row>
    <row r="596" spans="1:8" x14ac:dyDescent="0.25">
      <c r="A596" s="13">
        <v>44496</v>
      </c>
      <c r="B596" s="15" t="s">
        <v>21</v>
      </c>
      <c r="C596" s="3">
        <v>5</v>
      </c>
      <c r="D596" s="13">
        <f t="shared" si="18"/>
        <v>44501</v>
      </c>
      <c r="E596" s="15">
        <v>200</v>
      </c>
      <c r="F596" s="9">
        <v>5.2999999999999999E-2</v>
      </c>
      <c r="G596" s="9">
        <v>5.2999999999999999E-2</v>
      </c>
      <c r="H596" s="15">
        <f t="shared" si="17"/>
        <v>10600</v>
      </c>
    </row>
    <row r="597" spans="1:8" x14ac:dyDescent="0.25">
      <c r="A597" s="13">
        <v>44498</v>
      </c>
      <c r="B597" s="15" t="s">
        <v>21</v>
      </c>
      <c r="C597" s="3">
        <v>3</v>
      </c>
      <c r="D597" s="13">
        <f t="shared" si="18"/>
        <v>44501</v>
      </c>
      <c r="E597" s="15">
        <v>2000</v>
      </c>
      <c r="F597" s="9">
        <v>5.2499999999999998E-2</v>
      </c>
      <c r="G597" s="9">
        <v>5.2499999999999998E-2</v>
      </c>
      <c r="H597" s="15">
        <f t="shared" si="17"/>
        <v>10200</v>
      </c>
    </row>
    <row r="598" spans="1:8" x14ac:dyDescent="0.25">
      <c r="A598" s="13">
        <v>44498</v>
      </c>
      <c r="B598" s="15" t="s">
        <v>21</v>
      </c>
      <c r="C598" s="3">
        <v>5</v>
      </c>
      <c r="D598" s="13">
        <f t="shared" si="18"/>
        <v>44503</v>
      </c>
      <c r="E598" s="15">
        <v>2000</v>
      </c>
      <c r="F598" s="9">
        <v>5.2499999999999998E-2</v>
      </c>
      <c r="G598" s="9">
        <v>5.2499999999999998E-2</v>
      </c>
      <c r="H598" s="15">
        <f t="shared" si="17"/>
        <v>10200</v>
      </c>
    </row>
    <row r="599" spans="1:8" x14ac:dyDescent="0.25">
      <c r="A599" s="13">
        <v>44501</v>
      </c>
      <c r="B599" s="15" t="s">
        <v>21</v>
      </c>
      <c r="C599" s="3">
        <v>3</v>
      </c>
      <c r="D599" s="13">
        <f t="shared" si="18"/>
        <v>44504</v>
      </c>
      <c r="E599" s="15">
        <v>-200</v>
      </c>
      <c r="F599" s="9">
        <v>5.3999999999999999E-2</v>
      </c>
      <c r="G599" s="9">
        <v>5.3999999999999999E-2</v>
      </c>
      <c r="H599" s="15">
        <f t="shared" si="17"/>
        <v>1800</v>
      </c>
    </row>
    <row r="600" spans="1:8" x14ac:dyDescent="0.25">
      <c r="A600" s="13">
        <v>44503</v>
      </c>
      <c r="B600" s="15" t="s">
        <v>21</v>
      </c>
      <c r="C600" s="3">
        <v>2</v>
      </c>
      <c r="D600" s="13">
        <f t="shared" si="18"/>
        <v>44505</v>
      </c>
      <c r="E600" s="15">
        <v>600</v>
      </c>
      <c r="F600" s="9">
        <v>5.2499999999999998E-2</v>
      </c>
      <c r="G600" s="9">
        <v>5.2499999999999998E-2</v>
      </c>
      <c r="H600" s="15">
        <f t="shared" si="17"/>
        <v>400</v>
      </c>
    </row>
    <row r="601" spans="1:8" x14ac:dyDescent="0.25">
      <c r="A601" s="13">
        <v>44505</v>
      </c>
      <c r="B601" s="15" t="s">
        <v>21</v>
      </c>
      <c r="C601" s="3">
        <v>7</v>
      </c>
      <c r="D601" s="13">
        <f t="shared" si="18"/>
        <v>44512</v>
      </c>
      <c r="E601" s="15">
        <v>1000</v>
      </c>
      <c r="F601" s="9">
        <v>5.3499999999999999E-2</v>
      </c>
      <c r="G601" s="9">
        <v>5.3499999999999999E-2</v>
      </c>
      <c r="H601" s="15">
        <f t="shared" si="17"/>
        <v>1000</v>
      </c>
    </row>
    <row r="602" spans="1:8" x14ac:dyDescent="0.25">
      <c r="A602" s="13">
        <v>44508</v>
      </c>
      <c r="B602" s="15" t="s">
        <v>21</v>
      </c>
      <c r="C602" s="3">
        <v>7</v>
      </c>
      <c r="D602" s="13">
        <f t="shared" si="18"/>
        <v>44515</v>
      </c>
      <c r="E602" s="15">
        <v>1200</v>
      </c>
      <c r="F602" s="9">
        <v>5.3499999999999999E-2</v>
      </c>
      <c r="G602" s="9">
        <v>5.3499999999999999E-2</v>
      </c>
      <c r="H602" s="15">
        <f t="shared" si="17"/>
        <v>2200</v>
      </c>
    </row>
    <row r="603" spans="1:8" x14ac:dyDescent="0.25">
      <c r="A603" s="13">
        <v>44510</v>
      </c>
      <c r="B603" s="15" t="s">
        <v>21</v>
      </c>
      <c r="C603" s="3">
        <v>2</v>
      </c>
      <c r="D603" s="13">
        <f t="shared" si="18"/>
        <v>44512</v>
      </c>
      <c r="E603" s="15">
        <v>1200</v>
      </c>
      <c r="F603" s="9">
        <v>5.2499999999999998E-2</v>
      </c>
      <c r="G603" s="9">
        <v>5.2499999999999998E-2</v>
      </c>
      <c r="H603" s="15">
        <f t="shared" si="17"/>
        <v>3400</v>
      </c>
    </row>
    <row r="604" spans="1:8" x14ac:dyDescent="0.25">
      <c r="A604" s="13">
        <v>44512</v>
      </c>
      <c r="B604" s="15" t="s">
        <v>21</v>
      </c>
      <c r="C604" s="3">
        <v>3</v>
      </c>
      <c r="D604" s="13">
        <f t="shared" si="18"/>
        <v>44515</v>
      </c>
      <c r="E604" s="15">
        <v>2990</v>
      </c>
      <c r="F604" s="9">
        <v>5.7000000000000002E-2</v>
      </c>
      <c r="G604" s="9">
        <v>5.7500000000000002E-2</v>
      </c>
      <c r="H604" s="15">
        <f t="shared" si="17"/>
        <v>12690</v>
      </c>
    </row>
    <row r="605" spans="1:8" x14ac:dyDescent="0.25">
      <c r="A605" s="13">
        <v>44512</v>
      </c>
      <c r="B605" s="15" t="s">
        <v>21</v>
      </c>
      <c r="C605" s="3">
        <v>4</v>
      </c>
      <c r="D605" s="13">
        <f t="shared" si="18"/>
        <v>44516</v>
      </c>
      <c r="E605" s="15">
        <v>1700</v>
      </c>
      <c r="F605" s="9">
        <v>5.7500000000000002E-2</v>
      </c>
      <c r="G605" s="9">
        <v>5.7500000000000002E-2</v>
      </c>
      <c r="H605" s="15">
        <f t="shared" si="17"/>
        <v>12690</v>
      </c>
    </row>
    <row r="606" spans="1:8" x14ac:dyDescent="0.25">
      <c r="A606" s="13">
        <v>44512</v>
      </c>
      <c r="B606" s="15" t="s">
        <v>21</v>
      </c>
      <c r="C606" s="3">
        <v>7</v>
      </c>
      <c r="D606" s="13">
        <f t="shared" si="18"/>
        <v>44519</v>
      </c>
      <c r="E606" s="15">
        <v>5100</v>
      </c>
      <c r="F606" s="9">
        <v>5.8500000000000003E-2</v>
      </c>
      <c r="G606" s="9">
        <v>5.8500000000000003E-2</v>
      </c>
      <c r="H606" s="15">
        <f t="shared" si="17"/>
        <v>12690</v>
      </c>
    </row>
    <row r="607" spans="1:8" x14ac:dyDescent="0.25">
      <c r="A607" s="13">
        <v>44512</v>
      </c>
      <c r="B607" s="15" t="s">
        <v>21</v>
      </c>
      <c r="C607" s="3">
        <v>14</v>
      </c>
      <c r="D607" s="13">
        <f t="shared" si="18"/>
        <v>44526</v>
      </c>
      <c r="E607" s="15">
        <v>1700</v>
      </c>
      <c r="F607" s="9">
        <v>5.8999999999999997E-2</v>
      </c>
      <c r="G607" s="9">
        <v>5.8999999999999997E-2</v>
      </c>
      <c r="H607" s="15">
        <f t="shared" si="17"/>
        <v>12690</v>
      </c>
    </row>
    <row r="608" spans="1:8" x14ac:dyDescent="0.25">
      <c r="A608" s="13">
        <v>44515</v>
      </c>
      <c r="B608" s="15" t="s">
        <v>21</v>
      </c>
      <c r="C608" s="3">
        <v>2</v>
      </c>
      <c r="D608" s="13">
        <v>44517</v>
      </c>
      <c r="E608" s="15">
        <v>3400</v>
      </c>
      <c r="F608" s="9">
        <v>5.7500000000000002E-2</v>
      </c>
      <c r="G608" s="9">
        <v>5.7500000000000002E-2</v>
      </c>
      <c r="H608" s="15">
        <f t="shared" si="17"/>
        <v>15820</v>
      </c>
    </row>
    <row r="609" spans="1:8" x14ac:dyDescent="0.25">
      <c r="A609" s="13">
        <v>44515</v>
      </c>
      <c r="B609" s="15" t="s">
        <v>21</v>
      </c>
      <c r="C609" s="3">
        <v>3</v>
      </c>
      <c r="D609" s="13">
        <v>44518</v>
      </c>
      <c r="E609" s="15">
        <v>400</v>
      </c>
      <c r="F609" s="9">
        <v>5.7500000000000002E-2</v>
      </c>
      <c r="G609" s="9">
        <v>5.7500000000000002E-2</v>
      </c>
      <c r="H609" s="15">
        <f t="shared" si="17"/>
        <v>15820</v>
      </c>
    </row>
    <row r="610" spans="1:8" x14ac:dyDescent="0.25">
      <c r="A610" s="13">
        <v>44515</v>
      </c>
      <c r="B610" s="15" t="s">
        <v>21</v>
      </c>
      <c r="C610" s="3">
        <v>7</v>
      </c>
      <c r="D610" s="13">
        <v>44522</v>
      </c>
      <c r="E610" s="15">
        <v>2500</v>
      </c>
      <c r="F610" s="9">
        <v>5.8500000000000003E-2</v>
      </c>
      <c r="G610" s="9">
        <v>5.8500000000000003E-2</v>
      </c>
      <c r="H610" s="15">
        <f t="shared" si="17"/>
        <v>15820</v>
      </c>
    </row>
    <row r="611" spans="1:8" x14ac:dyDescent="0.25">
      <c r="A611" s="13">
        <v>44515</v>
      </c>
      <c r="B611" s="15" t="s">
        <v>21</v>
      </c>
      <c r="C611" s="3">
        <v>16</v>
      </c>
      <c r="D611" s="13">
        <v>44531</v>
      </c>
      <c r="E611" s="15">
        <v>1020</v>
      </c>
      <c r="F611" s="9">
        <v>6.0499999999999998E-2</v>
      </c>
      <c r="G611" s="9">
        <v>6.0499999999999998E-2</v>
      </c>
      <c r="H611" s="15">
        <f t="shared" si="17"/>
        <v>15820</v>
      </c>
    </row>
    <row r="612" spans="1:8" x14ac:dyDescent="0.25">
      <c r="A612" s="13">
        <v>44516</v>
      </c>
      <c r="B612" s="15" t="s">
        <v>21</v>
      </c>
      <c r="C612" s="3">
        <v>1</v>
      </c>
      <c r="D612" s="13">
        <v>44517</v>
      </c>
      <c r="E612" s="15">
        <v>650</v>
      </c>
      <c r="F612" s="9">
        <v>5.7500000000000002E-2</v>
      </c>
      <c r="G612" s="9">
        <v>5.7500000000000002E-2</v>
      </c>
      <c r="H612" s="15">
        <f t="shared" si="17"/>
        <v>18940</v>
      </c>
    </row>
    <row r="613" spans="1:8" x14ac:dyDescent="0.25">
      <c r="A613" s="13">
        <v>44516</v>
      </c>
      <c r="B613" s="15" t="s">
        <v>21</v>
      </c>
      <c r="C613" s="3">
        <v>2</v>
      </c>
      <c r="D613" s="13">
        <v>44518</v>
      </c>
      <c r="E613" s="15">
        <v>1070</v>
      </c>
      <c r="F613" s="9">
        <v>5.7500000000000002E-2</v>
      </c>
      <c r="G613" s="9">
        <v>5.7500000000000002E-2</v>
      </c>
      <c r="H613" s="15">
        <f t="shared" si="17"/>
        <v>18940</v>
      </c>
    </row>
    <row r="614" spans="1:8" x14ac:dyDescent="0.25">
      <c r="A614" s="13">
        <v>44516</v>
      </c>
      <c r="B614" s="15" t="s">
        <v>21</v>
      </c>
      <c r="C614" s="3">
        <v>7</v>
      </c>
      <c r="D614" s="13">
        <v>44523</v>
      </c>
      <c r="E614" s="15">
        <v>2800</v>
      </c>
      <c r="F614" s="9">
        <v>5.8500000000000003E-2</v>
      </c>
      <c r="G614" s="9">
        <v>5.8500000000000003E-2</v>
      </c>
      <c r="H614" s="15">
        <f t="shared" si="17"/>
        <v>18940</v>
      </c>
    </row>
    <row r="615" spans="1:8" x14ac:dyDescent="0.25">
      <c r="A615" s="13">
        <v>44516</v>
      </c>
      <c r="B615" s="15" t="s">
        <v>21</v>
      </c>
      <c r="C615" s="3">
        <v>15</v>
      </c>
      <c r="D615" s="13">
        <v>44531</v>
      </c>
      <c r="E615" s="15">
        <v>300</v>
      </c>
      <c r="F615" s="9">
        <v>6.0499999999999998E-2</v>
      </c>
      <c r="G615" s="9">
        <v>6.0499999999999998E-2</v>
      </c>
      <c r="H615" s="15">
        <f t="shared" si="17"/>
        <v>18940</v>
      </c>
    </row>
    <row r="616" spans="1:8" x14ac:dyDescent="0.25">
      <c r="A616" s="13">
        <v>44517</v>
      </c>
      <c r="B616" s="15" t="s">
        <v>21</v>
      </c>
      <c r="C616" s="3">
        <v>1</v>
      </c>
      <c r="D616" s="13">
        <v>44518</v>
      </c>
      <c r="E616" s="15">
        <v>700</v>
      </c>
      <c r="F616" s="9">
        <v>5.7500000000000002E-2</v>
      </c>
      <c r="G616" s="9">
        <v>5.7500000000000002E-2</v>
      </c>
      <c r="H616" s="15">
        <f t="shared" si="17"/>
        <v>17940</v>
      </c>
    </row>
    <row r="617" spans="1:8" x14ac:dyDescent="0.25">
      <c r="A617" s="13">
        <v>44517</v>
      </c>
      <c r="B617" s="15" t="s">
        <v>21</v>
      </c>
      <c r="C617" s="3">
        <v>2</v>
      </c>
      <c r="D617" s="13">
        <v>44519</v>
      </c>
      <c r="E617" s="15">
        <v>300</v>
      </c>
      <c r="F617" s="9">
        <v>5.7500000000000002E-2</v>
      </c>
      <c r="G617" s="9">
        <v>5.7500000000000002E-2</v>
      </c>
      <c r="H617" s="15">
        <f t="shared" si="17"/>
        <v>17940</v>
      </c>
    </row>
    <row r="618" spans="1:8" x14ac:dyDescent="0.25">
      <c r="A618" s="13">
        <v>44517</v>
      </c>
      <c r="B618" s="15" t="s">
        <v>21</v>
      </c>
      <c r="C618" s="3">
        <v>7</v>
      </c>
      <c r="D618" s="13">
        <v>44524</v>
      </c>
      <c r="E618" s="15">
        <v>1000</v>
      </c>
      <c r="F618" s="9">
        <v>5.8500000000000003E-2</v>
      </c>
      <c r="G618" s="9">
        <v>5.8500000000000003E-2</v>
      </c>
      <c r="H618" s="15">
        <f t="shared" si="17"/>
        <v>17940</v>
      </c>
    </row>
    <row r="619" spans="1:8" x14ac:dyDescent="0.25">
      <c r="A619" s="13">
        <v>44517</v>
      </c>
      <c r="B619" s="15" t="s">
        <v>21</v>
      </c>
      <c r="C619" s="3">
        <v>14</v>
      </c>
      <c r="D619" s="13">
        <v>44531</v>
      </c>
      <c r="E619" s="15">
        <v>1050</v>
      </c>
      <c r="F619" s="9">
        <v>6.0499999999999998E-2</v>
      </c>
      <c r="G619" s="9">
        <v>6.0499999999999998E-2</v>
      </c>
      <c r="H619" s="15">
        <f t="shared" si="17"/>
        <v>17940</v>
      </c>
    </row>
    <row r="620" spans="1:8" x14ac:dyDescent="0.25">
      <c r="A620" s="13">
        <v>44518</v>
      </c>
      <c r="B620" s="15" t="s">
        <v>21</v>
      </c>
      <c r="C620" s="3">
        <v>4</v>
      </c>
      <c r="D620" s="13">
        <f t="shared" ref="D620:D743" si="19">+A620+C620</f>
        <v>44522</v>
      </c>
      <c r="E620" s="15">
        <v>600</v>
      </c>
      <c r="F620" s="9">
        <v>5.7500000000000002E-2</v>
      </c>
      <c r="G620" s="9">
        <v>5.7500000000000002E-2</v>
      </c>
      <c r="H620" s="15">
        <f t="shared" si="17"/>
        <v>17370</v>
      </c>
    </row>
    <row r="621" spans="1:8" x14ac:dyDescent="0.25">
      <c r="A621" s="13">
        <v>44518</v>
      </c>
      <c r="B621" s="15" t="s">
        <v>21</v>
      </c>
      <c r="C621" s="3">
        <v>7</v>
      </c>
      <c r="D621" s="13">
        <f t="shared" si="19"/>
        <v>44525</v>
      </c>
      <c r="E621" s="15">
        <v>1000</v>
      </c>
      <c r="F621" s="9">
        <v>5.8500000000000003E-2</v>
      </c>
      <c r="G621" s="9">
        <v>5.8500000000000003E-2</v>
      </c>
      <c r="H621" s="15">
        <f t="shared" si="17"/>
        <v>17370</v>
      </c>
    </row>
    <row r="622" spans="1:8" x14ac:dyDescent="0.25">
      <c r="A622" s="13">
        <v>44519</v>
      </c>
      <c r="B622" s="15" t="s">
        <v>21</v>
      </c>
      <c r="C622" s="3">
        <v>3</v>
      </c>
      <c r="D622" s="13">
        <f t="shared" si="19"/>
        <v>44522</v>
      </c>
      <c r="E622" s="15">
        <v>2150</v>
      </c>
      <c r="F622" s="9">
        <v>5.7500000000000002E-2</v>
      </c>
      <c r="G622" s="9">
        <v>5.7500000000000002E-2</v>
      </c>
      <c r="H622" s="15">
        <f t="shared" si="17"/>
        <v>16970</v>
      </c>
    </row>
    <row r="623" spans="1:8" x14ac:dyDescent="0.25">
      <c r="A623" s="13">
        <v>44519</v>
      </c>
      <c r="B623" s="15" t="s">
        <v>21</v>
      </c>
      <c r="C623" s="3">
        <v>4</v>
      </c>
      <c r="D623" s="13">
        <f t="shared" si="19"/>
        <v>44523</v>
      </c>
      <c r="E623" s="15">
        <v>1650</v>
      </c>
      <c r="F623" s="9">
        <v>5.7500000000000002E-2</v>
      </c>
      <c r="G623" s="9">
        <v>5.7500000000000002E-2</v>
      </c>
      <c r="H623" s="15">
        <f t="shared" si="17"/>
        <v>16970</v>
      </c>
    </row>
    <row r="624" spans="1:8" x14ac:dyDescent="0.25">
      <c r="A624" s="13">
        <v>44519</v>
      </c>
      <c r="B624" s="15" t="s">
        <v>21</v>
      </c>
      <c r="C624" s="3">
        <v>7</v>
      </c>
      <c r="D624" s="13">
        <f t="shared" si="19"/>
        <v>44526</v>
      </c>
      <c r="E624" s="15">
        <v>1000</v>
      </c>
      <c r="F624" s="9">
        <v>5.8500000000000003E-2</v>
      </c>
      <c r="G624" s="9">
        <v>5.8500000000000003E-2</v>
      </c>
      <c r="H624" s="15">
        <f t="shared" si="17"/>
        <v>16970</v>
      </c>
    </row>
    <row r="625" spans="1:8" x14ac:dyDescent="0.25">
      <c r="A625" s="13">
        <v>44519</v>
      </c>
      <c r="B625" s="15" t="s">
        <v>21</v>
      </c>
      <c r="C625" s="3">
        <v>12</v>
      </c>
      <c r="D625" s="13">
        <f t="shared" si="19"/>
        <v>44531</v>
      </c>
      <c r="E625" s="15">
        <v>200</v>
      </c>
      <c r="F625" s="9">
        <v>6.0499999999999998E-2</v>
      </c>
      <c r="G625" s="9">
        <v>6.0499999999999998E-2</v>
      </c>
      <c r="H625" s="15">
        <f t="shared" si="17"/>
        <v>16970</v>
      </c>
    </row>
    <row r="626" spans="1:8" x14ac:dyDescent="0.25">
      <c r="A626" s="13">
        <v>44522</v>
      </c>
      <c r="B626" s="15" t="s">
        <v>21</v>
      </c>
      <c r="C626" s="3">
        <v>2</v>
      </c>
      <c r="D626" s="13">
        <f t="shared" si="19"/>
        <v>44524</v>
      </c>
      <c r="E626" s="15">
        <v>1000</v>
      </c>
      <c r="F626" s="9">
        <v>5.7500000000000002E-2</v>
      </c>
      <c r="G626" s="9">
        <v>5.7500000000000002E-2</v>
      </c>
      <c r="H626" s="15">
        <f t="shared" si="17"/>
        <v>14220</v>
      </c>
    </row>
    <row r="627" spans="1:8" x14ac:dyDescent="0.25">
      <c r="A627" s="13">
        <v>44522</v>
      </c>
      <c r="B627" s="15" t="s">
        <v>21</v>
      </c>
      <c r="C627" s="3">
        <v>7</v>
      </c>
      <c r="D627" s="13">
        <f t="shared" si="19"/>
        <v>44529</v>
      </c>
      <c r="E627" s="15">
        <v>1500</v>
      </c>
      <c r="F627" s="9">
        <v>5.8000000000000003E-2</v>
      </c>
      <c r="G627" s="9">
        <v>5.8999999999999997E-2</v>
      </c>
      <c r="H627" s="15">
        <f t="shared" si="17"/>
        <v>14220</v>
      </c>
    </row>
    <row r="628" spans="1:8" x14ac:dyDescent="0.25">
      <c r="A628" s="13">
        <v>44523</v>
      </c>
      <c r="B628" s="15" t="s">
        <v>21</v>
      </c>
      <c r="C628" s="3">
        <v>2</v>
      </c>
      <c r="D628" s="13">
        <f t="shared" si="19"/>
        <v>44525</v>
      </c>
      <c r="E628" s="15">
        <v>200</v>
      </c>
      <c r="F628" s="9">
        <v>5.7500000000000002E-2</v>
      </c>
      <c r="G628" s="9">
        <v>5.7500000000000002E-2</v>
      </c>
      <c r="H628" s="15">
        <f t="shared" si="17"/>
        <v>11470</v>
      </c>
    </row>
    <row r="629" spans="1:8" x14ac:dyDescent="0.25">
      <c r="A629" s="13">
        <v>44523</v>
      </c>
      <c r="B629" s="15" t="s">
        <v>21</v>
      </c>
      <c r="C629" s="3">
        <v>8</v>
      </c>
      <c r="D629" s="13">
        <f t="shared" si="19"/>
        <v>44531</v>
      </c>
      <c r="E629" s="15">
        <v>1500</v>
      </c>
      <c r="F629" s="9">
        <v>5.8999999999999997E-2</v>
      </c>
      <c r="G629" s="9">
        <v>5.9499999999999997E-2</v>
      </c>
      <c r="H629" s="15">
        <f t="shared" si="17"/>
        <v>11470</v>
      </c>
    </row>
    <row r="630" spans="1:8" x14ac:dyDescent="0.25">
      <c r="A630" s="13">
        <v>44524</v>
      </c>
      <c r="B630" s="15" t="s">
        <v>21</v>
      </c>
      <c r="C630" s="3">
        <v>2</v>
      </c>
      <c r="D630" s="13">
        <f t="shared" si="19"/>
        <v>44526</v>
      </c>
      <c r="E630" s="15">
        <v>-2700</v>
      </c>
      <c r="F630" s="9">
        <v>5.7500000000000002E-2</v>
      </c>
      <c r="G630" s="9">
        <v>5.8000000000000003E-2</v>
      </c>
      <c r="H630" s="15">
        <f t="shared" si="17"/>
        <v>2170</v>
      </c>
    </row>
    <row r="631" spans="1:8" x14ac:dyDescent="0.25">
      <c r="A631" s="13">
        <v>44524</v>
      </c>
      <c r="B631" s="15" t="s">
        <v>21</v>
      </c>
      <c r="C631" s="3">
        <v>5</v>
      </c>
      <c r="D631" s="13">
        <f t="shared" si="19"/>
        <v>44529</v>
      </c>
      <c r="E631" s="15">
        <v>-2800</v>
      </c>
      <c r="F631" s="9">
        <v>0.06</v>
      </c>
      <c r="G631" s="9">
        <v>0.06</v>
      </c>
      <c r="H631" s="15">
        <f t="shared" si="17"/>
        <v>2170</v>
      </c>
    </row>
    <row r="632" spans="1:8" x14ac:dyDescent="0.25">
      <c r="A632" s="13">
        <v>44524</v>
      </c>
      <c r="B632" s="15" t="s">
        <v>21</v>
      </c>
      <c r="C632" s="3">
        <v>7</v>
      </c>
      <c r="D632" s="13">
        <f t="shared" si="19"/>
        <v>44531</v>
      </c>
      <c r="E632" s="15">
        <v>-1800</v>
      </c>
      <c r="F632" s="9">
        <v>6.0499999999999998E-2</v>
      </c>
      <c r="G632" s="9">
        <v>6.0499999999999998E-2</v>
      </c>
      <c r="H632" s="15">
        <f t="shared" si="17"/>
        <v>2170</v>
      </c>
    </row>
    <row r="633" spans="1:8" x14ac:dyDescent="0.25">
      <c r="A633" s="13">
        <v>44525</v>
      </c>
      <c r="B633" s="15" t="s">
        <v>21</v>
      </c>
      <c r="C633" s="3">
        <v>4</v>
      </c>
      <c r="D633" s="13">
        <f t="shared" si="19"/>
        <v>44529</v>
      </c>
      <c r="E633" s="15">
        <v>800</v>
      </c>
      <c r="F633" s="9">
        <v>5.7500000000000002E-2</v>
      </c>
      <c r="G633" s="9">
        <v>5.7500000000000002E-2</v>
      </c>
      <c r="H633" s="15">
        <f t="shared" si="17"/>
        <v>1770</v>
      </c>
    </row>
    <row r="634" spans="1:8" x14ac:dyDescent="0.25">
      <c r="A634" s="13">
        <v>44526</v>
      </c>
      <c r="B634" s="15" t="s">
        <v>21</v>
      </c>
      <c r="C634" s="3">
        <v>3</v>
      </c>
      <c r="D634" s="13">
        <f t="shared" si="19"/>
        <v>44529</v>
      </c>
      <c r="E634" s="15">
        <v>300</v>
      </c>
      <c r="F634" s="9">
        <v>5.7500000000000002E-2</v>
      </c>
      <c r="G634" s="9">
        <v>5.7500000000000002E-2</v>
      </c>
      <c r="H634" s="15">
        <f t="shared" si="17"/>
        <v>1870</v>
      </c>
    </row>
    <row r="635" spans="1:8" x14ac:dyDescent="0.25">
      <c r="A635" s="13">
        <v>44526</v>
      </c>
      <c r="B635" s="15" t="s">
        <v>21</v>
      </c>
      <c r="C635" s="3">
        <v>4</v>
      </c>
      <c r="D635" s="13">
        <f t="shared" si="19"/>
        <v>44530</v>
      </c>
      <c r="E635" s="15">
        <f>-600+400</f>
        <v>-200</v>
      </c>
      <c r="F635" s="9">
        <v>5.7500000000000002E-2</v>
      </c>
      <c r="G635" s="9">
        <v>5.8500000000000003E-2</v>
      </c>
      <c r="H635" s="15">
        <f t="shared" si="17"/>
        <v>1870</v>
      </c>
    </row>
    <row r="636" spans="1:8" x14ac:dyDescent="0.25">
      <c r="A636" s="13">
        <v>44529</v>
      </c>
      <c r="B636" s="15" t="s">
        <v>21</v>
      </c>
      <c r="C636" s="3">
        <v>1</v>
      </c>
      <c r="D636" s="13">
        <f>+A636+C636</f>
        <v>44530</v>
      </c>
      <c r="E636" s="15">
        <v>-500</v>
      </c>
      <c r="F636" s="9">
        <v>5.7500000000000002E-2</v>
      </c>
      <c r="G636" s="9">
        <v>5.8000000000000003E-2</v>
      </c>
      <c r="H636" s="15">
        <f t="shared" si="17"/>
        <v>970</v>
      </c>
    </row>
    <row r="637" spans="1:8" x14ac:dyDescent="0.25">
      <c r="A637" s="13">
        <v>44529</v>
      </c>
      <c r="B637" s="15" t="s">
        <v>21</v>
      </c>
      <c r="C637" s="3">
        <v>2</v>
      </c>
      <c r="D637" s="13">
        <f t="shared" si="19"/>
        <v>44531</v>
      </c>
      <c r="E637" s="15">
        <v>-600</v>
      </c>
      <c r="F637" s="9">
        <v>5.8000000000000003E-2</v>
      </c>
      <c r="G637" s="9">
        <v>5.8000000000000003E-2</v>
      </c>
      <c r="H637" s="15">
        <f t="shared" si="17"/>
        <v>970</v>
      </c>
    </row>
    <row r="638" spans="1:8" x14ac:dyDescent="0.25">
      <c r="A638" s="13">
        <v>44530</v>
      </c>
      <c r="B638" s="15" t="s">
        <v>21</v>
      </c>
      <c r="C638" s="3">
        <v>1</v>
      </c>
      <c r="D638" s="13">
        <f t="shared" si="19"/>
        <v>44531</v>
      </c>
      <c r="E638" s="15">
        <v>-200</v>
      </c>
      <c r="F638" s="9">
        <v>5.7500000000000002E-2</v>
      </c>
      <c r="G638" s="9">
        <v>5.7500000000000002E-2</v>
      </c>
      <c r="H638" s="15">
        <f t="shared" si="17"/>
        <v>1470</v>
      </c>
    </row>
    <row r="639" spans="1:8" x14ac:dyDescent="0.25">
      <c r="A639" s="13">
        <v>44531</v>
      </c>
      <c r="B639" s="15" t="s">
        <v>21</v>
      </c>
      <c r="C639" s="3">
        <v>2</v>
      </c>
      <c r="D639" s="13">
        <f t="shared" si="19"/>
        <v>44533</v>
      </c>
      <c r="E639" s="15">
        <v>-7200</v>
      </c>
      <c r="F639" s="9">
        <v>5.8500000000000003E-2</v>
      </c>
      <c r="G639" s="9">
        <v>5.8999999999999997E-2</v>
      </c>
      <c r="H639" s="15">
        <f t="shared" si="17"/>
        <v>-7200</v>
      </c>
    </row>
    <row r="640" spans="1:8" x14ac:dyDescent="0.25">
      <c r="A640" s="13">
        <v>44536</v>
      </c>
      <c r="B640" s="15" t="s">
        <v>21</v>
      </c>
      <c r="C640" s="3">
        <v>2</v>
      </c>
      <c r="D640" s="13">
        <f t="shared" si="19"/>
        <v>44538</v>
      </c>
      <c r="E640" s="15">
        <v>-3500</v>
      </c>
      <c r="F640" s="9">
        <v>5.8500000000000003E-2</v>
      </c>
      <c r="G640" s="9">
        <v>5.8999999999999997E-2</v>
      </c>
      <c r="H640" s="15">
        <f t="shared" si="17"/>
        <v>-4400</v>
      </c>
    </row>
    <row r="641" spans="1:8" x14ac:dyDescent="0.25">
      <c r="A641" s="13">
        <v>44536</v>
      </c>
      <c r="B641" s="15" t="s">
        <v>21</v>
      </c>
      <c r="C641" s="3">
        <v>3</v>
      </c>
      <c r="D641" s="13">
        <f t="shared" si="19"/>
        <v>44539</v>
      </c>
      <c r="E641" s="15">
        <v>-900</v>
      </c>
      <c r="F641" s="9">
        <v>5.8000000000000003E-2</v>
      </c>
      <c r="G641" s="9">
        <v>5.8500000000000003E-2</v>
      </c>
      <c r="H641" s="15">
        <f t="shared" si="17"/>
        <v>-4400</v>
      </c>
    </row>
    <row r="642" spans="1:8" x14ac:dyDescent="0.25">
      <c r="A642" s="13">
        <v>44537</v>
      </c>
      <c r="B642" s="15" t="s">
        <v>21</v>
      </c>
      <c r="C642" s="3">
        <v>3</v>
      </c>
      <c r="D642" s="13">
        <f t="shared" si="19"/>
        <v>44540</v>
      </c>
      <c r="E642" s="15">
        <v>-800</v>
      </c>
      <c r="F642" s="9">
        <v>5.8500000000000003E-2</v>
      </c>
      <c r="G642" s="9">
        <v>5.8500000000000003E-2</v>
      </c>
      <c r="H642" s="15">
        <f t="shared" si="17"/>
        <v>-6400</v>
      </c>
    </row>
    <row r="643" spans="1:8" x14ac:dyDescent="0.25">
      <c r="A643" s="13">
        <v>44537</v>
      </c>
      <c r="B643" s="15" t="s">
        <v>21</v>
      </c>
      <c r="C643" s="3">
        <v>7</v>
      </c>
      <c r="D643" s="13">
        <f t="shared" si="19"/>
        <v>44544</v>
      </c>
      <c r="E643" s="15">
        <v>-1200</v>
      </c>
      <c r="F643" s="9">
        <v>5.8999999999999997E-2</v>
      </c>
      <c r="G643" s="9">
        <v>5.8999999999999997E-2</v>
      </c>
      <c r="H643" s="15">
        <f t="shared" si="17"/>
        <v>-6400</v>
      </c>
    </row>
    <row r="644" spans="1:8" x14ac:dyDescent="0.25">
      <c r="A644" s="13">
        <v>44538</v>
      </c>
      <c r="B644" s="15" t="s">
        <v>21</v>
      </c>
      <c r="C644" s="3">
        <v>1</v>
      </c>
      <c r="D644" s="13">
        <f t="shared" si="19"/>
        <v>44539</v>
      </c>
      <c r="E644" s="15">
        <v>-2400</v>
      </c>
      <c r="F644" s="9">
        <v>5.8500000000000003E-2</v>
      </c>
      <c r="G644" s="9">
        <v>5.8500000000000003E-2</v>
      </c>
      <c r="H644" s="15">
        <f t="shared" si="17"/>
        <v>-8400</v>
      </c>
    </row>
    <row r="645" spans="1:8" x14ac:dyDescent="0.25">
      <c r="A645" s="13">
        <v>44538</v>
      </c>
      <c r="B645" s="15" t="s">
        <v>21</v>
      </c>
      <c r="C645" s="3">
        <v>5</v>
      </c>
      <c r="D645" s="13">
        <f t="shared" si="19"/>
        <v>44543</v>
      </c>
      <c r="E645" s="15">
        <v>-1200</v>
      </c>
      <c r="F645" s="9">
        <v>5.8500000000000003E-2</v>
      </c>
      <c r="G645" s="9">
        <v>5.8500000000000003E-2</v>
      </c>
      <c r="H645" s="15">
        <f t="shared" si="17"/>
        <v>-8400</v>
      </c>
    </row>
    <row r="646" spans="1:8" x14ac:dyDescent="0.25">
      <c r="A646" s="13">
        <v>44538</v>
      </c>
      <c r="B646" s="15" t="s">
        <v>21</v>
      </c>
      <c r="C646" s="3">
        <v>7</v>
      </c>
      <c r="D646" s="13">
        <f t="shared" si="19"/>
        <v>44545</v>
      </c>
      <c r="E646" s="15">
        <v>-1900</v>
      </c>
      <c r="F646" s="9">
        <v>5.8999999999999997E-2</v>
      </c>
      <c r="G646" s="9">
        <v>5.8999999999999997E-2</v>
      </c>
      <c r="H646" s="15">
        <f t="shared" si="17"/>
        <v>-8400</v>
      </c>
    </row>
    <row r="647" spans="1:8" x14ac:dyDescent="0.25">
      <c r="A647" s="13">
        <v>44539</v>
      </c>
      <c r="B647" s="15" t="s">
        <v>21</v>
      </c>
      <c r="C647" s="3">
        <v>1</v>
      </c>
      <c r="D647" s="13">
        <f t="shared" si="19"/>
        <v>44540</v>
      </c>
      <c r="E647" s="15">
        <v>-600</v>
      </c>
      <c r="F647" s="9">
        <v>5.8500000000000003E-2</v>
      </c>
      <c r="G647" s="9">
        <v>5.8999999999999997E-2</v>
      </c>
      <c r="H647" s="15">
        <f t="shared" si="17"/>
        <v>-7100</v>
      </c>
    </row>
    <row r="648" spans="1:8" x14ac:dyDescent="0.25">
      <c r="A648" s="13">
        <v>44539</v>
      </c>
      <c r="B648" s="15" t="s">
        <v>21</v>
      </c>
      <c r="C648" s="3">
        <v>4</v>
      </c>
      <c r="D648" s="13">
        <f t="shared" si="19"/>
        <v>44543</v>
      </c>
      <c r="E648" s="15">
        <v>-1400</v>
      </c>
      <c r="F648" s="9">
        <v>5.8999999999999997E-2</v>
      </c>
      <c r="G648" s="9">
        <v>5.8999999999999997E-2</v>
      </c>
      <c r="H648" s="15">
        <f t="shared" si="17"/>
        <v>-7100</v>
      </c>
    </row>
    <row r="649" spans="1:8" x14ac:dyDescent="0.25">
      <c r="A649" s="13">
        <v>44540</v>
      </c>
      <c r="B649" s="15" t="s">
        <v>21</v>
      </c>
      <c r="C649" s="3">
        <v>3</v>
      </c>
      <c r="D649" s="13">
        <f t="shared" si="19"/>
        <v>44543</v>
      </c>
      <c r="E649" s="15">
        <v>-800</v>
      </c>
      <c r="F649" s="9">
        <v>5.8000000000000003E-2</v>
      </c>
      <c r="G649" s="9">
        <v>5.8000000000000003E-2</v>
      </c>
      <c r="H649" s="15">
        <f t="shared" si="17"/>
        <v>-7300</v>
      </c>
    </row>
    <row r="650" spans="1:8" x14ac:dyDescent="0.25">
      <c r="A650" s="13">
        <v>44540</v>
      </c>
      <c r="B650" s="15" t="s">
        <v>21</v>
      </c>
      <c r="C650" s="3">
        <v>4</v>
      </c>
      <c r="D650" s="13">
        <f t="shared" si="19"/>
        <v>44544</v>
      </c>
      <c r="E650" s="15">
        <v>-800</v>
      </c>
      <c r="F650" s="9">
        <v>5.8500000000000003E-2</v>
      </c>
      <c r="G650" s="9">
        <v>5.8500000000000003E-2</v>
      </c>
      <c r="H650" s="15">
        <f t="shared" ref="H650:H713" si="20">+SUMIFS($E$10:$E$4503,$A$10:$A$4503,"&lt;="&amp;A650,$D$10:$D$4503,"&gt;"&amp;A650)</f>
        <v>-7300</v>
      </c>
    </row>
    <row r="651" spans="1:8" x14ac:dyDescent="0.25">
      <c r="A651" s="13">
        <v>44543</v>
      </c>
      <c r="B651" s="15" t="s">
        <v>21</v>
      </c>
      <c r="C651" s="3">
        <v>1</v>
      </c>
      <c r="D651" s="13">
        <f t="shared" si="19"/>
        <v>44544</v>
      </c>
      <c r="E651" s="15">
        <v>-200</v>
      </c>
      <c r="F651" s="9">
        <v>5.7500000000000002E-2</v>
      </c>
      <c r="G651" s="9">
        <v>5.7500000000000002E-2</v>
      </c>
      <c r="H651" s="15">
        <f t="shared" si="20"/>
        <v>-5300</v>
      </c>
    </row>
    <row r="652" spans="1:8" x14ac:dyDescent="0.25">
      <c r="A652" s="13">
        <v>44543</v>
      </c>
      <c r="B652" s="15" t="s">
        <v>21</v>
      </c>
      <c r="C652" s="3">
        <v>2</v>
      </c>
      <c r="D652" s="13">
        <f t="shared" si="19"/>
        <v>44545</v>
      </c>
      <c r="E652" s="15">
        <v>-600</v>
      </c>
      <c r="F652" s="9">
        <v>5.8999999999999997E-2</v>
      </c>
      <c r="G652" s="9">
        <v>5.8999999999999997E-2</v>
      </c>
      <c r="H652" s="15">
        <f t="shared" si="20"/>
        <v>-5300</v>
      </c>
    </row>
    <row r="653" spans="1:8" x14ac:dyDescent="0.25">
      <c r="A653" s="13">
        <v>44543</v>
      </c>
      <c r="B653" s="15" t="s">
        <v>21</v>
      </c>
      <c r="C653" s="3">
        <v>3</v>
      </c>
      <c r="D653" s="13">
        <f t="shared" si="19"/>
        <v>44546</v>
      </c>
      <c r="E653" s="15">
        <v>-600</v>
      </c>
      <c r="F653" s="9">
        <v>5.8999999999999997E-2</v>
      </c>
      <c r="G653" s="9">
        <v>5.8999999999999997E-2</v>
      </c>
      <c r="H653" s="15">
        <f t="shared" si="20"/>
        <v>-5300</v>
      </c>
    </row>
    <row r="654" spans="1:8" x14ac:dyDescent="0.25">
      <c r="A654" s="13">
        <v>44544</v>
      </c>
      <c r="B654" s="15" t="s">
        <v>21</v>
      </c>
      <c r="C654" s="3">
        <v>2</v>
      </c>
      <c r="D654" s="13">
        <f t="shared" si="19"/>
        <v>44546</v>
      </c>
      <c r="E654" s="15">
        <v>-100</v>
      </c>
      <c r="F654" s="9">
        <v>5.8000000000000003E-2</v>
      </c>
      <c r="G654" s="9">
        <v>5.8000000000000003E-2</v>
      </c>
      <c r="H654" s="15">
        <f t="shared" si="20"/>
        <v>-3200</v>
      </c>
    </row>
    <row r="655" spans="1:8" x14ac:dyDescent="0.25">
      <c r="A655" s="13">
        <v>44546</v>
      </c>
      <c r="B655" s="15" t="s">
        <v>21</v>
      </c>
      <c r="C655" s="3">
        <v>1</v>
      </c>
      <c r="D655" s="13">
        <f t="shared" si="19"/>
        <v>44547</v>
      </c>
      <c r="E655" s="15">
        <v>-200</v>
      </c>
      <c r="F655" s="9">
        <v>5.8000000000000003E-2</v>
      </c>
      <c r="G655" s="9">
        <v>5.8000000000000003E-2</v>
      </c>
      <c r="H655" s="15">
        <f t="shared" si="20"/>
        <v>-200</v>
      </c>
    </row>
    <row r="656" spans="1:8" x14ac:dyDescent="0.25">
      <c r="A656" s="13">
        <v>44547</v>
      </c>
      <c r="B656" s="15" t="s">
        <v>21</v>
      </c>
      <c r="C656" s="3">
        <v>3</v>
      </c>
      <c r="D656" s="13">
        <f t="shared" si="19"/>
        <v>44550</v>
      </c>
      <c r="E656" s="15">
        <v>800</v>
      </c>
      <c r="F656" s="9">
        <v>5.7500000000000002E-2</v>
      </c>
      <c r="G656" s="9">
        <v>5.7500000000000002E-2</v>
      </c>
      <c r="H656" s="15">
        <f t="shared" si="20"/>
        <v>800</v>
      </c>
    </row>
    <row r="657" spans="1:8" x14ac:dyDescent="0.25">
      <c r="A657" s="13">
        <v>44550</v>
      </c>
      <c r="B657" s="15" t="s">
        <v>21</v>
      </c>
      <c r="C657" s="3">
        <v>1</v>
      </c>
      <c r="D657" s="13">
        <f t="shared" si="19"/>
        <v>44551</v>
      </c>
      <c r="E657" s="15">
        <v>900</v>
      </c>
      <c r="F657" s="9">
        <v>5.7000000000000002E-2</v>
      </c>
      <c r="G657" s="9">
        <v>5.7000000000000002E-2</v>
      </c>
      <c r="H657" s="15">
        <f t="shared" si="20"/>
        <v>5500</v>
      </c>
    </row>
    <row r="658" spans="1:8" x14ac:dyDescent="0.25">
      <c r="A658" s="13">
        <v>44550</v>
      </c>
      <c r="B658" s="15" t="s">
        <v>21</v>
      </c>
      <c r="C658" s="3">
        <v>2</v>
      </c>
      <c r="D658" s="13">
        <f t="shared" si="19"/>
        <v>44552</v>
      </c>
      <c r="E658" s="15">
        <v>3100</v>
      </c>
      <c r="F658" s="9">
        <v>5.7500000000000002E-2</v>
      </c>
      <c r="G658" s="9">
        <v>5.7500000000000002E-2</v>
      </c>
      <c r="H658" s="15">
        <f t="shared" si="20"/>
        <v>5500</v>
      </c>
    </row>
    <row r="659" spans="1:8" x14ac:dyDescent="0.25">
      <c r="A659" s="13">
        <v>44550</v>
      </c>
      <c r="B659" s="15" t="s">
        <v>21</v>
      </c>
      <c r="C659" s="3">
        <v>7</v>
      </c>
      <c r="D659" s="13">
        <f t="shared" si="19"/>
        <v>44557</v>
      </c>
      <c r="E659" s="15">
        <v>1500</v>
      </c>
      <c r="F659" s="9">
        <v>5.8000000000000003E-2</v>
      </c>
      <c r="G659" s="9">
        <v>5.8000000000000003E-2</v>
      </c>
      <c r="H659" s="15">
        <f t="shared" si="20"/>
        <v>5500</v>
      </c>
    </row>
    <row r="660" spans="1:8" x14ac:dyDescent="0.25">
      <c r="A660" s="13">
        <v>44551</v>
      </c>
      <c r="B660" s="15" t="s">
        <v>21</v>
      </c>
      <c r="C660" s="3">
        <v>1</v>
      </c>
      <c r="D660" s="13">
        <f t="shared" si="19"/>
        <v>44552</v>
      </c>
      <c r="E660" s="15">
        <v>800</v>
      </c>
      <c r="F660" s="9">
        <v>5.7000000000000002E-2</v>
      </c>
      <c r="G660" s="9">
        <v>5.7000000000000002E-2</v>
      </c>
      <c r="H660" s="15">
        <f t="shared" si="20"/>
        <v>10700</v>
      </c>
    </row>
    <row r="661" spans="1:8" x14ac:dyDescent="0.25">
      <c r="A661" s="13">
        <v>44551</v>
      </c>
      <c r="B661" s="15" t="s">
        <v>21</v>
      </c>
      <c r="C661" s="3">
        <v>2</v>
      </c>
      <c r="D661" s="13">
        <f t="shared" si="19"/>
        <v>44553</v>
      </c>
      <c r="E661" s="15">
        <v>4000</v>
      </c>
      <c r="F661" s="9">
        <v>5.7500000000000002E-2</v>
      </c>
      <c r="G661" s="9">
        <v>5.7500000000000002E-2</v>
      </c>
      <c r="H661" s="15">
        <f t="shared" si="20"/>
        <v>10700</v>
      </c>
    </row>
    <row r="662" spans="1:8" x14ac:dyDescent="0.25">
      <c r="A662" s="13">
        <v>44551</v>
      </c>
      <c r="B662" s="15" t="s">
        <v>21</v>
      </c>
      <c r="C662" s="3">
        <v>6</v>
      </c>
      <c r="D662" s="13">
        <f t="shared" si="19"/>
        <v>44557</v>
      </c>
      <c r="E662" s="15">
        <v>800</v>
      </c>
      <c r="F662" s="9">
        <v>5.8000000000000003E-2</v>
      </c>
      <c r="G662" s="9">
        <v>5.8000000000000003E-2</v>
      </c>
      <c r="H662" s="15">
        <f t="shared" si="20"/>
        <v>10700</v>
      </c>
    </row>
    <row r="663" spans="1:8" x14ac:dyDescent="0.25">
      <c r="A663" s="13">
        <v>44551</v>
      </c>
      <c r="B663" s="15" t="s">
        <v>21</v>
      </c>
      <c r="C663" s="3">
        <v>7</v>
      </c>
      <c r="D663" s="13">
        <f t="shared" si="19"/>
        <v>44558</v>
      </c>
      <c r="E663" s="15">
        <v>500</v>
      </c>
      <c r="F663" s="9">
        <v>5.8000000000000003E-2</v>
      </c>
      <c r="G663" s="9">
        <v>5.8000000000000003E-2</v>
      </c>
      <c r="H663" s="15">
        <f t="shared" si="20"/>
        <v>10700</v>
      </c>
    </row>
    <row r="664" spans="1:8" x14ac:dyDescent="0.25">
      <c r="A664" s="13">
        <v>44552</v>
      </c>
      <c r="B664" s="15" t="s">
        <v>21</v>
      </c>
      <c r="C664" s="3">
        <v>2</v>
      </c>
      <c r="D664" s="13">
        <f t="shared" si="19"/>
        <v>44554</v>
      </c>
      <c r="E664" s="15">
        <v>2800</v>
      </c>
      <c r="F664" s="9">
        <v>5.7500000000000002E-2</v>
      </c>
      <c r="G664" s="9">
        <v>5.7500000000000002E-2</v>
      </c>
      <c r="H664" s="15">
        <f t="shared" si="20"/>
        <v>9600</v>
      </c>
    </row>
    <row r="665" spans="1:8" x14ac:dyDescent="0.25">
      <c r="A665" s="13">
        <v>44553</v>
      </c>
      <c r="B665" s="15" t="s">
        <v>21</v>
      </c>
      <c r="C665" s="3">
        <v>1</v>
      </c>
      <c r="D665" s="13">
        <f t="shared" si="19"/>
        <v>44554</v>
      </c>
      <c r="E665" s="15">
        <v>1000</v>
      </c>
      <c r="F665" s="9">
        <v>5.6500000000000002E-2</v>
      </c>
      <c r="G665" s="9">
        <v>5.7000000000000002E-2</v>
      </c>
      <c r="H665" s="15">
        <f t="shared" si="20"/>
        <v>6600</v>
      </c>
    </row>
    <row r="666" spans="1:8" x14ac:dyDescent="0.25">
      <c r="A666" s="13">
        <v>44554</v>
      </c>
      <c r="B666" s="15" t="s">
        <v>21</v>
      </c>
      <c r="C666" s="3">
        <v>3</v>
      </c>
      <c r="D666" s="13">
        <f t="shared" si="19"/>
        <v>44557</v>
      </c>
      <c r="E666" s="15">
        <v>200</v>
      </c>
      <c r="F666" s="9">
        <v>5.7000000000000002E-2</v>
      </c>
      <c r="G666" s="9">
        <v>5.7000000000000002E-2</v>
      </c>
      <c r="H666" s="15">
        <f t="shared" si="20"/>
        <v>9100</v>
      </c>
    </row>
    <row r="667" spans="1:8" x14ac:dyDescent="0.25">
      <c r="A667" s="13">
        <v>44554</v>
      </c>
      <c r="B667" s="15" t="s">
        <v>21</v>
      </c>
      <c r="C667" s="3">
        <v>4</v>
      </c>
      <c r="D667" s="13">
        <f t="shared" si="19"/>
        <v>44558</v>
      </c>
      <c r="E667" s="15">
        <v>4600</v>
      </c>
      <c r="F667" s="9">
        <v>5.7500000000000002E-2</v>
      </c>
      <c r="G667" s="9">
        <v>5.7500000000000002E-2</v>
      </c>
      <c r="H667" s="15">
        <f t="shared" si="20"/>
        <v>9100</v>
      </c>
    </row>
    <row r="668" spans="1:8" x14ac:dyDescent="0.25">
      <c r="A668" s="13">
        <v>44554</v>
      </c>
      <c r="B668" s="15" t="s">
        <v>21</v>
      </c>
      <c r="C668" s="3">
        <v>10</v>
      </c>
      <c r="D668" s="13">
        <f t="shared" si="19"/>
        <v>44564</v>
      </c>
      <c r="E668" s="15">
        <v>1500</v>
      </c>
      <c r="F668" s="9">
        <v>5.8500000000000003E-2</v>
      </c>
      <c r="G668" s="9">
        <v>5.8500000000000003E-2</v>
      </c>
      <c r="H668" s="15">
        <f t="shared" si="20"/>
        <v>9100</v>
      </c>
    </row>
    <row r="669" spans="1:8" x14ac:dyDescent="0.25">
      <c r="A669" s="13">
        <v>44557</v>
      </c>
      <c r="B669" s="15" t="s">
        <v>21</v>
      </c>
      <c r="C669" s="3">
        <v>1</v>
      </c>
      <c r="D669" s="13">
        <f t="shared" si="19"/>
        <v>44558</v>
      </c>
      <c r="E669" s="15">
        <v>400</v>
      </c>
      <c r="F669" s="9">
        <v>5.5E-2</v>
      </c>
      <c r="G669" s="9">
        <v>5.6000000000000001E-2</v>
      </c>
      <c r="H669" s="15">
        <f t="shared" si="20"/>
        <v>11900</v>
      </c>
    </row>
    <row r="670" spans="1:8" x14ac:dyDescent="0.25">
      <c r="A670" s="13">
        <v>44557</v>
      </c>
      <c r="B670" s="15" t="s">
        <v>21</v>
      </c>
      <c r="C670" s="3">
        <v>2</v>
      </c>
      <c r="D670" s="13">
        <f t="shared" si="19"/>
        <v>44559</v>
      </c>
      <c r="E670" s="15">
        <v>1200</v>
      </c>
      <c r="F670" s="9">
        <v>5.6500000000000002E-2</v>
      </c>
      <c r="G670" s="9">
        <v>5.7000000000000002E-2</v>
      </c>
      <c r="H670" s="15">
        <f t="shared" si="20"/>
        <v>11900</v>
      </c>
    </row>
    <row r="671" spans="1:8" x14ac:dyDescent="0.25">
      <c r="A671" s="13">
        <v>44557</v>
      </c>
      <c r="B671" s="15" t="s">
        <v>21</v>
      </c>
      <c r="C671" s="3">
        <v>3</v>
      </c>
      <c r="D671" s="13">
        <f t="shared" si="19"/>
        <v>44560</v>
      </c>
      <c r="E671" s="15">
        <v>1400</v>
      </c>
      <c r="F671" s="9">
        <v>5.6500000000000002E-2</v>
      </c>
      <c r="G671" s="9">
        <v>5.7000000000000002E-2</v>
      </c>
      <c r="H671" s="15">
        <f t="shared" si="20"/>
        <v>11900</v>
      </c>
    </row>
    <row r="672" spans="1:8" x14ac:dyDescent="0.25">
      <c r="A672" s="13">
        <v>44557</v>
      </c>
      <c r="B672" s="15" t="s">
        <v>21</v>
      </c>
      <c r="C672" s="3">
        <v>7</v>
      </c>
      <c r="D672" s="13">
        <f t="shared" si="19"/>
        <v>44564</v>
      </c>
      <c r="E672" s="15">
        <v>2300</v>
      </c>
      <c r="F672" s="9">
        <v>5.7000000000000002E-2</v>
      </c>
      <c r="G672" s="9">
        <v>5.7000000000000002E-2</v>
      </c>
      <c r="H672" s="15">
        <f t="shared" si="20"/>
        <v>11900</v>
      </c>
    </row>
    <row r="673" spans="1:8" x14ac:dyDescent="0.25">
      <c r="A673" s="13">
        <v>44558</v>
      </c>
      <c r="B673" s="15" t="s">
        <v>21</v>
      </c>
      <c r="C673" s="3">
        <v>1</v>
      </c>
      <c r="D673" s="13">
        <f t="shared" si="19"/>
        <v>44559</v>
      </c>
      <c r="E673" s="15">
        <v>500</v>
      </c>
      <c r="F673" s="9">
        <v>5.5500000000000001E-2</v>
      </c>
      <c r="G673" s="9">
        <v>5.6000000000000001E-2</v>
      </c>
      <c r="H673" s="15">
        <f t="shared" si="20"/>
        <v>13300</v>
      </c>
    </row>
    <row r="674" spans="1:8" x14ac:dyDescent="0.25">
      <c r="A674" s="13">
        <v>44558</v>
      </c>
      <c r="B674" s="15" t="s">
        <v>21</v>
      </c>
      <c r="C674" s="3">
        <v>2</v>
      </c>
      <c r="D674" s="13">
        <f t="shared" si="19"/>
        <v>44560</v>
      </c>
      <c r="E674" s="15">
        <v>5400</v>
      </c>
      <c r="F674" s="9">
        <v>5.7000000000000002E-2</v>
      </c>
      <c r="G674" s="9">
        <v>5.7000000000000002E-2</v>
      </c>
      <c r="H674" s="15">
        <f t="shared" si="20"/>
        <v>13300</v>
      </c>
    </row>
    <row r="675" spans="1:8" x14ac:dyDescent="0.25">
      <c r="A675" s="13">
        <v>44558</v>
      </c>
      <c r="B675" s="15" t="s">
        <v>21</v>
      </c>
      <c r="C675" s="3">
        <v>6</v>
      </c>
      <c r="D675" s="13">
        <f t="shared" si="19"/>
        <v>44564</v>
      </c>
      <c r="E675" s="15">
        <v>1000</v>
      </c>
      <c r="F675" s="9">
        <v>5.7500000000000002E-2</v>
      </c>
      <c r="G675" s="9">
        <v>5.7500000000000002E-2</v>
      </c>
      <c r="H675" s="15">
        <f t="shared" si="20"/>
        <v>13300</v>
      </c>
    </row>
    <row r="676" spans="1:8" x14ac:dyDescent="0.25">
      <c r="A676" s="13">
        <v>44559</v>
      </c>
      <c r="B676" s="15" t="s">
        <v>21</v>
      </c>
      <c r="C676" s="3">
        <v>1</v>
      </c>
      <c r="D676" s="13">
        <f t="shared" si="19"/>
        <v>44560</v>
      </c>
      <c r="E676" s="15">
        <v>2050</v>
      </c>
      <c r="F676" s="9">
        <v>5.5E-2</v>
      </c>
      <c r="G676" s="9">
        <v>5.5E-2</v>
      </c>
      <c r="H676" s="15">
        <f t="shared" si="20"/>
        <v>13650</v>
      </c>
    </row>
    <row r="677" spans="1:8" x14ac:dyDescent="0.25">
      <c r="A677" s="13">
        <v>44560</v>
      </c>
      <c r="B677" s="15" t="s">
        <v>21</v>
      </c>
      <c r="C677" s="3">
        <v>4</v>
      </c>
      <c r="D677" s="13">
        <f t="shared" si="19"/>
        <v>44564</v>
      </c>
      <c r="E677" s="15">
        <v>3400</v>
      </c>
      <c r="F677" s="9">
        <v>5.5E-2</v>
      </c>
      <c r="G677" s="9">
        <v>5.5500000000000001E-2</v>
      </c>
      <c r="H677" s="15">
        <f t="shared" si="20"/>
        <v>9400</v>
      </c>
    </row>
    <row r="678" spans="1:8" x14ac:dyDescent="0.25">
      <c r="A678" s="13">
        <v>44560</v>
      </c>
      <c r="B678" s="15" t="s">
        <v>21</v>
      </c>
      <c r="C678" s="3">
        <v>5</v>
      </c>
      <c r="D678" s="13">
        <f t="shared" si="19"/>
        <v>44565</v>
      </c>
      <c r="E678" s="15">
        <v>1200</v>
      </c>
      <c r="F678" s="9">
        <v>5.7000000000000002E-2</v>
      </c>
      <c r="G678" s="9">
        <v>5.7000000000000002E-2</v>
      </c>
      <c r="H678" s="15">
        <f t="shared" si="20"/>
        <v>9400</v>
      </c>
    </row>
    <row r="679" spans="1:8" x14ac:dyDescent="0.25">
      <c r="A679" s="13">
        <v>44564</v>
      </c>
      <c r="B679" s="15" t="s">
        <v>21</v>
      </c>
      <c r="C679" s="3">
        <v>1</v>
      </c>
      <c r="D679" s="13">
        <f t="shared" si="19"/>
        <v>44565</v>
      </c>
      <c r="E679" s="15">
        <v>-1000</v>
      </c>
      <c r="F679" s="9">
        <v>5.8000000000000003E-2</v>
      </c>
      <c r="G679" s="9">
        <v>5.8500000000000003E-2</v>
      </c>
      <c r="H679" s="15">
        <f t="shared" si="20"/>
        <v>200</v>
      </c>
    </row>
    <row r="680" spans="1:8" x14ac:dyDescent="0.25">
      <c r="A680" s="13">
        <v>44565</v>
      </c>
      <c r="B680" s="15" t="s">
        <v>21</v>
      </c>
      <c r="C680" s="3">
        <v>1</v>
      </c>
      <c r="D680" s="13">
        <f t="shared" si="19"/>
        <v>44566</v>
      </c>
      <c r="E680" s="15">
        <v>-1200</v>
      </c>
      <c r="F680" s="9">
        <v>5.8500000000000003E-2</v>
      </c>
      <c r="G680" s="9">
        <v>5.8999999999999997E-2</v>
      </c>
      <c r="H680" s="15">
        <f t="shared" si="20"/>
        <v>-1200</v>
      </c>
    </row>
    <row r="681" spans="1:8" x14ac:dyDescent="0.25">
      <c r="A681" s="13">
        <v>44566</v>
      </c>
      <c r="B681" s="15" t="s">
        <v>21</v>
      </c>
      <c r="C681" s="3">
        <v>2</v>
      </c>
      <c r="D681" s="13">
        <f t="shared" si="19"/>
        <v>44568</v>
      </c>
      <c r="E681" s="15">
        <v>-200</v>
      </c>
      <c r="F681" s="9" t="s">
        <v>688</v>
      </c>
      <c r="G681" s="9" t="s">
        <v>688</v>
      </c>
      <c r="H681" s="15">
        <f t="shared" si="20"/>
        <v>-200</v>
      </c>
    </row>
    <row r="682" spans="1:8" x14ac:dyDescent="0.25">
      <c r="A682" s="13">
        <v>44568</v>
      </c>
      <c r="B682" s="15" t="s">
        <v>21</v>
      </c>
      <c r="C682" s="3">
        <v>3</v>
      </c>
      <c r="D682" s="13">
        <f t="shared" si="19"/>
        <v>44571</v>
      </c>
      <c r="E682" s="15">
        <v>200</v>
      </c>
      <c r="F682" s="9">
        <v>6.5000000000000002E-2</v>
      </c>
      <c r="G682" s="9">
        <v>6.5000000000000002E-2</v>
      </c>
      <c r="H682" s="15">
        <f t="shared" si="20"/>
        <v>3800</v>
      </c>
    </row>
    <row r="683" spans="1:8" x14ac:dyDescent="0.25">
      <c r="A683" s="13">
        <v>44568</v>
      </c>
      <c r="B683" s="15" t="s">
        <v>21</v>
      </c>
      <c r="C683" s="3">
        <v>5</v>
      </c>
      <c r="D683" s="13">
        <f t="shared" si="19"/>
        <v>44573</v>
      </c>
      <c r="E683" s="15">
        <v>400</v>
      </c>
      <c r="F683" s="9">
        <v>6.5000000000000002E-2</v>
      </c>
      <c r="G683" s="9">
        <v>6.5000000000000002E-2</v>
      </c>
      <c r="H683" s="15">
        <f t="shared" si="20"/>
        <v>3800</v>
      </c>
    </row>
    <row r="684" spans="1:8" x14ac:dyDescent="0.25">
      <c r="A684" s="13">
        <v>44568</v>
      </c>
      <c r="B684" s="15" t="s">
        <v>21</v>
      </c>
      <c r="C684" s="3">
        <v>7</v>
      </c>
      <c r="D684" s="13">
        <f t="shared" si="19"/>
        <v>44575</v>
      </c>
      <c r="E684" s="15">
        <v>3200</v>
      </c>
      <c r="F684" s="9">
        <v>6.6000000000000003E-2</v>
      </c>
      <c r="G684" s="9">
        <v>6.6000000000000003E-2</v>
      </c>
      <c r="H684" s="15">
        <f t="shared" si="20"/>
        <v>3800</v>
      </c>
    </row>
    <row r="685" spans="1:8" x14ac:dyDescent="0.25">
      <c r="A685" s="13">
        <v>44571</v>
      </c>
      <c r="B685" s="15" t="s">
        <v>21</v>
      </c>
      <c r="C685" s="3">
        <v>2</v>
      </c>
      <c r="D685" s="13">
        <f t="shared" si="19"/>
        <v>44573</v>
      </c>
      <c r="E685" s="15">
        <v>1200</v>
      </c>
      <c r="F685" s="9">
        <v>6.5000000000000002E-2</v>
      </c>
      <c r="G685" s="9">
        <v>6.5000000000000002E-2</v>
      </c>
      <c r="H685" s="15">
        <f t="shared" si="20"/>
        <v>4800</v>
      </c>
    </row>
    <row r="686" spans="1:8" x14ac:dyDescent="0.25">
      <c r="A686" s="13">
        <v>44572</v>
      </c>
      <c r="B686" s="15" t="s">
        <v>21</v>
      </c>
      <c r="C686" s="3">
        <v>1</v>
      </c>
      <c r="D686" s="13">
        <f t="shared" si="19"/>
        <v>44573</v>
      </c>
      <c r="E686" s="15">
        <v>400</v>
      </c>
      <c r="F686" s="9">
        <v>6.5000000000000002E-2</v>
      </c>
      <c r="G686" s="9">
        <v>6.5000000000000002E-2</v>
      </c>
      <c r="H686" s="15">
        <f t="shared" si="20"/>
        <v>7800</v>
      </c>
    </row>
    <row r="687" spans="1:8" x14ac:dyDescent="0.25">
      <c r="A687" s="13">
        <v>44572</v>
      </c>
      <c r="B687" s="15" t="s">
        <v>21</v>
      </c>
      <c r="C687" s="3">
        <v>2</v>
      </c>
      <c r="D687" s="13">
        <f t="shared" si="19"/>
        <v>44574</v>
      </c>
      <c r="E687" s="15">
        <v>2200</v>
      </c>
      <c r="F687" s="9">
        <v>6.5000000000000002E-2</v>
      </c>
      <c r="G687" s="9">
        <v>6.5000000000000002E-2</v>
      </c>
      <c r="H687" s="15">
        <f t="shared" si="20"/>
        <v>7800</v>
      </c>
    </row>
    <row r="688" spans="1:8" x14ac:dyDescent="0.25">
      <c r="A688" s="13">
        <v>44572</v>
      </c>
      <c r="B688" s="15" t="s">
        <v>21</v>
      </c>
      <c r="C688" s="3">
        <v>3</v>
      </c>
      <c r="D688" s="13">
        <f t="shared" si="19"/>
        <v>44575</v>
      </c>
      <c r="E688" s="15">
        <v>400</v>
      </c>
      <c r="F688" s="9">
        <v>6.5500000000000003E-2</v>
      </c>
      <c r="G688" s="9">
        <v>6.5500000000000003E-2</v>
      </c>
      <c r="H688" s="15">
        <f t="shared" si="20"/>
        <v>7800</v>
      </c>
    </row>
    <row r="689" spans="1:8" x14ac:dyDescent="0.25">
      <c r="A689" s="13">
        <v>44573</v>
      </c>
      <c r="B689" s="15" t="s">
        <v>21</v>
      </c>
      <c r="C689" s="3">
        <v>1</v>
      </c>
      <c r="D689" s="13">
        <f t="shared" si="19"/>
        <v>44574</v>
      </c>
      <c r="E689" s="15">
        <v>100</v>
      </c>
      <c r="F689" s="9">
        <v>6.5000000000000002E-2</v>
      </c>
      <c r="G689" s="9">
        <v>6.5000000000000002E-2</v>
      </c>
      <c r="H689" s="15">
        <f t="shared" si="20"/>
        <v>8900</v>
      </c>
    </row>
    <row r="690" spans="1:8" x14ac:dyDescent="0.25">
      <c r="A690" s="13">
        <v>44573</v>
      </c>
      <c r="B690" s="15" t="s">
        <v>21</v>
      </c>
      <c r="C690" s="3">
        <v>2</v>
      </c>
      <c r="D690" s="13">
        <f t="shared" si="19"/>
        <v>44575</v>
      </c>
      <c r="E690" s="15">
        <v>1000</v>
      </c>
      <c r="F690" s="9">
        <v>6.5000000000000002E-2</v>
      </c>
      <c r="G690" s="9">
        <v>6.5000000000000002E-2</v>
      </c>
      <c r="H690" s="15">
        <f t="shared" si="20"/>
        <v>8900</v>
      </c>
    </row>
    <row r="691" spans="1:8" x14ac:dyDescent="0.25">
      <c r="A691" s="13">
        <v>44573</v>
      </c>
      <c r="B691" s="15" t="s">
        <v>21</v>
      </c>
      <c r="C691" s="3">
        <v>6</v>
      </c>
      <c r="D691" s="13">
        <f t="shared" si="19"/>
        <v>44579</v>
      </c>
      <c r="E691" s="15">
        <v>1800</v>
      </c>
      <c r="F691" s="9">
        <v>6.6000000000000003E-2</v>
      </c>
      <c r="G691" s="9">
        <v>6.6000000000000003E-2</v>
      </c>
      <c r="H691" s="15">
        <f t="shared" si="20"/>
        <v>8900</v>
      </c>
    </row>
    <row r="692" spans="1:8" x14ac:dyDescent="0.25">
      <c r="A692" s="13">
        <v>44573</v>
      </c>
      <c r="B692" s="15" t="s">
        <v>21</v>
      </c>
      <c r="C692" s="3">
        <v>7</v>
      </c>
      <c r="D692" s="13">
        <f t="shared" si="19"/>
        <v>44580</v>
      </c>
      <c r="E692" s="15">
        <v>200</v>
      </c>
      <c r="F692" s="9">
        <v>6.6000000000000003E-2</v>
      </c>
      <c r="G692" s="9">
        <v>6.6000000000000003E-2</v>
      </c>
      <c r="H692" s="15">
        <f t="shared" si="20"/>
        <v>8900</v>
      </c>
    </row>
    <row r="693" spans="1:8" x14ac:dyDescent="0.25">
      <c r="A693" s="13">
        <v>44574</v>
      </c>
      <c r="B693" s="15" t="s">
        <v>21</v>
      </c>
      <c r="C693" s="3">
        <v>1</v>
      </c>
      <c r="D693" s="13">
        <f t="shared" si="19"/>
        <v>44575</v>
      </c>
      <c r="E693" s="15">
        <v>600</v>
      </c>
      <c r="F693" s="9">
        <v>6.5000000000000002E-2</v>
      </c>
      <c r="G693" s="9">
        <v>6.5000000000000002E-2</v>
      </c>
      <c r="H693" s="15">
        <f t="shared" si="20"/>
        <v>10300</v>
      </c>
    </row>
    <row r="694" spans="1:8" x14ac:dyDescent="0.25">
      <c r="A694" s="13">
        <v>44574</v>
      </c>
      <c r="B694" s="15" t="s">
        <v>21</v>
      </c>
      <c r="C694" s="3">
        <v>4</v>
      </c>
      <c r="D694" s="13">
        <f t="shared" si="19"/>
        <v>44578</v>
      </c>
      <c r="E694" s="15">
        <v>2600</v>
      </c>
      <c r="F694" s="9">
        <v>6.5000000000000002E-2</v>
      </c>
      <c r="G694" s="9">
        <v>6.5000000000000002E-2</v>
      </c>
      <c r="H694" s="15">
        <f t="shared" si="20"/>
        <v>10300</v>
      </c>
    </row>
    <row r="695" spans="1:8" x14ac:dyDescent="0.25">
      <c r="A695" s="13">
        <v>44574</v>
      </c>
      <c r="B695" s="15" t="s">
        <v>21</v>
      </c>
      <c r="C695" s="3">
        <v>7</v>
      </c>
      <c r="D695" s="13">
        <f t="shared" si="19"/>
        <v>44581</v>
      </c>
      <c r="E695" s="15">
        <v>500</v>
      </c>
      <c r="F695" s="9">
        <v>6.6000000000000003E-2</v>
      </c>
      <c r="G695" s="9">
        <v>6.6000000000000003E-2</v>
      </c>
      <c r="H695" s="15">
        <f t="shared" si="20"/>
        <v>10300</v>
      </c>
    </row>
    <row r="696" spans="1:8" x14ac:dyDescent="0.25">
      <c r="A696" s="13">
        <v>44575</v>
      </c>
      <c r="B696" s="15" t="s">
        <v>21</v>
      </c>
      <c r="C696" s="3">
        <v>3</v>
      </c>
      <c r="D696" s="13">
        <f t="shared" si="19"/>
        <v>44578</v>
      </c>
      <c r="E696" s="15">
        <v>1200</v>
      </c>
      <c r="F696" s="9">
        <v>6.5000000000000002E-2</v>
      </c>
      <c r="G696" s="9">
        <v>6.5000000000000002E-2</v>
      </c>
      <c r="H696" s="15">
        <f t="shared" si="20"/>
        <v>11800</v>
      </c>
    </row>
    <row r="697" spans="1:8" x14ac:dyDescent="0.25">
      <c r="A697" s="13">
        <v>44575</v>
      </c>
      <c r="B697" s="15" t="s">
        <v>21</v>
      </c>
      <c r="C697" s="3">
        <v>4</v>
      </c>
      <c r="D697" s="13">
        <f t="shared" si="19"/>
        <v>44579</v>
      </c>
      <c r="E697" s="15">
        <v>2100</v>
      </c>
      <c r="F697" s="9">
        <v>6.5000000000000002E-2</v>
      </c>
      <c r="G697" s="9">
        <v>6.5000000000000002E-2</v>
      </c>
      <c r="H697" s="15">
        <f t="shared" si="20"/>
        <v>11800</v>
      </c>
    </row>
    <row r="698" spans="1:8" x14ac:dyDescent="0.25">
      <c r="A698" s="13">
        <v>44575</v>
      </c>
      <c r="B698" s="15" t="s">
        <v>21</v>
      </c>
      <c r="C698" s="3">
        <v>7</v>
      </c>
      <c r="D698" s="13">
        <f t="shared" si="19"/>
        <v>44582</v>
      </c>
      <c r="E698" s="15">
        <v>3400</v>
      </c>
      <c r="F698" s="9">
        <v>6.6000000000000003E-2</v>
      </c>
      <c r="G698" s="9">
        <v>6.6000000000000003E-2</v>
      </c>
      <c r="H698" s="15">
        <f t="shared" si="20"/>
        <v>11800</v>
      </c>
    </row>
    <row r="699" spans="1:8" x14ac:dyDescent="0.25">
      <c r="A699" s="13">
        <v>44578</v>
      </c>
      <c r="B699" s="15" t="s">
        <v>21</v>
      </c>
      <c r="C699" s="3">
        <v>1</v>
      </c>
      <c r="D699" s="13">
        <f t="shared" si="19"/>
        <v>44579</v>
      </c>
      <c r="E699" s="15">
        <v>400</v>
      </c>
      <c r="F699" s="9">
        <v>6.5000000000000002E-2</v>
      </c>
      <c r="G699" s="9">
        <v>6.5000000000000002E-2</v>
      </c>
      <c r="H699" s="15">
        <f t="shared" si="20"/>
        <v>12900</v>
      </c>
    </row>
    <row r="700" spans="1:8" x14ac:dyDescent="0.25">
      <c r="A700" s="13">
        <v>44578</v>
      </c>
      <c r="B700" s="15" t="s">
        <v>21</v>
      </c>
      <c r="C700" s="3">
        <v>2</v>
      </c>
      <c r="D700" s="13">
        <f t="shared" si="19"/>
        <v>44580</v>
      </c>
      <c r="E700" s="15">
        <v>2000</v>
      </c>
      <c r="F700" s="9">
        <v>6.5000000000000002E-2</v>
      </c>
      <c r="G700" s="9">
        <v>6.5000000000000002E-2</v>
      </c>
      <c r="H700" s="15">
        <f t="shared" si="20"/>
        <v>12900</v>
      </c>
    </row>
    <row r="701" spans="1:8" x14ac:dyDescent="0.25">
      <c r="A701" s="13">
        <v>44578</v>
      </c>
      <c r="B701" s="15" t="s">
        <v>21</v>
      </c>
      <c r="C701" s="3">
        <v>7</v>
      </c>
      <c r="D701" s="13">
        <f t="shared" si="19"/>
        <v>44585</v>
      </c>
      <c r="E701" s="15">
        <v>1600</v>
      </c>
      <c r="F701" s="9">
        <v>6.6000000000000003E-2</v>
      </c>
      <c r="G701" s="9">
        <v>6.6000000000000003E-2</v>
      </c>
      <c r="H701" s="15">
        <f t="shared" si="20"/>
        <v>12900</v>
      </c>
    </row>
    <row r="702" spans="1:8" x14ac:dyDescent="0.25">
      <c r="A702" s="13">
        <v>44578</v>
      </c>
      <c r="B702" s="15" t="s">
        <v>21</v>
      </c>
      <c r="C702" s="3">
        <v>15</v>
      </c>
      <c r="D702" s="13">
        <f t="shared" si="19"/>
        <v>44593</v>
      </c>
      <c r="E702" s="15">
        <v>900</v>
      </c>
      <c r="F702" s="9">
        <v>6.7500000000000004E-2</v>
      </c>
      <c r="G702" s="9">
        <v>6.7500000000000004E-2</v>
      </c>
      <c r="H702" s="15">
        <f t="shared" si="20"/>
        <v>12900</v>
      </c>
    </row>
    <row r="703" spans="1:8" x14ac:dyDescent="0.25">
      <c r="A703" s="13">
        <v>44579</v>
      </c>
      <c r="B703" s="15" t="s">
        <v>21</v>
      </c>
      <c r="C703" s="3">
        <v>1</v>
      </c>
      <c r="D703" s="13">
        <f t="shared" si="19"/>
        <v>44580</v>
      </c>
      <c r="E703" s="15">
        <v>1200</v>
      </c>
      <c r="F703" s="9">
        <v>6.4500000000000002E-2</v>
      </c>
      <c r="G703" s="9">
        <v>6.5000000000000002E-2</v>
      </c>
      <c r="H703" s="15">
        <f t="shared" si="20"/>
        <v>12900</v>
      </c>
    </row>
    <row r="704" spans="1:8" x14ac:dyDescent="0.25">
      <c r="A704" s="13">
        <v>44579</v>
      </c>
      <c r="B704" s="15" t="s">
        <v>21</v>
      </c>
      <c r="C704" s="3">
        <v>2</v>
      </c>
      <c r="D704" s="13">
        <f t="shared" si="19"/>
        <v>44581</v>
      </c>
      <c r="E704" s="15">
        <v>1500</v>
      </c>
      <c r="F704" s="9">
        <v>6.5000000000000002E-2</v>
      </c>
      <c r="G704" s="9">
        <v>6.5000000000000002E-2</v>
      </c>
      <c r="H704" s="15">
        <f t="shared" si="20"/>
        <v>12900</v>
      </c>
    </row>
    <row r="705" spans="1:8" x14ac:dyDescent="0.25">
      <c r="A705" s="13">
        <v>44579</v>
      </c>
      <c r="B705" s="15" t="s">
        <v>21</v>
      </c>
      <c r="C705" s="3">
        <v>6</v>
      </c>
      <c r="D705" s="13">
        <f t="shared" si="19"/>
        <v>44585</v>
      </c>
      <c r="E705" s="15">
        <v>600</v>
      </c>
      <c r="F705" s="9">
        <v>6.6500000000000004E-2</v>
      </c>
      <c r="G705" s="9">
        <v>6.6500000000000004E-2</v>
      </c>
      <c r="H705" s="15">
        <f t="shared" si="20"/>
        <v>12900</v>
      </c>
    </row>
    <row r="706" spans="1:8" x14ac:dyDescent="0.25">
      <c r="A706" s="13">
        <v>44579</v>
      </c>
      <c r="B706" s="15" t="s">
        <v>21</v>
      </c>
      <c r="C706" s="3">
        <v>7</v>
      </c>
      <c r="D706" s="13">
        <f t="shared" si="19"/>
        <v>44586</v>
      </c>
      <c r="E706" s="15">
        <v>600</v>
      </c>
      <c r="F706" s="9">
        <v>6.7000000000000004E-2</v>
      </c>
      <c r="G706" s="9">
        <v>6.7000000000000004E-2</v>
      </c>
      <c r="H706" s="15">
        <f t="shared" si="20"/>
        <v>12900</v>
      </c>
    </row>
    <row r="707" spans="1:8" x14ac:dyDescent="0.25">
      <c r="A707" s="13">
        <v>44579</v>
      </c>
      <c r="B707" s="15" t="s">
        <v>21</v>
      </c>
      <c r="C707" s="3">
        <v>14</v>
      </c>
      <c r="D707" s="13">
        <f t="shared" si="19"/>
        <v>44593</v>
      </c>
      <c r="E707" s="15">
        <v>400</v>
      </c>
      <c r="F707" s="9">
        <v>6.8500000000000005E-2</v>
      </c>
      <c r="G707" s="9">
        <v>6.8500000000000005E-2</v>
      </c>
      <c r="H707" s="15">
        <f t="shared" si="20"/>
        <v>12900</v>
      </c>
    </row>
    <row r="708" spans="1:8" x14ac:dyDescent="0.25">
      <c r="A708" s="13">
        <v>44580</v>
      </c>
      <c r="B708" s="15" t="s">
        <v>21</v>
      </c>
      <c r="C708" s="3">
        <v>1</v>
      </c>
      <c r="D708" s="13">
        <f t="shared" si="19"/>
        <v>44581</v>
      </c>
      <c r="E708" s="15">
        <v>600</v>
      </c>
      <c r="F708" s="9">
        <v>6.5000000000000002E-2</v>
      </c>
      <c r="G708" s="9">
        <v>6.5000000000000002E-2</v>
      </c>
      <c r="H708" s="15">
        <f t="shared" si="20"/>
        <v>12200</v>
      </c>
    </row>
    <row r="709" spans="1:8" x14ac:dyDescent="0.25">
      <c r="A709" s="13">
        <v>44580</v>
      </c>
      <c r="B709" s="15" t="s">
        <v>21</v>
      </c>
      <c r="C709" s="3">
        <v>2</v>
      </c>
      <c r="D709" s="13">
        <f t="shared" si="19"/>
        <v>44582</v>
      </c>
      <c r="E709" s="15">
        <v>1100</v>
      </c>
      <c r="F709" s="9">
        <v>6.5000000000000002E-2</v>
      </c>
      <c r="G709" s="9">
        <v>6.5000000000000002E-2</v>
      </c>
      <c r="H709" s="15">
        <f t="shared" si="20"/>
        <v>12200</v>
      </c>
    </row>
    <row r="710" spans="1:8" x14ac:dyDescent="0.25">
      <c r="A710" s="13">
        <v>44580</v>
      </c>
      <c r="B710" s="15" t="s">
        <v>21</v>
      </c>
      <c r="C710" s="3">
        <v>13</v>
      </c>
      <c r="D710" s="13">
        <f t="shared" si="19"/>
        <v>44593</v>
      </c>
      <c r="E710" s="15">
        <v>1000</v>
      </c>
      <c r="F710" s="9">
        <v>6.8500000000000005E-2</v>
      </c>
      <c r="G710" s="9">
        <v>6.8500000000000005E-2</v>
      </c>
      <c r="H710" s="15">
        <f t="shared" si="20"/>
        <v>12200</v>
      </c>
    </row>
    <row r="711" spans="1:8" x14ac:dyDescent="0.25">
      <c r="A711" s="13">
        <v>44581</v>
      </c>
      <c r="B711" s="15" t="s">
        <v>21</v>
      </c>
      <c r="C711" s="3">
        <v>1</v>
      </c>
      <c r="D711" s="13">
        <f t="shared" si="19"/>
        <v>44582</v>
      </c>
      <c r="E711" s="15">
        <v>1100</v>
      </c>
      <c r="F711" s="9">
        <v>6.5000000000000002E-2</v>
      </c>
      <c r="G711" s="9">
        <v>6.5000000000000002E-2</v>
      </c>
      <c r="H711" s="15">
        <f t="shared" si="20"/>
        <v>13400</v>
      </c>
    </row>
    <row r="712" spans="1:8" x14ac:dyDescent="0.25">
      <c r="A712" s="13">
        <v>44581</v>
      </c>
      <c r="B712" s="15" t="s">
        <v>21</v>
      </c>
      <c r="C712" s="3">
        <v>4</v>
      </c>
      <c r="D712" s="13">
        <f t="shared" si="19"/>
        <v>44585</v>
      </c>
      <c r="E712" s="15">
        <v>900</v>
      </c>
      <c r="F712" s="9">
        <v>6.5000000000000002E-2</v>
      </c>
      <c r="G712" s="9">
        <v>6.5000000000000002E-2</v>
      </c>
      <c r="H712" s="15">
        <f t="shared" si="20"/>
        <v>13400</v>
      </c>
    </row>
    <row r="713" spans="1:8" x14ac:dyDescent="0.25">
      <c r="A713" s="13">
        <v>44581</v>
      </c>
      <c r="B713" s="15" t="s">
        <v>21</v>
      </c>
      <c r="C713" s="3">
        <v>7</v>
      </c>
      <c r="D713" s="13">
        <f t="shared" si="19"/>
        <v>44588</v>
      </c>
      <c r="E713" s="15">
        <v>1000</v>
      </c>
      <c r="F713" s="9">
        <v>6.7000000000000004E-2</v>
      </c>
      <c r="G713" s="9">
        <v>6.7000000000000004E-2</v>
      </c>
      <c r="H713" s="15">
        <f t="shared" si="20"/>
        <v>13400</v>
      </c>
    </row>
    <row r="714" spans="1:8" x14ac:dyDescent="0.25">
      <c r="A714" s="13">
        <v>44581</v>
      </c>
      <c r="B714" s="15" t="s">
        <v>21</v>
      </c>
      <c r="C714" s="3">
        <v>12</v>
      </c>
      <c r="D714" s="13">
        <f t="shared" si="19"/>
        <v>44593</v>
      </c>
      <c r="E714" s="15">
        <v>800</v>
      </c>
      <c r="F714" s="9">
        <v>6.8500000000000005E-2</v>
      </c>
      <c r="G714" s="9">
        <v>6.8500000000000005E-2</v>
      </c>
      <c r="H714" s="15">
        <f t="shared" ref="H714:H777" si="21">+SUMIFS($E$10:$E$4503,$A$10:$A$4503,"&lt;="&amp;A714,$D$10:$D$4503,"&gt;"&amp;A714)</f>
        <v>13400</v>
      </c>
    </row>
    <row r="715" spans="1:8" x14ac:dyDescent="0.25">
      <c r="A715" s="13">
        <v>44582</v>
      </c>
      <c r="B715" s="15" t="s">
        <v>21</v>
      </c>
      <c r="C715" s="3">
        <v>3</v>
      </c>
      <c r="D715" s="13">
        <f t="shared" si="19"/>
        <v>44585</v>
      </c>
      <c r="E715" s="15">
        <v>1200</v>
      </c>
      <c r="F715" s="9">
        <v>6.4500000000000002E-2</v>
      </c>
      <c r="G715" s="9">
        <v>6.5000000000000002E-2</v>
      </c>
      <c r="H715" s="15">
        <f t="shared" si="21"/>
        <v>13100</v>
      </c>
    </row>
    <row r="716" spans="1:8" x14ac:dyDescent="0.25">
      <c r="A716" s="13">
        <v>44582</v>
      </c>
      <c r="B716" s="15" t="s">
        <v>21</v>
      </c>
      <c r="C716" s="3">
        <v>4</v>
      </c>
      <c r="D716" s="13">
        <f t="shared" si="19"/>
        <v>44586</v>
      </c>
      <c r="E716" s="15">
        <v>2800</v>
      </c>
      <c r="F716" s="9">
        <v>6.5000000000000002E-2</v>
      </c>
      <c r="G716" s="9">
        <v>6.5000000000000002E-2</v>
      </c>
      <c r="H716" s="15">
        <f t="shared" si="21"/>
        <v>13100</v>
      </c>
    </row>
    <row r="717" spans="1:8" x14ac:dyDescent="0.25">
      <c r="A717" s="13">
        <v>44582</v>
      </c>
      <c r="B717" s="15" t="s">
        <v>21</v>
      </c>
      <c r="C717" s="3">
        <v>7</v>
      </c>
      <c r="D717" s="13">
        <f t="shared" si="19"/>
        <v>44589</v>
      </c>
      <c r="E717" s="15">
        <v>1000</v>
      </c>
      <c r="F717" s="9">
        <v>6.7000000000000004E-2</v>
      </c>
      <c r="G717" s="9">
        <v>6.7000000000000004E-2</v>
      </c>
      <c r="H717" s="15">
        <f t="shared" si="21"/>
        <v>13100</v>
      </c>
    </row>
    <row r="718" spans="1:8" x14ac:dyDescent="0.25">
      <c r="A718" s="13">
        <v>44582</v>
      </c>
      <c r="B718" s="15" t="s">
        <v>21</v>
      </c>
      <c r="C718" s="3">
        <v>11</v>
      </c>
      <c r="D718" s="13">
        <f t="shared" si="19"/>
        <v>44593</v>
      </c>
      <c r="E718" s="15">
        <v>300</v>
      </c>
      <c r="F718" s="9">
        <v>6.8000000000000005E-2</v>
      </c>
      <c r="G718" s="9">
        <v>6.8000000000000005E-2</v>
      </c>
      <c r="H718" s="15">
        <f t="shared" si="21"/>
        <v>13100</v>
      </c>
    </row>
    <row r="719" spans="1:8" x14ac:dyDescent="0.25">
      <c r="A719" s="13">
        <v>44585</v>
      </c>
      <c r="B719" s="15" t="s">
        <v>21</v>
      </c>
      <c r="C719" s="3">
        <v>1</v>
      </c>
      <c r="D719" s="13">
        <f t="shared" si="19"/>
        <v>44586</v>
      </c>
      <c r="E719" s="15">
        <v>2850</v>
      </c>
      <c r="F719" s="9">
        <v>6.4000000000000001E-2</v>
      </c>
      <c r="G719" s="9">
        <v>6.5000000000000002E-2</v>
      </c>
      <c r="H719" s="15">
        <f t="shared" si="21"/>
        <v>15650</v>
      </c>
    </row>
    <row r="720" spans="1:8" x14ac:dyDescent="0.25">
      <c r="A720" s="13">
        <v>44585</v>
      </c>
      <c r="B720" s="15" t="s">
        <v>21</v>
      </c>
      <c r="C720" s="3">
        <v>2</v>
      </c>
      <c r="D720" s="13">
        <f t="shared" si="19"/>
        <v>44587</v>
      </c>
      <c r="E720" s="15">
        <v>2200</v>
      </c>
      <c r="F720" s="9">
        <v>6.5000000000000002E-2</v>
      </c>
      <c r="G720" s="9">
        <v>6.5000000000000002E-2</v>
      </c>
      <c r="H720" s="15">
        <f t="shared" si="21"/>
        <v>15650</v>
      </c>
    </row>
    <row r="721" spans="1:8" x14ac:dyDescent="0.25">
      <c r="A721" s="13">
        <v>44585</v>
      </c>
      <c r="B721" s="15" t="s">
        <v>21</v>
      </c>
      <c r="C721" s="3">
        <v>8</v>
      </c>
      <c r="D721" s="13">
        <f t="shared" si="19"/>
        <v>44593</v>
      </c>
      <c r="E721" s="15">
        <v>1800</v>
      </c>
      <c r="F721" s="9">
        <v>6.7000000000000004E-2</v>
      </c>
      <c r="G721" s="9">
        <v>6.7000000000000004E-2</v>
      </c>
      <c r="H721" s="15">
        <f t="shared" si="21"/>
        <v>15650</v>
      </c>
    </row>
    <row r="722" spans="1:8" x14ac:dyDescent="0.25">
      <c r="A722" s="13">
        <v>44586</v>
      </c>
      <c r="B722" s="15" t="s">
        <v>21</v>
      </c>
      <c r="C722" s="3">
        <v>1</v>
      </c>
      <c r="D722" s="13">
        <f t="shared" si="19"/>
        <v>44587</v>
      </c>
      <c r="E722" s="15">
        <f>200-200</f>
        <v>0</v>
      </c>
      <c r="F722" s="9">
        <v>6.5500000000000003E-2</v>
      </c>
      <c r="G722" s="9">
        <v>6.6000000000000003E-2</v>
      </c>
      <c r="H722" s="15">
        <f t="shared" si="21"/>
        <v>8400</v>
      </c>
    </row>
    <row r="723" spans="1:8" x14ac:dyDescent="0.25">
      <c r="A723" s="13">
        <v>44586</v>
      </c>
      <c r="B723" s="15" t="s">
        <v>21</v>
      </c>
      <c r="C723" s="3">
        <v>7</v>
      </c>
      <c r="D723" s="13">
        <f t="shared" si="19"/>
        <v>44593</v>
      </c>
      <c r="E723" s="15">
        <v>-1000</v>
      </c>
      <c r="F723" s="9">
        <v>6.9000000000000006E-2</v>
      </c>
      <c r="G723" s="9">
        <v>6.9000000000000006E-2</v>
      </c>
      <c r="H723" s="15">
        <f t="shared" si="21"/>
        <v>8400</v>
      </c>
    </row>
    <row r="724" spans="1:8" x14ac:dyDescent="0.25">
      <c r="A724" s="13">
        <v>44587</v>
      </c>
      <c r="B724" s="15" t="s">
        <v>21</v>
      </c>
      <c r="C724" s="3">
        <v>1</v>
      </c>
      <c r="D724" s="13">
        <f t="shared" si="19"/>
        <v>44588</v>
      </c>
      <c r="E724" s="15">
        <v>-2100</v>
      </c>
      <c r="F724" s="9">
        <v>6.5000000000000002E-2</v>
      </c>
      <c r="G724" s="9">
        <v>6.6000000000000003E-2</v>
      </c>
      <c r="H724" s="15">
        <f t="shared" si="21"/>
        <v>1000</v>
      </c>
    </row>
    <row r="725" spans="1:8" x14ac:dyDescent="0.25">
      <c r="A725" s="13">
        <v>44587</v>
      </c>
      <c r="B725" s="15" t="s">
        <v>21</v>
      </c>
      <c r="C725" s="3">
        <v>2</v>
      </c>
      <c r="D725" s="13">
        <f t="shared" si="19"/>
        <v>44589</v>
      </c>
      <c r="E725" s="15">
        <v>-300</v>
      </c>
      <c r="F725" s="9">
        <v>6.7500000000000004E-2</v>
      </c>
      <c r="G725" s="9">
        <v>6.7500000000000004E-2</v>
      </c>
      <c r="H725" s="15">
        <f t="shared" si="21"/>
        <v>1000</v>
      </c>
    </row>
    <row r="726" spans="1:8" x14ac:dyDescent="0.25">
      <c r="A726" s="13">
        <v>44587</v>
      </c>
      <c r="B726" s="15" t="s">
        <v>21</v>
      </c>
      <c r="C726" s="3">
        <v>5</v>
      </c>
      <c r="D726" s="13">
        <f t="shared" si="19"/>
        <v>44592</v>
      </c>
      <c r="E726" s="15">
        <v>-2800</v>
      </c>
      <c r="F726" s="9">
        <v>6.7500000000000004E-2</v>
      </c>
      <c r="G726" s="9">
        <v>6.7500000000000004E-2</v>
      </c>
      <c r="H726" s="15">
        <f t="shared" si="21"/>
        <v>1000</v>
      </c>
    </row>
    <row r="727" spans="1:8" x14ac:dyDescent="0.25">
      <c r="A727" s="13">
        <v>44588</v>
      </c>
      <c r="B727" s="15" t="s">
        <v>21</v>
      </c>
      <c r="C727" s="3">
        <v>1</v>
      </c>
      <c r="D727" s="13">
        <f t="shared" si="19"/>
        <v>44589</v>
      </c>
      <c r="E727" s="15">
        <v>-300</v>
      </c>
      <c r="F727" s="9">
        <v>6.7500000000000004E-2</v>
      </c>
      <c r="G727" s="9">
        <v>6.7500000000000004E-2</v>
      </c>
      <c r="H727" s="15">
        <f t="shared" si="21"/>
        <v>1600</v>
      </c>
    </row>
    <row r="728" spans="1:8" x14ac:dyDescent="0.25">
      <c r="A728" s="13">
        <v>44588</v>
      </c>
      <c r="B728" s="15" t="s">
        <v>21</v>
      </c>
      <c r="C728" s="3">
        <v>4</v>
      </c>
      <c r="D728" s="13">
        <f t="shared" si="19"/>
        <v>44592</v>
      </c>
      <c r="E728" s="15">
        <v>-200</v>
      </c>
      <c r="F728" s="9">
        <v>6.7500000000000004E-2</v>
      </c>
      <c r="G728" s="9">
        <v>6.7500000000000004E-2</v>
      </c>
      <c r="H728" s="15">
        <f t="shared" si="21"/>
        <v>1600</v>
      </c>
    </row>
    <row r="729" spans="1:8" x14ac:dyDescent="0.25">
      <c r="A729" s="13">
        <v>44589</v>
      </c>
      <c r="B729" s="15" t="s">
        <v>21</v>
      </c>
      <c r="C729" s="3">
        <v>3</v>
      </c>
      <c r="D729" s="13">
        <f t="shared" si="19"/>
        <v>44592</v>
      </c>
      <c r="E729" s="15">
        <v>2080</v>
      </c>
      <c r="F729" s="9">
        <v>6.3E-2</v>
      </c>
      <c r="G729" s="9">
        <v>6.4000000000000001E-2</v>
      </c>
      <c r="H729" s="15">
        <f t="shared" si="21"/>
        <v>10880</v>
      </c>
    </row>
    <row r="730" spans="1:8" x14ac:dyDescent="0.25">
      <c r="A730" s="13">
        <v>44589</v>
      </c>
      <c r="B730" s="15" t="s">
        <v>21</v>
      </c>
      <c r="C730" s="3">
        <v>4</v>
      </c>
      <c r="D730" s="13">
        <f t="shared" si="19"/>
        <v>44593</v>
      </c>
      <c r="E730" s="15">
        <v>7600</v>
      </c>
      <c r="F730" s="9">
        <v>6.3E-2</v>
      </c>
      <c r="G730" s="9">
        <v>6.4000000000000001E-2</v>
      </c>
      <c r="H730" s="15">
        <f t="shared" si="21"/>
        <v>10880</v>
      </c>
    </row>
    <row r="731" spans="1:8" x14ac:dyDescent="0.25">
      <c r="A731" s="13">
        <v>44592</v>
      </c>
      <c r="B731" s="15" t="s">
        <v>21</v>
      </c>
      <c r="C731" s="3">
        <v>1</v>
      </c>
      <c r="D731" s="13">
        <f t="shared" si="19"/>
        <v>44593</v>
      </c>
      <c r="E731" s="15">
        <v>7400</v>
      </c>
      <c r="F731" s="9">
        <v>6.25E-2</v>
      </c>
      <c r="G731" s="9">
        <v>6.3500000000000001E-2</v>
      </c>
      <c r="H731" s="15">
        <f t="shared" si="21"/>
        <v>20600</v>
      </c>
    </row>
    <row r="732" spans="1:8" x14ac:dyDescent="0.25">
      <c r="A732" s="13">
        <v>44592</v>
      </c>
      <c r="B732" s="15" t="s">
        <v>21</v>
      </c>
      <c r="C732" s="3">
        <v>2</v>
      </c>
      <c r="D732" s="13">
        <f t="shared" si="19"/>
        <v>44594</v>
      </c>
      <c r="E732" s="15">
        <v>1000</v>
      </c>
      <c r="F732" s="9">
        <v>6.5000000000000002E-2</v>
      </c>
      <c r="G732" s="9">
        <v>6.5000000000000002E-2</v>
      </c>
      <c r="H732" s="15">
        <f t="shared" si="21"/>
        <v>20600</v>
      </c>
    </row>
    <row r="733" spans="1:8" x14ac:dyDescent="0.25">
      <c r="A733" s="13">
        <v>44592</v>
      </c>
      <c r="B733" s="15" t="s">
        <v>21</v>
      </c>
      <c r="C733" s="3">
        <v>4</v>
      </c>
      <c r="D733" s="13">
        <f t="shared" si="19"/>
        <v>44596</v>
      </c>
      <c r="E733" s="15">
        <v>400</v>
      </c>
      <c r="F733" s="9">
        <v>6.5500000000000003E-2</v>
      </c>
      <c r="G733" s="9">
        <v>6.5500000000000003E-2</v>
      </c>
      <c r="H733" s="15">
        <f t="shared" si="21"/>
        <v>20600</v>
      </c>
    </row>
    <row r="734" spans="1:8" x14ac:dyDescent="0.25">
      <c r="A734" s="13">
        <v>44593</v>
      </c>
      <c r="B734" s="15" t="s">
        <v>21</v>
      </c>
      <c r="C734" s="3">
        <v>1</v>
      </c>
      <c r="D734" s="13">
        <f t="shared" si="19"/>
        <v>44594</v>
      </c>
      <c r="E734" s="15">
        <v>-1800</v>
      </c>
      <c r="F734" s="9">
        <v>6.7500000000000004E-2</v>
      </c>
      <c r="G734" s="9">
        <v>6.7500000000000004E-2</v>
      </c>
      <c r="H734" s="15">
        <f t="shared" si="21"/>
        <v>-400</v>
      </c>
    </row>
    <row r="735" spans="1:8" x14ac:dyDescent="0.25">
      <c r="A735" s="13">
        <v>44594</v>
      </c>
      <c r="B735" s="15" t="s">
        <v>21</v>
      </c>
      <c r="C735" s="3">
        <v>5</v>
      </c>
      <c r="D735" s="13">
        <f t="shared" si="19"/>
        <v>44599</v>
      </c>
      <c r="E735" s="15">
        <v>3200</v>
      </c>
      <c r="F735" s="9">
        <v>6.5500000000000003E-2</v>
      </c>
      <c r="G735" s="9">
        <v>6.5500000000000003E-2</v>
      </c>
      <c r="H735" s="15">
        <f t="shared" si="21"/>
        <v>3600</v>
      </c>
    </row>
    <row r="736" spans="1:8" x14ac:dyDescent="0.25">
      <c r="A736" s="13">
        <v>44595</v>
      </c>
      <c r="B736" s="15" t="s">
        <v>21</v>
      </c>
      <c r="C736" s="3">
        <v>4</v>
      </c>
      <c r="D736" s="13">
        <f t="shared" si="19"/>
        <v>44599</v>
      </c>
      <c r="E736" s="15">
        <v>600</v>
      </c>
      <c r="F736" s="9">
        <v>6.5500000000000003E-2</v>
      </c>
      <c r="G736" s="9">
        <v>6.5500000000000003E-2</v>
      </c>
      <c r="H736" s="15">
        <f t="shared" si="21"/>
        <v>7500</v>
      </c>
    </row>
    <row r="737" spans="1:8" x14ac:dyDescent="0.25">
      <c r="A737" s="13">
        <v>44595</v>
      </c>
      <c r="B737" s="15" t="s">
        <v>21</v>
      </c>
      <c r="C737" s="3">
        <v>11</v>
      </c>
      <c r="D737" s="13">
        <f t="shared" si="19"/>
        <v>44606</v>
      </c>
      <c r="E737" s="15">
        <v>3300</v>
      </c>
      <c r="F737" s="9">
        <v>6.6500000000000004E-2</v>
      </c>
      <c r="G737" s="9">
        <v>6.6500000000000004E-2</v>
      </c>
      <c r="H737" s="15">
        <f t="shared" si="21"/>
        <v>7500</v>
      </c>
    </row>
    <row r="738" spans="1:8" x14ac:dyDescent="0.25">
      <c r="A738" s="13">
        <v>44596</v>
      </c>
      <c r="B738" s="15" t="s">
        <v>21</v>
      </c>
      <c r="C738" s="3">
        <v>4</v>
      </c>
      <c r="D738" s="13">
        <f t="shared" si="19"/>
        <v>44600</v>
      </c>
      <c r="E738" s="15">
        <v>540</v>
      </c>
      <c r="F738" s="9">
        <v>6.6500000000000004E-2</v>
      </c>
      <c r="G738" s="9">
        <v>6.6500000000000004E-2</v>
      </c>
      <c r="H738" s="15">
        <f t="shared" si="21"/>
        <v>7840</v>
      </c>
    </row>
    <row r="739" spans="1:8" x14ac:dyDescent="0.25">
      <c r="A739" s="13">
        <v>44596</v>
      </c>
      <c r="B739" s="15" t="s">
        <v>21</v>
      </c>
      <c r="C739" s="3">
        <v>10</v>
      </c>
      <c r="D739" s="13">
        <f t="shared" si="19"/>
        <v>44606</v>
      </c>
      <c r="E739" s="15">
        <v>200</v>
      </c>
      <c r="F739" s="9">
        <v>6.5000000000000002E-2</v>
      </c>
      <c r="G739" s="9">
        <v>6.5000000000000002E-2</v>
      </c>
      <c r="H739" s="15">
        <f t="shared" si="21"/>
        <v>7840</v>
      </c>
    </row>
    <row r="740" spans="1:8" x14ac:dyDescent="0.25">
      <c r="A740" s="13">
        <v>44599</v>
      </c>
      <c r="B740" s="15" t="s">
        <v>21</v>
      </c>
      <c r="C740" s="3">
        <v>7</v>
      </c>
      <c r="D740" s="13">
        <f t="shared" si="19"/>
        <v>44606</v>
      </c>
      <c r="E740" s="15">
        <v>800</v>
      </c>
      <c r="F740" s="9">
        <v>6.5000000000000002E-2</v>
      </c>
      <c r="G740" s="9">
        <v>6.5000000000000002E-2</v>
      </c>
      <c r="H740" s="15">
        <f t="shared" si="21"/>
        <v>4840</v>
      </c>
    </row>
    <row r="741" spans="1:8" x14ac:dyDescent="0.25">
      <c r="A741" s="13">
        <v>44602</v>
      </c>
      <c r="B741" s="15" t="s">
        <v>21</v>
      </c>
      <c r="C741" s="3">
        <v>4</v>
      </c>
      <c r="D741" s="13">
        <f t="shared" si="19"/>
        <v>44606</v>
      </c>
      <c r="E741" s="15">
        <v>700</v>
      </c>
      <c r="F741" s="9">
        <v>6.5000000000000002E-2</v>
      </c>
      <c r="G741" s="9">
        <v>6.5000000000000002E-2</v>
      </c>
      <c r="H741" s="15">
        <f t="shared" si="21"/>
        <v>5000</v>
      </c>
    </row>
    <row r="742" spans="1:8" x14ac:dyDescent="0.25">
      <c r="A742" s="13">
        <v>44603</v>
      </c>
      <c r="B742" s="15" t="s">
        <v>21</v>
      </c>
      <c r="C742" s="3">
        <v>4</v>
      </c>
      <c r="D742" s="13">
        <f t="shared" si="19"/>
        <v>44607</v>
      </c>
      <c r="E742" s="15">
        <v>-1000</v>
      </c>
      <c r="F742" s="9">
        <v>6.7000000000000004E-2</v>
      </c>
      <c r="G742" s="9">
        <v>6.7000000000000004E-2</v>
      </c>
      <c r="H742" s="15">
        <f t="shared" si="21"/>
        <v>4000</v>
      </c>
    </row>
    <row r="743" spans="1:8" x14ac:dyDescent="0.25">
      <c r="A743" s="13">
        <v>44606</v>
      </c>
      <c r="B743" s="15" t="s">
        <v>21</v>
      </c>
      <c r="C743" s="3">
        <v>2</v>
      </c>
      <c r="D743" s="13">
        <f t="shared" si="19"/>
        <v>44608</v>
      </c>
      <c r="E743" s="15">
        <v>1200</v>
      </c>
      <c r="F743" s="9">
        <v>6.5000000000000002E-2</v>
      </c>
      <c r="G743" s="9">
        <v>6.5000000000000002E-2</v>
      </c>
      <c r="H743" s="15">
        <f t="shared" si="21"/>
        <v>1620</v>
      </c>
    </row>
    <row r="744" spans="1:8" x14ac:dyDescent="0.25">
      <c r="A744" s="13">
        <v>44606</v>
      </c>
      <c r="B744" s="15" t="s">
        <v>21</v>
      </c>
      <c r="C744" s="3">
        <v>7</v>
      </c>
      <c r="D744" s="13">
        <f t="shared" ref="D744:D782" si="22">+A744+C744</f>
        <v>44613</v>
      </c>
      <c r="E744" s="15">
        <v>1420</v>
      </c>
      <c r="F744" s="9">
        <v>6.9000000000000006E-2</v>
      </c>
      <c r="G744" s="9">
        <v>6.9000000000000006E-2</v>
      </c>
      <c r="H744" s="15">
        <f t="shared" si="21"/>
        <v>1620</v>
      </c>
    </row>
    <row r="745" spans="1:8" x14ac:dyDescent="0.25">
      <c r="A745" s="13">
        <v>44607</v>
      </c>
      <c r="B745" s="15" t="s">
        <v>21</v>
      </c>
      <c r="C745" s="3">
        <v>2</v>
      </c>
      <c r="D745" s="13">
        <f t="shared" si="22"/>
        <v>44609</v>
      </c>
      <c r="E745" s="15">
        <v>1100</v>
      </c>
      <c r="F745" s="9">
        <v>6.5000000000000002E-2</v>
      </c>
      <c r="G745" s="9">
        <v>6.5000000000000002E-2</v>
      </c>
      <c r="H745" s="15">
        <f t="shared" si="21"/>
        <v>5110</v>
      </c>
    </row>
    <row r="746" spans="1:8" x14ac:dyDescent="0.25">
      <c r="A746" s="13">
        <v>44607</v>
      </c>
      <c r="B746" s="15" t="s">
        <v>21</v>
      </c>
      <c r="C746" s="3">
        <v>6</v>
      </c>
      <c r="D746" s="13">
        <f t="shared" si="22"/>
        <v>44613</v>
      </c>
      <c r="E746" s="15">
        <v>1390</v>
      </c>
      <c r="F746" s="9">
        <v>6.9500000000000006E-2</v>
      </c>
      <c r="G746" s="9">
        <v>6.9500000000000006E-2</v>
      </c>
      <c r="H746" s="15">
        <f t="shared" si="21"/>
        <v>5110</v>
      </c>
    </row>
    <row r="747" spans="1:8" x14ac:dyDescent="0.25">
      <c r="A747" s="13">
        <v>44608</v>
      </c>
      <c r="B747" s="15" t="s">
        <v>21</v>
      </c>
      <c r="C747" s="3">
        <v>2</v>
      </c>
      <c r="D747" s="13">
        <f t="shared" si="22"/>
        <v>44610</v>
      </c>
      <c r="E747" s="15">
        <v>1600</v>
      </c>
      <c r="F747" s="9">
        <v>6.8500000000000005E-2</v>
      </c>
      <c r="G747" s="9">
        <v>6.8500000000000005E-2</v>
      </c>
      <c r="H747" s="15">
        <f t="shared" si="21"/>
        <v>6510</v>
      </c>
    </row>
    <row r="748" spans="1:8" x14ac:dyDescent="0.25">
      <c r="A748" s="13">
        <v>44608</v>
      </c>
      <c r="B748" s="15" t="s">
        <v>21</v>
      </c>
      <c r="C748" s="3">
        <v>5</v>
      </c>
      <c r="D748" s="13">
        <f t="shared" si="22"/>
        <v>44613</v>
      </c>
      <c r="E748" s="15">
        <v>1000</v>
      </c>
      <c r="F748" s="9">
        <v>7.0999999999999994E-2</v>
      </c>
      <c r="G748" s="9">
        <v>7.0999999999999994E-2</v>
      </c>
      <c r="H748" s="15">
        <f t="shared" si="21"/>
        <v>6510</v>
      </c>
    </row>
    <row r="749" spans="1:8" x14ac:dyDescent="0.25">
      <c r="A749" s="13">
        <v>44609</v>
      </c>
      <c r="B749" s="15" t="s">
        <v>21</v>
      </c>
      <c r="C749" s="3">
        <v>4</v>
      </c>
      <c r="D749" s="13">
        <f t="shared" si="22"/>
        <v>44613</v>
      </c>
      <c r="E749" s="15">
        <v>2000</v>
      </c>
      <c r="F749" s="9">
        <v>7.2499999999999995E-2</v>
      </c>
      <c r="G749" s="9">
        <v>7.2499999999999995E-2</v>
      </c>
      <c r="H749" s="15">
        <f t="shared" si="21"/>
        <v>9210</v>
      </c>
    </row>
    <row r="750" spans="1:8" x14ac:dyDescent="0.25">
      <c r="A750" s="13">
        <v>44609</v>
      </c>
      <c r="B750" s="15" t="s">
        <v>21</v>
      </c>
      <c r="C750" s="3">
        <v>7</v>
      </c>
      <c r="D750" s="13">
        <f t="shared" si="22"/>
        <v>44616</v>
      </c>
      <c r="E750" s="15">
        <v>1800</v>
      </c>
      <c r="F750" s="9">
        <v>7.2999999999999995E-2</v>
      </c>
      <c r="G750" s="9">
        <v>7.2999999999999995E-2</v>
      </c>
      <c r="H750" s="15">
        <f t="shared" si="21"/>
        <v>9210</v>
      </c>
    </row>
    <row r="751" spans="1:8" x14ac:dyDescent="0.25">
      <c r="A751" s="13">
        <v>44610</v>
      </c>
      <c r="B751" s="15" t="s">
        <v>21</v>
      </c>
      <c r="C751" s="3">
        <v>4</v>
      </c>
      <c r="D751" s="13">
        <f t="shared" si="22"/>
        <v>44614</v>
      </c>
      <c r="E751" s="15">
        <v>3790</v>
      </c>
      <c r="F751" s="9">
        <v>7.2499999999999995E-2</v>
      </c>
      <c r="G751" s="9">
        <v>7.2499999999999995E-2</v>
      </c>
      <c r="H751" s="15">
        <f t="shared" si="21"/>
        <v>13960</v>
      </c>
    </row>
    <row r="752" spans="1:8" x14ac:dyDescent="0.25">
      <c r="A752" s="13">
        <v>44610</v>
      </c>
      <c r="B752" s="15" t="s">
        <v>21</v>
      </c>
      <c r="C752" s="3">
        <v>5</v>
      </c>
      <c r="D752" s="13">
        <f t="shared" si="22"/>
        <v>44615</v>
      </c>
      <c r="E752" s="15">
        <v>1560</v>
      </c>
      <c r="F752" s="9">
        <v>7.2499999999999995E-2</v>
      </c>
      <c r="G752" s="9">
        <v>7.2499999999999995E-2</v>
      </c>
      <c r="H752" s="15">
        <f t="shared" si="21"/>
        <v>13960</v>
      </c>
    </row>
    <row r="753" spans="1:8" x14ac:dyDescent="0.25">
      <c r="A753" s="13">
        <v>44610</v>
      </c>
      <c r="B753" s="15" t="s">
        <v>21</v>
      </c>
      <c r="C753" s="3">
        <v>7</v>
      </c>
      <c r="D753" s="13">
        <f t="shared" si="22"/>
        <v>44617</v>
      </c>
      <c r="E753" s="15">
        <v>700</v>
      </c>
      <c r="F753" s="9">
        <v>7.2999999999999995E-2</v>
      </c>
      <c r="G753" s="9">
        <v>7.2999999999999995E-2</v>
      </c>
      <c r="H753" s="15">
        <f t="shared" si="21"/>
        <v>13960</v>
      </c>
    </row>
    <row r="754" spans="1:8" x14ac:dyDescent="0.25">
      <c r="A754" s="13">
        <v>44610</v>
      </c>
      <c r="B754" s="15" t="s">
        <v>21</v>
      </c>
      <c r="C754" s="3">
        <v>12</v>
      </c>
      <c r="D754" s="13">
        <f t="shared" si="22"/>
        <v>44622</v>
      </c>
      <c r="E754" s="15">
        <v>300</v>
      </c>
      <c r="F754" s="9">
        <v>7.3499999999999996E-2</v>
      </c>
      <c r="G754" s="9">
        <v>7.3499999999999996E-2</v>
      </c>
      <c r="H754" s="15">
        <f t="shared" si="21"/>
        <v>13960</v>
      </c>
    </row>
    <row r="755" spans="1:8" x14ac:dyDescent="0.25">
      <c r="A755" s="13">
        <v>44613</v>
      </c>
      <c r="B755" s="15" t="s">
        <v>21</v>
      </c>
      <c r="C755" s="3">
        <v>2</v>
      </c>
      <c r="D755" s="13">
        <f t="shared" si="22"/>
        <v>44615</v>
      </c>
      <c r="E755" s="15">
        <v>4400</v>
      </c>
      <c r="F755" s="9">
        <v>7.2499999999999995E-2</v>
      </c>
      <c r="G755" s="9">
        <v>7.2499999999999995E-2</v>
      </c>
      <c r="H755" s="15">
        <f t="shared" si="21"/>
        <v>17250</v>
      </c>
    </row>
    <row r="756" spans="1:8" x14ac:dyDescent="0.25">
      <c r="A756" s="13">
        <v>44613</v>
      </c>
      <c r="B756" s="15" t="s">
        <v>21</v>
      </c>
      <c r="C756" s="3">
        <v>4</v>
      </c>
      <c r="D756" s="13">
        <f t="shared" si="22"/>
        <v>44617</v>
      </c>
      <c r="E756" s="15">
        <v>1900</v>
      </c>
      <c r="F756" s="9">
        <v>7.2999999999999995E-2</v>
      </c>
      <c r="G756" s="9">
        <v>7.2999999999999995E-2</v>
      </c>
      <c r="H756" s="15">
        <f t="shared" si="21"/>
        <v>17250</v>
      </c>
    </row>
    <row r="757" spans="1:8" x14ac:dyDescent="0.25">
      <c r="A757" s="13">
        <v>44613</v>
      </c>
      <c r="B757" s="15" t="s">
        <v>21</v>
      </c>
      <c r="C757" s="3">
        <v>9</v>
      </c>
      <c r="D757" s="13">
        <f t="shared" si="22"/>
        <v>44622</v>
      </c>
      <c r="E757" s="15">
        <v>2800</v>
      </c>
      <c r="F757" s="9">
        <v>7.3499999999999996E-2</v>
      </c>
      <c r="G757" s="9">
        <v>7.3499999999999996E-2</v>
      </c>
      <c r="H757" s="15">
        <f t="shared" si="21"/>
        <v>17250</v>
      </c>
    </row>
    <row r="758" spans="1:8" x14ac:dyDescent="0.25">
      <c r="A758" s="13">
        <v>44614</v>
      </c>
      <c r="B758" s="15" t="s">
        <v>21</v>
      </c>
      <c r="C758" s="3">
        <v>1</v>
      </c>
      <c r="D758" s="13">
        <f t="shared" si="22"/>
        <v>44615</v>
      </c>
      <c r="E758" s="15">
        <v>200</v>
      </c>
      <c r="F758" s="9">
        <v>7.2499999999999995E-2</v>
      </c>
      <c r="G758" s="9">
        <v>7.2499999999999995E-2</v>
      </c>
      <c r="H758" s="15">
        <f t="shared" si="21"/>
        <v>19260</v>
      </c>
    </row>
    <row r="759" spans="1:8" x14ac:dyDescent="0.25">
      <c r="A759" s="13">
        <v>44614</v>
      </c>
      <c r="B759" s="15" t="s">
        <v>21</v>
      </c>
      <c r="C759" s="3">
        <v>2</v>
      </c>
      <c r="D759" s="13">
        <f t="shared" si="22"/>
        <v>44616</v>
      </c>
      <c r="E759" s="15">
        <v>2200</v>
      </c>
      <c r="F759" s="9">
        <v>7.2499999999999995E-2</v>
      </c>
      <c r="G759" s="9">
        <v>7.2499999999999995E-2</v>
      </c>
      <c r="H759" s="15">
        <f t="shared" si="21"/>
        <v>19260</v>
      </c>
    </row>
    <row r="760" spans="1:8" x14ac:dyDescent="0.25">
      <c r="A760" s="13">
        <v>44614</v>
      </c>
      <c r="B760" s="15" t="s">
        <v>21</v>
      </c>
      <c r="C760" s="3">
        <v>3</v>
      </c>
      <c r="D760" s="13">
        <f t="shared" si="22"/>
        <v>44617</v>
      </c>
      <c r="E760" s="15">
        <v>1000</v>
      </c>
      <c r="F760" s="9">
        <v>7.2999999999999995E-2</v>
      </c>
      <c r="G760" s="9">
        <v>7.2999999999999995E-2</v>
      </c>
      <c r="H760" s="15">
        <f t="shared" si="21"/>
        <v>19260</v>
      </c>
    </row>
    <row r="761" spans="1:8" x14ac:dyDescent="0.25">
      <c r="A761" s="13">
        <v>44614</v>
      </c>
      <c r="B761" s="15" t="s">
        <v>21</v>
      </c>
      <c r="C761" s="3">
        <v>8</v>
      </c>
      <c r="D761" s="13">
        <f t="shared" si="22"/>
        <v>44622</v>
      </c>
      <c r="E761" s="15">
        <v>2400</v>
      </c>
      <c r="F761" s="9">
        <v>7.3499999999999996E-2</v>
      </c>
      <c r="G761" s="9">
        <v>7.3499999999999996E-2</v>
      </c>
      <c r="H761" s="15">
        <f t="shared" si="21"/>
        <v>19260</v>
      </c>
    </row>
    <row r="762" spans="1:8" x14ac:dyDescent="0.25">
      <c r="A762" s="13">
        <v>44617</v>
      </c>
      <c r="B762" s="15" t="s">
        <v>21</v>
      </c>
      <c r="C762" s="3">
        <v>6</v>
      </c>
      <c r="D762" s="13">
        <f t="shared" si="22"/>
        <v>44623</v>
      </c>
      <c r="E762" s="15">
        <v>400</v>
      </c>
      <c r="F762" s="9">
        <v>7.2499999999999995E-2</v>
      </c>
      <c r="G762" s="9">
        <v>7.2499999999999995E-2</v>
      </c>
      <c r="H762" s="15">
        <f t="shared" si="21"/>
        <v>5900</v>
      </c>
    </row>
    <row r="763" spans="1:8" x14ac:dyDescent="0.25">
      <c r="A763" s="13">
        <v>44622</v>
      </c>
      <c r="B763" s="15" t="s">
        <v>21</v>
      </c>
      <c r="C763" s="3">
        <v>1</v>
      </c>
      <c r="D763" s="13">
        <f t="shared" si="22"/>
        <v>44623</v>
      </c>
      <c r="E763" s="15">
        <v>-400</v>
      </c>
      <c r="F763" s="9">
        <v>7.4999999999999997E-2</v>
      </c>
      <c r="G763" s="9">
        <v>7.4999999999999997E-2</v>
      </c>
      <c r="H763" s="15">
        <f t="shared" si="21"/>
        <v>0</v>
      </c>
    </row>
    <row r="764" spans="1:8" x14ac:dyDescent="0.25">
      <c r="A764" s="13">
        <v>44624</v>
      </c>
      <c r="B764" s="15" t="s">
        <v>21</v>
      </c>
      <c r="C764" s="3">
        <v>3</v>
      </c>
      <c r="D764" s="13">
        <f t="shared" si="22"/>
        <v>44627</v>
      </c>
      <c r="E764" s="15">
        <v>600</v>
      </c>
      <c r="F764" s="9">
        <v>7.2499999999999995E-2</v>
      </c>
      <c r="G764" s="9">
        <v>7.2499999999999995E-2</v>
      </c>
      <c r="H764" s="15">
        <f t="shared" si="21"/>
        <v>4400</v>
      </c>
    </row>
    <row r="765" spans="1:8" x14ac:dyDescent="0.25">
      <c r="A765" s="13">
        <v>44624</v>
      </c>
      <c r="B765" s="15" t="s">
        <v>21</v>
      </c>
      <c r="C765" s="3">
        <v>4</v>
      </c>
      <c r="D765" s="13">
        <f t="shared" si="22"/>
        <v>44628</v>
      </c>
      <c r="E765" s="15">
        <v>3800</v>
      </c>
      <c r="F765" s="9">
        <v>7.2499999999999995E-2</v>
      </c>
      <c r="G765" s="9">
        <v>7.2499999999999995E-2</v>
      </c>
      <c r="H765" s="15">
        <f t="shared" si="21"/>
        <v>4400</v>
      </c>
    </row>
    <row r="766" spans="1:8" x14ac:dyDescent="0.25">
      <c r="A766" s="13">
        <v>44627</v>
      </c>
      <c r="B766" s="15" t="s">
        <v>21</v>
      </c>
      <c r="C766" s="3">
        <v>2</v>
      </c>
      <c r="D766" s="13">
        <f t="shared" si="22"/>
        <v>44629</v>
      </c>
      <c r="E766" s="15">
        <v>3000</v>
      </c>
      <c r="F766" s="9">
        <v>7.2499999999999995E-2</v>
      </c>
      <c r="G766" s="9">
        <v>7.2499999999999995E-2</v>
      </c>
      <c r="H766" s="15">
        <f t="shared" si="21"/>
        <v>6800</v>
      </c>
    </row>
    <row r="767" spans="1:8" x14ac:dyDescent="0.25">
      <c r="A767" s="13">
        <v>44628</v>
      </c>
      <c r="B767" s="15" t="s">
        <v>21</v>
      </c>
      <c r="C767" s="3">
        <v>1</v>
      </c>
      <c r="D767" s="13">
        <f t="shared" si="22"/>
        <v>44629</v>
      </c>
      <c r="E767" s="15">
        <v>600</v>
      </c>
      <c r="F767" s="9">
        <v>7.2499999999999995E-2</v>
      </c>
      <c r="G767" s="9">
        <v>7.2499999999999995E-2</v>
      </c>
      <c r="H767" s="15">
        <f t="shared" si="21"/>
        <v>5400</v>
      </c>
    </row>
    <row r="768" spans="1:8" x14ac:dyDescent="0.25">
      <c r="A768" s="13">
        <v>44628</v>
      </c>
      <c r="B768" s="15" t="s">
        <v>21</v>
      </c>
      <c r="C768" s="3">
        <v>3</v>
      </c>
      <c r="D768" s="13">
        <f t="shared" si="22"/>
        <v>44631</v>
      </c>
      <c r="E768" s="15">
        <v>1800</v>
      </c>
      <c r="F768" s="9">
        <v>7.2999999999999995E-2</v>
      </c>
      <c r="G768" s="9">
        <v>7.2999999999999995E-2</v>
      </c>
      <c r="H768" s="15">
        <f t="shared" si="21"/>
        <v>5400</v>
      </c>
    </row>
    <row r="769" spans="1:8" x14ac:dyDescent="0.25">
      <c r="A769" s="13">
        <v>44629</v>
      </c>
      <c r="B769" s="15" t="s">
        <v>21</v>
      </c>
      <c r="C769" s="3">
        <v>2</v>
      </c>
      <c r="D769" s="13">
        <f t="shared" si="22"/>
        <v>44631</v>
      </c>
      <c r="E769" s="15">
        <v>1800</v>
      </c>
      <c r="F769" s="9">
        <v>7.2499999999999995E-2</v>
      </c>
      <c r="G769" s="9">
        <v>7.2499999999999995E-2</v>
      </c>
      <c r="H769" s="15">
        <f t="shared" si="21"/>
        <v>4400</v>
      </c>
    </row>
    <row r="770" spans="1:8" x14ac:dyDescent="0.25">
      <c r="A770" s="13">
        <v>44629</v>
      </c>
      <c r="B770" s="15" t="s">
        <v>21</v>
      </c>
      <c r="C770" s="3">
        <v>5</v>
      </c>
      <c r="D770" s="13">
        <f t="shared" si="22"/>
        <v>44634</v>
      </c>
      <c r="E770" s="15">
        <v>800</v>
      </c>
      <c r="F770" s="9">
        <v>7.2999999999999995E-2</v>
      </c>
      <c r="G770" s="9">
        <v>7.2999999999999995E-2</v>
      </c>
      <c r="H770" s="15">
        <f t="shared" si="21"/>
        <v>4400</v>
      </c>
    </row>
    <row r="771" spans="1:8" x14ac:dyDescent="0.25">
      <c r="A771" s="13">
        <v>44630</v>
      </c>
      <c r="B771" s="15" t="s">
        <v>21</v>
      </c>
      <c r="C771" s="3">
        <v>1</v>
      </c>
      <c r="D771" s="13">
        <f t="shared" si="22"/>
        <v>44631</v>
      </c>
      <c r="E771" s="15">
        <v>200</v>
      </c>
      <c r="F771" s="9">
        <v>7.2499999999999995E-2</v>
      </c>
      <c r="G771" s="9">
        <v>7.2499999999999995E-2</v>
      </c>
      <c r="H771" s="15">
        <f t="shared" si="21"/>
        <v>5200</v>
      </c>
    </row>
    <row r="772" spans="1:8" x14ac:dyDescent="0.25">
      <c r="A772" s="13">
        <v>44630</v>
      </c>
      <c r="B772" s="15" t="s">
        <v>21</v>
      </c>
      <c r="C772" s="3">
        <v>4</v>
      </c>
      <c r="D772" s="13">
        <f t="shared" si="22"/>
        <v>44634</v>
      </c>
      <c r="E772" s="15">
        <v>600</v>
      </c>
      <c r="F772" s="9">
        <v>7.2499999999999995E-2</v>
      </c>
      <c r="G772" s="9">
        <v>7.2499999999999995E-2</v>
      </c>
      <c r="H772" s="15">
        <f t="shared" si="21"/>
        <v>5200</v>
      </c>
    </row>
    <row r="773" spans="1:8" x14ac:dyDescent="0.25">
      <c r="A773" s="13">
        <v>44631</v>
      </c>
      <c r="B773" s="15" t="s">
        <v>21</v>
      </c>
      <c r="C773" s="3">
        <v>3</v>
      </c>
      <c r="D773" s="13">
        <f t="shared" si="22"/>
        <v>44634</v>
      </c>
      <c r="E773" s="15">
        <v>400</v>
      </c>
      <c r="F773" s="9">
        <v>7.2499999999999995E-2</v>
      </c>
      <c r="G773" s="9">
        <v>7.2499999999999995E-2</v>
      </c>
      <c r="H773" s="15">
        <f t="shared" si="21"/>
        <v>3600</v>
      </c>
    </row>
    <row r="774" spans="1:8" x14ac:dyDescent="0.25">
      <c r="A774" s="13">
        <v>44631</v>
      </c>
      <c r="B774" s="15" t="s">
        <v>21</v>
      </c>
      <c r="C774" s="3">
        <v>4</v>
      </c>
      <c r="D774" s="13">
        <f t="shared" si="22"/>
        <v>44635</v>
      </c>
      <c r="E774" s="15">
        <v>1600</v>
      </c>
      <c r="F774" s="9">
        <v>7.2499999999999995E-2</v>
      </c>
      <c r="G774" s="9">
        <v>7.2499999999999995E-2</v>
      </c>
      <c r="H774" s="15">
        <f t="shared" si="21"/>
        <v>3600</v>
      </c>
    </row>
    <row r="775" spans="1:8" x14ac:dyDescent="0.25">
      <c r="A775" s="13">
        <v>44631</v>
      </c>
      <c r="B775" s="15" t="s">
        <v>21</v>
      </c>
      <c r="C775" s="3">
        <v>7</v>
      </c>
      <c r="D775" s="13">
        <f t="shared" si="22"/>
        <v>44638</v>
      </c>
      <c r="E775" s="15">
        <v>200</v>
      </c>
      <c r="F775" s="9">
        <v>7.2999999999999995E-2</v>
      </c>
      <c r="G775" s="9">
        <v>7.2999999999999995E-2</v>
      </c>
      <c r="H775" s="15">
        <f t="shared" si="21"/>
        <v>3600</v>
      </c>
    </row>
    <row r="776" spans="1:8" x14ac:dyDescent="0.25">
      <c r="A776" s="13">
        <v>44634</v>
      </c>
      <c r="B776" s="15" t="s">
        <v>21</v>
      </c>
      <c r="C776" s="3">
        <v>1</v>
      </c>
      <c r="D776" s="13">
        <f t="shared" si="22"/>
        <v>44635</v>
      </c>
      <c r="E776" s="15">
        <v>200</v>
      </c>
      <c r="F776" s="9">
        <v>7.2499999999999995E-2</v>
      </c>
      <c r="G776" s="9">
        <v>7.2499999999999995E-2</v>
      </c>
      <c r="H776" s="15">
        <f t="shared" si="21"/>
        <v>4000</v>
      </c>
    </row>
    <row r="777" spans="1:8" x14ac:dyDescent="0.25">
      <c r="A777" s="13">
        <v>44634</v>
      </c>
      <c r="B777" s="15" t="s">
        <v>21</v>
      </c>
      <c r="C777" s="3">
        <v>2</v>
      </c>
      <c r="D777" s="13">
        <f t="shared" si="22"/>
        <v>44636</v>
      </c>
      <c r="E777" s="15">
        <v>2000</v>
      </c>
      <c r="F777" s="9">
        <v>7.2499999999999995E-2</v>
      </c>
      <c r="G777" s="9">
        <v>7.2499999999999995E-2</v>
      </c>
      <c r="H777" s="15">
        <f t="shared" si="21"/>
        <v>4000</v>
      </c>
    </row>
    <row r="778" spans="1:8" x14ac:dyDescent="0.25">
      <c r="A778" s="13">
        <v>44635</v>
      </c>
      <c r="B778" s="15" t="s">
        <v>21</v>
      </c>
      <c r="C778" s="3">
        <v>2</v>
      </c>
      <c r="D778" s="13">
        <f t="shared" si="22"/>
        <v>44637</v>
      </c>
      <c r="E778" s="15">
        <v>600</v>
      </c>
      <c r="F778" s="9">
        <v>7.2499999999999995E-2</v>
      </c>
      <c r="G778" s="9">
        <v>7.2499999999999995E-2</v>
      </c>
      <c r="H778" s="15">
        <f t="shared" ref="H778:H841" si="23">+SUMIFS($E$10:$E$4503,$A$10:$A$4503,"&lt;="&amp;A778,$D$10:$D$4503,"&gt;"&amp;A778)</f>
        <v>3000</v>
      </c>
    </row>
    <row r="779" spans="1:8" x14ac:dyDescent="0.25">
      <c r="A779" s="13">
        <v>44635</v>
      </c>
      <c r="B779" s="15" t="s">
        <v>21</v>
      </c>
      <c r="C779" s="3">
        <v>3</v>
      </c>
      <c r="D779" s="13">
        <f t="shared" si="22"/>
        <v>44638</v>
      </c>
      <c r="E779" s="15">
        <v>200</v>
      </c>
      <c r="F779" s="9">
        <v>7.3499999999999996E-2</v>
      </c>
      <c r="G779" s="9">
        <v>7.3499999999999996E-2</v>
      </c>
      <c r="H779" s="15">
        <f t="shared" si="23"/>
        <v>3000</v>
      </c>
    </row>
    <row r="780" spans="1:8" x14ac:dyDescent="0.25">
      <c r="A780" s="13">
        <v>44637</v>
      </c>
      <c r="B780" s="15" t="s">
        <v>21</v>
      </c>
      <c r="C780" s="3">
        <v>4</v>
      </c>
      <c r="D780" s="13">
        <f t="shared" si="22"/>
        <v>44641</v>
      </c>
      <c r="E780" s="15">
        <v>200</v>
      </c>
      <c r="F780" s="9">
        <v>7.2499999999999995E-2</v>
      </c>
      <c r="G780" s="9">
        <v>7.2499999999999995E-2</v>
      </c>
      <c r="H780" s="15">
        <f t="shared" si="23"/>
        <v>800</v>
      </c>
    </row>
    <row r="781" spans="1:8" x14ac:dyDescent="0.25">
      <c r="A781" s="13">
        <v>44637</v>
      </c>
      <c r="B781" s="15" t="s">
        <v>21</v>
      </c>
      <c r="C781" s="3">
        <v>7</v>
      </c>
      <c r="D781" s="13">
        <f t="shared" si="22"/>
        <v>44644</v>
      </c>
      <c r="E781" s="15">
        <v>200</v>
      </c>
      <c r="F781" s="9">
        <v>7.3499999999999996E-2</v>
      </c>
      <c r="G781" s="9">
        <v>7.3499999999999996E-2</v>
      </c>
      <c r="H781" s="15">
        <f t="shared" si="23"/>
        <v>800</v>
      </c>
    </row>
    <row r="782" spans="1:8" x14ac:dyDescent="0.25">
      <c r="A782" s="13">
        <v>44638</v>
      </c>
      <c r="B782" s="15" t="s">
        <v>21</v>
      </c>
      <c r="C782" s="3">
        <v>3</v>
      </c>
      <c r="D782" s="13">
        <f t="shared" si="22"/>
        <v>44641</v>
      </c>
      <c r="E782" s="15">
        <v>400</v>
      </c>
      <c r="F782" s="9">
        <v>7.2499999999999995E-2</v>
      </c>
      <c r="G782" s="9">
        <v>7.2499999999999995E-2</v>
      </c>
      <c r="H782" s="15">
        <f t="shared" si="23"/>
        <v>1800</v>
      </c>
    </row>
    <row r="783" spans="1:8" x14ac:dyDescent="0.25">
      <c r="A783" s="13">
        <v>44638</v>
      </c>
      <c r="B783" s="15" t="s">
        <v>21</v>
      </c>
      <c r="C783" s="3">
        <v>5</v>
      </c>
      <c r="D783" s="13">
        <f t="shared" ref="D783" si="24">+A783+C783</f>
        <v>44643</v>
      </c>
      <c r="E783" s="15">
        <v>500</v>
      </c>
      <c r="F783" s="9">
        <v>7.2999999999999995E-2</v>
      </c>
      <c r="G783" s="9">
        <v>7.2999999999999995E-2</v>
      </c>
      <c r="H783" s="15">
        <f t="shared" si="23"/>
        <v>1800</v>
      </c>
    </row>
    <row r="784" spans="1:8" x14ac:dyDescent="0.25">
      <c r="A784" s="13">
        <v>44638</v>
      </c>
      <c r="B784" s="15" t="s">
        <v>21</v>
      </c>
      <c r="C784" s="3">
        <v>7</v>
      </c>
      <c r="D784" s="13">
        <f t="shared" ref="D784:D822" si="25">+A784+C784</f>
        <v>44645</v>
      </c>
      <c r="E784" s="15">
        <v>500</v>
      </c>
      <c r="F784" s="9">
        <v>7.3499999999999996E-2</v>
      </c>
      <c r="G784" s="9">
        <v>7.3499999999999996E-2</v>
      </c>
      <c r="H784" s="15">
        <f t="shared" si="23"/>
        <v>1800</v>
      </c>
    </row>
    <row r="785" spans="1:8" x14ac:dyDescent="0.25">
      <c r="A785" s="13">
        <v>44641</v>
      </c>
      <c r="B785" s="15" t="s">
        <v>21</v>
      </c>
      <c r="C785" s="3">
        <v>1</v>
      </c>
      <c r="D785" s="13">
        <f t="shared" si="25"/>
        <v>44642</v>
      </c>
      <c r="E785" s="15">
        <v>2100</v>
      </c>
      <c r="F785" s="9">
        <v>7.1999999999999995E-2</v>
      </c>
      <c r="G785" s="9">
        <v>7.2499999999999995E-2</v>
      </c>
      <c r="H785" s="15">
        <f t="shared" si="23"/>
        <v>6600</v>
      </c>
    </row>
    <row r="786" spans="1:8" x14ac:dyDescent="0.25">
      <c r="A786" s="13">
        <v>44641</v>
      </c>
      <c r="B786" s="15" t="s">
        <v>21</v>
      </c>
      <c r="C786" s="3">
        <v>2</v>
      </c>
      <c r="D786" s="13">
        <f t="shared" si="25"/>
        <v>44643</v>
      </c>
      <c r="E786" s="15">
        <v>500</v>
      </c>
      <c r="F786" s="9">
        <v>7.2499999999999995E-2</v>
      </c>
      <c r="G786" s="9">
        <v>7.2499999999999995E-2</v>
      </c>
      <c r="H786" s="15">
        <f t="shared" si="23"/>
        <v>6600</v>
      </c>
    </row>
    <row r="787" spans="1:8" x14ac:dyDescent="0.25">
      <c r="A787" s="13">
        <v>44641</v>
      </c>
      <c r="B787" s="15" t="s">
        <v>21</v>
      </c>
      <c r="C787" s="3">
        <v>3</v>
      </c>
      <c r="D787" s="13">
        <f t="shared" si="25"/>
        <v>44644</v>
      </c>
      <c r="E787" s="15">
        <v>200</v>
      </c>
      <c r="F787" s="9">
        <v>7.2499999999999995E-2</v>
      </c>
      <c r="G787" s="9">
        <v>7.2499999999999995E-2</v>
      </c>
      <c r="H787" s="15">
        <f t="shared" si="23"/>
        <v>6600</v>
      </c>
    </row>
    <row r="788" spans="1:8" x14ac:dyDescent="0.25">
      <c r="A788" s="13">
        <v>44641</v>
      </c>
      <c r="B788" s="15" t="s">
        <v>21</v>
      </c>
      <c r="C788" s="3">
        <v>4</v>
      </c>
      <c r="D788" s="13">
        <f t="shared" si="25"/>
        <v>44645</v>
      </c>
      <c r="E788" s="15">
        <v>1200</v>
      </c>
      <c r="F788" s="9">
        <v>7.3499999999999996E-2</v>
      </c>
      <c r="G788" s="9">
        <v>7.3499999999999996E-2</v>
      </c>
      <c r="H788" s="15">
        <f t="shared" si="23"/>
        <v>6600</v>
      </c>
    </row>
    <row r="789" spans="1:8" x14ac:dyDescent="0.25">
      <c r="A789" s="13">
        <v>44641</v>
      </c>
      <c r="B789" s="15" t="s">
        <v>21</v>
      </c>
      <c r="C789" s="3">
        <v>7</v>
      </c>
      <c r="D789" s="13">
        <f t="shared" si="25"/>
        <v>44648</v>
      </c>
      <c r="E789" s="15">
        <v>1400</v>
      </c>
      <c r="F789" s="9">
        <v>7.3999999999999996E-2</v>
      </c>
      <c r="G789" s="9">
        <v>7.3999999999999996E-2</v>
      </c>
      <c r="H789" s="15">
        <f t="shared" si="23"/>
        <v>6600</v>
      </c>
    </row>
    <row r="790" spans="1:8" x14ac:dyDescent="0.25">
      <c r="A790" s="13">
        <v>44642</v>
      </c>
      <c r="B790" s="15" t="s">
        <v>21</v>
      </c>
      <c r="C790" s="3">
        <v>2</v>
      </c>
      <c r="D790" s="13">
        <f t="shared" si="25"/>
        <v>44644</v>
      </c>
      <c r="E790" s="15">
        <v>600</v>
      </c>
      <c r="F790" s="9">
        <v>7.2499999999999995E-2</v>
      </c>
      <c r="G790" s="9">
        <v>7.2499999999999995E-2</v>
      </c>
      <c r="H790" s="15">
        <f t="shared" si="23"/>
        <v>5790</v>
      </c>
    </row>
    <row r="791" spans="1:8" x14ac:dyDescent="0.25">
      <c r="A791" s="13">
        <v>44642</v>
      </c>
      <c r="B791" s="15" t="s">
        <v>21</v>
      </c>
      <c r="C791" s="3">
        <v>6</v>
      </c>
      <c r="D791" s="13">
        <f t="shared" si="25"/>
        <v>44648</v>
      </c>
      <c r="E791" s="15">
        <v>300</v>
      </c>
      <c r="F791" s="9">
        <v>7.3499999999999996E-2</v>
      </c>
      <c r="G791" s="9">
        <v>7.3499999999999996E-2</v>
      </c>
      <c r="H791" s="15">
        <f t="shared" si="23"/>
        <v>5790</v>
      </c>
    </row>
    <row r="792" spans="1:8" x14ac:dyDescent="0.25">
      <c r="A792" s="13">
        <v>44642</v>
      </c>
      <c r="B792" s="15" t="s">
        <v>21</v>
      </c>
      <c r="C792" s="3">
        <v>7</v>
      </c>
      <c r="D792" s="13">
        <f t="shared" si="25"/>
        <v>44649</v>
      </c>
      <c r="E792" s="15">
        <v>390</v>
      </c>
      <c r="F792" s="9">
        <v>7.3999999999999996E-2</v>
      </c>
      <c r="G792" s="9">
        <v>7.3999999999999996E-2</v>
      </c>
      <c r="H792" s="15">
        <f t="shared" si="23"/>
        <v>5790</v>
      </c>
    </row>
    <row r="793" spans="1:8" x14ac:dyDescent="0.25">
      <c r="A793" s="13">
        <v>44643</v>
      </c>
      <c r="B793" s="15" t="s">
        <v>21</v>
      </c>
      <c r="C793" s="3">
        <v>2</v>
      </c>
      <c r="D793" s="13">
        <f t="shared" si="25"/>
        <v>44645</v>
      </c>
      <c r="E793" s="15">
        <v>300</v>
      </c>
      <c r="F793" s="9">
        <v>7.2499999999999995E-2</v>
      </c>
      <c r="G793" s="9">
        <v>7.2499999999999995E-2</v>
      </c>
      <c r="H793" s="15">
        <f t="shared" si="23"/>
        <v>8940</v>
      </c>
    </row>
    <row r="794" spans="1:8" x14ac:dyDescent="0.25">
      <c r="A794" s="13">
        <v>44643</v>
      </c>
      <c r="B794" s="15" t="s">
        <v>21</v>
      </c>
      <c r="C794" s="3">
        <v>7</v>
      </c>
      <c r="D794" s="13">
        <f t="shared" si="25"/>
        <v>44650</v>
      </c>
      <c r="E794" s="15">
        <v>200</v>
      </c>
      <c r="F794" s="9">
        <v>7.3499999999999996E-2</v>
      </c>
      <c r="G794" s="9">
        <v>7.3499999999999996E-2</v>
      </c>
      <c r="H794" s="15">
        <f t="shared" si="23"/>
        <v>8940</v>
      </c>
    </row>
    <row r="795" spans="1:8" x14ac:dyDescent="0.25">
      <c r="A795" s="13">
        <v>44643</v>
      </c>
      <c r="B795" s="15" t="s">
        <v>21</v>
      </c>
      <c r="C795" s="3">
        <v>8</v>
      </c>
      <c r="D795" s="13">
        <f t="shared" si="25"/>
        <v>44651</v>
      </c>
      <c r="E795" s="15">
        <v>3650</v>
      </c>
      <c r="F795" s="9">
        <v>7.3999999999999996E-2</v>
      </c>
      <c r="G795" s="9">
        <v>7.3999999999999996E-2</v>
      </c>
      <c r="H795" s="15">
        <f t="shared" si="23"/>
        <v>8940</v>
      </c>
    </row>
    <row r="796" spans="1:8" x14ac:dyDescent="0.25">
      <c r="A796" s="13">
        <v>44644</v>
      </c>
      <c r="B796" s="15" t="s">
        <v>21</v>
      </c>
      <c r="C796" s="3">
        <v>1</v>
      </c>
      <c r="D796" s="13">
        <f t="shared" si="25"/>
        <v>44645</v>
      </c>
      <c r="E796" s="15">
        <v>-3800</v>
      </c>
      <c r="F796" s="9">
        <v>7.3499999999999996E-2</v>
      </c>
      <c r="G796" s="9">
        <v>7.3499999999999996E-2</v>
      </c>
      <c r="H796" s="15">
        <f t="shared" si="23"/>
        <v>3540</v>
      </c>
    </row>
    <row r="797" spans="1:8" x14ac:dyDescent="0.25">
      <c r="A797" s="13">
        <v>44644</v>
      </c>
      <c r="B797" s="15" t="s">
        <v>21</v>
      </c>
      <c r="C797" s="3">
        <v>4</v>
      </c>
      <c r="D797" s="13">
        <f t="shared" si="25"/>
        <v>44648</v>
      </c>
      <c r="E797" s="15">
        <v>-600</v>
      </c>
      <c r="F797" s="9">
        <v>7.3999999999999996E-2</v>
      </c>
      <c r="G797" s="9">
        <v>7.3999999999999996E-2</v>
      </c>
      <c r="H797" s="15">
        <f t="shared" si="23"/>
        <v>3540</v>
      </c>
    </row>
    <row r="798" spans="1:8" x14ac:dyDescent="0.25">
      <c r="A798" s="13">
        <v>44645</v>
      </c>
      <c r="B798" s="15" t="s">
        <v>21</v>
      </c>
      <c r="C798" s="3">
        <v>3</v>
      </c>
      <c r="D798" s="13">
        <f t="shared" si="25"/>
        <v>44648</v>
      </c>
      <c r="E798" s="15">
        <v>200</v>
      </c>
      <c r="F798" s="9">
        <v>7.2499999999999995E-2</v>
      </c>
      <c r="G798" s="9">
        <v>7.2499999999999995E-2</v>
      </c>
      <c r="H798" s="15">
        <f t="shared" si="23"/>
        <v>8680</v>
      </c>
    </row>
    <row r="799" spans="1:8" x14ac:dyDescent="0.25">
      <c r="A799" s="13">
        <v>44645</v>
      </c>
      <c r="B799" s="15" t="s">
        <v>21</v>
      </c>
      <c r="C799" s="3">
        <v>4</v>
      </c>
      <c r="D799" s="13">
        <f t="shared" si="25"/>
        <v>44649</v>
      </c>
      <c r="E799" s="15">
        <v>2000</v>
      </c>
      <c r="F799" s="9">
        <v>7.2499999999999995E-2</v>
      </c>
      <c r="G799" s="9">
        <v>7.2499999999999995E-2</v>
      </c>
      <c r="H799" s="15">
        <f t="shared" si="23"/>
        <v>8680</v>
      </c>
    </row>
    <row r="800" spans="1:8" x14ac:dyDescent="0.25">
      <c r="A800" s="13">
        <v>44645</v>
      </c>
      <c r="B800" s="15" t="s">
        <v>21</v>
      </c>
      <c r="C800" s="3">
        <v>5</v>
      </c>
      <c r="D800" s="13">
        <f t="shared" si="25"/>
        <v>44650</v>
      </c>
      <c r="E800" s="15">
        <v>200</v>
      </c>
      <c r="F800" s="9">
        <v>7.2499999999999995E-2</v>
      </c>
      <c r="G800" s="9">
        <v>7.2499999999999995E-2</v>
      </c>
      <c r="H800" s="15">
        <f t="shared" si="23"/>
        <v>8680</v>
      </c>
    </row>
    <row r="801" spans="1:8" x14ac:dyDescent="0.25">
      <c r="A801" s="13">
        <v>44645</v>
      </c>
      <c r="B801" s="15" t="s">
        <v>21</v>
      </c>
      <c r="C801" s="3">
        <v>6</v>
      </c>
      <c r="D801" s="13">
        <f t="shared" si="25"/>
        <v>44651</v>
      </c>
      <c r="E801" s="15">
        <v>740</v>
      </c>
      <c r="F801" s="9">
        <v>7.2999999999999995E-2</v>
      </c>
      <c r="G801" s="9">
        <v>7.2999999999999995E-2</v>
      </c>
      <c r="H801" s="15">
        <f t="shared" si="23"/>
        <v>8680</v>
      </c>
    </row>
    <row r="802" spans="1:8" x14ac:dyDescent="0.25">
      <c r="A802" s="13">
        <v>44645</v>
      </c>
      <c r="B802" s="15" t="s">
        <v>21</v>
      </c>
      <c r="C802" s="3">
        <v>7</v>
      </c>
      <c r="D802" s="13">
        <f t="shared" si="25"/>
        <v>44652</v>
      </c>
      <c r="E802" s="15">
        <v>200</v>
      </c>
      <c r="F802" s="9">
        <v>7.3499999999999996E-2</v>
      </c>
      <c r="G802" s="9">
        <v>7.3499999999999996E-2</v>
      </c>
      <c r="H802" s="15">
        <f t="shared" si="23"/>
        <v>8680</v>
      </c>
    </row>
    <row r="803" spans="1:8" x14ac:dyDescent="0.25">
      <c r="A803" s="13">
        <v>44648</v>
      </c>
      <c r="B803" s="15" t="s">
        <v>21</v>
      </c>
      <c r="C803" s="3">
        <v>2</v>
      </c>
      <c r="D803" s="13">
        <f t="shared" si="25"/>
        <v>44650</v>
      </c>
      <c r="E803" s="15">
        <v>1000</v>
      </c>
      <c r="F803" s="9">
        <v>7.2499999999999995E-2</v>
      </c>
      <c r="G803" s="9">
        <v>7.2499999999999995E-2</v>
      </c>
      <c r="H803" s="15">
        <f t="shared" si="23"/>
        <v>11080</v>
      </c>
    </row>
    <row r="804" spans="1:8" x14ac:dyDescent="0.25">
      <c r="A804" s="13">
        <v>44648</v>
      </c>
      <c r="B804" s="15" t="s">
        <v>21</v>
      </c>
      <c r="C804" s="3">
        <v>3</v>
      </c>
      <c r="D804" s="13">
        <f t="shared" si="25"/>
        <v>44651</v>
      </c>
      <c r="E804" s="15">
        <v>1000</v>
      </c>
      <c r="F804" s="9">
        <v>7.2499999999999995E-2</v>
      </c>
      <c r="G804" s="9">
        <v>7.2499999999999995E-2</v>
      </c>
      <c r="H804" s="15">
        <f t="shared" si="23"/>
        <v>11080</v>
      </c>
    </row>
    <row r="805" spans="1:8" x14ac:dyDescent="0.25">
      <c r="A805" s="13">
        <v>44648</v>
      </c>
      <c r="B805" s="15" t="s">
        <v>21</v>
      </c>
      <c r="C805" s="3">
        <v>4</v>
      </c>
      <c r="D805" s="13">
        <f t="shared" si="25"/>
        <v>44652</v>
      </c>
      <c r="E805" s="15">
        <v>1700</v>
      </c>
      <c r="F805" s="9">
        <v>7.3499999999999996E-2</v>
      </c>
      <c r="G805" s="9">
        <v>7.3499999999999996E-2</v>
      </c>
      <c r="H805" s="15">
        <f t="shared" si="23"/>
        <v>11080</v>
      </c>
    </row>
    <row r="806" spans="1:8" x14ac:dyDescent="0.25">
      <c r="A806" s="13">
        <v>44649</v>
      </c>
      <c r="B806" s="15" t="s">
        <v>21</v>
      </c>
      <c r="C806" s="3">
        <v>2</v>
      </c>
      <c r="D806" s="13">
        <f t="shared" si="25"/>
        <v>44651</v>
      </c>
      <c r="E806" s="15">
        <v>1400</v>
      </c>
      <c r="F806" s="9">
        <v>7.2499999999999995E-2</v>
      </c>
      <c r="G806" s="9">
        <v>7.2499999999999995E-2</v>
      </c>
      <c r="H806" s="15">
        <f t="shared" si="23"/>
        <v>10490</v>
      </c>
    </row>
    <row r="807" spans="1:8" x14ac:dyDescent="0.25">
      <c r="A807" s="13">
        <v>44649</v>
      </c>
      <c r="B807" s="15" t="s">
        <v>21</v>
      </c>
      <c r="C807" s="3">
        <v>3</v>
      </c>
      <c r="D807" s="13">
        <f t="shared" si="25"/>
        <v>44652</v>
      </c>
      <c r="E807" s="15">
        <v>400</v>
      </c>
      <c r="F807" s="9">
        <v>7.2999999999999995E-2</v>
      </c>
      <c r="G807" s="9">
        <v>7.2999999999999995E-2</v>
      </c>
      <c r="H807" s="15">
        <f t="shared" si="23"/>
        <v>10490</v>
      </c>
    </row>
    <row r="808" spans="1:8" x14ac:dyDescent="0.25">
      <c r="A808" s="13">
        <v>44650</v>
      </c>
      <c r="B808" s="15" t="s">
        <v>21</v>
      </c>
      <c r="C808" s="3">
        <v>2</v>
      </c>
      <c r="D808" s="13">
        <f t="shared" si="25"/>
        <v>44652</v>
      </c>
      <c r="E808" s="15">
        <v>-4000</v>
      </c>
      <c r="F808" s="9">
        <v>7.3999999999999996E-2</v>
      </c>
      <c r="G808" s="9">
        <v>7.3999999999999996E-2</v>
      </c>
      <c r="H808" s="15">
        <f t="shared" si="23"/>
        <v>5090</v>
      </c>
    </row>
    <row r="809" spans="1:8" x14ac:dyDescent="0.25">
      <c r="A809" s="13">
        <v>44651</v>
      </c>
      <c r="B809" s="15" t="s">
        <v>21</v>
      </c>
      <c r="C809" s="3">
        <v>4</v>
      </c>
      <c r="D809" s="13">
        <f t="shared" si="25"/>
        <v>44655</v>
      </c>
      <c r="E809" s="15">
        <v>1200</v>
      </c>
      <c r="F809" s="9">
        <v>7.2999999999999995E-2</v>
      </c>
      <c r="G809" s="9">
        <v>7.2999999999999995E-2</v>
      </c>
      <c r="H809" s="15">
        <f t="shared" si="23"/>
        <v>-500</v>
      </c>
    </row>
    <row r="810" spans="1:8" x14ac:dyDescent="0.25">
      <c r="A810" s="13">
        <v>44655</v>
      </c>
      <c r="B810" s="15" t="s">
        <v>21</v>
      </c>
      <c r="C810" s="3">
        <v>3</v>
      </c>
      <c r="D810" s="13">
        <f t="shared" si="25"/>
        <v>44658</v>
      </c>
      <c r="E810" s="15">
        <v>1200</v>
      </c>
      <c r="F810" s="9">
        <v>7.2499999999999995E-2</v>
      </c>
      <c r="G810" s="9">
        <v>7.2499999999999995E-2</v>
      </c>
      <c r="H810" s="15">
        <f t="shared" si="23"/>
        <v>2200</v>
      </c>
    </row>
    <row r="811" spans="1:8" x14ac:dyDescent="0.25">
      <c r="A811" s="13">
        <v>44655</v>
      </c>
      <c r="B811" s="15" t="s">
        <v>21</v>
      </c>
      <c r="C811" s="3">
        <v>4</v>
      </c>
      <c r="D811" s="13">
        <f t="shared" si="25"/>
        <v>44659</v>
      </c>
      <c r="E811" s="15">
        <v>1000</v>
      </c>
      <c r="F811" s="9">
        <v>7.5999999999999998E-2</v>
      </c>
      <c r="G811" s="9">
        <v>7.5999999999999998E-2</v>
      </c>
      <c r="H811" s="15">
        <f t="shared" si="23"/>
        <v>2200</v>
      </c>
    </row>
    <row r="812" spans="1:8" x14ac:dyDescent="0.25">
      <c r="A812" s="13">
        <v>44656</v>
      </c>
      <c r="B812" s="15" t="s">
        <v>21</v>
      </c>
      <c r="C812" s="3">
        <v>3</v>
      </c>
      <c r="D812" s="13">
        <f t="shared" si="25"/>
        <v>44659</v>
      </c>
      <c r="E812" s="15">
        <v>200</v>
      </c>
      <c r="F812" s="9">
        <v>7.2499999999999995E-2</v>
      </c>
      <c r="G812" s="9">
        <v>7.2499999999999995E-2</v>
      </c>
      <c r="H812" s="15">
        <f t="shared" si="23"/>
        <v>3400</v>
      </c>
    </row>
    <row r="813" spans="1:8" x14ac:dyDescent="0.25">
      <c r="A813" s="13">
        <v>44656</v>
      </c>
      <c r="B813" s="15" t="s">
        <v>21</v>
      </c>
      <c r="C813" s="3">
        <v>7</v>
      </c>
      <c r="D813" s="13">
        <f t="shared" si="25"/>
        <v>44663</v>
      </c>
      <c r="E813" s="15">
        <v>1000</v>
      </c>
      <c r="F813" s="9">
        <v>7.6499999999999999E-2</v>
      </c>
      <c r="G813" s="9">
        <v>7.6499999999999999E-2</v>
      </c>
      <c r="H813" s="15">
        <f t="shared" si="23"/>
        <v>3400</v>
      </c>
    </row>
    <row r="814" spans="1:8" x14ac:dyDescent="0.25">
      <c r="A814" s="13">
        <v>44657</v>
      </c>
      <c r="B814" s="15" t="s">
        <v>21</v>
      </c>
      <c r="C814" s="3">
        <v>5</v>
      </c>
      <c r="D814" s="13">
        <f t="shared" si="25"/>
        <v>44662</v>
      </c>
      <c r="E814" s="15">
        <v>2800</v>
      </c>
      <c r="F814" s="9">
        <v>7.5999999999999998E-2</v>
      </c>
      <c r="G814" s="9">
        <v>7.5999999999999998E-2</v>
      </c>
      <c r="H814" s="15">
        <f t="shared" si="23"/>
        <v>10450</v>
      </c>
    </row>
    <row r="815" spans="1:8" x14ac:dyDescent="0.25">
      <c r="A815" s="13">
        <v>44657</v>
      </c>
      <c r="B815" s="15" t="s">
        <v>21</v>
      </c>
      <c r="C815" s="3">
        <v>6</v>
      </c>
      <c r="D815" s="13">
        <f t="shared" si="25"/>
        <v>44663</v>
      </c>
      <c r="E815" s="15">
        <v>900</v>
      </c>
      <c r="F815" s="9">
        <v>7.6999999999999999E-2</v>
      </c>
      <c r="G815" s="9">
        <v>7.6999999999999999E-2</v>
      </c>
      <c r="H815" s="15">
        <f t="shared" si="23"/>
        <v>10450</v>
      </c>
    </row>
    <row r="816" spans="1:8" x14ac:dyDescent="0.25">
      <c r="A816" s="13">
        <v>44657</v>
      </c>
      <c r="B816" s="15" t="s">
        <v>21</v>
      </c>
      <c r="C816" s="3">
        <v>7</v>
      </c>
      <c r="D816" s="13">
        <f t="shared" si="25"/>
        <v>44664</v>
      </c>
      <c r="E816" s="15">
        <v>3350</v>
      </c>
      <c r="F816" s="9">
        <v>7.8E-2</v>
      </c>
      <c r="G816" s="9">
        <v>7.8E-2</v>
      </c>
      <c r="H816" s="15">
        <f t="shared" si="23"/>
        <v>10450</v>
      </c>
    </row>
    <row r="817" spans="1:8" x14ac:dyDescent="0.25">
      <c r="A817" s="13">
        <v>44658</v>
      </c>
      <c r="B817" s="15" t="s">
        <v>21</v>
      </c>
      <c r="C817" s="3">
        <v>4</v>
      </c>
      <c r="D817" s="13">
        <f t="shared" si="25"/>
        <v>44662</v>
      </c>
      <c r="E817" s="15">
        <v>4000</v>
      </c>
      <c r="F817" s="9">
        <v>7.85E-2</v>
      </c>
      <c r="G817" s="9">
        <v>7.85E-2</v>
      </c>
      <c r="H817" s="15">
        <f t="shared" si="23"/>
        <v>14250</v>
      </c>
    </row>
    <row r="818" spans="1:8" x14ac:dyDescent="0.25">
      <c r="A818" s="13">
        <v>44658</v>
      </c>
      <c r="B818" s="15" t="s">
        <v>21</v>
      </c>
      <c r="C818" s="3">
        <v>6</v>
      </c>
      <c r="D818" s="13">
        <f t="shared" si="25"/>
        <v>44664</v>
      </c>
      <c r="E818" s="15">
        <v>1000</v>
      </c>
      <c r="F818" s="9">
        <v>7.9000000000000001E-2</v>
      </c>
      <c r="G818" s="9">
        <v>7.9000000000000001E-2</v>
      </c>
      <c r="H818" s="15">
        <f t="shared" si="23"/>
        <v>14250</v>
      </c>
    </row>
    <row r="819" spans="1:8" x14ac:dyDescent="0.25">
      <c r="A819" s="13">
        <v>44659</v>
      </c>
      <c r="B819" s="15" t="s">
        <v>21</v>
      </c>
      <c r="C819" s="3">
        <v>4</v>
      </c>
      <c r="D819" s="13">
        <f t="shared" si="25"/>
        <v>44663</v>
      </c>
      <c r="E819" s="15">
        <v>2400</v>
      </c>
      <c r="F819" s="9">
        <v>8.5000000000000006E-2</v>
      </c>
      <c r="G819" s="9">
        <v>8.5000000000000006E-2</v>
      </c>
      <c r="H819" s="15">
        <f t="shared" si="23"/>
        <v>19850</v>
      </c>
    </row>
    <row r="820" spans="1:8" x14ac:dyDescent="0.25">
      <c r="A820" s="13">
        <v>44659</v>
      </c>
      <c r="B820" s="15" t="s">
        <v>21</v>
      </c>
      <c r="C820" s="3">
        <v>5</v>
      </c>
      <c r="D820" s="13">
        <f t="shared" si="25"/>
        <v>44664</v>
      </c>
      <c r="E820" s="15">
        <v>600</v>
      </c>
      <c r="F820" s="9">
        <v>8.5500000000000007E-2</v>
      </c>
      <c r="G820" s="9">
        <v>8.5500000000000007E-2</v>
      </c>
      <c r="H820" s="15">
        <f t="shared" si="23"/>
        <v>19850</v>
      </c>
    </row>
    <row r="821" spans="1:8" x14ac:dyDescent="0.25">
      <c r="A821" s="13">
        <v>44659</v>
      </c>
      <c r="B821" s="15" t="s">
        <v>21</v>
      </c>
      <c r="C821" s="3">
        <v>11</v>
      </c>
      <c r="D821" s="13">
        <f t="shared" si="25"/>
        <v>44670</v>
      </c>
      <c r="E821" s="15">
        <v>3800</v>
      </c>
      <c r="F821" s="9">
        <v>8.6499999999999994E-2</v>
      </c>
      <c r="G821" s="9">
        <v>8.6499999999999994E-2</v>
      </c>
      <c r="H821" s="15">
        <f t="shared" si="23"/>
        <v>19850</v>
      </c>
    </row>
    <row r="822" spans="1:8" x14ac:dyDescent="0.25">
      <c r="A822" s="13">
        <v>44662</v>
      </c>
      <c r="B822" s="15" t="s">
        <v>21</v>
      </c>
      <c r="C822" s="3">
        <v>1</v>
      </c>
      <c r="D822" s="13">
        <f t="shared" si="25"/>
        <v>44663</v>
      </c>
      <c r="E822" s="15">
        <v>500</v>
      </c>
      <c r="F822" s="9">
        <v>8.5000000000000006E-2</v>
      </c>
      <c r="G822" s="9">
        <v>8.5000000000000006E-2</v>
      </c>
      <c r="H822" s="15">
        <f t="shared" si="23"/>
        <v>18550</v>
      </c>
    </row>
    <row r="823" spans="1:8" x14ac:dyDescent="0.25">
      <c r="A823" s="13">
        <v>44662</v>
      </c>
      <c r="B823" s="15" t="s">
        <v>21</v>
      </c>
      <c r="C823" s="3">
        <v>8</v>
      </c>
      <c r="D823" s="13">
        <f t="shared" ref="D823:D917" si="26">+A823+C823</f>
        <v>44670</v>
      </c>
      <c r="E823" s="15">
        <v>2400</v>
      </c>
      <c r="F823" s="9">
        <v>8.5500000000000007E-2</v>
      </c>
      <c r="G823" s="9">
        <v>8.5999999999999993E-2</v>
      </c>
      <c r="H823" s="15">
        <f t="shared" si="23"/>
        <v>18550</v>
      </c>
    </row>
    <row r="824" spans="1:8" x14ac:dyDescent="0.25">
      <c r="A824" s="13">
        <v>44662</v>
      </c>
      <c r="B824" s="15" t="s">
        <v>21</v>
      </c>
      <c r="C824" s="3">
        <v>9</v>
      </c>
      <c r="D824" s="13">
        <f t="shared" si="26"/>
        <v>44671</v>
      </c>
      <c r="E824" s="15">
        <v>2600</v>
      </c>
      <c r="F824" s="9">
        <v>8.5999999999999993E-2</v>
      </c>
      <c r="G824" s="9">
        <v>8.5999999999999993E-2</v>
      </c>
      <c r="H824" s="15">
        <f t="shared" si="23"/>
        <v>18550</v>
      </c>
    </row>
    <row r="825" spans="1:8" x14ac:dyDescent="0.25">
      <c r="A825" s="13">
        <v>44663</v>
      </c>
      <c r="B825" s="15" t="s">
        <v>21</v>
      </c>
      <c r="C825" s="3">
        <v>7</v>
      </c>
      <c r="D825" s="13">
        <f t="shared" si="26"/>
        <v>44670</v>
      </c>
      <c r="E825" s="15">
        <v>400</v>
      </c>
      <c r="F825" s="9">
        <v>8.5000000000000006E-2</v>
      </c>
      <c r="G825" s="9">
        <v>8.5000000000000006E-2</v>
      </c>
      <c r="H825" s="15">
        <f t="shared" si="23"/>
        <v>18550</v>
      </c>
    </row>
    <row r="826" spans="1:8" x14ac:dyDescent="0.25">
      <c r="A826" s="13">
        <v>44663</v>
      </c>
      <c r="B826" s="15" t="s">
        <v>21</v>
      </c>
      <c r="C826" s="3">
        <v>8</v>
      </c>
      <c r="D826" s="13">
        <f t="shared" si="26"/>
        <v>44671</v>
      </c>
      <c r="E826" s="15">
        <v>2200</v>
      </c>
      <c r="F826" s="9">
        <v>8.5500000000000007E-2</v>
      </c>
      <c r="G826" s="9">
        <v>8.5500000000000007E-2</v>
      </c>
      <c r="H826" s="15">
        <f t="shared" si="23"/>
        <v>18550</v>
      </c>
    </row>
    <row r="827" spans="1:8" x14ac:dyDescent="0.25">
      <c r="A827" s="13">
        <v>44663</v>
      </c>
      <c r="B827" s="15" t="s">
        <v>21</v>
      </c>
      <c r="C827" s="3">
        <v>9</v>
      </c>
      <c r="D827" s="13">
        <f t="shared" si="26"/>
        <v>44672</v>
      </c>
      <c r="E827" s="15">
        <v>2200</v>
      </c>
      <c r="F827" s="9">
        <v>8.5999999999999993E-2</v>
      </c>
      <c r="G827" s="9">
        <v>8.5999999999999993E-2</v>
      </c>
      <c r="H827" s="15">
        <f t="shared" si="23"/>
        <v>18550</v>
      </c>
    </row>
    <row r="828" spans="1:8" x14ac:dyDescent="0.25">
      <c r="A828" s="13">
        <v>44664</v>
      </c>
      <c r="B828" s="15" t="s">
        <v>21</v>
      </c>
      <c r="C828" s="3">
        <v>8</v>
      </c>
      <c r="D828" s="13">
        <f t="shared" si="26"/>
        <v>44672</v>
      </c>
      <c r="E828" s="15">
        <v>900</v>
      </c>
      <c r="F828" s="9">
        <v>8.5500000000000007E-2</v>
      </c>
      <c r="G828" s="9">
        <v>8.5500000000000007E-2</v>
      </c>
      <c r="H828" s="15">
        <f t="shared" si="23"/>
        <v>15100</v>
      </c>
    </row>
    <row r="829" spans="1:8" x14ac:dyDescent="0.25">
      <c r="A829" s="13">
        <v>44664</v>
      </c>
      <c r="B829" s="15" t="s">
        <v>21</v>
      </c>
      <c r="C829" s="3">
        <v>9</v>
      </c>
      <c r="D829" s="13">
        <f t="shared" si="26"/>
        <v>44673</v>
      </c>
      <c r="E829" s="15">
        <v>600</v>
      </c>
      <c r="F829" s="9">
        <v>8.5500000000000007E-2</v>
      </c>
      <c r="G829" s="9">
        <v>8.5500000000000007E-2</v>
      </c>
      <c r="H829" s="15">
        <f t="shared" si="23"/>
        <v>15100</v>
      </c>
    </row>
    <row r="830" spans="1:8" x14ac:dyDescent="0.25">
      <c r="A830" s="13">
        <v>44670</v>
      </c>
      <c r="B830" s="15" t="s">
        <v>21</v>
      </c>
      <c r="C830" s="3">
        <v>2</v>
      </c>
      <c r="D830" s="13">
        <f t="shared" si="26"/>
        <v>44672</v>
      </c>
      <c r="E830" s="15">
        <v>1900</v>
      </c>
      <c r="F830" s="9">
        <v>8.5000000000000006E-2</v>
      </c>
      <c r="G830" s="9">
        <v>8.5000000000000006E-2</v>
      </c>
      <c r="H830" s="15">
        <f t="shared" si="23"/>
        <v>13000</v>
      </c>
    </row>
    <row r="831" spans="1:8" x14ac:dyDescent="0.25">
      <c r="A831" s="13">
        <v>44670</v>
      </c>
      <c r="B831" s="15" t="s">
        <v>21</v>
      </c>
      <c r="C831" s="3">
        <v>6</v>
      </c>
      <c r="D831" s="13">
        <f t="shared" si="26"/>
        <v>44676</v>
      </c>
      <c r="E831" s="15">
        <v>1600</v>
      </c>
      <c r="F831" s="9">
        <v>8.5999999999999993E-2</v>
      </c>
      <c r="G831" s="9">
        <v>8.5999999999999993E-2</v>
      </c>
      <c r="H831" s="15">
        <f t="shared" si="23"/>
        <v>13000</v>
      </c>
    </row>
    <row r="832" spans="1:8" x14ac:dyDescent="0.25">
      <c r="A832" s="13">
        <v>44670</v>
      </c>
      <c r="B832" s="15" t="s">
        <v>21</v>
      </c>
      <c r="C832" s="3">
        <v>7</v>
      </c>
      <c r="D832" s="13">
        <f t="shared" si="26"/>
        <v>44677</v>
      </c>
      <c r="E832" s="15">
        <v>200</v>
      </c>
      <c r="F832" s="9">
        <v>8.5999999999999993E-2</v>
      </c>
      <c r="G832" s="9">
        <v>8.5999999999999993E-2</v>
      </c>
      <c r="H832" s="15">
        <f t="shared" si="23"/>
        <v>13000</v>
      </c>
    </row>
    <row r="833" spans="1:8" x14ac:dyDescent="0.25">
      <c r="A833" s="13">
        <v>44670</v>
      </c>
      <c r="B833" s="15" t="s">
        <v>21</v>
      </c>
      <c r="C833" s="3">
        <v>10</v>
      </c>
      <c r="D833" s="13">
        <f t="shared" si="26"/>
        <v>44680</v>
      </c>
      <c r="E833" s="15">
        <v>800</v>
      </c>
      <c r="F833" s="9">
        <v>8.6499999999999994E-2</v>
      </c>
      <c r="G833" s="9">
        <v>8.6499999999999994E-2</v>
      </c>
      <c r="H833" s="15">
        <f t="shared" si="23"/>
        <v>13000</v>
      </c>
    </row>
    <row r="834" spans="1:8" x14ac:dyDescent="0.25">
      <c r="A834" s="13">
        <v>44671</v>
      </c>
      <c r="B834" s="15" t="s">
        <v>21</v>
      </c>
      <c r="C834" s="3">
        <v>2</v>
      </c>
      <c r="D834" s="13">
        <f t="shared" si="26"/>
        <v>44673</v>
      </c>
      <c r="E834" s="15">
        <v>2100</v>
      </c>
      <c r="F834" s="9">
        <v>8.5000000000000006E-2</v>
      </c>
      <c r="G834" s="9">
        <v>8.5000000000000006E-2</v>
      </c>
      <c r="H834" s="15">
        <f t="shared" si="23"/>
        <v>15950</v>
      </c>
    </row>
    <row r="835" spans="1:8" x14ac:dyDescent="0.25">
      <c r="A835" s="13">
        <v>44671</v>
      </c>
      <c r="B835" s="15" t="s">
        <v>21</v>
      </c>
      <c r="C835" s="3">
        <v>5</v>
      </c>
      <c r="D835" s="13">
        <f t="shared" si="26"/>
        <v>44676</v>
      </c>
      <c r="E835" s="15">
        <v>2900</v>
      </c>
      <c r="F835" s="9">
        <v>8.5500000000000007E-2</v>
      </c>
      <c r="G835" s="9">
        <v>8.5500000000000007E-2</v>
      </c>
      <c r="H835" s="15">
        <f t="shared" si="23"/>
        <v>15950</v>
      </c>
    </row>
    <row r="836" spans="1:8" x14ac:dyDescent="0.25">
      <c r="A836" s="13">
        <v>44671</v>
      </c>
      <c r="B836" s="15" t="s">
        <v>21</v>
      </c>
      <c r="C836" s="3">
        <v>9</v>
      </c>
      <c r="D836" s="13">
        <f t="shared" si="26"/>
        <v>44680</v>
      </c>
      <c r="E836" s="15">
        <v>2750</v>
      </c>
      <c r="F836" s="9">
        <v>8.5999999999999993E-2</v>
      </c>
      <c r="G836" s="9">
        <v>8.5999999999999993E-2</v>
      </c>
      <c r="H836" s="15">
        <f t="shared" si="23"/>
        <v>15950</v>
      </c>
    </row>
    <row r="837" spans="1:8" x14ac:dyDescent="0.25">
      <c r="A837" s="13">
        <v>44672</v>
      </c>
      <c r="B837" s="15" t="s">
        <v>21</v>
      </c>
      <c r="C837" s="3">
        <v>4</v>
      </c>
      <c r="D837" s="13">
        <f t="shared" si="26"/>
        <v>44676</v>
      </c>
      <c r="E837" s="15">
        <v>500</v>
      </c>
      <c r="F837" s="9">
        <v>8.5000000000000006E-2</v>
      </c>
      <c r="G837" s="9">
        <v>8.5000000000000006E-2</v>
      </c>
      <c r="H837" s="15">
        <f t="shared" si="23"/>
        <v>13850</v>
      </c>
    </row>
    <row r="838" spans="1:8" x14ac:dyDescent="0.25">
      <c r="A838" s="13">
        <v>44672</v>
      </c>
      <c r="B838" s="15" t="s">
        <v>21</v>
      </c>
      <c r="C838" s="3">
        <v>6</v>
      </c>
      <c r="D838" s="13">
        <f t="shared" si="26"/>
        <v>44678</v>
      </c>
      <c r="E838" s="15">
        <v>200</v>
      </c>
      <c r="F838" s="9">
        <v>8.5500000000000007E-2</v>
      </c>
      <c r="G838" s="9">
        <v>8.5500000000000007E-2</v>
      </c>
      <c r="H838" s="15">
        <f t="shared" si="23"/>
        <v>13850</v>
      </c>
    </row>
    <row r="839" spans="1:8" x14ac:dyDescent="0.25">
      <c r="A839" s="13">
        <v>44672</v>
      </c>
      <c r="B839" s="15" t="s">
        <v>21</v>
      </c>
      <c r="C839" s="3">
        <v>8</v>
      </c>
      <c r="D839" s="13">
        <f t="shared" si="26"/>
        <v>44680</v>
      </c>
      <c r="E839" s="15">
        <v>2200</v>
      </c>
      <c r="F839" s="9">
        <v>8.5999999999999993E-2</v>
      </c>
      <c r="G839" s="9">
        <v>8.5999999999999993E-2</v>
      </c>
      <c r="H839" s="15">
        <f t="shared" si="23"/>
        <v>13850</v>
      </c>
    </row>
    <row r="840" spans="1:8" x14ac:dyDescent="0.25">
      <c r="A840" s="13">
        <v>44673</v>
      </c>
      <c r="B840" s="15" t="s">
        <v>21</v>
      </c>
      <c r="C840" s="3">
        <v>3</v>
      </c>
      <c r="D840" s="13">
        <f t="shared" si="26"/>
        <v>44676</v>
      </c>
      <c r="E840" s="15">
        <v>1400</v>
      </c>
      <c r="F840" s="9">
        <v>8.5000000000000006E-2</v>
      </c>
      <c r="G840" s="9">
        <v>8.5000000000000006E-2</v>
      </c>
      <c r="H840" s="15">
        <f t="shared" si="23"/>
        <v>20800</v>
      </c>
    </row>
    <row r="841" spans="1:8" x14ac:dyDescent="0.25">
      <c r="A841" s="13">
        <v>44673</v>
      </c>
      <c r="B841" s="15" t="s">
        <v>21</v>
      </c>
      <c r="C841" s="3">
        <v>4</v>
      </c>
      <c r="D841" s="13">
        <f t="shared" si="26"/>
        <v>44677</v>
      </c>
      <c r="E841" s="15">
        <v>6250</v>
      </c>
      <c r="F841" s="9">
        <v>8.5000000000000006E-2</v>
      </c>
      <c r="G841" s="9">
        <v>8.5000000000000006E-2</v>
      </c>
      <c r="H841" s="15">
        <f t="shared" si="23"/>
        <v>20800</v>
      </c>
    </row>
    <row r="842" spans="1:8" x14ac:dyDescent="0.25">
      <c r="A842" s="13">
        <v>44673</v>
      </c>
      <c r="B842" s="15" t="s">
        <v>21</v>
      </c>
      <c r="C842" s="3">
        <v>7</v>
      </c>
      <c r="D842" s="13">
        <f t="shared" si="26"/>
        <v>44680</v>
      </c>
      <c r="E842" s="15">
        <v>2000</v>
      </c>
      <c r="F842" s="9">
        <v>8.5500000000000007E-2</v>
      </c>
      <c r="G842" s="9">
        <v>8.5500000000000007E-2</v>
      </c>
      <c r="H842" s="15">
        <f t="shared" ref="H842:H905" si="27">+SUMIFS($E$10:$E$4503,$A$10:$A$4503,"&lt;="&amp;A842,$D$10:$D$4503,"&gt;"&amp;A842)</f>
        <v>20800</v>
      </c>
    </row>
    <row r="843" spans="1:8" x14ac:dyDescent="0.25">
      <c r="A843" s="13">
        <v>44676</v>
      </c>
      <c r="B843" s="15" t="s">
        <v>21</v>
      </c>
      <c r="C843" s="3">
        <v>1</v>
      </c>
      <c r="D843" s="13">
        <f t="shared" si="26"/>
        <v>44677</v>
      </c>
      <c r="E843" s="15">
        <v>2200</v>
      </c>
      <c r="F843" s="9">
        <v>8.2000000000000003E-2</v>
      </c>
      <c r="G843" s="9">
        <v>8.4000000000000005E-2</v>
      </c>
      <c r="H843" s="15">
        <f t="shared" si="27"/>
        <v>23900</v>
      </c>
    </row>
    <row r="844" spans="1:8" x14ac:dyDescent="0.25">
      <c r="A844" s="13">
        <v>44676</v>
      </c>
      <c r="B844" s="15" t="s">
        <v>21</v>
      </c>
      <c r="C844" s="3">
        <v>2</v>
      </c>
      <c r="D844" s="13">
        <f t="shared" si="26"/>
        <v>44678</v>
      </c>
      <c r="E844" s="15">
        <v>5000</v>
      </c>
      <c r="F844" s="9">
        <v>8.5000000000000006E-2</v>
      </c>
      <c r="G844" s="9">
        <v>8.5000000000000006E-2</v>
      </c>
      <c r="H844" s="15">
        <f t="shared" si="27"/>
        <v>23900</v>
      </c>
    </row>
    <row r="845" spans="1:8" x14ac:dyDescent="0.25">
      <c r="A845" s="13">
        <v>44676</v>
      </c>
      <c r="B845" s="15" t="s">
        <v>21</v>
      </c>
      <c r="C845" s="3">
        <v>4</v>
      </c>
      <c r="D845" s="13">
        <f t="shared" si="26"/>
        <v>44680</v>
      </c>
      <c r="E845" s="15">
        <v>2300</v>
      </c>
      <c r="F845" s="9">
        <v>8.5500000000000007E-2</v>
      </c>
      <c r="G845" s="9">
        <v>8.5500000000000007E-2</v>
      </c>
      <c r="H845" s="15">
        <f t="shared" si="27"/>
        <v>23900</v>
      </c>
    </row>
    <row r="846" spans="1:8" x14ac:dyDescent="0.25">
      <c r="A846" s="13">
        <v>44677</v>
      </c>
      <c r="B846" s="15" t="s">
        <v>21</v>
      </c>
      <c r="C846" s="3">
        <v>2</v>
      </c>
      <c r="D846" s="13">
        <f t="shared" si="26"/>
        <v>44679</v>
      </c>
      <c r="E846" s="15">
        <v>800</v>
      </c>
      <c r="F846" s="9">
        <v>8.5000000000000006E-2</v>
      </c>
      <c r="G846" s="9">
        <v>8.5000000000000006E-2</v>
      </c>
      <c r="H846" s="15">
        <f t="shared" si="27"/>
        <v>18250</v>
      </c>
    </row>
    <row r="847" spans="1:8" x14ac:dyDescent="0.25">
      <c r="A847" s="13">
        <v>44677</v>
      </c>
      <c r="B847" s="15" t="s">
        <v>21</v>
      </c>
      <c r="C847" s="3">
        <v>3</v>
      </c>
      <c r="D847" s="13">
        <f t="shared" si="26"/>
        <v>44680</v>
      </c>
      <c r="E847" s="15">
        <v>2000</v>
      </c>
      <c r="F847" s="9">
        <v>8.5000000000000006E-2</v>
      </c>
      <c r="G847" s="9">
        <v>8.5000000000000006E-2</v>
      </c>
      <c r="H847" s="15">
        <f t="shared" si="27"/>
        <v>18250</v>
      </c>
    </row>
    <row r="848" spans="1:8" x14ac:dyDescent="0.25">
      <c r="A848" s="13">
        <v>44677</v>
      </c>
      <c r="B848" s="15" t="s">
        <v>21</v>
      </c>
      <c r="C848" s="3">
        <v>6</v>
      </c>
      <c r="D848" s="13">
        <f t="shared" si="26"/>
        <v>44683</v>
      </c>
      <c r="E848" s="15">
        <v>200</v>
      </c>
      <c r="F848" s="9">
        <v>8.5500000000000007E-2</v>
      </c>
      <c r="G848" s="9">
        <v>8.5500000000000007E-2</v>
      </c>
      <c r="H848" s="15">
        <f t="shared" si="27"/>
        <v>18250</v>
      </c>
    </row>
    <row r="849" spans="1:8" x14ac:dyDescent="0.25">
      <c r="A849" s="13">
        <v>44678</v>
      </c>
      <c r="B849" s="15" t="s">
        <v>21</v>
      </c>
      <c r="C849" s="3">
        <v>1</v>
      </c>
      <c r="D849" s="13">
        <f t="shared" si="26"/>
        <v>44679</v>
      </c>
      <c r="E849" s="15">
        <v>-1700</v>
      </c>
      <c r="F849" s="9">
        <v>8.6999999999999994E-2</v>
      </c>
      <c r="G849" s="9">
        <v>8.6999999999999994E-2</v>
      </c>
      <c r="H849" s="15">
        <f t="shared" si="27"/>
        <v>10050</v>
      </c>
    </row>
    <row r="850" spans="1:8" x14ac:dyDescent="0.25">
      <c r="A850" s="13">
        <v>44678</v>
      </c>
      <c r="B850" s="15" t="s">
        <v>21</v>
      </c>
      <c r="C850" s="3">
        <v>2</v>
      </c>
      <c r="D850" s="13">
        <f t="shared" si="26"/>
        <v>44680</v>
      </c>
      <c r="E850" s="15">
        <v>-1300</v>
      </c>
      <c r="F850" s="9">
        <v>8.7499999999999994E-2</v>
      </c>
      <c r="G850" s="9">
        <v>8.7999999999999995E-2</v>
      </c>
      <c r="H850" s="15">
        <f t="shared" si="27"/>
        <v>10050</v>
      </c>
    </row>
    <row r="851" spans="1:8" x14ac:dyDescent="0.25">
      <c r="A851" s="13">
        <v>44679</v>
      </c>
      <c r="B851" s="15" t="s">
        <v>21</v>
      </c>
      <c r="C851" s="3">
        <v>1</v>
      </c>
      <c r="D851" s="13">
        <f t="shared" si="26"/>
        <v>44680</v>
      </c>
      <c r="E851" s="15">
        <v>-2300</v>
      </c>
      <c r="F851" s="9">
        <v>8.6499999999999994E-2</v>
      </c>
      <c r="G851" s="9">
        <v>8.7499999999999994E-2</v>
      </c>
      <c r="H851" s="15">
        <f t="shared" si="27"/>
        <v>7650</v>
      </c>
    </row>
    <row r="852" spans="1:8" x14ac:dyDescent="0.25">
      <c r="A852" s="13">
        <v>44679</v>
      </c>
      <c r="B852" s="15" t="s">
        <v>21</v>
      </c>
      <c r="C852" s="3">
        <v>4</v>
      </c>
      <c r="D852" s="13">
        <f t="shared" si="26"/>
        <v>44683</v>
      </c>
      <c r="E852" s="15">
        <v>-1000</v>
      </c>
      <c r="F852" s="9">
        <v>8.6999999999999994E-2</v>
      </c>
      <c r="G852" s="9">
        <v>8.6999999999999994E-2</v>
      </c>
      <c r="H852" s="15">
        <f t="shared" si="27"/>
        <v>7650</v>
      </c>
    </row>
    <row r="853" spans="1:8" x14ac:dyDescent="0.25">
      <c r="A853" s="13">
        <v>44683</v>
      </c>
      <c r="B853" s="15" t="s">
        <v>21</v>
      </c>
      <c r="C853" s="3">
        <v>2</v>
      </c>
      <c r="D853" s="13">
        <f t="shared" si="26"/>
        <v>44685</v>
      </c>
      <c r="E853" s="15">
        <v>800</v>
      </c>
      <c r="F853" s="9">
        <v>8.5000000000000006E-2</v>
      </c>
      <c r="G853" s="9">
        <v>8.5000000000000006E-2</v>
      </c>
      <c r="H853" s="15">
        <f t="shared" si="27"/>
        <v>1000</v>
      </c>
    </row>
    <row r="854" spans="1:8" x14ac:dyDescent="0.25">
      <c r="A854" s="13">
        <v>44683</v>
      </c>
      <c r="B854" s="15" t="s">
        <v>21</v>
      </c>
      <c r="C854" s="3">
        <v>3</v>
      </c>
      <c r="D854" s="13">
        <f t="shared" si="26"/>
        <v>44686</v>
      </c>
      <c r="E854" s="15">
        <v>200</v>
      </c>
      <c r="F854" s="9">
        <v>8.5000000000000006E-2</v>
      </c>
      <c r="G854" s="9">
        <v>8.5000000000000006E-2</v>
      </c>
      <c r="H854" s="15">
        <f t="shared" si="27"/>
        <v>1000</v>
      </c>
    </row>
    <row r="855" spans="1:8" x14ac:dyDescent="0.25">
      <c r="A855" s="13">
        <v>44684</v>
      </c>
      <c r="B855" s="15" t="s">
        <v>21</v>
      </c>
      <c r="C855" s="3">
        <v>2</v>
      </c>
      <c r="D855" s="13">
        <f t="shared" si="26"/>
        <v>44686</v>
      </c>
      <c r="E855" s="15">
        <v>400</v>
      </c>
      <c r="F855" s="9">
        <v>8.5000000000000006E-2</v>
      </c>
      <c r="G855" s="9">
        <v>8.5000000000000006E-2</v>
      </c>
      <c r="H855" s="15">
        <f t="shared" si="27"/>
        <v>2000</v>
      </c>
    </row>
    <row r="856" spans="1:8" x14ac:dyDescent="0.25">
      <c r="A856" s="13">
        <v>44684</v>
      </c>
      <c r="B856" s="15" t="s">
        <v>21</v>
      </c>
      <c r="C856" s="3">
        <v>3</v>
      </c>
      <c r="D856" s="13">
        <f t="shared" si="26"/>
        <v>44687</v>
      </c>
      <c r="E856" s="15">
        <v>600</v>
      </c>
      <c r="F856" s="9">
        <v>8.5500000000000007E-2</v>
      </c>
      <c r="G856" s="9">
        <v>8.5500000000000007E-2</v>
      </c>
      <c r="H856" s="15">
        <f t="shared" si="27"/>
        <v>2000</v>
      </c>
    </row>
    <row r="857" spans="1:8" x14ac:dyDescent="0.25">
      <c r="A857" s="13">
        <v>44685</v>
      </c>
      <c r="B857" s="15" t="s">
        <v>21</v>
      </c>
      <c r="C857" s="3">
        <v>2</v>
      </c>
      <c r="D857" s="13">
        <f t="shared" si="26"/>
        <v>44687</v>
      </c>
      <c r="E857" s="15">
        <v>600</v>
      </c>
      <c r="F857" s="9">
        <v>8.5000000000000006E-2</v>
      </c>
      <c r="G857" s="9">
        <v>8.5000000000000006E-2</v>
      </c>
      <c r="H857" s="15">
        <f t="shared" si="27"/>
        <v>2400</v>
      </c>
    </row>
    <row r="858" spans="1:8" x14ac:dyDescent="0.25">
      <c r="A858" s="13">
        <v>44685</v>
      </c>
      <c r="B858" s="15" t="s">
        <v>21</v>
      </c>
      <c r="C858" s="3">
        <v>6</v>
      </c>
      <c r="D858" s="13">
        <f t="shared" si="26"/>
        <v>44691</v>
      </c>
      <c r="E858" s="15">
        <v>600</v>
      </c>
      <c r="F858" s="9">
        <v>8.5500000000000007E-2</v>
      </c>
      <c r="G858" s="9">
        <v>8.5500000000000007E-2</v>
      </c>
      <c r="H858" s="15">
        <f t="shared" si="27"/>
        <v>2400</v>
      </c>
    </row>
    <row r="859" spans="1:8" x14ac:dyDescent="0.25">
      <c r="A859" s="13">
        <v>44686</v>
      </c>
      <c r="B859" s="15" t="s">
        <v>21</v>
      </c>
      <c r="C859" s="3">
        <v>4</v>
      </c>
      <c r="D859" s="13">
        <f t="shared" si="26"/>
        <v>44690</v>
      </c>
      <c r="E859" s="15">
        <v>600</v>
      </c>
      <c r="F859" s="9">
        <v>8.5000000000000006E-2</v>
      </c>
      <c r="G859" s="9">
        <v>8.5000000000000006E-2</v>
      </c>
      <c r="H859" s="15">
        <f t="shared" si="27"/>
        <v>3600</v>
      </c>
    </row>
    <row r="860" spans="1:8" x14ac:dyDescent="0.25">
      <c r="A860" s="13">
        <v>44686</v>
      </c>
      <c r="B860" s="15" t="s">
        <v>21</v>
      </c>
      <c r="C860" s="3">
        <v>5</v>
      </c>
      <c r="D860" s="13">
        <f t="shared" si="26"/>
        <v>44691</v>
      </c>
      <c r="E860" s="15">
        <v>800</v>
      </c>
      <c r="F860" s="9">
        <v>8.5500000000000007E-2</v>
      </c>
      <c r="G860" s="9">
        <v>8.5500000000000007E-2</v>
      </c>
      <c r="H860" s="15">
        <f t="shared" si="27"/>
        <v>3600</v>
      </c>
    </row>
    <row r="861" spans="1:8" x14ac:dyDescent="0.25">
      <c r="A861" s="13">
        <v>44686</v>
      </c>
      <c r="B861" s="15" t="s">
        <v>21</v>
      </c>
      <c r="C861" s="3">
        <v>6</v>
      </c>
      <c r="D861" s="13">
        <f t="shared" si="26"/>
        <v>44692</v>
      </c>
      <c r="E861" s="15">
        <v>400</v>
      </c>
      <c r="F861" s="9">
        <v>8.5500000000000007E-2</v>
      </c>
      <c r="G861" s="9">
        <v>8.5500000000000007E-2</v>
      </c>
      <c r="H861" s="15">
        <f t="shared" si="27"/>
        <v>3600</v>
      </c>
    </row>
    <row r="862" spans="1:8" x14ac:dyDescent="0.25">
      <c r="A862" s="13">
        <v>44687</v>
      </c>
      <c r="B862" s="15" t="s">
        <v>21</v>
      </c>
      <c r="C862" s="3">
        <v>3</v>
      </c>
      <c r="D862" s="13">
        <f t="shared" si="26"/>
        <v>44690</v>
      </c>
      <c r="E862" s="15">
        <v>200</v>
      </c>
      <c r="F862" s="9">
        <v>8.5000000000000006E-2</v>
      </c>
      <c r="G862" s="9">
        <v>8.5000000000000006E-2</v>
      </c>
      <c r="H862" s="15">
        <f t="shared" si="27"/>
        <v>5600</v>
      </c>
    </row>
    <row r="863" spans="1:8" x14ac:dyDescent="0.25">
      <c r="A863" s="13">
        <v>44687</v>
      </c>
      <c r="B863" s="15" t="s">
        <v>21</v>
      </c>
      <c r="C863" s="3">
        <v>4</v>
      </c>
      <c r="D863" s="13">
        <f t="shared" si="26"/>
        <v>44691</v>
      </c>
      <c r="E863" s="15">
        <v>1200</v>
      </c>
      <c r="F863" s="9">
        <v>8.5000000000000006E-2</v>
      </c>
      <c r="G863" s="9">
        <v>8.5000000000000006E-2</v>
      </c>
      <c r="H863" s="15">
        <f t="shared" si="27"/>
        <v>5600</v>
      </c>
    </row>
    <row r="864" spans="1:8" x14ac:dyDescent="0.25">
      <c r="A864" s="13">
        <v>44687</v>
      </c>
      <c r="B864" s="15" t="s">
        <v>21</v>
      </c>
      <c r="C864" s="3">
        <v>5</v>
      </c>
      <c r="D864" s="13">
        <f t="shared" si="26"/>
        <v>44692</v>
      </c>
      <c r="E864" s="15">
        <v>1400</v>
      </c>
      <c r="F864" s="9">
        <v>8.5500000000000007E-2</v>
      </c>
      <c r="G864" s="9">
        <v>8.5500000000000007E-2</v>
      </c>
      <c r="H864" s="15">
        <f t="shared" si="27"/>
        <v>5600</v>
      </c>
    </row>
    <row r="865" spans="1:8" x14ac:dyDescent="0.25">
      <c r="A865" s="13">
        <v>44687</v>
      </c>
      <c r="B865" s="15" t="s">
        <v>21</v>
      </c>
      <c r="C865" s="3">
        <v>6</v>
      </c>
      <c r="D865" s="13">
        <f t="shared" si="26"/>
        <v>44693</v>
      </c>
      <c r="E865" s="15">
        <v>400</v>
      </c>
      <c r="F865" s="9">
        <v>8.5500000000000007E-2</v>
      </c>
      <c r="G865" s="9">
        <v>8.5500000000000007E-2</v>
      </c>
      <c r="H865" s="15">
        <f t="shared" si="27"/>
        <v>5600</v>
      </c>
    </row>
    <row r="866" spans="1:8" x14ac:dyDescent="0.25">
      <c r="A866" s="13">
        <v>44690</v>
      </c>
      <c r="B866" s="15" t="s">
        <v>21</v>
      </c>
      <c r="C866" s="3">
        <v>2</v>
      </c>
      <c r="D866" s="13">
        <f t="shared" si="26"/>
        <v>44692</v>
      </c>
      <c r="E866" s="15">
        <v>400</v>
      </c>
      <c r="F866" s="9">
        <v>8.5000000000000006E-2</v>
      </c>
      <c r="G866" s="9">
        <v>8.5000000000000006E-2</v>
      </c>
      <c r="H866" s="15">
        <f t="shared" si="27"/>
        <v>7800</v>
      </c>
    </row>
    <row r="867" spans="1:8" x14ac:dyDescent="0.25">
      <c r="A867" s="13">
        <v>44690</v>
      </c>
      <c r="B867" s="15" t="s">
        <v>21</v>
      </c>
      <c r="C867" s="3">
        <v>3</v>
      </c>
      <c r="D867" s="13">
        <f t="shared" si="26"/>
        <v>44693</v>
      </c>
      <c r="E867" s="15">
        <v>400</v>
      </c>
      <c r="F867" s="9">
        <v>8.5500000000000007E-2</v>
      </c>
      <c r="G867" s="9">
        <v>8.5500000000000007E-2</v>
      </c>
      <c r="H867" s="15">
        <f t="shared" si="27"/>
        <v>7800</v>
      </c>
    </row>
    <row r="868" spans="1:8" x14ac:dyDescent="0.25">
      <c r="A868" s="13">
        <v>44690</v>
      </c>
      <c r="B868" s="15" t="s">
        <v>21</v>
      </c>
      <c r="C868" s="3">
        <v>4</v>
      </c>
      <c r="D868" s="13">
        <f t="shared" si="26"/>
        <v>44694</v>
      </c>
      <c r="E868" s="15">
        <v>1600</v>
      </c>
      <c r="F868" s="9">
        <v>8.5500000000000007E-2</v>
      </c>
      <c r="G868" s="9">
        <v>8.5500000000000007E-2</v>
      </c>
      <c r="H868" s="15">
        <f t="shared" si="27"/>
        <v>7800</v>
      </c>
    </row>
    <row r="869" spans="1:8" x14ac:dyDescent="0.25">
      <c r="A869" s="13">
        <v>44690</v>
      </c>
      <c r="B869" s="15" t="s">
        <v>21</v>
      </c>
      <c r="C869" s="3">
        <v>8</v>
      </c>
      <c r="D869" s="13">
        <f t="shared" si="26"/>
        <v>44698</v>
      </c>
      <c r="E869" s="15">
        <v>600</v>
      </c>
      <c r="F869" s="9">
        <v>8.5999999999999993E-2</v>
      </c>
      <c r="G869" s="9">
        <v>8.5999999999999993E-2</v>
      </c>
      <c r="H869" s="15">
        <f t="shared" si="27"/>
        <v>7800</v>
      </c>
    </row>
    <row r="870" spans="1:8" x14ac:dyDescent="0.25">
      <c r="A870" s="13">
        <v>44691</v>
      </c>
      <c r="B870" s="15" t="s">
        <v>21</v>
      </c>
      <c r="C870" s="3">
        <v>1</v>
      </c>
      <c r="D870" s="13">
        <f t="shared" si="26"/>
        <v>44692</v>
      </c>
      <c r="E870" s="15">
        <v>400</v>
      </c>
      <c r="F870" s="9">
        <v>8.5000000000000006E-2</v>
      </c>
      <c r="G870" s="9">
        <v>8.5000000000000006E-2</v>
      </c>
      <c r="H870" s="15">
        <f t="shared" si="27"/>
        <v>9700</v>
      </c>
    </row>
    <row r="871" spans="1:8" x14ac:dyDescent="0.25">
      <c r="A871" s="13">
        <v>44691</v>
      </c>
      <c r="B871" s="15" t="s">
        <v>21</v>
      </c>
      <c r="C871" s="3">
        <v>2</v>
      </c>
      <c r="D871" s="13">
        <f t="shared" si="26"/>
        <v>44693</v>
      </c>
      <c r="E871" s="15">
        <v>1600</v>
      </c>
      <c r="F871" s="9">
        <v>8.5000000000000006E-2</v>
      </c>
      <c r="G871" s="9">
        <v>8.5000000000000006E-2</v>
      </c>
      <c r="H871" s="15">
        <f t="shared" si="27"/>
        <v>9700</v>
      </c>
    </row>
    <row r="872" spans="1:8" x14ac:dyDescent="0.25">
      <c r="A872" s="13">
        <v>44691</v>
      </c>
      <c r="B872" s="15" t="s">
        <v>21</v>
      </c>
      <c r="C872" s="3">
        <v>3</v>
      </c>
      <c r="D872" s="13">
        <f t="shared" si="26"/>
        <v>44694</v>
      </c>
      <c r="E872" s="15">
        <v>1400</v>
      </c>
      <c r="F872" s="9">
        <v>8.5500000000000007E-2</v>
      </c>
      <c r="G872" s="9">
        <v>8.5500000000000007E-2</v>
      </c>
      <c r="H872" s="15">
        <f t="shared" si="27"/>
        <v>9700</v>
      </c>
    </row>
    <row r="873" spans="1:8" x14ac:dyDescent="0.25">
      <c r="A873" s="13">
        <v>44691</v>
      </c>
      <c r="B873" s="15" t="s">
        <v>21</v>
      </c>
      <c r="C873" s="3">
        <v>7</v>
      </c>
      <c r="D873" s="13">
        <f t="shared" si="26"/>
        <v>44698</v>
      </c>
      <c r="E873" s="15">
        <v>1000</v>
      </c>
      <c r="F873" s="9">
        <v>8.5999999999999993E-2</v>
      </c>
      <c r="G873" s="9">
        <v>8.5999999999999993E-2</v>
      </c>
      <c r="H873" s="15">
        <f t="shared" si="27"/>
        <v>9700</v>
      </c>
    </row>
    <row r="874" spans="1:8" x14ac:dyDescent="0.25">
      <c r="A874" s="13">
        <v>44691</v>
      </c>
      <c r="B874" s="15" t="s">
        <v>21</v>
      </c>
      <c r="C874" s="3">
        <v>8</v>
      </c>
      <c r="D874" s="13">
        <f t="shared" si="26"/>
        <v>44699</v>
      </c>
      <c r="E874" s="15">
        <v>100</v>
      </c>
      <c r="F874" s="9">
        <v>8.5999999999999993E-2</v>
      </c>
      <c r="G874" s="9">
        <v>8.5999999999999993E-2</v>
      </c>
      <c r="H874" s="15">
        <f t="shared" si="27"/>
        <v>9700</v>
      </c>
    </row>
    <row r="875" spans="1:8" x14ac:dyDescent="0.25">
      <c r="A875" s="13">
        <v>44692</v>
      </c>
      <c r="B875" s="15" t="s">
        <v>21</v>
      </c>
      <c r="C875" s="3">
        <v>1</v>
      </c>
      <c r="D875" s="13">
        <f t="shared" si="26"/>
        <v>44693</v>
      </c>
      <c r="E875" s="15">
        <v>200</v>
      </c>
      <c r="F875" s="9">
        <v>8.5000000000000006E-2</v>
      </c>
      <c r="G875" s="9">
        <v>8.5000000000000006E-2</v>
      </c>
      <c r="H875" s="15">
        <f t="shared" si="27"/>
        <v>12450</v>
      </c>
    </row>
    <row r="876" spans="1:8" x14ac:dyDescent="0.25">
      <c r="A876" s="13">
        <v>44692</v>
      </c>
      <c r="B876" s="15" t="s">
        <v>21</v>
      </c>
      <c r="C876" s="3">
        <v>2</v>
      </c>
      <c r="D876" s="13">
        <f t="shared" si="26"/>
        <v>44694</v>
      </c>
      <c r="E876" s="15">
        <v>450</v>
      </c>
      <c r="F876" s="9">
        <v>8.5000000000000006E-2</v>
      </c>
      <c r="G876" s="9">
        <v>8.5000000000000006E-2</v>
      </c>
      <c r="H876" s="15">
        <f t="shared" si="27"/>
        <v>12450</v>
      </c>
    </row>
    <row r="877" spans="1:8" x14ac:dyDescent="0.25">
      <c r="A877" s="13">
        <v>44692</v>
      </c>
      <c r="B877" s="15" t="s">
        <v>21</v>
      </c>
      <c r="C877" s="3">
        <v>6</v>
      </c>
      <c r="D877" s="13">
        <f t="shared" si="26"/>
        <v>44698</v>
      </c>
      <c r="E877" s="15">
        <v>3000</v>
      </c>
      <c r="F877" s="9">
        <v>8.5999999999999993E-2</v>
      </c>
      <c r="G877" s="9">
        <v>8.5999999999999993E-2</v>
      </c>
      <c r="H877" s="15">
        <f t="shared" si="27"/>
        <v>12450</v>
      </c>
    </row>
    <row r="878" spans="1:8" x14ac:dyDescent="0.25">
      <c r="A878" s="13">
        <v>44692</v>
      </c>
      <c r="B878" s="15" t="s">
        <v>21</v>
      </c>
      <c r="C878" s="3">
        <v>7</v>
      </c>
      <c r="D878" s="13">
        <f t="shared" si="26"/>
        <v>44699</v>
      </c>
      <c r="E878" s="15">
        <v>1700</v>
      </c>
      <c r="F878" s="9">
        <v>8.5999999999999993E-2</v>
      </c>
      <c r="G878" s="9">
        <v>8.5999999999999993E-2</v>
      </c>
      <c r="H878" s="15">
        <f t="shared" si="27"/>
        <v>12450</v>
      </c>
    </row>
    <row r="879" spans="1:8" x14ac:dyDescent="0.25">
      <c r="A879" s="13">
        <v>44693</v>
      </c>
      <c r="B879" s="15" t="s">
        <v>21</v>
      </c>
      <c r="C879" s="3">
        <v>5</v>
      </c>
      <c r="D879" s="13">
        <f t="shared" si="26"/>
        <v>44698</v>
      </c>
      <c r="E879" s="15">
        <v>350</v>
      </c>
      <c r="F879" s="9">
        <v>8.5500000000000007E-2</v>
      </c>
      <c r="G879" s="9">
        <v>8.5500000000000007E-2</v>
      </c>
      <c r="H879" s="15">
        <f t="shared" si="27"/>
        <v>13200</v>
      </c>
    </row>
    <row r="880" spans="1:8" x14ac:dyDescent="0.25">
      <c r="A880" s="13">
        <v>44693</v>
      </c>
      <c r="B880" s="15" t="s">
        <v>21</v>
      </c>
      <c r="C880" s="3">
        <v>6</v>
      </c>
      <c r="D880" s="13">
        <f t="shared" si="26"/>
        <v>44699</v>
      </c>
      <c r="E880" s="15">
        <v>3000</v>
      </c>
      <c r="F880" s="9">
        <v>8.5999999999999993E-2</v>
      </c>
      <c r="G880" s="9">
        <v>8.5999999999999993E-2</v>
      </c>
      <c r="H880" s="15">
        <f t="shared" si="27"/>
        <v>13200</v>
      </c>
    </row>
    <row r="881" spans="1:8" x14ac:dyDescent="0.25">
      <c r="A881" s="13">
        <v>44694</v>
      </c>
      <c r="B881" s="15" t="s">
        <v>21</v>
      </c>
      <c r="C881" s="3">
        <v>4</v>
      </c>
      <c r="D881" s="13">
        <f t="shared" si="26"/>
        <v>44698</v>
      </c>
      <c r="E881" s="15">
        <v>1100</v>
      </c>
      <c r="F881" s="9">
        <v>8.5000000000000006E-2</v>
      </c>
      <c r="G881" s="9">
        <v>8.5000000000000006E-2</v>
      </c>
      <c r="H881" s="15">
        <f t="shared" si="27"/>
        <v>15900</v>
      </c>
    </row>
    <row r="882" spans="1:8" x14ac:dyDescent="0.25">
      <c r="A882" s="13">
        <v>44694</v>
      </c>
      <c r="B882" s="15" t="s">
        <v>21</v>
      </c>
      <c r="C882" s="3">
        <v>5</v>
      </c>
      <c r="D882" s="13">
        <f t="shared" si="26"/>
        <v>44699</v>
      </c>
      <c r="E882" s="15">
        <v>2950</v>
      </c>
      <c r="F882" s="9">
        <v>8.5500000000000007E-2</v>
      </c>
      <c r="G882" s="9">
        <v>8.5500000000000007E-2</v>
      </c>
      <c r="H882" s="15">
        <f t="shared" si="27"/>
        <v>15900</v>
      </c>
    </row>
    <row r="883" spans="1:8" x14ac:dyDescent="0.25">
      <c r="A883" s="13">
        <v>44694</v>
      </c>
      <c r="B883" s="15" t="s">
        <v>21</v>
      </c>
      <c r="C883" s="3">
        <v>6</v>
      </c>
      <c r="D883" s="13">
        <f t="shared" si="26"/>
        <v>44700</v>
      </c>
      <c r="E883" s="15">
        <v>2100</v>
      </c>
      <c r="F883" s="9">
        <v>8.5999999999999993E-2</v>
      </c>
      <c r="G883" s="9">
        <v>8.6499999999999994E-2</v>
      </c>
      <c r="H883" s="15">
        <f t="shared" si="27"/>
        <v>15900</v>
      </c>
    </row>
    <row r="884" spans="1:8" x14ac:dyDescent="0.25">
      <c r="A884" s="13">
        <v>44698</v>
      </c>
      <c r="B884" s="15" t="s">
        <v>21</v>
      </c>
      <c r="C884" s="3">
        <v>1</v>
      </c>
      <c r="D884" s="13">
        <f t="shared" si="26"/>
        <v>44699</v>
      </c>
      <c r="E884" s="15">
        <v>3050</v>
      </c>
      <c r="F884" s="9">
        <v>8.5000000000000006E-2</v>
      </c>
      <c r="G884" s="9">
        <v>8.5000000000000006E-2</v>
      </c>
      <c r="H884" s="15">
        <f t="shared" si="27"/>
        <v>14800</v>
      </c>
    </row>
    <row r="885" spans="1:8" x14ac:dyDescent="0.25">
      <c r="A885" s="13">
        <v>44698</v>
      </c>
      <c r="B885" s="15" t="s">
        <v>21</v>
      </c>
      <c r="C885" s="3">
        <v>2</v>
      </c>
      <c r="D885" s="13">
        <f t="shared" si="26"/>
        <v>44700</v>
      </c>
      <c r="E885" s="15">
        <v>1900</v>
      </c>
      <c r="F885" s="9">
        <v>8.7499999999999994E-2</v>
      </c>
      <c r="G885" s="9">
        <v>8.7499999999999994E-2</v>
      </c>
      <c r="H885" s="15">
        <f t="shared" si="27"/>
        <v>14800</v>
      </c>
    </row>
    <row r="886" spans="1:8" x14ac:dyDescent="0.25">
      <c r="A886" s="13">
        <v>44699</v>
      </c>
      <c r="B886" s="15" t="s">
        <v>21</v>
      </c>
      <c r="C886" s="3">
        <v>1</v>
      </c>
      <c r="D886" s="13">
        <f t="shared" si="26"/>
        <v>44700</v>
      </c>
      <c r="E886" s="15">
        <v>1000</v>
      </c>
      <c r="F886" s="9">
        <v>9.2499999999999999E-2</v>
      </c>
      <c r="G886" s="9">
        <v>9.2499999999999999E-2</v>
      </c>
      <c r="H886" s="15">
        <f t="shared" si="27"/>
        <v>14740</v>
      </c>
    </row>
    <row r="887" spans="1:8" x14ac:dyDescent="0.25">
      <c r="A887" s="13">
        <v>44699</v>
      </c>
      <c r="B887" s="15" t="s">
        <v>21</v>
      </c>
      <c r="C887" s="3">
        <v>2</v>
      </c>
      <c r="D887" s="13">
        <f t="shared" si="26"/>
        <v>44701</v>
      </c>
      <c r="E887" s="15">
        <v>2600</v>
      </c>
      <c r="F887" s="9">
        <v>9.2499999999999999E-2</v>
      </c>
      <c r="G887" s="9">
        <v>9.2499999999999999E-2</v>
      </c>
      <c r="H887" s="15">
        <f t="shared" si="27"/>
        <v>14740</v>
      </c>
    </row>
    <row r="888" spans="1:8" x14ac:dyDescent="0.25">
      <c r="A888" s="13">
        <v>44699</v>
      </c>
      <c r="B888" s="15" t="s">
        <v>21</v>
      </c>
      <c r="C888" s="3">
        <v>5</v>
      </c>
      <c r="D888" s="13">
        <f t="shared" si="26"/>
        <v>44704</v>
      </c>
      <c r="E888" s="15">
        <v>3350</v>
      </c>
      <c r="F888" s="9">
        <v>9.2999999999999999E-2</v>
      </c>
      <c r="G888" s="9">
        <v>9.2999999999999999E-2</v>
      </c>
      <c r="H888" s="15">
        <f t="shared" si="27"/>
        <v>14740</v>
      </c>
    </row>
    <row r="889" spans="1:8" x14ac:dyDescent="0.25">
      <c r="A889" s="13">
        <v>44699</v>
      </c>
      <c r="B889" s="15" t="s">
        <v>21</v>
      </c>
      <c r="C889" s="3">
        <v>7</v>
      </c>
      <c r="D889" s="13">
        <f t="shared" si="26"/>
        <v>44706</v>
      </c>
      <c r="E889" s="15">
        <v>3790</v>
      </c>
      <c r="F889" s="9">
        <v>9.35E-2</v>
      </c>
      <c r="G889" s="9">
        <v>9.35E-2</v>
      </c>
      <c r="H889" s="15">
        <f t="shared" si="27"/>
        <v>14740</v>
      </c>
    </row>
    <row r="890" spans="1:8" x14ac:dyDescent="0.25">
      <c r="A890" s="13">
        <v>44700</v>
      </c>
      <c r="B890" s="15" t="s">
        <v>21</v>
      </c>
      <c r="C890" s="3">
        <v>1</v>
      </c>
      <c r="D890" s="13">
        <f t="shared" si="26"/>
        <v>44701</v>
      </c>
      <c r="E890" s="15">
        <v>300</v>
      </c>
      <c r="F890" s="9">
        <v>9.2499999999999999E-2</v>
      </c>
      <c r="G890" s="9">
        <v>9.2499999999999999E-2</v>
      </c>
      <c r="H890" s="15">
        <f t="shared" si="27"/>
        <v>14050</v>
      </c>
    </row>
    <row r="891" spans="1:8" x14ac:dyDescent="0.25">
      <c r="A891" s="13">
        <v>44700</v>
      </c>
      <c r="B891" s="15" t="s">
        <v>21</v>
      </c>
      <c r="C891" s="3">
        <v>4</v>
      </c>
      <c r="D891" s="13">
        <f t="shared" si="26"/>
        <v>44704</v>
      </c>
      <c r="E891" s="15">
        <v>310</v>
      </c>
      <c r="F891" s="9">
        <v>9.2499999999999999E-2</v>
      </c>
      <c r="G891" s="9">
        <v>9.2499999999999999E-2</v>
      </c>
      <c r="H891" s="15">
        <f t="shared" si="27"/>
        <v>14050</v>
      </c>
    </row>
    <row r="892" spans="1:8" x14ac:dyDescent="0.25">
      <c r="A892" s="13">
        <v>44700</v>
      </c>
      <c r="B892" s="15" t="s">
        <v>21</v>
      </c>
      <c r="C892" s="3">
        <v>5</v>
      </c>
      <c r="D892" s="13">
        <f t="shared" si="26"/>
        <v>44705</v>
      </c>
      <c r="E892" s="15">
        <v>1800</v>
      </c>
      <c r="F892" s="9">
        <v>9.2499999999999999E-2</v>
      </c>
      <c r="G892" s="9">
        <v>9.2999999999999999E-2</v>
      </c>
      <c r="H892" s="15">
        <f t="shared" si="27"/>
        <v>14050</v>
      </c>
    </row>
    <row r="893" spans="1:8" x14ac:dyDescent="0.25">
      <c r="A893" s="13">
        <v>44700</v>
      </c>
      <c r="B893" s="15" t="s">
        <v>21</v>
      </c>
      <c r="C893" s="3">
        <v>7</v>
      </c>
      <c r="D893" s="13">
        <f t="shared" si="26"/>
        <v>44707</v>
      </c>
      <c r="E893" s="15">
        <v>1600</v>
      </c>
      <c r="F893" s="9">
        <v>9.2999999999999999E-2</v>
      </c>
      <c r="G893" s="9">
        <v>9.2999999999999999E-2</v>
      </c>
      <c r="H893" s="15">
        <f t="shared" si="27"/>
        <v>14050</v>
      </c>
    </row>
    <row r="894" spans="1:8" x14ac:dyDescent="0.25">
      <c r="A894" s="13">
        <v>44700</v>
      </c>
      <c r="B894" s="15" t="s">
        <v>21</v>
      </c>
      <c r="C894" s="3">
        <v>13</v>
      </c>
      <c r="D894" s="13">
        <f t="shared" si="26"/>
        <v>44713</v>
      </c>
      <c r="E894" s="15">
        <v>300</v>
      </c>
      <c r="F894" s="9">
        <v>9.4500000000000001E-2</v>
      </c>
      <c r="G894" s="9">
        <v>9.4500000000000001E-2</v>
      </c>
      <c r="H894" s="15">
        <f t="shared" si="27"/>
        <v>14050</v>
      </c>
    </row>
    <row r="895" spans="1:8" x14ac:dyDescent="0.25">
      <c r="A895" s="13">
        <v>44701</v>
      </c>
      <c r="B895" s="15" t="s">
        <v>21</v>
      </c>
      <c r="C895" s="3">
        <v>3</v>
      </c>
      <c r="D895" s="13">
        <f t="shared" si="26"/>
        <v>44704</v>
      </c>
      <c r="E895" s="15">
        <v>400</v>
      </c>
      <c r="F895" s="9">
        <v>9.2499999999999999E-2</v>
      </c>
      <c r="G895" s="9">
        <v>9.2499999999999999E-2</v>
      </c>
      <c r="H895" s="15">
        <f t="shared" si="27"/>
        <v>15150</v>
      </c>
    </row>
    <row r="896" spans="1:8" x14ac:dyDescent="0.25">
      <c r="A896" s="13">
        <v>44701</v>
      </c>
      <c r="B896" s="15" t="s">
        <v>21</v>
      </c>
      <c r="C896" s="3">
        <v>4</v>
      </c>
      <c r="D896" s="13">
        <f t="shared" si="26"/>
        <v>44705</v>
      </c>
      <c r="E896" s="15">
        <v>2800</v>
      </c>
      <c r="F896" s="9">
        <v>9.2499999999999999E-2</v>
      </c>
      <c r="G896" s="9">
        <v>9.2499999999999999E-2</v>
      </c>
      <c r="H896" s="15">
        <f t="shared" si="27"/>
        <v>15150</v>
      </c>
    </row>
    <row r="897" spans="1:8" x14ac:dyDescent="0.25">
      <c r="A897" s="13">
        <v>44701</v>
      </c>
      <c r="B897" s="15" t="s">
        <v>21</v>
      </c>
      <c r="C897" s="3">
        <v>5</v>
      </c>
      <c r="D897" s="13">
        <f t="shared" si="26"/>
        <v>44706</v>
      </c>
      <c r="E897" s="15">
        <v>800</v>
      </c>
      <c r="F897" s="9">
        <v>9.2499999999999999E-2</v>
      </c>
      <c r="G897" s="9">
        <v>9.2499999999999999E-2</v>
      </c>
      <c r="H897" s="15">
        <f t="shared" si="27"/>
        <v>15150</v>
      </c>
    </row>
    <row r="898" spans="1:8" x14ac:dyDescent="0.25">
      <c r="A898" s="13">
        <v>44704</v>
      </c>
      <c r="B898" s="15" t="s">
        <v>21</v>
      </c>
      <c r="C898" s="3">
        <v>1</v>
      </c>
      <c r="D898" s="13">
        <f t="shared" si="26"/>
        <v>44705</v>
      </c>
      <c r="E898" s="15">
        <v>600</v>
      </c>
      <c r="F898" s="9">
        <v>9.1999999999999998E-2</v>
      </c>
      <c r="G898" s="9">
        <v>9.2499999999999999E-2</v>
      </c>
      <c r="H898" s="15">
        <f t="shared" si="27"/>
        <v>19050</v>
      </c>
    </row>
    <row r="899" spans="1:8" x14ac:dyDescent="0.25">
      <c r="A899" s="13">
        <v>44704</v>
      </c>
      <c r="B899" s="15" t="s">
        <v>21</v>
      </c>
      <c r="C899" s="3">
        <v>2</v>
      </c>
      <c r="D899" s="13">
        <f t="shared" si="26"/>
        <v>44706</v>
      </c>
      <c r="E899" s="15">
        <v>5340</v>
      </c>
      <c r="F899" s="9">
        <v>9.2499999999999999E-2</v>
      </c>
      <c r="G899" s="9">
        <v>9.2499999999999999E-2</v>
      </c>
      <c r="H899" s="15">
        <f t="shared" si="27"/>
        <v>19050</v>
      </c>
    </row>
    <row r="900" spans="1:8" x14ac:dyDescent="0.25">
      <c r="A900" s="13">
        <v>44704</v>
      </c>
      <c r="B900" s="15" t="s">
        <v>21</v>
      </c>
      <c r="C900" s="3">
        <v>3</v>
      </c>
      <c r="D900" s="13">
        <f t="shared" si="26"/>
        <v>44707</v>
      </c>
      <c r="E900" s="15">
        <v>1000</v>
      </c>
      <c r="F900" s="9">
        <v>9.2999999999999999E-2</v>
      </c>
      <c r="G900" s="9">
        <v>9.2999999999999999E-2</v>
      </c>
      <c r="H900" s="15">
        <f t="shared" si="27"/>
        <v>19050</v>
      </c>
    </row>
    <row r="901" spans="1:8" x14ac:dyDescent="0.25">
      <c r="A901" s="13">
        <v>44704</v>
      </c>
      <c r="B901" s="15" t="s">
        <v>21</v>
      </c>
      <c r="C901" s="3">
        <v>7</v>
      </c>
      <c r="D901" s="13">
        <f t="shared" si="26"/>
        <v>44711</v>
      </c>
      <c r="E901" s="15">
        <v>20</v>
      </c>
      <c r="F901" s="9">
        <v>9.35E-2</v>
      </c>
      <c r="G901" s="9">
        <v>9.35E-2</v>
      </c>
      <c r="H901" s="15">
        <f t="shared" si="27"/>
        <v>19050</v>
      </c>
    </row>
    <row r="902" spans="1:8" x14ac:dyDescent="0.25">
      <c r="A902" s="13">
        <v>44704</v>
      </c>
      <c r="B902" s="15" t="s">
        <v>21</v>
      </c>
      <c r="C902" s="3">
        <v>8</v>
      </c>
      <c r="D902" s="13">
        <f t="shared" si="26"/>
        <v>44712</v>
      </c>
      <c r="E902" s="15">
        <v>600</v>
      </c>
      <c r="F902" s="9">
        <v>9.4E-2</v>
      </c>
      <c r="G902" s="9">
        <v>9.4E-2</v>
      </c>
      <c r="H902" s="15">
        <f t="shared" si="27"/>
        <v>19050</v>
      </c>
    </row>
    <row r="903" spans="1:8" x14ac:dyDescent="0.25">
      <c r="A903" s="13">
        <v>44704</v>
      </c>
      <c r="B903" s="15" t="s">
        <v>21</v>
      </c>
      <c r="C903" s="3">
        <v>9</v>
      </c>
      <c r="D903" s="13">
        <f t="shared" si="26"/>
        <v>44713</v>
      </c>
      <c r="E903" s="15">
        <v>400</v>
      </c>
      <c r="F903" s="9">
        <v>9.4E-2</v>
      </c>
      <c r="G903" s="9">
        <v>9.4E-2</v>
      </c>
      <c r="H903" s="15">
        <f t="shared" si="27"/>
        <v>19050</v>
      </c>
    </row>
    <row r="904" spans="1:8" x14ac:dyDescent="0.25">
      <c r="A904" s="13">
        <v>44705</v>
      </c>
      <c r="B904" s="15" t="s">
        <v>21</v>
      </c>
      <c r="C904" s="3">
        <v>1</v>
      </c>
      <c r="D904" s="13">
        <f t="shared" si="26"/>
        <v>44706</v>
      </c>
      <c r="E904" s="15">
        <v>800</v>
      </c>
      <c r="F904" s="9">
        <v>9.1999999999999998E-2</v>
      </c>
      <c r="G904" s="9">
        <v>9.2499999999999999E-2</v>
      </c>
      <c r="H904" s="15">
        <f t="shared" si="27"/>
        <v>17750</v>
      </c>
    </row>
    <row r="905" spans="1:8" x14ac:dyDescent="0.25">
      <c r="A905" s="13">
        <v>44705</v>
      </c>
      <c r="B905" s="15" t="s">
        <v>21</v>
      </c>
      <c r="C905" s="3">
        <v>2</v>
      </c>
      <c r="D905" s="13">
        <f t="shared" si="26"/>
        <v>44707</v>
      </c>
      <c r="E905" s="15">
        <v>1700</v>
      </c>
      <c r="F905" s="9">
        <v>9.2499999999999999E-2</v>
      </c>
      <c r="G905" s="9">
        <v>9.2499999999999999E-2</v>
      </c>
      <c r="H905" s="15">
        <f t="shared" si="27"/>
        <v>17750</v>
      </c>
    </row>
    <row r="906" spans="1:8" x14ac:dyDescent="0.25">
      <c r="A906" s="13">
        <v>44705</v>
      </c>
      <c r="B906" s="15" t="s">
        <v>21</v>
      </c>
      <c r="C906" s="3">
        <v>3</v>
      </c>
      <c r="D906" s="13">
        <f t="shared" si="26"/>
        <v>44708</v>
      </c>
      <c r="E906" s="15">
        <v>1000</v>
      </c>
      <c r="F906" s="9">
        <v>9.2999999999999999E-2</v>
      </c>
      <c r="G906" s="9">
        <v>9.2999999999999999E-2</v>
      </c>
      <c r="H906" s="15">
        <f t="shared" ref="H906:H969" si="28">+SUMIFS($E$10:$E$4503,$A$10:$A$4503,"&lt;="&amp;A906,$D$10:$D$4503,"&gt;"&amp;A906)</f>
        <v>17750</v>
      </c>
    </row>
    <row r="907" spans="1:8" x14ac:dyDescent="0.25">
      <c r="A907" s="13">
        <v>44705</v>
      </c>
      <c r="B907" s="15" t="s">
        <v>21</v>
      </c>
      <c r="C907" s="3">
        <v>8</v>
      </c>
      <c r="D907" s="13">
        <f t="shared" si="26"/>
        <v>44713</v>
      </c>
      <c r="E907" s="15">
        <v>400</v>
      </c>
      <c r="F907" s="9">
        <v>9.4E-2</v>
      </c>
      <c r="G907" s="9">
        <v>9.4E-2</v>
      </c>
      <c r="H907" s="15">
        <f t="shared" si="28"/>
        <v>17750</v>
      </c>
    </row>
    <row r="908" spans="1:8" x14ac:dyDescent="0.25">
      <c r="A908" s="13">
        <v>44706</v>
      </c>
      <c r="B908" s="15" t="s">
        <v>21</v>
      </c>
      <c r="C908" s="3">
        <v>1</v>
      </c>
      <c r="D908" s="13">
        <f t="shared" si="26"/>
        <v>44707</v>
      </c>
      <c r="E908" s="15">
        <f>200-2000</f>
        <v>-1800</v>
      </c>
      <c r="F908" s="9">
        <v>9.2499999999999999E-2</v>
      </c>
      <c r="G908" s="9">
        <v>9.35E-2</v>
      </c>
      <c r="H908" s="15">
        <f t="shared" si="28"/>
        <v>6420</v>
      </c>
    </row>
    <row r="909" spans="1:8" x14ac:dyDescent="0.25">
      <c r="A909" s="13">
        <v>44706</v>
      </c>
      <c r="B909" s="15" t="s">
        <v>21</v>
      </c>
      <c r="C909" s="3">
        <v>2</v>
      </c>
      <c r="D909" s="13">
        <f t="shared" si="26"/>
        <v>44708</v>
      </c>
      <c r="E909" s="15">
        <f>1000-600</f>
        <v>400</v>
      </c>
      <c r="F909" s="9">
        <v>9.2499999999999999E-2</v>
      </c>
      <c r="G909" s="9">
        <v>9.2999999999999999E-2</v>
      </c>
      <c r="H909" s="15">
        <f t="shared" si="28"/>
        <v>6420</v>
      </c>
    </row>
    <row r="910" spans="1:8" x14ac:dyDescent="0.25">
      <c r="A910" s="13">
        <v>44706</v>
      </c>
      <c r="B910" s="15" t="s">
        <v>21</v>
      </c>
      <c r="C910" s="3">
        <v>7</v>
      </c>
      <c r="D910" s="13">
        <f t="shared" si="26"/>
        <v>44713</v>
      </c>
      <c r="E910" s="15">
        <v>800</v>
      </c>
      <c r="F910" s="9">
        <v>9.35E-2</v>
      </c>
      <c r="G910" s="9">
        <v>9.35E-2</v>
      </c>
      <c r="H910" s="15">
        <f t="shared" si="28"/>
        <v>6420</v>
      </c>
    </row>
    <row r="911" spans="1:8" x14ac:dyDescent="0.25">
      <c r="A911" s="13">
        <v>44707</v>
      </c>
      <c r="B911" s="15" t="s">
        <v>21</v>
      </c>
      <c r="C911" s="3">
        <v>4</v>
      </c>
      <c r="D911" s="13">
        <f t="shared" si="26"/>
        <v>44711</v>
      </c>
      <c r="E911" s="15">
        <v>1000</v>
      </c>
      <c r="F911" s="9">
        <v>9.2499999999999999E-2</v>
      </c>
      <c r="G911" s="9">
        <v>9.2499999999999999E-2</v>
      </c>
      <c r="H911" s="15">
        <f t="shared" si="28"/>
        <v>5520</v>
      </c>
    </row>
    <row r="912" spans="1:8" x14ac:dyDescent="0.25">
      <c r="A912" s="13">
        <v>44707</v>
      </c>
      <c r="B912" s="15" t="s">
        <v>21</v>
      </c>
      <c r="C912" s="3">
        <v>6</v>
      </c>
      <c r="D912" s="13">
        <f t="shared" si="26"/>
        <v>44713</v>
      </c>
      <c r="E912" s="15">
        <v>600</v>
      </c>
      <c r="F912" s="9">
        <v>9.35E-2</v>
      </c>
      <c r="G912" s="9">
        <v>9.35E-2</v>
      </c>
      <c r="H912" s="15">
        <f t="shared" si="28"/>
        <v>5520</v>
      </c>
    </row>
    <row r="913" spans="1:8" x14ac:dyDescent="0.25">
      <c r="A913" s="13">
        <v>44708</v>
      </c>
      <c r="B913" s="15" t="s">
        <v>21</v>
      </c>
      <c r="C913" s="3">
        <v>3</v>
      </c>
      <c r="D913" s="13">
        <f t="shared" si="26"/>
        <v>44711</v>
      </c>
      <c r="E913" s="15">
        <v>-400</v>
      </c>
      <c r="F913" s="9">
        <v>9.4E-2</v>
      </c>
      <c r="G913" s="9">
        <v>9.4E-2</v>
      </c>
      <c r="H913" s="15">
        <f t="shared" si="28"/>
        <v>4920</v>
      </c>
    </row>
    <row r="914" spans="1:8" x14ac:dyDescent="0.25">
      <c r="A914" s="13">
        <v>44708</v>
      </c>
      <c r="B914" s="15" t="s">
        <v>21</v>
      </c>
      <c r="C914" s="3">
        <v>4</v>
      </c>
      <c r="D914" s="13">
        <f t="shared" si="26"/>
        <v>44712</v>
      </c>
      <c r="E914" s="15">
        <v>1000</v>
      </c>
      <c r="F914" s="9">
        <v>9.2499999999999999E-2</v>
      </c>
      <c r="G914" s="9">
        <v>9.2499999999999999E-2</v>
      </c>
      <c r="H914" s="15">
        <f t="shared" si="28"/>
        <v>4920</v>
      </c>
    </row>
    <row r="915" spans="1:8" x14ac:dyDescent="0.25">
      <c r="A915" s="13">
        <v>44708</v>
      </c>
      <c r="B915" s="15" t="s">
        <v>21</v>
      </c>
      <c r="C915" s="3">
        <v>5</v>
      </c>
      <c r="D915" s="13">
        <f t="shared" si="26"/>
        <v>44713</v>
      </c>
      <c r="E915" s="15">
        <v>200</v>
      </c>
      <c r="F915" s="9">
        <v>9.2999999999999999E-2</v>
      </c>
      <c r="G915" s="9">
        <v>9.2999999999999999E-2</v>
      </c>
      <c r="H915" s="15">
        <f t="shared" si="28"/>
        <v>4920</v>
      </c>
    </row>
    <row r="916" spans="1:8" x14ac:dyDescent="0.25">
      <c r="A916" s="13">
        <v>44711</v>
      </c>
      <c r="B916" s="15" t="s">
        <v>21</v>
      </c>
      <c r="C916" s="3">
        <v>1</v>
      </c>
      <c r="D916" s="13">
        <f t="shared" si="26"/>
        <v>44712</v>
      </c>
      <c r="E916" s="15">
        <v>-1260</v>
      </c>
      <c r="F916" s="9">
        <v>9.4E-2</v>
      </c>
      <c r="G916" s="9">
        <v>9.4E-2</v>
      </c>
      <c r="H916" s="15">
        <f t="shared" si="28"/>
        <v>3040</v>
      </c>
    </row>
    <row r="917" spans="1:8" x14ac:dyDescent="0.25">
      <c r="A917" s="13">
        <v>44711</v>
      </c>
      <c r="B917" s="15" t="s">
        <v>21</v>
      </c>
      <c r="C917" s="3">
        <v>2</v>
      </c>
      <c r="D917" s="13">
        <f t="shared" si="26"/>
        <v>44713</v>
      </c>
      <c r="E917" s="15">
        <v>400</v>
      </c>
      <c r="F917" s="9">
        <v>9.2499999999999999E-2</v>
      </c>
      <c r="G917" s="9">
        <v>9.2499999999999999E-2</v>
      </c>
      <c r="H917" s="15">
        <f t="shared" si="28"/>
        <v>3040</v>
      </c>
    </row>
    <row r="918" spans="1:8" x14ac:dyDescent="0.25">
      <c r="A918" s="13">
        <v>44711</v>
      </c>
      <c r="B918" s="15" t="s">
        <v>21</v>
      </c>
      <c r="C918" s="3">
        <v>2</v>
      </c>
      <c r="D918" s="13">
        <f t="shared" ref="D918:D976" si="29">+A918+C918</f>
        <v>44713</v>
      </c>
      <c r="E918" s="15">
        <v>-400</v>
      </c>
      <c r="F918" s="9">
        <v>9.4500000000000001E-2</v>
      </c>
      <c r="G918" s="9">
        <v>9.4500000000000001E-2</v>
      </c>
      <c r="H918" s="15">
        <f t="shared" si="28"/>
        <v>3040</v>
      </c>
    </row>
    <row r="919" spans="1:8" x14ac:dyDescent="0.25">
      <c r="A919" s="13">
        <v>44712</v>
      </c>
      <c r="B919" s="15" t="s">
        <v>21</v>
      </c>
      <c r="C919" s="3">
        <v>3</v>
      </c>
      <c r="D919" s="13">
        <f t="shared" si="29"/>
        <v>44715</v>
      </c>
      <c r="E919" s="15">
        <v>300</v>
      </c>
      <c r="F919" s="9">
        <v>9.2999999999999999E-2</v>
      </c>
      <c r="G919" s="9">
        <v>9.2999999999999999E-2</v>
      </c>
      <c r="H919" s="15">
        <f t="shared" si="28"/>
        <v>3000</v>
      </c>
    </row>
    <row r="920" spans="1:8" x14ac:dyDescent="0.25">
      <c r="A920" s="13">
        <v>44714</v>
      </c>
      <c r="B920" s="15" t="s">
        <v>21</v>
      </c>
      <c r="C920" s="3">
        <v>4</v>
      </c>
      <c r="D920" s="13">
        <f t="shared" si="29"/>
        <v>44718</v>
      </c>
      <c r="E920" s="15">
        <v>200</v>
      </c>
      <c r="F920" s="9">
        <v>9.2499999999999999E-2</v>
      </c>
      <c r="G920" s="9">
        <v>9.2499999999999999E-2</v>
      </c>
      <c r="H920" s="15">
        <f t="shared" si="28"/>
        <v>500</v>
      </c>
    </row>
    <row r="921" spans="1:8" x14ac:dyDescent="0.25">
      <c r="A921" s="13">
        <v>44715</v>
      </c>
      <c r="B921" s="15" t="s">
        <v>21</v>
      </c>
      <c r="C921" s="3">
        <v>4</v>
      </c>
      <c r="D921" s="13">
        <f t="shared" si="29"/>
        <v>44719</v>
      </c>
      <c r="E921" s="15">
        <v>800</v>
      </c>
      <c r="F921" s="9">
        <v>9.2499999999999999E-2</v>
      </c>
      <c r="G921" s="9">
        <v>9.2499999999999999E-2</v>
      </c>
      <c r="H921" s="15">
        <f t="shared" si="28"/>
        <v>1000</v>
      </c>
    </row>
    <row r="922" spans="1:8" x14ac:dyDescent="0.25">
      <c r="A922" s="13">
        <v>44719</v>
      </c>
      <c r="B922" s="15" t="s">
        <v>21</v>
      </c>
      <c r="C922" s="3">
        <v>2</v>
      </c>
      <c r="D922" s="13">
        <f t="shared" si="29"/>
        <v>44721</v>
      </c>
      <c r="E922" s="15">
        <v>-800</v>
      </c>
      <c r="F922" s="9">
        <v>9.4E-2</v>
      </c>
      <c r="G922" s="9">
        <v>9.4E-2</v>
      </c>
      <c r="H922" s="15">
        <f t="shared" si="28"/>
        <v>-2600</v>
      </c>
    </row>
    <row r="923" spans="1:8" x14ac:dyDescent="0.25">
      <c r="A923" s="13">
        <v>44719</v>
      </c>
      <c r="B923" s="15" t="s">
        <v>21</v>
      </c>
      <c r="C923" s="3">
        <v>7</v>
      </c>
      <c r="D923" s="13">
        <f t="shared" si="29"/>
        <v>44726</v>
      </c>
      <c r="E923" s="15">
        <v>-1800</v>
      </c>
      <c r="F923" s="9">
        <v>9.5000000000000001E-2</v>
      </c>
      <c r="G923" s="9">
        <v>9.5000000000000001E-2</v>
      </c>
      <c r="H923" s="15">
        <f t="shared" si="28"/>
        <v>-2600</v>
      </c>
    </row>
    <row r="924" spans="1:8" x14ac:dyDescent="0.25">
      <c r="A924" s="13">
        <v>44721</v>
      </c>
      <c r="B924" s="15" t="s">
        <v>21</v>
      </c>
      <c r="C924" s="3">
        <v>1</v>
      </c>
      <c r="D924" s="13">
        <f t="shared" si="29"/>
        <v>44722</v>
      </c>
      <c r="E924" s="15">
        <v>-200</v>
      </c>
      <c r="F924" s="9">
        <v>9.2999999999999999E-2</v>
      </c>
      <c r="G924" s="9">
        <v>9.2999999999999999E-2</v>
      </c>
      <c r="H924" s="15">
        <f t="shared" si="28"/>
        <v>-1400</v>
      </c>
    </row>
    <row r="925" spans="1:8" x14ac:dyDescent="0.25">
      <c r="A925" s="13">
        <v>44721</v>
      </c>
      <c r="B925" s="15" t="s">
        <v>21</v>
      </c>
      <c r="C925" s="3">
        <v>4</v>
      </c>
      <c r="D925" s="13">
        <f t="shared" si="29"/>
        <v>44725</v>
      </c>
      <c r="E925" s="15">
        <f>1000-600</f>
        <v>400</v>
      </c>
      <c r="F925" s="9">
        <v>9.2499999999999999E-2</v>
      </c>
      <c r="G925" s="9">
        <v>9.35E-2</v>
      </c>
      <c r="H925" s="15">
        <f t="shared" si="28"/>
        <v>-1400</v>
      </c>
    </row>
    <row r="926" spans="1:8" x14ac:dyDescent="0.25">
      <c r="A926" s="13">
        <v>44721</v>
      </c>
      <c r="B926" s="15" t="s">
        <v>21</v>
      </c>
      <c r="C926" s="3">
        <v>5</v>
      </c>
      <c r="D926" s="13">
        <f t="shared" si="29"/>
        <v>44726</v>
      </c>
      <c r="E926" s="15">
        <v>200</v>
      </c>
      <c r="F926" s="9">
        <v>9.2499999999999999E-2</v>
      </c>
      <c r="G926" s="9">
        <v>9.2499999999999999E-2</v>
      </c>
      <c r="H926" s="15">
        <f t="shared" si="28"/>
        <v>-1400</v>
      </c>
    </row>
    <row r="927" spans="1:8" x14ac:dyDescent="0.25">
      <c r="A927" s="13">
        <v>44722</v>
      </c>
      <c r="B927" s="15" t="s">
        <v>21</v>
      </c>
      <c r="C927" s="3">
        <v>3</v>
      </c>
      <c r="D927" s="13">
        <f t="shared" si="29"/>
        <v>44725</v>
      </c>
      <c r="E927" s="15">
        <v>200</v>
      </c>
      <c r="F927" s="9">
        <v>9.2499999999999999E-2</v>
      </c>
      <c r="G927" s="9">
        <v>9.2499999999999999E-2</v>
      </c>
      <c r="H927" s="15">
        <f t="shared" si="28"/>
        <v>2500</v>
      </c>
    </row>
    <row r="928" spans="1:8" x14ac:dyDescent="0.25">
      <c r="A928" s="13">
        <v>44722</v>
      </c>
      <c r="B928" s="15" t="s">
        <v>21</v>
      </c>
      <c r="C928" s="3">
        <v>4</v>
      </c>
      <c r="D928" s="13">
        <f t="shared" si="29"/>
        <v>44726</v>
      </c>
      <c r="E928" s="15">
        <v>2600</v>
      </c>
      <c r="F928" s="9">
        <v>9.2499999999999999E-2</v>
      </c>
      <c r="G928" s="9">
        <v>9.2499999999999999E-2</v>
      </c>
      <c r="H928" s="15">
        <f t="shared" si="28"/>
        <v>2500</v>
      </c>
    </row>
    <row r="929" spans="1:8" x14ac:dyDescent="0.25">
      <c r="A929" s="13">
        <v>44722</v>
      </c>
      <c r="B929" s="15" t="s">
        <v>21</v>
      </c>
      <c r="C929" s="3">
        <v>6</v>
      </c>
      <c r="D929" s="13">
        <f t="shared" si="29"/>
        <v>44728</v>
      </c>
      <c r="E929" s="15">
        <v>900</v>
      </c>
      <c r="F929" s="9">
        <v>9.2999999999999999E-2</v>
      </c>
      <c r="G929" s="9">
        <v>9.2999999999999999E-2</v>
      </c>
      <c r="H929" s="15">
        <f t="shared" si="28"/>
        <v>2500</v>
      </c>
    </row>
    <row r="930" spans="1:8" x14ac:dyDescent="0.25">
      <c r="A930" s="13">
        <v>44725</v>
      </c>
      <c r="B930" s="15" t="s">
        <v>21</v>
      </c>
      <c r="C930" s="3">
        <v>2</v>
      </c>
      <c r="D930" s="13">
        <f t="shared" si="29"/>
        <v>44727</v>
      </c>
      <c r="E930" s="15">
        <v>1100</v>
      </c>
      <c r="F930" s="9">
        <v>9.2499999999999999E-2</v>
      </c>
      <c r="G930" s="9">
        <v>9.2499999999999999E-2</v>
      </c>
      <c r="H930" s="15">
        <f t="shared" si="28"/>
        <v>11200</v>
      </c>
    </row>
    <row r="931" spans="1:8" x14ac:dyDescent="0.25">
      <c r="A931" s="13">
        <v>44725</v>
      </c>
      <c r="B931" s="15" t="s">
        <v>21</v>
      </c>
      <c r="C931" s="3">
        <v>4</v>
      </c>
      <c r="D931" s="13">
        <f t="shared" si="29"/>
        <v>44729</v>
      </c>
      <c r="E931" s="15">
        <v>400</v>
      </c>
      <c r="F931" s="9">
        <v>9.2499999999999999E-2</v>
      </c>
      <c r="G931" s="9">
        <v>9.2499999999999999E-2</v>
      </c>
      <c r="H931" s="15">
        <f t="shared" si="28"/>
        <v>11200</v>
      </c>
    </row>
    <row r="932" spans="1:8" x14ac:dyDescent="0.25">
      <c r="A932" s="13">
        <v>44725</v>
      </c>
      <c r="B932" s="15" t="s">
        <v>21</v>
      </c>
      <c r="C932" s="3">
        <v>7</v>
      </c>
      <c r="D932" s="13">
        <f t="shared" si="29"/>
        <v>44732</v>
      </c>
      <c r="E932" s="15">
        <v>6400</v>
      </c>
      <c r="F932" s="9">
        <v>9.2999999999999999E-2</v>
      </c>
      <c r="G932" s="9">
        <v>9.2999999999999999E-2</v>
      </c>
      <c r="H932" s="15">
        <f t="shared" si="28"/>
        <v>11200</v>
      </c>
    </row>
    <row r="933" spans="1:8" x14ac:dyDescent="0.25">
      <c r="A933" s="13">
        <v>44725</v>
      </c>
      <c r="B933" s="15" t="s">
        <v>21</v>
      </c>
      <c r="C933" s="3">
        <v>8</v>
      </c>
      <c r="D933" s="13">
        <f t="shared" si="29"/>
        <v>44733</v>
      </c>
      <c r="E933" s="15">
        <v>1400</v>
      </c>
      <c r="F933" s="9">
        <v>9.2999999999999999E-2</v>
      </c>
      <c r="G933" s="9">
        <v>9.5000000000000001E-2</v>
      </c>
      <c r="H933" s="15">
        <f t="shared" si="28"/>
        <v>11200</v>
      </c>
    </row>
    <row r="934" spans="1:8" x14ac:dyDescent="0.25">
      <c r="A934" s="13">
        <v>44726</v>
      </c>
      <c r="B934" s="15" t="s">
        <v>21</v>
      </c>
      <c r="C934" s="3">
        <v>2</v>
      </c>
      <c r="D934" s="13">
        <f t="shared" si="29"/>
        <v>44728</v>
      </c>
      <c r="E934" s="15">
        <v>1000</v>
      </c>
      <c r="F934" s="9">
        <v>9.2499999999999999E-2</v>
      </c>
      <c r="G934" s="9">
        <v>9.2499999999999999E-2</v>
      </c>
      <c r="H934" s="15">
        <f t="shared" si="28"/>
        <v>14500</v>
      </c>
    </row>
    <row r="935" spans="1:8" x14ac:dyDescent="0.25">
      <c r="A935" s="13">
        <v>44726</v>
      </c>
      <c r="B935" s="15" t="s">
        <v>21</v>
      </c>
      <c r="C935" s="3">
        <v>3</v>
      </c>
      <c r="D935" s="13">
        <f t="shared" si="29"/>
        <v>44729</v>
      </c>
      <c r="E935" s="15">
        <v>800</v>
      </c>
      <c r="F935" s="9">
        <v>9.2499999999999999E-2</v>
      </c>
      <c r="G935" s="9">
        <v>9.2499999999999999E-2</v>
      </c>
      <c r="H935" s="15">
        <f t="shared" si="28"/>
        <v>14500</v>
      </c>
    </row>
    <row r="936" spans="1:8" x14ac:dyDescent="0.25">
      <c r="A936" s="13">
        <v>44726</v>
      </c>
      <c r="B936" s="15" t="s">
        <v>21</v>
      </c>
      <c r="C936" s="3">
        <v>6</v>
      </c>
      <c r="D936" s="13">
        <f t="shared" si="29"/>
        <v>44732</v>
      </c>
      <c r="E936" s="15">
        <v>700</v>
      </c>
      <c r="F936" s="9">
        <v>9.2999999999999999E-2</v>
      </c>
      <c r="G936" s="9">
        <v>9.2999999999999999E-2</v>
      </c>
      <c r="H936" s="15">
        <f t="shared" si="28"/>
        <v>14500</v>
      </c>
    </row>
    <row r="937" spans="1:8" x14ac:dyDescent="0.25">
      <c r="A937" s="13">
        <v>44726</v>
      </c>
      <c r="B937" s="15" t="s">
        <v>21</v>
      </c>
      <c r="C937" s="3">
        <v>7</v>
      </c>
      <c r="D937" s="13">
        <f t="shared" si="29"/>
        <v>44733</v>
      </c>
      <c r="E937" s="15">
        <v>1800</v>
      </c>
      <c r="F937" s="9">
        <v>9.2999999999999999E-2</v>
      </c>
      <c r="G937" s="9">
        <v>9.2999999999999999E-2</v>
      </c>
      <c r="H937" s="15">
        <f t="shared" si="28"/>
        <v>14500</v>
      </c>
    </row>
    <row r="938" spans="1:8" x14ac:dyDescent="0.25">
      <c r="A938" s="13">
        <v>44727</v>
      </c>
      <c r="B938" s="15" t="s">
        <v>21</v>
      </c>
      <c r="C938" s="3">
        <v>1</v>
      </c>
      <c r="D938" s="13">
        <f t="shared" si="29"/>
        <v>44728</v>
      </c>
      <c r="E938" s="15">
        <v>400</v>
      </c>
      <c r="F938" s="9">
        <v>9.2499999999999999E-2</v>
      </c>
      <c r="G938" s="9">
        <v>9.2499999999999999E-2</v>
      </c>
      <c r="H938" s="15">
        <f t="shared" si="28"/>
        <v>18800</v>
      </c>
    </row>
    <row r="939" spans="1:8" x14ac:dyDescent="0.25">
      <c r="A939" s="13">
        <v>44727</v>
      </c>
      <c r="B939" s="15" t="s">
        <v>21</v>
      </c>
      <c r="C939" s="3">
        <v>2</v>
      </c>
      <c r="D939" s="13">
        <f t="shared" si="29"/>
        <v>44729</v>
      </c>
      <c r="E939" s="15">
        <v>1900</v>
      </c>
      <c r="F939" s="9">
        <v>9.2499999999999999E-2</v>
      </c>
      <c r="G939" s="9">
        <v>9.2499999999999999E-2</v>
      </c>
      <c r="H939" s="15">
        <f t="shared" si="28"/>
        <v>18800</v>
      </c>
    </row>
    <row r="940" spans="1:8" x14ac:dyDescent="0.25">
      <c r="A940" s="13">
        <v>44727</v>
      </c>
      <c r="B940" s="15" t="s">
        <v>21</v>
      </c>
      <c r="C940" s="3">
        <v>5</v>
      </c>
      <c r="D940" s="13">
        <f t="shared" si="29"/>
        <v>44732</v>
      </c>
      <c r="E940" s="15">
        <v>700</v>
      </c>
      <c r="F940" s="9">
        <v>9.2499999999999999E-2</v>
      </c>
      <c r="G940" s="9">
        <v>9.2499999999999999E-2</v>
      </c>
      <c r="H940" s="15">
        <f t="shared" si="28"/>
        <v>18800</v>
      </c>
    </row>
    <row r="941" spans="1:8" x14ac:dyDescent="0.25">
      <c r="A941" s="13">
        <v>44727</v>
      </c>
      <c r="B941" s="15" t="s">
        <v>21</v>
      </c>
      <c r="C941" s="3">
        <v>7</v>
      </c>
      <c r="D941" s="13">
        <f t="shared" si="29"/>
        <v>44734</v>
      </c>
      <c r="E941" s="15">
        <v>2400</v>
      </c>
      <c r="F941" s="9">
        <v>9.2999999999999999E-2</v>
      </c>
      <c r="G941" s="9">
        <v>9.2999999999999999E-2</v>
      </c>
      <c r="H941" s="15">
        <f t="shared" si="28"/>
        <v>18800</v>
      </c>
    </row>
    <row r="942" spans="1:8" x14ac:dyDescent="0.25">
      <c r="A942" s="13">
        <v>44728</v>
      </c>
      <c r="B942" s="15" t="s">
        <v>21</v>
      </c>
      <c r="C942" s="3">
        <v>6</v>
      </c>
      <c r="D942" s="13">
        <f t="shared" si="29"/>
        <v>44734</v>
      </c>
      <c r="E942" s="15">
        <v>400</v>
      </c>
      <c r="F942" s="9">
        <v>9.2999999999999999E-2</v>
      </c>
      <c r="G942" s="9">
        <v>9.2999999999999999E-2</v>
      </c>
      <c r="H942" s="15">
        <f t="shared" si="28"/>
        <v>19600</v>
      </c>
    </row>
    <row r="943" spans="1:8" x14ac:dyDescent="0.25">
      <c r="A943" s="13">
        <v>44728</v>
      </c>
      <c r="B943" s="15" t="s">
        <v>21</v>
      </c>
      <c r="C943" s="3">
        <v>7</v>
      </c>
      <c r="D943" s="13">
        <f t="shared" si="29"/>
        <v>44735</v>
      </c>
      <c r="E943" s="15">
        <v>2700</v>
      </c>
      <c r="F943" s="9">
        <v>9.2999999999999999E-2</v>
      </c>
      <c r="G943" s="9">
        <v>9.2999999999999999E-2</v>
      </c>
      <c r="H943" s="15">
        <f t="shared" si="28"/>
        <v>19600</v>
      </c>
    </row>
    <row r="944" spans="1:8" x14ac:dyDescent="0.25">
      <c r="A944" s="13">
        <v>44729</v>
      </c>
      <c r="B944" s="15" t="s">
        <v>21</v>
      </c>
      <c r="C944" s="3">
        <v>3</v>
      </c>
      <c r="D944" s="13">
        <f t="shared" si="29"/>
        <v>44732</v>
      </c>
      <c r="E944" s="15">
        <v>200</v>
      </c>
      <c r="F944" s="9">
        <v>9.0999999999999998E-2</v>
      </c>
      <c r="G944" s="9">
        <v>9.0999999999999998E-2</v>
      </c>
      <c r="H944" s="15">
        <f t="shared" si="28"/>
        <v>18400</v>
      </c>
    </row>
    <row r="945" spans="1:8" x14ac:dyDescent="0.25">
      <c r="A945" s="13">
        <v>44729</v>
      </c>
      <c r="B945" s="15" t="s">
        <v>21</v>
      </c>
      <c r="C945" s="3">
        <v>5</v>
      </c>
      <c r="D945" s="13">
        <f t="shared" si="29"/>
        <v>44734</v>
      </c>
      <c r="E945" s="15">
        <v>400</v>
      </c>
      <c r="F945" s="9">
        <v>9.2499999999999999E-2</v>
      </c>
      <c r="G945" s="9">
        <v>9.2499999999999999E-2</v>
      </c>
      <c r="H945" s="15">
        <f t="shared" si="28"/>
        <v>18400</v>
      </c>
    </row>
    <row r="946" spans="1:8" x14ac:dyDescent="0.25">
      <c r="A946" s="13">
        <v>44729</v>
      </c>
      <c r="B946" s="15" t="s">
        <v>21</v>
      </c>
      <c r="C946" s="3">
        <v>7</v>
      </c>
      <c r="D946" s="13">
        <f t="shared" si="29"/>
        <v>44736</v>
      </c>
      <c r="E946" s="15">
        <v>900</v>
      </c>
      <c r="F946" s="9">
        <v>9.2999999999999999E-2</v>
      </c>
      <c r="G946" s="9">
        <v>9.2999999999999999E-2</v>
      </c>
      <c r="H946" s="15">
        <f t="shared" si="28"/>
        <v>18400</v>
      </c>
    </row>
    <row r="947" spans="1:8" x14ac:dyDescent="0.25">
      <c r="A947" s="13">
        <v>44729</v>
      </c>
      <c r="B947" s="15" t="s">
        <v>21</v>
      </c>
      <c r="C947" s="3">
        <v>11</v>
      </c>
      <c r="D947" s="13">
        <f t="shared" si="29"/>
        <v>44740</v>
      </c>
      <c r="E947" s="15">
        <v>400</v>
      </c>
      <c r="F947" s="9">
        <v>9.35E-2</v>
      </c>
      <c r="G947" s="9">
        <v>9.35E-2</v>
      </c>
      <c r="H947" s="15">
        <f t="shared" si="28"/>
        <v>18400</v>
      </c>
    </row>
    <row r="948" spans="1:8" x14ac:dyDescent="0.25">
      <c r="A948" s="13">
        <v>44732</v>
      </c>
      <c r="B948" s="15" t="s">
        <v>21</v>
      </c>
      <c r="C948" s="3">
        <v>2</v>
      </c>
      <c r="D948" s="13">
        <f t="shared" si="29"/>
        <v>44734</v>
      </c>
      <c r="E948" s="15">
        <v>900</v>
      </c>
      <c r="F948" s="9">
        <v>9.2499999999999999E-2</v>
      </c>
      <c r="G948" s="9">
        <v>9.2499999999999999E-2</v>
      </c>
      <c r="H948" s="15">
        <f t="shared" si="28"/>
        <v>13500</v>
      </c>
    </row>
    <row r="949" spans="1:8" x14ac:dyDescent="0.25">
      <c r="A949" s="13">
        <v>44732</v>
      </c>
      <c r="B949" s="15" t="s">
        <v>21</v>
      </c>
      <c r="C949" s="3">
        <v>3</v>
      </c>
      <c r="D949" s="13">
        <f t="shared" si="29"/>
        <v>44735</v>
      </c>
      <c r="E949" s="15">
        <v>1200</v>
      </c>
      <c r="F949" s="9">
        <v>9.2499999999999999E-2</v>
      </c>
      <c r="G949" s="9">
        <v>9.2499999999999999E-2</v>
      </c>
      <c r="H949" s="15">
        <f t="shared" si="28"/>
        <v>13500</v>
      </c>
    </row>
    <row r="950" spans="1:8" x14ac:dyDescent="0.25">
      <c r="A950" s="13">
        <v>44732</v>
      </c>
      <c r="B950" s="15" t="s">
        <v>21</v>
      </c>
      <c r="C950" s="3">
        <v>7</v>
      </c>
      <c r="D950" s="13">
        <f t="shared" si="29"/>
        <v>44739</v>
      </c>
      <c r="E950" s="15">
        <v>1000</v>
      </c>
      <c r="F950" s="9">
        <v>9.2999999999999999E-2</v>
      </c>
      <c r="G950" s="9">
        <v>9.2999999999999999E-2</v>
      </c>
      <c r="H950" s="15">
        <f t="shared" si="28"/>
        <v>13500</v>
      </c>
    </row>
    <row r="951" spans="1:8" x14ac:dyDescent="0.25">
      <c r="A951" s="13">
        <v>44733</v>
      </c>
      <c r="B951" s="15" t="s">
        <v>21</v>
      </c>
      <c r="C951" s="3">
        <v>1</v>
      </c>
      <c r="D951" s="13">
        <f t="shared" si="29"/>
        <v>44734</v>
      </c>
      <c r="E951" s="15">
        <v>200</v>
      </c>
      <c r="F951" s="9">
        <v>9.0999999999999998E-2</v>
      </c>
      <c r="G951" s="9">
        <v>9.0999999999999998E-2</v>
      </c>
      <c r="H951" s="15">
        <f t="shared" si="28"/>
        <v>14100</v>
      </c>
    </row>
    <row r="952" spans="1:8" x14ac:dyDescent="0.25">
      <c r="A952" s="13">
        <v>44733</v>
      </c>
      <c r="B952" s="15" t="s">
        <v>21</v>
      </c>
      <c r="C952" s="3">
        <v>2</v>
      </c>
      <c r="D952" s="13">
        <f t="shared" si="29"/>
        <v>44735</v>
      </c>
      <c r="E952" s="15">
        <v>2000</v>
      </c>
      <c r="F952" s="9">
        <v>9.2499999999999999E-2</v>
      </c>
      <c r="G952" s="9">
        <v>9.2499999999999999E-2</v>
      </c>
      <c r="H952" s="15">
        <f t="shared" si="28"/>
        <v>14100</v>
      </c>
    </row>
    <row r="953" spans="1:8" x14ac:dyDescent="0.25">
      <c r="A953" s="13">
        <v>44733</v>
      </c>
      <c r="B953" s="15" t="s">
        <v>21</v>
      </c>
      <c r="C953" s="3">
        <v>3</v>
      </c>
      <c r="D953" s="13">
        <f t="shared" si="29"/>
        <v>44736</v>
      </c>
      <c r="E953" s="15">
        <v>600</v>
      </c>
      <c r="F953" s="9">
        <v>9.2499999999999999E-2</v>
      </c>
      <c r="G953" s="9">
        <v>9.2499999999999999E-2</v>
      </c>
      <c r="H953" s="15">
        <f t="shared" si="28"/>
        <v>14100</v>
      </c>
    </row>
    <row r="954" spans="1:8" x14ac:dyDescent="0.25">
      <c r="A954" s="13">
        <v>44733</v>
      </c>
      <c r="B954" s="15" t="s">
        <v>21</v>
      </c>
      <c r="C954" s="3">
        <v>7</v>
      </c>
      <c r="D954" s="13">
        <f t="shared" si="29"/>
        <v>44740</v>
      </c>
      <c r="E954" s="15">
        <v>1000</v>
      </c>
      <c r="F954" s="9">
        <v>9.2999999999999999E-2</v>
      </c>
      <c r="G954" s="9">
        <v>9.2999999999999999E-2</v>
      </c>
      <c r="H954" s="15">
        <f t="shared" si="28"/>
        <v>14100</v>
      </c>
    </row>
    <row r="955" spans="1:8" x14ac:dyDescent="0.25">
      <c r="A955" s="13">
        <v>44734</v>
      </c>
      <c r="B955" s="15" t="s">
        <v>21</v>
      </c>
      <c r="C955" s="3">
        <v>7</v>
      </c>
      <c r="D955" s="13">
        <f t="shared" si="29"/>
        <v>44741</v>
      </c>
      <c r="E955" s="15">
        <v>1000</v>
      </c>
      <c r="F955" s="9">
        <v>9.2999999999999999E-2</v>
      </c>
      <c r="G955" s="9">
        <v>9.2999999999999999E-2</v>
      </c>
      <c r="H955" s="15">
        <f t="shared" si="28"/>
        <v>10800</v>
      </c>
    </row>
    <row r="956" spans="1:8" x14ac:dyDescent="0.25">
      <c r="A956" s="13">
        <v>44735</v>
      </c>
      <c r="B956" s="15" t="s">
        <v>21</v>
      </c>
      <c r="C956" s="3">
        <v>1</v>
      </c>
      <c r="D956" s="13">
        <f t="shared" si="29"/>
        <v>44736</v>
      </c>
      <c r="E956" s="15">
        <v>3500</v>
      </c>
      <c r="F956" s="9">
        <v>9.1999999999999998E-2</v>
      </c>
      <c r="G956" s="9">
        <v>9.2499999999999999E-2</v>
      </c>
      <c r="H956" s="15">
        <f t="shared" si="28"/>
        <v>10600</v>
      </c>
    </row>
    <row r="957" spans="1:8" x14ac:dyDescent="0.25">
      <c r="A957" s="13">
        <v>44735</v>
      </c>
      <c r="B957" s="15" t="s">
        <v>21</v>
      </c>
      <c r="C957" s="3">
        <v>4</v>
      </c>
      <c r="D957" s="13">
        <f t="shared" si="29"/>
        <v>44739</v>
      </c>
      <c r="E957" s="15">
        <v>1400</v>
      </c>
      <c r="F957" s="9">
        <v>9.2499999999999999E-2</v>
      </c>
      <c r="G957" s="9">
        <v>9.2499999999999999E-2</v>
      </c>
      <c r="H957" s="15">
        <f t="shared" si="28"/>
        <v>10600</v>
      </c>
    </row>
    <row r="958" spans="1:8" x14ac:dyDescent="0.25">
      <c r="A958" s="13">
        <v>44735</v>
      </c>
      <c r="B958" s="15" t="s">
        <v>21</v>
      </c>
      <c r="C958" s="3">
        <v>5</v>
      </c>
      <c r="D958" s="13">
        <f t="shared" si="29"/>
        <v>44740</v>
      </c>
      <c r="E958" s="15">
        <v>400</v>
      </c>
      <c r="F958" s="9">
        <v>9.2499999999999999E-2</v>
      </c>
      <c r="G958" s="9">
        <v>9.2499999999999999E-2</v>
      </c>
      <c r="H958" s="15">
        <f t="shared" si="28"/>
        <v>10600</v>
      </c>
    </row>
    <row r="959" spans="1:8" x14ac:dyDescent="0.25">
      <c r="A959" s="13">
        <v>44735</v>
      </c>
      <c r="B959" s="15" t="s">
        <v>21</v>
      </c>
      <c r="C959" s="3">
        <v>7</v>
      </c>
      <c r="D959" s="13">
        <f t="shared" si="29"/>
        <v>44742</v>
      </c>
      <c r="E959" s="15">
        <v>400</v>
      </c>
      <c r="F959" s="9">
        <v>9.2999999999999999E-2</v>
      </c>
      <c r="G959" s="9">
        <v>9.2999999999999999E-2</v>
      </c>
      <c r="H959" s="15">
        <f t="shared" si="28"/>
        <v>10600</v>
      </c>
    </row>
    <row r="960" spans="1:8" x14ac:dyDescent="0.25">
      <c r="A960" s="13">
        <v>44736</v>
      </c>
      <c r="B960" s="15" t="s">
        <v>21</v>
      </c>
      <c r="C960" s="3">
        <v>3</v>
      </c>
      <c r="D960" s="13">
        <f t="shared" si="29"/>
        <v>44739</v>
      </c>
      <c r="E960" s="15">
        <v>1600</v>
      </c>
      <c r="F960" s="9">
        <v>9.2499999999999999E-2</v>
      </c>
      <c r="G960" s="9">
        <v>9.2499999999999999E-2</v>
      </c>
      <c r="H960" s="15">
        <f t="shared" si="28"/>
        <v>13000</v>
      </c>
    </row>
    <row r="961" spans="1:8" x14ac:dyDescent="0.25">
      <c r="A961" s="13">
        <v>44736</v>
      </c>
      <c r="B961" s="15" t="s">
        <v>21</v>
      </c>
      <c r="C961" s="3">
        <v>4</v>
      </c>
      <c r="D961" s="13">
        <f t="shared" si="29"/>
        <v>44740</v>
      </c>
      <c r="E961" s="15">
        <v>2600</v>
      </c>
      <c r="F961" s="9">
        <v>9.2499999999999999E-2</v>
      </c>
      <c r="G961" s="9">
        <v>9.2499999999999999E-2</v>
      </c>
      <c r="H961" s="15">
        <f t="shared" si="28"/>
        <v>13000</v>
      </c>
    </row>
    <row r="962" spans="1:8" x14ac:dyDescent="0.25">
      <c r="A962" s="13">
        <v>44736</v>
      </c>
      <c r="B962" s="15" t="s">
        <v>21</v>
      </c>
      <c r="C962" s="3">
        <v>5</v>
      </c>
      <c r="D962" s="13">
        <f t="shared" si="29"/>
        <v>44741</v>
      </c>
      <c r="E962" s="15">
        <v>400</v>
      </c>
      <c r="F962" s="9">
        <v>9.2499999999999999E-2</v>
      </c>
      <c r="G962" s="9">
        <v>9.2499999999999999E-2</v>
      </c>
      <c r="H962" s="15">
        <f t="shared" si="28"/>
        <v>13000</v>
      </c>
    </row>
    <row r="963" spans="1:8" x14ac:dyDescent="0.25">
      <c r="A963" s="13">
        <v>44736</v>
      </c>
      <c r="B963" s="15" t="s">
        <v>21</v>
      </c>
      <c r="C963" s="3">
        <v>7</v>
      </c>
      <c r="D963" s="13">
        <f t="shared" si="29"/>
        <v>44743</v>
      </c>
      <c r="E963" s="15">
        <v>2800</v>
      </c>
      <c r="F963" s="9">
        <v>9.2999999999999999E-2</v>
      </c>
      <c r="G963" s="9">
        <v>9.2999999999999999E-2</v>
      </c>
      <c r="H963" s="15">
        <f t="shared" si="28"/>
        <v>13000</v>
      </c>
    </row>
    <row r="964" spans="1:8" x14ac:dyDescent="0.25">
      <c r="A964" s="13">
        <v>44739</v>
      </c>
      <c r="B964" s="15" t="s">
        <v>21</v>
      </c>
      <c r="C964" s="3">
        <v>2</v>
      </c>
      <c r="D964" s="13">
        <f t="shared" si="29"/>
        <v>44741</v>
      </c>
      <c r="E964" s="15">
        <v>2000</v>
      </c>
      <c r="F964" s="9">
        <v>9.2499999999999999E-2</v>
      </c>
      <c r="G964" s="9">
        <v>9.2499999999999999E-2</v>
      </c>
      <c r="H964" s="15">
        <f t="shared" si="28"/>
        <v>14900</v>
      </c>
    </row>
    <row r="965" spans="1:8" x14ac:dyDescent="0.25">
      <c r="A965" s="13">
        <v>44739</v>
      </c>
      <c r="B965" s="15" t="s">
        <v>21</v>
      </c>
      <c r="C965" s="3">
        <v>3</v>
      </c>
      <c r="D965" s="13">
        <f t="shared" si="29"/>
        <v>44742</v>
      </c>
      <c r="E965" s="15">
        <v>900</v>
      </c>
      <c r="F965" s="9">
        <v>9.2499999999999999E-2</v>
      </c>
      <c r="G965" s="9">
        <v>9.2499999999999999E-2</v>
      </c>
      <c r="H965" s="15">
        <f t="shared" si="28"/>
        <v>14900</v>
      </c>
    </row>
    <row r="966" spans="1:8" x14ac:dyDescent="0.25">
      <c r="A966" s="13">
        <v>44739</v>
      </c>
      <c r="B966" s="15" t="s">
        <v>21</v>
      </c>
      <c r="C966" s="3">
        <v>4</v>
      </c>
      <c r="D966" s="13">
        <f t="shared" si="29"/>
        <v>44743</v>
      </c>
      <c r="E966" s="15">
        <v>3000</v>
      </c>
      <c r="F966" s="9">
        <v>9.2499999999999999E-2</v>
      </c>
      <c r="G966" s="9">
        <v>9.2499999999999999E-2</v>
      </c>
      <c r="H966" s="15">
        <f t="shared" si="28"/>
        <v>14900</v>
      </c>
    </row>
    <row r="967" spans="1:8" x14ac:dyDescent="0.25">
      <c r="A967" s="13">
        <v>44740</v>
      </c>
      <c r="B967" s="15" t="s">
        <v>21</v>
      </c>
      <c r="C967" s="3">
        <v>1</v>
      </c>
      <c r="D967" s="13">
        <f t="shared" si="29"/>
        <v>44741</v>
      </c>
      <c r="E967" s="15">
        <v>200</v>
      </c>
      <c r="F967" s="9">
        <v>9.1999999999999998E-2</v>
      </c>
      <c r="G967" s="9">
        <v>9.1999999999999998E-2</v>
      </c>
      <c r="H967" s="15">
        <f t="shared" si="28"/>
        <v>14300</v>
      </c>
    </row>
    <row r="968" spans="1:8" x14ac:dyDescent="0.25">
      <c r="A968" s="13">
        <v>44740</v>
      </c>
      <c r="B968" s="15" t="s">
        <v>21</v>
      </c>
      <c r="C968" s="3">
        <v>2</v>
      </c>
      <c r="D968" s="13">
        <f t="shared" si="29"/>
        <v>44742</v>
      </c>
      <c r="E968" s="15">
        <v>800</v>
      </c>
      <c r="F968" s="9">
        <v>9.2499999999999999E-2</v>
      </c>
      <c r="G968" s="9">
        <v>9.2499999999999999E-2</v>
      </c>
      <c r="H968" s="15">
        <f t="shared" si="28"/>
        <v>14300</v>
      </c>
    </row>
    <row r="969" spans="1:8" x14ac:dyDescent="0.25">
      <c r="A969" s="13">
        <v>44740</v>
      </c>
      <c r="B969" s="15" t="s">
        <v>21</v>
      </c>
      <c r="C969" s="3">
        <v>3</v>
      </c>
      <c r="D969" s="13">
        <f t="shared" si="29"/>
        <v>44743</v>
      </c>
      <c r="E969" s="15">
        <v>2800</v>
      </c>
      <c r="F969" s="9">
        <v>9.2499999999999999E-2</v>
      </c>
      <c r="G969" s="9">
        <v>9.2499999999999999E-2</v>
      </c>
      <c r="H969" s="15">
        <f t="shared" si="28"/>
        <v>14300</v>
      </c>
    </row>
    <row r="970" spans="1:8" x14ac:dyDescent="0.25">
      <c r="A970" s="13">
        <v>44741</v>
      </c>
      <c r="B970" s="15" t="s">
        <v>21</v>
      </c>
      <c r="C970" s="3">
        <v>2</v>
      </c>
      <c r="D970" s="13">
        <f t="shared" si="29"/>
        <v>44743</v>
      </c>
      <c r="E970" s="15">
        <v>2800</v>
      </c>
      <c r="F970" s="9">
        <v>9.2499999999999999E-2</v>
      </c>
      <c r="G970" s="9">
        <v>9.2499999999999999E-2</v>
      </c>
      <c r="H970" s="15">
        <f t="shared" ref="H970:H1033" si="30">+SUMIFS($E$10:$E$4503,$A$10:$A$4503,"&lt;="&amp;A970,$D$10:$D$4503,"&gt;"&amp;A970)</f>
        <v>13500</v>
      </c>
    </row>
    <row r="971" spans="1:8" x14ac:dyDescent="0.25">
      <c r="A971" s="13">
        <v>44742</v>
      </c>
      <c r="B971" s="15" t="s">
        <v>21</v>
      </c>
      <c r="C971" s="3">
        <v>1</v>
      </c>
      <c r="D971" s="13">
        <f t="shared" si="29"/>
        <v>44743</v>
      </c>
      <c r="E971" s="15">
        <v>1400</v>
      </c>
      <c r="F971" s="9">
        <v>0.09</v>
      </c>
      <c r="G971" s="9">
        <v>0.09</v>
      </c>
      <c r="H971" s="15">
        <f t="shared" si="30"/>
        <v>13200</v>
      </c>
    </row>
    <row r="972" spans="1:8" x14ac:dyDescent="0.25">
      <c r="A972" s="13">
        <v>44742</v>
      </c>
      <c r="B972" s="15" t="s">
        <v>21</v>
      </c>
      <c r="C972" s="3">
        <v>4</v>
      </c>
      <c r="D972" s="13">
        <f t="shared" si="29"/>
        <v>44746</v>
      </c>
      <c r="E972" s="15">
        <v>400</v>
      </c>
      <c r="F972" s="9">
        <v>9.0999999999999998E-2</v>
      </c>
      <c r="G972" s="9">
        <v>9.0999999999999998E-2</v>
      </c>
      <c r="H972" s="15">
        <f t="shared" si="30"/>
        <v>13200</v>
      </c>
    </row>
    <row r="973" spans="1:8" x14ac:dyDescent="0.25">
      <c r="A973" s="13">
        <v>44746</v>
      </c>
      <c r="B973" s="15" t="s">
        <v>21</v>
      </c>
      <c r="C973" s="3">
        <v>2</v>
      </c>
      <c r="D973" s="13">
        <f t="shared" si="29"/>
        <v>44748</v>
      </c>
      <c r="E973" s="15">
        <v>200</v>
      </c>
      <c r="F973" s="9">
        <v>9.2499999999999999E-2</v>
      </c>
      <c r="G973" s="9">
        <v>9.2499999999999999E-2</v>
      </c>
      <c r="H973" s="15">
        <f t="shared" si="30"/>
        <v>1900</v>
      </c>
    </row>
    <row r="974" spans="1:8" x14ac:dyDescent="0.25">
      <c r="A974" s="13">
        <v>44746</v>
      </c>
      <c r="B974" s="15" t="s">
        <v>21</v>
      </c>
      <c r="C974" s="3">
        <v>7</v>
      </c>
      <c r="D974" s="13">
        <f t="shared" si="29"/>
        <v>44753</v>
      </c>
      <c r="E974" s="15">
        <v>1700</v>
      </c>
      <c r="F974" s="9">
        <v>9.5500000000000002E-2</v>
      </c>
      <c r="G974" s="9">
        <v>9.5500000000000002E-2</v>
      </c>
      <c r="H974" s="15">
        <f t="shared" si="30"/>
        <v>1900</v>
      </c>
    </row>
    <row r="975" spans="1:8" x14ac:dyDescent="0.25">
      <c r="A975" s="13">
        <v>44747</v>
      </c>
      <c r="B975" s="15" t="s">
        <v>21</v>
      </c>
      <c r="C975" s="3">
        <v>2</v>
      </c>
      <c r="D975" s="13">
        <f t="shared" si="29"/>
        <v>44749</v>
      </c>
      <c r="E975" s="15">
        <v>300</v>
      </c>
      <c r="F975" s="9">
        <v>9.2499999999999999E-2</v>
      </c>
      <c r="G975" s="9">
        <v>9.2499999999999999E-2</v>
      </c>
      <c r="H975" s="15">
        <f t="shared" si="30"/>
        <v>2800</v>
      </c>
    </row>
    <row r="976" spans="1:8" x14ac:dyDescent="0.25">
      <c r="A976" s="13">
        <v>44747</v>
      </c>
      <c r="B976" s="15" t="s">
        <v>21</v>
      </c>
      <c r="C976" s="3">
        <v>7</v>
      </c>
      <c r="D976" s="13">
        <f t="shared" si="29"/>
        <v>44754</v>
      </c>
      <c r="E976" s="15">
        <v>600</v>
      </c>
      <c r="F976" s="9">
        <v>9.6000000000000002E-2</v>
      </c>
      <c r="G976" s="9">
        <v>9.6000000000000002E-2</v>
      </c>
      <c r="H976" s="15">
        <f t="shared" si="30"/>
        <v>2800</v>
      </c>
    </row>
    <row r="977" spans="1:8" x14ac:dyDescent="0.25">
      <c r="A977" s="13">
        <v>44749</v>
      </c>
      <c r="B977" s="15" t="s">
        <v>21</v>
      </c>
      <c r="C977" s="3">
        <v>1</v>
      </c>
      <c r="D977" s="13">
        <f t="shared" ref="D977:D1077" si="31">+A977+C977</f>
        <v>44750</v>
      </c>
      <c r="E977" s="15">
        <v>400</v>
      </c>
      <c r="F977" s="9">
        <v>9.7500000000000003E-2</v>
      </c>
      <c r="G977" s="9">
        <v>9.7500000000000003E-2</v>
      </c>
      <c r="H977" s="15">
        <f t="shared" si="30"/>
        <v>9900</v>
      </c>
    </row>
    <row r="978" spans="1:8" x14ac:dyDescent="0.25">
      <c r="A978" s="13">
        <v>44749</v>
      </c>
      <c r="B978" s="15" t="s">
        <v>21</v>
      </c>
      <c r="C978" s="3">
        <v>4</v>
      </c>
      <c r="D978" s="13">
        <f t="shared" si="31"/>
        <v>44753</v>
      </c>
      <c r="E978" s="15">
        <v>3600</v>
      </c>
      <c r="F978" s="9">
        <v>9.7500000000000003E-2</v>
      </c>
      <c r="G978" s="9">
        <v>9.7500000000000003E-2</v>
      </c>
      <c r="H978" s="15">
        <f t="shared" si="30"/>
        <v>9900</v>
      </c>
    </row>
    <row r="979" spans="1:8" x14ac:dyDescent="0.25">
      <c r="A979" s="13">
        <v>44749</v>
      </c>
      <c r="B979" s="15" t="s">
        <v>21</v>
      </c>
      <c r="C979" s="3">
        <v>7</v>
      </c>
      <c r="D979" s="13">
        <f t="shared" si="31"/>
        <v>44756</v>
      </c>
      <c r="E979" s="15">
        <v>1000</v>
      </c>
      <c r="F979" s="9">
        <v>9.8000000000000004E-2</v>
      </c>
      <c r="G979" s="9">
        <v>9.8000000000000004E-2</v>
      </c>
      <c r="H979" s="15">
        <f t="shared" si="30"/>
        <v>9900</v>
      </c>
    </row>
    <row r="980" spans="1:8" x14ac:dyDescent="0.25">
      <c r="A980" s="13">
        <v>44749</v>
      </c>
      <c r="B980" s="15" t="s">
        <v>21</v>
      </c>
      <c r="C980" s="3">
        <v>8</v>
      </c>
      <c r="D980" s="13">
        <f t="shared" si="31"/>
        <v>44757</v>
      </c>
      <c r="E980" s="15">
        <v>2600</v>
      </c>
      <c r="F980" s="9">
        <v>9.8000000000000004E-2</v>
      </c>
      <c r="G980" s="9">
        <v>9.8000000000000004E-2</v>
      </c>
      <c r="H980" s="15">
        <f t="shared" si="30"/>
        <v>9900</v>
      </c>
    </row>
    <row r="981" spans="1:8" x14ac:dyDescent="0.25">
      <c r="A981" s="13">
        <v>44750</v>
      </c>
      <c r="B981" s="15" t="s">
        <v>21</v>
      </c>
      <c r="C981" s="3">
        <v>3</v>
      </c>
      <c r="D981" s="13">
        <f t="shared" si="31"/>
        <v>44753</v>
      </c>
      <c r="E981" s="15">
        <v>300</v>
      </c>
      <c r="F981" s="9">
        <v>9.7500000000000003E-2</v>
      </c>
      <c r="G981" s="9">
        <v>9.7500000000000003E-2</v>
      </c>
      <c r="H981" s="15">
        <f t="shared" si="30"/>
        <v>17100</v>
      </c>
    </row>
    <row r="982" spans="1:8" x14ac:dyDescent="0.25">
      <c r="A982" s="13">
        <v>44750</v>
      </c>
      <c r="B982" s="15" t="s">
        <v>21</v>
      </c>
      <c r="C982" s="3">
        <v>4</v>
      </c>
      <c r="D982" s="13">
        <f t="shared" si="31"/>
        <v>44754</v>
      </c>
      <c r="E982" s="15">
        <v>3600</v>
      </c>
      <c r="F982" s="9">
        <v>9.7500000000000003E-2</v>
      </c>
      <c r="G982" s="9">
        <v>9.7500000000000003E-2</v>
      </c>
      <c r="H982" s="15">
        <f t="shared" si="30"/>
        <v>17100</v>
      </c>
    </row>
    <row r="983" spans="1:8" x14ac:dyDescent="0.25">
      <c r="A983" s="13">
        <v>44750</v>
      </c>
      <c r="B983" s="15" t="s">
        <v>21</v>
      </c>
      <c r="C983" s="3">
        <v>5</v>
      </c>
      <c r="D983" s="13">
        <f t="shared" si="31"/>
        <v>44755</v>
      </c>
      <c r="E983" s="15">
        <v>400</v>
      </c>
      <c r="F983" s="9">
        <v>9.7500000000000003E-2</v>
      </c>
      <c r="G983" s="9">
        <v>9.7500000000000003E-2</v>
      </c>
      <c r="H983" s="15">
        <f t="shared" si="30"/>
        <v>17100</v>
      </c>
    </row>
    <row r="984" spans="1:8" x14ac:dyDescent="0.25">
      <c r="A984" s="13">
        <v>44750</v>
      </c>
      <c r="B984" s="15" t="s">
        <v>21</v>
      </c>
      <c r="C984" s="3">
        <v>7</v>
      </c>
      <c r="D984" s="13">
        <f t="shared" si="31"/>
        <v>44757</v>
      </c>
      <c r="E984" s="15">
        <v>2900</v>
      </c>
      <c r="F984" s="9">
        <v>9.8000000000000004E-2</v>
      </c>
      <c r="G984" s="9">
        <v>9.8000000000000004E-2</v>
      </c>
      <c r="H984" s="15">
        <f t="shared" si="30"/>
        <v>17100</v>
      </c>
    </row>
    <row r="985" spans="1:8" x14ac:dyDescent="0.25">
      <c r="A985" s="13">
        <v>44750</v>
      </c>
      <c r="B985" s="15" t="s">
        <v>21</v>
      </c>
      <c r="C985" s="3">
        <v>11</v>
      </c>
      <c r="D985" s="13">
        <f t="shared" si="31"/>
        <v>44761</v>
      </c>
      <c r="E985" s="15">
        <v>400</v>
      </c>
      <c r="F985" s="9">
        <v>9.8500000000000004E-2</v>
      </c>
      <c r="G985" s="9">
        <v>9.8500000000000004E-2</v>
      </c>
      <c r="H985" s="15">
        <f t="shared" si="30"/>
        <v>17100</v>
      </c>
    </row>
    <row r="986" spans="1:8" x14ac:dyDescent="0.25">
      <c r="A986" s="13">
        <v>44753</v>
      </c>
      <c r="B986" s="15" t="s">
        <v>21</v>
      </c>
      <c r="C986" s="3">
        <v>2</v>
      </c>
      <c r="D986" s="13">
        <f t="shared" si="31"/>
        <v>44755</v>
      </c>
      <c r="E986" s="15">
        <v>2500</v>
      </c>
      <c r="F986" s="9">
        <v>9.7000000000000003E-2</v>
      </c>
      <c r="G986" s="9">
        <v>9.7500000000000003E-2</v>
      </c>
      <c r="H986" s="15">
        <f t="shared" si="30"/>
        <v>17000</v>
      </c>
    </row>
    <row r="987" spans="1:8" x14ac:dyDescent="0.25">
      <c r="A987" s="13">
        <v>44753</v>
      </c>
      <c r="B987" s="15" t="s">
        <v>21</v>
      </c>
      <c r="C987" s="3">
        <v>3</v>
      </c>
      <c r="D987" s="13">
        <f t="shared" si="31"/>
        <v>44756</v>
      </c>
      <c r="E987" s="15">
        <v>1800</v>
      </c>
      <c r="F987" s="9">
        <v>9.7500000000000003E-2</v>
      </c>
      <c r="G987" s="9">
        <v>9.7500000000000003E-2</v>
      </c>
      <c r="H987" s="15">
        <f t="shared" si="30"/>
        <v>17000</v>
      </c>
    </row>
    <row r="988" spans="1:8" x14ac:dyDescent="0.25">
      <c r="A988" s="13">
        <v>44753</v>
      </c>
      <c r="B988" s="15" t="s">
        <v>21</v>
      </c>
      <c r="C988" s="3">
        <v>8</v>
      </c>
      <c r="D988" s="13">
        <f t="shared" si="31"/>
        <v>44761</v>
      </c>
      <c r="E988" s="15">
        <v>1200</v>
      </c>
      <c r="F988" s="9">
        <v>9.8000000000000004E-2</v>
      </c>
      <c r="G988" s="9">
        <v>9.8000000000000004E-2</v>
      </c>
      <c r="H988" s="15">
        <f t="shared" si="30"/>
        <v>17000</v>
      </c>
    </row>
    <row r="989" spans="1:8" x14ac:dyDescent="0.25">
      <c r="A989" s="13">
        <v>44754</v>
      </c>
      <c r="B989" s="15" t="s">
        <v>21</v>
      </c>
      <c r="C989" s="3">
        <v>1</v>
      </c>
      <c r="D989" s="13">
        <f t="shared" si="31"/>
        <v>44755</v>
      </c>
      <c r="E989" s="15">
        <v>1100</v>
      </c>
      <c r="F989" s="9">
        <v>9.7000000000000003E-2</v>
      </c>
      <c r="G989" s="9">
        <v>9.7500000000000003E-2</v>
      </c>
      <c r="H989" s="15">
        <f t="shared" si="30"/>
        <v>17200</v>
      </c>
    </row>
    <row r="990" spans="1:8" x14ac:dyDescent="0.25">
      <c r="A990" s="13">
        <v>44754</v>
      </c>
      <c r="B990" s="15" t="s">
        <v>21</v>
      </c>
      <c r="C990" s="3">
        <v>2</v>
      </c>
      <c r="D990" s="13">
        <f t="shared" si="31"/>
        <v>44756</v>
      </c>
      <c r="E990" s="15">
        <v>1800</v>
      </c>
      <c r="F990" s="9">
        <v>9.7500000000000003E-2</v>
      </c>
      <c r="G990" s="9">
        <v>9.7500000000000003E-2</v>
      </c>
      <c r="H990" s="15">
        <f t="shared" si="30"/>
        <v>17200</v>
      </c>
    </row>
    <row r="991" spans="1:8" x14ac:dyDescent="0.25">
      <c r="A991" s="13">
        <v>44754</v>
      </c>
      <c r="B991" s="15" t="s">
        <v>21</v>
      </c>
      <c r="C991" s="3">
        <v>3</v>
      </c>
      <c r="D991" s="13">
        <f t="shared" si="31"/>
        <v>44757</v>
      </c>
      <c r="E991" s="15">
        <v>500</v>
      </c>
      <c r="F991" s="9">
        <v>9.7500000000000003E-2</v>
      </c>
      <c r="G991" s="9">
        <v>9.7500000000000003E-2</v>
      </c>
      <c r="H991" s="15">
        <f t="shared" si="30"/>
        <v>17200</v>
      </c>
    </row>
    <row r="992" spans="1:8" x14ac:dyDescent="0.25">
      <c r="A992" s="13">
        <v>44754</v>
      </c>
      <c r="B992" s="15" t="s">
        <v>21</v>
      </c>
      <c r="C992" s="3">
        <v>7</v>
      </c>
      <c r="D992" s="13">
        <f t="shared" si="31"/>
        <v>44761</v>
      </c>
      <c r="E992" s="15">
        <v>1000</v>
      </c>
      <c r="F992" s="9">
        <v>9.8000000000000004E-2</v>
      </c>
      <c r="G992" s="9">
        <v>9.8000000000000004E-2</v>
      </c>
      <c r="H992" s="15">
        <f t="shared" si="30"/>
        <v>17200</v>
      </c>
    </row>
    <row r="993" spans="1:8" x14ac:dyDescent="0.25">
      <c r="A993" s="13">
        <v>44755</v>
      </c>
      <c r="B993" s="15" t="s">
        <v>21</v>
      </c>
      <c r="C993" s="3">
        <v>6</v>
      </c>
      <c r="D993" s="13">
        <f t="shared" si="31"/>
        <v>44761</v>
      </c>
      <c r="E993" s="15">
        <v>1500</v>
      </c>
      <c r="F993" s="9">
        <v>9.7500000000000003E-2</v>
      </c>
      <c r="G993" s="9">
        <v>9.7500000000000003E-2</v>
      </c>
      <c r="H993" s="15">
        <f t="shared" si="30"/>
        <v>14900</v>
      </c>
    </row>
    <row r="994" spans="1:8" x14ac:dyDescent="0.25">
      <c r="A994" s="13">
        <v>44755</v>
      </c>
      <c r="B994" s="15" t="s">
        <v>21</v>
      </c>
      <c r="C994" s="3">
        <v>7</v>
      </c>
      <c r="D994" s="13">
        <f t="shared" si="31"/>
        <v>44762</v>
      </c>
      <c r="E994" s="15">
        <v>200</v>
      </c>
      <c r="F994" s="9">
        <v>9.7500000000000003E-2</v>
      </c>
      <c r="G994" s="9">
        <v>9.7500000000000003E-2</v>
      </c>
      <c r="H994" s="15">
        <f t="shared" si="30"/>
        <v>14900</v>
      </c>
    </row>
    <row r="995" spans="1:8" x14ac:dyDescent="0.25">
      <c r="A995" s="13">
        <v>44756</v>
      </c>
      <c r="B995" s="15" t="s">
        <v>21</v>
      </c>
      <c r="C995" s="3">
        <v>5</v>
      </c>
      <c r="D995" s="13">
        <f t="shared" si="31"/>
        <v>44761</v>
      </c>
      <c r="E995" s="15">
        <v>2600</v>
      </c>
      <c r="F995" s="9">
        <v>9.7500000000000003E-2</v>
      </c>
      <c r="G995" s="9">
        <v>9.7500000000000003E-2</v>
      </c>
      <c r="H995" s="15">
        <f t="shared" si="30"/>
        <v>14700</v>
      </c>
    </row>
    <row r="996" spans="1:8" x14ac:dyDescent="0.25">
      <c r="A996" s="13">
        <v>44756</v>
      </c>
      <c r="B996" s="15" t="s">
        <v>21</v>
      </c>
      <c r="C996" s="3">
        <v>6</v>
      </c>
      <c r="D996" s="13">
        <f t="shared" si="31"/>
        <v>44762</v>
      </c>
      <c r="E996" s="15">
        <v>200</v>
      </c>
      <c r="F996" s="9">
        <v>9.7500000000000003E-2</v>
      </c>
      <c r="G996" s="9">
        <v>9.7500000000000003E-2</v>
      </c>
      <c r="H996" s="15">
        <f t="shared" si="30"/>
        <v>14700</v>
      </c>
    </row>
    <row r="997" spans="1:8" x14ac:dyDescent="0.25">
      <c r="A997" s="13">
        <v>44756</v>
      </c>
      <c r="B997" s="15" t="s">
        <v>21</v>
      </c>
      <c r="C997" s="3">
        <v>7</v>
      </c>
      <c r="D997" s="13">
        <f t="shared" si="31"/>
        <v>44763</v>
      </c>
      <c r="E997" s="15">
        <v>1600</v>
      </c>
      <c r="F997" s="9">
        <v>9.8000000000000004E-2</v>
      </c>
      <c r="G997" s="9">
        <v>9.8000000000000004E-2</v>
      </c>
      <c r="H997" s="15">
        <f t="shared" si="30"/>
        <v>14700</v>
      </c>
    </row>
    <row r="998" spans="1:8" x14ac:dyDescent="0.25">
      <c r="A998" s="13">
        <v>44757</v>
      </c>
      <c r="B998" s="15" t="s">
        <v>21</v>
      </c>
      <c r="C998" s="3">
        <v>4</v>
      </c>
      <c r="D998" s="13">
        <f t="shared" si="31"/>
        <v>44761</v>
      </c>
      <c r="E998" s="15">
        <v>600</v>
      </c>
      <c r="F998" s="9">
        <v>9.7500000000000003E-2</v>
      </c>
      <c r="G998" s="9">
        <v>9.7500000000000003E-2</v>
      </c>
      <c r="H998" s="15">
        <f t="shared" si="30"/>
        <v>18800</v>
      </c>
    </row>
    <row r="999" spans="1:8" x14ac:dyDescent="0.25">
      <c r="A999" s="13">
        <v>44757</v>
      </c>
      <c r="B999" s="15" t="s">
        <v>21</v>
      </c>
      <c r="C999" s="3">
        <v>5</v>
      </c>
      <c r="D999" s="13">
        <f t="shared" si="31"/>
        <v>44762</v>
      </c>
      <c r="E999" s="15">
        <v>2700</v>
      </c>
      <c r="F999" s="9">
        <v>9.7000000000000003E-2</v>
      </c>
      <c r="G999" s="9">
        <v>9.7500000000000003E-2</v>
      </c>
      <c r="H999" s="15">
        <f t="shared" si="30"/>
        <v>18800</v>
      </c>
    </row>
    <row r="1000" spans="1:8" x14ac:dyDescent="0.25">
      <c r="A1000" s="13">
        <v>44757</v>
      </c>
      <c r="B1000" s="15" t="s">
        <v>21</v>
      </c>
      <c r="C1000" s="3">
        <v>6</v>
      </c>
      <c r="D1000" s="13">
        <f t="shared" si="31"/>
        <v>44763</v>
      </c>
      <c r="E1000" s="15">
        <v>2100</v>
      </c>
      <c r="F1000" s="9">
        <v>9.7500000000000003E-2</v>
      </c>
      <c r="G1000" s="9">
        <v>9.8000000000000004E-2</v>
      </c>
      <c r="H1000" s="15">
        <f t="shared" si="30"/>
        <v>18800</v>
      </c>
    </row>
    <row r="1001" spans="1:8" x14ac:dyDescent="0.25">
      <c r="A1001" s="13">
        <v>44757</v>
      </c>
      <c r="B1001" s="15" t="s">
        <v>21</v>
      </c>
      <c r="C1001" s="3">
        <v>7</v>
      </c>
      <c r="D1001" s="13">
        <f t="shared" si="31"/>
        <v>44764</v>
      </c>
      <c r="E1001" s="15">
        <v>4600</v>
      </c>
      <c r="F1001" s="9">
        <v>9.8000000000000004E-2</v>
      </c>
      <c r="G1001" s="9">
        <v>9.8000000000000004E-2</v>
      </c>
      <c r="H1001" s="15">
        <f t="shared" si="30"/>
        <v>18800</v>
      </c>
    </row>
    <row r="1002" spans="1:8" x14ac:dyDescent="0.25">
      <c r="A1002" s="13">
        <v>44757</v>
      </c>
      <c r="B1002" s="15" t="s">
        <v>21</v>
      </c>
      <c r="C1002" s="3">
        <v>14</v>
      </c>
      <c r="D1002" s="13">
        <f t="shared" si="31"/>
        <v>44771</v>
      </c>
      <c r="E1002" s="15">
        <v>100</v>
      </c>
      <c r="F1002" s="9">
        <v>9.8500000000000004E-2</v>
      </c>
      <c r="G1002" s="9">
        <v>9.8500000000000004E-2</v>
      </c>
      <c r="H1002" s="15">
        <f t="shared" si="30"/>
        <v>18800</v>
      </c>
    </row>
    <row r="1003" spans="1:8" x14ac:dyDescent="0.25">
      <c r="A1003" s="13">
        <v>44761</v>
      </c>
      <c r="B1003" s="15" t="s">
        <v>21</v>
      </c>
      <c r="C1003" s="3">
        <v>2</v>
      </c>
      <c r="D1003" s="13">
        <f t="shared" si="31"/>
        <v>44763</v>
      </c>
      <c r="E1003" s="15">
        <v>3600</v>
      </c>
      <c r="F1003" s="9">
        <v>9.7500000000000003E-2</v>
      </c>
      <c r="G1003" s="9">
        <v>9.7500000000000003E-2</v>
      </c>
      <c r="H1003" s="15">
        <f t="shared" si="30"/>
        <v>17200</v>
      </c>
    </row>
    <row r="1004" spans="1:8" x14ac:dyDescent="0.25">
      <c r="A1004" s="13">
        <v>44761</v>
      </c>
      <c r="B1004" s="15" t="s">
        <v>21</v>
      </c>
      <c r="C1004" s="3">
        <v>3</v>
      </c>
      <c r="D1004" s="13">
        <f t="shared" si="31"/>
        <v>44764</v>
      </c>
      <c r="E1004" s="15">
        <v>1200</v>
      </c>
      <c r="F1004" s="9">
        <v>9.7500000000000003E-2</v>
      </c>
      <c r="G1004" s="9">
        <v>9.7500000000000003E-2</v>
      </c>
      <c r="H1004" s="15">
        <f t="shared" si="30"/>
        <v>17200</v>
      </c>
    </row>
    <row r="1005" spans="1:8" x14ac:dyDescent="0.25">
      <c r="A1005" s="13">
        <v>44761</v>
      </c>
      <c r="B1005" s="15" t="s">
        <v>21</v>
      </c>
      <c r="C1005" s="3">
        <v>6</v>
      </c>
      <c r="D1005" s="13">
        <f t="shared" si="31"/>
        <v>44767</v>
      </c>
      <c r="E1005" s="15">
        <v>900</v>
      </c>
      <c r="F1005" s="9">
        <v>9.8000000000000004E-2</v>
      </c>
      <c r="G1005" s="9">
        <v>9.8000000000000004E-2</v>
      </c>
      <c r="H1005" s="15">
        <f t="shared" si="30"/>
        <v>17200</v>
      </c>
    </row>
    <row r="1006" spans="1:8" x14ac:dyDescent="0.25">
      <c r="A1006" s="13">
        <v>44762</v>
      </c>
      <c r="B1006" s="15" t="s">
        <v>21</v>
      </c>
      <c r="C1006" s="3">
        <v>2</v>
      </c>
      <c r="D1006" s="13">
        <f t="shared" si="31"/>
        <v>44764</v>
      </c>
      <c r="E1006" s="15">
        <v>200</v>
      </c>
      <c r="F1006" s="9">
        <v>9.7500000000000003E-2</v>
      </c>
      <c r="G1006" s="9">
        <v>9.7500000000000003E-2</v>
      </c>
      <c r="H1006" s="15">
        <f t="shared" si="30"/>
        <v>17250</v>
      </c>
    </row>
    <row r="1007" spans="1:8" x14ac:dyDescent="0.25">
      <c r="A1007" s="13">
        <v>44762</v>
      </c>
      <c r="B1007" s="15" t="s">
        <v>21</v>
      </c>
      <c r="C1007" s="3">
        <v>5</v>
      </c>
      <c r="D1007" s="13">
        <f t="shared" si="31"/>
        <v>44767</v>
      </c>
      <c r="E1007" s="15">
        <v>1000</v>
      </c>
      <c r="F1007" s="9">
        <v>9.7500000000000003E-2</v>
      </c>
      <c r="G1007" s="9">
        <v>9.7500000000000003E-2</v>
      </c>
      <c r="H1007" s="15">
        <f t="shared" si="30"/>
        <v>17250</v>
      </c>
    </row>
    <row r="1008" spans="1:8" x14ac:dyDescent="0.25">
      <c r="A1008" s="13">
        <v>44762</v>
      </c>
      <c r="B1008" s="15" t="s">
        <v>21</v>
      </c>
      <c r="C1008" s="3">
        <v>7</v>
      </c>
      <c r="D1008" s="13">
        <f t="shared" si="31"/>
        <v>44769</v>
      </c>
      <c r="E1008" s="15">
        <v>1950</v>
      </c>
      <c r="F1008" s="9">
        <v>9.8000000000000004E-2</v>
      </c>
      <c r="G1008" s="9">
        <v>9.8000000000000004E-2</v>
      </c>
      <c r="H1008" s="15">
        <f t="shared" si="30"/>
        <v>17250</v>
      </c>
    </row>
    <row r="1009" spans="1:8" x14ac:dyDescent="0.25">
      <c r="A1009" s="13">
        <v>44763</v>
      </c>
      <c r="B1009" s="15" t="s">
        <v>21</v>
      </c>
      <c r="C1009" s="3">
        <v>4</v>
      </c>
      <c r="D1009" s="13">
        <f t="shared" si="31"/>
        <v>44767</v>
      </c>
      <c r="E1009" s="15">
        <v>4000</v>
      </c>
      <c r="F1009" s="9">
        <v>9.7500000000000003E-2</v>
      </c>
      <c r="G1009" s="9">
        <v>9.7500000000000003E-2</v>
      </c>
      <c r="H1009" s="15">
        <f t="shared" si="30"/>
        <v>16550</v>
      </c>
    </row>
    <row r="1010" spans="1:8" x14ac:dyDescent="0.25">
      <c r="A1010" s="13">
        <v>44763</v>
      </c>
      <c r="B1010" s="15" t="s">
        <v>21</v>
      </c>
      <c r="C1010" s="3">
        <v>5</v>
      </c>
      <c r="D1010" s="13">
        <f t="shared" si="31"/>
        <v>44768</v>
      </c>
      <c r="E1010" s="15">
        <v>1300</v>
      </c>
      <c r="F1010" s="9">
        <v>9.7500000000000003E-2</v>
      </c>
      <c r="G1010" s="9">
        <v>9.7500000000000003E-2</v>
      </c>
      <c r="H1010" s="15">
        <f t="shared" si="30"/>
        <v>16550</v>
      </c>
    </row>
    <row r="1011" spans="1:8" x14ac:dyDescent="0.25">
      <c r="A1011" s="13">
        <v>44763</v>
      </c>
      <c r="B1011" s="15" t="s">
        <v>21</v>
      </c>
      <c r="C1011" s="3">
        <v>7</v>
      </c>
      <c r="D1011" s="13">
        <f t="shared" si="31"/>
        <v>44770</v>
      </c>
      <c r="E1011" s="15">
        <v>1300</v>
      </c>
      <c r="F1011" s="9">
        <v>9.8000000000000004E-2</v>
      </c>
      <c r="G1011" s="9">
        <v>9.8000000000000004E-2</v>
      </c>
      <c r="H1011" s="15">
        <f t="shared" si="30"/>
        <v>16550</v>
      </c>
    </row>
    <row r="1012" spans="1:8" x14ac:dyDescent="0.25">
      <c r="A1012" s="13">
        <v>44764</v>
      </c>
      <c r="B1012" s="15" t="s">
        <v>21</v>
      </c>
      <c r="C1012" s="3">
        <v>4</v>
      </c>
      <c r="D1012" s="13">
        <f t="shared" si="31"/>
        <v>44768</v>
      </c>
      <c r="E1012" s="15">
        <v>3400</v>
      </c>
      <c r="F1012" s="9">
        <v>9.7500000000000003E-2</v>
      </c>
      <c r="G1012" s="9">
        <v>9.7500000000000003E-2</v>
      </c>
      <c r="H1012" s="15">
        <f t="shared" si="30"/>
        <v>17350</v>
      </c>
    </row>
    <row r="1013" spans="1:8" x14ac:dyDescent="0.25">
      <c r="A1013" s="13">
        <v>44764</v>
      </c>
      <c r="B1013" s="15" t="s">
        <v>21</v>
      </c>
      <c r="C1013" s="3">
        <v>5</v>
      </c>
      <c r="D1013" s="13">
        <f t="shared" si="31"/>
        <v>44769</v>
      </c>
      <c r="E1013" s="15">
        <v>1800</v>
      </c>
      <c r="F1013" s="9">
        <v>9.7500000000000003E-2</v>
      </c>
      <c r="G1013" s="9">
        <v>9.7500000000000003E-2</v>
      </c>
      <c r="H1013" s="15">
        <f t="shared" si="30"/>
        <v>17350</v>
      </c>
    </row>
    <row r="1014" spans="1:8" x14ac:dyDescent="0.25">
      <c r="A1014" s="13">
        <v>44764</v>
      </c>
      <c r="B1014" s="15" t="s">
        <v>21</v>
      </c>
      <c r="C1014" s="3">
        <v>6</v>
      </c>
      <c r="D1014" s="13">
        <f t="shared" si="31"/>
        <v>44770</v>
      </c>
      <c r="E1014" s="15">
        <v>200</v>
      </c>
      <c r="F1014" s="9">
        <v>9.8000000000000004E-2</v>
      </c>
      <c r="G1014" s="9">
        <v>9.8000000000000004E-2</v>
      </c>
      <c r="H1014" s="15">
        <f t="shared" si="30"/>
        <v>17350</v>
      </c>
    </row>
    <row r="1015" spans="1:8" x14ac:dyDescent="0.25">
      <c r="A1015" s="13">
        <v>44764</v>
      </c>
      <c r="B1015" s="15" t="s">
        <v>21</v>
      </c>
      <c r="C1015" s="3">
        <v>7</v>
      </c>
      <c r="D1015" s="13">
        <f t="shared" si="31"/>
        <v>44771</v>
      </c>
      <c r="E1015" s="15">
        <v>1400</v>
      </c>
      <c r="F1015" s="9">
        <v>9.8000000000000004E-2</v>
      </c>
      <c r="G1015" s="9">
        <v>9.8000000000000004E-2</v>
      </c>
      <c r="H1015" s="15">
        <f t="shared" si="30"/>
        <v>17350</v>
      </c>
    </row>
    <row r="1016" spans="1:8" x14ac:dyDescent="0.25">
      <c r="A1016" s="13">
        <v>44767</v>
      </c>
      <c r="B1016" s="15" t="s">
        <v>21</v>
      </c>
      <c r="C1016" s="3">
        <v>1</v>
      </c>
      <c r="D1016" s="13">
        <f t="shared" si="31"/>
        <v>44768</v>
      </c>
      <c r="E1016" s="15">
        <v>900</v>
      </c>
      <c r="F1016" s="9">
        <v>9.6500000000000002E-2</v>
      </c>
      <c r="G1016" s="9">
        <v>9.7000000000000003E-2</v>
      </c>
      <c r="H1016" s="15">
        <f t="shared" si="30"/>
        <v>16650</v>
      </c>
    </row>
    <row r="1017" spans="1:8" x14ac:dyDescent="0.25">
      <c r="A1017" s="13">
        <v>44767</v>
      </c>
      <c r="B1017" s="15" t="s">
        <v>21</v>
      </c>
      <c r="C1017" s="3">
        <v>2</v>
      </c>
      <c r="D1017" s="13">
        <f t="shared" si="31"/>
        <v>44769</v>
      </c>
      <c r="E1017" s="15">
        <v>3500</v>
      </c>
      <c r="F1017" s="9">
        <v>9.7500000000000003E-2</v>
      </c>
      <c r="G1017" s="9">
        <v>9.7500000000000003E-2</v>
      </c>
      <c r="H1017" s="15">
        <f t="shared" si="30"/>
        <v>16650</v>
      </c>
    </row>
    <row r="1018" spans="1:8" x14ac:dyDescent="0.25">
      <c r="A1018" s="13">
        <v>44767</v>
      </c>
      <c r="B1018" s="15" t="s">
        <v>21</v>
      </c>
      <c r="C1018" s="3">
        <v>7</v>
      </c>
      <c r="D1018" s="13">
        <f t="shared" si="31"/>
        <v>44774</v>
      </c>
      <c r="E1018" s="15">
        <v>800</v>
      </c>
      <c r="F1018" s="9">
        <v>9.8000000000000004E-2</v>
      </c>
      <c r="G1018" s="9">
        <v>9.8000000000000004E-2</v>
      </c>
      <c r="H1018" s="15">
        <f t="shared" si="30"/>
        <v>16650</v>
      </c>
    </row>
    <row r="1019" spans="1:8" x14ac:dyDescent="0.25">
      <c r="A1019" s="13">
        <v>44769</v>
      </c>
      <c r="B1019" s="15" t="s">
        <v>21</v>
      </c>
      <c r="C1019" s="3">
        <v>5</v>
      </c>
      <c r="D1019" s="13">
        <f t="shared" si="31"/>
        <v>44774</v>
      </c>
      <c r="E1019" s="15">
        <v>1500</v>
      </c>
      <c r="F1019" s="9">
        <v>9.7500000000000003E-2</v>
      </c>
      <c r="G1019" s="9">
        <v>9.7500000000000003E-2</v>
      </c>
      <c r="H1019" s="15">
        <f t="shared" si="30"/>
        <v>5300</v>
      </c>
    </row>
    <row r="1020" spans="1:8" x14ac:dyDescent="0.25">
      <c r="A1020" s="13">
        <v>44770</v>
      </c>
      <c r="B1020" s="15" t="s">
        <v>21</v>
      </c>
      <c r="C1020" s="3">
        <v>1</v>
      </c>
      <c r="D1020" s="13">
        <f t="shared" si="31"/>
        <v>44771</v>
      </c>
      <c r="E1020" s="15">
        <v>-500</v>
      </c>
      <c r="F1020" s="9">
        <v>9.9000000000000005E-2</v>
      </c>
      <c r="G1020" s="9">
        <v>9.9000000000000005E-2</v>
      </c>
      <c r="H1020" s="15">
        <f t="shared" si="30"/>
        <v>3300</v>
      </c>
    </row>
    <row r="1021" spans="1:8" x14ac:dyDescent="0.25">
      <c r="A1021" s="13">
        <v>44771</v>
      </c>
      <c r="B1021" s="15" t="s">
        <v>21</v>
      </c>
      <c r="C1021" s="3">
        <v>3</v>
      </c>
      <c r="D1021" s="13">
        <f t="shared" si="31"/>
        <v>44774</v>
      </c>
      <c r="E1021" s="15">
        <v>1000</v>
      </c>
      <c r="F1021" s="9">
        <v>9.6500000000000002E-2</v>
      </c>
      <c r="G1021" s="9">
        <v>9.7500000000000003E-2</v>
      </c>
      <c r="H1021" s="15">
        <f t="shared" si="30"/>
        <v>5300</v>
      </c>
    </row>
    <row r="1022" spans="1:8" x14ac:dyDescent="0.25">
      <c r="A1022" s="13">
        <v>44771</v>
      </c>
      <c r="B1022" s="15" t="s">
        <v>21</v>
      </c>
      <c r="C1022" s="3">
        <v>4</v>
      </c>
      <c r="D1022" s="13">
        <f t="shared" si="31"/>
        <v>44775</v>
      </c>
      <c r="E1022" s="15">
        <v>2000</v>
      </c>
      <c r="F1022" s="9">
        <v>9.6500000000000002E-2</v>
      </c>
      <c r="G1022" s="9">
        <v>9.7500000000000003E-2</v>
      </c>
      <c r="H1022" s="15">
        <f t="shared" si="30"/>
        <v>5300</v>
      </c>
    </row>
    <row r="1023" spans="1:8" x14ac:dyDescent="0.25">
      <c r="A1023" s="13">
        <v>44774</v>
      </c>
      <c r="B1023" s="15" t="s">
        <v>21</v>
      </c>
      <c r="C1023" s="3">
        <v>1</v>
      </c>
      <c r="D1023" s="13">
        <f t="shared" si="31"/>
        <v>44775</v>
      </c>
      <c r="E1023" s="15">
        <v>-2000</v>
      </c>
      <c r="F1023" s="9">
        <v>9.9500000000000005E-2</v>
      </c>
      <c r="G1023" s="9">
        <v>0.1</v>
      </c>
      <c r="H1023" s="15">
        <f t="shared" si="30"/>
        <v>-1800</v>
      </c>
    </row>
    <row r="1024" spans="1:8" x14ac:dyDescent="0.25">
      <c r="A1024" s="13">
        <v>44774</v>
      </c>
      <c r="B1024" s="15" t="s">
        <v>21</v>
      </c>
      <c r="C1024" s="3">
        <v>2</v>
      </c>
      <c r="D1024" s="13">
        <f t="shared" si="31"/>
        <v>44776</v>
      </c>
      <c r="E1024" s="15">
        <v>-1800</v>
      </c>
      <c r="F1024" s="9">
        <v>9.9500000000000005E-2</v>
      </c>
      <c r="G1024" s="9">
        <v>9.9500000000000005E-2</v>
      </c>
      <c r="H1024" s="15">
        <f t="shared" si="30"/>
        <v>-1800</v>
      </c>
    </row>
    <row r="1025" spans="1:8" x14ac:dyDescent="0.25">
      <c r="A1025" s="13">
        <v>44775</v>
      </c>
      <c r="B1025" s="15" t="s">
        <v>21</v>
      </c>
      <c r="C1025" s="3">
        <v>1</v>
      </c>
      <c r="D1025" s="13">
        <f t="shared" si="31"/>
        <v>44776</v>
      </c>
      <c r="E1025" s="15">
        <v>-1100</v>
      </c>
      <c r="F1025" s="9">
        <v>9.9000000000000005E-2</v>
      </c>
      <c r="G1025" s="9">
        <v>9.9500000000000005E-2</v>
      </c>
      <c r="H1025" s="15">
        <f t="shared" si="30"/>
        <v>-2900</v>
      </c>
    </row>
    <row r="1026" spans="1:8" x14ac:dyDescent="0.25">
      <c r="A1026" s="13">
        <v>44776</v>
      </c>
      <c r="B1026" s="15" t="s">
        <v>21</v>
      </c>
      <c r="C1026" s="3">
        <v>1</v>
      </c>
      <c r="D1026" s="13">
        <f t="shared" si="31"/>
        <v>44777</v>
      </c>
      <c r="E1026" s="15">
        <v>-550</v>
      </c>
      <c r="F1026" s="9">
        <v>9.9500000000000005E-2</v>
      </c>
      <c r="G1026" s="9">
        <v>9.9500000000000005E-2</v>
      </c>
      <c r="H1026" s="15">
        <f t="shared" si="30"/>
        <v>-550</v>
      </c>
    </row>
    <row r="1027" spans="1:8" x14ac:dyDescent="0.25">
      <c r="A1027" s="13">
        <v>44777</v>
      </c>
      <c r="B1027" s="15" t="s">
        <v>21</v>
      </c>
      <c r="C1027" s="3">
        <v>1</v>
      </c>
      <c r="D1027" s="13">
        <f t="shared" si="31"/>
        <v>44778</v>
      </c>
      <c r="E1027" s="15">
        <v>-1200</v>
      </c>
      <c r="F1027" s="9">
        <v>9.8500000000000004E-2</v>
      </c>
      <c r="G1027" s="9">
        <v>9.9500000000000005E-2</v>
      </c>
      <c r="H1027" s="15">
        <f t="shared" si="30"/>
        <v>-1200</v>
      </c>
    </row>
    <row r="1028" spans="1:8" x14ac:dyDescent="0.25">
      <c r="A1028" s="13">
        <v>44778</v>
      </c>
      <c r="B1028" s="15" t="s">
        <v>21</v>
      </c>
      <c r="C1028" s="3">
        <v>3</v>
      </c>
      <c r="D1028" s="13">
        <f t="shared" si="31"/>
        <v>44781</v>
      </c>
      <c r="E1028" s="15">
        <v>-1000</v>
      </c>
      <c r="F1028" s="9">
        <v>9.9000000000000005E-2</v>
      </c>
      <c r="G1028" s="9">
        <v>9.9500000000000005E-2</v>
      </c>
      <c r="H1028" s="15">
        <f t="shared" si="30"/>
        <v>-1000</v>
      </c>
    </row>
    <row r="1029" spans="1:8" x14ac:dyDescent="0.25">
      <c r="A1029" s="13">
        <v>44781</v>
      </c>
      <c r="B1029" s="15" t="s">
        <v>21</v>
      </c>
      <c r="C1029" s="3">
        <v>1</v>
      </c>
      <c r="D1029" s="13">
        <f t="shared" si="31"/>
        <v>44782</v>
      </c>
      <c r="E1029" s="15">
        <v>-200</v>
      </c>
      <c r="F1029" s="9">
        <v>9.7500000000000003E-2</v>
      </c>
      <c r="G1029" s="9">
        <v>9.7500000000000003E-2</v>
      </c>
      <c r="H1029" s="15">
        <f t="shared" si="30"/>
        <v>-600</v>
      </c>
    </row>
    <row r="1030" spans="1:8" x14ac:dyDescent="0.25">
      <c r="A1030" s="13">
        <v>44781</v>
      </c>
      <c r="B1030" s="15" t="s">
        <v>21</v>
      </c>
      <c r="C1030" s="3">
        <v>3</v>
      </c>
      <c r="D1030" s="13">
        <f t="shared" si="31"/>
        <v>44784</v>
      </c>
      <c r="E1030" s="15">
        <v>-400</v>
      </c>
      <c r="F1030" s="9">
        <v>9.7500000000000003E-2</v>
      </c>
      <c r="G1030" s="9">
        <v>9.7500000000000003E-2</v>
      </c>
      <c r="H1030" s="15">
        <f t="shared" si="30"/>
        <v>-600</v>
      </c>
    </row>
    <row r="1031" spans="1:8" x14ac:dyDescent="0.25">
      <c r="A1031" s="13">
        <v>44784</v>
      </c>
      <c r="B1031" s="15" t="s">
        <v>21</v>
      </c>
      <c r="C1031" s="3">
        <v>1</v>
      </c>
      <c r="D1031" s="13">
        <f t="shared" si="31"/>
        <v>44785</v>
      </c>
      <c r="E1031" s="15">
        <v>-800</v>
      </c>
      <c r="F1031" s="9">
        <v>9.8500000000000004E-2</v>
      </c>
      <c r="G1031" s="9">
        <v>9.9000000000000005E-2</v>
      </c>
      <c r="H1031" s="15">
        <f t="shared" si="30"/>
        <v>-200</v>
      </c>
    </row>
    <row r="1032" spans="1:8" x14ac:dyDescent="0.25">
      <c r="A1032" s="13">
        <v>44784</v>
      </c>
      <c r="B1032" s="15" t="s">
        <v>21</v>
      </c>
      <c r="C1032" s="3">
        <v>4</v>
      </c>
      <c r="D1032" s="13">
        <f t="shared" si="31"/>
        <v>44788</v>
      </c>
      <c r="E1032" s="15">
        <v>300</v>
      </c>
      <c r="F1032" s="9">
        <v>9.7000000000000003E-2</v>
      </c>
      <c r="G1032" s="9">
        <v>9.7000000000000003E-2</v>
      </c>
      <c r="H1032" s="15">
        <f t="shared" si="30"/>
        <v>-200</v>
      </c>
    </row>
    <row r="1033" spans="1:8" x14ac:dyDescent="0.25">
      <c r="A1033" s="13">
        <v>44784</v>
      </c>
      <c r="B1033" s="15" t="s">
        <v>21</v>
      </c>
      <c r="C1033" s="3">
        <v>5</v>
      </c>
      <c r="D1033" s="13">
        <f t="shared" si="31"/>
        <v>44789</v>
      </c>
      <c r="E1033" s="15">
        <v>300</v>
      </c>
      <c r="F1033" s="9">
        <v>9.7500000000000003E-2</v>
      </c>
      <c r="G1033" s="9">
        <v>9.7500000000000003E-2</v>
      </c>
      <c r="H1033" s="15">
        <f t="shared" si="30"/>
        <v>-200</v>
      </c>
    </row>
    <row r="1034" spans="1:8" x14ac:dyDescent="0.25">
      <c r="A1034" s="13">
        <v>44785</v>
      </c>
      <c r="B1034" s="15" t="s">
        <v>21</v>
      </c>
      <c r="C1034" s="3">
        <v>3</v>
      </c>
      <c r="D1034" s="13">
        <f t="shared" si="31"/>
        <v>44788</v>
      </c>
      <c r="E1034" s="15">
        <v>2600</v>
      </c>
      <c r="F1034" s="9">
        <v>9.4500000000000001E-2</v>
      </c>
      <c r="G1034" s="9">
        <v>9.5000000000000001E-2</v>
      </c>
      <c r="H1034" s="15">
        <f t="shared" ref="H1034:H1097" si="32">+SUMIFS($E$10:$E$4503,$A$10:$A$4503,"&lt;="&amp;A1034,$D$10:$D$4503,"&gt;"&amp;A1034)</f>
        <v>4000</v>
      </c>
    </row>
    <row r="1035" spans="1:8" x14ac:dyDescent="0.25">
      <c r="A1035" s="13">
        <v>44785</v>
      </c>
      <c r="B1035" s="15" t="s">
        <v>21</v>
      </c>
      <c r="C1035" s="3">
        <v>4</v>
      </c>
      <c r="D1035" s="13">
        <f t="shared" si="31"/>
        <v>44789</v>
      </c>
      <c r="E1035" s="15">
        <v>800</v>
      </c>
      <c r="F1035" s="9">
        <v>9.5000000000000001E-2</v>
      </c>
      <c r="G1035" s="9">
        <v>9.5000000000000001E-2</v>
      </c>
      <c r="H1035" s="15">
        <f t="shared" si="32"/>
        <v>4000</v>
      </c>
    </row>
    <row r="1036" spans="1:8" x14ac:dyDescent="0.25">
      <c r="A1036" s="13">
        <v>44788</v>
      </c>
      <c r="B1036" s="15" t="s">
        <v>21</v>
      </c>
      <c r="C1036" s="3">
        <v>1</v>
      </c>
      <c r="D1036" s="13">
        <f t="shared" si="31"/>
        <v>44789</v>
      </c>
      <c r="E1036" s="15">
        <v>200</v>
      </c>
      <c r="F1036" s="9">
        <v>9.5000000000000001E-2</v>
      </c>
      <c r="G1036" s="9">
        <v>9.5000000000000001E-2</v>
      </c>
      <c r="H1036" s="15">
        <f t="shared" si="32"/>
        <v>3700</v>
      </c>
    </row>
    <row r="1037" spans="1:8" x14ac:dyDescent="0.25">
      <c r="A1037" s="13">
        <v>44788</v>
      </c>
      <c r="B1037" s="15" t="s">
        <v>21</v>
      </c>
      <c r="C1037" s="3">
        <v>2</v>
      </c>
      <c r="D1037" s="13">
        <f t="shared" si="31"/>
        <v>44790</v>
      </c>
      <c r="E1037" s="15">
        <v>2400</v>
      </c>
      <c r="F1037" s="9">
        <v>9.5000000000000001E-2</v>
      </c>
      <c r="G1037" s="9">
        <v>9.9000000000000005E-2</v>
      </c>
      <c r="H1037" s="15">
        <f t="shared" si="32"/>
        <v>3700</v>
      </c>
    </row>
    <row r="1038" spans="1:8" x14ac:dyDescent="0.25">
      <c r="A1038" s="13">
        <v>44789</v>
      </c>
      <c r="B1038" s="15" t="s">
        <v>21</v>
      </c>
      <c r="C1038" s="3">
        <v>2</v>
      </c>
      <c r="D1038" s="13">
        <f t="shared" si="31"/>
        <v>44791</v>
      </c>
      <c r="E1038" s="15">
        <v>1400</v>
      </c>
      <c r="F1038" s="9">
        <v>0.10249999999999999</v>
      </c>
      <c r="G1038" s="9">
        <v>0.10249999999999999</v>
      </c>
      <c r="H1038" s="15">
        <f t="shared" si="32"/>
        <v>12300</v>
      </c>
    </row>
    <row r="1039" spans="1:8" x14ac:dyDescent="0.25">
      <c r="A1039" s="13">
        <v>44789</v>
      </c>
      <c r="B1039" s="15" t="s">
        <v>21</v>
      </c>
      <c r="C1039" s="3">
        <v>3</v>
      </c>
      <c r="D1039" s="13">
        <f t="shared" si="31"/>
        <v>44792</v>
      </c>
      <c r="E1039" s="15">
        <v>4800</v>
      </c>
      <c r="F1039" s="9">
        <v>0.10249999999999999</v>
      </c>
      <c r="G1039" s="9">
        <v>0.10249999999999999</v>
      </c>
      <c r="H1039" s="15">
        <f t="shared" si="32"/>
        <v>12300</v>
      </c>
    </row>
    <row r="1040" spans="1:8" x14ac:dyDescent="0.25">
      <c r="A1040" s="13">
        <v>44789</v>
      </c>
      <c r="B1040" s="15" t="s">
        <v>21</v>
      </c>
      <c r="C1040" s="3">
        <v>6</v>
      </c>
      <c r="D1040" s="13">
        <f t="shared" si="31"/>
        <v>44795</v>
      </c>
      <c r="E1040" s="15">
        <v>3700</v>
      </c>
      <c r="F1040" s="9">
        <v>0.10249999999999999</v>
      </c>
      <c r="G1040" s="9">
        <v>0.10249999999999999</v>
      </c>
      <c r="H1040" s="15">
        <f t="shared" si="32"/>
        <v>12300</v>
      </c>
    </row>
    <row r="1041" spans="1:8" x14ac:dyDescent="0.25">
      <c r="A1041" s="13">
        <v>44790</v>
      </c>
      <c r="B1041" s="15" t="s">
        <v>21</v>
      </c>
      <c r="C1041" s="3">
        <v>2</v>
      </c>
      <c r="D1041" s="13">
        <f t="shared" si="31"/>
        <v>44792</v>
      </c>
      <c r="E1041" s="15">
        <v>300</v>
      </c>
      <c r="F1041" s="9">
        <v>0.10249999999999999</v>
      </c>
      <c r="G1041" s="9">
        <v>0.10249999999999999</v>
      </c>
      <c r="H1041" s="15">
        <f t="shared" si="32"/>
        <v>14600</v>
      </c>
    </row>
    <row r="1042" spans="1:8" x14ac:dyDescent="0.25">
      <c r="A1042" s="13">
        <v>44790</v>
      </c>
      <c r="B1042" s="15" t="s">
        <v>21</v>
      </c>
      <c r="C1042" s="3">
        <v>5</v>
      </c>
      <c r="D1042" s="13">
        <f t="shared" si="31"/>
        <v>44795</v>
      </c>
      <c r="E1042" s="15">
        <v>3800</v>
      </c>
      <c r="F1042" s="9">
        <v>0.10249999999999999</v>
      </c>
      <c r="G1042" s="9">
        <v>0.10249999999999999</v>
      </c>
      <c r="H1042" s="15">
        <f t="shared" si="32"/>
        <v>14600</v>
      </c>
    </row>
    <row r="1043" spans="1:8" x14ac:dyDescent="0.25">
      <c r="A1043" s="13">
        <v>44790</v>
      </c>
      <c r="B1043" s="15" t="s">
        <v>21</v>
      </c>
      <c r="C1043" s="3">
        <v>7</v>
      </c>
      <c r="D1043" s="13">
        <f t="shared" si="31"/>
        <v>44797</v>
      </c>
      <c r="E1043" s="15">
        <v>600</v>
      </c>
      <c r="F1043" s="9">
        <v>0.10249999999999999</v>
      </c>
      <c r="G1043" s="9">
        <v>0.10249999999999999</v>
      </c>
      <c r="H1043" s="15">
        <f t="shared" si="32"/>
        <v>14600</v>
      </c>
    </row>
    <row r="1044" spans="1:8" x14ac:dyDescent="0.25">
      <c r="A1044" s="13">
        <v>44792</v>
      </c>
      <c r="B1044" s="15" t="s">
        <v>21</v>
      </c>
      <c r="C1044" s="3">
        <v>3</v>
      </c>
      <c r="D1044" s="13">
        <f t="shared" si="31"/>
        <v>44795</v>
      </c>
      <c r="E1044" s="15">
        <v>100</v>
      </c>
      <c r="F1044" s="9">
        <v>0.10249999999999999</v>
      </c>
      <c r="G1044" s="9">
        <v>0.10249999999999999</v>
      </c>
      <c r="H1044" s="15">
        <f t="shared" si="32"/>
        <v>19020</v>
      </c>
    </row>
    <row r="1045" spans="1:8" x14ac:dyDescent="0.25">
      <c r="A1045" s="13">
        <v>44792</v>
      </c>
      <c r="B1045" s="15" t="s">
        <v>21</v>
      </c>
      <c r="C1045" s="3">
        <v>4</v>
      </c>
      <c r="D1045" s="13">
        <f t="shared" si="31"/>
        <v>44796</v>
      </c>
      <c r="E1045" s="15">
        <v>3300</v>
      </c>
      <c r="F1045" s="9">
        <v>0.10249999999999999</v>
      </c>
      <c r="G1045" s="9">
        <v>0.10249999999999999</v>
      </c>
      <c r="H1045" s="15">
        <f t="shared" si="32"/>
        <v>19020</v>
      </c>
    </row>
    <row r="1046" spans="1:8" x14ac:dyDescent="0.25">
      <c r="A1046" s="13">
        <v>44792</v>
      </c>
      <c r="B1046" s="15" t="s">
        <v>21</v>
      </c>
      <c r="C1046" s="3">
        <v>5</v>
      </c>
      <c r="D1046" s="13">
        <f t="shared" si="31"/>
        <v>44797</v>
      </c>
      <c r="E1046" s="15">
        <v>6500</v>
      </c>
      <c r="F1046" s="9">
        <v>0.10249999999999999</v>
      </c>
      <c r="G1046" s="9">
        <v>0.10249999999999999</v>
      </c>
      <c r="H1046" s="15">
        <f t="shared" si="32"/>
        <v>19020</v>
      </c>
    </row>
    <row r="1047" spans="1:8" x14ac:dyDescent="0.25">
      <c r="A1047" s="13">
        <v>44792</v>
      </c>
      <c r="B1047" s="15" t="s">
        <v>21</v>
      </c>
      <c r="C1047" s="3">
        <v>7</v>
      </c>
      <c r="D1047" s="13">
        <f t="shared" si="31"/>
        <v>44799</v>
      </c>
      <c r="E1047" s="15">
        <v>500</v>
      </c>
      <c r="F1047" s="9">
        <v>0.10249999999999999</v>
      </c>
      <c r="G1047" s="9">
        <v>0.10249999999999999</v>
      </c>
      <c r="H1047" s="15">
        <f t="shared" si="32"/>
        <v>19020</v>
      </c>
    </row>
    <row r="1048" spans="1:8" x14ac:dyDescent="0.25">
      <c r="A1048" s="13">
        <v>44792</v>
      </c>
      <c r="B1048" s="15" t="s">
        <v>21</v>
      </c>
      <c r="C1048" s="3">
        <v>13</v>
      </c>
      <c r="D1048" s="13">
        <f t="shared" si="31"/>
        <v>44805</v>
      </c>
      <c r="E1048" s="15">
        <v>520</v>
      </c>
      <c r="F1048" s="9">
        <v>0.10299999999999999</v>
      </c>
      <c r="G1048" s="9">
        <v>0.10299999999999999</v>
      </c>
      <c r="H1048" s="15">
        <f t="shared" si="32"/>
        <v>19020</v>
      </c>
    </row>
    <row r="1049" spans="1:8" x14ac:dyDescent="0.25">
      <c r="A1049" s="13">
        <v>44795</v>
      </c>
      <c r="B1049" s="15" t="s">
        <v>21</v>
      </c>
      <c r="C1049" s="3">
        <v>1</v>
      </c>
      <c r="D1049" s="13">
        <f t="shared" si="31"/>
        <v>44796</v>
      </c>
      <c r="E1049" s="15">
        <v>600</v>
      </c>
      <c r="F1049" s="9">
        <v>0.10199999999999999</v>
      </c>
      <c r="G1049" s="9">
        <v>0.10249999999999999</v>
      </c>
      <c r="H1049" s="15">
        <f t="shared" si="32"/>
        <v>16170</v>
      </c>
    </row>
    <row r="1050" spans="1:8" x14ac:dyDescent="0.25">
      <c r="A1050" s="13">
        <v>44795</v>
      </c>
      <c r="B1050" s="15" t="s">
        <v>21</v>
      </c>
      <c r="C1050" s="3">
        <v>2</v>
      </c>
      <c r="D1050" s="13">
        <f t="shared" si="31"/>
        <v>44797</v>
      </c>
      <c r="E1050" s="15">
        <v>1750</v>
      </c>
      <c r="F1050" s="9">
        <v>0.10249999999999999</v>
      </c>
      <c r="G1050" s="9">
        <v>0.10249999999999999</v>
      </c>
      <c r="H1050" s="15">
        <f t="shared" si="32"/>
        <v>16170</v>
      </c>
    </row>
    <row r="1051" spans="1:8" x14ac:dyDescent="0.25">
      <c r="A1051" s="13">
        <v>44795</v>
      </c>
      <c r="B1051" s="15" t="s">
        <v>21</v>
      </c>
      <c r="C1051" s="3">
        <v>4</v>
      </c>
      <c r="D1051" s="13">
        <f t="shared" si="31"/>
        <v>44799</v>
      </c>
      <c r="E1051" s="15">
        <v>2000</v>
      </c>
      <c r="F1051" s="9">
        <v>0.10249999999999999</v>
      </c>
      <c r="G1051" s="9">
        <v>0.10249999999999999</v>
      </c>
      <c r="H1051" s="15">
        <f t="shared" si="32"/>
        <v>16170</v>
      </c>
    </row>
    <row r="1052" spans="1:8" x14ac:dyDescent="0.25">
      <c r="A1052" s="13">
        <v>44795</v>
      </c>
      <c r="B1052" s="15" t="s">
        <v>21</v>
      </c>
      <c r="C1052" s="3">
        <v>7</v>
      </c>
      <c r="D1052" s="13">
        <f t="shared" si="31"/>
        <v>44802</v>
      </c>
      <c r="E1052" s="15">
        <v>400</v>
      </c>
      <c r="F1052" s="9">
        <v>0.10249999999999999</v>
      </c>
      <c r="G1052" s="9">
        <v>0.10249999999999999</v>
      </c>
      <c r="H1052" s="15">
        <f t="shared" si="32"/>
        <v>16170</v>
      </c>
    </row>
    <row r="1053" spans="1:8" x14ac:dyDescent="0.25">
      <c r="A1053" s="13">
        <v>44796</v>
      </c>
      <c r="B1053" s="15" t="s">
        <v>21</v>
      </c>
      <c r="C1053" s="3">
        <v>1</v>
      </c>
      <c r="D1053" s="13">
        <f t="shared" si="31"/>
        <v>44797</v>
      </c>
      <c r="E1053" s="15">
        <v>2200</v>
      </c>
      <c r="F1053" s="9">
        <v>0.10199999999999999</v>
      </c>
      <c r="G1053" s="9">
        <v>0.10249999999999999</v>
      </c>
      <c r="H1053" s="15">
        <f t="shared" si="32"/>
        <v>20770</v>
      </c>
    </row>
    <row r="1054" spans="1:8" x14ac:dyDescent="0.25">
      <c r="A1054" s="13">
        <v>44796</v>
      </c>
      <c r="B1054" s="15" t="s">
        <v>21</v>
      </c>
      <c r="C1054" s="3">
        <v>3</v>
      </c>
      <c r="D1054" s="13">
        <f t="shared" si="31"/>
        <v>44799</v>
      </c>
      <c r="E1054" s="15">
        <v>3800</v>
      </c>
      <c r="F1054" s="9">
        <v>0.10249999999999999</v>
      </c>
      <c r="G1054" s="9">
        <v>0.10249999999999999</v>
      </c>
      <c r="H1054" s="15">
        <f t="shared" si="32"/>
        <v>20770</v>
      </c>
    </row>
    <row r="1055" spans="1:8" x14ac:dyDescent="0.25">
      <c r="A1055" s="13">
        <v>44796</v>
      </c>
      <c r="B1055" s="15" t="s">
        <v>21</v>
      </c>
      <c r="C1055" s="3">
        <v>9</v>
      </c>
      <c r="D1055" s="13">
        <f t="shared" si="31"/>
        <v>44805</v>
      </c>
      <c r="E1055" s="15">
        <v>2500</v>
      </c>
      <c r="F1055" s="9">
        <v>0.10299999999999999</v>
      </c>
      <c r="G1055" s="9">
        <v>0.10299999999999999</v>
      </c>
      <c r="H1055" s="15">
        <f t="shared" si="32"/>
        <v>20770</v>
      </c>
    </row>
    <row r="1056" spans="1:8" x14ac:dyDescent="0.25">
      <c r="A1056" s="13">
        <v>44799</v>
      </c>
      <c r="B1056" s="15" t="s">
        <v>21</v>
      </c>
      <c r="C1056" s="3">
        <v>3</v>
      </c>
      <c r="D1056" s="13">
        <f t="shared" si="31"/>
        <v>44802</v>
      </c>
      <c r="E1056" s="15">
        <v>200</v>
      </c>
      <c r="F1056" s="9">
        <v>0.10249999999999999</v>
      </c>
      <c r="G1056" s="9">
        <v>0.10249999999999999</v>
      </c>
      <c r="H1056" s="15">
        <f t="shared" si="32"/>
        <v>4970</v>
      </c>
    </row>
    <row r="1057" spans="1:8" x14ac:dyDescent="0.25">
      <c r="A1057" s="13">
        <v>44799</v>
      </c>
      <c r="B1057" s="15" t="s">
        <v>21</v>
      </c>
      <c r="C1057" s="3">
        <v>4</v>
      </c>
      <c r="D1057" s="13">
        <f t="shared" si="31"/>
        <v>44803</v>
      </c>
      <c r="E1057" s="15">
        <v>1000</v>
      </c>
      <c r="F1057" s="9">
        <v>0.10249999999999999</v>
      </c>
      <c r="G1057" s="9">
        <v>0.10249999999999999</v>
      </c>
      <c r="H1057" s="15">
        <f t="shared" si="32"/>
        <v>4970</v>
      </c>
    </row>
    <row r="1058" spans="1:8" x14ac:dyDescent="0.25">
      <c r="A1058" s="13">
        <v>44799</v>
      </c>
      <c r="B1058" s="15" t="s">
        <v>21</v>
      </c>
      <c r="C1058" s="3">
        <v>6</v>
      </c>
      <c r="D1058" s="13">
        <f t="shared" si="31"/>
        <v>44805</v>
      </c>
      <c r="E1058" s="15">
        <v>350</v>
      </c>
      <c r="F1058" s="9">
        <v>0.10249999999999999</v>
      </c>
      <c r="G1058" s="9">
        <v>0.10249999999999999</v>
      </c>
      <c r="H1058" s="15">
        <f t="shared" si="32"/>
        <v>4970</v>
      </c>
    </row>
    <row r="1059" spans="1:8" x14ac:dyDescent="0.25">
      <c r="A1059" s="13">
        <v>44803</v>
      </c>
      <c r="B1059" s="15" t="s">
        <v>21</v>
      </c>
      <c r="C1059" s="3">
        <v>1</v>
      </c>
      <c r="D1059" s="13">
        <f t="shared" si="31"/>
        <v>44804</v>
      </c>
      <c r="E1059" s="15">
        <v>-800</v>
      </c>
      <c r="F1059" s="9">
        <v>0.1045</v>
      </c>
      <c r="G1059" s="9">
        <v>0.1045</v>
      </c>
      <c r="H1059" s="15">
        <f t="shared" si="32"/>
        <v>2570</v>
      </c>
    </row>
    <row r="1060" spans="1:8" x14ac:dyDescent="0.25">
      <c r="A1060" s="13">
        <v>44804</v>
      </c>
      <c r="B1060" s="15" t="s">
        <v>21</v>
      </c>
      <c r="C1060" s="3">
        <v>1</v>
      </c>
      <c r="D1060" s="13">
        <f t="shared" si="31"/>
        <v>44805</v>
      </c>
      <c r="E1060" s="15">
        <v>-900</v>
      </c>
      <c r="F1060" s="9">
        <v>0.104</v>
      </c>
      <c r="G1060" s="9">
        <v>0.104</v>
      </c>
      <c r="H1060" s="15">
        <f t="shared" si="32"/>
        <v>3270</v>
      </c>
    </row>
    <row r="1061" spans="1:8" x14ac:dyDescent="0.25">
      <c r="A1061" s="13">
        <v>44804</v>
      </c>
      <c r="B1061" s="15" t="s">
        <v>21</v>
      </c>
      <c r="C1061" s="3">
        <v>1</v>
      </c>
      <c r="D1061" s="13">
        <f t="shared" si="31"/>
        <v>44805</v>
      </c>
      <c r="E1061" s="15">
        <v>800</v>
      </c>
      <c r="F1061" s="9">
        <v>0.1</v>
      </c>
      <c r="G1061" s="9">
        <v>0.1</v>
      </c>
      <c r="H1061" s="15">
        <f t="shared" si="32"/>
        <v>3270</v>
      </c>
    </row>
    <row r="1062" spans="1:8" x14ac:dyDescent="0.25">
      <c r="A1062" s="13">
        <v>44805</v>
      </c>
      <c r="B1062" s="15" t="s">
        <v>21</v>
      </c>
      <c r="C1062" s="3">
        <v>1</v>
      </c>
      <c r="D1062" s="13">
        <f t="shared" si="31"/>
        <v>44806</v>
      </c>
      <c r="E1062" s="15">
        <v>-1200</v>
      </c>
      <c r="F1062" s="9">
        <v>0.1045</v>
      </c>
      <c r="G1062" s="9">
        <v>0.1045</v>
      </c>
      <c r="H1062" s="15">
        <f t="shared" si="32"/>
        <v>-1200</v>
      </c>
    </row>
    <row r="1063" spans="1:8" x14ac:dyDescent="0.25">
      <c r="A1063" s="13">
        <v>44812</v>
      </c>
      <c r="B1063" s="15" t="s">
        <v>21</v>
      </c>
      <c r="C1063" s="3">
        <v>4</v>
      </c>
      <c r="D1063" s="13">
        <f t="shared" si="31"/>
        <v>44816</v>
      </c>
      <c r="E1063" s="15">
        <v>1800</v>
      </c>
      <c r="F1063" s="9">
        <v>0.10249999999999999</v>
      </c>
      <c r="G1063" s="9">
        <v>0.10249999999999999</v>
      </c>
      <c r="H1063" s="15">
        <f t="shared" si="32"/>
        <v>2200</v>
      </c>
    </row>
    <row r="1064" spans="1:8" x14ac:dyDescent="0.25">
      <c r="A1064" s="13">
        <v>44812</v>
      </c>
      <c r="B1064" s="15" t="s">
        <v>21</v>
      </c>
      <c r="C1064" s="3">
        <v>6</v>
      </c>
      <c r="D1064" s="13">
        <f t="shared" si="31"/>
        <v>44818</v>
      </c>
      <c r="E1064" s="15">
        <v>400</v>
      </c>
      <c r="F1064" s="9">
        <v>0.10249999999999999</v>
      </c>
      <c r="G1064" s="9">
        <v>0.10249999999999999</v>
      </c>
      <c r="H1064" s="15">
        <f t="shared" si="32"/>
        <v>2200</v>
      </c>
    </row>
    <row r="1065" spans="1:8" x14ac:dyDescent="0.25">
      <c r="A1065" s="13">
        <v>44816</v>
      </c>
      <c r="B1065" s="15" t="s">
        <v>21</v>
      </c>
      <c r="C1065" s="3">
        <v>7</v>
      </c>
      <c r="D1065" s="13">
        <f t="shared" si="31"/>
        <v>44823</v>
      </c>
      <c r="E1065" s="15">
        <v>600</v>
      </c>
      <c r="F1065" s="9">
        <v>0.10299999999999999</v>
      </c>
      <c r="G1065" s="9">
        <v>0.10299999999999999</v>
      </c>
      <c r="H1065" s="15">
        <f t="shared" si="32"/>
        <v>1400</v>
      </c>
    </row>
    <row r="1066" spans="1:8" x14ac:dyDescent="0.25">
      <c r="A1066" s="13">
        <v>44816</v>
      </c>
      <c r="B1066" s="15" t="s">
        <v>21</v>
      </c>
      <c r="C1066" s="3">
        <v>11</v>
      </c>
      <c r="D1066" s="13">
        <f t="shared" si="31"/>
        <v>44827</v>
      </c>
      <c r="E1066" s="15">
        <v>400</v>
      </c>
      <c r="F1066" s="9">
        <v>0.10349999999999999</v>
      </c>
      <c r="G1066" s="9">
        <v>0.10349999999999999</v>
      </c>
      <c r="H1066" s="15">
        <f t="shared" si="32"/>
        <v>1400</v>
      </c>
    </row>
    <row r="1067" spans="1:8" x14ac:dyDescent="0.25">
      <c r="A1067" s="13">
        <v>44817</v>
      </c>
      <c r="B1067" s="15" t="s">
        <v>21</v>
      </c>
      <c r="C1067" s="3">
        <v>1</v>
      </c>
      <c r="D1067" s="13">
        <f t="shared" si="31"/>
        <v>44818</v>
      </c>
      <c r="E1067" s="15">
        <v>400</v>
      </c>
      <c r="F1067" s="9">
        <v>0.10249999999999999</v>
      </c>
      <c r="G1067" s="9">
        <v>0.10249999999999999</v>
      </c>
      <c r="H1067" s="15">
        <f t="shared" si="32"/>
        <v>2600</v>
      </c>
    </row>
    <row r="1068" spans="1:8" x14ac:dyDescent="0.25">
      <c r="A1068" s="13">
        <v>44817</v>
      </c>
      <c r="B1068" s="15" t="s">
        <v>21</v>
      </c>
      <c r="C1068" s="3">
        <v>6</v>
      </c>
      <c r="D1068" s="13">
        <f t="shared" si="31"/>
        <v>44823</v>
      </c>
      <c r="E1068" s="15">
        <v>600</v>
      </c>
      <c r="F1068" s="9">
        <v>0.10249999999999999</v>
      </c>
      <c r="G1068" s="9">
        <v>0.10249999999999999</v>
      </c>
      <c r="H1068" s="15">
        <f t="shared" si="32"/>
        <v>2600</v>
      </c>
    </row>
    <row r="1069" spans="1:8" x14ac:dyDescent="0.25">
      <c r="A1069" s="13">
        <v>44817</v>
      </c>
      <c r="B1069" s="15" t="s">
        <v>21</v>
      </c>
      <c r="C1069" s="3">
        <v>13</v>
      </c>
      <c r="D1069" s="13">
        <f t="shared" si="31"/>
        <v>44830</v>
      </c>
      <c r="E1069" s="15">
        <v>200</v>
      </c>
      <c r="F1069" s="9">
        <v>0.10349999999999999</v>
      </c>
      <c r="G1069" s="9">
        <v>0.10349999999999999</v>
      </c>
      <c r="H1069" s="15">
        <f t="shared" si="32"/>
        <v>2600</v>
      </c>
    </row>
    <row r="1070" spans="1:8" x14ac:dyDescent="0.25">
      <c r="A1070" s="13">
        <v>44818</v>
      </c>
      <c r="B1070" s="15" t="s">
        <v>21</v>
      </c>
      <c r="C1070" s="3">
        <v>12</v>
      </c>
      <c r="D1070" s="13">
        <f t="shared" si="31"/>
        <v>44830</v>
      </c>
      <c r="E1070" s="15">
        <v>500</v>
      </c>
      <c r="F1070" s="9">
        <v>0.10349999999999999</v>
      </c>
      <c r="G1070" s="9">
        <v>0.10349999999999999</v>
      </c>
      <c r="H1070" s="15">
        <f t="shared" si="32"/>
        <v>2300</v>
      </c>
    </row>
    <row r="1071" spans="1:8" x14ac:dyDescent="0.25">
      <c r="A1071" s="13">
        <v>44819</v>
      </c>
      <c r="B1071" s="15" t="s">
        <v>21</v>
      </c>
      <c r="C1071" s="3">
        <v>11</v>
      </c>
      <c r="D1071" s="13">
        <f t="shared" si="31"/>
        <v>44830</v>
      </c>
      <c r="E1071" s="15">
        <v>300</v>
      </c>
      <c r="F1071" s="9">
        <v>0.10349999999999999</v>
      </c>
      <c r="G1071" s="9">
        <v>0.10349999999999999</v>
      </c>
      <c r="H1071" s="15">
        <f t="shared" si="32"/>
        <v>2600</v>
      </c>
    </row>
    <row r="1072" spans="1:8" x14ac:dyDescent="0.25">
      <c r="A1072" s="13">
        <v>44820</v>
      </c>
      <c r="B1072" s="15" t="s">
        <v>21</v>
      </c>
      <c r="C1072" s="3">
        <v>3</v>
      </c>
      <c r="D1072" s="13">
        <f t="shared" si="31"/>
        <v>44823</v>
      </c>
      <c r="E1072" s="15">
        <v>300</v>
      </c>
      <c r="F1072" s="9">
        <v>0.10249999999999999</v>
      </c>
      <c r="G1072" s="9">
        <v>0.10249999999999999</v>
      </c>
      <c r="H1072" s="15">
        <f t="shared" si="32"/>
        <v>3900</v>
      </c>
    </row>
    <row r="1073" spans="1:8" x14ac:dyDescent="0.25">
      <c r="A1073" s="13">
        <v>44820</v>
      </c>
      <c r="B1073" s="15" t="s">
        <v>21</v>
      </c>
      <c r="C1073" s="3">
        <v>4</v>
      </c>
      <c r="D1073" s="13">
        <f t="shared" si="31"/>
        <v>44824</v>
      </c>
      <c r="E1073" s="15">
        <v>600</v>
      </c>
      <c r="F1073" s="9">
        <v>0.10249999999999999</v>
      </c>
      <c r="G1073" s="9">
        <v>0.10249999999999999</v>
      </c>
      <c r="H1073" s="15">
        <f t="shared" si="32"/>
        <v>3900</v>
      </c>
    </row>
    <row r="1074" spans="1:8" x14ac:dyDescent="0.25">
      <c r="A1074" s="13">
        <v>44820</v>
      </c>
      <c r="B1074" s="15" t="s">
        <v>21</v>
      </c>
      <c r="C1074" s="3">
        <v>10</v>
      </c>
      <c r="D1074" s="13">
        <f t="shared" si="31"/>
        <v>44830</v>
      </c>
      <c r="E1074" s="15">
        <v>400</v>
      </c>
      <c r="F1074" s="9">
        <v>0.10349999999999999</v>
      </c>
      <c r="G1074" s="9">
        <v>0.10349999999999999</v>
      </c>
      <c r="H1074" s="15">
        <f t="shared" si="32"/>
        <v>3900</v>
      </c>
    </row>
    <row r="1075" spans="1:8" x14ac:dyDescent="0.25">
      <c r="A1075" s="13">
        <v>44823</v>
      </c>
      <c r="B1075" s="15" t="s">
        <v>21</v>
      </c>
      <c r="C1075" s="3">
        <v>1</v>
      </c>
      <c r="D1075" s="13">
        <f t="shared" si="31"/>
        <v>44824</v>
      </c>
      <c r="E1075" s="15">
        <v>400</v>
      </c>
      <c r="F1075" s="9">
        <v>0.10249999999999999</v>
      </c>
      <c r="G1075" s="9">
        <v>0.10249999999999999</v>
      </c>
      <c r="H1075" s="15">
        <f t="shared" si="32"/>
        <v>6800</v>
      </c>
    </row>
    <row r="1076" spans="1:8" x14ac:dyDescent="0.25">
      <c r="A1076" s="13">
        <v>44823</v>
      </c>
      <c r="B1076" s="15" t="s">
        <v>21</v>
      </c>
      <c r="C1076" s="3">
        <v>2</v>
      </c>
      <c r="D1076" s="13">
        <f t="shared" si="31"/>
        <v>44825</v>
      </c>
      <c r="E1076" s="15">
        <v>2400</v>
      </c>
      <c r="F1076" s="9">
        <v>0.10249999999999999</v>
      </c>
      <c r="G1076" s="9">
        <v>0.10249999999999999</v>
      </c>
      <c r="H1076" s="15">
        <f t="shared" si="32"/>
        <v>6800</v>
      </c>
    </row>
    <row r="1077" spans="1:8" x14ac:dyDescent="0.25">
      <c r="A1077" s="13">
        <v>44823</v>
      </c>
      <c r="B1077" s="15" t="s">
        <v>21</v>
      </c>
      <c r="C1077" s="3">
        <v>3</v>
      </c>
      <c r="D1077" s="13">
        <f t="shared" si="31"/>
        <v>44826</v>
      </c>
      <c r="E1077" s="15">
        <v>200</v>
      </c>
      <c r="F1077" s="9">
        <v>0.10249999999999999</v>
      </c>
      <c r="G1077" s="9">
        <v>0.10249999999999999</v>
      </c>
      <c r="H1077" s="15">
        <f t="shared" si="32"/>
        <v>6800</v>
      </c>
    </row>
    <row r="1078" spans="1:8" x14ac:dyDescent="0.25">
      <c r="A1078" s="13">
        <v>44823</v>
      </c>
      <c r="B1078" s="15" t="s">
        <v>21</v>
      </c>
      <c r="C1078" s="3">
        <v>7</v>
      </c>
      <c r="D1078" s="13">
        <f t="shared" ref="D1078:D1102" si="33">+A1078+C1078</f>
        <v>44830</v>
      </c>
      <c r="E1078" s="15">
        <v>1400</v>
      </c>
      <c r="F1078" s="9">
        <v>0.10299999999999999</v>
      </c>
      <c r="G1078" s="9">
        <v>0.10299999999999999</v>
      </c>
      <c r="H1078" s="15">
        <f t="shared" si="32"/>
        <v>6800</v>
      </c>
    </row>
    <row r="1079" spans="1:8" x14ac:dyDescent="0.25">
      <c r="A1079" s="13">
        <v>44825</v>
      </c>
      <c r="B1079" s="15" t="s">
        <v>21</v>
      </c>
      <c r="C1079" s="3">
        <v>2</v>
      </c>
      <c r="D1079" s="13">
        <f t="shared" si="33"/>
        <v>44827</v>
      </c>
      <c r="E1079" s="15">
        <v>200</v>
      </c>
      <c r="F1079" s="9">
        <v>0.10249999999999999</v>
      </c>
      <c r="G1079" s="9">
        <v>0.10249999999999999</v>
      </c>
      <c r="H1079" s="15">
        <f t="shared" si="32"/>
        <v>3800</v>
      </c>
    </row>
    <row r="1080" spans="1:8" x14ac:dyDescent="0.25">
      <c r="A1080" s="13">
        <v>44825</v>
      </c>
      <c r="B1080" s="15" t="s">
        <v>21</v>
      </c>
      <c r="C1080" s="3">
        <v>5</v>
      </c>
      <c r="D1080" s="13">
        <f t="shared" si="33"/>
        <v>44830</v>
      </c>
      <c r="E1080" s="15">
        <v>200</v>
      </c>
      <c r="F1080" s="9">
        <v>0.10249999999999999</v>
      </c>
      <c r="G1080" s="9">
        <v>0.10249999999999999</v>
      </c>
      <c r="H1080" s="15">
        <f t="shared" si="32"/>
        <v>3800</v>
      </c>
    </row>
    <row r="1081" spans="1:8" x14ac:dyDescent="0.25">
      <c r="A1081" s="13">
        <v>44826</v>
      </c>
      <c r="B1081" s="15" t="s">
        <v>21</v>
      </c>
      <c r="C1081" s="3">
        <v>1</v>
      </c>
      <c r="D1081" s="13">
        <f t="shared" si="33"/>
        <v>44827</v>
      </c>
      <c r="E1081" s="15">
        <v>1000</v>
      </c>
      <c r="F1081" s="9">
        <v>0.10199999999999999</v>
      </c>
      <c r="G1081" s="9">
        <v>0.10249999999999999</v>
      </c>
      <c r="H1081" s="15">
        <f t="shared" si="32"/>
        <v>6900</v>
      </c>
    </row>
    <row r="1082" spans="1:8" x14ac:dyDescent="0.25">
      <c r="A1082" s="13">
        <v>44826</v>
      </c>
      <c r="B1082" s="15" t="s">
        <v>21</v>
      </c>
      <c r="C1082" s="3">
        <v>4</v>
      </c>
      <c r="D1082" s="13">
        <f t="shared" si="33"/>
        <v>44830</v>
      </c>
      <c r="E1082" s="15">
        <v>800</v>
      </c>
      <c r="F1082" s="9">
        <v>0.10249999999999999</v>
      </c>
      <c r="G1082" s="9">
        <v>0.10299999999999999</v>
      </c>
      <c r="H1082" s="15">
        <f t="shared" si="32"/>
        <v>6900</v>
      </c>
    </row>
    <row r="1083" spans="1:8" x14ac:dyDescent="0.25">
      <c r="A1083" s="13">
        <v>44826</v>
      </c>
      <c r="B1083" s="15" t="s">
        <v>21</v>
      </c>
      <c r="C1083" s="3">
        <v>5</v>
      </c>
      <c r="D1083" s="13">
        <f t="shared" si="33"/>
        <v>44831</v>
      </c>
      <c r="E1083" s="15">
        <v>600</v>
      </c>
      <c r="F1083" s="9">
        <v>0.10249999999999999</v>
      </c>
      <c r="G1083" s="9">
        <v>0.10249999999999999</v>
      </c>
      <c r="H1083" s="15">
        <f t="shared" si="32"/>
        <v>6900</v>
      </c>
    </row>
    <row r="1084" spans="1:8" x14ac:dyDescent="0.25">
      <c r="A1084" s="13">
        <v>44826</v>
      </c>
      <c r="B1084" s="15" t="s">
        <v>21</v>
      </c>
      <c r="C1084" s="3">
        <v>6</v>
      </c>
      <c r="D1084" s="13">
        <f t="shared" si="33"/>
        <v>44832</v>
      </c>
      <c r="E1084" s="15">
        <v>400</v>
      </c>
      <c r="F1084" s="9">
        <v>0.10299999999999999</v>
      </c>
      <c r="G1084" s="9">
        <v>0.10299999999999999</v>
      </c>
      <c r="H1084" s="15">
        <f t="shared" si="32"/>
        <v>6900</v>
      </c>
    </row>
    <row r="1085" spans="1:8" x14ac:dyDescent="0.25">
      <c r="A1085" s="13">
        <v>44826</v>
      </c>
      <c r="B1085" s="15" t="s">
        <v>21</v>
      </c>
      <c r="C1085" s="3">
        <v>7</v>
      </c>
      <c r="D1085" s="13">
        <f t="shared" si="33"/>
        <v>44833</v>
      </c>
      <c r="E1085" s="15">
        <v>500</v>
      </c>
      <c r="F1085" s="9">
        <v>0.10299999999999999</v>
      </c>
      <c r="G1085" s="9">
        <v>0.10299999999999999</v>
      </c>
      <c r="H1085" s="15">
        <f t="shared" si="32"/>
        <v>6900</v>
      </c>
    </row>
    <row r="1086" spans="1:8" x14ac:dyDescent="0.25">
      <c r="A1086" s="13">
        <v>44827</v>
      </c>
      <c r="B1086" s="15" t="s">
        <v>21</v>
      </c>
      <c r="C1086" s="3">
        <v>3</v>
      </c>
      <c r="D1086" s="13">
        <f t="shared" si="33"/>
        <v>44830</v>
      </c>
      <c r="E1086" s="15">
        <v>2250</v>
      </c>
      <c r="F1086" s="9">
        <v>0.10199999999999999</v>
      </c>
      <c r="G1086" s="9">
        <v>0.10199999999999999</v>
      </c>
      <c r="H1086" s="15">
        <f t="shared" si="32"/>
        <v>8850</v>
      </c>
    </row>
    <row r="1087" spans="1:8" x14ac:dyDescent="0.25">
      <c r="A1087" s="13">
        <v>44827</v>
      </c>
      <c r="B1087" s="15" t="s">
        <v>21</v>
      </c>
      <c r="C1087" s="3">
        <v>4</v>
      </c>
      <c r="D1087" s="13">
        <f t="shared" si="33"/>
        <v>44831</v>
      </c>
      <c r="E1087" s="15">
        <v>400</v>
      </c>
      <c r="F1087" s="9">
        <v>0.10199999999999999</v>
      </c>
      <c r="G1087" s="9">
        <v>0.10249999999999999</v>
      </c>
      <c r="H1087" s="15">
        <f t="shared" si="32"/>
        <v>8850</v>
      </c>
    </row>
    <row r="1088" spans="1:8" x14ac:dyDescent="0.25">
      <c r="A1088" s="13">
        <v>44827</v>
      </c>
      <c r="B1088" s="15" t="s">
        <v>21</v>
      </c>
      <c r="C1088" s="3">
        <v>5</v>
      </c>
      <c r="D1088" s="13">
        <f t="shared" si="33"/>
        <v>44832</v>
      </c>
      <c r="E1088" s="15">
        <v>400</v>
      </c>
      <c r="F1088" s="9">
        <v>0.10249999999999999</v>
      </c>
      <c r="G1088" s="9">
        <v>0.10249999999999999</v>
      </c>
      <c r="H1088" s="15">
        <f t="shared" si="32"/>
        <v>8850</v>
      </c>
    </row>
    <row r="1089" spans="1:8" x14ac:dyDescent="0.25">
      <c r="A1089" s="13">
        <v>44827</v>
      </c>
      <c r="B1089" s="15" t="s">
        <v>21</v>
      </c>
      <c r="C1089" s="3">
        <v>7</v>
      </c>
      <c r="D1089" s="13">
        <f t="shared" si="33"/>
        <v>44834</v>
      </c>
      <c r="E1089" s="15">
        <v>500</v>
      </c>
      <c r="F1089" s="9">
        <v>0.10299999999999999</v>
      </c>
      <c r="G1089" s="9">
        <v>0.10299999999999999</v>
      </c>
      <c r="H1089" s="15">
        <f t="shared" si="32"/>
        <v>8850</v>
      </c>
    </row>
    <row r="1090" spans="1:8" x14ac:dyDescent="0.25">
      <c r="A1090" s="13">
        <v>44830</v>
      </c>
      <c r="B1090" s="15" t="s">
        <v>21</v>
      </c>
      <c r="C1090" s="3">
        <v>1</v>
      </c>
      <c r="D1090" s="13">
        <f t="shared" si="33"/>
        <v>44831</v>
      </c>
      <c r="E1090" s="15">
        <v>-200</v>
      </c>
      <c r="F1090" s="9">
        <v>0.104</v>
      </c>
      <c r="G1090" s="9">
        <v>0.104</v>
      </c>
      <c r="H1090" s="15">
        <f t="shared" si="32"/>
        <v>2600</v>
      </c>
    </row>
    <row r="1091" spans="1:8" x14ac:dyDescent="0.25">
      <c r="A1091" s="13">
        <v>44831</v>
      </c>
      <c r="B1091" s="15" t="s">
        <v>21</v>
      </c>
      <c r="C1091" s="3">
        <v>3</v>
      </c>
      <c r="D1091" s="13">
        <f t="shared" si="33"/>
        <v>44834</v>
      </c>
      <c r="E1091" s="15">
        <v>500</v>
      </c>
      <c r="F1091" s="9">
        <v>0.10299999999999999</v>
      </c>
      <c r="G1091" s="9">
        <v>0.10299999999999999</v>
      </c>
      <c r="H1091" s="15">
        <f t="shared" si="32"/>
        <v>2500</v>
      </c>
    </row>
    <row r="1092" spans="1:8" x14ac:dyDescent="0.25">
      <c r="A1092" s="13">
        <v>44831</v>
      </c>
      <c r="B1092" s="15" t="s">
        <v>21</v>
      </c>
      <c r="C1092" s="3">
        <v>6</v>
      </c>
      <c r="D1092" s="13">
        <f t="shared" si="33"/>
        <v>44837</v>
      </c>
      <c r="E1092" s="15">
        <v>200</v>
      </c>
      <c r="F1092" s="9">
        <v>0.10299999999999999</v>
      </c>
      <c r="G1092" s="9">
        <v>0.10299999999999999</v>
      </c>
      <c r="H1092" s="15">
        <f t="shared" si="32"/>
        <v>2500</v>
      </c>
    </row>
    <row r="1093" spans="1:8" x14ac:dyDescent="0.25">
      <c r="A1093" s="13">
        <v>44832</v>
      </c>
      <c r="B1093" s="15" t="s">
        <v>21</v>
      </c>
      <c r="C1093" s="3">
        <v>2</v>
      </c>
      <c r="D1093" s="13">
        <f t="shared" si="33"/>
        <v>44834</v>
      </c>
      <c r="E1093" s="15">
        <v>4000</v>
      </c>
      <c r="F1093" s="9">
        <v>0.10249999999999999</v>
      </c>
      <c r="G1093" s="9">
        <v>0.10249999999999999</v>
      </c>
      <c r="H1093" s="15">
        <f t="shared" si="32"/>
        <v>5700</v>
      </c>
    </row>
    <row r="1094" spans="1:8" x14ac:dyDescent="0.25">
      <c r="A1094" s="13">
        <v>44837</v>
      </c>
      <c r="B1094" s="15" t="s">
        <v>21</v>
      </c>
      <c r="C1094" s="3">
        <v>1</v>
      </c>
      <c r="D1094" s="13">
        <f t="shared" si="33"/>
        <v>44838</v>
      </c>
      <c r="E1094" s="15">
        <v>-1800</v>
      </c>
      <c r="F1094" s="9">
        <v>0.105</v>
      </c>
      <c r="G1094" s="9">
        <v>0.105</v>
      </c>
      <c r="H1094" s="15">
        <f t="shared" si="32"/>
        <v>-1800</v>
      </c>
    </row>
    <row r="1095" spans="1:8" x14ac:dyDescent="0.25">
      <c r="A1095" s="13">
        <v>44838</v>
      </c>
      <c r="B1095" s="15" t="s">
        <v>21</v>
      </c>
      <c r="C1095" s="3">
        <v>1</v>
      </c>
      <c r="D1095" s="13">
        <f t="shared" si="33"/>
        <v>44839</v>
      </c>
      <c r="E1095" s="15">
        <v>-7200</v>
      </c>
      <c r="F1095" s="9">
        <v>0.104</v>
      </c>
      <c r="G1095" s="9">
        <v>0.106</v>
      </c>
      <c r="H1095" s="15">
        <f t="shared" si="32"/>
        <v>-7200</v>
      </c>
    </row>
    <row r="1096" spans="1:8" x14ac:dyDescent="0.25">
      <c r="A1096" s="13">
        <v>44839</v>
      </c>
      <c r="B1096" s="15" t="s">
        <v>21</v>
      </c>
      <c r="C1096" s="3">
        <v>1</v>
      </c>
      <c r="D1096" s="13">
        <f t="shared" si="33"/>
        <v>44840</v>
      </c>
      <c r="E1096" s="15">
        <v>-4400</v>
      </c>
      <c r="F1096" s="9">
        <v>0.105</v>
      </c>
      <c r="G1096" s="9">
        <v>0.105</v>
      </c>
      <c r="H1096" s="15">
        <f t="shared" si="32"/>
        <v>-4400</v>
      </c>
    </row>
    <row r="1097" spans="1:8" x14ac:dyDescent="0.25">
      <c r="A1097" s="13">
        <v>44840</v>
      </c>
      <c r="B1097" s="15" t="s">
        <v>21</v>
      </c>
      <c r="C1097" s="3">
        <v>1</v>
      </c>
      <c r="D1097" s="13">
        <f t="shared" si="33"/>
        <v>44841</v>
      </c>
      <c r="E1097" s="15">
        <v>-3900</v>
      </c>
      <c r="F1097" s="9">
        <v>0.105</v>
      </c>
      <c r="G1097" s="9">
        <v>0.1055</v>
      </c>
      <c r="H1097" s="15">
        <f t="shared" si="32"/>
        <v>-3900</v>
      </c>
    </row>
    <row r="1098" spans="1:8" x14ac:dyDescent="0.25">
      <c r="A1098" s="13">
        <v>44841</v>
      </c>
      <c r="B1098" s="15" t="s">
        <v>21</v>
      </c>
      <c r="C1098" s="3">
        <v>5</v>
      </c>
      <c r="D1098" s="13">
        <f t="shared" si="33"/>
        <v>44846</v>
      </c>
      <c r="E1098" s="15">
        <v>2500</v>
      </c>
      <c r="F1098" s="9">
        <v>0.1075</v>
      </c>
      <c r="G1098" s="9">
        <v>0.1075</v>
      </c>
      <c r="H1098" s="15">
        <f t="shared" ref="H1098:H1161" si="34">+SUMIFS($E$10:$E$4503,$A$10:$A$4503,"&lt;="&amp;A1098,$D$10:$D$4503,"&gt;"&amp;A1098)</f>
        <v>3500</v>
      </c>
    </row>
    <row r="1099" spans="1:8" x14ac:dyDescent="0.25">
      <c r="A1099" s="13">
        <v>44841</v>
      </c>
      <c r="B1099" s="15" t="s">
        <v>21</v>
      </c>
      <c r="C1099" s="3">
        <v>6</v>
      </c>
      <c r="D1099" s="13">
        <f t="shared" si="33"/>
        <v>44847</v>
      </c>
      <c r="E1099" s="15">
        <v>1000</v>
      </c>
      <c r="F1099" s="9">
        <v>0.1075</v>
      </c>
      <c r="G1099" s="9">
        <v>0.1075</v>
      </c>
      <c r="H1099" s="15">
        <f t="shared" si="34"/>
        <v>3500</v>
      </c>
    </row>
    <row r="1100" spans="1:8" x14ac:dyDescent="0.25">
      <c r="A1100" s="13">
        <v>44845</v>
      </c>
      <c r="B1100" s="15" t="s">
        <v>21</v>
      </c>
      <c r="C1100" s="3">
        <v>2</v>
      </c>
      <c r="D1100" s="13">
        <f t="shared" si="33"/>
        <v>44847</v>
      </c>
      <c r="E1100" s="15">
        <v>400</v>
      </c>
      <c r="F1100" s="9">
        <v>0.1075</v>
      </c>
      <c r="G1100" s="9">
        <v>0.1075</v>
      </c>
      <c r="H1100" s="15">
        <f t="shared" si="34"/>
        <v>4300</v>
      </c>
    </row>
    <row r="1101" spans="1:8" x14ac:dyDescent="0.25">
      <c r="A1101" s="13">
        <v>44845</v>
      </c>
      <c r="B1101" s="15" t="s">
        <v>21</v>
      </c>
      <c r="C1101" s="3">
        <v>7</v>
      </c>
      <c r="D1101" s="13">
        <f t="shared" si="33"/>
        <v>44852</v>
      </c>
      <c r="E1101" s="15">
        <v>400</v>
      </c>
      <c r="F1101" s="9">
        <v>0.108</v>
      </c>
      <c r="G1101" s="9">
        <v>0.108</v>
      </c>
      <c r="H1101" s="15">
        <f t="shared" si="34"/>
        <v>4300</v>
      </c>
    </row>
    <row r="1102" spans="1:8" x14ac:dyDescent="0.25">
      <c r="A1102" s="13">
        <v>44851</v>
      </c>
      <c r="B1102" s="15" t="s">
        <v>21</v>
      </c>
      <c r="C1102" s="3">
        <v>2</v>
      </c>
      <c r="D1102" s="13">
        <f t="shared" si="33"/>
        <v>44853</v>
      </c>
      <c r="E1102" s="15">
        <v>200</v>
      </c>
      <c r="F1102" s="9">
        <v>0.1075</v>
      </c>
      <c r="G1102" s="9">
        <v>0.1075</v>
      </c>
      <c r="H1102" s="15">
        <f t="shared" si="34"/>
        <v>3850</v>
      </c>
    </row>
    <row r="1103" spans="1:8" x14ac:dyDescent="0.25">
      <c r="A1103" s="13">
        <v>44851</v>
      </c>
      <c r="B1103" s="15" t="s">
        <v>21</v>
      </c>
      <c r="C1103" s="3">
        <v>3</v>
      </c>
      <c r="D1103" s="13">
        <f t="shared" ref="D1103:D1166" si="35">+A1103+C1103</f>
        <v>44854</v>
      </c>
      <c r="E1103" s="15">
        <v>200</v>
      </c>
      <c r="F1103" s="9">
        <v>0.1075</v>
      </c>
      <c r="G1103" s="9">
        <v>0.1075</v>
      </c>
      <c r="H1103" s="15">
        <f t="shared" si="34"/>
        <v>3850</v>
      </c>
    </row>
    <row r="1104" spans="1:8" x14ac:dyDescent="0.25">
      <c r="A1104" s="13">
        <v>44851</v>
      </c>
      <c r="B1104" s="15" t="s">
        <v>21</v>
      </c>
      <c r="C1104" s="3">
        <v>4</v>
      </c>
      <c r="D1104" s="13">
        <f t="shared" si="35"/>
        <v>44855</v>
      </c>
      <c r="E1104" s="15">
        <v>2000</v>
      </c>
      <c r="F1104" s="9">
        <v>0.1075</v>
      </c>
      <c r="G1104" s="9">
        <v>0.1075</v>
      </c>
      <c r="H1104" s="15">
        <f t="shared" si="34"/>
        <v>3850</v>
      </c>
    </row>
    <row r="1105" spans="1:8" x14ac:dyDescent="0.25">
      <c r="A1105" s="13">
        <v>44851</v>
      </c>
      <c r="B1105" s="15" t="s">
        <v>21</v>
      </c>
      <c r="C1105" s="3">
        <v>7</v>
      </c>
      <c r="D1105" s="13">
        <f t="shared" si="35"/>
        <v>44858</v>
      </c>
      <c r="E1105" s="15">
        <v>1050</v>
      </c>
      <c r="F1105" s="9">
        <v>0.108</v>
      </c>
      <c r="G1105" s="9">
        <v>0.108</v>
      </c>
      <c r="H1105" s="15">
        <f t="shared" si="34"/>
        <v>3850</v>
      </c>
    </row>
    <row r="1106" spans="1:8" x14ac:dyDescent="0.25">
      <c r="A1106" s="13">
        <v>44858</v>
      </c>
      <c r="B1106" s="15" t="s">
        <v>21</v>
      </c>
      <c r="C1106" s="3">
        <v>1</v>
      </c>
      <c r="D1106" s="13">
        <f t="shared" si="35"/>
        <v>44859</v>
      </c>
      <c r="E1106" s="15">
        <v>500</v>
      </c>
      <c r="F1106" s="9">
        <v>0.107</v>
      </c>
      <c r="G1106" s="9">
        <v>0.1075</v>
      </c>
      <c r="H1106" s="15">
        <f t="shared" si="34"/>
        <v>6900</v>
      </c>
    </row>
    <row r="1107" spans="1:8" x14ac:dyDescent="0.25">
      <c r="A1107" s="13">
        <v>44858</v>
      </c>
      <c r="B1107" s="15" t="s">
        <v>21</v>
      </c>
      <c r="C1107" s="3">
        <v>2</v>
      </c>
      <c r="D1107" s="13">
        <f t="shared" si="35"/>
        <v>44860</v>
      </c>
      <c r="E1107" s="15">
        <v>3000</v>
      </c>
      <c r="F1107" s="9">
        <v>0.1075</v>
      </c>
      <c r="G1107" s="9">
        <v>0.1075</v>
      </c>
      <c r="H1107" s="15">
        <f t="shared" si="34"/>
        <v>6900</v>
      </c>
    </row>
    <row r="1108" spans="1:8" x14ac:dyDescent="0.25">
      <c r="A1108" s="13">
        <v>44858</v>
      </c>
      <c r="B1108" s="15" t="s">
        <v>21</v>
      </c>
      <c r="C1108" s="3">
        <v>4</v>
      </c>
      <c r="D1108" s="13">
        <f t="shared" si="35"/>
        <v>44862</v>
      </c>
      <c r="E1108" s="15">
        <v>2800</v>
      </c>
      <c r="F1108" s="9">
        <v>0.108</v>
      </c>
      <c r="G1108" s="9">
        <v>0.108</v>
      </c>
      <c r="H1108" s="15">
        <f t="shared" si="34"/>
        <v>6900</v>
      </c>
    </row>
    <row r="1109" spans="1:8" x14ac:dyDescent="0.25">
      <c r="A1109" s="13">
        <v>44858</v>
      </c>
      <c r="B1109" s="15" t="s">
        <v>21</v>
      </c>
      <c r="C1109" s="3">
        <v>7</v>
      </c>
      <c r="D1109" s="13">
        <f t="shared" si="35"/>
        <v>44865</v>
      </c>
      <c r="E1109" s="15">
        <v>600</v>
      </c>
      <c r="F1109" s="9">
        <v>0.108</v>
      </c>
      <c r="G1109" s="9">
        <v>0.108</v>
      </c>
      <c r="H1109" s="15">
        <f t="shared" si="34"/>
        <v>6900</v>
      </c>
    </row>
    <row r="1110" spans="1:8" x14ac:dyDescent="0.25">
      <c r="A1110" s="13">
        <v>44859</v>
      </c>
      <c r="B1110" s="15" t="s">
        <v>21</v>
      </c>
      <c r="C1110" s="3">
        <v>2</v>
      </c>
      <c r="D1110" s="13">
        <f t="shared" si="35"/>
        <v>44861</v>
      </c>
      <c r="E1110" s="15">
        <v>600</v>
      </c>
      <c r="F1110" s="9">
        <v>0.1075</v>
      </c>
      <c r="G1110" s="9">
        <v>0.1075</v>
      </c>
      <c r="H1110" s="15">
        <f t="shared" si="34"/>
        <v>7400</v>
      </c>
    </row>
    <row r="1111" spans="1:8" x14ac:dyDescent="0.25">
      <c r="A1111" s="13">
        <v>44859</v>
      </c>
      <c r="B1111" s="15" t="s">
        <v>21</v>
      </c>
      <c r="C1111" s="3">
        <v>6</v>
      </c>
      <c r="D1111" s="13">
        <f t="shared" si="35"/>
        <v>44865</v>
      </c>
      <c r="E1111" s="15">
        <v>400</v>
      </c>
      <c r="F1111" s="9">
        <v>0.1075</v>
      </c>
      <c r="G1111" s="9">
        <v>0.1075</v>
      </c>
      <c r="H1111" s="15">
        <f t="shared" si="34"/>
        <v>7400</v>
      </c>
    </row>
    <row r="1112" spans="1:8" x14ac:dyDescent="0.25">
      <c r="A1112" s="13">
        <v>44860</v>
      </c>
      <c r="B1112" s="15" t="s">
        <v>21</v>
      </c>
      <c r="C1112" s="3">
        <v>1</v>
      </c>
      <c r="D1112" s="13">
        <f t="shared" si="35"/>
        <v>44861</v>
      </c>
      <c r="E1112" s="15">
        <v>-4200</v>
      </c>
      <c r="F1112" s="9">
        <v>0.109</v>
      </c>
      <c r="G1112" s="9">
        <v>0.1095</v>
      </c>
      <c r="H1112" s="15">
        <f t="shared" si="34"/>
        <v>200</v>
      </c>
    </row>
    <row r="1113" spans="1:8" x14ac:dyDescent="0.25">
      <c r="A1113" s="13">
        <v>44861</v>
      </c>
      <c r="B1113" s="15" t="s">
        <v>21</v>
      </c>
      <c r="C1113" s="3">
        <v>1</v>
      </c>
      <c r="D1113" s="13">
        <f t="shared" si="35"/>
        <v>44862</v>
      </c>
      <c r="E1113" s="15">
        <v>-5550</v>
      </c>
      <c r="F1113" s="9">
        <v>0.1095</v>
      </c>
      <c r="G1113" s="9">
        <v>0.1095</v>
      </c>
      <c r="H1113" s="15">
        <f t="shared" si="34"/>
        <v>-2250</v>
      </c>
    </row>
    <row r="1114" spans="1:8" x14ac:dyDescent="0.25">
      <c r="A1114" s="13">
        <v>44861</v>
      </c>
      <c r="B1114" s="15" t="s">
        <v>21</v>
      </c>
      <c r="C1114" s="3">
        <v>4</v>
      </c>
      <c r="D1114" s="13">
        <f t="shared" si="35"/>
        <v>44865</v>
      </c>
      <c r="E1114" s="15">
        <v>-500</v>
      </c>
      <c r="F1114" s="9">
        <v>0.11</v>
      </c>
      <c r="G1114" s="9">
        <v>0.11</v>
      </c>
      <c r="H1114" s="15">
        <f t="shared" si="34"/>
        <v>-2250</v>
      </c>
    </row>
    <row r="1115" spans="1:8" x14ac:dyDescent="0.25">
      <c r="A1115" s="13">
        <v>44862</v>
      </c>
      <c r="B1115" s="15" t="s">
        <v>21</v>
      </c>
      <c r="C1115" s="3">
        <v>3</v>
      </c>
      <c r="D1115" s="13">
        <f t="shared" si="35"/>
        <v>44865</v>
      </c>
      <c r="E1115" s="15">
        <v>-8000</v>
      </c>
      <c r="F1115" s="9">
        <v>0.109</v>
      </c>
      <c r="G1115" s="9">
        <v>0.11</v>
      </c>
      <c r="H1115" s="15">
        <f t="shared" si="34"/>
        <v>-10600</v>
      </c>
    </row>
    <row r="1116" spans="1:8" x14ac:dyDescent="0.25">
      <c r="A1116" s="13">
        <v>44862</v>
      </c>
      <c r="B1116" s="15" t="s">
        <v>21</v>
      </c>
      <c r="C1116" s="3">
        <v>4</v>
      </c>
      <c r="D1116" s="13">
        <f t="shared" si="35"/>
        <v>44866</v>
      </c>
      <c r="E1116" s="15">
        <v>-3100</v>
      </c>
      <c r="F1116" s="9">
        <v>0.11</v>
      </c>
      <c r="G1116" s="9">
        <v>0.1105</v>
      </c>
      <c r="H1116" s="15">
        <f t="shared" si="34"/>
        <v>-10600</v>
      </c>
    </row>
    <row r="1117" spans="1:8" x14ac:dyDescent="0.25">
      <c r="A1117" s="13">
        <v>44865</v>
      </c>
      <c r="B1117" s="15" t="s">
        <v>21</v>
      </c>
      <c r="C1117" s="3">
        <v>1</v>
      </c>
      <c r="D1117" s="13">
        <f t="shared" si="35"/>
        <v>44866</v>
      </c>
      <c r="E1117" s="15">
        <v>-2050</v>
      </c>
      <c r="F1117" s="9">
        <v>0.109</v>
      </c>
      <c r="G1117" s="9">
        <v>0.1095</v>
      </c>
      <c r="H1117" s="15">
        <f t="shared" si="34"/>
        <v>-5150</v>
      </c>
    </row>
    <row r="1118" spans="1:8" x14ac:dyDescent="0.25">
      <c r="A1118" s="13">
        <v>44866</v>
      </c>
      <c r="B1118" s="15" t="s">
        <v>21</v>
      </c>
      <c r="C1118" s="3">
        <v>2</v>
      </c>
      <c r="D1118" s="13">
        <f t="shared" si="35"/>
        <v>44868</v>
      </c>
      <c r="E1118" s="15">
        <v>-5400</v>
      </c>
      <c r="F1118" s="9">
        <v>0.1095</v>
      </c>
      <c r="G1118" s="9">
        <v>0.1095</v>
      </c>
      <c r="H1118" s="15">
        <f t="shared" si="34"/>
        <v>-5400</v>
      </c>
    </row>
    <row r="1119" spans="1:8" x14ac:dyDescent="0.25">
      <c r="A1119" s="13">
        <v>44868</v>
      </c>
      <c r="B1119" s="15" t="s">
        <v>21</v>
      </c>
      <c r="C1119" s="3">
        <v>1</v>
      </c>
      <c r="D1119" s="13">
        <f t="shared" si="35"/>
        <v>44869</v>
      </c>
      <c r="E1119" s="15">
        <v>-4900</v>
      </c>
      <c r="F1119" s="9">
        <v>0.1095</v>
      </c>
      <c r="G1119" s="9">
        <v>0.1095</v>
      </c>
      <c r="H1119" s="15">
        <f t="shared" si="34"/>
        <v>-4900</v>
      </c>
    </row>
    <row r="1120" spans="1:8" x14ac:dyDescent="0.25">
      <c r="A1120" s="13">
        <v>44869</v>
      </c>
      <c r="B1120" s="15" t="s">
        <v>21</v>
      </c>
      <c r="C1120" s="3">
        <v>3</v>
      </c>
      <c r="D1120" s="13">
        <f t="shared" si="35"/>
        <v>44872</v>
      </c>
      <c r="E1120" s="15">
        <v>-3400</v>
      </c>
      <c r="F1120" s="9">
        <v>0.1095</v>
      </c>
      <c r="G1120" s="9">
        <v>0.1095</v>
      </c>
      <c r="H1120" s="15">
        <f t="shared" si="34"/>
        <v>-3400</v>
      </c>
    </row>
    <row r="1121" spans="1:8" x14ac:dyDescent="0.25">
      <c r="A1121" s="13">
        <v>44872</v>
      </c>
      <c r="B1121" s="15" t="s">
        <v>21</v>
      </c>
      <c r="C1121" s="3">
        <v>1</v>
      </c>
      <c r="D1121" s="13">
        <f t="shared" si="35"/>
        <v>44873</v>
      </c>
      <c r="E1121" s="15">
        <v>-1700</v>
      </c>
      <c r="F1121" s="9">
        <v>0.1095</v>
      </c>
      <c r="G1121" s="9">
        <v>0.11</v>
      </c>
      <c r="H1121" s="15">
        <f t="shared" si="34"/>
        <v>-1700</v>
      </c>
    </row>
    <row r="1122" spans="1:8" x14ac:dyDescent="0.25">
      <c r="A1122" s="13">
        <v>44873</v>
      </c>
      <c r="B1122" s="15" t="s">
        <v>21</v>
      </c>
      <c r="C1122" s="3">
        <v>1</v>
      </c>
      <c r="D1122" s="13">
        <f t="shared" si="35"/>
        <v>44874</v>
      </c>
      <c r="E1122" s="15">
        <v>-2700</v>
      </c>
      <c r="F1122" s="9">
        <v>0.109</v>
      </c>
      <c r="G1122" s="9">
        <v>0.109</v>
      </c>
      <c r="H1122" s="15">
        <f t="shared" si="34"/>
        <v>-2700</v>
      </c>
    </row>
    <row r="1123" spans="1:8" x14ac:dyDescent="0.25">
      <c r="A1123" s="13">
        <v>44874</v>
      </c>
      <c r="B1123" s="15" t="s">
        <v>21</v>
      </c>
      <c r="C1123" s="3">
        <v>1</v>
      </c>
      <c r="D1123" s="13">
        <f t="shared" si="35"/>
        <v>44875</v>
      </c>
      <c r="E1123" s="15">
        <v>-4000</v>
      </c>
      <c r="F1123" s="9">
        <v>0.109</v>
      </c>
      <c r="G1123" s="9">
        <v>0.109</v>
      </c>
      <c r="H1123" s="15">
        <f t="shared" si="34"/>
        <v>-4000</v>
      </c>
    </row>
    <row r="1124" spans="1:8" x14ac:dyDescent="0.25">
      <c r="A1124" s="13">
        <v>44875</v>
      </c>
      <c r="B1124" s="15" t="s">
        <v>21</v>
      </c>
      <c r="C1124" s="3">
        <v>1</v>
      </c>
      <c r="D1124" s="13">
        <f t="shared" si="35"/>
        <v>44876</v>
      </c>
      <c r="E1124" s="15">
        <v>-1700</v>
      </c>
      <c r="F1124" s="9">
        <v>0.109</v>
      </c>
      <c r="G1124" s="9">
        <v>0.1095</v>
      </c>
      <c r="H1124" s="15">
        <f t="shared" si="34"/>
        <v>-1700</v>
      </c>
    </row>
    <row r="1125" spans="1:8" x14ac:dyDescent="0.25">
      <c r="A1125" s="13">
        <v>44876</v>
      </c>
      <c r="B1125" s="15" t="s">
        <v>21</v>
      </c>
      <c r="C1125" s="3">
        <v>3</v>
      </c>
      <c r="D1125" s="13">
        <f t="shared" si="35"/>
        <v>44879</v>
      </c>
      <c r="E1125" s="15">
        <v>-1100</v>
      </c>
      <c r="F1125" s="9">
        <v>0.109</v>
      </c>
      <c r="G1125" s="9">
        <v>0.109</v>
      </c>
      <c r="H1125" s="15">
        <f t="shared" si="34"/>
        <v>-1100</v>
      </c>
    </row>
    <row r="1126" spans="1:8" x14ac:dyDescent="0.25">
      <c r="A1126" s="13">
        <v>44879</v>
      </c>
      <c r="B1126" s="15" t="s">
        <v>21</v>
      </c>
      <c r="C1126" s="3">
        <v>1</v>
      </c>
      <c r="D1126" s="13">
        <f t="shared" si="35"/>
        <v>44880</v>
      </c>
      <c r="E1126" s="15">
        <v>-1000</v>
      </c>
      <c r="F1126" s="9">
        <v>0.109</v>
      </c>
      <c r="G1126" s="9">
        <v>0.109</v>
      </c>
      <c r="H1126" s="15">
        <f t="shared" si="34"/>
        <v>-1000</v>
      </c>
    </row>
    <row r="1127" spans="1:8" x14ac:dyDescent="0.25">
      <c r="A1127" s="13">
        <v>44881</v>
      </c>
      <c r="B1127" s="15" t="s">
        <v>21</v>
      </c>
      <c r="C1127" s="3">
        <v>2</v>
      </c>
      <c r="D1127" s="13">
        <f t="shared" si="35"/>
        <v>44883</v>
      </c>
      <c r="E1127" s="15">
        <v>1000</v>
      </c>
      <c r="F1127" s="9">
        <v>0.112</v>
      </c>
      <c r="G1127" s="9">
        <v>0.112</v>
      </c>
      <c r="H1127" s="15">
        <f t="shared" si="34"/>
        <v>4050</v>
      </c>
    </row>
    <row r="1128" spans="1:8" x14ac:dyDescent="0.25">
      <c r="A1128" s="13">
        <v>44881</v>
      </c>
      <c r="B1128" s="15" t="s">
        <v>21</v>
      </c>
      <c r="C1128" s="3">
        <v>7</v>
      </c>
      <c r="D1128" s="13">
        <f t="shared" si="35"/>
        <v>44888</v>
      </c>
      <c r="E1128" s="15">
        <v>1850</v>
      </c>
      <c r="F1128" s="9">
        <v>0.1125</v>
      </c>
      <c r="G1128" s="9">
        <v>0.113</v>
      </c>
      <c r="H1128" s="15">
        <f t="shared" si="34"/>
        <v>4050</v>
      </c>
    </row>
    <row r="1129" spans="1:8" x14ac:dyDescent="0.25">
      <c r="A1129" s="13">
        <v>44881</v>
      </c>
      <c r="B1129" s="15" t="s">
        <v>21</v>
      </c>
      <c r="C1129" s="3">
        <v>8</v>
      </c>
      <c r="D1129" s="13">
        <f t="shared" si="35"/>
        <v>44889</v>
      </c>
      <c r="E1129" s="15">
        <v>200</v>
      </c>
      <c r="F1129" s="9">
        <v>0.113</v>
      </c>
      <c r="G1129" s="9">
        <v>0.113</v>
      </c>
      <c r="H1129" s="15">
        <f t="shared" si="34"/>
        <v>4050</v>
      </c>
    </row>
    <row r="1130" spans="1:8" x14ac:dyDescent="0.25">
      <c r="A1130" s="13">
        <v>44881</v>
      </c>
      <c r="B1130" s="15" t="s">
        <v>21</v>
      </c>
      <c r="C1130" s="3">
        <v>9</v>
      </c>
      <c r="D1130" s="13">
        <f t="shared" si="35"/>
        <v>44890</v>
      </c>
      <c r="E1130" s="15">
        <v>200</v>
      </c>
      <c r="F1130" s="9">
        <v>0.113</v>
      </c>
      <c r="G1130" s="9">
        <v>0.113</v>
      </c>
      <c r="H1130" s="15">
        <f t="shared" si="34"/>
        <v>4050</v>
      </c>
    </row>
    <row r="1131" spans="1:8" x14ac:dyDescent="0.25">
      <c r="A1131" s="13">
        <v>44881</v>
      </c>
      <c r="B1131" s="15" t="s">
        <v>21</v>
      </c>
      <c r="C1131" s="3">
        <v>14</v>
      </c>
      <c r="D1131" s="13">
        <f t="shared" si="35"/>
        <v>44895</v>
      </c>
      <c r="E1131" s="15">
        <v>800</v>
      </c>
      <c r="F1131" s="9">
        <v>0.1135</v>
      </c>
      <c r="G1131" s="9">
        <v>0.1135</v>
      </c>
      <c r="H1131" s="15">
        <f t="shared" si="34"/>
        <v>4050</v>
      </c>
    </row>
    <row r="1132" spans="1:8" x14ac:dyDescent="0.25">
      <c r="A1132" s="13">
        <v>44882</v>
      </c>
      <c r="B1132" s="15" t="s">
        <v>21</v>
      </c>
      <c r="C1132" s="3">
        <v>1</v>
      </c>
      <c r="D1132" s="13">
        <f t="shared" si="35"/>
        <v>44883</v>
      </c>
      <c r="E1132" s="15">
        <v>200</v>
      </c>
      <c r="F1132" s="9">
        <v>0.112</v>
      </c>
      <c r="G1132" s="9">
        <v>0.112</v>
      </c>
      <c r="H1132" s="15">
        <f t="shared" si="34"/>
        <v>4950</v>
      </c>
    </row>
    <row r="1133" spans="1:8" x14ac:dyDescent="0.25">
      <c r="A1133" s="13">
        <v>44882</v>
      </c>
      <c r="B1133" s="15" t="s">
        <v>21</v>
      </c>
      <c r="C1133" s="3">
        <v>5</v>
      </c>
      <c r="D1133" s="13">
        <f t="shared" si="35"/>
        <v>44887</v>
      </c>
      <c r="E1133" s="15">
        <v>700</v>
      </c>
      <c r="F1133" s="9">
        <v>0.1125</v>
      </c>
      <c r="G1133" s="9">
        <v>0.1125</v>
      </c>
      <c r="H1133" s="15">
        <f t="shared" si="34"/>
        <v>4950</v>
      </c>
    </row>
    <row r="1134" spans="1:8" x14ac:dyDescent="0.25">
      <c r="A1134" s="13">
        <v>44883</v>
      </c>
      <c r="B1134" s="15" t="s">
        <v>21</v>
      </c>
      <c r="C1134" s="3">
        <v>7</v>
      </c>
      <c r="D1134" s="13">
        <f t="shared" si="35"/>
        <v>44890</v>
      </c>
      <c r="E1134" s="15">
        <v>400</v>
      </c>
      <c r="F1134" s="9">
        <v>0.1125</v>
      </c>
      <c r="G1134" s="9">
        <v>0.1125</v>
      </c>
      <c r="H1134" s="15">
        <f t="shared" si="34"/>
        <v>4750</v>
      </c>
    </row>
    <row r="1135" spans="1:8" x14ac:dyDescent="0.25">
      <c r="A1135" s="13">
        <v>44883</v>
      </c>
      <c r="B1135" s="15" t="s">
        <v>21</v>
      </c>
      <c r="C1135" s="3">
        <v>5</v>
      </c>
      <c r="D1135" s="13">
        <f t="shared" si="35"/>
        <v>44888</v>
      </c>
      <c r="E1135" s="15">
        <v>400</v>
      </c>
      <c r="F1135" s="9">
        <v>0.112</v>
      </c>
      <c r="G1135" s="9">
        <v>0.112</v>
      </c>
      <c r="H1135" s="15">
        <f t="shared" si="34"/>
        <v>4750</v>
      </c>
    </row>
    <row r="1136" spans="1:8" x14ac:dyDescent="0.25">
      <c r="A1136" s="13">
        <v>44883</v>
      </c>
      <c r="B1136" s="15" t="s">
        <v>21</v>
      </c>
      <c r="C1136" s="3">
        <v>4</v>
      </c>
      <c r="D1136" s="13">
        <f t="shared" si="35"/>
        <v>44887</v>
      </c>
      <c r="E1136" s="15">
        <v>200</v>
      </c>
      <c r="F1136" s="9">
        <v>0.112</v>
      </c>
      <c r="G1136" s="9">
        <v>0.112</v>
      </c>
      <c r="H1136" s="15">
        <f t="shared" si="34"/>
        <v>4750</v>
      </c>
    </row>
    <row r="1137" spans="1:8" x14ac:dyDescent="0.25">
      <c r="A1137" s="13">
        <v>44886</v>
      </c>
      <c r="B1137" s="15" t="s">
        <v>21</v>
      </c>
      <c r="C1137" s="3">
        <v>1</v>
      </c>
      <c r="D1137" s="13">
        <f t="shared" si="35"/>
        <v>44887</v>
      </c>
      <c r="E1137" s="15">
        <v>600</v>
      </c>
      <c r="F1137" s="9">
        <v>0.112</v>
      </c>
      <c r="G1137" s="9">
        <v>0.112</v>
      </c>
      <c r="H1137" s="15">
        <f t="shared" si="34"/>
        <v>10300</v>
      </c>
    </row>
    <row r="1138" spans="1:8" x14ac:dyDescent="0.25">
      <c r="A1138" s="13">
        <v>44886</v>
      </c>
      <c r="B1138" s="15" t="s">
        <v>21</v>
      </c>
      <c r="C1138" s="3">
        <v>2</v>
      </c>
      <c r="D1138" s="13">
        <f t="shared" si="35"/>
        <v>44888</v>
      </c>
      <c r="E1138" s="15">
        <v>400</v>
      </c>
      <c r="F1138" s="9">
        <v>0.112</v>
      </c>
      <c r="G1138" s="9">
        <v>0.112</v>
      </c>
      <c r="H1138" s="15">
        <f t="shared" si="34"/>
        <v>10300</v>
      </c>
    </row>
    <row r="1139" spans="1:8" x14ac:dyDescent="0.25">
      <c r="A1139" s="13">
        <v>44886</v>
      </c>
      <c r="B1139" s="15" t="s">
        <v>21</v>
      </c>
      <c r="C1139" s="3">
        <v>3</v>
      </c>
      <c r="D1139" s="13">
        <f t="shared" si="35"/>
        <v>44889</v>
      </c>
      <c r="E1139" s="15">
        <v>1000</v>
      </c>
      <c r="F1139" s="9">
        <v>0.1125</v>
      </c>
      <c r="G1139" s="9">
        <v>0.1125</v>
      </c>
      <c r="H1139" s="15">
        <f t="shared" si="34"/>
        <v>10300</v>
      </c>
    </row>
    <row r="1140" spans="1:8" x14ac:dyDescent="0.25">
      <c r="A1140" s="13">
        <v>44886</v>
      </c>
      <c r="B1140" s="15" t="s">
        <v>21</v>
      </c>
      <c r="C1140" s="3">
        <v>4</v>
      </c>
      <c r="D1140" s="13">
        <f t="shared" si="35"/>
        <v>44890</v>
      </c>
      <c r="E1140" s="15">
        <v>3000</v>
      </c>
      <c r="F1140" s="9">
        <v>0.1125</v>
      </c>
      <c r="G1140" s="9">
        <v>0.1125</v>
      </c>
      <c r="H1140" s="15">
        <f t="shared" si="34"/>
        <v>10300</v>
      </c>
    </row>
    <row r="1141" spans="1:8" x14ac:dyDescent="0.25">
      <c r="A1141" s="13">
        <v>44886</v>
      </c>
      <c r="B1141" s="15" t="s">
        <v>21</v>
      </c>
      <c r="C1141" s="3">
        <v>7</v>
      </c>
      <c r="D1141" s="13">
        <f t="shared" si="35"/>
        <v>44893</v>
      </c>
      <c r="E1141" s="15">
        <v>550</v>
      </c>
      <c r="F1141" s="9">
        <v>0.113</v>
      </c>
      <c r="G1141" s="9">
        <v>0.113</v>
      </c>
      <c r="H1141" s="15">
        <f t="shared" si="34"/>
        <v>10300</v>
      </c>
    </row>
    <row r="1142" spans="1:8" x14ac:dyDescent="0.25">
      <c r="A1142" s="13">
        <v>44887</v>
      </c>
      <c r="B1142" s="15" t="s">
        <v>21</v>
      </c>
      <c r="C1142" s="3">
        <v>2</v>
      </c>
      <c r="D1142" s="13">
        <f t="shared" si="35"/>
        <v>44889</v>
      </c>
      <c r="E1142" s="15">
        <v>780</v>
      </c>
      <c r="F1142" s="9">
        <v>0.112</v>
      </c>
      <c r="G1142" s="9">
        <v>0.112</v>
      </c>
      <c r="H1142" s="15">
        <f t="shared" si="34"/>
        <v>11980</v>
      </c>
    </row>
    <row r="1143" spans="1:8" x14ac:dyDescent="0.25">
      <c r="A1143" s="13">
        <v>44887</v>
      </c>
      <c r="B1143" s="15" t="s">
        <v>21</v>
      </c>
      <c r="C1143" s="3">
        <v>3</v>
      </c>
      <c r="D1143" s="13">
        <f t="shared" si="35"/>
        <v>44890</v>
      </c>
      <c r="E1143" s="15">
        <v>2400</v>
      </c>
      <c r="F1143" s="9">
        <v>0.1125</v>
      </c>
      <c r="G1143" s="9">
        <v>0.1125</v>
      </c>
      <c r="H1143" s="15">
        <f t="shared" si="34"/>
        <v>11980</v>
      </c>
    </row>
    <row r="1144" spans="1:8" x14ac:dyDescent="0.25">
      <c r="A1144" s="13">
        <v>44888</v>
      </c>
      <c r="B1144" s="15" t="s">
        <v>21</v>
      </c>
      <c r="C1144" s="3">
        <v>1</v>
      </c>
      <c r="D1144" s="13">
        <f t="shared" si="35"/>
        <v>44889</v>
      </c>
      <c r="E1144" s="15">
        <v>1200</v>
      </c>
      <c r="F1144" s="9">
        <v>0.1115</v>
      </c>
      <c r="G1144" s="9">
        <v>0.1115</v>
      </c>
      <c r="H1144" s="15">
        <f t="shared" si="34"/>
        <v>15530</v>
      </c>
    </row>
    <row r="1145" spans="1:8" x14ac:dyDescent="0.25">
      <c r="A1145" s="13">
        <v>44888</v>
      </c>
      <c r="B1145" s="15" t="s">
        <v>21</v>
      </c>
      <c r="C1145" s="3">
        <v>2</v>
      </c>
      <c r="D1145" s="13">
        <f t="shared" si="35"/>
        <v>44890</v>
      </c>
      <c r="E1145" s="15">
        <v>600</v>
      </c>
      <c r="F1145" s="9">
        <v>0.112</v>
      </c>
      <c r="G1145" s="9">
        <v>0.112</v>
      </c>
      <c r="H1145" s="15">
        <f t="shared" si="34"/>
        <v>15530</v>
      </c>
    </row>
    <row r="1146" spans="1:8" x14ac:dyDescent="0.25">
      <c r="A1146" s="13">
        <v>44888</v>
      </c>
      <c r="B1146" s="15" t="s">
        <v>21</v>
      </c>
      <c r="C1146" s="3">
        <v>5</v>
      </c>
      <c r="D1146" s="13">
        <f t="shared" si="35"/>
        <v>44893</v>
      </c>
      <c r="E1146" s="15">
        <v>2600</v>
      </c>
      <c r="F1146" s="9">
        <v>0.1125</v>
      </c>
      <c r="G1146" s="9">
        <v>0.1125</v>
      </c>
      <c r="H1146" s="15">
        <f t="shared" si="34"/>
        <v>15530</v>
      </c>
    </row>
    <row r="1147" spans="1:8" x14ac:dyDescent="0.25">
      <c r="A1147" s="13">
        <v>44888</v>
      </c>
      <c r="B1147" s="15" t="s">
        <v>21</v>
      </c>
      <c r="C1147" s="3">
        <v>7</v>
      </c>
      <c r="D1147" s="13">
        <f t="shared" si="35"/>
        <v>44895</v>
      </c>
      <c r="E1147" s="15">
        <v>1800</v>
      </c>
      <c r="F1147" s="9">
        <v>0.113</v>
      </c>
      <c r="G1147" s="9">
        <v>0.113</v>
      </c>
      <c r="H1147" s="15">
        <f t="shared" si="34"/>
        <v>15530</v>
      </c>
    </row>
    <row r="1148" spans="1:8" x14ac:dyDescent="0.25">
      <c r="A1148" s="13">
        <v>44889</v>
      </c>
      <c r="B1148" s="15" t="s">
        <v>21</v>
      </c>
      <c r="C1148" s="3">
        <v>6</v>
      </c>
      <c r="D1148" s="13">
        <f t="shared" si="35"/>
        <v>44895</v>
      </c>
      <c r="E1148" s="15">
        <v>500</v>
      </c>
      <c r="F1148" s="9">
        <v>0.1115</v>
      </c>
      <c r="G1148" s="9">
        <v>0.1115</v>
      </c>
      <c r="H1148" s="15">
        <f t="shared" si="34"/>
        <v>12850</v>
      </c>
    </row>
    <row r="1149" spans="1:8" x14ac:dyDescent="0.25">
      <c r="A1149" s="13">
        <v>44893</v>
      </c>
      <c r="B1149" s="15" t="s">
        <v>21</v>
      </c>
      <c r="C1149" s="3">
        <v>1</v>
      </c>
      <c r="D1149" s="13">
        <f t="shared" si="35"/>
        <v>44894</v>
      </c>
      <c r="E1149" s="15">
        <v>1450</v>
      </c>
      <c r="F1149" s="9">
        <v>0.1115</v>
      </c>
      <c r="G1149" s="9">
        <v>0.1115</v>
      </c>
      <c r="H1149" s="15">
        <f t="shared" si="34"/>
        <v>9050</v>
      </c>
    </row>
    <row r="1150" spans="1:8" x14ac:dyDescent="0.25">
      <c r="A1150" s="13">
        <v>44893</v>
      </c>
      <c r="B1150" s="15" t="s">
        <v>21</v>
      </c>
      <c r="C1150" s="3">
        <v>2</v>
      </c>
      <c r="D1150" s="13">
        <f t="shared" si="35"/>
        <v>44895</v>
      </c>
      <c r="E1150" s="15">
        <v>300</v>
      </c>
      <c r="F1150" s="9">
        <v>0.112</v>
      </c>
      <c r="G1150" s="9">
        <v>0.112</v>
      </c>
      <c r="H1150" s="15">
        <f t="shared" si="34"/>
        <v>9050</v>
      </c>
    </row>
    <row r="1151" spans="1:8" x14ac:dyDescent="0.25">
      <c r="A1151" s="13">
        <v>44893</v>
      </c>
      <c r="B1151" s="15" t="s">
        <v>21</v>
      </c>
      <c r="C1151" s="3">
        <v>3</v>
      </c>
      <c r="D1151" s="13">
        <f t="shared" si="35"/>
        <v>44896</v>
      </c>
      <c r="E1151" s="15">
        <v>4200</v>
      </c>
      <c r="F1151" s="9">
        <v>0.1125</v>
      </c>
      <c r="G1151" s="9">
        <v>0.1125</v>
      </c>
      <c r="H1151" s="15">
        <f t="shared" si="34"/>
        <v>9050</v>
      </c>
    </row>
    <row r="1152" spans="1:8" x14ac:dyDescent="0.25">
      <c r="A1152" s="13">
        <v>44894</v>
      </c>
      <c r="B1152" s="15" t="s">
        <v>21</v>
      </c>
      <c r="C1152" s="3">
        <v>2</v>
      </c>
      <c r="D1152" s="13">
        <f t="shared" si="35"/>
        <v>44896</v>
      </c>
      <c r="E1152" s="15">
        <v>3000</v>
      </c>
      <c r="F1152" s="9">
        <v>0.112</v>
      </c>
      <c r="G1152" s="9">
        <v>0.112</v>
      </c>
      <c r="H1152" s="15">
        <f t="shared" si="34"/>
        <v>10600</v>
      </c>
    </row>
    <row r="1153" spans="1:8" x14ac:dyDescent="0.25">
      <c r="A1153" s="13">
        <v>44895</v>
      </c>
      <c r="B1153" s="15" t="s">
        <v>21</v>
      </c>
      <c r="C1153" s="3">
        <v>1</v>
      </c>
      <c r="D1153" s="13">
        <f t="shared" si="35"/>
        <v>44896</v>
      </c>
      <c r="E1153" s="15">
        <v>-400</v>
      </c>
      <c r="F1153" s="9">
        <v>0.113</v>
      </c>
      <c r="G1153" s="9">
        <v>0.113</v>
      </c>
      <c r="H1153" s="15">
        <f t="shared" si="34"/>
        <v>6800</v>
      </c>
    </row>
    <row r="1154" spans="1:8" x14ac:dyDescent="0.25">
      <c r="A1154" s="13">
        <v>44896</v>
      </c>
      <c r="B1154" s="15" t="s">
        <v>21</v>
      </c>
      <c r="C1154" s="3">
        <v>4</v>
      </c>
      <c r="D1154" s="13">
        <f t="shared" si="35"/>
        <v>44900</v>
      </c>
      <c r="E1154" s="15">
        <v>-800</v>
      </c>
      <c r="F1154" s="9">
        <v>0.11550000000000001</v>
      </c>
      <c r="G1154" s="9">
        <v>0.11550000000000001</v>
      </c>
      <c r="H1154" s="15">
        <f t="shared" si="34"/>
        <v>-3400</v>
      </c>
    </row>
    <row r="1155" spans="1:8" x14ac:dyDescent="0.25">
      <c r="A1155" s="13">
        <v>44896</v>
      </c>
      <c r="B1155" s="15" t="s">
        <v>21</v>
      </c>
      <c r="C1155" s="3">
        <v>6</v>
      </c>
      <c r="D1155" s="13">
        <f t="shared" si="35"/>
        <v>44902</v>
      </c>
      <c r="E1155" s="15">
        <v>-1900</v>
      </c>
      <c r="F1155" s="9">
        <v>0.11550000000000001</v>
      </c>
      <c r="G1155" s="9">
        <v>0.11550000000000001</v>
      </c>
      <c r="H1155" s="15">
        <f t="shared" si="34"/>
        <v>-3400</v>
      </c>
    </row>
    <row r="1156" spans="1:8" x14ac:dyDescent="0.25">
      <c r="A1156" s="13">
        <v>44896</v>
      </c>
      <c r="B1156" s="15" t="s">
        <v>21</v>
      </c>
      <c r="C1156" s="3">
        <v>7</v>
      </c>
      <c r="D1156" s="13">
        <f t="shared" si="35"/>
        <v>44903</v>
      </c>
      <c r="E1156" s="15">
        <v>-700</v>
      </c>
      <c r="F1156" s="9">
        <v>0.11550000000000001</v>
      </c>
      <c r="G1156" s="9">
        <v>0.11550000000000001</v>
      </c>
      <c r="H1156" s="15">
        <f t="shared" si="34"/>
        <v>-3400</v>
      </c>
    </row>
    <row r="1157" spans="1:8" x14ac:dyDescent="0.25">
      <c r="A1157" s="13">
        <v>44901</v>
      </c>
      <c r="B1157" s="15" t="s">
        <v>21</v>
      </c>
      <c r="C1157" s="3">
        <v>6</v>
      </c>
      <c r="D1157" s="13">
        <f t="shared" si="35"/>
        <v>44907</v>
      </c>
      <c r="E1157" s="15">
        <v>800</v>
      </c>
      <c r="F1157" s="9">
        <v>0.1125</v>
      </c>
      <c r="G1157" s="9">
        <v>0.1125</v>
      </c>
      <c r="H1157" s="15">
        <f t="shared" si="34"/>
        <v>-1800</v>
      </c>
    </row>
    <row r="1158" spans="1:8" x14ac:dyDescent="0.25">
      <c r="A1158" s="13">
        <v>44902</v>
      </c>
      <c r="B1158" s="15" t="s">
        <v>21</v>
      </c>
      <c r="C1158" s="3">
        <v>2</v>
      </c>
      <c r="D1158" s="13">
        <f t="shared" si="35"/>
        <v>44904</v>
      </c>
      <c r="E1158" s="15">
        <v>-1400</v>
      </c>
      <c r="F1158" s="9">
        <v>0.115</v>
      </c>
      <c r="G1158" s="9">
        <v>0.115</v>
      </c>
      <c r="H1158" s="15">
        <f t="shared" si="34"/>
        <v>-1300</v>
      </c>
    </row>
    <row r="1159" spans="1:8" x14ac:dyDescent="0.25">
      <c r="A1159" s="13">
        <v>44904</v>
      </c>
      <c r="B1159" s="15" t="s">
        <v>21</v>
      </c>
      <c r="C1159" s="3">
        <v>3</v>
      </c>
      <c r="D1159" s="13">
        <f t="shared" si="35"/>
        <v>44907</v>
      </c>
      <c r="E1159" s="15">
        <v>-1200</v>
      </c>
      <c r="F1159" s="9">
        <v>0.1145</v>
      </c>
      <c r="G1159" s="9">
        <v>0.1145</v>
      </c>
      <c r="H1159" s="15">
        <f t="shared" si="34"/>
        <v>-2000</v>
      </c>
    </row>
    <row r="1160" spans="1:8" x14ac:dyDescent="0.25">
      <c r="A1160" s="13">
        <v>44904</v>
      </c>
      <c r="B1160" s="15" t="s">
        <v>21</v>
      </c>
      <c r="C1160" s="3">
        <v>4</v>
      </c>
      <c r="D1160" s="13">
        <f t="shared" si="35"/>
        <v>44908</v>
      </c>
      <c r="E1160" s="15">
        <v>-1600</v>
      </c>
      <c r="F1160" s="9">
        <v>0.115</v>
      </c>
      <c r="G1160" s="9">
        <v>0.115</v>
      </c>
      <c r="H1160" s="15">
        <f t="shared" si="34"/>
        <v>-2000</v>
      </c>
    </row>
    <row r="1161" spans="1:8" x14ac:dyDescent="0.25">
      <c r="A1161" s="13">
        <v>44907</v>
      </c>
      <c r="B1161" s="15" t="s">
        <v>21</v>
      </c>
      <c r="C1161" s="3">
        <v>1</v>
      </c>
      <c r="D1161" s="13">
        <f t="shared" si="35"/>
        <v>44908</v>
      </c>
      <c r="E1161" s="15">
        <v>-700</v>
      </c>
      <c r="F1161" s="9">
        <v>0.1145</v>
      </c>
      <c r="G1161" s="9">
        <v>0.1145</v>
      </c>
      <c r="H1161" s="15">
        <f t="shared" si="34"/>
        <v>-2300</v>
      </c>
    </row>
    <row r="1162" spans="1:8" x14ac:dyDescent="0.25">
      <c r="A1162" s="13">
        <v>44910</v>
      </c>
      <c r="B1162" s="15" t="s">
        <v>21</v>
      </c>
      <c r="C1162" s="3">
        <v>6</v>
      </c>
      <c r="D1162" s="13">
        <f t="shared" si="35"/>
        <v>44916</v>
      </c>
      <c r="E1162" s="15">
        <v>600</v>
      </c>
      <c r="F1162" s="9">
        <v>0.1125</v>
      </c>
      <c r="G1162" s="9">
        <v>0.1125</v>
      </c>
      <c r="H1162" s="15">
        <f t="shared" ref="H1162:H1225" si="36">+SUMIFS($E$10:$E$4503,$A$10:$A$4503,"&lt;="&amp;A1162,$D$10:$D$4503,"&gt;"&amp;A1162)</f>
        <v>1000</v>
      </c>
    </row>
    <row r="1163" spans="1:8" x14ac:dyDescent="0.25">
      <c r="A1163" s="13">
        <v>44910</v>
      </c>
      <c r="B1163" s="15" t="s">
        <v>21</v>
      </c>
      <c r="C1163" s="3">
        <v>7</v>
      </c>
      <c r="D1163" s="13">
        <f t="shared" si="35"/>
        <v>44917</v>
      </c>
      <c r="E1163" s="15">
        <v>400</v>
      </c>
      <c r="F1163" s="9">
        <v>0.1125</v>
      </c>
      <c r="G1163" s="9">
        <v>0.1125</v>
      </c>
      <c r="H1163" s="15">
        <f t="shared" si="36"/>
        <v>1000</v>
      </c>
    </row>
    <row r="1164" spans="1:8" x14ac:dyDescent="0.25">
      <c r="A1164" s="13">
        <v>44914</v>
      </c>
      <c r="B1164" s="15" t="s">
        <v>21</v>
      </c>
      <c r="C1164" s="3">
        <v>1</v>
      </c>
      <c r="D1164" s="13">
        <f t="shared" si="35"/>
        <v>44915</v>
      </c>
      <c r="E1164" s="15">
        <v>450</v>
      </c>
      <c r="F1164" s="9">
        <v>0.1115</v>
      </c>
      <c r="G1164" s="9">
        <v>0.112</v>
      </c>
      <c r="H1164" s="15">
        <f t="shared" si="36"/>
        <v>6050</v>
      </c>
    </row>
    <row r="1165" spans="1:8" x14ac:dyDescent="0.25">
      <c r="A1165" s="13">
        <v>44914</v>
      </c>
      <c r="B1165" s="15" t="s">
        <v>21</v>
      </c>
      <c r="C1165" s="3">
        <v>2</v>
      </c>
      <c r="D1165" s="13">
        <f t="shared" si="35"/>
        <v>44916</v>
      </c>
      <c r="E1165" s="15">
        <v>900</v>
      </c>
      <c r="F1165" s="9">
        <v>0.112</v>
      </c>
      <c r="G1165" s="9">
        <v>0.112</v>
      </c>
      <c r="H1165" s="15">
        <f t="shared" si="36"/>
        <v>6050</v>
      </c>
    </row>
    <row r="1166" spans="1:8" x14ac:dyDescent="0.25">
      <c r="A1166" s="13">
        <v>44914</v>
      </c>
      <c r="B1166" s="15" t="s">
        <v>21</v>
      </c>
      <c r="C1166" s="3">
        <v>3</v>
      </c>
      <c r="D1166" s="13">
        <f t="shared" si="35"/>
        <v>44917</v>
      </c>
      <c r="E1166" s="15">
        <v>900</v>
      </c>
      <c r="F1166" s="9">
        <v>0.112</v>
      </c>
      <c r="G1166" s="9">
        <v>0.1125</v>
      </c>
      <c r="H1166" s="15">
        <f t="shared" si="36"/>
        <v>6050</v>
      </c>
    </row>
    <row r="1167" spans="1:8" x14ac:dyDescent="0.25">
      <c r="A1167" s="13">
        <v>44914</v>
      </c>
      <c r="B1167" s="15" t="s">
        <v>21</v>
      </c>
      <c r="C1167" s="3">
        <v>4</v>
      </c>
      <c r="D1167" s="13">
        <f t="shared" ref="D1167:D1247" si="37">+A1167+C1167</f>
        <v>44918</v>
      </c>
      <c r="E1167" s="15">
        <v>800</v>
      </c>
      <c r="F1167" s="9">
        <v>0.1125</v>
      </c>
      <c r="G1167" s="9">
        <v>0.1125</v>
      </c>
      <c r="H1167" s="15">
        <f t="shared" si="36"/>
        <v>6050</v>
      </c>
    </row>
    <row r="1168" spans="1:8" x14ac:dyDescent="0.25">
      <c r="A1168" s="13">
        <v>44914</v>
      </c>
      <c r="B1168" s="15" t="s">
        <v>21</v>
      </c>
      <c r="C1168" s="3">
        <v>7</v>
      </c>
      <c r="D1168" s="13">
        <f t="shared" si="37"/>
        <v>44921</v>
      </c>
      <c r="E1168" s="15">
        <v>2000</v>
      </c>
      <c r="F1168" s="9">
        <v>0.1125</v>
      </c>
      <c r="G1168" s="9">
        <v>0.1125</v>
      </c>
      <c r="H1168" s="15">
        <f t="shared" si="36"/>
        <v>6050</v>
      </c>
    </row>
    <row r="1169" spans="1:8" x14ac:dyDescent="0.25">
      <c r="A1169" s="13">
        <v>44915</v>
      </c>
      <c r="B1169" s="15" t="s">
        <v>21</v>
      </c>
      <c r="C1169" s="3">
        <v>1</v>
      </c>
      <c r="D1169" s="13">
        <f t="shared" si="37"/>
        <v>44916</v>
      </c>
      <c r="E1169" s="15">
        <v>400</v>
      </c>
      <c r="F1169" s="9">
        <v>0.1115</v>
      </c>
      <c r="G1169" s="9">
        <v>0.1115</v>
      </c>
      <c r="H1169" s="15">
        <f t="shared" si="36"/>
        <v>8000</v>
      </c>
    </row>
    <row r="1170" spans="1:8" x14ac:dyDescent="0.25">
      <c r="A1170" s="13">
        <v>44915</v>
      </c>
      <c r="B1170" s="15" t="s">
        <v>21</v>
      </c>
      <c r="C1170" s="3">
        <v>3</v>
      </c>
      <c r="D1170" s="13">
        <f t="shared" si="37"/>
        <v>44918</v>
      </c>
      <c r="E1170" s="15">
        <v>600</v>
      </c>
      <c r="F1170" s="9">
        <v>0.112</v>
      </c>
      <c r="G1170" s="9">
        <v>0.112</v>
      </c>
      <c r="H1170" s="15">
        <f t="shared" si="36"/>
        <v>8000</v>
      </c>
    </row>
    <row r="1171" spans="1:8" x14ac:dyDescent="0.25">
      <c r="A1171" s="13">
        <v>44915</v>
      </c>
      <c r="B1171" s="15" t="s">
        <v>21</v>
      </c>
      <c r="C1171" s="3">
        <v>7</v>
      </c>
      <c r="D1171" s="13">
        <f t="shared" si="37"/>
        <v>44922</v>
      </c>
      <c r="E1171" s="15">
        <v>1400</v>
      </c>
      <c r="F1171" s="9">
        <v>0.1125</v>
      </c>
      <c r="G1171" s="9">
        <v>0.1125</v>
      </c>
      <c r="H1171" s="15">
        <f t="shared" si="36"/>
        <v>8000</v>
      </c>
    </row>
    <row r="1172" spans="1:8" x14ac:dyDescent="0.25">
      <c r="A1172" s="13">
        <v>44916</v>
      </c>
      <c r="B1172" s="15" t="s">
        <v>21</v>
      </c>
      <c r="C1172" s="3">
        <v>1</v>
      </c>
      <c r="D1172" s="13">
        <f t="shared" si="37"/>
        <v>44917</v>
      </c>
      <c r="E1172" s="15">
        <v>1600</v>
      </c>
      <c r="F1172" s="9">
        <v>0.1115</v>
      </c>
      <c r="G1172" s="9">
        <v>0.1115</v>
      </c>
      <c r="H1172" s="15">
        <f t="shared" si="36"/>
        <v>8700</v>
      </c>
    </row>
    <row r="1173" spans="1:8" x14ac:dyDescent="0.25">
      <c r="A1173" s="13">
        <v>44916</v>
      </c>
      <c r="B1173" s="15" t="s">
        <v>21</v>
      </c>
      <c r="C1173" s="3">
        <v>7</v>
      </c>
      <c r="D1173" s="13">
        <f t="shared" si="37"/>
        <v>44923</v>
      </c>
      <c r="E1173" s="15">
        <v>1000</v>
      </c>
      <c r="F1173" s="9">
        <v>0.1125</v>
      </c>
      <c r="G1173" s="9">
        <v>0.1125</v>
      </c>
      <c r="H1173" s="15">
        <f t="shared" si="36"/>
        <v>8700</v>
      </c>
    </row>
    <row r="1174" spans="1:8" x14ac:dyDescent="0.25">
      <c r="A1174" s="13">
        <v>44917</v>
      </c>
      <c r="B1174" s="15" t="s">
        <v>21</v>
      </c>
      <c r="C1174" s="3">
        <v>1</v>
      </c>
      <c r="D1174" s="13">
        <f t="shared" si="37"/>
        <v>44918</v>
      </c>
      <c r="E1174" s="15">
        <v>3500</v>
      </c>
      <c r="F1174" s="9">
        <v>0.11</v>
      </c>
      <c r="G1174" s="9">
        <v>0.1115</v>
      </c>
      <c r="H1174" s="15">
        <f t="shared" si="36"/>
        <v>14000</v>
      </c>
    </row>
    <row r="1175" spans="1:8" x14ac:dyDescent="0.25">
      <c r="A1175" s="13">
        <v>44917</v>
      </c>
      <c r="B1175" s="15" t="s">
        <v>21</v>
      </c>
      <c r="C1175" s="3">
        <v>4</v>
      </c>
      <c r="D1175" s="13">
        <f t="shared" si="37"/>
        <v>44921</v>
      </c>
      <c r="E1175" s="15">
        <v>1900</v>
      </c>
      <c r="F1175" s="9">
        <v>0.112</v>
      </c>
      <c r="G1175" s="9">
        <v>0.112</v>
      </c>
      <c r="H1175" s="15">
        <f t="shared" si="36"/>
        <v>14000</v>
      </c>
    </row>
    <row r="1176" spans="1:8" x14ac:dyDescent="0.25">
      <c r="A1176" s="13">
        <v>44917</v>
      </c>
      <c r="B1176" s="15" t="s">
        <v>21</v>
      </c>
      <c r="C1176" s="3">
        <v>7</v>
      </c>
      <c r="D1176" s="13">
        <f t="shared" si="37"/>
        <v>44924</v>
      </c>
      <c r="E1176" s="15">
        <v>2800</v>
      </c>
      <c r="F1176" s="9">
        <v>0.1125</v>
      </c>
      <c r="G1176" s="9">
        <v>0.1125</v>
      </c>
      <c r="H1176" s="15">
        <f t="shared" si="36"/>
        <v>14000</v>
      </c>
    </row>
    <row r="1177" spans="1:8" x14ac:dyDescent="0.25">
      <c r="A1177" s="13">
        <v>44918</v>
      </c>
      <c r="B1177" s="15" t="s">
        <v>21</v>
      </c>
      <c r="C1177" s="3">
        <v>3</v>
      </c>
      <c r="D1177" s="13">
        <f t="shared" si="37"/>
        <v>44921</v>
      </c>
      <c r="E1177" s="15">
        <v>1000</v>
      </c>
      <c r="F1177" s="9">
        <v>0.1115</v>
      </c>
      <c r="G1177" s="9">
        <v>0.1115</v>
      </c>
      <c r="H1177" s="15">
        <f t="shared" si="36"/>
        <v>15000</v>
      </c>
    </row>
    <row r="1178" spans="1:8" x14ac:dyDescent="0.25">
      <c r="A1178" s="13">
        <v>44918</v>
      </c>
      <c r="B1178" s="15" t="s">
        <v>21</v>
      </c>
      <c r="C1178" s="3">
        <v>4</v>
      </c>
      <c r="D1178" s="13">
        <f t="shared" si="37"/>
        <v>44922</v>
      </c>
      <c r="E1178" s="15">
        <v>1300</v>
      </c>
      <c r="F1178" s="9">
        <v>0.112</v>
      </c>
      <c r="G1178" s="9">
        <v>0.112</v>
      </c>
      <c r="H1178" s="15">
        <f t="shared" si="36"/>
        <v>15000</v>
      </c>
    </row>
    <row r="1179" spans="1:8" x14ac:dyDescent="0.25">
      <c r="A1179" s="13">
        <v>44918</v>
      </c>
      <c r="B1179" s="15" t="s">
        <v>21</v>
      </c>
      <c r="C1179" s="3">
        <v>7</v>
      </c>
      <c r="D1179" s="13">
        <f t="shared" si="37"/>
        <v>44925</v>
      </c>
      <c r="E1179" s="15">
        <v>3600</v>
      </c>
      <c r="F1179" s="9">
        <v>0.1125</v>
      </c>
      <c r="G1179" s="9">
        <v>0.1125</v>
      </c>
      <c r="H1179" s="15">
        <f t="shared" si="36"/>
        <v>15000</v>
      </c>
    </row>
    <row r="1180" spans="1:8" x14ac:dyDescent="0.25">
      <c r="A1180" s="13">
        <v>44921</v>
      </c>
      <c r="B1180" s="15" t="s">
        <v>21</v>
      </c>
      <c r="C1180" s="3">
        <v>7</v>
      </c>
      <c r="D1180" s="13">
        <f t="shared" si="37"/>
        <v>44928</v>
      </c>
      <c r="E1180" s="15">
        <v>2800</v>
      </c>
      <c r="F1180" s="9">
        <v>0.1125</v>
      </c>
      <c r="G1180" s="9">
        <v>0.1125</v>
      </c>
      <c r="H1180" s="15">
        <f t="shared" si="36"/>
        <v>12900</v>
      </c>
    </row>
    <row r="1181" spans="1:8" x14ac:dyDescent="0.25">
      <c r="A1181" s="13">
        <v>44922</v>
      </c>
      <c r="B1181" s="15" t="s">
        <v>21</v>
      </c>
      <c r="C1181" s="3">
        <v>6</v>
      </c>
      <c r="D1181" s="13">
        <f t="shared" si="37"/>
        <v>44928</v>
      </c>
      <c r="E1181" s="15">
        <v>7250</v>
      </c>
      <c r="F1181" s="9">
        <v>0.112</v>
      </c>
      <c r="G1181" s="9">
        <v>0.1125</v>
      </c>
      <c r="H1181" s="15">
        <f t="shared" si="36"/>
        <v>17450</v>
      </c>
    </row>
    <row r="1182" spans="1:8" x14ac:dyDescent="0.25">
      <c r="A1182" s="13">
        <v>44923</v>
      </c>
      <c r="B1182" s="15" t="s">
        <v>21</v>
      </c>
      <c r="C1182" s="3">
        <v>1</v>
      </c>
      <c r="D1182" s="13">
        <f t="shared" si="37"/>
        <v>44924</v>
      </c>
      <c r="E1182" s="15">
        <v>200</v>
      </c>
      <c r="F1182" s="9">
        <v>0.111</v>
      </c>
      <c r="G1182" s="9">
        <v>0.111</v>
      </c>
      <c r="H1182" s="15">
        <f t="shared" si="36"/>
        <v>21220</v>
      </c>
    </row>
    <row r="1183" spans="1:8" x14ac:dyDescent="0.25">
      <c r="A1183" s="13">
        <v>44923</v>
      </c>
      <c r="B1183" s="15" t="s">
        <v>21</v>
      </c>
      <c r="C1183" s="3">
        <v>2</v>
      </c>
      <c r="D1183" s="13">
        <f t="shared" si="37"/>
        <v>44925</v>
      </c>
      <c r="E1183" s="15">
        <v>3200</v>
      </c>
      <c r="F1183" s="9">
        <v>0.111</v>
      </c>
      <c r="G1183" s="9">
        <v>0.111</v>
      </c>
      <c r="H1183" s="15">
        <f t="shared" si="36"/>
        <v>21220</v>
      </c>
    </row>
    <row r="1184" spans="1:8" x14ac:dyDescent="0.25">
      <c r="A1184" s="13">
        <v>44923</v>
      </c>
      <c r="B1184" s="15" t="s">
        <v>21</v>
      </c>
      <c r="C1184" s="3">
        <v>5</v>
      </c>
      <c r="D1184" s="13">
        <f t="shared" si="37"/>
        <v>44928</v>
      </c>
      <c r="E1184" s="15">
        <v>1370</v>
      </c>
      <c r="F1184" s="9">
        <v>0.112</v>
      </c>
      <c r="G1184" s="9">
        <v>0.112</v>
      </c>
      <c r="H1184" s="15">
        <f t="shared" si="36"/>
        <v>21220</v>
      </c>
    </row>
    <row r="1185" spans="1:8" x14ac:dyDescent="0.25">
      <c r="A1185" s="13">
        <v>44924</v>
      </c>
      <c r="B1185" s="15" t="s">
        <v>21</v>
      </c>
      <c r="C1185" s="3">
        <v>4</v>
      </c>
      <c r="D1185" s="13">
        <f t="shared" si="37"/>
        <v>44928</v>
      </c>
      <c r="E1185" s="15">
        <v>3600</v>
      </c>
      <c r="F1185" s="9">
        <v>0.112</v>
      </c>
      <c r="G1185" s="9">
        <v>0.112</v>
      </c>
      <c r="H1185" s="15">
        <f t="shared" si="36"/>
        <v>21820</v>
      </c>
    </row>
    <row r="1186" spans="1:8" x14ac:dyDescent="0.25">
      <c r="A1186" s="13">
        <v>44925</v>
      </c>
      <c r="B1186" s="15" t="s">
        <v>21</v>
      </c>
      <c r="C1186" s="3">
        <v>3</v>
      </c>
      <c r="D1186" s="13">
        <f t="shared" si="37"/>
        <v>44928</v>
      </c>
      <c r="E1186" s="15">
        <v>-500</v>
      </c>
      <c r="F1186" s="9">
        <v>0.1145</v>
      </c>
      <c r="G1186" s="9">
        <v>0.1145</v>
      </c>
      <c r="H1186" s="15">
        <f t="shared" si="36"/>
        <v>14520</v>
      </c>
    </row>
    <row r="1187" spans="1:8" x14ac:dyDescent="0.25">
      <c r="A1187" s="13">
        <v>44930</v>
      </c>
      <c r="B1187" s="15" t="s">
        <v>21</v>
      </c>
      <c r="C1187" s="3">
        <v>5</v>
      </c>
      <c r="D1187" s="13">
        <f t="shared" si="37"/>
        <v>44935</v>
      </c>
      <c r="E1187" s="15">
        <v>1300</v>
      </c>
      <c r="F1187" s="9">
        <v>0.115</v>
      </c>
      <c r="G1187" s="9">
        <v>0.115</v>
      </c>
      <c r="H1187" s="15">
        <f t="shared" si="36"/>
        <v>1300</v>
      </c>
    </row>
    <row r="1188" spans="1:8" x14ac:dyDescent="0.25">
      <c r="A1188" s="13">
        <v>44936</v>
      </c>
      <c r="B1188" s="15" t="s">
        <v>21</v>
      </c>
      <c r="C1188" s="3">
        <v>3</v>
      </c>
      <c r="D1188" s="13">
        <f t="shared" si="37"/>
        <v>44939</v>
      </c>
      <c r="E1188" s="15">
        <v>1200</v>
      </c>
      <c r="F1188" s="9">
        <v>0.115</v>
      </c>
      <c r="G1188" s="9">
        <v>0.115</v>
      </c>
      <c r="H1188" s="15">
        <f t="shared" si="36"/>
        <v>2000</v>
      </c>
    </row>
    <row r="1189" spans="1:8" x14ac:dyDescent="0.25">
      <c r="A1189" s="13">
        <v>44936</v>
      </c>
      <c r="B1189" s="15" t="s">
        <v>21</v>
      </c>
      <c r="C1189" s="3">
        <v>7</v>
      </c>
      <c r="D1189" s="13">
        <f t="shared" si="37"/>
        <v>44943</v>
      </c>
      <c r="E1189" s="15">
        <v>800</v>
      </c>
      <c r="F1189" s="9">
        <v>0.115</v>
      </c>
      <c r="G1189" s="9">
        <v>0.115</v>
      </c>
      <c r="H1189" s="15">
        <f t="shared" si="36"/>
        <v>2000</v>
      </c>
    </row>
    <row r="1190" spans="1:8" x14ac:dyDescent="0.25">
      <c r="A1190" s="13">
        <v>44937</v>
      </c>
      <c r="B1190" s="15" t="s">
        <v>21</v>
      </c>
      <c r="C1190" s="3">
        <v>2</v>
      </c>
      <c r="D1190" s="13">
        <f t="shared" si="37"/>
        <v>44939</v>
      </c>
      <c r="E1190" s="15">
        <v>2100</v>
      </c>
      <c r="F1190" s="9">
        <v>0.115</v>
      </c>
      <c r="G1190" s="9">
        <v>0.115</v>
      </c>
      <c r="H1190" s="15">
        <f t="shared" si="36"/>
        <v>5900</v>
      </c>
    </row>
    <row r="1191" spans="1:8" x14ac:dyDescent="0.25">
      <c r="A1191" s="13">
        <v>44937</v>
      </c>
      <c r="B1191" s="15" t="s">
        <v>21</v>
      </c>
      <c r="C1191" s="3">
        <v>5</v>
      </c>
      <c r="D1191" s="13">
        <f t="shared" si="37"/>
        <v>44942</v>
      </c>
      <c r="E1191" s="15">
        <v>200</v>
      </c>
      <c r="F1191" s="9">
        <v>0.115</v>
      </c>
      <c r="G1191" s="9">
        <v>0.115</v>
      </c>
      <c r="H1191" s="15">
        <f t="shared" si="36"/>
        <v>5900</v>
      </c>
    </row>
    <row r="1192" spans="1:8" x14ac:dyDescent="0.25">
      <c r="A1192" s="13">
        <v>44937</v>
      </c>
      <c r="B1192" s="15" t="s">
        <v>21</v>
      </c>
      <c r="C1192" s="3">
        <v>7</v>
      </c>
      <c r="D1192" s="13">
        <f t="shared" si="37"/>
        <v>44944</v>
      </c>
      <c r="E1192" s="15">
        <v>1600</v>
      </c>
      <c r="F1192" s="9">
        <v>0.115</v>
      </c>
      <c r="G1192" s="9">
        <v>0.115</v>
      </c>
      <c r="H1192" s="15">
        <f t="shared" si="36"/>
        <v>5900</v>
      </c>
    </row>
    <row r="1193" spans="1:8" x14ac:dyDescent="0.25">
      <c r="A1193" s="13">
        <v>44938</v>
      </c>
      <c r="B1193" s="15" t="s">
        <v>21</v>
      </c>
      <c r="C1193" s="3">
        <v>4</v>
      </c>
      <c r="D1193" s="13">
        <f t="shared" si="37"/>
        <v>44942</v>
      </c>
      <c r="E1193" s="15">
        <v>800</v>
      </c>
      <c r="F1193" s="9">
        <v>0.115</v>
      </c>
      <c r="G1193" s="9">
        <v>0.115</v>
      </c>
      <c r="H1193" s="15">
        <f t="shared" si="36"/>
        <v>7900</v>
      </c>
    </row>
    <row r="1194" spans="1:8" x14ac:dyDescent="0.25">
      <c r="A1194" s="13">
        <v>44938</v>
      </c>
      <c r="B1194" s="15" t="s">
        <v>21</v>
      </c>
      <c r="C1194" s="3">
        <v>6</v>
      </c>
      <c r="D1194" s="13">
        <f t="shared" si="37"/>
        <v>44944</v>
      </c>
      <c r="E1194" s="15">
        <v>1000</v>
      </c>
      <c r="F1194" s="9">
        <v>0.115</v>
      </c>
      <c r="G1194" s="9">
        <v>0.115</v>
      </c>
      <c r="H1194" s="15">
        <f t="shared" si="36"/>
        <v>7900</v>
      </c>
    </row>
    <row r="1195" spans="1:8" x14ac:dyDescent="0.25">
      <c r="A1195" s="13">
        <v>44938</v>
      </c>
      <c r="B1195" s="15" t="s">
        <v>21</v>
      </c>
      <c r="C1195" s="3">
        <v>8</v>
      </c>
      <c r="D1195" s="13">
        <f t="shared" si="37"/>
        <v>44946</v>
      </c>
      <c r="E1195" s="15">
        <v>200</v>
      </c>
      <c r="F1195" s="9">
        <v>0.115</v>
      </c>
      <c r="G1195" s="9">
        <v>0.115</v>
      </c>
      <c r="H1195" s="15">
        <f t="shared" si="36"/>
        <v>7900</v>
      </c>
    </row>
    <row r="1196" spans="1:8" x14ac:dyDescent="0.25">
      <c r="A1196" s="13">
        <v>44939</v>
      </c>
      <c r="B1196" s="15" t="s">
        <v>21</v>
      </c>
      <c r="C1196" s="3">
        <v>4</v>
      </c>
      <c r="D1196" s="13">
        <f t="shared" si="37"/>
        <v>44943</v>
      </c>
      <c r="E1196" s="15">
        <v>400</v>
      </c>
      <c r="F1196" s="9">
        <v>0.115</v>
      </c>
      <c r="G1196" s="9">
        <v>0.115</v>
      </c>
      <c r="H1196" s="15">
        <f t="shared" si="36"/>
        <v>6700</v>
      </c>
    </row>
    <row r="1197" spans="1:8" x14ac:dyDescent="0.25">
      <c r="A1197" s="13">
        <v>44939</v>
      </c>
      <c r="B1197" s="15" t="s">
        <v>21</v>
      </c>
      <c r="C1197" s="3">
        <v>7</v>
      </c>
      <c r="D1197" s="13">
        <f t="shared" si="37"/>
        <v>44946</v>
      </c>
      <c r="E1197" s="15">
        <v>1700</v>
      </c>
      <c r="F1197" s="9">
        <v>0.115</v>
      </c>
      <c r="G1197" s="9">
        <v>0.115</v>
      </c>
      <c r="H1197" s="15">
        <f t="shared" si="36"/>
        <v>6700</v>
      </c>
    </row>
    <row r="1198" spans="1:8" x14ac:dyDescent="0.25">
      <c r="A1198" s="13">
        <v>44942</v>
      </c>
      <c r="B1198" s="15" t="s">
        <v>21</v>
      </c>
      <c r="C1198" s="3">
        <v>2</v>
      </c>
      <c r="D1198" s="13">
        <f t="shared" si="37"/>
        <v>44944</v>
      </c>
      <c r="E1198" s="15">
        <v>3100</v>
      </c>
      <c r="F1198" s="9">
        <v>0.115</v>
      </c>
      <c r="G1198" s="9">
        <v>0.115</v>
      </c>
      <c r="H1198" s="15">
        <f t="shared" si="36"/>
        <v>8800</v>
      </c>
    </row>
    <row r="1199" spans="1:8" x14ac:dyDescent="0.25">
      <c r="A1199" s="13">
        <v>44943</v>
      </c>
      <c r="B1199" s="15" t="s">
        <v>21</v>
      </c>
      <c r="C1199" s="3">
        <v>2</v>
      </c>
      <c r="D1199" s="13">
        <f t="shared" si="37"/>
        <v>44945</v>
      </c>
      <c r="E1199" s="15">
        <v>1400</v>
      </c>
      <c r="F1199" s="9">
        <v>0.115</v>
      </c>
      <c r="G1199" s="9">
        <v>0.115</v>
      </c>
      <c r="H1199" s="15">
        <f t="shared" si="36"/>
        <v>9800</v>
      </c>
    </row>
    <row r="1200" spans="1:8" x14ac:dyDescent="0.25">
      <c r="A1200" s="13">
        <v>44943</v>
      </c>
      <c r="B1200" s="15" t="s">
        <v>21</v>
      </c>
      <c r="C1200" s="3">
        <v>3</v>
      </c>
      <c r="D1200" s="13">
        <f t="shared" si="37"/>
        <v>44946</v>
      </c>
      <c r="E1200" s="15">
        <v>400</v>
      </c>
      <c r="F1200" s="9">
        <v>0.115</v>
      </c>
      <c r="G1200" s="9">
        <v>0.115</v>
      </c>
      <c r="H1200" s="15">
        <f t="shared" si="36"/>
        <v>9800</v>
      </c>
    </row>
    <row r="1201" spans="1:8" x14ac:dyDescent="0.25">
      <c r="A1201" s="13">
        <v>44943</v>
      </c>
      <c r="B1201" s="15" t="s">
        <v>21</v>
      </c>
      <c r="C1201" s="3">
        <v>7</v>
      </c>
      <c r="D1201" s="13">
        <f t="shared" si="37"/>
        <v>44950</v>
      </c>
      <c r="E1201" s="15">
        <v>400</v>
      </c>
      <c r="F1201" s="9">
        <v>0.11550000000000001</v>
      </c>
      <c r="G1201" s="9">
        <v>0.11550000000000001</v>
      </c>
      <c r="H1201" s="15">
        <f t="shared" si="36"/>
        <v>9800</v>
      </c>
    </row>
    <row r="1202" spans="1:8" x14ac:dyDescent="0.25">
      <c r="A1202" s="13">
        <v>44944</v>
      </c>
      <c r="B1202" s="15" t="s">
        <v>21</v>
      </c>
      <c r="C1202" s="3">
        <v>2</v>
      </c>
      <c r="D1202" s="13">
        <f t="shared" si="37"/>
        <v>44946</v>
      </c>
      <c r="E1202" s="15">
        <v>2200</v>
      </c>
      <c r="F1202" s="9">
        <v>0.115</v>
      </c>
      <c r="G1202" s="9">
        <v>0.115</v>
      </c>
      <c r="H1202" s="15">
        <f t="shared" si="36"/>
        <v>7000</v>
      </c>
    </row>
    <row r="1203" spans="1:8" x14ac:dyDescent="0.25">
      <c r="A1203" s="13">
        <v>44944</v>
      </c>
      <c r="B1203" s="15" t="s">
        <v>21</v>
      </c>
      <c r="C1203" s="3">
        <v>5</v>
      </c>
      <c r="D1203" s="13">
        <f t="shared" si="37"/>
        <v>44949</v>
      </c>
      <c r="E1203" s="15">
        <v>700</v>
      </c>
      <c r="F1203" s="9">
        <v>0.115</v>
      </c>
      <c r="G1203" s="9">
        <v>0.115</v>
      </c>
      <c r="H1203" s="15">
        <f t="shared" si="36"/>
        <v>7000</v>
      </c>
    </row>
    <row r="1204" spans="1:8" x14ac:dyDescent="0.25">
      <c r="A1204" s="13">
        <v>44945</v>
      </c>
      <c r="B1204" s="15" t="s">
        <v>21</v>
      </c>
      <c r="C1204" s="3">
        <v>7</v>
      </c>
      <c r="D1204" s="13">
        <f t="shared" si="37"/>
        <v>44952</v>
      </c>
      <c r="E1204" s="15">
        <v>400</v>
      </c>
      <c r="F1204" s="9">
        <v>0.11550000000000001</v>
      </c>
      <c r="G1204" s="9">
        <v>0.11550000000000001</v>
      </c>
      <c r="H1204" s="15">
        <f t="shared" si="36"/>
        <v>6000</v>
      </c>
    </row>
    <row r="1205" spans="1:8" x14ac:dyDescent="0.25">
      <c r="A1205" s="13">
        <v>44946</v>
      </c>
      <c r="B1205" s="15" t="s">
        <v>21</v>
      </c>
      <c r="C1205" s="3">
        <v>4</v>
      </c>
      <c r="D1205" s="13">
        <f t="shared" si="37"/>
        <v>44950</v>
      </c>
      <c r="E1205" s="15">
        <v>1850</v>
      </c>
      <c r="F1205" s="9">
        <v>0.115</v>
      </c>
      <c r="G1205" s="9">
        <v>0.115</v>
      </c>
      <c r="H1205" s="15">
        <f t="shared" si="36"/>
        <v>7050</v>
      </c>
    </row>
    <row r="1206" spans="1:8" x14ac:dyDescent="0.25">
      <c r="A1206" s="13">
        <v>44946</v>
      </c>
      <c r="B1206" s="15" t="s">
        <v>21</v>
      </c>
      <c r="C1206" s="3">
        <v>7</v>
      </c>
      <c r="D1206" s="13">
        <f t="shared" si="37"/>
        <v>44953</v>
      </c>
      <c r="E1206" s="15">
        <v>3200</v>
      </c>
      <c r="F1206" s="9">
        <v>0.11550000000000001</v>
      </c>
      <c r="G1206" s="9">
        <v>0.11550000000000001</v>
      </c>
      <c r="H1206" s="15">
        <f t="shared" si="36"/>
        <v>7050</v>
      </c>
    </row>
    <row r="1207" spans="1:8" x14ac:dyDescent="0.25">
      <c r="A1207" s="13">
        <v>44946</v>
      </c>
      <c r="B1207" s="15" t="s">
        <v>21</v>
      </c>
      <c r="C1207" s="3">
        <v>12</v>
      </c>
      <c r="D1207" s="13">
        <f t="shared" si="37"/>
        <v>44958</v>
      </c>
      <c r="E1207" s="15">
        <v>500</v>
      </c>
      <c r="F1207" s="9">
        <v>0.11600000000000001</v>
      </c>
      <c r="G1207" s="9">
        <v>0.11600000000000001</v>
      </c>
      <c r="H1207" s="15">
        <f t="shared" si="36"/>
        <v>7050</v>
      </c>
    </row>
    <row r="1208" spans="1:8" x14ac:dyDescent="0.25">
      <c r="A1208" s="13">
        <v>44949</v>
      </c>
      <c r="B1208" s="15" t="s">
        <v>21</v>
      </c>
      <c r="C1208" s="3">
        <v>1</v>
      </c>
      <c r="D1208" s="13">
        <f t="shared" si="37"/>
        <v>44950</v>
      </c>
      <c r="E1208" s="15">
        <v>700</v>
      </c>
      <c r="F1208" s="9">
        <v>0.115</v>
      </c>
      <c r="G1208" s="9">
        <v>0.115</v>
      </c>
      <c r="H1208" s="15">
        <f t="shared" si="36"/>
        <v>8550</v>
      </c>
    </row>
    <row r="1209" spans="1:8" x14ac:dyDescent="0.25">
      <c r="A1209" s="13">
        <v>44949</v>
      </c>
      <c r="B1209" s="15" t="s">
        <v>21</v>
      </c>
      <c r="C1209" s="3">
        <v>2</v>
      </c>
      <c r="D1209" s="13">
        <f t="shared" si="37"/>
        <v>44951</v>
      </c>
      <c r="E1209" s="15">
        <v>1500</v>
      </c>
      <c r="F1209" s="9">
        <v>0.115</v>
      </c>
      <c r="G1209" s="9">
        <v>0.115</v>
      </c>
      <c r="H1209" s="15">
        <f t="shared" si="36"/>
        <v>8550</v>
      </c>
    </row>
    <row r="1210" spans="1:8" x14ac:dyDescent="0.25">
      <c r="A1210" s="13">
        <v>44950</v>
      </c>
      <c r="B1210" s="15" t="s">
        <v>21</v>
      </c>
      <c r="C1210" s="3">
        <v>1</v>
      </c>
      <c r="D1210" s="13">
        <f t="shared" si="37"/>
        <v>44951</v>
      </c>
      <c r="E1210" s="15">
        <v>600</v>
      </c>
      <c r="F1210" s="9">
        <v>0.115</v>
      </c>
      <c r="G1210" s="9">
        <v>0.115</v>
      </c>
      <c r="H1210" s="15">
        <f t="shared" si="36"/>
        <v>8200</v>
      </c>
    </row>
    <row r="1211" spans="1:8" x14ac:dyDescent="0.25">
      <c r="A1211" s="13">
        <v>44950</v>
      </c>
      <c r="B1211" s="15" t="s">
        <v>21</v>
      </c>
      <c r="C1211" s="3">
        <v>8</v>
      </c>
      <c r="D1211" s="13">
        <f t="shared" si="37"/>
        <v>44958</v>
      </c>
      <c r="E1211" s="15">
        <v>2000</v>
      </c>
      <c r="F1211" s="9">
        <v>0.11600000000000001</v>
      </c>
      <c r="G1211" s="9">
        <v>0.11600000000000001</v>
      </c>
      <c r="H1211" s="15">
        <f t="shared" si="36"/>
        <v>8200</v>
      </c>
    </row>
    <row r="1212" spans="1:8" x14ac:dyDescent="0.25">
      <c r="A1212" s="13">
        <v>44952</v>
      </c>
      <c r="B1212" s="15" t="s">
        <v>21</v>
      </c>
      <c r="C1212" s="3">
        <v>4</v>
      </c>
      <c r="D1212" s="13">
        <f t="shared" si="37"/>
        <v>44956</v>
      </c>
      <c r="E1212" s="15">
        <v>700</v>
      </c>
      <c r="F1212" s="9">
        <v>0.113</v>
      </c>
      <c r="G1212" s="9">
        <v>0.114</v>
      </c>
      <c r="H1212" s="15">
        <f t="shared" si="36"/>
        <v>8800</v>
      </c>
    </row>
    <row r="1213" spans="1:8" x14ac:dyDescent="0.25">
      <c r="A1213" s="13">
        <v>44952</v>
      </c>
      <c r="B1213" s="15" t="s">
        <v>21</v>
      </c>
      <c r="C1213" s="3">
        <v>5</v>
      </c>
      <c r="D1213" s="13">
        <f t="shared" si="37"/>
        <v>44957</v>
      </c>
      <c r="E1213" s="15">
        <v>2400</v>
      </c>
      <c r="F1213" s="9">
        <v>0.113</v>
      </c>
      <c r="G1213" s="9">
        <v>0.114</v>
      </c>
      <c r="H1213" s="15">
        <f t="shared" si="36"/>
        <v>8800</v>
      </c>
    </row>
    <row r="1214" spans="1:8" x14ac:dyDescent="0.25">
      <c r="A1214" s="13">
        <v>44953</v>
      </c>
      <c r="B1214" s="15" t="s">
        <v>21</v>
      </c>
      <c r="C1214" s="3">
        <v>4</v>
      </c>
      <c r="D1214" s="13">
        <f t="shared" si="37"/>
        <v>44957</v>
      </c>
      <c r="E1214" s="15">
        <v>3700</v>
      </c>
      <c r="F1214" s="9">
        <v>0.114</v>
      </c>
      <c r="G1214" s="9">
        <v>0.115</v>
      </c>
      <c r="H1214" s="15">
        <f t="shared" si="36"/>
        <v>9300</v>
      </c>
    </row>
    <row r="1215" spans="1:8" x14ac:dyDescent="0.25">
      <c r="A1215" s="13">
        <v>44957</v>
      </c>
      <c r="B1215" s="15" t="s">
        <v>21</v>
      </c>
      <c r="C1215" s="3">
        <v>1</v>
      </c>
      <c r="D1215" s="13">
        <f t="shared" si="37"/>
        <v>44958</v>
      </c>
      <c r="E1215" s="15">
        <v>4500</v>
      </c>
      <c r="F1215" s="9">
        <v>0.113</v>
      </c>
      <c r="G1215" s="9">
        <v>0.114</v>
      </c>
      <c r="H1215" s="15">
        <f t="shared" si="36"/>
        <v>9900</v>
      </c>
    </row>
    <row r="1216" spans="1:8" x14ac:dyDescent="0.25">
      <c r="A1216" s="13">
        <v>44957</v>
      </c>
      <c r="B1216" s="15" t="s">
        <v>21</v>
      </c>
      <c r="C1216" s="3">
        <v>2</v>
      </c>
      <c r="D1216" s="13">
        <f t="shared" si="37"/>
        <v>44959</v>
      </c>
      <c r="E1216" s="15">
        <v>2900</v>
      </c>
      <c r="F1216" s="9">
        <v>0.1145</v>
      </c>
      <c r="G1216" s="9">
        <v>0.115</v>
      </c>
      <c r="H1216" s="15">
        <f t="shared" si="36"/>
        <v>9900</v>
      </c>
    </row>
    <row r="1217" spans="1:8" x14ac:dyDescent="0.25">
      <c r="A1217" s="13">
        <v>44958</v>
      </c>
      <c r="B1217" s="15" t="s">
        <v>21</v>
      </c>
      <c r="C1217" s="3">
        <v>1</v>
      </c>
      <c r="D1217" s="13">
        <f t="shared" si="37"/>
        <v>44959</v>
      </c>
      <c r="E1217" s="15">
        <v>-300</v>
      </c>
      <c r="F1217" s="9">
        <v>0.11749999999999999</v>
      </c>
      <c r="G1217" s="9">
        <v>0.11749999999999999</v>
      </c>
      <c r="H1217" s="15">
        <f t="shared" si="36"/>
        <v>2600</v>
      </c>
    </row>
    <row r="1218" spans="1:8" x14ac:dyDescent="0.25">
      <c r="A1218" s="13">
        <v>44959</v>
      </c>
      <c r="B1218" s="15" t="s">
        <v>21</v>
      </c>
      <c r="C1218" s="3">
        <v>1</v>
      </c>
      <c r="D1218" s="13">
        <f t="shared" si="37"/>
        <v>44960</v>
      </c>
      <c r="E1218" s="15">
        <v>-300</v>
      </c>
      <c r="F1218" s="9">
        <v>0.11799999999999999</v>
      </c>
      <c r="G1218" s="9">
        <v>0.11799999999999999</v>
      </c>
      <c r="H1218" s="15">
        <f t="shared" si="36"/>
        <v>-300</v>
      </c>
    </row>
    <row r="1219" spans="1:8" x14ac:dyDescent="0.25">
      <c r="A1219" s="13">
        <v>44963</v>
      </c>
      <c r="B1219" s="15" t="s">
        <v>21</v>
      </c>
      <c r="C1219" s="3">
        <v>7</v>
      </c>
      <c r="D1219" s="13">
        <f t="shared" si="37"/>
        <v>44970</v>
      </c>
      <c r="E1219" s="15">
        <v>3000</v>
      </c>
      <c r="F1219" s="9">
        <v>0.115</v>
      </c>
      <c r="G1219" s="9">
        <v>0.115</v>
      </c>
      <c r="H1219" s="15">
        <f t="shared" si="36"/>
        <v>4640</v>
      </c>
    </row>
    <row r="1220" spans="1:8" x14ac:dyDescent="0.25">
      <c r="A1220" s="13">
        <v>44963</v>
      </c>
      <c r="B1220" s="15" t="s">
        <v>21</v>
      </c>
      <c r="C1220" s="3">
        <v>8</v>
      </c>
      <c r="D1220" s="13">
        <f t="shared" si="37"/>
        <v>44971</v>
      </c>
      <c r="E1220" s="15">
        <v>640</v>
      </c>
      <c r="F1220" s="9">
        <v>0.115</v>
      </c>
      <c r="G1220" s="9">
        <v>0.115</v>
      </c>
      <c r="H1220" s="15">
        <f t="shared" si="36"/>
        <v>4640</v>
      </c>
    </row>
    <row r="1221" spans="1:8" x14ac:dyDescent="0.25">
      <c r="A1221" s="13">
        <v>44963</v>
      </c>
      <c r="B1221" s="15" t="s">
        <v>21</v>
      </c>
      <c r="C1221" s="3">
        <v>16</v>
      </c>
      <c r="D1221" s="13">
        <f t="shared" si="37"/>
        <v>44979</v>
      </c>
      <c r="E1221" s="15">
        <v>1000</v>
      </c>
      <c r="F1221" s="9">
        <v>0.115</v>
      </c>
      <c r="G1221" s="9">
        <v>0.115</v>
      </c>
      <c r="H1221" s="15">
        <f t="shared" si="36"/>
        <v>4640</v>
      </c>
    </row>
    <row r="1222" spans="1:8" x14ac:dyDescent="0.25">
      <c r="A1222" s="13">
        <v>44965</v>
      </c>
      <c r="B1222" s="15" t="s">
        <v>21</v>
      </c>
      <c r="C1222" s="3">
        <v>7</v>
      </c>
      <c r="D1222" s="13">
        <f t="shared" si="37"/>
        <v>44972</v>
      </c>
      <c r="E1222" s="15">
        <v>4100</v>
      </c>
      <c r="F1222" s="9">
        <v>0.115</v>
      </c>
      <c r="G1222" s="9">
        <v>0.115</v>
      </c>
      <c r="H1222" s="15">
        <f t="shared" si="36"/>
        <v>8740</v>
      </c>
    </row>
    <row r="1223" spans="1:8" x14ac:dyDescent="0.25">
      <c r="A1223" s="13">
        <v>44966</v>
      </c>
      <c r="B1223" s="15" t="s">
        <v>21</v>
      </c>
      <c r="C1223" s="3">
        <v>7</v>
      </c>
      <c r="D1223" s="13">
        <f t="shared" si="37"/>
        <v>44973</v>
      </c>
      <c r="E1223" s="15">
        <v>4000</v>
      </c>
      <c r="F1223" s="9">
        <v>0.115</v>
      </c>
      <c r="G1223" s="9">
        <v>0.115</v>
      </c>
      <c r="H1223" s="15">
        <f t="shared" si="36"/>
        <v>12940</v>
      </c>
    </row>
    <row r="1224" spans="1:8" x14ac:dyDescent="0.25">
      <c r="A1224" s="13">
        <v>44966</v>
      </c>
      <c r="B1224" s="15" t="s">
        <v>21</v>
      </c>
      <c r="C1224" s="3">
        <v>8</v>
      </c>
      <c r="D1224" s="13">
        <f t="shared" si="37"/>
        <v>44974</v>
      </c>
      <c r="E1224" s="15">
        <v>200</v>
      </c>
      <c r="F1224" s="9">
        <v>0.115</v>
      </c>
      <c r="G1224" s="9">
        <v>0.115</v>
      </c>
      <c r="H1224" s="15">
        <f t="shared" si="36"/>
        <v>12940</v>
      </c>
    </row>
    <row r="1225" spans="1:8" x14ac:dyDescent="0.25">
      <c r="A1225" s="13">
        <v>44967</v>
      </c>
      <c r="B1225" s="15" t="s">
        <v>21</v>
      </c>
      <c r="C1225" s="3">
        <v>3</v>
      </c>
      <c r="D1225" s="13">
        <f t="shared" si="37"/>
        <v>44970</v>
      </c>
      <c r="E1225" s="15">
        <v>300</v>
      </c>
      <c r="F1225" s="9">
        <v>0.114</v>
      </c>
      <c r="G1225" s="9">
        <v>0.114</v>
      </c>
      <c r="H1225" s="15">
        <f t="shared" si="36"/>
        <v>15240</v>
      </c>
    </row>
    <row r="1226" spans="1:8" x14ac:dyDescent="0.25">
      <c r="A1226" s="13">
        <v>44967</v>
      </c>
      <c r="B1226" s="15" t="s">
        <v>21</v>
      </c>
      <c r="C1226" s="3">
        <v>7</v>
      </c>
      <c r="D1226" s="13">
        <f t="shared" si="37"/>
        <v>44974</v>
      </c>
      <c r="E1226" s="15">
        <v>2000</v>
      </c>
      <c r="F1226" s="9">
        <v>0.115</v>
      </c>
      <c r="G1226" s="9">
        <v>0.115</v>
      </c>
      <c r="H1226" s="15">
        <f t="shared" ref="H1226:H1289" si="38">+SUMIFS($E$10:$E$4503,$A$10:$A$4503,"&lt;="&amp;A1226,$D$10:$D$4503,"&gt;"&amp;A1226)</f>
        <v>15240</v>
      </c>
    </row>
    <row r="1227" spans="1:8" x14ac:dyDescent="0.25">
      <c r="A1227" s="13">
        <v>44970</v>
      </c>
      <c r="B1227" s="15" t="s">
        <v>21</v>
      </c>
      <c r="C1227" s="3">
        <v>9</v>
      </c>
      <c r="D1227" s="13">
        <f t="shared" si="37"/>
        <v>44979</v>
      </c>
      <c r="E1227" s="15">
        <v>3400</v>
      </c>
      <c r="F1227" s="9">
        <v>0.114</v>
      </c>
      <c r="G1227" s="9">
        <v>0.114</v>
      </c>
      <c r="H1227" s="15">
        <f t="shared" si="38"/>
        <v>15340</v>
      </c>
    </row>
    <row r="1228" spans="1:8" x14ac:dyDescent="0.25">
      <c r="A1228" s="13">
        <v>44971</v>
      </c>
      <c r="B1228" s="15" t="s">
        <v>21</v>
      </c>
      <c r="C1228" s="3">
        <v>1</v>
      </c>
      <c r="D1228" s="13">
        <f t="shared" si="37"/>
        <v>44972</v>
      </c>
      <c r="E1228" s="15">
        <v>600</v>
      </c>
      <c r="F1228" s="9">
        <v>0.1125</v>
      </c>
      <c r="G1228" s="9">
        <v>0.113</v>
      </c>
      <c r="H1228" s="15">
        <f t="shared" si="38"/>
        <v>19500</v>
      </c>
    </row>
    <row r="1229" spans="1:8" x14ac:dyDescent="0.25">
      <c r="A1229" s="13">
        <v>44971</v>
      </c>
      <c r="B1229" s="15" t="s">
        <v>21</v>
      </c>
      <c r="C1229" s="3">
        <v>8</v>
      </c>
      <c r="D1229" s="13">
        <f t="shared" si="37"/>
        <v>44979</v>
      </c>
      <c r="E1229" s="15">
        <v>2700</v>
      </c>
      <c r="F1229" s="9">
        <v>0.114</v>
      </c>
      <c r="G1229" s="9">
        <v>0.114</v>
      </c>
      <c r="H1229" s="15">
        <f t="shared" si="38"/>
        <v>19500</v>
      </c>
    </row>
    <row r="1230" spans="1:8" x14ac:dyDescent="0.25">
      <c r="A1230" s="13">
        <v>44971</v>
      </c>
      <c r="B1230" s="15" t="s">
        <v>21</v>
      </c>
      <c r="C1230" s="3">
        <v>9</v>
      </c>
      <c r="D1230" s="13">
        <f t="shared" si="37"/>
        <v>44980</v>
      </c>
      <c r="E1230" s="15">
        <v>1500</v>
      </c>
      <c r="F1230" s="9">
        <v>0.114</v>
      </c>
      <c r="G1230" s="9">
        <v>0.114</v>
      </c>
      <c r="H1230" s="15">
        <f t="shared" si="38"/>
        <v>19500</v>
      </c>
    </row>
    <row r="1231" spans="1:8" x14ac:dyDescent="0.25">
      <c r="A1231" s="13">
        <v>44973</v>
      </c>
      <c r="B1231" s="15" t="s">
        <v>21</v>
      </c>
      <c r="C1231" s="3">
        <v>1</v>
      </c>
      <c r="D1231" s="13">
        <f t="shared" si="37"/>
        <v>44974</v>
      </c>
      <c r="E1231" s="15">
        <v>550</v>
      </c>
      <c r="F1231" s="9">
        <v>0.1125</v>
      </c>
      <c r="G1231" s="9">
        <v>0.1125</v>
      </c>
      <c r="H1231" s="15">
        <f t="shared" si="38"/>
        <v>17650</v>
      </c>
    </row>
    <row r="1232" spans="1:8" x14ac:dyDescent="0.25">
      <c r="A1232" s="13">
        <v>44973</v>
      </c>
      <c r="B1232" s="15" t="s">
        <v>21</v>
      </c>
      <c r="C1232" s="3">
        <v>6</v>
      </c>
      <c r="D1232" s="13">
        <f t="shared" si="37"/>
        <v>44979</v>
      </c>
      <c r="E1232" s="15">
        <v>1300</v>
      </c>
      <c r="F1232" s="9">
        <v>0.114</v>
      </c>
      <c r="G1232" s="9">
        <v>0.114</v>
      </c>
      <c r="H1232" s="15">
        <f t="shared" si="38"/>
        <v>17650</v>
      </c>
    </row>
    <row r="1233" spans="1:8" x14ac:dyDescent="0.25">
      <c r="A1233" s="13">
        <v>44973</v>
      </c>
      <c r="B1233" s="15" t="s">
        <v>21</v>
      </c>
      <c r="C1233" s="3">
        <v>7</v>
      </c>
      <c r="D1233" s="13">
        <f t="shared" si="37"/>
        <v>44980</v>
      </c>
      <c r="E1233" s="15">
        <v>5000</v>
      </c>
      <c r="F1233" s="9">
        <v>0.114</v>
      </c>
      <c r="G1233" s="9">
        <v>0.114</v>
      </c>
      <c r="H1233" s="15">
        <f t="shared" si="38"/>
        <v>17650</v>
      </c>
    </row>
    <row r="1234" spans="1:8" x14ac:dyDescent="0.25">
      <c r="A1234" s="13">
        <v>44974</v>
      </c>
      <c r="B1234" s="15" t="s">
        <v>21</v>
      </c>
      <c r="C1234" s="3">
        <v>5</v>
      </c>
      <c r="D1234" s="13">
        <f t="shared" si="37"/>
        <v>44979</v>
      </c>
      <c r="E1234" s="15">
        <v>700</v>
      </c>
      <c r="F1234" s="9">
        <v>0.114</v>
      </c>
      <c r="G1234" s="9">
        <v>0.114</v>
      </c>
      <c r="H1234" s="15">
        <f t="shared" si="38"/>
        <v>19700</v>
      </c>
    </row>
    <row r="1235" spans="1:8" x14ac:dyDescent="0.25">
      <c r="A1235" s="13">
        <v>44974</v>
      </c>
      <c r="B1235" s="15" t="s">
        <v>21</v>
      </c>
      <c r="C1235" s="3">
        <v>6</v>
      </c>
      <c r="D1235" s="13">
        <f t="shared" si="37"/>
        <v>44980</v>
      </c>
      <c r="E1235" s="15">
        <v>800</v>
      </c>
      <c r="F1235" s="9">
        <v>0.114</v>
      </c>
      <c r="G1235" s="9">
        <v>0.114</v>
      </c>
      <c r="H1235" s="15">
        <f t="shared" si="38"/>
        <v>19700</v>
      </c>
    </row>
    <row r="1236" spans="1:8" x14ac:dyDescent="0.25">
      <c r="A1236" s="13">
        <v>44974</v>
      </c>
      <c r="B1236" s="15" t="s">
        <v>21</v>
      </c>
      <c r="C1236" s="3">
        <v>7</v>
      </c>
      <c r="D1236" s="13">
        <f t="shared" si="37"/>
        <v>44981</v>
      </c>
      <c r="E1236" s="15">
        <v>2300</v>
      </c>
      <c r="F1236" s="9">
        <v>0.11</v>
      </c>
      <c r="G1236" s="9">
        <v>0.114</v>
      </c>
      <c r="H1236" s="15">
        <f t="shared" si="38"/>
        <v>19700</v>
      </c>
    </row>
    <row r="1237" spans="1:8" x14ac:dyDescent="0.25">
      <c r="A1237" s="13">
        <v>44974</v>
      </c>
      <c r="B1237" s="15" t="s">
        <v>21</v>
      </c>
      <c r="C1237" s="3">
        <v>12</v>
      </c>
      <c r="D1237" s="13">
        <f t="shared" si="37"/>
        <v>44986</v>
      </c>
      <c r="E1237" s="15">
        <v>1000</v>
      </c>
      <c r="F1237" s="9">
        <v>0.113</v>
      </c>
      <c r="G1237" s="9">
        <v>0.113</v>
      </c>
      <c r="H1237" s="15">
        <f t="shared" si="38"/>
        <v>19700</v>
      </c>
    </row>
    <row r="1238" spans="1:8" x14ac:dyDescent="0.25">
      <c r="A1238" s="13">
        <v>44979</v>
      </c>
      <c r="B1238" s="15" t="s">
        <v>21</v>
      </c>
      <c r="C1238" s="3">
        <v>5</v>
      </c>
      <c r="D1238" s="13">
        <f t="shared" si="37"/>
        <v>44984</v>
      </c>
      <c r="E1238" s="15">
        <v>4800</v>
      </c>
      <c r="F1238" s="9">
        <v>0.114</v>
      </c>
      <c r="G1238" s="9">
        <v>0.114</v>
      </c>
      <c r="H1238" s="15">
        <f t="shared" si="38"/>
        <v>18400</v>
      </c>
    </row>
    <row r="1239" spans="1:8" x14ac:dyDescent="0.25">
      <c r="A1239" s="13">
        <v>44979</v>
      </c>
      <c r="B1239" s="15" t="s">
        <v>21</v>
      </c>
      <c r="C1239" s="3">
        <v>7</v>
      </c>
      <c r="D1239" s="13">
        <f t="shared" si="37"/>
        <v>44986</v>
      </c>
      <c r="E1239" s="15">
        <v>3000</v>
      </c>
      <c r="F1239" s="9">
        <v>0.115</v>
      </c>
      <c r="G1239" s="9">
        <v>0.115</v>
      </c>
      <c r="H1239" s="15">
        <f t="shared" si="38"/>
        <v>18400</v>
      </c>
    </row>
    <row r="1240" spans="1:8" x14ac:dyDescent="0.25">
      <c r="A1240" s="13">
        <v>44980</v>
      </c>
      <c r="B1240" s="15" t="s">
        <v>21</v>
      </c>
      <c r="C1240" s="3">
        <v>1</v>
      </c>
      <c r="D1240" s="13">
        <f t="shared" si="37"/>
        <v>44981</v>
      </c>
      <c r="E1240" s="15">
        <v>300</v>
      </c>
      <c r="F1240" s="9">
        <v>0.112</v>
      </c>
      <c r="G1240" s="9">
        <v>0.112</v>
      </c>
      <c r="H1240" s="15">
        <f t="shared" si="38"/>
        <v>14700</v>
      </c>
    </row>
    <row r="1241" spans="1:8" x14ac:dyDescent="0.25">
      <c r="A1241" s="13">
        <v>44980</v>
      </c>
      <c r="B1241" s="15" t="s">
        <v>21</v>
      </c>
      <c r="C1241" s="3">
        <v>4</v>
      </c>
      <c r="D1241" s="13">
        <f t="shared" si="37"/>
        <v>44984</v>
      </c>
      <c r="E1241" s="15">
        <v>2300</v>
      </c>
      <c r="F1241" s="9">
        <v>0.1135</v>
      </c>
      <c r="G1241" s="9">
        <v>0.1135</v>
      </c>
      <c r="H1241" s="15">
        <f t="shared" si="38"/>
        <v>14700</v>
      </c>
    </row>
    <row r="1242" spans="1:8" x14ac:dyDescent="0.25">
      <c r="A1242" s="13">
        <v>44980</v>
      </c>
      <c r="B1242" s="15" t="s">
        <v>21</v>
      </c>
      <c r="C1242" s="3">
        <v>6</v>
      </c>
      <c r="D1242" s="13">
        <f t="shared" si="37"/>
        <v>44986</v>
      </c>
      <c r="E1242" s="15">
        <v>1000</v>
      </c>
      <c r="F1242" s="9">
        <v>0.114</v>
      </c>
      <c r="G1242" s="9">
        <v>0.114</v>
      </c>
      <c r="H1242" s="15">
        <f t="shared" si="38"/>
        <v>14700</v>
      </c>
    </row>
    <row r="1243" spans="1:8" x14ac:dyDescent="0.25">
      <c r="A1243" s="13">
        <v>44985</v>
      </c>
      <c r="B1243" s="15" t="s">
        <v>21</v>
      </c>
      <c r="C1243" s="3">
        <v>2</v>
      </c>
      <c r="D1243" s="13">
        <f t="shared" si="37"/>
        <v>44987</v>
      </c>
      <c r="E1243" s="15">
        <v>1500</v>
      </c>
      <c r="F1243" s="9">
        <v>0.1125</v>
      </c>
      <c r="G1243" s="9">
        <v>0.1125</v>
      </c>
      <c r="H1243" s="15">
        <f t="shared" si="38"/>
        <v>6500</v>
      </c>
    </row>
    <row r="1244" spans="1:8" x14ac:dyDescent="0.25">
      <c r="A1244" s="13">
        <v>44986</v>
      </c>
      <c r="B1244" s="15" t="s">
        <v>21</v>
      </c>
      <c r="C1244" s="3">
        <v>1</v>
      </c>
      <c r="D1244" s="13">
        <f t="shared" si="37"/>
        <v>44987</v>
      </c>
      <c r="E1244" s="15">
        <v>-1200</v>
      </c>
      <c r="F1244" s="9">
        <v>0.11700000000000001</v>
      </c>
      <c r="G1244" s="9">
        <v>0.11749999999999999</v>
      </c>
      <c r="H1244" s="15">
        <f t="shared" si="38"/>
        <v>300</v>
      </c>
    </row>
    <row r="1245" spans="1:8" x14ac:dyDescent="0.25">
      <c r="A1245" s="13">
        <v>44987</v>
      </c>
      <c r="B1245" s="15" t="s">
        <v>21</v>
      </c>
      <c r="C1245" s="3">
        <v>1</v>
      </c>
      <c r="D1245" s="13">
        <f t="shared" si="37"/>
        <v>44988</v>
      </c>
      <c r="E1245" s="15">
        <v>-700</v>
      </c>
      <c r="F1245" s="9">
        <v>0.11749999999999999</v>
      </c>
      <c r="G1245" s="9">
        <v>0.11749999999999999</v>
      </c>
      <c r="H1245" s="15">
        <f t="shared" si="38"/>
        <v>-700</v>
      </c>
    </row>
    <row r="1246" spans="1:8" x14ac:dyDescent="0.25">
      <c r="A1246" s="13">
        <v>44991</v>
      </c>
      <c r="B1246" s="15" t="s">
        <v>21</v>
      </c>
      <c r="C1246" s="3">
        <v>1</v>
      </c>
      <c r="D1246" s="13">
        <f t="shared" si="37"/>
        <v>44992</v>
      </c>
      <c r="E1246" s="15">
        <v>-400</v>
      </c>
      <c r="F1246" s="9">
        <v>0.11700000000000001</v>
      </c>
      <c r="G1246" s="9">
        <v>0.11700000000000001</v>
      </c>
      <c r="H1246" s="15">
        <f t="shared" si="38"/>
        <v>-400</v>
      </c>
    </row>
    <row r="1247" spans="1:8" x14ac:dyDescent="0.25">
      <c r="A1247" s="13">
        <v>45005</v>
      </c>
      <c r="B1247" s="15" t="s">
        <v>21</v>
      </c>
      <c r="C1247" s="3">
        <v>2</v>
      </c>
      <c r="D1247" s="13">
        <f t="shared" si="37"/>
        <v>45007</v>
      </c>
      <c r="E1247" s="15">
        <v>500</v>
      </c>
      <c r="F1247" s="9">
        <v>0.115</v>
      </c>
      <c r="G1247" s="9">
        <v>0.115</v>
      </c>
      <c r="H1247" s="15">
        <f t="shared" si="38"/>
        <v>4200</v>
      </c>
    </row>
    <row r="1248" spans="1:8" x14ac:dyDescent="0.25">
      <c r="A1248" s="13">
        <v>45005</v>
      </c>
      <c r="B1248" s="15" t="s">
        <v>21</v>
      </c>
      <c r="C1248" s="3">
        <v>3</v>
      </c>
      <c r="D1248" s="13">
        <f t="shared" ref="D1248:D1317" si="39">+A1248+C1248</f>
        <v>45008</v>
      </c>
      <c r="E1248" s="15">
        <v>300</v>
      </c>
      <c r="F1248" s="9">
        <v>0.115</v>
      </c>
      <c r="G1248" s="9">
        <v>0.115</v>
      </c>
      <c r="H1248" s="15">
        <f t="shared" si="38"/>
        <v>4200</v>
      </c>
    </row>
    <row r="1249" spans="1:8" x14ac:dyDescent="0.25">
      <c r="A1249" s="13">
        <v>45005</v>
      </c>
      <c r="B1249" s="15" t="s">
        <v>21</v>
      </c>
      <c r="C1249" s="3">
        <v>4</v>
      </c>
      <c r="D1249" s="13">
        <f t="shared" si="39"/>
        <v>45009</v>
      </c>
      <c r="E1249" s="15">
        <v>3400</v>
      </c>
      <c r="F1249" s="9">
        <v>0.115</v>
      </c>
      <c r="G1249" s="9">
        <v>0.115</v>
      </c>
      <c r="H1249" s="15">
        <f t="shared" si="38"/>
        <v>4200</v>
      </c>
    </row>
    <row r="1250" spans="1:8" x14ac:dyDescent="0.25">
      <c r="A1250" s="13">
        <v>45014</v>
      </c>
      <c r="B1250" s="15" t="s">
        <v>21</v>
      </c>
      <c r="C1250" s="3">
        <v>2</v>
      </c>
      <c r="D1250" s="13">
        <f t="shared" si="39"/>
        <v>45016</v>
      </c>
      <c r="E1250" s="15">
        <v>5200</v>
      </c>
      <c r="F1250" s="9">
        <v>0.1125</v>
      </c>
      <c r="G1250" s="9">
        <v>0.113</v>
      </c>
      <c r="H1250" s="15">
        <f t="shared" si="38"/>
        <v>5200</v>
      </c>
    </row>
    <row r="1251" spans="1:8" x14ac:dyDescent="0.25">
      <c r="A1251" s="13">
        <v>45021</v>
      </c>
      <c r="B1251" s="15" t="s">
        <v>21</v>
      </c>
      <c r="C1251" s="3">
        <v>5</v>
      </c>
      <c r="D1251" s="13">
        <f t="shared" si="39"/>
        <v>45026</v>
      </c>
      <c r="E1251" s="15">
        <v>-2300</v>
      </c>
      <c r="F1251" s="9">
        <v>0.11700000000000001</v>
      </c>
      <c r="G1251" s="9">
        <v>0.11700000000000001</v>
      </c>
      <c r="H1251" s="15">
        <f t="shared" si="38"/>
        <v>-2300</v>
      </c>
    </row>
    <row r="1252" spans="1:8" x14ac:dyDescent="0.25">
      <c r="A1252" s="13">
        <v>45030</v>
      </c>
      <c r="B1252" s="15" t="s">
        <v>21</v>
      </c>
      <c r="C1252" s="3">
        <v>5</v>
      </c>
      <c r="D1252" s="13">
        <f t="shared" si="39"/>
        <v>45035</v>
      </c>
      <c r="E1252" s="15">
        <v>2000</v>
      </c>
      <c r="F1252" s="9">
        <v>0.115</v>
      </c>
      <c r="G1252" s="9">
        <v>0.115</v>
      </c>
      <c r="H1252" s="15">
        <f t="shared" si="38"/>
        <v>4000</v>
      </c>
    </row>
    <row r="1253" spans="1:8" x14ac:dyDescent="0.25">
      <c r="A1253" s="13">
        <v>45030</v>
      </c>
      <c r="B1253" s="15" t="s">
        <v>21</v>
      </c>
      <c r="C1253" s="3">
        <v>7</v>
      </c>
      <c r="D1253" s="13">
        <f t="shared" si="39"/>
        <v>45037</v>
      </c>
      <c r="E1253" s="15">
        <v>2000</v>
      </c>
      <c r="F1253" s="9">
        <v>0.115</v>
      </c>
      <c r="G1253" s="9">
        <v>0.115</v>
      </c>
      <c r="H1253" s="15">
        <f t="shared" si="38"/>
        <v>4000</v>
      </c>
    </row>
    <row r="1254" spans="1:8" x14ac:dyDescent="0.25">
      <c r="A1254" s="13">
        <v>45036</v>
      </c>
      <c r="B1254" s="15" t="s">
        <v>21</v>
      </c>
      <c r="C1254" s="3">
        <v>1</v>
      </c>
      <c r="D1254" s="13">
        <f t="shared" si="39"/>
        <v>45037</v>
      </c>
      <c r="E1254" s="15">
        <v>600</v>
      </c>
      <c r="F1254" s="9">
        <v>0.1115</v>
      </c>
      <c r="G1254" s="9">
        <v>0.1115</v>
      </c>
      <c r="H1254" s="15">
        <f t="shared" si="38"/>
        <v>7700</v>
      </c>
    </row>
    <row r="1255" spans="1:8" x14ac:dyDescent="0.25">
      <c r="A1255" s="13">
        <v>45036</v>
      </c>
      <c r="B1255" s="15" t="s">
        <v>21</v>
      </c>
      <c r="C1255" s="3">
        <v>4</v>
      </c>
      <c r="D1255" s="13">
        <f t="shared" si="39"/>
        <v>45040</v>
      </c>
      <c r="E1255" s="15">
        <v>3000</v>
      </c>
      <c r="F1255" s="9">
        <v>0.1125</v>
      </c>
      <c r="G1255" s="9">
        <v>0.1125</v>
      </c>
      <c r="H1255" s="15">
        <f t="shared" si="38"/>
        <v>7700</v>
      </c>
    </row>
    <row r="1256" spans="1:8" x14ac:dyDescent="0.25">
      <c r="A1256" s="13">
        <v>45036</v>
      </c>
      <c r="B1256" s="15" t="s">
        <v>21</v>
      </c>
      <c r="C1256" s="3">
        <v>5</v>
      </c>
      <c r="D1256" s="13">
        <f t="shared" si="39"/>
        <v>45041</v>
      </c>
      <c r="E1256" s="15">
        <v>1100</v>
      </c>
      <c r="F1256" s="9">
        <v>0.1125</v>
      </c>
      <c r="G1256" s="9">
        <v>0.1125</v>
      </c>
      <c r="H1256" s="15">
        <f t="shared" si="38"/>
        <v>7700</v>
      </c>
    </row>
    <row r="1257" spans="1:8" x14ac:dyDescent="0.25">
      <c r="A1257" s="13">
        <v>45036</v>
      </c>
      <c r="B1257" s="15" t="s">
        <v>21</v>
      </c>
      <c r="C1257" s="3">
        <v>7</v>
      </c>
      <c r="D1257" s="13">
        <f t="shared" si="39"/>
        <v>45043</v>
      </c>
      <c r="E1257" s="15">
        <v>1000</v>
      </c>
      <c r="F1257" s="9">
        <v>0.1125</v>
      </c>
      <c r="G1257" s="9">
        <v>0.1125</v>
      </c>
      <c r="H1257" s="15">
        <f t="shared" si="38"/>
        <v>7700</v>
      </c>
    </row>
    <row r="1258" spans="1:8" x14ac:dyDescent="0.25">
      <c r="A1258" s="13">
        <v>45037</v>
      </c>
      <c r="B1258" s="15" t="s">
        <v>21</v>
      </c>
      <c r="C1258" s="3">
        <v>3</v>
      </c>
      <c r="D1258" s="13">
        <f t="shared" si="39"/>
        <v>45040</v>
      </c>
      <c r="E1258" s="15">
        <v>600</v>
      </c>
      <c r="F1258" s="9">
        <v>0.1125</v>
      </c>
      <c r="G1258" s="9">
        <v>0.1125</v>
      </c>
      <c r="H1258" s="15">
        <f t="shared" si="38"/>
        <v>10100</v>
      </c>
    </row>
    <row r="1259" spans="1:8" x14ac:dyDescent="0.25">
      <c r="A1259" s="13">
        <v>45037</v>
      </c>
      <c r="B1259" s="15" t="s">
        <v>21</v>
      </c>
      <c r="C1259" s="3">
        <v>3</v>
      </c>
      <c r="D1259" s="13">
        <f t="shared" si="39"/>
        <v>45040</v>
      </c>
      <c r="E1259" s="15">
        <v>-400</v>
      </c>
      <c r="F1259" s="9">
        <v>0.1145</v>
      </c>
      <c r="G1259" s="9">
        <v>0.1145</v>
      </c>
      <c r="H1259" s="15">
        <f t="shared" si="38"/>
        <v>10100</v>
      </c>
    </row>
    <row r="1260" spans="1:8" x14ac:dyDescent="0.25">
      <c r="A1260" s="13">
        <v>45037</v>
      </c>
      <c r="B1260" s="15" t="s">
        <v>21</v>
      </c>
      <c r="C1260" s="3">
        <v>4</v>
      </c>
      <c r="D1260" s="13">
        <f t="shared" si="39"/>
        <v>45041</v>
      </c>
      <c r="E1260" s="15">
        <v>400</v>
      </c>
      <c r="F1260" s="9">
        <v>0.1125</v>
      </c>
      <c r="G1260" s="9">
        <v>0.1125</v>
      </c>
      <c r="H1260" s="15">
        <f t="shared" si="38"/>
        <v>10100</v>
      </c>
    </row>
    <row r="1261" spans="1:8" x14ac:dyDescent="0.25">
      <c r="A1261" s="13">
        <v>45037</v>
      </c>
      <c r="B1261" s="15" t="s">
        <v>21</v>
      </c>
      <c r="C1261" s="3">
        <v>5</v>
      </c>
      <c r="D1261" s="13">
        <f t="shared" si="39"/>
        <v>45042</v>
      </c>
      <c r="E1261" s="15">
        <v>900</v>
      </c>
      <c r="F1261" s="9">
        <v>0.1125</v>
      </c>
      <c r="G1261" s="9">
        <v>0.1125</v>
      </c>
      <c r="H1261" s="15">
        <f t="shared" si="38"/>
        <v>10100</v>
      </c>
    </row>
    <row r="1262" spans="1:8" x14ac:dyDescent="0.25">
      <c r="A1262" s="13">
        <v>45037</v>
      </c>
      <c r="B1262" s="15" t="s">
        <v>21</v>
      </c>
      <c r="C1262" s="3">
        <v>7</v>
      </c>
      <c r="D1262" s="13">
        <f t="shared" si="39"/>
        <v>45044</v>
      </c>
      <c r="E1262" s="15">
        <v>3500</v>
      </c>
      <c r="F1262" s="9">
        <v>0.1125</v>
      </c>
      <c r="G1262" s="9">
        <v>0.1125</v>
      </c>
      <c r="H1262" s="15">
        <f t="shared" si="38"/>
        <v>10100</v>
      </c>
    </row>
    <row r="1263" spans="1:8" x14ac:dyDescent="0.25">
      <c r="A1263" s="13">
        <v>45040</v>
      </c>
      <c r="B1263" s="15" t="s">
        <v>21</v>
      </c>
      <c r="C1263" s="3">
        <v>4</v>
      </c>
      <c r="D1263" s="13">
        <f t="shared" si="39"/>
        <v>45044</v>
      </c>
      <c r="E1263" s="15">
        <v>5500</v>
      </c>
      <c r="F1263" s="9">
        <v>0.1125</v>
      </c>
      <c r="G1263" s="9">
        <v>0.1125</v>
      </c>
      <c r="H1263" s="15">
        <f t="shared" si="38"/>
        <v>12400</v>
      </c>
    </row>
    <row r="1264" spans="1:8" x14ac:dyDescent="0.25">
      <c r="A1264" s="13">
        <v>45041</v>
      </c>
      <c r="B1264" s="15" t="s">
        <v>21</v>
      </c>
      <c r="C1264" s="3">
        <v>1</v>
      </c>
      <c r="D1264" s="13">
        <f t="shared" si="39"/>
        <v>45042</v>
      </c>
      <c r="E1264" s="15">
        <v>700</v>
      </c>
      <c r="F1264" s="9">
        <v>0.112</v>
      </c>
      <c r="G1264" s="9">
        <v>0.112</v>
      </c>
      <c r="H1264" s="15">
        <f t="shared" si="38"/>
        <v>12700</v>
      </c>
    </row>
    <row r="1265" spans="1:8" x14ac:dyDescent="0.25">
      <c r="A1265" s="13">
        <v>45041</v>
      </c>
      <c r="B1265" s="15" t="s">
        <v>21</v>
      </c>
      <c r="C1265" s="3">
        <v>2</v>
      </c>
      <c r="D1265" s="13">
        <f t="shared" si="39"/>
        <v>45043</v>
      </c>
      <c r="E1265" s="15">
        <v>100</v>
      </c>
      <c r="F1265" s="9">
        <v>0.1125</v>
      </c>
      <c r="G1265" s="9">
        <v>0.1125</v>
      </c>
      <c r="H1265" s="15">
        <f t="shared" si="38"/>
        <v>12700</v>
      </c>
    </row>
    <row r="1266" spans="1:8" x14ac:dyDescent="0.25">
      <c r="A1266" s="13">
        <v>45041</v>
      </c>
      <c r="B1266" s="15" t="s">
        <v>21</v>
      </c>
      <c r="C1266" s="3">
        <v>3</v>
      </c>
      <c r="D1266" s="13">
        <f t="shared" si="39"/>
        <v>45044</v>
      </c>
      <c r="E1266" s="15">
        <v>1000</v>
      </c>
      <c r="F1266" s="9">
        <v>0.112</v>
      </c>
      <c r="G1266" s="9">
        <v>0.112</v>
      </c>
      <c r="H1266" s="15">
        <f t="shared" si="38"/>
        <v>12700</v>
      </c>
    </row>
    <row r="1267" spans="1:8" x14ac:dyDescent="0.25">
      <c r="A1267" s="13">
        <v>45042</v>
      </c>
      <c r="B1267" s="15" t="s">
        <v>21</v>
      </c>
      <c r="C1267" s="3">
        <v>2</v>
      </c>
      <c r="D1267" s="13">
        <f t="shared" si="39"/>
        <v>45044</v>
      </c>
      <c r="E1267" s="15">
        <v>1000</v>
      </c>
      <c r="F1267" s="9">
        <v>0.1125</v>
      </c>
      <c r="G1267" s="9">
        <v>0.1125</v>
      </c>
      <c r="H1267" s="15">
        <f t="shared" si="38"/>
        <v>12600</v>
      </c>
    </row>
    <row r="1268" spans="1:8" x14ac:dyDescent="0.25">
      <c r="A1268" s="13">
        <v>45042</v>
      </c>
      <c r="B1268" s="15" t="s">
        <v>21</v>
      </c>
      <c r="C1268" s="3">
        <v>6</v>
      </c>
      <c r="D1268" s="13">
        <f t="shared" si="39"/>
        <v>45048</v>
      </c>
      <c r="E1268" s="15">
        <v>500</v>
      </c>
      <c r="F1268" s="9">
        <v>0.1125</v>
      </c>
      <c r="G1268" s="9">
        <v>0.1125</v>
      </c>
      <c r="H1268" s="15">
        <f t="shared" si="38"/>
        <v>12600</v>
      </c>
    </row>
    <row r="1269" spans="1:8" x14ac:dyDescent="0.25">
      <c r="A1269" s="13">
        <v>45044</v>
      </c>
      <c r="B1269" s="15" t="s">
        <v>21</v>
      </c>
      <c r="C1269" s="3">
        <v>4</v>
      </c>
      <c r="D1269" s="13">
        <f t="shared" si="39"/>
        <v>45048</v>
      </c>
      <c r="E1269" s="15">
        <v>-4800</v>
      </c>
      <c r="F1269" s="9">
        <v>0.115</v>
      </c>
      <c r="G1269" s="9">
        <v>0.114</v>
      </c>
      <c r="H1269" s="15">
        <f t="shared" si="38"/>
        <v>-4300</v>
      </c>
    </row>
    <row r="1270" spans="1:8" x14ac:dyDescent="0.25">
      <c r="A1270" s="13">
        <v>45048</v>
      </c>
      <c r="B1270" s="15" t="s">
        <v>21</v>
      </c>
      <c r="C1270" s="3">
        <v>1</v>
      </c>
      <c r="D1270" s="13">
        <f t="shared" si="39"/>
        <v>45049</v>
      </c>
      <c r="E1270" s="15">
        <v>-3700</v>
      </c>
      <c r="F1270" s="9">
        <v>0.1145</v>
      </c>
      <c r="G1270" s="9">
        <v>0.1145</v>
      </c>
      <c r="H1270" s="15">
        <f t="shared" si="38"/>
        <v>-5200</v>
      </c>
    </row>
    <row r="1271" spans="1:8" x14ac:dyDescent="0.25">
      <c r="A1271" s="13">
        <v>45048</v>
      </c>
      <c r="B1271" s="15" t="s">
        <v>21</v>
      </c>
      <c r="C1271" s="3">
        <v>2</v>
      </c>
      <c r="D1271" s="13">
        <f t="shared" si="39"/>
        <v>45050</v>
      </c>
      <c r="E1271" s="15">
        <v>-1100</v>
      </c>
      <c r="F1271" s="9">
        <v>0.114</v>
      </c>
      <c r="G1271" s="9">
        <v>0.114</v>
      </c>
      <c r="H1271" s="15">
        <f t="shared" si="38"/>
        <v>-5200</v>
      </c>
    </row>
    <row r="1272" spans="1:8" x14ac:dyDescent="0.25">
      <c r="A1272" s="13">
        <v>45048</v>
      </c>
      <c r="B1272" s="15" t="s">
        <v>21</v>
      </c>
      <c r="C1272" s="3">
        <v>3</v>
      </c>
      <c r="D1272" s="13">
        <f t="shared" si="39"/>
        <v>45051</v>
      </c>
      <c r="E1272" s="15">
        <v>-400</v>
      </c>
      <c r="F1272" s="9">
        <v>0.114</v>
      </c>
      <c r="G1272" s="9">
        <v>0.114</v>
      </c>
      <c r="H1272" s="15">
        <f t="shared" si="38"/>
        <v>-5200</v>
      </c>
    </row>
    <row r="1273" spans="1:8" x14ac:dyDescent="0.25">
      <c r="A1273" s="13">
        <v>45049</v>
      </c>
      <c r="B1273" s="15" t="s">
        <v>21</v>
      </c>
      <c r="C1273" s="3">
        <v>1</v>
      </c>
      <c r="D1273" s="13">
        <f t="shared" si="39"/>
        <v>45050</v>
      </c>
      <c r="E1273" s="15">
        <v>-4600</v>
      </c>
      <c r="F1273" s="9">
        <v>0.1145</v>
      </c>
      <c r="G1273" s="9">
        <v>0.1145</v>
      </c>
      <c r="H1273" s="15">
        <f t="shared" si="38"/>
        <v>-10800</v>
      </c>
    </row>
    <row r="1274" spans="1:8" x14ac:dyDescent="0.25">
      <c r="A1274" s="13">
        <v>45049</v>
      </c>
      <c r="B1274" s="15" t="s">
        <v>21</v>
      </c>
      <c r="C1274" s="3">
        <v>2</v>
      </c>
      <c r="D1274" s="13">
        <f t="shared" si="39"/>
        <v>45051</v>
      </c>
      <c r="E1274" s="15">
        <v>-4700</v>
      </c>
      <c r="F1274" s="9">
        <v>0.1145</v>
      </c>
      <c r="G1274" s="9">
        <v>0.114</v>
      </c>
      <c r="H1274" s="15">
        <f t="shared" si="38"/>
        <v>-10800</v>
      </c>
    </row>
    <row r="1275" spans="1:8" x14ac:dyDescent="0.25">
      <c r="A1275" s="13">
        <v>45050</v>
      </c>
      <c r="B1275" s="15" t="s">
        <v>21</v>
      </c>
      <c r="C1275" s="3">
        <v>4</v>
      </c>
      <c r="D1275" s="13">
        <f t="shared" si="39"/>
        <v>45054</v>
      </c>
      <c r="E1275" s="15">
        <v>-5300</v>
      </c>
      <c r="F1275" s="9">
        <v>0.1145</v>
      </c>
      <c r="G1275" s="9">
        <v>0.114</v>
      </c>
      <c r="H1275" s="15">
        <f t="shared" si="38"/>
        <v>-10800</v>
      </c>
    </row>
    <row r="1276" spans="1:8" x14ac:dyDescent="0.25">
      <c r="A1276" s="13">
        <v>45050</v>
      </c>
      <c r="B1276" s="15" t="s">
        <v>21</v>
      </c>
      <c r="C1276" s="3">
        <v>5</v>
      </c>
      <c r="D1276" s="13">
        <f t="shared" si="39"/>
        <v>45055</v>
      </c>
      <c r="E1276" s="15">
        <v>-400</v>
      </c>
      <c r="F1276" s="9">
        <v>0.114</v>
      </c>
      <c r="G1276" s="9">
        <v>0.114</v>
      </c>
      <c r="H1276" s="15">
        <f t="shared" si="38"/>
        <v>-10800</v>
      </c>
    </row>
    <row r="1277" spans="1:8" x14ac:dyDescent="0.25">
      <c r="A1277" s="13">
        <v>45051</v>
      </c>
      <c r="B1277" s="15" t="s">
        <v>21</v>
      </c>
      <c r="C1277" s="3">
        <v>4</v>
      </c>
      <c r="D1277" s="13">
        <f t="shared" si="39"/>
        <v>45055</v>
      </c>
      <c r="E1277" s="15">
        <v>-3550</v>
      </c>
      <c r="F1277" s="9">
        <v>0.114</v>
      </c>
      <c r="G1277" s="9">
        <v>0.114</v>
      </c>
      <c r="H1277" s="15">
        <f t="shared" si="38"/>
        <v>-9650</v>
      </c>
    </row>
    <row r="1278" spans="1:8" x14ac:dyDescent="0.25">
      <c r="A1278" s="13">
        <v>45051</v>
      </c>
      <c r="B1278" s="15" t="s">
        <v>21</v>
      </c>
      <c r="C1278" s="3">
        <v>5</v>
      </c>
      <c r="D1278" s="13">
        <f t="shared" si="39"/>
        <v>45056</v>
      </c>
      <c r="E1278" s="15">
        <v>-400</v>
      </c>
      <c r="F1278" s="9">
        <v>0.1145</v>
      </c>
      <c r="G1278" s="9">
        <v>0.1145</v>
      </c>
      <c r="H1278" s="15">
        <f t="shared" si="38"/>
        <v>-9650</v>
      </c>
    </row>
    <row r="1279" spans="1:8" x14ac:dyDescent="0.25">
      <c r="A1279" s="13">
        <v>45054</v>
      </c>
      <c r="B1279" s="15" t="s">
        <v>21</v>
      </c>
      <c r="C1279" s="3">
        <v>2</v>
      </c>
      <c r="D1279" s="13">
        <f t="shared" si="39"/>
        <v>45056</v>
      </c>
      <c r="E1279" s="15">
        <v>-3000</v>
      </c>
      <c r="F1279" s="9">
        <v>0.114</v>
      </c>
      <c r="G1279" s="9">
        <v>0.114</v>
      </c>
      <c r="H1279" s="15">
        <f t="shared" si="38"/>
        <v>-8350</v>
      </c>
    </row>
    <row r="1280" spans="1:8" x14ac:dyDescent="0.25">
      <c r="A1280" s="13">
        <v>45054</v>
      </c>
      <c r="B1280" s="15" t="s">
        <v>21</v>
      </c>
      <c r="C1280" s="3">
        <v>3</v>
      </c>
      <c r="D1280" s="13">
        <f t="shared" si="39"/>
        <v>45057</v>
      </c>
      <c r="E1280" s="15">
        <v>-1000</v>
      </c>
      <c r="F1280" s="9">
        <v>0.114</v>
      </c>
      <c r="G1280" s="9">
        <v>0.114</v>
      </c>
      <c r="H1280" s="15">
        <f t="shared" si="38"/>
        <v>-8350</v>
      </c>
    </row>
    <row r="1281" spans="1:8" x14ac:dyDescent="0.25">
      <c r="A1281" s="13">
        <v>45055</v>
      </c>
      <c r="B1281" s="15" t="s">
        <v>21</v>
      </c>
      <c r="C1281" s="3">
        <v>1</v>
      </c>
      <c r="D1281" s="13">
        <f t="shared" si="39"/>
        <v>45056</v>
      </c>
      <c r="E1281" s="15">
        <v>-200</v>
      </c>
      <c r="F1281" s="9">
        <v>0.115</v>
      </c>
      <c r="G1281" s="9">
        <v>0.115</v>
      </c>
      <c r="H1281" s="15">
        <f t="shared" si="38"/>
        <v>-7100</v>
      </c>
    </row>
    <row r="1282" spans="1:8" x14ac:dyDescent="0.25">
      <c r="A1282" s="13">
        <v>45055</v>
      </c>
      <c r="B1282" s="15" t="s">
        <v>21</v>
      </c>
      <c r="C1282" s="3">
        <v>2</v>
      </c>
      <c r="D1282" s="13">
        <f t="shared" si="39"/>
        <v>45057</v>
      </c>
      <c r="E1282" s="15">
        <v>-2000</v>
      </c>
      <c r="F1282" s="9">
        <v>0.115</v>
      </c>
      <c r="G1282" s="9">
        <v>0.115</v>
      </c>
      <c r="H1282" s="15">
        <f t="shared" si="38"/>
        <v>-7100</v>
      </c>
    </row>
    <row r="1283" spans="1:8" x14ac:dyDescent="0.25">
      <c r="A1283" s="13">
        <v>45055</v>
      </c>
      <c r="B1283" s="15" t="s">
        <v>21</v>
      </c>
      <c r="C1283" s="3">
        <v>3</v>
      </c>
      <c r="D1283" s="13">
        <f t="shared" si="39"/>
        <v>45058</v>
      </c>
      <c r="E1283" s="15">
        <v>-500</v>
      </c>
      <c r="F1283" s="9">
        <v>0.115</v>
      </c>
      <c r="G1283" s="9">
        <v>0.115</v>
      </c>
      <c r="H1283" s="15">
        <f t="shared" si="38"/>
        <v>-7100</v>
      </c>
    </row>
    <row r="1284" spans="1:8" x14ac:dyDescent="0.25">
      <c r="A1284" s="13">
        <v>45056</v>
      </c>
      <c r="B1284" s="15" t="s">
        <v>21</v>
      </c>
      <c r="C1284" s="3">
        <v>2</v>
      </c>
      <c r="D1284" s="13">
        <f t="shared" si="39"/>
        <v>45058</v>
      </c>
      <c r="E1284" s="15">
        <v>-4000</v>
      </c>
      <c r="F1284" s="9">
        <v>0.114</v>
      </c>
      <c r="G1284" s="9">
        <v>0.114</v>
      </c>
      <c r="H1284" s="15">
        <f t="shared" si="38"/>
        <v>-7500</v>
      </c>
    </row>
    <row r="1285" spans="1:8" x14ac:dyDescent="0.25">
      <c r="A1285" s="13">
        <v>45057</v>
      </c>
      <c r="B1285" s="15" t="s">
        <v>21</v>
      </c>
      <c r="C1285" s="3">
        <v>1</v>
      </c>
      <c r="D1285" s="13">
        <f t="shared" si="39"/>
        <v>45058</v>
      </c>
      <c r="E1285" s="15">
        <v>-1200</v>
      </c>
      <c r="F1285" s="9">
        <v>0.1145</v>
      </c>
      <c r="G1285" s="9">
        <v>0.1145</v>
      </c>
      <c r="H1285" s="15">
        <f t="shared" si="38"/>
        <v>-7800</v>
      </c>
    </row>
    <row r="1286" spans="1:8" x14ac:dyDescent="0.25">
      <c r="A1286" s="13">
        <v>45057</v>
      </c>
      <c r="B1286" s="15" t="s">
        <v>21</v>
      </c>
      <c r="C1286" s="3">
        <v>4</v>
      </c>
      <c r="D1286" s="13">
        <f t="shared" si="39"/>
        <v>45061</v>
      </c>
      <c r="E1286" s="15">
        <v>-2100</v>
      </c>
      <c r="F1286" s="9">
        <v>0.114</v>
      </c>
      <c r="G1286" s="9">
        <v>0.114</v>
      </c>
      <c r="H1286" s="15">
        <f t="shared" si="38"/>
        <v>-7800</v>
      </c>
    </row>
    <row r="1287" spans="1:8" x14ac:dyDescent="0.25">
      <c r="A1287" s="13">
        <v>45058</v>
      </c>
      <c r="B1287" s="15" t="s">
        <v>21</v>
      </c>
      <c r="C1287" s="3">
        <v>4</v>
      </c>
      <c r="D1287" s="13">
        <f t="shared" si="39"/>
        <v>45062</v>
      </c>
      <c r="E1287" s="15">
        <v>-1600</v>
      </c>
      <c r="F1287" s="9">
        <v>0.114</v>
      </c>
      <c r="G1287" s="9">
        <v>0.114</v>
      </c>
      <c r="H1287" s="15">
        <f t="shared" si="38"/>
        <v>-3700</v>
      </c>
    </row>
    <row r="1288" spans="1:8" x14ac:dyDescent="0.25">
      <c r="A1288" s="13">
        <v>45062</v>
      </c>
      <c r="B1288" s="15" t="s">
        <v>21</v>
      </c>
      <c r="C1288" s="3">
        <v>1</v>
      </c>
      <c r="D1288" s="13">
        <f t="shared" si="39"/>
        <v>45063</v>
      </c>
      <c r="E1288" s="15">
        <v>500</v>
      </c>
      <c r="F1288" s="9">
        <v>0.11</v>
      </c>
      <c r="G1288" s="9">
        <v>0.1105</v>
      </c>
      <c r="H1288" s="15">
        <f t="shared" si="38"/>
        <v>1700</v>
      </c>
    </row>
    <row r="1289" spans="1:8" x14ac:dyDescent="0.25">
      <c r="A1289" s="13">
        <v>45062</v>
      </c>
      <c r="B1289" s="15" t="s">
        <v>21</v>
      </c>
      <c r="C1289" s="3">
        <v>2</v>
      </c>
      <c r="D1289" s="13">
        <f t="shared" si="39"/>
        <v>45064</v>
      </c>
      <c r="E1289" s="15">
        <v>400</v>
      </c>
      <c r="F1289" s="9">
        <v>0.11</v>
      </c>
      <c r="G1289" s="9">
        <v>0.11</v>
      </c>
      <c r="H1289" s="15">
        <f t="shared" si="38"/>
        <v>1700</v>
      </c>
    </row>
    <row r="1290" spans="1:8" x14ac:dyDescent="0.25">
      <c r="A1290" s="13">
        <v>45062</v>
      </c>
      <c r="B1290" s="15" t="s">
        <v>21</v>
      </c>
      <c r="C1290" s="3">
        <v>3</v>
      </c>
      <c r="D1290" s="13">
        <f t="shared" si="39"/>
        <v>45065</v>
      </c>
      <c r="E1290" s="15">
        <v>500</v>
      </c>
      <c r="F1290" s="9">
        <v>0.11</v>
      </c>
      <c r="G1290" s="9">
        <v>0.11</v>
      </c>
      <c r="H1290" s="15">
        <f t="shared" ref="H1290:H1353" si="40">+SUMIFS($E$10:$E$4503,$A$10:$A$4503,"&lt;="&amp;A1290,$D$10:$D$4503,"&gt;"&amp;A1290)</f>
        <v>1700</v>
      </c>
    </row>
    <row r="1291" spans="1:8" x14ac:dyDescent="0.25">
      <c r="A1291" s="13">
        <v>45062</v>
      </c>
      <c r="B1291" s="15" t="s">
        <v>21</v>
      </c>
      <c r="C1291" s="3">
        <v>7</v>
      </c>
      <c r="D1291" s="13">
        <f t="shared" si="39"/>
        <v>45069</v>
      </c>
      <c r="E1291" s="15">
        <v>300</v>
      </c>
      <c r="F1291" s="9">
        <v>0.11</v>
      </c>
      <c r="G1291" s="9">
        <v>0.11</v>
      </c>
      <c r="H1291" s="15">
        <f t="shared" si="40"/>
        <v>1700</v>
      </c>
    </row>
    <row r="1292" spans="1:8" x14ac:dyDescent="0.25">
      <c r="A1292" s="13">
        <v>45063</v>
      </c>
      <c r="B1292" s="15" t="s">
        <v>21</v>
      </c>
      <c r="C1292" s="3">
        <v>2</v>
      </c>
      <c r="D1292" s="13">
        <f t="shared" si="39"/>
        <v>45065</v>
      </c>
      <c r="E1292" s="15">
        <v>500</v>
      </c>
      <c r="F1292" s="9">
        <v>0.1115</v>
      </c>
      <c r="G1292" s="9">
        <v>0.1115</v>
      </c>
      <c r="H1292" s="15">
        <f t="shared" si="40"/>
        <v>3000</v>
      </c>
    </row>
    <row r="1293" spans="1:8" x14ac:dyDescent="0.25">
      <c r="A1293" s="13">
        <v>45063</v>
      </c>
      <c r="B1293" s="15" t="s">
        <v>21</v>
      </c>
      <c r="C1293" s="3">
        <v>6</v>
      </c>
      <c r="D1293" s="13">
        <f t="shared" si="39"/>
        <v>45069</v>
      </c>
      <c r="E1293" s="15">
        <v>800</v>
      </c>
      <c r="F1293" s="9">
        <v>0.1115</v>
      </c>
      <c r="G1293" s="9">
        <v>0.1115</v>
      </c>
      <c r="H1293" s="15">
        <f t="shared" si="40"/>
        <v>3000</v>
      </c>
    </row>
    <row r="1294" spans="1:8" x14ac:dyDescent="0.25">
      <c r="A1294" s="13">
        <v>45063</v>
      </c>
      <c r="B1294" s="15" t="s">
        <v>21</v>
      </c>
      <c r="C1294" s="3">
        <v>15</v>
      </c>
      <c r="D1294" s="13">
        <f t="shared" si="39"/>
        <v>45078</v>
      </c>
      <c r="E1294" s="15">
        <v>500</v>
      </c>
      <c r="F1294" s="9">
        <v>0.112</v>
      </c>
      <c r="G1294" s="9">
        <v>0.112</v>
      </c>
      <c r="H1294" s="15">
        <f t="shared" si="40"/>
        <v>3000</v>
      </c>
    </row>
    <row r="1295" spans="1:8" x14ac:dyDescent="0.25">
      <c r="A1295" s="13">
        <v>45064</v>
      </c>
      <c r="B1295" s="15" t="s">
        <v>21</v>
      </c>
      <c r="C1295" s="3">
        <v>5</v>
      </c>
      <c r="D1295" s="13">
        <f t="shared" si="39"/>
        <v>45069</v>
      </c>
      <c r="E1295" s="15">
        <v>1500</v>
      </c>
      <c r="F1295" s="9">
        <v>0.1125</v>
      </c>
      <c r="G1295" s="9">
        <v>0.1125</v>
      </c>
      <c r="H1295" s="15">
        <f t="shared" si="40"/>
        <v>7850</v>
      </c>
    </row>
    <row r="1296" spans="1:8" x14ac:dyDescent="0.25">
      <c r="A1296" s="13">
        <v>45064</v>
      </c>
      <c r="B1296" s="15" t="s">
        <v>21</v>
      </c>
      <c r="C1296" s="3">
        <v>6</v>
      </c>
      <c r="D1296" s="13">
        <f t="shared" si="39"/>
        <v>45070</v>
      </c>
      <c r="E1296" s="15">
        <v>1700</v>
      </c>
      <c r="F1296" s="9">
        <v>0.1125</v>
      </c>
      <c r="G1296" s="9">
        <v>0.1125</v>
      </c>
      <c r="H1296" s="15">
        <f t="shared" si="40"/>
        <v>7850</v>
      </c>
    </row>
    <row r="1297" spans="1:8" x14ac:dyDescent="0.25">
      <c r="A1297" s="13">
        <v>45064</v>
      </c>
      <c r="B1297" s="15" t="s">
        <v>21</v>
      </c>
      <c r="C1297" s="3">
        <v>7</v>
      </c>
      <c r="D1297" s="13">
        <f t="shared" si="39"/>
        <v>45071</v>
      </c>
      <c r="E1297" s="15">
        <v>500</v>
      </c>
      <c r="F1297" s="9">
        <v>0.1125</v>
      </c>
      <c r="G1297" s="9">
        <v>0.1125</v>
      </c>
      <c r="H1297" s="15">
        <f t="shared" si="40"/>
        <v>7850</v>
      </c>
    </row>
    <row r="1298" spans="1:8" x14ac:dyDescent="0.25">
      <c r="A1298" s="13">
        <v>45064</v>
      </c>
      <c r="B1298" s="15" t="s">
        <v>21</v>
      </c>
      <c r="C1298" s="3">
        <v>14</v>
      </c>
      <c r="D1298" s="13">
        <f t="shared" si="39"/>
        <v>45078</v>
      </c>
      <c r="E1298" s="15">
        <v>1550</v>
      </c>
      <c r="F1298" s="9">
        <v>0.1125</v>
      </c>
      <c r="G1298" s="9">
        <v>0.1125</v>
      </c>
      <c r="H1298" s="15">
        <f t="shared" si="40"/>
        <v>7850</v>
      </c>
    </row>
    <row r="1299" spans="1:8" x14ac:dyDescent="0.25">
      <c r="A1299" s="13">
        <v>45065</v>
      </c>
      <c r="B1299" s="15" t="s">
        <v>21</v>
      </c>
      <c r="C1299" s="3">
        <v>4</v>
      </c>
      <c r="D1299" s="13">
        <f t="shared" si="39"/>
        <v>45069</v>
      </c>
      <c r="E1299" s="15">
        <v>-1300</v>
      </c>
      <c r="F1299" s="9">
        <v>0.115</v>
      </c>
      <c r="G1299" s="9">
        <v>0.115</v>
      </c>
      <c r="H1299" s="15">
        <f t="shared" si="40"/>
        <v>5550</v>
      </c>
    </row>
    <row r="1300" spans="1:8" x14ac:dyDescent="0.25">
      <c r="A1300" s="13">
        <v>45071</v>
      </c>
      <c r="B1300" s="15" t="s">
        <v>21</v>
      </c>
      <c r="C1300" s="3">
        <v>6</v>
      </c>
      <c r="D1300" s="13">
        <f t="shared" si="39"/>
        <v>45077</v>
      </c>
      <c r="E1300" s="15">
        <v>100</v>
      </c>
      <c r="F1300" s="9">
        <v>0.1125</v>
      </c>
      <c r="G1300" s="9">
        <v>0.1125</v>
      </c>
      <c r="H1300" s="15">
        <f t="shared" si="40"/>
        <v>2650</v>
      </c>
    </row>
    <row r="1301" spans="1:8" x14ac:dyDescent="0.25">
      <c r="A1301" s="13">
        <v>45071</v>
      </c>
      <c r="B1301" s="15" t="s">
        <v>21</v>
      </c>
      <c r="C1301" s="3">
        <v>7</v>
      </c>
      <c r="D1301" s="13">
        <f t="shared" si="39"/>
        <v>45078</v>
      </c>
      <c r="E1301" s="15">
        <v>500</v>
      </c>
      <c r="F1301" s="9">
        <v>0.1125</v>
      </c>
      <c r="G1301" s="9">
        <v>0.1125</v>
      </c>
      <c r="H1301" s="15">
        <f t="shared" si="40"/>
        <v>2650</v>
      </c>
    </row>
    <row r="1302" spans="1:8" x14ac:dyDescent="0.25">
      <c r="A1302" s="13">
        <v>45075</v>
      </c>
      <c r="B1302" s="15" t="s">
        <v>21</v>
      </c>
      <c r="C1302" s="3">
        <v>1</v>
      </c>
      <c r="D1302" s="13">
        <f t="shared" si="39"/>
        <v>45076</v>
      </c>
      <c r="E1302" s="15">
        <v>-600</v>
      </c>
      <c r="F1302" s="9">
        <v>0.1145</v>
      </c>
      <c r="G1302" s="9">
        <v>0.1145</v>
      </c>
      <c r="H1302" s="15">
        <f t="shared" si="40"/>
        <v>850</v>
      </c>
    </row>
    <row r="1303" spans="1:8" x14ac:dyDescent="0.25">
      <c r="A1303" s="13">
        <v>45075</v>
      </c>
      <c r="B1303" s="15" t="s">
        <v>21</v>
      </c>
      <c r="C1303" s="3">
        <v>2</v>
      </c>
      <c r="D1303" s="13">
        <f t="shared" si="39"/>
        <v>45077</v>
      </c>
      <c r="E1303" s="15">
        <v>-1200</v>
      </c>
      <c r="F1303" s="9">
        <v>0.115</v>
      </c>
      <c r="G1303" s="9">
        <v>0.115</v>
      </c>
      <c r="H1303" s="15">
        <f t="shared" si="40"/>
        <v>850</v>
      </c>
    </row>
    <row r="1304" spans="1:8" x14ac:dyDescent="0.25">
      <c r="A1304" s="13">
        <v>45077</v>
      </c>
      <c r="B1304" s="15" t="s">
        <v>21</v>
      </c>
      <c r="C1304" s="3">
        <v>1</v>
      </c>
      <c r="D1304" s="13">
        <f t="shared" si="39"/>
        <v>45078</v>
      </c>
      <c r="E1304" s="15">
        <v>-1000</v>
      </c>
      <c r="F1304" s="9">
        <v>0.1145</v>
      </c>
      <c r="G1304" s="9">
        <v>0.115</v>
      </c>
      <c r="H1304" s="15">
        <f t="shared" si="40"/>
        <v>1550</v>
      </c>
    </row>
    <row r="1305" spans="1:8" x14ac:dyDescent="0.25">
      <c r="A1305" s="13">
        <v>45078</v>
      </c>
      <c r="B1305" s="15" t="s">
        <v>21</v>
      </c>
      <c r="C1305" s="3">
        <v>1</v>
      </c>
      <c r="D1305" s="13">
        <f t="shared" si="39"/>
        <v>45079</v>
      </c>
      <c r="E1305" s="15">
        <v>-2500</v>
      </c>
      <c r="F1305" s="9">
        <v>0.115</v>
      </c>
      <c r="G1305" s="9">
        <v>0.115</v>
      </c>
      <c r="H1305" s="15">
        <f t="shared" si="40"/>
        <v>-2500</v>
      </c>
    </row>
    <row r="1306" spans="1:8" x14ac:dyDescent="0.25">
      <c r="A1306" s="13">
        <v>45079</v>
      </c>
      <c r="B1306" s="15" t="s">
        <v>21</v>
      </c>
      <c r="C1306" s="3">
        <v>3</v>
      </c>
      <c r="D1306" s="13">
        <f t="shared" si="39"/>
        <v>45082</v>
      </c>
      <c r="E1306" s="15">
        <v>-1300</v>
      </c>
      <c r="F1306" s="9">
        <v>0.115</v>
      </c>
      <c r="G1306" s="9">
        <v>0.115</v>
      </c>
      <c r="H1306" s="15">
        <f t="shared" si="40"/>
        <v>-1300</v>
      </c>
    </row>
    <row r="1307" spans="1:8" x14ac:dyDescent="0.25">
      <c r="A1307" s="13">
        <v>45083</v>
      </c>
      <c r="B1307" s="15" t="s">
        <v>21</v>
      </c>
      <c r="C1307" s="3">
        <v>1</v>
      </c>
      <c r="D1307" s="13">
        <f t="shared" si="39"/>
        <v>45084</v>
      </c>
      <c r="E1307" s="15">
        <v>-300</v>
      </c>
      <c r="F1307" s="9">
        <v>0.11550000000000001</v>
      </c>
      <c r="G1307" s="9">
        <v>0.11550000000000001</v>
      </c>
      <c r="H1307" s="15">
        <f t="shared" si="40"/>
        <v>-300</v>
      </c>
    </row>
    <row r="1308" spans="1:8" x14ac:dyDescent="0.25">
      <c r="A1308" s="13">
        <v>45089</v>
      </c>
      <c r="B1308" s="15" t="s">
        <v>21</v>
      </c>
      <c r="C1308" s="3">
        <v>2</v>
      </c>
      <c r="D1308" s="13">
        <f t="shared" si="39"/>
        <v>45091</v>
      </c>
      <c r="E1308" s="15">
        <v>300</v>
      </c>
      <c r="F1308" s="9">
        <v>0.1125</v>
      </c>
      <c r="G1308" s="9">
        <v>0.1125</v>
      </c>
      <c r="H1308" s="15">
        <f t="shared" si="40"/>
        <v>6500</v>
      </c>
    </row>
    <row r="1309" spans="1:8" x14ac:dyDescent="0.25">
      <c r="A1309" s="13">
        <v>45089</v>
      </c>
      <c r="B1309" s="15" t="s">
        <v>21</v>
      </c>
      <c r="C1309" s="3">
        <v>4</v>
      </c>
      <c r="D1309" s="13">
        <f t="shared" si="39"/>
        <v>45093</v>
      </c>
      <c r="E1309" s="15">
        <v>3400</v>
      </c>
      <c r="F1309" s="9">
        <v>0.1125</v>
      </c>
      <c r="G1309" s="9">
        <v>0.1125</v>
      </c>
      <c r="H1309" s="15">
        <f t="shared" si="40"/>
        <v>6500</v>
      </c>
    </row>
    <row r="1310" spans="1:8" x14ac:dyDescent="0.25">
      <c r="A1310" s="13">
        <v>45089</v>
      </c>
      <c r="B1310" s="15" t="s">
        <v>21</v>
      </c>
      <c r="C1310" s="3">
        <v>8</v>
      </c>
      <c r="D1310" s="13">
        <f t="shared" si="39"/>
        <v>45097</v>
      </c>
      <c r="E1310" s="15">
        <v>2800</v>
      </c>
      <c r="F1310" s="9">
        <v>0.113</v>
      </c>
      <c r="G1310" s="9">
        <v>0.113</v>
      </c>
      <c r="H1310" s="15">
        <f t="shared" si="40"/>
        <v>6500</v>
      </c>
    </row>
    <row r="1311" spans="1:8" x14ac:dyDescent="0.25">
      <c r="A1311" s="13">
        <v>45090</v>
      </c>
      <c r="B1311" s="15" t="s">
        <v>21</v>
      </c>
      <c r="C1311" s="3">
        <v>3</v>
      </c>
      <c r="D1311" s="13">
        <f t="shared" si="39"/>
        <v>45093</v>
      </c>
      <c r="E1311" s="15">
        <v>1100</v>
      </c>
      <c r="F1311" s="9">
        <v>0.1125</v>
      </c>
      <c r="G1311" s="9">
        <v>0.1125</v>
      </c>
      <c r="H1311" s="15">
        <f t="shared" si="40"/>
        <v>9800</v>
      </c>
    </row>
    <row r="1312" spans="1:8" x14ac:dyDescent="0.25">
      <c r="A1312" s="13">
        <v>45090</v>
      </c>
      <c r="B1312" s="15" t="s">
        <v>21</v>
      </c>
      <c r="C1312" s="3">
        <v>8</v>
      </c>
      <c r="D1312" s="13">
        <f t="shared" si="39"/>
        <v>45098</v>
      </c>
      <c r="E1312" s="15">
        <v>2200</v>
      </c>
      <c r="F1312" s="9">
        <v>0.113</v>
      </c>
      <c r="G1312" s="9">
        <v>0.113</v>
      </c>
      <c r="H1312" s="15">
        <f t="shared" si="40"/>
        <v>9800</v>
      </c>
    </row>
    <row r="1313" spans="1:8" x14ac:dyDescent="0.25">
      <c r="A1313" s="13">
        <v>45091</v>
      </c>
      <c r="B1313" s="15" t="s">
        <v>21</v>
      </c>
      <c r="C1313" s="3">
        <v>6</v>
      </c>
      <c r="D1313" s="13">
        <f t="shared" si="39"/>
        <v>45097</v>
      </c>
      <c r="E1313" s="15">
        <v>1600</v>
      </c>
      <c r="F1313" s="9">
        <v>0.1125</v>
      </c>
      <c r="G1313" s="9">
        <v>0.1125</v>
      </c>
      <c r="H1313" s="15">
        <f t="shared" si="40"/>
        <v>11100</v>
      </c>
    </row>
    <row r="1314" spans="1:8" x14ac:dyDescent="0.25">
      <c r="A1314" s="13">
        <v>45092</v>
      </c>
      <c r="B1314" s="15" t="s">
        <v>21</v>
      </c>
      <c r="C1314" s="3">
        <v>7</v>
      </c>
      <c r="D1314" s="13">
        <f t="shared" si="39"/>
        <v>45099</v>
      </c>
      <c r="E1314" s="15">
        <v>300</v>
      </c>
      <c r="F1314" s="9">
        <v>0.1125</v>
      </c>
      <c r="G1314" s="9">
        <v>0.1125</v>
      </c>
      <c r="H1314" s="15">
        <f t="shared" si="40"/>
        <v>14200</v>
      </c>
    </row>
    <row r="1315" spans="1:8" x14ac:dyDescent="0.25">
      <c r="A1315" s="13">
        <v>45092</v>
      </c>
      <c r="B1315" s="15" t="s">
        <v>21</v>
      </c>
      <c r="C1315" s="3">
        <v>8</v>
      </c>
      <c r="D1315" s="13">
        <f t="shared" si="39"/>
        <v>45100</v>
      </c>
      <c r="E1315" s="15">
        <v>2800</v>
      </c>
      <c r="F1315" s="9">
        <v>0.1125</v>
      </c>
      <c r="G1315" s="9">
        <v>0.1125</v>
      </c>
      <c r="H1315" s="15">
        <f t="shared" si="40"/>
        <v>14200</v>
      </c>
    </row>
    <row r="1316" spans="1:8" x14ac:dyDescent="0.25">
      <c r="A1316" s="13">
        <v>45093</v>
      </c>
      <c r="B1316" s="15" t="s">
        <v>21</v>
      </c>
      <c r="C1316" s="3">
        <v>7</v>
      </c>
      <c r="D1316" s="13">
        <f t="shared" si="39"/>
        <v>45100</v>
      </c>
      <c r="E1316" s="15">
        <v>2900</v>
      </c>
      <c r="F1316" s="9">
        <v>0.1125</v>
      </c>
      <c r="G1316" s="9">
        <v>0.1125</v>
      </c>
      <c r="H1316" s="15">
        <f t="shared" si="40"/>
        <v>12600</v>
      </c>
    </row>
    <row r="1317" spans="1:8" x14ac:dyDescent="0.25">
      <c r="A1317" s="13">
        <v>45097</v>
      </c>
      <c r="B1317" s="15" t="s">
        <v>21</v>
      </c>
      <c r="C1317" s="3">
        <v>2</v>
      </c>
      <c r="D1317" s="13">
        <f t="shared" si="39"/>
        <v>45099</v>
      </c>
      <c r="E1317" s="15">
        <v>400</v>
      </c>
      <c r="F1317" s="9">
        <v>0.111</v>
      </c>
      <c r="G1317" s="9">
        <v>0.111</v>
      </c>
      <c r="H1317" s="15">
        <f t="shared" si="40"/>
        <v>15300</v>
      </c>
    </row>
    <row r="1318" spans="1:8" x14ac:dyDescent="0.25">
      <c r="A1318" s="13">
        <v>45097</v>
      </c>
      <c r="B1318" s="15" t="s">
        <v>21</v>
      </c>
      <c r="C1318" s="3">
        <v>6</v>
      </c>
      <c r="D1318" s="13">
        <f t="shared" ref="D1318:D1386" si="41">+A1318+C1318</f>
        <v>45103</v>
      </c>
      <c r="E1318" s="15">
        <v>1900</v>
      </c>
      <c r="F1318" s="9">
        <v>0.1125</v>
      </c>
      <c r="G1318" s="9">
        <v>0.1125</v>
      </c>
      <c r="H1318" s="15">
        <f t="shared" si="40"/>
        <v>15300</v>
      </c>
    </row>
    <row r="1319" spans="1:8" x14ac:dyDescent="0.25">
      <c r="A1319" s="13">
        <v>45097</v>
      </c>
      <c r="B1319" s="15" t="s">
        <v>21</v>
      </c>
      <c r="C1319" s="3">
        <v>7</v>
      </c>
      <c r="D1319" s="13">
        <f t="shared" si="41"/>
        <v>45104</v>
      </c>
      <c r="E1319" s="15">
        <v>4800</v>
      </c>
      <c r="F1319" s="9">
        <v>0.1125</v>
      </c>
      <c r="G1319" s="9">
        <v>0.1125</v>
      </c>
      <c r="H1319" s="15">
        <f t="shared" si="40"/>
        <v>15300</v>
      </c>
    </row>
    <row r="1320" spans="1:8" x14ac:dyDescent="0.25">
      <c r="A1320" s="13">
        <v>45098</v>
      </c>
      <c r="B1320" s="15" t="s">
        <v>21</v>
      </c>
      <c r="C1320" s="3">
        <v>7</v>
      </c>
      <c r="D1320" s="13">
        <f t="shared" si="41"/>
        <v>45105</v>
      </c>
      <c r="E1320" s="15">
        <v>1000</v>
      </c>
      <c r="F1320" s="9">
        <v>0.1115</v>
      </c>
      <c r="G1320" s="9">
        <v>0.1115</v>
      </c>
      <c r="H1320" s="15">
        <f t="shared" si="40"/>
        <v>14100</v>
      </c>
    </row>
    <row r="1321" spans="1:8" x14ac:dyDescent="0.25">
      <c r="A1321" s="13">
        <v>45099</v>
      </c>
      <c r="B1321" s="15" t="s">
        <v>21</v>
      </c>
      <c r="C1321" s="3">
        <v>6</v>
      </c>
      <c r="D1321" s="13">
        <f t="shared" si="41"/>
        <v>45105</v>
      </c>
      <c r="E1321" s="15">
        <v>1000</v>
      </c>
      <c r="F1321" s="9">
        <v>0.1115</v>
      </c>
      <c r="G1321" s="9">
        <v>0.1115</v>
      </c>
      <c r="H1321" s="15">
        <f t="shared" si="40"/>
        <v>18800</v>
      </c>
    </row>
    <row r="1322" spans="1:8" x14ac:dyDescent="0.25">
      <c r="A1322" s="13">
        <v>45099</v>
      </c>
      <c r="B1322" s="15" t="s">
        <v>21</v>
      </c>
      <c r="C1322" s="3">
        <v>7</v>
      </c>
      <c r="D1322" s="13">
        <f t="shared" si="41"/>
        <v>45106</v>
      </c>
      <c r="E1322" s="15">
        <v>4400</v>
      </c>
      <c r="F1322" s="9">
        <v>0.1115</v>
      </c>
      <c r="G1322" s="9">
        <v>0.1115</v>
      </c>
      <c r="H1322" s="15">
        <f t="shared" si="40"/>
        <v>18800</v>
      </c>
    </row>
    <row r="1323" spans="1:8" x14ac:dyDescent="0.25">
      <c r="A1323" s="13">
        <v>45100</v>
      </c>
      <c r="B1323" s="15" t="s">
        <v>21</v>
      </c>
      <c r="C1323" s="3">
        <v>4</v>
      </c>
      <c r="D1323" s="13">
        <f t="shared" si="41"/>
        <v>45104</v>
      </c>
      <c r="E1323" s="15">
        <v>1400</v>
      </c>
      <c r="F1323" s="9">
        <v>0.111</v>
      </c>
      <c r="G1323" s="9">
        <v>0.111</v>
      </c>
      <c r="H1323" s="15">
        <f t="shared" si="40"/>
        <v>17825</v>
      </c>
    </row>
    <row r="1324" spans="1:8" x14ac:dyDescent="0.25">
      <c r="A1324" s="13">
        <v>45100</v>
      </c>
      <c r="B1324" s="15" t="s">
        <v>21</v>
      </c>
      <c r="C1324" s="3">
        <v>7</v>
      </c>
      <c r="D1324" s="13">
        <f t="shared" si="41"/>
        <v>45107</v>
      </c>
      <c r="E1324" s="15">
        <v>3325</v>
      </c>
      <c r="F1324" s="9">
        <v>0.112</v>
      </c>
      <c r="G1324" s="9">
        <v>0.112</v>
      </c>
      <c r="H1324" s="15">
        <f t="shared" si="40"/>
        <v>17825</v>
      </c>
    </row>
    <row r="1325" spans="1:8" x14ac:dyDescent="0.25">
      <c r="A1325" s="13">
        <v>45105</v>
      </c>
      <c r="B1325" s="15" t="s">
        <v>21</v>
      </c>
      <c r="C1325" s="3">
        <v>2</v>
      </c>
      <c r="D1325" s="13">
        <f t="shared" si="41"/>
        <v>45107</v>
      </c>
      <c r="E1325" s="15">
        <v>-1450</v>
      </c>
      <c r="F1325" s="9">
        <v>0.115</v>
      </c>
      <c r="G1325" s="9">
        <v>0.115</v>
      </c>
      <c r="H1325" s="15">
        <f t="shared" si="40"/>
        <v>6275</v>
      </c>
    </row>
    <row r="1326" spans="1:8" x14ac:dyDescent="0.25">
      <c r="A1326" s="13">
        <v>45106</v>
      </c>
      <c r="B1326" s="15" t="s">
        <v>21</v>
      </c>
      <c r="C1326" s="3">
        <v>4</v>
      </c>
      <c r="D1326" s="13">
        <f t="shared" si="41"/>
        <v>45110</v>
      </c>
      <c r="E1326" s="15">
        <v>-2300</v>
      </c>
      <c r="F1326" s="9">
        <v>0.115</v>
      </c>
      <c r="G1326" s="9">
        <v>0.115</v>
      </c>
      <c r="H1326" s="15">
        <f t="shared" si="40"/>
        <v>-425</v>
      </c>
    </row>
    <row r="1327" spans="1:8" x14ac:dyDescent="0.25">
      <c r="A1327" s="13">
        <v>45107</v>
      </c>
      <c r="B1327" s="15" t="s">
        <v>21</v>
      </c>
      <c r="C1327" s="3">
        <v>3</v>
      </c>
      <c r="D1327" s="13">
        <f t="shared" si="41"/>
        <v>45110</v>
      </c>
      <c r="E1327" s="15">
        <v>-6200</v>
      </c>
      <c r="F1327" s="9">
        <v>0.115</v>
      </c>
      <c r="G1327" s="9">
        <v>0.115</v>
      </c>
      <c r="H1327" s="15">
        <f t="shared" si="40"/>
        <v>-8500</v>
      </c>
    </row>
    <row r="1328" spans="1:8" x14ac:dyDescent="0.25">
      <c r="A1328" s="13">
        <v>45110</v>
      </c>
      <c r="B1328" s="15" t="s">
        <v>21</v>
      </c>
      <c r="C1328" s="3">
        <v>1</v>
      </c>
      <c r="D1328" s="13">
        <f t="shared" si="41"/>
        <v>45111</v>
      </c>
      <c r="E1328" s="15">
        <v>-300</v>
      </c>
      <c r="F1328" s="9">
        <v>0.11550000000000001</v>
      </c>
      <c r="G1328" s="9">
        <v>0.11550000000000001</v>
      </c>
      <c r="H1328" s="15">
        <f t="shared" si="40"/>
        <v>-5700</v>
      </c>
    </row>
    <row r="1329" spans="1:8" x14ac:dyDescent="0.25">
      <c r="A1329" s="13">
        <v>45110</v>
      </c>
      <c r="B1329" s="15" t="s">
        <v>21</v>
      </c>
      <c r="C1329" s="3">
        <v>2</v>
      </c>
      <c r="D1329" s="13">
        <f t="shared" si="41"/>
        <v>45112</v>
      </c>
      <c r="E1329" s="15">
        <v>-4700</v>
      </c>
      <c r="F1329" s="9">
        <v>0.115</v>
      </c>
      <c r="G1329" s="9">
        <v>0.11600000000000001</v>
      </c>
      <c r="H1329" s="15">
        <f t="shared" si="40"/>
        <v>-5700</v>
      </c>
    </row>
    <row r="1330" spans="1:8" x14ac:dyDescent="0.25">
      <c r="A1330" s="13">
        <v>45110</v>
      </c>
      <c r="B1330" s="15" t="s">
        <v>21</v>
      </c>
      <c r="C1330" s="3">
        <v>3</v>
      </c>
      <c r="D1330" s="13">
        <f t="shared" si="41"/>
        <v>45113</v>
      </c>
      <c r="E1330" s="15">
        <v>-700</v>
      </c>
      <c r="F1330" s="9">
        <v>0.115</v>
      </c>
      <c r="G1330" s="9">
        <v>0.115</v>
      </c>
      <c r="H1330" s="15">
        <f t="shared" si="40"/>
        <v>-5700</v>
      </c>
    </row>
    <row r="1331" spans="1:8" x14ac:dyDescent="0.25">
      <c r="A1331" s="13">
        <v>45112</v>
      </c>
      <c r="B1331" s="15" t="s">
        <v>21</v>
      </c>
      <c r="C1331" s="3">
        <v>2</v>
      </c>
      <c r="D1331" s="13">
        <f t="shared" si="41"/>
        <v>45114</v>
      </c>
      <c r="E1331" s="15">
        <v>-1500</v>
      </c>
      <c r="F1331" s="9">
        <v>0.114</v>
      </c>
      <c r="G1331" s="9">
        <v>0.115</v>
      </c>
      <c r="H1331" s="15">
        <f t="shared" si="40"/>
        <v>-2200</v>
      </c>
    </row>
    <row r="1332" spans="1:8" x14ac:dyDescent="0.25">
      <c r="A1332" s="13">
        <v>45114</v>
      </c>
      <c r="B1332" s="15" t="s">
        <v>21</v>
      </c>
      <c r="C1332" s="3">
        <v>3</v>
      </c>
      <c r="D1332" s="13">
        <f t="shared" si="41"/>
        <v>45117</v>
      </c>
      <c r="E1332" s="15">
        <v>-900</v>
      </c>
      <c r="F1332" s="9">
        <v>0.11</v>
      </c>
      <c r="G1332" s="9">
        <v>0.11</v>
      </c>
      <c r="H1332" s="15">
        <f t="shared" si="40"/>
        <v>-900</v>
      </c>
    </row>
    <row r="1333" spans="1:8" x14ac:dyDescent="0.25">
      <c r="A1333" s="13">
        <v>45119</v>
      </c>
      <c r="B1333" s="15" t="s">
        <v>21</v>
      </c>
      <c r="C1333" s="3">
        <v>2</v>
      </c>
      <c r="D1333" s="13">
        <f t="shared" si="41"/>
        <v>45121</v>
      </c>
      <c r="E1333" s="15">
        <v>500</v>
      </c>
      <c r="F1333" s="9">
        <v>0.1075</v>
      </c>
      <c r="G1333" s="9">
        <v>0.1075</v>
      </c>
      <c r="H1333" s="15">
        <f t="shared" si="40"/>
        <v>500</v>
      </c>
    </row>
    <row r="1334" spans="1:8" x14ac:dyDescent="0.25">
      <c r="A1334" s="13">
        <v>45120</v>
      </c>
      <c r="B1334" s="15" t="s">
        <v>21</v>
      </c>
      <c r="C1334" s="3">
        <v>4</v>
      </c>
      <c r="D1334" s="13">
        <f t="shared" si="41"/>
        <v>45124</v>
      </c>
      <c r="E1334" s="15">
        <v>1500</v>
      </c>
      <c r="F1334" s="9">
        <v>0.1075</v>
      </c>
      <c r="G1334" s="9">
        <v>0.1075</v>
      </c>
      <c r="H1334" s="15">
        <f t="shared" si="40"/>
        <v>2000</v>
      </c>
    </row>
    <row r="1335" spans="1:8" x14ac:dyDescent="0.25">
      <c r="A1335" s="13">
        <v>45124</v>
      </c>
      <c r="B1335" s="15" t="s">
        <v>21</v>
      </c>
      <c r="C1335" s="3">
        <v>4</v>
      </c>
      <c r="D1335" s="13">
        <f t="shared" si="41"/>
        <v>45128</v>
      </c>
      <c r="E1335" s="15">
        <v>3100</v>
      </c>
      <c r="F1335" s="9">
        <v>0.1075</v>
      </c>
      <c r="G1335" s="9">
        <v>0.1075</v>
      </c>
      <c r="H1335" s="15">
        <f t="shared" si="40"/>
        <v>7300</v>
      </c>
    </row>
    <row r="1336" spans="1:8" x14ac:dyDescent="0.25">
      <c r="A1336" s="13">
        <v>45124</v>
      </c>
      <c r="B1336" s="15" t="s">
        <v>21</v>
      </c>
      <c r="C1336" s="3">
        <v>7</v>
      </c>
      <c r="D1336" s="13">
        <f t="shared" si="41"/>
        <v>45131</v>
      </c>
      <c r="E1336" s="15">
        <v>4200</v>
      </c>
      <c r="F1336" s="9">
        <v>0.1075</v>
      </c>
      <c r="G1336" s="9">
        <v>0.1075</v>
      </c>
      <c r="H1336" s="15">
        <f t="shared" si="40"/>
        <v>7300</v>
      </c>
    </row>
    <row r="1337" spans="1:8" x14ac:dyDescent="0.25">
      <c r="A1337" s="13">
        <v>45126</v>
      </c>
      <c r="B1337" s="15" t="s">
        <v>21</v>
      </c>
      <c r="C1337" s="3">
        <v>1</v>
      </c>
      <c r="D1337" s="13">
        <f t="shared" si="41"/>
        <v>45127</v>
      </c>
      <c r="E1337" s="15">
        <v>200</v>
      </c>
      <c r="F1337" s="9">
        <v>0.1065</v>
      </c>
      <c r="G1337" s="9">
        <v>0.1065</v>
      </c>
      <c r="H1337" s="15">
        <f t="shared" si="40"/>
        <v>18300</v>
      </c>
    </row>
    <row r="1338" spans="1:8" x14ac:dyDescent="0.25">
      <c r="A1338" s="13">
        <v>45126</v>
      </c>
      <c r="B1338" s="15" t="s">
        <v>21</v>
      </c>
      <c r="C1338" s="3">
        <v>2</v>
      </c>
      <c r="D1338" s="13">
        <f t="shared" si="41"/>
        <v>45128</v>
      </c>
      <c r="E1338" s="15">
        <v>3300</v>
      </c>
      <c r="F1338" s="9">
        <v>0.1075</v>
      </c>
      <c r="G1338" s="9">
        <v>0.1075</v>
      </c>
      <c r="H1338" s="15">
        <f t="shared" si="40"/>
        <v>18300</v>
      </c>
    </row>
    <row r="1339" spans="1:8" x14ac:dyDescent="0.25">
      <c r="A1339" s="13">
        <v>45126</v>
      </c>
      <c r="B1339" s="15" t="s">
        <v>21</v>
      </c>
      <c r="C1339" s="3">
        <v>5</v>
      </c>
      <c r="D1339" s="13">
        <f t="shared" si="41"/>
        <v>45131</v>
      </c>
      <c r="E1339" s="15">
        <v>1800</v>
      </c>
      <c r="F1339" s="9">
        <v>0.1075</v>
      </c>
      <c r="G1339" s="9">
        <v>0.1075</v>
      </c>
      <c r="H1339" s="15">
        <f t="shared" si="40"/>
        <v>18300</v>
      </c>
    </row>
    <row r="1340" spans="1:8" x14ac:dyDescent="0.25">
      <c r="A1340" s="13">
        <v>45126</v>
      </c>
      <c r="B1340" s="15" t="s">
        <v>21</v>
      </c>
      <c r="C1340" s="3">
        <v>6</v>
      </c>
      <c r="D1340" s="13">
        <f t="shared" si="41"/>
        <v>45132</v>
      </c>
      <c r="E1340" s="15">
        <v>1000</v>
      </c>
      <c r="F1340" s="9">
        <v>0.1075</v>
      </c>
      <c r="G1340" s="9">
        <v>0.1075</v>
      </c>
      <c r="H1340" s="15">
        <f t="shared" si="40"/>
        <v>18300</v>
      </c>
    </row>
    <row r="1341" spans="1:8" x14ac:dyDescent="0.25">
      <c r="A1341" s="13">
        <v>45126</v>
      </c>
      <c r="B1341" s="15" t="s">
        <v>21</v>
      </c>
      <c r="C1341" s="3">
        <v>7</v>
      </c>
      <c r="D1341" s="13">
        <f t="shared" si="41"/>
        <v>45133</v>
      </c>
      <c r="E1341" s="15">
        <v>4700</v>
      </c>
      <c r="F1341" s="9">
        <v>0.1075</v>
      </c>
      <c r="G1341" s="9">
        <v>0.1075</v>
      </c>
      <c r="H1341" s="15">
        <f t="shared" si="40"/>
        <v>18300</v>
      </c>
    </row>
    <row r="1342" spans="1:8" x14ac:dyDescent="0.25">
      <c r="A1342" s="13">
        <v>45128</v>
      </c>
      <c r="B1342" s="15" t="s">
        <v>21</v>
      </c>
      <c r="C1342" s="3">
        <v>4</v>
      </c>
      <c r="D1342" s="13">
        <f t="shared" si="41"/>
        <v>45132</v>
      </c>
      <c r="E1342" s="15">
        <v>2000</v>
      </c>
      <c r="F1342" s="9">
        <v>0.1075</v>
      </c>
      <c r="G1342" s="9">
        <v>0.1075</v>
      </c>
      <c r="H1342" s="15">
        <f t="shared" si="40"/>
        <v>16500</v>
      </c>
    </row>
    <row r="1343" spans="1:8" x14ac:dyDescent="0.25">
      <c r="A1343" s="13">
        <v>45128</v>
      </c>
      <c r="B1343" s="15" t="s">
        <v>21</v>
      </c>
      <c r="C1343" s="3">
        <v>7</v>
      </c>
      <c r="D1343" s="13">
        <f t="shared" si="41"/>
        <v>45135</v>
      </c>
      <c r="E1343" s="15">
        <v>2800</v>
      </c>
      <c r="F1343" s="9">
        <v>0.1075</v>
      </c>
      <c r="G1343" s="9">
        <v>0.1075</v>
      </c>
      <c r="H1343" s="15">
        <f t="shared" si="40"/>
        <v>16500</v>
      </c>
    </row>
    <row r="1344" spans="1:8" x14ac:dyDescent="0.25">
      <c r="A1344" s="13">
        <v>45131</v>
      </c>
      <c r="B1344" s="15" t="s">
        <v>21</v>
      </c>
      <c r="C1344" s="3">
        <v>2</v>
      </c>
      <c r="D1344" s="13">
        <f t="shared" si="41"/>
        <v>45133</v>
      </c>
      <c r="E1344" s="15">
        <v>700</v>
      </c>
      <c r="F1344" s="9">
        <v>0.1065</v>
      </c>
      <c r="G1344" s="9">
        <v>0.1065</v>
      </c>
      <c r="H1344" s="15">
        <f t="shared" si="40"/>
        <v>11800</v>
      </c>
    </row>
    <row r="1345" spans="1:8" x14ac:dyDescent="0.25">
      <c r="A1345" s="13">
        <v>45131</v>
      </c>
      <c r="B1345" s="15" t="s">
        <v>21</v>
      </c>
      <c r="C1345" s="3">
        <v>7</v>
      </c>
      <c r="D1345" s="13">
        <f t="shared" si="41"/>
        <v>45138</v>
      </c>
      <c r="E1345" s="15">
        <v>600</v>
      </c>
      <c r="F1345" s="9">
        <v>0.1075</v>
      </c>
      <c r="G1345" s="9">
        <v>0.1075</v>
      </c>
      <c r="H1345" s="15">
        <f t="shared" si="40"/>
        <v>11800</v>
      </c>
    </row>
    <row r="1346" spans="1:8" x14ac:dyDescent="0.25">
      <c r="A1346" s="13">
        <v>45132</v>
      </c>
      <c r="B1346" s="15" t="s">
        <v>21</v>
      </c>
      <c r="C1346" s="3">
        <v>6</v>
      </c>
      <c r="D1346" s="13">
        <f t="shared" si="41"/>
        <v>45138</v>
      </c>
      <c r="E1346" s="15">
        <v>700</v>
      </c>
      <c r="F1346" s="9">
        <v>0.1075</v>
      </c>
      <c r="G1346" s="9">
        <v>0.1075</v>
      </c>
      <c r="H1346" s="15">
        <f t="shared" si="40"/>
        <v>9500</v>
      </c>
    </row>
    <row r="1347" spans="1:8" x14ac:dyDescent="0.25">
      <c r="A1347" s="13">
        <v>45133</v>
      </c>
      <c r="B1347" s="15" t="s">
        <v>21</v>
      </c>
      <c r="C1347" s="3">
        <v>6</v>
      </c>
      <c r="D1347" s="13">
        <f t="shared" si="41"/>
        <v>45139</v>
      </c>
      <c r="E1347" s="15">
        <v>2200</v>
      </c>
      <c r="F1347" s="9">
        <v>0.1075</v>
      </c>
      <c r="G1347" s="9">
        <v>0.1075</v>
      </c>
      <c r="H1347" s="15">
        <f t="shared" si="40"/>
        <v>6300</v>
      </c>
    </row>
    <row r="1348" spans="1:8" x14ac:dyDescent="0.25">
      <c r="A1348" s="13">
        <v>45135</v>
      </c>
      <c r="B1348" s="15" t="s">
        <v>21</v>
      </c>
      <c r="C1348" s="3">
        <v>3</v>
      </c>
      <c r="D1348" s="13">
        <f t="shared" si="41"/>
        <v>45138</v>
      </c>
      <c r="E1348" s="15">
        <v>-500</v>
      </c>
      <c r="F1348" s="9">
        <v>0.11</v>
      </c>
      <c r="G1348" s="9">
        <v>0.11</v>
      </c>
      <c r="H1348" s="15">
        <f t="shared" si="40"/>
        <v>1000</v>
      </c>
    </row>
    <row r="1349" spans="1:8" x14ac:dyDescent="0.25">
      <c r="A1349" s="13">
        <v>45135</v>
      </c>
      <c r="B1349" s="15" t="s">
        <v>21</v>
      </c>
      <c r="C1349" s="3">
        <v>5</v>
      </c>
      <c r="D1349" s="13">
        <f t="shared" si="41"/>
        <v>45140</v>
      </c>
      <c r="E1349" s="15">
        <v>-2000</v>
      </c>
      <c r="F1349" s="9">
        <v>0.11</v>
      </c>
      <c r="G1349" s="9">
        <v>0.11</v>
      </c>
      <c r="H1349" s="15">
        <f t="shared" si="40"/>
        <v>1000</v>
      </c>
    </row>
    <row r="1350" spans="1:8" x14ac:dyDescent="0.25">
      <c r="A1350" s="13">
        <v>45138</v>
      </c>
      <c r="B1350" s="15" t="s">
        <v>21</v>
      </c>
      <c r="C1350" s="3">
        <v>4</v>
      </c>
      <c r="D1350" s="13">
        <f t="shared" si="41"/>
        <v>45142</v>
      </c>
      <c r="E1350" s="15">
        <v>3400</v>
      </c>
      <c r="F1350" s="9">
        <v>0.1075</v>
      </c>
      <c r="G1350" s="9">
        <v>0.1075</v>
      </c>
      <c r="H1350" s="15">
        <f t="shared" si="40"/>
        <v>4900</v>
      </c>
    </row>
    <row r="1351" spans="1:8" x14ac:dyDescent="0.25">
      <c r="A1351" s="13">
        <v>45138</v>
      </c>
      <c r="B1351" s="15" t="s">
        <v>21</v>
      </c>
      <c r="C1351" s="3">
        <v>7</v>
      </c>
      <c r="D1351" s="13">
        <f t="shared" si="41"/>
        <v>45145</v>
      </c>
      <c r="E1351" s="15">
        <v>1300</v>
      </c>
      <c r="F1351" s="9">
        <v>0.1075</v>
      </c>
      <c r="G1351" s="9">
        <v>0.1075</v>
      </c>
      <c r="H1351" s="15">
        <f t="shared" si="40"/>
        <v>4900</v>
      </c>
    </row>
    <row r="1352" spans="1:8" x14ac:dyDescent="0.25">
      <c r="A1352" s="13">
        <v>45139</v>
      </c>
      <c r="B1352" s="15" t="s">
        <v>21</v>
      </c>
      <c r="C1352" s="3">
        <v>1</v>
      </c>
      <c r="D1352" s="13">
        <f t="shared" si="41"/>
        <v>45140</v>
      </c>
      <c r="E1352" s="15">
        <v>-3500</v>
      </c>
      <c r="F1352" s="9">
        <v>0.11</v>
      </c>
      <c r="G1352" s="9">
        <v>0.1125</v>
      </c>
      <c r="H1352" s="15">
        <f t="shared" si="40"/>
        <v>-1800</v>
      </c>
    </row>
    <row r="1353" spans="1:8" x14ac:dyDescent="0.25">
      <c r="A1353" s="13">
        <v>45139</v>
      </c>
      <c r="B1353" s="15" t="s">
        <v>21</v>
      </c>
      <c r="C1353" s="3">
        <v>2</v>
      </c>
      <c r="D1353" s="13">
        <f t="shared" si="41"/>
        <v>45141</v>
      </c>
      <c r="E1353" s="15">
        <v>-1000</v>
      </c>
      <c r="F1353" s="9">
        <v>0.11</v>
      </c>
      <c r="G1353" s="9">
        <v>0.11</v>
      </c>
      <c r="H1353" s="15">
        <f t="shared" si="40"/>
        <v>-1800</v>
      </c>
    </row>
    <row r="1354" spans="1:8" x14ac:dyDescent="0.25">
      <c r="A1354" s="13">
        <v>45140</v>
      </c>
      <c r="B1354" s="15" t="s">
        <v>21</v>
      </c>
      <c r="C1354" s="3">
        <v>1</v>
      </c>
      <c r="D1354" s="13">
        <f t="shared" si="41"/>
        <v>45141</v>
      </c>
      <c r="E1354" s="15">
        <v>-400</v>
      </c>
      <c r="F1354" s="9">
        <v>0.1125</v>
      </c>
      <c r="G1354" s="9">
        <v>0.1125</v>
      </c>
      <c r="H1354" s="15">
        <f t="shared" ref="H1354:H1417" si="42">+SUMIFS($E$10:$E$4503,$A$10:$A$4503,"&lt;="&amp;A1354,$D$10:$D$4503,"&gt;"&amp;A1354)</f>
        <v>1300</v>
      </c>
    </row>
    <row r="1355" spans="1:8" x14ac:dyDescent="0.25">
      <c r="A1355" s="13">
        <v>45140</v>
      </c>
      <c r="B1355" s="15" t="s">
        <v>21</v>
      </c>
      <c r="C1355" s="3">
        <v>2</v>
      </c>
      <c r="D1355" s="13">
        <f t="shared" si="41"/>
        <v>45142</v>
      </c>
      <c r="E1355" s="15">
        <v>-2000</v>
      </c>
      <c r="F1355" s="9">
        <v>0.1125</v>
      </c>
      <c r="G1355" s="9">
        <v>0.1125</v>
      </c>
      <c r="H1355" s="15">
        <f t="shared" si="42"/>
        <v>1300</v>
      </c>
    </row>
    <row r="1356" spans="1:8" x14ac:dyDescent="0.25">
      <c r="A1356" s="13">
        <v>45141</v>
      </c>
      <c r="B1356" s="15" t="s">
        <v>21</v>
      </c>
      <c r="C1356" s="3">
        <v>4</v>
      </c>
      <c r="D1356" s="13">
        <f t="shared" si="41"/>
        <v>45145</v>
      </c>
      <c r="E1356" s="15">
        <v>-1150</v>
      </c>
      <c r="F1356" s="9">
        <v>0.1115</v>
      </c>
      <c r="G1356" s="9">
        <v>0.1105</v>
      </c>
      <c r="H1356" s="15">
        <f t="shared" si="42"/>
        <v>1550</v>
      </c>
    </row>
    <row r="1357" spans="1:8" x14ac:dyDescent="0.25">
      <c r="A1357" s="13">
        <v>45142</v>
      </c>
      <c r="B1357" s="15" t="s">
        <v>21</v>
      </c>
      <c r="C1357" s="3">
        <v>4</v>
      </c>
      <c r="D1357" s="13">
        <f t="shared" si="41"/>
        <v>45146</v>
      </c>
      <c r="E1357" s="15">
        <v>-800</v>
      </c>
      <c r="F1357" s="9">
        <v>0.1115</v>
      </c>
      <c r="G1357" s="9">
        <v>0.1115</v>
      </c>
      <c r="H1357" s="15">
        <f t="shared" si="42"/>
        <v>-650</v>
      </c>
    </row>
    <row r="1358" spans="1:8" x14ac:dyDescent="0.25">
      <c r="A1358" s="13">
        <v>45145</v>
      </c>
      <c r="B1358" s="15" t="s">
        <v>21</v>
      </c>
      <c r="C1358" s="3">
        <v>2</v>
      </c>
      <c r="D1358" s="13">
        <v>45146</v>
      </c>
      <c r="E1358" s="15">
        <v>-900</v>
      </c>
      <c r="F1358" s="9">
        <v>0.11</v>
      </c>
      <c r="G1358" s="9">
        <v>0.11</v>
      </c>
      <c r="H1358" s="15">
        <f t="shared" si="42"/>
        <v>-1700</v>
      </c>
    </row>
    <row r="1359" spans="1:8" x14ac:dyDescent="0.25">
      <c r="A1359" s="13">
        <v>45146</v>
      </c>
      <c r="B1359" s="15" t="s">
        <v>21</v>
      </c>
      <c r="C1359" s="3">
        <v>3</v>
      </c>
      <c r="D1359" s="13">
        <f t="shared" si="41"/>
        <v>45149</v>
      </c>
      <c r="E1359" s="15">
        <v>-1000</v>
      </c>
      <c r="F1359" s="9">
        <v>0.11</v>
      </c>
      <c r="G1359" s="9">
        <v>0.11</v>
      </c>
      <c r="H1359" s="15">
        <f t="shared" si="42"/>
        <v>-1200</v>
      </c>
    </row>
    <row r="1360" spans="1:8" x14ac:dyDescent="0.25">
      <c r="A1360" s="13">
        <v>45146</v>
      </c>
      <c r="B1360" s="15" t="s">
        <v>21</v>
      </c>
      <c r="C1360" s="3">
        <v>7</v>
      </c>
      <c r="D1360" s="13">
        <f t="shared" si="41"/>
        <v>45153</v>
      </c>
      <c r="E1360" s="15">
        <v>-200</v>
      </c>
      <c r="F1360" s="9">
        <v>0.112</v>
      </c>
      <c r="G1360" s="9">
        <v>0.112</v>
      </c>
      <c r="H1360" s="15">
        <f t="shared" si="42"/>
        <v>-1200</v>
      </c>
    </row>
    <row r="1361" spans="1:8" x14ac:dyDescent="0.25">
      <c r="A1361" s="13">
        <v>45147</v>
      </c>
      <c r="B1361" s="15" t="s">
        <v>21</v>
      </c>
      <c r="C1361" s="3">
        <v>1</v>
      </c>
      <c r="D1361" s="13">
        <f t="shared" si="41"/>
        <v>45148</v>
      </c>
      <c r="E1361" s="15">
        <v>950</v>
      </c>
      <c r="F1361" s="9">
        <v>0.1075</v>
      </c>
      <c r="G1361" s="9">
        <v>0.1075</v>
      </c>
      <c r="H1361" s="15">
        <f t="shared" si="42"/>
        <v>550</v>
      </c>
    </row>
    <row r="1362" spans="1:8" x14ac:dyDescent="0.25">
      <c r="A1362" s="13">
        <v>45147</v>
      </c>
      <c r="B1362" s="15" t="s">
        <v>21</v>
      </c>
      <c r="C1362" s="3">
        <v>2</v>
      </c>
      <c r="D1362" s="13">
        <f t="shared" si="41"/>
        <v>45149</v>
      </c>
      <c r="E1362" s="15">
        <v>800</v>
      </c>
      <c r="F1362" s="9">
        <v>0.1075</v>
      </c>
      <c r="G1362" s="9">
        <v>0.1075</v>
      </c>
      <c r="H1362" s="15">
        <f t="shared" si="42"/>
        <v>550</v>
      </c>
    </row>
    <row r="1363" spans="1:8" x14ac:dyDescent="0.25">
      <c r="A1363" s="13">
        <v>45148</v>
      </c>
      <c r="B1363" s="15" t="s">
        <v>21</v>
      </c>
      <c r="C1363" s="3">
        <v>1</v>
      </c>
      <c r="D1363" s="13">
        <f t="shared" si="41"/>
        <v>45149</v>
      </c>
      <c r="E1363" s="15">
        <v>1600</v>
      </c>
      <c r="F1363" s="9">
        <v>0.105</v>
      </c>
      <c r="G1363" s="9">
        <v>0.105</v>
      </c>
      <c r="H1363" s="15">
        <f t="shared" si="42"/>
        <v>1600</v>
      </c>
    </row>
    <row r="1364" spans="1:8" x14ac:dyDescent="0.25">
      <c r="A1364" s="13">
        <v>45148</v>
      </c>
      <c r="B1364" s="15" t="s">
        <v>21</v>
      </c>
      <c r="C1364" s="3">
        <v>4</v>
      </c>
      <c r="D1364" s="13">
        <f t="shared" si="41"/>
        <v>45152</v>
      </c>
      <c r="E1364" s="15">
        <v>400</v>
      </c>
      <c r="F1364" s="9">
        <v>0.105</v>
      </c>
      <c r="G1364" s="9">
        <v>0.105</v>
      </c>
      <c r="H1364" s="15">
        <f t="shared" si="42"/>
        <v>1600</v>
      </c>
    </row>
    <row r="1365" spans="1:8" x14ac:dyDescent="0.25">
      <c r="A1365" s="13">
        <v>45149</v>
      </c>
      <c r="B1365" s="15" t="s">
        <v>21</v>
      </c>
      <c r="C1365" s="3">
        <v>3</v>
      </c>
      <c r="D1365" s="13">
        <f t="shared" si="41"/>
        <v>45152</v>
      </c>
      <c r="E1365" s="15">
        <v>600</v>
      </c>
      <c r="F1365" s="9">
        <v>0.105</v>
      </c>
      <c r="G1365" s="9">
        <v>0.105</v>
      </c>
      <c r="H1365" s="15">
        <f t="shared" si="42"/>
        <v>1600</v>
      </c>
    </row>
    <row r="1366" spans="1:8" x14ac:dyDescent="0.25">
      <c r="A1366" s="13">
        <v>45149</v>
      </c>
      <c r="B1366" s="15" t="s">
        <v>21</v>
      </c>
      <c r="C1366" s="3">
        <v>4</v>
      </c>
      <c r="D1366" s="13">
        <f t="shared" si="41"/>
        <v>45153</v>
      </c>
      <c r="E1366" s="15">
        <v>800</v>
      </c>
      <c r="F1366" s="9">
        <v>0.105</v>
      </c>
      <c r="G1366" s="9">
        <v>0.105</v>
      </c>
      <c r="H1366" s="15">
        <f t="shared" si="42"/>
        <v>1600</v>
      </c>
    </row>
    <row r="1367" spans="1:8" x14ac:dyDescent="0.25">
      <c r="A1367" s="13">
        <v>45152</v>
      </c>
      <c r="B1367" s="15" t="s">
        <v>21</v>
      </c>
      <c r="C1367" s="3">
        <v>2</v>
      </c>
      <c r="D1367" s="13">
        <f t="shared" si="41"/>
        <v>45154</v>
      </c>
      <c r="E1367" s="15">
        <v>-2400</v>
      </c>
      <c r="F1367" s="9">
        <v>0.109</v>
      </c>
      <c r="G1367" s="9">
        <v>0.109</v>
      </c>
      <c r="H1367" s="15">
        <f t="shared" si="42"/>
        <v>-1800</v>
      </c>
    </row>
    <row r="1368" spans="1:8" x14ac:dyDescent="0.25">
      <c r="A1368" s="13">
        <v>45154</v>
      </c>
      <c r="B1368" s="15" t="s">
        <v>21</v>
      </c>
      <c r="C1368" s="3">
        <v>2</v>
      </c>
      <c r="D1368" s="13">
        <f t="shared" si="41"/>
        <v>45156</v>
      </c>
      <c r="E1368" s="15">
        <v>-2400</v>
      </c>
      <c r="F1368" s="9">
        <v>0.10299999999999999</v>
      </c>
      <c r="G1368" s="9">
        <v>0.10299999999999999</v>
      </c>
      <c r="H1368" s="15">
        <f t="shared" si="42"/>
        <v>-2400</v>
      </c>
    </row>
    <row r="1369" spans="1:8" x14ac:dyDescent="0.25">
      <c r="A1369" s="13">
        <v>45159</v>
      </c>
      <c r="B1369" s="15" t="s">
        <v>21</v>
      </c>
      <c r="C1369" s="3">
        <v>2</v>
      </c>
      <c r="D1369" s="13">
        <f t="shared" si="41"/>
        <v>45161</v>
      </c>
      <c r="E1369" s="15">
        <v>1000</v>
      </c>
      <c r="F1369" s="9">
        <v>9.9500000000000005E-2</v>
      </c>
      <c r="G1369" s="9">
        <v>9.9500000000000005E-2</v>
      </c>
      <c r="H1369" s="15">
        <f t="shared" si="42"/>
        <v>7000</v>
      </c>
    </row>
    <row r="1370" spans="1:8" x14ac:dyDescent="0.25">
      <c r="A1370" s="13">
        <v>45159</v>
      </c>
      <c r="B1370" s="15" t="s">
        <v>21</v>
      </c>
      <c r="C1370" s="3">
        <v>7</v>
      </c>
      <c r="D1370" s="13">
        <f t="shared" si="41"/>
        <v>45166</v>
      </c>
      <c r="E1370" s="15">
        <v>2000</v>
      </c>
      <c r="F1370" s="9">
        <v>0.1</v>
      </c>
      <c r="G1370" s="9">
        <v>0.1</v>
      </c>
      <c r="H1370" s="15">
        <f t="shared" si="42"/>
        <v>7000</v>
      </c>
    </row>
    <row r="1371" spans="1:8" x14ac:dyDescent="0.25">
      <c r="A1371" s="13">
        <v>45159</v>
      </c>
      <c r="B1371" s="15" t="s">
        <v>21</v>
      </c>
      <c r="C1371" s="3">
        <v>10</v>
      </c>
      <c r="D1371" s="13">
        <f t="shared" si="41"/>
        <v>45169</v>
      </c>
      <c r="E1371" s="15">
        <v>4000</v>
      </c>
      <c r="F1371" s="9">
        <v>0.1</v>
      </c>
      <c r="G1371" s="9">
        <v>0.1</v>
      </c>
      <c r="H1371" s="15">
        <f t="shared" si="42"/>
        <v>7000</v>
      </c>
    </row>
    <row r="1372" spans="1:8" x14ac:dyDescent="0.25">
      <c r="A1372" s="13">
        <v>45160</v>
      </c>
      <c r="B1372" s="15" t="s">
        <v>21</v>
      </c>
      <c r="C1372" s="3">
        <v>2</v>
      </c>
      <c r="D1372" s="13">
        <f t="shared" si="41"/>
        <v>45162</v>
      </c>
      <c r="E1372" s="15">
        <v>500</v>
      </c>
      <c r="F1372" s="9">
        <v>9.9000000000000005E-2</v>
      </c>
      <c r="G1372" s="9">
        <v>9.9000000000000005E-2</v>
      </c>
      <c r="H1372" s="15">
        <f t="shared" si="42"/>
        <v>7500</v>
      </c>
    </row>
    <row r="1373" spans="1:8" x14ac:dyDescent="0.25">
      <c r="A1373" s="13">
        <v>45161</v>
      </c>
      <c r="B1373" s="15" t="s">
        <v>21</v>
      </c>
      <c r="C1373" s="3">
        <v>8</v>
      </c>
      <c r="D1373" s="13">
        <f t="shared" si="41"/>
        <v>45169</v>
      </c>
      <c r="E1373" s="15">
        <v>1500</v>
      </c>
      <c r="F1373" s="9">
        <v>0.1</v>
      </c>
      <c r="G1373" s="9">
        <v>0.1</v>
      </c>
      <c r="H1373" s="15">
        <f t="shared" si="42"/>
        <v>10000</v>
      </c>
    </row>
    <row r="1374" spans="1:8" x14ac:dyDescent="0.25">
      <c r="A1374" s="13">
        <v>45161</v>
      </c>
      <c r="B1374" s="15" t="s">
        <v>21</v>
      </c>
      <c r="C1374" s="3">
        <v>9</v>
      </c>
      <c r="D1374" s="13">
        <f t="shared" si="41"/>
        <v>45170</v>
      </c>
      <c r="E1374" s="15">
        <v>2000</v>
      </c>
      <c r="F1374" s="9">
        <v>0.1</v>
      </c>
      <c r="G1374" s="9">
        <v>0.1</v>
      </c>
      <c r="H1374" s="15">
        <f t="shared" si="42"/>
        <v>10000</v>
      </c>
    </row>
    <row r="1375" spans="1:8" x14ac:dyDescent="0.25">
      <c r="A1375" s="13">
        <v>45166</v>
      </c>
      <c r="B1375" s="15" t="s">
        <v>21</v>
      </c>
      <c r="C1375" s="3">
        <v>2</v>
      </c>
      <c r="D1375" s="13">
        <f t="shared" si="41"/>
        <v>45168</v>
      </c>
      <c r="E1375" s="15">
        <v>-2850</v>
      </c>
      <c r="F1375" s="9">
        <v>0.10299999999999999</v>
      </c>
      <c r="G1375" s="9">
        <v>0.10299999999999999</v>
      </c>
      <c r="H1375" s="15">
        <f t="shared" si="42"/>
        <v>4650</v>
      </c>
    </row>
    <row r="1376" spans="1:8" x14ac:dyDescent="0.25">
      <c r="A1376" s="13">
        <v>45167</v>
      </c>
      <c r="B1376" s="15" t="s">
        <v>21</v>
      </c>
      <c r="C1376" s="3">
        <v>2</v>
      </c>
      <c r="D1376" s="13">
        <f t="shared" si="41"/>
        <v>45169</v>
      </c>
      <c r="E1376" s="15">
        <v>-600</v>
      </c>
      <c r="F1376" s="9">
        <v>0.10299999999999999</v>
      </c>
      <c r="G1376" s="9">
        <v>0.10299999999999999</v>
      </c>
      <c r="H1376" s="15">
        <f t="shared" si="42"/>
        <v>4050</v>
      </c>
    </row>
    <row r="1377" spans="1:8" x14ac:dyDescent="0.25">
      <c r="A1377" s="13">
        <v>45170</v>
      </c>
      <c r="B1377" s="15" t="s">
        <v>21</v>
      </c>
      <c r="C1377" s="3">
        <v>4</v>
      </c>
      <c r="D1377" s="13">
        <f t="shared" si="41"/>
        <v>45174</v>
      </c>
      <c r="E1377" s="15">
        <v>-4700</v>
      </c>
      <c r="F1377" s="9">
        <v>0.1045</v>
      </c>
      <c r="G1377" s="9">
        <v>0.1045</v>
      </c>
      <c r="H1377" s="15">
        <f t="shared" si="42"/>
        <v>-4700</v>
      </c>
    </row>
    <row r="1378" spans="1:8" x14ac:dyDescent="0.25">
      <c r="A1378" s="13">
        <v>45174</v>
      </c>
      <c r="B1378" s="15" t="s">
        <v>21</v>
      </c>
      <c r="C1378" s="3">
        <v>2</v>
      </c>
      <c r="D1378" s="13">
        <f t="shared" si="41"/>
        <v>45176</v>
      </c>
      <c r="E1378" s="15">
        <v>-1400</v>
      </c>
      <c r="F1378" s="9">
        <v>0.1045</v>
      </c>
      <c r="G1378" s="9">
        <v>0.1045</v>
      </c>
      <c r="H1378" s="15">
        <f t="shared" si="42"/>
        <v>-1400</v>
      </c>
    </row>
    <row r="1379" spans="1:8" x14ac:dyDescent="0.25">
      <c r="A1379" s="13">
        <v>45177</v>
      </c>
      <c r="B1379" s="15" t="s">
        <v>21</v>
      </c>
      <c r="C1379" s="3">
        <v>4</v>
      </c>
      <c r="D1379" s="13">
        <f t="shared" si="41"/>
        <v>45181</v>
      </c>
      <c r="E1379" s="15">
        <v>2200</v>
      </c>
      <c r="F1379" s="9">
        <v>9.9500000000000005E-2</v>
      </c>
      <c r="G1379" s="9">
        <v>0.1</v>
      </c>
      <c r="H1379" s="15">
        <f t="shared" si="42"/>
        <v>2200</v>
      </c>
    </row>
    <row r="1380" spans="1:8" x14ac:dyDescent="0.25">
      <c r="A1380" s="13">
        <v>45180</v>
      </c>
      <c r="B1380" s="15" t="s">
        <v>21</v>
      </c>
      <c r="C1380" s="3">
        <v>9</v>
      </c>
      <c r="D1380" s="13">
        <f t="shared" si="41"/>
        <v>45189</v>
      </c>
      <c r="E1380" s="15">
        <v>1000</v>
      </c>
      <c r="F1380" s="9">
        <v>9.9000000000000005E-2</v>
      </c>
      <c r="G1380" s="9">
        <v>9.9000000000000005E-2</v>
      </c>
      <c r="H1380" s="15">
        <f t="shared" si="42"/>
        <v>5100</v>
      </c>
    </row>
    <row r="1381" spans="1:8" x14ac:dyDescent="0.25">
      <c r="A1381" s="13">
        <v>45180</v>
      </c>
      <c r="B1381" s="15" t="s">
        <v>21</v>
      </c>
      <c r="C1381" s="3">
        <v>10</v>
      </c>
      <c r="D1381" s="13">
        <f t="shared" si="41"/>
        <v>45190</v>
      </c>
      <c r="E1381" s="15">
        <v>1600</v>
      </c>
      <c r="F1381" s="9">
        <v>9.9000000000000005E-2</v>
      </c>
      <c r="G1381" s="9">
        <v>9.9000000000000005E-2</v>
      </c>
      <c r="H1381" s="15">
        <f t="shared" si="42"/>
        <v>5100</v>
      </c>
    </row>
    <row r="1382" spans="1:8" x14ac:dyDescent="0.25">
      <c r="A1382" s="13">
        <v>45180</v>
      </c>
      <c r="B1382" s="15" t="s">
        <v>21</v>
      </c>
      <c r="C1382" s="3">
        <v>18</v>
      </c>
      <c r="D1382" s="13">
        <f t="shared" si="41"/>
        <v>45198</v>
      </c>
      <c r="E1382" s="15">
        <v>300</v>
      </c>
      <c r="F1382" s="9">
        <v>9.9000000000000005E-2</v>
      </c>
      <c r="G1382" s="9">
        <v>9.9000000000000005E-2</v>
      </c>
      <c r="H1382" s="15">
        <f t="shared" si="42"/>
        <v>5100</v>
      </c>
    </row>
    <row r="1383" spans="1:8" x14ac:dyDescent="0.25">
      <c r="A1383" s="13">
        <v>45181</v>
      </c>
      <c r="B1383" s="15" t="s">
        <v>21</v>
      </c>
      <c r="C1383" s="3">
        <v>7</v>
      </c>
      <c r="D1383" s="13">
        <f t="shared" si="41"/>
        <v>45188</v>
      </c>
      <c r="E1383" s="15">
        <v>1200</v>
      </c>
      <c r="F1383" s="9">
        <v>9.9000000000000005E-2</v>
      </c>
      <c r="G1383" s="9">
        <v>9.9000000000000005E-2</v>
      </c>
      <c r="H1383" s="15">
        <f t="shared" si="42"/>
        <v>4700</v>
      </c>
    </row>
    <row r="1384" spans="1:8" x14ac:dyDescent="0.25">
      <c r="A1384" s="13">
        <v>45181</v>
      </c>
      <c r="B1384" s="15" t="s">
        <v>21</v>
      </c>
      <c r="C1384" s="3">
        <v>13</v>
      </c>
      <c r="D1384" s="13">
        <f t="shared" si="41"/>
        <v>45194</v>
      </c>
      <c r="E1384" s="15">
        <v>600</v>
      </c>
      <c r="F1384" s="9">
        <v>9.9000000000000005E-2</v>
      </c>
      <c r="G1384" s="9">
        <v>9.9000000000000005E-2</v>
      </c>
      <c r="H1384" s="15">
        <f t="shared" si="42"/>
        <v>4700</v>
      </c>
    </row>
    <row r="1385" spans="1:8" x14ac:dyDescent="0.25">
      <c r="A1385" s="13">
        <v>45183</v>
      </c>
      <c r="B1385" s="15" t="s">
        <v>21</v>
      </c>
      <c r="C1385" s="3">
        <v>1</v>
      </c>
      <c r="D1385" s="13">
        <f t="shared" si="41"/>
        <v>45184</v>
      </c>
      <c r="E1385" s="15">
        <v>300</v>
      </c>
      <c r="F1385" s="9">
        <v>9.7500000000000003E-2</v>
      </c>
      <c r="G1385" s="9">
        <v>9.7500000000000003E-2</v>
      </c>
      <c r="H1385" s="15">
        <f t="shared" si="42"/>
        <v>7400</v>
      </c>
    </row>
    <row r="1386" spans="1:8" x14ac:dyDescent="0.25">
      <c r="A1386" s="13">
        <v>45183</v>
      </c>
      <c r="B1386" s="15" t="s">
        <v>21</v>
      </c>
      <c r="C1386" s="3">
        <v>5</v>
      </c>
      <c r="D1386" s="13">
        <f t="shared" si="41"/>
        <v>45188</v>
      </c>
      <c r="E1386" s="15">
        <v>1200</v>
      </c>
      <c r="F1386" s="9">
        <v>9.7500000000000003E-2</v>
      </c>
      <c r="G1386" s="9">
        <v>9.7500000000000003E-2</v>
      </c>
      <c r="H1386" s="15">
        <f t="shared" si="42"/>
        <v>7400</v>
      </c>
    </row>
    <row r="1387" spans="1:8" x14ac:dyDescent="0.25">
      <c r="A1387" s="13">
        <v>45183</v>
      </c>
      <c r="B1387" s="15" t="s">
        <v>21</v>
      </c>
      <c r="C1387" s="3">
        <v>11</v>
      </c>
      <c r="D1387" s="13">
        <f t="shared" ref="D1387:D1466" si="43">+A1387+C1387</f>
        <v>45194</v>
      </c>
      <c r="E1387" s="15">
        <v>200</v>
      </c>
      <c r="F1387" s="9">
        <v>9.7500000000000003E-2</v>
      </c>
      <c r="G1387" s="9">
        <v>9.7500000000000003E-2</v>
      </c>
      <c r="H1387" s="15">
        <f t="shared" si="42"/>
        <v>7400</v>
      </c>
    </row>
    <row r="1388" spans="1:8" x14ac:dyDescent="0.25">
      <c r="A1388" s="13">
        <v>45183</v>
      </c>
      <c r="B1388" s="15" t="s">
        <v>21</v>
      </c>
      <c r="C1388" s="3">
        <v>15</v>
      </c>
      <c r="D1388" s="13">
        <f t="shared" si="43"/>
        <v>45198</v>
      </c>
      <c r="E1388" s="15">
        <v>1000</v>
      </c>
      <c r="F1388" s="9">
        <v>9.7500000000000003E-2</v>
      </c>
      <c r="G1388" s="9">
        <v>9.7500000000000003E-2</v>
      </c>
      <c r="H1388" s="15">
        <f t="shared" si="42"/>
        <v>7400</v>
      </c>
    </row>
    <row r="1389" spans="1:8" x14ac:dyDescent="0.25">
      <c r="A1389" s="13">
        <v>45184</v>
      </c>
      <c r="B1389" s="15" t="s">
        <v>21</v>
      </c>
      <c r="C1389" s="3">
        <v>4</v>
      </c>
      <c r="D1389" s="13">
        <f t="shared" si="43"/>
        <v>45188</v>
      </c>
      <c r="E1389" s="15">
        <v>1000</v>
      </c>
      <c r="F1389" s="9">
        <v>9.7000000000000003E-2</v>
      </c>
      <c r="G1389" s="9">
        <v>9.7000000000000003E-2</v>
      </c>
      <c r="H1389" s="15">
        <f t="shared" si="42"/>
        <v>13100</v>
      </c>
    </row>
    <row r="1390" spans="1:8" x14ac:dyDescent="0.25">
      <c r="A1390" s="13">
        <v>45184</v>
      </c>
      <c r="B1390" s="15" t="s">
        <v>21</v>
      </c>
      <c r="C1390" s="3">
        <v>5</v>
      </c>
      <c r="D1390" s="13">
        <f t="shared" si="43"/>
        <v>45189</v>
      </c>
      <c r="E1390" s="15">
        <v>1000</v>
      </c>
      <c r="F1390" s="9">
        <v>9.7000000000000003E-2</v>
      </c>
      <c r="G1390" s="9">
        <v>9.7000000000000003E-2</v>
      </c>
      <c r="H1390" s="15">
        <f t="shared" si="42"/>
        <v>13100</v>
      </c>
    </row>
    <row r="1391" spans="1:8" x14ac:dyDescent="0.25">
      <c r="A1391" s="13">
        <v>45184</v>
      </c>
      <c r="B1391" s="15" t="s">
        <v>21</v>
      </c>
      <c r="C1391" s="3">
        <v>14</v>
      </c>
      <c r="D1391" s="13">
        <f t="shared" si="43"/>
        <v>45198</v>
      </c>
      <c r="E1391" s="15">
        <v>800</v>
      </c>
      <c r="F1391" s="9">
        <v>9.7000000000000003E-2</v>
      </c>
      <c r="G1391" s="9">
        <v>9.7000000000000003E-2</v>
      </c>
      <c r="H1391" s="15">
        <f t="shared" si="42"/>
        <v>13100</v>
      </c>
    </row>
    <row r="1392" spans="1:8" x14ac:dyDescent="0.25">
      <c r="A1392" s="13">
        <v>45184</v>
      </c>
      <c r="B1392" s="15" t="s">
        <v>21</v>
      </c>
      <c r="C1392" s="3">
        <v>17</v>
      </c>
      <c r="D1392" s="13">
        <f t="shared" si="43"/>
        <v>45201</v>
      </c>
      <c r="E1392" s="15">
        <v>3200</v>
      </c>
      <c r="F1392" s="9">
        <v>9.7500000000000003E-2</v>
      </c>
      <c r="G1392" s="9">
        <v>9.7500000000000003E-2</v>
      </c>
      <c r="H1392" s="15">
        <f t="shared" si="42"/>
        <v>13100</v>
      </c>
    </row>
    <row r="1393" spans="1:8" x14ac:dyDescent="0.25">
      <c r="A1393" s="13">
        <v>45187</v>
      </c>
      <c r="B1393" s="15" t="s">
        <v>21</v>
      </c>
      <c r="C1393" s="3">
        <v>2</v>
      </c>
      <c r="D1393" s="13">
        <f t="shared" si="43"/>
        <v>45189</v>
      </c>
      <c r="E1393" s="15">
        <v>6000</v>
      </c>
      <c r="F1393" s="9">
        <v>9.7000000000000003E-2</v>
      </c>
      <c r="G1393" s="9">
        <v>9.7000000000000003E-2</v>
      </c>
      <c r="H1393" s="15">
        <f t="shared" si="42"/>
        <v>21100</v>
      </c>
    </row>
    <row r="1394" spans="1:8" x14ac:dyDescent="0.25">
      <c r="A1394" s="13">
        <v>45187</v>
      </c>
      <c r="B1394" s="15" t="s">
        <v>21</v>
      </c>
      <c r="C1394" s="3">
        <v>3</v>
      </c>
      <c r="D1394" s="13">
        <f t="shared" si="43"/>
        <v>45190</v>
      </c>
      <c r="E1394" s="15">
        <v>1000</v>
      </c>
      <c r="F1394" s="9">
        <v>9.7000000000000003E-2</v>
      </c>
      <c r="G1394" s="9">
        <v>9.7000000000000003E-2</v>
      </c>
      <c r="H1394" s="15">
        <f t="shared" si="42"/>
        <v>21100</v>
      </c>
    </row>
    <row r="1395" spans="1:8" x14ac:dyDescent="0.25">
      <c r="A1395" s="13">
        <v>45187</v>
      </c>
      <c r="B1395" s="15" t="s">
        <v>21</v>
      </c>
      <c r="C1395" s="3">
        <v>14</v>
      </c>
      <c r="D1395" s="13">
        <f t="shared" si="43"/>
        <v>45201</v>
      </c>
      <c r="E1395" s="15">
        <v>1000</v>
      </c>
      <c r="F1395" s="9">
        <v>9.7500000000000003E-2</v>
      </c>
      <c r="G1395" s="9">
        <v>9.7500000000000003E-2</v>
      </c>
      <c r="H1395" s="15">
        <f t="shared" si="42"/>
        <v>21100</v>
      </c>
    </row>
    <row r="1396" spans="1:8" x14ac:dyDescent="0.25">
      <c r="A1396" s="13">
        <v>45188</v>
      </c>
      <c r="B1396" s="15" t="s">
        <v>21</v>
      </c>
      <c r="C1396" s="3">
        <v>2</v>
      </c>
      <c r="D1396" s="13">
        <f t="shared" si="43"/>
        <v>45190</v>
      </c>
      <c r="E1396" s="15">
        <v>1700</v>
      </c>
      <c r="F1396" s="9">
        <v>9.6000000000000002E-2</v>
      </c>
      <c r="G1396" s="9">
        <v>9.6000000000000002E-2</v>
      </c>
      <c r="H1396" s="15">
        <f t="shared" si="42"/>
        <v>22100</v>
      </c>
    </row>
    <row r="1397" spans="1:8" x14ac:dyDescent="0.25">
      <c r="A1397" s="13">
        <v>45188</v>
      </c>
      <c r="B1397" s="15" t="s">
        <v>21</v>
      </c>
      <c r="C1397" s="3">
        <v>3</v>
      </c>
      <c r="D1397" s="13">
        <f t="shared" si="43"/>
        <v>45191</v>
      </c>
      <c r="E1397" s="15">
        <v>1300</v>
      </c>
      <c r="F1397" s="9">
        <v>9.6000000000000002E-2</v>
      </c>
      <c r="G1397" s="9">
        <v>9.7000000000000003E-2</v>
      </c>
      <c r="H1397" s="15">
        <f t="shared" si="42"/>
        <v>22100</v>
      </c>
    </row>
    <row r="1398" spans="1:8" x14ac:dyDescent="0.25">
      <c r="A1398" s="13">
        <v>45188</v>
      </c>
      <c r="B1398" s="15" t="s">
        <v>21</v>
      </c>
      <c r="C1398" s="3">
        <v>7</v>
      </c>
      <c r="D1398" s="13">
        <f t="shared" si="43"/>
        <v>45195</v>
      </c>
      <c r="E1398" s="15">
        <v>600</v>
      </c>
      <c r="F1398" s="9">
        <v>9.7000000000000003E-2</v>
      </c>
      <c r="G1398" s="9">
        <v>9.7000000000000003E-2</v>
      </c>
      <c r="H1398" s="15">
        <f t="shared" si="42"/>
        <v>22100</v>
      </c>
    </row>
    <row r="1399" spans="1:8" x14ac:dyDescent="0.25">
      <c r="A1399" s="13">
        <v>45188</v>
      </c>
      <c r="B1399" s="15" t="s">
        <v>21</v>
      </c>
      <c r="C1399" s="3">
        <v>13</v>
      </c>
      <c r="D1399" s="13">
        <f t="shared" si="43"/>
        <v>45201</v>
      </c>
      <c r="E1399" s="15">
        <v>800</v>
      </c>
      <c r="F1399" s="9">
        <v>9.7500000000000003E-2</v>
      </c>
      <c r="G1399" s="9">
        <v>9.7500000000000003E-2</v>
      </c>
      <c r="H1399" s="15">
        <f t="shared" si="42"/>
        <v>22100</v>
      </c>
    </row>
    <row r="1400" spans="1:8" x14ac:dyDescent="0.25">
      <c r="A1400" s="13">
        <v>45189</v>
      </c>
      <c r="B1400" s="15" t="s">
        <v>21</v>
      </c>
      <c r="C1400" s="3">
        <v>2</v>
      </c>
      <c r="D1400" s="13">
        <f t="shared" si="43"/>
        <v>45191</v>
      </c>
      <c r="E1400" s="15">
        <v>1400</v>
      </c>
      <c r="F1400" s="9">
        <v>9.6000000000000002E-2</v>
      </c>
      <c r="G1400" s="9">
        <v>9.6000000000000002E-2</v>
      </c>
      <c r="H1400" s="15">
        <f t="shared" si="42"/>
        <v>19000</v>
      </c>
    </row>
    <row r="1401" spans="1:8" x14ac:dyDescent="0.25">
      <c r="A1401" s="13">
        <v>45189</v>
      </c>
      <c r="B1401" s="15" t="s">
        <v>21</v>
      </c>
      <c r="C1401" s="3">
        <v>5</v>
      </c>
      <c r="D1401" s="13">
        <f t="shared" si="43"/>
        <v>45194</v>
      </c>
      <c r="E1401" s="15">
        <v>1700</v>
      </c>
      <c r="F1401" s="9">
        <v>9.6500000000000002E-2</v>
      </c>
      <c r="G1401" s="9">
        <v>9.7000000000000003E-2</v>
      </c>
      <c r="H1401" s="15">
        <f t="shared" si="42"/>
        <v>19000</v>
      </c>
    </row>
    <row r="1402" spans="1:8" x14ac:dyDescent="0.25">
      <c r="A1402" s="13">
        <v>45189</v>
      </c>
      <c r="B1402" s="15" t="s">
        <v>21</v>
      </c>
      <c r="C1402" s="3">
        <v>12</v>
      </c>
      <c r="D1402" s="13">
        <f t="shared" si="43"/>
        <v>45201</v>
      </c>
      <c r="E1402" s="15">
        <v>1800</v>
      </c>
      <c r="F1402" s="9">
        <v>9.7500000000000003E-2</v>
      </c>
      <c r="G1402" s="9">
        <v>9.7500000000000003E-2</v>
      </c>
      <c r="H1402" s="15">
        <f t="shared" si="42"/>
        <v>19000</v>
      </c>
    </row>
    <row r="1403" spans="1:8" x14ac:dyDescent="0.25">
      <c r="A1403" s="13">
        <v>45190</v>
      </c>
      <c r="B1403" s="15" t="s">
        <v>21</v>
      </c>
      <c r="C1403" s="3">
        <v>1</v>
      </c>
      <c r="D1403" s="13">
        <f t="shared" si="43"/>
        <v>45191</v>
      </c>
      <c r="E1403" s="15">
        <v>1050</v>
      </c>
      <c r="F1403" s="9">
        <v>9.4E-2</v>
      </c>
      <c r="G1403" s="9">
        <v>9.5000000000000001E-2</v>
      </c>
      <c r="H1403" s="15">
        <f t="shared" si="42"/>
        <v>18650</v>
      </c>
    </row>
    <row r="1404" spans="1:8" x14ac:dyDescent="0.25">
      <c r="A1404" s="13">
        <v>45190</v>
      </c>
      <c r="B1404" s="15" t="s">
        <v>21</v>
      </c>
      <c r="C1404" s="3">
        <v>4</v>
      </c>
      <c r="D1404" s="13">
        <f t="shared" si="43"/>
        <v>45194</v>
      </c>
      <c r="E1404" s="15">
        <v>2200</v>
      </c>
      <c r="F1404" s="9">
        <v>9.6500000000000002E-2</v>
      </c>
      <c r="G1404" s="9">
        <v>9.6500000000000002E-2</v>
      </c>
      <c r="H1404" s="15">
        <f t="shared" si="42"/>
        <v>18650</v>
      </c>
    </row>
    <row r="1405" spans="1:8" x14ac:dyDescent="0.25">
      <c r="A1405" s="13">
        <v>45190</v>
      </c>
      <c r="B1405" s="15" t="s">
        <v>21</v>
      </c>
      <c r="C1405" s="3">
        <v>5</v>
      </c>
      <c r="D1405" s="13">
        <f t="shared" si="43"/>
        <v>45195</v>
      </c>
      <c r="E1405" s="15">
        <v>100</v>
      </c>
      <c r="F1405" s="9">
        <v>9.6500000000000002E-2</v>
      </c>
      <c r="G1405" s="9">
        <v>9.6500000000000002E-2</v>
      </c>
      <c r="H1405" s="15">
        <f t="shared" si="42"/>
        <v>18650</v>
      </c>
    </row>
    <row r="1406" spans="1:8" x14ac:dyDescent="0.25">
      <c r="A1406" s="13">
        <v>45190</v>
      </c>
      <c r="B1406" s="15" t="s">
        <v>21</v>
      </c>
      <c r="C1406" s="3">
        <v>8</v>
      </c>
      <c r="D1406" s="13">
        <f t="shared" si="43"/>
        <v>45198</v>
      </c>
      <c r="E1406" s="15">
        <v>600</v>
      </c>
      <c r="F1406" s="9">
        <v>9.7000000000000003E-2</v>
      </c>
      <c r="G1406" s="9">
        <v>9.7000000000000003E-2</v>
      </c>
      <c r="H1406" s="15">
        <f t="shared" si="42"/>
        <v>18650</v>
      </c>
    </row>
    <row r="1407" spans="1:8" x14ac:dyDescent="0.25">
      <c r="A1407" s="13">
        <v>45191</v>
      </c>
      <c r="B1407" s="15" t="s">
        <v>21</v>
      </c>
      <c r="C1407" s="3">
        <v>3</v>
      </c>
      <c r="D1407" s="13">
        <f t="shared" si="43"/>
        <v>45194</v>
      </c>
      <c r="E1407" s="15">
        <v>2100</v>
      </c>
      <c r="F1407" s="9">
        <v>9.6000000000000002E-2</v>
      </c>
      <c r="G1407" s="9">
        <v>9.8500000000000004E-2</v>
      </c>
      <c r="H1407" s="15">
        <f t="shared" si="42"/>
        <v>21000</v>
      </c>
    </row>
    <row r="1408" spans="1:8" x14ac:dyDescent="0.25">
      <c r="A1408" s="13">
        <v>45191</v>
      </c>
      <c r="B1408" s="15" t="s">
        <v>21</v>
      </c>
      <c r="C1408" s="3">
        <v>4</v>
      </c>
      <c r="D1408" s="13">
        <f t="shared" si="43"/>
        <v>45195</v>
      </c>
      <c r="E1408" s="15">
        <v>3100</v>
      </c>
      <c r="F1408" s="9">
        <v>9.6500000000000002E-2</v>
      </c>
      <c r="G1408" s="9">
        <v>9.8500000000000004E-2</v>
      </c>
      <c r="H1408" s="15">
        <f t="shared" si="42"/>
        <v>21000</v>
      </c>
    </row>
    <row r="1409" spans="1:8" x14ac:dyDescent="0.25">
      <c r="A1409" s="13">
        <v>45191</v>
      </c>
      <c r="B1409" s="15" t="s">
        <v>21</v>
      </c>
      <c r="C1409" s="3">
        <v>7</v>
      </c>
      <c r="D1409" s="13">
        <f t="shared" si="43"/>
        <v>45198</v>
      </c>
      <c r="E1409" s="15">
        <v>400</v>
      </c>
      <c r="F1409" s="9">
        <v>9.8000000000000004E-2</v>
      </c>
      <c r="G1409" s="9">
        <v>9.8000000000000004E-2</v>
      </c>
      <c r="H1409" s="15">
        <f t="shared" si="42"/>
        <v>21000</v>
      </c>
    </row>
    <row r="1410" spans="1:8" x14ac:dyDescent="0.25">
      <c r="A1410" s="13">
        <v>45191</v>
      </c>
      <c r="B1410" s="15" t="s">
        <v>21</v>
      </c>
      <c r="C1410" s="3">
        <v>10</v>
      </c>
      <c r="D1410" s="13">
        <f t="shared" si="43"/>
        <v>45201</v>
      </c>
      <c r="E1410" s="15">
        <v>500</v>
      </c>
      <c r="F1410" s="9">
        <v>0.1</v>
      </c>
      <c r="G1410" s="9">
        <v>0.1</v>
      </c>
      <c r="H1410" s="15">
        <f t="shared" si="42"/>
        <v>21000</v>
      </c>
    </row>
    <row r="1411" spans="1:8" x14ac:dyDescent="0.25">
      <c r="A1411" s="13">
        <v>45194</v>
      </c>
      <c r="B1411" s="15" t="s">
        <v>21</v>
      </c>
      <c r="C1411" s="3">
        <v>2</v>
      </c>
      <c r="D1411" s="13">
        <f t="shared" si="43"/>
        <v>45196</v>
      </c>
      <c r="E1411" s="15">
        <v>700</v>
      </c>
      <c r="F1411" s="9">
        <v>9.7000000000000003E-2</v>
      </c>
      <c r="G1411" s="9">
        <v>9.7500000000000003E-2</v>
      </c>
      <c r="H1411" s="15">
        <f t="shared" si="42"/>
        <v>17100</v>
      </c>
    </row>
    <row r="1412" spans="1:8" x14ac:dyDescent="0.25">
      <c r="A1412" s="13">
        <v>45194</v>
      </c>
      <c r="B1412" s="15" t="s">
        <v>21</v>
      </c>
      <c r="C1412" s="3">
        <v>3</v>
      </c>
      <c r="D1412" s="13">
        <f t="shared" si="43"/>
        <v>45197</v>
      </c>
      <c r="E1412" s="15">
        <v>200</v>
      </c>
      <c r="F1412" s="9">
        <v>9.7500000000000003E-2</v>
      </c>
      <c r="G1412" s="9">
        <v>9.7500000000000003E-2</v>
      </c>
      <c r="H1412" s="15">
        <f t="shared" si="42"/>
        <v>17100</v>
      </c>
    </row>
    <row r="1413" spans="1:8" x14ac:dyDescent="0.25">
      <c r="A1413" s="13">
        <v>45194</v>
      </c>
      <c r="B1413" s="15" t="s">
        <v>21</v>
      </c>
      <c r="C1413" s="3">
        <v>7</v>
      </c>
      <c r="D1413" s="13">
        <f t="shared" si="43"/>
        <v>45201</v>
      </c>
      <c r="E1413" s="15">
        <v>2000</v>
      </c>
      <c r="F1413" s="9">
        <v>9.8000000000000004E-2</v>
      </c>
      <c r="G1413" s="9">
        <v>9.8000000000000004E-2</v>
      </c>
      <c r="H1413" s="15">
        <f t="shared" si="42"/>
        <v>17100</v>
      </c>
    </row>
    <row r="1414" spans="1:8" x14ac:dyDescent="0.25">
      <c r="A1414" s="13">
        <v>45195</v>
      </c>
      <c r="B1414" s="15" t="s">
        <v>21</v>
      </c>
      <c r="C1414" s="3">
        <v>1</v>
      </c>
      <c r="D1414" s="13">
        <f t="shared" si="43"/>
        <v>45196</v>
      </c>
      <c r="E1414" s="15">
        <v>-200</v>
      </c>
      <c r="F1414" s="9">
        <v>0.104</v>
      </c>
      <c r="G1414" s="9">
        <v>0.104</v>
      </c>
      <c r="H1414" s="15">
        <f t="shared" si="42"/>
        <v>13100</v>
      </c>
    </row>
    <row r="1415" spans="1:8" x14ac:dyDescent="0.25">
      <c r="A1415" s="13">
        <v>45196</v>
      </c>
      <c r="B1415" s="15" t="s">
        <v>21</v>
      </c>
      <c r="C1415" s="3">
        <v>2</v>
      </c>
      <c r="D1415" s="13">
        <f t="shared" si="43"/>
        <v>45198</v>
      </c>
      <c r="E1415" s="15">
        <v>-400</v>
      </c>
      <c r="F1415" s="9">
        <v>0.106</v>
      </c>
      <c r="G1415" s="9">
        <v>0.106</v>
      </c>
      <c r="H1415" s="15">
        <f t="shared" si="42"/>
        <v>12200</v>
      </c>
    </row>
    <row r="1416" spans="1:8" x14ac:dyDescent="0.25">
      <c r="A1416" s="13">
        <v>45198</v>
      </c>
      <c r="B1416" s="15" t="s">
        <v>21</v>
      </c>
      <c r="C1416" s="3">
        <v>3</v>
      </c>
      <c r="D1416" s="13">
        <f t="shared" si="43"/>
        <v>45201</v>
      </c>
      <c r="E1416" s="15">
        <v>-4100</v>
      </c>
      <c r="F1416" s="9">
        <v>0.105</v>
      </c>
      <c r="G1416" s="9">
        <v>0.106</v>
      </c>
      <c r="H1416" s="15">
        <f t="shared" si="42"/>
        <v>4600</v>
      </c>
    </row>
    <row r="1417" spans="1:8" x14ac:dyDescent="0.25">
      <c r="A1417" s="13">
        <v>45198</v>
      </c>
      <c r="B1417" s="15" t="s">
        <v>21</v>
      </c>
      <c r="C1417" s="3">
        <v>4</v>
      </c>
      <c r="D1417" s="13">
        <f t="shared" si="43"/>
        <v>45202</v>
      </c>
      <c r="E1417" s="15">
        <v>-600</v>
      </c>
      <c r="F1417" s="9">
        <v>0.106</v>
      </c>
      <c r="G1417" s="9">
        <v>0.106</v>
      </c>
      <c r="H1417" s="15">
        <f t="shared" si="42"/>
        <v>4600</v>
      </c>
    </row>
    <row r="1418" spans="1:8" x14ac:dyDescent="0.25">
      <c r="A1418" s="13">
        <v>45202</v>
      </c>
      <c r="B1418" s="15" t="s">
        <v>21</v>
      </c>
      <c r="C1418" s="3">
        <v>1</v>
      </c>
      <c r="D1418" s="13">
        <f t="shared" si="43"/>
        <v>45203</v>
      </c>
      <c r="E1418" s="15">
        <v>-800</v>
      </c>
      <c r="F1418" s="9">
        <v>0.105</v>
      </c>
      <c r="G1418" s="9">
        <v>0.105</v>
      </c>
      <c r="H1418" s="15">
        <f t="shared" ref="H1418:H1481" si="44">+SUMIFS($E$10:$E$4503,$A$10:$A$4503,"&lt;="&amp;A1418,$D$10:$D$4503,"&gt;"&amp;A1418)</f>
        <v>-800</v>
      </c>
    </row>
    <row r="1419" spans="1:8" x14ac:dyDescent="0.25">
      <c r="A1419" s="13">
        <v>45212</v>
      </c>
      <c r="B1419" s="15" t="s">
        <v>21</v>
      </c>
      <c r="C1419" s="3">
        <v>7</v>
      </c>
      <c r="D1419" s="13">
        <f t="shared" si="43"/>
        <v>45219</v>
      </c>
      <c r="E1419" s="15">
        <v>200</v>
      </c>
      <c r="F1419" s="9">
        <v>9.5000000000000001E-2</v>
      </c>
      <c r="G1419" s="9">
        <v>9.5000000000000001E-2</v>
      </c>
      <c r="H1419" s="15">
        <f t="shared" si="44"/>
        <v>2200</v>
      </c>
    </row>
    <row r="1420" spans="1:8" x14ac:dyDescent="0.25">
      <c r="A1420" s="13">
        <v>45212</v>
      </c>
      <c r="B1420" s="15" t="s">
        <v>21</v>
      </c>
      <c r="C1420" s="3">
        <v>11</v>
      </c>
      <c r="D1420" s="13">
        <f t="shared" si="43"/>
        <v>45223</v>
      </c>
      <c r="E1420" s="15">
        <v>2000</v>
      </c>
      <c r="F1420" s="9">
        <v>9.5000000000000001E-2</v>
      </c>
      <c r="G1420" s="9">
        <v>9.5000000000000001E-2</v>
      </c>
      <c r="H1420" s="15">
        <f t="shared" si="44"/>
        <v>2200</v>
      </c>
    </row>
    <row r="1421" spans="1:8" x14ac:dyDescent="0.25">
      <c r="A1421" s="13">
        <v>45216</v>
      </c>
      <c r="B1421" s="15" t="s">
        <v>21</v>
      </c>
      <c r="C1421" s="3">
        <v>6</v>
      </c>
      <c r="D1421" s="13">
        <f t="shared" si="43"/>
        <v>45222</v>
      </c>
      <c r="E1421" s="15">
        <v>3000</v>
      </c>
      <c r="F1421" s="9">
        <v>9.5000000000000001E-2</v>
      </c>
      <c r="G1421" s="9">
        <v>9.5000000000000001E-2</v>
      </c>
      <c r="H1421" s="15">
        <f t="shared" si="44"/>
        <v>5200</v>
      </c>
    </row>
    <row r="1422" spans="1:8" x14ac:dyDescent="0.25">
      <c r="A1422" s="13">
        <v>45217</v>
      </c>
      <c r="B1422" s="15" t="s">
        <v>21</v>
      </c>
      <c r="C1422" s="3">
        <v>2</v>
      </c>
      <c r="D1422" s="13">
        <f t="shared" si="43"/>
        <v>45219</v>
      </c>
      <c r="E1422" s="15">
        <v>1200</v>
      </c>
      <c r="F1422" s="9">
        <v>9.5000000000000001E-2</v>
      </c>
      <c r="G1422" s="9">
        <v>9.5000000000000001E-2</v>
      </c>
      <c r="H1422" s="15">
        <f t="shared" si="44"/>
        <v>10400</v>
      </c>
    </row>
    <row r="1423" spans="1:8" x14ac:dyDescent="0.25">
      <c r="A1423" s="13">
        <v>45217</v>
      </c>
      <c r="B1423" s="15" t="s">
        <v>21</v>
      </c>
      <c r="C1423" s="3">
        <v>5</v>
      </c>
      <c r="D1423" s="13">
        <f t="shared" si="43"/>
        <v>45222</v>
      </c>
      <c r="E1423" s="15">
        <v>2000</v>
      </c>
      <c r="F1423" s="9">
        <v>9.5000000000000001E-2</v>
      </c>
      <c r="G1423" s="9">
        <v>9.5000000000000001E-2</v>
      </c>
      <c r="H1423" s="15">
        <f t="shared" si="44"/>
        <v>10400</v>
      </c>
    </row>
    <row r="1424" spans="1:8" x14ac:dyDescent="0.25">
      <c r="A1424" s="13">
        <v>45217</v>
      </c>
      <c r="B1424" s="15" t="s">
        <v>21</v>
      </c>
      <c r="C1424" s="3">
        <v>7</v>
      </c>
      <c r="D1424" s="13">
        <f t="shared" si="43"/>
        <v>45224</v>
      </c>
      <c r="E1424" s="15">
        <v>2000</v>
      </c>
      <c r="F1424" s="9">
        <v>9.5000000000000001E-2</v>
      </c>
      <c r="G1424" s="9">
        <v>9.5000000000000001E-2</v>
      </c>
      <c r="H1424" s="15">
        <f t="shared" si="44"/>
        <v>10400</v>
      </c>
    </row>
    <row r="1425" spans="1:14" x14ac:dyDescent="0.25">
      <c r="A1425" s="13">
        <v>45218</v>
      </c>
      <c r="B1425" s="15" t="s">
        <v>21</v>
      </c>
      <c r="C1425" s="3">
        <v>4</v>
      </c>
      <c r="D1425" s="13">
        <f t="shared" si="43"/>
        <v>45222</v>
      </c>
      <c r="E1425" s="15">
        <v>200</v>
      </c>
      <c r="F1425" s="9">
        <v>9.5000000000000001E-2</v>
      </c>
      <c r="G1425" s="9">
        <v>9.5000000000000001E-2</v>
      </c>
      <c r="H1425" s="15">
        <f t="shared" si="44"/>
        <v>11200</v>
      </c>
    </row>
    <row r="1426" spans="1:14" x14ac:dyDescent="0.25">
      <c r="A1426" s="13">
        <v>45218</v>
      </c>
      <c r="B1426" s="15" t="s">
        <v>21</v>
      </c>
      <c r="C1426" s="3">
        <v>7</v>
      </c>
      <c r="D1426" s="13">
        <f t="shared" si="43"/>
        <v>45225</v>
      </c>
      <c r="E1426" s="15">
        <v>600</v>
      </c>
      <c r="F1426" s="9">
        <v>9.5000000000000001E-2</v>
      </c>
      <c r="G1426" s="9">
        <v>9.5000000000000001E-2</v>
      </c>
      <c r="H1426" s="15">
        <f t="shared" si="44"/>
        <v>11200</v>
      </c>
    </row>
    <row r="1427" spans="1:14" x14ac:dyDescent="0.25">
      <c r="A1427" s="13">
        <v>45219</v>
      </c>
      <c r="B1427" s="15" t="s">
        <v>21</v>
      </c>
      <c r="C1427" s="3">
        <v>4</v>
      </c>
      <c r="D1427" s="13">
        <f t="shared" si="43"/>
        <v>45223</v>
      </c>
      <c r="E1427" s="15">
        <v>600</v>
      </c>
      <c r="F1427" s="9">
        <v>9.5000000000000001E-2</v>
      </c>
      <c r="G1427" s="9">
        <v>9.5000000000000001E-2</v>
      </c>
      <c r="H1427" s="15">
        <f t="shared" si="44"/>
        <v>11800</v>
      </c>
    </row>
    <row r="1428" spans="1:14" x14ac:dyDescent="0.25">
      <c r="A1428" s="13">
        <v>45219</v>
      </c>
      <c r="B1428" s="15" t="s">
        <v>21</v>
      </c>
      <c r="C1428" s="3">
        <v>5</v>
      </c>
      <c r="D1428" s="13">
        <f t="shared" si="43"/>
        <v>45224</v>
      </c>
      <c r="E1428" s="15">
        <v>1100</v>
      </c>
      <c r="F1428" s="9">
        <v>9.5000000000000001E-2</v>
      </c>
      <c r="G1428" s="9">
        <v>9.5000000000000001E-2</v>
      </c>
      <c r="H1428" s="15">
        <f t="shared" si="44"/>
        <v>11800</v>
      </c>
    </row>
    <row r="1429" spans="1:14" x14ac:dyDescent="0.25">
      <c r="A1429" s="13">
        <v>45219</v>
      </c>
      <c r="B1429" s="15" t="s">
        <v>21</v>
      </c>
      <c r="C1429" s="3">
        <v>6</v>
      </c>
      <c r="D1429" s="13">
        <f t="shared" si="43"/>
        <v>45225</v>
      </c>
      <c r="E1429" s="15">
        <v>300</v>
      </c>
      <c r="F1429" s="9">
        <v>9.5000000000000001E-2</v>
      </c>
      <c r="G1429" s="9">
        <v>9.5000000000000001E-2</v>
      </c>
      <c r="H1429" s="15">
        <f t="shared" si="44"/>
        <v>11800</v>
      </c>
    </row>
    <row r="1430" spans="1:14" x14ac:dyDescent="0.25">
      <c r="A1430" s="13">
        <v>45222</v>
      </c>
      <c r="B1430" s="15" t="s">
        <v>21</v>
      </c>
      <c r="C1430" s="3">
        <v>2</v>
      </c>
      <c r="D1430" s="13">
        <f t="shared" si="43"/>
        <v>45224</v>
      </c>
      <c r="E1430" s="15">
        <v>1400</v>
      </c>
      <c r="F1430" s="9">
        <v>9.5000000000000001E-2</v>
      </c>
      <c r="G1430" s="9">
        <v>9.5000000000000001E-2</v>
      </c>
      <c r="H1430" s="15">
        <f t="shared" si="44"/>
        <v>10400</v>
      </c>
    </row>
    <row r="1431" spans="1:14" x14ac:dyDescent="0.25">
      <c r="A1431" s="13">
        <v>45222</v>
      </c>
      <c r="B1431" s="15" t="s">
        <v>21</v>
      </c>
      <c r="C1431" s="3">
        <v>4</v>
      </c>
      <c r="D1431" s="13">
        <f t="shared" si="43"/>
        <v>45226</v>
      </c>
      <c r="E1431" s="15">
        <v>200</v>
      </c>
      <c r="F1431" s="9">
        <v>9.5000000000000001E-2</v>
      </c>
      <c r="G1431" s="9">
        <v>9.5000000000000001E-2</v>
      </c>
      <c r="H1431" s="15">
        <f t="shared" si="44"/>
        <v>10400</v>
      </c>
    </row>
    <row r="1432" spans="1:14" x14ac:dyDescent="0.25">
      <c r="A1432" s="13">
        <v>45222</v>
      </c>
      <c r="B1432" s="15" t="s">
        <v>21</v>
      </c>
      <c r="C1432" s="3">
        <v>7</v>
      </c>
      <c r="D1432" s="13">
        <f t="shared" si="43"/>
        <v>45229</v>
      </c>
      <c r="E1432" s="15">
        <v>200</v>
      </c>
      <c r="F1432" s="9">
        <v>9.5000000000000001E-2</v>
      </c>
      <c r="G1432" s="9">
        <v>9.5000000000000001E-2</v>
      </c>
      <c r="H1432" s="15">
        <f t="shared" si="44"/>
        <v>10400</v>
      </c>
    </row>
    <row r="1433" spans="1:14" x14ac:dyDescent="0.25">
      <c r="A1433" s="13">
        <v>45222</v>
      </c>
      <c r="B1433" s="15" t="s">
        <v>21</v>
      </c>
      <c r="C1433" s="3">
        <v>8</v>
      </c>
      <c r="D1433" s="13">
        <f t="shared" si="43"/>
        <v>45230</v>
      </c>
      <c r="E1433" s="15">
        <v>2000</v>
      </c>
      <c r="F1433" s="9">
        <v>9.5000000000000001E-2</v>
      </c>
      <c r="G1433" s="9">
        <v>9.5000000000000001E-2</v>
      </c>
      <c r="H1433" s="15">
        <f t="shared" si="44"/>
        <v>10400</v>
      </c>
    </row>
    <row r="1434" spans="1:14" x14ac:dyDescent="0.25">
      <c r="A1434" s="13">
        <v>45223</v>
      </c>
      <c r="B1434" s="15" t="s">
        <v>21</v>
      </c>
      <c r="C1434" s="3">
        <v>8</v>
      </c>
      <c r="D1434" s="13">
        <f t="shared" si="43"/>
        <v>45231</v>
      </c>
      <c r="E1434" s="15">
        <v>1400</v>
      </c>
      <c r="F1434" s="9">
        <v>9.5000000000000001E-2</v>
      </c>
      <c r="G1434" s="9">
        <v>9.5000000000000001E-2</v>
      </c>
      <c r="H1434" s="15">
        <f t="shared" si="44"/>
        <v>9200</v>
      </c>
    </row>
    <row r="1435" spans="1:14" x14ac:dyDescent="0.25">
      <c r="A1435" s="13">
        <v>45225</v>
      </c>
      <c r="B1435" s="15" t="s">
        <v>21</v>
      </c>
      <c r="C1435" s="3">
        <v>5</v>
      </c>
      <c r="D1435" s="13">
        <f t="shared" si="43"/>
        <v>45230</v>
      </c>
      <c r="E1435" s="15">
        <v>500</v>
      </c>
      <c r="F1435" s="9">
        <v>9.5000000000000001E-2</v>
      </c>
      <c r="G1435" s="9">
        <v>9.5000000000000001E-2</v>
      </c>
      <c r="H1435" s="15">
        <f t="shared" si="44"/>
        <v>6800</v>
      </c>
    </row>
    <row r="1436" spans="1:14" x14ac:dyDescent="0.25">
      <c r="A1436" s="13">
        <v>45225</v>
      </c>
      <c r="B1436" s="15" t="s">
        <v>21</v>
      </c>
      <c r="C1436" s="3">
        <v>6</v>
      </c>
      <c r="D1436" s="13">
        <f t="shared" si="43"/>
        <v>45231</v>
      </c>
      <c r="E1436" s="15">
        <v>2500</v>
      </c>
      <c r="F1436" s="9">
        <v>9.5000000000000001E-2</v>
      </c>
      <c r="G1436" s="9">
        <v>9.5000000000000001E-2</v>
      </c>
      <c r="H1436" s="15">
        <f t="shared" si="44"/>
        <v>6800</v>
      </c>
    </row>
    <row r="1437" spans="1:14" x14ac:dyDescent="0.25">
      <c r="A1437" s="13">
        <v>45226</v>
      </c>
      <c r="B1437" s="15" t="s">
        <v>21</v>
      </c>
      <c r="C1437" s="3">
        <v>5</v>
      </c>
      <c r="D1437" s="13">
        <f t="shared" si="43"/>
        <v>45231</v>
      </c>
      <c r="E1437" s="15">
        <v>2000</v>
      </c>
      <c r="F1437" s="9">
        <v>9.2499999999999999E-2</v>
      </c>
      <c r="G1437" s="9">
        <v>9.2499999999999999E-2</v>
      </c>
      <c r="H1437" s="15">
        <f t="shared" si="44"/>
        <v>8600</v>
      </c>
    </row>
    <row r="1438" spans="1:14" x14ac:dyDescent="0.25">
      <c r="A1438" s="13">
        <v>45231</v>
      </c>
      <c r="B1438" s="15" t="s">
        <v>21</v>
      </c>
      <c r="C1438" s="3">
        <v>2</v>
      </c>
      <c r="D1438" s="13">
        <f t="shared" si="43"/>
        <v>45233</v>
      </c>
      <c r="E1438" s="15">
        <v>-3200</v>
      </c>
      <c r="F1438" s="9">
        <v>0.1</v>
      </c>
      <c r="G1438" s="9">
        <v>0.1</v>
      </c>
      <c r="H1438" s="15">
        <f t="shared" si="44"/>
        <v>-3200</v>
      </c>
      <c r="N1438" s="1" t="s">
        <v>1012</v>
      </c>
    </row>
    <row r="1439" spans="1:14" x14ac:dyDescent="0.25">
      <c r="A1439" s="13">
        <v>45237</v>
      </c>
      <c r="B1439" s="15" t="s">
        <v>21</v>
      </c>
      <c r="C1439" s="3">
        <v>3</v>
      </c>
      <c r="D1439" s="13">
        <f t="shared" si="43"/>
        <v>45240</v>
      </c>
      <c r="E1439" s="15">
        <v>800</v>
      </c>
      <c r="F1439" s="9">
        <v>9.5000000000000001E-2</v>
      </c>
      <c r="G1439" s="9">
        <v>9.5000000000000001E-2</v>
      </c>
      <c r="H1439" s="15">
        <f t="shared" si="44"/>
        <v>4200</v>
      </c>
    </row>
    <row r="1440" spans="1:14" x14ac:dyDescent="0.25">
      <c r="A1440" s="13">
        <v>45237</v>
      </c>
      <c r="B1440" s="15" t="s">
        <v>21</v>
      </c>
      <c r="C1440" s="3">
        <v>13</v>
      </c>
      <c r="D1440" s="13">
        <f t="shared" si="43"/>
        <v>45250</v>
      </c>
      <c r="E1440" s="15">
        <v>3400</v>
      </c>
      <c r="F1440" s="9">
        <v>9.6000000000000002E-2</v>
      </c>
      <c r="G1440" s="9">
        <v>9.6000000000000002E-2</v>
      </c>
      <c r="H1440" s="15">
        <f t="shared" si="44"/>
        <v>4200</v>
      </c>
    </row>
    <row r="1441" spans="1:8" x14ac:dyDescent="0.25">
      <c r="A1441" s="13">
        <v>45238</v>
      </c>
      <c r="B1441" s="15" t="s">
        <v>21</v>
      </c>
      <c r="C1441" s="3">
        <v>2</v>
      </c>
      <c r="D1441" s="13">
        <f t="shared" si="43"/>
        <v>45240</v>
      </c>
      <c r="E1441" s="15">
        <v>200</v>
      </c>
      <c r="F1441" s="9">
        <v>9.4E-2</v>
      </c>
      <c r="G1441" s="9">
        <v>9.4E-2</v>
      </c>
      <c r="H1441" s="15">
        <f t="shared" si="44"/>
        <v>5800</v>
      </c>
    </row>
    <row r="1442" spans="1:8" x14ac:dyDescent="0.25">
      <c r="A1442" s="13">
        <v>45238</v>
      </c>
      <c r="B1442" s="15" t="s">
        <v>21</v>
      </c>
      <c r="C1442" s="3">
        <v>12</v>
      </c>
      <c r="D1442" s="13">
        <f t="shared" si="43"/>
        <v>45250</v>
      </c>
      <c r="E1442" s="15">
        <v>1400</v>
      </c>
      <c r="F1442" s="9">
        <v>9.6000000000000002E-2</v>
      </c>
      <c r="G1442" s="9">
        <v>9.6000000000000002E-2</v>
      </c>
      <c r="H1442" s="15">
        <f t="shared" si="44"/>
        <v>5800</v>
      </c>
    </row>
    <row r="1443" spans="1:8" x14ac:dyDescent="0.25">
      <c r="A1443" s="13">
        <v>45239</v>
      </c>
      <c r="B1443" s="15" t="s">
        <v>21</v>
      </c>
      <c r="C1443" s="3">
        <v>4</v>
      </c>
      <c r="D1443" s="13">
        <f t="shared" si="43"/>
        <v>45243</v>
      </c>
      <c r="E1443" s="15">
        <v>1600</v>
      </c>
      <c r="F1443" s="9">
        <v>9.5000000000000001E-2</v>
      </c>
      <c r="G1443" s="9">
        <v>9.5000000000000001E-2</v>
      </c>
      <c r="H1443" s="15">
        <f t="shared" si="44"/>
        <v>9800</v>
      </c>
    </row>
    <row r="1444" spans="1:8" x14ac:dyDescent="0.25">
      <c r="A1444" s="13">
        <v>45239</v>
      </c>
      <c r="B1444" s="15" t="s">
        <v>21</v>
      </c>
      <c r="C1444" s="3">
        <v>11</v>
      </c>
      <c r="D1444" s="13">
        <f t="shared" si="43"/>
        <v>45250</v>
      </c>
      <c r="E1444" s="15">
        <v>2400</v>
      </c>
      <c r="F1444" s="9">
        <v>9.6000000000000002E-2</v>
      </c>
      <c r="G1444" s="9">
        <v>9.6000000000000002E-2</v>
      </c>
      <c r="H1444" s="15">
        <f t="shared" si="44"/>
        <v>9800</v>
      </c>
    </row>
    <row r="1445" spans="1:8" x14ac:dyDescent="0.25">
      <c r="A1445" s="13">
        <v>45243</v>
      </c>
      <c r="B1445" s="15" t="s">
        <v>21</v>
      </c>
      <c r="C1445" s="3">
        <v>4</v>
      </c>
      <c r="D1445" s="13">
        <f t="shared" si="43"/>
        <v>45247</v>
      </c>
      <c r="E1445" s="15">
        <v>200</v>
      </c>
      <c r="F1445" s="9">
        <v>9.5000000000000001E-2</v>
      </c>
      <c r="G1445" s="9">
        <v>9.5000000000000001E-2</v>
      </c>
      <c r="H1445" s="15">
        <f t="shared" si="44"/>
        <v>9700</v>
      </c>
    </row>
    <row r="1446" spans="1:8" x14ac:dyDescent="0.25">
      <c r="A1446" s="13">
        <v>45243</v>
      </c>
      <c r="B1446" s="15" t="s">
        <v>21</v>
      </c>
      <c r="C1446" s="3">
        <v>7</v>
      </c>
      <c r="D1446" s="13">
        <f t="shared" si="43"/>
        <v>45250</v>
      </c>
      <c r="E1446" s="15">
        <v>700</v>
      </c>
      <c r="F1446" s="9">
        <v>9.5000000000000001E-2</v>
      </c>
      <c r="G1446" s="9">
        <v>9.5000000000000001E-2</v>
      </c>
      <c r="H1446" s="15">
        <f t="shared" si="44"/>
        <v>9700</v>
      </c>
    </row>
    <row r="1447" spans="1:8" x14ac:dyDescent="0.25">
      <c r="A1447" s="13">
        <v>45243</v>
      </c>
      <c r="B1447" s="15" t="s">
        <v>21</v>
      </c>
      <c r="C1447" s="3">
        <v>14</v>
      </c>
      <c r="D1447" s="13">
        <f t="shared" si="43"/>
        <v>45257</v>
      </c>
      <c r="E1447" s="15">
        <v>1600</v>
      </c>
      <c r="F1447" s="9">
        <v>9.5500000000000002E-2</v>
      </c>
      <c r="G1447" s="9">
        <v>9.5500000000000002E-2</v>
      </c>
      <c r="H1447" s="15">
        <f t="shared" si="44"/>
        <v>9700</v>
      </c>
    </row>
    <row r="1448" spans="1:8" x14ac:dyDescent="0.25">
      <c r="A1448" s="13">
        <v>45244</v>
      </c>
      <c r="B1448" s="15" t="s">
        <v>21</v>
      </c>
      <c r="C1448" s="3">
        <v>6</v>
      </c>
      <c r="D1448" s="13">
        <f t="shared" si="43"/>
        <v>45250</v>
      </c>
      <c r="E1448" s="15">
        <v>1000</v>
      </c>
      <c r="F1448" s="9">
        <v>9.5000000000000001E-2</v>
      </c>
      <c r="G1448" s="9">
        <v>9.5000000000000001E-2</v>
      </c>
      <c r="H1448" s="15">
        <f t="shared" si="44"/>
        <v>12800</v>
      </c>
    </row>
    <row r="1449" spans="1:8" x14ac:dyDescent="0.25">
      <c r="A1449" s="13">
        <v>45244</v>
      </c>
      <c r="B1449" s="15" t="s">
        <v>21</v>
      </c>
      <c r="C1449" s="3">
        <v>10</v>
      </c>
      <c r="D1449" s="13">
        <f t="shared" si="43"/>
        <v>45254</v>
      </c>
      <c r="E1449" s="15">
        <v>2100</v>
      </c>
      <c r="F1449" s="9">
        <v>9.5500000000000002E-2</v>
      </c>
      <c r="G1449" s="9">
        <v>9.5500000000000002E-2</v>
      </c>
      <c r="H1449" s="15">
        <f t="shared" si="44"/>
        <v>12800</v>
      </c>
    </row>
    <row r="1450" spans="1:8" x14ac:dyDescent="0.25">
      <c r="A1450" s="13">
        <v>45251</v>
      </c>
      <c r="B1450" s="15" t="s">
        <v>21</v>
      </c>
      <c r="C1450" s="3">
        <v>6</v>
      </c>
      <c r="D1450" s="13">
        <f t="shared" si="43"/>
        <v>45257</v>
      </c>
      <c r="E1450" s="15">
        <v>400</v>
      </c>
      <c r="F1450" s="9">
        <v>9.2999999999999999E-2</v>
      </c>
      <c r="G1450" s="9">
        <v>9.2999999999999999E-2</v>
      </c>
      <c r="H1450" s="15">
        <f t="shared" si="44"/>
        <v>4700</v>
      </c>
    </row>
    <row r="1451" spans="1:8" x14ac:dyDescent="0.25">
      <c r="A1451" s="13">
        <v>45251</v>
      </c>
      <c r="B1451" s="15" t="s">
        <v>21</v>
      </c>
      <c r="C1451" s="3">
        <v>10</v>
      </c>
      <c r="D1451" s="13">
        <f t="shared" si="43"/>
        <v>45261</v>
      </c>
      <c r="E1451" s="15">
        <v>600</v>
      </c>
      <c r="F1451" s="9">
        <v>9.35E-2</v>
      </c>
      <c r="G1451" s="9">
        <v>9.35E-2</v>
      </c>
      <c r="H1451" s="15">
        <f t="shared" si="44"/>
        <v>4700</v>
      </c>
    </row>
    <row r="1452" spans="1:8" x14ac:dyDescent="0.25">
      <c r="A1452" s="13">
        <v>45252</v>
      </c>
      <c r="B1452" s="15" t="s">
        <v>21</v>
      </c>
      <c r="C1452" s="3">
        <v>5</v>
      </c>
      <c r="D1452" s="13">
        <f t="shared" si="43"/>
        <v>45257</v>
      </c>
      <c r="E1452" s="15">
        <v>1000</v>
      </c>
      <c r="F1452" s="9">
        <v>9.2499999999999999E-2</v>
      </c>
      <c r="G1452" s="9">
        <v>9.2499999999999999E-2</v>
      </c>
      <c r="H1452" s="15">
        <f t="shared" si="44"/>
        <v>5700</v>
      </c>
    </row>
    <row r="1453" spans="1:8" x14ac:dyDescent="0.25">
      <c r="A1453" s="13">
        <v>45253</v>
      </c>
      <c r="B1453" s="15" t="s">
        <v>21</v>
      </c>
      <c r="C1453" s="3">
        <v>8</v>
      </c>
      <c r="D1453" s="13">
        <f t="shared" si="43"/>
        <v>45261</v>
      </c>
      <c r="E1453" s="15">
        <v>2000</v>
      </c>
      <c r="F1453" s="9">
        <v>9.2999999999999999E-2</v>
      </c>
      <c r="G1453" s="9">
        <v>9.2999999999999999E-2</v>
      </c>
      <c r="H1453" s="15">
        <f t="shared" si="44"/>
        <v>7700</v>
      </c>
    </row>
    <row r="1454" spans="1:8" x14ac:dyDescent="0.25">
      <c r="A1454" s="13">
        <v>45258</v>
      </c>
      <c r="B1454" s="15" t="s">
        <v>21</v>
      </c>
      <c r="C1454" s="3">
        <v>3</v>
      </c>
      <c r="D1454" s="13">
        <f t="shared" si="43"/>
        <v>45261</v>
      </c>
      <c r="E1454" s="15">
        <v>3185</v>
      </c>
      <c r="F1454" s="9">
        <v>9.2499999999999999E-2</v>
      </c>
      <c r="G1454" s="9">
        <v>9.2499999999999999E-2</v>
      </c>
      <c r="H1454" s="15">
        <f t="shared" si="44"/>
        <v>5785</v>
      </c>
    </row>
    <row r="1455" spans="1:8" x14ac:dyDescent="0.25">
      <c r="A1455" s="13">
        <v>45259</v>
      </c>
      <c r="B1455" s="15" t="s">
        <v>21</v>
      </c>
      <c r="C1455" s="3">
        <v>2</v>
      </c>
      <c r="D1455" s="13">
        <f t="shared" si="43"/>
        <v>45261</v>
      </c>
      <c r="E1455" s="15">
        <v>-3000</v>
      </c>
      <c r="F1455" s="9">
        <v>9.2999999999999999E-2</v>
      </c>
      <c r="G1455" s="9">
        <v>9.2999999999999999E-2</v>
      </c>
      <c r="H1455" s="15">
        <f t="shared" si="44"/>
        <v>2485</v>
      </c>
    </row>
    <row r="1456" spans="1:8" x14ac:dyDescent="0.25">
      <c r="A1456" s="13">
        <v>45259</v>
      </c>
      <c r="B1456" s="15" t="s">
        <v>21</v>
      </c>
      <c r="C1456" s="3">
        <v>7</v>
      </c>
      <c r="D1456" s="13">
        <f t="shared" si="43"/>
        <v>45266</v>
      </c>
      <c r="E1456" s="15">
        <v>-300</v>
      </c>
      <c r="F1456" s="9">
        <v>9.35E-2</v>
      </c>
      <c r="G1456" s="9">
        <v>9.35E-2</v>
      </c>
      <c r="H1456" s="15">
        <f t="shared" si="44"/>
        <v>2485</v>
      </c>
    </row>
    <row r="1457" spans="1:8" x14ac:dyDescent="0.25">
      <c r="A1457" s="13">
        <v>45260</v>
      </c>
      <c r="B1457" s="15" t="s">
        <v>21</v>
      </c>
      <c r="C1457" s="3">
        <v>4</v>
      </c>
      <c r="D1457" s="13">
        <f t="shared" si="43"/>
        <v>45264</v>
      </c>
      <c r="E1457" s="15">
        <v>-400</v>
      </c>
      <c r="F1457" s="9">
        <v>9.2999999999999999E-2</v>
      </c>
      <c r="G1457" s="9">
        <v>9.2999999999999999E-2</v>
      </c>
      <c r="H1457" s="15">
        <f t="shared" si="44"/>
        <v>2085</v>
      </c>
    </row>
    <row r="1458" spans="1:8" x14ac:dyDescent="0.25">
      <c r="A1458" s="13">
        <v>45261</v>
      </c>
      <c r="B1458" s="15" t="s">
        <v>21</v>
      </c>
      <c r="C1458" s="3">
        <v>3</v>
      </c>
      <c r="D1458" s="13">
        <f t="shared" si="43"/>
        <v>45264</v>
      </c>
      <c r="E1458" s="15">
        <v>-1500</v>
      </c>
      <c r="F1458" s="9">
        <v>9.4500000000000001E-2</v>
      </c>
      <c r="G1458" s="9">
        <v>9.4500000000000001E-2</v>
      </c>
      <c r="H1458" s="15">
        <f t="shared" si="44"/>
        <v>-4600</v>
      </c>
    </row>
    <row r="1459" spans="1:8" x14ac:dyDescent="0.25">
      <c r="A1459" s="13">
        <v>45261</v>
      </c>
      <c r="B1459" s="15" t="s">
        <v>21</v>
      </c>
      <c r="C1459" s="3">
        <v>4</v>
      </c>
      <c r="D1459" s="13">
        <f t="shared" si="43"/>
        <v>45265</v>
      </c>
      <c r="E1459" s="15">
        <v>-2400</v>
      </c>
      <c r="F1459" s="9">
        <v>9.5000000000000001E-2</v>
      </c>
      <c r="G1459" s="9">
        <v>9.5000000000000001E-2</v>
      </c>
      <c r="H1459" s="15">
        <f t="shared" si="44"/>
        <v>-4600</v>
      </c>
    </row>
    <row r="1460" spans="1:8" x14ac:dyDescent="0.25">
      <c r="A1460" s="13">
        <v>45264</v>
      </c>
      <c r="B1460" s="15" t="s">
        <v>21</v>
      </c>
      <c r="C1460" s="3">
        <v>2</v>
      </c>
      <c r="D1460" s="13">
        <f t="shared" si="43"/>
        <v>45266</v>
      </c>
      <c r="E1460" s="15">
        <v>-1700</v>
      </c>
      <c r="F1460" s="9">
        <v>9.4500000000000001E-2</v>
      </c>
      <c r="G1460" s="9">
        <v>9.4500000000000001E-2</v>
      </c>
      <c r="H1460" s="15">
        <f t="shared" si="44"/>
        <v>-4400</v>
      </c>
    </row>
    <row r="1461" spans="1:8" x14ac:dyDescent="0.25">
      <c r="A1461" s="13">
        <v>45265</v>
      </c>
      <c r="B1461" s="15" t="s">
        <v>21</v>
      </c>
      <c r="C1461" s="3">
        <v>1</v>
      </c>
      <c r="D1461" s="13">
        <f t="shared" si="43"/>
        <v>45266</v>
      </c>
      <c r="E1461" s="15">
        <v>-1000</v>
      </c>
      <c r="F1461" s="9">
        <v>9.5000000000000001E-2</v>
      </c>
      <c r="G1461" s="9">
        <v>9.5000000000000001E-2</v>
      </c>
      <c r="H1461" s="15">
        <f t="shared" si="44"/>
        <v>-3000</v>
      </c>
    </row>
    <row r="1462" spans="1:8" x14ac:dyDescent="0.25">
      <c r="A1462" s="13">
        <v>45266</v>
      </c>
      <c r="B1462" s="15" t="s">
        <v>21</v>
      </c>
      <c r="C1462" s="3">
        <v>1</v>
      </c>
      <c r="D1462" s="13">
        <f t="shared" si="43"/>
        <v>45267</v>
      </c>
      <c r="E1462" s="15">
        <v>-2500</v>
      </c>
      <c r="F1462" s="9">
        <v>9.5000000000000001E-2</v>
      </c>
      <c r="G1462" s="9">
        <v>9.5000000000000001E-2</v>
      </c>
      <c r="H1462" s="15">
        <f t="shared" si="44"/>
        <v>-2500</v>
      </c>
    </row>
    <row r="1463" spans="1:8" x14ac:dyDescent="0.25">
      <c r="A1463" s="13">
        <v>45267</v>
      </c>
      <c r="B1463" s="15" t="s">
        <v>21</v>
      </c>
      <c r="C1463" s="3">
        <v>1</v>
      </c>
      <c r="D1463" s="13">
        <f t="shared" si="43"/>
        <v>45268</v>
      </c>
      <c r="E1463" s="15">
        <v>-1900</v>
      </c>
      <c r="F1463" s="9">
        <v>9.5000000000000001E-2</v>
      </c>
      <c r="G1463" s="9">
        <v>9.5000000000000001E-2</v>
      </c>
      <c r="H1463" s="15">
        <f t="shared" si="44"/>
        <v>-1900</v>
      </c>
    </row>
    <row r="1464" spans="1:8" x14ac:dyDescent="0.25">
      <c r="A1464" s="13">
        <v>45268</v>
      </c>
      <c r="B1464" s="15" t="s">
        <v>21</v>
      </c>
      <c r="C1464" s="3">
        <v>3</v>
      </c>
      <c r="D1464" s="13">
        <f t="shared" si="43"/>
        <v>45271</v>
      </c>
      <c r="E1464" s="15">
        <v>-600</v>
      </c>
      <c r="F1464" s="9">
        <v>9.5000000000000001E-2</v>
      </c>
      <c r="G1464" s="9">
        <v>9.5000000000000001E-2</v>
      </c>
      <c r="H1464" s="15">
        <f t="shared" si="44"/>
        <v>-600</v>
      </c>
    </row>
    <row r="1465" spans="1:8" x14ac:dyDescent="0.25">
      <c r="A1465" s="13">
        <v>45272</v>
      </c>
      <c r="B1465" s="15" t="s">
        <v>21</v>
      </c>
      <c r="C1465" s="3">
        <v>3</v>
      </c>
      <c r="D1465" s="13">
        <f t="shared" si="43"/>
        <v>45275</v>
      </c>
      <c r="E1465" s="15">
        <v>200</v>
      </c>
      <c r="F1465" s="9">
        <v>9.2499999999999999E-2</v>
      </c>
      <c r="G1465" s="9">
        <v>9.2499999999999999E-2</v>
      </c>
      <c r="H1465" s="15">
        <f t="shared" si="44"/>
        <v>2800</v>
      </c>
    </row>
    <row r="1466" spans="1:8" x14ac:dyDescent="0.25">
      <c r="A1466" s="13">
        <v>45272</v>
      </c>
      <c r="B1466" s="15" t="s">
        <v>21</v>
      </c>
      <c r="C1466" s="3">
        <v>8</v>
      </c>
      <c r="D1466" s="13">
        <f t="shared" si="43"/>
        <v>45280</v>
      </c>
      <c r="E1466" s="15">
        <v>2000</v>
      </c>
      <c r="F1466" s="9">
        <v>9.2999999999999999E-2</v>
      </c>
      <c r="G1466" s="9">
        <v>9.2999999999999999E-2</v>
      </c>
      <c r="H1466" s="15">
        <f t="shared" si="44"/>
        <v>2800</v>
      </c>
    </row>
    <row r="1467" spans="1:8" x14ac:dyDescent="0.25">
      <c r="A1467" s="13">
        <v>45272</v>
      </c>
      <c r="B1467" s="15" t="s">
        <v>21</v>
      </c>
      <c r="C1467" s="3">
        <v>10</v>
      </c>
      <c r="D1467" s="13">
        <f t="shared" ref="D1467:D1503" si="45">+A1467+C1467</f>
        <v>45282</v>
      </c>
      <c r="E1467" s="15">
        <v>600</v>
      </c>
      <c r="F1467" s="9">
        <v>9.2999999999999999E-2</v>
      </c>
      <c r="G1467" s="9">
        <v>9.2999999999999999E-2</v>
      </c>
      <c r="H1467" s="15">
        <f t="shared" si="44"/>
        <v>2800</v>
      </c>
    </row>
    <row r="1468" spans="1:8" x14ac:dyDescent="0.25">
      <c r="A1468" s="13">
        <v>45273</v>
      </c>
      <c r="B1468" s="15" t="s">
        <v>21</v>
      </c>
      <c r="C1468" s="3">
        <v>5</v>
      </c>
      <c r="D1468" s="13">
        <f t="shared" si="45"/>
        <v>45278</v>
      </c>
      <c r="E1468" s="15">
        <v>2400</v>
      </c>
      <c r="F1468" s="9">
        <v>9.2499999999999999E-2</v>
      </c>
      <c r="G1468" s="9">
        <v>9.2499999999999999E-2</v>
      </c>
      <c r="H1468" s="15">
        <f t="shared" si="44"/>
        <v>5200</v>
      </c>
    </row>
    <row r="1469" spans="1:8" x14ac:dyDescent="0.25">
      <c r="A1469" s="13">
        <v>45274</v>
      </c>
      <c r="B1469" s="15" t="s">
        <v>21</v>
      </c>
      <c r="C1469" s="3">
        <v>4</v>
      </c>
      <c r="D1469" s="13">
        <f t="shared" si="45"/>
        <v>45278</v>
      </c>
      <c r="E1469" s="15">
        <v>800</v>
      </c>
      <c r="F1469" s="9">
        <v>9.2499999999999999E-2</v>
      </c>
      <c r="G1469" s="9">
        <v>9.2499999999999999E-2</v>
      </c>
      <c r="H1469" s="15">
        <f t="shared" si="44"/>
        <v>6000</v>
      </c>
    </row>
    <row r="1470" spans="1:8" x14ac:dyDescent="0.25">
      <c r="A1470" s="13">
        <v>45275</v>
      </c>
      <c r="B1470" s="15" t="s">
        <v>21</v>
      </c>
      <c r="C1470" s="3">
        <v>4</v>
      </c>
      <c r="D1470" s="13">
        <f t="shared" si="45"/>
        <v>45279</v>
      </c>
      <c r="E1470" s="15">
        <v>600</v>
      </c>
      <c r="F1470" s="9">
        <v>9.1999999999999998E-2</v>
      </c>
      <c r="G1470" s="9">
        <v>9.1999999999999998E-2</v>
      </c>
      <c r="H1470" s="15">
        <f t="shared" si="44"/>
        <v>16000</v>
      </c>
    </row>
    <row r="1471" spans="1:8" x14ac:dyDescent="0.25">
      <c r="A1471" s="13">
        <v>45275</v>
      </c>
      <c r="B1471" s="15" t="s">
        <v>21</v>
      </c>
      <c r="C1471" s="3">
        <v>5</v>
      </c>
      <c r="D1471" s="13">
        <f t="shared" si="45"/>
        <v>45280</v>
      </c>
      <c r="E1471" s="15">
        <v>2000</v>
      </c>
      <c r="F1471" s="9">
        <v>9.2499999999999999E-2</v>
      </c>
      <c r="G1471" s="9">
        <v>9.2499999999999999E-2</v>
      </c>
      <c r="H1471" s="15">
        <f t="shared" si="44"/>
        <v>16000</v>
      </c>
    </row>
    <row r="1472" spans="1:8" x14ac:dyDescent="0.25">
      <c r="A1472" s="13">
        <v>45275</v>
      </c>
      <c r="B1472" s="15" t="s">
        <v>21</v>
      </c>
      <c r="C1472" s="3">
        <v>7</v>
      </c>
      <c r="D1472" s="13">
        <f t="shared" si="45"/>
        <v>45282</v>
      </c>
      <c r="E1472" s="15">
        <v>2200</v>
      </c>
      <c r="F1472" s="9">
        <v>9.2499999999999999E-2</v>
      </c>
      <c r="G1472" s="9">
        <v>9.2499999999999999E-2</v>
      </c>
      <c r="H1472" s="15">
        <f t="shared" si="44"/>
        <v>16000</v>
      </c>
    </row>
    <row r="1473" spans="1:8" x14ac:dyDescent="0.25">
      <c r="A1473" s="13">
        <v>45275</v>
      </c>
      <c r="B1473" s="15" t="s">
        <v>21</v>
      </c>
      <c r="C1473" s="3">
        <v>14</v>
      </c>
      <c r="D1473" s="13">
        <f t="shared" si="45"/>
        <v>45289</v>
      </c>
      <c r="E1473" s="15">
        <v>5400</v>
      </c>
      <c r="F1473" s="9">
        <v>9.2999999999999999E-2</v>
      </c>
      <c r="G1473" s="9">
        <v>9.2999999999999999E-2</v>
      </c>
      <c r="H1473" s="15">
        <f t="shared" si="44"/>
        <v>16000</v>
      </c>
    </row>
    <row r="1474" spans="1:8" x14ac:dyDescent="0.25">
      <c r="A1474" s="13">
        <v>45278</v>
      </c>
      <c r="B1474" s="15" t="s">
        <v>21</v>
      </c>
      <c r="C1474" s="3">
        <v>3</v>
      </c>
      <c r="D1474" s="13">
        <f t="shared" si="45"/>
        <v>45281</v>
      </c>
      <c r="E1474" s="15">
        <v>1100</v>
      </c>
      <c r="F1474" s="9">
        <v>9.1999999999999998E-2</v>
      </c>
      <c r="G1474" s="9">
        <v>9.1999999999999998E-2</v>
      </c>
      <c r="H1474" s="15">
        <f t="shared" si="44"/>
        <v>16700</v>
      </c>
    </row>
    <row r="1475" spans="1:8" x14ac:dyDescent="0.25">
      <c r="A1475" s="13">
        <v>45278</v>
      </c>
      <c r="B1475" s="15" t="s">
        <v>21</v>
      </c>
      <c r="C1475" s="3">
        <v>4</v>
      </c>
      <c r="D1475" s="13">
        <f t="shared" si="45"/>
        <v>45282</v>
      </c>
      <c r="E1475" s="15">
        <v>200</v>
      </c>
      <c r="F1475" s="9">
        <v>9.1999999999999998E-2</v>
      </c>
      <c r="G1475" s="9">
        <v>9.1999999999999998E-2</v>
      </c>
      <c r="H1475" s="15">
        <f t="shared" si="44"/>
        <v>16700</v>
      </c>
    </row>
    <row r="1476" spans="1:8" x14ac:dyDescent="0.25">
      <c r="A1476" s="13">
        <v>45278</v>
      </c>
      <c r="B1476" s="15" t="s">
        <v>21</v>
      </c>
      <c r="C1476" s="3">
        <v>8</v>
      </c>
      <c r="D1476" s="13">
        <f t="shared" si="45"/>
        <v>45286</v>
      </c>
      <c r="E1476" s="15">
        <v>2600</v>
      </c>
      <c r="F1476" s="9">
        <v>9.2499999999999999E-2</v>
      </c>
      <c r="G1476" s="9">
        <v>9.2499999999999999E-2</v>
      </c>
      <c r="H1476" s="15">
        <f t="shared" si="44"/>
        <v>16700</v>
      </c>
    </row>
    <row r="1477" spans="1:8" x14ac:dyDescent="0.25">
      <c r="A1477" s="13">
        <v>45279</v>
      </c>
      <c r="B1477" s="15" t="s">
        <v>21</v>
      </c>
      <c r="C1477" s="3">
        <v>2</v>
      </c>
      <c r="D1477" s="13">
        <f t="shared" si="45"/>
        <v>45281</v>
      </c>
      <c r="E1477" s="15">
        <v>1000</v>
      </c>
      <c r="F1477" s="9">
        <v>9.1999999999999998E-2</v>
      </c>
      <c r="G1477" s="9">
        <v>9.1999999999999998E-2</v>
      </c>
      <c r="H1477" s="15">
        <f t="shared" si="44"/>
        <v>19050</v>
      </c>
    </row>
    <row r="1478" spans="1:8" x14ac:dyDescent="0.25">
      <c r="A1478" s="13">
        <v>45279</v>
      </c>
      <c r="B1478" s="15" t="s">
        <v>21</v>
      </c>
      <c r="C1478" s="3">
        <v>3</v>
      </c>
      <c r="D1478" s="13">
        <f t="shared" si="45"/>
        <v>45282</v>
      </c>
      <c r="E1478" s="15">
        <v>550</v>
      </c>
      <c r="F1478" s="9">
        <v>9.1999999999999998E-2</v>
      </c>
      <c r="G1478" s="9">
        <v>9.1999999999999998E-2</v>
      </c>
      <c r="H1478" s="15">
        <f t="shared" si="44"/>
        <v>19050</v>
      </c>
    </row>
    <row r="1479" spans="1:8" x14ac:dyDescent="0.25">
      <c r="A1479" s="13">
        <v>45279</v>
      </c>
      <c r="B1479" s="15" t="s">
        <v>21</v>
      </c>
      <c r="C1479" s="3">
        <v>10</v>
      </c>
      <c r="D1479" s="13">
        <f t="shared" si="45"/>
        <v>45289</v>
      </c>
      <c r="E1479" s="15">
        <v>1400</v>
      </c>
      <c r="F1479" s="9">
        <v>9.2499999999999999E-2</v>
      </c>
      <c r="G1479" s="9">
        <v>9.2499999999999999E-2</v>
      </c>
      <c r="H1479" s="15">
        <f t="shared" si="44"/>
        <v>19050</v>
      </c>
    </row>
    <row r="1480" spans="1:8" x14ac:dyDescent="0.25">
      <c r="A1480" s="13">
        <v>45280</v>
      </c>
      <c r="B1480" s="15" t="s">
        <v>21</v>
      </c>
      <c r="C1480" s="3">
        <v>6</v>
      </c>
      <c r="D1480" s="13">
        <f t="shared" si="45"/>
        <v>45286</v>
      </c>
      <c r="E1480" s="15">
        <v>500</v>
      </c>
      <c r="F1480" s="9">
        <v>9.1999999999999998E-2</v>
      </c>
      <c r="G1480" s="9">
        <v>9.1999999999999998E-2</v>
      </c>
      <c r="H1480" s="15">
        <f t="shared" si="44"/>
        <v>17000</v>
      </c>
    </row>
    <row r="1481" spans="1:8" x14ac:dyDescent="0.25">
      <c r="A1481" s="13">
        <v>45280</v>
      </c>
      <c r="B1481" s="15" t="s">
        <v>21</v>
      </c>
      <c r="C1481" s="3">
        <v>7</v>
      </c>
      <c r="D1481" s="13">
        <f t="shared" si="45"/>
        <v>45287</v>
      </c>
      <c r="E1481" s="15">
        <v>450</v>
      </c>
      <c r="F1481" s="9">
        <v>9.2499999999999999E-2</v>
      </c>
      <c r="G1481" s="9">
        <v>9.2499999999999999E-2</v>
      </c>
      <c r="H1481" s="15">
        <f t="shared" si="44"/>
        <v>17000</v>
      </c>
    </row>
    <row r="1482" spans="1:8" x14ac:dyDescent="0.25">
      <c r="A1482" s="13">
        <v>45280</v>
      </c>
      <c r="B1482" s="15" t="s">
        <v>21</v>
      </c>
      <c r="C1482" s="3">
        <v>9</v>
      </c>
      <c r="D1482" s="13">
        <f t="shared" si="45"/>
        <v>45289</v>
      </c>
      <c r="E1482" s="15">
        <v>1000</v>
      </c>
      <c r="F1482" s="9">
        <v>9.2499999999999999E-2</v>
      </c>
      <c r="G1482" s="9">
        <v>9.2499999999999999E-2</v>
      </c>
      <c r="H1482" s="15">
        <f t="shared" ref="H1482:H1545" si="46">+SUMIFS($E$10:$E$4503,$A$10:$A$4503,"&lt;="&amp;A1482,$D$10:$D$4503,"&gt;"&amp;A1482)</f>
        <v>17000</v>
      </c>
    </row>
    <row r="1483" spans="1:8" x14ac:dyDescent="0.25">
      <c r="A1483" s="13">
        <v>45281</v>
      </c>
      <c r="B1483" s="15" t="s">
        <v>21</v>
      </c>
      <c r="C1483" s="3">
        <v>5</v>
      </c>
      <c r="D1483" s="13">
        <f t="shared" si="45"/>
        <v>45286</v>
      </c>
      <c r="E1483" s="15">
        <v>3500</v>
      </c>
      <c r="F1483" s="9">
        <v>9.1999999999999998E-2</v>
      </c>
      <c r="G1483" s="9">
        <v>9.1999999999999998E-2</v>
      </c>
      <c r="H1483" s="15">
        <f t="shared" si="46"/>
        <v>22600</v>
      </c>
    </row>
    <row r="1484" spans="1:8" x14ac:dyDescent="0.25">
      <c r="A1484" s="13">
        <v>45281</v>
      </c>
      <c r="B1484" s="15" t="s">
        <v>21</v>
      </c>
      <c r="C1484" s="3">
        <v>7</v>
      </c>
      <c r="D1484" s="13">
        <f t="shared" si="45"/>
        <v>45288</v>
      </c>
      <c r="E1484" s="15">
        <v>200</v>
      </c>
      <c r="F1484" s="9">
        <v>9.1999999999999998E-2</v>
      </c>
      <c r="G1484" s="9">
        <v>9.1999999999999998E-2</v>
      </c>
      <c r="H1484" s="15">
        <f t="shared" si="46"/>
        <v>22600</v>
      </c>
    </row>
    <row r="1485" spans="1:8" x14ac:dyDescent="0.25">
      <c r="A1485" s="13">
        <v>45281</v>
      </c>
      <c r="B1485" s="15" t="s">
        <v>21</v>
      </c>
      <c r="C1485" s="3">
        <v>8</v>
      </c>
      <c r="D1485" s="13">
        <f t="shared" si="45"/>
        <v>45289</v>
      </c>
      <c r="E1485" s="15">
        <v>2800</v>
      </c>
      <c r="F1485" s="9">
        <v>9.2499999999999999E-2</v>
      </c>
      <c r="G1485" s="9">
        <v>9.2499999999999999E-2</v>
      </c>
      <c r="H1485" s="15">
        <f t="shared" si="46"/>
        <v>22600</v>
      </c>
    </row>
    <row r="1486" spans="1:8" x14ac:dyDescent="0.25">
      <c r="A1486" s="13">
        <v>45281</v>
      </c>
      <c r="B1486" s="15" t="s">
        <v>21</v>
      </c>
      <c r="C1486" s="3">
        <v>12</v>
      </c>
      <c r="D1486" s="13">
        <f t="shared" si="45"/>
        <v>45293</v>
      </c>
      <c r="E1486" s="15">
        <v>1200</v>
      </c>
      <c r="F1486" s="9">
        <v>9.2499999999999999E-2</v>
      </c>
      <c r="G1486" s="9">
        <v>9.2499999999999999E-2</v>
      </c>
      <c r="H1486" s="15">
        <f t="shared" si="46"/>
        <v>22600</v>
      </c>
    </row>
    <row r="1487" spans="1:8" x14ac:dyDescent="0.25">
      <c r="A1487" s="13">
        <v>45282</v>
      </c>
      <c r="B1487" s="15" t="s">
        <v>21</v>
      </c>
      <c r="C1487" s="3">
        <v>5</v>
      </c>
      <c r="D1487" s="13">
        <f t="shared" si="45"/>
        <v>45287</v>
      </c>
      <c r="E1487" s="15">
        <v>3500</v>
      </c>
      <c r="F1487" s="9">
        <v>9.0999999999999998E-2</v>
      </c>
      <c r="G1487" s="9">
        <v>9.0999999999999998E-2</v>
      </c>
      <c r="H1487" s="15">
        <f t="shared" si="46"/>
        <v>25550</v>
      </c>
    </row>
    <row r="1488" spans="1:8" x14ac:dyDescent="0.25">
      <c r="A1488" s="13">
        <v>45282</v>
      </c>
      <c r="B1488" s="15" t="s">
        <v>21</v>
      </c>
      <c r="C1488" s="3">
        <v>6</v>
      </c>
      <c r="D1488" s="13">
        <f t="shared" si="45"/>
        <v>45288</v>
      </c>
      <c r="E1488" s="15">
        <v>1200</v>
      </c>
      <c r="F1488" s="9">
        <v>9.1499999999999998E-2</v>
      </c>
      <c r="G1488" s="9">
        <v>9.1499999999999998E-2</v>
      </c>
      <c r="H1488" s="15">
        <f t="shared" si="46"/>
        <v>25550</v>
      </c>
    </row>
    <row r="1489" spans="1:8" x14ac:dyDescent="0.25">
      <c r="A1489" s="13">
        <v>45282</v>
      </c>
      <c r="B1489" s="15" t="s">
        <v>21</v>
      </c>
      <c r="C1489" s="3">
        <v>7</v>
      </c>
      <c r="D1489" s="13">
        <f t="shared" si="45"/>
        <v>45289</v>
      </c>
      <c r="E1489" s="15">
        <v>1200</v>
      </c>
      <c r="F1489" s="9">
        <v>9.1499999999999998E-2</v>
      </c>
      <c r="G1489" s="9">
        <v>9.1499999999999998E-2</v>
      </c>
      <c r="H1489" s="15">
        <f t="shared" si="46"/>
        <v>25550</v>
      </c>
    </row>
    <row r="1490" spans="1:8" x14ac:dyDescent="0.25">
      <c r="A1490" s="13">
        <v>45282</v>
      </c>
      <c r="B1490" s="15" t="s">
        <v>21</v>
      </c>
      <c r="C1490" s="3">
        <v>11</v>
      </c>
      <c r="D1490" s="13">
        <f t="shared" si="45"/>
        <v>45293</v>
      </c>
      <c r="E1490" s="15">
        <v>600</v>
      </c>
      <c r="F1490" s="9">
        <v>9.2499999999999999E-2</v>
      </c>
      <c r="G1490" s="9">
        <v>9.2499999999999999E-2</v>
      </c>
      <c r="H1490" s="15">
        <f t="shared" si="46"/>
        <v>25550</v>
      </c>
    </row>
    <row r="1491" spans="1:8" x14ac:dyDescent="0.25">
      <c r="A1491" s="13">
        <v>45287</v>
      </c>
      <c r="B1491" s="15" t="s">
        <v>21</v>
      </c>
      <c r="C1491" s="3">
        <v>6</v>
      </c>
      <c r="D1491" s="13">
        <f t="shared" si="45"/>
        <v>45293</v>
      </c>
      <c r="E1491" s="15">
        <v>1400</v>
      </c>
      <c r="F1491" s="9">
        <v>9.1499999999999998E-2</v>
      </c>
      <c r="G1491" s="9">
        <v>9.1499999999999998E-2</v>
      </c>
      <c r="H1491" s="15">
        <f t="shared" si="46"/>
        <v>16400</v>
      </c>
    </row>
    <row r="1492" spans="1:8" x14ac:dyDescent="0.25">
      <c r="A1492" s="13">
        <v>45289</v>
      </c>
      <c r="B1492" s="15" t="s">
        <v>21</v>
      </c>
      <c r="C1492" s="3">
        <v>5</v>
      </c>
      <c r="D1492" s="13">
        <f t="shared" si="45"/>
        <v>45294</v>
      </c>
      <c r="E1492" s="15">
        <v>4700</v>
      </c>
      <c r="F1492" s="9">
        <v>0.09</v>
      </c>
      <c r="G1492" s="9">
        <v>0.09</v>
      </c>
      <c r="H1492" s="15">
        <f t="shared" si="46"/>
        <v>7900</v>
      </c>
    </row>
    <row r="1493" spans="1:8" x14ac:dyDescent="0.25">
      <c r="A1493" s="13">
        <v>45294</v>
      </c>
      <c r="B1493" s="15" t="s">
        <v>21</v>
      </c>
      <c r="C1493" s="3">
        <v>2</v>
      </c>
      <c r="D1493" s="13">
        <f t="shared" si="45"/>
        <v>45296</v>
      </c>
      <c r="E1493" s="15">
        <v>500</v>
      </c>
      <c r="F1493" s="9">
        <v>0.09</v>
      </c>
      <c r="G1493" s="9">
        <v>0.09</v>
      </c>
      <c r="H1493" s="15">
        <f t="shared" si="46"/>
        <v>2300</v>
      </c>
    </row>
    <row r="1494" spans="1:8" x14ac:dyDescent="0.25">
      <c r="A1494" s="13">
        <v>45294</v>
      </c>
      <c r="B1494" s="15" t="s">
        <v>21</v>
      </c>
      <c r="C1494" s="3">
        <v>19</v>
      </c>
      <c r="D1494" s="13">
        <f t="shared" si="45"/>
        <v>45313</v>
      </c>
      <c r="E1494" s="15">
        <v>1800</v>
      </c>
      <c r="F1494" s="9">
        <v>0.09</v>
      </c>
      <c r="G1494" s="9">
        <v>0.09</v>
      </c>
      <c r="H1494" s="15">
        <f t="shared" si="46"/>
        <v>2300</v>
      </c>
    </row>
    <row r="1495" spans="1:8" x14ac:dyDescent="0.25">
      <c r="A1495" s="13">
        <v>45295</v>
      </c>
      <c r="B1495" s="15" t="s">
        <v>21</v>
      </c>
      <c r="C1495" s="3">
        <v>4</v>
      </c>
      <c r="D1495" s="13">
        <f t="shared" si="45"/>
        <v>45299</v>
      </c>
      <c r="E1495" s="15">
        <v>2800</v>
      </c>
      <c r="F1495" s="9">
        <v>0.09</v>
      </c>
      <c r="G1495" s="9">
        <v>0.09</v>
      </c>
      <c r="H1495" s="15">
        <f t="shared" si="46"/>
        <v>6300</v>
      </c>
    </row>
    <row r="1496" spans="1:8" x14ac:dyDescent="0.25">
      <c r="A1496" s="13">
        <v>45295</v>
      </c>
      <c r="B1496" s="15" t="s">
        <v>21</v>
      </c>
      <c r="C1496" s="3">
        <v>6</v>
      </c>
      <c r="D1496" s="13">
        <f t="shared" si="45"/>
        <v>45301</v>
      </c>
      <c r="E1496" s="15">
        <v>200</v>
      </c>
      <c r="F1496" s="9">
        <v>0.09</v>
      </c>
      <c r="G1496" s="9">
        <v>0.09</v>
      </c>
      <c r="H1496" s="15">
        <f t="shared" si="46"/>
        <v>6300</v>
      </c>
    </row>
    <row r="1497" spans="1:8" x14ac:dyDescent="0.25">
      <c r="A1497" s="13">
        <v>45295</v>
      </c>
      <c r="B1497" s="15" t="s">
        <v>21</v>
      </c>
      <c r="C1497" s="3">
        <v>27</v>
      </c>
      <c r="D1497" s="13">
        <f t="shared" si="45"/>
        <v>45322</v>
      </c>
      <c r="E1497" s="15">
        <v>1000</v>
      </c>
      <c r="F1497" s="9">
        <v>9.0999999999999998E-2</v>
      </c>
      <c r="G1497" s="9">
        <v>9.0999999999999998E-2</v>
      </c>
      <c r="H1497" s="15">
        <f t="shared" si="46"/>
        <v>6300</v>
      </c>
    </row>
    <row r="1498" spans="1:8" x14ac:dyDescent="0.25">
      <c r="A1498" s="13">
        <v>45296</v>
      </c>
      <c r="B1498" s="15" t="s">
        <v>21</v>
      </c>
      <c r="C1498" s="3">
        <v>5</v>
      </c>
      <c r="D1498" s="13">
        <f t="shared" si="45"/>
        <v>45301</v>
      </c>
      <c r="E1498" s="15">
        <v>400</v>
      </c>
      <c r="F1498" s="9">
        <v>0.09</v>
      </c>
      <c r="G1498" s="9">
        <v>0.09</v>
      </c>
      <c r="H1498" s="15">
        <f t="shared" si="46"/>
        <v>6600</v>
      </c>
    </row>
    <row r="1499" spans="1:8" x14ac:dyDescent="0.25">
      <c r="A1499" s="13">
        <v>45296</v>
      </c>
      <c r="B1499" s="15" t="s">
        <v>21</v>
      </c>
      <c r="C1499" s="3">
        <v>19</v>
      </c>
      <c r="D1499" s="13">
        <f t="shared" si="45"/>
        <v>45315</v>
      </c>
      <c r="E1499" s="15">
        <v>400</v>
      </c>
      <c r="F1499" s="9">
        <v>0.09</v>
      </c>
      <c r="G1499" s="9">
        <v>0.09</v>
      </c>
      <c r="H1499" s="15">
        <f t="shared" si="46"/>
        <v>6600</v>
      </c>
    </row>
    <row r="1500" spans="1:8" x14ac:dyDescent="0.25">
      <c r="A1500" s="13">
        <v>45299</v>
      </c>
      <c r="B1500" s="15" t="s">
        <v>21</v>
      </c>
      <c r="C1500" s="3">
        <v>2</v>
      </c>
      <c r="D1500" s="13">
        <f t="shared" si="45"/>
        <v>45301</v>
      </c>
      <c r="E1500" s="15">
        <v>2000</v>
      </c>
      <c r="F1500" s="9">
        <v>0.09</v>
      </c>
      <c r="G1500" s="9">
        <v>0.09</v>
      </c>
      <c r="H1500" s="15">
        <f t="shared" si="46"/>
        <v>6200</v>
      </c>
    </row>
    <row r="1501" spans="1:8" x14ac:dyDescent="0.25">
      <c r="A1501" s="13">
        <v>45299</v>
      </c>
      <c r="B1501" s="15" t="s">
        <v>21</v>
      </c>
      <c r="C1501" s="3">
        <v>7</v>
      </c>
      <c r="D1501" s="13">
        <f t="shared" si="45"/>
        <v>45306</v>
      </c>
      <c r="E1501" s="15">
        <v>400</v>
      </c>
      <c r="F1501" s="9">
        <v>0.09</v>
      </c>
      <c r="G1501" s="9">
        <v>0.09</v>
      </c>
      <c r="H1501" s="15">
        <f t="shared" si="46"/>
        <v>6200</v>
      </c>
    </row>
    <row r="1502" spans="1:8" x14ac:dyDescent="0.25">
      <c r="A1502" s="13">
        <v>45300</v>
      </c>
      <c r="B1502" s="15" t="s">
        <v>21</v>
      </c>
      <c r="C1502" s="3">
        <v>2</v>
      </c>
      <c r="D1502" s="13">
        <f t="shared" si="45"/>
        <v>45302</v>
      </c>
      <c r="E1502" s="15">
        <v>1800</v>
      </c>
      <c r="F1502" s="9">
        <v>0.09</v>
      </c>
      <c r="G1502" s="9">
        <v>0.09</v>
      </c>
      <c r="H1502" s="15">
        <f t="shared" si="46"/>
        <v>10100</v>
      </c>
    </row>
    <row r="1503" spans="1:8" x14ac:dyDescent="0.25">
      <c r="A1503" s="13">
        <v>45300</v>
      </c>
      <c r="B1503" s="15" t="s">
        <v>21</v>
      </c>
      <c r="C1503" s="3">
        <v>3</v>
      </c>
      <c r="D1503" s="13">
        <f t="shared" si="45"/>
        <v>45303</v>
      </c>
      <c r="E1503" s="15">
        <v>500</v>
      </c>
      <c r="F1503" s="9">
        <v>0.09</v>
      </c>
      <c r="G1503" s="9">
        <v>0.09</v>
      </c>
      <c r="H1503" s="15">
        <f t="shared" si="46"/>
        <v>10100</v>
      </c>
    </row>
    <row r="1504" spans="1:8" x14ac:dyDescent="0.25">
      <c r="A1504" s="13">
        <v>45300</v>
      </c>
      <c r="B1504" s="15" t="s">
        <v>21</v>
      </c>
      <c r="C1504" s="3">
        <v>7</v>
      </c>
      <c r="D1504" s="13">
        <f t="shared" ref="D1504:D1580" si="47">+A1504+C1504</f>
        <v>45307</v>
      </c>
      <c r="E1504" s="15">
        <v>1600</v>
      </c>
      <c r="F1504" s="9">
        <v>0.09</v>
      </c>
      <c r="G1504" s="9">
        <v>0.09</v>
      </c>
      <c r="H1504" s="15">
        <f t="shared" si="46"/>
        <v>10100</v>
      </c>
    </row>
    <row r="1505" spans="1:8" x14ac:dyDescent="0.25">
      <c r="A1505" s="13">
        <v>45301</v>
      </c>
      <c r="B1505" s="15" t="s">
        <v>21</v>
      </c>
      <c r="C1505" s="3">
        <v>5</v>
      </c>
      <c r="D1505" s="13">
        <f t="shared" si="47"/>
        <v>45306</v>
      </c>
      <c r="E1505" s="15">
        <v>2000</v>
      </c>
      <c r="F1505" s="9">
        <v>0.09</v>
      </c>
      <c r="G1505" s="9">
        <v>0.09</v>
      </c>
      <c r="H1505" s="15">
        <f t="shared" si="46"/>
        <v>9500</v>
      </c>
    </row>
    <row r="1506" spans="1:8" x14ac:dyDescent="0.25">
      <c r="A1506" s="13">
        <v>45302</v>
      </c>
      <c r="B1506" s="15" t="s">
        <v>21</v>
      </c>
      <c r="C1506" s="3">
        <v>4</v>
      </c>
      <c r="D1506" s="13">
        <f t="shared" si="47"/>
        <v>45306</v>
      </c>
      <c r="E1506" s="15">
        <v>1000</v>
      </c>
      <c r="F1506" s="9">
        <v>0.09</v>
      </c>
      <c r="G1506" s="9">
        <v>0.09</v>
      </c>
      <c r="H1506" s="15">
        <f t="shared" si="46"/>
        <v>8700</v>
      </c>
    </row>
    <row r="1507" spans="1:8" x14ac:dyDescent="0.25">
      <c r="A1507" s="13">
        <v>45306</v>
      </c>
      <c r="B1507" s="15" t="s">
        <v>21</v>
      </c>
      <c r="C1507" s="3">
        <v>9</v>
      </c>
      <c r="D1507" s="13">
        <f t="shared" si="47"/>
        <v>45315</v>
      </c>
      <c r="E1507" s="15">
        <v>1000</v>
      </c>
      <c r="F1507" s="9">
        <v>0.09</v>
      </c>
      <c r="G1507" s="9">
        <v>0.09</v>
      </c>
      <c r="H1507" s="15">
        <f t="shared" si="46"/>
        <v>5800</v>
      </c>
    </row>
    <row r="1508" spans="1:8" x14ac:dyDescent="0.25">
      <c r="A1508" s="13">
        <v>45308</v>
      </c>
      <c r="B1508" s="15" t="s">
        <v>21</v>
      </c>
      <c r="C1508" s="3">
        <v>5</v>
      </c>
      <c r="D1508" s="13">
        <f t="shared" si="47"/>
        <v>45313</v>
      </c>
      <c r="E1508" s="15">
        <v>500</v>
      </c>
      <c r="F1508" s="9">
        <v>0.09</v>
      </c>
      <c r="G1508" s="9">
        <v>0.09</v>
      </c>
      <c r="H1508" s="15">
        <f t="shared" si="46"/>
        <v>5100</v>
      </c>
    </row>
    <row r="1509" spans="1:8" x14ac:dyDescent="0.25">
      <c r="A1509" s="13">
        <v>45308</v>
      </c>
      <c r="B1509" s="15" t="s">
        <v>21</v>
      </c>
      <c r="C1509" s="3">
        <v>6</v>
      </c>
      <c r="D1509" s="13">
        <f t="shared" si="47"/>
        <v>45314</v>
      </c>
      <c r="E1509" s="15">
        <v>400</v>
      </c>
      <c r="F1509" s="9">
        <v>0.09</v>
      </c>
      <c r="G1509" s="9">
        <v>0.09</v>
      </c>
      <c r="H1509" s="15">
        <f t="shared" si="46"/>
        <v>5100</v>
      </c>
    </row>
    <row r="1510" spans="1:8" x14ac:dyDescent="0.25">
      <c r="A1510" s="13">
        <v>45309</v>
      </c>
      <c r="B1510" s="15" t="s">
        <v>21</v>
      </c>
      <c r="C1510" s="3">
        <v>4</v>
      </c>
      <c r="D1510" s="13">
        <f t="shared" si="47"/>
        <v>45313</v>
      </c>
      <c r="E1510" s="15">
        <v>800</v>
      </c>
      <c r="F1510" s="9">
        <v>0.09</v>
      </c>
      <c r="G1510" s="9">
        <v>0.09</v>
      </c>
      <c r="H1510" s="15">
        <f t="shared" si="46"/>
        <v>10400</v>
      </c>
    </row>
    <row r="1511" spans="1:8" x14ac:dyDescent="0.25">
      <c r="A1511" s="13">
        <v>45309</v>
      </c>
      <c r="B1511" s="15" t="s">
        <v>21</v>
      </c>
      <c r="C1511" s="3">
        <v>5</v>
      </c>
      <c r="D1511" s="13">
        <f t="shared" si="47"/>
        <v>45314</v>
      </c>
      <c r="E1511" s="15">
        <v>3500</v>
      </c>
      <c r="F1511" s="9">
        <v>0.09</v>
      </c>
      <c r="G1511" s="9">
        <v>0.09</v>
      </c>
      <c r="H1511" s="15">
        <f t="shared" si="46"/>
        <v>10400</v>
      </c>
    </row>
    <row r="1512" spans="1:8" x14ac:dyDescent="0.25">
      <c r="A1512" s="13">
        <v>45309</v>
      </c>
      <c r="B1512" s="15" t="s">
        <v>21</v>
      </c>
      <c r="C1512" s="3">
        <v>6</v>
      </c>
      <c r="D1512" s="13">
        <f t="shared" si="47"/>
        <v>45315</v>
      </c>
      <c r="E1512" s="15">
        <v>1000</v>
      </c>
      <c r="F1512" s="9">
        <v>0.09</v>
      </c>
      <c r="G1512" s="9">
        <v>0.09</v>
      </c>
      <c r="H1512" s="15">
        <f t="shared" si="46"/>
        <v>10400</v>
      </c>
    </row>
    <row r="1513" spans="1:8" x14ac:dyDescent="0.25">
      <c r="A1513" s="13">
        <v>45310</v>
      </c>
      <c r="B1513" s="15" t="s">
        <v>21</v>
      </c>
      <c r="C1513" s="3">
        <v>5</v>
      </c>
      <c r="D1513" s="13">
        <f t="shared" si="47"/>
        <v>45315</v>
      </c>
      <c r="E1513" s="15">
        <v>2000</v>
      </c>
      <c r="F1513" s="9">
        <v>0.09</v>
      </c>
      <c r="G1513" s="9">
        <v>0.09</v>
      </c>
      <c r="H1513" s="15">
        <f t="shared" si="46"/>
        <v>12400</v>
      </c>
    </row>
    <row r="1514" spans="1:8" x14ac:dyDescent="0.25">
      <c r="A1514" s="13">
        <v>45314</v>
      </c>
      <c r="B1514" s="15" t="s">
        <v>21</v>
      </c>
      <c r="C1514" s="3">
        <v>3</v>
      </c>
      <c r="D1514" s="13">
        <f t="shared" si="47"/>
        <v>45317</v>
      </c>
      <c r="E1514" s="15">
        <v>400</v>
      </c>
      <c r="F1514" s="9">
        <v>8.9499999999999996E-2</v>
      </c>
      <c r="G1514" s="9">
        <v>8.9499999999999996E-2</v>
      </c>
      <c r="H1514" s="15">
        <f t="shared" si="46"/>
        <v>5800</v>
      </c>
    </row>
    <row r="1515" spans="1:8" x14ac:dyDescent="0.25">
      <c r="A1515" s="13">
        <v>45317</v>
      </c>
      <c r="B1515" s="15" t="s">
        <v>21</v>
      </c>
      <c r="C1515" s="3">
        <v>4</v>
      </c>
      <c r="D1515" s="13">
        <f t="shared" si="47"/>
        <v>45321</v>
      </c>
      <c r="E1515" s="15">
        <v>-2400</v>
      </c>
      <c r="F1515" s="9">
        <v>9.2999999999999999E-2</v>
      </c>
      <c r="G1515" s="9">
        <v>9.2999999999999999E-2</v>
      </c>
      <c r="H1515" s="15">
        <f t="shared" si="46"/>
        <v>-1400</v>
      </c>
    </row>
    <row r="1516" spans="1:8" x14ac:dyDescent="0.25">
      <c r="A1516" s="13">
        <v>45321</v>
      </c>
      <c r="B1516" s="15" t="s">
        <v>21</v>
      </c>
      <c r="C1516" s="3">
        <v>2</v>
      </c>
      <c r="D1516" s="13">
        <f t="shared" si="47"/>
        <v>45323</v>
      </c>
      <c r="E1516" s="15">
        <v>-500</v>
      </c>
      <c r="F1516" s="9">
        <v>9.0999999999999998E-2</v>
      </c>
      <c r="G1516" s="9">
        <v>9.0999999999999998E-2</v>
      </c>
      <c r="H1516" s="15">
        <f t="shared" si="46"/>
        <v>500</v>
      </c>
    </row>
    <row r="1517" spans="1:8" x14ac:dyDescent="0.25">
      <c r="A1517" s="13">
        <v>45322</v>
      </c>
      <c r="B1517" s="15" t="s">
        <v>21</v>
      </c>
      <c r="C1517" s="3">
        <v>2</v>
      </c>
      <c r="D1517" s="13">
        <f t="shared" si="47"/>
        <v>45324</v>
      </c>
      <c r="E1517" s="15">
        <v>-1000</v>
      </c>
      <c r="F1517" s="9">
        <v>9.0999999999999998E-2</v>
      </c>
      <c r="G1517" s="9">
        <v>9.0999999999999998E-2</v>
      </c>
      <c r="H1517" s="15">
        <f t="shared" si="46"/>
        <v>-1500</v>
      </c>
    </row>
    <row r="1518" spans="1:8" x14ac:dyDescent="0.25">
      <c r="A1518" s="13">
        <v>45323</v>
      </c>
      <c r="B1518" s="15" t="s">
        <v>21</v>
      </c>
      <c r="C1518" s="3">
        <v>1</v>
      </c>
      <c r="D1518" s="13">
        <f t="shared" si="47"/>
        <v>45324</v>
      </c>
      <c r="E1518" s="15">
        <v>-600</v>
      </c>
      <c r="F1518" s="9">
        <v>9.2999999999999999E-2</v>
      </c>
      <c r="G1518" s="9">
        <v>9.5000000000000001E-2</v>
      </c>
      <c r="H1518" s="15">
        <f t="shared" si="46"/>
        <v>-2800</v>
      </c>
    </row>
    <row r="1519" spans="1:8" x14ac:dyDescent="0.25">
      <c r="A1519" s="13">
        <v>45323</v>
      </c>
      <c r="B1519" s="15" t="s">
        <v>21</v>
      </c>
      <c r="C1519" s="3">
        <v>4</v>
      </c>
      <c r="D1519" s="13">
        <f t="shared" si="47"/>
        <v>45327</v>
      </c>
      <c r="E1519" s="15">
        <v>-1200</v>
      </c>
      <c r="F1519" s="9">
        <v>9.35E-2</v>
      </c>
      <c r="G1519" s="9">
        <v>9.5500000000000002E-2</v>
      </c>
      <c r="H1519" s="15">
        <f t="shared" si="46"/>
        <v>-2800</v>
      </c>
    </row>
    <row r="1520" spans="1:8" x14ac:dyDescent="0.25">
      <c r="A1520" s="13">
        <v>45329</v>
      </c>
      <c r="B1520" s="15" t="s">
        <v>21</v>
      </c>
      <c r="C1520" s="3">
        <v>7</v>
      </c>
      <c r="D1520" s="13">
        <f t="shared" si="47"/>
        <v>45336</v>
      </c>
      <c r="E1520" s="15">
        <v>2500</v>
      </c>
      <c r="F1520" s="9">
        <v>0.09</v>
      </c>
      <c r="G1520" s="9">
        <v>0.09</v>
      </c>
      <c r="H1520" s="15">
        <f t="shared" si="46"/>
        <v>2500</v>
      </c>
    </row>
    <row r="1521" spans="1:8" x14ac:dyDescent="0.25">
      <c r="A1521" s="13">
        <v>45330</v>
      </c>
      <c r="B1521" s="15" t="s">
        <v>21</v>
      </c>
      <c r="C1521" s="3">
        <v>6</v>
      </c>
      <c r="D1521" s="13">
        <f t="shared" si="47"/>
        <v>45336</v>
      </c>
      <c r="E1521" s="15">
        <v>3000</v>
      </c>
      <c r="F1521" s="9">
        <v>0.09</v>
      </c>
      <c r="G1521" s="9">
        <v>0.09</v>
      </c>
      <c r="H1521" s="15">
        <f t="shared" si="46"/>
        <v>5500</v>
      </c>
    </row>
    <row r="1522" spans="1:8" x14ac:dyDescent="0.25">
      <c r="A1522" s="13">
        <v>45336</v>
      </c>
      <c r="B1522" s="15" t="s">
        <v>21</v>
      </c>
      <c r="C1522" s="3">
        <v>5</v>
      </c>
      <c r="D1522" s="13">
        <f t="shared" si="47"/>
        <v>45341</v>
      </c>
      <c r="E1522" s="15">
        <v>3400</v>
      </c>
      <c r="F1522" s="9">
        <v>0.09</v>
      </c>
      <c r="G1522" s="9">
        <v>0.09</v>
      </c>
      <c r="H1522" s="15">
        <f t="shared" si="46"/>
        <v>3400</v>
      </c>
    </row>
    <row r="1523" spans="1:8" x14ac:dyDescent="0.25">
      <c r="A1523" s="13">
        <v>45337</v>
      </c>
      <c r="B1523" s="15" t="s">
        <v>21</v>
      </c>
      <c r="C1523" s="3">
        <v>4</v>
      </c>
      <c r="D1523" s="13">
        <f t="shared" si="47"/>
        <v>45341</v>
      </c>
      <c r="E1523" s="15">
        <v>2900</v>
      </c>
      <c r="F1523" s="9">
        <v>0.09</v>
      </c>
      <c r="G1523" s="9">
        <v>0.09</v>
      </c>
      <c r="H1523" s="15">
        <f t="shared" si="46"/>
        <v>6300</v>
      </c>
    </row>
    <row r="1524" spans="1:8" x14ac:dyDescent="0.25">
      <c r="A1524" s="13">
        <v>45338</v>
      </c>
      <c r="B1524" s="15" t="s">
        <v>21</v>
      </c>
      <c r="C1524" s="3">
        <v>5</v>
      </c>
      <c r="D1524" s="13">
        <f t="shared" si="47"/>
        <v>45343</v>
      </c>
      <c r="E1524" s="15">
        <v>2200</v>
      </c>
      <c r="F1524" s="9">
        <v>0.09</v>
      </c>
      <c r="G1524" s="9">
        <v>0.09</v>
      </c>
      <c r="H1524" s="15">
        <f t="shared" si="46"/>
        <v>12600</v>
      </c>
    </row>
    <row r="1525" spans="1:8" x14ac:dyDescent="0.25">
      <c r="A1525" s="13">
        <v>45338</v>
      </c>
      <c r="B1525" s="15" t="s">
        <v>21</v>
      </c>
      <c r="C1525" s="3">
        <v>7</v>
      </c>
      <c r="D1525" s="13">
        <f t="shared" si="47"/>
        <v>45345</v>
      </c>
      <c r="E1525" s="15">
        <v>1400</v>
      </c>
      <c r="F1525" s="9">
        <v>0.09</v>
      </c>
      <c r="G1525" s="9">
        <v>0.09</v>
      </c>
      <c r="H1525" s="15">
        <f t="shared" si="46"/>
        <v>12600</v>
      </c>
    </row>
    <row r="1526" spans="1:8" x14ac:dyDescent="0.25">
      <c r="A1526" s="13">
        <v>45338</v>
      </c>
      <c r="B1526" s="15" t="s">
        <v>21</v>
      </c>
      <c r="C1526" s="3">
        <v>10</v>
      </c>
      <c r="D1526" s="13">
        <f t="shared" si="47"/>
        <v>45348</v>
      </c>
      <c r="E1526" s="15">
        <v>2700</v>
      </c>
      <c r="F1526" s="9">
        <v>0.09</v>
      </c>
      <c r="G1526" s="9">
        <v>0.09</v>
      </c>
      <c r="H1526" s="15">
        <f t="shared" si="46"/>
        <v>12600</v>
      </c>
    </row>
    <row r="1527" spans="1:8" x14ac:dyDescent="0.25">
      <c r="A1527" s="13">
        <v>45341</v>
      </c>
      <c r="B1527" s="15" t="s">
        <v>21</v>
      </c>
      <c r="C1527" s="3">
        <v>4</v>
      </c>
      <c r="D1527" s="13">
        <f t="shared" si="47"/>
        <v>45345</v>
      </c>
      <c r="E1527" s="15">
        <v>1600</v>
      </c>
      <c r="F1527" s="9">
        <v>0.09</v>
      </c>
      <c r="G1527" s="9">
        <v>0.09</v>
      </c>
      <c r="H1527" s="15">
        <f t="shared" si="46"/>
        <v>9900</v>
      </c>
    </row>
    <row r="1528" spans="1:8" x14ac:dyDescent="0.25">
      <c r="A1528" s="13">
        <v>45341</v>
      </c>
      <c r="B1528" s="15" t="s">
        <v>21</v>
      </c>
      <c r="C1528" s="3">
        <v>7</v>
      </c>
      <c r="D1528" s="13">
        <f t="shared" si="47"/>
        <v>45348</v>
      </c>
      <c r="E1528" s="15">
        <v>2000</v>
      </c>
      <c r="F1528" s="9">
        <v>0.09</v>
      </c>
      <c r="G1528" s="9">
        <v>0.09</v>
      </c>
      <c r="H1528" s="15">
        <f t="shared" si="46"/>
        <v>9900</v>
      </c>
    </row>
    <row r="1529" spans="1:8" x14ac:dyDescent="0.25">
      <c r="A1529" s="13">
        <v>45342</v>
      </c>
      <c r="B1529" s="15" t="s">
        <v>21</v>
      </c>
      <c r="C1529" s="3">
        <v>6</v>
      </c>
      <c r="D1529" s="13">
        <f t="shared" si="47"/>
        <v>45348</v>
      </c>
      <c r="E1529" s="15">
        <v>4400</v>
      </c>
      <c r="F1529" s="9">
        <v>0.09</v>
      </c>
      <c r="G1529" s="9">
        <v>0.09</v>
      </c>
      <c r="H1529" s="15">
        <f t="shared" si="46"/>
        <v>15700</v>
      </c>
    </row>
    <row r="1530" spans="1:8" x14ac:dyDescent="0.25">
      <c r="A1530" s="13">
        <v>45342</v>
      </c>
      <c r="B1530" s="15" t="s">
        <v>21</v>
      </c>
      <c r="C1530" s="3">
        <v>9</v>
      </c>
      <c r="D1530" s="13">
        <f t="shared" si="47"/>
        <v>45351</v>
      </c>
      <c r="E1530" s="15">
        <v>1400</v>
      </c>
      <c r="F1530" s="9">
        <v>0.09</v>
      </c>
      <c r="G1530" s="9">
        <v>0.09</v>
      </c>
      <c r="H1530" s="15">
        <f t="shared" si="46"/>
        <v>15700</v>
      </c>
    </row>
    <row r="1531" spans="1:8" x14ac:dyDescent="0.25">
      <c r="A1531" s="13">
        <v>45343</v>
      </c>
      <c r="B1531" s="15" t="s">
        <v>21</v>
      </c>
      <c r="C1531" s="3">
        <v>5</v>
      </c>
      <c r="D1531" s="13">
        <f t="shared" si="47"/>
        <v>45348</v>
      </c>
      <c r="E1531" s="15">
        <v>4300</v>
      </c>
      <c r="F1531" s="9">
        <v>0.09</v>
      </c>
      <c r="G1531" s="9">
        <v>0.09</v>
      </c>
      <c r="H1531" s="15">
        <f t="shared" si="46"/>
        <v>18300</v>
      </c>
    </row>
    <row r="1532" spans="1:8" x14ac:dyDescent="0.25">
      <c r="A1532" s="13">
        <v>45343</v>
      </c>
      <c r="B1532" s="15" t="s">
        <v>21</v>
      </c>
      <c r="C1532" s="3">
        <v>6</v>
      </c>
      <c r="D1532" s="13">
        <f t="shared" si="47"/>
        <v>45349</v>
      </c>
      <c r="E1532" s="15">
        <v>200</v>
      </c>
      <c r="F1532" s="9">
        <v>0.09</v>
      </c>
      <c r="G1532" s="9">
        <v>0.09</v>
      </c>
      <c r="H1532" s="15">
        <f t="shared" si="46"/>
        <v>18300</v>
      </c>
    </row>
    <row r="1533" spans="1:8" x14ac:dyDescent="0.25">
      <c r="A1533" s="13">
        <v>45343</v>
      </c>
      <c r="B1533" s="15" t="s">
        <v>21</v>
      </c>
      <c r="C1533" s="3">
        <v>7</v>
      </c>
      <c r="D1533" s="13">
        <f t="shared" si="47"/>
        <v>45350</v>
      </c>
      <c r="E1533" s="15">
        <v>300</v>
      </c>
      <c r="F1533" s="9">
        <v>0.09</v>
      </c>
      <c r="G1533" s="9">
        <v>0.09</v>
      </c>
      <c r="H1533" s="15">
        <f t="shared" si="46"/>
        <v>18300</v>
      </c>
    </row>
    <row r="1534" spans="1:8" x14ac:dyDescent="0.25">
      <c r="A1534" s="13">
        <v>45344</v>
      </c>
      <c r="B1534" s="15" t="s">
        <v>21</v>
      </c>
      <c r="C1534" s="3">
        <v>4</v>
      </c>
      <c r="D1534" s="13">
        <f t="shared" si="47"/>
        <v>45348</v>
      </c>
      <c r="E1534" s="15">
        <v>1000</v>
      </c>
      <c r="F1534" s="9">
        <v>0.09</v>
      </c>
      <c r="G1534" s="9">
        <v>0.09</v>
      </c>
      <c r="H1534" s="15">
        <f t="shared" si="46"/>
        <v>19300</v>
      </c>
    </row>
    <row r="1535" spans="1:8" x14ac:dyDescent="0.25">
      <c r="A1535" s="13">
        <v>45345</v>
      </c>
      <c r="B1535" s="15" t="s">
        <v>21</v>
      </c>
      <c r="C1535" s="3">
        <v>6</v>
      </c>
      <c r="D1535" s="13">
        <f t="shared" si="47"/>
        <v>45351</v>
      </c>
      <c r="E1535" s="15">
        <v>5000</v>
      </c>
      <c r="F1535" s="9">
        <v>0.09</v>
      </c>
      <c r="G1535" s="9">
        <v>0.09</v>
      </c>
      <c r="H1535" s="15">
        <f t="shared" si="46"/>
        <v>21300</v>
      </c>
    </row>
    <row r="1536" spans="1:8" x14ac:dyDescent="0.25">
      <c r="A1536" s="13">
        <v>45348</v>
      </c>
      <c r="B1536" s="15" t="s">
        <v>21</v>
      </c>
      <c r="C1536" s="3">
        <v>1</v>
      </c>
      <c r="D1536" s="13">
        <f t="shared" si="47"/>
        <v>45349</v>
      </c>
      <c r="E1536" s="15">
        <v>-1000</v>
      </c>
      <c r="F1536" s="9">
        <v>9.2999999999999999E-2</v>
      </c>
      <c r="G1536" s="9">
        <v>9.2999999999999999E-2</v>
      </c>
      <c r="H1536" s="15">
        <f t="shared" si="46"/>
        <v>6500</v>
      </c>
    </row>
    <row r="1537" spans="1:8" x14ac:dyDescent="0.25">
      <c r="A1537" s="13">
        <v>45348</v>
      </c>
      <c r="B1537" s="15" t="s">
        <v>21</v>
      </c>
      <c r="C1537" s="3">
        <v>2</v>
      </c>
      <c r="D1537" s="13">
        <f t="shared" si="47"/>
        <v>45350</v>
      </c>
      <c r="E1537" s="15">
        <v>600</v>
      </c>
      <c r="F1537" s="9">
        <v>0.09</v>
      </c>
      <c r="G1537" s="9">
        <v>0.09</v>
      </c>
      <c r="H1537" s="15">
        <f t="shared" si="46"/>
        <v>6500</v>
      </c>
    </row>
    <row r="1538" spans="1:8" x14ac:dyDescent="0.25">
      <c r="A1538" s="13">
        <v>45349</v>
      </c>
      <c r="B1538" s="15" t="s">
        <v>21</v>
      </c>
      <c r="C1538" s="3">
        <v>2</v>
      </c>
      <c r="D1538" s="13">
        <f t="shared" si="47"/>
        <v>45351</v>
      </c>
      <c r="E1538" s="15">
        <v>400</v>
      </c>
      <c r="F1538" s="9">
        <v>8.8999999999999996E-2</v>
      </c>
      <c r="G1538" s="9">
        <v>8.8999999999999996E-2</v>
      </c>
      <c r="H1538" s="15">
        <f t="shared" si="46"/>
        <v>8100</v>
      </c>
    </row>
    <row r="1539" spans="1:8" x14ac:dyDescent="0.25">
      <c r="A1539" s="13">
        <v>45349</v>
      </c>
      <c r="B1539" s="15" t="s">
        <v>21</v>
      </c>
      <c r="C1539" s="3">
        <v>3</v>
      </c>
      <c r="D1539" s="13">
        <f t="shared" si="47"/>
        <v>45352</v>
      </c>
      <c r="E1539" s="15">
        <v>400</v>
      </c>
      <c r="F1539" s="9">
        <v>8.8999999999999996E-2</v>
      </c>
      <c r="G1539" s="9">
        <v>8.8999999999999996E-2</v>
      </c>
      <c r="H1539" s="15">
        <f t="shared" si="46"/>
        <v>8100</v>
      </c>
    </row>
    <row r="1540" spans="1:8" x14ac:dyDescent="0.25">
      <c r="A1540" s="13">
        <v>45350</v>
      </c>
      <c r="B1540" s="15" t="s">
        <v>21</v>
      </c>
      <c r="C1540" s="3">
        <v>1</v>
      </c>
      <c r="D1540" s="13">
        <f t="shared" si="47"/>
        <v>45351</v>
      </c>
      <c r="E1540" s="15">
        <v>100</v>
      </c>
      <c r="F1540" s="9">
        <v>0.09</v>
      </c>
      <c r="G1540" s="9">
        <v>0.09</v>
      </c>
      <c r="H1540" s="15">
        <f t="shared" si="46"/>
        <v>8700</v>
      </c>
    </row>
    <row r="1541" spans="1:8" x14ac:dyDescent="0.25">
      <c r="A1541" s="13">
        <v>45350</v>
      </c>
      <c r="B1541" s="15" t="s">
        <v>21</v>
      </c>
      <c r="C1541" s="3">
        <v>2</v>
      </c>
      <c r="D1541" s="13">
        <f t="shared" si="47"/>
        <v>45352</v>
      </c>
      <c r="E1541" s="15">
        <v>1400</v>
      </c>
      <c r="F1541" s="9">
        <v>0.09</v>
      </c>
      <c r="G1541" s="9">
        <v>0.09</v>
      </c>
      <c r="H1541" s="15">
        <f t="shared" si="46"/>
        <v>8700</v>
      </c>
    </row>
    <row r="1542" spans="1:8" x14ac:dyDescent="0.25">
      <c r="A1542" s="13">
        <v>45351</v>
      </c>
      <c r="B1542" s="15" t="s">
        <v>21</v>
      </c>
      <c r="C1542" s="3">
        <v>1</v>
      </c>
      <c r="D1542" s="13">
        <f t="shared" si="47"/>
        <v>45352</v>
      </c>
      <c r="E1542" s="15">
        <v>9000</v>
      </c>
      <c r="F1542" s="9">
        <v>0.09</v>
      </c>
      <c r="G1542" s="9">
        <v>0.09</v>
      </c>
      <c r="H1542" s="15">
        <f t="shared" si="46"/>
        <v>10800</v>
      </c>
    </row>
    <row r="1543" spans="1:8" x14ac:dyDescent="0.25">
      <c r="A1543" s="13">
        <v>45355</v>
      </c>
      <c r="B1543" s="15" t="s">
        <v>21</v>
      </c>
      <c r="C1543" s="3">
        <v>2</v>
      </c>
      <c r="D1543" s="13">
        <f t="shared" si="47"/>
        <v>45357</v>
      </c>
      <c r="E1543" s="15">
        <v>3400</v>
      </c>
      <c r="F1543" s="9">
        <v>0.09</v>
      </c>
      <c r="G1543" s="9">
        <v>0.09</v>
      </c>
      <c r="H1543" s="15">
        <f t="shared" si="46"/>
        <v>6200</v>
      </c>
    </row>
    <row r="1544" spans="1:8" x14ac:dyDescent="0.25">
      <c r="A1544" s="13">
        <v>45355</v>
      </c>
      <c r="B1544" s="15" t="s">
        <v>21</v>
      </c>
      <c r="C1544" s="3">
        <v>4</v>
      </c>
      <c r="D1544" s="13">
        <f t="shared" si="47"/>
        <v>45359</v>
      </c>
      <c r="E1544" s="15">
        <v>800</v>
      </c>
      <c r="F1544" s="9">
        <v>0.09</v>
      </c>
      <c r="G1544" s="9">
        <v>0.09</v>
      </c>
      <c r="H1544" s="15">
        <f t="shared" si="46"/>
        <v>6200</v>
      </c>
    </row>
    <row r="1545" spans="1:8" x14ac:dyDescent="0.25">
      <c r="A1545" s="13">
        <v>45355</v>
      </c>
      <c r="B1545" s="15" t="s">
        <v>21</v>
      </c>
      <c r="C1545" s="3">
        <v>7</v>
      </c>
      <c r="D1545" s="13">
        <f t="shared" si="47"/>
        <v>45362</v>
      </c>
      <c r="E1545" s="15">
        <v>2000</v>
      </c>
      <c r="F1545" s="9">
        <v>0.09</v>
      </c>
      <c r="G1545" s="9">
        <v>0.09</v>
      </c>
      <c r="H1545" s="15">
        <f t="shared" si="46"/>
        <v>6200</v>
      </c>
    </row>
    <row r="1546" spans="1:8" x14ac:dyDescent="0.25">
      <c r="A1546" s="13">
        <v>45356</v>
      </c>
      <c r="B1546" s="15" t="s">
        <v>21</v>
      </c>
      <c r="C1546" s="3">
        <v>6</v>
      </c>
      <c r="D1546" s="13">
        <f t="shared" si="47"/>
        <v>45362</v>
      </c>
      <c r="E1546" s="15">
        <v>3000</v>
      </c>
      <c r="F1546" s="9">
        <v>0.09</v>
      </c>
      <c r="G1546" s="9">
        <v>0.09</v>
      </c>
      <c r="H1546" s="15">
        <f t="shared" ref="H1546:H1609" si="48">+SUMIFS($E$10:$E$4503,$A$10:$A$4503,"&lt;="&amp;A1546,$D$10:$D$4503,"&gt;"&amp;A1546)</f>
        <v>9200</v>
      </c>
    </row>
    <row r="1547" spans="1:8" x14ac:dyDescent="0.25">
      <c r="A1547" s="13">
        <v>45357</v>
      </c>
      <c r="B1547" s="15" t="s">
        <v>21</v>
      </c>
      <c r="C1547" s="3">
        <v>2</v>
      </c>
      <c r="D1547" s="13">
        <f t="shared" si="47"/>
        <v>45359</v>
      </c>
      <c r="E1547" s="15">
        <v>900</v>
      </c>
      <c r="F1547" s="9">
        <v>0.09</v>
      </c>
      <c r="G1547" s="9">
        <v>0.09</v>
      </c>
      <c r="H1547" s="15">
        <f t="shared" si="48"/>
        <v>8500</v>
      </c>
    </row>
    <row r="1548" spans="1:8" x14ac:dyDescent="0.25">
      <c r="A1548" s="13">
        <v>45357</v>
      </c>
      <c r="B1548" s="15" t="s">
        <v>21</v>
      </c>
      <c r="C1548" s="3">
        <v>5</v>
      </c>
      <c r="D1548" s="13">
        <f t="shared" si="47"/>
        <v>45362</v>
      </c>
      <c r="E1548" s="15">
        <v>400</v>
      </c>
      <c r="F1548" s="9">
        <v>0.09</v>
      </c>
      <c r="G1548" s="9">
        <v>0.09</v>
      </c>
      <c r="H1548" s="15">
        <f t="shared" si="48"/>
        <v>8500</v>
      </c>
    </row>
    <row r="1549" spans="1:8" x14ac:dyDescent="0.25">
      <c r="A1549" s="13">
        <v>45357</v>
      </c>
      <c r="B1549" s="15" t="s">
        <v>21</v>
      </c>
      <c r="C1549" s="3">
        <v>7</v>
      </c>
      <c r="D1549" s="13">
        <f t="shared" si="47"/>
        <v>45364</v>
      </c>
      <c r="E1549" s="15">
        <v>1400</v>
      </c>
      <c r="F1549" s="9">
        <v>0.09</v>
      </c>
      <c r="G1549" s="9">
        <v>0.09</v>
      </c>
      <c r="H1549" s="15">
        <f t="shared" si="48"/>
        <v>8500</v>
      </c>
    </row>
    <row r="1550" spans="1:8" x14ac:dyDescent="0.25">
      <c r="A1550" s="13">
        <v>45358</v>
      </c>
      <c r="B1550" s="15" t="s">
        <v>21</v>
      </c>
      <c r="C1550" s="3">
        <v>1</v>
      </c>
      <c r="D1550" s="13">
        <f t="shared" si="47"/>
        <v>45359</v>
      </c>
      <c r="E1550" s="15">
        <v>200</v>
      </c>
      <c r="F1550" s="9">
        <v>8.7499999999999994E-2</v>
      </c>
      <c r="G1550" s="9">
        <v>8.7499999999999994E-2</v>
      </c>
      <c r="H1550" s="15">
        <f t="shared" si="48"/>
        <v>11900</v>
      </c>
    </row>
    <row r="1551" spans="1:8" x14ac:dyDescent="0.25">
      <c r="A1551" s="13">
        <v>45358</v>
      </c>
      <c r="B1551" s="15" t="s">
        <v>21</v>
      </c>
      <c r="C1551" s="3">
        <v>4</v>
      </c>
      <c r="D1551" s="13">
        <f t="shared" si="47"/>
        <v>45362</v>
      </c>
      <c r="E1551" s="15">
        <v>1600</v>
      </c>
      <c r="F1551" s="9">
        <v>0.09</v>
      </c>
      <c r="G1551" s="9">
        <v>0.09</v>
      </c>
      <c r="H1551" s="15">
        <f t="shared" si="48"/>
        <v>11900</v>
      </c>
    </row>
    <row r="1552" spans="1:8" x14ac:dyDescent="0.25">
      <c r="A1552" s="13">
        <v>45358</v>
      </c>
      <c r="B1552" s="15" t="s">
        <v>21</v>
      </c>
      <c r="C1552" s="3">
        <v>5</v>
      </c>
      <c r="D1552" s="13">
        <f t="shared" si="47"/>
        <v>45363</v>
      </c>
      <c r="E1552" s="15">
        <v>300</v>
      </c>
      <c r="F1552" s="9">
        <v>0.09</v>
      </c>
      <c r="G1552" s="9">
        <v>0.09</v>
      </c>
      <c r="H1552" s="15">
        <f t="shared" si="48"/>
        <v>11900</v>
      </c>
    </row>
    <row r="1553" spans="1:8" x14ac:dyDescent="0.25">
      <c r="A1553" s="13">
        <v>45358</v>
      </c>
      <c r="B1553" s="15" t="s">
        <v>21</v>
      </c>
      <c r="C1553" s="3">
        <v>6</v>
      </c>
      <c r="D1553" s="13">
        <f t="shared" si="47"/>
        <v>45364</v>
      </c>
      <c r="E1553" s="15">
        <v>300</v>
      </c>
      <c r="F1553" s="9">
        <v>0.09</v>
      </c>
      <c r="G1553" s="9">
        <v>0.09</v>
      </c>
      <c r="H1553" s="15">
        <f t="shared" si="48"/>
        <v>11900</v>
      </c>
    </row>
    <row r="1554" spans="1:8" x14ac:dyDescent="0.25">
      <c r="A1554" s="13">
        <v>45358</v>
      </c>
      <c r="B1554" s="15" t="s">
        <v>21</v>
      </c>
      <c r="C1554" s="3">
        <v>8</v>
      </c>
      <c r="D1554" s="13">
        <f t="shared" si="47"/>
        <v>45366</v>
      </c>
      <c r="E1554" s="15">
        <v>1000</v>
      </c>
      <c r="F1554" s="9">
        <v>9.0499999999999997E-2</v>
      </c>
      <c r="G1554" s="9">
        <v>9.0499999999999997E-2</v>
      </c>
      <c r="H1554" s="15">
        <f t="shared" si="48"/>
        <v>11900</v>
      </c>
    </row>
    <row r="1555" spans="1:8" x14ac:dyDescent="0.25">
      <c r="A1555" s="13">
        <v>45359</v>
      </c>
      <c r="B1555" s="15" t="s">
        <v>21</v>
      </c>
      <c r="C1555" s="3">
        <v>4</v>
      </c>
      <c r="D1555" s="13">
        <f t="shared" si="47"/>
        <v>45363</v>
      </c>
      <c r="E1555" s="15">
        <v>300</v>
      </c>
      <c r="F1555" s="9">
        <v>0.09</v>
      </c>
      <c r="G1555" s="9">
        <v>0.09</v>
      </c>
      <c r="H1555" s="15">
        <f t="shared" si="48"/>
        <v>11700</v>
      </c>
    </row>
    <row r="1556" spans="1:8" x14ac:dyDescent="0.25">
      <c r="A1556" s="13">
        <v>45359</v>
      </c>
      <c r="B1556" s="15" t="s">
        <v>21</v>
      </c>
      <c r="C1556" s="3">
        <v>5</v>
      </c>
      <c r="D1556" s="13">
        <f t="shared" si="47"/>
        <v>45364</v>
      </c>
      <c r="E1556" s="15">
        <v>1400</v>
      </c>
      <c r="F1556" s="9">
        <v>0.09</v>
      </c>
      <c r="G1556" s="9">
        <v>0.09</v>
      </c>
      <c r="H1556" s="15">
        <f t="shared" si="48"/>
        <v>11700</v>
      </c>
    </row>
    <row r="1557" spans="1:8" x14ac:dyDescent="0.25">
      <c r="A1557" s="13">
        <v>45362</v>
      </c>
      <c r="B1557" s="15" t="s">
        <v>21</v>
      </c>
      <c r="C1557" s="3">
        <v>2</v>
      </c>
      <c r="D1557" s="13">
        <f t="shared" si="47"/>
        <v>45364</v>
      </c>
      <c r="E1557" s="15">
        <v>1000</v>
      </c>
      <c r="F1557" s="9">
        <v>0.09</v>
      </c>
      <c r="G1557" s="9">
        <v>0.09</v>
      </c>
      <c r="H1557" s="15">
        <f t="shared" si="48"/>
        <v>12800</v>
      </c>
    </row>
    <row r="1558" spans="1:8" x14ac:dyDescent="0.25">
      <c r="A1558" s="13">
        <v>45362</v>
      </c>
      <c r="B1558" s="15" t="s">
        <v>21</v>
      </c>
      <c r="C1558" s="3">
        <v>3</v>
      </c>
      <c r="D1558" s="13">
        <f t="shared" si="47"/>
        <v>45365</v>
      </c>
      <c r="E1558" s="15">
        <v>500</v>
      </c>
      <c r="F1558" s="9">
        <v>0.09</v>
      </c>
      <c r="G1558" s="9">
        <v>0.09</v>
      </c>
      <c r="H1558" s="15">
        <f t="shared" si="48"/>
        <v>12800</v>
      </c>
    </row>
    <row r="1559" spans="1:8" x14ac:dyDescent="0.25">
      <c r="A1559" s="13">
        <v>45362</v>
      </c>
      <c r="B1559" s="15" t="s">
        <v>21</v>
      </c>
      <c r="C1559" s="3">
        <v>4</v>
      </c>
      <c r="D1559" s="13">
        <f t="shared" si="47"/>
        <v>45366</v>
      </c>
      <c r="E1559" s="15">
        <v>5000</v>
      </c>
      <c r="F1559" s="9">
        <v>0.09</v>
      </c>
      <c r="G1559" s="9">
        <v>0.09</v>
      </c>
      <c r="H1559" s="15">
        <f t="shared" si="48"/>
        <v>12800</v>
      </c>
    </row>
    <row r="1560" spans="1:8" x14ac:dyDescent="0.25">
      <c r="A1560" s="13">
        <v>45362</v>
      </c>
      <c r="B1560" s="15" t="s">
        <v>21</v>
      </c>
      <c r="C1560" s="3">
        <v>7</v>
      </c>
      <c r="D1560" s="13">
        <f t="shared" si="47"/>
        <v>45369</v>
      </c>
      <c r="E1560" s="15">
        <v>1600</v>
      </c>
      <c r="F1560" s="9">
        <v>0.09</v>
      </c>
      <c r="G1560" s="9">
        <v>0.09</v>
      </c>
      <c r="H1560" s="15">
        <f t="shared" si="48"/>
        <v>12800</v>
      </c>
    </row>
    <row r="1561" spans="1:8" x14ac:dyDescent="0.25">
      <c r="A1561" s="13">
        <v>45363</v>
      </c>
      <c r="B1561" s="15" t="s">
        <v>21</v>
      </c>
      <c r="C1561" s="3">
        <v>2</v>
      </c>
      <c r="D1561" s="13">
        <f t="shared" si="47"/>
        <v>45365</v>
      </c>
      <c r="E1561" s="15">
        <v>800</v>
      </c>
      <c r="F1561" s="9">
        <v>0.09</v>
      </c>
      <c r="G1561" s="9">
        <v>0.09</v>
      </c>
      <c r="H1561" s="15">
        <f t="shared" si="48"/>
        <v>18300</v>
      </c>
    </row>
    <row r="1562" spans="1:8" x14ac:dyDescent="0.25">
      <c r="A1562" s="13">
        <v>45363</v>
      </c>
      <c r="B1562" s="15" t="s">
        <v>21</v>
      </c>
      <c r="C1562" s="3">
        <v>6</v>
      </c>
      <c r="D1562" s="13">
        <f t="shared" si="47"/>
        <v>45369</v>
      </c>
      <c r="E1562" s="15">
        <v>5300</v>
      </c>
      <c r="F1562" s="9">
        <v>0.09</v>
      </c>
      <c r="G1562" s="9">
        <v>0.09</v>
      </c>
      <c r="H1562" s="15">
        <f t="shared" si="48"/>
        <v>18300</v>
      </c>
    </row>
    <row r="1563" spans="1:8" x14ac:dyDescent="0.25">
      <c r="A1563" s="13">
        <v>45364</v>
      </c>
      <c r="B1563" s="15" t="s">
        <v>21</v>
      </c>
      <c r="C1563" s="3">
        <v>5</v>
      </c>
      <c r="D1563" s="13">
        <f t="shared" si="47"/>
        <v>45369</v>
      </c>
      <c r="E1563" s="15">
        <v>1200</v>
      </c>
      <c r="F1563" s="9">
        <v>0.09</v>
      </c>
      <c r="G1563" s="9">
        <v>0.09</v>
      </c>
      <c r="H1563" s="15">
        <f t="shared" si="48"/>
        <v>15400</v>
      </c>
    </row>
    <row r="1564" spans="1:8" x14ac:dyDescent="0.25">
      <c r="A1564" s="13">
        <v>45365</v>
      </c>
      <c r="B1564" s="15" t="s">
        <v>21</v>
      </c>
      <c r="C1564" s="3">
        <v>5</v>
      </c>
      <c r="D1564" s="13">
        <f t="shared" si="47"/>
        <v>45370</v>
      </c>
      <c r="E1564" s="15">
        <v>1000</v>
      </c>
      <c r="F1564" s="9">
        <v>0.09</v>
      </c>
      <c r="G1564" s="9">
        <v>0.09</v>
      </c>
      <c r="H1564" s="15">
        <f t="shared" si="48"/>
        <v>15100</v>
      </c>
    </row>
    <row r="1565" spans="1:8" x14ac:dyDescent="0.25">
      <c r="A1565" s="13">
        <v>45366</v>
      </c>
      <c r="B1565" s="15" t="s">
        <v>21</v>
      </c>
      <c r="C1565" s="3">
        <v>4</v>
      </c>
      <c r="D1565" s="13">
        <f t="shared" si="47"/>
        <v>45370</v>
      </c>
      <c r="E1565" s="15">
        <v>500</v>
      </c>
      <c r="F1565" s="9">
        <v>0.09</v>
      </c>
      <c r="G1565" s="9">
        <v>0.09</v>
      </c>
      <c r="H1565" s="15">
        <f t="shared" si="48"/>
        <v>10600</v>
      </c>
    </row>
    <row r="1566" spans="1:8" x14ac:dyDescent="0.25">
      <c r="A1566" s="13">
        <v>45366</v>
      </c>
      <c r="B1566" s="15" t="s">
        <v>21</v>
      </c>
      <c r="C1566" s="3">
        <v>5</v>
      </c>
      <c r="D1566" s="13">
        <f t="shared" si="47"/>
        <v>45371</v>
      </c>
      <c r="E1566" s="15">
        <v>1000</v>
      </c>
      <c r="F1566" s="9">
        <v>0.09</v>
      </c>
      <c r="G1566" s="9">
        <v>0.09</v>
      </c>
      <c r="H1566" s="15">
        <f t="shared" si="48"/>
        <v>10600</v>
      </c>
    </row>
    <row r="1567" spans="1:8" x14ac:dyDescent="0.25">
      <c r="A1567" s="13">
        <v>45369</v>
      </c>
      <c r="B1567" s="15" t="s">
        <v>21</v>
      </c>
      <c r="C1567" s="3">
        <v>3</v>
      </c>
      <c r="D1567" s="13">
        <f t="shared" si="47"/>
        <v>45372</v>
      </c>
      <c r="E1567" s="15">
        <v>3100</v>
      </c>
      <c r="F1567" s="9">
        <v>0.09</v>
      </c>
      <c r="G1567" s="9">
        <v>0.09</v>
      </c>
      <c r="H1567" s="15">
        <f t="shared" si="48"/>
        <v>6400</v>
      </c>
    </row>
    <row r="1568" spans="1:8" x14ac:dyDescent="0.25">
      <c r="A1568" s="13">
        <v>45369</v>
      </c>
      <c r="B1568" s="15" t="s">
        <v>21</v>
      </c>
      <c r="C1568" s="3">
        <v>7</v>
      </c>
      <c r="D1568" s="13">
        <f t="shared" si="47"/>
        <v>45376</v>
      </c>
      <c r="E1568" s="15">
        <v>800</v>
      </c>
      <c r="F1568" s="9">
        <v>0.09</v>
      </c>
      <c r="G1568" s="9">
        <v>0.09</v>
      </c>
      <c r="H1568" s="15">
        <f t="shared" si="48"/>
        <v>6400</v>
      </c>
    </row>
    <row r="1569" spans="1:8" x14ac:dyDescent="0.25">
      <c r="A1569" s="13">
        <v>45370</v>
      </c>
      <c r="B1569" s="15" t="s">
        <v>21</v>
      </c>
      <c r="C1569" s="3">
        <v>3</v>
      </c>
      <c r="D1569" s="13">
        <f t="shared" si="47"/>
        <v>45373</v>
      </c>
      <c r="E1569" s="15">
        <v>2200</v>
      </c>
      <c r="F1569" s="9">
        <v>0.09</v>
      </c>
      <c r="G1569" s="9">
        <v>0.09</v>
      </c>
      <c r="H1569" s="15">
        <f t="shared" si="48"/>
        <v>8700</v>
      </c>
    </row>
    <row r="1570" spans="1:8" x14ac:dyDescent="0.25">
      <c r="A1570" s="13">
        <v>45370</v>
      </c>
      <c r="B1570" s="15" t="s">
        <v>21</v>
      </c>
      <c r="C1570" s="3">
        <v>6</v>
      </c>
      <c r="D1570" s="13">
        <f t="shared" si="47"/>
        <v>45376</v>
      </c>
      <c r="E1570" s="15">
        <v>1600</v>
      </c>
      <c r="F1570" s="9">
        <v>0.09</v>
      </c>
      <c r="G1570" s="9">
        <v>0.09</v>
      </c>
      <c r="H1570" s="15">
        <f t="shared" si="48"/>
        <v>8700</v>
      </c>
    </row>
    <row r="1571" spans="1:8" x14ac:dyDescent="0.25">
      <c r="A1571" s="13">
        <v>45371</v>
      </c>
      <c r="B1571" s="15" t="s">
        <v>21</v>
      </c>
      <c r="C1571" s="3">
        <v>2</v>
      </c>
      <c r="D1571" s="13">
        <f t="shared" si="47"/>
        <v>45373</v>
      </c>
      <c r="E1571" s="15">
        <v>1000</v>
      </c>
      <c r="F1571" s="9">
        <v>0.09</v>
      </c>
      <c r="G1571" s="9">
        <v>0.09</v>
      </c>
      <c r="H1571" s="15">
        <f t="shared" si="48"/>
        <v>10900</v>
      </c>
    </row>
    <row r="1572" spans="1:8" x14ac:dyDescent="0.25">
      <c r="A1572" s="13">
        <v>45371</v>
      </c>
      <c r="B1572" s="15" t="s">
        <v>21</v>
      </c>
      <c r="C1572" s="3">
        <v>5</v>
      </c>
      <c r="D1572" s="13">
        <f t="shared" si="47"/>
        <v>45376</v>
      </c>
      <c r="E1572" s="15">
        <v>2200</v>
      </c>
      <c r="F1572" s="9">
        <v>0.09</v>
      </c>
      <c r="G1572" s="9">
        <v>0.09</v>
      </c>
      <c r="H1572" s="15">
        <f t="shared" si="48"/>
        <v>10900</v>
      </c>
    </row>
    <row r="1573" spans="1:8" x14ac:dyDescent="0.25">
      <c r="A1573" s="13">
        <v>45372</v>
      </c>
      <c r="B1573" s="15" t="s">
        <v>21</v>
      </c>
      <c r="C1573" s="3">
        <v>4</v>
      </c>
      <c r="D1573" s="13">
        <f t="shared" si="47"/>
        <v>45376</v>
      </c>
      <c r="E1573" s="15">
        <v>1400</v>
      </c>
      <c r="F1573" s="9">
        <v>0.09</v>
      </c>
      <c r="G1573" s="9">
        <v>0.09</v>
      </c>
      <c r="H1573" s="15">
        <f t="shared" si="48"/>
        <v>9400</v>
      </c>
    </row>
    <row r="1574" spans="1:8" x14ac:dyDescent="0.25">
      <c r="A1574" s="13">
        <v>45372</v>
      </c>
      <c r="B1574" s="15" t="s">
        <v>21</v>
      </c>
      <c r="C1574" s="3">
        <v>5</v>
      </c>
      <c r="D1574" s="13">
        <f t="shared" si="47"/>
        <v>45377</v>
      </c>
      <c r="E1574" s="15">
        <v>200</v>
      </c>
      <c r="F1574" s="9">
        <v>0.09</v>
      </c>
      <c r="G1574" s="9">
        <v>0.09</v>
      </c>
      <c r="H1574" s="15">
        <f t="shared" si="48"/>
        <v>9400</v>
      </c>
    </row>
    <row r="1575" spans="1:8" x14ac:dyDescent="0.25">
      <c r="A1575" s="13">
        <v>45373</v>
      </c>
      <c r="B1575" s="15" t="s">
        <v>21</v>
      </c>
      <c r="C1575" s="3">
        <v>4</v>
      </c>
      <c r="D1575" s="13">
        <f t="shared" si="47"/>
        <v>45377</v>
      </c>
      <c r="E1575" s="15">
        <v>2400</v>
      </c>
      <c r="F1575" s="9">
        <v>0.09</v>
      </c>
      <c r="G1575" s="9">
        <v>0.09</v>
      </c>
      <c r="H1575" s="15">
        <f t="shared" si="48"/>
        <v>8800</v>
      </c>
    </row>
    <row r="1576" spans="1:8" x14ac:dyDescent="0.25">
      <c r="A1576" s="13">
        <v>45373</v>
      </c>
      <c r="B1576" s="15" t="s">
        <v>21</v>
      </c>
      <c r="C1576" s="3">
        <v>10</v>
      </c>
      <c r="D1576" s="13">
        <f t="shared" si="47"/>
        <v>45383</v>
      </c>
      <c r="E1576" s="15">
        <v>200</v>
      </c>
      <c r="F1576" s="9">
        <v>0.09</v>
      </c>
      <c r="G1576" s="9">
        <v>0.09</v>
      </c>
      <c r="H1576" s="15">
        <f t="shared" si="48"/>
        <v>8800</v>
      </c>
    </row>
    <row r="1577" spans="1:8" x14ac:dyDescent="0.25">
      <c r="A1577" s="13">
        <v>45376</v>
      </c>
      <c r="B1577" s="15" t="s">
        <v>21</v>
      </c>
      <c r="C1577" s="3">
        <v>1</v>
      </c>
      <c r="D1577" s="13">
        <f t="shared" si="47"/>
        <v>45377</v>
      </c>
      <c r="E1577" s="15">
        <v>500</v>
      </c>
      <c r="F1577" s="9">
        <v>0.09</v>
      </c>
      <c r="G1577" s="9">
        <v>0.09</v>
      </c>
      <c r="H1577" s="15">
        <f t="shared" si="48"/>
        <v>5100</v>
      </c>
    </row>
    <row r="1578" spans="1:8" x14ac:dyDescent="0.25">
      <c r="A1578" s="13">
        <v>45376</v>
      </c>
      <c r="B1578" s="15" t="s">
        <v>21</v>
      </c>
      <c r="C1578" s="3">
        <v>2</v>
      </c>
      <c r="D1578" s="13">
        <f t="shared" si="47"/>
        <v>45378</v>
      </c>
      <c r="E1578" s="15">
        <v>400</v>
      </c>
      <c r="F1578" s="9">
        <v>0.09</v>
      </c>
      <c r="G1578" s="9">
        <v>0.09</v>
      </c>
      <c r="H1578" s="15">
        <f t="shared" si="48"/>
        <v>5100</v>
      </c>
    </row>
    <row r="1579" spans="1:8" x14ac:dyDescent="0.25">
      <c r="A1579" s="13">
        <v>45376</v>
      </c>
      <c r="B1579" s="15" t="s">
        <v>21</v>
      </c>
      <c r="C1579" s="3">
        <v>7</v>
      </c>
      <c r="D1579" s="13">
        <f t="shared" si="47"/>
        <v>45383</v>
      </c>
      <c r="E1579" s="15">
        <v>1400</v>
      </c>
      <c r="F1579" s="9">
        <v>0.09</v>
      </c>
      <c r="G1579" s="9">
        <v>0.09</v>
      </c>
      <c r="H1579" s="15">
        <f t="shared" si="48"/>
        <v>5100</v>
      </c>
    </row>
    <row r="1580" spans="1:8" x14ac:dyDescent="0.25">
      <c r="A1580" s="13">
        <v>45377</v>
      </c>
      <c r="B1580" s="15" t="s">
        <v>21</v>
      </c>
      <c r="C1580" s="3">
        <v>1</v>
      </c>
      <c r="D1580" s="13">
        <f t="shared" si="47"/>
        <v>45378</v>
      </c>
      <c r="E1580" s="15">
        <v>500</v>
      </c>
      <c r="F1580" s="9">
        <v>0.09</v>
      </c>
      <c r="G1580" s="9">
        <v>0.09</v>
      </c>
      <c r="H1580" s="15">
        <f t="shared" si="48"/>
        <v>1700</v>
      </c>
    </row>
    <row r="1581" spans="1:8" x14ac:dyDescent="0.25">
      <c r="A1581" s="13">
        <v>45377</v>
      </c>
      <c r="B1581" s="15" t="s">
        <v>21</v>
      </c>
      <c r="C1581" s="3">
        <v>1</v>
      </c>
      <c r="D1581" s="13">
        <f t="shared" ref="D1581:D1610" si="49">+A1581+C1581</f>
        <v>45378</v>
      </c>
      <c r="E1581" s="15">
        <v>-800</v>
      </c>
      <c r="F1581" s="9">
        <v>9.1999999999999998E-2</v>
      </c>
      <c r="G1581" s="9">
        <v>9.1999999999999998E-2</v>
      </c>
      <c r="H1581" s="15">
        <f t="shared" si="48"/>
        <v>1700</v>
      </c>
    </row>
    <row r="1582" spans="1:8" x14ac:dyDescent="0.25">
      <c r="A1582" s="13">
        <v>45378</v>
      </c>
      <c r="B1582" s="15" t="s">
        <v>21</v>
      </c>
      <c r="C1582" s="3">
        <v>5</v>
      </c>
      <c r="D1582" s="13">
        <f t="shared" si="49"/>
        <v>45383</v>
      </c>
      <c r="E1582" s="15">
        <v>-1435</v>
      </c>
      <c r="F1582" s="9">
        <v>9.1999999999999998E-2</v>
      </c>
      <c r="G1582" s="9">
        <v>9.1999999999999998E-2</v>
      </c>
      <c r="H1582" s="15">
        <f t="shared" si="48"/>
        <v>665</v>
      </c>
    </row>
    <row r="1583" spans="1:8" x14ac:dyDescent="0.25">
      <c r="A1583" s="13">
        <v>45378</v>
      </c>
      <c r="B1583" s="15" t="s">
        <v>21</v>
      </c>
      <c r="C1583" s="3">
        <v>5</v>
      </c>
      <c r="D1583" s="13">
        <f t="shared" si="49"/>
        <v>45383</v>
      </c>
      <c r="E1583" s="15">
        <v>500</v>
      </c>
      <c r="F1583" s="9">
        <v>0.09</v>
      </c>
      <c r="G1583" s="9">
        <v>0.09</v>
      </c>
      <c r="H1583" s="15">
        <f t="shared" si="48"/>
        <v>665</v>
      </c>
    </row>
    <row r="1584" spans="1:8" x14ac:dyDescent="0.25">
      <c r="A1584" s="13">
        <v>45383</v>
      </c>
      <c r="B1584" s="15" t="s">
        <v>21</v>
      </c>
      <c r="C1584" s="3">
        <v>1</v>
      </c>
      <c r="D1584" s="13">
        <f t="shared" si="49"/>
        <v>45384</v>
      </c>
      <c r="E1584" s="15">
        <v>-2500</v>
      </c>
      <c r="F1584" s="9">
        <v>9.2499999999999999E-2</v>
      </c>
      <c r="G1584" s="9">
        <v>9.2499999999999999E-2</v>
      </c>
      <c r="H1584" s="15">
        <f t="shared" si="48"/>
        <v>-2300</v>
      </c>
    </row>
    <row r="1585" spans="1:12" x14ac:dyDescent="0.25">
      <c r="A1585" s="13">
        <v>45383</v>
      </c>
      <c r="B1585" s="15" t="s">
        <v>21</v>
      </c>
      <c r="C1585" s="3">
        <v>2</v>
      </c>
      <c r="D1585" s="13">
        <f t="shared" si="49"/>
        <v>45385</v>
      </c>
      <c r="E1585" s="15">
        <v>200</v>
      </c>
      <c r="F1585" s="9">
        <v>0.09</v>
      </c>
      <c r="G1585" s="9">
        <v>0.09</v>
      </c>
      <c r="H1585" s="15">
        <f t="shared" si="48"/>
        <v>-2300</v>
      </c>
    </row>
    <row r="1586" spans="1:12" x14ac:dyDescent="0.25">
      <c r="A1586" s="13">
        <v>45384</v>
      </c>
      <c r="B1586" s="15" t="s">
        <v>21</v>
      </c>
      <c r="C1586" s="3">
        <v>1</v>
      </c>
      <c r="D1586" s="13">
        <f t="shared" si="49"/>
        <v>45385</v>
      </c>
      <c r="E1586" s="15">
        <v>-2000</v>
      </c>
      <c r="F1586" s="9">
        <v>9.2999999999999999E-2</v>
      </c>
      <c r="G1586" s="9">
        <v>9.2999999999999999E-2</v>
      </c>
      <c r="H1586" s="15">
        <f t="shared" si="48"/>
        <v>-1800</v>
      </c>
    </row>
    <row r="1587" spans="1:12" x14ac:dyDescent="0.25">
      <c r="A1587" s="13">
        <v>45387</v>
      </c>
      <c r="B1587" s="15" t="s">
        <v>21</v>
      </c>
      <c r="C1587" s="3">
        <v>4</v>
      </c>
      <c r="D1587" s="13">
        <f t="shared" si="49"/>
        <v>45391</v>
      </c>
      <c r="E1587" s="15">
        <v>2200</v>
      </c>
      <c r="F1587" s="9">
        <v>0.09</v>
      </c>
      <c r="G1587" s="9">
        <v>0.09</v>
      </c>
      <c r="H1587" s="15">
        <f t="shared" si="48"/>
        <v>2200</v>
      </c>
    </row>
    <row r="1588" spans="1:12" x14ac:dyDescent="0.25">
      <c r="A1588" s="13">
        <v>45390</v>
      </c>
      <c r="B1588" s="15" t="s">
        <v>21</v>
      </c>
      <c r="C1588" s="3">
        <v>2</v>
      </c>
      <c r="D1588" s="13">
        <f t="shared" si="49"/>
        <v>45392</v>
      </c>
      <c r="E1588" s="15">
        <v>800</v>
      </c>
      <c r="F1588" s="9">
        <v>0.09</v>
      </c>
      <c r="G1588" s="9">
        <v>0.09</v>
      </c>
      <c r="H1588" s="15">
        <f t="shared" si="48"/>
        <v>3000</v>
      </c>
    </row>
    <row r="1589" spans="1:12" x14ac:dyDescent="0.25">
      <c r="A1589" s="13">
        <v>45391</v>
      </c>
      <c r="B1589" s="15" t="s">
        <v>21</v>
      </c>
      <c r="C1589" s="3">
        <v>2</v>
      </c>
      <c r="D1589" s="13">
        <f t="shared" si="49"/>
        <v>45393</v>
      </c>
      <c r="E1589" s="15">
        <v>600</v>
      </c>
      <c r="F1589" s="9">
        <v>0.09</v>
      </c>
      <c r="G1589" s="9">
        <v>0.09</v>
      </c>
      <c r="H1589" s="15">
        <f t="shared" si="48"/>
        <v>1400</v>
      </c>
    </row>
    <row r="1590" spans="1:12" x14ac:dyDescent="0.25">
      <c r="A1590" s="13">
        <v>45393</v>
      </c>
      <c r="B1590" s="15" t="s">
        <v>21</v>
      </c>
      <c r="C1590" s="3">
        <v>6</v>
      </c>
      <c r="D1590" s="13">
        <f t="shared" si="49"/>
        <v>45399</v>
      </c>
      <c r="E1590" s="15">
        <v>1600</v>
      </c>
      <c r="F1590" s="9">
        <v>8.5000000000000006E-2</v>
      </c>
      <c r="G1590" s="9">
        <v>8.5000000000000006E-2</v>
      </c>
      <c r="H1590" s="15">
        <f t="shared" si="48"/>
        <v>3000</v>
      </c>
    </row>
    <row r="1591" spans="1:12" x14ac:dyDescent="0.25">
      <c r="A1591" s="13">
        <v>45393</v>
      </c>
      <c r="B1591" s="15" t="s">
        <v>21</v>
      </c>
      <c r="C1591" s="3">
        <v>7</v>
      </c>
      <c r="D1591" s="13">
        <f t="shared" si="49"/>
        <v>45400</v>
      </c>
      <c r="E1591" s="15">
        <v>1400</v>
      </c>
      <c r="F1591" s="9">
        <v>8.5000000000000006E-2</v>
      </c>
      <c r="G1591" s="9">
        <v>8.5000000000000006E-2</v>
      </c>
      <c r="H1591" s="15">
        <f t="shared" si="48"/>
        <v>3000</v>
      </c>
    </row>
    <row r="1592" spans="1:12" x14ac:dyDescent="0.25">
      <c r="A1592" s="13">
        <v>45394</v>
      </c>
      <c r="B1592" s="15" t="s">
        <v>21</v>
      </c>
      <c r="C1592" s="3">
        <v>5</v>
      </c>
      <c r="D1592" s="13">
        <f t="shared" si="49"/>
        <v>45399</v>
      </c>
      <c r="E1592" s="15">
        <v>300</v>
      </c>
      <c r="F1592" s="9">
        <v>8.5000000000000006E-2</v>
      </c>
      <c r="G1592" s="9">
        <v>8.5000000000000006E-2</v>
      </c>
      <c r="H1592" s="15">
        <f t="shared" si="48"/>
        <v>6500</v>
      </c>
    </row>
    <row r="1593" spans="1:12" x14ac:dyDescent="0.25">
      <c r="A1593" s="13">
        <v>45394</v>
      </c>
      <c r="B1593" s="15" t="s">
        <v>21</v>
      </c>
      <c r="C1593" s="3">
        <v>6</v>
      </c>
      <c r="D1593" s="13">
        <f t="shared" si="49"/>
        <v>45400</v>
      </c>
      <c r="E1593" s="15">
        <v>1200</v>
      </c>
      <c r="F1593" s="9">
        <v>8.5000000000000006E-2</v>
      </c>
      <c r="G1593" s="9">
        <v>8.5000000000000006E-2</v>
      </c>
      <c r="H1593" s="15">
        <f t="shared" si="48"/>
        <v>6500</v>
      </c>
    </row>
    <row r="1594" spans="1:12" x14ac:dyDescent="0.25">
      <c r="A1594" s="13">
        <v>45394</v>
      </c>
      <c r="B1594" s="15" t="s">
        <v>21</v>
      </c>
      <c r="C1594" s="3">
        <v>7</v>
      </c>
      <c r="D1594" s="13">
        <f t="shared" si="49"/>
        <v>45401</v>
      </c>
      <c r="E1594" s="15">
        <v>2000</v>
      </c>
      <c r="F1594" s="9">
        <v>8.5000000000000006E-2</v>
      </c>
      <c r="G1594" s="9">
        <v>8.5000000000000006E-2</v>
      </c>
      <c r="H1594" s="15">
        <f t="shared" si="48"/>
        <v>6500</v>
      </c>
      <c r="L1594" s="1" t="s">
        <v>1012</v>
      </c>
    </row>
    <row r="1595" spans="1:12" x14ac:dyDescent="0.25">
      <c r="A1595" s="13">
        <v>45397</v>
      </c>
      <c r="B1595" s="15" t="s">
        <v>21</v>
      </c>
      <c r="C1595" s="3">
        <v>8</v>
      </c>
      <c r="D1595" s="13">
        <f t="shared" si="49"/>
        <v>45405</v>
      </c>
      <c r="E1595" s="15">
        <v>2400</v>
      </c>
      <c r="F1595" s="9">
        <v>8.5000000000000006E-2</v>
      </c>
      <c r="G1595" s="9">
        <v>8.5000000000000006E-2</v>
      </c>
      <c r="H1595" s="15">
        <f t="shared" si="48"/>
        <v>8900</v>
      </c>
    </row>
    <row r="1596" spans="1:12" x14ac:dyDescent="0.25">
      <c r="A1596" s="13">
        <v>45398</v>
      </c>
      <c r="B1596" s="15" t="s">
        <v>21</v>
      </c>
      <c r="C1596" s="3">
        <v>3</v>
      </c>
      <c r="D1596" s="13">
        <f t="shared" si="49"/>
        <v>45401</v>
      </c>
      <c r="E1596" s="15">
        <v>25</v>
      </c>
      <c r="F1596" s="9">
        <v>8.5000000000000006E-2</v>
      </c>
      <c r="G1596" s="9">
        <v>8.5000000000000006E-2</v>
      </c>
      <c r="H1596" s="15">
        <f t="shared" si="48"/>
        <v>9525</v>
      </c>
    </row>
    <row r="1597" spans="1:12" x14ac:dyDescent="0.25">
      <c r="A1597" s="13">
        <v>45398</v>
      </c>
      <c r="B1597" s="15" t="s">
        <v>21</v>
      </c>
      <c r="C1597" s="3">
        <v>7</v>
      </c>
      <c r="D1597" s="13">
        <f t="shared" si="49"/>
        <v>45405</v>
      </c>
      <c r="E1597" s="15">
        <v>600</v>
      </c>
      <c r="F1597" s="9">
        <v>8.5000000000000006E-2</v>
      </c>
      <c r="G1597" s="9">
        <v>8.5000000000000006E-2</v>
      </c>
      <c r="H1597" s="15">
        <f t="shared" si="48"/>
        <v>9525</v>
      </c>
    </row>
    <row r="1598" spans="1:12" x14ac:dyDescent="0.25">
      <c r="A1598" s="13">
        <v>45399</v>
      </c>
      <c r="B1598" s="15" t="s">
        <v>21</v>
      </c>
      <c r="C1598" s="3">
        <v>2</v>
      </c>
      <c r="D1598" s="13">
        <f t="shared" si="49"/>
        <v>45401</v>
      </c>
      <c r="E1598" s="15">
        <v>1000</v>
      </c>
      <c r="F1598" s="9">
        <v>8.5000000000000006E-2</v>
      </c>
      <c r="G1598" s="9">
        <v>8.5000000000000006E-2</v>
      </c>
      <c r="H1598" s="15">
        <f t="shared" si="48"/>
        <v>9625</v>
      </c>
    </row>
    <row r="1599" spans="1:12" x14ac:dyDescent="0.25">
      <c r="A1599" s="13">
        <v>45399</v>
      </c>
      <c r="B1599" s="15" t="s">
        <v>21</v>
      </c>
      <c r="C1599" s="3">
        <v>6</v>
      </c>
      <c r="D1599" s="13">
        <f t="shared" si="49"/>
        <v>45405</v>
      </c>
      <c r="E1599" s="15">
        <v>1000</v>
      </c>
      <c r="F1599" s="9">
        <v>8.5000000000000006E-2</v>
      </c>
      <c r="G1599" s="9">
        <v>8.5000000000000006E-2</v>
      </c>
      <c r="H1599" s="15">
        <f t="shared" si="48"/>
        <v>9625</v>
      </c>
    </row>
    <row r="1600" spans="1:12" x14ac:dyDescent="0.25">
      <c r="A1600" s="13">
        <v>45400</v>
      </c>
      <c r="B1600" s="15" t="s">
        <v>21</v>
      </c>
      <c r="C1600" s="3">
        <v>6</v>
      </c>
      <c r="D1600" s="13">
        <f t="shared" si="49"/>
        <v>45406</v>
      </c>
      <c r="E1600" s="15">
        <v>500</v>
      </c>
      <c r="F1600" s="9">
        <v>8.5000000000000006E-2</v>
      </c>
      <c r="G1600" s="9">
        <v>8.5000000000000006E-2</v>
      </c>
      <c r="H1600" s="15">
        <f t="shared" si="48"/>
        <v>8525</v>
      </c>
    </row>
    <row r="1601" spans="1:8" x14ac:dyDescent="0.25">
      <c r="A1601" s="13">
        <v>45400</v>
      </c>
      <c r="B1601" s="15" t="s">
        <v>21</v>
      </c>
      <c r="C1601" s="3">
        <v>7</v>
      </c>
      <c r="D1601" s="13">
        <f t="shared" si="49"/>
        <v>45407</v>
      </c>
      <c r="E1601" s="15">
        <v>1000</v>
      </c>
      <c r="F1601" s="9">
        <v>8.5000000000000006E-2</v>
      </c>
      <c r="G1601" s="9">
        <v>8.5000000000000006E-2</v>
      </c>
      <c r="H1601" s="15">
        <f t="shared" si="48"/>
        <v>8525</v>
      </c>
    </row>
    <row r="1602" spans="1:8" x14ac:dyDescent="0.25">
      <c r="A1602" s="13">
        <v>45401</v>
      </c>
      <c r="B1602" s="15" t="s">
        <v>21</v>
      </c>
      <c r="C1602" s="3">
        <v>5</v>
      </c>
      <c r="D1602" s="13">
        <f t="shared" si="49"/>
        <v>45406</v>
      </c>
      <c r="E1602" s="15">
        <v>3000</v>
      </c>
      <c r="F1602" s="9">
        <v>8.5000000000000006E-2</v>
      </c>
      <c r="G1602" s="9">
        <v>8.5000000000000006E-2</v>
      </c>
      <c r="H1602" s="15">
        <f t="shared" si="48"/>
        <v>8500</v>
      </c>
    </row>
    <row r="1603" spans="1:8" x14ac:dyDescent="0.25">
      <c r="A1603" s="13">
        <v>45405</v>
      </c>
      <c r="B1603" s="15" t="s">
        <v>21</v>
      </c>
      <c r="C1603" s="3">
        <v>1</v>
      </c>
      <c r="D1603" s="13">
        <f t="shared" si="49"/>
        <v>45406</v>
      </c>
      <c r="E1603" s="15">
        <v>500</v>
      </c>
      <c r="F1603" s="9">
        <v>8.5000000000000006E-2</v>
      </c>
      <c r="G1603" s="9">
        <v>8.5000000000000006E-2</v>
      </c>
      <c r="H1603" s="15">
        <f t="shared" si="48"/>
        <v>10200</v>
      </c>
    </row>
    <row r="1604" spans="1:8" x14ac:dyDescent="0.25">
      <c r="A1604" s="13">
        <v>45405</v>
      </c>
      <c r="B1604" s="15" t="s">
        <v>21</v>
      </c>
      <c r="C1604" s="3">
        <v>2</v>
      </c>
      <c r="D1604" s="13">
        <f t="shared" si="49"/>
        <v>45407</v>
      </c>
      <c r="E1604" s="15">
        <v>2000</v>
      </c>
      <c r="F1604" s="9">
        <v>8.5000000000000006E-2</v>
      </c>
      <c r="G1604" s="9">
        <v>8.5000000000000006E-2</v>
      </c>
      <c r="H1604" s="15">
        <f t="shared" si="48"/>
        <v>10200</v>
      </c>
    </row>
    <row r="1605" spans="1:8" x14ac:dyDescent="0.25">
      <c r="A1605" s="13">
        <v>45405</v>
      </c>
      <c r="B1605" s="15" t="s">
        <v>21</v>
      </c>
      <c r="C1605" s="3">
        <v>3</v>
      </c>
      <c r="D1605" s="13">
        <f t="shared" si="49"/>
        <v>45408</v>
      </c>
      <c r="E1605" s="15">
        <v>2000</v>
      </c>
      <c r="F1605" s="9">
        <v>8.5000000000000006E-2</v>
      </c>
      <c r="G1605" s="9">
        <v>8.5000000000000006E-2</v>
      </c>
      <c r="H1605" s="15">
        <f t="shared" si="48"/>
        <v>10200</v>
      </c>
    </row>
    <row r="1606" spans="1:8" x14ac:dyDescent="0.25">
      <c r="A1606" s="13">
        <v>45405</v>
      </c>
      <c r="B1606" s="15" t="s">
        <v>21</v>
      </c>
      <c r="C1606" s="3">
        <v>6</v>
      </c>
      <c r="D1606" s="13">
        <f t="shared" si="49"/>
        <v>45411</v>
      </c>
      <c r="E1606" s="15">
        <v>1200</v>
      </c>
      <c r="F1606" s="9">
        <v>8.5000000000000006E-2</v>
      </c>
      <c r="G1606" s="9">
        <v>8.5000000000000006E-2</v>
      </c>
      <c r="H1606" s="15">
        <f t="shared" si="48"/>
        <v>10200</v>
      </c>
    </row>
    <row r="1607" spans="1:8" x14ac:dyDescent="0.25">
      <c r="A1607" s="13">
        <v>45406</v>
      </c>
      <c r="B1607" s="15" t="s">
        <v>21</v>
      </c>
      <c r="C1607" s="3">
        <v>2</v>
      </c>
      <c r="D1607" s="13">
        <f t="shared" si="49"/>
        <v>45408</v>
      </c>
      <c r="E1607" s="15">
        <v>1800</v>
      </c>
      <c r="F1607" s="9">
        <v>8.5000000000000006E-2</v>
      </c>
      <c r="G1607" s="9">
        <v>8.5000000000000006E-2</v>
      </c>
      <c r="H1607" s="15">
        <f t="shared" si="48"/>
        <v>9500</v>
      </c>
    </row>
    <row r="1608" spans="1:8" x14ac:dyDescent="0.25">
      <c r="A1608" s="13">
        <v>45406</v>
      </c>
      <c r="B1608" s="15" t="s">
        <v>21</v>
      </c>
      <c r="C1608" s="3">
        <v>5</v>
      </c>
      <c r="D1608" s="13">
        <f t="shared" si="49"/>
        <v>45411</v>
      </c>
      <c r="E1608" s="15">
        <v>1500</v>
      </c>
      <c r="F1608" s="9">
        <v>8.5000000000000006E-2</v>
      </c>
      <c r="G1608" s="9">
        <v>8.5000000000000006E-2</v>
      </c>
      <c r="H1608" s="15">
        <f t="shared" si="48"/>
        <v>9500</v>
      </c>
    </row>
    <row r="1609" spans="1:8" x14ac:dyDescent="0.25">
      <c r="A1609" s="13">
        <v>45408</v>
      </c>
      <c r="B1609" s="15" t="s">
        <v>21</v>
      </c>
      <c r="C1609" s="3">
        <v>3</v>
      </c>
      <c r="D1609" s="13">
        <f t="shared" si="49"/>
        <v>45411</v>
      </c>
      <c r="E1609" s="15">
        <v>100</v>
      </c>
      <c r="F1609" s="9">
        <v>8.5000000000000006E-2</v>
      </c>
      <c r="G1609" s="9">
        <v>8.5000000000000006E-2</v>
      </c>
      <c r="H1609" s="15">
        <f t="shared" si="48"/>
        <v>6500</v>
      </c>
    </row>
    <row r="1610" spans="1:8" x14ac:dyDescent="0.25">
      <c r="A1610" s="13">
        <v>45408</v>
      </c>
      <c r="B1610" s="15" t="s">
        <v>21</v>
      </c>
      <c r="C1610" s="3">
        <v>3</v>
      </c>
      <c r="D1610" s="13">
        <f t="shared" si="49"/>
        <v>45411</v>
      </c>
      <c r="E1610" s="15">
        <v>-200</v>
      </c>
      <c r="F1610" s="9">
        <v>8.5000000000000006E-2</v>
      </c>
      <c r="G1610" s="9">
        <v>8.5000000000000006E-2</v>
      </c>
      <c r="H1610" s="15">
        <f t="shared" ref="H1610:H1673" si="50">+SUMIFS($E$10:$E$4503,$A$10:$A$4503,"&lt;="&amp;A1610,$D$10:$D$4503,"&gt;"&amp;A1610)</f>
        <v>6500</v>
      </c>
    </row>
    <row r="1611" spans="1:8" x14ac:dyDescent="0.25">
      <c r="A1611" s="13">
        <v>45408</v>
      </c>
      <c r="B1611" s="15" t="s">
        <v>21</v>
      </c>
      <c r="C1611" s="3">
        <v>4</v>
      </c>
      <c r="D1611" s="13">
        <f t="shared" ref="D1611:D1697" si="51">+A1611+C1611</f>
        <v>45412</v>
      </c>
      <c r="E1611" s="15">
        <v>3900</v>
      </c>
      <c r="F1611" s="9">
        <v>8.5000000000000006E-2</v>
      </c>
      <c r="G1611" s="9">
        <v>8.5000000000000006E-2</v>
      </c>
      <c r="H1611" s="15">
        <f t="shared" si="50"/>
        <v>6500</v>
      </c>
    </row>
    <row r="1612" spans="1:8" x14ac:dyDescent="0.25">
      <c r="A1612" s="13">
        <v>45411</v>
      </c>
      <c r="B1612" s="15" t="s">
        <v>21</v>
      </c>
      <c r="C1612" s="3">
        <v>1</v>
      </c>
      <c r="D1612" s="13">
        <f t="shared" si="51"/>
        <v>45412</v>
      </c>
      <c r="E1612" s="15">
        <v>800</v>
      </c>
      <c r="F1612" s="9">
        <v>8.5000000000000006E-2</v>
      </c>
      <c r="G1612" s="9">
        <v>8.5000000000000006E-2</v>
      </c>
      <c r="H1612" s="15">
        <f t="shared" si="50"/>
        <v>5700</v>
      </c>
    </row>
    <row r="1613" spans="1:8" x14ac:dyDescent="0.25">
      <c r="A1613" s="13">
        <v>45411</v>
      </c>
      <c r="B1613" s="15" t="s">
        <v>21</v>
      </c>
      <c r="C1613" s="3">
        <v>3</v>
      </c>
      <c r="D1613" s="13">
        <f t="shared" si="51"/>
        <v>45414</v>
      </c>
      <c r="E1613" s="15">
        <v>1000</v>
      </c>
      <c r="F1613" s="9">
        <v>8.5000000000000006E-2</v>
      </c>
      <c r="G1613" s="9">
        <v>8.5000000000000006E-2</v>
      </c>
      <c r="H1613" s="15">
        <f t="shared" si="50"/>
        <v>5700</v>
      </c>
    </row>
    <row r="1614" spans="1:8" x14ac:dyDescent="0.25">
      <c r="A1614" s="13">
        <v>45412</v>
      </c>
      <c r="B1614" s="15" t="s">
        <v>21</v>
      </c>
      <c r="C1614" s="3">
        <v>2</v>
      </c>
      <c r="D1614" s="13">
        <f t="shared" si="51"/>
        <v>45414</v>
      </c>
      <c r="E1614" s="15">
        <v>-2000</v>
      </c>
      <c r="F1614" s="9">
        <v>8.6999999999999994E-2</v>
      </c>
      <c r="G1614" s="9">
        <v>8.6999999999999994E-2</v>
      </c>
      <c r="H1614" s="15">
        <f t="shared" si="50"/>
        <v>-1000</v>
      </c>
    </row>
    <row r="1615" spans="1:8" x14ac:dyDescent="0.25">
      <c r="A1615" s="13">
        <v>45414</v>
      </c>
      <c r="B1615" s="15" t="s">
        <v>21</v>
      </c>
      <c r="C1615" s="3">
        <v>1</v>
      </c>
      <c r="D1615" s="13">
        <f t="shared" si="51"/>
        <v>45415</v>
      </c>
      <c r="E1615" s="15">
        <v>-2500</v>
      </c>
      <c r="F1615" s="9">
        <v>8.7499999999999994E-2</v>
      </c>
      <c r="G1615" s="9">
        <v>8.7499999999999994E-2</v>
      </c>
      <c r="H1615" s="15">
        <f t="shared" si="50"/>
        <v>-2500</v>
      </c>
    </row>
    <row r="1616" spans="1:8" x14ac:dyDescent="0.25">
      <c r="A1616" s="13">
        <v>45418</v>
      </c>
      <c r="B1616" s="15" t="s">
        <v>21</v>
      </c>
      <c r="C1616" s="3">
        <v>2</v>
      </c>
      <c r="D1616" s="13">
        <f t="shared" si="51"/>
        <v>45420</v>
      </c>
      <c r="E1616" s="15">
        <v>600</v>
      </c>
      <c r="F1616" s="9">
        <v>8.5000000000000006E-2</v>
      </c>
      <c r="G1616" s="9">
        <v>8.5000000000000006E-2</v>
      </c>
      <c r="H1616" s="15">
        <f t="shared" si="50"/>
        <v>600</v>
      </c>
    </row>
    <row r="1617" spans="1:8" x14ac:dyDescent="0.25">
      <c r="A1617" s="13">
        <v>45419</v>
      </c>
      <c r="B1617" s="15" t="s">
        <v>21</v>
      </c>
      <c r="C1617" s="3">
        <v>6</v>
      </c>
      <c r="D1617" s="13">
        <f t="shared" si="51"/>
        <v>45425</v>
      </c>
      <c r="E1617" s="15">
        <v>400</v>
      </c>
      <c r="F1617" s="9">
        <v>8.5000000000000006E-2</v>
      </c>
      <c r="G1617" s="9">
        <v>8.5000000000000006E-2</v>
      </c>
      <c r="H1617" s="15">
        <f t="shared" si="50"/>
        <v>1000</v>
      </c>
    </row>
    <row r="1618" spans="1:8" x14ac:dyDescent="0.25">
      <c r="A1618" s="13">
        <v>45420</v>
      </c>
      <c r="B1618" s="15" t="s">
        <v>21</v>
      </c>
      <c r="C1618" s="3">
        <v>2</v>
      </c>
      <c r="D1618" s="13">
        <f t="shared" si="51"/>
        <v>45422</v>
      </c>
      <c r="E1618" s="15">
        <v>400</v>
      </c>
      <c r="F1618" s="9">
        <v>8.5000000000000006E-2</v>
      </c>
      <c r="G1618" s="9">
        <v>8.5000000000000006E-2</v>
      </c>
      <c r="H1618" s="15">
        <f t="shared" si="50"/>
        <v>3800</v>
      </c>
    </row>
    <row r="1619" spans="1:8" x14ac:dyDescent="0.25">
      <c r="A1619" s="13">
        <v>45420</v>
      </c>
      <c r="B1619" s="15" t="s">
        <v>21</v>
      </c>
      <c r="C1619" s="3">
        <v>5</v>
      </c>
      <c r="D1619" s="13">
        <f t="shared" si="51"/>
        <v>45425</v>
      </c>
      <c r="E1619" s="15">
        <v>900</v>
      </c>
      <c r="F1619" s="9">
        <v>8.5000000000000006E-2</v>
      </c>
      <c r="G1619" s="9">
        <v>8.5000000000000006E-2</v>
      </c>
      <c r="H1619" s="15">
        <f t="shared" si="50"/>
        <v>3800</v>
      </c>
    </row>
    <row r="1620" spans="1:8" x14ac:dyDescent="0.25">
      <c r="A1620" s="13">
        <v>45420</v>
      </c>
      <c r="B1620" s="15" t="s">
        <v>21</v>
      </c>
      <c r="C1620" s="3">
        <v>12</v>
      </c>
      <c r="D1620" s="13">
        <f t="shared" si="51"/>
        <v>45432</v>
      </c>
      <c r="E1620" s="15">
        <v>2100</v>
      </c>
      <c r="F1620" s="9">
        <v>8.5000000000000006E-2</v>
      </c>
      <c r="G1620" s="9">
        <v>8.5000000000000006E-2</v>
      </c>
      <c r="H1620" s="15">
        <f t="shared" si="50"/>
        <v>3800</v>
      </c>
    </row>
    <row r="1621" spans="1:8" x14ac:dyDescent="0.25">
      <c r="A1621" s="13">
        <v>45421</v>
      </c>
      <c r="B1621" s="15" t="s">
        <v>21</v>
      </c>
      <c r="C1621" s="3">
        <v>4</v>
      </c>
      <c r="D1621" s="13">
        <f t="shared" si="51"/>
        <v>45425</v>
      </c>
      <c r="E1621" s="15">
        <v>2800</v>
      </c>
      <c r="F1621" s="9">
        <v>8.5000000000000006E-2</v>
      </c>
      <c r="G1621" s="9">
        <v>8.5000000000000006E-2</v>
      </c>
      <c r="H1621" s="15">
        <f t="shared" si="50"/>
        <v>6600</v>
      </c>
    </row>
    <row r="1622" spans="1:8" x14ac:dyDescent="0.25">
      <c r="A1622" s="13">
        <v>45422</v>
      </c>
      <c r="B1622" s="15" t="s">
        <v>21</v>
      </c>
      <c r="C1622" s="3">
        <v>4</v>
      </c>
      <c r="D1622" s="13">
        <f t="shared" si="51"/>
        <v>45426</v>
      </c>
      <c r="E1622" s="15">
        <v>1900</v>
      </c>
      <c r="F1622" s="9">
        <v>8.5000000000000006E-2</v>
      </c>
      <c r="G1622" s="9">
        <v>8.5000000000000006E-2</v>
      </c>
      <c r="H1622" s="15">
        <f t="shared" si="50"/>
        <v>12500</v>
      </c>
    </row>
    <row r="1623" spans="1:8" x14ac:dyDescent="0.25">
      <c r="A1623" s="13">
        <v>45422</v>
      </c>
      <c r="B1623" s="15" t="s">
        <v>21</v>
      </c>
      <c r="C1623" s="3">
        <v>5</v>
      </c>
      <c r="D1623" s="13">
        <f t="shared" si="51"/>
        <v>45427</v>
      </c>
      <c r="E1623" s="15">
        <v>3200</v>
      </c>
      <c r="F1623" s="9">
        <v>8.5000000000000006E-2</v>
      </c>
      <c r="G1623" s="9">
        <v>8.5000000000000006E-2</v>
      </c>
      <c r="H1623" s="15">
        <f t="shared" si="50"/>
        <v>12500</v>
      </c>
    </row>
    <row r="1624" spans="1:8" x14ac:dyDescent="0.25">
      <c r="A1624" s="13">
        <v>45422</v>
      </c>
      <c r="B1624" s="15" t="s">
        <v>21</v>
      </c>
      <c r="C1624" s="3">
        <v>7</v>
      </c>
      <c r="D1624" s="13">
        <f t="shared" si="51"/>
        <v>45429</v>
      </c>
      <c r="E1624" s="15">
        <v>1200</v>
      </c>
      <c r="F1624" s="9">
        <v>8.5000000000000006E-2</v>
      </c>
      <c r="G1624" s="9">
        <v>8.5000000000000006E-2</v>
      </c>
      <c r="H1624" s="15">
        <f t="shared" si="50"/>
        <v>12500</v>
      </c>
    </row>
    <row r="1625" spans="1:8" x14ac:dyDescent="0.25">
      <c r="A1625" s="13">
        <v>45425</v>
      </c>
      <c r="B1625" s="15" t="s">
        <v>21</v>
      </c>
      <c r="C1625" s="3">
        <v>2</v>
      </c>
      <c r="D1625" s="13">
        <f t="shared" si="51"/>
        <v>45427</v>
      </c>
      <c r="E1625" s="15">
        <v>1600</v>
      </c>
      <c r="F1625" s="9">
        <v>8.5000000000000006E-2</v>
      </c>
      <c r="G1625" s="9">
        <v>8.5000000000000006E-2</v>
      </c>
      <c r="H1625" s="15">
        <f t="shared" si="50"/>
        <v>12200</v>
      </c>
    </row>
    <row r="1626" spans="1:8" x14ac:dyDescent="0.25">
      <c r="A1626" s="13">
        <v>45425</v>
      </c>
      <c r="B1626" s="15" t="s">
        <v>21</v>
      </c>
      <c r="C1626" s="3">
        <v>3</v>
      </c>
      <c r="D1626" s="13">
        <f t="shared" si="51"/>
        <v>45428</v>
      </c>
      <c r="E1626" s="15">
        <v>500</v>
      </c>
      <c r="F1626" s="9">
        <v>8.5000000000000006E-2</v>
      </c>
      <c r="G1626" s="9">
        <v>8.5000000000000006E-2</v>
      </c>
      <c r="H1626" s="15">
        <f t="shared" si="50"/>
        <v>12200</v>
      </c>
    </row>
    <row r="1627" spans="1:8" x14ac:dyDescent="0.25">
      <c r="A1627" s="13">
        <v>45425</v>
      </c>
      <c r="B1627" s="15" t="s">
        <v>21</v>
      </c>
      <c r="C1627" s="3">
        <v>4</v>
      </c>
      <c r="D1627" s="13">
        <f t="shared" si="51"/>
        <v>45429</v>
      </c>
      <c r="E1627" s="15">
        <v>1700</v>
      </c>
      <c r="F1627" s="9">
        <v>8.5000000000000006E-2</v>
      </c>
      <c r="G1627" s="9">
        <v>8.5000000000000006E-2</v>
      </c>
      <c r="H1627" s="15">
        <f t="shared" si="50"/>
        <v>12200</v>
      </c>
    </row>
    <row r="1628" spans="1:8" x14ac:dyDescent="0.25">
      <c r="A1628" s="13">
        <v>45426</v>
      </c>
      <c r="B1628" s="15" t="s">
        <v>21</v>
      </c>
      <c r="C1628" s="3">
        <v>2</v>
      </c>
      <c r="D1628" s="13">
        <f t="shared" si="51"/>
        <v>45428</v>
      </c>
      <c r="E1628" s="15">
        <v>1000</v>
      </c>
      <c r="F1628" s="9">
        <v>8.5000000000000006E-2</v>
      </c>
      <c r="G1628" s="9">
        <v>8.5000000000000006E-2</v>
      </c>
      <c r="H1628" s="15">
        <f t="shared" si="50"/>
        <v>12900</v>
      </c>
    </row>
    <row r="1629" spans="1:8" x14ac:dyDescent="0.25">
      <c r="A1629" s="13">
        <v>45426</v>
      </c>
      <c r="B1629" s="15" t="s">
        <v>21</v>
      </c>
      <c r="C1629" s="3">
        <v>6</v>
      </c>
      <c r="D1629" s="13">
        <f t="shared" si="51"/>
        <v>45432</v>
      </c>
      <c r="E1629" s="15">
        <v>1600</v>
      </c>
      <c r="F1629" s="9">
        <v>8.5000000000000006E-2</v>
      </c>
      <c r="G1629" s="9">
        <v>8.5000000000000006E-2</v>
      </c>
      <c r="H1629" s="15">
        <f t="shared" si="50"/>
        <v>12900</v>
      </c>
    </row>
    <row r="1630" spans="1:8" x14ac:dyDescent="0.25">
      <c r="A1630" s="13">
        <v>45427</v>
      </c>
      <c r="B1630" s="15" t="s">
        <v>21</v>
      </c>
      <c r="C1630" s="3">
        <v>2</v>
      </c>
      <c r="D1630" s="13">
        <f t="shared" si="51"/>
        <v>45429</v>
      </c>
      <c r="E1630" s="15">
        <v>5000</v>
      </c>
      <c r="F1630" s="9">
        <v>8.5000000000000006E-2</v>
      </c>
      <c r="G1630" s="9">
        <v>8.5000000000000006E-2</v>
      </c>
      <c r="H1630" s="15">
        <f t="shared" si="50"/>
        <v>13100</v>
      </c>
    </row>
    <row r="1631" spans="1:8" x14ac:dyDescent="0.25">
      <c r="A1631" s="13">
        <v>45428</v>
      </c>
      <c r="B1631" s="15" t="s">
        <v>21</v>
      </c>
      <c r="C1631" s="3">
        <v>4</v>
      </c>
      <c r="D1631" s="13">
        <f t="shared" si="51"/>
        <v>45432</v>
      </c>
      <c r="E1631" s="15">
        <v>2100</v>
      </c>
      <c r="F1631" s="9">
        <v>8.5000000000000006E-2</v>
      </c>
      <c r="G1631" s="9">
        <v>8.5000000000000006E-2</v>
      </c>
      <c r="H1631" s="15">
        <f t="shared" si="50"/>
        <v>13700</v>
      </c>
    </row>
    <row r="1632" spans="1:8" x14ac:dyDescent="0.25">
      <c r="A1632" s="13">
        <v>45429</v>
      </c>
      <c r="B1632" s="15" t="s">
        <v>21</v>
      </c>
      <c r="C1632" s="3">
        <v>4</v>
      </c>
      <c r="D1632" s="13">
        <f t="shared" si="51"/>
        <v>45433</v>
      </c>
      <c r="E1632" s="15">
        <v>1800</v>
      </c>
      <c r="F1632" s="9">
        <v>8.5000000000000006E-2</v>
      </c>
      <c r="G1632" s="9">
        <v>8.5000000000000006E-2</v>
      </c>
      <c r="H1632" s="15">
        <f t="shared" si="50"/>
        <v>9400</v>
      </c>
    </row>
    <row r="1633" spans="1:8" x14ac:dyDescent="0.25">
      <c r="A1633" s="13">
        <v>45429</v>
      </c>
      <c r="B1633" s="15" t="s">
        <v>21</v>
      </c>
      <c r="C1633" s="3">
        <v>5</v>
      </c>
      <c r="D1633" s="13">
        <f t="shared" si="51"/>
        <v>45434</v>
      </c>
      <c r="E1633" s="15">
        <v>800</v>
      </c>
      <c r="F1633" s="9">
        <v>8.5000000000000006E-2</v>
      </c>
      <c r="G1633" s="9">
        <v>8.5000000000000006E-2</v>
      </c>
      <c r="H1633" s="15">
        <f t="shared" si="50"/>
        <v>9400</v>
      </c>
    </row>
    <row r="1634" spans="1:8" x14ac:dyDescent="0.25">
      <c r="A1634" s="13">
        <v>45429</v>
      </c>
      <c r="B1634" s="15" t="s">
        <v>21</v>
      </c>
      <c r="C1634" s="3">
        <v>6</v>
      </c>
      <c r="D1634" s="13">
        <f t="shared" si="51"/>
        <v>45435</v>
      </c>
      <c r="E1634" s="15">
        <v>400</v>
      </c>
      <c r="F1634" s="9">
        <v>8.5000000000000006E-2</v>
      </c>
      <c r="G1634" s="9">
        <v>8.5000000000000006E-2</v>
      </c>
      <c r="H1634" s="15">
        <f t="shared" si="50"/>
        <v>9400</v>
      </c>
    </row>
    <row r="1635" spans="1:8" x14ac:dyDescent="0.25">
      <c r="A1635" s="13">
        <v>45429</v>
      </c>
      <c r="B1635" s="15" t="s">
        <v>21</v>
      </c>
      <c r="C1635" s="3">
        <v>7</v>
      </c>
      <c r="D1635" s="13">
        <f t="shared" si="51"/>
        <v>45436</v>
      </c>
      <c r="E1635" s="15">
        <v>600</v>
      </c>
      <c r="F1635" s="9">
        <v>8.5000000000000006E-2</v>
      </c>
      <c r="G1635" s="9">
        <v>8.5000000000000006E-2</v>
      </c>
      <c r="H1635" s="15">
        <f t="shared" si="50"/>
        <v>9400</v>
      </c>
    </row>
    <row r="1636" spans="1:8" x14ac:dyDescent="0.25">
      <c r="A1636" s="13">
        <v>45432</v>
      </c>
      <c r="B1636" s="15" t="s">
        <v>21</v>
      </c>
      <c r="C1636" s="3">
        <v>1</v>
      </c>
      <c r="D1636" s="13">
        <f t="shared" si="51"/>
        <v>45433</v>
      </c>
      <c r="E1636" s="15">
        <v>100</v>
      </c>
      <c r="F1636" s="9">
        <v>8.5000000000000006E-2</v>
      </c>
      <c r="G1636" s="9">
        <v>8.5000000000000006E-2</v>
      </c>
      <c r="H1636" s="15">
        <f t="shared" si="50"/>
        <v>9100</v>
      </c>
    </row>
    <row r="1637" spans="1:8" x14ac:dyDescent="0.25">
      <c r="A1637" s="13">
        <v>45432</v>
      </c>
      <c r="B1637" s="15" t="s">
        <v>21</v>
      </c>
      <c r="C1637" s="3">
        <v>2</v>
      </c>
      <c r="D1637" s="13">
        <f t="shared" si="51"/>
        <v>45434</v>
      </c>
      <c r="E1637" s="15">
        <v>1900</v>
      </c>
      <c r="F1637" s="9">
        <v>8.5000000000000006E-2</v>
      </c>
      <c r="G1637" s="9">
        <v>8.5000000000000006E-2</v>
      </c>
      <c r="H1637" s="15">
        <f t="shared" si="50"/>
        <v>9100</v>
      </c>
    </row>
    <row r="1638" spans="1:8" x14ac:dyDescent="0.25">
      <c r="A1638" s="13">
        <v>45432</v>
      </c>
      <c r="B1638" s="15" t="s">
        <v>21</v>
      </c>
      <c r="C1638" s="3">
        <v>3</v>
      </c>
      <c r="D1638" s="13">
        <f t="shared" si="51"/>
        <v>45435</v>
      </c>
      <c r="E1638" s="15">
        <v>1300</v>
      </c>
      <c r="F1638" s="9">
        <v>8.5000000000000006E-2</v>
      </c>
      <c r="G1638" s="9">
        <v>8.5000000000000006E-2</v>
      </c>
      <c r="H1638" s="15">
        <f t="shared" si="50"/>
        <v>9100</v>
      </c>
    </row>
    <row r="1639" spans="1:8" x14ac:dyDescent="0.25">
      <c r="A1639" s="13">
        <v>45432</v>
      </c>
      <c r="B1639" s="15" t="s">
        <v>21</v>
      </c>
      <c r="C1639" s="3">
        <v>4</v>
      </c>
      <c r="D1639" s="13">
        <f t="shared" si="51"/>
        <v>45436</v>
      </c>
      <c r="E1639" s="15">
        <v>2200</v>
      </c>
      <c r="F1639" s="9">
        <v>8.5000000000000006E-2</v>
      </c>
      <c r="G1639" s="9">
        <v>8.5000000000000006E-2</v>
      </c>
      <c r="H1639" s="15">
        <f t="shared" si="50"/>
        <v>9100</v>
      </c>
    </row>
    <row r="1640" spans="1:8" x14ac:dyDescent="0.25">
      <c r="A1640" s="13">
        <v>45433</v>
      </c>
      <c r="B1640" s="15" t="s">
        <v>21</v>
      </c>
      <c r="C1640" s="3">
        <v>1</v>
      </c>
      <c r="D1640" s="13">
        <f t="shared" si="51"/>
        <v>45434</v>
      </c>
      <c r="E1640" s="15">
        <v>1100</v>
      </c>
      <c r="F1640" s="9">
        <v>8.2500000000000004E-2</v>
      </c>
      <c r="G1640" s="9">
        <v>8.5000000000000006E-2</v>
      </c>
      <c r="H1640" s="15">
        <f t="shared" si="50"/>
        <v>11700</v>
      </c>
    </row>
    <row r="1641" spans="1:8" x14ac:dyDescent="0.25">
      <c r="A1641" s="13">
        <v>45433</v>
      </c>
      <c r="B1641" s="15" t="s">
        <v>21</v>
      </c>
      <c r="C1641" s="3">
        <v>2</v>
      </c>
      <c r="D1641" s="13">
        <f t="shared" si="51"/>
        <v>45435</v>
      </c>
      <c r="E1641" s="15">
        <v>600</v>
      </c>
      <c r="F1641" s="9">
        <v>8.5000000000000006E-2</v>
      </c>
      <c r="G1641" s="9">
        <v>8.5000000000000006E-2</v>
      </c>
      <c r="H1641" s="15">
        <f t="shared" si="50"/>
        <v>11700</v>
      </c>
    </row>
    <row r="1642" spans="1:8" x14ac:dyDescent="0.25">
      <c r="A1642" s="13">
        <v>45433</v>
      </c>
      <c r="B1642" s="15" t="s">
        <v>21</v>
      </c>
      <c r="C1642" s="3">
        <v>3</v>
      </c>
      <c r="D1642" s="13">
        <f t="shared" si="51"/>
        <v>45436</v>
      </c>
      <c r="E1642" s="15">
        <v>1200</v>
      </c>
      <c r="F1642" s="9">
        <v>8.5000000000000006E-2</v>
      </c>
      <c r="G1642" s="9">
        <v>8.5000000000000006E-2</v>
      </c>
      <c r="H1642" s="15">
        <f t="shared" si="50"/>
        <v>11700</v>
      </c>
    </row>
    <row r="1643" spans="1:8" x14ac:dyDescent="0.25">
      <c r="A1643" s="13">
        <v>45433</v>
      </c>
      <c r="B1643" s="15" t="s">
        <v>21</v>
      </c>
      <c r="C1643" s="3">
        <v>6</v>
      </c>
      <c r="D1643" s="13">
        <f t="shared" si="51"/>
        <v>45439</v>
      </c>
      <c r="E1643" s="15">
        <v>200</v>
      </c>
      <c r="F1643" s="9">
        <v>8.5000000000000006E-2</v>
      </c>
      <c r="G1643" s="9">
        <v>8.5000000000000006E-2</v>
      </c>
      <c r="H1643" s="15">
        <f t="shared" si="50"/>
        <v>11700</v>
      </c>
    </row>
    <row r="1644" spans="1:8" x14ac:dyDescent="0.25">
      <c r="A1644" s="13">
        <v>45433</v>
      </c>
      <c r="B1644" s="15" t="s">
        <v>21</v>
      </c>
      <c r="C1644" s="3">
        <v>7</v>
      </c>
      <c r="D1644" s="13">
        <f t="shared" si="51"/>
        <v>45440</v>
      </c>
      <c r="E1644" s="15">
        <v>200</v>
      </c>
      <c r="F1644" s="9">
        <v>8.5000000000000006E-2</v>
      </c>
      <c r="G1644" s="9">
        <v>8.5000000000000006E-2</v>
      </c>
      <c r="H1644" s="15">
        <f t="shared" si="50"/>
        <v>11700</v>
      </c>
    </row>
    <row r="1645" spans="1:8" x14ac:dyDescent="0.25">
      <c r="A1645" s="13">
        <v>45433</v>
      </c>
      <c r="B1645" s="15" t="s">
        <v>21</v>
      </c>
      <c r="C1645" s="3">
        <v>10</v>
      </c>
      <c r="D1645" s="13">
        <f t="shared" si="51"/>
        <v>45443</v>
      </c>
      <c r="E1645" s="15">
        <v>1200</v>
      </c>
      <c r="F1645" s="9">
        <v>8.5500000000000007E-2</v>
      </c>
      <c r="G1645" s="9">
        <v>8.5500000000000007E-2</v>
      </c>
      <c r="H1645" s="15">
        <f t="shared" si="50"/>
        <v>11700</v>
      </c>
    </row>
    <row r="1646" spans="1:8" x14ac:dyDescent="0.25">
      <c r="A1646" s="13">
        <v>45434</v>
      </c>
      <c r="B1646" s="15" t="s">
        <v>21</v>
      </c>
      <c r="C1646" s="3">
        <v>1</v>
      </c>
      <c r="D1646" s="13">
        <f t="shared" si="51"/>
        <v>45435</v>
      </c>
      <c r="E1646" s="15">
        <v>300</v>
      </c>
      <c r="F1646" s="9">
        <v>8.5000000000000006E-2</v>
      </c>
      <c r="G1646" s="9">
        <v>8.5000000000000006E-2</v>
      </c>
      <c r="H1646" s="15">
        <f t="shared" si="50"/>
        <v>12500</v>
      </c>
    </row>
    <row r="1647" spans="1:8" x14ac:dyDescent="0.25">
      <c r="A1647" s="13">
        <v>45434</v>
      </c>
      <c r="B1647" s="15" t="s">
        <v>21</v>
      </c>
      <c r="C1647" s="3">
        <v>2</v>
      </c>
      <c r="D1647" s="13">
        <f t="shared" si="51"/>
        <v>45436</v>
      </c>
      <c r="E1647" s="15">
        <v>200</v>
      </c>
      <c r="F1647" s="9">
        <v>8.5000000000000006E-2</v>
      </c>
      <c r="G1647" s="9">
        <v>8.5000000000000006E-2</v>
      </c>
      <c r="H1647" s="15">
        <f t="shared" si="50"/>
        <v>12500</v>
      </c>
    </row>
    <row r="1648" spans="1:8" x14ac:dyDescent="0.25">
      <c r="A1648" s="13">
        <v>45434</v>
      </c>
      <c r="B1648" s="15" t="s">
        <v>21</v>
      </c>
      <c r="C1648" s="3">
        <v>5</v>
      </c>
      <c r="D1648" s="13">
        <f t="shared" si="51"/>
        <v>45439</v>
      </c>
      <c r="E1648" s="15">
        <v>2600</v>
      </c>
      <c r="F1648" s="9">
        <v>8.5000000000000006E-2</v>
      </c>
      <c r="G1648" s="9">
        <v>8.5000000000000006E-2</v>
      </c>
      <c r="H1648" s="15">
        <f t="shared" si="50"/>
        <v>12500</v>
      </c>
    </row>
    <row r="1649" spans="1:8" x14ac:dyDescent="0.25">
      <c r="A1649" s="13">
        <v>45434</v>
      </c>
      <c r="B1649" s="15" t="s">
        <v>21</v>
      </c>
      <c r="C1649" s="3">
        <v>9</v>
      </c>
      <c r="D1649" s="13">
        <f t="shared" si="51"/>
        <v>45443</v>
      </c>
      <c r="E1649" s="15">
        <v>1500</v>
      </c>
      <c r="F1649" s="9">
        <v>8.5500000000000007E-2</v>
      </c>
      <c r="G1649" s="9">
        <v>8.5500000000000007E-2</v>
      </c>
      <c r="H1649" s="15">
        <f t="shared" si="50"/>
        <v>12500</v>
      </c>
    </row>
    <row r="1650" spans="1:8" x14ac:dyDescent="0.25">
      <c r="A1650" s="13">
        <v>45436</v>
      </c>
      <c r="B1650" s="15" t="s">
        <v>21</v>
      </c>
      <c r="C1650" s="3">
        <v>3</v>
      </c>
      <c r="D1650" s="13">
        <f t="shared" si="51"/>
        <v>45439</v>
      </c>
      <c r="E1650" s="15">
        <v>-7000</v>
      </c>
      <c r="F1650" s="9">
        <v>8.6999999999999994E-2</v>
      </c>
      <c r="G1650" s="9">
        <v>8.6999999999999994E-2</v>
      </c>
      <c r="H1650" s="15">
        <f t="shared" si="50"/>
        <v>-1300</v>
      </c>
    </row>
    <row r="1651" spans="1:8" x14ac:dyDescent="0.25">
      <c r="A1651" s="13">
        <v>45439</v>
      </c>
      <c r="B1651" s="15" t="s">
        <v>21</v>
      </c>
      <c r="C1651" s="3">
        <v>2</v>
      </c>
      <c r="D1651" s="13">
        <f t="shared" si="51"/>
        <v>45441</v>
      </c>
      <c r="E1651" s="15">
        <v>-1600</v>
      </c>
      <c r="F1651" s="9">
        <v>8.6999999999999994E-2</v>
      </c>
      <c r="G1651" s="9">
        <v>8.6999999999999994E-2</v>
      </c>
      <c r="H1651" s="15">
        <f t="shared" si="50"/>
        <v>1300</v>
      </c>
    </row>
    <row r="1652" spans="1:8" x14ac:dyDescent="0.25">
      <c r="A1652" s="13">
        <v>45440</v>
      </c>
      <c r="B1652" s="15" t="s">
        <v>21</v>
      </c>
      <c r="C1652" s="3">
        <v>2</v>
      </c>
      <c r="D1652" s="13">
        <f t="shared" si="51"/>
        <v>45442</v>
      </c>
      <c r="E1652" s="15">
        <v>500</v>
      </c>
      <c r="F1652" s="9">
        <v>8.5000000000000006E-2</v>
      </c>
      <c r="G1652" s="9">
        <v>8.5000000000000006E-2</v>
      </c>
      <c r="H1652" s="15">
        <f t="shared" si="50"/>
        <v>1600</v>
      </c>
    </row>
    <row r="1653" spans="1:8" x14ac:dyDescent="0.25">
      <c r="A1653" s="13">
        <v>45442</v>
      </c>
      <c r="B1653" s="15" t="s">
        <v>21</v>
      </c>
      <c r="C1653" s="3">
        <v>1</v>
      </c>
      <c r="D1653" s="13">
        <f t="shared" si="51"/>
        <v>45443</v>
      </c>
      <c r="E1653" s="15">
        <v>-2000</v>
      </c>
      <c r="F1653" s="9">
        <v>8.5000000000000006E-2</v>
      </c>
      <c r="G1653" s="9">
        <v>8.6999999999999994E-2</v>
      </c>
      <c r="H1653" s="15">
        <f t="shared" si="50"/>
        <v>700</v>
      </c>
    </row>
    <row r="1654" spans="1:8" x14ac:dyDescent="0.25">
      <c r="A1654" s="13">
        <v>45443</v>
      </c>
      <c r="B1654" s="15" t="s">
        <v>21</v>
      </c>
      <c r="C1654" s="3">
        <v>3</v>
      </c>
      <c r="D1654" s="13">
        <f t="shared" si="51"/>
        <v>45446</v>
      </c>
      <c r="E1654" s="15">
        <v>-1000</v>
      </c>
      <c r="F1654" s="9">
        <v>8.6999999999999994E-2</v>
      </c>
      <c r="G1654" s="9">
        <v>8.6999999999999994E-2</v>
      </c>
      <c r="H1654" s="15">
        <f t="shared" si="50"/>
        <v>-1000</v>
      </c>
    </row>
    <row r="1655" spans="1:8" x14ac:dyDescent="0.25">
      <c r="A1655" s="13">
        <v>45449</v>
      </c>
      <c r="B1655" s="15" t="s">
        <v>21</v>
      </c>
      <c r="C1655" s="3">
        <v>4</v>
      </c>
      <c r="D1655" s="13">
        <f t="shared" si="51"/>
        <v>45453</v>
      </c>
      <c r="E1655" s="15">
        <v>200</v>
      </c>
      <c r="F1655" s="9">
        <v>8.5000000000000006E-2</v>
      </c>
      <c r="G1655" s="9">
        <v>8.5000000000000006E-2</v>
      </c>
      <c r="H1655" s="15">
        <f t="shared" si="50"/>
        <v>200</v>
      </c>
    </row>
    <row r="1656" spans="1:8" x14ac:dyDescent="0.25">
      <c r="A1656" s="13">
        <v>45450</v>
      </c>
      <c r="B1656" s="15" t="s">
        <v>21</v>
      </c>
      <c r="C1656" s="3">
        <v>4</v>
      </c>
      <c r="D1656" s="13">
        <f t="shared" si="51"/>
        <v>45454</v>
      </c>
      <c r="E1656" s="15">
        <v>1000</v>
      </c>
      <c r="F1656" s="9">
        <v>8.5000000000000006E-2</v>
      </c>
      <c r="G1656" s="9">
        <v>8.5000000000000006E-2</v>
      </c>
      <c r="H1656" s="15">
        <f t="shared" si="50"/>
        <v>3400</v>
      </c>
    </row>
    <row r="1657" spans="1:8" x14ac:dyDescent="0.25">
      <c r="A1657" s="13">
        <v>45450</v>
      </c>
      <c r="B1657" s="15" t="s">
        <v>21</v>
      </c>
      <c r="C1657" s="3">
        <v>4</v>
      </c>
      <c r="D1657" s="13">
        <f t="shared" si="51"/>
        <v>45454</v>
      </c>
      <c r="E1657" s="15">
        <v>-500</v>
      </c>
      <c r="F1657" s="9">
        <v>8.5000000000000006E-2</v>
      </c>
      <c r="G1657" s="9">
        <v>8.5000000000000006E-2</v>
      </c>
      <c r="H1657" s="15">
        <f t="shared" si="50"/>
        <v>3400</v>
      </c>
    </row>
    <row r="1658" spans="1:8" x14ac:dyDescent="0.25">
      <c r="A1658" s="13">
        <v>45450</v>
      </c>
      <c r="B1658" s="15" t="s">
        <v>21</v>
      </c>
      <c r="C1658" s="3">
        <v>5</v>
      </c>
      <c r="D1658" s="13">
        <f t="shared" si="51"/>
        <v>45455</v>
      </c>
      <c r="E1658" s="15">
        <v>700</v>
      </c>
      <c r="F1658" s="9">
        <v>8.5000000000000006E-2</v>
      </c>
      <c r="G1658" s="9">
        <v>8.5000000000000006E-2</v>
      </c>
      <c r="H1658" s="15">
        <f t="shared" si="50"/>
        <v>3400</v>
      </c>
    </row>
    <row r="1659" spans="1:8" x14ac:dyDescent="0.25">
      <c r="A1659" s="13">
        <v>45450</v>
      </c>
      <c r="B1659" s="15" t="s">
        <v>21</v>
      </c>
      <c r="C1659" s="3">
        <v>10</v>
      </c>
      <c r="D1659" s="13">
        <f t="shared" si="51"/>
        <v>45460</v>
      </c>
      <c r="E1659" s="15">
        <v>2000</v>
      </c>
      <c r="F1659" s="9">
        <v>8.5500000000000007E-2</v>
      </c>
      <c r="G1659" s="9">
        <v>8.5500000000000007E-2</v>
      </c>
      <c r="H1659" s="15">
        <f t="shared" si="50"/>
        <v>3400</v>
      </c>
    </row>
    <row r="1660" spans="1:8" x14ac:dyDescent="0.25">
      <c r="A1660" s="13">
        <v>45453</v>
      </c>
      <c r="B1660" s="15" t="s">
        <v>21</v>
      </c>
      <c r="C1660" s="3">
        <v>2</v>
      </c>
      <c r="D1660" s="13">
        <f t="shared" si="51"/>
        <v>45455</v>
      </c>
      <c r="E1660" s="15">
        <v>1100</v>
      </c>
      <c r="F1660" s="9">
        <v>8.5000000000000006E-2</v>
      </c>
      <c r="G1660" s="9">
        <v>8.5000000000000006E-2</v>
      </c>
      <c r="H1660" s="15">
        <f t="shared" si="50"/>
        <v>5000</v>
      </c>
    </row>
    <row r="1661" spans="1:8" x14ac:dyDescent="0.25">
      <c r="A1661" s="13">
        <v>45453</v>
      </c>
      <c r="B1661" s="15" t="s">
        <v>21</v>
      </c>
      <c r="C1661" s="3">
        <v>3</v>
      </c>
      <c r="D1661" s="13">
        <f t="shared" si="51"/>
        <v>45456</v>
      </c>
      <c r="E1661" s="15">
        <v>300</v>
      </c>
      <c r="F1661" s="9">
        <v>8.5000000000000006E-2</v>
      </c>
      <c r="G1661" s="9">
        <v>8.5000000000000006E-2</v>
      </c>
      <c r="H1661" s="15">
        <f t="shared" si="50"/>
        <v>5000</v>
      </c>
    </row>
    <row r="1662" spans="1:8" x14ac:dyDescent="0.25">
      <c r="A1662" s="13">
        <v>45453</v>
      </c>
      <c r="B1662" s="15" t="s">
        <v>21</v>
      </c>
      <c r="C1662" s="3">
        <v>4</v>
      </c>
      <c r="D1662" s="13">
        <f t="shared" si="51"/>
        <v>45457</v>
      </c>
      <c r="E1662" s="15">
        <v>400</v>
      </c>
      <c r="F1662" s="9">
        <v>8.5000000000000006E-2</v>
      </c>
      <c r="G1662" s="9">
        <v>8.5000000000000006E-2</v>
      </c>
      <c r="H1662" s="15">
        <f t="shared" si="50"/>
        <v>5000</v>
      </c>
    </row>
    <row r="1663" spans="1:8" x14ac:dyDescent="0.25">
      <c r="A1663" s="13">
        <v>45454</v>
      </c>
      <c r="B1663" s="15" t="s">
        <v>21</v>
      </c>
      <c r="C1663" s="3">
        <v>2</v>
      </c>
      <c r="D1663" s="13">
        <f t="shared" si="51"/>
        <v>45456</v>
      </c>
      <c r="E1663" s="15">
        <v>2000</v>
      </c>
      <c r="F1663" s="9">
        <v>8.5000000000000006E-2</v>
      </c>
      <c r="G1663" s="9">
        <v>8.5000000000000006E-2</v>
      </c>
      <c r="H1663" s="15">
        <f t="shared" si="50"/>
        <v>9800</v>
      </c>
    </row>
    <row r="1664" spans="1:8" x14ac:dyDescent="0.25">
      <c r="A1664" s="13">
        <v>45454</v>
      </c>
      <c r="B1664" s="15" t="s">
        <v>21</v>
      </c>
      <c r="C1664" s="3">
        <v>3</v>
      </c>
      <c r="D1664" s="13">
        <f t="shared" si="51"/>
        <v>45457</v>
      </c>
      <c r="E1664" s="15">
        <v>300</v>
      </c>
      <c r="F1664" s="9">
        <v>8.5000000000000006E-2</v>
      </c>
      <c r="G1664" s="9">
        <v>8.5000000000000006E-2</v>
      </c>
      <c r="H1664" s="15">
        <f t="shared" si="50"/>
        <v>9800</v>
      </c>
    </row>
    <row r="1665" spans="1:8" x14ac:dyDescent="0.25">
      <c r="A1665" s="13">
        <v>45454</v>
      </c>
      <c r="B1665" s="15" t="s">
        <v>21</v>
      </c>
      <c r="C1665" s="3">
        <v>10</v>
      </c>
      <c r="D1665" s="13">
        <f t="shared" si="51"/>
        <v>45464</v>
      </c>
      <c r="E1665" s="15">
        <v>2000</v>
      </c>
      <c r="F1665" s="9">
        <v>8.5500000000000007E-2</v>
      </c>
      <c r="G1665" s="9">
        <v>8.5500000000000007E-2</v>
      </c>
      <c r="H1665" s="15">
        <f t="shared" si="50"/>
        <v>9800</v>
      </c>
    </row>
    <row r="1666" spans="1:8" x14ac:dyDescent="0.25">
      <c r="A1666" s="13">
        <v>45454</v>
      </c>
      <c r="B1666" s="15" t="s">
        <v>21</v>
      </c>
      <c r="C1666" s="3">
        <v>13</v>
      </c>
      <c r="D1666" s="13">
        <f t="shared" si="51"/>
        <v>45467</v>
      </c>
      <c r="E1666" s="15">
        <v>1000</v>
      </c>
      <c r="F1666" s="9">
        <v>8.5500000000000007E-2</v>
      </c>
      <c r="G1666" s="9">
        <v>8.5500000000000007E-2</v>
      </c>
      <c r="H1666" s="15">
        <f t="shared" si="50"/>
        <v>9800</v>
      </c>
    </row>
    <row r="1667" spans="1:8" x14ac:dyDescent="0.25">
      <c r="A1667" s="13">
        <v>45455</v>
      </c>
      <c r="B1667" s="15" t="s">
        <v>21</v>
      </c>
      <c r="C1667" s="3">
        <v>2</v>
      </c>
      <c r="D1667" s="13">
        <f t="shared" si="51"/>
        <v>45457</v>
      </c>
      <c r="E1667" s="15">
        <v>3200</v>
      </c>
      <c r="F1667" s="9">
        <v>8.5000000000000006E-2</v>
      </c>
      <c r="G1667" s="9">
        <v>8.5000000000000006E-2</v>
      </c>
      <c r="H1667" s="15">
        <f t="shared" si="50"/>
        <v>14400</v>
      </c>
    </row>
    <row r="1668" spans="1:8" x14ac:dyDescent="0.25">
      <c r="A1668" s="13">
        <v>45455</v>
      </c>
      <c r="B1668" s="15" t="s">
        <v>21</v>
      </c>
      <c r="C1668" s="3">
        <v>5</v>
      </c>
      <c r="D1668" s="13">
        <f t="shared" si="51"/>
        <v>45460</v>
      </c>
      <c r="E1668" s="15">
        <v>1200</v>
      </c>
      <c r="F1668" s="9">
        <v>8.5000000000000006E-2</v>
      </c>
      <c r="G1668" s="9">
        <v>8.5000000000000006E-2</v>
      </c>
      <c r="H1668" s="15">
        <f t="shared" si="50"/>
        <v>14400</v>
      </c>
    </row>
    <row r="1669" spans="1:8" x14ac:dyDescent="0.25">
      <c r="A1669" s="13">
        <v>45455</v>
      </c>
      <c r="B1669" s="15" t="s">
        <v>21</v>
      </c>
      <c r="C1669" s="3">
        <v>16</v>
      </c>
      <c r="D1669" s="13">
        <f t="shared" si="51"/>
        <v>45471</v>
      </c>
      <c r="E1669" s="15">
        <v>2000</v>
      </c>
      <c r="F1669" s="9">
        <v>8.5500000000000007E-2</v>
      </c>
      <c r="G1669" s="9">
        <v>8.5500000000000007E-2</v>
      </c>
      <c r="H1669" s="15">
        <f t="shared" si="50"/>
        <v>14400</v>
      </c>
    </row>
    <row r="1670" spans="1:8" x14ac:dyDescent="0.25">
      <c r="A1670" s="13">
        <v>45456</v>
      </c>
      <c r="B1670" s="15" t="s">
        <v>21</v>
      </c>
      <c r="C1670" s="3">
        <v>1</v>
      </c>
      <c r="D1670" s="13">
        <f t="shared" si="51"/>
        <v>45457</v>
      </c>
      <c r="E1670" s="15">
        <v>800</v>
      </c>
      <c r="F1670" s="9">
        <v>8.5000000000000006E-2</v>
      </c>
      <c r="G1670" s="9">
        <v>8.5000000000000006E-2</v>
      </c>
      <c r="H1670" s="15">
        <f t="shared" si="50"/>
        <v>17700</v>
      </c>
    </row>
    <row r="1671" spans="1:8" x14ac:dyDescent="0.25">
      <c r="A1671" s="13">
        <v>45456</v>
      </c>
      <c r="B1671" s="15" t="s">
        <v>21</v>
      </c>
      <c r="C1671" s="3">
        <v>4</v>
      </c>
      <c r="D1671" s="13">
        <f t="shared" si="51"/>
        <v>45460</v>
      </c>
      <c r="E1671" s="15">
        <v>2000</v>
      </c>
      <c r="F1671" s="9">
        <v>8.5000000000000006E-2</v>
      </c>
      <c r="G1671" s="9">
        <v>8.5000000000000006E-2</v>
      </c>
      <c r="H1671" s="15">
        <f t="shared" si="50"/>
        <v>17700</v>
      </c>
    </row>
    <row r="1672" spans="1:8" x14ac:dyDescent="0.25">
      <c r="A1672" s="13">
        <v>45456</v>
      </c>
      <c r="B1672" s="15" t="s">
        <v>21</v>
      </c>
      <c r="C1672" s="3">
        <v>5</v>
      </c>
      <c r="D1672" s="13">
        <f t="shared" si="51"/>
        <v>45461</v>
      </c>
      <c r="E1672" s="15">
        <v>1000</v>
      </c>
      <c r="F1672" s="9">
        <v>8.5000000000000006E-2</v>
      </c>
      <c r="G1672" s="9">
        <v>8.5000000000000006E-2</v>
      </c>
      <c r="H1672" s="15">
        <f t="shared" si="50"/>
        <v>17700</v>
      </c>
    </row>
    <row r="1673" spans="1:8" x14ac:dyDescent="0.25">
      <c r="A1673" s="13">
        <v>45456</v>
      </c>
      <c r="B1673" s="15" t="s">
        <v>21</v>
      </c>
      <c r="C1673" s="3">
        <v>7</v>
      </c>
      <c r="D1673" s="13">
        <f t="shared" si="51"/>
        <v>45463</v>
      </c>
      <c r="E1673" s="15">
        <v>500</v>
      </c>
      <c r="F1673" s="9">
        <v>8.5000000000000006E-2</v>
      </c>
      <c r="G1673" s="9">
        <v>8.5000000000000006E-2</v>
      </c>
      <c r="H1673" s="15">
        <f t="shared" si="50"/>
        <v>17700</v>
      </c>
    </row>
    <row r="1674" spans="1:8" x14ac:dyDescent="0.25">
      <c r="A1674" s="13">
        <v>45456</v>
      </c>
      <c r="B1674" s="15" t="s">
        <v>21</v>
      </c>
      <c r="C1674" s="3">
        <v>8</v>
      </c>
      <c r="D1674" s="13">
        <f t="shared" si="51"/>
        <v>45464</v>
      </c>
      <c r="E1674" s="15">
        <v>800</v>
      </c>
      <c r="F1674" s="9">
        <v>8.5000000000000006E-2</v>
      </c>
      <c r="G1674" s="9">
        <v>8.5000000000000006E-2</v>
      </c>
      <c r="H1674" s="15">
        <f t="shared" ref="H1674:H1737" si="52">+SUMIFS($E$10:$E$4503,$A$10:$A$4503,"&lt;="&amp;A1674,$D$10:$D$4503,"&gt;"&amp;A1674)</f>
        <v>17700</v>
      </c>
    </row>
    <row r="1675" spans="1:8" x14ac:dyDescent="0.25">
      <c r="A1675" s="13">
        <v>45456</v>
      </c>
      <c r="B1675" s="15" t="s">
        <v>21</v>
      </c>
      <c r="C1675" s="3">
        <v>15</v>
      </c>
      <c r="D1675" s="13">
        <f t="shared" si="51"/>
        <v>45471</v>
      </c>
      <c r="E1675" s="15">
        <v>500</v>
      </c>
      <c r="F1675" s="9">
        <v>8.5500000000000007E-2</v>
      </c>
      <c r="G1675" s="9">
        <v>8.5500000000000007E-2</v>
      </c>
      <c r="H1675" s="15">
        <f t="shared" si="52"/>
        <v>17700</v>
      </c>
    </row>
    <row r="1676" spans="1:8" x14ac:dyDescent="0.25">
      <c r="A1676" s="13">
        <v>45457</v>
      </c>
      <c r="B1676" s="15" t="s">
        <v>21</v>
      </c>
      <c r="C1676" s="3">
        <v>4</v>
      </c>
      <c r="D1676" s="13">
        <f t="shared" si="51"/>
        <v>45461</v>
      </c>
      <c r="E1676" s="15">
        <v>1400</v>
      </c>
      <c r="F1676" s="9">
        <v>8.5000000000000006E-2</v>
      </c>
      <c r="G1676" s="9">
        <v>8.5000000000000006E-2</v>
      </c>
      <c r="H1676" s="15">
        <f t="shared" si="52"/>
        <v>15000</v>
      </c>
    </row>
    <row r="1677" spans="1:8" x14ac:dyDescent="0.25">
      <c r="A1677" s="13">
        <v>45457</v>
      </c>
      <c r="B1677" s="15" t="s">
        <v>21</v>
      </c>
      <c r="C1677" s="3">
        <v>14</v>
      </c>
      <c r="D1677" s="13">
        <f t="shared" si="51"/>
        <v>45471</v>
      </c>
      <c r="E1677" s="15">
        <v>600</v>
      </c>
      <c r="F1677" s="9">
        <v>8.5500000000000007E-2</v>
      </c>
      <c r="G1677" s="9">
        <v>8.5500000000000007E-2</v>
      </c>
      <c r="H1677" s="15">
        <f t="shared" si="52"/>
        <v>15000</v>
      </c>
    </row>
    <row r="1678" spans="1:8" x14ac:dyDescent="0.25">
      <c r="A1678" s="13">
        <v>45460</v>
      </c>
      <c r="B1678" s="15" t="s">
        <v>21</v>
      </c>
      <c r="C1678" s="3">
        <v>3</v>
      </c>
      <c r="D1678" s="13">
        <f t="shared" si="51"/>
        <v>45463</v>
      </c>
      <c r="E1678" s="15">
        <v>2600</v>
      </c>
      <c r="F1678" s="9">
        <v>8.5000000000000006E-2</v>
      </c>
      <c r="G1678" s="9">
        <v>8.5000000000000006E-2</v>
      </c>
      <c r="H1678" s="15">
        <f t="shared" si="52"/>
        <v>15100</v>
      </c>
    </row>
    <row r="1679" spans="1:8" x14ac:dyDescent="0.25">
      <c r="A1679" s="13">
        <v>45460</v>
      </c>
      <c r="B1679" s="15" t="s">
        <v>21</v>
      </c>
      <c r="C1679" s="3">
        <v>4</v>
      </c>
      <c r="D1679" s="13">
        <f t="shared" si="51"/>
        <v>45464</v>
      </c>
      <c r="E1679" s="15">
        <v>2700</v>
      </c>
      <c r="F1679" s="9">
        <v>8.5000000000000006E-2</v>
      </c>
      <c r="G1679" s="9">
        <v>8.5000000000000006E-2</v>
      </c>
      <c r="H1679" s="15">
        <f t="shared" si="52"/>
        <v>15100</v>
      </c>
    </row>
    <row r="1680" spans="1:8" x14ac:dyDescent="0.25">
      <c r="A1680" s="13">
        <v>45463</v>
      </c>
      <c r="B1680" s="15" t="s">
        <v>21</v>
      </c>
      <c r="C1680" s="3">
        <v>4</v>
      </c>
      <c r="D1680" s="13">
        <f t="shared" si="51"/>
        <v>45467</v>
      </c>
      <c r="E1680" s="15">
        <v>2000</v>
      </c>
      <c r="F1680" s="9">
        <v>8.5000000000000006E-2</v>
      </c>
      <c r="G1680" s="9">
        <v>8.5000000000000006E-2</v>
      </c>
      <c r="H1680" s="15">
        <f t="shared" si="52"/>
        <v>12300</v>
      </c>
    </row>
    <row r="1681" spans="1:12" x14ac:dyDescent="0.25">
      <c r="A1681" s="13">
        <v>45463</v>
      </c>
      <c r="B1681" s="15" t="s">
        <v>21</v>
      </c>
      <c r="C1681" s="3">
        <v>5</v>
      </c>
      <c r="D1681" s="13">
        <f t="shared" si="51"/>
        <v>45468</v>
      </c>
      <c r="E1681" s="15">
        <v>700</v>
      </c>
      <c r="F1681" s="9">
        <v>8.5000000000000006E-2</v>
      </c>
      <c r="G1681" s="9">
        <v>8.5000000000000006E-2</v>
      </c>
      <c r="H1681" s="15">
        <f t="shared" si="52"/>
        <v>12300</v>
      </c>
    </row>
    <row r="1682" spans="1:12" x14ac:dyDescent="0.25">
      <c r="A1682" s="13">
        <v>45464</v>
      </c>
      <c r="B1682" s="15" t="s">
        <v>21</v>
      </c>
      <c r="C1682" s="3">
        <v>3</v>
      </c>
      <c r="D1682" s="13">
        <f t="shared" si="51"/>
        <v>45467</v>
      </c>
      <c r="E1682" s="15">
        <v>500</v>
      </c>
      <c r="F1682" s="9">
        <v>8.5000000000000006E-2</v>
      </c>
      <c r="G1682" s="9">
        <v>8.5000000000000006E-2</v>
      </c>
      <c r="H1682" s="15">
        <f t="shared" si="52"/>
        <v>11500</v>
      </c>
    </row>
    <row r="1683" spans="1:12" x14ac:dyDescent="0.25">
      <c r="A1683" s="13">
        <v>45464</v>
      </c>
      <c r="B1683" s="15" t="s">
        <v>21</v>
      </c>
      <c r="C1683" s="3">
        <v>4</v>
      </c>
      <c r="D1683" s="13">
        <f t="shared" si="51"/>
        <v>45468</v>
      </c>
      <c r="E1683" s="15">
        <v>4000</v>
      </c>
      <c r="F1683" s="9">
        <v>8.5000000000000006E-2</v>
      </c>
      <c r="G1683" s="9">
        <v>8.5000000000000006E-2</v>
      </c>
      <c r="H1683" s="15">
        <f t="shared" si="52"/>
        <v>11500</v>
      </c>
    </row>
    <row r="1684" spans="1:12" x14ac:dyDescent="0.25">
      <c r="A1684" s="13">
        <v>45464</v>
      </c>
      <c r="B1684" s="15" t="s">
        <v>21</v>
      </c>
      <c r="C1684" s="3">
        <v>6</v>
      </c>
      <c r="D1684" s="13">
        <f t="shared" si="51"/>
        <v>45470</v>
      </c>
      <c r="E1684" s="15">
        <v>200</v>
      </c>
      <c r="F1684" s="9">
        <v>8.5000000000000006E-2</v>
      </c>
      <c r="G1684" s="9">
        <v>8.5000000000000006E-2</v>
      </c>
      <c r="H1684" s="15">
        <f t="shared" si="52"/>
        <v>11500</v>
      </c>
      <c r="L1684" s="1" t="s">
        <v>1012</v>
      </c>
    </row>
    <row r="1685" spans="1:12" x14ac:dyDescent="0.25">
      <c r="A1685" s="13">
        <v>45467</v>
      </c>
      <c r="B1685" s="15" t="s">
        <v>21</v>
      </c>
      <c r="C1685" s="3">
        <v>2</v>
      </c>
      <c r="D1685" s="13">
        <f t="shared" si="51"/>
        <v>45469</v>
      </c>
      <c r="E1685" s="15">
        <v>3500</v>
      </c>
      <c r="F1685" s="9">
        <v>8.5000000000000006E-2</v>
      </c>
      <c r="G1685" s="9">
        <v>8.5000000000000006E-2</v>
      </c>
      <c r="H1685" s="15">
        <f t="shared" si="52"/>
        <v>12200</v>
      </c>
    </row>
    <row r="1686" spans="1:12" x14ac:dyDescent="0.25">
      <c r="A1686" s="13">
        <v>45467</v>
      </c>
      <c r="B1686" s="15" t="s">
        <v>21</v>
      </c>
      <c r="C1686" s="3">
        <v>3</v>
      </c>
      <c r="D1686" s="13">
        <f t="shared" si="51"/>
        <v>45470</v>
      </c>
      <c r="E1686" s="15">
        <v>500</v>
      </c>
      <c r="F1686" s="9">
        <v>8.5000000000000006E-2</v>
      </c>
      <c r="G1686" s="9">
        <v>8.5000000000000006E-2</v>
      </c>
      <c r="H1686" s="15">
        <f t="shared" si="52"/>
        <v>12200</v>
      </c>
    </row>
    <row r="1687" spans="1:12" x14ac:dyDescent="0.25">
      <c r="A1687" s="13">
        <v>45467</v>
      </c>
      <c r="B1687" s="15" t="s">
        <v>21</v>
      </c>
      <c r="C1687" s="3">
        <v>4</v>
      </c>
      <c r="D1687" s="13">
        <f t="shared" si="51"/>
        <v>45471</v>
      </c>
      <c r="E1687" s="15">
        <v>200</v>
      </c>
      <c r="F1687" s="9">
        <v>8.5000000000000006E-2</v>
      </c>
      <c r="G1687" s="9">
        <v>8.5000000000000006E-2</v>
      </c>
      <c r="H1687" s="15">
        <f t="shared" si="52"/>
        <v>12200</v>
      </c>
    </row>
    <row r="1688" spans="1:12" x14ac:dyDescent="0.25">
      <c r="A1688" s="13">
        <v>45468</v>
      </c>
      <c r="B1688" s="15" t="s">
        <v>21</v>
      </c>
      <c r="C1688" s="3">
        <v>2</v>
      </c>
      <c r="D1688" s="13">
        <f t="shared" si="51"/>
        <v>45470</v>
      </c>
      <c r="E1688" s="15">
        <v>5000</v>
      </c>
      <c r="F1688" s="9">
        <v>8.5000000000000006E-2</v>
      </c>
      <c r="G1688" s="9">
        <v>8.5000000000000006E-2</v>
      </c>
      <c r="H1688" s="15">
        <f t="shared" si="52"/>
        <v>16800</v>
      </c>
    </row>
    <row r="1689" spans="1:12" x14ac:dyDescent="0.25">
      <c r="A1689" s="13">
        <v>45468</v>
      </c>
      <c r="B1689" s="15" t="s">
        <v>21</v>
      </c>
      <c r="C1689" s="3">
        <v>3</v>
      </c>
      <c r="D1689" s="13">
        <f t="shared" si="51"/>
        <v>45471</v>
      </c>
      <c r="E1689" s="15">
        <v>1100</v>
      </c>
      <c r="F1689" s="9">
        <v>8.5000000000000006E-2</v>
      </c>
      <c r="G1689" s="9">
        <v>8.5000000000000006E-2</v>
      </c>
      <c r="H1689" s="15">
        <f t="shared" si="52"/>
        <v>16800</v>
      </c>
    </row>
    <row r="1690" spans="1:12" x14ac:dyDescent="0.25">
      <c r="A1690" s="13">
        <v>45468</v>
      </c>
      <c r="B1690" s="15" t="s">
        <v>21</v>
      </c>
      <c r="C1690" s="3">
        <v>6</v>
      </c>
      <c r="D1690" s="13">
        <f t="shared" si="51"/>
        <v>45474</v>
      </c>
      <c r="E1690" s="15">
        <v>3200</v>
      </c>
      <c r="F1690" s="9">
        <v>8.5000000000000006E-2</v>
      </c>
      <c r="G1690" s="9">
        <v>8.5000000000000006E-2</v>
      </c>
      <c r="H1690" s="15">
        <f t="shared" si="52"/>
        <v>16800</v>
      </c>
    </row>
    <row r="1691" spans="1:12" x14ac:dyDescent="0.25">
      <c r="A1691" s="13">
        <v>45469</v>
      </c>
      <c r="B1691" s="15" t="s">
        <v>21</v>
      </c>
      <c r="C1691" s="3">
        <v>2</v>
      </c>
      <c r="D1691" s="13">
        <f t="shared" si="51"/>
        <v>45471</v>
      </c>
      <c r="E1691" s="15">
        <v>1000</v>
      </c>
      <c r="F1691" s="9">
        <v>8.5000000000000006E-2</v>
      </c>
      <c r="G1691" s="9">
        <v>8.5000000000000006E-2</v>
      </c>
      <c r="H1691" s="15">
        <f t="shared" si="52"/>
        <v>16100</v>
      </c>
    </row>
    <row r="1692" spans="1:12" x14ac:dyDescent="0.25">
      <c r="A1692" s="13">
        <v>45469</v>
      </c>
      <c r="B1692" s="15" t="s">
        <v>21</v>
      </c>
      <c r="C1692" s="3">
        <v>5</v>
      </c>
      <c r="D1692" s="13">
        <f t="shared" si="51"/>
        <v>45474</v>
      </c>
      <c r="E1692" s="15">
        <v>1800</v>
      </c>
      <c r="F1692" s="9">
        <v>8.5000000000000006E-2</v>
      </c>
      <c r="G1692" s="9">
        <v>8.5000000000000006E-2</v>
      </c>
      <c r="H1692" s="15">
        <f t="shared" si="52"/>
        <v>16100</v>
      </c>
    </row>
    <row r="1693" spans="1:12" x14ac:dyDescent="0.25">
      <c r="A1693" s="13">
        <v>45470</v>
      </c>
      <c r="B1693" s="15" t="s">
        <v>21</v>
      </c>
      <c r="C1693" s="3">
        <v>4</v>
      </c>
      <c r="D1693" s="13">
        <f t="shared" si="51"/>
        <v>45474</v>
      </c>
      <c r="E1693" s="15">
        <v>2100</v>
      </c>
      <c r="F1693" s="9">
        <v>8.5000000000000006E-2</v>
      </c>
      <c r="G1693" s="9">
        <v>8.5000000000000006E-2</v>
      </c>
      <c r="H1693" s="15">
        <f t="shared" si="52"/>
        <v>12500</v>
      </c>
    </row>
    <row r="1694" spans="1:12" x14ac:dyDescent="0.25">
      <c r="A1694" s="13">
        <v>45471</v>
      </c>
      <c r="B1694" s="15" t="s">
        <v>21</v>
      </c>
      <c r="C1694" s="3">
        <v>4</v>
      </c>
      <c r="D1694" s="13">
        <f t="shared" si="51"/>
        <v>45475</v>
      </c>
      <c r="E1694" s="15">
        <v>2215</v>
      </c>
      <c r="F1694" s="9">
        <v>8.5000000000000006E-2</v>
      </c>
      <c r="G1694" s="9">
        <v>8.5000000000000006E-2</v>
      </c>
      <c r="H1694" s="15">
        <f t="shared" si="52"/>
        <v>9315</v>
      </c>
    </row>
    <row r="1695" spans="1:12" x14ac:dyDescent="0.25">
      <c r="A1695" s="13">
        <v>45474</v>
      </c>
      <c r="B1695" s="15" t="s">
        <v>21</v>
      </c>
      <c r="C1695" s="3">
        <v>1</v>
      </c>
      <c r="D1695" s="13">
        <f t="shared" si="51"/>
        <v>45475</v>
      </c>
      <c r="E1695" s="15">
        <v>-900</v>
      </c>
      <c r="F1695" s="9">
        <v>8.7499999999999994E-2</v>
      </c>
      <c r="G1695" s="9">
        <v>8.7499999999999994E-2</v>
      </c>
      <c r="H1695" s="15">
        <f t="shared" si="52"/>
        <v>1315</v>
      </c>
    </row>
    <row r="1696" spans="1:12" x14ac:dyDescent="0.25">
      <c r="A1696" s="13">
        <v>45475</v>
      </c>
      <c r="B1696" s="15" t="s">
        <v>21</v>
      </c>
      <c r="C1696" s="3">
        <v>2</v>
      </c>
      <c r="D1696" s="13">
        <f t="shared" si="51"/>
        <v>45477</v>
      </c>
      <c r="E1696" s="15">
        <v>500</v>
      </c>
      <c r="F1696" s="9">
        <v>8.5000000000000006E-2</v>
      </c>
      <c r="G1696" s="9">
        <v>8.5000000000000006E-2</v>
      </c>
      <c r="H1696" s="15">
        <f t="shared" si="52"/>
        <v>1300</v>
      </c>
    </row>
    <row r="1697" spans="1:8" x14ac:dyDescent="0.25">
      <c r="A1697" s="13">
        <v>45475</v>
      </c>
      <c r="B1697" s="15" t="s">
        <v>21</v>
      </c>
      <c r="C1697" s="3">
        <v>3</v>
      </c>
      <c r="D1697" s="13">
        <f t="shared" si="51"/>
        <v>45478</v>
      </c>
      <c r="E1697" s="15">
        <v>200</v>
      </c>
      <c r="F1697" s="9" t="s">
        <v>1189</v>
      </c>
      <c r="G1697" s="9">
        <v>8.5000000000000006E-2</v>
      </c>
      <c r="H1697" s="15">
        <f t="shared" si="52"/>
        <v>1300</v>
      </c>
    </row>
    <row r="1698" spans="1:8" x14ac:dyDescent="0.25">
      <c r="A1698" s="13">
        <v>45475</v>
      </c>
      <c r="B1698" s="15" t="s">
        <v>21</v>
      </c>
      <c r="C1698" s="3">
        <v>21</v>
      </c>
      <c r="D1698" s="13">
        <f t="shared" ref="D1698:D1780" si="53">+A1698+C1698</f>
        <v>45496</v>
      </c>
      <c r="E1698" s="15">
        <v>600</v>
      </c>
      <c r="F1698" s="9">
        <v>8.5000000000000006E-2</v>
      </c>
      <c r="G1698" s="9">
        <v>8.5000000000000006E-2</v>
      </c>
      <c r="H1698" s="15">
        <f t="shared" si="52"/>
        <v>1300</v>
      </c>
    </row>
    <row r="1699" spans="1:8" x14ac:dyDescent="0.25">
      <c r="A1699" s="13">
        <v>45476</v>
      </c>
      <c r="B1699" s="15" t="s">
        <v>21</v>
      </c>
      <c r="C1699" s="3">
        <v>2</v>
      </c>
      <c r="D1699" s="13">
        <f t="shared" si="53"/>
        <v>45478</v>
      </c>
      <c r="E1699" s="15">
        <v>2900</v>
      </c>
      <c r="F1699" s="9">
        <v>8.5000000000000006E-2</v>
      </c>
      <c r="G1699" s="9">
        <v>8.5000000000000006E-2</v>
      </c>
      <c r="H1699" s="15">
        <f t="shared" si="52"/>
        <v>5000</v>
      </c>
    </row>
    <row r="1700" spans="1:8" x14ac:dyDescent="0.25">
      <c r="A1700" s="13">
        <v>45476</v>
      </c>
      <c r="B1700" s="15" t="s">
        <v>21</v>
      </c>
      <c r="C1700" s="3">
        <v>19</v>
      </c>
      <c r="D1700" s="13">
        <f t="shared" si="53"/>
        <v>45495</v>
      </c>
      <c r="E1700" s="15">
        <v>800</v>
      </c>
      <c r="F1700" s="9">
        <v>8.5000000000000006E-2</v>
      </c>
      <c r="G1700" s="9">
        <v>8.5000000000000006E-2</v>
      </c>
      <c r="H1700" s="15">
        <f t="shared" si="52"/>
        <v>5000</v>
      </c>
    </row>
    <row r="1701" spans="1:8" x14ac:dyDescent="0.25">
      <c r="A1701" s="13">
        <v>45477</v>
      </c>
      <c r="B1701" s="15" t="s">
        <v>21</v>
      </c>
      <c r="C1701" s="3">
        <v>4</v>
      </c>
      <c r="D1701" s="13">
        <f t="shared" si="53"/>
        <v>45481</v>
      </c>
      <c r="E1701" s="15">
        <v>4600</v>
      </c>
      <c r="F1701" s="9">
        <v>8.5000000000000006E-2</v>
      </c>
      <c r="G1701" s="9">
        <v>8.5000000000000006E-2</v>
      </c>
      <c r="H1701" s="15">
        <f t="shared" si="52"/>
        <v>9100</v>
      </c>
    </row>
    <row r="1702" spans="1:8" x14ac:dyDescent="0.25">
      <c r="A1702" s="13">
        <v>45478</v>
      </c>
      <c r="B1702" s="15" t="s">
        <v>21</v>
      </c>
      <c r="C1702" s="3">
        <v>4</v>
      </c>
      <c r="D1702" s="13">
        <f t="shared" si="53"/>
        <v>45482</v>
      </c>
      <c r="E1702" s="15">
        <v>1000</v>
      </c>
      <c r="F1702" s="9">
        <v>8.5000000000000006E-2</v>
      </c>
      <c r="G1702" s="9">
        <v>8.5000000000000006E-2</v>
      </c>
      <c r="H1702" s="15">
        <f t="shared" si="52"/>
        <v>9000</v>
      </c>
    </row>
    <row r="1703" spans="1:8" x14ac:dyDescent="0.25">
      <c r="A1703" s="13">
        <v>45478</v>
      </c>
      <c r="B1703" s="15" t="s">
        <v>21</v>
      </c>
      <c r="C1703" s="3">
        <v>5</v>
      </c>
      <c r="D1703" s="13">
        <f t="shared" si="53"/>
        <v>45483</v>
      </c>
      <c r="E1703" s="15">
        <v>1500</v>
      </c>
      <c r="F1703" s="9">
        <v>8.5000000000000006E-2</v>
      </c>
      <c r="G1703" s="9">
        <v>8.5000000000000006E-2</v>
      </c>
      <c r="H1703" s="15">
        <f t="shared" si="52"/>
        <v>9000</v>
      </c>
    </row>
    <row r="1704" spans="1:8" x14ac:dyDescent="0.25">
      <c r="A1704" s="13">
        <v>45478</v>
      </c>
      <c r="B1704" s="15" t="s">
        <v>21</v>
      </c>
      <c r="C1704" s="3">
        <v>7</v>
      </c>
      <c r="D1704" s="13">
        <f t="shared" si="53"/>
        <v>45485</v>
      </c>
      <c r="E1704" s="15">
        <v>500</v>
      </c>
      <c r="F1704" s="9">
        <v>8.5000000000000006E-2</v>
      </c>
      <c r="G1704" s="9">
        <v>8.5000000000000006E-2</v>
      </c>
      <c r="H1704" s="15">
        <f t="shared" si="52"/>
        <v>9000</v>
      </c>
    </row>
    <row r="1705" spans="1:8" x14ac:dyDescent="0.25">
      <c r="A1705" s="13">
        <v>45481</v>
      </c>
      <c r="B1705" s="15" t="s">
        <v>21</v>
      </c>
      <c r="C1705" s="3">
        <v>1</v>
      </c>
      <c r="D1705" s="13">
        <f t="shared" si="53"/>
        <v>45482</v>
      </c>
      <c r="E1705" s="15">
        <v>1400</v>
      </c>
      <c r="F1705" s="9">
        <v>0.08</v>
      </c>
      <c r="G1705" s="9">
        <v>8.5000000000000006E-2</v>
      </c>
      <c r="H1705" s="15">
        <f t="shared" si="52"/>
        <v>7100</v>
      </c>
    </row>
    <row r="1706" spans="1:8" x14ac:dyDescent="0.25">
      <c r="A1706" s="13">
        <v>45481</v>
      </c>
      <c r="B1706" s="15" t="s">
        <v>21</v>
      </c>
      <c r="C1706" s="3">
        <v>2</v>
      </c>
      <c r="D1706" s="13">
        <f t="shared" si="53"/>
        <v>45483</v>
      </c>
      <c r="E1706" s="15">
        <v>500</v>
      </c>
      <c r="F1706" s="9">
        <v>8.5000000000000006E-2</v>
      </c>
      <c r="G1706" s="9">
        <v>8.5000000000000006E-2</v>
      </c>
      <c r="H1706" s="15">
        <f t="shared" si="52"/>
        <v>7100</v>
      </c>
    </row>
    <row r="1707" spans="1:8" x14ac:dyDescent="0.25">
      <c r="A1707" s="13">
        <v>45481</v>
      </c>
      <c r="B1707" s="15" t="s">
        <v>21</v>
      </c>
      <c r="C1707" s="3">
        <v>3</v>
      </c>
      <c r="D1707" s="13">
        <f t="shared" si="53"/>
        <v>45484</v>
      </c>
      <c r="E1707" s="15">
        <v>600</v>
      </c>
      <c r="F1707" s="9">
        <v>8.5000000000000006E-2</v>
      </c>
      <c r="G1707" s="9">
        <v>8.5000000000000006E-2</v>
      </c>
      <c r="H1707" s="15">
        <f t="shared" si="52"/>
        <v>7100</v>
      </c>
    </row>
    <row r="1708" spans="1:8" x14ac:dyDescent="0.25">
      <c r="A1708" s="13">
        <v>45481</v>
      </c>
      <c r="B1708" s="15" t="s">
        <v>21</v>
      </c>
      <c r="C1708" s="3">
        <v>4</v>
      </c>
      <c r="D1708" s="13">
        <f t="shared" si="53"/>
        <v>45485</v>
      </c>
      <c r="E1708" s="15">
        <v>200</v>
      </c>
      <c r="F1708" s="9">
        <v>8.5000000000000006E-2</v>
      </c>
      <c r="G1708" s="9">
        <v>8.5000000000000006E-2</v>
      </c>
      <c r="H1708" s="15">
        <f t="shared" si="52"/>
        <v>7100</v>
      </c>
    </row>
    <row r="1709" spans="1:8" x14ac:dyDescent="0.25">
      <c r="A1709" s="13">
        <v>45482</v>
      </c>
      <c r="B1709" s="15" t="s">
        <v>21</v>
      </c>
      <c r="C1709" s="3">
        <v>1</v>
      </c>
      <c r="D1709" s="13">
        <f t="shared" si="53"/>
        <v>45483</v>
      </c>
      <c r="E1709" s="15">
        <v>600</v>
      </c>
      <c r="F1709" s="9">
        <v>8.5000000000000006E-2</v>
      </c>
      <c r="G1709" s="9">
        <v>8.5000000000000006E-2</v>
      </c>
      <c r="H1709" s="15">
        <f t="shared" si="52"/>
        <v>6900</v>
      </c>
    </row>
    <row r="1710" spans="1:8" x14ac:dyDescent="0.25">
      <c r="A1710" s="13">
        <v>45482</v>
      </c>
      <c r="B1710" s="15" t="s">
        <v>21</v>
      </c>
      <c r="C1710" s="3">
        <v>2</v>
      </c>
      <c r="D1710" s="13">
        <f t="shared" si="53"/>
        <v>45484</v>
      </c>
      <c r="E1710" s="15">
        <v>1200</v>
      </c>
      <c r="F1710" s="9">
        <v>8.5000000000000006E-2</v>
      </c>
      <c r="G1710" s="9">
        <v>8.5000000000000006E-2</v>
      </c>
      <c r="H1710" s="15">
        <f t="shared" si="52"/>
        <v>6900</v>
      </c>
    </row>
    <row r="1711" spans="1:8" x14ac:dyDescent="0.25">
      <c r="A1711" s="13">
        <v>45482</v>
      </c>
      <c r="B1711" s="15" t="s">
        <v>21</v>
      </c>
      <c r="C1711" s="3">
        <v>3</v>
      </c>
      <c r="D1711" s="13">
        <f t="shared" si="53"/>
        <v>45485</v>
      </c>
      <c r="E1711" s="15">
        <v>400</v>
      </c>
      <c r="F1711" s="9">
        <v>8.5000000000000006E-2</v>
      </c>
      <c r="G1711" s="9">
        <v>8.5000000000000006E-2</v>
      </c>
      <c r="H1711" s="15">
        <f t="shared" si="52"/>
        <v>6900</v>
      </c>
    </row>
    <row r="1712" spans="1:8" x14ac:dyDescent="0.25">
      <c r="A1712" s="13">
        <v>45483</v>
      </c>
      <c r="B1712" s="15" t="s">
        <v>21</v>
      </c>
      <c r="C1712" s="3">
        <v>1</v>
      </c>
      <c r="D1712" s="13">
        <f t="shared" si="53"/>
        <v>45484</v>
      </c>
      <c r="E1712" s="15">
        <v>1000</v>
      </c>
      <c r="F1712" s="9">
        <v>8.2500000000000004E-2</v>
      </c>
      <c r="G1712" s="9">
        <v>8.5000000000000006E-2</v>
      </c>
      <c r="H1712" s="15">
        <f t="shared" si="52"/>
        <v>11700</v>
      </c>
    </row>
    <row r="1713" spans="1:8" x14ac:dyDescent="0.25">
      <c r="A1713" s="13">
        <v>45483</v>
      </c>
      <c r="B1713" s="15" t="s">
        <v>21</v>
      </c>
      <c r="C1713" s="3">
        <v>2</v>
      </c>
      <c r="D1713" s="13">
        <f t="shared" si="53"/>
        <v>45485</v>
      </c>
      <c r="E1713" s="15">
        <v>2200</v>
      </c>
      <c r="F1713" s="9">
        <v>8.5000000000000006E-2</v>
      </c>
      <c r="G1713" s="9">
        <v>8.5000000000000006E-2</v>
      </c>
      <c r="H1713" s="15">
        <f t="shared" si="52"/>
        <v>11700</v>
      </c>
    </row>
    <row r="1714" spans="1:8" x14ac:dyDescent="0.25">
      <c r="A1714" s="13">
        <v>45483</v>
      </c>
      <c r="B1714" s="15" t="s">
        <v>21</v>
      </c>
      <c r="C1714" s="3">
        <v>5</v>
      </c>
      <c r="D1714" s="13">
        <f t="shared" si="53"/>
        <v>45488</v>
      </c>
      <c r="E1714" s="15">
        <v>3200</v>
      </c>
      <c r="F1714" s="9">
        <v>8.5000000000000006E-2</v>
      </c>
      <c r="G1714" s="9">
        <v>8.5000000000000006E-2</v>
      </c>
      <c r="H1714" s="15">
        <f t="shared" si="52"/>
        <v>11700</v>
      </c>
    </row>
    <row r="1715" spans="1:8" x14ac:dyDescent="0.25">
      <c r="A1715" s="13">
        <v>45483</v>
      </c>
      <c r="B1715" s="15" t="s">
        <v>21</v>
      </c>
      <c r="C1715" s="3">
        <v>13</v>
      </c>
      <c r="D1715" s="13">
        <f t="shared" si="53"/>
        <v>45496</v>
      </c>
      <c r="E1715" s="15">
        <v>1000</v>
      </c>
      <c r="F1715" s="9">
        <v>8.5000000000000006E-2</v>
      </c>
      <c r="G1715" s="9">
        <v>8.5000000000000006E-2</v>
      </c>
      <c r="H1715" s="15">
        <f t="shared" si="52"/>
        <v>11700</v>
      </c>
    </row>
    <row r="1716" spans="1:8" x14ac:dyDescent="0.25">
      <c r="A1716" s="13">
        <v>45484</v>
      </c>
      <c r="B1716" s="15" t="s">
        <v>21</v>
      </c>
      <c r="C1716" s="3">
        <v>1</v>
      </c>
      <c r="D1716" s="13">
        <f t="shared" si="53"/>
        <v>45485</v>
      </c>
      <c r="E1716" s="15">
        <v>500</v>
      </c>
      <c r="F1716" s="9">
        <v>8.5000000000000006E-2</v>
      </c>
      <c r="G1716" s="9">
        <v>8.5000000000000006E-2</v>
      </c>
      <c r="H1716" s="15">
        <f t="shared" si="52"/>
        <v>12800</v>
      </c>
    </row>
    <row r="1717" spans="1:8" x14ac:dyDescent="0.25">
      <c r="A1717" s="13">
        <v>45484</v>
      </c>
      <c r="B1717" s="15" t="s">
        <v>21</v>
      </c>
      <c r="C1717" s="3">
        <v>4</v>
      </c>
      <c r="D1717" s="13">
        <f t="shared" si="53"/>
        <v>45488</v>
      </c>
      <c r="E1717" s="15">
        <v>2400</v>
      </c>
      <c r="F1717" s="9">
        <v>8.5000000000000006E-2</v>
      </c>
      <c r="G1717" s="9">
        <v>8.5000000000000006E-2</v>
      </c>
      <c r="H1717" s="15">
        <f t="shared" si="52"/>
        <v>12800</v>
      </c>
    </row>
    <row r="1718" spans="1:8" x14ac:dyDescent="0.25">
      <c r="A1718" s="13">
        <v>45484</v>
      </c>
      <c r="B1718" s="15" t="s">
        <v>21</v>
      </c>
      <c r="C1718" s="3">
        <v>5</v>
      </c>
      <c r="D1718" s="13">
        <f t="shared" si="53"/>
        <v>45489</v>
      </c>
      <c r="E1718" s="15">
        <v>200</v>
      </c>
      <c r="F1718" s="9">
        <v>8.5000000000000006E-2</v>
      </c>
      <c r="G1718" s="9">
        <v>8.5000000000000006E-2</v>
      </c>
      <c r="H1718" s="15">
        <f t="shared" si="52"/>
        <v>12800</v>
      </c>
    </row>
    <row r="1719" spans="1:8" x14ac:dyDescent="0.25">
      <c r="A1719" s="13">
        <v>45484</v>
      </c>
      <c r="B1719" s="15" t="s">
        <v>21</v>
      </c>
      <c r="C1719" s="3">
        <v>6</v>
      </c>
      <c r="D1719" s="13">
        <f t="shared" si="53"/>
        <v>45490</v>
      </c>
      <c r="E1719" s="15">
        <v>400</v>
      </c>
      <c r="F1719" s="9">
        <v>8.5000000000000006E-2</v>
      </c>
      <c r="G1719" s="9">
        <v>8.5000000000000006E-2</v>
      </c>
      <c r="H1719" s="15">
        <f t="shared" si="52"/>
        <v>12800</v>
      </c>
    </row>
    <row r="1720" spans="1:8" x14ac:dyDescent="0.25">
      <c r="A1720" s="13">
        <v>45484</v>
      </c>
      <c r="B1720" s="15" t="s">
        <v>21</v>
      </c>
      <c r="C1720" s="3">
        <v>11</v>
      </c>
      <c r="D1720" s="13">
        <f t="shared" si="53"/>
        <v>45495</v>
      </c>
      <c r="E1720" s="15">
        <v>400</v>
      </c>
      <c r="F1720" s="9">
        <v>8.5000000000000006E-2</v>
      </c>
      <c r="G1720" s="9">
        <v>8.5000000000000006E-2</v>
      </c>
      <c r="H1720" s="15">
        <f t="shared" si="52"/>
        <v>12800</v>
      </c>
    </row>
    <row r="1721" spans="1:8" x14ac:dyDescent="0.25">
      <c r="A1721" s="13">
        <v>45485</v>
      </c>
      <c r="B1721" s="15" t="s">
        <v>21</v>
      </c>
      <c r="C1721" s="3">
        <v>3</v>
      </c>
      <c r="D1721" s="13">
        <f t="shared" si="53"/>
        <v>45488</v>
      </c>
      <c r="E1721" s="15">
        <v>1800</v>
      </c>
      <c r="F1721" s="9">
        <v>8.2500000000000004E-2</v>
      </c>
      <c r="G1721" s="9">
        <v>8.5000000000000006E-2</v>
      </c>
      <c r="H1721" s="15">
        <f t="shared" si="52"/>
        <v>15800</v>
      </c>
    </row>
    <row r="1722" spans="1:8" x14ac:dyDescent="0.25">
      <c r="A1722" s="13">
        <v>45485</v>
      </c>
      <c r="B1722" s="15" t="s">
        <v>21</v>
      </c>
      <c r="C1722" s="3">
        <v>4</v>
      </c>
      <c r="D1722" s="13">
        <f t="shared" si="53"/>
        <v>45489</v>
      </c>
      <c r="E1722" s="15">
        <v>1300</v>
      </c>
      <c r="F1722" s="9">
        <v>8.5000000000000006E-2</v>
      </c>
      <c r="G1722" s="9">
        <v>8.5000000000000006E-2</v>
      </c>
      <c r="H1722" s="15">
        <f t="shared" si="52"/>
        <v>15800</v>
      </c>
    </row>
    <row r="1723" spans="1:8" x14ac:dyDescent="0.25">
      <c r="A1723" s="13">
        <v>45485</v>
      </c>
      <c r="B1723" s="15" t="s">
        <v>21</v>
      </c>
      <c r="C1723" s="3">
        <v>5</v>
      </c>
      <c r="D1723" s="13">
        <f t="shared" si="53"/>
        <v>45490</v>
      </c>
      <c r="E1723" s="15">
        <v>1800</v>
      </c>
      <c r="F1723" s="9">
        <v>8.5000000000000006E-2</v>
      </c>
      <c r="G1723" s="9">
        <v>8.5000000000000006E-2</v>
      </c>
      <c r="H1723" s="15">
        <f t="shared" si="52"/>
        <v>15800</v>
      </c>
    </row>
    <row r="1724" spans="1:8" x14ac:dyDescent="0.25">
      <c r="A1724" s="13">
        <v>45485</v>
      </c>
      <c r="B1724" s="15" t="s">
        <v>21</v>
      </c>
      <c r="C1724" s="3">
        <v>7</v>
      </c>
      <c r="D1724" s="13">
        <f t="shared" si="53"/>
        <v>45492</v>
      </c>
      <c r="E1724" s="15">
        <v>1900</v>
      </c>
      <c r="F1724" s="9">
        <v>8.5000000000000006E-2</v>
      </c>
      <c r="G1724" s="9">
        <v>8.5000000000000006E-2</v>
      </c>
      <c r="H1724" s="15">
        <f t="shared" si="52"/>
        <v>15800</v>
      </c>
    </row>
    <row r="1725" spans="1:8" x14ac:dyDescent="0.25">
      <c r="A1725" s="13">
        <v>45488</v>
      </c>
      <c r="B1725" s="15" t="s">
        <v>21</v>
      </c>
      <c r="C1725" s="3">
        <v>1</v>
      </c>
      <c r="D1725" s="13">
        <f t="shared" si="53"/>
        <v>45489</v>
      </c>
      <c r="E1725" s="15">
        <v>200</v>
      </c>
      <c r="F1725" s="9">
        <v>8.5000000000000006E-2</v>
      </c>
      <c r="G1725" s="9">
        <v>8.5000000000000006E-2</v>
      </c>
      <c r="H1725" s="15">
        <f t="shared" si="52"/>
        <v>14000</v>
      </c>
    </row>
    <row r="1726" spans="1:8" x14ac:dyDescent="0.25">
      <c r="A1726" s="13">
        <v>45488</v>
      </c>
      <c r="B1726" s="15" t="s">
        <v>21</v>
      </c>
      <c r="C1726" s="3">
        <v>2</v>
      </c>
      <c r="D1726" s="13">
        <f t="shared" si="53"/>
        <v>45490</v>
      </c>
      <c r="E1726" s="15">
        <v>5000</v>
      </c>
      <c r="F1726" s="9">
        <v>8.5000000000000006E-2</v>
      </c>
      <c r="G1726" s="9">
        <v>8.5000000000000006E-2</v>
      </c>
      <c r="H1726" s="15">
        <f t="shared" si="52"/>
        <v>14000</v>
      </c>
    </row>
    <row r="1727" spans="1:8" x14ac:dyDescent="0.25">
      <c r="A1727" s="13">
        <v>45488</v>
      </c>
      <c r="B1727" s="15" t="s">
        <v>21</v>
      </c>
      <c r="C1727" s="3">
        <v>4</v>
      </c>
      <c r="D1727" s="13">
        <f t="shared" si="53"/>
        <v>45492</v>
      </c>
      <c r="E1727" s="15">
        <v>400</v>
      </c>
      <c r="F1727" s="9">
        <v>8.5000000000000006E-2</v>
      </c>
      <c r="G1727" s="9">
        <v>8.5000000000000006E-2</v>
      </c>
      <c r="H1727" s="15">
        <f t="shared" si="52"/>
        <v>14000</v>
      </c>
    </row>
    <row r="1728" spans="1:8" x14ac:dyDescent="0.25">
      <c r="A1728" s="13">
        <v>45489</v>
      </c>
      <c r="B1728" s="15" t="s">
        <v>21</v>
      </c>
      <c r="C1728" s="3">
        <v>1</v>
      </c>
      <c r="D1728" s="13">
        <f t="shared" si="53"/>
        <v>45490</v>
      </c>
      <c r="E1728" s="15">
        <v>200</v>
      </c>
      <c r="F1728" s="9">
        <v>8.5000000000000006E-2</v>
      </c>
      <c r="G1728" s="9">
        <v>8.5000000000000006E-2</v>
      </c>
      <c r="H1728" s="15">
        <f t="shared" si="52"/>
        <v>15700</v>
      </c>
    </row>
    <row r="1729" spans="1:11" x14ac:dyDescent="0.25">
      <c r="A1729" s="13">
        <v>45489</v>
      </c>
      <c r="B1729" s="15" t="s">
        <v>21</v>
      </c>
      <c r="C1729" s="3">
        <v>3</v>
      </c>
      <c r="D1729" s="13">
        <f t="shared" si="53"/>
        <v>45492</v>
      </c>
      <c r="E1729" s="15">
        <v>3000</v>
      </c>
      <c r="F1729" s="9">
        <v>8.5000000000000006E-2</v>
      </c>
      <c r="G1729" s="9">
        <v>8.5000000000000006E-2</v>
      </c>
      <c r="H1729" s="15">
        <f t="shared" si="52"/>
        <v>15700</v>
      </c>
    </row>
    <row r="1730" spans="1:11" x14ac:dyDescent="0.25">
      <c r="A1730" s="13">
        <v>45489</v>
      </c>
      <c r="B1730" s="15" t="s">
        <v>21</v>
      </c>
      <c r="C1730" s="3">
        <v>6</v>
      </c>
      <c r="D1730" s="13">
        <f t="shared" si="53"/>
        <v>45495</v>
      </c>
      <c r="E1730" s="15">
        <v>200</v>
      </c>
      <c r="F1730" s="9">
        <v>8.5000000000000006E-2</v>
      </c>
      <c r="G1730" s="9">
        <v>8.5000000000000006E-2</v>
      </c>
      <c r="H1730" s="15">
        <f t="shared" si="52"/>
        <v>15700</v>
      </c>
    </row>
    <row r="1731" spans="1:11" x14ac:dyDescent="0.25">
      <c r="A1731" s="13">
        <v>45490</v>
      </c>
      <c r="B1731" s="15" t="s">
        <v>21</v>
      </c>
      <c r="C1731" s="3">
        <v>2</v>
      </c>
      <c r="D1731" s="13">
        <f t="shared" si="53"/>
        <v>45492</v>
      </c>
      <c r="E1731" s="15">
        <v>200</v>
      </c>
      <c r="F1731" s="9">
        <v>8.5000000000000006E-2</v>
      </c>
      <c r="G1731" s="9">
        <v>8.5000000000000006E-2</v>
      </c>
      <c r="H1731" s="15">
        <f t="shared" si="52"/>
        <v>13600</v>
      </c>
    </row>
    <row r="1732" spans="1:11" x14ac:dyDescent="0.25">
      <c r="A1732" s="13">
        <v>45490</v>
      </c>
      <c r="B1732" s="15" t="s">
        <v>21</v>
      </c>
      <c r="C1732" s="3">
        <v>5</v>
      </c>
      <c r="D1732" s="13">
        <f t="shared" si="53"/>
        <v>45495</v>
      </c>
      <c r="E1732" s="15">
        <v>4600</v>
      </c>
      <c r="F1732" s="9">
        <v>8.5000000000000006E-2</v>
      </c>
      <c r="G1732" s="9">
        <v>8.5000000000000006E-2</v>
      </c>
      <c r="H1732" s="15">
        <f t="shared" si="52"/>
        <v>13600</v>
      </c>
    </row>
    <row r="1733" spans="1:11" x14ac:dyDescent="0.25">
      <c r="A1733" s="13">
        <v>45490</v>
      </c>
      <c r="B1733" s="15" t="s">
        <v>21</v>
      </c>
      <c r="C1733" s="3">
        <v>6</v>
      </c>
      <c r="D1733" s="13">
        <f t="shared" si="53"/>
        <v>45496</v>
      </c>
      <c r="E1733" s="15">
        <v>500</v>
      </c>
      <c r="F1733" s="9">
        <v>8.5000000000000006E-2</v>
      </c>
      <c r="G1733" s="9">
        <v>8.5000000000000006E-2</v>
      </c>
      <c r="H1733" s="15">
        <f t="shared" si="52"/>
        <v>13600</v>
      </c>
    </row>
    <row r="1734" spans="1:11" x14ac:dyDescent="0.25">
      <c r="A1734" s="13">
        <v>45492</v>
      </c>
      <c r="B1734" s="15" t="s">
        <v>21</v>
      </c>
      <c r="C1734" s="3">
        <v>3</v>
      </c>
      <c r="D1734" s="13">
        <f t="shared" si="53"/>
        <v>45495</v>
      </c>
      <c r="E1734" s="15">
        <v>200</v>
      </c>
      <c r="F1734" s="9">
        <v>8.5000000000000006E-2</v>
      </c>
      <c r="G1734" s="9">
        <v>8.5000000000000006E-2</v>
      </c>
      <c r="H1734" s="15">
        <f t="shared" si="52"/>
        <v>13100</v>
      </c>
    </row>
    <row r="1735" spans="1:11" x14ac:dyDescent="0.25">
      <c r="A1735" s="13">
        <v>45492</v>
      </c>
      <c r="B1735" s="15" t="s">
        <v>21</v>
      </c>
      <c r="C1735" s="3">
        <v>4</v>
      </c>
      <c r="D1735" s="13">
        <f t="shared" si="53"/>
        <v>45496</v>
      </c>
      <c r="E1735" s="15">
        <v>2600</v>
      </c>
      <c r="F1735" s="9">
        <v>8.5000000000000006E-2</v>
      </c>
      <c r="G1735" s="9">
        <v>8.5000000000000006E-2</v>
      </c>
      <c r="H1735" s="15">
        <f t="shared" si="52"/>
        <v>13100</v>
      </c>
    </row>
    <row r="1736" spans="1:11" x14ac:dyDescent="0.25">
      <c r="A1736" s="13">
        <v>45492</v>
      </c>
      <c r="B1736" s="15" t="s">
        <v>21</v>
      </c>
      <c r="C1736" s="3">
        <v>5</v>
      </c>
      <c r="D1736" s="13">
        <f t="shared" si="53"/>
        <v>45497</v>
      </c>
      <c r="E1736" s="15">
        <v>2200</v>
      </c>
      <c r="F1736" s="9">
        <v>8.5000000000000006E-2</v>
      </c>
      <c r="G1736" s="9">
        <v>8.5000000000000006E-2</v>
      </c>
      <c r="H1736" s="15">
        <f t="shared" si="52"/>
        <v>13100</v>
      </c>
    </row>
    <row r="1737" spans="1:11" x14ac:dyDescent="0.25">
      <c r="A1737" s="13">
        <v>45495</v>
      </c>
      <c r="B1737" s="15" t="s">
        <v>21</v>
      </c>
      <c r="C1737" s="3">
        <v>2</v>
      </c>
      <c r="D1737" s="13">
        <f t="shared" si="53"/>
        <v>45497</v>
      </c>
      <c r="E1737" s="15">
        <v>4100</v>
      </c>
      <c r="F1737" s="9">
        <v>8.5000000000000006E-2</v>
      </c>
      <c r="G1737" s="9">
        <v>8.5000000000000006E-2</v>
      </c>
      <c r="H1737" s="15">
        <f t="shared" si="52"/>
        <v>12000</v>
      </c>
    </row>
    <row r="1738" spans="1:11" x14ac:dyDescent="0.25">
      <c r="A1738" s="13">
        <v>45495</v>
      </c>
      <c r="B1738" s="15" t="s">
        <v>21</v>
      </c>
      <c r="C1738" s="3">
        <v>4</v>
      </c>
      <c r="D1738" s="13">
        <f t="shared" si="53"/>
        <v>45499</v>
      </c>
      <c r="E1738" s="15">
        <v>1000</v>
      </c>
      <c r="F1738" s="9">
        <v>8.5000000000000006E-2</v>
      </c>
      <c r="G1738" s="9">
        <v>8.5000000000000006E-2</v>
      </c>
      <c r="H1738" s="15">
        <f t="shared" ref="H1738:H1801" si="54">+SUMIFS($E$10:$E$4503,$A$10:$A$4503,"&lt;="&amp;A1738,$D$10:$D$4503,"&gt;"&amp;A1738)</f>
        <v>12000</v>
      </c>
      <c r="K1738" s="1" t="s">
        <v>1012</v>
      </c>
    </row>
    <row r="1739" spans="1:11" x14ac:dyDescent="0.25">
      <c r="A1739" s="13">
        <v>45496</v>
      </c>
      <c r="B1739" s="15" t="s">
        <v>21</v>
      </c>
      <c r="C1739" s="3">
        <v>1</v>
      </c>
      <c r="D1739" s="13">
        <f t="shared" si="53"/>
        <v>45497</v>
      </c>
      <c r="E1739" s="15">
        <v>500</v>
      </c>
      <c r="F1739" s="9">
        <v>8.4500000000000006E-2</v>
      </c>
      <c r="G1739" s="9">
        <v>8.5000000000000006E-2</v>
      </c>
      <c r="H1739" s="15">
        <f t="shared" si="54"/>
        <v>12800</v>
      </c>
    </row>
    <row r="1740" spans="1:11" x14ac:dyDescent="0.25">
      <c r="A1740" s="13">
        <v>45496</v>
      </c>
      <c r="B1740" s="15" t="s">
        <v>21</v>
      </c>
      <c r="C1740" s="3">
        <v>2</v>
      </c>
      <c r="D1740" s="13">
        <f t="shared" si="53"/>
        <v>45498</v>
      </c>
      <c r="E1740" s="15">
        <v>1000</v>
      </c>
      <c r="F1740" s="9">
        <v>8.5000000000000006E-2</v>
      </c>
      <c r="G1740" s="9">
        <v>8.5000000000000006E-2</v>
      </c>
      <c r="H1740" s="15">
        <f t="shared" si="54"/>
        <v>12800</v>
      </c>
    </row>
    <row r="1741" spans="1:11" x14ac:dyDescent="0.25">
      <c r="A1741" s="13">
        <v>45496</v>
      </c>
      <c r="B1741" s="15" t="s">
        <v>21</v>
      </c>
      <c r="C1741" s="3">
        <v>3</v>
      </c>
      <c r="D1741" s="13">
        <f t="shared" si="53"/>
        <v>45499</v>
      </c>
      <c r="E1741" s="15">
        <v>4000</v>
      </c>
      <c r="F1741" s="9">
        <v>8.5000000000000006E-2</v>
      </c>
      <c r="G1741" s="9">
        <v>8.5000000000000006E-2</v>
      </c>
      <c r="H1741" s="15">
        <f t="shared" si="54"/>
        <v>12800</v>
      </c>
    </row>
    <row r="1742" spans="1:11" x14ac:dyDescent="0.25">
      <c r="A1742" s="13">
        <v>45497</v>
      </c>
      <c r="B1742" s="15" t="s">
        <v>21</v>
      </c>
      <c r="C1742" s="3">
        <v>1</v>
      </c>
      <c r="D1742" s="13">
        <f t="shared" si="53"/>
        <v>45498</v>
      </c>
      <c r="E1742" s="15">
        <v>-600</v>
      </c>
      <c r="F1742" s="9">
        <v>8.6999999999999994E-2</v>
      </c>
      <c r="G1742" s="9">
        <v>8.6999999999999994E-2</v>
      </c>
      <c r="H1742" s="15">
        <f t="shared" si="54"/>
        <v>5400</v>
      </c>
    </row>
    <row r="1743" spans="1:11" x14ac:dyDescent="0.25">
      <c r="A1743" s="13">
        <v>45499</v>
      </c>
      <c r="B1743" s="15" t="s">
        <v>21</v>
      </c>
      <c r="C1743" s="3">
        <v>5</v>
      </c>
      <c r="D1743" s="13">
        <f t="shared" si="53"/>
        <v>45504</v>
      </c>
      <c r="E1743" s="15">
        <v>4100</v>
      </c>
      <c r="F1743" s="9">
        <v>8.5000000000000006E-2</v>
      </c>
      <c r="G1743" s="9">
        <v>8.5000000000000006E-2</v>
      </c>
      <c r="H1743" s="15">
        <f t="shared" si="54"/>
        <v>5200</v>
      </c>
    </row>
    <row r="1744" spans="1:11" x14ac:dyDescent="0.25">
      <c r="A1744" s="13">
        <v>45499</v>
      </c>
      <c r="B1744" s="15" t="s">
        <v>21</v>
      </c>
      <c r="C1744" s="3">
        <v>4</v>
      </c>
      <c r="D1744" s="13">
        <f t="shared" si="53"/>
        <v>45503</v>
      </c>
      <c r="E1744" s="15">
        <v>1100</v>
      </c>
      <c r="F1744" s="9">
        <v>8.5000000000000006E-2</v>
      </c>
      <c r="G1744" s="9">
        <v>8.5000000000000006E-2</v>
      </c>
      <c r="H1744" s="15">
        <f t="shared" si="54"/>
        <v>5200</v>
      </c>
    </row>
    <row r="1745" spans="1:8" x14ac:dyDescent="0.25">
      <c r="A1745" s="13">
        <v>45502</v>
      </c>
      <c r="B1745" s="15" t="s">
        <v>21</v>
      </c>
      <c r="C1745" s="3">
        <v>2</v>
      </c>
      <c r="D1745" s="13">
        <f t="shared" si="53"/>
        <v>45504</v>
      </c>
      <c r="E1745" s="15">
        <v>500</v>
      </c>
      <c r="F1745" s="9">
        <v>8.5000000000000006E-2</v>
      </c>
      <c r="G1745" s="9">
        <v>8.5000000000000006E-2</v>
      </c>
      <c r="H1745" s="15">
        <f t="shared" si="54"/>
        <v>6000</v>
      </c>
    </row>
    <row r="1746" spans="1:8" x14ac:dyDescent="0.25">
      <c r="A1746" s="13">
        <v>45502</v>
      </c>
      <c r="B1746" s="15" t="s">
        <v>21</v>
      </c>
      <c r="C1746" s="3">
        <v>3</v>
      </c>
      <c r="D1746" s="13">
        <f t="shared" si="53"/>
        <v>45505</v>
      </c>
      <c r="E1746" s="15">
        <v>300</v>
      </c>
      <c r="F1746" s="9">
        <v>8.5000000000000006E-2</v>
      </c>
      <c r="G1746" s="9">
        <v>8.5000000000000006E-2</v>
      </c>
      <c r="H1746" s="15">
        <f t="shared" si="54"/>
        <v>6000</v>
      </c>
    </row>
    <row r="1747" spans="1:8" x14ac:dyDescent="0.25">
      <c r="A1747" s="13">
        <v>45505</v>
      </c>
      <c r="B1747" s="15" t="s">
        <v>21</v>
      </c>
      <c r="C1747" s="3">
        <v>1</v>
      </c>
      <c r="D1747" s="13">
        <f t="shared" si="53"/>
        <v>45506</v>
      </c>
      <c r="E1747" s="15">
        <v>-600</v>
      </c>
      <c r="F1747" s="9">
        <v>8.6999999999999994E-2</v>
      </c>
      <c r="G1747" s="9">
        <v>8.6999999999999994E-2</v>
      </c>
      <c r="H1747" s="15">
        <f t="shared" si="54"/>
        <v>-600</v>
      </c>
    </row>
    <row r="1748" spans="1:8" x14ac:dyDescent="0.25">
      <c r="A1748" s="13">
        <v>45510</v>
      </c>
      <c r="B1748" s="15" t="s">
        <v>21</v>
      </c>
      <c r="C1748" s="3">
        <v>3</v>
      </c>
      <c r="D1748" s="13">
        <f t="shared" si="53"/>
        <v>45513</v>
      </c>
      <c r="E1748" s="15">
        <v>1000</v>
      </c>
      <c r="F1748" s="9">
        <v>8.5000000000000006E-2</v>
      </c>
      <c r="G1748" s="9">
        <v>8.5000000000000006E-2</v>
      </c>
      <c r="H1748" s="15">
        <f t="shared" si="54"/>
        <v>1200</v>
      </c>
    </row>
    <row r="1749" spans="1:8" x14ac:dyDescent="0.25">
      <c r="A1749" s="13">
        <v>45510</v>
      </c>
      <c r="B1749" s="15" t="s">
        <v>21</v>
      </c>
      <c r="C1749" s="3">
        <v>2</v>
      </c>
      <c r="D1749" s="13">
        <f t="shared" si="53"/>
        <v>45512</v>
      </c>
      <c r="E1749" s="15">
        <v>200</v>
      </c>
      <c r="F1749" s="9">
        <v>8.5000000000000006E-2</v>
      </c>
      <c r="G1749" s="9">
        <v>8.5000000000000006E-2</v>
      </c>
      <c r="H1749" s="15">
        <f t="shared" si="54"/>
        <v>1200</v>
      </c>
    </row>
    <row r="1750" spans="1:8" x14ac:dyDescent="0.25">
      <c r="A1750" s="13">
        <v>45512</v>
      </c>
      <c r="B1750" s="15" t="s">
        <v>21</v>
      </c>
      <c r="C1750" s="3">
        <v>4</v>
      </c>
      <c r="D1750" s="13">
        <f t="shared" si="53"/>
        <v>45516</v>
      </c>
      <c r="E1750" s="15">
        <v>5400</v>
      </c>
      <c r="F1750" s="9">
        <v>8.5000000000000006E-2</v>
      </c>
      <c r="G1750" s="9">
        <v>8.5000000000000006E-2</v>
      </c>
      <c r="H1750" s="15">
        <f t="shared" si="54"/>
        <v>7800</v>
      </c>
    </row>
    <row r="1751" spans="1:8" x14ac:dyDescent="0.25">
      <c r="A1751" s="13">
        <v>45512</v>
      </c>
      <c r="B1751" s="15" t="s">
        <v>21</v>
      </c>
      <c r="C1751" s="3">
        <v>5</v>
      </c>
      <c r="D1751" s="13">
        <f t="shared" si="53"/>
        <v>45517</v>
      </c>
      <c r="E1751" s="15">
        <v>1400</v>
      </c>
      <c r="F1751" s="9">
        <v>8.5000000000000006E-2</v>
      </c>
      <c r="G1751" s="9">
        <v>8.5000000000000006E-2</v>
      </c>
      <c r="H1751" s="15">
        <f t="shared" si="54"/>
        <v>7800</v>
      </c>
    </row>
    <row r="1752" spans="1:8" x14ac:dyDescent="0.25">
      <c r="A1752" s="13">
        <v>45513</v>
      </c>
      <c r="B1752" s="15" t="s">
        <v>21</v>
      </c>
      <c r="C1752" s="3">
        <v>4</v>
      </c>
      <c r="D1752" s="13">
        <f t="shared" si="53"/>
        <v>45517</v>
      </c>
      <c r="E1752" s="15">
        <v>3300</v>
      </c>
      <c r="F1752" s="9">
        <v>8.5000000000000006E-2</v>
      </c>
      <c r="G1752" s="9">
        <v>8.5000000000000006E-2</v>
      </c>
      <c r="H1752" s="15">
        <f t="shared" si="54"/>
        <v>10500</v>
      </c>
    </row>
    <row r="1753" spans="1:8" x14ac:dyDescent="0.25">
      <c r="A1753" s="13">
        <v>45513</v>
      </c>
      <c r="B1753" s="15" t="s">
        <v>21</v>
      </c>
      <c r="C1753" s="3">
        <v>5</v>
      </c>
      <c r="D1753" s="13">
        <f t="shared" si="53"/>
        <v>45518</v>
      </c>
      <c r="E1753" s="15">
        <v>400</v>
      </c>
      <c r="F1753" s="9">
        <v>8.5000000000000006E-2</v>
      </c>
      <c r="G1753" s="9">
        <v>8.5000000000000006E-2</v>
      </c>
      <c r="H1753" s="15">
        <f t="shared" si="54"/>
        <v>10500</v>
      </c>
    </row>
    <row r="1754" spans="1:8" x14ac:dyDescent="0.25">
      <c r="A1754" s="13">
        <v>45516</v>
      </c>
      <c r="B1754" s="15" t="s">
        <v>21</v>
      </c>
      <c r="C1754" s="3">
        <v>7</v>
      </c>
      <c r="D1754" s="13">
        <f t="shared" si="53"/>
        <v>45523</v>
      </c>
      <c r="E1754" s="15">
        <v>3000</v>
      </c>
      <c r="F1754" s="9">
        <v>8.5000000000000006E-2</v>
      </c>
      <c r="G1754" s="9">
        <v>8.5000000000000006E-2</v>
      </c>
      <c r="H1754" s="15">
        <f t="shared" si="54"/>
        <v>8100</v>
      </c>
    </row>
    <row r="1755" spans="1:8" x14ac:dyDescent="0.25">
      <c r="A1755" s="13">
        <v>45517</v>
      </c>
      <c r="B1755" s="15" t="s">
        <v>21</v>
      </c>
      <c r="C1755" s="3">
        <v>3</v>
      </c>
      <c r="D1755" s="13">
        <f t="shared" si="53"/>
        <v>45520</v>
      </c>
      <c r="E1755" s="15">
        <v>2000</v>
      </c>
      <c r="F1755" s="9">
        <v>8.5000000000000006E-2</v>
      </c>
      <c r="G1755" s="9">
        <v>8.5000000000000006E-2</v>
      </c>
      <c r="H1755" s="15">
        <f t="shared" si="54"/>
        <v>8400</v>
      </c>
    </row>
    <row r="1756" spans="1:8" x14ac:dyDescent="0.25">
      <c r="A1756" s="13">
        <v>45517</v>
      </c>
      <c r="B1756" s="15" t="s">
        <v>21</v>
      </c>
      <c r="C1756" s="3">
        <v>6</v>
      </c>
      <c r="D1756" s="13">
        <f t="shared" si="53"/>
        <v>45523</v>
      </c>
      <c r="E1756" s="15">
        <v>3000</v>
      </c>
      <c r="F1756" s="9">
        <v>8.5000000000000006E-2</v>
      </c>
      <c r="G1756" s="9">
        <v>8.5000000000000006E-2</v>
      </c>
      <c r="H1756" s="15">
        <f t="shared" si="54"/>
        <v>8400</v>
      </c>
    </row>
    <row r="1757" spans="1:8" x14ac:dyDescent="0.25">
      <c r="A1757" s="13">
        <v>45518</v>
      </c>
      <c r="B1757" s="15" t="s">
        <v>21</v>
      </c>
      <c r="C1757" s="3">
        <v>5</v>
      </c>
      <c r="D1757" s="13">
        <f t="shared" si="53"/>
        <v>45523</v>
      </c>
      <c r="E1757" s="15">
        <v>2000</v>
      </c>
      <c r="F1757" s="9">
        <v>8.5000000000000006E-2</v>
      </c>
      <c r="G1757" s="9">
        <v>8.5000000000000006E-2</v>
      </c>
      <c r="H1757" s="15">
        <f t="shared" si="54"/>
        <v>10800</v>
      </c>
    </row>
    <row r="1758" spans="1:8" x14ac:dyDescent="0.25">
      <c r="A1758" s="13">
        <v>45518</v>
      </c>
      <c r="B1758" s="15" t="s">
        <v>21</v>
      </c>
      <c r="C1758" s="3">
        <v>6</v>
      </c>
      <c r="D1758" s="13">
        <f t="shared" si="53"/>
        <v>45524</v>
      </c>
      <c r="E1758" s="15">
        <v>800</v>
      </c>
      <c r="F1758" s="9">
        <v>8.5000000000000006E-2</v>
      </c>
      <c r="G1758" s="9">
        <v>8.5000000000000006E-2</v>
      </c>
      <c r="H1758" s="15">
        <f t="shared" si="54"/>
        <v>10800</v>
      </c>
    </row>
    <row r="1759" spans="1:8" x14ac:dyDescent="0.25">
      <c r="A1759" s="13">
        <v>45519</v>
      </c>
      <c r="B1759" s="15" t="s">
        <v>21</v>
      </c>
      <c r="C1759" s="3">
        <v>4</v>
      </c>
      <c r="D1759" s="13">
        <f t="shared" si="53"/>
        <v>45523</v>
      </c>
      <c r="E1759" s="15">
        <v>3000</v>
      </c>
      <c r="F1759" s="9">
        <v>8.5000000000000006E-2</v>
      </c>
      <c r="G1759" s="9">
        <v>8.5000000000000006E-2</v>
      </c>
      <c r="H1759" s="15">
        <f t="shared" si="54"/>
        <v>14000</v>
      </c>
    </row>
    <row r="1760" spans="1:8" x14ac:dyDescent="0.25">
      <c r="A1760" s="13">
        <v>45519</v>
      </c>
      <c r="B1760" s="15" t="s">
        <v>21</v>
      </c>
      <c r="C1760" s="3">
        <v>5</v>
      </c>
      <c r="D1760" s="13">
        <f t="shared" si="53"/>
        <v>45524</v>
      </c>
      <c r="E1760" s="15">
        <v>200</v>
      </c>
      <c r="F1760" s="9">
        <v>8.5000000000000006E-2</v>
      </c>
      <c r="G1760" s="9">
        <v>8.5000000000000006E-2</v>
      </c>
      <c r="H1760" s="15">
        <f t="shared" si="54"/>
        <v>14000</v>
      </c>
    </row>
    <row r="1761" spans="1:8" x14ac:dyDescent="0.25">
      <c r="A1761" s="13">
        <v>45520</v>
      </c>
      <c r="B1761" s="15" t="s">
        <v>21</v>
      </c>
      <c r="C1761" s="3">
        <v>5</v>
      </c>
      <c r="D1761" s="13">
        <f t="shared" si="53"/>
        <v>45525</v>
      </c>
      <c r="E1761" s="15">
        <v>1000</v>
      </c>
      <c r="F1761" s="9">
        <v>8.5000000000000006E-2</v>
      </c>
      <c r="G1761" s="9">
        <v>8.5000000000000006E-2</v>
      </c>
      <c r="H1761" s="15">
        <f t="shared" si="54"/>
        <v>14000</v>
      </c>
    </row>
    <row r="1762" spans="1:8" x14ac:dyDescent="0.25">
      <c r="A1762" s="13">
        <v>45520</v>
      </c>
      <c r="B1762" s="15" t="s">
        <v>21</v>
      </c>
      <c r="C1762" s="3">
        <v>6</v>
      </c>
      <c r="D1762" s="13">
        <f t="shared" si="53"/>
        <v>45526</v>
      </c>
      <c r="E1762" s="15">
        <v>1000</v>
      </c>
      <c r="F1762" s="9">
        <v>8.5000000000000006E-2</v>
      </c>
      <c r="G1762" s="9">
        <v>8.5000000000000006E-2</v>
      </c>
      <c r="H1762" s="15">
        <f t="shared" si="54"/>
        <v>14000</v>
      </c>
    </row>
    <row r="1763" spans="1:8" x14ac:dyDescent="0.25">
      <c r="A1763" s="13">
        <v>45523</v>
      </c>
      <c r="B1763" s="15" t="s">
        <v>21</v>
      </c>
      <c r="C1763" s="3">
        <v>2</v>
      </c>
      <c r="D1763" s="13">
        <f t="shared" si="53"/>
        <v>45525</v>
      </c>
      <c r="E1763" s="15">
        <v>700</v>
      </c>
      <c r="F1763" s="9">
        <v>8.4000000000000005E-2</v>
      </c>
      <c r="G1763" s="9">
        <v>8.4000000000000005E-2</v>
      </c>
      <c r="H1763" s="15">
        <f t="shared" si="54"/>
        <v>5700</v>
      </c>
    </row>
    <row r="1764" spans="1:8" x14ac:dyDescent="0.25">
      <c r="A1764" s="13">
        <v>45523</v>
      </c>
      <c r="B1764" s="15" t="s">
        <v>21</v>
      </c>
      <c r="C1764" s="3">
        <v>3</v>
      </c>
      <c r="D1764" s="13">
        <f t="shared" si="53"/>
        <v>45526</v>
      </c>
      <c r="E1764" s="15">
        <v>1400</v>
      </c>
      <c r="F1764" s="9">
        <v>8.4000000000000005E-2</v>
      </c>
      <c r="G1764" s="9">
        <v>8.4000000000000005E-2</v>
      </c>
      <c r="H1764" s="15">
        <f t="shared" si="54"/>
        <v>5700</v>
      </c>
    </row>
    <row r="1765" spans="1:8" x14ac:dyDescent="0.25">
      <c r="A1765" s="13">
        <v>45523</v>
      </c>
      <c r="B1765" s="15" t="s">
        <v>21</v>
      </c>
      <c r="C1765" s="3">
        <v>4</v>
      </c>
      <c r="D1765" s="13">
        <f t="shared" si="53"/>
        <v>45527</v>
      </c>
      <c r="E1765" s="15">
        <v>600</v>
      </c>
      <c r="F1765" s="9">
        <v>8.4000000000000005E-2</v>
      </c>
      <c r="G1765" s="9">
        <v>8.4000000000000005E-2</v>
      </c>
      <c r="H1765" s="15">
        <f t="shared" si="54"/>
        <v>5700</v>
      </c>
    </row>
    <row r="1766" spans="1:8" x14ac:dyDescent="0.25">
      <c r="A1766" s="13">
        <v>45524</v>
      </c>
      <c r="B1766" s="15" t="s">
        <v>21</v>
      </c>
      <c r="C1766" s="3">
        <v>3</v>
      </c>
      <c r="D1766" s="13">
        <f t="shared" si="53"/>
        <v>45527</v>
      </c>
      <c r="E1766" s="15">
        <v>1550</v>
      </c>
      <c r="F1766" s="9">
        <v>8.5000000000000006E-2</v>
      </c>
      <c r="G1766" s="9">
        <v>8.5000000000000006E-2</v>
      </c>
      <c r="H1766" s="15">
        <f t="shared" si="54"/>
        <v>13350</v>
      </c>
    </row>
    <row r="1767" spans="1:8" x14ac:dyDescent="0.25">
      <c r="A1767" s="13">
        <v>45524</v>
      </c>
      <c r="B1767" s="15" t="s">
        <v>21</v>
      </c>
      <c r="C1767" s="3">
        <v>6</v>
      </c>
      <c r="D1767" s="13">
        <f t="shared" si="53"/>
        <v>45530</v>
      </c>
      <c r="E1767" s="15">
        <v>4700</v>
      </c>
      <c r="F1767" s="9">
        <v>8.4000000000000005E-2</v>
      </c>
      <c r="G1767" s="9">
        <v>8.5000000000000006E-2</v>
      </c>
      <c r="H1767" s="15">
        <f t="shared" si="54"/>
        <v>13350</v>
      </c>
    </row>
    <row r="1768" spans="1:8" x14ac:dyDescent="0.25">
      <c r="A1768" s="13">
        <v>45524</v>
      </c>
      <c r="B1768" s="15" t="s">
        <v>21</v>
      </c>
      <c r="C1768" s="3">
        <v>13</v>
      </c>
      <c r="D1768" s="13">
        <f t="shared" si="53"/>
        <v>45537</v>
      </c>
      <c r="E1768" s="15">
        <v>2400</v>
      </c>
      <c r="F1768" s="9">
        <v>8.4000000000000005E-2</v>
      </c>
      <c r="G1768" s="9">
        <v>8.5000000000000006E-2</v>
      </c>
      <c r="H1768" s="15">
        <f t="shared" si="54"/>
        <v>13350</v>
      </c>
    </row>
    <row r="1769" spans="1:8" x14ac:dyDescent="0.25">
      <c r="A1769" s="13">
        <v>45525</v>
      </c>
      <c r="B1769" s="15" t="s">
        <v>21</v>
      </c>
      <c r="C1769" s="3">
        <v>1</v>
      </c>
      <c r="D1769" s="13">
        <f t="shared" si="53"/>
        <v>45526</v>
      </c>
      <c r="E1769" s="15">
        <v>700</v>
      </c>
      <c r="F1769" s="9">
        <v>8.5000000000000006E-2</v>
      </c>
      <c r="G1769" s="9">
        <v>8.5000000000000006E-2</v>
      </c>
      <c r="H1769" s="15">
        <f t="shared" si="54"/>
        <v>21150</v>
      </c>
    </row>
    <row r="1770" spans="1:8" x14ac:dyDescent="0.25">
      <c r="A1770" s="13">
        <v>45525</v>
      </c>
      <c r="B1770" s="15" t="s">
        <v>21</v>
      </c>
      <c r="C1770" s="3">
        <v>2</v>
      </c>
      <c r="D1770" s="13">
        <f t="shared" si="53"/>
        <v>45527</v>
      </c>
      <c r="E1770" s="15">
        <v>2600</v>
      </c>
      <c r="F1770" s="9">
        <v>8.5000000000000006E-2</v>
      </c>
      <c r="G1770" s="9">
        <v>8.5000000000000006E-2</v>
      </c>
      <c r="H1770" s="15">
        <f t="shared" si="54"/>
        <v>21150</v>
      </c>
    </row>
    <row r="1771" spans="1:8" x14ac:dyDescent="0.25">
      <c r="A1771" s="13">
        <v>45525</v>
      </c>
      <c r="B1771" s="15" t="s">
        <v>21</v>
      </c>
      <c r="C1771" s="3">
        <v>5</v>
      </c>
      <c r="D1771" s="13">
        <f t="shared" si="53"/>
        <v>45530</v>
      </c>
      <c r="E1771" s="15">
        <v>6200</v>
      </c>
      <c r="F1771" s="9">
        <v>8.5000000000000006E-2</v>
      </c>
      <c r="G1771" s="9">
        <v>8.5000000000000006E-2</v>
      </c>
      <c r="H1771" s="15">
        <f t="shared" si="54"/>
        <v>21150</v>
      </c>
    </row>
    <row r="1772" spans="1:8" x14ac:dyDescent="0.25">
      <c r="A1772" s="13">
        <v>45526</v>
      </c>
      <c r="B1772" s="15" t="s">
        <v>21</v>
      </c>
      <c r="C1772" s="3">
        <v>4</v>
      </c>
      <c r="D1772" s="13">
        <f t="shared" si="53"/>
        <v>45530</v>
      </c>
      <c r="E1772" s="15">
        <v>4700</v>
      </c>
      <c r="F1772" s="9">
        <v>8.5000000000000006E-2</v>
      </c>
      <c r="G1772" s="9">
        <v>8.5000000000000006E-2</v>
      </c>
      <c r="H1772" s="15">
        <f t="shared" si="54"/>
        <v>23250</v>
      </c>
    </row>
    <row r="1773" spans="1:8" x14ac:dyDescent="0.25">
      <c r="A1773" s="13">
        <v>45526</v>
      </c>
      <c r="B1773" s="15" t="s">
        <v>21</v>
      </c>
      <c r="C1773" s="3">
        <v>5</v>
      </c>
      <c r="D1773" s="13">
        <f t="shared" si="53"/>
        <v>45531</v>
      </c>
      <c r="E1773" s="15">
        <v>500</v>
      </c>
      <c r="F1773" s="9">
        <v>8.5000000000000006E-2</v>
      </c>
      <c r="G1773" s="9">
        <v>8.5000000000000006E-2</v>
      </c>
      <c r="H1773" s="15">
        <f t="shared" si="54"/>
        <v>23250</v>
      </c>
    </row>
    <row r="1774" spans="1:8" x14ac:dyDescent="0.25">
      <c r="A1774" s="13">
        <v>45527</v>
      </c>
      <c r="B1774" s="15" t="s">
        <v>21</v>
      </c>
      <c r="C1774" s="3">
        <v>4</v>
      </c>
      <c r="D1774" s="13">
        <f t="shared" si="53"/>
        <v>45531</v>
      </c>
      <c r="E1774" s="15">
        <v>3200</v>
      </c>
      <c r="F1774" s="9">
        <v>8.5000000000000006E-2</v>
      </c>
      <c r="G1774" s="9">
        <v>8.5000000000000006E-2</v>
      </c>
      <c r="H1774" s="15">
        <f t="shared" si="54"/>
        <v>21700</v>
      </c>
    </row>
    <row r="1775" spans="1:8" x14ac:dyDescent="0.25">
      <c r="A1775" s="13">
        <v>45530</v>
      </c>
      <c r="B1775" s="15" t="s">
        <v>21</v>
      </c>
      <c r="C1775" s="3">
        <v>4</v>
      </c>
      <c r="D1775" s="13">
        <f t="shared" si="53"/>
        <v>45534</v>
      </c>
      <c r="E1775" s="15">
        <v>1800</v>
      </c>
      <c r="F1775" s="9">
        <v>8.5000000000000006E-2</v>
      </c>
      <c r="G1775" s="9">
        <v>8.5000000000000006E-2</v>
      </c>
      <c r="H1775" s="15">
        <f t="shared" si="54"/>
        <v>9700</v>
      </c>
    </row>
    <row r="1776" spans="1:8" x14ac:dyDescent="0.25">
      <c r="A1776" s="13">
        <v>45530</v>
      </c>
      <c r="B1776" s="15" t="s">
        <v>21</v>
      </c>
      <c r="C1776" s="3">
        <v>7</v>
      </c>
      <c r="D1776" s="13">
        <f t="shared" si="53"/>
        <v>45537</v>
      </c>
      <c r="E1776" s="15">
        <v>1800</v>
      </c>
      <c r="F1776" s="9">
        <v>8.5000000000000006E-2</v>
      </c>
      <c r="G1776" s="9">
        <v>8.5000000000000006E-2</v>
      </c>
      <c r="H1776" s="15">
        <f t="shared" si="54"/>
        <v>9700</v>
      </c>
    </row>
    <row r="1777" spans="1:8" x14ac:dyDescent="0.25">
      <c r="A1777" s="13">
        <v>45531</v>
      </c>
      <c r="B1777" s="15" t="s">
        <v>21</v>
      </c>
      <c r="C1777" s="3">
        <v>3</v>
      </c>
      <c r="D1777" s="13">
        <f t="shared" si="53"/>
        <v>45534</v>
      </c>
      <c r="E1777" s="15">
        <v>700</v>
      </c>
      <c r="F1777" s="9">
        <v>8.5000000000000006E-2</v>
      </c>
      <c r="G1777" s="9">
        <v>8.5000000000000006E-2</v>
      </c>
      <c r="H1777" s="15">
        <f t="shared" si="54"/>
        <v>6700</v>
      </c>
    </row>
    <row r="1778" spans="1:8" x14ac:dyDescent="0.25">
      <c r="A1778" s="13">
        <v>45532</v>
      </c>
      <c r="B1778" s="15" t="s">
        <v>21</v>
      </c>
      <c r="C1778" s="3">
        <v>2</v>
      </c>
      <c r="D1778" s="13">
        <f t="shared" si="53"/>
        <v>45534</v>
      </c>
      <c r="E1778" s="15">
        <v>900</v>
      </c>
      <c r="F1778" s="9">
        <v>8.5000000000000006E-2</v>
      </c>
      <c r="G1778" s="9">
        <v>8.5000000000000006E-2</v>
      </c>
      <c r="H1778" s="15">
        <f t="shared" si="54"/>
        <v>10000</v>
      </c>
    </row>
    <row r="1779" spans="1:8" x14ac:dyDescent="0.25">
      <c r="A1779" s="13">
        <v>45532</v>
      </c>
      <c r="B1779" s="15" t="s">
        <v>21</v>
      </c>
      <c r="C1779" s="3">
        <v>5</v>
      </c>
      <c r="D1779" s="13">
        <f t="shared" si="53"/>
        <v>45537</v>
      </c>
      <c r="E1779" s="15">
        <v>2400</v>
      </c>
      <c r="F1779" s="9">
        <v>8.5000000000000006E-2</v>
      </c>
      <c r="G1779" s="9">
        <v>8.5000000000000006E-2</v>
      </c>
      <c r="H1779" s="15">
        <f t="shared" si="54"/>
        <v>10000</v>
      </c>
    </row>
    <row r="1780" spans="1:8" x14ac:dyDescent="0.25">
      <c r="A1780" s="13">
        <v>45533</v>
      </c>
      <c r="B1780" s="15" t="s">
        <v>21</v>
      </c>
      <c r="C1780" s="3">
        <v>4</v>
      </c>
      <c r="D1780" s="13">
        <f t="shared" si="53"/>
        <v>45537</v>
      </c>
      <c r="E1780" s="15">
        <v>700</v>
      </c>
      <c r="F1780" s="9">
        <v>8.5000000000000006E-2</v>
      </c>
      <c r="G1780" s="9">
        <v>8.5000000000000006E-2</v>
      </c>
      <c r="H1780" s="15">
        <f t="shared" si="54"/>
        <v>10700</v>
      </c>
    </row>
    <row r="1781" spans="1:8" x14ac:dyDescent="0.25">
      <c r="A1781" s="13">
        <v>45534</v>
      </c>
      <c r="B1781" s="15" t="s">
        <v>21</v>
      </c>
      <c r="C1781" s="3">
        <v>3</v>
      </c>
      <c r="D1781" s="13">
        <f t="shared" ref="D1781:D1811" si="55">+A1781+C1781</f>
        <v>45537</v>
      </c>
      <c r="E1781" s="15">
        <v>-600</v>
      </c>
      <c r="F1781" s="9">
        <v>8.5999999999999993E-2</v>
      </c>
      <c r="G1781" s="9">
        <v>8.5999999999999993E-2</v>
      </c>
      <c r="H1781" s="15">
        <f t="shared" si="54"/>
        <v>6700</v>
      </c>
    </row>
    <row r="1782" spans="1:8" x14ac:dyDescent="0.25">
      <c r="A1782" s="13">
        <v>45537</v>
      </c>
      <c r="B1782" s="15" t="s">
        <v>303</v>
      </c>
      <c r="C1782" s="3">
        <v>1</v>
      </c>
      <c r="D1782" s="13">
        <f t="shared" si="55"/>
        <v>45538</v>
      </c>
      <c r="E1782" s="15">
        <v>-200</v>
      </c>
      <c r="F1782" s="9">
        <v>8.6499999999999994E-2</v>
      </c>
      <c r="G1782" s="9">
        <v>8.6499999999999994E-2</v>
      </c>
      <c r="H1782" s="15">
        <f t="shared" si="54"/>
        <v>-600</v>
      </c>
    </row>
    <row r="1783" spans="1:8" x14ac:dyDescent="0.25">
      <c r="A1783" s="13">
        <v>45537</v>
      </c>
      <c r="B1783" s="15" t="s">
        <v>21</v>
      </c>
      <c r="C1783" s="3">
        <v>1</v>
      </c>
      <c r="D1783" s="13">
        <f t="shared" si="55"/>
        <v>45538</v>
      </c>
      <c r="E1783" s="15">
        <v>-400</v>
      </c>
      <c r="F1783" s="9">
        <v>8.6499999999999994E-2</v>
      </c>
      <c r="G1783" s="9">
        <v>8.6499999999999994E-2</v>
      </c>
      <c r="H1783" s="15">
        <f t="shared" si="54"/>
        <v>-600</v>
      </c>
    </row>
    <row r="1784" spans="1:8" x14ac:dyDescent="0.25">
      <c r="A1784" s="13">
        <v>45539</v>
      </c>
      <c r="B1784" s="15" t="s">
        <v>21</v>
      </c>
      <c r="C1784" s="3">
        <v>1</v>
      </c>
      <c r="D1784" s="13">
        <f t="shared" si="55"/>
        <v>45540</v>
      </c>
      <c r="E1784" s="15">
        <v>-900</v>
      </c>
      <c r="F1784" s="9">
        <v>8.6499999999999994E-2</v>
      </c>
      <c r="G1784" s="9">
        <v>8.6499999999999994E-2</v>
      </c>
      <c r="H1784" s="15">
        <f t="shared" si="54"/>
        <v>-900</v>
      </c>
    </row>
    <row r="1785" spans="1:8" x14ac:dyDescent="0.25">
      <c r="A1785" s="13">
        <v>45540</v>
      </c>
      <c r="B1785" s="15" t="s">
        <v>21</v>
      </c>
      <c r="C1785" s="3">
        <v>1</v>
      </c>
      <c r="D1785" s="13">
        <f t="shared" si="55"/>
        <v>45541</v>
      </c>
      <c r="E1785" s="15">
        <v>-600</v>
      </c>
      <c r="F1785" s="9">
        <v>8.6499999999999994E-2</v>
      </c>
      <c r="G1785" s="9">
        <v>8.6499999999999994E-2</v>
      </c>
      <c r="H1785" s="15">
        <f t="shared" si="54"/>
        <v>-600</v>
      </c>
    </row>
    <row r="1786" spans="1:8" x14ac:dyDescent="0.25">
      <c r="A1786" s="13">
        <v>45541</v>
      </c>
      <c r="B1786" s="15" t="s">
        <v>21</v>
      </c>
      <c r="C1786" s="3">
        <v>3</v>
      </c>
      <c r="D1786" s="13">
        <f t="shared" si="55"/>
        <v>45544</v>
      </c>
      <c r="E1786" s="15">
        <v>-400</v>
      </c>
      <c r="F1786" s="9">
        <v>8.6499999999999994E-2</v>
      </c>
      <c r="G1786" s="9">
        <v>8.6499999999999994E-2</v>
      </c>
      <c r="H1786" s="15">
        <f t="shared" si="54"/>
        <v>-400</v>
      </c>
    </row>
    <row r="1787" spans="1:8" x14ac:dyDescent="0.25">
      <c r="A1787" s="13">
        <v>45544</v>
      </c>
      <c r="B1787" s="15" t="s">
        <v>21</v>
      </c>
      <c r="C1787" s="3">
        <v>1</v>
      </c>
      <c r="D1787" s="13">
        <f t="shared" si="55"/>
        <v>45545</v>
      </c>
      <c r="E1787" s="15">
        <v>-600</v>
      </c>
      <c r="F1787" s="9">
        <v>8.5500000000000007E-2</v>
      </c>
      <c r="G1787" s="9">
        <v>8.5500000000000007E-2</v>
      </c>
      <c r="H1787" s="15">
        <f t="shared" si="54"/>
        <v>700</v>
      </c>
    </row>
    <row r="1788" spans="1:8" x14ac:dyDescent="0.25">
      <c r="A1788" s="13">
        <v>45544</v>
      </c>
      <c r="B1788" s="15" t="s">
        <v>21</v>
      </c>
      <c r="C1788" s="3">
        <v>2</v>
      </c>
      <c r="D1788" s="13">
        <f t="shared" si="55"/>
        <v>45546</v>
      </c>
      <c r="E1788" s="15">
        <v>300</v>
      </c>
      <c r="F1788" s="9">
        <v>8.5000000000000006E-2</v>
      </c>
      <c r="G1788" s="9">
        <v>8.5000000000000006E-2</v>
      </c>
      <c r="H1788" s="15">
        <f t="shared" si="54"/>
        <v>700</v>
      </c>
    </row>
    <row r="1789" spans="1:8" x14ac:dyDescent="0.25">
      <c r="A1789" s="13">
        <v>45544</v>
      </c>
      <c r="B1789" s="15" t="s">
        <v>21</v>
      </c>
      <c r="C1789" s="3">
        <v>3</v>
      </c>
      <c r="D1789" s="13">
        <f t="shared" si="55"/>
        <v>45547</v>
      </c>
      <c r="E1789" s="15">
        <v>1000</v>
      </c>
      <c r="F1789" s="9">
        <v>8.5000000000000006E-2</v>
      </c>
      <c r="G1789" s="9">
        <v>8.5000000000000006E-2</v>
      </c>
      <c r="H1789" s="15">
        <f t="shared" si="54"/>
        <v>700</v>
      </c>
    </row>
    <row r="1790" spans="1:8" x14ac:dyDescent="0.25">
      <c r="A1790" s="13">
        <v>45545</v>
      </c>
      <c r="B1790" s="15" t="s">
        <v>21</v>
      </c>
      <c r="C1790" s="3">
        <v>2</v>
      </c>
      <c r="D1790" s="13">
        <f t="shared" si="55"/>
        <v>45547</v>
      </c>
      <c r="E1790" s="15">
        <v>2200</v>
      </c>
      <c r="F1790" s="9">
        <v>8.5000000000000006E-2</v>
      </c>
      <c r="G1790" s="9">
        <v>8.5000000000000006E-2</v>
      </c>
      <c r="H1790" s="15">
        <f t="shared" si="54"/>
        <v>4500</v>
      </c>
    </row>
    <row r="1791" spans="1:8" x14ac:dyDescent="0.25">
      <c r="A1791" s="13">
        <v>45545</v>
      </c>
      <c r="B1791" s="15" t="s">
        <v>21</v>
      </c>
      <c r="C1791" s="3">
        <v>3</v>
      </c>
      <c r="D1791" s="13">
        <f t="shared" si="55"/>
        <v>45548</v>
      </c>
      <c r="E1791" s="15">
        <v>1000</v>
      </c>
      <c r="F1791" s="9">
        <v>8.5000000000000006E-2</v>
      </c>
      <c r="G1791" s="9">
        <v>8.5000000000000006E-2</v>
      </c>
      <c r="H1791" s="15">
        <f t="shared" si="54"/>
        <v>4500</v>
      </c>
    </row>
    <row r="1792" spans="1:8" x14ac:dyDescent="0.25">
      <c r="A1792" s="13">
        <v>45546</v>
      </c>
      <c r="B1792" s="15" t="s">
        <v>21</v>
      </c>
      <c r="C1792" s="3">
        <v>5</v>
      </c>
      <c r="D1792" s="13">
        <f t="shared" si="55"/>
        <v>45551</v>
      </c>
      <c r="E1792" s="15">
        <v>5700</v>
      </c>
      <c r="F1792" s="9">
        <v>8.5000000000000006E-2</v>
      </c>
      <c r="G1792" s="9">
        <v>8.5000000000000006E-2</v>
      </c>
      <c r="H1792" s="15">
        <f t="shared" si="54"/>
        <v>11200</v>
      </c>
    </row>
    <row r="1793" spans="1:8" x14ac:dyDescent="0.25">
      <c r="A1793" s="13">
        <v>45546</v>
      </c>
      <c r="B1793" s="15" t="s">
        <v>21</v>
      </c>
      <c r="C1793" s="3">
        <v>2</v>
      </c>
      <c r="D1793" s="13">
        <f t="shared" si="55"/>
        <v>45548</v>
      </c>
      <c r="E1793" s="15">
        <v>1300</v>
      </c>
      <c r="F1793" s="9">
        <v>8.5000000000000006E-2</v>
      </c>
      <c r="G1793" s="9">
        <v>8.5000000000000006E-2</v>
      </c>
      <c r="H1793" s="15">
        <f t="shared" si="54"/>
        <v>11200</v>
      </c>
    </row>
    <row r="1794" spans="1:8" x14ac:dyDescent="0.25">
      <c r="A1794" s="13">
        <v>45547</v>
      </c>
      <c r="B1794" s="15" t="s">
        <v>21</v>
      </c>
      <c r="C1794" s="3">
        <v>4</v>
      </c>
      <c r="D1794" s="13">
        <f t="shared" si="55"/>
        <v>45551</v>
      </c>
      <c r="E1794" s="15">
        <v>3400</v>
      </c>
      <c r="F1794" s="9">
        <v>8.5000000000000006E-2</v>
      </c>
      <c r="G1794" s="9">
        <v>8.5000000000000006E-2</v>
      </c>
      <c r="H1794" s="15">
        <f t="shared" si="54"/>
        <v>12400</v>
      </c>
    </row>
    <row r="1795" spans="1:8" x14ac:dyDescent="0.25">
      <c r="A1795" s="13">
        <v>45547</v>
      </c>
      <c r="B1795" s="15" t="s">
        <v>21</v>
      </c>
      <c r="C1795" s="3">
        <v>5</v>
      </c>
      <c r="D1795" s="13">
        <f t="shared" si="55"/>
        <v>45552</v>
      </c>
      <c r="E1795" s="15">
        <v>1000</v>
      </c>
      <c r="F1795" s="9">
        <v>8.5000000000000006E-2</v>
      </c>
      <c r="G1795" s="9">
        <v>8.5000000000000006E-2</v>
      </c>
      <c r="H1795" s="15">
        <f t="shared" si="54"/>
        <v>12400</v>
      </c>
    </row>
    <row r="1796" spans="1:8" x14ac:dyDescent="0.25">
      <c r="A1796" s="13">
        <v>45548</v>
      </c>
      <c r="B1796" s="15" t="s">
        <v>21</v>
      </c>
      <c r="C1796" s="3">
        <v>3</v>
      </c>
      <c r="D1796" s="13">
        <f t="shared" si="55"/>
        <v>45551</v>
      </c>
      <c r="E1796" s="15">
        <v>500</v>
      </c>
      <c r="F1796" s="9">
        <v>8.5000000000000006E-2</v>
      </c>
      <c r="G1796" s="9">
        <v>8.5000000000000006E-2</v>
      </c>
      <c r="H1796" s="15">
        <f t="shared" si="54"/>
        <v>16500</v>
      </c>
    </row>
    <row r="1797" spans="1:8" x14ac:dyDescent="0.25">
      <c r="A1797" s="13">
        <v>45548</v>
      </c>
      <c r="B1797" s="15" t="s">
        <v>21</v>
      </c>
      <c r="C1797" s="3">
        <v>4</v>
      </c>
      <c r="D1797" s="13">
        <f t="shared" si="55"/>
        <v>45552</v>
      </c>
      <c r="E1797" s="15">
        <v>1700</v>
      </c>
      <c r="F1797" s="9">
        <v>8.5000000000000006E-2</v>
      </c>
      <c r="G1797" s="9">
        <v>8.5000000000000006E-2</v>
      </c>
      <c r="H1797" s="15">
        <f t="shared" si="54"/>
        <v>16500</v>
      </c>
    </row>
    <row r="1798" spans="1:8" x14ac:dyDescent="0.25">
      <c r="A1798" s="13">
        <v>45548</v>
      </c>
      <c r="B1798" s="15" t="s">
        <v>21</v>
      </c>
      <c r="C1798" s="3">
        <v>5</v>
      </c>
      <c r="D1798" s="13">
        <f t="shared" si="55"/>
        <v>45553</v>
      </c>
      <c r="E1798" s="15">
        <v>4200</v>
      </c>
      <c r="F1798" s="9">
        <v>8.5000000000000006E-2</v>
      </c>
      <c r="G1798" s="9">
        <v>8.5000000000000006E-2</v>
      </c>
      <c r="H1798" s="15">
        <f t="shared" si="54"/>
        <v>16500</v>
      </c>
    </row>
    <row r="1799" spans="1:8" x14ac:dyDescent="0.25">
      <c r="A1799" s="13">
        <v>45551</v>
      </c>
      <c r="B1799" s="15" t="s">
        <v>21</v>
      </c>
      <c r="C1799" s="3">
        <v>2</v>
      </c>
      <c r="D1799" s="13">
        <f t="shared" si="55"/>
        <v>45553</v>
      </c>
      <c r="E1799" s="15">
        <v>1300</v>
      </c>
      <c r="F1799" s="9">
        <v>8.5000000000000006E-2</v>
      </c>
      <c r="G1799" s="9">
        <v>8.5000000000000006E-2</v>
      </c>
      <c r="H1799" s="15">
        <f t="shared" si="54"/>
        <v>16500</v>
      </c>
    </row>
    <row r="1800" spans="1:8" x14ac:dyDescent="0.25">
      <c r="A1800" s="13">
        <v>45551</v>
      </c>
      <c r="B1800" s="15" t="s">
        <v>21</v>
      </c>
      <c r="C1800" s="3">
        <v>3</v>
      </c>
      <c r="D1800" s="13">
        <f t="shared" si="55"/>
        <v>45554</v>
      </c>
      <c r="E1800" s="15">
        <v>4000</v>
      </c>
      <c r="F1800" s="9">
        <v>8.5000000000000006E-2</v>
      </c>
      <c r="G1800" s="9">
        <v>8.5000000000000006E-2</v>
      </c>
      <c r="H1800" s="15">
        <f t="shared" si="54"/>
        <v>16500</v>
      </c>
    </row>
    <row r="1801" spans="1:8" x14ac:dyDescent="0.25">
      <c r="A1801" s="13">
        <v>45551</v>
      </c>
      <c r="B1801" s="15" t="s">
        <v>21</v>
      </c>
      <c r="C1801" s="3">
        <v>4</v>
      </c>
      <c r="D1801" s="13">
        <f t="shared" si="55"/>
        <v>45555</v>
      </c>
      <c r="E1801" s="15">
        <v>1900</v>
      </c>
      <c r="F1801" s="9">
        <v>8.5000000000000006E-2</v>
      </c>
      <c r="G1801" s="9">
        <v>8.5000000000000006E-2</v>
      </c>
      <c r="H1801" s="15">
        <f t="shared" si="54"/>
        <v>16500</v>
      </c>
    </row>
    <row r="1802" spans="1:8" x14ac:dyDescent="0.25">
      <c r="A1802" s="13">
        <v>45551</v>
      </c>
      <c r="B1802" s="15" t="s">
        <v>21</v>
      </c>
      <c r="C1802" s="3">
        <v>7</v>
      </c>
      <c r="D1802" s="13">
        <f t="shared" si="55"/>
        <v>45558</v>
      </c>
      <c r="E1802" s="15">
        <v>2400</v>
      </c>
      <c r="F1802" s="9">
        <v>8.5000000000000006E-2</v>
      </c>
      <c r="G1802" s="9">
        <v>8.5000000000000006E-2</v>
      </c>
      <c r="H1802" s="15">
        <f t="shared" ref="H1802:H1865" si="56">+SUMIFS($E$10:$E$4503,$A$10:$A$4503,"&lt;="&amp;A1802,$D$10:$D$4503,"&gt;"&amp;A1802)</f>
        <v>16500</v>
      </c>
    </row>
    <row r="1803" spans="1:8" x14ac:dyDescent="0.25">
      <c r="A1803" s="13">
        <v>45552</v>
      </c>
      <c r="B1803" s="15" t="s">
        <v>21</v>
      </c>
      <c r="C1803" s="3">
        <v>2</v>
      </c>
      <c r="D1803" s="13">
        <f t="shared" si="55"/>
        <v>45554</v>
      </c>
      <c r="E1803" s="15">
        <v>2000</v>
      </c>
      <c r="F1803" s="9">
        <v>8.5000000000000006E-2</v>
      </c>
      <c r="G1803" s="9">
        <v>8.5000000000000006E-2</v>
      </c>
      <c r="H1803" s="15">
        <f t="shared" si="56"/>
        <v>20300</v>
      </c>
    </row>
    <row r="1804" spans="1:8" x14ac:dyDescent="0.25">
      <c r="A1804" s="13">
        <v>45552</v>
      </c>
      <c r="B1804" s="15" t="s">
        <v>21</v>
      </c>
      <c r="C1804" s="3">
        <v>3</v>
      </c>
      <c r="D1804" s="13">
        <f t="shared" si="55"/>
        <v>45555</v>
      </c>
      <c r="E1804" s="15">
        <v>500</v>
      </c>
      <c r="F1804" s="9">
        <v>8.5000000000000006E-2</v>
      </c>
      <c r="G1804" s="9">
        <v>8.5000000000000006E-2</v>
      </c>
      <c r="H1804" s="15">
        <f t="shared" si="56"/>
        <v>20300</v>
      </c>
    </row>
    <row r="1805" spans="1:8" x14ac:dyDescent="0.25">
      <c r="A1805" s="13">
        <v>45552</v>
      </c>
      <c r="B1805" s="15" t="s">
        <v>21</v>
      </c>
      <c r="C1805" s="3">
        <v>6</v>
      </c>
      <c r="D1805" s="13">
        <f t="shared" si="55"/>
        <v>45558</v>
      </c>
      <c r="E1805" s="15">
        <v>4000</v>
      </c>
      <c r="F1805" s="9">
        <v>8.5000000000000006E-2</v>
      </c>
      <c r="G1805" s="9">
        <v>8.5000000000000006E-2</v>
      </c>
      <c r="H1805" s="15">
        <f t="shared" si="56"/>
        <v>20300</v>
      </c>
    </row>
    <row r="1806" spans="1:8" x14ac:dyDescent="0.25">
      <c r="A1806" s="13">
        <v>45553</v>
      </c>
      <c r="B1806" s="15" t="s">
        <v>21</v>
      </c>
      <c r="C1806" s="3">
        <v>2</v>
      </c>
      <c r="D1806" s="13">
        <f t="shared" si="55"/>
        <v>45555</v>
      </c>
      <c r="E1806" s="15">
        <v>2000</v>
      </c>
      <c r="F1806" s="9">
        <v>8.5000000000000006E-2</v>
      </c>
      <c r="G1806" s="9">
        <v>8.5000000000000006E-2</v>
      </c>
      <c r="H1806" s="15">
        <f t="shared" si="56"/>
        <v>22300</v>
      </c>
    </row>
    <row r="1807" spans="1:8" x14ac:dyDescent="0.25">
      <c r="A1807" s="13">
        <v>45553</v>
      </c>
      <c r="B1807" s="15" t="s">
        <v>21</v>
      </c>
      <c r="C1807" s="3">
        <v>5</v>
      </c>
      <c r="D1807" s="13">
        <f t="shared" si="55"/>
        <v>45558</v>
      </c>
      <c r="E1807" s="15">
        <v>5500</v>
      </c>
      <c r="F1807" s="9">
        <v>8.5000000000000006E-2</v>
      </c>
      <c r="G1807" s="9">
        <v>8.5000000000000006E-2</v>
      </c>
      <c r="H1807" s="15">
        <f t="shared" si="56"/>
        <v>22300</v>
      </c>
    </row>
    <row r="1808" spans="1:8" x14ac:dyDescent="0.25">
      <c r="A1808" s="13">
        <v>45554</v>
      </c>
      <c r="B1808" s="15" t="s">
        <v>21</v>
      </c>
      <c r="C1808" s="3">
        <v>4</v>
      </c>
      <c r="D1808" s="13">
        <f t="shared" si="55"/>
        <v>45558</v>
      </c>
      <c r="E1808" s="15">
        <v>3900</v>
      </c>
      <c r="F1808" s="9">
        <v>8.5000000000000006E-2</v>
      </c>
      <c r="G1808" s="9">
        <v>8.5000000000000006E-2</v>
      </c>
      <c r="H1808" s="15">
        <f t="shared" si="56"/>
        <v>24600</v>
      </c>
    </row>
    <row r="1809" spans="1:8" x14ac:dyDescent="0.25">
      <c r="A1809" s="13">
        <v>45554</v>
      </c>
      <c r="B1809" s="15" t="s">
        <v>21</v>
      </c>
      <c r="C1809" s="3">
        <v>5</v>
      </c>
      <c r="D1809" s="13">
        <f t="shared" si="55"/>
        <v>45559</v>
      </c>
      <c r="E1809" s="15">
        <v>500</v>
      </c>
      <c r="F1809" s="9">
        <v>8.5000000000000006E-2</v>
      </c>
      <c r="G1809" s="9">
        <v>8.5000000000000006E-2</v>
      </c>
      <c r="H1809" s="15">
        <f t="shared" si="56"/>
        <v>24600</v>
      </c>
    </row>
    <row r="1810" spans="1:8" x14ac:dyDescent="0.25">
      <c r="A1810" s="13">
        <v>45554</v>
      </c>
      <c r="B1810" s="15" t="s">
        <v>21</v>
      </c>
      <c r="C1810" s="3">
        <v>6</v>
      </c>
      <c r="D1810" s="13">
        <f t="shared" si="55"/>
        <v>45560</v>
      </c>
      <c r="E1810" s="15">
        <v>1900</v>
      </c>
      <c r="F1810" s="9">
        <v>8.5000000000000006E-2</v>
      </c>
      <c r="G1810" s="9">
        <v>8.5000000000000006E-2</v>
      </c>
      <c r="H1810" s="15">
        <f t="shared" si="56"/>
        <v>24600</v>
      </c>
    </row>
    <row r="1811" spans="1:8" x14ac:dyDescent="0.25">
      <c r="A1811" s="13">
        <v>45554</v>
      </c>
      <c r="B1811" s="15" t="s">
        <v>21</v>
      </c>
      <c r="C1811" s="3">
        <v>11</v>
      </c>
      <c r="D1811" s="13">
        <f t="shared" si="55"/>
        <v>45565</v>
      </c>
      <c r="E1811" s="15">
        <v>2000</v>
      </c>
      <c r="F1811" s="9">
        <v>8.5000000000000006E-2</v>
      </c>
      <c r="G1811" s="9">
        <v>8.5000000000000006E-2</v>
      </c>
      <c r="H1811" s="15">
        <f t="shared" si="56"/>
        <v>24600</v>
      </c>
    </row>
    <row r="1812" spans="1:8" x14ac:dyDescent="0.25">
      <c r="A1812" s="13">
        <v>45555</v>
      </c>
      <c r="B1812" s="15" t="s">
        <v>21</v>
      </c>
      <c r="C1812" s="3">
        <v>3</v>
      </c>
      <c r="D1812" s="13">
        <f t="shared" ref="D1812" si="57">+A1812+C1812</f>
        <v>45558</v>
      </c>
      <c r="E1812" s="15">
        <v>500</v>
      </c>
      <c r="F1812" s="9">
        <v>8.5000000000000006E-2</v>
      </c>
      <c r="G1812" s="9">
        <v>8.5000000000000006E-2</v>
      </c>
      <c r="H1812" s="15">
        <f t="shared" si="56"/>
        <v>27800</v>
      </c>
    </row>
    <row r="1813" spans="1:8" x14ac:dyDescent="0.25">
      <c r="A1813" s="13">
        <v>45555</v>
      </c>
      <c r="B1813" s="15" t="s">
        <v>21</v>
      </c>
      <c r="C1813" s="3">
        <v>4</v>
      </c>
      <c r="D1813" s="13">
        <f t="shared" ref="D1813:D1847" si="58">+A1813+C1813</f>
        <v>45559</v>
      </c>
      <c r="E1813" s="15">
        <v>4800</v>
      </c>
      <c r="F1813" s="9">
        <v>8.5000000000000006E-2</v>
      </c>
      <c r="G1813" s="9">
        <v>8.5000000000000006E-2</v>
      </c>
      <c r="H1813" s="15">
        <f t="shared" si="56"/>
        <v>27800</v>
      </c>
    </row>
    <row r="1814" spans="1:8" x14ac:dyDescent="0.25">
      <c r="A1814" s="13">
        <v>45555</v>
      </c>
      <c r="B1814" s="15" t="s">
        <v>21</v>
      </c>
      <c r="C1814" s="3">
        <v>5</v>
      </c>
      <c r="D1814" s="13">
        <f t="shared" si="58"/>
        <v>45560</v>
      </c>
      <c r="E1814" s="15">
        <v>2100</v>
      </c>
      <c r="F1814" s="9">
        <v>8.5000000000000006E-2</v>
      </c>
      <c r="G1814" s="9">
        <v>8.5000000000000006E-2</v>
      </c>
      <c r="H1814" s="15">
        <f t="shared" si="56"/>
        <v>27800</v>
      </c>
    </row>
    <row r="1815" spans="1:8" x14ac:dyDescent="0.25">
      <c r="A1815" s="13">
        <v>45555</v>
      </c>
      <c r="B1815" s="15" t="s">
        <v>21</v>
      </c>
      <c r="C1815" s="3">
        <v>6</v>
      </c>
      <c r="D1815" s="13">
        <f t="shared" si="58"/>
        <v>45561</v>
      </c>
      <c r="E1815" s="15">
        <v>200</v>
      </c>
      <c r="F1815" s="9">
        <v>8.5000000000000006E-2</v>
      </c>
      <c r="G1815" s="9">
        <v>8.5000000000000006E-2</v>
      </c>
      <c r="H1815" s="15">
        <f t="shared" si="56"/>
        <v>27800</v>
      </c>
    </row>
    <row r="1816" spans="1:8" x14ac:dyDescent="0.25">
      <c r="A1816" s="13">
        <v>45558</v>
      </c>
      <c r="B1816" s="15" t="s">
        <v>21</v>
      </c>
      <c r="C1816" s="3">
        <v>1</v>
      </c>
      <c r="D1816" s="13">
        <f t="shared" si="58"/>
        <v>45559</v>
      </c>
      <c r="E1816" s="15">
        <v>500</v>
      </c>
      <c r="F1816" s="9">
        <v>8.5000000000000006E-2</v>
      </c>
      <c r="G1816" s="9">
        <v>8.5000000000000006E-2</v>
      </c>
      <c r="H1816" s="15">
        <f t="shared" si="56"/>
        <v>18700</v>
      </c>
    </row>
    <row r="1817" spans="1:8" x14ac:dyDescent="0.25">
      <c r="A1817" s="13">
        <v>45558</v>
      </c>
      <c r="B1817" s="15" t="s">
        <v>21</v>
      </c>
      <c r="C1817" s="3">
        <v>2</v>
      </c>
      <c r="D1817" s="13">
        <f t="shared" si="58"/>
        <v>45560</v>
      </c>
      <c r="E1817" s="15">
        <v>2600</v>
      </c>
      <c r="F1817" s="9">
        <v>8.5000000000000006E-2</v>
      </c>
      <c r="G1817" s="9">
        <v>8.5000000000000006E-2</v>
      </c>
      <c r="H1817" s="15">
        <f t="shared" si="56"/>
        <v>18700</v>
      </c>
    </row>
    <row r="1818" spans="1:8" x14ac:dyDescent="0.25">
      <c r="A1818" s="13">
        <v>45558</v>
      </c>
      <c r="B1818" s="15" t="s">
        <v>21</v>
      </c>
      <c r="C1818" s="3">
        <v>3</v>
      </c>
      <c r="D1818" s="13">
        <f t="shared" si="58"/>
        <v>45561</v>
      </c>
      <c r="E1818" s="15">
        <v>2300</v>
      </c>
      <c r="F1818" s="9">
        <v>8.5000000000000006E-2</v>
      </c>
      <c r="G1818" s="9">
        <v>8.5000000000000006E-2</v>
      </c>
      <c r="H1818" s="15">
        <f t="shared" si="56"/>
        <v>18700</v>
      </c>
    </row>
    <row r="1819" spans="1:8" x14ac:dyDescent="0.25">
      <c r="A1819" s="13">
        <v>45558</v>
      </c>
      <c r="B1819" s="15" t="s">
        <v>21</v>
      </c>
      <c r="C1819" s="3">
        <v>4</v>
      </c>
      <c r="D1819" s="13">
        <f t="shared" si="58"/>
        <v>45562</v>
      </c>
      <c r="E1819" s="15">
        <v>800</v>
      </c>
      <c r="F1819" s="9">
        <v>8.5000000000000006E-2</v>
      </c>
      <c r="G1819" s="9">
        <v>8.5000000000000006E-2</v>
      </c>
      <c r="H1819" s="15">
        <f t="shared" si="56"/>
        <v>18700</v>
      </c>
    </row>
    <row r="1820" spans="1:8" x14ac:dyDescent="0.25">
      <c r="A1820" s="13">
        <v>45558</v>
      </c>
      <c r="B1820" s="15" t="s">
        <v>21</v>
      </c>
      <c r="C1820" s="3">
        <v>7</v>
      </c>
      <c r="D1820" s="13">
        <f t="shared" si="58"/>
        <v>45565</v>
      </c>
      <c r="E1820" s="15">
        <v>1000</v>
      </c>
      <c r="F1820" s="9">
        <v>8.5000000000000006E-2</v>
      </c>
      <c r="G1820" s="9">
        <v>8.5000000000000006E-2</v>
      </c>
      <c r="H1820" s="15">
        <f t="shared" si="56"/>
        <v>18700</v>
      </c>
    </row>
    <row r="1821" spans="1:8" x14ac:dyDescent="0.25">
      <c r="A1821" s="13">
        <v>45559</v>
      </c>
      <c r="B1821" s="15" t="s">
        <v>21</v>
      </c>
      <c r="C1821" s="3">
        <v>1</v>
      </c>
      <c r="D1821" s="13">
        <f t="shared" si="58"/>
        <v>45560</v>
      </c>
      <c r="E1821" s="15">
        <v>300</v>
      </c>
      <c r="F1821" s="9">
        <v>8.5000000000000006E-2</v>
      </c>
      <c r="G1821" s="9">
        <v>8.5000000000000006E-2</v>
      </c>
      <c r="H1821" s="15">
        <f t="shared" si="56"/>
        <v>19500</v>
      </c>
    </row>
    <row r="1822" spans="1:8" x14ac:dyDescent="0.25">
      <c r="A1822" s="13">
        <v>45559</v>
      </c>
      <c r="B1822" s="15" t="s">
        <v>21</v>
      </c>
      <c r="C1822" s="3">
        <v>2</v>
      </c>
      <c r="D1822" s="13">
        <f t="shared" si="58"/>
        <v>45561</v>
      </c>
      <c r="E1822" s="15">
        <v>3900</v>
      </c>
      <c r="F1822" s="9">
        <v>8.5000000000000006E-2</v>
      </c>
      <c r="G1822" s="9">
        <v>8.5000000000000006E-2</v>
      </c>
      <c r="H1822" s="15">
        <f t="shared" si="56"/>
        <v>19500</v>
      </c>
    </row>
    <row r="1823" spans="1:8" x14ac:dyDescent="0.25">
      <c r="A1823" s="13">
        <v>45559</v>
      </c>
      <c r="B1823" s="15" t="s">
        <v>21</v>
      </c>
      <c r="C1823" s="3">
        <v>3</v>
      </c>
      <c r="D1823" s="13">
        <f t="shared" si="58"/>
        <v>45562</v>
      </c>
      <c r="E1823" s="15">
        <v>1200</v>
      </c>
      <c r="F1823" s="9">
        <v>8.5000000000000006E-2</v>
      </c>
      <c r="G1823" s="9">
        <v>8.5000000000000006E-2</v>
      </c>
      <c r="H1823" s="15">
        <f t="shared" si="56"/>
        <v>19500</v>
      </c>
    </row>
    <row r="1824" spans="1:8" x14ac:dyDescent="0.25">
      <c r="A1824" s="13">
        <v>45559</v>
      </c>
      <c r="B1824" s="15" t="s">
        <v>21</v>
      </c>
      <c r="C1824" s="3">
        <v>6</v>
      </c>
      <c r="D1824" s="13">
        <f t="shared" si="58"/>
        <v>45565</v>
      </c>
      <c r="E1824" s="15">
        <v>1200</v>
      </c>
      <c r="F1824" s="9">
        <v>8.5000000000000006E-2</v>
      </c>
      <c r="G1824" s="9">
        <v>8.5000000000000006E-2</v>
      </c>
      <c r="H1824" s="15">
        <f t="shared" si="56"/>
        <v>19500</v>
      </c>
    </row>
    <row r="1825" spans="1:8" x14ac:dyDescent="0.25">
      <c r="A1825" s="13">
        <v>45560</v>
      </c>
      <c r="B1825" s="15" t="s">
        <v>21</v>
      </c>
      <c r="C1825" s="3">
        <v>2</v>
      </c>
      <c r="D1825" s="13">
        <f t="shared" si="58"/>
        <v>45562</v>
      </c>
      <c r="E1825" s="15">
        <v>4000</v>
      </c>
      <c r="F1825" s="9">
        <v>8.5000000000000006E-2</v>
      </c>
      <c r="G1825" s="9">
        <v>8.5000000000000006E-2</v>
      </c>
      <c r="H1825" s="15">
        <f t="shared" si="56"/>
        <v>17600</v>
      </c>
    </row>
    <row r="1826" spans="1:8" x14ac:dyDescent="0.25">
      <c r="A1826" s="13">
        <v>45560</v>
      </c>
      <c r="B1826" s="15" t="s">
        <v>21</v>
      </c>
      <c r="C1826" s="3">
        <v>5</v>
      </c>
      <c r="D1826" s="13">
        <f t="shared" si="58"/>
        <v>45565</v>
      </c>
      <c r="E1826" s="15">
        <v>1000</v>
      </c>
      <c r="F1826" s="9">
        <v>8.5000000000000006E-2</v>
      </c>
      <c r="G1826" s="9">
        <v>8.5000000000000006E-2</v>
      </c>
      <c r="H1826" s="15">
        <f t="shared" si="56"/>
        <v>17600</v>
      </c>
    </row>
    <row r="1827" spans="1:8" x14ac:dyDescent="0.25">
      <c r="A1827" s="13">
        <v>45561</v>
      </c>
      <c r="B1827" s="15" t="s">
        <v>21</v>
      </c>
      <c r="C1827" s="3">
        <v>4</v>
      </c>
      <c r="D1827" s="13">
        <f t="shared" si="58"/>
        <v>45565</v>
      </c>
      <c r="E1827" s="15">
        <v>4400</v>
      </c>
      <c r="F1827" s="9">
        <v>8.5000000000000006E-2</v>
      </c>
      <c r="G1827" s="9">
        <v>8.5000000000000006E-2</v>
      </c>
      <c r="H1827" s="15">
        <f t="shared" si="56"/>
        <v>17200</v>
      </c>
    </row>
    <row r="1828" spans="1:8" x14ac:dyDescent="0.25">
      <c r="A1828" s="13">
        <v>45561</v>
      </c>
      <c r="B1828" s="15" t="s">
        <v>21</v>
      </c>
      <c r="C1828" s="3">
        <v>5</v>
      </c>
      <c r="D1828" s="13">
        <f t="shared" si="58"/>
        <v>45566</v>
      </c>
      <c r="E1828" s="15">
        <v>1600</v>
      </c>
      <c r="F1828" s="9">
        <v>8.5000000000000006E-2</v>
      </c>
      <c r="G1828" s="9">
        <v>8.5000000000000006E-2</v>
      </c>
      <c r="H1828" s="15">
        <f t="shared" si="56"/>
        <v>17200</v>
      </c>
    </row>
    <row r="1829" spans="1:8" x14ac:dyDescent="0.25">
      <c r="A1829" s="13">
        <v>45562</v>
      </c>
      <c r="B1829" s="15" t="s">
        <v>21</v>
      </c>
      <c r="C1829" s="3">
        <v>3</v>
      </c>
      <c r="D1829" s="13">
        <f t="shared" si="58"/>
        <v>45565</v>
      </c>
      <c r="E1829" s="15">
        <v>1600</v>
      </c>
      <c r="F1829" s="9">
        <v>8.3000000000000004E-2</v>
      </c>
      <c r="G1829" s="9">
        <v>8.5000000000000006E-2</v>
      </c>
      <c r="H1829" s="15">
        <f t="shared" si="56"/>
        <v>16200</v>
      </c>
    </row>
    <row r="1830" spans="1:8" x14ac:dyDescent="0.25">
      <c r="A1830" s="13">
        <v>45562</v>
      </c>
      <c r="B1830" s="15" t="s">
        <v>21</v>
      </c>
      <c r="C1830" s="3">
        <v>4</v>
      </c>
      <c r="D1830" s="13">
        <f t="shared" si="58"/>
        <v>45566</v>
      </c>
      <c r="E1830" s="15">
        <v>3400</v>
      </c>
      <c r="F1830" s="9">
        <v>8.5000000000000006E-2</v>
      </c>
      <c r="G1830" s="9">
        <v>8.5000000000000006E-2</v>
      </c>
      <c r="H1830" s="15">
        <f t="shared" si="56"/>
        <v>16200</v>
      </c>
    </row>
    <row r="1831" spans="1:8" x14ac:dyDescent="0.25">
      <c r="A1831" s="13">
        <v>45565</v>
      </c>
      <c r="B1831" s="15" t="s">
        <v>21</v>
      </c>
      <c r="C1831" s="3">
        <v>1</v>
      </c>
      <c r="D1831" s="13">
        <f t="shared" si="58"/>
        <v>45566</v>
      </c>
      <c r="E1831" s="15">
        <v>2300</v>
      </c>
      <c r="F1831" s="9">
        <v>0.08</v>
      </c>
      <c r="G1831" s="9">
        <v>8.5000000000000006E-2</v>
      </c>
      <c r="H1831" s="15">
        <f t="shared" si="56"/>
        <v>11700</v>
      </c>
    </row>
    <row r="1832" spans="1:8" x14ac:dyDescent="0.25">
      <c r="A1832" s="13">
        <v>45565</v>
      </c>
      <c r="B1832" s="15" t="s">
        <v>21</v>
      </c>
      <c r="C1832" s="3">
        <v>2</v>
      </c>
      <c r="D1832" s="13">
        <f t="shared" si="58"/>
        <v>45567</v>
      </c>
      <c r="E1832" s="15">
        <v>4000</v>
      </c>
      <c r="F1832" s="9">
        <v>8.5000000000000006E-2</v>
      </c>
      <c r="G1832" s="9">
        <v>8.5000000000000006E-2</v>
      </c>
      <c r="H1832" s="15">
        <f t="shared" si="56"/>
        <v>11700</v>
      </c>
    </row>
    <row r="1833" spans="1:8" x14ac:dyDescent="0.25">
      <c r="A1833" s="13">
        <v>45565</v>
      </c>
      <c r="B1833" s="15" t="s">
        <v>21</v>
      </c>
      <c r="C1833" s="3">
        <v>4</v>
      </c>
      <c r="D1833" s="13">
        <f t="shared" si="58"/>
        <v>45569</v>
      </c>
      <c r="E1833" s="15">
        <v>400</v>
      </c>
      <c r="F1833" s="9">
        <v>8.5000000000000006E-2</v>
      </c>
      <c r="G1833" s="9">
        <v>8.5000000000000006E-2</v>
      </c>
      <c r="H1833" s="15">
        <f t="shared" si="56"/>
        <v>11700</v>
      </c>
    </row>
    <row r="1834" spans="1:8" x14ac:dyDescent="0.25">
      <c r="A1834" s="13">
        <v>45566</v>
      </c>
      <c r="B1834" s="15" t="s">
        <v>21</v>
      </c>
      <c r="C1834" s="3">
        <v>2</v>
      </c>
      <c r="D1834" s="13">
        <f t="shared" si="58"/>
        <v>45568</v>
      </c>
      <c r="E1834" s="15">
        <v>300</v>
      </c>
      <c r="F1834" s="9">
        <v>8.5000000000000006E-2</v>
      </c>
      <c r="G1834" s="9">
        <v>8.5000000000000006E-2</v>
      </c>
      <c r="H1834" s="15">
        <f t="shared" si="56"/>
        <v>5400</v>
      </c>
    </row>
    <row r="1835" spans="1:8" x14ac:dyDescent="0.25">
      <c r="A1835" s="13">
        <v>45566</v>
      </c>
      <c r="B1835" s="15" t="s">
        <v>21</v>
      </c>
      <c r="C1835" s="3">
        <v>3</v>
      </c>
      <c r="D1835" s="13">
        <f t="shared" si="58"/>
        <v>45569</v>
      </c>
      <c r="E1835" s="15">
        <v>500</v>
      </c>
      <c r="F1835" s="9">
        <v>8.5000000000000006E-2</v>
      </c>
      <c r="G1835" s="9">
        <v>8.5000000000000006E-2</v>
      </c>
      <c r="H1835" s="15">
        <f t="shared" si="56"/>
        <v>5400</v>
      </c>
    </row>
    <row r="1836" spans="1:8" x14ac:dyDescent="0.25">
      <c r="A1836" s="13">
        <v>45566</v>
      </c>
      <c r="B1836" s="15" t="s">
        <v>21</v>
      </c>
      <c r="C1836" s="3">
        <v>6</v>
      </c>
      <c r="D1836" s="13">
        <f t="shared" si="58"/>
        <v>45572</v>
      </c>
      <c r="E1836" s="15">
        <v>200</v>
      </c>
      <c r="F1836" s="9">
        <v>8.5000000000000006E-2</v>
      </c>
      <c r="G1836" s="9">
        <v>8.5000000000000006E-2</v>
      </c>
      <c r="H1836" s="15">
        <f t="shared" si="56"/>
        <v>5400</v>
      </c>
    </row>
    <row r="1837" spans="1:8" x14ac:dyDescent="0.25">
      <c r="A1837" s="13">
        <v>45567</v>
      </c>
      <c r="B1837" s="15" t="s">
        <v>21</v>
      </c>
      <c r="C1837" s="3">
        <v>1</v>
      </c>
      <c r="D1837" s="13">
        <f t="shared" si="58"/>
        <v>45568</v>
      </c>
      <c r="E1837" s="15">
        <v>200</v>
      </c>
      <c r="F1837" s="9">
        <v>8.5000000000000006E-2</v>
      </c>
      <c r="G1837" s="9">
        <v>8.5000000000000006E-2</v>
      </c>
      <c r="H1837" s="15">
        <f t="shared" si="56"/>
        <v>7200</v>
      </c>
    </row>
    <row r="1838" spans="1:8" x14ac:dyDescent="0.25">
      <c r="A1838" s="13">
        <v>45567</v>
      </c>
      <c r="B1838" s="15" t="s">
        <v>21</v>
      </c>
      <c r="C1838" s="3">
        <v>1</v>
      </c>
      <c r="D1838" s="13">
        <f t="shared" si="58"/>
        <v>45568</v>
      </c>
      <c r="E1838" s="15">
        <v>-300</v>
      </c>
      <c r="F1838" s="9">
        <v>8.5000000000000006E-2</v>
      </c>
      <c r="G1838" s="9">
        <v>8.5000000000000006E-2</v>
      </c>
      <c r="H1838" s="15">
        <f t="shared" si="56"/>
        <v>7200</v>
      </c>
    </row>
    <row r="1839" spans="1:8" x14ac:dyDescent="0.25">
      <c r="A1839" s="13">
        <v>45567</v>
      </c>
      <c r="B1839" s="15" t="s">
        <v>21</v>
      </c>
      <c r="C1839" s="3">
        <v>2</v>
      </c>
      <c r="D1839" s="13">
        <f t="shared" si="58"/>
        <v>45569</v>
      </c>
      <c r="E1839" s="15">
        <v>3600</v>
      </c>
      <c r="F1839" s="9">
        <v>8.5000000000000006E-2</v>
      </c>
      <c r="G1839" s="9">
        <v>8.5000000000000006E-2</v>
      </c>
      <c r="H1839" s="15">
        <f t="shared" si="56"/>
        <v>7200</v>
      </c>
    </row>
    <row r="1840" spans="1:8" x14ac:dyDescent="0.25">
      <c r="A1840" s="13">
        <v>45567</v>
      </c>
      <c r="B1840" s="15" t="s">
        <v>21</v>
      </c>
      <c r="C1840" s="3">
        <v>5</v>
      </c>
      <c r="D1840" s="13">
        <f t="shared" si="58"/>
        <v>45572</v>
      </c>
      <c r="E1840" s="15">
        <v>2300</v>
      </c>
      <c r="F1840" s="9">
        <v>8.5000000000000006E-2</v>
      </c>
      <c r="G1840" s="9">
        <v>8.5000000000000006E-2</v>
      </c>
      <c r="H1840" s="15">
        <f t="shared" si="56"/>
        <v>7200</v>
      </c>
    </row>
    <row r="1841" spans="1:8" x14ac:dyDescent="0.25">
      <c r="A1841" s="13">
        <v>45568</v>
      </c>
      <c r="B1841" s="15" t="s">
        <v>21</v>
      </c>
      <c r="C1841" s="3">
        <v>1</v>
      </c>
      <c r="D1841" s="13">
        <f t="shared" si="58"/>
        <v>45569</v>
      </c>
      <c r="E1841" s="15">
        <v>500</v>
      </c>
      <c r="F1841" s="9">
        <v>8.5000000000000006E-2</v>
      </c>
      <c r="G1841" s="9">
        <v>8.5000000000000006E-2</v>
      </c>
      <c r="H1841" s="15">
        <f t="shared" si="56"/>
        <v>8700</v>
      </c>
    </row>
    <row r="1842" spans="1:8" x14ac:dyDescent="0.25">
      <c r="A1842" s="13">
        <v>45568</v>
      </c>
      <c r="B1842" s="15" t="s">
        <v>21</v>
      </c>
      <c r="C1842" s="3">
        <v>4</v>
      </c>
      <c r="D1842" s="13">
        <f t="shared" si="58"/>
        <v>45572</v>
      </c>
      <c r="E1842" s="15">
        <v>1200</v>
      </c>
      <c r="F1842" s="9">
        <v>8.5000000000000006E-2</v>
      </c>
      <c r="G1842" s="9">
        <v>8.5000000000000006E-2</v>
      </c>
      <c r="H1842" s="15">
        <f t="shared" si="56"/>
        <v>8700</v>
      </c>
    </row>
    <row r="1843" spans="1:8" x14ac:dyDescent="0.25">
      <c r="A1843" s="13">
        <v>45569</v>
      </c>
      <c r="B1843" s="15" t="s">
        <v>21</v>
      </c>
      <c r="C1843" s="3">
        <v>3</v>
      </c>
      <c r="D1843" s="13">
        <f t="shared" si="58"/>
        <v>45572</v>
      </c>
      <c r="E1843" s="15">
        <v>2000</v>
      </c>
      <c r="F1843" s="9">
        <v>8.4000000000000005E-2</v>
      </c>
      <c r="G1843" s="9">
        <v>8.5000000000000006E-2</v>
      </c>
      <c r="H1843" s="15">
        <f t="shared" si="56"/>
        <v>12400</v>
      </c>
    </row>
    <row r="1844" spans="1:8" x14ac:dyDescent="0.25">
      <c r="A1844" s="13">
        <v>45569</v>
      </c>
      <c r="B1844" s="15" t="s">
        <v>21</v>
      </c>
      <c r="C1844" s="3">
        <v>4</v>
      </c>
      <c r="D1844" s="13">
        <f t="shared" si="58"/>
        <v>45573</v>
      </c>
      <c r="E1844" s="15">
        <v>5000</v>
      </c>
      <c r="F1844" s="9">
        <v>8.5000000000000006E-2</v>
      </c>
      <c r="G1844" s="9">
        <v>8.5000000000000006E-2</v>
      </c>
      <c r="H1844" s="15">
        <f t="shared" si="56"/>
        <v>12400</v>
      </c>
    </row>
    <row r="1845" spans="1:8" x14ac:dyDescent="0.25">
      <c r="A1845" s="13">
        <v>45569</v>
      </c>
      <c r="B1845" s="15" t="s">
        <v>21</v>
      </c>
      <c r="C1845" s="3">
        <v>5</v>
      </c>
      <c r="D1845" s="13">
        <f t="shared" si="58"/>
        <v>45574</v>
      </c>
      <c r="E1845" s="15">
        <v>1000</v>
      </c>
      <c r="F1845" s="9">
        <v>8.5000000000000006E-2</v>
      </c>
      <c r="G1845" s="9">
        <v>8.5000000000000006E-2</v>
      </c>
      <c r="H1845" s="15">
        <f t="shared" si="56"/>
        <v>12400</v>
      </c>
    </row>
    <row r="1846" spans="1:8" x14ac:dyDescent="0.25">
      <c r="A1846" s="13">
        <v>45569</v>
      </c>
      <c r="B1846" s="15" t="s">
        <v>21</v>
      </c>
      <c r="C1846" s="3">
        <v>14</v>
      </c>
      <c r="D1846" s="13">
        <f t="shared" si="58"/>
        <v>45583</v>
      </c>
      <c r="E1846" s="15">
        <v>700</v>
      </c>
      <c r="F1846" s="9">
        <v>8.5500000000000007E-2</v>
      </c>
      <c r="G1846" s="9">
        <v>8.5500000000000007E-2</v>
      </c>
      <c r="H1846" s="15">
        <f t="shared" si="56"/>
        <v>12400</v>
      </c>
    </row>
    <row r="1847" spans="1:8" x14ac:dyDescent="0.25">
      <c r="A1847" s="13">
        <v>45572</v>
      </c>
      <c r="B1847" s="15" t="s">
        <v>21</v>
      </c>
      <c r="C1847" s="3">
        <v>1</v>
      </c>
      <c r="D1847" s="13">
        <f t="shared" si="58"/>
        <v>45573</v>
      </c>
      <c r="E1847" s="15">
        <v>1200</v>
      </c>
      <c r="F1847" s="9">
        <v>8.2500000000000004E-2</v>
      </c>
      <c r="G1847" s="9">
        <v>8.5000000000000006E-2</v>
      </c>
      <c r="H1847" s="15">
        <f t="shared" si="56"/>
        <v>15950</v>
      </c>
    </row>
    <row r="1848" spans="1:8" x14ac:dyDescent="0.25">
      <c r="A1848" s="13">
        <v>45572</v>
      </c>
      <c r="B1848" s="15" t="s">
        <v>21</v>
      </c>
      <c r="C1848" s="3">
        <v>2</v>
      </c>
      <c r="D1848" s="13">
        <f t="shared" ref="D1848:D1900" si="59">+A1848+C1848</f>
        <v>45574</v>
      </c>
      <c r="E1848" s="15">
        <v>1200</v>
      </c>
      <c r="F1848" s="9">
        <v>8.5000000000000006E-2</v>
      </c>
      <c r="G1848" s="9">
        <v>8.5000000000000006E-2</v>
      </c>
      <c r="H1848" s="15">
        <f t="shared" si="56"/>
        <v>15950</v>
      </c>
    </row>
    <row r="1849" spans="1:8" x14ac:dyDescent="0.25">
      <c r="A1849" s="13">
        <v>45572</v>
      </c>
      <c r="B1849" s="15" t="s">
        <v>21</v>
      </c>
      <c r="C1849" s="3">
        <v>3</v>
      </c>
      <c r="D1849" s="13">
        <f t="shared" si="59"/>
        <v>45575</v>
      </c>
      <c r="E1849" s="15">
        <v>3100</v>
      </c>
      <c r="F1849" s="9">
        <v>8.5000000000000006E-2</v>
      </c>
      <c r="G1849" s="9">
        <v>8.5000000000000006E-2</v>
      </c>
      <c r="H1849" s="15">
        <f t="shared" si="56"/>
        <v>15950</v>
      </c>
    </row>
    <row r="1850" spans="1:8" x14ac:dyDescent="0.25">
      <c r="A1850" s="13">
        <v>45572</v>
      </c>
      <c r="B1850" s="15" t="s">
        <v>21</v>
      </c>
      <c r="C1850" s="3">
        <v>4</v>
      </c>
      <c r="D1850" s="13">
        <f t="shared" si="59"/>
        <v>45576</v>
      </c>
      <c r="E1850" s="15">
        <v>3350</v>
      </c>
      <c r="F1850" s="9">
        <v>8.5000000000000006E-2</v>
      </c>
      <c r="G1850" s="9">
        <v>8.5000000000000006E-2</v>
      </c>
      <c r="H1850" s="15">
        <f t="shared" si="56"/>
        <v>15950</v>
      </c>
    </row>
    <row r="1851" spans="1:8" x14ac:dyDescent="0.25">
      <c r="A1851" s="13">
        <v>45572</v>
      </c>
      <c r="B1851" s="15" t="s">
        <v>21</v>
      </c>
      <c r="C1851" s="3">
        <v>7</v>
      </c>
      <c r="D1851" s="13">
        <f t="shared" si="59"/>
        <v>45579</v>
      </c>
      <c r="E1851" s="15">
        <v>400</v>
      </c>
      <c r="F1851" s="9">
        <v>8.5000000000000006E-2</v>
      </c>
      <c r="G1851" s="9">
        <v>8.5000000000000006E-2</v>
      </c>
      <c r="H1851" s="15">
        <f t="shared" si="56"/>
        <v>15950</v>
      </c>
    </row>
    <row r="1852" spans="1:8" x14ac:dyDescent="0.25">
      <c r="A1852" s="13">
        <v>45573</v>
      </c>
      <c r="B1852" s="15" t="s">
        <v>21</v>
      </c>
      <c r="C1852" s="3">
        <v>1</v>
      </c>
      <c r="D1852" s="13">
        <f t="shared" si="59"/>
        <v>45574</v>
      </c>
      <c r="E1852" s="15">
        <v>900</v>
      </c>
      <c r="F1852" s="9">
        <v>8.4000000000000005E-2</v>
      </c>
      <c r="G1852" s="9">
        <v>8.5000000000000006E-2</v>
      </c>
      <c r="H1852" s="15">
        <f t="shared" si="56"/>
        <v>19150</v>
      </c>
    </row>
    <row r="1853" spans="1:8" x14ac:dyDescent="0.25">
      <c r="A1853" s="13">
        <v>45573</v>
      </c>
      <c r="B1853" s="15" t="s">
        <v>21</v>
      </c>
      <c r="C1853" s="3">
        <v>2</v>
      </c>
      <c r="D1853" s="13">
        <f t="shared" si="59"/>
        <v>45575</v>
      </c>
      <c r="E1853" s="15">
        <v>1500</v>
      </c>
      <c r="F1853" s="9">
        <v>8.5000000000000006E-2</v>
      </c>
      <c r="G1853" s="9">
        <v>8.5000000000000006E-2</v>
      </c>
      <c r="H1853" s="15">
        <f t="shared" si="56"/>
        <v>19150</v>
      </c>
    </row>
    <row r="1854" spans="1:8" x14ac:dyDescent="0.25">
      <c r="A1854" s="13">
        <v>45573</v>
      </c>
      <c r="B1854" s="15" t="s">
        <v>21</v>
      </c>
      <c r="C1854" s="3">
        <v>3</v>
      </c>
      <c r="D1854" s="13">
        <f t="shared" si="59"/>
        <v>45576</v>
      </c>
      <c r="E1854" s="15">
        <v>2200</v>
      </c>
      <c r="F1854" s="9">
        <v>8.5000000000000006E-2</v>
      </c>
      <c r="G1854" s="9">
        <v>8.5000000000000006E-2</v>
      </c>
      <c r="H1854" s="15">
        <f t="shared" si="56"/>
        <v>19150</v>
      </c>
    </row>
    <row r="1855" spans="1:8" x14ac:dyDescent="0.25">
      <c r="A1855" s="13">
        <v>45573</v>
      </c>
      <c r="B1855" s="15" t="s">
        <v>21</v>
      </c>
      <c r="C1855" s="3">
        <v>6</v>
      </c>
      <c r="D1855" s="13">
        <f t="shared" si="59"/>
        <v>45579</v>
      </c>
      <c r="E1855" s="15">
        <v>4800</v>
      </c>
      <c r="F1855" s="9">
        <v>8.5000000000000006E-2</v>
      </c>
      <c r="G1855" s="9">
        <v>8.5000000000000006E-2</v>
      </c>
      <c r="H1855" s="15">
        <f t="shared" si="56"/>
        <v>19150</v>
      </c>
    </row>
    <row r="1856" spans="1:8" x14ac:dyDescent="0.25">
      <c r="A1856" s="13">
        <v>45574</v>
      </c>
      <c r="B1856" s="15" t="s">
        <v>21</v>
      </c>
      <c r="C1856" s="3">
        <v>1</v>
      </c>
      <c r="D1856" s="13">
        <f t="shared" si="59"/>
        <v>45575</v>
      </c>
      <c r="E1856" s="15">
        <v>1400</v>
      </c>
      <c r="F1856" s="9">
        <v>8.5000000000000006E-2</v>
      </c>
      <c r="G1856" s="9">
        <v>8.5000000000000006E-2</v>
      </c>
      <c r="H1856" s="15">
        <f t="shared" si="56"/>
        <v>29050</v>
      </c>
    </row>
    <row r="1857" spans="1:8" x14ac:dyDescent="0.25">
      <c r="A1857" s="13">
        <v>45574</v>
      </c>
      <c r="B1857" s="15" t="s">
        <v>21</v>
      </c>
      <c r="C1857" s="3">
        <v>2</v>
      </c>
      <c r="D1857" s="13">
        <f t="shared" si="59"/>
        <v>45576</v>
      </c>
      <c r="E1857" s="15">
        <v>2000</v>
      </c>
      <c r="F1857" s="9">
        <v>8.5000000000000006E-2</v>
      </c>
      <c r="G1857" s="9">
        <v>8.5000000000000006E-2</v>
      </c>
      <c r="H1857" s="15">
        <f t="shared" si="56"/>
        <v>29050</v>
      </c>
    </row>
    <row r="1858" spans="1:8" x14ac:dyDescent="0.25">
      <c r="A1858" s="13">
        <v>45574</v>
      </c>
      <c r="B1858" s="15" t="s">
        <v>21</v>
      </c>
      <c r="C1858" s="3">
        <v>5</v>
      </c>
      <c r="D1858" s="13">
        <f t="shared" si="59"/>
        <v>45579</v>
      </c>
      <c r="E1858" s="15">
        <v>2000</v>
      </c>
      <c r="F1858" s="9">
        <v>8.5000000000000006E-2</v>
      </c>
      <c r="G1858" s="9">
        <v>8.5000000000000006E-2</v>
      </c>
      <c r="H1858" s="15">
        <f t="shared" si="56"/>
        <v>29050</v>
      </c>
    </row>
    <row r="1859" spans="1:8" x14ac:dyDescent="0.25">
      <c r="A1859" s="13">
        <v>45574</v>
      </c>
      <c r="B1859" s="15" t="s">
        <v>21</v>
      </c>
      <c r="C1859" s="3">
        <v>6</v>
      </c>
      <c r="D1859" s="13">
        <f t="shared" si="59"/>
        <v>45580</v>
      </c>
      <c r="E1859" s="15">
        <v>2400</v>
      </c>
      <c r="F1859" s="9">
        <v>8.5000000000000006E-2</v>
      </c>
      <c r="G1859" s="9">
        <v>8.5000000000000006E-2</v>
      </c>
      <c r="H1859" s="15">
        <f t="shared" si="56"/>
        <v>29050</v>
      </c>
    </row>
    <row r="1860" spans="1:8" x14ac:dyDescent="0.25">
      <c r="A1860" s="13">
        <v>45574</v>
      </c>
      <c r="B1860" s="15" t="s">
        <v>21</v>
      </c>
      <c r="C1860" s="3">
        <v>7</v>
      </c>
      <c r="D1860" s="13">
        <f t="shared" si="59"/>
        <v>45581</v>
      </c>
      <c r="E1860" s="15">
        <v>1000</v>
      </c>
      <c r="F1860" s="9">
        <v>8.5000000000000006E-2</v>
      </c>
      <c r="G1860" s="9">
        <v>8.5000000000000006E-2</v>
      </c>
      <c r="H1860" s="15">
        <f t="shared" si="56"/>
        <v>29050</v>
      </c>
    </row>
    <row r="1861" spans="1:8" x14ac:dyDescent="0.25">
      <c r="A1861" s="13">
        <v>45574</v>
      </c>
      <c r="B1861" s="15" t="s">
        <v>21</v>
      </c>
      <c r="C1861" s="3">
        <v>13</v>
      </c>
      <c r="D1861" s="13">
        <f t="shared" si="59"/>
        <v>45587</v>
      </c>
      <c r="E1861" s="15">
        <v>400</v>
      </c>
      <c r="F1861" s="9">
        <v>8.5000000000000006E-2</v>
      </c>
      <c r="G1861" s="9">
        <v>8.5000000000000006E-2</v>
      </c>
      <c r="H1861" s="15">
        <f t="shared" si="56"/>
        <v>29050</v>
      </c>
    </row>
    <row r="1862" spans="1:8" x14ac:dyDescent="0.25">
      <c r="A1862" s="13">
        <v>45574</v>
      </c>
      <c r="B1862" s="15" t="s">
        <v>21</v>
      </c>
      <c r="C1862" s="3">
        <v>19</v>
      </c>
      <c r="D1862" s="13">
        <f t="shared" si="59"/>
        <v>45593</v>
      </c>
      <c r="E1862" s="15">
        <v>3800</v>
      </c>
      <c r="F1862" s="9">
        <v>8.5999999999999993E-2</v>
      </c>
      <c r="G1862" s="9">
        <v>8.5999999999999993E-2</v>
      </c>
      <c r="H1862" s="15">
        <f t="shared" si="56"/>
        <v>29050</v>
      </c>
    </row>
    <row r="1863" spans="1:8" x14ac:dyDescent="0.25">
      <c r="A1863" s="13">
        <v>45575</v>
      </c>
      <c r="B1863" s="15" t="s">
        <v>21</v>
      </c>
      <c r="C1863" s="3">
        <v>1</v>
      </c>
      <c r="D1863" s="13">
        <f t="shared" si="59"/>
        <v>45576</v>
      </c>
      <c r="E1863" s="15">
        <v>900</v>
      </c>
      <c r="F1863" s="9">
        <v>8.5000000000000006E-2</v>
      </c>
      <c r="G1863" s="9">
        <v>8.5000000000000006E-2</v>
      </c>
      <c r="H1863" s="15">
        <f t="shared" si="56"/>
        <v>32750</v>
      </c>
    </row>
    <row r="1864" spans="1:8" x14ac:dyDescent="0.25">
      <c r="A1864" s="13">
        <v>45575</v>
      </c>
      <c r="B1864" s="15" t="s">
        <v>21</v>
      </c>
      <c r="C1864" s="3">
        <v>4</v>
      </c>
      <c r="D1864" s="13">
        <f t="shared" si="59"/>
        <v>45579</v>
      </c>
      <c r="E1864" s="15">
        <v>2500</v>
      </c>
      <c r="F1864" s="9">
        <v>8.5000000000000006E-2</v>
      </c>
      <c r="G1864" s="9">
        <v>8.5000000000000006E-2</v>
      </c>
      <c r="H1864" s="15">
        <f t="shared" si="56"/>
        <v>32750</v>
      </c>
    </row>
    <row r="1865" spans="1:8" x14ac:dyDescent="0.25">
      <c r="A1865" s="13">
        <v>45575</v>
      </c>
      <c r="B1865" s="15" t="s">
        <v>21</v>
      </c>
      <c r="C1865" s="3">
        <v>5</v>
      </c>
      <c r="D1865" s="13">
        <f t="shared" si="59"/>
        <v>45580</v>
      </c>
      <c r="E1865" s="15">
        <v>500</v>
      </c>
      <c r="F1865" s="9">
        <v>8.5000000000000006E-2</v>
      </c>
      <c r="G1865" s="9">
        <v>8.5000000000000006E-2</v>
      </c>
      <c r="H1865" s="15">
        <f t="shared" si="56"/>
        <v>32750</v>
      </c>
    </row>
    <row r="1866" spans="1:8" x14ac:dyDescent="0.25">
      <c r="A1866" s="13">
        <v>45575</v>
      </c>
      <c r="B1866" s="15" t="s">
        <v>21</v>
      </c>
      <c r="C1866" s="3">
        <v>6</v>
      </c>
      <c r="D1866" s="13">
        <f t="shared" si="59"/>
        <v>45581</v>
      </c>
      <c r="E1866" s="15">
        <v>1500</v>
      </c>
      <c r="F1866" s="9">
        <v>8.5000000000000006E-2</v>
      </c>
      <c r="G1866" s="9">
        <v>8.5000000000000006E-2</v>
      </c>
      <c r="H1866" s="15">
        <f t="shared" ref="H1866:H1929" si="60">+SUMIFS($E$10:$E$4503,$A$10:$A$4503,"&lt;="&amp;A1866,$D$10:$D$4503,"&gt;"&amp;A1866)</f>
        <v>32750</v>
      </c>
    </row>
    <row r="1867" spans="1:8" x14ac:dyDescent="0.25">
      <c r="A1867" s="13">
        <v>45575</v>
      </c>
      <c r="B1867" s="15" t="s">
        <v>21</v>
      </c>
      <c r="C1867" s="3">
        <v>7</v>
      </c>
      <c r="D1867" s="13">
        <f t="shared" si="59"/>
        <v>45582</v>
      </c>
      <c r="E1867" s="15">
        <v>1000</v>
      </c>
      <c r="F1867" s="9">
        <v>8.5000000000000006E-2</v>
      </c>
      <c r="G1867" s="9">
        <v>8.5000000000000006E-2</v>
      </c>
      <c r="H1867" s="15">
        <f t="shared" si="60"/>
        <v>32750</v>
      </c>
    </row>
    <row r="1868" spans="1:8" x14ac:dyDescent="0.25">
      <c r="A1868" s="13">
        <v>45575</v>
      </c>
      <c r="B1868" s="15" t="s">
        <v>21</v>
      </c>
      <c r="C1868" s="3">
        <v>11</v>
      </c>
      <c r="D1868" s="13">
        <f t="shared" si="59"/>
        <v>45586</v>
      </c>
      <c r="E1868" s="15">
        <v>1400</v>
      </c>
      <c r="F1868" s="9">
        <v>8.5000000000000006E-2</v>
      </c>
      <c r="G1868" s="9">
        <v>8.5000000000000006E-2</v>
      </c>
      <c r="H1868" s="15">
        <f t="shared" si="60"/>
        <v>32750</v>
      </c>
    </row>
    <row r="1869" spans="1:8" x14ac:dyDescent="0.25">
      <c r="A1869" s="13">
        <v>45575</v>
      </c>
      <c r="B1869" s="15" t="s">
        <v>21</v>
      </c>
      <c r="C1869" s="3">
        <v>18</v>
      </c>
      <c r="D1869" s="13">
        <f t="shared" si="59"/>
        <v>45593</v>
      </c>
      <c r="E1869" s="15">
        <v>1900</v>
      </c>
      <c r="F1869" s="9">
        <v>8.5999999999999993E-2</v>
      </c>
      <c r="G1869" s="9">
        <v>8.5999999999999993E-2</v>
      </c>
      <c r="H1869" s="15">
        <f t="shared" si="60"/>
        <v>32750</v>
      </c>
    </row>
    <row r="1870" spans="1:8" x14ac:dyDescent="0.25">
      <c r="A1870" s="13">
        <v>45576</v>
      </c>
      <c r="B1870" s="15" t="s">
        <v>21</v>
      </c>
      <c r="C1870" s="3">
        <v>3</v>
      </c>
      <c r="D1870" s="13">
        <f t="shared" si="59"/>
        <v>45579</v>
      </c>
      <c r="E1870" s="15">
        <v>1000</v>
      </c>
      <c r="F1870" s="9">
        <v>8.5000000000000006E-2</v>
      </c>
      <c r="G1870" s="9">
        <v>8.5000000000000006E-2</v>
      </c>
      <c r="H1870" s="15">
        <f t="shared" si="60"/>
        <v>32300</v>
      </c>
    </row>
    <row r="1871" spans="1:8" x14ac:dyDescent="0.25">
      <c r="A1871" s="13">
        <v>45576</v>
      </c>
      <c r="B1871" s="15" t="s">
        <v>21</v>
      </c>
      <c r="C1871" s="3">
        <v>3</v>
      </c>
      <c r="D1871" s="13">
        <f t="shared" si="59"/>
        <v>45579</v>
      </c>
      <c r="E1871" s="15">
        <v>-400</v>
      </c>
      <c r="F1871" s="9">
        <v>8.5000000000000006E-2</v>
      </c>
      <c r="G1871" s="9">
        <v>8.5000000000000006E-2</v>
      </c>
      <c r="H1871" s="15">
        <f t="shared" si="60"/>
        <v>32300</v>
      </c>
    </row>
    <row r="1872" spans="1:8" x14ac:dyDescent="0.25">
      <c r="A1872" s="13">
        <v>45576</v>
      </c>
      <c r="B1872" s="15" t="s">
        <v>21</v>
      </c>
      <c r="C1872" s="3">
        <v>4</v>
      </c>
      <c r="D1872" s="13">
        <f t="shared" si="59"/>
        <v>45580</v>
      </c>
      <c r="E1872" s="15">
        <v>1100</v>
      </c>
      <c r="F1872" s="9">
        <v>8.5000000000000006E-2</v>
      </c>
      <c r="G1872" s="9">
        <v>8.5000000000000006E-2</v>
      </c>
      <c r="H1872" s="15">
        <f t="shared" si="60"/>
        <v>32300</v>
      </c>
    </row>
    <row r="1873" spans="1:8" x14ac:dyDescent="0.25">
      <c r="A1873" s="13">
        <v>45576</v>
      </c>
      <c r="B1873" s="15" t="s">
        <v>21</v>
      </c>
      <c r="C1873" s="3">
        <v>5</v>
      </c>
      <c r="D1873" s="13">
        <f t="shared" si="59"/>
        <v>45581</v>
      </c>
      <c r="E1873" s="15">
        <v>2500</v>
      </c>
      <c r="F1873" s="9">
        <v>8.5000000000000006E-2</v>
      </c>
      <c r="G1873" s="9">
        <v>8.5000000000000006E-2</v>
      </c>
      <c r="H1873" s="15">
        <f t="shared" si="60"/>
        <v>32300</v>
      </c>
    </row>
    <row r="1874" spans="1:8" x14ac:dyDescent="0.25">
      <c r="A1874" s="13">
        <v>45576</v>
      </c>
      <c r="B1874" s="15" t="s">
        <v>21</v>
      </c>
      <c r="C1874" s="3">
        <v>6</v>
      </c>
      <c r="D1874" s="13">
        <f t="shared" si="59"/>
        <v>45582</v>
      </c>
      <c r="E1874" s="15">
        <v>1000</v>
      </c>
      <c r="F1874" s="9">
        <v>8.5000000000000006E-2</v>
      </c>
      <c r="G1874" s="9">
        <v>8.5000000000000006E-2</v>
      </c>
      <c r="H1874" s="15">
        <f t="shared" si="60"/>
        <v>32300</v>
      </c>
    </row>
    <row r="1875" spans="1:8" x14ac:dyDescent="0.25">
      <c r="A1875" s="13">
        <v>45576</v>
      </c>
      <c r="B1875" s="15" t="s">
        <v>21</v>
      </c>
      <c r="C1875" s="3">
        <v>7</v>
      </c>
      <c r="D1875" s="13">
        <f t="shared" si="59"/>
        <v>45583</v>
      </c>
      <c r="E1875" s="15">
        <v>1500</v>
      </c>
      <c r="F1875" s="9">
        <v>8.5000000000000006E-2</v>
      </c>
      <c r="G1875" s="9">
        <v>8.5000000000000006E-2</v>
      </c>
      <c r="H1875" s="15">
        <f t="shared" si="60"/>
        <v>32300</v>
      </c>
    </row>
    <row r="1876" spans="1:8" x14ac:dyDescent="0.25">
      <c r="A1876" s="13">
        <v>45576</v>
      </c>
      <c r="B1876" s="15" t="s">
        <v>21</v>
      </c>
      <c r="C1876" s="3">
        <v>10</v>
      </c>
      <c r="D1876" s="13">
        <f t="shared" si="59"/>
        <v>45586</v>
      </c>
      <c r="E1876" s="15">
        <v>500</v>
      </c>
      <c r="F1876" s="9">
        <v>8.5000000000000006E-2</v>
      </c>
      <c r="G1876" s="9">
        <v>8.5000000000000006E-2</v>
      </c>
      <c r="H1876" s="15">
        <f t="shared" si="60"/>
        <v>32300</v>
      </c>
    </row>
    <row r="1877" spans="1:8" x14ac:dyDescent="0.25">
      <c r="A1877" s="13">
        <v>45576</v>
      </c>
      <c r="B1877" s="15" t="s">
        <v>21</v>
      </c>
      <c r="C1877" s="3">
        <v>17</v>
      </c>
      <c r="D1877" s="13">
        <f t="shared" si="59"/>
        <v>45593</v>
      </c>
      <c r="E1877" s="15">
        <v>800</v>
      </c>
      <c r="F1877" s="9">
        <v>8.5999999999999993E-2</v>
      </c>
      <c r="G1877" s="9">
        <v>8.5999999999999993E-2</v>
      </c>
      <c r="H1877" s="15">
        <f t="shared" si="60"/>
        <v>32300</v>
      </c>
    </row>
    <row r="1878" spans="1:8" x14ac:dyDescent="0.25">
      <c r="A1878" s="13">
        <v>45579</v>
      </c>
      <c r="B1878" s="15" t="s">
        <v>21</v>
      </c>
      <c r="C1878" s="3">
        <v>1</v>
      </c>
      <c r="D1878" s="13">
        <f t="shared" si="59"/>
        <v>45580</v>
      </c>
      <c r="E1878" s="15">
        <v>500</v>
      </c>
      <c r="F1878" s="9">
        <v>8.5000000000000006E-2</v>
      </c>
      <c r="G1878" s="9">
        <v>8.5000000000000006E-2</v>
      </c>
      <c r="H1878" s="15">
        <f t="shared" si="60"/>
        <v>29600</v>
      </c>
    </row>
    <row r="1879" spans="1:8" x14ac:dyDescent="0.25">
      <c r="A1879" s="13">
        <v>45579</v>
      </c>
      <c r="B1879" s="15" t="s">
        <v>21</v>
      </c>
      <c r="C1879" s="3">
        <v>2</v>
      </c>
      <c r="D1879" s="13">
        <f t="shared" si="59"/>
        <v>45581</v>
      </c>
      <c r="E1879" s="15">
        <v>2800</v>
      </c>
      <c r="F1879" s="9">
        <v>8.5000000000000006E-2</v>
      </c>
      <c r="G1879" s="9">
        <v>8.5000000000000006E-2</v>
      </c>
      <c r="H1879" s="15">
        <f t="shared" si="60"/>
        <v>29600</v>
      </c>
    </row>
    <row r="1880" spans="1:8" x14ac:dyDescent="0.25">
      <c r="A1880" s="13">
        <v>45579</v>
      </c>
      <c r="B1880" s="15" t="s">
        <v>21</v>
      </c>
      <c r="C1880" s="3">
        <v>3</v>
      </c>
      <c r="D1880" s="13">
        <f t="shared" si="59"/>
        <v>45582</v>
      </c>
      <c r="E1880" s="15">
        <v>800</v>
      </c>
      <c r="F1880" s="9">
        <v>8.5000000000000006E-2</v>
      </c>
      <c r="G1880" s="9">
        <v>8.5000000000000006E-2</v>
      </c>
      <c r="H1880" s="15">
        <f t="shared" si="60"/>
        <v>29600</v>
      </c>
    </row>
    <row r="1881" spans="1:8" x14ac:dyDescent="0.25">
      <c r="A1881" s="13">
        <v>45579</v>
      </c>
      <c r="B1881" s="15" t="s">
        <v>21</v>
      </c>
      <c r="C1881" s="3">
        <v>7</v>
      </c>
      <c r="D1881" s="13">
        <f t="shared" si="59"/>
        <v>45586</v>
      </c>
      <c r="E1881" s="15">
        <v>1500</v>
      </c>
      <c r="F1881" s="9">
        <v>8.5000000000000006E-2</v>
      </c>
      <c r="G1881" s="9">
        <v>8.5000000000000006E-2</v>
      </c>
      <c r="H1881" s="15">
        <f t="shared" si="60"/>
        <v>29600</v>
      </c>
    </row>
    <row r="1882" spans="1:8" x14ac:dyDescent="0.25">
      <c r="A1882" s="13">
        <v>45579</v>
      </c>
      <c r="B1882" s="15" t="s">
        <v>21</v>
      </c>
      <c r="C1882" s="3">
        <v>14</v>
      </c>
      <c r="D1882" s="13">
        <f t="shared" si="59"/>
        <v>45593</v>
      </c>
      <c r="E1882" s="15">
        <v>2000</v>
      </c>
      <c r="F1882" s="9">
        <v>8.5999999999999993E-2</v>
      </c>
      <c r="G1882" s="9">
        <v>8.5999999999999993E-2</v>
      </c>
      <c r="H1882" s="15">
        <f t="shared" si="60"/>
        <v>29600</v>
      </c>
    </row>
    <row r="1883" spans="1:8" x14ac:dyDescent="0.25">
      <c r="A1883" s="13">
        <v>45580</v>
      </c>
      <c r="B1883" s="15" t="s">
        <v>21</v>
      </c>
      <c r="C1883" s="3">
        <v>1</v>
      </c>
      <c r="D1883" s="13">
        <f t="shared" si="59"/>
        <v>45581</v>
      </c>
      <c r="E1883" s="15">
        <v>700</v>
      </c>
      <c r="F1883" s="9">
        <v>8.3000000000000004E-2</v>
      </c>
      <c r="G1883" s="9">
        <v>8.5000000000000006E-2</v>
      </c>
      <c r="H1883" s="15">
        <f t="shared" si="60"/>
        <v>33900</v>
      </c>
    </row>
    <row r="1884" spans="1:8" x14ac:dyDescent="0.25">
      <c r="A1884" s="13">
        <v>45580</v>
      </c>
      <c r="B1884" s="15" t="s">
        <v>21</v>
      </c>
      <c r="C1884" s="3">
        <v>2</v>
      </c>
      <c r="D1884" s="13">
        <f t="shared" si="59"/>
        <v>45582</v>
      </c>
      <c r="E1884" s="15">
        <v>4000</v>
      </c>
      <c r="F1884" s="9">
        <v>8.5000000000000006E-2</v>
      </c>
      <c r="G1884" s="9">
        <v>8.5000000000000006E-2</v>
      </c>
      <c r="H1884" s="15">
        <f t="shared" si="60"/>
        <v>33900</v>
      </c>
    </row>
    <row r="1885" spans="1:8" x14ac:dyDescent="0.25">
      <c r="A1885" s="13">
        <v>45580</v>
      </c>
      <c r="B1885" s="15" t="s">
        <v>21</v>
      </c>
      <c r="C1885" s="3">
        <v>3</v>
      </c>
      <c r="D1885" s="13">
        <f t="shared" si="59"/>
        <v>45583</v>
      </c>
      <c r="E1885" s="15">
        <v>1000</v>
      </c>
      <c r="F1885" s="9">
        <v>8.5000000000000006E-2</v>
      </c>
      <c r="G1885" s="9">
        <v>8.5000000000000006E-2</v>
      </c>
      <c r="H1885" s="15">
        <f t="shared" si="60"/>
        <v>33900</v>
      </c>
    </row>
    <row r="1886" spans="1:8" x14ac:dyDescent="0.25">
      <c r="A1886" s="13">
        <v>45580</v>
      </c>
      <c r="B1886" s="15" t="s">
        <v>21</v>
      </c>
      <c r="C1886" s="3">
        <v>6</v>
      </c>
      <c r="D1886" s="13">
        <f t="shared" si="59"/>
        <v>45586</v>
      </c>
      <c r="E1886" s="15">
        <v>1600</v>
      </c>
      <c r="F1886" s="9">
        <v>8.5000000000000006E-2</v>
      </c>
      <c r="G1886" s="9">
        <v>8.5000000000000006E-2</v>
      </c>
      <c r="H1886" s="15">
        <f t="shared" si="60"/>
        <v>33900</v>
      </c>
    </row>
    <row r="1887" spans="1:8" x14ac:dyDescent="0.25">
      <c r="A1887" s="13">
        <v>45580</v>
      </c>
      <c r="B1887" s="15" t="s">
        <v>21</v>
      </c>
      <c r="C1887" s="3">
        <v>13</v>
      </c>
      <c r="D1887" s="13">
        <f t="shared" si="59"/>
        <v>45593</v>
      </c>
      <c r="E1887" s="15">
        <v>1500</v>
      </c>
      <c r="F1887" s="9">
        <v>8.5999999999999993E-2</v>
      </c>
      <c r="G1887" s="9">
        <v>8.5999999999999993E-2</v>
      </c>
      <c r="H1887" s="15">
        <f t="shared" si="60"/>
        <v>33900</v>
      </c>
    </row>
    <row r="1888" spans="1:8" x14ac:dyDescent="0.25">
      <c r="A1888" s="13">
        <v>45581</v>
      </c>
      <c r="B1888" s="15" t="s">
        <v>21</v>
      </c>
      <c r="C1888" s="3">
        <v>2</v>
      </c>
      <c r="D1888" s="13">
        <f t="shared" si="59"/>
        <v>45583</v>
      </c>
      <c r="E1888" s="15">
        <v>4200</v>
      </c>
      <c r="F1888" s="9">
        <v>8.5000000000000006E-2</v>
      </c>
      <c r="G1888" s="9">
        <v>8.5000000000000006E-2</v>
      </c>
      <c r="H1888" s="15">
        <f t="shared" si="60"/>
        <v>33300</v>
      </c>
    </row>
    <row r="1889" spans="1:8" x14ac:dyDescent="0.25">
      <c r="A1889" s="13">
        <v>45581</v>
      </c>
      <c r="B1889" s="15" t="s">
        <v>21</v>
      </c>
      <c r="C1889" s="3">
        <v>5</v>
      </c>
      <c r="D1889" s="13">
        <f t="shared" si="59"/>
        <v>45586</v>
      </c>
      <c r="E1889" s="15">
        <v>1000</v>
      </c>
      <c r="F1889" s="9">
        <v>8.5000000000000006E-2</v>
      </c>
      <c r="G1889" s="9">
        <v>8.5000000000000006E-2</v>
      </c>
      <c r="H1889" s="15">
        <f t="shared" si="60"/>
        <v>33300</v>
      </c>
    </row>
    <row r="1890" spans="1:8" x14ac:dyDescent="0.25">
      <c r="A1890" s="13">
        <v>45581</v>
      </c>
      <c r="B1890" s="15" t="s">
        <v>21</v>
      </c>
      <c r="C1890" s="3">
        <v>6</v>
      </c>
      <c r="D1890" s="13">
        <f t="shared" si="59"/>
        <v>45587</v>
      </c>
      <c r="E1890" s="15">
        <v>500</v>
      </c>
      <c r="F1890" s="9">
        <v>8.5000000000000006E-2</v>
      </c>
      <c r="G1890" s="9">
        <v>8.5000000000000006E-2</v>
      </c>
      <c r="H1890" s="15">
        <f t="shared" si="60"/>
        <v>33300</v>
      </c>
    </row>
    <row r="1891" spans="1:8" x14ac:dyDescent="0.25">
      <c r="A1891" s="13">
        <v>45581</v>
      </c>
      <c r="B1891" s="15" t="s">
        <v>21</v>
      </c>
      <c r="C1891" s="3">
        <v>12</v>
      </c>
      <c r="D1891" s="13">
        <f t="shared" si="59"/>
        <v>45593</v>
      </c>
      <c r="E1891" s="15">
        <v>2200</v>
      </c>
      <c r="F1891" s="9">
        <v>8.5999999999999993E-2</v>
      </c>
      <c r="G1891" s="9">
        <v>8.5999999999999993E-2</v>
      </c>
      <c r="H1891" s="15">
        <f t="shared" si="60"/>
        <v>33300</v>
      </c>
    </row>
    <row r="1892" spans="1:8" x14ac:dyDescent="0.25">
      <c r="A1892" s="13">
        <v>45582</v>
      </c>
      <c r="B1892" s="15" t="s">
        <v>21</v>
      </c>
      <c r="C1892" s="3">
        <v>1</v>
      </c>
      <c r="D1892" s="13">
        <f t="shared" si="59"/>
        <v>45583</v>
      </c>
      <c r="E1892" s="15">
        <v>1800</v>
      </c>
      <c r="F1892" s="9">
        <v>8.3000000000000004E-2</v>
      </c>
      <c r="G1892" s="9">
        <v>8.5000000000000006E-2</v>
      </c>
      <c r="H1892" s="15">
        <f t="shared" si="60"/>
        <v>35300</v>
      </c>
    </row>
    <row r="1893" spans="1:8" x14ac:dyDescent="0.25">
      <c r="A1893" s="13">
        <v>45582</v>
      </c>
      <c r="B1893" s="15" t="s">
        <v>21</v>
      </c>
      <c r="C1893" s="3">
        <v>4</v>
      </c>
      <c r="D1893" s="13">
        <f t="shared" si="59"/>
        <v>45586</v>
      </c>
      <c r="E1893" s="15">
        <v>4200</v>
      </c>
      <c r="F1893" s="9">
        <v>8.5000000000000006E-2</v>
      </c>
      <c r="G1893" s="9">
        <v>8.5000000000000006E-2</v>
      </c>
      <c r="H1893" s="15">
        <f t="shared" si="60"/>
        <v>35300</v>
      </c>
    </row>
    <row r="1894" spans="1:8" x14ac:dyDescent="0.25">
      <c r="A1894" s="13">
        <v>45582</v>
      </c>
      <c r="B1894" s="15" t="s">
        <v>21</v>
      </c>
      <c r="C1894" s="3">
        <v>5</v>
      </c>
      <c r="D1894" s="13">
        <f t="shared" si="59"/>
        <v>45587</v>
      </c>
      <c r="E1894" s="15">
        <v>1000</v>
      </c>
      <c r="F1894" s="9">
        <v>8.5000000000000006E-2</v>
      </c>
      <c r="G1894" s="9">
        <v>8.5000000000000006E-2</v>
      </c>
      <c r="H1894" s="15">
        <f t="shared" si="60"/>
        <v>35300</v>
      </c>
    </row>
    <row r="1895" spans="1:8" x14ac:dyDescent="0.25">
      <c r="A1895" s="13">
        <v>45582</v>
      </c>
      <c r="B1895" s="15" t="s">
        <v>21</v>
      </c>
      <c r="C1895" s="3">
        <v>6</v>
      </c>
      <c r="D1895" s="13">
        <f t="shared" si="59"/>
        <v>45588</v>
      </c>
      <c r="E1895" s="15">
        <v>800</v>
      </c>
      <c r="F1895" s="9">
        <v>8.5000000000000006E-2</v>
      </c>
      <c r="G1895" s="9">
        <v>8.5000000000000006E-2</v>
      </c>
      <c r="H1895" s="15">
        <f t="shared" si="60"/>
        <v>35300</v>
      </c>
    </row>
    <row r="1896" spans="1:8" x14ac:dyDescent="0.25">
      <c r="A1896" s="13">
        <v>45582</v>
      </c>
      <c r="B1896" s="15" t="s">
        <v>21</v>
      </c>
      <c r="C1896" s="3">
        <v>11</v>
      </c>
      <c r="D1896" s="13">
        <f t="shared" si="59"/>
        <v>45593</v>
      </c>
      <c r="E1896" s="15">
        <v>1000</v>
      </c>
      <c r="F1896" s="9">
        <v>8.5999999999999993E-2</v>
      </c>
      <c r="G1896" s="9">
        <v>8.5999999999999993E-2</v>
      </c>
      <c r="H1896" s="15">
        <f t="shared" si="60"/>
        <v>35300</v>
      </c>
    </row>
    <row r="1897" spans="1:8" x14ac:dyDescent="0.25">
      <c r="A1897" s="13">
        <v>45583</v>
      </c>
      <c r="B1897" s="15" t="s">
        <v>21</v>
      </c>
      <c r="C1897" s="3">
        <v>3</v>
      </c>
      <c r="D1897" s="13">
        <f t="shared" si="59"/>
        <v>45586</v>
      </c>
      <c r="E1897" s="15">
        <v>300</v>
      </c>
      <c r="F1897" s="9">
        <v>8.3000000000000004E-2</v>
      </c>
      <c r="G1897" s="9">
        <v>8.3000000000000004E-2</v>
      </c>
      <c r="H1897" s="15">
        <f t="shared" si="60"/>
        <v>36900</v>
      </c>
    </row>
    <row r="1898" spans="1:8" x14ac:dyDescent="0.25">
      <c r="A1898" s="13">
        <v>45583</v>
      </c>
      <c r="B1898" s="15" t="s">
        <v>21</v>
      </c>
      <c r="C1898" s="3">
        <v>4</v>
      </c>
      <c r="D1898" s="13">
        <f t="shared" si="59"/>
        <v>45587</v>
      </c>
      <c r="E1898" s="15">
        <v>6000</v>
      </c>
      <c r="F1898" s="9">
        <v>8.5000000000000006E-2</v>
      </c>
      <c r="G1898" s="9">
        <v>8.5000000000000006E-2</v>
      </c>
      <c r="H1898" s="15">
        <f t="shared" si="60"/>
        <v>36900</v>
      </c>
    </row>
    <row r="1899" spans="1:8" x14ac:dyDescent="0.25">
      <c r="A1899" s="13">
        <v>45583</v>
      </c>
      <c r="B1899" s="15" t="s">
        <v>21</v>
      </c>
      <c r="C1899" s="3">
        <v>5</v>
      </c>
      <c r="D1899" s="13">
        <f t="shared" si="59"/>
        <v>45588</v>
      </c>
      <c r="E1899" s="15">
        <v>2800</v>
      </c>
      <c r="F1899" s="9">
        <v>8.5000000000000006E-2</v>
      </c>
      <c r="G1899" s="9">
        <v>8.5000000000000006E-2</v>
      </c>
      <c r="H1899" s="15">
        <f t="shared" si="60"/>
        <v>36900</v>
      </c>
    </row>
    <row r="1900" spans="1:8" x14ac:dyDescent="0.25">
      <c r="A1900" s="13">
        <v>45583</v>
      </c>
      <c r="B1900" s="15" t="s">
        <v>21</v>
      </c>
      <c r="C1900" s="3">
        <v>6</v>
      </c>
      <c r="D1900" s="13">
        <f t="shared" si="59"/>
        <v>45589</v>
      </c>
      <c r="E1900" s="15">
        <v>1500</v>
      </c>
      <c r="F1900" s="9">
        <v>8.5000000000000006E-2</v>
      </c>
      <c r="G1900" s="9">
        <v>8.5000000000000006E-2</v>
      </c>
      <c r="H1900" s="15">
        <f t="shared" si="60"/>
        <v>36900</v>
      </c>
    </row>
    <row r="1901" spans="1:8" x14ac:dyDescent="0.25">
      <c r="A1901" s="13">
        <v>45583</v>
      </c>
      <c r="B1901" s="15" t="s">
        <v>21</v>
      </c>
      <c r="C1901" s="3">
        <v>10</v>
      </c>
      <c r="D1901" s="13">
        <f t="shared" ref="D1901:D1981" si="61">+A1901+C1901</f>
        <v>45593</v>
      </c>
      <c r="E1901" s="15">
        <v>200</v>
      </c>
      <c r="F1901" s="9">
        <v>8.5000000000000006E-2</v>
      </c>
      <c r="G1901" s="9">
        <v>8.5000000000000006E-2</v>
      </c>
      <c r="H1901" s="15">
        <f t="shared" si="60"/>
        <v>36900</v>
      </c>
    </row>
    <row r="1902" spans="1:8" x14ac:dyDescent="0.25">
      <c r="A1902" s="13">
        <v>45586</v>
      </c>
      <c r="B1902" s="15" t="s">
        <v>21</v>
      </c>
      <c r="C1902" s="3">
        <v>1</v>
      </c>
      <c r="D1902" s="13">
        <f t="shared" si="61"/>
        <v>45587</v>
      </c>
      <c r="E1902" s="15">
        <v>1500</v>
      </c>
      <c r="F1902" s="9">
        <v>8.3000000000000004E-2</v>
      </c>
      <c r="G1902" s="9">
        <v>8.5000000000000006E-2</v>
      </c>
      <c r="H1902" s="15">
        <f t="shared" si="60"/>
        <v>36600</v>
      </c>
    </row>
    <row r="1903" spans="1:8" x14ac:dyDescent="0.25">
      <c r="A1903" s="13">
        <v>45586</v>
      </c>
      <c r="B1903" s="15" t="s">
        <v>21</v>
      </c>
      <c r="C1903" s="3">
        <v>2</v>
      </c>
      <c r="D1903" s="13">
        <f t="shared" si="61"/>
        <v>45588</v>
      </c>
      <c r="E1903" s="15">
        <v>5600</v>
      </c>
      <c r="F1903" s="9">
        <v>8.5000000000000006E-2</v>
      </c>
      <c r="G1903" s="9">
        <v>8.5000000000000006E-2</v>
      </c>
      <c r="H1903" s="15">
        <f t="shared" si="60"/>
        <v>36600</v>
      </c>
    </row>
    <row r="1904" spans="1:8" x14ac:dyDescent="0.25">
      <c r="A1904" s="13">
        <v>45586</v>
      </c>
      <c r="B1904" s="15" t="s">
        <v>21</v>
      </c>
      <c r="C1904" s="3">
        <v>3</v>
      </c>
      <c r="D1904" s="13">
        <f t="shared" si="61"/>
        <v>45589</v>
      </c>
      <c r="E1904" s="15">
        <v>1500</v>
      </c>
      <c r="F1904" s="9">
        <v>8.5000000000000006E-2</v>
      </c>
      <c r="G1904" s="9">
        <v>8.5000000000000006E-2</v>
      </c>
      <c r="H1904" s="15">
        <f t="shared" si="60"/>
        <v>36600</v>
      </c>
    </row>
    <row r="1905" spans="1:8" x14ac:dyDescent="0.25">
      <c r="A1905" s="13">
        <v>45586</v>
      </c>
      <c r="B1905" s="15" t="s">
        <v>21</v>
      </c>
      <c r="C1905" s="3">
        <v>4</v>
      </c>
      <c r="D1905" s="13">
        <f t="shared" si="61"/>
        <v>45590</v>
      </c>
      <c r="E1905" s="15">
        <v>600</v>
      </c>
      <c r="F1905" s="9">
        <v>8.5000000000000006E-2</v>
      </c>
      <c r="G1905" s="9">
        <v>8.5000000000000006E-2</v>
      </c>
      <c r="H1905" s="15">
        <f t="shared" si="60"/>
        <v>36600</v>
      </c>
    </row>
    <row r="1906" spans="1:8" x14ac:dyDescent="0.25">
      <c r="A1906" s="13">
        <v>45586</v>
      </c>
      <c r="B1906" s="15" t="s">
        <v>21</v>
      </c>
      <c r="C1906" s="3">
        <v>7</v>
      </c>
      <c r="D1906" s="13">
        <f t="shared" si="61"/>
        <v>45593</v>
      </c>
      <c r="E1906" s="15">
        <v>1000</v>
      </c>
      <c r="F1906" s="9">
        <v>8.5000000000000006E-2</v>
      </c>
      <c r="G1906" s="9">
        <v>8.5000000000000006E-2</v>
      </c>
      <c r="H1906" s="15">
        <f t="shared" si="60"/>
        <v>36600</v>
      </c>
    </row>
    <row r="1907" spans="1:8" x14ac:dyDescent="0.25">
      <c r="A1907" s="13">
        <v>45587</v>
      </c>
      <c r="B1907" s="15" t="s">
        <v>21</v>
      </c>
      <c r="C1907" s="3">
        <v>1</v>
      </c>
      <c r="D1907" s="13">
        <f t="shared" si="61"/>
        <v>45588</v>
      </c>
      <c r="E1907" s="15">
        <v>2000</v>
      </c>
      <c r="F1907" s="9">
        <v>8.3000000000000004E-2</v>
      </c>
      <c r="G1907" s="9">
        <v>8.5000000000000006E-2</v>
      </c>
      <c r="H1907" s="15">
        <f t="shared" si="60"/>
        <v>36600</v>
      </c>
    </row>
    <row r="1908" spans="1:8" x14ac:dyDescent="0.25">
      <c r="A1908" s="13">
        <v>45587</v>
      </c>
      <c r="B1908" s="15" t="s">
        <v>21</v>
      </c>
      <c r="C1908" s="3">
        <v>2</v>
      </c>
      <c r="D1908" s="13">
        <f t="shared" si="61"/>
        <v>45589</v>
      </c>
      <c r="E1908" s="15">
        <v>3000</v>
      </c>
      <c r="F1908" s="9">
        <v>8.5000000000000006E-2</v>
      </c>
      <c r="G1908" s="9">
        <v>8.5000000000000006E-2</v>
      </c>
      <c r="H1908" s="15">
        <f t="shared" si="60"/>
        <v>36600</v>
      </c>
    </row>
    <row r="1909" spans="1:8" x14ac:dyDescent="0.25">
      <c r="A1909" s="13">
        <v>45587</v>
      </c>
      <c r="B1909" s="15" t="s">
        <v>21</v>
      </c>
      <c r="C1909" s="3">
        <v>3</v>
      </c>
      <c r="D1909" s="13">
        <f t="shared" si="61"/>
        <v>45590</v>
      </c>
      <c r="E1909" s="15">
        <v>2900</v>
      </c>
      <c r="F1909" s="9">
        <v>8.5000000000000006E-2</v>
      </c>
      <c r="G1909" s="9">
        <v>8.5000000000000006E-2</v>
      </c>
      <c r="H1909" s="15">
        <f t="shared" si="60"/>
        <v>36600</v>
      </c>
    </row>
    <row r="1910" spans="1:8" x14ac:dyDescent="0.25">
      <c r="A1910" s="13">
        <v>45587</v>
      </c>
      <c r="B1910" s="15" t="s">
        <v>21</v>
      </c>
      <c r="C1910" s="3">
        <v>6</v>
      </c>
      <c r="D1910" s="13">
        <f t="shared" si="61"/>
        <v>45593</v>
      </c>
      <c r="E1910" s="15">
        <v>1500</v>
      </c>
      <c r="F1910" s="9">
        <v>8.5000000000000006E-2</v>
      </c>
      <c r="G1910" s="9">
        <v>8.5000000000000006E-2</v>
      </c>
      <c r="H1910" s="15">
        <f t="shared" si="60"/>
        <v>36600</v>
      </c>
    </row>
    <row r="1911" spans="1:8" x14ac:dyDescent="0.25">
      <c r="A1911" s="13">
        <v>45588</v>
      </c>
      <c r="B1911" s="15" t="s">
        <v>21</v>
      </c>
      <c r="C1911" s="3">
        <v>1</v>
      </c>
      <c r="D1911" s="13">
        <f t="shared" si="61"/>
        <v>45589</v>
      </c>
      <c r="E1911" s="15">
        <v>2300</v>
      </c>
      <c r="F1911" s="9">
        <v>8.3000000000000004E-2</v>
      </c>
      <c r="G1911" s="9">
        <v>8.5000000000000006E-2</v>
      </c>
      <c r="H1911" s="15">
        <f t="shared" si="60"/>
        <v>31900</v>
      </c>
    </row>
    <row r="1912" spans="1:8" x14ac:dyDescent="0.25">
      <c r="A1912" s="13">
        <v>45588</v>
      </c>
      <c r="B1912" s="15" t="s">
        <v>21</v>
      </c>
      <c r="C1912" s="3">
        <v>2</v>
      </c>
      <c r="D1912" s="13">
        <f t="shared" si="61"/>
        <v>45590</v>
      </c>
      <c r="E1912" s="15">
        <v>2700</v>
      </c>
      <c r="F1912" s="9">
        <v>8.5000000000000006E-2</v>
      </c>
      <c r="G1912" s="9">
        <v>8.5000000000000006E-2</v>
      </c>
      <c r="H1912" s="15">
        <f t="shared" si="60"/>
        <v>31900</v>
      </c>
    </row>
    <row r="1913" spans="1:8" x14ac:dyDescent="0.25">
      <c r="A1913" s="13">
        <v>45588</v>
      </c>
      <c r="B1913" s="15" t="s">
        <v>21</v>
      </c>
      <c r="C1913" s="3">
        <v>5</v>
      </c>
      <c r="D1913" s="13">
        <f t="shared" si="61"/>
        <v>45593</v>
      </c>
      <c r="E1913" s="15">
        <v>1500</v>
      </c>
      <c r="F1913" s="9">
        <v>8.5000000000000006E-2</v>
      </c>
      <c r="G1913" s="9">
        <v>8.5000000000000006E-2</v>
      </c>
      <c r="H1913" s="15">
        <f t="shared" si="60"/>
        <v>31900</v>
      </c>
    </row>
    <row r="1914" spans="1:8" x14ac:dyDescent="0.25">
      <c r="A1914" s="13">
        <v>45589</v>
      </c>
      <c r="B1914" s="15" t="s">
        <v>21</v>
      </c>
      <c r="C1914" s="3">
        <v>1</v>
      </c>
      <c r="D1914" s="13">
        <f t="shared" si="61"/>
        <v>45590</v>
      </c>
      <c r="E1914" s="15">
        <v>1000</v>
      </c>
      <c r="F1914" s="9">
        <v>8.5000000000000006E-2</v>
      </c>
      <c r="G1914" s="9">
        <v>8.5000000000000006E-2</v>
      </c>
      <c r="H1914" s="15">
        <f t="shared" si="60"/>
        <v>25500</v>
      </c>
    </row>
    <row r="1915" spans="1:8" x14ac:dyDescent="0.25">
      <c r="A1915" s="13">
        <v>45589</v>
      </c>
      <c r="B1915" s="15" t="s">
        <v>21</v>
      </c>
      <c r="C1915" s="3">
        <v>1</v>
      </c>
      <c r="D1915" s="13">
        <f t="shared" si="61"/>
        <v>45590</v>
      </c>
      <c r="E1915" s="15">
        <v>-400</v>
      </c>
      <c r="F1915" s="9">
        <v>8.6999999999999994E-2</v>
      </c>
      <c r="G1915" s="9">
        <v>8.6999999999999994E-2</v>
      </c>
      <c r="H1915" s="15">
        <f t="shared" si="60"/>
        <v>25500</v>
      </c>
    </row>
    <row r="1916" spans="1:8" x14ac:dyDescent="0.25">
      <c r="A1916" s="13">
        <v>45589</v>
      </c>
      <c r="B1916" s="15" t="s">
        <v>21</v>
      </c>
      <c r="C1916" s="3">
        <v>5</v>
      </c>
      <c r="D1916" s="13">
        <f t="shared" si="61"/>
        <v>45594</v>
      </c>
      <c r="E1916" s="15">
        <v>1300</v>
      </c>
      <c r="F1916" s="9">
        <v>8.5000000000000006E-2</v>
      </c>
      <c r="G1916" s="9">
        <v>8.5000000000000006E-2</v>
      </c>
      <c r="H1916" s="15">
        <f t="shared" si="60"/>
        <v>25500</v>
      </c>
    </row>
    <row r="1917" spans="1:8" x14ac:dyDescent="0.25">
      <c r="A1917" s="13">
        <v>45590</v>
      </c>
      <c r="B1917" s="15" t="s">
        <v>21</v>
      </c>
      <c r="C1917" s="3">
        <v>3</v>
      </c>
      <c r="D1917" s="13">
        <f t="shared" si="61"/>
        <v>45593</v>
      </c>
      <c r="E1917" s="15">
        <v>-300</v>
      </c>
      <c r="F1917" s="9">
        <v>8.6499999999999994E-2</v>
      </c>
      <c r="G1917" s="9">
        <v>8.6499999999999994E-2</v>
      </c>
      <c r="H1917" s="15">
        <f t="shared" si="60"/>
        <v>18400</v>
      </c>
    </row>
    <row r="1918" spans="1:8" x14ac:dyDescent="0.25">
      <c r="A1918" s="13">
        <v>45593</v>
      </c>
      <c r="B1918" s="15" t="s">
        <v>21</v>
      </c>
      <c r="C1918" s="3">
        <v>1</v>
      </c>
      <c r="D1918" s="13">
        <f t="shared" si="61"/>
        <v>45594</v>
      </c>
      <c r="E1918" s="15">
        <v>1200</v>
      </c>
      <c r="F1918" s="9">
        <v>8.3000000000000004E-2</v>
      </c>
      <c r="G1918" s="9">
        <v>8.5000000000000006E-2</v>
      </c>
      <c r="H1918" s="15">
        <f t="shared" si="60"/>
        <v>26200</v>
      </c>
    </row>
    <row r="1919" spans="1:8" x14ac:dyDescent="0.25">
      <c r="A1919" s="13">
        <v>45593</v>
      </c>
      <c r="B1919" s="15" t="s">
        <v>21</v>
      </c>
      <c r="C1919" s="3">
        <v>2</v>
      </c>
      <c r="D1919" s="13">
        <f t="shared" si="61"/>
        <v>45595</v>
      </c>
      <c r="E1919" s="15">
        <v>13500</v>
      </c>
      <c r="F1919" s="9">
        <v>8.5000000000000006E-2</v>
      </c>
      <c r="G1919" s="9">
        <v>8.5000000000000006E-2</v>
      </c>
      <c r="H1919" s="15">
        <f t="shared" si="60"/>
        <v>26200</v>
      </c>
    </row>
    <row r="1920" spans="1:8" x14ac:dyDescent="0.25">
      <c r="A1920" s="13">
        <v>45593</v>
      </c>
      <c r="B1920" s="15" t="s">
        <v>21</v>
      </c>
      <c r="C1920" s="3">
        <v>3</v>
      </c>
      <c r="D1920" s="13">
        <f t="shared" si="61"/>
        <v>45596</v>
      </c>
      <c r="E1920" s="15">
        <v>3900</v>
      </c>
      <c r="F1920" s="9">
        <v>8.5000000000000006E-2</v>
      </c>
      <c r="G1920" s="9">
        <v>8.5000000000000006E-2</v>
      </c>
      <c r="H1920" s="15">
        <f t="shared" si="60"/>
        <v>26200</v>
      </c>
    </row>
    <row r="1921" spans="1:8" x14ac:dyDescent="0.25">
      <c r="A1921" s="13">
        <v>45593</v>
      </c>
      <c r="B1921" s="15" t="s">
        <v>21</v>
      </c>
      <c r="C1921" s="3">
        <v>4</v>
      </c>
      <c r="D1921" s="13">
        <f t="shared" si="61"/>
        <v>45597</v>
      </c>
      <c r="E1921" s="15">
        <v>6300</v>
      </c>
      <c r="F1921" s="9">
        <v>8.5000000000000006E-2</v>
      </c>
      <c r="G1921" s="9">
        <v>8.5000000000000006E-2</v>
      </c>
      <c r="H1921" s="15">
        <f t="shared" si="60"/>
        <v>26200</v>
      </c>
    </row>
    <row r="1922" spans="1:8" x14ac:dyDescent="0.25">
      <c r="A1922" s="13">
        <v>45594</v>
      </c>
      <c r="B1922" s="15" t="s">
        <v>21</v>
      </c>
      <c r="C1922" s="3">
        <v>1</v>
      </c>
      <c r="D1922" s="13">
        <f t="shared" si="61"/>
        <v>45595</v>
      </c>
      <c r="E1922" s="15">
        <v>500</v>
      </c>
      <c r="F1922" s="9">
        <v>8.5000000000000006E-2</v>
      </c>
      <c r="G1922" s="9">
        <v>8.5000000000000006E-2</v>
      </c>
      <c r="H1922" s="15">
        <f t="shared" si="60"/>
        <v>27800</v>
      </c>
    </row>
    <row r="1923" spans="1:8" x14ac:dyDescent="0.25">
      <c r="A1923" s="13">
        <v>45594</v>
      </c>
      <c r="B1923" s="15" t="s">
        <v>21</v>
      </c>
      <c r="C1923" s="3">
        <v>2</v>
      </c>
      <c r="D1923" s="13">
        <f t="shared" si="61"/>
        <v>45596</v>
      </c>
      <c r="E1923" s="15">
        <v>1300</v>
      </c>
      <c r="F1923" s="9">
        <v>8.5000000000000006E-2</v>
      </c>
      <c r="G1923" s="9">
        <v>8.5000000000000006E-2</v>
      </c>
      <c r="H1923" s="15">
        <f t="shared" si="60"/>
        <v>27800</v>
      </c>
    </row>
    <row r="1924" spans="1:8" x14ac:dyDescent="0.25">
      <c r="A1924" s="13">
        <v>45594</v>
      </c>
      <c r="B1924" s="15" t="s">
        <v>21</v>
      </c>
      <c r="C1924" s="3">
        <v>3</v>
      </c>
      <c r="D1924" s="13">
        <f t="shared" si="61"/>
        <v>45597</v>
      </c>
      <c r="E1924" s="15">
        <v>1800</v>
      </c>
      <c r="F1924" s="9">
        <v>8.5000000000000006E-2</v>
      </c>
      <c r="G1924" s="9">
        <v>8.5000000000000006E-2</v>
      </c>
      <c r="H1924" s="15">
        <f t="shared" si="60"/>
        <v>27800</v>
      </c>
    </row>
    <row r="1925" spans="1:8" x14ac:dyDescent="0.25">
      <c r="A1925" s="13">
        <v>45594</v>
      </c>
      <c r="B1925" s="15" t="s">
        <v>21</v>
      </c>
      <c r="C1925" s="3">
        <v>6</v>
      </c>
      <c r="D1925" s="13">
        <f t="shared" si="61"/>
        <v>45600</v>
      </c>
      <c r="E1925" s="15">
        <v>500</v>
      </c>
      <c r="F1925" s="9">
        <v>8.5000000000000006E-2</v>
      </c>
      <c r="G1925" s="9">
        <v>8.5000000000000006E-2</v>
      </c>
      <c r="H1925" s="15">
        <f t="shared" si="60"/>
        <v>27800</v>
      </c>
    </row>
    <row r="1926" spans="1:8" x14ac:dyDescent="0.25">
      <c r="A1926" s="13">
        <v>45595</v>
      </c>
      <c r="B1926" s="15" t="s">
        <v>21</v>
      </c>
      <c r="C1926" s="3">
        <v>1</v>
      </c>
      <c r="D1926" s="13">
        <f t="shared" si="61"/>
        <v>45596</v>
      </c>
      <c r="E1926" s="15">
        <v>2300</v>
      </c>
      <c r="F1926" s="9">
        <v>8.3000000000000004E-2</v>
      </c>
      <c r="G1926" s="9">
        <v>8.5000000000000006E-2</v>
      </c>
      <c r="H1926" s="15">
        <f t="shared" si="60"/>
        <v>19500</v>
      </c>
    </row>
    <row r="1927" spans="1:8" x14ac:dyDescent="0.25">
      <c r="A1927" s="13">
        <v>45595</v>
      </c>
      <c r="B1927" s="15" t="s">
        <v>21</v>
      </c>
      <c r="C1927" s="3">
        <v>2</v>
      </c>
      <c r="D1927" s="13">
        <f t="shared" si="61"/>
        <v>45597</v>
      </c>
      <c r="E1927" s="15">
        <v>2000</v>
      </c>
      <c r="F1927" s="9">
        <v>8.5000000000000006E-2</v>
      </c>
      <c r="G1927" s="9">
        <v>8.5000000000000006E-2</v>
      </c>
      <c r="H1927" s="15">
        <f t="shared" si="60"/>
        <v>19500</v>
      </c>
    </row>
    <row r="1928" spans="1:8" x14ac:dyDescent="0.25">
      <c r="A1928" s="13">
        <v>45595</v>
      </c>
      <c r="B1928" s="15" t="s">
        <v>21</v>
      </c>
      <c r="C1928" s="3">
        <v>5</v>
      </c>
      <c r="D1928" s="13">
        <f t="shared" si="61"/>
        <v>45600</v>
      </c>
      <c r="E1928" s="15">
        <v>1400</v>
      </c>
      <c r="F1928" s="9">
        <v>8.5000000000000006E-2</v>
      </c>
      <c r="G1928" s="9">
        <v>8.5000000000000006E-2</v>
      </c>
      <c r="H1928" s="15">
        <f t="shared" si="60"/>
        <v>19500</v>
      </c>
    </row>
    <row r="1929" spans="1:8" x14ac:dyDescent="0.25">
      <c r="A1929" s="13">
        <v>45596</v>
      </c>
      <c r="B1929" s="15" t="s">
        <v>21</v>
      </c>
      <c r="C1929" s="3">
        <v>1</v>
      </c>
      <c r="D1929" s="13">
        <f t="shared" si="61"/>
        <v>45597</v>
      </c>
      <c r="E1929" s="15">
        <v>300</v>
      </c>
      <c r="F1929" s="9">
        <v>8.2500000000000004E-2</v>
      </c>
      <c r="G1929" s="9">
        <v>8.2500000000000004E-2</v>
      </c>
      <c r="H1929" s="15">
        <f t="shared" si="60"/>
        <v>17900</v>
      </c>
    </row>
    <row r="1930" spans="1:8" x14ac:dyDescent="0.25">
      <c r="A1930" s="13">
        <v>45596</v>
      </c>
      <c r="B1930" s="15" t="s">
        <v>21</v>
      </c>
      <c r="C1930" s="3">
        <v>4</v>
      </c>
      <c r="D1930" s="13">
        <f t="shared" si="61"/>
        <v>45600</v>
      </c>
      <c r="E1930" s="15">
        <v>5600</v>
      </c>
      <c r="F1930" s="9">
        <v>8.5000000000000006E-2</v>
      </c>
      <c r="G1930" s="9">
        <v>8.5000000000000006E-2</v>
      </c>
      <c r="H1930" s="15">
        <f t="shared" ref="H1930:H1993" si="62">+SUMIFS($E$10:$E$4503,$A$10:$A$4503,"&lt;="&amp;A1930,$D$10:$D$4503,"&gt;"&amp;A1930)</f>
        <v>17900</v>
      </c>
    </row>
    <row r="1931" spans="1:8" x14ac:dyDescent="0.25">
      <c r="A1931" s="13">
        <v>45597</v>
      </c>
      <c r="B1931" s="15" t="s">
        <v>21</v>
      </c>
      <c r="C1931" s="3">
        <v>3</v>
      </c>
      <c r="D1931" s="13">
        <f t="shared" si="61"/>
        <v>45600</v>
      </c>
      <c r="E1931" s="15">
        <v>1000</v>
      </c>
      <c r="F1931" s="9">
        <v>8.5000000000000006E-2</v>
      </c>
      <c r="G1931" s="9">
        <v>8.5000000000000006E-2</v>
      </c>
      <c r="H1931" s="15">
        <f t="shared" si="62"/>
        <v>9300</v>
      </c>
    </row>
    <row r="1932" spans="1:8" x14ac:dyDescent="0.25">
      <c r="A1932" s="13">
        <v>45597</v>
      </c>
      <c r="B1932" s="15" t="s">
        <v>21</v>
      </c>
      <c r="C1932" s="3">
        <v>5</v>
      </c>
      <c r="D1932" s="13">
        <f t="shared" si="61"/>
        <v>45602</v>
      </c>
      <c r="E1932" s="15">
        <v>800</v>
      </c>
      <c r="F1932" s="9">
        <v>8.5000000000000006E-2</v>
      </c>
      <c r="G1932" s="9">
        <v>8.5000000000000006E-2</v>
      </c>
      <c r="H1932" s="15">
        <f t="shared" si="62"/>
        <v>9300</v>
      </c>
    </row>
    <row r="1933" spans="1:8" x14ac:dyDescent="0.25">
      <c r="A1933" s="13">
        <v>45600</v>
      </c>
      <c r="B1933" s="15" t="s">
        <v>21</v>
      </c>
      <c r="C1933" s="3">
        <v>2</v>
      </c>
      <c r="D1933" s="13">
        <f t="shared" si="61"/>
        <v>45602</v>
      </c>
      <c r="E1933" s="15">
        <v>9600</v>
      </c>
      <c r="F1933" s="9">
        <v>8.5000000000000006E-2</v>
      </c>
      <c r="G1933" s="9">
        <v>8.5000000000000006E-2</v>
      </c>
      <c r="H1933" s="15">
        <f t="shared" si="62"/>
        <v>14800</v>
      </c>
    </row>
    <row r="1934" spans="1:8" x14ac:dyDescent="0.25">
      <c r="A1934" s="13">
        <v>45600</v>
      </c>
      <c r="B1934" s="15" t="s">
        <v>21</v>
      </c>
      <c r="C1934" s="3">
        <v>4</v>
      </c>
      <c r="D1934" s="13">
        <f t="shared" si="61"/>
        <v>45604</v>
      </c>
      <c r="E1934" s="15">
        <v>4400</v>
      </c>
      <c r="F1934" s="9">
        <v>8.5000000000000006E-2</v>
      </c>
      <c r="G1934" s="9">
        <v>8.5000000000000006E-2</v>
      </c>
      <c r="H1934" s="15">
        <f t="shared" si="62"/>
        <v>14800</v>
      </c>
    </row>
    <row r="1935" spans="1:8" x14ac:dyDescent="0.25">
      <c r="A1935" s="13">
        <v>45601</v>
      </c>
      <c r="B1935" s="15" t="s">
        <v>21</v>
      </c>
      <c r="C1935" s="3">
        <v>1</v>
      </c>
      <c r="D1935" s="13">
        <f t="shared" si="61"/>
        <v>45602</v>
      </c>
      <c r="E1935" s="15">
        <v>600</v>
      </c>
      <c r="F1935" s="9">
        <v>8.5000000000000006E-2</v>
      </c>
      <c r="G1935" s="9">
        <v>8.5000000000000006E-2</v>
      </c>
      <c r="H1935" s="15">
        <f t="shared" si="62"/>
        <v>17400</v>
      </c>
    </row>
    <row r="1936" spans="1:8" x14ac:dyDescent="0.25">
      <c r="A1936" s="13">
        <v>45601</v>
      </c>
      <c r="B1936" s="15" t="s">
        <v>21</v>
      </c>
      <c r="C1936" s="3">
        <v>2</v>
      </c>
      <c r="D1936" s="13">
        <f t="shared" ref="D1936" si="63">+A1936+C1936</f>
        <v>45603</v>
      </c>
      <c r="E1936" s="15">
        <v>1400</v>
      </c>
      <c r="F1936" s="9">
        <v>8.5000000000000006E-2</v>
      </c>
      <c r="G1936" s="9">
        <v>8.5000000000000006E-2</v>
      </c>
      <c r="H1936" s="15">
        <f t="shared" si="62"/>
        <v>17400</v>
      </c>
    </row>
    <row r="1937" spans="1:8" x14ac:dyDescent="0.25">
      <c r="A1937" s="13">
        <v>45601</v>
      </c>
      <c r="B1937" s="15" t="s">
        <v>21</v>
      </c>
      <c r="C1937" s="3">
        <v>3</v>
      </c>
      <c r="D1937" s="13">
        <f t="shared" si="61"/>
        <v>45604</v>
      </c>
      <c r="E1937" s="15">
        <v>600</v>
      </c>
      <c r="F1937" s="9">
        <v>8.5000000000000006E-2</v>
      </c>
      <c r="G1937" s="9">
        <v>8.5000000000000006E-2</v>
      </c>
      <c r="H1937" s="15">
        <f t="shared" si="62"/>
        <v>17400</v>
      </c>
    </row>
    <row r="1938" spans="1:8" x14ac:dyDescent="0.25">
      <c r="A1938" s="13">
        <v>45602</v>
      </c>
      <c r="B1938" s="15" t="s">
        <v>21</v>
      </c>
      <c r="C1938" s="3">
        <v>1</v>
      </c>
      <c r="D1938" s="13">
        <f t="shared" si="61"/>
        <v>45603</v>
      </c>
      <c r="E1938" s="15">
        <v>4300</v>
      </c>
      <c r="F1938" s="9">
        <v>8.5000000000000006E-2</v>
      </c>
      <c r="G1938" s="9">
        <v>8.5000000000000006E-2</v>
      </c>
      <c r="H1938" s="15">
        <f t="shared" si="62"/>
        <v>16600</v>
      </c>
    </row>
    <row r="1939" spans="1:8" x14ac:dyDescent="0.25">
      <c r="A1939" s="13">
        <v>45602</v>
      </c>
      <c r="B1939" s="15" t="s">
        <v>21</v>
      </c>
      <c r="C1939" s="3">
        <v>2</v>
      </c>
      <c r="D1939" s="13">
        <f t="shared" si="61"/>
        <v>45604</v>
      </c>
      <c r="E1939" s="15">
        <v>2900</v>
      </c>
      <c r="F1939" s="9">
        <v>8.5000000000000006E-2</v>
      </c>
      <c r="G1939" s="9">
        <v>8.5000000000000006E-2</v>
      </c>
      <c r="H1939" s="15">
        <f t="shared" si="62"/>
        <v>16600</v>
      </c>
    </row>
    <row r="1940" spans="1:8" x14ac:dyDescent="0.25">
      <c r="A1940" s="13">
        <v>45602</v>
      </c>
      <c r="B1940" s="15" t="s">
        <v>21</v>
      </c>
      <c r="C1940" s="3">
        <v>5</v>
      </c>
      <c r="D1940" s="13">
        <f t="shared" si="61"/>
        <v>45607</v>
      </c>
      <c r="E1940" s="15">
        <v>3000</v>
      </c>
      <c r="F1940" s="9">
        <v>8.5000000000000006E-2</v>
      </c>
      <c r="G1940" s="9">
        <v>8.5000000000000006E-2</v>
      </c>
      <c r="H1940" s="15">
        <f t="shared" si="62"/>
        <v>16600</v>
      </c>
    </row>
    <row r="1941" spans="1:8" x14ac:dyDescent="0.25">
      <c r="A1941" s="13">
        <v>45603</v>
      </c>
      <c r="B1941" s="15" t="s">
        <v>21</v>
      </c>
      <c r="C1941" s="3">
        <v>1</v>
      </c>
      <c r="D1941" s="13">
        <f t="shared" si="61"/>
        <v>45604</v>
      </c>
      <c r="E1941" s="15">
        <v>1400</v>
      </c>
      <c r="F1941" s="9">
        <v>8.5000000000000006E-2</v>
      </c>
      <c r="G1941" s="9">
        <v>8.5000000000000006E-2</v>
      </c>
      <c r="H1941" s="15">
        <f t="shared" si="62"/>
        <v>18200</v>
      </c>
    </row>
    <row r="1942" spans="1:8" x14ac:dyDescent="0.25">
      <c r="A1942" s="13">
        <v>45603</v>
      </c>
      <c r="B1942" s="15" t="s">
        <v>21</v>
      </c>
      <c r="C1942" s="3">
        <v>4</v>
      </c>
      <c r="D1942" s="13">
        <f t="shared" si="61"/>
        <v>45607</v>
      </c>
      <c r="E1942" s="15">
        <v>3900</v>
      </c>
      <c r="F1942" s="9">
        <v>8.5000000000000006E-2</v>
      </c>
      <c r="G1942" s="9">
        <v>8.5000000000000006E-2</v>
      </c>
      <c r="H1942" s="15">
        <f t="shared" si="62"/>
        <v>18200</v>
      </c>
    </row>
    <row r="1943" spans="1:8" x14ac:dyDescent="0.25">
      <c r="A1943" s="13">
        <v>45603</v>
      </c>
      <c r="B1943" s="15" t="s">
        <v>21</v>
      </c>
      <c r="C1943" s="3">
        <v>6</v>
      </c>
      <c r="D1943" s="13">
        <f t="shared" si="61"/>
        <v>45609</v>
      </c>
      <c r="E1943" s="15">
        <v>2000</v>
      </c>
      <c r="F1943" s="9">
        <v>8.5000000000000006E-2</v>
      </c>
      <c r="G1943" s="9">
        <v>8.5000000000000006E-2</v>
      </c>
      <c r="H1943" s="15">
        <f t="shared" si="62"/>
        <v>18200</v>
      </c>
    </row>
    <row r="1944" spans="1:8" x14ac:dyDescent="0.25">
      <c r="A1944" s="13">
        <v>45604</v>
      </c>
      <c r="B1944" s="15" t="s">
        <v>21</v>
      </c>
      <c r="C1944" s="3">
        <v>3</v>
      </c>
      <c r="D1944" s="13">
        <f t="shared" si="61"/>
        <v>45607</v>
      </c>
      <c r="E1944" s="15">
        <v>2050</v>
      </c>
      <c r="F1944" s="9">
        <v>8.5000000000000006E-2</v>
      </c>
      <c r="G1944" s="9">
        <v>8.5000000000000006E-2</v>
      </c>
      <c r="H1944" s="15">
        <f t="shared" si="62"/>
        <v>16750</v>
      </c>
    </row>
    <row r="1945" spans="1:8" x14ac:dyDescent="0.25">
      <c r="A1945" s="13">
        <v>45604</v>
      </c>
      <c r="B1945" s="15" t="s">
        <v>21</v>
      </c>
      <c r="C1945" s="3">
        <v>4</v>
      </c>
      <c r="D1945" s="13">
        <f t="shared" si="61"/>
        <v>45608</v>
      </c>
      <c r="E1945" s="15">
        <v>5800</v>
      </c>
      <c r="F1945" s="9">
        <v>8.5000000000000006E-2</v>
      </c>
      <c r="G1945" s="9">
        <v>8.5000000000000006E-2</v>
      </c>
      <c r="H1945" s="15">
        <f t="shared" si="62"/>
        <v>16750</v>
      </c>
    </row>
    <row r="1946" spans="1:8" x14ac:dyDescent="0.25">
      <c r="A1946" s="13">
        <v>45607</v>
      </c>
      <c r="B1946" s="15" t="s">
        <v>21</v>
      </c>
      <c r="C1946" s="3">
        <v>1</v>
      </c>
      <c r="D1946" s="13">
        <f t="shared" si="61"/>
        <v>45608</v>
      </c>
      <c r="E1946" s="15">
        <v>1700</v>
      </c>
      <c r="F1946" s="9">
        <v>8.3000000000000004E-2</v>
      </c>
      <c r="G1946" s="9">
        <v>8.5000000000000006E-2</v>
      </c>
      <c r="H1946" s="15">
        <f t="shared" si="62"/>
        <v>13500</v>
      </c>
    </row>
    <row r="1947" spans="1:8" x14ac:dyDescent="0.25">
      <c r="A1947" s="13">
        <v>45607</v>
      </c>
      <c r="B1947" s="15" t="s">
        <v>21</v>
      </c>
      <c r="C1947" s="3">
        <v>2</v>
      </c>
      <c r="D1947" s="13">
        <f t="shared" si="61"/>
        <v>45609</v>
      </c>
      <c r="E1947" s="15">
        <v>4000</v>
      </c>
      <c r="F1947" s="9">
        <v>8.5000000000000006E-2</v>
      </c>
      <c r="G1947" s="9">
        <v>8.5000000000000006E-2</v>
      </c>
      <c r="H1947" s="15">
        <f t="shared" si="62"/>
        <v>13500</v>
      </c>
    </row>
    <row r="1948" spans="1:8" x14ac:dyDescent="0.25">
      <c r="A1948" s="13">
        <v>45608</v>
      </c>
      <c r="B1948" s="15" t="s">
        <v>21</v>
      </c>
      <c r="C1948" s="3">
        <v>1</v>
      </c>
      <c r="D1948" s="13">
        <f t="shared" si="61"/>
        <v>45609</v>
      </c>
      <c r="E1948" s="15">
        <v>500</v>
      </c>
      <c r="F1948" s="9">
        <v>8.3000000000000004E-2</v>
      </c>
      <c r="G1948" s="9">
        <v>8.5000000000000006E-2</v>
      </c>
      <c r="H1948" s="15">
        <f t="shared" si="62"/>
        <v>17900</v>
      </c>
    </row>
    <row r="1949" spans="1:8" x14ac:dyDescent="0.25">
      <c r="A1949" s="13">
        <v>45608</v>
      </c>
      <c r="B1949" s="15" t="s">
        <v>21</v>
      </c>
      <c r="C1949" s="3">
        <v>2</v>
      </c>
      <c r="D1949" s="13">
        <f t="shared" si="61"/>
        <v>45610</v>
      </c>
      <c r="E1949" s="15">
        <v>1500</v>
      </c>
      <c r="F1949" s="9">
        <v>8.5000000000000006E-2</v>
      </c>
      <c r="G1949" s="9">
        <v>8.5000000000000006E-2</v>
      </c>
      <c r="H1949" s="15">
        <f t="shared" si="62"/>
        <v>17900</v>
      </c>
    </row>
    <row r="1950" spans="1:8" x14ac:dyDescent="0.25">
      <c r="A1950" s="13">
        <v>45608</v>
      </c>
      <c r="B1950" s="15" t="s">
        <v>21</v>
      </c>
      <c r="C1950" s="3">
        <v>3</v>
      </c>
      <c r="D1950" s="13">
        <f t="shared" si="61"/>
        <v>45611</v>
      </c>
      <c r="E1950" s="15">
        <v>9900</v>
      </c>
      <c r="F1950" s="9">
        <v>8.5000000000000006E-2</v>
      </c>
      <c r="G1950" s="9">
        <v>8.5000000000000006E-2</v>
      </c>
      <c r="H1950" s="15">
        <f t="shared" si="62"/>
        <v>17900</v>
      </c>
    </row>
    <row r="1951" spans="1:8" x14ac:dyDescent="0.25">
      <c r="A1951" s="13">
        <v>45609</v>
      </c>
      <c r="B1951" s="15" t="s">
        <v>21</v>
      </c>
      <c r="C1951" s="3">
        <v>2</v>
      </c>
      <c r="D1951" s="13">
        <f t="shared" si="61"/>
        <v>45611</v>
      </c>
      <c r="E1951" s="15">
        <v>1200</v>
      </c>
      <c r="F1951" s="9">
        <v>8.5000000000000006E-2</v>
      </c>
      <c r="G1951" s="9">
        <v>8.5000000000000006E-2</v>
      </c>
      <c r="H1951" s="15">
        <f t="shared" si="62"/>
        <v>13300</v>
      </c>
    </row>
    <row r="1952" spans="1:8" x14ac:dyDescent="0.25">
      <c r="A1952" s="13">
        <v>45609</v>
      </c>
      <c r="B1952" s="15" t="s">
        <v>21</v>
      </c>
      <c r="C1952" s="3">
        <v>1</v>
      </c>
      <c r="D1952" s="13">
        <f t="shared" si="61"/>
        <v>45610</v>
      </c>
      <c r="E1952" s="15">
        <v>700</v>
      </c>
      <c r="F1952" s="9">
        <v>8.3000000000000004E-2</v>
      </c>
      <c r="G1952" s="9">
        <v>8.5000000000000006E-2</v>
      </c>
      <c r="H1952" s="15">
        <f t="shared" si="62"/>
        <v>13300</v>
      </c>
    </row>
    <row r="1953" spans="1:8" x14ac:dyDescent="0.25">
      <c r="A1953" s="13">
        <v>45610</v>
      </c>
      <c r="B1953" s="15" t="s">
        <v>21</v>
      </c>
      <c r="C1953" s="3">
        <v>1</v>
      </c>
      <c r="D1953" s="13">
        <f t="shared" si="61"/>
        <v>45611</v>
      </c>
      <c r="E1953" s="15">
        <v>500</v>
      </c>
      <c r="F1953" s="9">
        <v>8.5000000000000006E-2</v>
      </c>
      <c r="G1953" s="9">
        <v>8.5000000000000006E-2</v>
      </c>
      <c r="H1953" s="15">
        <f t="shared" si="62"/>
        <v>14700</v>
      </c>
    </row>
    <row r="1954" spans="1:8" x14ac:dyDescent="0.25">
      <c r="A1954" s="13">
        <v>45610</v>
      </c>
      <c r="B1954" s="15" t="s">
        <v>21</v>
      </c>
      <c r="C1954" s="3">
        <v>4</v>
      </c>
      <c r="D1954" s="13">
        <f t="shared" si="61"/>
        <v>45614</v>
      </c>
      <c r="E1954" s="15">
        <v>1900</v>
      </c>
      <c r="F1954" s="9">
        <v>8.5000000000000006E-2</v>
      </c>
      <c r="G1954" s="9">
        <v>8.5000000000000006E-2</v>
      </c>
      <c r="H1954" s="15">
        <f t="shared" si="62"/>
        <v>14700</v>
      </c>
    </row>
    <row r="1955" spans="1:8" x14ac:dyDescent="0.25">
      <c r="A1955" s="13">
        <v>45610</v>
      </c>
      <c r="B1955" s="15" t="s">
        <v>21</v>
      </c>
      <c r="C1955" s="3">
        <v>6</v>
      </c>
      <c r="D1955" s="13">
        <f t="shared" si="61"/>
        <v>45616</v>
      </c>
      <c r="E1955" s="15">
        <v>1200</v>
      </c>
      <c r="F1955" s="9">
        <v>8.5000000000000006E-2</v>
      </c>
      <c r="G1955" s="9">
        <v>8.5000000000000006E-2</v>
      </c>
      <c r="H1955" s="15">
        <f t="shared" si="62"/>
        <v>14700</v>
      </c>
    </row>
    <row r="1956" spans="1:8" x14ac:dyDescent="0.25">
      <c r="A1956" s="13">
        <v>45611</v>
      </c>
      <c r="B1956" s="15" t="s">
        <v>21</v>
      </c>
      <c r="C1956" s="3">
        <v>4</v>
      </c>
      <c r="D1956" s="13">
        <f t="shared" si="61"/>
        <v>45615</v>
      </c>
      <c r="E1956" s="15">
        <v>2400</v>
      </c>
      <c r="F1956" s="9">
        <v>8.5000000000000006E-2</v>
      </c>
      <c r="G1956" s="9">
        <v>8.5000000000000006E-2</v>
      </c>
      <c r="H1956" s="15">
        <f t="shared" si="62"/>
        <v>14200</v>
      </c>
    </row>
    <row r="1957" spans="1:8" x14ac:dyDescent="0.25">
      <c r="A1957" s="13">
        <v>45611</v>
      </c>
      <c r="B1957" s="15" t="s">
        <v>21</v>
      </c>
      <c r="C1957" s="3">
        <v>5</v>
      </c>
      <c r="D1957" s="13">
        <f t="shared" si="61"/>
        <v>45616</v>
      </c>
      <c r="E1957" s="15">
        <v>5700</v>
      </c>
      <c r="F1957" s="9">
        <v>8.5000000000000006E-2</v>
      </c>
      <c r="G1957" s="9">
        <v>8.5000000000000006E-2</v>
      </c>
      <c r="H1957" s="15">
        <f t="shared" si="62"/>
        <v>14200</v>
      </c>
    </row>
    <row r="1958" spans="1:8" x14ac:dyDescent="0.25">
      <c r="A1958" s="13">
        <v>45611</v>
      </c>
      <c r="B1958" s="15" t="s">
        <v>21</v>
      </c>
      <c r="C1958" s="3">
        <v>3</v>
      </c>
      <c r="D1958" s="13">
        <f t="shared" si="61"/>
        <v>45614</v>
      </c>
      <c r="E1958" s="15">
        <v>1800</v>
      </c>
      <c r="F1958" s="9">
        <v>8.3000000000000004E-2</v>
      </c>
      <c r="G1958" s="9">
        <v>8.5000000000000006E-2</v>
      </c>
      <c r="H1958" s="15">
        <f t="shared" si="62"/>
        <v>14200</v>
      </c>
    </row>
    <row r="1959" spans="1:8" x14ac:dyDescent="0.25">
      <c r="A1959" s="13">
        <v>45611</v>
      </c>
      <c r="B1959" s="15" t="s">
        <v>21</v>
      </c>
      <c r="C1959" s="3">
        <v>6</v>
      </c>
      <c r="D1959" s="13">
        <f t="shared" si="61"/>
        <v>45617</v>
      </c>
      <c r="E1959" s="15">
        <v>1000</v>
      </c>
      <c r="F1959" s="9">
        <v>8.5000000000000006E-2</v>
      </c>
      <c r="G1959" s="9">
        <v>8.5000000000000006E-2</v>
      </c>
      <c r="H1959" s="15">
        <f t="shared" si="62"/>
        <v>14200</v>
      </c>
    </row>
    <row r="1960" spans="1:8" x14ac:dyDescent="0.25">
      <c r="A1960" s="13">
        <v>45611</v>
      </c>
      <c r="B1960" s="15" t="s">
        <v>21</v>
      </c>
      <c r="C1960" s="3">
        <v>10</v>
      </c>
      <c r="D1960" s="13">
        <f t="shared" si="61"/>
        <v>45621</v>
      </c>
      <c r="E1960" s="15">
        <v>200</v>
      </c>
      <c r="F1960" s="9">
        <v>8.5000000000000006E-2</v>
      </c>
      <c r="G1960" s="9">
        <v>8.5000000000000006E-2</v>
      </c>
      <c r="H1960" s="15">
        <f t="shared" si="62"/>
        <v>14200</v>
      </c>
    </row>
    <row r="1961" spans="1:8" x14ac:dyDescent="0.25">
      <c r="A1961" s="13">
        <v>45614</v>
      </c>
      <c r="B1961" s="15" t="s">
        <v>21</v>
      </c>
      <c r="C1961" s="3">
        <v>1</v>
      </c>
      <c r="D1961" s="13">
        <f t="shared" si="61"/>
        <v>45615</v>
      </c>
      <c r="E1961" s="15">
        <v>2400</v>
      </c>
      <c r="F1961" s="9">
        <v>8.3000000000000004E-2</v>
      </c>
      <c r="G1961" s="9">
        <v>8.5000000000000006E-2</v>
      </c>
      <c r="H1961" s="15">
        <f t="shared" si="62"/>
        <v>22500</v>
      </c>
    </row>
    <row r="1962" spans="1:8" x14ac:dyDescent="0.25">
      <c r="A1962" s="13">
        <v>45614</v>
      </c>
      <c r="B1962" s="15" t="s">
        <v>21</v>
      </c>
      <c r="C1962" s="3">
        <v>2</v>
      </c>
      <c r="D1962" s="13">
        <f t="shared" si="61"/>
        <v>45616</v>
      </c>
      <c r="E1962" s="15">
        <v>5000</v>
      </c>
      <c r="F1962" s="9">
        <v>8.5000000000000006E-2</v>
      </c>
      <c r="G1962" s="9">
        <v>8.5000000000000006E-2</v>
      </c>
      <c r="H1962" s="15">
        <f t="shared" si="62"/>
        <v>22500</v>
      </c>
    </row>
    <row r="1963" spans="1:8" x14ac:dyDescent="0.25">
      <c r="A1963" s="13">
        <v>45614</v>
      </c>
      <c r="B1963" s="15" t="s">
        <v>21</v>
      </c>
      <c r="C1963" s="3">
        <v>3</v>
      </c>
      <c r="D1963" s="13">
        <f t="shared" si="61"/>
        <v>45617</v>
      </c>
      <c r="E1963" s="15">
        <v>2000</v>
      </c>
      <c r="F1963" s="9">
        <v>8.5000000000000006E-2</v>
      </c>
      <c r="G1963" s="9">
        <v>8.5000000000000006E-2</v>
      </c>
      <c r="H1963" s="15">
        <f t="shared" si="62"/>
        <v>22500</v>
      </c>
    </row>
    <row r="1964" spans="1:8" x14ac:dyDescent="0.25">
      <c r="A1964" s="13">
        <v>45614</v>
      </c>
      <c r="B1964" s="15" t="s">
        <v>21</v>
      </c>
      <c r="C1964" s="3">
        <v>4</v>
      </c>
      <c r="D1964" s="13">
        <f t="shared" si="61"/>
        <v>45618</v>
      </c>
      <c r="E1964" s="15">
        <v>1600</v>
      </c>
      <c r="F1964" s="9">
        <v>8.5000000000000006E-2</v>
      </c>
      <c r="G1964" s="9">
        <v>8.5000000000000006E-2</v>
      </c>
      <c r="H1964" s="15">
        <f t="shared" si="62"/>
        <v>22500</v>
      </c>
    </row>
    <row r="1965" spans="1:8" x14ac:dyDescent="0.25">
      <c r="A1965" s="13">
        <v>45614</v>
      </c>
      <c r="B1965" s="15" t="s">
        <v>21</v>
      </c>
      <c r="C1965" s="3">
        <v>11</v>
      </c>
      <c r="D1965" s="13">
        <f t="shared" si="61"/>
        <v>45625</v>
      </c>
      <c r="E1965" s="15">
        <v>1000</v>
      </c>
      <c r="F1965" s="9">
        <v>8.5000000000000006E-2</v>
      </c>
      <c r="G1965" s="9">
        <v>8.5000000000000006E-2</v>
      </c>
      <c r="H1965" s="15">
        <f t="shared" si="62"/>
        <v>22500</v>
      </c>
    </row>
    <row r="1966" spans="1:8" x14ac:dyDescent="0.25">
      <c r="A1966" s="13">
        <v>45615</v>
      </c>
      <c r="B1966" s="15" t="s">
        <v>21</v>
      </c>
      <c r="C1966" s="3">
        <v>1</v>
      </c>
      <c r="D1966" s="13">
        <f t="shared" si="61"/>
        <v>45616</v>
      </c>
      <c r="E1966" s="15">
        <v>2300</v>
      </c>
      <c r="F1966" s="9">
        <v>8.4000000000000005E-2</v>
      </c>
      <c r="G1966" s="9">
        <v>8.5000000000000006E-2</v>
      </c>
      <c r="H1966" s="15">
        <f t="shared" si="62"/>
        <v>28500</v>
      </c>
    </row>
    <row r="1967" spans="1:8" x14ac:dyDescent="0.25">
      <c r="A1967" s="13">
        <v>45615</v>
      </c>
      <c r="B1967" s="15" t="s">
        <v>21</v>
      </c>
      <c r="C1967" s="3">
        <v>2</v>
      </c>
      <c r="D1967" s="13">
        <f t="shared" si="61"/>
        <v>45617</v>
      </c>
      <c r="E1967" s="15">
        <v>1100</v>
      </c>
      <c r="F1967" s="9">
        <v>8.5000000000000006E-2</v>
      </c>
      <c r="G1967" s="9">
        <v>8.5000000000000006E-2</v>
      </c>
      <c r="H1967" s="15">
        <f t="shared" si="62"/>
        <v>28500</v>
      </c>
    </row>
    <row r="1968" spans="1:8" x14ac:dyDescent="0.25">
      <c r="A1968" s="13">
        <v>45615</v>
      </c>
      <c r="B1968" s="15" t="s">
        <v>21</v>
      </c>
      <c r="C1968" s="3">
        <v>3</v>
      </c>
      <c r="D1968" s="13">
        <f t="shared" si="61"/>
        <v>45618</v>
      </c>
      <c r="E1968" s="15">
        <v>3000</v>
      </c>
      <c r="F1968" s="9">
        <v>8.5000000000000006E-2</v>
      </c>
      <c r="G1968" s="9">
        <v>8.5000000000000006E-2</v>
      </c>
      <c r="H1968" s="15">
        <f t="shared" si="62"/>
        <v>28500</v>
      </c>
    </row>
    <row r="1969" spans="1:8" x14ac:dyDescent="0.25">
      <c r="A1969" s="13">
        <v>45615</v>
      </c>
      <c r="B1969" s="15" t="s">
        <v>21</v>
      </c>
      <c r="C1969" s="3">
        <v>6</v>
      </c>
      <c r="D1969" s="13">
        <f t="shared" si="61"/>
        <v>45621</v>
      </c>
      <c r="E1969" s="15">
        <v>4400</v>
      </c>
      <c r="F1969" s="9">
        <v>8.5000000000000006E-2</v>
      </c>
      <c r="G1969" s="9">
        <v>8.5000000000000006E-2</v>
      </c>
      <c r="H1969" s="15">
        <f t="shared" si="62"/>
        <v>28500</v>
      </c>
    </row>
    <row r="1970" spans="1:8" x14ac:dyDescent="0.25">
      <c r="A1970" s="13">
        <v>45616</v>
      </c>
      <c r="B1970" s="15" t="s">
        <v>21</v>
      </c>
      <c r="C1970" s="3">
        <v>1</v>
      </c>
      <c r="D1970" s="13">
        <f t="shared" si="61"/>
        <v>45617</v>
      </c>
      <c r="E1970" s="15">
        <v>1700</v>
      </c>
      <c r="F1970" s="9">
        <v>8.3000000000000004E-2</v>
      </c>
      <c r="G1970" s="9">
        <v>8.5000000000000006E-2</v>
      </c>
      <c r="H1970" s="15">
        <f t="shared" si="62"/>
        <v>20000</v>
      </c>
    </row>
    <row r="1971" spans="1:8" x14ac:dyDescent="0.25">
      <c r="A1971" s="13">
        <v>45616</v>
      </c>
      <c r="B1971" s="15" t="s">
        <v>21</v>
      </c>
      <c r="C1971" s="3">
        <v>2</v>
      </c>
      <c r="D1971" s="13">
        <f t="shared" si="61"/>
        <v>45618</v>
      </c>
      <c r="E1971" s="15">
        <v>700</v>
      </c>
      <c r="F1971" s="9">
        <v>8.5000000000000006E-2</v>
      </c>
      <c r="G1971" s="9">
        <v>8.5000000000000006E-2</v>
      </c>
      <c r="H1971" s="15">
        <f t="shared" si="62"/>
        <v>20000</v>
      </c>
    </row>
    <row r="1972" spans="1:8" x14ac:dyDescent="0.25">
      <c r="A1972" s="13">
        <v>45616</v>
      </c>
      <c r="B1972" s="15" t="s">
        <v>21</v>
      </c>
      <c r="C1972" s="3">
        <v>5</v>
      </c>
      <c r="D1972" s="13">
        <f t="shared" si="61"/>
        <v>45621</v>
      </c>
      <c r="E1972" s="15">
        <v>2800</v>
      </c>
      <c r="F1972" s="9">
        <v>8.5000000000000006E-2</v>
      </c>
      <c r="G1972" s="9">
        <v>8.5000000000000006E-2</v>
      </c>
      <c r="H1972" s="15">
        <f t="shared" si="62"/>
        <v>20000</v>
      </c>
    </row>
    <row r="1973" spans="1:8" x14ac:dyDescent="0.25">
      <c r="A1973" s="13">
        <v>45616</v>
      </c>
      <c r="B1973" s="15" t="s">
        <v>21</v>
      </c>
      <c r="C1973" s="3">
        <v>6</v>
      </c>
      <c r="D1973" s="13">
        <f t="shared" si="61"/>
        <v>45622</v>
      </c>
      <c r="E1973" s="15">
        <v>500</v>
      </c>
      <c r="F1973" s="9">
        <v>8.5000000000000006E-2</v>
      </c>
      <c r="G1973" s="9">
        <v>8.5000000000000006E-2</v>
      </c>
      <c r="H1973" s="15">
        <f t="shared" si="62"/>
        <v>20000</v>
      </c>
    </row>
    <row r="1974" spans="1:8" x14ac:dyDescent="0.25">
      <c r="A1974" s="13">
        <v>45617</v>
      </c>
      <c r="B1974" s="15" t="s">
        <v>21</v>
      </c>
      <c r="C1974" s="3">
        <v>1</v>
      </c>
      <c r="D1974" s="13">
        <f t="shared" si="61"/>
        <v>45618</v>
      </c>
      <c r="E1974" s="15">
        <v>1800</v>
      </c>
      <c r="F1974" s="9">
        <v>8.4000000000000005E-2</v>
      </c>
      <c r="G1974" s="9">
        <v>8.5000000000000006E-2</v>
      </c>
      <c r="H1974" s="15">
        <f t="shared" si="62"/>
        <v>24400</v>
      </c>
    </row>
    <row r="1975" spans="1:8" x14ac:dyDescent="0.25">
      <c r="A1975" s="13">
        <v>45617</v>
      </c>
      <c r="B1975" s="15" t="s">
        <v>21</v>
      </c>
      <c r="C1975" s="3">
        <v>4</v>
      </c>
      <c r="D1975" s="13">
        <f t="shared" si="61"/>
        <v>45621</v>
      </c>
      <c r="E1975" s="15">
        <v>2000</v>
      </c>
      <c r="F1975" s="9">
        <v>8.5000000000000006E-2</v>
      </c>
      <c r="G1975" s="9">
        <v>8.5000000000000006E-2</v>
      </c>
      <c r="H1975" s="15">
        <f t="shared" si="62"/>
        <v>24400</v>
      </c>
    </row>
    <row r="1976" spans="1:8" x14ac:dyDescent="0.25">
      <c r="A1976" s="13">
        <v>45617</v>
      </c>
      <c r="B1976" s="15" t="s">
        <v>21</v>
      </c>
      <c r="C1976" s="3">
        <v>5</v>
      </c>
      <c r="D1976" s="13">
        <f t="shared" si="61"/>
        <v>45622</v>
      </c>
      <c r="E1976" s="15">
        <v>3200</v>
      </c>
      <c r="F1976" s="9">
        <v>8.5000000000000006E-2</v>
      </c>
      <c r="G1976" s="9">
        <v>8.5000000000000006E-2</v>
      </c>
      <c r="H1976" s="15">
        <f t="shared" si="62"/>
        <v>24400</v>
      </c>
    </row>
    <row r="1977" spans="1:8" x14ac:dyDescent="0.25">
      <c r="A1977" s="13">
        <v>45617</v>
      </c>
      <c r="B1977" s="15" t="s">
        <v>21</v>
      </c>
      <c r="C1977" s="3">
        <v>6</v>
      </c>
      <c r="D1977" s="13">
        <f t="shared" si="61"/>
        <v>45623</v>
      </c>
      <c r="E1977" s="15">
        <v>2200</v>
      </c>
      <c r="F1977" s="9">
        <v>8.5000000000000006E-2</v>
      </c>
      <c r="G1977" s="9">
        <v>8.5000000000000006E-2</v>
      </c>
      <c r="H1977" s="15">
        <f t="shared" si="62"/>
        <v>24400</v>
      </c>
    </row>
    <row r="1978" spans="1:8" x14ac:dyDescent="0.25">
      <c r="A1978" s="13">
        <v>45617</v>
      </c>
      <c r="B1978" s="15" t="s">
        <v>21</v>
      </c>
      <c r="C1978" s="3">
        <v>7</v>
      </c>
      <c r="D1978" s="13">
        <f t="shared" si="61"/>
        <v>45624</v>
      </c>
      <c r="E1978" s="15">
        <v>1000</v>
      </c>
      <c r="F1978" s="9">
        <v>8.5000000000000006E-2</v>
      </c>
      <c r="G1978" s="9">
        <v>8.5000000000000006E-2</v>
      </c>
      <c r="H1978" s="15">
        <f t="shared" si="62"/>
        <v>24400</v>
      </c>
    </row>
    <row r="1979" spans="1:8" x14ac:dyDescent="0.25">
      <c r="A1979" s="13">
        <v>45618</v>
      </c>
      <c r="B1979" s="15" t="s">
        <v>21</v>
      </c>
      <c r="C1979" s="3">
        <v>3</v>
      </c>
      <c r="D1979" s="13">
        <f t="shared" si="61"/>
        <v>45621</v>
      </c>
      <c r="E1979" s="15">
        <v>500</v>
      </c>
      <c r="F1979" s="9">
        <v>8.5000000000000006E-2</v>
      </c>
      <c r="G1979" s="9">
        <v>8.5000000000000006E-2</v>
      </c>
      <c r="H1979" s="15">
        <f t="shared" si="62"/>
        <v>21200</v>
      </c>
    </row>
    <row r="1980" spans="1:8" x14ac:dyDescent="0.25">
      <c r="A1980" s="13">
        <v>45618</v>
      </c>
      <c r="B1980" s="15" t="s">
        <v>21</v>
      </c>
      <c r="C1980" s="3">
        <v>5</v>
      </c>
      <c r="D1980" s="13">
        <f t="shared" si="61"/>
        <v>45623</v>
      </c>
      <c r="E1980" s="15">
        <v>600</v>
      </c>
      <c r="F1980" s="9">
        <v>8.5000000000000006E-2</v>
      </c>
      <c r="G1980" s="9">
        <v>8.5000000000000006E-2</v>
      </c>
      <c r="H1980" s="15">
        <f t="shared" si="62"/>
        <v>21200</v>
      </c>
    </row>
    <row r="1981" spans="1:8" x14ac:dyDescent="0.25">
      <c r="A1981" s="13">
        <v>45618</v>
      </c>
      <c r="B1981" s="15" t="s">
        <v>21</v>
      </c>
      <c r="C1981" s="3">
        <v>6</v>
      </c>
      <c r="D1981" s="13">
        <f t="shared" si="61"/>
        <v>45624</v>
      </c>
      <c r="E1981" s="15">
        <v>400</v>
      </c>
      <c r="F1981" s="9">
        <v>8.5000000000000006E-2</v>
      </c>
      <c r="G1981" s="9">
        <v>8.5000000000000006E-2</v>
      </c>
      <c r="H1981" s="15">
        <f t="shared" si="62"/>
        <v>21200</v>
      </c>
    </row>
    <row r="1982" spans="1:8" x14ac:dyDescent="0.25">
      <c r="A1982" s="13">
        <v>45618</v>
      </c>
      <c r="B1982" s="15" t="s">
        <v>21</v>
      </c>
      <c r="C1982" s="3">
        <v>7</v>
      </c>
      <c r="D1982" s="13">
        <f t="shared" ref="D1982:D2093" si="64">+A1982+C1982</f>
        <v>45625</v>
      </c>
      <c r="E1982" s="15">
        <v>2400</v>
      </c>
      <c r="F1982" s="9">
        <v>8.5000000000000006E-2</v>
      </c>
      <c r="G1982" s="9">
        <v>8.5000000000000006E-2</v>
      </c>
      <c r="H1982" s="15">
        <f t="shared" si="62"/>
        <v>21200</v>
      </c>
    </row>
    <row r="1983" spans="1:8" x14ac:dyDescent="0.25">
      <c r="A1983" s="13">
        <v>45621</v>
      </c>
      <c r="B1983" s="15" t="s">
        <v>21</v>
      </c>
      <c r="C1983" s="3">
        <v>1</v>
      </c>
      <c r="D1983" s="13">
        <f t="shared" si="64"/>
        <v>45622</v>
      </c>
      <c r="E1983" s="15">
        <v>500</v>
      </c>
      <c r="F1983" s="9">
        <v>8.5000000000000006E-2</v>
      </c>
      <c r="G1983" s="9">
        <v>8.5000000000000006E-2</v>
      </c>
      <c r="H1983" s="15">
        <f t="shared" si="62"/>
        <v>14300</v>
      </c>
    </row>
    <row r="1984" spans="1:8" x14ac:dyDescent="0.25">
      <c r="A1984" s="13">
        <v>45621</v>
      </c>
      <c r="B1984" s="15" t="s">
        <v>21</v>
      </c>
      <c r="C1984" s="3">
        <v>2</v>
      </c>
      <c r="D1984" s="13">
        <f t="shared" si="64"/>
        <v>45623</v>
      </c>
      <c r="E1984" s="15">
        <v>2200</v>
      </c>
      <c r="F1984" s="9">
        <v>8.5000000000000006E-2</v>
      </c>
      <c r="G1984" s="9">
        <v>8.5000000000000006E-2</v>
      </c>
      <c r="H1984" s="15">
        <f t="shared" si="62"/>
        <v>14300</v>
      </c>
    </row>
    <row r="1985" spans="1:8" x14ac:dyDescent="0.25">
      <c r="A1985" s="13">
        <v>45621</v>
      </c>
      <c r="B1985" s="15" t="s">
        <v>21</v>
      </c>
      <c r="C1985" s="3">
        <v>3</v>
      </c>
      <c r="D1985" s="13">
        <f t="shared" si="64"/>
        <v>45624</v>
      </c>
      <c r="E1985" s="15">
        <v>300</v>
      </c>
      <c r="F1985" s="9">
        <v>8.5000000000000006E-2</v>
      </c>
      <c r="G1985" s="9">
        <v>8.5000000000000006E-2</v>
      </c>
      <c r="H1985" s="15">
        <f t="shared" si="62"/>
        <v>14300</v>
      </c>
    </row>
    <row r="1986" spans="1:8" x14ac:dyDescent="0.25">
      <c r="A1986" s="13">
        <v>45622</v>
      </c>
      <c r="B1986" s="15" t="s">
        <v>21</v>
      </c>
      <c r="C1986" s="3">
        <v>1</v>
      </c>
      <c r="D1986" s="13">
        <f t="shared" si="64"/>
        <v>45623</v>
      </c>
      <c r="E1986" s="15">
        <v>1000</v>
      </c>
      <c r="F1986" s="9">
        <v>8.5000000000000006E-2</v>
      </c>
      <c r="G1986" s="9">
        <v>8.5000000000000006E-2</v>
      </c>
      <c r="H1986" s="15">
        <f t="shared" si="62"/>
        <v>12600</v>
      </c>
    </row>
    <row r="1987" spans="1:8" x14ac:dyDescent="0.25">
      <c r="A1987" s="13">
        <v>45622</v>
      </c>
      <c r="B1987" s="15" t="s">
        <v>21</v>
      </c>
      <c r="C1987" s="3">
        <v>2</v>
      </c>
      <c r="D1987" s="13">
        <f t="shared" si="64"/>
        <v>45624</v>
      </c>
      <c r="E1987" s="15">
        <v>500</v>
      </c>
      <c r="F1987" s="9">
        <v>8.5000000000000006E-2</v>
      </c>
      <c r="G1987" s="9">
        <v>8.5000000000000006E-2</v>
      </c>
      <c r="H1987" s="15">
        <f t="shared" si="62"/>
        <v>12600</v>
      </c>
    </row>
    <row r="1988" spans="1:8" x14ac:dyDescent="0.25">
      <c r="A1988" s="13">
        <v>45622</v>
      </c>
      <c r="B1988" s="15" t="s">
        <v>21</v>
      </c>
      <c r="C1988" s="3">
        <v>3</v>
      </c>
      <c r="D1988" s="13">
        <f t="shared" si="64"/>
        <v>45625</v>
      </c>
      <c r="E1988" s="15">
        <v>1000</v>
      </c>
      <c r="F1988" s="9">
        <v>8.5000000000000006E-2</v>
      </c>
      <c r="G1988" s="9">
        <v>8.5000000000000006E-2</v>
      </c>
      <c r="H1988" s="15">
        <f t="shared" si="62"/>
        <v>12600</v>
      </c>
    </row>
    <row r="1989" spans="1:8" x14ac:dyDescent="0.25">
      <c r="A1989" s="13">
        <v>45623</v>
      </c>
      <c r="B1989" s="15" t="s">
        <v>21</v>
      </c>
      <c r="C1989" s="3">
        <v>1</v>
      </c>
      <c r="D1989" s="13">
        <f t="shared" si="64"/>
        <v>45624</v>
      </c>
      <c r="E1989" s="15">
        <v>500</v>
      </c>
      <c r="F1989" s="9">
        <v>8.5000000000000006E-2</v>
      </c>
      <c r="G1989" s="9">
        <v>8.5000000000000006E-2</v>
      </c>
      <c r="H1989" s="15">
        <f t="shared" si="62"/>
        <v>10900</v>
      </c>
    </row>
    <row r="1990" spans="1:8" x14ac:dyDescent="0.25">
      <c r="A1990" s="13">
        <v>45623</v>
      </c>
      <c r="B1990" s="15" t="s">
        <v>21</v>
      </c>
      <c r="C1990" s="3">
        <v>2</v>
      </c>
      <c r="D1990" s="13">
        <f t="shared" si="64"/>
        <v>45625</v>
      </c>
      <c r="E1990" s="15">
        <v>3800</v>
      </c>
      <c r="F1990" s="9">
        <v>8.5000000000000006E-2</v>
      </c>
      <c r="G1990" s="9">
        <v>8.5000000000000006E-2</v>
      </c>
      <c r="H1990" s="15">
        <f t="shared" si="62"/>
        <v>10900</v>
      </c>
    </row>
    <row r="1991" spans="1:8" x14ac:dyDescent="0.25">
      <c r="A1991" s="13">
        <v>45624</v>
      </c>
      <c r="B1991" s="15" t="s">
        <v>21</v>
      </c>
      <c r="C1991" s="3">
        <v>1</v>
      </c>
      <c r="D1991" s="13">
        <f t="shared" si="64"/>
        <v>45625</v>
      </c>
      <c r="E1991" s="15">
        <v>800</v>
      </c>
      <c r="F1991" s="9">
        <v>8.5000000000000006E-2</v>
      </c>
      <c r="G1991" s="9">
        <v>8.5000000000000006E-2</v>
      </c>
      <c r="H1991" s="15">
        <f t="shared" si="62"/>
        <v>10800</v>
      </c>
    </row>
    <row r="1992" spans="1:8" x14ac:dyDescent="0.25">
      <c r="A1992" s="13">
        <v>45624</v>
      </c>
      <c r="B1992" s="15" t="s">
        <v>21</v>
      </c>
      <c r="C1992" s="3">
        <v>4</v>
      </c>
      <c r="D1992" s="13">
        <f t="shared" si="64"/>
        <v>45628</v>
      </c>
      <c r="E1992" s="15">
        <v>1800</v>
      </c>
      <c r="F1992" s="9">
        <v>8.5000000000000006E-2</v>
      </c>
      <c r="G1992" s="9">
        <v>8.5000000000000006E-2</v>
      </c>
      <c r="H1992" s="15">
        <f t="shared" si="62"/>
        <v>10800</v>
      </c>
    </row>
    <row r="1993" spans="1:8" x14ac:dyDescent="0.25">
      <c r="A1993" s="13">
        <v>45625</v>
      </c>
      <c r="B1993" s="15" t="s">
        <v>21</v>
      </c>
      <c r="C1993" s="3">
        <v>3</v>
      </c>
      <c r="D1993" s="13">
        <f t="shared" si="64"/>
        <v>45628</v>
      </c>
      <c r="E1993" s="15">
        <v>900</v>
      </c>
      <c r="F1993" s="9">
        <v>8.5000000000000006E-2</v>
      </c>
      <c r="G1993" s="9">
        <v>8.5000000000000006E-2</v>
      </c>
      <c r="H1993" s="15">
        <f t="shared" si="62"/>
        <v>3200</v>
      </c>
    </row>
    <row r="1994" spans="1:8" x14ac:dyDescent="0.25">
      <c r="A1994" s="13">
        <v>45625</v>
      </c>
      <c r="B1994" s="15" t="s">
        <v>21</v>
      </c>
      <c r="C1994" s="3">
        <v>7</v>
      </c>
      <c r="D1994" s="13">
        <f t="shared" si="64"/>
        <v>45632</v>
      </c>
      <c r="E1994" s="15">
        <v>500</v>
      </c>
      <c r="F1994" s="9">
        <v>8.5000000000000006E-2</v>
      </c>
      <c r="G1994" s="9">
        <v>8.5000000000000006E-2</v>
      </c>
      <c r="H1994" s="15">
        <f t="shared" ref="H1994:H2057" si="65">+SUMIFS($E$10:$E$4503,$A$10:$A$4503,"&lt;="&amp;A1994,$D$10:$D$4503,"&gt;"&amp;A1994)</f>
        <v>3200</v>
      </c>
    </row>
    <row r="1995" spans="1:8" x14ac:dyDescent="0.25">
      <c r="A1995" s="13">
        <v>45628</v>
      </c>
      <c r="B1995" s="15" t="s">
        <v>21</v>
      </c>
      <c r="C1995" s="3">
        <v>1</v>
      </c>
      <c r="D1995" s="13">
        <f t="shared" si="64"/>
        <v>45629</v>
      </c>
      <c r="E1995" s="15">
        <v>-1000</v>
      </c>
      <c r="F1995" s="9">
        <v>8.7499999999999994E-2</v>
      </c>
      <c r="G1995" s="9">
        <v>8.7499999999999994E-2</v>
      </c>
      <c r="H1995" s="15">
        <f t="shared" si="65"/>
        <v>-500</v>
      </c>
    </row>
    <row r="1996" spans="1:8" x14ac:dyDescent="0.25">
      <c r="A1996" s="13">
        <v>45631</v>
      </c>
      <c r="B1996" s="15" t="s">
        <v>21</v>
      </c>
      <c r="C1996" s="3">
        <v>4</v>
      </c>
      <c r="D1996" s="13">
        <f t="shared" si="64"/>
        <v>45635</v>
      </c>
      <c r="E1996" s="15">
        <v>2200</v>
      </c>
      <c r="F1996" s="9">
        <v>8.5000000000000006E-2</v>
      </c>
      <c r="G1996" s="9">
        <v>8.5000000000000006E-2</v>
      </c>
      <c r="H1996" s="15">
        <f t="shared" si="65"/>
        <v>2700</v>
      </c>
    </row>
    <row r="1997" spans="1:8" x14ac:dyDescent="0.25">
      <c r="A1997" s="13">
        <v>45632</v>
      </c>
      <c r="B1997" s="15" t="s">
        <v>21</v>
      </c>
      <c r="C1997" s="3">
        <v>4</v>
      </c>
      <c r="D1997" s="13">
        <f t="shared" si="64"/>
        <v>45636</v>
      </c>
      <c r="E1997" s="15">
        <v>2800</v>
      </c>
      <c r="F1997" s="9">
        <v>8.5000000000000006E-2</v>
      </c>
      <c r="G1997" s="9">
        <v>8.5000000000000006E-2</v>
      </c>
      <c r="H1997" s="15">
        <f t="shared" si="65"/>
        <v>8000</v>
      </c>
    </row>
    <row r="1998" spans="1:8" x14ac:dyDescent="0.25">
      <c r="A1998" s="13">
        <v>45632</v>
      </c>
      <c r="B1998" s="15" t="s">
        <v>21</v>
      </c>
      <c r="C1998" s="3">
        <v>5</v>
      </c>
      <c r="D1998" s="13">
        <f t="shared" si="64"/>
        <v>45637</v>
      </c>
      <c r="E1998" s="15">
        <v>2000</v>
      </c>
      <c r="F1998" s="9">
        <v>8.5000000000000006E-2</v>
      </c>
      <c r="G1998" s="9">
        <v>8.5000000000000006E-2</v>
      </c>
      <c r="H1998" s="15">
        <f t="shared" si="65"/>
        <v>8000</v>
      </c>
    </row>
    <row r="1999" spans="1:8" x14ac:dyDescent="0.25">
      <c r="A1999" s="13">
        <v>45632</v>
      </c>
      <c r="B1999" s="15" t="s">
        <v>21</v>
      </c>
      <c r="C1999" s="3">
        <v>6</v>
      </c>
      <c r="D1999" s="13">
        <f t="shared" si="64"/>
        <v>45638</v>
      </c>
      <c r="E1999" s="15">
        <v>600</v>
      </c>
      <c r="F1999" s="9">
        <v>8.5000000000000006E-2</v>
      </c>
      <c r="G1999" s="9">
        <v>8.5000000000000006E-2</v>
      </c>
      <c r="H1999" s="15">
        <f t="shared" si="65"/>
        <v>8000</v>
      </c>
    </row>
    <row r="2000" spans="1:8" x14ac:dyDescent="0.25">
      <c r="A2000" s="13">
        <v>45632</v>
      </c>
      <c r="B2000" s="15" t="s">
        <v>21</v>
      </c>
      <c r="C2000" s="3">
        <v>7</v>
      </c>
      <c r="D2000" s="13">
        <f t="shared" si="64"/>
        <v>45639</v>
      </c>
      <c r="E2000" s="15">
        <v>400</v>
      </c>
      <c r="F2000" s="9">
        <v>8.5000000000000006E-2</v>
      </c>
      <c r="G2000" s="9">
        <v>8.5000000000000006E-2</v>
      </c>
      <c r="H2000" s="15">
        <f t="shared" si="65"/>
        <v>8000</v>
      </c>
    </row>
    <row r="2001" spans="1:8" x14ac:dyDescent="0.25">
      <c r="A2001" s="13">
        <v>45638</v>
      </c>
      <c r="B2001" s="15" t="s">
        <v>21</v>
      </c>
      <c r="C2001" s="3">
        <v>4</v>
      </c>
      <c r="D2001" s="13">
        <f t="shared" si="64"/>
        <v>45642</v>
      </c>
      <c r="E2001" s="15">
        <v>3200</v>
      </c>
      <c r="F2001" s="9">
        <v>8.5000000000000006E-2</v>
      </c>
      <c r="G2001" s="9">
        <v>8.5000000000000006E-2</v>
      </c>
      <c r="H2001" s="15">
        <f t="shared" si="65"/>
        <v>3600</v>
      </c>
    </row>
    <row r="2002" spans="1:8" x14ac:dyDescent="0.25">
      <c r="A2002" s="13">
        <v>45639</v>
      </c>
      <c r="B2002" s="15" t="s">
        <v>21</v>
      </c>
      <c r="C2002" s="3">
        <v>3</v>
      </c>
      <c r="D2002" s="13">
        <f t="shared" si="64"/>
        <v>45642</v>
      </c>
      <c r="E2002" s="15">
        <v>1500</v>
      </c>
      <c r="F2002" s="9">
        <v>8.5000000000000006E-2</v>
      </c>
      <c r="G2002" s="9">
        <v>8.5000000000000006E-2</v>
      </c>
      <c r="H2002" s="15">
        <f t="shared" si="65"/>
        <v>4900</v>
      </c>
    </row>
    <row r="2003" spans="1:8" x14ac:dyDescent="0.25">
      <c r="A2003" s="13">
        <v>45639</v>
      </c>
      <c r="B2003" s="15" t="s">
        <v>21</v>
      </c>
      <c r="C2003" s="3">
        <v>10</v>
      </c>
      <c r="D2003" s="13">
        <f t="shared" si="64"/>
        <v>45649</v>
      </c>
      <c r="E2003" s="15">
        <v>200</v>
      </c>
      <c r="F2003" s="9">
        <v>8.5500000000000007E-2</v>
      </c>
      <c r="G2003" s="9">
        <v>8.5500000000000007E-2</v>
      </c>
      <c r="H2003" s="15">
        <f t="shared" si="65"/>
        <v>4900</v>
      </c>
    </row>
    <row r="2004" spans="1:8" x14ac:dyDescent="0.25">
      <c r="A2004" s="13">
        <v>45642</v>
      </c>
      <c r="B2004" s="15" t="s">
        <v>21</v>
      </c>
      <c r="C2004" s="3">
        <v>7</v>
      </c>
      <c r="D2004" s="13">
        <f t="shared" si="64"/>
        <v>45649</v>
      </c>
      <c r="E2004" s="15">
        <v>1000</v>
      </c>
      <c r="F2004" s="9">
        <v>8.5500000000000007E-2</v>
      </c>
      <c r="G2004" s="9">
        <v>8.5500000000000007E-2</v>
      </c>
      <c r="H2004" s="15">
        <f t="shared" si="65"/>
        <v>1600</v>
      </c>
    </row>
    <row r="2005" spans="1:8" x14ac:dyDescent="0.25">
      <c r="A2005" s="13">
        <v>45642</v>
      </c>
      <c r="B2005" s="15" t="s">
        <v>21</v>
      </c>
      <c r="C2005" s="3">
        <v>14</v>
      </c>
      <c r="D2005" s="13">
        <f t="shared" si="64"/>
        <v>45656</v>
      </c>
      <c r="E2005" s="15">
        <v>400</v>
      </c>
      <c r="F2005" s="9">
        <v>8.5500000000000007E-2</v>
      </c>
      <c r="G2005" s="9">
        <v>8.5500000000000007E-2</v>
      </c>
      <c r="H2005" s="15">
        <f t="shared" si="65"/>
        <v>1600</v>
      </c>
    </row>
    <row r="2006" spans="1:8" x14ac:dyDescent="0.25">
      <c r="A2006" s="13">
        <v>45643</v>
      </c>
      <c r="B2006" s="15" t="s">
        <v>21</v>
      </c>
      <c r="C2006" s="3">
        <v>13</v>
      </c>
      <c r="D2006" s="13">
        <f t="shared" si="64"/>
        <v>45656</v>
      </c>
      <c r="E2006" s="15">
        <v>400</v>
      </c>
      <c r="F2006" s="9">
        <v>8.5500000000000007E-2</v>
      </c>
      <c r="G2006" s="9">
        <v>8.5500000000000007E-2</v>
      </c>
      <c r="H2006" s="15">
        <f t="shared" si="65"/>
        <v>400</v>
      </c>
    </row>
    <row r="2007" spans="1:8" x14ac:dyDescent="0.25">
      <c r="A2007" s="13">
        <v>45643</v>
      </c>
      <c r="B2007" s="15" t="s">
        <v>21</v>
      </c>
      <c r="C2007" s="3">
        <v>1</v>
      </c>
      <c r="D2007" s="13">
        <f t="shared" si="64"/>
        <v>45644</v>
      </c>
      <c r="E2007" s="15">
        <v>-1600</v>
      </c>
      <c r="F2007" s="9">
        <v>8.6499999999999994E-2</v>
      </c>
      <c r="G2007" s="9">
        <v>8.7499999999999994E-2</v>
      </c>
      <c r="H2007" s="15">
        <f t="shared" si="65"/>
        <v>400</v>
      </c>
    </row>
    <row r="2008" spans="1:8" x14ac:dyDescent="0.25">
      <c r="A2008" s="13">
        <v>45644</v>
      </c>
      <c r="B2008" s="15" t="s">
        <v>21</v>
      </c>
      <c r="C2008" s="3">
        <v>1</v>
      </c>
      <c r="D2008" s="13">
        <f t="shared" si="64"/>
        <v>45645</v>
      </c>
      <c r="E2008" s="15">
        <v>-800</v>
      </c>
      <c r="F2008" s="9">
        <v>8.7499999999999994E-2</v>
      </c>
      <c r="G2008" s="9">
        <v>8.7499999999999994E-2</v>
      </c>
      <c r="H2008" s="15">
        <f t="shared" si="65"/>
        <v>1200</v>
      </c>
    </row>
    <row r="2009" spans="1:8" x14ac:dyDescent="0.25">
      <c r="A2009" s="13">
        <v>45645</v>
      </c>
      <c r="B2009" s="15" t="s">
        <v>21</v>
      </c>
      <c r="C2009" s="3">
        <v>1</v>
      </c>
      <c r="D2009" s="13">
        <f t="shared" si="64"/>
        <v>45646</v>
      </c>
      <c r="E2009" s="15">
        <v>-1000</v>
      </c>
      <c r="F2009" s="9">
        <v>8.7499999999999994E-2</v>
      </c>
      <c r="G2009" s="9">
        <v>8.7499999999999994E-2</v>
      </c>
      <c r="H2009" s="15">
        <f t="shared" si="65"/>
        <v>1000</v>
      </c>
    </row>
    <row r="2010" spans="1:8" x14ac:dyDescent="0.25">
      <c r="A2010" s="13">
        <v>45646</v>
      </c>
      <c r="B2010" s="15" t="s">
        <v>21</v>
      </c>
      <c r="C2010" s="3">
        <v>3</v>
      </c>
      <c r="D2010" s="13">
        <f t="shared" si="64"/>
        <v>45649</v>
      </c>
      <c r="E2010" s="15">
        <v>-1100</v>
      </c>
      <c r="F2010" s="9">
        <v>8.7499999999999994E-2</v>
      </c>
      <c r="G2010" s="9">
        <v>8.7499999999999994E-2</v>
      </c>
      <c r="H2010" s="15">
        <f t="shared" si="65"/>
        <v>900</v>
      </c>
    </row>
    <row r="2011" spans="1:8" x14ac:dyDescent="0.25">
      <c r="A2011" s="13">
        <v>45650</v>
      </c>
      <c r="B2011" s="15" t="s">
        <v>21</v>
      </c>
      <c r="C2011" s="3">
        <v>6</v>
      </c>
      <c r="D2011" s="13">
        <f t="shared" si="64"/>
        <v>45656</v>
      </c>
      <c r="E2011" s="15">
        <v>4000</v>
      </c>
      <c r="F2011" s="9">
        <v>8.7499999999999994E-2</v>
      </c>
      <c r="G2011" s="9">
        <v>8.7499999999999994E-2</v>
      </c>
      <c r="H2011" s="15">
        <f t="shared" si="65"/>
        <v>4800</v>
      </c>
    </row>
    <row r="2012" spans="1:8" x14ac:dyDescent="0.25">
      <c r="A2012" s="13">
        <v>45652</v>
      </c>
      <c r="B2012" s="15" t="s">
        <v>21</v>
      </c>
      <c r="C2012" s="3">
        <v>4</v>
      </c>
      <c r="D2012" s="13">
        <f t="shared" si="64"/>
        <v>45656</v>
      </c>
      <c r="E2012" s="15">
        <v>1400</v>
      </c>
      <c r="F2012" s="9">
        <v>8.7499999999999994E-2</v>
      </c>
      <c r="G2012" s="9">
        <v>8.7499999999999994E-2</v>
      </c>
      <c r="H2012" s="15">
        <f t="shared" si="65"/>
        <v>6200</v>
      </c>
    </row>
    <row r="2013" spans="1:8" x14ac:dyDescent="0.25">
      <c r="A2013" s="13">
        <v>45653</v>
      </c>
      <c r="B2013" s="15" t="s">
        <v>21</v>
      </c>
      <c r="C2013" s="3">
        <v>6</v>
      </c>
      <c r="D2013" s="13">
        <f t="shared" si="64"/>
        <v>45659</v>
      </c>
      <c r="E2013" s="15">
        <v>6440</v>
      </c>
      <c r="F2013" s="9">
        <v>8.6999999999999994E-2</v>
      </c>
      <c r="G2013" s="9">
        <v>8.7499999999999994E-2</v>
      </c>
      <c r="H2013" s="15">
        <f t="shared" si="65"/>
        <v>12940</v>
      </c>
    </row>
    <row r="2014" spans="1:8" x14ac:dyDescent="0.25">
      <c r="A2014" s="13">
        <v>45653</v>
      </c>
      <c r="B2014" s="15" t="s">
        <v>21</v>
      </c>
      <c r="C2014" s="3">
        <v>7</v>
      </c>
      <c r="D2014" s="13">
        <f t="shared" si="64"/>
        <v>45660</v>
      </c>
      <c r="E2014" s="15">
        <v>300</v>
      </c>
      <c r="F2014" s="9">
        <v>8.6999999999999994E-2</v>
      </c>
      <c r="G2014" s="9">
        <v>8.6999999999999994E-2</v>
      </c>
      <c r="H2014" s="15">
        <f t="shared" si="65"/>
        <v>12940</v>
      </c>
    </row>
    <row r="2015" spans="1:8" x14ac:dyDescent="0.25">
      <c r="A2015" s="13">
        <v>45656</v>
      </c>
      <c r="B2015" s="15" t="s">
        <v>21</v>
      </c>
      <c r="C2015" s="3">
        <v>8</v>
      </c>
      <c r="D2015" s="13">
        <f t="shared" si="64"/>
        <v>45664</v>
      </c>
      <c r="E2015" s="15">
        <v>1000</v>
      </c>
      <c r="F2015" s="9">
        <v>8.7499999999999994E-2</v>
      </c>
      <c r="G2015" s="9">
        <v>8.7499999999999994E-2</v>
      </c>
      <c r="H2015" s="15">
        <f t="shared" si="65"/>
        <v>9040</v>
      </c>
    </row>
    <row r="2016" spans="1:8" x14ac:dyDescent="0.25">
      <c r="A2016" s="13">
        <v>45656</v>
      </c>
      <c r="B2016" s="15" t="s">
        <v>21</v>
      </c>
      <c r="C2016" s="3">
        <v>3</v>
      </c>
      <c r="D2016" s="13">
        <f t="shared" si="64"/>
        <v>45659</v>
      </c>
      <c r="E2016" s="15">
        <v>200</v>
      </c>
      <c r="F2016" s="9">
        <v>8.7499999999999994E-2</v>
      </c>
      <c r="G2016" s="9">
        <v>8.7499999999999994E-2</v>
      </c>
      <c r="H2016" s="15">
        <f t="shared" si="65"/>
        <v>9040</v>
      </c>
    </row>
    <row r="2017" spans="1:8" x14ac:dyDescent="0.25">
      <c r="A2017" s="13">
        <v>45656</v>
      </c>
      <c r="B2017" s="15" t="s">
        <v>21</v>
      </c>
      <c r="C2017" s="3">
        <v>4</v>
      </c>
      <c r="D2017" s="13">
        <f t="shared" si="64"/>
        <v>45660</v>
      </c>
      <c r="E2017" s="15">
        <v>1100</v>
      </c>
      <c r="F2017" s="9">
        <v>8.7499999999999994E-2</v>
      </c>
      <c r="G2017" s="9">
        <v>8.7499999999999994E-2</v>
      </c>
      <c r="H2017" s="15">
        <f t="shared" si="65"/>
        <v>9040</v>
      </c>
    </row>
    <row r="2018" spans="1:8" x14ac:dyDescent="0.25">
      <c r="A2018" s="13">
        <v>45659</v>
      </c>
      <c r="B2018" s="15" t="s">
        <v>21</v>
      </c>
      <c r="C2018" s="3">
        <v>1</v>
      </c>
      <c r="D2018" s="13">
        <f t="shared" si="64"/>
        <v>45660</v>
      </c>
      <c r="E2018" s="15">
        <v>-2000</v>
      </c>
      <c r="F2018" s="9">
        <v>0.09</v>
      </c>
      <c r="G2018" s="9">
        <v>0.09</v>
      </c>
      <c r="H2018" s="15">
        <f t="shared" si="65"/>
        <v>400</v>
      </c>
    </row>
    <row r="2019" spans="1:8" x14ac:dyDescent="0.25">
      <c r="A2019" s="13">
        <v>45660</v>
      </c>
      <c r="B2019" s="15" t="s">
        <v>21</v>
      </c>
      <c r="C2019" s="3">
        <v>4</v>
      </c>
      <c r="D2019" s="13">
        <f t="shared" si="64"/>
        <v>45664</v>
      </c>
      <c r="E2019" s="15">
        <v>-2600</v>
      </c>
      <c r="F2019" s="9">
        <v>0.09</v>
      </c>
      <c r="G2019" s="9">
        <v>0.09</v>
      </c>
      <c r="H2019" s="15">
        <f t="shared" si="65"/>
        <v>-1600</v>
      </c>
    </row>
    <row r="2020" spans="1:8" x14ac:dyDescent="0.25">
      <c r="A2020" s="13">
        <v>45664</v>
      </c>
      <c r="B2020" s="15" t="s">
        <v>21</v>
      </c>
      <c r="C2020" s="3">
        <v>1</v>
      </c>
      <c r="D2020" s="13">
        <f t="shared" si="64"/>
        <v>45665</v>
      </c>
      <c r="E2020" s="15">
        <v>-400</v>
      </c>
      <c r="F2020" s="9">
        <v>0.09</v>
      </c>
      <c r="G2020" s="9">
        <v>0.09</v>
      </c>
      <c r="H2020" s="15">
        <f t="shared" si="65"/>
        <v>-400</v>
      </c>
    </row>
    <row r="2021" spans="1:8" x14ac:dyDescent="0.25">
      <c r="A2021" s="13">
        <v>45666</v>
      </c>
      <c r="B2021" s="15" t="s">
        <v>21</v>
      </c>
      <c r="C2021" s="3">
        <v>4</v>
      </c>
      <c r="D2021" s="13">
        <f t="shared" si="64"/>
        <v>45670</v>
      </c>
      <c r="E2021" s="15">
        <v>2200</v>
      </c>
      <c r="F2021" s="9">
        <v>8.7499999999999994E-2</v>
      </c>
      <c r="G2021" s="9">
        <v>8.7499999999999994E-2</v>
      </c>
      <c r="H2021" s="15">
        <f t="shared" si="65"/>
        <v>2200</v>
      </c>
    </row>
    <row r="2022" spans="1:8" x14ac:dyDescent="0.25">
      <c r="A2022" s="13">
        <v>45667</v>
      </c>
      <c r="B2022" s="15" t="s">
        <v>21</v>
      </c>
      <c r="C2022" s="3">
        <v>5</v>
      </c>
      <c r="D2022" s="13">
        <f t="shared" si="64"/>
        <v>45672</v>
      </c>
      <c r="E2022" s="15">
        <v>1600</v>
      </c>
      <c r="F2022" s="9">
        <v>8.7499999999999994E-2</v>
      </c>
      <c r="G2022" s="9">
        <v>8.7499999999999994E-2</v>
      </c>
      <c r="H2022" s="15">
        <f t="shared" si="65"/>
        <v>3800</v>
      </c>
    </row>
    <row r="2023" spans="1:8" x14ac:dyDescent="0.25">
      <c r="A2023" s="13">
        <v>45670</v>
      </c>
      <c r="B2023" s="15" t="s">
        <v>21</v>
      </c>
      <c r="C2023" s="3">
        <v>1</v>
      </c>
      <c r="D2023" s="13">
        <f t="shared" si="64"/>
        <v>45671</v>
      </c>
      <c r="E2023" s="15">
        <v>200</v>
      </c>
      <c r="F2023" s="9">
        <v>8.7499999999999994E-2</v>
      </c>
      <c r="G2023" s="9">
        <v>8.7499999999999994E-2</v>
      </c>
      <c r="H2023" s="15">
        <f t="shared" si="65"/>
        <v>6400</v>
      </c>
    </row>
    <row r="2024" spans="1:8" x14ac:dyDescent="0.25">
      <c r="A2024" s="13">
        <v>45670</v>
      </c>
      <c r="B2024" s="15" t="s">
        <v>21</v>
      </c>
      <c r="C2024" s="3">
        <v>2</v>
      </c>
      <c r="D2024" s="13">
        <f t="shared" si="64"/>
        <v>45672</v>
      </c>
      <c r="E2024" s="15">
        <v>2600</v>
      </c>
      <c r="F2024" s="9">
        <v>8.7499999999999994E-2</v>
      </c>
      <c r="G2024" s="9">
        <v>8.7499999999999994E-2</v>
      </c>
      <c r="H2024" s="15">
        <f t="shared" si="65"/>
        <v>6400</v>
      </c>
    </row>
    <row r="2025" spans="1:8" x14ac:dyDescent="0.25">
      <c r="A2025" s="13">
        <v>45670</v>
      </c>
      <c r="B2025" s="15" t="s">
        <v>21</v>
      </c>
      <c r="C2025" s="3">
        <v>7</v>
      </c>
      <c r="D2025" s="13">
        <f t="shared" si="64"/>
        <v>45677</v>
      </c>
      <c r="E2025" s="15">
        <v>2000</v>
      </c>
      <c r="F2025" s="9">
        <v>8.7499999999999994E-2</v>
      </c>
      <c r="G2025" s="9">
        <v>8.7499999999999994E-2</v>
      </c>
      <c r="H2025" s="15">
        <f t="shared" si="65"/>
        <v>6400</v>
      </c>
    </row>
    <row r="2026" spans="1:8" x14ac:dyDescent="0.25">
      <c r="A2026" s="13">
        <v>45671</v>
      </c>
      <c r="B2026" s="15" t="s">
        <v>21</v>
      </c>
      <c r="C2026" s="3">
        <v>1</v>
      </c>
      <c r="D2026" s="13">
        <f t="shared" si="64"/>
        <v>45672</v>
      </c>
      <c r="E2026" s="15">
        <v>400</v>
      </c>
      <c r="F2026" s="9">
        <v>8.7499999999999994E-2</v>
      </c>
      <c r="G2026" s="9">
        <v>8.7499999999999994E-2</v>
      </c>
      <c r="H2026" s="15">
        <f t="shared" si="65"/>
        <v>7200</v>
      </c>
    </row>
    <row r="2027" spans="1:8" x14ac:dyDescent="0.25">
      <c r="A2027" s="13">
        <v>45671</v>
      </c>
      <c r="B2027" s="15" t="s">
        <v>21</v>
      </c>
      <c r="C2027" s="3">
        <v>3</v>
      </c>
      <c r="D2027" s="13">
        <f t="shared" si="64"/>
        <v>45674</v>
      </c>
      <c r="E2027" s="15">
        <v>600</v>
      </c>
      <c r="F2027" s="9">
        <v>8.7499999999999994E-2</v>
      </c>
      <c r="G2027" s="9">
        <v>8.7499999999999994E-2</v>
      </c>
      <c r="H2027" s="15">
        <f t="shared" si="65"/>
        <v>7200</v>
      </c>
    </row>
    <row r="2028" spans="1:8" x14ac:dyDescent="0.25">
      <c r="A2028" s="13">
        <v>45672</v>
      </c>
      <c r="B2028" s="15" t="s">
        <v>21</v>
      </c>
      <c r="C2028" s="3">
        <v>2</v>
      </c>
      <c r="D2028" s="13">
        <f t="shared" si="64"/>
        <v>45674</v>
      </c>
      <c r="E2028" s="15">
        <v>6500</v>
      </c>
      <c r="F2028" s="9">
        <v>8.7499999999999994E-2</v>
      </c>
      <c r="G2028" s="9">
        <v>8.7499999999999994E-2</v>
      </c>
      <c r="H2028" s="15">
        <f t="shared" si="65"/>
        <v>11100</v>
      </c>
    </row>
    <row r="2029" spans="1:8" x14ac:dyDescent="0.25">
      <c r="A2029" s="13">
        <v>45672</v>
      </c>
      <c r="B2029" s="15" t="s">
        <v>21</v>
      </c>
      <c r="C2029" s="3">
        <v>5</v>
      </c>
      <c r="D2029" s="13">
        <f t="shared" si="64"/>
        <v>45677</v>
      </c>
      <c r="E2029" s="15">
        <v>2000</v>
      </c>
      <c r="F2029" s="9">
        <v>8.7499999999999994E-2</v>
      </c>
      <c r="G2029" s="9">
        <v>8.7499999999999994E-2</v>
      </c>
      <c r="H2029" s="15">
        <f t="shared" si="65"/>
        <v>11100</v>
      </c>
    </row>
    <row r="2030" spans="1:8" x14ac:dyDescent="0.25">
      <c r="A2030" s="13">
        <v>45673</v>
      </c>
      <c r="B2030" s="15" t="s">
        <v>21</v>
      </c>
      <c r="C2030" s="3">
        <v>4</v>
      </c>
      <c r="D2030" s="13">
        <f t="shared" si="64"/>
        <v>45677</v>
      </c>
      <c r="E2030" s="15">
        <v>2600</v>
      </c>
      <c r="F2030" s="9">
        <v>8.7499999999999994E-2</v>
      </c>
      <c r="G2030" s="9">
        <v>8.7499999999999994E-2</v>
      </c>
      <c r="H2030" s="15">
        <f t="shared" si="65"/>
        <v>13700</v>
      </c>
    </row>
    <row r="2031" spans="1:8" x14ac:dyDescent="0.25">
      <c r="A2031" s="13">
        <v>45674</v>
      </c>
      <c r="B2031" s="15" t="s">
        <v>21</v>
      </c>
      <c r="C2031" s="3">
        <v>4</v>
      </c>
      <c r="D2031" s="13">
        <f t="shared" si="64"/>
        <v>45678</v>
      </c>
      <c r="E2031" s="15">
        <v>3800</v>
      </c>
      <c r="F2031" s="9">
        <v>8.7499999999999994E-2</v>
      </c>
      <c r="G2031" s="9">
        <v>8.7499999999999994E-2</v>
      </c>
      <c r="H2031" s="15">
        <f t="shared" si="65"/>
        <v>11000</v>
      </c>
    </row>
    <row r="2032" spans="1:8" x14ac:dyDescent="0.25">
      <c r="A2032" s="13">
        <v>45674</v>
      </c>
      <c r="B2032" s="15" t="s">
        <v>21</v>
      </c>
      <c r="C2032" s="3">
        <v>5</v>
      </c>
      <c r="D2032" s="13">
        <f t="shared" si="64"/>
        <v>45679</v>
      </c>
      <c r="E2032" s="15">
        <v>600</v>
      </c>
      <c r="F2032" s="9">
        <v>8.7499999999999994E-2</v>
      </c>
      <c r="G2032" s="9">
        <v>8.7499999999999994E-2</v>
      </c>
      <c r="H2032" s="15">
        <f t="shared" si="65"/>
        <v>11000</v>
      </c>
    </row>
    <row r="2033" spans="1:8" x14ac:dyDescent="0.25">
      <c r="A2033" s="13">
        <v>45677</v>
      </c>
      <c r="B2033" s="15" t="s">
        <v>21</v>
      </c>
      <c r="C2033" s="3">
        <v>2</v>
      </c>
      <c r="D2033" s="13">
        <f t="shared" si="64"/>
        <v>45679</v>
      </c>
      <c r="E2033" s="15">
        <v>7800</v>
      </c>
      <c r="F2033" s="9">
        <v>8.7499999999999994E-2</v>
      </c>
      <c r="G2033" s="9">
        <v>8.7499999999999994E-2</v>
      </c>
      <c r="H2033" s="15">
        <f t="shared" si="65"/>
        <v>15800</v>
      </c>
    </row>
    <row r="2034" spans="1:8" x14ac:dyDescent="0.25">
      <c r="A2034" s="13">
        <v>45677</v>
      </c>
      <c r="B2034" s="15" t="s">
        <v>21</v>
      </c>
      <c r="C2034" s="3">
        <v>3</v>
      </c>
      <c r="D2034" s="13">
        <f t="shared" si="64"/>
        <v>45680</v>
      </c>
      <c r="E2034" s="15">
        <v>1600</v>
      </c>
      <c r="F2034" s="9">
        <v>8.7499999999999994E-2</v>
      </c>
      <c r="G2034" s="9">
        <v>8.7499999999999994E-2</v>
      </c>
      <c r="H2034" s="15">
        <f t="shared" si="65"/>
        <v>15800</v>
      </c>
    </row>
    <row r="2035" spans="1:8" x14ac:dyDescent="0.25">
      <c r="A2035" s="13">
        <v>45677</v>
      </c>
      <c r="B2035" s="15" t="s">
        <v>21</v>
      </c>
      <c r="C2035" s="3">
        <v>7</v>
      </c>
      <c r="D2035" s="13">
        <f t="shared" si="64"/>
        <v>45684</v>
      </c>
      <c r="E2035" s="15">
        <v>2000</v>
      </c>
      <c r="F2035" s="9">
        <v>8.7499999999999994E-2</v>
      </c>
      <c r="G2035" s="9">
        <v>8.7499999999999994E-2</v>
      </c>
      <c r="H2035" s="15">
        <f t="shared" si="65"/>
        <v>15800</v>
      </c>
    </row>
    <row r="2036" spans="1:8" x14ac:dyDescent="0.25">
      <c r="A2036" s="13">
        <v>45678</v>
      </c>
      <c r="B2036" s="15" t="s">
        <v>21</v>
      </c>
      <c r="C2036" s="3">
        <v>2</v>
      </c>
      <c r="D2036" s="13">
        <f t="shared" si="64"/>
        <v>45680</v>
      </c>
      <c r="E2036" s="15">
        <v>6000</v>
      </c>
      <c r="F2036" s="9">
        <v>8.7499999999999994E-2</v>
      </c>
      <c r="G2036" s="9">
        <v>8.7499999999999994E-2</v>
      </c>
      <c r="H2036" s="15">
        <f t="shared" si="65"/>
        <v>18000</v>
      </c>
    </row>
    <row r="2037" spans="1:8" x14ac:dyDescent="0.25">
      <c r="A2037" s="13">
        <v>45679</v>
      </c>
      <c r="B2037" s="15" t="s">
        <v>21</v>
      </c>
      <c r="C2037" s="3">
        <v>2</v>
      </c>
      <c r="D2037" s="13">
        <f t="shared" si="64"/>
        <v>45681</v>
      </c>
      <c r="E2037" s="15">
        <v>2100</v>
      </c>
      <c r="F2037" s="9">
        <v>8.7499999999999994E-2</v>
      </c>
      <c r="G2037" s="9">
        <v>8.7499999999999994E-2</v>
      </c>
      <c r="H2037" s="15">
        <f t="shared" si="65"/>
        <v>11700</v>
      </c>
    </row>
    <row r="2038" spans="1:8" x14ac:dyDescent="0.25">
      <c r="A2038" s="13">
        <v>45680</v>
      </c>
      <c r="B2038" s="15" t="s">
        <v>21</v>
      </c>
      <c r="C2038" s="3">
        <v>4</v>
      </c>
      <c r="D2038" s="13">
        <f t="shared" si="64"/>
        <v>45684</v>
      </c>
      <c r="E2038" s="15">
        <v>4050</v>
      </c>
      <c r="F2038" s="9">
        <v>8.7499999999999994E-2</v>
      </c>
      <c r="G2038" s="9">
        <v>8.7499999999999994E-2</v>
      </c>
      <c r="H2038" s="15">
        <f t="shared" si="65"/>
        <v>9150</v>
      </c>
    </row>
    <row r="2039" spans="1:8" x14ac:dyDescent="0.25">
      <c r="A2039" s="13">
        <v>45680</v>
      </c>
      <c r="B2039" s="15" t="s">
        <v>21</v>
      </c>
      <c r="C2039" s="3">
        <v>8</v>
      </c>
      <c r="D2039" s="13">
        <f t="shared" si="64"/>
        <v>45688</v>
      </c>
      <c r="E2039" s="15">
        <v>1000</v>
      </c>
      <c r="F2039" s="9">
        <v>8.7499999999999994E-2</v>
      </c>
      <c r="G2039" s="9">
        <v>8.7499999999999994E-2</v>
      </c>
      <c r="H2039" s="15">
        <f t="shared" si="65"/>
        <v>9150</v>
      </c>
    </row>
    <row r="2040" spans="1:8" x14ac:dyDescent="0.25">
      <c r="A2040" s="13">
        <v>45681</v>
      </c>
      <c r="B2040" s="15" t="s">
        <v>21</v>
      </c>
      <c r="C2040" s="3">
        <v>5</v>
      </c>
      <c r="D2040" s="13">
        <f t="shared" si="64"/>
        <v>45686</v>
      </c>
      <c r="E2040" s="15">
        <v>5000</v>
      </c>
      <c r="F2040" s="9">
        <v>8.7499999999999994E-2</v>
      </c>
      <c r="G2040" s="9">
        <v>8.7499999999999994E-2</v>
      </c>
      <c r="H2040" s="15">
        <f t="shared" si="65"/>
        <v>12050</v>
      </c>
    </row>
    <row r="2041" spans="1:8" x14ac:dyDescent="0.25">
      <c r="A2041" s="13">
        <v>45684</v>
      </c>
      <c r="B2041" s="15" t="s">
        <v>21</v>
      </c>
      <c r="C2041" s="3">
        <v>2</v>
      </c>
      <c r="D2041" s="13">
        <f t="shared" si="64"/>
        <v>45686</v>
      </c>
      <c r="E2041" s="15">
        <v>800</v>
      </c>
      <c r="F2041" s="9">
        <v>8.7499999999999994E-2</v>
      </c>
      <c r="G2041" s="9">
        <v>8.7499999999999994E-2</v>
      </c>
      <c r="H2041" s="15">
        <f t="shared" si="65"/>
        <v>6800</v>
      </c>
    </row>
    <row r="2042" spans="1:8" x14ac:dyDescent="0.25">
      <c r="A2042" s="13">
        <v>45685</v>
      </c>
      <c r="B2042" s="15" t="s">
        <v>21</v>
      </c>
      <c r="C2042" s="3">
        <v>2</v>
      </c>
      <c r="D2042" s="13">
        <f t="shared" si="64"/>
        <v>45687</v>
      </c>
      <c r="E2042" s="15">
        <v>4200</v>
      </c>
      <c r="F2042" s="9">
        <v>8.7499999999999994E-2</v>
      </c>
      <c r="G2042" s="9">
        <v>8.7499999999999994E-2</v>
      </c>
      <c r="H2042" s="15">
        <f t="shared" si="65"/>
        <v>11000</v>
      </c>
    </row>
    <row r="2043" spans="1:8" x14ac:dyDescent="0.25">
      <c r="A2043" s="13">
        <v>45686</v>
      </c>
      <c r="B2043" s="15" t="s">
        <v>21</v>
      </c>
      <c r="C2043" s="3">
        <v>2</v>
      </c>
      <c r="D2043" s="13">
        <f t="shared" si="64"/>
        <v>45688</v>
      </c>
      <c r="E2043" s="15">
        <v>5200</v>
      </c>
      <c r="F2043" s="9">
        <v>8.7499999999999994E-2</v>
      </c>
      <c r="G2043" s="9">
        <v>8.7499999999999994E-2</v>
      </c>
      <c r="H2043" s="15">
        <f t="shared" si="65"/>
        <v>10400</v>
      </c>
    </row>
    <row r="2044" spans="1:8" x14ac:dyDescent="0.25">
      <c r="A2044" s="13">
        <v>45687</v>
      </c>
      <c r="B2044" s="15" t="s">
        <v>21</v>
      </c>
      <c r="C2044" s="3">
        <v>4</v>
      </c>
      <c r="D2044" s="13">
        <f t="shared" si="64"/>
        <v>45691</v>
      </c>
      <c r="E2044" s="15">
        <v>3400</v>
      </c>
      <c r="F2044" s="9">
        <v>8.7499999999999994E-2</v>
      </c>
      <c r="G2044" s="9">
        <v>8.7499999999999994E-2</v>
      </c>
      <c r="H2044" s="15">
        <f t="shared" si="65"/>
        <v>9600</v>
      </c>
    </row>
    <row r="2045" spans="1:8" x14ac:dyDescent="0.25">
      <c r="A2045" s="13">
        <v>45688</v>
      </c>
      <c r="B2045" s="15" t="s">
        <v>21</v>
      </c>
      <c r="C2045" s="3">
        <v>3</v>
      </c>
      <c r="D2045" s="13">
        <f t="shared" si="64"/>
        <v>45691</v>
      </c>
      <c r="E2045" s="15">
        <v>-3000</v>
      </c>
      <c r="F2045" s="9">
        <v>0.09</v>
      </c>
      <c r="G2045" s="9">
        <v>0.09</v>
      </c>
      <c r="H2045" s="15">
        <f t="shared" si="65"/>
        <v>400</v>
      </c>
    </row>
    <row r="2046" spans="1:8" x14ac:dyDescent="0.25">
      <c r="A2046" s="13">
        <v>45698</v>
      </c>
      <c r="B2046" s="15" t="s">
        <v>21</v>
      </c>
      <c r="C2046" s="3">
        <v>4</v>
      </c>
      <c r="D2046" s="13">
        <f t="shared" si="64"/>
        <v>45702</v>
      </c>
      <c r="E2046" s="15">
        <v>3300</v>
      </c>
      <c r="F2046" s="9">
        <v>8.7499999999999994E-2</v>
      </c>
      <c r="G2046" s="9">
        <v>8.7499999999999994E-2</v>
      </c>
      <c r="H2046" s="15">
        <f t="shared" si="65"/>
        <v>3700</v>
      </c>
    </row>
    <row r="2047" spans="1:8" x14ac:dyDescent="0.25">
      <c r="A2047" s="13">
        <v>45698</v>
      </c>
      <c r="B2047" s="15" t="s">
        <v>21</v>
      </c>
      <c r="C2047" s="3">
        <v>2</v>
      </c>
      <c r="D2047" s="13">
        <f t="shared" si="64"/>
        <v>45700</v>
      </c>
      <c r="E2047" s="15">
        <v>100</v>
      </c>
      <c r="F2047" s="9">
        <v>8.7499999999999994E-2</v>
      </c>
      <c r="G2047" s="9">
        <v>8.7499999999999994E-2</v>
      </c>
      <c r="H2047" s="15">
        <f t="shared" si="65"/>
        <v>3700</v>
      </c>
    </row>
    <row r="2048" spans="1:8" x14ac:dyDescent="0.25">
      <c r="A2048" s="13">
        <v>45698</v>
      </c>
      <c r="B2048" s="15" t="s">
        <v>21</v>
      </c>
      <c r="C2048" s="3">
        <v>3</v>
      </c>
      <c r="D2048" s="13">
        <f t="shared" si="64"/>
        <v>45701</v>
      </c>
      <c r="E2048" s="15">
        <v>300</v>
      </c>
      <c r="F2048" s="9">
        <v>8.7499999999999994E-2</v>
      </c>
      <c r="G2048" s="9">
        <v>8.7499999999999994E-2</v>
      </c>
      <c r="H2048" s="15">
        <f t="shared" si="65"/>
        <v>3700</v>
      </c>
    </row>
    <row r="2049" spans="1:8" x14ac:dyDescent="0.25">
      <c r="A2049" s="13">
        <v>45699</v>
      </c>
      <c r="B2049" s="15" t="s">
        <v>21</v>
      </c>
      <c r="C2049" s="3">
        <v>2</v>
      </c>
      <c r="D2049" s="13">
        <f t="shared" si="64"/>
        <v>45701</v>
      </c>
      <c r="E2049" s="15">
        <v>3700</v>
      </c>
      <c r="F2049" s="9">
        <v>8.7499999999999994E-2</v>
      </c>
      <c r="G2049" s="9">
        <v>8.7499999999999994E-2</v>
      </c>
      <c r="H2049" s="15">
        <f t="shared" si="65"/>
        <v>9000</v>
      </c>
    </row>
    <row r="2050" spans="1:8" x14ac:dyDescent="0.25">
      <c r="A2050" s="13">
        <v>45699</v>
      </c>
      <c r="B2050" s="15" t="s">
        <v>21</v>
      </c>
      <c r="C2050" s="3">
        <v>3</v>
      </c>
      <c r="D2050" s="13">
        <f t="shared" si="64"/>
        <v>45702</v>
      </c>
      <c r="E2050" s="15">
        <v>1600</v>
      </c>
      <c r="F2050" s="9">
        <v>8.7499999999999994E-2</v>
      </c>
      <c r="G2050" s="9">
        <v>8.7499999999999994E-2</v>
      </c>
      <c r="H2050" s="15">
        <f t="shared" si="65"/>
        <v>9000</v>
      </c>
    </row>
    <row r="2051" spans="1:8" x14ac:dyDescent="0.25">
      <c r="A2051" s="13">
        <v>45700</v>
      </c>
      <c r="B2051" s="15" t="s">
        <v>21</v>
      </c>
      <c r="C2051" s="3">
        <v>2</v>
      </c>
      <c r="D2051" s="13">
        <f t="shared" si="64"/>
        <v>45702</v>
      </c>
      <c r="E2051" s="15">
        <v>4600</v>
      </c>
      <c r="F2051" s="9">
        <v>8.7499999999999994E-2</v>
      </c>
      <c r="G2051" s="9">
        <v>8.7499999999999994E-2</v>
      </c>
      <c r="H2051" s="15">
        <f t="shared" si="65"/>
        <v>13800</v>
      </c>
    </row>
    <row r="2052" spans="1:8" x14ac:dyDescent="0.25">
      <c r="A2052" s="13">
        <v>45700</v>
      </c>
      <c r="B2052" s="15" t="s">
        <v>21</v>
      </c>
      <c r="C2052" s="3">
        <v>5</v>
      </c>
      <c r="D2052" s="13">
        <f t="shared" si="64"/>
        <v>45705</v>
      </c>
      <c r="E2052" s="15">
        <v>300</v>
      </c>
      <c r="F2052" s="9">
        <v>8.7499999999999994E-2</v>
      </c>
      <c r="G2052" s="9">
        <v>8.7499999999999994E-2</v>
      </c>
      <c r="H2052" s="15">
        <f t="shared" si="65"/>
        <v>13800</v>
      </c>
    </row>
    <row r="2053" spans="1:8" x14ac:dyDescent="0.25">
      <c r="A2053" s="13">
        <v>45701</v>
      </c>
      <c r="B2053" s="15" t="s">
        <v>21</v>
      </c>
      <c r="C2053" s="3">
        <v>1</v>
      </c>
      <c r="D2053" s="13">
        <f t="shared" si="64"/>
        <v>45702</v>
      </c>
      <c r="E2053" s="15">
        <v>700</v>
      </c>
      <c r="F2053" s="9">
        <v>8.6499999999999994E-2</v>
      </c>
      <c r="G2053" s="9">
        <v>8.6999999999999994E-2</v>
      </c>
      <c r="H2053" s="15">
        <f t="shared" si="65"/>
        <v>10700</v>
      </c>
    </row>
    <row r="2054" spans="1:8" x14ac:dyDescent="0.25">
      <c r="A2054" s="13">
        <v>45701</v>
      </c>
      <c r="B2054" s="15" t="s">
        <v>21</v>
      </c>
      <c r="C2054" s="3">
        <v>4</v>
      </c>
      <c r="D2054" s="13">
        <f t="shared" si="64"/>
        <v>45705</v>
      </c>
      <c r="E2054" s="15">
        <v>200</v>
      </c>
      <c r="F2054" s="9">
        <v>8.8499999999999995E-2</v>
      </c>
      <c r="G2054" s="9">
        <v>8.8499999999999995E-2</v>
      </c>
      <c r="H2054" s="15">
        <f t="shared" si="65"/>
        <v>10700</v>
      </c>
    </row>
    <row r="2055" spans="1:8" x14ac:dyDescent="0.25">
      <c r="A2055" s="13">
        <v>45702</v>
      </c>
      <c r="B2055" s="15" t="s">
        <v>21</v>
      </c>
      <c r="C2055" s="3">
        <v>4</v>
      </c>
      <c r="D2055" s="13">
        <f t="shared" si="64"/>
        <v>45706</v>
      </c>
      <c r="E2055" s="15">
        <v>2100</v>
      </c>
      <c r="F2055" s="9">
        <v>0.09</v>
      </c>
      <c r="G2055" s="9">
        <v>0.09</v>
      </c>
      <c r="H2055" s="15">
        <f t="shared" si="65"/>
        <v>20000</v>
      </c>
    </row>
    <row r="2056" spans="1:8" x14ac:dyDescent="0.25">
      <c r="A2056" s="13">
        <v>45702</v>
      </c>
      <c r="B2056" s="15" t="s">
        <v>21</v>
      </c>
      <c r="C2056" s="3">
        <v>5</v>
      </c>
      <c r="D2056" s="13">
        <f t="shared" si="64"/>
        <v>45707</v>
      </c>
      <c r="E2056" s="15">
        <v>7600</v>
      </c>
      <c r="F2056" s="9">
        <v>0.09</v>
      </c>
      <c r="G2056" s="9">
        <v>0.09</v>
      </c>
      <c r="H2056" s="15">
        <f t="shared" si="65"/>
        <v>20000</v>
      </c>
    </row>
    <row r="2057" spans="1:8" x14ac:dyDescent="0.25">
      <c r="A2057" s="13">
        <v>45702</v>
      </c>
      <c r="B2057" s="15" t="s">
        <v>21</v>
      </c>
      <c r="C2057" s="3">
        <v>6</v>
      </c>
      <c r="D2057" s="13">
        <f t="shared" si="64"/>
        <v>45708</v>
      </c>
      <c r="E2057" s="15">
        <v>4700</v>
      </c>
      <c r="F2057" s="9">
        <v>0.09</v>
      </c>
      <c r="G2057" s="9">
        <v>0.09</v>
      </c>
      <c r="H2057" s="15">
        <f t="shared" si="65"/>
        <v>20000</v>
      </c>
    </row>
    <row r="2058" spans="1:8" x14ac:dyDescent="0.25">
      <c r="A2058" s="13">
        <v>45702</v>
      </c>
      <c r="B2058" s="15" t="s">
        <v>21</v>
      </c>
      <c r="C2058" s="3">
        <v>7</v>
      </c>
      <c r="D2058" s="13">
        <f t="shared" si="64"/>
        <v>45709</v>
      </c>
      <c r="E2058" s="15">
        <v>3700</v>
      </c>
      <c r="F2058" s="9">
        <v>0.09</v>
      </c>
      <c r="G2058" s="9">
        <v>0.09</v>
      </c>
      <c r="H2058" s="15">
        <f t="shared" ref="H2058:H2121" si="66">+SUMIFS($E$10:$E$4503,$A$10:$A$4503,"&lt;="&amp;A2058,$D$10:$D$4503,"&gt;"&amp;A2058)</f>
        <v>20000</v>
      </c>
    </row>
    <row r="2059" spans="1:8" x14ac:dyDescent="0.25">
      <c r="A2059" s="13">
        <v>45702</v>
      </c>
      <c r="B2059" s="15" t="s">
        <v>21</v>
      </c>
      <c r="C2059" s="3">
        <v>3</v>
      </c>
      <c r="D2059" s="13">
        <f t="shared" si="64"/>
        <v>45705</v>
      </c>
      <c r="E2059" s="15">
        <v>400</v>
      </c>
      <c r="F2059" s="9">
        <v>8.6999999999999994E-2</v>
      </c>
      <c r="G2059" s="9">
        <v>0.09</v>
      </c>
      <c r="H2059" s="15">
        <f t="shared" si="66"/>
        <v>20000</v>
      </c>
    </row>
    <row r="2060" spans="1:8" x14ac:dyDescent="0.25">
      <c r="A2060" s="13">
        <v>45702</v>
      </c>
      <c r="B2060" s="15" t="s">
        <v>21</v>
      </c>
      <c r="C2060" s="3">
        <v>10</v>
      </c>
      <c r="D2060" s="13">
        <f t="shared" si="64"/>
        <v>45712</v>
      </c>
      <c r="E2060" s="15">
        <v>1000</v>
      </c>
      <c r="F2060" s="9">
        <v>0.09</v>
      </c>
      <c r="G2060" s="9">
        <v>0.09</v>
      </c>
      <c r="H2060" s="15">
        <f t="shared" si="66"/>
        <v>20000</v>
      </c>
    </row>
    <row r="2061" spans="1:8" x14ac:dyDescent="0.25">
      <c r="A2061" s="13">
        <v>45705</v>
      </c>
      <c r="B2061" s="15" t="s">
        <v>21</v>
      </c>
      <c r="C2061" s="3">
        <v>2</v>
      </c>
      <c r="D2061" s="13">
        <f t="shared" si="64"/>
        <v>45707</v>
      </c>
      <c r="E2061" s="15">
        <v>1400</v>
      </c>
      <c r="F2061" s="9">
        <v>0.09</v>
      </c>
      <c r="G2061" s="9">
        <v>0.09</v>
      </c>
      <c r="H2061" s="15">
        <f t="shared" si="66"/>
        <v>21700</v>
      </c>
    </row>
    <row r="2062" spans="1:8" x14ac:dyDescent="0.25">
      <c r="A2062" s="13">
        <v>45705</v>
      </c>
      <c r="B2062" s="15" t="s">
        <v>21</v>
      </c>
      <c r="C2062" s="3">
        <v>3</v>
      </c>
      <c r="D2062" s="13">
        <f t="shared" si="64"/>
        <v>45708</v>
      </c>
      <c r="E2062" s="15">
        <v>500</v>
      </c>
      <c r="F2062" s="9">
        <v>0.09</v>
      </c>
      <c r="G2062" s="9">
        <v>0.09</v>
      </c>
      <c r="H2062" s="15">
        <f t="shared" si="66"/>
        <v>21700</v>
      </c>
    </row>
    <row r="2063" spans="1:8" x14ac:dyDescent="0.25">
      <c r="A2063" s="13">
        <v>45705</v>
      </c>
      <c r="B2063" s="15" t="s">
        <v>21</v>
      </c>
      <c r="C2063" s="3">
        <v>4</v>
      </c>
      <c r="D2063" s="13">
        <f t="shared" si="64"/>
        <v>45709</v>
      </c>
      <c r="E2063" s="15">
        <v>500</v>
      </c>
      <c r="F2063" s="9">
        <v>0.09</v>
      </c>
      <c r="G2063" s="9">
        <v>0.09</v>
      </c>
      <c r="H2063" s="15">
        <f t="shared" si="66"/>
        <v>21700</v>
      </c>
    </row>
    <row r="2064" spans="1:8" x14ac:dyDescent="0.25">
      <c r="A2064" s="13">
        <v>45705</v>
      </c>
      <c r="B2064" s="15" t="s">
        <v>21</v>
      </c>
      <c r="C2064" s="3">
        <v>7</v>
      </c>
      <c r="D2064" s="13">
        <f t="shared" si="64"/>
        <v>45712</v>
      </c>
      <c r="E2064" s="15">
        <v>200</v>
      </c>
      <c r="F2064" s="9">
        <v>0.09</v>
      </c>
      <c r="G2064" s="9">
        <v>0.09</v>
      </c>
      <c r="H2064" s="15">
        <f t="shared" si="66"/>
        <v>21700</v>
      </c>
    </row>
    <row r="2065" spans="1:8" x14ac:dyDescent="0.25">
      <c r="A2065" s="13">
        <v>45706</v>
      </c>
      <c r="B2065" s="15" t="s">
        <v>21</v>
      </c>
      <c r="C2065" s="3">
        <v>2</v>
      </c>
      <c r="D2065" s="13">
        <f t="shared" si="64"/>
        <v>45708</v>
      </c>
      <c r="E2065" s="15">
        <v>300</v>
      </c>
      <c r="F2065" s="9">
        <v>0.09</v>
      </c>
      <c r="G2065" s="9">
        <v>0.09</v>
      </c>
      <c r="H2065" s="15">
        <f t="shared" si="66"/>
        <v>22200</v>
      </c>
    </row>
    <row r="2066" spans="1:8" x14ac:dyDescent="0.25">
      <c r="A2066" s="13">
        <v>45706</v>
      </c>
      <c r="B2066" s="15" t="s">
        <v>21</v>
      </c>
      <c r="C2066" s="3">
        <v>3</v>
      </c>
      <c r="D2066" s="13">
        <f t="shared" si="64"/>
        <v>45709</v>
      </c>
      <c r="E2066" s="15">
        <v>500</v>
      </c>
      <c r="F2066" s="9">
        <v>0.09</v>
      </c>
      <c r="G2066" s="9">
        <v>0.09</v>
      </c>
      <c r="H2066" s="15">
        <f t="shared" si="66"/>
        <v>22200</v>
      </c>
    </row>
    <row r="2067" spans="1:8" x14ac:dyDescent="0.25">
      <c r="A2067" s="13">
        <v>45706</v>
      </c>
      <c r="B2067" s="15" t="s">
        <v>21</v>
      </c>
      <c r="C2067" s="3">
        <v>6</v>
      </c>
      <c r="D2067" s="13">
        <f t="shared" si="64"/>
        <v>45712</v>
      </c>
      <c r="E2067" s="15">
        <v>1500</v>
      </c>
      <c r="F2067" s="9">
        <v>0.09</v>
      </c>
      <c r="G2067" s="9">
        <v>0.09</v>
      </c>
      <c r="H2067" s="15">
        <f t="shared" si="66"/>
        <v>22200</v>
      </c>
    </row>
    <row r="2068" spans="1:8" x14ac:dyDescent="0.25">
      <c r="A2068" s="13">
        <v>45706</v>
      </c>
      <c r="B2068" s="15" t="s">
        <v>21</v>
      </c>
      <c r="C2068" s="3">
        <v>1</v>
      </c>
      <c r="D2068" s="13">
        <f t="shared" si="64"/>
        <v>45707</v>
      </c>
      <c r="E2068" s="15">
        <v>800</v>
      </c>
      <c r="F2068" s="9">
        <v>8.7499999999999994E-2</v>
      </c>
      <c r="G2068" s="9">
        <v>0.09</v>
      </c>
      <c r="H2068" s="15">
        <f t="shared" si="66"/>
        <v>22200</v>
      </c>
    </row>
    <row r="2069" spans="1:8" x14ac:dyDescent="0.25">
      <c r="A2069" s="13">
        <v>45706</v>
      </c>
      <c r="B2069" s="15" t="s">
        <v>21</v>
      </c>
      <c r="C2069" s="3">
        <v>1</v>
      </c>
      <c r="D2069" s="13">
        <f t="shared" si="64"/>
        <v>45707</v>
      </c>
      <c r="E2069" s="15">
        <v>-500</v>
      </c>
      <c r="F2069" s="9">
        <v>9.0999999999999998E-2</v>
      </c>
      <c r="G2069" s="9">
        <v>9.0999999999999998E-2</v>
      </c>
      <c r="H2069" s="15">
        <f t="shared" si="66"/>
        <v>22200</v>
      </c>
    </row>
    <row r="2070" spans="1:8" x14ac:dyDescent="0.25">
      <c r="A2070" s="13">
        <v>45707</v>
      </c>
      <c r="B2070" s="15" t="s">
        <v>21</v>
      </c>
      <c r="C2070" s="3">
        <v>1</v>
      </c>
      <c r="D2070" s="13">
        <f t="shared" si="64"/>
        <v>45708</v>
      </c>
      <c r="E2070" s="15">
        <v>1600</v>
      </c>
      <c r="F2070" s="9">
        <v>8.7499999999999994E-2</v>
      </c>
      <c r="G2070" s="9">
        <v>0.09</v>
      </c>
      <c r="H2070" s="15">
        <f t="shared" si="66"/>
        <v>14500</v>
      </c>
    </row>
    <row r="2071" spans="1:8" x14ac:dyDescent="0.25">
      <c r="A2071" s="13">
        <v>45708</v>
      </c>
      <c r="B2071" s="15" t="s">
        <v>21</v>
      </c>
      <c r="C2071" s="3">
        <v>1</v>
      </c>
      <c r="D2071" s="13">
        <f t="shared" si="64"/>
        <v>45709</v>
      </c>
      <c r="E2071" s="15">
        <v>700</v>
      </c>
      <c r="F2071" s="9">
        <v>8.8999999999999996E-2</v>
      </c>
      <c r="G2071" s="9">
        <v>0.09</v>
      </c>
      <c r="H2071" s="15">
        <f t="shared" si="66"/>
        <v>10900</v>
      </c>
    </row>
    <row r="2072" spans="1:8" x14ac:dyDescent="0.25">
      <c r="A2072" s="13">
        <v>45708</v>
      </c>
      <c r="B2072" s="15" t="s">
        <v>21</v>
      </c>
      <c r="C2072" s="3">
        <v>4</v>
      </c>
      <c r="D2072" s="13">
        <f t="shared" si="64"/>
        <v>45712</v>
      </c>
      <c r="E2072" s="15">
        <v>2200</v>
      </c>
      <c r="F2072" s="9">
        <v>0.09</v>
      </c>
      <c r="G2072" s="9">
        <v>0.09</v>
      </c>
      <c r="H2072" s="15">
        <f t="shared" si="66"/>
        <v>10900</v>
      </c>
    </row>
    <row r="2073" spans="1:8" x14ac:dyDescent="0.25">
      <c r="A2073" s="13">
        <v>45708</v>
      </c>
      <c r="B2073" s="15" t="s">
        <v>21</v>
      </c>
      <c r="C2073" s="3">
        <v>5</v>
      </c>
      <c r="D2073" s="13">
        <f t="shared" si="64"/>
        <v>45713</v>
      </c>
      <c r="E2073" s="15">
        <v>600</v>
      </c>
      <c r="F2073" s="9">
        <v>0.09</v>
      </c>
      <c r="G2073" s="9">
        <v>0.09</v>
      </c>
      <c r="H2073" s="15">
        <f t="shared" si="66"/>
        <v>10900</v>
      </c>
    </row>
    <row r="2074" spans="1:8" x14ac:dyDescent="0.25">
      <c r="A2074" s="13">
        <v>45709</v>
      </c>
      <c r="B2074" s="15" t="s">
        <v>21</v>
      </c>
      <c r="C2074" s="3">
        <v>4</v>
      </c>
      <c r="D2074" s="13">
        <f t="shared" si="64"/>
        <v>45713</v>
      </c>
      <c r="E2074" s="15">
        <v>6400</v>
      </c>
      <c r="F2074" s="9">
        <v>0.09</v>
      </c>
      <c r="G2074" s="9">
        <v>0.09</v>
      </c>
      <c r="H2074" s="15">
        <f t="shared" si="66"/>
        <v>16700</v>
      </c>
    </row>
    <row r="2075" spans="1:8" x14ac:dyDescent="0.25">
      <c r="A2075" s="13">
        <v>45709</v>
      </c>
      <c r="B2075" s="15" t="s">
        <v>21</v>
      </c>
      <c r="C2075" s="3">
        <v>5</v>
      </c>
      <c r="D2075" s="13">
        <f t="shared" si="64"/>
        <v>45714</v>
      </c>
      <c r="E2075" s="15">
        <v>2000</v>
      </c>
      <c r="F2075" s="9">
        <v>0.09</v>
      </c>
      <c r="G2075" s="9">
        <v>0.09</v>
      </c>
      <c r="H2075" s="15">
        <f t="shared" si="66"/>
        <v>16700</v>
      </c>
    </row>
    <row r="2076" spans="1:8" x14ac:dyDescent="0.25">
      <c r="A2076" s="13">
        <v>45709</v>
      </c>
      <c r="B2076" s="15" t="s">
        <v>21</v>
      </c>
      <c r="C2076" s="3">
        <v>3</v>
      </c>
      <c r="D2076" s="13">
        <f t="shared" si="64"/>
        <v>45712</v>
      </c>
      <c r="E2076" s="15">
        <v>1200</v>
      </c>
      <c r="F2076" s="9">
        <v>0.09</v>
      </c>
      <c r="G2076" s="9">
        <v>0.09</v>
      </c>
      <c r="H2076" s="15">
        <f t="shared" si="66"/>
        <v>16700</v>
      </c>
    </row>
    <row r="2077" spans="1:8" x14ac:dyDescent="0.25">
      <c r="A2077" s="13">
        <v>45709</v>
      </c>
      <c r="B2077" s="15" t="s">
        <v>21</v>
      </c>
      <c r="C2077" s="3">
        <v>6</v>
      </c>
      <c r="D2077" s="13">
        <f t="shared" si="64"/>
        <v>45715</v>
      </c>
      <c r="E2077" s="15">
        <v>800</v>
      </c>
      <c r="F2077" s="9">
        <v>0.09</v>
      </c>
      <c r="G2077" s="9">
        <v>0.09</v>
      </c>
      <c r="H2077" s="15">
        <f t="shared" si="66"/>
        <v>16700</v>
      </c>
    </row>
    <row r="2078" spans="1:8" x14ac:dyDescent="0.25">
      <c r="A2078" s="13">
        <v>45709</v>
      </c>
      <c r="B2078" s="15" t="s">
        <v>21</v>
      </c>
      <c r="C2078" s="3">
        <v>7</v>
      </c>
      <c r="D2078" s="13">
        <f t="shared" si="64"/>
        <v>45716</v>
      </c>
      <c r="E2078" s="15">
        <v>800</v>
      </c>
      <c r="F2078" s="9">
        <v>0.09</v>
      </c>
      <c r="G2078" s="9">
        <v>0.09</v>
      </c>
      <c r="H2078" s="15">
        <f t="shared" si="66"/>
        <v>16700</v>
      </c>
    </row>
    <row r="2079" spans="1:8" x14ac:dyDescent="0.25">
      <c r="A2079" s="13">
        <v>45712</v>
      </c>
      <c r="B2079" s="15" t="s">
        <v>21</v>
      </c>
      <c r="C2079" s="3">
        <v>2</v>
      </c>
      <c r="D2079" s="13">
        <f t="shared" si="64"/>
        <v>45714</v>
      </c>
      <c r="E2079" s="15">
        <v>2000</v>
      </c>
      <c r="F2079" s="9">
        <v>0.09</v>
      </c>
      <c r="G2079" s="9">
        <v>0.09</v>
      </c>
      <c r="H2079" s="15">
        <f t="shared" si="66"/>
        <v>14100</v>
      </c>
    </row>
    <row r="2080" spans="1:8" x14ac:dyDescent="0.25">
      <c r="A2080" s="13">
        <v>45712</v>
      </c>
      <c r="B2080" s="15" t="s">
        <v>21</v>
      </c>
      <c r="C2080" s="3">
        <v>3</v>
      </c>
      <c r="D2080" s="13">
        <f t="shared" si="64"/>
        <v>45715</v>
      </c>
      <c r="E2080" s="15">
        <v>1500</v>
      </c>
      <c r="F2080" s="9">
        <v>0.09</v>
      </c>
      <c r="G2080" s="9">
        <v>0.09</v>
      </c>
      <c r="H2080" s="15">
        <f t="shared" si="66"/>
        <v>14100</v>
      </c>
    </row>
    <row r="2081" spans="1:8" x14ac:dyDescent="0.25">
      <c r="A2081" s="13">
        <v>45713</v>
      </c>
      <c r="B2081" s="15" t="s">
        <v>21</v>
      </c>
      <c r="C2081" s="3">
        <v>1</v>
      </c>
      <c r="D2081" s="13">
        <f t="shared" si="64"/>
        <v>45714</v>
      </c>
      <c r="E2081" s="15">
        <v>700</v>
      </c>
      <c r="F2081" s="9">
        <v>0.09</v>
      </c>
      <c r="G2081" s="9">
        <v>0.09</v>
      </c>
      <c r="H2081" s="15">
        <f t="shared" si="66"/>
        <v>11450</v>
      </c>
    </row>
    <row r="2082" spans="1:8" x14ac:dyDescent="0.25">
      <c r="A2082" s="13">
        <v>45713</v>
      </c>
      <c r="B2082" s="15" t="s">
        <v>21</v>
      </c>
      <c r="C2082" s="3">
        <v>2</v>
      </c>
      <c r="D2082" s="13">
        <f t="shared" si="64"/>
        <v>45715</v>
      </c>
      <c r="E2082" s="15">
        <v>2650</v>
      </c>
      <c r="F2082" s="9">
        <v>0.09</v>
      </c>
      <c r="G2082" s="9">
        <v>0.09</v>
      </c>
      <c r="H2082" s="15">
        <f t="shared" si="66"/>
        <v>11450</v>
      </c>
    </row>
    <row r="2083" spans="1:8" x14ac:dyDescent="0.25">
      <c r="A2083" s="13">
        <v>45713</v>
      </c>
      <c r="B2083" s="15" t="s">
        <v>21</v>
      </c>
      <c r="C2083" s="3">
        <v>3</v>
      </c>
      <c r="D2083" s="13">
        <f t="shared" si="64"/>
        <v>45716</v>
      </c>
      <c r="E2083" s="15">
        <v>1000</v>
      </c>
      <c r="F2083" s="9">
        <v>0.09</v>
      </c>
      <c r="G2083" s="9">
        <v>0.09</v>
      </c>
      <c r="H2083" s="15">
        <f t="shared" si="66"/>
        <v>11450</v>
      </c>
    </row>
    <row r="2084" spans="1:8" x14ac:dyDescent="0.25">
      <c r="A2084" s="13">
        <v>45714</v>
      </c>
      <c r="B2084" s="15" t="s">
        <v>21</v>
      </c>
      <c r="C2084" s="3">
        <v>1</v>
      </c>
      <c r="D2084" s="13">
        <f t="shared" si="64"/>
        <v>45715</v>
      </c>
      <c r="E2084" s="15">
        <v>-2600</v>
      </c>
      <c r="F2084" s="9">
        <v>9.1999999999999998E-2</v>
      </c>
      <c r="G2084" s="9">
        <v>9.1999999999999998E-2</v>
      </c>
      <c r="H2084" s="15">
        <f t="shared" si="66"/>
        <v>4150</v>
      </c>
    </row>
    <row r="2085" spans="1:8" x14ac:dyDescent="0.25">
      <c r="A2085" s="13">
        <v>45715</v>
      </c>
      <c r="B2085" s="15" t="s">
        <v>21</v>
      </c>
      <c r="C2085" s="3">
        <v>6</v>
      </c>
      <c r="D2085" s="13">
        <f t="shared" si="64"/>
        <v>45721</v>
      </c>
      <c r="E2085" s="15">
        <v>1300</v>
      </c>
      <c r="F2085" s="9">
        <v>0.09</v>
      </c>
      <c r="G2085" s="9">
        <v>0.09</v>
      </c>
      <c r="H2085" s="15">
        <f t="shared" si="66"/>
        <v>3100</v>
      </c>
    </row>
    <row r="2086" spans="1:8" x14ac:dyDescent="0.25">
      <c r="A2086" s="13">
        <v>45716</v>
      </c>
      <c r="B2086" s="15" t="s">
        <v>21</v>
      </c>
      <c r="C2086" s="3">
        <v>5</v>
      </c>
      <c r="D2086" s="13">
        <f t="shared" si="64"/>
        <v>45721</v>
      </c>
      <c r="E2086" s="15">
        <v>-4900</v>
      </c>
      <c r="F2086" s="9">
        <v>9.1999999999999998E-2</v>
      </c>
      <c r="G2086" s="9">
        <v>9.1999999999999998E-2</v>
      </c>
      <c r="H2086" s="15">
        <f t="shared" si="66"/>
        <v>-3600</v>
      </c>
    </row>
    <row r="2087" spans="1:8" x14ac:dyDescent="0.25">
      <c r="A2087" s="13">
        <v>45721</v>
      </c>
      <c r="B2087" s="15" t="s">
        <v>21</v>
      </c>
      <c r="C2087" s="3">
        <v>1</v>
      </c>
      <c r="D2087" s="13">
        <f t="shared" si="64"/>
        <v>45722</v>
      </c>
      <c r="E2087" s="15">
        <v>-1800</v>
      </c>
      <c r="F2087" s="9">
        <v>9.1999999999999998E-2</v>
      </c>
      <c r="G2087" s="9">
        <v>9.1999999999999998E-2</v>
      </c>
      <c r="H2087" s="15">
        <f t="shared" si="66"/>
        <v>-1800</v>
      </c>
    </row>
    <row r="2088" spans="1:8" x14ac:dyDescent="0.25">
      <c r="A2088" s="13">
        <v>45722</v>
      </c>
      <c r="B2088" s="15" t="s">
        <v>21</v>
      </c>
      <c r="C2088" s="3">
        <v>1</v>
      </c>
      <c r="D2088" s="13">
        <f t="shared" si="64"/>
        <v>45723</v>
      </c>
      <c r="E2088" s="15">
        <v>-1800</v>
      </c>
      <c r="F2088" s="9">
        <v>9.1999999999999998E-2</v>
      </c>
      <c r="G2088" s="9">
        <v>9.2999999999999999E-2</v>
      </c>
      <c r="H2088" s="15">
        <f t="shared" si="66"/>
        <v>-1800</v>
      </c>
    </row>
    <row r="2089" spans="1:8" x14ac:dyDescent="0.25">
      <c r="A2089" s="13">
        <v>45728</v>
      </c>
      <c r="B2089" s="15" t="s">
        <v>21</v>
      </c>
      <c r="C2089" s="3">
        <v>6</v>
      </c>
      <c r="D2089" s="13">
        <f t="shared" si="64"/>
        <v>45734</v>
      </c>
      <c r="E2089" s="15">
        <v>1500</v>
      </c>
      <c r="F2089" s="9">
        <v>0.09</v>
      </c>
      <c r="G2089" s="9">
        <v>0.09</v>
      </c>
      <c r="H2089" s="15">
        <f t="shared" si="66"/>
        <v>1500</v>
      </c>
    </row>
    <row r="2090" spans="1:8" x14ac:dyDescent="0.25">
      <c r="A2090" s="13">
        <v>45734</v>
      </c>
      <c r="B2090" s="15" t="s">
        <v>21</v>
      </c>
      <c r="C2090" s="3">
        <v>6</v>
      </c>
      <c r="D2090" s="13">
        <f t="shared" si="64"/>
        <v>45740</v>
      </c>
      <c r="E2090" s="15">
        <v>950</v>
      </c>
      <c r="F2090" s="9">
        <v>0.09</v>
      </c>
      <c r="G2090" s="9">
        <v>0.09</v>
      </c>
      <c r="H2090" s="15">
        <f t="shared" si="66"/>
        <v>2150</v>
      </c>
    </row>
    <row r="2091" spans="1:8" x14ac:dyDescent="0.25">
      <c r="A2091" s="13">
        <v>45734</v>
      </c>
      <c r="B2091" s="15" t="s">
        <v>21</v>
      </c>
      <c r="C2091" s="3">
        <v>3</v>
      </c>
      <c r="D2091" s="13">
        <f t="shared" si="64"/>
        <v>45737</v>
      </c>
      <c r="E2091" s="15">
        <v>1200</v>
      </c>
      <c r="F2091" s="9">
        <v>0.09</v>
      </c>
      <c r="G2091" s="9">
        <v>0.09</v>
      </c>
      <c r="H2091" s="15">
        <f t="shared" si="66"/>
        <v>2150</v>
      </c>
    </row>
    <row r="2092" spans="1:8" x14ac:dyDescent="0.25">
      <c r="A2092" s="13">
        <v>45735</v>
      </c>
      <c r="B2092" s="15" t="s">
        <v>21</v>
      </c>
      <c r="C2092" s="3">
        <v>1</v>
      </c>
      <c r="D2092" s="13">
        <f t="shared" ref="D2092" si="67">+A2092+C2092</f>
        <v>45736</v>
      </c>
      <c r="E2092" s="15">
        <v>600</v>
      </c>
      <c r="F2092" s="9">
        <v>8.8999999999999996E-2</v>
      </c>
      <c r="G2092" s="9">
        <v>8.8999999999999996E-2</v>
      </c>
      <c r="H2092" s="15">
        <f t="shared" si="66"/>
        <v>5750</v>
      </c>
    </row>
    <row r="2093" spans="1:8" x14ac:dyDescent="0.25">
      <c r="A2093" s="13">
        <v>45735</v>
      </c>
      <c r="B2093" s="15" t="s">
        <v>21</v>
      </c>
      <c r="C2093" s="3">
        <v>5</v>
      </c>
      <c r="D2093" s="13">
        <f t="shared" si="64"/>
        <v>45740</v>
      </c>
      <c r="E2093" s="15">
        <v>2000</v>
      </c>
      <c r="F2093" s="9">
        <v>0.09</v>
      </c>
      <c r="G2093" s="9">
        <v>0.09</v>
      </c>
      <c r="H2093" s="15">
        <f t="shared" si="66"/>
        <v>5750</v>
      </c>
    </row>
    <row r="2094" spans="1:8" x14ac:dyDescent="0.25">
      <c r="A2094" s="13">
        <v>45735</v>
      </c>
      <c r="B2094" s="15" t="s">
        <v>21</v>
      </c>
      <c r="C2094" s="3">
        <v>12</v>
      </c>
      <c r="D2094" s="13">
        <f t="shared" ref="D2094:D2105" si="68">+A2094+C2094</f>
        <v>45747</v>
      </c>
      <c r="E2094" s="15">
        <v>1000</v>
      </c>
      <c r="F2094" s="9">
        <v>0.09</v>
      </c>
      <c r="G2094" s="9">
        <v>0.09</v>
      </c>
      <c r="H2094" s="15">
        <f t="shared" si="66"/>
        <v>5750</v>
      </c>
    </row>
    <row r="2095" spans="1:8" x14ac:dyDescent="0.25">
      <c r="A2095" s="13">
        <v>45736</v>
      </c>
      <c r="B2095" s="15" t="s">
        <v>21</v>
      </c>
      <c r="C2095" s="3">
        <v>5</v>
      </c>
      <c r="D2095" s="13">
        <f t="shared" si="68"/>
        <v>45741</v>
      </c>
      <c r="E2095" s="15">
        <v>1000</v>
      </c>
      <c r="F2095" s="9">
        <v>0.09</v>
      </c>
      <c r="G2095" s="9">
        <v>0.09</v>
      </c>
      <c r="H2095" s="15">
        <f t="shared" si="66"/>
        <v>7650</v>
      </c>
    </row>
    <row r="2096" spans="1:8" x14ac:dyDescent="0.25">
      <c r="A2096" s="13">
        <v>45736</v>
      </c>
      <c r="B2096" s="15" t="s">
        <v>21</v>
      </c>
      <c r="C2096" s="3">
        <v>6</v>
      </c>
      <c r="D2096" s="13">
        <f t="shared" si="68"/>
        <v>45742</v>
      </c>
      <c r="E2096" s="15">
        <v>500</v>
      </c>
      <c r="F2096" s="9">
        <v>0.09</v>
      </c>
      <c r="G2096" s="9">
        <v>0.09</v>
      </c>
      <c r="H2096" s="15">
        <f t="shared" si="66"/>
        <v>7650</v>
      </c>
    </row>
    <row r="2097" spans="1:8" x14ac:dyDescent="0.25">
      <c r="A2097" s="13">
        <v>45736</v>
      </c>
      <c r="B2097" s="15" t="s">
        <v>21</v>
      </c>
      <c r="C2097" s="3">
        <v>11</v>
      </c>
      <c r="D2097" s="13">
        <f t="shared" si="68"/>
        <v>45747</v>
      </c>
      <c r="E2097" s="15">
        <v>1000</v>
      </c>
      <c r="F2097" s="9">
        <v>0.09</v>
      </c>
      <c r="G2097" s="9">
        <v>0.09</v>
      </c>
      <c r="H2097" s="15">
        <f t="shared" si="66"/>
        <v>7650</v>
      </c>
    </row>
    <row r="2098" spans="1:8" x14ac:dyDescent="0.25">
      <c r="A2098" s="13">
        <v>45737</v>
      </c>
      <c r="B2098" s="15" t="s">
        <v>21</v>
      </c>
      <c r="C2098" s="3">
        <v>3</v>
      </c>
      <c r="D2098" s="13">
        <f t="shared" si="68"/>
        <v>45740</v>
      </c>
      <c r="E2098" s="15">
        <v>-500</v>
      </c>
      <c r="F2098" s="9">
        <v>0.09</v>
      </c>
      <c r="G2098" s="9">
        <v>0.09</v>
      </c>
      <c r="H2098" s="15">
        <f t="shared" si="66"/>
        <v>5950</v>
      </c>
    </row>
    <row r="2099" spans="1:8" x14ac:dyDescent="0.25">
      <c r="A2099" s="13">
        <v>45740</v>
      </c>
      <c r="B2099" s="15" t="s">
        <v>21</v>
      </c>
      <c r="C2099" s="3">
        <v>7</v>
      </c>
      <c r="D2099" s="13">
        <f t="shared" si="68"/>
        <v>45747</v>
      </c>
      <c r="E2099" s="15">
        <v>1200</v>
      </c>
      <c r="F2099" s="9">
        <v>0.09</v>
      </c>
      <c r="G2099" s="9">
        <v>0.09</v>
      </c>
      <c r="H2099" s="15">
        <f t="shared" si="66"/>
        <v>5000</v>
      </c>
    </row>
    <row r="2100" spans="1:8" x14ac:dyDescent="0.25">
      <c r="A2100" s="13">
        <v>45740</v>
      </c>
      <c r="B2100" s="15" t="s">
        <v>21</v>
      </c>
      <c r="C2100" s="3">
        <v>8</v>
      </c>
      <c r="D2100" s="13">
        <f t="shared" si="68"/>
        <v>45748</v>
      </c>
      <c r="E2100" s="15">
        <v>300</v>
      </c>
      <c r="F2100" s="9">
        <v>0.09</v>
      </c>
      <c r="G2100" s="9">
        <v>0.09</v>
      </c>
      <c r="H2100" s="15">
        <f t="shared" si="66"/>
        <v>5000</v>
      </c>
    </row>
    <row r="2101" spans="1:8" x14ac:dyDescent="0.25">
      <c r="A2101" s="13">
        <v>45741</v>
      </c>
      <c r="B2101" s="15" t="s">
        <v>21</v>
      </c>
      <c r="C2101" s="3">
        <v>1</v>
      </c>
      <c r="D2101" s="13">
        <f t="shared" si="68"/>
        <v>45742</v>
      </c>
      <c r="E2101" s="15">
        <v>1500</v>
      </c>
      <c r="F2101" s="9">
        <v>8.7999999999999995E-2</v>
      </c>
      <c r="G2101" s="9">
        <v>8.7999999999999995E-2</v>
      </c>
      <c r="H2101" s="15">
        <f t="shared" si="66"/>
        <v>11800</v>
      </c>
    </row>
    <row r="2102" spans="1:8" x14ac:dyDescent="0.25">
      <c r="A2102" s="13">
        <v>45741</v>
      </c>
      <c r="B2102" s="15" t="s">
        <v>21</v>
      </c>
      <c r="C2102" s="3">
        <v>2</v>
      </c>
      <c r="D2102" s="13">
        <f t="shared" si="68"/>
        <v>45743</v>
      </c>
      <c r="E2102" s="15">
        <v>1200</v>
      </c>
      <c r="F2102" s="9">
        <v>8.8999999999999996E-2</v>
      </c>
      <c r="G2102" s="9">
        <v>8.8999999999999996E-2</v>
      </c>
      <c r="H2102" s="15">
        <f t="shared" si="66"/>
        <v>11800</v>
      </c>
    </row>
    <row r="2103" spans="1:8" x14ac:dyDescent="0.25">
      <c r="A2103" s="13">
        <v>45741</v>
      </c>
      <c r="B2103" s="15" t="s">
        <v>21</v>
      </c>
      <c r="C2103" s="3">
        <v>3</v>
      </c>
      <c r="D2103" s="13">
        <f t="shared" si="68"/>
        <v>45744</v>
      </c>
      <c r="E2103" s="15">
        <v>2000</v>
      </c>
      <c r="F2103" s="9">
        <v>8.8999999999999996E-2</v>
      </c>
      <c r="G2103" s="9">
        <v>8.8999999999999996E-2</v>
      </c>
      <c r="H2103" s="15">
        <f t="shared" si="66"/>
        <v>11800</v>
      </c>
    </row>
    <row r="2104" spans="1:8" x14ac:dyDescent="0.25">
      <c r="A2104" s="13">
        <v>45741</v>
      </c>
      <c r="B2104" s="15" t="s">
        <v>21</v>
      </c>
      <c r="C2104" s="3">
        <v>6</v>
      </c>
      <c r="D2104" s="13">
        <f t="shared" si="68"/>
        <v>45747</v>
      </c>
      <c r="E2104" s="15">
        <v>1800</v>
      </c>
      <c r="F2104" s="9">
        <v>0.09</v>
      </c>
      <c r="G2104" s="9">
        <v>0.09</v>
      </c>
      <c r="H2104" s="15">
        <f t="shared" si="66"/>
        <v>11800</v>
      </c>
    </row>
    <row r="2105" spans="1:8" x14ac:dyDescent="0.25">
      <c r="A2105" s="13">
        <v>45741</v>
      </c>
      <c r="B2105" s="15" t="s">
        <v>21</v>
      </c>
      <c r="C2105" s="3">
        <v>7</v>
      </c>
      <c r="D2105" s="13">
        <f t="shared" si="68"/>
        <v>45748</v>
      </c>
      <c r="E2105" s="15">
        <v>1300</v>
      </c>
      <c r="F2105" s="9">
        <v>0.09</v>
      </c>
      <c r="G2105" s="9">
        <v>0.09</v>
      </c>
      <c r="H2105" s="15">
        <f t="shared" si="66"/>
        <v>11800</v>
      </c>
    </row>
    <row r="2106" spans="1:8" x14ac:dyDescent="0.25">
      <c r="A2106" s="13">
        <v>45742</v>
      </c>
      <c r="B2106" s="15" t="s">
        <v>21</v>
      </c>
      <c r="C2106" s="3">
        <v>2</v>
      </c>
      <c r="D2106" s="13">
        <f t="shared" ref="D2106" si="69">+A2106+C2106</f>
        <v>45744</v>
      </c>
      <c r="E2106" s="15">
        <v>-300</v>
      </c>
      <c r="F2106" s="9">
        <v>0.09</v>
      </c>
      <c r="G2106" s="9">
        <v>0.09</v>
      </c>
      <c r="H2106" s="15">
        <f t="shared" si="66"/>
        <v>9200</v>
      </c>
    </row>
    <row r="2107" spans="1:8" x14ac:dyDescent="0.25">
      <c r="A2107" s="13">
        <v>45742</v>
      </c>
      <c r="B2107" s="15" t="s">
        <v>21</v>
      </c>
      <c r="C2107" s="3">
        <v>5</v>
      </c>
      <c r="D2107" s="13">
        <f t="shared" ref="D2107:D2178" si="70">+A2107+C2107</f>
        <v>45747</v>
      </c>
      <c r="E2107" s="15">
        <v>-300</v>
      </c>
      <c r="F2107" s="9">
        <v>0.09</v>
      </c>
      <c r="G2107" s="9">
        <v>0.09</v>
      </c>
      <c r="H2107" s="15">
        <f t="shared" si="66"/>
        <v>9200</v>
      </c>
    </row>
    <row r="2108" spans="1:8" x14ac:dyDescent="0.25">
      <c r="A2108" s="13">
        <v>45743</v>
      </c>
      <c r="B2108" s="15" t="s">
        <v>21</v>
      </c>
      <c r="C2108" s="3">
        <v>4</v>
      </c>
      <c r="D2108" s="13">
        <f t="shared" si="70"/>
        <v>45747</v>
      </c>
      <c r="E2108" s="15">
        <v>-4800</v>
      </c>
      <c r="F2108" s="9">
        <v>0.09</v>
      </c>
      <c r="G2108" s="9">
        <v>0.09</v>
      </c>
      <c r="H2108" s="15">
        <f t="shared" si="66"/>
        <v>3200</v>
      </c>
    </row>
    <row r="2109" spans="1:8" x14ac:dyDescent="0.25">
      <c r="A2109" s="13">
        <v>45744</v>
      </c>
      <c r="B2109" s="15" t="s">
        <v>21</v>
      </c>
      <c r="C2109" s="3">
        <v>4</v>
      </c>
      <c r="D2109" s="13">
        <f t="shared" si="70"/>
        <v>45748</v>
      </c>
      <c r="E2109" s="15">
        <v>-1200</v>
      </c>
      <c r="F2109" s="9">
        <v>0.09</v>
      </c>
      <c r="G2109" s="9">
        <v>0.09</v>
      </c>
      <c r="H2109" s="15">
        <f t="shared" si="66"/>
        <v>300</v>
      </c>
    </row>
    <row r="2110" spans="1:8" x14ac:dyDescent="0.25">
      <c r="A2110" s="13">
        <v>45748</v>
      </c>
      <c r="B2110" s="15" t="s">
        <v>21</v>
      </c>
      <c r="C2110" s="3">
        <v>1</v>
      </c>
      <c r="D2110" s="13">
        <f t="shared" si="70"/>
        <v>45749</v>
      </c>
      <c r="E2110" s="15">
        <v>-7000</v>
      </c>
      <c r="F2110" s="9">
        <v>9.1999999999999998E-2</v>
      </c>
      <c r="G2110" s="9">
        <v>9.2999999999999999E-2</v>
      </c>
      <c r="H2110" s="15">
        <f t="shared" si="66"/>
        <v>-7000</v>
      </c>
    </row>
    <row r="2111" spans="1:8" x14ac:dyDescent="0.25">
      <c r="A2111" s="13">
        <v>45749</v>
      </c>
      <c r="B2111" s="15" t="s">
        <v>21</v>
      </c>
      <c r="C2111" s="3">
        <v>1</v>
      </c>
      <c r="D2111" s="13">
        <f t="shared" si="70"/>
        <v>45750</v>
      </c>
      <c r="E2111" s="15">
        <v>-5000</v>
      </c>
      <c r="F2111" s="9">
        <v>9.1999999999999998E-2</v>
      </c>
      <c r="G2111" s="9">
        <v>9.2999999999999999E-2</v>
      </c>
      <c r="H2111" s="15">
        <f t="shared" si="66"/>
        <v>-5000</v>
      </c>
    </row>
    <row r="2112" spans="1:8" x14ac:dyDescent="0.25">
      <c r="A2112" s="13">
        <v>45750</v>
      </c>
      <c r="B2112" s="15" t="s">
        <v>21</v>
      </c>
      <c r="C2112" s="3">
        <v>1</v>
      </c>
      <c r="D2112" s="13">
        <f t="shared" si="70"/>
        <v>45751</v>
      </c>
      <c r="E2112" s="15">
        <v>-5800</v>
      </c>
      <c r="F2112" s="9">
        <v>9.2499999999999999E-2</v>
      </c>
      <c r="G2112" s="9">
        <v>9.2999999999999999E-2</v>
      </c>
      <c r="H2112" s="15">
        <f t="shared" si="66"/>
        <v>-5800</v>
      </c>
    </row>
    <row r="2113" spans="1:8" x14ac:dyDescent="0.25">
      <c r="A2113" s="13">
        <v>45751</v>
      </c>
      <c r="B2113" s="15" t="s">
        <v>21</v>
      </c>
      <c r="C2113" s="3">
        <v>3</v>
      </c>
      <c r="D2113" s="13">
        <f t="shared" si="70"/>
        <v>45754</v>
      </c>
      <c r="E2113" s="15">
        <v>-5000</v>
      </c>
      <c r="F2113" s="9">
        <v>9.2499999999999999E-2</v>
      </c>
      <c r="G2113" s="9">
        <v>9.2999999999999999E-2</v>
      </c>
      <c r="H2113" s="15">
        <f t="shared" si="66"/>
        <v>-6160</v>
      </c>
    </row>
    <row r="2114" spans="1:8" x14ac:dyDescent="0.25">
      <c r="A2114" s="13">
        <v>45751</v>
      </c>
      <c r="B2114" s="15" t="s">
        <v>21</v>
      </c>
      <c r="C2114" s="3">
        <v>4</v>
      </c>
      <c r="D2114" s="13">
        <f t="shared" si="70"/>
        <v>45755</v>
      </c>
      <c r="E2114" s="15">
        <v>-1160</v>
      </c>
      <c r="F2114" s="9">
        <v>9.5000000000000001E-2</v>
      </c>
      <c r="G2114" s="9">
        <v>9.5000000000000001E-2</v>
      </c>
      <c r="H2114" s="15">
        <f t="shared" si="66"/>
        <v>-6160</v>
      </c>
    </row>
    <row r="2115" spans="1:8" x14ac:dyDescent="0.25">
      <c r="A2115" s="13">
        <v>45754</v>
      </c>
      <c r="B2115" s="15" t="s">
        <v>21</v>
      </c>
      <c r="C2115" s="3">
        <v>1</v>
      </c>
      <c r="D2115" s="13">
        <f t="shared" si="70"/>
        <v>45755</v>
      </c>
      <c r="E2115" s="15">
        <v>-5200</v>
      </c>
      <c r="F2115" s="9">
        <v>9.2499999999999999E-2</v>
      </c>
      <c r="G2115" s="9">
        <v>9.2499999999999999E-2</v>
      </c>
      <c r="H2115" s="15">
        <f t="shared" si="66"/>
        <v>-6360</v>
      </c>
    </row>
    <row r="2116" spans="1:8" x14ac:dyDescent="0.25">
      <c r="A2116" s="13">
        <v>45755</v>
      </c>
      <c r="B2116" s="15" t="s">
        <v>21</v>
      </c>
      <c r="C2116" s="3">
        <v>1</v>
      </c>
      <c r="D2116" s="13">
        <f t="shared" si="70"/>
        <v>45756</v>
      </c>
      <c r="E2116" s="15">
        <v>-4000</v>
      </c>
      <c r="F2116" s="9">
        <v>9.2499999999999999E-2</v>
      </c>
      <c r="G2116" s="9">
        <v>9.2499999999999999E-2</v>
      </c>
      <c r="H2116" s="15">
        <f t="shared" si="66"/>
        <v>-4500</v>
      </c>
    </row>
    <row r="2117" spans="1:8" x14ac:dyDescent="0.25">
      <c r="A2117" s="13">
        <v>45755</v>
      </c>
      <c r="B2117" s="15" t="s">
        <v>21</v>
      </c>
      <c r="C2117" s="3">
        <v>2</v>
      </c>
      <c r="D2117" s="13">
        <f t="shared" si="70"/>
        <v>45757</v>
      </c>
      <c r="E2117" s="15">
        <v>-500</v>
      </c>
      <c r="F2117" s="9">
        <v>9.4E-2</v>
      </c>
      <c r="G2117" s="9">
        <v>9.4E-2</v>
      </c>
      <c r="H2117" s="15">
        <f t="shared" si="66"/>
        <v>-4500</v>
      </c>
    </row>
    <row r="2118" spans="1:8" x14ac:dyDescent="0.25">
      <c r="A2118" s="13">
        <v>45756</v>
      </c>
      <c r="B2118" s="15" t="s">
        <v>21</v>
      </c>
      <c r="C2118" s="3">
        <v>1</v>
      </c>
      <c r="D2118" s="13">
        <f t="shared" si="70"/>
        <v>45757</v>
      </c>
      <c r="E2118" s="15">
        <v>-4300</v>
      </c>
      <c r="F2118" s="9">
        <v>9.4E-2</v>
      </c>
      <c r="G2118" s="9">
        <v>9.4E-2</v>
      </c>
      <c r="H2118" s="15">
        <f t="shared" si="66"/>
        <v>-4800</v>
      </c>
    </row>
    <row r="2119" spans="1:8" x14ac:dyDescent="0.25">
      <c r="A2119" s="13">
        <v>45757</v>
      </c>
      <c r="B2119" s="15" t="s">
        <v>21</v>
      </c>
      <c r="C2119" s="3">
        <v>1</v>
      </c>
      <c r="D2119" s="13">
        <f t="shared" si="70"/>
        <v>45758</v>
      </c>
      <c r="E2119" s="15">
        <v>-3500</v>
      </c>
      <c r="F2119" s="9">
        <v>9.4E-2</v>
      </c>
      <c r="G2119" s="9">
        <v>9.4E-2</v>
      </c>
      <c r="H2119" s="15">
        <f t="shared" si="66"/>
        <v>-3500</v>
      </c>
    </row>
    <row r="2120" spans="1:8" x14ac:dyDescent="0.25">
      <c r="A2120" s="13">
        <v>45758</v>
      </c>
      <c r="B2120" s="15" t="s">
        <v>21</v>
      </c>
      <c r="C2120" s="3">
        <v>3</v>
      </c>
      <c r="D2120" s="13">
        <f t="shared" si="70"/>
        <v>45761</v>
      </c>
      <c r="E2120" s="15">
        <v>-1800</v>
      </c>
      <c r="F2120" s="9">
        <v>9.4E-2</v>
      </c>
      <c r="G2120" s="9">
        <v>9.4E-2</v>
      </c>
      <c r="H2120" s="15">
        <f t="shared" si="66"/>
        <v>-1800</v>
      </c>
    </row>
    <row r="2121" spans="1:8" x14ac:dyDescent="0.25">
      <c r="A2121" s="13">
        <v>45763</v>
      </c>
      <c r="B2121" s="15" t="s">
        <v>21</v>
      </c>
      <c r="C2121" s="3">
        <v>5</v>
      </c>
      <c r="D2121" s="13">
        <f t="shared" si="70"/>
        <v>45768</v>
      </c>
      <c r="E2121" s="15">
        <v>-1000</v>
      </c>
      <c r="F2121" s="9">
        <v>9.4E-2</v>
      </c>
      <c r="G2121" s="9">
        <v>9.4E-2</v>
      </c>
      <c r="H2121" s="15">
        <f t="shared" si="66"/>
        <v>-1000</v>
      </c>
    </row>
    <row r="2122" spans="1:8" x14ac:dyDescent="0.25">
      <c r="A2122" s="13">
        <v>45768</v>
      </c>
      <c r="B2122" s="15" t="s">
        <v>21</v>
      </c>
      <c r="C2122" s="3">
        <v>1</v>
      </c>
      <c r="D2122" s="13">
        <f t="shared" si="70"/>
        <v>45769</v>
      </c>
      <c r="E2122" s="15">
        <v>1800</v>
      </c>
      <c r="F2122" s="9">
        <v>9.0999999999999998E-2</v>
      </c>
      <c r="G2122" s="9">
        <v>9.0999999999999998E-2</v>
      </c>
      <c r="H2122" s="15">
        <f t="shared" ref="H2122:H2185" si="71">+SUMIFS($E$10:$E$4503,$A$10:$A$4503,"&lt;="&amp;A2122,$D$10:$D$4503,"&gt;"&amp;A2122)</f>
        <v>1800</v>
      </c>
    </row>
    <row r="2123" spans="1:8" x14ac:dyDescent="0.25">
      <c r="A2123" s="13">
        <v>45769</v>
      </c>
      <c r="B2123" s="15" t="s">
        <v>21</v>
      </c>
      <c r="C2123" s="3">
        <v>1</v>
      </c>
      <c r="D2123" s="13">
        <f t="shared" si="70"/>
        <v>45770</v>
      </c>
      <c r="E2123" s="15">
        <v>4200</v>
      </c>
      <c r="F2123" s="9">
        <v>9.0999999999999998E-2</v>
      </c>
      <c r="G2123" s="9">
        <v>9.0999999999999998E-2</v>
      </c>
      <c r="H2123" s="15">
        <f t="shared" si="71"/>
        <v>11800</v>
      </c>
    </row>
    <row r="2124" spans="1:8" x14ac:dyDescent="0.25">
      <c r="A2124" s="13">
        <v>45769</v>
      </c>
      <c r="B2124" s="15" t="s">
        <v>21</v>
      </c>
      <c r="C2124" s="3">
        <v>2</v>
      </c>
      <c r="D2124" s="13">
        <f t="shared" si="70"/>
        <v>45771</v>
      </c>
      <c r="E2124" s="15">
        <v>4500</v>
      </c>
      <c r="F2124" s="9">
        <v>9.1499999999999998E-2</v>
      </c>
      <c r="G2124" s="9">
        <v>9.1999999999999998E-2</v>
      </c>
      <c r="H2124" s="15">
        <f t="shared" si="71"/>
        <v>11800</v>
      </c>
    </row>
    <row r="2125" spans="1:8" x14ac:dyDescent="0.25">
      <c r="A2125" s="13">
        <v>45769</v>
      </c>
      <c r="B2125" s="15" t="s">
        <v>21</v>
      </c>
      <c r="C2125" s="3">
        <v>3</v>
      </c>
      <c r="D2125" s="13">
        <f t="shared" si="70"/>
        <v>45772</v>
      </c>
      <c r="E2125" s="15">
        <v>800</v>
      </c>
      <c r="F2125" s="9">
        <v>9.1499999999999998E-2</v>
      </c>
      <c r="G2125" s="9">
        <v>9.1999999999999998E-2</v>
      </c>
      <c r="H2125" s="15">
        <f t="shared" si="71"/>
        <v>11800</v>
      </c>
    </row>
    <row r="2126" spans="1:8" x14ac:dyDescent="0.25">
      <c r="A2126" s="13">
        <v>45769</v>
      </c>
      <c r="B2126" s="15" t="s">
        <v>21</v>
      </c>
      <c r="C2126" s="3">
        <v>8</v>
      </c>
      <c r="D2126" s="13">
        <f t="shared" si="70"/>
        <v>45777</v>
      </c>
      <c r="E2126" s="15">
        <v>2300</v>
      </c>
      <c r="F2126" s="9">
        <v>9.2499999999999999E-2</v>
      </c>
      <c r="G2126" s="9">
        <v>9.2499999999999999E-2</v>
      </c>
      <c r="H2126" s="15">
        <f t="shared" si="71"/>
        <v>11800</v>
      </c>
    </row>
    <row r="2127" spans="1:8" x14ac:dyDescent="0.25">
      <c r="A2127" s="13">
        <v>45770</v>
      </c>
      <c r="B2127" s="15" t="s">
        <v>21</v>
      </c>
      <c r="C2127" s="3">
        <v>2</v>
      </c>
      <c r="D2127" s="13">
        <f t="shared" si="70"/>
        <v>45772</v>
      </c>
      <c r="E2127" s="15">
        <v>1000</v>
      </c>
      <c r="F2127" s="9">
        <v>9.1999999999999998E-2</v>
      </c>
      <c r="G2127" s="9">
        <v>9.1999999999999998E-2</v>
      </c>
      <c r="H2127" s="15">
        <f t="shared" si="71"/>
        <v>9600</v>
      </c>
    </row>
    <row r="2128" spans="1:8" x14ac:dyDescent="0.25">
      <c r="A2128" s="13">
        <v>45770</v>
      </c>
      <c r="B2128" s="15" t="s">
        <v>21</v>
      </c>
      <c r="C2128" s="3">
        <v>5</v>
      </c>
      <c r="D2128" s="13">
        <f t="shared" si="70"/>
        <v>45775</v>
      </c>
      <c r="E2128" s="15">
        <v>1000</v>
      </c>
      <c r="F2128" s="9">
        <v>9.1999999999999998E-2</v>
      </c>
      <c r="G2128" s="9">
        <v>9.1999999999999998E-2</v>
      </c>
      <c r="H2128" s="15">
        <f t="shared" si="71"/>
        <v>9600</v>
      </c>
    </row>
    <row r="2129" spans="1:8" x14ac:dyDescent="0.25">
      <c r="A2129" s="13">
        <v>45771</v>
      </c>
      <c r="B2129" s="15" t="s">
        <v>21</v>
      </c>
      <c r="C2129" s="3">
        <v>1</v>
      </c>
      <c r="D2129" s="13">
        <f t="shared" si="70"/>
        <v>45772</v>
      </c>
      <c r="E2129" s="15">
        <v>2600</v>
      </c>
      <c r="F2129" s="9">
        <v>9.0999999999999998E-2</v>
      </c>
      <c r="G2129" s="9">
        <v>9.0999999999999998E-2</v>
      </c>
      <c r="H2129" s="15">
        <f t="shared" si="71"/>
        <v>7700</v>
      </c>
    </row>
    <row r="2130" spans="1:8" x14ac:dyDescent="0.25">
      <c r="A2130" s="13">
        <v>45772</v>
      </c>
      <c r="B2130" s="15" t="s">
        <v>21</v>
      </c>
      <c r="C2130" s="3">
        <v>4</v>
      </c>
      <c r="D2130" s="13">
        <f t="shared" si="70"/>
        <v>45776</v>
      </c>
      <c r="E2130" s="15">
        <v>300</v>
      </c>
      <c r="F2130" s="9">
        <v>9.1999999999999998E-2</v>
      </c>
      <c r="G2130" s="9">
        <v>9.1999999999999998E-2</v>
      </c>
      <c r="H2130" s="15">
        <f t="shared" si="71"/>
        <v>3600</v>
      </c>
    </row>
    <row r="2131" spans="1:8" x14ac:dyDescent="0.25">
      <c r="A2131" s="13">
        <v>45776</v>
      </c>
      <c r="B2131" s="15" t="s">
        <v>21</v>
      </c>
      <c r="C2131" s="3">
        <v>1</v>
      </c>
      <c r="D2131" s="13">
        <f t="shared" si="70"/>
        <v>45777</v>
      </c>
      <c r="E2131" s="15">
        <v>2300</v>
      </c>
      <c r="F2131" s="9">
        <v>0.09</v>
      </c>
      <c r="G2131" s="9">
        <v>9.0999999999999998E-2</v>
      </c>
      <c r="H2131" s="15">
        <f t="shared" si="71"/>
        <v>4600</v>
      </c>
    </row>
    <row r="2132" spans="1:8" x14ac:dyDescent="0.25">
      <c r="A2132" s="13">
        <v>45779</v>
      </c>
      <c r="B2132" s="15" t="s">
        <v>21</v>
      </c>
      <c r="C2132" s="3">
        <v>3</v>
      </c>
      <c r="D2132" s="13">
        <f t="shared" si="70"/>
        <v>45782</v>
      </c>
      <c r="E2132" s="15">
        <v>-1000</v>
      </c>
      <c r="F2132" s="9">
        <v>9.4500000000000001E-2</v>
      </c>
      <c r="G2132" s="9">
        <v>9.4500000000000001E-2</v>
      </c>
      <c r="H2132" s="15">
        <f t="shared" si="71"/>
        <v>-1000</v>
      </c>
    </row>
    <row r="2133" spans="1:8" x14ac:dyDescent="0.25">
      <c r="A2133" s="13">
        <v>45782</v>
      </c>
      <c r="B2133" s="15" t="s">
        <v>21</v>
      </c>
      <c r="C2133" s="3">
        <v>1</v>
      </c>
      <c r="D2133" s="13">
        <f t="shared" si="70"/>
        <v>45783</v>
      </c>
      <c r="E2133" s="15">
        <v>-800</v>
      </c>
      <c r="F2133" s="9">
        <v>9.4500000000000001E-2</v>
      </c>
      <c r="G2133" s="9">
        <v>9.4500000000000001E-2</v>
      </c>
      <c r="H2133" s="15">
        <f t="shared" si="71"/>
        <v>-800</v>
      </c>
    </row>
    <row r="2134" spans="1:8" x14ac:dyDescent="0.25">
      <c r="A2134" s="13">
        <v>45784</v>
      </c>
      <c r="B2134" s="15" t="s">
        <v>21</v>
      </c>
      <c r="C2134" s="3">
        <v>2</v>
      </c>
      <c r="D2134" s="13">
        <f t="shared" si="70"/>
        <v>45786</v>
      </c>
      <c r="E2134" s="15">
        <v>1600</v>
      </c>
      <c r="F2134" s="9">
        <v>9.2499999999999999E-2</v>
      </c>
      <c r="G2134" s="9">
        <v>9.2499999999999999E-2</v>
      </c>
      <c r="H2134" s="15">
        <f t="shared" si="71"/>
        <v>3400</v>
      </c>
    </row>
    <row r="2135" spans="1:8" x14ac:dyDescent="0.25">
      <c r="A2135" s="13">
        <v>45784</v>
      </c>
      <c r="B2135" s="15" t="s">
        <v>21</v>
      </c>
      <c r="C2135" s="3">
        <v>5</v>
      </c>
      <c r="D2135" s="13">
        <f t="shared" si="70"/>
        <v>45789</v>
      </c>
      <c r="E2135" s="15">
        <v>1000</v>
      </c>
      <c r="F2135" s="9">
        <v>9.2499999999999999E-2</v>
      </c>
      <c r="G2135" s="9">
        <v>9.2499999999999999E-2</v>
      </c>
      <c r="H2135" s="15">
        <f t="shared" si="71"/>
        <v>3400</v>
      </c>
    </row>
    <row r="2136" spans="1:8" x14ac:dyDescent="0.25">
      <c r="A2136" s="13">
        <v>45784</v>
      </c>
      <c r="B2136" s="15" t="s">
        <v>21</v>
      </c>
      <c r="C2136" s="3">
        <v>6</v>
      </c>
      <c r="D2136" s="13">
        <f t="shared" si="70"/>
        <v>45790</v>
      </c>
      <c r="E2136" s="15">
        <v>800</v>
      </c>
      <c r="F2136" s="9">
        <v>9.2499999999999999E-2</v>
      </c>
      <c r="G2136" s="9">
        <v>9.2499999999999999E-2</v>
      </c>
      <c r="H2136" s="15">
        <f t="shared" si="71"/>
        <v>3400</v>
      </c>
    </row>
    <row r="2137" spans="1:8" x14ac:dyDescent="0.25">
      <c r="A2137" s="13">
        <v>45785</v>
      </c>
      <c r="B2137" s="15" t="s">
        <v>21</v>
      </c>
      <c r="C2137" s="3">
        <v>4</v>
      </c>
      <c r="D2137" s="13">
        <f t="shared" si="70"/>
        <v>45789</v>
      </c>
      <c r="E2137" s="15">
        <v>1600</v>
      </c>
      <c r="F2137" s="9">
        <v>9.2499999999999999E-2</v>
      </c>
      <c r="G2137" s="9">
        <v>9.2499999999999999E-2</v>
      </c>
      <c r="H2137" s="15">
        <f t="shared" si="71"/>
        <v>5000</v>
      </c>
    </row>
    <row r="2138" spans="1:8" x14ac:dyDescent="0.25">
      <c r="A2138" s="13">
        <v>45786</v>
      </c>
      <c r="B2138" s="15" t="s">
        <v>21</v>
      </c>
      <c r="C2138" s="3">
        <v>3</v>
      </c>
      <c r="D2138" s="13">
        <f t="shared" si="70"/>
        <v>45789</v>
      </c>
      <c r="E2138" s="15">
        <v>200</v>
      </c>
      <c r="F2138" s="9">
        <v>9.0999999999999998E-2</v>
      </c>
      <c r="G2138" s="9">
        <v>9.0999999999999998E-2</v>
      </c>
      <c r="H2138" s="15">
        <f t="shared" si="71"/>
        <v>6900</v>
      </c>
    </row>
    <row r="2139" spans="1:8" x14ac:dyDescent="0.25">
      <c r="A2139" s="13">
        <v>45786</v>
      </c>
      <c r="B2139" s="15" t="s">
        <v>21</v>
      </c>
      <c r="C2139" s="3">
        <v>4</v>
      </c>
      <c r="D2139" s="13">
        <f t="shared" si="70"/>
        <v>45790</v>
      </c>
      <c r="E2139" s="15">
        <v>3300</v>
      </c>
      <c r="F2139" s="9">
        <v>9.2499999999999999E-2</v>
      </c>
      <c r="G2139" s="9">
        <v>9.2499999999999999E-2</v>
      </c>
      <c r="H2139" s="15">
        <f t="shared" si="71"/>
        <v>6900</v>
      </c>
    </row>
    <row r="2140" spans="1:8" x14ac:dyDescent="0.25">
      <c r="A2140" s="13">
        <v>45789</v>
      </c>
      <c r="B2140" s="15" t="s">
        <v>21</v>
      </c>
      <c r="C2140" s="3">
        <v>1</v>
      </c>
      <c r="D2140" s="13">
        <f t="shared" si="70"/>
        <v>45790</v>
      </c>
      <c r="E2140" s="15">
        <v>500</v>
      </c>
      <c r="F2140" s="9">
        <v>9.1499999999999998E-2</v>
      </c>
      <c r="G2140" s="9">
        <v>9.1499999999999998E-2</v>
      </c>
      <c r="H2140" s="15">
        <f t="shared" si="71"/>
        <v>4900</v>
      </c>
    </row>
    <row r="2141" spans="1:8" x14ac:dyDescent="0.25">
      <c r="A2141" s="13">
        <v>45789</v>
      </c>
      <c r="B2141" s="15" t="s">
        <v>21</v>
      </c>
      <c r="C2141" s="3">
        <v>2</v>
      </c>
      <c r="D2141" s="13">
        <f t="shared" si="70"/>
        <v>45791</v>
      </c>
      <c r="E2141" s="15">
        <v>300</v>
      </c>
      <c r="F2141" s="9">
        <v>9.2499999999999999E-2</v>
      </c>
      <c r="G2141" s="9">
        <v>9.2499999999999999E-2</v>
      </c>
      <c r="H2141" s="15">
        <f t="shared" si="71"/>
        <v>4900</v>
      </c>
    </row>
    <row r="2142" spans="1:8" x14ac:dyDescent="0.25">
      <c r="A2142" s="13">
        <v>45790</v>
      </c>
      <c r="B2142" s="15" t="s">
        <v>21</v>
      </c>
      <c r="C2142" s="3">
        <v>2</v>
      </c>
      <c r="D2142" s="13">
        <f t="shared" si="70"/>
        <v>45792</v>
      </c>
      <c r="E2142" s="15">
        <v>500</v>
      </c>
      <c r="F2142" s="9">
        <v>9.2499999999999999E-2</v>
      </c>
      <c r="G2142" s="9">
        <v>9.2499999999999999E-2</v>
      </c>
      <c r="H2142" s="15">
        <f t="shared" si="71"/>
        <v>800</v>
      </c>
    </row>
    <row r="2143" spans="1:8" x14ac:dyDescent="0.25">
      <c r="A2143" s="13">
        <v>45791</v>
      </c>
      <c r="B2143" s="15" t="s">
        <v>21</v>
      </c>
      <c r="C2143" s="3">
        <v>1</v>
      </c>
      <c r="D2143" s="13">
        <f t="shared" si="70"/>
        <v>45792</v>
      </c>
      <c r="E2143" s="15">
        <v>-850</v>
      </c>
      <c r="F2143" s="9">
        <v>9.2999999999999999E-2</v>
      </c>
      <c r="G2143" s="9">
        <v>9.4E-2</v>
      </c>
      <c r="H2143" s="15">
        <f t="shared" si="71"/>
        <v>-350</v>
      </c>
    </row>
    <row r="2144" spans="1:8" x14ac:dyDescent="0.25">
      <c r="A2144" s="13">
        <v>45792</v>
      </c>
      <c r="B2144" s="15" t="s">
        <v>21</v>
      </c>
      <c r="C2144" s="3">
        <v>1</v>
      </c>
      <c r="D2144" s="13">
        <f t="shared" si="70"/>
        <v>45793</v>
      </c>
      <c r="E2144" s="15">
        <v>-1000</v>
      </c>
      <c r="F2144" s="9">
        <v>9.4500000000000001E-2</v>
      </c>
      <c r="G2144" s="9">
        <v>9.4500000000000001E-2</v>
      </c>
      <c r="H2144" s="15">
        <f t="shared" si="71"/>
        <v>0</v>
      </c>
    </row>
    <row r="2145" spans="1:8" x14ac:dyDescent="0.25">
      <c r="A2145" s="13">
        <v>45792</v>
      </c>
      <c r="B2145" s="15" t="s">
        <v>21</v>
      </c>
      <c r="C2145" s="3">
        <v>4</v>
      </c>
      <c r="D2145" s="13">
        <f t="shared" si="70"/>
        <v>45796</v>
      </c>
      <c r="E2145" s="15">
        <v>1000</v>
      </c>
      <c r="F2145" s="9">
        <v>9.2499999999999999E-2</v>
      </c>
      <c r="G2145" s="9">
        <v>9.2499999999999999E-2</v>
      </c>
      <c r="H2145" s="15">
        <f t="shared" si="71"/>
        <v>0</v>
      </c>
    </row>
    <row r="2146" spans="1:8" x14ac:dyDescent="0.25">
      <c r="A2146" s="13">
        <v>45793</v>
      </c>
      <c r="B2146" s="15" t="s">
        <v>21</v>
      </c>
      <c r="C2146" s="3">
        <v>4</v>
      </c>
      <c r="D2146" s="13">
        <f t="shared" si="70"/>
        <v>45797</v>
      </c>
      <c r="E2146" s="15">
        <v>600</v>
      </c>
      <c r="F2146" s="9">
        <v>9.2499999999999999E-2</v>
      </c>
      <c r="G2146" s="9">
        <v>9.2499999999999999E-2</v>
      </c>
      <c r="H2146" s="15">
        <f t="shared" si="71"/>
        <v>2100</v>
      </c>
    </row>
    <row r="2147" spans="1:8" x14ac:dyDescent="0.25">
      <c r="A2147" s="13">
        <v>45793</v>
      </c>
      <c r="B2147" s="15" t="s">
        <v>21</v>
      </c>
      <c r="C2147" s="3">
        <v>5</v>
      </c>
      <c r="D2147" s="13">
        <f t="shared" si="70"/>
        <v>45798</v>
      </c>
      <c r="E2147" s="15">
        <v>500</v>
      </c>
      <c r="F2147" s="9">
        <v>9.2499999999999999E-2</v>
      </c>
      <c r="G2147" s="9">
        <v>9.2499999999999999E-2</v>
      </c>
      <c r="H2147" s="15">
        <f t="shared" si="71"/>
        <v>2100</v>
      </c>
    </row>
    <row r="2148" spans="1:8" x14ac:dyDescent="0.25">
      <c r="A2148" s="13">
        <v>45796</v>
      </c>
      <c r="B2148" s="15" t="s">
        <v>21</v>
      </c>
      <c r="C2148" s="3">
        <v>2</v>
      </c>
      <c r="D2148" s="13">
        <f t="shared" si="70"/>
        <v>45798</v>
      </c>
      <c r="E2148" s="15">
        <v>1000</v>
      </c>
      <c r="F2148" s="9">
        <v>9.2499999999999999E-2</v>
      </c>
      <c r="G2148" s="9">
        <v>9.2499999999999999E-2</v>
      </c>
      <c r="H2148" s="15">
        <f t="shared" si="71"/>
        <v>2100</v>
      </c>
    </row>
    <row r="2149" spans="1:8" x14ac:dyDescent="0.25">
      <c r="A2149" s="13">
        <v>45797</v>
      </c>
      <c r="B2149" s="15" t="s">
        <v>21</v>
      </c>
      <c r="C2149" s="3">
        <v>2</v>
      </c>
      <c r="D2149" s="13">
        <f t="shared" si="70"/>
        <v>45799</v>
      </c>
      <c r="E2149" s="15">
        <v>600</v>
      </c>
      <c r="F2149" s="9">
        <v>9.2499999999999999E-2</v>
      </c>
      <c r="G2149" s="9">
        <v>9.2499999999999999E-2</v>
      </c>
      <c r="H2149" s="15">
        <f t="shared" si="71"/>
        <v>2100</v>
      </c>
    </row>
    <row r="2150" spans="1:8" x14ac:dyDescent="0.25">
      <c r="A2150" s="13">
        <v>45799</v>
      </c>
      <c r="B2150" s="15" t="s">
        <v>21</v>
      </c>
      <c r="C2150" s="3">
        <v>1</v>
      </c>
      <c r="D2150" s="13">
        <f t="shared" si="70"/>
        <v>45800</v>
      </c>
      <c r="E2150" s="15">
        <v>300</v>
      </c>
      <c r="F2150" s="9">
        <v>9.1999999999999998E-2</v>
      </c>
      <c r="G2150" s="9">
        <v>9.1999999999999998E-2</v>
      </c>
      <c r="H2150" s="15">
        <f t="shared" si="71"/>
        <v>4200</v>
      </c>
    </row>
    <row r="2151" spans="1:8" x14ac:dyDescent="0.25">
      <c r="A2151" s="13">
        <v>45799</v>
      </c>
      <c r="B2151" s="15" t="s">
        <v>21</v>
      </c>
      <c r="C2151" s="3">
        <v>4</v>
      </c>
      <c r="D2151" s="13">
        <f t="shared" si="70"/>
        <v>45803</v>
      </c>
      <c r="E2151" s="15">
        <v>3500</v>
      </c>
      <c r="F2151" s="9">
        <v>9.2499999999999999E-2</v>
      </c>
      <c r="G2151" s="9">
        <v>9.2499999999999999E-2</v>
      </c>
      <c r="H2151" s="15">
        <f t="shared" si="71"/>
        <v>4200</v>
      </c>
    </row>
    <row r="2152" spans="1:8" x14ac:dyDescent="0.25">
      <c r="A2152" s="13">
        <v>45799</v>
      </c>
      <c r="B2152" s="15" t="s">
        <v>21</v>
      </c>
      <c r="C2152" s="3">
        <v>5</v>
      </c>
      <c r="D2152" s="13">
        <f t="shared" si="70"/>
        <v>45804</v>
      </c>
      <c r="E2152" s="15">
        <v>400</v>
      </c>
      <c r="F2152" s="9">
        <v>9.2499999999999999E-2</v>
      </c>
      <c r="G2152" s="9">
        <v>9.2499999999999999E-2</v>
      </c>
      <c r="H2152" s="15">
        <f t="shared" si="71"/>
        <v>4200</v>
      </c>
    </row>
    <row r="2153" spans="1:8" x14ac:dyDescent="0.25">
      <c r="A2153" s="13">
        <v>45800</v>
      </c>
      <c r="B2153" s="15" t="s">
        <v>21</v>
      </c>
      <c r="C2153" s="3">
        <v>3</v>
      </c>
      <c r="D2153" s="13">
        <f t="shared" si="70"/>
        <v>45803</v>
      </c>
      <c r="E2153" s="15">
        <v>6000</v>
      </c>
      <c r="F2153" s="9">
        <v>9.1999999999999998E-2</v>
      </c>
      <c r="G2153" s="9">
        <v>9.1999999999999998E-2</v>
      </c>
      <c r="H2153" s="15">
        <f t="shared" si="71"/>
        <v>11900</v>
      </c>
    </row>
    <row r="2154" spans="1:8" x14ac:dyDescent="0.25">
      <c r="A2154" s="13">
        <v>45800</v>
      </c>
      <c r="B2154" s="15" t="s">
        <v>21</v>
      </c>
      <c r="C2154" s="3">
        <v>4</v>
      </c>
      <c r="D2154" s="13">
        <f t="shared" si="70"/>
        <v>45804</v>
      </c>
      <c r="E2154" s="15">
        <v>2000</v>
      </c>
      <c r="F2154" s="9">
        <v>9.1999999999999998E-2</v>
      </c>
      <c r="G2154" s="9">
        <v>9.1999999999999998E-2</v>
      </c>
      <c r="H2154" s="15">
        <f t="shared" si="71"/>
        <v>11900</v>
      </c>
    </row>
    <row r="2155" spans="1:8" x14ac:dyDescent="0.25">
      <c r="A2155" s="13">
        <v>45803</v>
      </c>
      <c r="B2155" s="15" t="s">
        <v>21</v>
      </c>
      <c r="C2155" s="3">
        <v>2</v>
      </c>
      <c r="D2155" s="13">
        <f t="shared" si="70"/>
        <v>45805</v>
      </c>
      <c r="E2155" s="15">
        <v>2600</v>
      </c>
      <c r="F2155" s="9">
        <v>9.2499999999999999E-2</v>
      </c>
      <c r="G2155" s="9">
        <v>9.2499999999999999E-2</v>
      </c>
      <c r="H2155" s="15">
        <f t="shared" si="71"/>
        <v>5000</v>
      </c>
    </row>
    <row r="2156" spans="1:8" x14ac:dyDescent="0.25">
      <c r="A2156" s="13">
        <v>45804</v>
      </c>
      <c r="B2156" s="15" t="s">
        <v>21</v>
      </c>
      <c r="C2156" s="3">
        <v>2</v>
      </c>
      <c r="D2156" s="13">
        <f t="shared" si="70"/>
        <v>45806</v>
      </c>
      <c r="E2156" s="15">
        <v>1200</v>
      </c>
      <c r="F2156" s="9">
        <v>9.2499999999999999E-2</v>
      </c>
      <c r="G2156" s="9">
        <v>9.2499999999999999E-2</v>
      </c>
      <c r="H2156" s="15">
        <f t="shared" si="71"/>
        <v>5000</v>
      </c>
    </row>
    <row r="2157" spans="1:8" x14ac:dyDescent="0.25">
      <c r="A2157" s="13">
        <v>45804</v>
      </c>
      <c r="B2157" s="15" t="s">
        <v>21</v>
      </c>
      <c r="C2157" s="3">
        <v>3</v>
      </c>
      <c r="D2157" s="13">
        <f t="shared" si="70"/>
        <v>45807</v>
      </c>
      <c r="E2157" s="15">
        <v>1200</v>
      </c>
      <c r="F2157" s="9">
        <v>9.2499999999999999E-2</v>
      </c>
      <c r="G2157" s="9">
        <v>9.2499999999999999E-2</v>
      </c>
      <c r="H2157" s="15">
        <f t="shared" si="71"/>
        <v>5000</v>
      </c>
    </row>
    <row r="2158" spans="1:8" x14ac:dyDescent="0.25">
      <c r="A2158" s="13">
        <v>45805</v>
      </c>
      <c r="B2158" s="15" t="s">
        <v>21</v>
      </c>
      <c r="C2158" s="3">
        <v>2</v>
      </c>
      <c r="D2158" s="13">
        <f t="shared" si="70"/>
        <v>45807</v>
      </c>
      <c r="E2158" s="15">
        <v>4200</v>
      </c>
      <c r="F2158" s="9">
        <v>9.2499999999999999E-2</v>
      </c>
      <c r="G2158" s="9">
        <v>9.2499999999999999E-2</v>
      </c>
      <c r="H2158" s="15">
        <f t="shared" si="71"/>
        <v>6600</v>
      </c>
    </row>
    <row r="2159" spans="1:8" x14ac:dyDescent="0.25">
      <c r="A2159" s="13">
        <v>45806</v>
      </c>
      <c r="B2159" s="15" t="s">
        <v>21</v>
      </c>
      <c r="C2159" s="3">
        <v>4</v>
      </c>
      <c r="D2159" s="13">
        <f t="shared" si="70"/>
        <v>45810</v>
      </c>
      <c r="E2159" s="15">
        <v>2440</v>
      </c>
      <c r="F2159" s="9">
        <v>9.2499999999999999E-2</v>
      </c>
      <c r="G2159" s="9">
        <v>9.2499999999999999E-2</v>
      </c>
      <c r="H2159" s="15">
        <f t="shared" si="71"/>
        <v>7840</v>
      </c>
    </row>
    <row r="2160" spans="1:8" x14ac:dyDescent="0.25">
      <c r="A2160" s="13">
        <v>45807</v>
      </c>
      <c r="B2160" s="15" t="s">
        <v>21</v>
      </c>
      <c r="C2160" s="3">
        <v>3</v>
      </c>
      <c r="D2160" s="13">
        <f t="shared" si="70"/>
        <v>45810</v>
      </c>
      <c r="E2160" s="15">
        <v>-500</v>
      </c>
      <c r="F2160" s="9">
        <v>9.35E-2</v>
      </c>
      <c r="G2160" s="9">
        <v>9.35E-2</v>
      </c>
      <c r="H2160" s="15">
        <f t="shared" si="71"/>
        <v>1940</v>
      </c>
    </row>
    <row r="2161" spans="1:9" x14ac:dyDescent="0.25">
      <c r="A2161" s="13">
        <v>45811</v>
      </c>
      <c r="B2161" s="15" t="s">
        <v>21</v>
      </c>
      <c r="C2161" s="3">
        <v>1</v>
      </c>
      <c r="D2161" s="13">
        <f t="shared" si="70"/>
        <v>45812</v>
      </c>
      <c r="E2161" s="15">
        <v>-1200</v>
      </c>
      <c r="F2161" s="9">
        <v>9.4E-2</v>
      </c>
      <c r="G2161" s="9">
        <v>9.4E-2</v>
      </c>
      <c r="H2161" s="15">
        <f t="shared" si="71"/>
        <v>-1200</v>
      </c>
    </row>
    <row r="2162" spans="1:9" x14ac:dyDescent="0.25">
      <c r="A2162" s="13">
        <v>45812</v>
      </c>
      <c r="B2162" s="15" t="s">
        <v>21</v>
      </c>
      <c r="C2162" s="3">
        <v>2</v>
      </c>
      <c r="D2162" s="13">
        <f t="shared" si="70"/>
        <v>45814</v>
      </c>
      <c r="E2162" s="15">
        <v>600</v>
      </c>
      <c r="F2162" s="9">
        <v>9.2499999999999999E-2</v>
      </c>
      <c r="G2162" s="9">
        <v>9.2499999999999999E-2</v>
      </c>
      <c r="H2162" s="15">
        <f t="shared" si="71"/>
        <v>600</v>
      </c>
    </row>
    <row r="2163" spans="1:9" x14ac:dyDescent="0.25">
      <c r="A2163" s="13">
        <v>45813</v>
      </c>
      <c r="B2163" s="15" t="s">
        <v>21</v>
      </c>
      <c r="C2163" s="3">
        <v>4</v>
      </c>
      <c r="D2163" s="13">
        <f t="shared" si="70"/>
        <v>45817</v>
      </c>
      <c r="E2163" s="15">
        <v>2800</v>
      </c>
      <c r="F2163" s="9">
        <v>9.2499999999999999E-2</v>
      </c>
      <c r="G2163" s="9">
        <v>9.2499999999999999E-2</v>
      </c>
      <c r="H2163" s="15">
        <f t="shared" si="71"/>
        <v>3400</v>
      </c>
    </row>
    <row r="2164" spans="1:9" x14ac:dyDescent="0.25">
      <c r="A2164" s="13">
        <v>45814</v>
      </c>
      <c r="B2164" s="15" t="s">
        <v>21</v>
      </c>
      <c r="C2164" s="3">
        <v>4</v>
      </c>
      <c r="D2164" s="13">
        <f t="shared" si="70"/>
        <v>45818</v>
      </c>
      <c r="E2164" s="15">
        <v>1100</v>
      </c>
      <c r="F2164" s="9">
        <v>9.2499999999999999E-2</v>
      </c>
      <c r="G2164" s="9">
        <v>9.2499999999999999E-2</v>
      </c>
      <c r="H2164" s="15">
        <f t="shared" si="71"/>
        <v>3900</v>
      </c>
    </row>
    <row r="2165" spans="1:9" x14ac:dyDescent="0.25">
      <c r="A2165" s="13">
        <v>45817</v>
      </c>
      <c r="B2165" s="15" t="s">
        <v>21</v>
      </c>
      <c r="C2165" s="3">
        <v>3</v>
      </c>
      <c r="D2165" s="13">
        <f t="shared" si="70"/>
        <v>45820</v>
      </c>
      <c r="E2165" s="15">
        <v>1000</v>
      </c>
      <c r="F2165" s="9">
        <v>9.2499999999999999E-2</v>
      </c>
      <c r="G2165" s="9">
        <v>9.2499999999999999E-2</v>
      </c>
      <c r="H2165" s="15">
        <f t="shared" si="71"/>
        <v>3700</v>
      </c>
      <c r="I2165" s="73"/>
    </row>
    <row r="2166" spans="1:9" x14ac:dyDescent="0.25">
      <c r="A2166" s="13">
        <v>45817</v>
      </c>
      <c r="B2166" s="15" t="s">
        <v>21</v>
      </c>
      <c r="C2166" s="3">
        <v>4</v>
      </c>
      <c r="D2166" s="13">
        <f t="shared" si="70"/>
        <v>45821</v>
      </c>
      <c r="E2166" s="15">
        <v>1600</v>
      </c>
      <c r="F2166" s="9">
        <v>9.2499999999999999E-2</v>
      </c>
      <c r="G2166" s="9">
        <v>9.2499999999999999E-2</v>
      </c>
      <c r="H2166" s="15">
        <f t="shared" si="71"/>
        <v>3700</v>
      </c>
    </row>
    <row r="2167" spans="1:9" x14ac:dyDescent="0.25">
      <c r="A2167" s="13">
        <v>45818</v>
      </c>
      <c r="B2167" s="15" t="s">
        <v>21</v>
      </c>
      <c r="C2167" s="3">
        <v>3</v>
      </c>
      <c r="D2167" s="13">
        <f t="shared" si="70"/>
        <v>45821</v>
      </c>
      <c r="E2167" s="15">
        <v>400</v>
      </c>
      <c r="F2167" s="9">
        <v>9.2499999999999999E-2</v>
      </c>
      <c r="G2167" s="9">
        <v>9.2499999999999999E-2</v>
      </c>
      <c r="H2167" s="15">
        <f t="shared" si="71"/>
        <v>4800</v>
      </c>
    </row>
    <row r="2168" spans="1:9" x14ac:dyDescent="0.25">
      <c r="A2168" s="13">
        <v>45818</v>
      </c>
      <c r="B2168" s="15" t="s">
        <v>21</v>
      </c>
      <c r="C2168" s="3">
        <v>6</v>
      </c>
      <c r="D2168" s="13">
        <f t="shared" si="70"/>
        <v>45824</v>
      </c>
      <c r="E2168" s="15">
        <v>1800</v>
      </c>
      <c r="F2168" s="9">
        <v>9.2499999999999999E-2</v>
      </c>
      <c r="G2168" s="9">
        <v>9.2499999999999999E-2</v>
      </c>
      <c r="H2168" s="15">
        <f t="shared" si="71"/>
        <v>4800</v>
      </c>
    </row>
    <row r="2169" spans="1:9" x14ac:dyDescent="0.25">
      <c r="A2169" s="13">
        <v>45819</v>
      </c>
      <c r="B2169" s="15" t="s">
        <v>21</v>
      </c>
      <c r="C2169" s="3">
        <v>1</v>
      </c>
      <c r="D2169" s="13">
        <f t="shared" si="70"/>
        <v>45820</v>
      </c>
      <c r="E2169" s="15">
        <v>-700</v>
      </c>
      <c r="F2169" s="9">
        <v>9.35E-2</v>
      </c>
      <c r="G2169" s="9">
        <v>9.35E-2</v>
      </c>
      <c r="H2169" s="15">
        <f t="shared" si="71"/>
        <v>4100</v>
      </c>
    </row>
    <row r="2170" spans="1:9" x14ac:dyDescent="0.25">
      <c r="A2170" s="13">
        <v>45824</v>
      </c>
      <c r="B2170" s="15" t="s">
        <v>21</v>
      </c>
      <c r="C2170" s="3">
        <v>2</v>
      </c>
      <c r="D2170" s="13">
        <f t="shared" si="70"/>
        <v>45826</v>
      </c>
      <c r="E2170" s="15">
        <v>2300</v>
      </c>
      <c r="F2170" s="9">
        <v>9.2499999999999999E-2</v>
      </c>
      <c r="G2170" s="9">
        <v>9.2499999999999999E-2</v>
      </c>
      <c r="H2170" s="15">
        <f t="shared" si="71"/>
        <v>6600</v>
      </c>
    </row>
    <row r="2171" spans="1:9" x14ac:dyDescent="0.25">
      <c r="A2171" s="13">
        <v>45824</v>
      </c>
      <c r="B2171" s="15" t="s">
        <v>21</v>
      </c>
      <c r="C2171" s="3">
        <v>4</v>
      </c>
      <c r="D2171" s="13">
        <f t="shared" si="70"/>
        <v>45828</v>
      </c>
      <c r="E2171" s="15">
        <v>2500</v>
      </c>
      <c r="F2171" s="9">
        <v>9.2499999999999999E-2</v>
      </c>
      <c r="G2171" s="9">
        <v>9.2499999999999999E-2</v>
      </c>
      <c r="H2171" s="15">
        <f t="shared" si="71"/>
        <v>6600</v>
      </c>
    </row>
    <row r="2172" spans="1:9" x14ac:dyDescent="0.25">
      <c r="A2172" s="13">
        <v>45824</v>
      </c>
      <c r="B2172" s="15" t="s">
        <v>21</v>
      </c>
      <c r="C2172" s="3">
        <v>7</v>
      </c>
      <c r="D2172" s="13">
        <f t="shared" si="70"/>
        <v>45831</v>
      </c>
      <c r="E2172" s="15">
        <v>1800</v>
      </c>
      <c r="F2172" s="9">
        <v>9.2499999999999999E-2</v>
      </c>
      <c r="G2172" s="9">
        <v>9.2499999999999999E-2</v>
      </c>
      <c r="H2172" s="15">
        <f t="shared" si="71"/>
        <v>6600</v>
      </c>
    </row>
    <row r="2173" spans="1:9" x14ac:dyDescent="0.25">
      <c r="A2173" s="13">
        <v>45825</v>
      </c>
      <c r="B2173" s="15" t="s">
        <v>21</v>
      </c>
      <c r="C2173" s="3">
        <v>3</v>
      </c>
      <c r="D2173" s="13">
        <f t="shared" si="70"/>
        <v>45828</v>
      </c>
      <c r="E2173" s="15">
        <v>1000</v>
      </c>
      <c r="F2173" s="9">
        <v>9.2499999999999999E-2</v>
      </c>
      <c r="G2173" s="9">
        <v>9.2499999999999999E-2</v>
      </c>
      <c r="H2173" s="15">
        <f t="shared" si="71"/>
        <v>7600</v>
      </c>
    </row>
    <row r="2174" spans="1:9" x14ac:dyDescent="0.25">
      <c r="A2174" s="13">
        <v>45826</v>
      </c>
      <c r="B2174" s="15" t="s">
        <v>21</v>
      </c>
      <c r="C2174" s="3">
        <v>5</v>
      </c>
      <c r="D2174" s="13">
        <f t="shared" si="70"/>
        <v>45831</v>
      </c>
      <c r="E2174" s="15">
        <v>4300</v>
      </c>
      <c r="F2174" s="9">
        <v>9.2499999999999999E-2</v>
      </c>
      <c r="G2174" s="9">
        <v>9.2499999999999999E-2</v>
      </c>
      <c r="H2174" s="15">
        <f t="shared" si="71"/>
        <v>15900</v>
      </c>
    </row>
    <row r="2175" spans="1:9" x14ac:dyDescent="0.25">
      <c r="A2175" s="13">
        <v>45826</v>
      </c>
      <c r="B2175" s="15" t="s">
        <v>21</v>
      </c>
      <c r="C2175" s="3">
        <v>6</v>
      </c>
      <c r="D2175" s="13">
        <f t="shared" si="70"/>
        <v>45832</v>
      </c>
      <c r="E2175" s="15">
        <v>4000</v>
      </c>
      <c r="F2175" s="9">
        <v>9.2499999999999999E-2</v>
      </c>
      <c r="G2175" s="9">
        <v>9.2499999999999999E-2</v>
      </c>
      <c r="H2175" s="15">
        <f t="shared" si="71"/>
        <v>15900</v>
      </c>
    </row>
    <row r="2176" spans="1:9" x14ac:dyDescent="0.25">
      <c r="A2176" s="13">
        <v>45826</v>
      </c>
      <c r="B2176" s="15" t="s">
        <v>21</v>
      </c>
      <c r="C2176" s="3">
        <v>7</v>
      </c>
      <c r="D2176" s="13">
        <f t="shared" si="70"/>
        <v>45833</v>
      </c>
      <c r="E2176" s="15">
        <v>2300</v>
      </c>
      <c r="F2176" s="9">
        <v>9.2499999999999999E-2</v>
      </c>
      <c r="G2176" s="9">
        <v>9.2499999999999999E-2</v>
      </c>
      <c r="H2176" s="15">
        <f t="shared" si="71"/>
        <v>15900</v>
      </c>
    </row>
    <row r="2177" spans="1:8" x14ac:dyDescent="0.25">
      <c r="A2177" s="13">
        <v>45828</v>
      </c>
      <c r="B2177" s="15" t="s">
        <v>21</v>
      </c>
      <c r="C2177" s="3">
        <v>4</v>
      </c>
      <c r="D2177" s="13">
        <f t="shared" si="70"/>
        <v>45832</v>
      </c>
      <c r="E2177" s="15">
        <v>2000</v>
      </c>
      <c r="F2177" s="9">
        <v>9.2499999999999999E-2</v>
      </c>
      <c r="G2177" s="9">
        <v>9.2499999999999999E-2</v>
      </c>
      <c r="H2177" s="15">
        <f t="shared" si="71"/>
        <v>16100</v>
      </c>
    </row>
    <row r="2178" spans="1:8" x14ac:dyDescent="0.25">
      <c r="A2178" s="13">
        <v>45828</v>
      </c>
      <c r="B2178" s="15" t="s">
        <v>21</v>
      </c>
      <c r="C2178" s="3">
        <v>5</v>
      </c>
      <c r="D2178" s="13">
        <f t="shared" si="70"/>
        <v>45833</v>
      </c>
      <c r="E2178" s="15">
        <v>1500</v>
      </c>
      <c r="F2178" s="9">
        <v>9.2499999999999999E-2</v>
      </c>
      <c r="G2178" s="9">
        <v>9.2499999999999999E-2</v>
      </c>
      <c r="H2178" s="15">
        <f t="shared" si="71"/>
        <v>16100</v>
      </c>
    </row>
    <row r="2179" spans="1:8" x14ac:dyDescent="0.25">
      <c r="A2179" s="13">
        <v>45828</v>
      </c>
      <c r="B2179" s="15" t="s">
        <v>21</v>
      </c>
      <c r="C2179" s="3">
        <v>6</v>
      </c>
      <c r="D2179" s="13">
        <f t="shared" ref="D2179:D2284" si="72">+A2179+C2179</f>
        <v>45834</v>
      </c>
      <c r="E2179" s="15">
        <v>200</v>
      </c>
      <c r="F2179" s="9">
        <v>9.2499999999999999E-2</v>
      </c>
      <c r="G2179" s="9">
        <v>9.2499999999999999E-2</v>
      </c>
      <c r="H2179" s="15">
        <f t="shared" si="71"/>
        <v>16100</v>
      </c>
    </row>
    <row r="2180" spans="1:8" x14ac:dyDescent="0.25">
      <c r="A2180" s="13">
        <v>45831</v>
      </c>
      <c r="B2180" s="15" t="s">
        <v>21</v>
      </c>
      <c r="C2180" s="3">
        <v>1</v>
      </c>
      <c r="D2180" s="13">
        <f t="shared" si="72"/>
        <v>45832</v>
      </c>
      <c r="E2180" s="15">
        <v>200</v>
      </c>
      <c r="F2180" s="9">
        <v>9.1499999999999998E-2</v>
      </c>
      <c r="G2180" s="9">
        <v>9.1499999999999998E-2</v>
      </c>
      <c r="H2180" s="15">
        <f t="shared" si="71"/>
        <v>20600</v>
      </c>
    </row>
    <row r="2181" spans="1:8" x14ac:dyDescent="0.25">
      <c r="A2181" s="13">
        <v>45831</v>
      </c>
      <c r="B2181" s="15" t="s">
        <v>21</v>
      </c>
      <c r="C2181" s="3">
        <v>2</v>
      </c>
      <c r="D2181" s="13">
        <f t="shared" si="72"/>
        <v>45833</v>
      </c>
      <c r="E2181" s="15">
        <v>2600</v>
      </c>
      <c r="F2181" s="9">
        <v>9.2499999999999999E-2</v>
      </c>
      <c r="G2181" s="9">
        <v>9.2499999999999999E-2</v>
      </c>
      <c r="H2181" s="15">
        <f t="shared" si="71"/>
        <v>20600</v>
      </c>
    </row>
    <row r="2182" spans="1:8" x14ac:dyDescent="0.25">
      <c r="A2182" s="13">
        <v>45831</v>
      </c>
      <c r="B2182" s="15" t="s">
        <v>21</v>
      </c>
      <c r="C2182" s="3">
        <v>3</v>
      </c>
      <c r="D2182" s="13">
        <f t="shared" si="72"/>
        <v>45834</v>
      </c>
      <c r="E2182" s="15">
        <v>3100</v>
      </c>
      <c r="F2182" s="9">
        <v>9.2499999999999999E-2</v>
      </c>
      <c r="G2182" s="9">
        <v>9.2499999999999999E-2</v>
      </c>
      <c r="H2182" s="15">
        <f t="shared" si="71"/>
        <v>20600</v>
      </c>
    </row>
    <row r="2183" spans="1:8" x14ac:dyDescent="0.25">
      <c r="A2183" s="13">
        <v>45831</v>
      </c>
      <c r="B2183" s="15" t="s">
        <v>21</v>
      </c>
      <c r="C2183" s="3">
        <v>4</v>
      </c>
      <c r="D2183" s="13">
        <f t="shared" si="72"/>
        <v>45835</v>
      </c>
      <c r="E2183" s="15">
        <v>2200</v>
      </c>
      <c r="F2183" s="9">
        <v>9.2499999999999999E-2</v>
      </c>
      <c r="G2183" s="9">
        <v>9.2499999999999999E-2</v>
      </c>
      <c r="H2183" s="15">
        <f t="shared" si="71"/>
        <v>20600</v>
      </c>
    </row>
    <row r="2184" spans="1:8" x14ac:dyDescent="0.25">
      <c r="A2184" s="13">
        <v>45831</v>
      </c>
      <c r="B2184" s="15" t="s">
        <v>21</v>
      </c>
      <c r="C2184" s="3">
        <v>7</v>
      </c>
      <c r="D2184" s="13">
        <f t="shared" si="72"/>
        <v>45838</v>
      </c>
      <c r="E2184" s="15">
        <v>2500</v>
      </c>
      <c r="F2184" s="9">
        <v>9.2499999999999999E-2</v>
      </c>
      <c r="G2184" s="9">
        <v>9.2499999999999999E-2</v>
      </c>
      <c r="H2184" s="15">
        <f t="shared" si="71"/>
        <v>20600</v>
      </c>
    </row>
    <row r="2185" spans="1:8" x14ac:dyDescent="0.25">
      <c r="A2185" s="13">
        <v>45832</v>
      </c>
      <c r="B2185" s="15" t="s">
        <v>21</v>
      </c>
      <c r="C2185" s="3">
        <v>1</v>
      </c>
      <c r="D2185" s="13">
        <f t="shared" si="72"/>
        <v>45833</v>
      </c>
      <c r="E2185" s="15">
        <v>700</v>
      </c>
      <c r="F2185" s="9">
        <v>9.2499999999999999E-2</v>
      </c>
      <c r="G2185" s="9">
        <v>9.2499999999999999E-2</v>
      </c>
      <c r="H2185" s="15">
        <f t="shared" si="71"/>
        <v>24400</v>
      </c>
    </row>
    <row r="2186" spans="1:8" x14ac:dyDescent="0.25">
      <c r="A2186" s="13">
        <v>45832</v>
      </c>
      <c r="B2186" s="15" t="s">
        <v>21</v>
      </c>
      <c r="C2186" s="3">
        <v>2</v>
      </c>
      <c r="D2186" s="13">
        <f t="shared" si="72"/>
        <v>45834</v>
      </c>
      <c r="E2186" s="15">
        <v>3900</v>
      </c>
      <c r="F2186" s="9">
        <v>9.2499999999999999E-2</v>
      </c>
      <c r="G2186" s="9">
        <v>9.2499999999999999E-2</v>
      </c>
      <c r="H2186" s="15">
        <f t="shared" ref="H2186:H2249" si="73">+SUMIFS($E$10:$E$4503,$A$10:$A$4503,"&lt;="&amp;A2186,$D$10:$D$4503,"&gt;"&amp;A2186)</f>
        <v>24400</v>
      </c>
    </row>
    <row r="2187" spans="1:8" x14ac:dyDescent="0.25">
      <c r="A2187" s="13">
        <v>45832</v>
      </c>
      <c r="B2187" s="15" t="s">
        <v>21</v>
      </c>
      <c r="C2187" s="3">
        <v>3</v>
      </c>
      <c r="D2187" s="13">
        <f t="shared" si="72"/>
        <v>45835</v>
      </c>
      <c r="E2187" s="15">
        <v>1200</v>
      </c>
      <c r="F2187" s="9">
        <v>9.2499999999999999E-2</v>
      </c>
      <c r="G2187" s="9">
        <v>9.2499999999999999E-2</v>
      </c>
      <c r="H2187" s="15">
        <f t="shared" si="73"/>
        <v>24400</v>
      </c>
    </row>
    <row r="2188" spans="1:8" x14ac:dyDescent="0.25">
      <c r="A2188" s="13">
        <v>45832</v>
      </c>
      <c r="B2188" s="15" t="s">
        <v>21</v>
      </c>
      <c r="C2188" s="3">
        <v>6</v>
      </c>
      <c r="D2188" s="13">
        <f t="shared" si="72"/>
        <v>45838</v>
      </c>
      <c r="E2188" s="15">
        <v>4200</v>
      </c>
      <c r="F2188" s="9">
        <v>9.2499999999999999E-2</v>
      </c>
      <c r="G2188" s="9">
        <v>9.2499999999999999E-2</v>
      </c>
      <c r="H2188" s="15">
        <f t="shared" si="73"/>
        <v>24400</v>
      </c>
    </row>
    <row r="2189" spans="1:8" x14ac:dyDescent="0.25">
      <c r="A2189" s="13">
        <v>45833</v>
      </c>
      <c r="B2189" s="15" t="s">
        <v>21</v>
      </c>
      <c r="C2189" s="3">
        <v>1</v>
      </c>
      <c r="D2189" s="13">
        <f t="shared" si="72"/>
        <v>45834</v>
      </c>
      <c r="E2189" s="15">
        <v>-900</v>
      </c>
      <c r="F2189" s="9">
        <v>9.35E-2</v>
      </c>
      <c r="G2189" s="9">
        <v>9.35E-2</v>
      </c>
      <c r="H2189" s="15">
        <f t="shared" si="73"/>
        <v>16400</v>
      </c>
    </row>
    <row r="2190" spans="1:8" x14ac:dyDescent="0.25">
      <c r="A2190" s="13">
        <v>45834</v>
      </c>
      <c r="B2190" s="15" t="s">
        <v>21</v>
      </c>
      <c r="C2190" s="3">
        <v>1</v>
      </c>
      <c r="D2190" s="13">
        <f t="shared" si="72"/>
        <v>45835</v>
      </c>
      <c r="E2190" s="15">
        <v>-1200</v>
      </c>
      <c r="F2190" s="9">
        <v>9.35E-2</v>
      </c>
      <c r="G2190" s="9">
        <v>9.35E-2</v>
      </c>
      <c r="H2190" s="15">
        <f t="shared" si="73"/>
        <v>9700</v>
      </c>
    </row>
    <row r="2191" spans="1:8" x14ac:dyDescent="0.25">
      <c r="A2191" s="13">
        <v>45834</v>
      </c>
      <c r="B2191" s="15" t="s">
        <v>21</v>
      </c>
      <c r="C2191" s="3">
        <v>4</v>
      </c>
      <c r="D2191" s="13">
        <f t="shared" si="72"/>
        <v>45838</v>
      </c>
      <c r="E2191" s="15">
        <v>800</v>
      </c>
      <c r="F2191" s="9">
        <v>9.2499999999999999E-2</v>
      </c>
      <c r="G2191" s="9">
        <v>9.2499999999999999E-2</v>
      </c>
      <c r="H2191" s="15">
        <f t="shared" si="73"/>
        <v>9700</v>
      </c>
    </row>
    <row r="2192" spans="1:8" x14ac:dyDescent="0.25">
      <c r="A2192" s="13">
        <v>45835</v>
      </c>
      <c r="B2192" s="15" t="s">
        <v>21</v>
      </c>
      <c r="C2192" s="3">
        <v>3</v>
      </c>
      <c r="D2192" s="13">
        <f t="shared" si="72"/>
        <v>45838</v>
      </c>
      <c r="E2192" s="15">
        <v>-4500</v>
      </c>
      <c r="F2192" s="9">
        <v>9.35E-2</v>
      </c>
      <c r="G2192" s="9">
        <v>9.35E-2</v>
      </c>
      <c r="H2192" s="15">
        <f t="shared" si="73"/>
        <v>3000</v>
      </c>
    </row>
    <row r="2193" spans="1:8" x14ac:dyDescent="0.25">
      <c r="A2193" s="13">
        <v>45839</v>
      </c>
      <c r="B2193" s="15" t="s">
        <v>21</v>
      </c>
      <c r="C2193" s="3">
        <v>1</v>
      </c>
      <c r="D2193" s="13">
        <f t="shared" si="72"/>
        <v>45840</v>
      </c>
      <c r="E2193" s="15">
        <v>-800</v>
      </c>
      <c r="F2193" s="9">
        <v>9.4E-2</v>
      </c>
      <c r="G2193" s="9">
        <v>9.4E-2</v>
      </c>
      <c r="H2193" s="15">
        <f t="shared" si="73"/>
        <v>-1400</v>
      </c>
    </row>
    <row r="2194" spans="1:8" x14ac:dyDescent="0.25">
      <c r="A2194" s="13">
        <v>45839</v>
      </c>
      <c r="B2194" s="15" t="s">
        <v>21</v>
      </c>
      <c r="C2194" s="3">
        <v>6</v>
      </c>
      <c r="D2194" s="13">
        <f t="shared" si="72"/>
        <v>45845</v>
      </c>
      <c r="E2194" s="15">
        <v>-600</v>
      </c>
      <c r="F2194" s="9">
        <v>9.4E-2</v>
      </c>
      <c r="G2194" s="9">
        <v>9.4E-2</v>
      </c>
      <c r="H2194" s="15">
        <f t="shared" si="73"/>
        <v>-1400</v>
      </c>
    </row>
    <row r="2195" spans="1:8" x14ac:dyDescent="0.25">
      <c r="A2195" s="13">
        <v>45840</v>
      </c>
      <c r="B2195" s="15" t="s">
        <v>21</v>
      </c>
      <c r="C2195" s="3">
        <v>1</v>
      </c>
      <c r="D2195" s="13">
        <f t="shared" si="72"/>
        <v>45841</v>
      </c>
      <c r="E2195" s="15">
        <v>300</v>
      </c>
      <c r="F2195" s="9">
        <v>0.09</v>
      </c>
      <c r="G2195" s="9">
        <v>0.09</v>
      </c>
      <c r="H2195" s="15">
        <f t="shared" si="73"/>
        <v>4500</v>
      </c>
    </row>
    <row r="2196" spans="1:8" x14ac:dyDescent="0.25">
      <c r="A2196" s="13">
        <v>45840</v>
      </c>
      <c r="B2196" s="15" t="s">
        <v>21</v>
      </c>
      <c r="C2196" s="3">
        <v>2</v>
      </c>
      <c r="D2196" s="13">
        <f t="shared" si="72"/>
        <v>45842</v>
      </c>
      <c r="E2196" s="15">
        <v>3300</v>
      </c>
      <c r="F2196" s="9">
        <v>9.2499999999999999E-2</v>
      </c>
      <c r="G2196" s="9">
        <v>9.2499999999999999E-2</v>
      </c>
      <c r="H2196" s="15">
        <f t="shared" si="73"/>
        <v>4500</v>
      </c>
    </row>
    <row r="2197" spans="1:8" x14ac:dyDescent="0.25">
      <c r="A2197" s="13">
        <v>45840</v>
      </c>
      <c r="B2197" s="15" t="s">
        <v>21</v>
      </c>
      <c r="C2197" s="3">
        <v>5</v>
      </c>
      <c r="D2197" s="13">
        <f t="shared" si="72"/>
        <v>45845</v>
      </c>
      <c r="E2197" s="15">
        <v>1000</v>
      </c>
      <c r="F2197" s="9">
        <v>9.2499999999999999E-2</v>
      </c>
      <c r="G2197" s="9">
        <v>9.2499999999999999E-2</v>
      </c>
      <c r="H2197" s="15">
        <f t="shared" si="73"/>
        <v>4500</v>
      </c>
    </row>
    <row r="2198" spans="1:8" x14ac:dyDescent="0.25">
      <c r="A2198" s="13">
        <v>45840</v>
      </c>
      <c r="B2198" s="15" t="s">
        <v>21</v>
      </c>
      <c r="C2198" s="3">
        <v>7</v>
      </c>
      <c r="D2198" s="13">
        <f t="shared" si="72"/>
        <v>45847</v>
      </c>
      <c r="E2198" s="15">
        <v>500</v>
      </c>
      <c r="F2198" s="9">
        <v>9.2499999999999999E-2</v>
      </c>
      <c r="G2198" s="9">
        <v>9.2499999999999999E-2</v>
      </c>
      <c r="H2198" s="15">
        <f t="shared" si="73"/>
        <v>4500</v>
      </c>
    </row>
    <row r="2199" spans="1:8" x14ac:dyDescent="0.25">
      <c r="A2199" s="13">
        <v>45841</v>
      </c>
      <c r="B2199" s="15" t="s">
        <v>21</v>
      </c>
      <c r="C2199" s="3">
        <v>4</v>
      </c>
      <c r="D2199" s="13">
        <f t="shared" si="72"/>
        <v>45845</v>
      </c>
      <c r="E2199" s="15">
        <v>2400</v>
      </c>
      <c r="F2199" s="9">
        <v>9.2499999999999999E-2</v>
      </c>
      <c r="G2199" s="9">
        <v>9.2499999999999999E-2</v>
      </c>
      <c r="H2199" s="15">
        <f t="shared" si="73"/>
        <v>7700</v>
      </c>
    </row>
    <row r="2200" spans="1:8" x14ac:dyDescent="0.25">
      <c r="A2200" s="13">
        <v>45841</v>
      </c>
      <c r="B2200" s="15" t="s">
        <v>21</v>
      </c>
      <c r="C2200" s="3">
        <v>5</v>
      </c>
      <c r="D2200" s="13">
        <f t="shared" si="72"/>
        <v>45846</v>
      </c>
      <c r="E2200" s="15">
        <v>1000</v>
      </c>
      <c r="F2200" s="9">
        <v>9.2499999999999999E-2</v>
      </c>
      <c r="G2200" s="9">
        <v>9.2499999999999999E-2</v>
      </c>
      <c r="H2200" s="15">
        <f t="shared" si="73"/>
        <v>7700</v>
      </c>
    </row>
    <row r="2201" spans="1:8" x14ac:dyDescent="0.25">
      <c r="A2201" s="13">
        <v>45841</v>
      </c>
      <c r="B2201" s="15" t="s">
        <v>21</v>
      </c>
      <c r="C2201" s="3">
        <v>6</v>
      </c>
      <c r="D2201" s="13">
        <f t="shared" si="72"/>
        <v>45847</v>
      </c>
      <c r="E2201" s="15">
        <v>100</v>
      </c>
      <c r="F2201" s="9">
        <v>9.2499999999999999E-2</v>
      </c>
      <c r="G2201" s="9">
        <v>9.2499999999999999E-2</v>
      </c>
      <c r="H2201" s="15">
        <f t="shared" si="73"/>
        <v>7700</v>
      </c>
    </row>
    <row r="2202" spans="1:8" x14ac:dyDescent="0.25">
      <c r="A2202" s="13">
        <v>45842</v>
      </c>
      <c r="B2202" s="15" t="s">
        <v>21</v>
      </c>
      <c r="C2202" s="3">
        <v>3</v>
      </c>
      <c r="D2202" s="13">
        <f t="shared" si="72"/>
        <v>45845</v>
      </c>
      <c r="E2202" s="15">
        <v>640</v>
      </c>
      <c r="F2202" s="9">
        <v>0.09</v>
      </c>
      <c r="G2202" s="9">
        <v>9.2499999999999999E-2</v>
      </c>
      <c r="H2202" s="15">
        <f t="shared" si="73"/>
        <v>16840</v>
      </c>
    </row>
    <row r="2203" spans="1:8" x14ac:dyDescent="0.25">
      <c r="A2203" s="13">
        <v>45842</v>
      </c>
      <c r="B2203" s="15" t="s">
        <v>21</v>
      </c>
      <c r="C2203" s="3">
        <v>4</v>
      </c>
      <c r="D2203" s="13">
        <f t="shared" si="72"/>
        <v>45846</v>
      </c>
      <c r="E2203" s="15">
        <v>1000</v>
      </c>
      <c r="F2203" s="9">
        <v>9.2499999999999999E-2</v>
      </c>
      <c r="G2203" s="9">
        <v>9.2499999999999999E-2</v>
      </c>
      <c r="H2203" s="15">
        <f t="shared" si="73"/>
        <v>16840</v>
      </c>
    </row>
    <row r="2204" spans="1:8" x14ac:dyDescent="0.25">
      <c r="A2204" s="13">
        <v>45842</v>
      </c>
      <c r="B2204" s="15" t="s">
        <v>21</v>
      </c>
      <c r="C2204" s="3">
        <v>5</v>
      </c>
      <c r="D2204" s="13">
        <f t="shared" si="72"/>
        <v>45847</v>
      </c>
      <c r="E2204" s="15">
        <v>10800</v>
      </c>
      <c r="F2204" s="9">
        <v>9.2499999999999999E-2</v>
      </c>
      <c r="G2204" s="9">
        <v>9.2499999999999999E-2</v>
      </c>
      <c r="H2204" s="15">
        <f t="shared" si="73"/>
        <v>16840</v>
      </c>
    </row>
    <row r="2205" spans="1:8" x14ac:dyDescent="0.25">
      <c r="A2205" s="13">
        <v>45845</v>
      </c>
      <c r="B2205" s="15" t="s">
        <v>21</v>
      </c>
      <c r="C2205" s="3">
        <v>1</v>
      </c>
      <c r="D2205" s="13">
        <f t="shared" si="72"/>
        <v>45846</v>
      </c>
      <c r="E2205" s="15">
        <v>950</v>
      </c>
      <c r="F2205" s="9">
        <v>9.0999999999999998E-2</v>
      </c>
      <c r="G2205" s="9">
        <v>9.2499999999999999E-2</v>
      </c>
      <c r="H2205" s="15">
        <f t="shared" si="73"/>
        <v>18050</v>
      </c>
    </row>
    <row r="2206" spans="1:8" x14ac:dyDescent="0.25">
      <c r="A2206" s="13">
        <v>45845</v>
      </c>
      <c r="B2206" s="15" t="s">
        <v>21</v>
      </c>
      <c r="C2206" s="3">
        <v>2</v>
      </c>
      <c r="D2206" s="13">
        <f t="shared" si="72"/>
        <v>45847</v>
      </c>
      <c r="E2206" s="15">
        <v>3700</v>
      </c>
      <c r="F2206" s="9">
        <v>9.1499999999999998E-2</v>
      </c>
      <c r="G2206" s="9">
        <v>9.2499999999999999E-2</v>
      </c>
      <c r="H2206" s="15">
        <f t="shared" si="73"/>
        <v>18050</v>
      </c>
    </row>
    <row r="2207" spans="1:8" x14ac:dyDescent="0.25">
      <c r="A2207" s="13">
        <v>45846</v>
      </c>
      <c r="B2207" s="15" t="s">
        <v>21</v>
      </c>
      <c r="C2207" s="3">
        <v>1</v>
      </c>
      <c r="D2207" s="13">
        <f t="shared" si="72"/>
        <v>45847</v>
      </c>
      <c r="E2207" s="15">
        <v>4000</v>
      </c>
      <c r="F2207" s="9">
        <v>9.1499999999999998E-2</v>
      </c>
      <c r="G2207" s="9">
        <v>9.2499999999999999E-2</v>
      </c>
      <c r="H2207" s="15">
        <f t="shared" si="73"/>
        <v>19100</v>
      </c>
    </row>
    <row r="2208" spans="1:8" x14ac:dyDescent="0.25">
      <c r="A2208" s="13">
        <v>45847</v>
      </c>
      <c r="B2208" s="15" t="s">
        <v>21</v>
      </c>
      <c r="C2208" s="3">
        <v>2</v>
      </c>
      <c r="D2208" s="13">
        <f t="shared" si="72"/>
        <v>45849</v>
      </c>
      <c r="E2208" s="15">
        <v>3300</v>
      </c>
      <c r="F2208" s="9">
        <v>0.09</v>
      </c>
      <c r="G2208" s="9">
        <v>0.09</v>
      </c>
      <c r="H2208" s="15">
        <f t="shared" si="73"/>
        <v>7800</v>
      </c>
    </row>
    <row r="2209" spans="1:8" x14ac:dyDescent="0.25">
      <c r="A2209" s="13">
        <v>45847</v>
      </c>
      <c r="B2209" s="15" t="s">
        <v>21</v>
      </c>
      <c r="C2209" s="3">
        <v>5</v>
      </c>
      <c r="D2209" s="13">
        <f t="shared" si="72"/>
        <v>45852</v>
      </c>
      <c r="E2209" s="15">
        <v>4000</v>
      </c>
      <c r="F2209" s="9">
        <v>0.09</v>
      </c>
      <c r="G2209" s="9">
        <v>0.09</v>
      </c>
      <c r="H2209" s="15">
        <f t="shared" si="73"/>
        <v>7800</v>
      </c>
    </row>
    <row r="2210" spans="1:8" x14ac:dyDescent="0.25">
      <c r="A2210" s="13">
        <v>45847</v>
      </c>
      <c r="B2210" s="15" t="s">
        <v>21</v>
      </c>
      <c r="C2210" s="3">
        <v>6</v>
      </c>
      <c r="D2210" s="13">
        <f t="shared" si="72"/>
        <v>45853</v>
      </c>
      <c r="E2210" s="15">
        <v>500</v>
      </c>
      <c r="F2210" s="9">
        <v>0.09</v>
      </c>
      <c r="G2210" s="9">
        <v>0.09</v>
      </c>
      <c r="H2210" s="15">
        <f t="shared" si="73"/>
        <v>7800</v>
      </c>
    </row>
    <row r="2211" spans="1:8" x14ac:dyDescent="0.25">
      <c r="A2211" s="13">
        <v>45848</v>
      </c>
      <c r="B2211" s="15" t="s">
        <v>21</v>
      </c>
      <c r="C2211" s="3">
        <v>4</v>
      </c>
      <c r="D2211" s="13">
        <f t="shared" si="72"/>
        <v>45852</v>
      </c>
      <c r="E2211" s="15">
        <v>400</v>
      </c>
      <c r="F2211" s="9">
        <v>0.09</v>
      </c>
      <c r="G2211" s="9">
        <v>0.09</v>
      </c>
      <c r="H2211" s="15">
        <f t="shared" si="73"/>
        <v>8200</v>
      </c>
    </row>
    <row r="2212" spans="1:8" x14ac:dyDescent="0.25">
      <c r="A2212" s="13">
        <v>45849</v>
      </c>
      <c r="B2212" s="15" t="s">
        <v>21</v>
      </c>
      <c r="C2212" s="3">
        <v>3</v>
      </c>
      <c r="D2212" s="13">
        <f t="shared" si="72"/>
        <v>45852</v>
      </c>
      <c r="E2212" s="15">
        <v>500</v>
      </c>
      <c r="F2212" s="9">
        <v>0.09</v>
      </c>
      <c r="G2212" s="9">
        <v>0.09</v>
      </c>
      <c r="H2212" s="15">
        <f t="shared" si="73"/>
        <v>15200</v>
      </c>
    </row>
    <row r="2213" spans="1:8" x14ac:dyDescent="0.25">
      <c r="A2213" s="13">
        <v>45849</v>
      </c>
      <c r="B2213" s="15" t="s">
        <v>21</v>
      </c>
      <c r="C2213" s="3">
        <v>4</v>
      </c>
      <c r="D2213" s="13">
        <f t="shared" si="72"/>
        <v>45853</v>
      </c>
      <c r="E2213" s="15">
        <v>3800</v>
      </c>
      <c r="F2213" s="9">
        <v>0.09</v>
      </c>
      <c r="G2213" s="9">
        <v>0.09</v>
      </c>
      <c r="H2213" s="15">
        <f t="shared" si="73"/>
        <v>15200</v>
      </c>
    </row>
    <row r="2214" spans="1:8" x14ac:dyDescent="0.25">
      <c r="A2214" s="13">
        <v>45849</v>
      </c>
      <c r="B2214" s="15" t="s">
        <v>21</v>
      </c>
      <c r="C2214" s="3">
        <v>5</v>
      </c>
      <c r="D2214" s="13">
        <f t="shared" si="72"/>
        <v>45854</v>
      </c>
      <c r="E2214" s="15">
        <v>2000</v>
      </c>
      <c r="F2214" s="9">
        <v>0.09</v>
      </c>
      <c r="G2214" s="9">
        <v>0.09</v>
      </c>
      <c r="H2214" s="15">
        <f t="shared" si="73"/>
        <v>15200</v>
      </c>
    </row>
    <row r="2215" spans="1:8" x14ac:dyDescent="0.25">
      <c r="A2215" s="13">
        <v>45849</v>
      </c>
      <c r="B2215" s="15" t="s">
        <v>21</v>
      </c>
      <c r="C2215" s="3">
        <v>10</v>
      </c>
      <c r="D2215" s="13">
        <f t="shared" si="72"/>
        <v>45859</v>
      </c>
      <c r="E2215" s="15">
        <v>4000</v>
      </c>
      <c r="F2215" s="9">
        <v>0.09</v>
      </c>
      <c r="G2215" s="9">
        <v>0.09</v>
      </c>
      <c r="H2215" s="15">
        <f t="shared" si="73"/>
        <v>15200</v>
      </c>
    </row>
    <row r="2216" spans="1:8" x14ac:dyDescent="0.25">
      <c r="A2216" s="13">
        <v>45852</v>
      </c>
      <c r="B2216" s="15" t="s">
        <v>21</v>
      </c>
      <c r="C2216" s="3">
        <v>1</v>
      </c>
      <c r="D2216" s="13">
        <f t="shared" si="72"/>
        <v>45853</v>
      </c>
      <c r="E2216" s="15">
        <v>800</v>
      </c>
      <c r="F2216" s="9">
        <v>0.09</v>
      </c>
      <c r="G2216" s="9">
        <v>0.09</v>
      </c>
      <c r="H2216" s="15">
        <f t="shared" si="73"/>
        <v>19100</v>
      </c>
    </row>
    <row r="2217" spans="1:8" x14ac:dyDescent="0.25">
      <c r="A2217" s="13">
        <v>45852</v>
      </c>
      <c r="B2217" s="15" t="s">
        <v>21</v>
      </c>
      <c r="C2217" s="3">
        <v>2</v>
      </c>
      <c r="D2217" s="13">
        <f t="shared" si="72"/>
        <v>45854</v>
      </c>
      <c r="E2217" s="15">
        <v>2200</v>
      </c>
      <c r="F2217" s="9">
        <v>0.09</v>
      </c>
      <c r="G2217" s="9">
        <v>0.09</v>
      </c>
      <c r="H2217" s="15">
        <f t="shared" si="73"/>
        <v>19100</v>
      </c>
    </row>
    <row r="2218" spans="1:8" x14ac:dyDescent="0.25">
      <c r="A2218" s="13">
        <v>45852</v>
      </c>
      <c r="B2218" s="15" t="s">
        <v>21</v>
      </c>
      <c r="C2218" s="3">
        <v>3</v>
      </c>
      <c r="D2218" s="13">
        <f t="shared" si="72"/>
        <v>45855</v>
      </c>
      <c r="E2218" s="15">
        <v>1300</v>
      </c>
      <c r="F2218" s="9">
        <v>0.09</v>
      </c>
      <c r="G2218" s="9">
        <v>0.09</v>
      </c>
      <c r="H2218" s="15">
        <f t="shared" si="73"/>
        <v>19100</v>
      </c>
    </row>
    <row r="2219" spans="1:8" x14ac:dyDescent="0.25">
      <c r="A2219" s="13">
        <v>45852</v>
      </c>
      <c r="B2219" s="15" t="s">
        <v>21</v>
      </c>
      <c r="C2219" s="3">
        <v>7</v>
      </c>
      <c r="D2219" s="13">
        <f t="shared" si="72"/>
        <v>45859</v>
      </c>
      <c r="E2219" s="15">
        <v>3500</v>
      </c>
      <c r="F2219" s="9">
        <v>0.09</v>
      </c>
      <c r="G2219" s="9">
        <v>0.09</v>
      </c>
      <c r="H2219" s="15">
        <f t="shared" si="73"/>
        <v>19100</v>
      </c>
    </row>
    <row r="2220" spans="1:8" x14ac:dyDescent="0.25">
      <c r="A2220" s="13">
        <v>45852</v>
      </c>
      <c r="B2220" s="15" t="s">
        <v>21</v>
      </c>
      <c r="C2220" s="3">
        <v>8</v>
      </c>
      <c r="D2220" s="13">
        <f t="shared" si="72"/>
        <v>45860</v>
      </c>
      <c r="E2220" s="15">
        <v>1000</v>
      </c>
      <c r="F2220" s="9">
        <v>0.09</v>
      </c>
      <c r="G2220" s="9">
        <v>0.09</v>
      </c>
      <c r="H2220" s="15">
        <f t="shared" si="73"/>
        <v>19100</v>
      </c>
    </row>
    <row r="2221" spans="1:8" x14ac:dyDescent="0.25">
      <c r="A2221" s="13">
        <v>45853</v>
      </c>
      <c r="B2221" s="15" t="s">
        <v>21</v>
      </c>
      <c r="C2221" s="3">
        <v>1</v>
      </c>
      <c r="D2221" s="13">
        <f t="shared" si="72"/>
        <v>45854</v>
      </c>
      <c r="E2221" s="15">
        <v>400</v>
      </c>
      <c r="F2221" s="9">
        <v>0.09</v>
      </c>
      <c r="G2221" s="9">
        <v>0.09</v>
      </c>
      <c r="H2221" s="15">
        <f t="shared" si="73"/>
        <v>20300</v>
      </c>
    </row>
    <row r="2222" spans="1:8" x14ac:dyDescent="0.25">
      <c r="A2222" s="13">
        <v>45853</v>
      </c>
      <c r="B2222" s="15" t="s">
        <v>21</v>
      </c>
      <c r="C2222" s="3">
        <v>2</v>
      </c>
      <c r="D2222" s="13">
        <f t="shared" si="72"/>
        <v>45855</v>
      </c>
      <c r="E2222" s="15">
        <v>400</v>
      </c>
      <c r="F2222" s="9">
        <v>0.09</v>
      </c>
      <c r="G2222" s="9">
        <v>0.09</v>
      </c>
      <c r="H2222" s="15">
        <f t="shared" si="73"/>
        <v>20300</v>
      </c>
    </row>
    <row r="2223" spans="1:8" x14ac:dyDescent="0.25">
      <c r="A2223" s="13">
        <v>45853</v>
      </c>
      <c r="B2223" s="15" t="s">
        <v>21</v>
      </c>
      <c r="C2223" s="3">
        <v>6</v>
      </c>
      <c r="D2223" s="13">
        <f t="shared" si="72"/>
        <v>45859</v>
      </c>
      <c r="E2223" s="15">
        <v>2200</v>
      </c>
      <c r="F2223" s="9">
        <v>0.09</v>
      </c>
      <c r="G2223" s="9">
        <v>0.09</v>
      </c>
      <c r="H2223" s="15">
        <f t="shared" si="73"/>
        <v>20300</v>
      </c>
    </row>
    <row r="2224" spans="1:8" x14ac:dyDescent="0.25">
      <c r="A2224" s="13">
        <v>45853</v>
      </c>
      <c r="B2224" s="15" t="s">
        <v>21</v>
      </c>
      <c r="C2224" s="3">
        <v>7</v>
      </c>
      <c r="D2224" s="13">
        <f t="shared" si="72"/>
        <v>45860</v>
      </c>
      <c r="E2224" s="15">
        <v>1600</v>
      </c>
      <c r="F2224" s="9">
        <v>0.09</v>
      </c>
      <c r="G2224" s="9">
        <v>0.09</v>
      </c>
      <c r="H2224" s="15">
        <f t="shared" si="73"/>
        <v>20300</v>
      </c>
    </row>
    <row r="2225" spans="1:8" x14ac:dyDescent="0.25">
      <c r="A2225" s="13">
        <v>45853</v>
      </c>
      <c r="B2225" s="15" t="s">
        <v>21</v>
      </c>
      <c r="C2225" s="3">
        <v>8</v>
      </c>
      <c r="D2225" s="13">
        <f t="shared" si="72"/>
        <v>45861</v>
      </c>
      <c r="E2225" s="15">
        <v>200</v>
      </c>
      <c r="F2225" s="9">
        <v>0.09</v>
      </c>
      <c r="G2225" s="9">
        <v>0.09</v>
      </c>
      <c r="H2225" s="15">
        <f t="shared" si="73"/>
        <v>20300</v>
      </c>
    </row>
    <row r="2226" spans="1:8" x14ac:dyDescent="0.25">
      <c r="A2226" s="13">
        <v>45853</v>
      </c>
      <c r="B2226" s="15" t="s">
        <v>21</v>
      </c>
      <c r="C2226" s="3">
        <v>16</v>
      </c>
      <c r="D2226" s="13">
        <f t="shared" si="72"/>
        <v>45869</v>
      </c>
      <c r="E2226" s="15">
        <v>1500</v>
      </c>
      <c r="F2226" s="9">
        <v>9.0499999999999997E-2</v>
      </c>
      <c r="G2226" s="9">
        <v>9.0499999999999997E-2</v>
      </c>
      <c r="H2226" s="15">
        <f t="shared" si="73"/>
        <v>20300</v>
      </c>
    </row>
    <row r="2227" spans="1:8" x14ac:dyDescent="0.25">
      <c r="A2227" s="13">
        <v>45854</v>
      </c>
      <c r="B2227" s="15" t="s">
        <v>21</v>
      </c>
      <c r="C2227" s="3">
        <v>1</v>
      </c>
      <c r="D2227" s="13">
        <f t="shared" si="72"/>
        <v>45855</v>
      </c>
      <c r="E2227" s="15">
        <v>500</v>
      </c>
      <c r="F2227" s="9">
        <v>0.09</v>
      </c>
      <c r="G2227" s="9">
        <v>0.09</v>
      </c>
      <c r="H2227" s="15">
        <f t="shared" si="73"/>
        <v>26200</v>
      </c>
    </row>
    <row r="2228" spans="1:8" x14ac:dyDescent="0.25">
      <c r="A2228" s="13">
        <v>45854</v>
      </c>
      <c r="B2228" s="15" t="s">
        <v>21</v>
      </c>
      <c r="C2228" s="3">
        <v>5</v>
      </c>
      <c r="D2228" s="13">
        <f t="shared" si="72"/>
        <v>45859</v>
      </c>
      <c r="E2228" s="15">
        <v>1500</v>
      </c>
      <c r="F2228" s="9">
        <v>0.09</v>
      </c>
      <c r="G2228" s="9">
        <v>0.09</v>
      </c>
      <c r="H2228" s="15">
        <f t="shared" si="73"/>
        <v>26200</v>
      </c>
    </row>
    <row r="2229" spans="1:8" x14ac:dyDescent="0.25">
      <c r="A2229" s="13">
        <v>45854</v>
      </c>
      <c r="B2229" s="15" t="s">
        <v>21</v>
      </c>
      <c r="C2229" s="3">
        <v>6</v>
      </c>
      <c r="D2229" s="13">
        <f t="shared" si="72"/>
        <v>45860</v>
      </c>
      <c r="E2229" s="15">
        <v>500</v>
      </c>
      <c r="F2229" s="9">
        <v>0.09</v>
      </c>
      <c r="G2229" s="9">
        <v>0.09</v>
      </c>
      <c r="H2229" s="15">
        <f t="shared" si="73"/>
        <v>26200</v>
      </c>
    </row>
    <row r="2230" spans="1:8" x14ac:dyDescent="0.25">
      <c r="A2230" s="13">
        <v>45854</v>
      </c>
      <c r="B2230" s="15" t="s">
        <v>21</v>
      </c>
      <c r="C2230" s="3">
        <v>7</v>
      </c>
      <c r="D2230" s="13">
        <f t="shared" si="72"/>
        <v>45861</v>
      </c>
      <c r="E2230" s="15">
        <v>2000</v>
      </c>
      <c r="F2230" s="9">
        <v>0.09</v>
      </c>
      <c r="G2230" s="9">
        <v>0.09</v>
      </c>
      <c r="H2230" s="15">
        <f t="shared" si="73"/>
        <v>26200</v>
      </c>
    </row>
    <row r="2231" spans="1:8" x14ac:dyDescent="0.25">
      <c r="A2231" s="13">
        <v>45854</v>
      </c>
      <c r="B2231" s="15" t="s">
        <v>21</v>
      </c>
      <c r="C2231" s="3">
        <v>8</v>
      </c>
      <c r="D2231" s="13">
        <f t="shared" si="72"/>
        <v>45862</v>
      </c>
      <c r="E2231" s="15">
        <v>1500</v>
      </c>
      <c r="F2231" s="9">
        <v>0.09</v>
      </c>
      <c r="G2231" s="9">
        <v>0.09</v>
      </c>
      <c r="H2231" s="15">
        <f t="shared" si="73"/>
        <v>26200</v>
      </c>
    </row>
    <row r="2232" spans="1:8" x14ac:dyDescent="0.25">
      <c r="A2232" s="13">
        <v>45854</v>
      </c>
      <c r="B2232" s="15" t="s">
        <v>21</v>
      </c>
      <c r="C2232" s="3">
        <v>15</v>
      </c>
      <c r="D2232" s="13">
        <f t="shared" si="72"/>
        <v>45869</v>
      </c>
      <c r="E2232" s="15">
        <v>3700</v>
      </c>
      <c r="F2232" s="9">
        <v>9.0499999999999997E-2</v>
      </c>
      <c r="G2232" s="9">
        <v>9.0499999999999997E-2</v>
      </c>
      <c r="H2232" s="15">
        <f t="shared" si="73"/>
        <v>26200</v>
      </c>
    </row>
    <row r="2233" spans="1:8" x14ac:dyDescent="0.25">
      <c r="A2233" s="13">
        <v>45854</v>
      </c>
      <c r="B2233" s="15" t="s">
        <v>21</v>
      </c>
      <c r="C2233" s="3">
        <v>16</v>
      </c>
      <c r="D2233" s="13">
        <f t="shared" si="72"/>
        <v>45870</v>
      </c>
      <c r="E2233" s="15">
        <v>800</v>
      </c>
      <c r="F2233" s="9">
        <v>9.0499999999999997E-2</v>
      </c>
      <c r="G2233" s="9">
        <v>9.0499999999999997E-2</v>
      </c>
      <c r="H2233" s="15">
        <f t="shared" si="73"/>
        <v>26200</v>
      </c>
    </row>
    <row r="2234" spans="1:8" x14ac:dyDescent="0.25">
      <c r="A2234" s="13">
        <v>45855</v>
      </c>
      <c r="B2234" s="15" t="s">
        <v>21</v>
      </c>
      <c r="C2234" s="3">
        <v>6</v>
      </c>
      <c r="D2234" s="13">
        <f t="shared" si="72"/>
        <v>45861</v>
      </c>
      <c r="E2234" s="15">
        <v>1000</v>
      </c>
      <c r="F2234" s="9">
        <v>0.09</v>
      </c>
      <c r="G2234" s="9">
        <v>0.09</v>
      </c>
      <c r="H2234" s="15">
        <f t="shared" si="73"/>
        <v>25500</v>
      </c>
    </row>
    <row r="2235" spans="1:8" x14ac:dyDescent="0.25">
      <c r="A2235" s="13">
        <v>45855</v>
      </c>
      <c r="B2235" s="15" t="s">
        <v>21</v>
      </c>
      <c r="C2235" s="3">
        <v>7</v>
      </c>
      <c r="D2235" s="13">
        <f t="shared" si="72"/>
        <v>45862</v>
      </c>
      <c r="E2235" s="15">
        <v>500</v>
      </c>
      <c r="F2235" s="9">
        <v>0.09</v>
      </c>
      <c r="G2235" s="9">
        <v>0.09</v>
      </c>
      <c r="H2235" s="15">
        <f t="shared" si="73"/>
        <v>25500</v>
      </c>
    </row>
    <row r="2236" spans="1:8" x14ac:dyDescent="0.25">
      <c r="A2236" s="13">
        <v>45859</v>
      </c>
      <c r="B2236" s="15" t="s">
        <v>21</v>
      </c>
      <c r="C2236" s="3">
        <v>2</v>
      </c>
      <c r="D2236" s="13">
        <f t="shared" si="72"/>
        <v>45861</v>
      </c>
      <c r="E2236" s="15">
        <v>2000</v>
      </c>
      <c r="F2236" s="9">
        <v>0.09</v>
      </c>
      <c r="G2236" s="9">
        <v>0.09</v>
      </c>
      <c r="H2236" s="15">
        <f t="shared" si="73"/>
        <v>17300</v>
      </c>
    </row>
    <row r="2237" spans="1:8" x14ac:dyDescent="0.25">
      <c r="A2237" s="13">
        <v>45859</v>
      </c>
      <c r="B2237" s="15" t="s">
        <v>21</v>
      </c>
      <c r="C2237" s="3">
        <v>3</v>
      </c>
      <c r="D2237" s="13">
        <f t="shared" si="72"/>
        <v>45862</v>
      </c>
      <c r="E2237" s="15">
        <v>200</v>
      </c>
      <c r="F2237" s="9">
        <v>0.09</v>
      </c>
      <c r="G2237" s="9">
        <v>0.09</v>
      </c>
      <c r="H2237" s="15">
        <f t="shared" si="73"/>
        <v>17300</v>
      </c>
    </row>
    <row r="2238" spans="1:8" x14ac:dyDescent="0.25">
      <c r="A2238" s="13">
        <v>45859</v>
      </c>
      <c r="B2238" s="15" t="s">
        <v>21</v>
      </c>
      <c r="C2238" s="3">
        <v>4</v>
      </c>
      <c r="D2238" s="13">
        <f t="shared" si="72"/>
        <v>45863</v>
      </c>
      <c r="E2238" s="15">
        <v>200</v>
      </c>
      <c r="F2238" s="9">
        <v>0.09</v>
      </c>
      <c r="G2238" s="9">
        <v>0.09</v>
      </c>
      <c r="H2238" s="15">
        <f t="shared" si="73"/>
        <v>17300</v>
      </c>
    </row>
    <row r="2239" spans="1:8" x14ac:dyDescent="0.25">
      <c r="A2239" s="13">
        <v>45859</v>
      </c>
      <c r="B2239" s="15" t="s">
        <v>21</v>
      </c>
      <c r="C2239" s="3">
        <v>7</v>
      </c>
      <c r="D2239" s="13">
        <f t="shared" si="72"/>
        <v>45866</v>
      </c>
      <c r="E2239" s="15">
        <v>400</v>
      </c>
      <c r="F2239" s="9">
        <v>0.09</v>
      </c>
      <c r="G2239" s="9">
        <v>0.09</v>
      </c>
      <c r="H2239" s="15">
        <f t="shared" si="73"/>
        <v>17300</v>
      </c>
    </row>
    <row r="2240" spans="1:8" x14ac:dyDescent="0.25">
      <c r="A2240" s="13">
        <v>45859</v>
      </c>
      <c r="B2240" s="15" t="s">
        <v>21</v>
      </c>
      <c r="C2240" s="3">
        <v>10</v>
      </c>
      <c r="D2240" s="13">
        <f t="shared" si="72"/>
        <v>45869</v>
      </c>
      <c r="E2240" s="15">
        <v>200</v>
      </c>
      <c r="F2240" s="9">
        <v>0.09</v>
      </c>
      <c r="G2240" s="9">
        <v>0.09</v>
      </c>
      <c r="H2240" s="15">
        <f t="shared" si="73"/>
        <v>17300</v>
      </c>
    </row>
    <row r="2241" spans="1:8" x14ac:dyDescent="0.25">
      <c r="A2241" s="13">
        <v>45860</v>
      </c>
      <c r="B2241" s="15" t="s">
        <v>21</v>
      </c>
      <c r="C2241" s="3">
        <v>2</v>
      </c>
      <c r="D2241" s="13">
        <f t="shared" si="72"/>
        <v>45862</v>
      </c>
      <c r="E2241" s="15">
        <v>2300</v>
      </c>
      <c r="F2241" s="9">
        <v>0.09</v>
      </c>
      <c r="G2241" s="9">
        <v>0.09</v>
      </c>
      <c r="H2241" s="15">
        <f t="shared" si="73"/>
        <v>22000</v>
      </c>
    </row>
    <row r="2242" spans="1:8" x14ac:dyDescent="0.25">
      <c r="A2242" s="13">
        <v>45860</v>
      </c>
      <c r="B2242" s="15" t="s">
        <v>21</v>
      </c>
      <c r="C2242" s="3">
        <v>3</v>
      </c>
      <c r="D2242" s="13">
        <f t="shared" si="72"/>
        <v>45863</v>
      </c>
      <c r="E2242" s="15">
        <v>2000</v>
      </c>
      <c r="F2242" s="9">
        <v>0.09</v>
      </c>
      <c r="G2242" s="9">
        <v>0.09</v>
      </c>
      <c r="H2242" s="15">
        <f t="shared" si="73"/>
        <v>22000</v>
      </c>
    </row>
    <row r="2243" spans="1:8" x14ac:dyDescent="0.25">
      <c r="A2243" s="13">
        <v>45860</v>
      </c>
      <c r="B2243" s="15" t="s">
        <v>21</v>
      </c>
      <c r="C2243" s="3">
        <v>6</v>
      </c>
      <c r="D2243" s="13">
        <f t="shared" si="72"/>
        <v>45866</v>
      </c>
      <c r="E2243" s="15">
        <v>2000</v>
      </c>
      <c r="F2243" s="9">
        <v>0.09</v>
      </c>
      <c r="G2243" s="9">
        <v>0.09</v>
      </c>
      <c r="H2243" s="15">
        <f t="shared" si="73"/>
        <v>22000</v>
      </c>
    </row>
    <row r="2244" spans="1:8" x14ac:dyDescent="0.25">
      <c r="A2244" s="13">
        <v>45860</v>
      </c>
      <c r="B2244" s="15" t="s">
        <v>21</v>
      </c>
      <c r="C2244" s="3">
        <v>7</v>
      </c>
      <c r="D2244" s="13">
        <f t="shared" si="72"/>
        <v>45867</v>
      </c>
      <c r="E2244" s="15">
        <v>1500</v>
      </c>
      <c r="F2244" s="9">
        <v>0.09</v>
      </c>
      <c r="G2244" s="9">
        <v>0.09</v>
      </c>
      <c r="H2244" s="15">
        <f t="shared" si="73"/>
        <v>22000</v>
      </c>
    </row>
    <row r="2245" spans="1:8" x14ac:dyDescent="0.25">
      <c r="A2245" s="13">
        <v>45862</v>
      </c>
      <c r="B2245" s="15" t="s">
        <v>21</v>
      </c>
      <c r="C2245" s="3">
        <v>1</v>
      </c>
      <c r="D2245" s="13">
        <f t="shared" si="72"/>
        <v>45863</v>
      </c>
      <c r="E2245" s="15">
        <v>-400</v>
      </c>
      <c r="F2245" s="9">
        <v>9.2499999999999999E-2</v>
      </c>
      <c r="G2245" s="9">
        <v>9.2499999999999999E-2</v>
      </c>
      <c r="H2245" s="15">
        <f t="shared" si="73"/>
        <v>11900</v>
      </c>
    </row>
    <row r="2246" spans="1:8" x14ac:dyDescent="0.25">
      <c r="A2246" s="13">
        <v>45866</v>
      </c>
      <c r="B2246" s="15" t="s">
        <v>21</v>
      </c>
      <c r="C2246" s="3">
        <v>2</v>
      </c>
      <c r="D2246" s="13">
        <f t="shared" si="72"/>
        <v>45868</v>
      </c>
      <c r="E2246" s="15">
        <v>3200</v>
      </c>
      <c r="F2246" s="9">
        <v>0.09</v>
      </c>
      <c r="G2246" s="9">
        <v>0.09</v>
      </c>
      <c r="H2246" s="15">
        <f t="shared" si="73"/>
        <v>18600</v>
      </c>
    </row>
    <row r="2247" spans="1:8" x14ac:dyDescent="0.25">
      <c r="A2247" s="13">
        <v>45866</v>
      </c>
      <c r="B2247" s="15" t="s">
        <v>21</v>
      </c>
      <c r="C2247" s="3">
        <v>3</v>
      </c>
      <c r="D2247" s="13">
        <f t="shared" si="72"/>
        <v>45869</v>
      </c>
      <c r="E2247" s="15">
        <v>1500</v>
      </c>
      <c r="F2247" s="9">
        <v>0.09</v>
      </c>
      <c r="G2247" s="9">
        <v>0.09</v>
      </c>
      <c r="H2247" s="15">
        <f t="shared" si="73"/>
        <v>18600</v>
      </c>
    </row>
    <row r="2248" spans="1:8" x14ac:dyDescent="0.25">
      <c r="A2248" s="13">
        <v>45866</v>
      </c>
      <c r="B2248" s="15" t="s">
        <v>21</v>
      </c>
      <c r="C2248" s="3">
        <v>4</v>
      </c>
      <c r="D2248" s="13">
        <f t="shared" si="72"/>
        <v>45870</v>
      </c>
      <c r="E2248" s="15">
        <v>6200</v>
      </c>
      <c r="F2248" s="9">
        <v>0.09</v>
      </c>
      <c r="G2248" s="9">
        <v>0.09</v>
      </c>
      <c r="H2248" s="15">
        <f t="shared" si="73"/>
        <v>18600</v>
      </c>
    </row>
    <row r="2249" spans="1:8" x14ac:dyDescent="0.25">
      <c r="A2249" s="13">
        <v>45867</v>
      </c>
      <c r="B2249" s="15" t="s">
        <v>21</v>
      </c>
      <c r="C2249" s="3">
        <v>2</v>
      </c>
      <c r="D2249" s="13">
        <f t="shared" si="72"/>
        <v>45869</v>
      </c>
      <c r="E2249" s="15">
        <v>1000</v>
      </c>
      <c r="F2249" s="9">
        <v>0.09</v>
      </c>
      <c r="G2249" s="9">
        <v>0.09</v>
      </c>
      <c r="H2249" s="15">
        <f t="shared" si="73"/>
        <v>22400</v>
      </c>
    </row>
    <row r="2250" spans="1:8" x14ac:dyDescent="0.25">
      <c r="A2250" s="13">
        <v>45867</v>
      </c>
      <c r="B2250" s="15" t="s">
        <v>21</v>
      </c>
      <c r="C2250" s="3">
        <v>3</v>
      </c>
      <c r="D2250" s="13">
        <f t="shared" si="72"/>
        <v>45870</v>
      </c>
      <c r="E2250" s="15">
        <v>1500</v>
      </c>
      <c r="F2250" s="9">
        <v>0.09</v>
      </c>
      <c r="G2250" s="9">
        <v>0.09</v>
      </c>
      <c r="H2250" s="15">
        <f t="shared" ref="H2250:H2313" si="74">+SUMIFS($E$10:$E$4503,$A$10:$A$4503,"&lt;="&amp;A2250,$D$10:$D$4503,"&gt;"&amp;A2250)</f>
        <v>22400</v>
      </c>
    </row>
    <row r="2251" spans="1:8" x14ac:dyDescent="0.25">
      <c r="A2251" s="13">
        <v>45867</v>
      </c>
      <c r="B2251" s="15" t="s">
        <v>21</v>
      </c>
      <c r="C2251" s="3">
        <v>10</v>
      </c>
      <c r="D2251" s="13">
        <f t="shared" si="72"/>
        <v>45877</v>
      </c>
      <c r="E2251" s="15">
        <v>2800</v>
      </c>
      <c r="F2251" s="9">
        <v>9.0499999999999997E-2</v>
      </c>
      <c r="G2251" s="9">
        <v>9.0499999999999997E-2</v>
      </c>
      <c r="H2251" s="15">
        <f t="shared" si="74"/>
        <v>22400</v>
      </c>
    </row>
    <row r="2252" spans="1:8" x14ac:dyDescent="0.25">
      <c r="A2252" s="13">
        <v>45869</v>
      </c>
      <c r="B2252" s="15" t="s">
        <v>21</v>
      </c>
      <c r="C2252" s="3">
        <v>4</v>
      </c>
      <c r="D2252" s="13">
        <f t="shared" si="72"/>
        <v>45873</v>
      </c>
      <c r="E2252" s="15">
        <v>2000</v>
      </c>
      <c r="F2252" s="9">
        <v>0.09</v>
      </c>
      <c r="G2252" s="9">
        <v>0.09</v>
      </c>
      <c r="H2252" s="15">
        <f t="shared" si="74"/>
        <v>13300</v>
      </c>
    </row>
    <row r="2253" spans="1:8" x14ac:dyDescent="0.25">
      <c r="A2253" s="13">
        <v>45873</v>
      </c>
      <c r="B2253" s="15" t="s">
        <v>21</v>
      </c>
      <c r="C2253" s="3">
        <v>2</v>
      </c>
      <c r="D2253" s="13">
        <f t="shared" si="72"/>
        <v>45875</v>
      </c>
      <c r="E2253" s="15">
        <v>2900</v>
      </c>
      <c r="F2253" s="9">
        <v>0.09</v>
      </c>
      <c r="G2253" s="9">
        <v>0.09</v>
      </c>
      <c r="H2253" s="15">
        <f t="shared" si="74"/>
        <v>12200</v>
      </c>
    </row>
    <row r="2254" spans="1:8" x14ac:dyDescent="0.25">
      <c r="A2254" s="13">
        <v>45873</v>
      </c>
      <c r="B2254" s="15" t="s">
        <v>21</v>
      </c>
      <c r="C2254" s="3">
        <v>7</v>
      </c>
      <c r="D2254" s="13">
        <f t="shared" si="72"/>
        <v>45880</v>
      </c>
      <c r="E2254" s="15">
        <v>1000</v>
      </c>
      <c r="F2254" s="9">
        <v>0.09</v>
      </c>
      <c r="G2254" s="9">
        <v>0.09</v>
      </c>
      <c r="H2254" s="15">
        <f t="shared" si="74"/>
        <v>12200</v>
      </c>
    </row>
    <row r="2255" spans="1:8" x14ac:dyDescent="0.25">
      <c r="A2255" s="13">
        <v>45873</v>
      </c>
      <c r="B2255" s="15" t="s">
        <v>21</v>
      </c>
      <c r="C2255" s="3">
        <v>9</v>
      </c>
      <c r="D2255" s="13">
        <f t="shared" si="72"/>
        <v>45882</v>
      </c>
      <c r="E2255" s="15">
        <v>200</v>
      </c>
      <c r="F2255" s="9">
        <v>0.09</v>
      </c>
      <c r="G2255" s="9">
        <v>0.09</v>
      </c>
      <c r="H2255" s="15">
        <f t="shared" si="74"/>
        <v>12200</v>
      </c>
    </row>
    <row r="2256" spans="1:8" x14ac:dyDescent="0.25">
      <c r="A2256" s="13">
        <v>45873</v>
      </c>
      <c r="B2256" s="15" t="s">
        <v>21</v>
      </c>
      <c r="C2256" s="3">
        <v>16</v>
      </c>
      <c r="D2256" s="13">
        <f t="shared" si="72"/>
        <v>45889</v>
      </c>
      <c r="E2256" s="15">
        <v>2300</v>
      </c>
      <c r="F2256" s="9">
        <v>0.09</v>
      </c>
      <c r="G2256" s="9">
        <v>0.09</v>
      </c>
      <c r="H2256" s="15">
        <f t="shared" si="74"/>
        <v>12200</v>
      </c>
    </row>
    <row r="2257" spans="1:17" x14ac:dyDescent="0.25">
      <c r="A2257" s="13">
        <v>45873</v>
      </c>
      <c r="B2257" s="15" t="s">
        <v>21</v>
      </c>
      <c r="C2257" s="3">
        <v>18</v>
      </c>
      <c r="D2257" s="13">
        <f t="shared" si="72"/>
        <v>45891</v>
      </c>
      <c r="E2257" s="15">
        <v>2000</v>
      </c>
      <c r="F2257" s="9">
        <v>0.09</v>
      </c>
      <c r="G2257" s="9">
        <v>0.09</v>
      </c>
      <c r="H2257" s="15">
        <f t="shared" si="74"/>
        <v>12200</v>
      </c>
    </row>
    <row r="2258" spans="1:17" x14ac:dyDescent="0.25">
      <c r="A2258" s="13">
        <v>45873</v>
      </c>
      <c r="B2258" s="15" t="s">
        <v>21</v>
      </c>
      <c r="C2258" s="3">
        <v>22</v>
      </c>
      <c r="D2258" s="13">
        <f t="shared" si="72"/>
        <v>45895</v>
      </c>
      <c r="E2258" s="15">
        <v>1000</v>
      </c>
      <c r="F2258" s="9">
        <v>0.09</v>
      </c>
      <c r="G2258" s="9">
        <v>0.09</v>
      </c>
      <c r="H2258" s="15">
        <f t="shared" si="74"/>
        <v>12200</v>
      </c>
    </row>
    <row r="2259" spans="1:17" x14ac:dyDescent="0.25">
      <c r="A2259" s="13">
        <v>45874</v>
      </c>
      <c r="B2259" s="15" t="s">
        <v>21</v>
      </c>
      <c r="C2259" s="3">
        <v>2</v>
      </c>
      <c r="D2259" s="13">
        <f t="shared" si="72"/>
        <v>45876</v>
      </c>
      <c r="E2259" s="15">
        <v>600</v>
      </c>
      <c r="F2259" s="9">
        <v>8.8999999999999996E-2</v>
      </c>
      <c r="G2259" s="9">
        <v>0.09</v>
      </c>
      <c r="H2259" s="15">
        <f t="shared" si="74"/>
        <v>18700</v>
      </c>
    </row>
    <row r="2260" spans="1:17" x14ac:dyDescent="0.25">
      <c r="A2260" s="13">
        <v>45874</v>
      </c>
      <c r="B2260" s="15" t="s">
        <v>21</v>
      </c>
      <c r="C2260" s="3">
        <v>3</v>
      </c>
      <c r="D2260" s="13">
        <f t="shared" si="72"/>
        <v>45877</v>
      </c>
      <c r="E2260" s="15">
        <v>600</v>
      </c>
      <c r="F2260" s="9">
        <v>0.09</v>
      </c>
      <c r="G2260" s="9">
        <v>0.09</v>
      </c>
      <c r="H2260" s="15">
        <f t="shared" si="74"/>
        <v>18700</v>
      </c>
    </row>
    <row r="2261" spans="1:17" x14ac:dyDescent="0.25">
      <c r="A2261" s="13">
        <v>45874</v>
      </c>
      <c r="B2261" s="15" t="s">
        <v>21</v>
      </c>
      <c r="C2261" s="3">
        <v>6</v>
      </c>
      <c r="D2261" s="13">
        <f t="shared" si="72"/>
        <v>45880</v>
      </c>
      <c r="E2261" s="15">
        <v>600</v>
      </c>
      <c r="F2261" s="9">
        <v>0.09</v>
      </c>
      <c r="G2261" s="9">
        <v>0.09</v>
      </c>
      <c r="H2261" s="15">
        <f t="shared" si="74"/>
        <v>18700</v>
      </c>
    </row>
    <row r="2262" spans="1:17" x14ac:dyDescent="0.25">
      <c r="A2262" s="13">
        <v>45874</v>
      </c>
      <c r="B2262" s="15" t="s">
        <v>21</v>
      </c>
      <c r="C2262" s="3">
        <v>14</v>
      </c>
      <c r="D2262" s="13">
        <f t="shared" si="72"/>
        <v>45888</v>
      </c>
      <c r="E2262" s="15">
        <v>1500</v>
      </c>
      <c r="F2262" s="9">
        <v>0.09</v>
      </c>
      <c r="G2262" s="9">
        <v>0.09</v>
      </c>
      <c r="H2262" s="15">
        <f t="shared" si="74"/>
        <v>18700</v>
      </c>
      <c r="J2262" s="1" t="s">
        <v>1012</v>
      </c>
    </row>
    <row r="2263" spans="1:17" x14ac:dyDescent="0.25">
      <c r="A2263" s="13">
        <v>45874</v>
      </c>
      <c r="B2263" s="15" t="s">
        <v>21</v>
      </c>
      <c r="C2263" s="3">
        <v>16</v>
      </c>
      <c r="D2263" s="13">
        <f t="shared" si="72"/>
        <v>45890</v>
      </c>
      <c r="E2263" s="15">
        <v>3000</v>
      </c>
      <c r="F2263" s="9">
        <v>0.09</v>
      </c>
      <c r="G2263" s="9">
        <v>0.09</v>
      </c>
      <c r="H2263" s="15">
        <f t="shared" si="74"/>
        <v>18700</v>
      </c>
    </row>
    <row r="2264" spans="1:17" x14ac:dyDescent="0.25">
      <c r="A2264" s="13">
        <v>45874</v>
      </c>
      <c r="B2264" s="15" t="s">
        <v>21</v>
      </c>
      <c r="C2264" s="3">
        <v>17</v>
      </c>
      <c r="D2264" s="13">
        <f t="shared" si="72"/>
        <v>45891</v>
      </c>
      <c r="E2264" s="15">
        <v>200</v>
      </c>
      <c r="F2264" s="9">
        <v>0.09</v>
      </c>
      <c r="G2264" s="9">
        <v>0.09</v>
      </c>
      <c r="H2264" s="15">
        <f t="shared" si="74"/>
        <v>18700</v>
      </c>
    </row>
    <row r="2265" spans="1:17" x14ac:dyDescent="0.25">
      <c r="A2265" s="13">
        <v>45875</v>
      </c>
      <c r="B2265" s="15" t="s">
        <v>21</v>
      </c>
      <c r="C2265" s="3">
        <v>2</v>
      </c>
      <c r="D2265" s="13">
        <f t="shared" si="72"/>
        <v>45877</v>
      </c>
      <c r="E2265" s="15">
        <v>1900</v>
      </c>
      <c r="F2265" s="9">
        <v>0.09</v>
      </c>
      <c r="G2265" s="9">
        <v>0.09</v>
      </c>
      <c r="H2265" s="15">
        <f t="shared" si="74"/>
        <v>25200</v>
      </c>
    </row>
    <row r="2266" spans="1:17" x14ac:dyDescent="0.25">
      <c r="A2266" s="13">
        <v>45875</v>
      </c>
      <c r="B2266" s="15" t="s">
        <v>21</v>
      </c>
      <c r="C2266" s="3">
        <v>5</v>
      </c>
      <c r="D2266" s="13">
        <f t="shared" si="72"/>
        <v>45880</v>
      </c>
      <c r="E2266" s="15">
        <v>2500</v>
      </c>
      <c r="F2266" s="9">
        <v>0.09</v>
      </c>
      <c r="G2266" s="9">
        <v>0.09</v>
      </c>
      <c r="H2266" s="15">
        <f t="shared" si="74"/>
        <v>25200</v>
      </c>
    </row>
    <row r="2267" spans="1:17" x14ac:dyDescent="0.25">
      <c r="A2267" s="13">
        <v>45875</v>
      </c>
      <c r="B2267" s="15" t="s">
        <v>21</v>
      </c>
      <c r="C2267" s="3">
        <v>6</v>
      </c>
      <c r="D2267" s="13">
        <f t="shared" si="72"/>
        <v>45881</v>
      </c>
      <c r="E2267" s="15">
        <v>1000</v>
      </c>
      <c r="F2267" s="9">
        <v>0.09</v>
      </c>
      <c r="G2267" s="9">
        <v>0.09</v>
      </c>
      <c r="H2267" s="15">
        <f t="shared" si="74"/>
        <v>25200</v>
      </c>
    </row>
    <row r="2268" spans="1:17" x14ac:dyDescent="0.25">
      <c r="A2268" s="13">
        <v>45875</v>
      </c>
      <c r="B2268" s="15" t="s">
        <v>21</v>
      </c>
      <c r="C2268" s="3">
        <v>12</v>
      </c>
      <c r="D2268" s="13">
        <f t="shared" si="72"/>
        <v>45887</v>
      </c>
      <c r="E2268" s="15">
        <v>4000</v>
      </c>
      <c r="F2268" s="9">
        <v>0.09</v>
      </c>
      <c r="G2268" s="9">
        <v>0.09</v>
      </c>
      <c r="H2268" s="15">
        <f t="shared" si="74"/>
        <v>25200</v>
      </c>
    </row>
    <row r="2269" spans="1:17" x14ac:dyDescent="0.25">
      <c r="A2269" s="13">
        <v>45876</v>
      </c>
      <c r="B2269" s="15" t="s">
        <v>21</v>
      </c>
      <c r="C2269" s="3">
        <v>4</v>
      </c>
      <c r="D2269" s="13">
        <f t="shared" si="72"/>
        <v>45880</v>
      </c>
      <c r="E2269" s="15">
        <v>1600</v>
      </c>
      <c r="F2269" s="9">
        <v>0.09</v>
      </c>
      <c r="G2269" s="9">
        <v>0.09</v>
      </c>
      <c r="H2269" s="15">
        <f t="shared" si="74"/>
        <v>26400</v>
      </c>
    </row>
    <row r="2270" spans="1:17" x14ac:dyDescent="0.25">
      <c r="A2270" s="13">
        <v>45876</v>
      </c>
      <c r="B2270" s="15" t="s">
        <v>21</v>
      </c>
      <c r="C2270" s="3">
        <v>5</v>
      </c>
      <c r="D2270" s="13">
        <f t="shared" si="72"/>
        <v>45881</v>
      </c>
      <c r="E2270" s="15">
        <v>200</v>
      </c>
      <c r="F2270" s="9">
        <v>0.09</v>
      </c>
      <c r="G2270" s="9">
        <v>0.09</v>
      </c>
      <c r="H2270" s="15">
        <f t="shared" si="74"/>
        <v>26400</v>
      </c>
      <c r="Q2270" s="1" t="s">
        <v>1422</v>
      </c>
    </row>
    <row r="2271" spans="1:17" x14ac:dyDescent="0.25">
      <c r="A2271" s="13">
        <v>45877</v>
      </c>
      <c r="B2271" s="15" t="s">
        <v>21</v>
      </c>
      <c r="C2271" s="3">
        <v>4</v>
      </c>
      <c r="D2271" s="13">
        <f t="shared" si="72"/>
        <v>45881</v>
      </c>
      <c r="E2271" s="15">
        <v>1700</v>
      </c>
      <c r="F2271" s="9">
        <v>0.09</v>
      </c>
      <c r="G2271" s="9">
        <v>0.09</v>
      </c>
      <c r="H2271" s="15">
        <f t="shared" si="74"/>
        <v>25200</v>
      </c>
    </row>
    <row r="2272" spans="1:17" x14ac:dyDescent="0.25">
      <c r="A2272" s="13">
        <v>45877</v>
      </c>
      <c r="B2272" s="15" t="s">
        <v>21</v>
      </c>
      <c r="C2272" s="3">
        <v>5</v>
      </c>
      <c r="D2272" s="13">
        <f t="shared" si="72"/>
        <v>45882</v>
      </c>
      <c r="E2272" s="15">
        <v>1900</v>
      </c>
      <c r="F2272" s="9">
        <v>0.09</v>
      </c>
      <c r="G2272" s="9">
        <v>0.09</v>
      </c>
      <c r="H2272" s="15">
        <f t="shared" si="74"/>
        <v>25200</v>
      </c>
    </row>
    <row r="2273" spans="1:8" x14ac:dyDescent="0.25">
      <c r="A2273" s="13">
        <v>45877</v>
      </c>
      <c r="B2273" s="15" t="s">
        <v>21</v>
      </c>
      <c r="C2273" s="3">
        <v>6</v>
      </c>
      <c r="D2273" s="13">
        <f t="shared" si="72"/>
        <v>45883</v>
      </c>
      <c r="E2273" s="15">
        <v>500</v>
      </c>
      <c r="F2273" s="9">
        <v>0.09</v>
      </c>
      <c r="G2273" s="9">
        <v>0.09</v>
      </c>
      <c r="H2273" s="15">
        <f t="shared" si="74"/>
        <v>25200</v>
      </c>
    </row>
    <row r="2274" spans="1:8" x14ac:dyDescent="0.25">
      <c r="A2274" s="13">
        <v>45880</v>
      </c>
      <c r="B2274" s="15" t="s">
        <v>21</v>
      </c>
      <c r="C2274" s="3">
        <v>2</v>
      </c>
      <c r="D2274" s="13">
        <f t="shared" si="72"/>
        <v>45882</v>
      </c>
      <c r="E2274" s="15">
        <v>1300</v>
      </c>
      <c r="F2274" s="9">
        <v>8.8999999999999996E-2</v>
      </c>
      <c r="G2274" s="9">
        <v>0.09</v>
      </c>
      <c r="H2274" s="15">
        <f t="shared" si="74"/>
        <v>23100</v>
      </c>
    </row>
    <row r="2275" spans="1:8" x14ac:dyDescent="0.25">
      <c r="A2275" s="13">
        <v>45880</v>
      </c>
      <c r="B2275" s="15" t="s">
        <v>21</v>
      </c>
      <c r="C2275" s="3">
        <v>3</v>
      </c>
      <c r="D2275" s="13">
        <f t="shared" si="72"/>
        <v>45883</v>
      </c>
      <c r="E2275" s="15">
        <v>1500</v>
      </c>
      <c r="F2275" s="9">
        <v>0.09</v>
      </c>
      <c r="G2275" s="9">
        <v>0.09</v>
      </c>
      <c r="H2275" s="15">
        <f t="shared" si="74"/>
        <v>23100</v>
      </c>
    </row>
    <row r="2276" spans="1:8" x14ac:dyDescent="0.25">
      <c r="A2276" s="13">
        <v>45880</v>
      </c>
      <c r="B2276" s="15" t="s">
        <v>21</v>
      </c>
      <c r="C2276" s="3">
        <v>4</v>
      </c>
      <c r="D2276" s="13">
        <f t="shared" si="72"/>
        <v>45884</v>
      </c>
      <c r="E2276" s="15">
        <v>800</v>
      </c>
      <c r="F2276" s="9">
        <v>0.09</v>
      </c>
      <c r="G2276" s="9">
        <v>0.09</v>
      </c>
      <c r="H2276" s="15">
        <f t="shared" si="74"/>
        <v>23100</v>
      </c>
    </row>
    <row r="2277" spans="1:8" x14ac:dyDescent="0.25">
      <c r="A2277" s="13">
        <v>45881</v>
      </c>
      <c r="B2277" s="15" t="s">
        <v>21</v>
      </c>
      <c r="C2277" s="3">
        <v>1</v>
      </c>
      <c r="D2277" s="13">
        <f t="shared" si="72"/>
        <v>45882</v>
      </c>
      <c r="E2277" s="15">
        <v>100</v>
      </c>
      <c r="F2277" s="9">
        <v>8.8499999999999995E-2</v>
      </c>
      <c r="G2277" s="9">
        <v>8.8499999999999995E-2</v>
      </c>
      <c r="H2277" s="15">
        <f t="shared" si="74"/>
        <v>25500</v>
      </c>
    </row>
    <row r="2278" spans="1:8" x14ac:dyDescent="0.25">
      <c r="A2278" s="13">
        <v>45881</v>
      </c>
      <c r="B2278" s="15" t="s">
        <v>21</v>
      </c>
      <c r="C2278" s="3">
        <v>2</v>
      </c>
      <c r="D2278" s="13">
        <f t="shared" si="72"/>
        <v>45883</v>
      </c>
      <c r="E2278" s="15">
        <v>500</v>
      </c>
      <c r="F2278" s="9">
        <v>0.09</v>
      </c>
      <c r="G2278" s="9">
        <v>0.09</v>
      </c>
      <c r="H2278" s="15">
        <f t="shared" si="74"/>
        <v>25500</v>
      </c>
    </row>
    <row r="2279" spans="1:8" x14ac:dyDescent="0.25">
      <c r="A2279" s="13">
        <v>45881</v>
      </c>
      <c r="B2279" s="15" t="s">
        <v>21</v>
      </c>
      <c r="C2279" s="3">
        <v>3</v>
      </c>
      <c r="D2279" s="13">
        <f t="shared" si="72"/>
        <v>45884</v>
      </c>
      <c r="E2279" s="15">
        <v>4200</v>
      </c>
      <c r="F2279" s="9">
        <v>0.09</v>
      </c>
      <c r="G2279" s="9">
        <v>0.09</v>
      </c>
      <c r="H2279" s="15">
        <f t="shared" si="74"/>
        <v>25500</v>
      </c>
    </row>
    <row r="2280" spans="1:8" x14ac:dyDescent="0.25">
      <c r="A2280" s="13">
        <v>45881</v>
      </c>
      <c r="B2280" s="15" t="s">
        <v>21</v>
      </c>
      <c r="C2280" s="3">
        <v>6</v>
      </c>
      <c r="D2280" s="13">
        <f t="shared" si="72"/>
        <v>45887</v>
      </c>
      <c r="E2280" s="15">
        <v>500</v>
      </c>
      <c r="F2280" s="9">
        <v>0.09</v>
      </c>
      <c r="G2280" s="9">
        <v>0.09</v>
      </c>
      <c r="H2280" s="15">
        <f t="shared" si="74"/>
        <v>25500</v>
      </c>
    </row>
    <row r="2281" spans="1:8" x14ac:dyDescent="0.25">
      <c r="A2281" s="13">
        <v>45882</v>
      </c>
      <c r="B2281" s="15" t="s">
        <v>21</v>
      </c>
      <c r="C2281" s="3">
        <v>2</v>
      </c>
      <c r="D2281" s="13">
        <f t="shared" si="72"/>
        <v>45884</v>
      </c>
      <c r="E2281" s="15">
        <v>300</v>
      </c>
      <c r="F2281" s="9">
        <v>0.09</v>
      </c>
      <c r="G2281" s="9">
        <v>0.09</v>
      </c>
      <c r="H2281" s="15">
        <f t="shared" si="74"/>
        <v>30300</v>
      </c>
    </row>
    <row r="2282" spans="1:8" x14ac:dyDescent="0.25">
      <c r="A2282" s="13">
        <v>45882</v>
      </c>
      <c r="B2282" s="15" t="s">
        <v>21</v>
      </c>
      <c r="C2282" s="3">
        <v>5</v>
      </c>
      <c r="D2282" s="13">
        <f t="shared" si="72"/>
        <v>45887</v>
      </c>
      <c r="E2282" s="15">
        <v>2500</v>
      </c>
      <c r="F2282" s="9">
        <v>0.09</v>
      </c>
      <c r="G2282" s="9">
        <v>0.09</v>
      </c>
      <c r="H2282" s="15">
        <f t="shared" si="74"/>
        <v>30300</v>
      </c>
    </row>
    <row r="2283" spans="1:8" x14ac:dyDescent="0.25">
      <c r="A2283" s="13">
        <v>45882</v>
      </c>
      <c r="B2283" s="15" t="s">
        <v>21</v>
      </c>
      <c r="C2283" s="3">
        <v>6</v>
      </c>
      <c r="D2283" s="13">
        <f t="shared" si="72"/>
        <v>45888</v>
      </c>
      <c r="E2283" s="15">
        <v>2000</v>
      </c>
      <c r="F2283" s="9">
        <v>0.09</v>
      </c>
      <c r="G2283" s="9">
        <v>0.09</v>
      </c>
      <c r="H2283" s="15">
        <f t="shared" si="74"/>
        <v>30300</v>
      </c>
    </row>
    <row r="2284" spans="1:8" x14ac:dyDescent="0.25">
      <c r="A2284" s="13">
        <v>45882</v>
      </c>
      <c r="B2284" s="15" t="s">
        <v>21</v>
      </c>
      <c r="C2284" s="3">
        <v>7</v>
      </c>
      <c r="D2284" s="13">
        <f t="shared" si="72"/>
        <v>45889</v>
      </c>
      <c r="E2284" s="15">
        <v>3500</v>
      </c>
      <c r="F2284" s="9">
        <v>0.09</v>
      </c>
      <c r="G2284" s="9">
        <v>0.09</v>
      </c>
      <c r="H2284" s="15">
        <f t="shared" si="74"/>
        <v>30300</v>
      </c>
    </row>
    <row r="2285" spans="1:8" x14ac:dyDescent="0.25">
      <c r="A2285" s="13">
        <v>45883</v>
      </c>
      <c r="B2285" s="15" t="s">
        <v>21</v>
      </c>
      <c r="C2285" s="3">
        <v>4</v>
      </c>
      <c r="D2285" s="13">
        <f t="shared" ref="D2285:D2342" si="75">+A2285+C2285</f>
        <v>45887</v>
      </c>
      <c r="E2285" s="15">
        <v>2600</v>
      </c>
      <c r="F2285" s="9">
        <v>0.09</v>
      </c>
      <c r="G2285" s="9">
        <v>0.09</v>
      </c>
      <c r="H2285" s="15">
        <f t="shared" si="74"/>
        <v>30700</v>
      </c>
    </row>
    <row r="2286" spans="1:8" x14ac:dyDescent="0.25">
      <c r="A2286" s="13">
        <v>45883</v>
      </c>
      <c r="B2286" s="15" t="s">
        <v>21</v>
      </c>
      <c r="C2286" s="3">
        <v>5</v>
      </c>
      <c r="D2286" s="13">
        <f t="shared" si="75"/>
        <v>45888</v>
      </c>
      <c r="E2286" s="15">
        <v>300</v>
      </c>
      <c r="F2286" s="9">
        <v>0.09</v>
      </c>
      <c r="G2286" s="9">
        <v>0.09</v>
      </c>
      <c r="H2286" s="15">
        <f t="shared" si="74"/>
        <v>30700</v>
      </c>
    </row>
    <row r="2287" spans="1:8" x14ac:dyDescent="0.25">
      <c r="A2287" s="13">
        <v>45884</v>
      </c>
      <c r="B2287" s="15" t="s">
        <v>21</v>
      </c>
      <c r="C2287" s="3">
        <v>3</v>
      </c>
      <c r="D2287" s="13">
        <f t="shared" si="75"/>
        <v>45887</v>
      </c>
      <c r="E2287" s="15">
        <v>2000</v>
      </c>
      <c r="F2287" s="9">
        <v>8.7999999999999995E-2</v>
      </c>
      <c r="G2287" s="9">
        <v>8.7999999999999995E-2</v>
      </c>
      <c r="H2287" s="15">
        <f t="shared" si="74"/>
        <v>28800</v>
      </c>
    </row>
    <row r="2288" spans="1:8" x14ac:dyDescent="0.25">
      <c r="A2288" s="13">
        <v>45884</v>
      </c>
      <c r="B2288" s="15" t="s">
        <v>21</v>
      </c>
      <c r="C2288" s="3">
        <v>4</v>
      </c>
      <c r="D2288" s="13">
        <f t="shared" si="75"/>
        <v>45888</v>
      </c>
      <c r="E2288" s="15">
        <v>1100</v>
      </c>
      <c r="F2288" s="9">
        <v>8.8999999999999996E-2</v>
      </c>
      <c r="G2288" s="9">
        <v>0.09</v>
      </c>
      <c r="H2288" s="15">
        <f t="shared" si="74"/>
        <v>28800</v>
      </c>
    </row>
    <row r="2289" spans="1:8" x14ac:dyDescent="0.25">
      <c r="A2289" s="13">
        <v>45884</v>
      </c>
      <c r="B2289" s="15" t="s">
        <v>21</v>
      </c>
      <c r="C2289" s="3">
        <v>5</v>
      </c>
      <c r="D2289" s="13">
        <f t="shared" si="75"/>
        <v>45889</v>
      </c>
      <c r="E2289" s="15">
        <v>300</v>
      </c>
      <c r="F2289" s="9">
        <v>0.09</v>
      </c>
      <c r="G2289" s="9">
        <v>0.09</v>
      </c>
      <c r="H2289" s="15">
        <f t="shared" si="74"/>
        <v>28800</v>
      </c>
    </row>
    <row r="2290" spans="1:8" x14ac:dyDescent="0.25">
      <c r="A2290" s="13">
        <v>45887</v>
      </c>
      <c r="B2290" s="15" t="s">
        <v>21</v>
      </c>
      <c r="C2290" s="3">
        <v>1</v>
      </c>
      <c r="D2290" s="13">
        <f t="shared" si="75"/>
        <v>45888</v>
      </c>
      <c r="E2290" s="15">
        <v>4500</v>
      </c>
      <c r="F2290" s="9">
        <v>8.8499999999999995E-2</v>
      </c>
      <c r="G2290" s="9">
        <v>8.8499999999999995E-2</v>
      </c>
      <c r="H2290" s="15">
        <f t="shared" si="74"/>
        <v>29700</v>
      </c>
    </row>
    <row r="2291" spans="1:8" x14ac:dyDescent="0.25">
      <c r="A2291" s="13">
        <v>45887</v>
      </c>
      <c r="B2291" s="15" t="s">
        <v>21</v>
      </c>
      <c r="C2291" s="3">
        <v>2</v>
      </c>
      <c r="D2291" s="13">
        <f t="shared" si="75"/>
        <v>45889</v>
      </c>
      <c r="E2291" s="15">
        <v>8000</v>
      </c>
      <c r="F2291" s="9">
        <v>8.8499999999999995E-2</v>
      </c>
      <c r="G2291" s="9">
        <v>8.8499999999999995E-2</v>
      </c>
      <c r="H2291" s="15">
        <f t="shared" si="74"/>
        <v>29700</v>
      </c>
    </row>
    <row r="2292" spans="1:8" x14ac:dyDescent="0.25">
      <c r="A2292" s="13">
        <v>45888</v>
      </c>
      <c r="B2292" s="15" t="s">
        <v>21</v>
      </c>
      <c r="C2292" s="3">
        <v>1</v>
      </c>
      <c r="D2292" s="13">
        <f t="shared" si="75"/>
        <v>45889</v>
      </c>
      <c r="E2292" s="15">
        <v>9500</v>
      </c>
      <c r="F2292" s="9">
        <v>8.8499999999999995E-2</v>
      </c>
      <c r="G2292" s="9">
        <v>8.8499999999999995E-2</v>
      </c>
      <c r="H2292" s="15">
        <f t="shared" si="74"/>
        <v>29800</v>
      </c>
    </row>
    <row r="2293" spans="1:8" x14ac:dyDescent="0.25">
      <c r="A2293" s="13">
        <v>45889</v>
      </c>
      <c r="B2293" s="15" t="s">
        <v>21</v>
      </c>
      <c r="C2293" s="3">
        <v>2</v>
      </c>
      <c r="D2293" s="13">
        <f t="shared" si="75"/>
        <v>45891</v>
      </c>
      <c r="E2293" s="15">
        <v>1800</v>
      </c>
      <c r="F2293" s="9">
        <v>8.7499999999999994E-2</v>
      </c>
      <c r="G2293" s="9">
        <v>8.7499999999999994E-2</v>
      </c>
      <c r="H2293" s="15">
        <f t="shared" si="74"/>
        <v>14200</v>
      </c>
    </row>
    <row r="2294" spans="1:8" x14ac:dyDescent="0.25">
      <c r="A2294" s="13">
        <v>45889</v>
      </c>
      <c r="B2294" s="15" t="s">
        <v>21</v>
      </c>
      <c r="C2294" s="3">
        <v>6</v>
      </c>
      <c r="D2294" s="13">
        <f t="shared" si="75"/>
        <v>45895</v>
      </c>
      <c r="E2294" s="15">
        <v>5700</v>
      </c>
      <c r="F2294" s="9">
        <v>8.7499999999999994E-2</v>
      </c>
      <c r="G2294" s="9">
        <v>8.8499999999999995E-2</v>
      </c>
      <c r="H2294" s="15">
        <f t="shared" si="74"/>
        <v>14200</v>
      </c>
    </row>
    <row r="2295" spans="1:8" x14ac:dyDescent="0.25">
      <c r="A2295" s="13">
        <v>45889</v>
      </c>
      <c r="B2295" s="15" t="s">
        <v>21</v>
      </c>
      <c r="C2295" s="3">
        <v>7</v>
      </c>
      <c r="D2295" s="13">
        <f t="shared" si="75"/>
        <v>45896</v>
      </c>
      <c r="E2295" s="15">
        <v>500</v>
      </c>
      <c r="F2295" s="9">
        <v>8.7499999999999994E-2</v>
      </c>
      <c r="G2295" s="9">
        <v>8.7499999999999994E-2</v>
      </c>
      <c r="H2295" s="15">
        <f t="shared" si="74"/>
        <v>14200</v>
      </c>
    </row>
    <row r="2296" spans="1:8" x14ac:dyDescent="0.25">
      <c r="A2296" s="13">
        <v>45890</v>
      </c>
      <c r="B2296" s="15" t="s">
        <v>21</v>
      </c>
      <c r="C2296" s="3">
        <v>5</v>
      </c>
      <c r="D2296" s="13">
        <f t="shared" si="75"/>
        <v>45895</v>
      </c>
      <c r="E2296" s="15">
        <v>700</v>
      </c>
      <c r="F2296" s="9">
        <v>8.7499999999999994E-2</v>
      </c>
      <c r="G2296" s="9">
        <v>8.7499999999999994E-2</v>
      </c>
      <c r="H2296" s="15">
        <f t="shared" si="74"/>
        <v>21700</v>
      </c>
    </row>
    <row r="2297" spans="1:8" x14ac:dyDescent="0.25">
      <c r="A2297" s="13">
        <v>45890</v>
      </c>
      <c r="B2297" s="15" t="s">
        <v>21</v>
      </c>
      <c r="C2297" s="3">
        <v>7</v>
      </c>
      <c r="D2297" s="13">
        <f t="shared" si="75"/>
        <v>45897</v>
      </c>
      <c r="E2297" s="15">
        <v>9300</v>
      </c>
      <c r="F2297" s="9">
        <v>8.7499999999999994E-2</v>
      </c>
      <c r="G2297" s="9">
        <v>8.7499999999999994E-2</v>
      </c>
      <c r="H2297" s="15">
        <f t="shared" si="74"/>
        <v>21700</v>
      </c>
    </row>
    <row r="2298" spans="1:8" x14ac:dyDescent="0.25">
      <c r="A2298" s="13">
        <v>45890</v>
      </c>
      <c r="B2298" s="15" t="s">
        <v>21</v>
      </c>
      <c r="C2298" s="3">
        <v>11</v>
      </c>
      <c r="D2298" s="13">
        <f t="shared" si="75"/>
        <v>45901</v>
      </c>
      <c r="E2298" s="15">
        <v>500</v>
      </c>
      <c r="F2298" s="9">
        <v>8.7499999999999994E-2</v>
      </c>
      <c r="G2298" s="9">
        <v>8.7499999999999994E-2</v>
      </c>
      <c r="H2298" s="15">
        <f t="shared" si="74"/>
        <v>21700</v>
      </c>
    </row>
    <row r="2299" spans="1:8" x14ac:dyDescent="0.25">
      <c r="A2299" s="13">
        <v>45891</v>
      </c>
      <c r="B2299" s="15" t="s">
        <v>21</v>
      </c>
      <c r="C2299" s="3">
        <v>5</v>
      </c>
      <c r="D2299" s="13">
        <f t="shared" si="75"/>
        <v>45896</v>
      </c>
      <c r="E2299" s="15">
        <v>2600</v>
      </c>
      <c r="F2299" s="9">
        <v>8.7499999999999994E-2</v>
      </c>
      <c r="G2299" s="9">
        <v>8.7499999999999994E-2</v>
      </c>
      <c r="H2299" s="15">
        <f t="shared" si="74"/>
        <v>22100</v>
      </c>
    </row>
    <row r="2300" spans="1:8" x14ac:dyDescent="0.25">
      <c r="A2300" s="13">
        <v>45891</v>
      </c>
      <c r="B2300" s="15" t="s">
        <v>21</v>
      </c>
      <c r="C2300" s="3">
        <v>7</v>
      </c>
      <c r="D2300" s="13">
        <f t="shared" si="75"/>
        <v>45898</v>
      </c>
      <c r="E2300" s="15">
        <v>1800</v>
      </c>
      <c r="F2300" s="9">
        <v>8.7499999999999994E-2</v>
      </c>
      <c r="G2300" s="9">
        <v>8.7499999999999994E-2</v>
      </c>
      <c r="H2300" s="15">
        <f t="shared" si="74"/>
        <v>22100</v>
      </c>
    </row>
    <row r="2301" spans="1:8" x14ac:dyDescent="0.25">
      <c r="A2301" s="13">
        <v>45895</v>
      </c>
      <c r="B2301" s="15" t="s">
        <v>21</v>
      </c>
      <c r="C2301" s="3">
        <v>2</v>
      </c>
      <c r="D2301" s="13">
        <f t="shared" si="75"/>
        <v>45897</v>
      </c>
      <c r="E2301" s="15">
        <v>5000</v>
      </c>
      <c r="F2301" s="9">
        <v>8.7499999999999994E-2</v>
      </c>
      <c r="G2301" s="9">
        <v>8.7499999999999994E-2</v>
      </c>
      <c r="H2301" s="15">
        <f t="shared" si="74"/>
        <v>22300</v>
      </c>
    </row>
    <row r="2302" spans="1:8" x14ac:dyDescent="0.25">
      <c r="A2302" s="13">
        <v>45895</v>
      </c>
      <c r="B2302" s="15" t="s">
        <v>21</v>
      </c>
      <c r="C2302" s="3">
        <v>3</v>
      </c>
      <c r="D2302" s="13">
        <f t="shared" si="75"/>
        <v>45898</v>
      </c>
      <c r="E2302" s="15">
        <v>1200</v>
      </c>
      <c r="F2302" s="9">
        <v>8.7499999999999994E-2</v>
      </c>
      <c r="G2302" s="9">
        <v>8.7499999999999994E-2</v>
      </c>
      <c r="H2302" s="15">
        <f t="shared" si="74"/>
        <v>22300</v>
      </c>
    </row>
    <row r="2303" spans="1:8" x14ac:dyDescent="0.25">
      <c r="A2303" s="13">
        <v>45895</v>
      </c>
      <c r="B2303" s="15" t="s">
        <v>21</v>
      </c>
      <c r="C2303" s="3">
        <v>6</v>
      </c>
      <c r="D2303" s="13">
        <f t="shared" si="75"/>
        <v>45901</v>
      </c>
      <c r="E2303" s="15">
        <v>1400</v>
      </c>
      <c r="F2303" s="9">
        <v>8.7499999999999994E-2</v>
      </c>
      <c r="G2303" s="9">
        <v>8.7499999999999994E-2</v>
      </c>
      <c r="H2303" s="15">
        <f t="shared" si="74"/>
        <v>22300</v>
      </c>
    </row>
    <row r="2304" spans="1:8" x14ac:dyDescent="0.25">
      <c r="A2304" s="13">
        <v>45896</v>
      </c>
      <c r="B2304" s="15" t="s">
        <v>21</v>
      </c>
      <c r="C2304" s="3">
        <v>2</v>
      </c>
      <c r="D2304" s="13">
        <f t="shared" si="75"/>
        <v>45898</v>
      </c>
      <c r="E2304" s="15">
        <v>-3000</v>
      </c>
      <c r="F2304" s="9">
        <v>8.8999999999999996E-2</v>
      </c>
      <c r="G2304" s="9">
        <v>8.9499999999999996E-2</v>
      </c>
      <c r="H2304" s="15">
        <f t="shared" si="74"/>
        <v>15200</v>
      </c>
    </row>
    <row r="2305" spans="1:8" x14ac:dyDescent="0.25">
      <c r="A2305" s="13">
        <v>45896</v>
      </c>
      <c r="B2305" s="15" t="s">
        <v>21</v>
      </c>
      <c r="C2305" s="3">
        <v>6</v>
      </c>
      <c r="D2305" s="13">
        <f t="shared" si="75"/>
        <v>45902</v>
      </c>
      <c r="E2305" s="15">
        <v>-1000</v>
      </c>
      <c r="F2305" s="9">
        <v>8.8999999999999996E-2</v>
      </c>
      <c r="G2305" s="9">
        <v>8.8999999999999996E-2</v>
      </c>
      <c r="H2305" s="15">
        <f t="shared" si="74"/>
        <v>15200</v>
      </c>
    </row>
    <row r="2306" spans="1:8" x14ac:dyDescent="0.25">
      <c r="A2306" s="13">
        <v>45898</v>
      </c>
      <c r="B2306" s="15" t="s">
        <v>21</v>
      </c>
      <c r="C2306" s="3">
        <v>3</v>
      </c>
      <c r="D2306" s="13">
        <f t="shared" si="75"/>
        <v>45901</v>
      </c>
      <c r="E2306" s="15">
        <v>2100</v>
      </c>
      <c r="F2306" s="9">
        <v>8.5500000000000007E-2</v>
      </c>
      <c r="G2306" s="9">
        <v>8.5999999999999993E-2</v>
      </c>
      <c r="H2306" s="15">
        <f t="shared" si="74"/>
        <v>3000</v>
      </c>
    </row>
    <row r="2307" spans="1:8" x14ac:dyDescent="0.25">
      <c r="A2307" s="13">
        <v>45901</v>
      </c>
      <c r="B2307" s="15" t="s">
        <v>21</v>
      </c>
      <c r="C2307" s="3">
        <v>2</v>
      </c>
      <c r="D2307" s="13">
        <f t="shared" si="75"/>
        <v>45903</v>
      </c>
      <c r="E2307" s="15">
        <v>-600</v>
      </c>
      <c r="F2307" s="9">
        <v>9.0999999999999998E-2</v>
      </c>
      <c r="G2307" s="9">
        <v>9.0999999999999998E-2</v>
      </c>
      <c r="H2307" s="15">
        <f t="shared" si="74"/>
        <v>-1600</v>
      </c>
    </row>
    <row r="2308" spans="1:8" x14ac:dyDescent="0.25">
      <c r="A2308" s="13">
        <v>45902</v>
      </c>
      <c r="B2308" s="15" t="s">
        <v>21</v>
      </c>
      <c r="C2308" s="3">
        <v>3</v>
      </c>
      <c r="D2308" s="13">
        <f t="shared" si="75"/>
        <v>45905</v>
      </c>
      <c r="E2308" s="15">
        <v>500</v>
      </c>
      <c r="F2308" s="9">
        <v>8.7499999999999994E-2</v>
      </c>
      <c r="G2308" s="9">
        <v>8.7499999999999994E-2</v>
      </c>
      <c r="H2308" s="15">
        <f t="shared" si="74"/>
        <v>1100</v>
      </c>
    </row>
    <row r="2309" spans="1:8" x14ac:dyDescent="0.25">
      <c r="A2309" s="13">
        <v>45902</v>
      </c>
      <c r="B2309" s="15" t="s">
        <v>21</v>
      </c>
      <c r="C2309" s="3">
        <v>6</v>
      </c>
      <c r="D2309" s="13">
        <f t="shared" si="75"/>
        <v>45908</v>
      </c>
      <c r="E2309" s="15">
        <v>1200</v>
      </c>
      <c r="F2309" s="9">
        <v>8.7499999999999994E-2</v>
      </c>
      <c r="G2309" s="9">
        <v>8.7499999999999994E-2</v>
      </c>
      <c r="H2309" s="15">
        <f t="shared" si="74"/>
        <v>1100</v>
      </c>
    </row>
    <row r="2310" spans="1:8" x14ac:dyDescent="0.25">
      <c r="A2310" s="13">
        <v>45903</v>
      </c>
      <c r="B2310" s="15" t="s">
        <v>21</v>
      </c>
      <c r="C2310" s="3">
        <v>2</v>
      </c>
      <c r="D2310" s="13">
        <f t="shared" si="75"/>
        <v>45905</v>
      </c>
      <c r="E2310" s="15">
        <v>200</v>
      </c>
      <c r="F2310" s="9">
        <v>8.7499999999999994E-2</v>
      </c>
      <c r="G2310" s="9">
        <v>8.7499999999999994E-2</v>
      </c>
      <c r="H2310" s="15">
        <f t="shared" si="74"/>
        <v>2400</v>
      </c>
    </row>
    <row r="2311" spans="1:8" x14ac:dyDescent="0.25">
      <c r="A2311" s="13">
        <v>45903</v>
      </c>
      <c r="B2311" s="15" t="s">
        <v>21</v>
      </c>
      <c r="C2311" s="3">
        <v>5</v>
      </c>
      <c r="D2311" s="13">
        <f t="shared" si="75"/>
        <v>45908</v>
      </c>
      <c r="E2311" s="15">
        <v>500</v>
      </c>
      <c r="F2311" s="9">
        <v>8.7499999999999994E-2</v>
      </c>
      <c r="G2311" s="9">
        <v>8.7499999999999994E-2</v>
      </c>
      <c r="H2311" s="15">
        <f t="shared" si="74"/>
        <v>2400</v>
      </c>
    </row>
    <row r="2312" spans="1:8" x14ac:dyDescent="0.25">
      <c r="A2312" s="13">
        <v>45904</v>
      </c>
      <c r="B2312" s="15" t="s">
        <v>21</v>
      </c>
      <c r="C2312" s="3">
        <v>8</v>
      </c>
      <c r="D2312" s="13">
        <f t="shared" si="75"/>
        <v>45912</v>
      </c>
      <c r="E2312" s="15">
        <v>2000</v>
      </c>
      <c r="F2312" s="9">
        <v>8.7499999999999994E-2</v>
      </c>
      <c r="G2312" s="9">
        <v>8.7499999999999994E-2</v>
      </c>
      <c r="H2312" s="15">
        <f t="shared" si="74"/>
        <v>4400</v>
      </c>
    </row>
    <row r="2313" spans="1:8" x14ac:dyDescent="0.25">
      <c r="A2313" s="13">
        <v>45905</v>
      </c>
      <c r="B2313" s="15" t="s">
        <v>21</v>
      </c>
      <c r="C2313" s="3">
        <v>3</v>
      </c>
      <c r="D2313" s="13">
        <f t="shared" si="75"/>
        <v>45908</v>
      </c>
      <c r="E2313" s="15">
        <v>-400</v>
      </c>
      <c r="F2313" s="9">
        <v>8.8999999999999996E-2</v>
      </c>
      <c r="G2313" s="9">
        <v>8.8999999999999996E-2</v>
      </c>
      <c r="H2313" s="15">
        <f t="shared" si="74"/>
        <v>3300</v>
      </c>
    </row>
    <row r="2314" spans="1:8" x14ac:dyDescent="0.25">
      <c r="A2314" s="13">
        <v>45908</v>
      </c>
      <c r="B2314" s="15" t="s">
        <v>21</v>
      </c>
      <c r="C2314" s="3">
        <v>2</v>
      </c>
      <c r="D2314" s="13">
        <f t="shared" si="75"/>
        <v>45910</v>
      </c>
      <c r="E2314" s="15">
        <v>3000</v>
      </c>
      <c r="F2314" s="9">
        <v>8.7499999999999994E-2</v>
      </c>
      <c r="G2314" s="9">
        <v>8.7499999999999994E-2</v>
      </c>
      <c r="H2314" s="15">
        <f t="shared" ref="H2314:H2377" si="76">+SUMIFS($E$10:$E$4503,$A$10:$A$4503,"&lt;="&amp;A2314,$D$10:$D$4503,"&gt;"&amp;A2314)</f>
        <v>14000</v>
      </c>
    </row>
    <row r="2315" spans="1:8" x14ac:dyDescent="0.25">
      <c r="A2315" s="13">
        <v>45908</v>
      </c>
      <c r="B2315" s="15" t="s">
        <v>21</v>
      </c>
      <c r="C2315" s="3">
        <v>3</v>
      </c>
      <c r="D2315" s="13">
        <f t="shared" si="75"/>
        <v>45911</v>
      </c>
      <c r="E2315" s="15">
        <v>500</v>
      </c>
      <c r="F2315" s="9">
        <v>8.7499999999999994E-2</v>
      </c>
      <c r="G2315" s="9">
        <v>8.7499999999999994E-2</v>
      </c>
      <c r="H2315" s="15">
        <f t="shared" si="76"/>
        <v>14000</v>
      </c>
    </row>
    <row r="2316" spans="1:8" x14ac:dyDescent="0.25">
      <c r="A2316" s="13">
        <v>45908</v>
      </c>
      <c r="B2316" s="15" t="s">
        <v>21</v>
      </c>
      <c r="C2316" s="3">
        <v>4</v>
      </c>
      <c r="D2316" s="13">
        <f t="shared" si="75"/>
        <v>45912</v>
      </c>
      <c r="E2316" s="15">
        <v>1000</v>
      </c>
      <c r="F2316" s="9">
        <v>8.7499999999999994E-2</v>
      </c>
      <c r="G2316" s="9">
        <v>8.7499999999999994E-2</v>
      </c>
      <c r="H2316" s="15">
        <f t="shared" si="76"/>
        <v>14000</v>
      </c>
    </row>
    <row r="2317" spans="1:8" x14ac:dyDescent="0.25">
      <c r="A2317" s="13">
        <v>45908</v>
      </c>
      <c r="B2317" s="15" t="s">
        <v>21</v>
      </c>
      <c r="C2317" s="3">
        <v>9</v>
      </c>
      <c r="D2317" s="13">
        <f t="shared" si="75"/>
        <v>45917</v>
      </c>
      <c r="E2317" s="15">
        <v>500</v>
      </c>
      <c r="F2317" s="9">
        <v>8.7499999999999994E-2</v>
      </c>
      <c r="G2317" s="9">
        <v>8.7499999999999994E-2</v>
      </c>
      <c r="H2317" s="15">
        <f t="shared" si="76"/>
        <v>14000</v>
      </c>
    </row>
    <row r="2318" spans="1:8" x14ac:dyDescent="0.25">
      <c r="A2318" s="13">
        <v>45908</v>
      </c>
      <c r="B2318" s="15" t="s">
        <v>21</v>
      </c>
      <c r="C2318" s="3">
        <v>14</v>
      </c>
      <c r="D2318" s="13">
        <f t="shared" si="75"/>
        <v>45922</v>
      </c>
      <c r="E2318" s="15">
        <v>1000</v>
      </c>
      <c r="F2318" s="9">
        <v>8.7499999999999994E-2</v>
      </c>
      <c r="G2318" s="9">
        <v>8.7499999999999994E-2</v>
      </c>
      <c r="H2318" s="15">
        <f t="shared" si="76"/>
        <v>14000</v>
      </c>
    </row>
    <row r="2319" spans="1:8" x14ac:dyDescent="0.25">
      <c r="A2319" s="13">
        <v>45908</v>
      </c>
      <c r="B2319" s="15" t="s">
        <v>21</v>
      </c>
      <c r="C2319" s="3">
        <v>15</v>
      </c>
      <c r="D2319" s="13">
        <f t="shared" si="75"/>
        <v>45923</v>
      </c>
      <c r="E2319" s="15">
        <v>6000</v>
      </c>
      <c r="F2319" s="9">
        <v>8.7499999999999994E-2</v>
      </c>
      <c r="G2319" s="9">
        <v>8.7499999999999994E-2</v>
      </c>
      <c r="H2319" s="15">
        <f t="shared" si="76"/>
        <v>14000</v>
      </c>
    </row>
    <row r="2320" spans="1:8" x14ac:dyDescent="0.25">
      <c r="A2320" s="13">
        <v>45909</v>
      </c>
      <c r="B2320" s="15" t="s">
        <v>21</v>
      </c>
      <c r="C2320" s="3">
        <v>3</v>
      </c>
      <c r="D2320" s="13">
        <f t="shared" si="75"/>
        <v>45912</v>
      </c>
      <c r="E2320" s="15">
        <v>200</v>
      </c>
      <c r="F2320" s="9">
        <v>8.7499999999999994E-2</v>
      </c>
      <c r="G2320" s="9">
        <v>8.7499999999999994E-2</v>
      </c>
      <c r="H2320" s="15">
        <f t="shared" si="76"/>
        <v>17000</v>
      </c>
    </row>
    <row r="2321" spans="1:8" x14ac:dyDescent="0.25">
      <c r="A2321" s="13">
        <v>45909</v>
      </c>
      <c r="B2321" s="15" t="s">
        <v>21</v>
      </c>
      <c r="C2321" s="3">
        <v>6</v>
      </c>
      <c r="D2321" s="13">
        <f t="shared" si="75"/>
        <v>45915</v>
      </c>
      <c r="E2321" s="15">
        <v>1300</v>
      </c>
      <c r="F2321" s="9">
        <v>8.7499999999999994E-2</v>
      </c>
      <c r="G2321" s="9">
        <v>8.7499999999999994E-2</v>
      </c>
      <c r="H2321" s="15">
        <f t="shared" si="76"/>
        <v>17000</v>
      </c>
    </row>
    <row r="2322" spans="1:8" x14ac:dyDescent="0.25">
      <c r="A2322" s="13">
        <v>45909</v>
      </c>
      <c r="B2322" s="15" t="s">
        <v>21</v>
      </c>
      <c r="C2322" s="3">
        <v>7</v>
      </c>
      <c r="D2322" s="13">
        <f t="shared" si="75"/>
        <v>45916</v>
      </c>
      <c r="E2322" s="15">
        <v>1500</v>
      </c>
      <c r="F2322" s="9">
        <v>8.7499999999999994E-2</v>
      </c>
      <c r="G2322" s="9">
        <v>8.7499999999999994E-2</v>
      </c>
      <c r="H2322" s="15">
        <f t="shared" si="76"/>
        <v>17000</v>
      </c>
    </row>
    <row r="2323" spans="1:8" x14ac:dyDescent="0.25">
      <c r="A2323" s="13">
        <v>45910</v>
      </c>
      <c r="B2323" s="15" t="s">
        <v>21</v>
      </c>
      <c r="C2323" s="3">
        <v>2</v>
      </c>
      <c r="D2323" s="13">
        <f t="shared" si="75"/>
        <v>45912</v>
      </c>
      <c r="E2323" s="15">
        <v>2600</v>
      </c>
      <c r="F2323" s="9">
        <v>8.7499999999999994E-2</v>
      </c>
      <c r="G2323" s="9">
        <v>8.7499999999999994E-2</v>
      </c>
      <c r="H2323" s="15">
        <f t="shared" si="76"/>
        <v>17100</v>
      </c>
    </row>
    <row r="2324" spans="1:8" x14ac:dyDescent="0.25">
      <c r="A2324" s="13">
        <v>45910</v>
      </c>
      <c r="B2324" s="15" t="s">
        <v>21</v>
      </c>
      <c r="C2324" s="3">
        <v>5</v>
      </c>
      <c r="D2324" s="13">
        <f t="shared" si="75"/>
        <v>45915</v>
      </c>
      <c r="E2324" s="15">
        <v>500</v>
      </c>
      <c r="F2324" s="9">
        <v>8.7499999999999994E-2</v>
      </c>
      <c r="G2324" s="9">
        <v>8.7499999999999994E-2</v>
      </c>
      <c r="H2324" s="15">
        <f t="shared" si="76"/>
        <v>17100</v>
      </c>
    </row>
    <row r="2325" spans="1:8" x14ac:dyDescent="0.25">
      <c r="A2325" s="13">
        <v>45911</v>
      </c>
      <c r="B2325" s="15" t="s">
        <v>21</v>
      </c>
      <c r="C2325" s="3">
        <v>4</v>
      </c>
      <c r="D2325" s="13">
        <f t="shared" si="75"/>
        <v>45915</v>
      </c>
      <c r="E2325" s="15">
        <v>1000</v>
      </c>
      <c r="F2325" s="9">
        <v>8.7499999999999994E-2</v>
      </c>
      <c r="G2325" s="9">
        <v>8.7499999999999994E-2</v>
      </c>
      <c r="H2325" s="15">
        <f t="shared" si="76"/>
        <v>18600</v>
      </c>
    </row>
    <row r="2326" spans="1:8" x14ac:dyDescent="0.25">
      <c r="A2326" s="13">
        <v>45911</v>
      </c>
      <c r="B2326" s="15" t="s">
        <v>21</v>
      </c>
      <c r="C2326" s="3">
        <v>6</v>
      </c>
      <c r="D2326" s="13">
        <f t="shared" si="75"/>
        <v>45917</v>
      </c>
      <c r="E2326" s="15">
        <v>1000</v>
      </c>
      <c r="F2326" s="9">
        <v>8.7499999999999994E-2</v>
      </c>
      <c r="G2326" s="9">
        <v>8.7499999999999994E-2</v>
      </c>
      <c r="H2326" s="15">
        <f t="shared" si="76"/>
        <v>18600</v>
      </c>
    </row>
    <row r="2327" spans="1:8" x14ac:dyDescent="0.25">
      <c r="A2327" s="13">
        <v>45912</v>
      </c>
      <c r="B2327" s="15" t="s">
        <v>21</v>
      </c>
      <c r="C2327" s="3">
        <v>4</v>
      </c>
      <c r="D2327" s="13">
        <f t="shared" si="75"/>
        <v>45916</v>
      </c>
      <c r="E2327" s="15">
        <v>1100</v>
      </c>
      <c r="F2327" s="9">
        <v>8.7499999999999994E-2</v>
      </c>
      <c r="G2327" s="9">
        <v>8.7499999999999994E-2</v>
      </c>
      <c r="H2327" s="15">
        <f t="shared" si="76"/>
        <v>14100</v>
      </c>
    </row>
    <row r="2328" spans="1:8" x14ac:dyDescent="0.25">
      <c r="A2328" s="13">
        <v>45912</v>
      </c>
      <c r="B2328" s="15" t="s">
        <v>21</v>
      </c>
      <c r="C2328" s="3">
        <v>5</v>
      </c>
      <c r="D2328" s="13">
        <f t="shared" si="75"/>
        <v>45917</v>
      </c>
      <c r="E2328" s="15">
        <v>200</v>
      </c>
      <c r="F2328" s="9">
        <v>8.7499999999999994E-2</v>
      </c>
      <c r="G2328" s="9">
        <v>8.7499999999999994E-2</v>
      </c>
      <c r="H2328" s="15">
        <f t="shared" si="76"/>
        <v>14100</v>
      </c>
    </row>
    <row r="2329" spans="1:8" x14ac:dyDescent="0.25">
      <c r="A2329" s="13">
        <v>45916</v>
      </c>
      <c r="B2329" s="15" t="s">
        <v>21</v>
      </c>
      <c r="C2329" s="3">
        <v>3</v>
      </c>
      <c r="D2329" s="13">
        <f t="shared" si="75"/>
        <v>45919</v>
      </c>
      <c r="E2329" s="15">
        <v>1000</v>
      </c>
      <c r="F2329" s="9">
        <v>8.7499999999999994E-2</v>
      </c>
      <c r="G2329" s="9">
        <v>8.7499999999999994E-2</v>
      </c>
      <c r="H2329" s="15">
        <f t="shared" si="76"/>
        <v>12500</v>
      </c>
    </row>
    <row r="2330" spans="1:8" x14ac:dyDescent="0.25">
      <c r="A2330" s="13">
        <v>45916</v>
      </c>
      <c r="B2330" s="15" t="s">
        <v>21</v>
      </c>
      <c r="C2330" s="3">
        <v>6</v>
      </c>
      <c r="D2330" s="13">
        <f t="shared" si="75"/>
        <v>45922</v>
      </c>
      <c r="E2330" s="15">
        <v>1500</v>
      </c>
      <c r="F2330" s="9">
        <v>8.7499999999999994E-2</v>
      </c>
      <c r="G2330" s="9">
        <v>8.7499999999999994E-2</v>
      </c>
      <c r="H2330" s="15">
        <f t="shared" si="76"/>
        <v>12500</v>
      </c>
    </row>
    <row r="2331" spans="1:8" x14ac:dyDescent="0.25">
      <c r="A2331" s="13">
        <v>45916</v>
      </c>
      <c r="B2331" s="15" t="s">
        <v>21</v>
      </c>
      <c r="C2331" s="3">
        <v>8</v>
      </c>
      <c r="D2331" s="13">
        <f t="shared" si="75"/>
        <v>45924</v>
      </c>
      <c r="E2331" s="15">
        <v>1300</v>
      </c>
      <c r="F2331" s="9">
        <v>8.7499999999999994E-2</v>
      </c>
      <c r="G2331" s="9">
        <v>8.7499999999999994E-2</v>
      </c>
      <c r="H2331" s="15">
        <f t="shared" si="76"/>
        <v>12500</v>
      </c>
    </row>
    <row r="2332" spans="1:8" x14ac:dyDescent="0.25">
      <c r="A2332" s="13">
        <v>45917</v>
      </c>
      <c r="B2332" s="15" t="s">
        <v>21</v>
      </c>
      <c r="C2332" s="3">
        <v>2</v>
      </c>
      <c r="D2332" s="13">
        <f t="shared" si="75"/>
        <v>45919</v>
      </c>
      <c r="E2332" s="15">
        <v>1600</v>
      </c>
      <c r="F2332" s="9">
        <v>8.7499999999999994E-2</v>
      </c>
      <c r="G2332" s="9">
        <v>8.7499999999999994E-2</v>
      </c>
      <c r="H2332" s="15">
        <f t="shared" si="76"/>
        <v>12600</v>
      </c>
    </row>
    <row r="2333" spans="1:8" x14ac:dyDescent="0.25">
      <c r="A2333" s="13">
        <v>45917</v>
      </c>
      <c r="B2333" s="15" t="s">
        <v>21</v>
      </c>
      <c r="C2333" s="3">
        <v>5</v>
      </c>
      <c r="D2333" s="13">
        <f t="shared" si="75"/>
        <v>45922</v>
      </c>
      <c r="E2333" s="15">
        <v>200</v>
      </c>
      <c r="F2333" s="9">
        <v>8.7499999999999994E-2</v>
      </c>
      <c r="G2333" s="9">
        <v>8.7499999999999994E-2</v>
      </c>
      <c r="H2333" s="15">
        <f t="shared" si="76"/>
        <v>12600</v>
      </c>
    </row>
    <row r="2334" spans="1:8" x14ac:dyDescent="0.25">
      <c r="A2334" s="13">
        <v>45918</v>
      </c>
      <c r="B2334" s="15" t="s">
        <v>21</v>
      </c>
      <c r="C2334" s="3">
        <v>4</v>
      </c>
      <c r="D2334" s="13">
        <f t="shared" si="75"/>
        <v>45922</v>
      </c>
      <c r="E2334" s="15">
        <v>200</v>
      </c>
      <c r="F2334" s="9">
        <v>8.7499999999999994E-2</v>
      </c>
      <c r="G2334" s="9">
        <v>8.7499999999999994E-2</v>
      </c>
      <c r="H2334" s="15">
        <f t="shared" si="76"/>
        <v>14800</v>
      </c>
    </row>
    <row r="2335" spans="1:8" x14ac:dyDescent="0.25">
      <c r="A2335" s="13">
        <v>45918</v>
      </c>
      <c r="B2335" s="15" t="s">
        <v>21</v>
      </c>
      <c r="C2335" s="3">
        <v>13</v>
      </c>
      <c r="D2335" s="13">
        <f t="shared" si="75"/>
        <v>45931</v>
      </c>
      <c r="E2335" s="15">
        <v>2000</v>
      </c>
      <c r="F2335" s="9">
        <v>8.6499999999999994E-2</v>
      </c>
      <c r="G2335" s="9">
        <v>8.6999999999999994E-2</v>
      </c>
      <c r="H2335" s="15">
        <f t="shared" si="76"/>
        <v>14800</v>
      </c>
    </row>
    <row r="2336" spans="1:8" x14ac:dyDescent="0.25">
      <c r="A2336" s="13">
        <v>45919</v>
      </c>
      <c r="B2336" s="15" t="s">
        <v>21</v>
      </c>
      <c r="C2336" s="3">
        <v>4</v>
      </c>
      <c r="D2336" s="13">
        <f t="shared" si="75"/>
        <v>45923</v>
      </c>
      <c r="E2336" s="15">
        <v>1000</v>
      </c>
      <c r="F2336" s="9">
        <v>8.7499999999999994E-2</v>
      </c>
      <c r="G2336" s="9">
        <v>8.7499999999999994E-2</v>
      </c>
      <c r="H2336" s="15">
        <f t="shared" si="76"/>
        <v>15200</v>
      </c>
    </row>
    <row r="2337" spans="1:8" x14ac:dyDescent="0.25">
      <c r="A2337" s="13">
        <v>45919</v>
      </c>
      <c r="B2337" s="15" t="s">
        <v>21</v>
      </c>
      <c r="C2337" s="3">
        <v>5</v>
      </c>
      <c r="D2337" s="13">
        <f t="shared" si="75"/>
        <v>45924</v>
      </c>
      <c r="E2337" s="15">
        <v>1800</v>
      </c>
      <c r="F2337" s="9">
        <v>8.7499999999999994E-2</v>
      </c>
      <c r="G2337" s="9">
        <v>8.7499999999999994E-2</v>
      </c>
      <c r="H2337" s="15">
        <f t="shared" si="76"/>
        <v>15200</v>
      </c>
    </row>
    <row r="2338" spans="1:8" x14ac:dyDescent="0.25">
      <c r="A2338" s="13">
        <v>45919</v>
      </c>
      <c r="B2338" s="15" t="s">
        <v>21</v>
      </c>
      <c r="C2338" s="3">
        <v>7</v>
      </c>
      <c r="D2338" s="13">
        <f t="shared" si="75"/>
        <v>45926</v>
      </c>
      <c r="E2338" s="15">
        <v>200</v>
      </c>
      <c r="F2338" s="9">
        <v>8.7499999999999994E-2</v>
      </c>
      <c r="G2338" s="9">
        <v>8.7499999999999994E-2</v>
      </c>
      <c r="H2338" s="15">
        <f t="shared" si="76"/>
        <v>15200</v>
      </c>
    </row>
    <row r="2339" spans="1:8" x14ac:dyDescent="0.25">
      <c r="A2339" s="13">
        <v>45922</v>
      </c>
      <c r="B2339" s="15" t="s">
        <v>21</v>
      </c>
      <c r="C2339" s="3">
        <v>2</v>
      </c>
      <c r="D2339" s="13">
        <f t="shared" si="75"/>
        <v>45924</v>
      </c>
      <c r="E2339" s="15">
        <v>2600</v>
      </c>
      <c r="F2339" s="9">
        <v>8.6999999999999994E-2</v>
      </c>
      <c r="G2339" s="9">
        <v>8.7499999999999994E-2</v>
      </c>
      <c r="H2339" s="15">
        <f t="shared" si="76"/>
        <v>15400</v>
      </c>
    </row>
    <row r="2340" spans="1:8" x14ac:dyDescent="0.25">
      <c r="A2340" s="13">
        <v>45922</v>
      </c>
      <c r="B2340" s="15" t="s">
        <v>21</v>
      </c>
      <c r="C2340" s="3">
        <v>3</v>
      </c>
      <c r="D2340" s="13">
        <f t="shared" si="75"/>
        <v>45925</v>
      </c>
      <c r="E2340" s="15">
        <v>500</v>
      </c>
      <c r="F2340" s="9">
        <v>8.6999999999999994E-2</v>
      </c>
      <c r="G2340" s="9">
        <v>8.7499999999999994E-2</v>
      </c>
      <c r="H2340" s="15">
        <f t="shared" si="76"/>
        <v>15400</v>
      </c>
    </row>
    <row r="2341" spans="1:8" x14ac:dyDescent="0.25">
      <c r="A2341" s="13">
        <v>45923</v>
      </c>
      <c r="B2341" s="15" t="s">
        <v>21</v>
      </c>
      <c r="C2341" s="3">
        <v>2</v>
      </c>
      <c r="D2341" s="13">
        <f t="shared" si="75"/>
        <v>45925</v>
      </c>
      <c r="E2341" s="15">
        <v>1800</v>
      </c>
      <c r="F2341" s="9">
        <v>8.7499999999999994E-2</v>
      </c>
      <c r="G2341" s="9">
        <v>8.7499999999999994E-2</v>
      </c>
      <c r="H2341" s="15">
        <f t="shared" si="76"/>
        <v>11700</v>
      </c>
    </row>
    <row r="2342" spans="1:8" x14ac:dyDescent="0.25">
      <c r="A2342" s="13">
        <v>45923</v>
      </c>
      <c r="B2342" s="15" t="s">
        <v>21</v>
      </c>
      <c r="C2342" s="3">
        <v>3</v>
      </c>
      <c r="D2342" s="13">
        <f t="shared" si="75"/>
        <v>45926</v>
      </c>
      <c r="E2342" s="15">
        <v>500</v>
      </c>
      <c r="F2342" s="9">
        <v>8.7499999999999994E-2</v>
      </c>
      <c r="G2342" s="9">
        <v>8.7499999999999994E-2</v>
      </c>
      <c r="H2342" s="15">
        <f t="shared" si="76"/>
        <v>11700</v>
      </c>
    </row>
    <row r="2343" spans="1:8" x14ac:dyDescent="0.25">
      <c r="A2343" s="13">
        <v>45923</v>
      </c>
      <c r="B2343" s="15" t="s">
        <v>21</v>
      </c>
      <c r="C2343" s="3">
        <v>6</v>
      </c>
      <c r="D2343" s="13">
        <f t="shared" ref="D2343:D2401" si="77">+A2343+C2343</f>
        <v>45929</v>
      </c>
      <c r="E2343" s="15">
        <v>1000</v>
      </c>
      <c r="F2343" s="9">
        <v>8.7499999999999994E-2</v>
      </c>
      <c r="G2343" s="9">
        <v>8.7499999999999994E-2</v>
      </c>
      <c r="H2343" s="15">
        <f t="shared" si="76"/>
        <v>11700</v>
      </c>
    </row>
    <row r="2344" spans="1:8" x14ac:dyDescent="0.25">
      <c r="A2344" s="13">
        <v>45924</v>
      </c>
      <c r="B2344" s="15" t="s">
        <v>21</v>
      </c>
      <c r="C2344" s="3">
        <v>1</v>
      </c>
      <c r="D2344" s="13">
        <f t="shared" si="77"/>
        <v>45925</v>
      </c>
      <c r="E2344" s="15">
        <v>-1400</v>
      </c>
      <c r="F2344" s="9">
        <v>8.8999999999999996E-2</v>
      </c>
      <c r="G2344" s="9">
        <v>8.8999999999999996E-2</v>
      </c>
      <c r="H2344" s="15">
        <f t="shared" si="76"/>
        <v>4680</v>
      </c>
    </row>
    <row r="2345" spans="1:8" x14ac:dyDescent="0.25">
      <c r="A2345" s="13">
        <v>45924</v>
      </c>
      <c r="B2345" s="15" t="s">
        <v>21</v>
      </c>
      <c r="C2345" s="3">
        <v>1</v>
      </c>
      <c r="D2345" s="13">
        <f t="shared" si="77"/>
        <v>45925</v>
      </c>
      <c r="E2345" s="15">
        <v>80</v>
      </c>
      <c r="F2345" s="9">
        <v>8.7499999999999994E-2</v>
      </c>
      <c r="G2345" s="9">
        <v>8.7499999999999994E-2</v>
      </c>
      <c r="H2345" s="15">
        <f t="shared" si="76"/>
        <v>4680</v>
      </c>
    </row>
    <row r="2346" spans="1:8" x14ac:dyDescent="0.25">
      <c r="A2346" s="13">
        <v>45926</v>
      </c>
      <c r="B2346" s="15" t="s">
        <v>21</v>
      </c>
      <c r="C2346" s="3">
        <v>3</v>
      </c>
      <c r="D2346" s="13">
        <f t="shared" si="77"/>
        <v>45929</v>
      </c>
      <c r="E2346" s="15">
        <v>-1000</v>
      </c>
      <c r="F2346" s="9">
        <v>8.8999999999999996E-2</v>
      </c>
      <c r="G2346" s="9">
        <v>8.8999999999999996E-2</v>
      </c>
      <c r="H2346" s="15">
        <f t="shared" si="76"/>
        <v>2800</v>
      </c>
    </row>
    <row r="2347" spans="1:8" x14ac:dyDescent="0.25">
      <c r="A2347" s="13">
        <v>45926</v>
      </c>
      <c r="B2347" s="15" t="s">
        <v>21</v>
      </c>
      <c r="C2347" s="3">
        <v>4</v>
      </c>
      <c r="D2347" s="13">
        <f t="shared" si="77"/>
        <v>45930</v>
      </c>
      <c r="E2347" s="15">
        <v>800</v>
      </c>
      <c r="F2347" s="9">
        <v>8.7499999999999994E-2</v>
      </c>
      <c r="G2347" s="9">
        <v>8.7499999999999994E-2</v>
      </c>
      <c r="H2347" s="15">
        <f t="shared" si="76"/>
        <v>2800</v>
      </c>
    </row>
    <row r="2348" spans="1:8" x14ac:dyDescent="0.25">
      <c r="A2348" s="13">
        <v>45930</v>
      </c>
      <c r="B2348" s="15" t="s">
        <v>21</v>
      </c>
      <c r="C2348" s="3">
        <v>2</v>
      </c>
      <c r="D2348" s="13">
        <f t="shared" si="77"/>
        <v>45932</v>
      </c>
      <c r="E2348" s="15">
        <v>2600</v>
      </c>
      <c r="F2348" s="9">
        <v>8.6999999999999994E-2</v>
      </c>
      <c r="G2348" s="9">
        <v>8.7499999999999994E-2</v>
      </c>
      <c r="H2348" s="15">
        <f t="shared" si="76"/>
        <v>6200</v>
      </c>
    </row>
    <row r="2349" spans="1:8" x14ac:dyDescent="0.25">
      <c r="A2349" s="13">
        <v>45930</v>
      </c>
      <c r="B2349" s="15" t="s">
        <v>21</v>
      </c>
      <c r="C2349" s="3">
        <v>3</v>
      </c>
      <c r="D2349" s="13">
        <f t="shared" si="77"/>
        <v>45933</v>
      </c>
      <c r="E2349" s="15">
        <v>1600</v>
      </c>
      <c r="F2349" s="9">
        <v>8.6999999999999994E-2</v>
      </c>
      <c r="G2349" s="9">
        <v>8.7499999999999994E-2</v>
      </c>
      <c r="H2349" s="15">
        <f t="shared" si="76"/>
        <v>6200</v>
      </c>
    </row>
    <row r="2350" spans="1:8" x14ac:dyDescent="0.25">
      <c r="A2350" s="13">
        <v>45931</v>
      </c>
      <c r="B2350" s="15" t="s">
        <v>21</v>
      </c>
      <c r="C2350" s="3">
        <v>1</v>
      </c>
      <c r="D2350" s="13">
        <f t="shared" si="77"/>
        <v>45932</v>
      </c>
      <c r="E2350" s="15">
        <v>-500</v>
      </c>
      <c r="F2350" s="9">
        <v>8.8999999999999996E-2</v>
      </c>
      <c r="G2350" s="9">
        <v>8.8999999999999996E-2</v>
      </c>
      <c r="H2350" s="15">
        <f t="shared" si="76"/>
        <v>700</v>
      </c>
    </row>
    <row r="2351" spans="1:8" x14ac:dyDescent="0.25">
      <c r="A2351" s="13">
        <v>45931</v>
      </c>
      <c r="B2351" s="15" t="s">
        <v>21</v>
      </c>
      <c r="C2351" s="3">
        <v>2</v>
      </c>
      <c r="D2351" s="13">
        <f t="shared" si="77"/>
        <v>45933</v>
      </c>
      <c r="E2351" s="15">
        <v>-3000</v>
      </c>
      <c r="F2351" s="9">
        <v>8.8999999999999996E-2</v>
      </c>
      <c r="G2351" s="9">
        <v>8.8999999999999996E-2</v>
      </c>
      <c r="H2351" s="15">
        <f t="shared" si="76"/>
        <v>700</v>
      </c>
    </row>
    <row r="2352" spans="1:8" x14ac:dyDescent="0.25">
      <c r="A2352" s="13">
        <v>45932</v>
      </c>
      <c r="B2352" s="15" t="s">
        <v>21</v>
      </c>
      <c r="C2352" s="3">
        <v>4</v>
      </c>
      <c r="D2352" s="13">
        <f t="shared" si="77"/>
        <v>45936</v>
      </c>
      <c r="E2352" s="15">
        <v>4100</v>
      </c>
      <c r="F2352" s="9">
        <v>8.7499999999999994E-2</v>
      </c>
      <c r="G2352" s="9">
        <v>8.7499999999999994E-2</v>
      </c>
      <c r="H2352" s="15">
        <f t="shared" si="76"/>
        <v>5400</v>
      </c>
    </row>
    <row r="2353" spans="1:8" x14ac:dyDescent="0.25">
      <c r="A2353" s="13">
        <v>45932</v>
      </c>
      <c r="B2353" s="15" t="s">
        <v>21</v>
      </c>
      <c r="C2353" s="3">
        <v>5</v>
      </c>
      <c r="D2353" s="13">
        <f t="shared" si="77"/>
        <v>45937</v>
      </c>
      <c r="E2353" s="15">
        <v>2700</v>
      </c>
      <c r="F2353" s="9">
        <v>8.7499999999999994E-2</v>
      </c>
      <c r="G2353" s="9">
        <v>8.7499999999999994E-2</v>
      </c>
      <c r="H2353" s="15">
        <f t="shared" si="76"/>
        <v>5400</v>
      </c>
    </row>
    <row r="2354" spans="1:8" x14ac:dyDescent="0.25">
      <c r="A2354" s="13">
        <v>45933</v>
      </c>
      <c r="B2354" s="15" t="s">
        <v>21</v>
      </c>
      <c r="C2354" s="3">
        <v>3</v>
      </c>
      <c r="D2354" s="13">
        <f t="shared" si="77"/>
        <v>45936</v>
      </c>
      <c r="E2354" s="15">
        <v>-600</v>
      </c>
      <c r="F2354" s="9">
        <v>8.8999999999999996E-2</v>
      </c>
      <c r="G2354" s="9">
        <v>8.8999999999999996E-2</v>
      </c>
      <c r="H2354" s="15">
        <f t="shared" si="76"/>
        <v>8200</v>
      </c>
    </row>
    <row r="2355" spans="1:8" x14ac:dyDescent="0.25">
      <c r="A2355" s="13">
        <v>45933</v>
      </c>
      <c r="B2355" s="15" t="s">
        <v>21</v>
      </c>
      <c r="C2355" s="3">
        <v>4</v>
      </c>
      <c r="D2355" s="13">
        <f t="shared" si="77"/>
        <v>45937</v>
      </c>
      <c r="E2355" s="15">
        <v>1000</v>
      </c>
      <c r="F2355" s="9">
        <v>8.7499999999999994E-2</v>
      </c>
      <c r="G2355" s="9">
        <v>8.7499999999999994E-2</v>
      </c>
      <c r="H2355" s="15">
        <f t="shared" si="76"/>
        <v>8200</v>
      </c>
    </row>
    <row r="2356" spans="1:8" x14ac:dyDescent="0.25">
      <c r="A2356" s="13">
        <v>45933</v>
      </c>
      <c r="B2356" s="15" t="s">
        <v>21</v>
      </c>
      <c r="C2356" s="3">
        <v>5</v>
      </c>
      <c r="D2356" s="13">
        <f t="shared" si="77"/>
        <v>45938</v>
      </c>
      <c r="E2356" s="15">
        <v>1000</v>
      </c>
      <c r="F2356" s="9">
        <v>8.7499999999999994E-2</v>
      </c>
      <c r="G2356" s="9">
        <v>8.7499999999999994E-2</v>
      </c>
      <c r="H2356" s="15">
        <f t="shared" si="76"/>
        <v>8200</v>
      </c>
    </row>
    <row r="2357" spans="1:8" x14ac:dyDescent="0.25">
      <c r="A2357" s="13">
        <v>45936</v>
      </c>
      <c r="B2357" s="15" t="s">
        <v>21</v>
      </c>
      <c r="C2357" s="3">
        <v>2</v>
      </c>
      <c r="D2357" s="13">
        <f t="shared" si="77"/>
        <v>45938</v>
      </c>
      <c r="E2357" s="15">
        <v>4400</v>
      </c>
      <c r="F2357" s="9">
        <v>8.5000000000000006E-2</v>
      </c>
      <c r="G2357" s="9">
        <v>8.7499999999999994E-2</v>
      </c>
      <c r="H2357" s="15">
        <f t="shared" si="76"/>
        <v>9100</v>
      </c>
    </row>
    <row r="2358" spans="1:8" x14ac:dyDescent="0.25">
      <c r="A2358" s="13">
        <v>45938</v>
      </c>
      <c r="B2358" s="15" t="s">
        <v>21</v>
      </c>
      <c r="C2358" s="3">
        <v>2</v>
      </c>
      <c r="D2358" s="13">
        <f t="shared" si="77"/>
        <v>45940</v>
      </c>
      <c r="E2358" s="15">
        <v>2000</v>
      </c>
      <c r="F2358" s="9">
        <v>8.2500000000000004E-2</v>
      </c>
      <c r="G2358" s="9">
        <v>8.2500000000000004E-2</v>
      </c>
      <c r="H2358" s="15">
        <f t="shared" si="76"/>
        <v>3500</v>
      </c>
    </row>
    <row r="2359" spans="1:8" x14ac:dyDescent="0.25">
      <c r="A2359" s="13">
        <v>45938</v>
      </c>
      <c r="B2359" s="15" t="s">
        <v>21</v>
      </c>
      <c r="C2359" s="3">
        <v>5</v>
      </c>
      <c r="D2359" s="13">
        <f t="shared" si="77"/>
        <v>45943</v>
      </c>
      <c r="E2359" s="15">
        <v>1500</v>
      </c>
      <c r="F2359" s="9">
        <v>8.2500000000000004E-2</v>
      </c>
      <c r="G2359" s="9">
        <v>8.2500000000000004E-2</v>
      </c>
      <c r="H2359" s="15">
        <f t="shared" si="76"/>
        <v>3500</v>
      </c>
    </row>
    <row r="2360" spans="1:8" x14ac:dyDescent="0.25">
      <c r="A2360" s="13">
        <v>45939</v>
      </c>
      <c r="B2360" s="15" t="s">
        <v>21</v>
      </c>
      <c r="C2360" s="3">
        <v>4</v>
      </c>
      <c r="D2360" s="13">
        <f t="shared" si="77"/>
        <v>45943</v>
      </c>
      <c r="E2360" s="15">
        <v>3000</v>
      </c>
      <c r="F2360" s="9">
        <v>8.2500000000000004E-2</v>
      </c>
      <c r="G2360" s="9">
        <v>8.2500000000000004E-2</v>
      </c>
      <c r="H2360" s="15">
        <f t="shared" si="76"/>
        <v>6500</v>
      </c>
    </row>
    <row r="2361" spans="1:8" x14ac:dyDescent="0.25">
      <c r="A2361" s="13">
        <v>45940</v>
      </c>
      <c r="B2361" s="15" t="s">
        <v>21</v>
      </c>
      <c r="C2361" s="3">
        <v>4</v>
      </c>
      <c r="D2361" s="13">
        <f t="shared" si="77"/>
        <v>45944</v>
      </c>
      <c r="E2361" s="15">
        <v>3450</v>
      </c>
      <c r="F2361" s="9">
        <v>8.2500000000000004E-2</v>
      </c>
      <c r="G2361" s="9">
        <v>8.2500000000000004E-2</v>
      </c>
      <c r="H2361" s="15">
        <f t="shared" si="76"/>
        <v>9450</v>
      </c>
    </row>
    <row r="2362" spans="1:8" x14ac:dyDescent="0.25">
      <c r="A2362" s="13">
        <v>45940</v>
      </c>
      <c r="B2362" s="15" t="s">
        <v>21</v>
      </c>
      <c r="C2362" s="3">
        <v>5</v>
      </c>
      <c r="D2362" s="13">
        <f t="shared" si="77"/>
        <v>45945</v>
      </c>
      <c r="E2362" s="15">
        <v>1500</v>
      </c>
      <c r="F2362" s="9">
        <v>8.2500000000000004E-2</v>
      </c>
      <c r="G2362" s="9">
        <v>8.2500000000000004E-2</v>
      </c>
      <c r="H2362" s="15">
        <f t="shared" si="76"/>
        <v>9450</v>
      </c>
    </row>
    <row r="2363" spans="1:8" x14ac:dyDescent="0.25">
      <c r="A2363" s="13">
        <v>45943</v>
      </c>
      <c r="B2363" s="15" t="s">
        <v>21</v>
      </c>
      <c r="C2363" s="3">
        <v>2</v>
      </c>
      <c r="D2363" s="13">
        <f t="shared" si="77"/>
        <v>45945</v>
      </c>
      <c r="E2363" s="15">
        <v>8500</v>
      </c>
      <c r="F2363" s="9">
        <v>8.2500000000000004E-2</v>
      </c>
      <c r="G2363" s="9">
        <v>8.2500000000000004E-2</v>
      </c>
      <c r="H2363" s="15">
        <f t="shared" si="76"/>
        <v>13450</v>
      </c>
    </row>
    <row r="2364" spans="1:8" x14ac:dyDescent="0.25">
      <c r="A2364" s="13">
        <v>45944</v>
      </c>
      <c r="B2364" s="15" t="s">
        <v>21</v>
      </c>
      <c r="C2364" s="3">
        <v>3</v>
      </c>
      <c r="D2364" s="13">
        <f t="shared" si="77"/>
        <v>45947</v>
      </c>
      <c r="E2364" s="15">
        <v>3500</v>
      </c>
      <c r="F2364" s="9">
        <v>8.2500000000000004E-2</v>
      </c>
      <c r="G2364" s="9">
        <v>8.2500000000000004E-2</v>
      </c>
      <c r="H2364" s="15">
        <f t="shared" si="76"/>
        <v>15000</v>
      </c>
    </row>
    <row r="2365" spans="1:8" x14ac:dyDescent="0.25">
      <c r="A2365" s="13">
        <v>45944</v>
      </c>
      <c r="B2365" s="15" t="s">
        <v>21</v>
      </c>
      <c r="C2365" s="3">
        <v>6</v>
      </c>
      <c r="D2365" s="13">
        <f t="shared" si="77"/>
        <v>45950</v>
      </c>
      <c r="E2365" s="15">
        <v>1500</v>
      </c>
      <c r="F2365" s="9">
        <v>8.2500000000000004E-2</v>
      </c>
      <c r="G2365" s="9">
        <v>8.2500000000000004E-2</v>
      </c>
      <c r="H2365" s="15">
        <f t="shared" si="76"/>
        <v>15000</v>
      </c>
    </row>
    <row r="2366" spans="1:8" x14ac:dyDescent="0.25">
      <c r="A2366" s="13">
        <v>45945</v>
      </c>
      <c r="B2366" s="15" t="s">
        <v>21</v>
      </c>
      <c r="C2366" s="3">
        <v>2</v>
      </c>
      <c r="D2366" s="13">
        <f t="shared" si="77"/>
        <v>45947</v>
      </c>
      <c r="E2366" s="15">
        <v>8100</v>
      </c>
      <c r="F2366" s="9">
        <v>8.2500000000000004E-2</v>
      </c>
      <c r="G2366" s="9">
        <v>8.2500000000000004E-2</v>
      </c>
      <c r="H2366" s="15">
        <f t="shared" si="76"/>
        <v>17100</v>
      </c>
    </row>
    <row r="2367" spans="1:8" x14ac:dyDescent="0.25">
      <c r="A2367" s="13">
        <v>45945</v>
      </c>
      <c r="B2367" s="15" t="s">
        <v>21</v>
      </c>
      <c r="C2367" s="3">
        <v>5</v>
      </c>
      <c r="D2367" s="13">
        <f t="shared" si="77"/>
        <v>45950</v>
      </c>
      <c r="E2367" s="15">
        <v>4000</v>
      </c>
      <c r="F2367" s="9">
        <v>8.2500000000000004E-2</v>
      </c>
      <c r="G2367" s="9">
        <v>8.2500000000000004E-2</v>
      </c>
      <c r="H2367" s="15">
        <f t="shared" si="76"/>
        <v>17100</v>
      </c>
    </row>
    <row r="2368" spans="1:8" x14ac:dyDescent="0.25">
      <c r="A2368" s="13">
        <v>45946</v>
      </c>
      <c r="B2368" s="15" t="s">
        <v>21</v>
      </c>
      <c r="C2368" s="3">
        <v>4</v>
      </c>
      <c r="D2368" s="13">
        <f t="shared" si="77"/>
        <v>45950</v>
      </c>
      <c r="E2368" s="15">
        <v>3400</v>
      </c>
      <c r="F2368" s="9">
        <v>8.2500000000000004E-2</v>
      </c>
      <c r="G2368" s="9">
        <v>8.2500000000000004E-2</v>
      </c>
      <c r="H2368" s="15">
        <f t="shared" si="76"/>
        <v>22700</v>
      </c>
    </row>
    <row r="2369" spans="1:8" x14ac:dyDescent="0.25">
      <c r="A2369" s="13">
        <v>45946</v>
      </c>
      <c r="B2369" s="15" t="s">
        <v>21</v>
      </c>
      <c r="C2369" s="3">
        <v>5</v>
      </c>
      <c r="D2369" s="13">
        <f t="shared" si="77"/>
        <v>45951</v>
      </c>
      <c r="E2369" s="15">
        <v>1700</v>
      </c>
      <c r="F2369" s="9">
        <v>8.2500000000000004E-2</v>
      </c>
      <c r="G2369" s="9">
        <v>8.2500000000000004E-2</v>
      </c>
      <c r="H2369" s="15">
        <f t="shared" si="76"/>
        <v>22700</v>
      </c>
    </row>
    <row r="2370" spans="1:8" x14ac:dyDescent="0.25">
      <c r="A2370" s="13">
        <v>45946</v>
      </c>
      <c r="B2370" s="15" t="s">
        <v>21</v>
      </c>
      <c r="C2370" s="3">
        <v>6</v>
      </c>
      <c r="D2370" s="13">
        <f t="shared" si="77"/>
        <v>45952</v>
      </c>
      <c r="E2370" s="15">
        <v>500</v>
      </c>
      <c r="F2370" s="9">
        <v>8.2500000000000004E-2</v>
      </c>
      <c r="G2370" s="9">
        <v>8.2500000000000004E-2</v>
      </c>
      <c r="H2370" s="15">
        <f t="shared" si="76"/>
        <v>22700</v>
      </c>
    </row>
    <row r="2371" spans="1:8" x14ac:dyDescent="0.25">
      <c r="A2371" s="13">
        <v>45947</v>
      </c>
      <c r="B2371" s="15" t="s">
        <v>21</v>
      </c>
      <c r="C2371" s="3">
        <v>4</v>
      </c>
      <c r="D2371" s="13">
        <f t="shared" si="77"/>
        <v>45951</v>
      </c>
      <c r="E2371" s="15">
        <v>2500</v>
      </c>
      <c r="F2371" s="9">
        <v>8.2500000000000004E-2</v>
      </c>
      <c r="G2371" s="9">
        <v>8.2500000000000004E-2</v>
      </c>
      <c r="H2371" s="15">
        <f t="shared" si="76"/>
        <v>21900</v>
      </c>
    </row>
    <row r="2372" spans="1:8" x14ac:dyDescent="0.25">
      <c r="A2372" s="13">
        <v>45947</v>
      </c>
      <c r="B2372" s="15" t="s">
        <v>21</v>
      </c>
      <c r="C2372" s="3">
        <v>5</v>
      </c>
      <c r="D2372" s="13">
        <f t="shared" si="77"/>
        <v>45952</v>
      </c>
      <c r="E2372" s="15">
        <v>8300</v>
      </c>
      <c r="F2372" s="9">
        <v>8.2500000000000004E-2</v>
      </c>
      <c r="G2372" s="9">
        <v>8.2500000000000004E-2</v>
      </c>
      <c r="H2372" s="15">
        <f t="shared" si="76"/>
        <v>21900</v>
      </c>
    </row>
    <row r="2373" spans="1:8" x14ac:dyDescent="0.25">
      <c r="A2373" s="13">
        <v>45950</v>
      </c>
      <c r="B2373" s="15" t="s">
        <v>21</v>
      </c>
      <c r="C2373" s="3">
        <v>2</v>
      </c>
      <c r="D2373" s="13">
        <f t="shared" si="77"/>
        <v>45952</v>
      </c>
      <c r="E2373" s="15">
        <v>1300</v>
      </c>
      <c r="F2373" s="9">
        <v>8.1000000000000003E-2</v>
      </c>
      <c r="G2373" s="9">
        <v>8.1000000000000003E-2</v>
      </c>
      <c r="H2373" s="15">
        <f t="shared" si="76"/>
        <v>17600</v>
      </c>
    </row>
    <row r="2374" spans="1:8" x14ac:dyDescent="0.25">
      <c r="A2374" s="13">
        <v>45950</v>
      </c>
      <c r="B2374" s="15" t="s">
        <v>21</v>
      </c>
      <c r="C2374" s="3">
        <v>3</v>
      </c>
      <c r="D2374" s="13">
        <f t="shared" si="77"/>
        <v>45953</v>
      </c>
      <c r="E2374" s="15">
        <v>1300</v>
      </c>
      <c r="F2374" s="9">
        <v>8.1000000000000003E-2</v>
      </c>
      <c r="G2374" s="9">
        <v>8.1000000000000003E-2</v>
      </c>
      <c r="H2374" s="15">
        <f t="shared" si="76"/>
        <v>17600</v>
      </c>
    </row>
    <row r="2375" spans="1:8" x14ac:dyDescent="0.25">
      <c r="A2375" s="13">
        <v>45950</v>
      </c>
      <c r="B2375" s="15" t="s">
        <v>21</v>
      </c>
      <c r="C2375" s="3">
        <v>4</v>
      </c>
      <c r="D2375" s="13">
        <f t="shared" si="77"/>
        <v>45954</v>
      </c>
      <c r="E2375" s="15">
        <v>1000</v>
      </c>
      <c r="F2375" s="9">
        <v>8.1000000000000003E-2</v>
      </c>
      <c r="G2375" s="9">
        <v>8.1000000000000003E-2</v>
      </c>
      <c r="H2375" s="15">
        <f t="shared" si="76"/>
        <v>17600</v>
      </c>
    </row>
    <row r="2376" spans="1:8" x14ac:dyDescent="0.25">
      <c r="A2376" s="13">
        <v>45950</v>
      </c>
      <c r="B2376" s="15" t="s">
        <v>21</v>
      </c>
      <c r="C2376" s="3">
        <v>7</v>
      </c>
      <c r="D2376" s="13">
        <f t="shared" si="77"/>
        <v>45957</v>
      </c>
      <c r="E2376" s="15">
        <v>1000</v>
      </c>
      <c r="F2376" s="9">
        <v>8.1000000000000003E-2</v>
      </c>
      <c r="G2376" s="9">
        <v>8.1000000000000003E-2</v>
      </c>
      <c r="H2376" s="15">
        <f t="shared" si="76"/>
        <v>17600</v>
      </c>
    </row>
    <row r="2377" spans="1:8" x14ac:dyDescent="0.25">
      <c r="A2377" s="13">
        <v>45951</v>
      </c>
      <c r="B2377" s="15" t="s">
        <v>21</v>
      </c>
      <c r="C2377" s="3">
        <v>1</v>
      </c>
      <c r="D2377" s="13">
        <f t="shared" si="77"/>
        <v>45952</v>
      </c>
      <c r="E2377" s="15">
        <v>1800</v>
      </c>
      <c r="F2377" s="9">
        <v>8.1000000000000003E-2</v>
      </c>
      <c r="G2377" s="9">
        <v>8.1000000000000003E-2</v>
      </c>
      <c r="H2377" s="15">
        <f t="shared" si="76"/>
        <v>23000</v>
      </c>
    </row>
    <row r="2378" spans="1:8" x14ac:dyDescent="0.25">
      <c r="A2378" s="13">
        <v>45951</v>
      </c>
      <c r="B2378" s="15" t="s">
        <v>21</v>
      </c>
      <c r="C2378" s="3">
        <v>2</v>
      </c>
      <c r="D2378" s="13">
        <f t="shared" si="77"/>
        <v>45953</v>
      </c>
      <c r="E2378" s="15">
        <v>3500</v>
      </c>
      <c r="F2378" s="9">
        <v>8.1000000000000003E-2</v>
      </c>
      <c r="G2378" s="9">
        <v>8.1000000000000003E-2</v>
      </c>
      <c r="H2378" s="15">
        <f t="shared" ref="H2378:H2399" si="78">+SUMIFS($E$10:$E$4503,$A$10:$A$4503,"&lt;="&amp;A2378,$D$10:$D$4503,"&gt;"&amp;A2378)</f>
        <v>23000</v>
      </c>
    </row>
    <row r="2379" spans="1:8" x14ac:dyDescent="0.25">
      <c r="A2379" s="13">
        <v>45951</v>
      </c>
      <c r="B2379" s="15" t="s">
        <v>21</v>
      </c>
      <c r="C2379" s="3">
        <v>3</v>
      </c>
      <c r="D2379" s="13">
        <f t="shared" si="77"/>
        <v>45954</v>
      </c>
      <c r="E2379" s="15">
        <v>2800</v>
      </c>
      <c r="F2379" s="9">
        <v>8.1000000000000003E-2</v>
      </c>
      <c r="G2379" s="9">
        <v>8.1000000000000003E-2</v>
      </c>
      <c r="H2379" s="15">
        <f t="shared" si="78"/>
        <v>23000</v>
      </c>
    </row>
    <row r="2380" spans="1:8" x14ac:dyDescent="0.25">
      <c r="A2380" s="13">
        <v>45951</v>
      </c>
      <c r="B2380" s="15" t="s">
        <v>21</v>
      </c>
      <c r="C2380" s="3">
        <v>6</v>
      </c>
      <c r="D2380" s="13">
        <f t="shared" si="77"/>
        <v>45957</v>
      </c>
      <c r="E2380" s="15">
        <v>1500</v>
      </c>
      <c r="F2380" s="9">
        <v>8.1000000000000003E-2</v>
      </c>
      <c r="G2380" s="9">
        <v>8.1000000000000003E-2</v>
      </c>
      <c r="H2380" s="15">
        <f t="shared" si="78"/>
        <v>23000</v>
      </c>
    </row>
    <row r="2381" spans="1:8" x14ac:dyDescent="0.25">
      <c r="A2381" s="13">
        <v>45952</v>
      </c>
      <c r="B2381" s="15" t="s">
        <v>21</v>
      </c>
      <c r="C2381" s="3">
        <v>1</v>
      </c>
      <c r="D2381" s="13">
        <f t="shared" si="77"/>
        <v>45953</v>
      </c>
      <c r="E2381" s="15">
        <v>2200</v>
      </c>
      <c r="F2381" s="9">
        <v>8.1000000000000003E-2</v>
      </c>
      <c r="G2381" s="9">
        <v>8.1000000000000003E-2</v>
      </c>
      <c r="H2381" s="15">
        <f t="shared" si="78"/>
        <v>20800</v>
      </c>
    </row>
    <row r="2382" spans="1:8" x14ac:dyDescent="0.25">
      <c r="A2382" s="13">
        <v>45952</v>
      </c>
      <c r="B2382" s="15" t="s">
        <v>21</v>
      </c>
      <c r="C2382" s="3">
        <v>2</v>
      </c>
      <c r="D2382" s="13">
        <f t="shared" si="77"/>
        <v>45954</v>
      </c>
      <c r="E2382" s="15">
        <v>2800</v>
      </c>
      <c r="F2382" s="9">
        <v>8.1000000000000003E-2</v>
      </c>
      <c r="G2382" s="9">
        <v>8.1000000000000003E-2</v>
      </c>
      <c r="H2382" s="15">
        <f t="shared" si="78"/>
        <v>20800</v>
      </c>
    </row>
    <row r="2383" spans="1:8" x14ac:dyDescent="0.25">
      <c r="A2383" s="13">
        <v>45952</v>
      </c>
      <c r="B2383" s="15" t="s">
        <v>21</v>
      </c>
      <c r="C2383" s="3">
        <v>5</v>
      </c>
      <c r="D2383" s="13">
        <f t="shared" si="77"/>
        <v>45957</v>
      </c>
      <c r="E2383" s="15">
        <v>3500</v>
      </c>
      <c r="F2383" s="9">
        <v>8.1000000000000003E-2</v>
      </c>
      <c r="G2383" s="9">
        <v>8.1000000000000003E-2</v>
      </c>
      <c r="H2383" s="15">
        <f t="shared" si="78"/>
        <v>20800</v>
      </c>
    </row>
    <row r="2384" spans="1:8" x14ac:dyDescent="0.25">
      <c r="A2384" s="13">
        <v>45952</v>
      </c>
      <c r="B2384" s="15" t="s">
        <v>21</v>
      </c>
      <c r="C2384" s="3">
        <v>6</v>
      </c>
      <c r="D2384" s="13">
        <f t="shared" si="77"/>
        <v>45958</v>
      </c>
      <c r="E2384" s="15">
        <v>1200</v>
      </c>
      <c r="F2384" s="9">
        <v>8.1000000000000003E-2</v>
      </c>
      <c r="G2384" s="9">
        <v>8.1000000000000003E-2</v>
      </c>
      <c r="H2384" s="15">
        <f t="shared" si="78"/>
        <v>20800</v>
      </c>
    </row>
    <row r="2385" spans="1:8" x14ac:dyDescent="0.25">
      <c r="A2385" s="13">
        <v>45953</v>
      </c>
      <c r="B2385" s="15" t="s">
        <v>21</v>
      </c>
      <c r="C2385" s="3">
        <v>1</v>
      </c>
      <c r="D2385" s="13">
        <f t="shared" ref="D2385" si="79">+A2385+C2385</f>
        <v>45954</v>
      </c>
      <c r="E2385" s="15">
        <v>1100</v>
      </c>
      <c r="F2385" s="9">
        <v>8.1000000000000003E-2</v>
      </c>
      <c r="G2385" s="9">
        <v>8.1000000000000003E-2</v>
      </c>
      <c r="H2385" s="15">
        <f t="shared" si="78"/>
        <v>18100</v>
      </c>
    </row>
    <row r="2386" spans="1:8" x14ac:dyDescent="0.25">
      <c r="A2386" s="13">
        <v>45953</v>
      </c>
      <c r="B2386" s="15" t="s">
        <v>21</v>
      </c>
      <c r="C2386" s="3">
        <v>4</v>
      </c>
      <c r="D2386" s="13">
        <f t="shared" si="77"/>
        <v>45957</v>
      </c>
      <c r="E2386" s="15">
        <v>2000</v>
      </c>
      <c r="F2386" s="9">
        <v>8.1000000000000003E-2</v>
      </c>
      <c r="G2386" s="9">
        <v>8.1000000000000003E-2</v>
      </c>
      <c r="H2386" s="15">
        <f t="shared" si="78"/>
        <v>18100</v>
      </c>
    </row>
    <row r="2387" spans="1:8" x14ac:dyDescent="0.25">
      <c r="A2387" s="13">
        <v>45953</v>
      </c>
      <c r="B2387" s="15" t="s">
        <v>21</v>
      </c>
      <c r="C2387" s="3">
        <v>6</v>
      </c>
      <c r="D2387" s="13">
        <f t="shared" si="77"/>
        <v>45959</v>
      </c>
      <c r="E2387" s="15">
        <v>500</v>
      </c>
      <c r="F2387" s="9">
        <v>8.1000000000000003E-2</v>
      </c>
      <c r="G2387" s="9">
        <v>8.1000000000000003E-2</v>
      </c>
      <c r="H2387" s="15">
        <f t="shared" si="78"/>
        <v>18100</v>
      </c>
    </row>
    <row r="2388" spans="1:8" x14ac:dyDescent="0.25">
      <c r="A2388" s="13">
        <v>45953</v>
      </c>
      <c r="B2388" s="15" t="s">
        <v>21</v>
      </c>
      <c r="C2388" s="3">
        <v>7</v>
      </c>
      <c r="D2388" s="13">
        <f t="shared" si="77"/>
        <v>45960</v>
      </c>
      <c r="E2388" s="15">
        <v>700</v>
      </c>
      <c r="F2388" s="9">
        <v>8.1000000000000003E-2</v>
      </c>
      <c r="G2388" s="9">
        <v>8.1000000000000003E-2</v>
      </c>
      <c r="H2388" s="15">
        <f t="shared" si="78"/>
        <v>18100</v>
      </c>
    </row>
    <row r="2389" spans="1:8" x14ac:dyDescent="0.25">
      <c r="A2389" s="13">
        <v>45954</v>
      </c>
      <c r="B2389" s="15" t="s">
        <v>21</v>
      </c>
      <c r="C2389" s="3">
        <v>3</v>
      </c>
      <c r="D2389" s="13">
        <f t="shared" si="77"/>
        <v>45957</v>
      </c>
      <c r="E2389" s="15">
        <v>100</v>
      </c>
      <c r="F2389" s="9">
        <v>8.2000000000000003E-2</v>
      </c>
      <c r="G2389" s="9">
        <v>8.2000000000000003E-2</v>
      </c>
      <c r="H2389" s="15">
        <f t="shared" si="78"/>
        <v>12900</v>
      </c>
    </row>
    <row r="2390" spans="1:8" x14ac:dyDescent="0.25">
      <c r="A2390" s="13">
        <v>45954</v>
      </c>
      <c r="B2390" s="15" t="s">
        <v>21</v>
      </c>
      <c r="C2390" s="3">
        <v>4</v>
      </c>
      <c r="D2390" s="13">
        <f t="shared" si="77"/>
        <v>45958</v>
      </c>
      <c r="E2390" s="15">
        <v>2400</v>
      </c>
      <c r="F2390" s="9">
        <v>8.1000000000000003E-2</v>
      </c>
      <c r="G2390" s="9">
        <v>8.2000000000000003E-2</v>
      </c>
      <c r="H2390" s="15">
        <f t="shared" si="78"/>
        <v>12900</v>
      </c>
    </row>
    <row r="2391" spans="1:8" x14ac:dyDescent="0.25">
      <c r="A2391" s="13">
        <v>45957</v>
      </c>
      <c r="B2391" s="15" t="s">
        <v>21</v>
      </c>
      <c r="C2391" s="3">
        <v>1</v>
      </c>
      <c r="D2391" s="13">
        <f t="shared" si="77"/>
        <v>45958</v>
      </c>
      <c r="E2391" s="15">
        <v>200</v>
      </c>
      <c r="F2391" s="9">
        <v>8.1500000000000003E-2</v>
      </c>
      <c r="G2391" s="9">
        <v>8.1500000000000003E-2</v>
      </c>
      <c r="H2391" s="15">
        <f t="shared" si="78"/>
        <v>11400</v>
      </c>
    </row>
    <row r="2392" spans="1:8" x14ac:dyDescent="0.25">
      <c r="A2392" s="13">
        <v>45957</v>
      </c>
      <c r="B2392" s="15" t="s">
        <v>21</v>
      </c>
      <c r="C2392" s="3">
        <v>2</v>
      </c>
      <c r="D2392" s="13">
        <f t="shared" si="77"/>
        <v>45959</v>
      </c>
      <c r="E2392" s="15">
        <v>500</v>
      </c>
      <c r="F2392" s="9">
        <v>8.1500000000000003E-2</v>
      </c>
      <c r="G2392" s="9">
        <v>8.1500000000000003E-2</v>
      </c>
      <c r="H2392" s="15">
        <f t="shared" si="78"/>
        <v>11400</v>
      </c>
    </row>
    <row r="2393" spans="1:8" x14ac:dyDescent="0.25">
      <c r="A2393" s="13">
        <v>45957</v>
      </c>
      <c r="B2393" s="15" t="s">
        <v>21</v>
      </c>
      <c r="C2393" s="3">
        <v>3</v>
      </c>
      <c r="D2393" s="13">
        <f t="shared" si="77"/>
        <v>45960</v>
      </c>
      <c r="E2393" s="15">
        <v>2300</v>
      </c>
      <c r="F2393" s="9">
        <v>8.1500000000000003E-2</v>
      </c>
      <c r="G2393" s="9">
        <v>8.1500000000000003E-2</v>
      </c>
      <c r="H2393" s="15">
        <f t="shared" si="78"/>
        <v>11400</v>
      </c>
    </row>
    <row r="2394" spans="1:8" x14ac:dyDescent="0.25">
      <c r="A2394" s="13">
        <v>45957</v>
      </c>
      <c r="B2394" s="15" t="s">
        <v>21</v>
      </c>
      <c r="C2394" s="3">
        <v>4</v>
      </c>
      <c r="D2394" s="13">
        <f t="shared" si="77"/>
        <v>45961</v>
      </c>
      <c r="E2394" s="15">
        <v>3600</v>
      </c>
      <c r="F2394" s="9">
        <v>8.1500000000000003E-2</v>
      </c>
      <c r="G2394" s="9">
        <v>8.1500000000000003E-2</v>
      </c>
      <c r="H2394" s="15">
        <f t="shared" si="78"/>
        <v>11400</v>
      </c>
    </row>
    <row r="2395" spans="1:8" x14ac:dyDescent="0.25">
      <c r="A2395" s="13">
        <v>45958</v>
      </c>
      <c r="B2395" s="15" t="s">
        <v>21</v>
      </c>
      <c r="C2395" s="3">
        <v>2</v>
      </c>
      <c r="D2395" s="13">
        <f t="shared" si="77"/>
        <v>45960</v>
      </c>
      <c r="E2395" s="15">
        <v>2500</v>
      </c>
      <c r="F2395" s="9">
        <v>8.1500000000000003E-2</v>
      </c>
      <c r="G2395" s="9">
        <v>8.1500000000000003E-2</v>
      </c>
      <c r="H2395" s="15">
        <f t="shared" si="78"/>
        <v>15300</v>
      </c>
    </row>
    <row r="2396" spans="1:8" x14ac:dyDescent="0.25">
      <c r="A2396" s="13">
        <v>45958</v>
      </c>
      <c r="B2396" s="15" t="s">
        <v>21</v>
      </c>
      <c r="C2396" s="3">
        <v>3</v>
      </c>
      <c r="D2396" s="13">
        <f t="shared" si="77"/>
        <v>45961</v>
      </c>
      <c r="E2396" s="15">
        <v>5200</v>
      </c>
      <c r="F2396" s="9">
        <v>8.1500000000000003E-2</v>
      </c>
      <c r="G2396" s="9">
        <v>8.1500000000000003E-2</v>
      </c>
      <c r="H2396" s="15">
        <f t="shared" si="78"/>
        <v>15300</v>
      </c>
    </row>
    <row r="2397" spans="1:8" x14ac:dyDescent="0.25">
      <c r="A2397" s="13">
        <v>45959</v>
      </c>
      <c r="B2397" s="15" t="s">
        <v>21</v>
      </c>
      <c r="C2397" s="3">
        <v>1</v>
      </c>
      <c r="D2397" s="13">
        <f t="shared" si="77"/>
        <v>45960</v>
      </c>
      <c r="E2397" s="15">
        <v>-1400</v>
      </c>
      <c r="F2397" s="9">
        <v>8.4000000000000005E-2</v>
      </c>
      <c r="G2397" s="9">
        <v>8.4000000000000005E-2</v>
      </c>
      <c r="H2397" s="15">
        <f t="shared" si="78"/>
        <v>11700</v>
      </c>
    </row>
    <row r="2398" spans="1:8" x14ac:dyDescent="0.25">
      <c r="A2398" s="13">
        <v>45959</v>
      </c>
      <c r="B2398" s="15" t="s">
        <v>21</v>
      </c>
      <c r="C2398" s="3">
        <v>2</v>
      </c>
      <c r="D2398" s="13">
        <f t="shared" si="77"/>
        <v>45961</v>
      </c>
      <c r="E2398" s="15">
        <v>-1200</v>
      </c>
      <c r="F2398" s="9">
        <v>8.5000000000000006E-2</v>
      </c>
      <c r="G2398" s="9">
        <v>8.5000000000000006E-2</v>
      </c>
      <c r="H2398" s="15">
        <f t="shared" si="78"/>
        <v>11700</v>
      </c>
    </row>
    <row r="2399" spans="1:8" x14ac:dyDescent="0.25">
      <c r="A2399" s="13">
        <v>45960</v>
      </c>
      <c r="B2399" s="15" t="s">
        <v>21</v>
      </c>
      <c r="C2399" s="3">
        <v>1</v>
      </c>
      <c r="D2399" s="13">
        <f t="shared" si="77"/>
        <v>45961</v>
      </c>
      <c r="E2399" s="15">
        <v>-5100</v>
      </c>
      <c r="F2399" s="9">
        <v>8.4000000000000005E-2</v>
      </c>
      <c r="G2399" s="9">
        <v>8.4000000000000005E-2</v>
      </c>
      <c r="H2399" s="15">
        <f t="shared" si="78"/>
        <v>1300</v>
      </c>
    </row>
    <row r="2400" spans="1:8" x14ac:dyDescent="0.25">
      <c r="A2400" s="13">
        <v>45960</v>
      </c>
      <c r="B2400" s="15" t="s">
        <v>21</v>
      </c>
      <c r="C2400" s="3">
        <v>4</v>
      </c>
      <c r="D2400" s="13">
        <f t="shared" si="77"/>
        <v>45964</v>
      </c>
      <c r="E2400" s="15">
        <v>-1200</v>
      </c>
      <c r="F2400" s="9">
        <v>8.6499999999999994E-2</v>
      </c>
      <c r="G2400" s="9">
        <v>8.6999999999999994E-2</v>
      </c>
      <c r="H2400" s="15">
        <f t="shared" ref="H2400:H2401" si="80">+SUMIFS($E$10:$E$4503,$A$10:$A$4503,"&lt;="&amp;A2400,$D$10:$D$4503,"&gt;"&amp;A2400)</f>
        <v>1300</v>
      </c>
    </row>
    <row r="2401" spans="1:8" x14ac:dyDescent="0.25">
      <c r="A2401" s="13">
        <v>45961</v>
      </c>
      <c r="B2401" s="15" t="s">
        <v>303</v>
      </c>
      <c r="C2401" s="3">
        <v>3</v>
      </c>
      <c r="D2401" s="13">
        <f t="shared" si="77"/>
        <v>45964</v>
      </c>
      <c r="E2401" s="15">
        <v>-100</v>
      </c>
      <c r="F2401" s="9">
        <v>8.5000000000000006E-2</v>
      </c>
      <c r="G2401" s="9">
        <v>8.5000000000000006E-2</v>
      </c>
      <c r="H2401" s="15">
        <f t="shared" si="80"/>
        <v>-4200</v>
      </c>
    </row>
    <row r="2402" spans="1:8" x14ac:dyDescent="0.25">
      <c r="A2402" s="13">
        <v>45961</v>
      </c>
      <c r="B2402" s="15" t="s">
        <v>21</v>
      </c>
      <c r="C2402" s="3">
        <v>3</v>
      </c>
      <c r="D2402" s="13">
        <f t="shared" ref="D2402:D2404" si="81">+A2402+C2402</f>
        <v>45964</v>
      </c>
      <c r="E2402" s="15">
        <v>-2900</v>
      </c>
      <c r="F2402" s="9">
        <v>8.4500000000000006E-2</v>
      </c>
      <c r="G2402" s="9">
        <v>8.4500000000000006E-2</v>
      </c>
      <c r="H2402" s="15">
        <f t="shared" ref="H2402:H2404" si="82">+SUMIFS($E$10:$E$4503,$A$10:$A$4503,"&lt;="&amp;A2402,$D$10:$D$4503,"&gt;"&amp;A2402)</f>
        <v>-4200</v>
      </c>
    </row>
    <row r="2403" spans="1:8" x14ac:dyDescent="0.25">
      <c r="A2403" s="13">
        <v>45965</v>
      </c>
      <c r="B2403" s="15" t="s">
        <v>21</v>
      </c>
      <c r="C2403" s="3">
        <v>1</v>
      </c>
      <c r="D2403" s="13">
        <f t="shared" si="81"/>
        <v>45966</v>
      </c>
      <c r="E2403" s="15">
        <v>-1000</v>
      </c>
      <c r="F2403" s="9">
        <v>8.4500000000000006E-2</v>
      </c>
      <c r="G2403" s="9">
        <v>8.4500000000000006E-2</v>
      </c>
      <c r="H2403" s="15">
        <f t="shared" si="82"/>
        <v>-1000</v>
      </c>
    </row>
    <row r="2404" spans="1:8" x14ac:dyDescent="0.25">
      <c r="A2404" s="13">
        <v>45966</v>
      </c>
      <c r="B2404" s="15" t="s">
        <v>21</v>
      </c>
      <c r="C2404" s="3">
        <v>1</v>
      </c>
      <c r="D2404" s="13">
        <f t="shared" si="81"/>
        <v>45967</v>
      </c>
      <c r="E2404" s="15">
        <v>-450</v>
      </c>
      <c r="F2404" s="9">
        <v>8.4500000000000006E-2</v>
      </c>
      <c r="G2404" s="9">
        <v>8.4500000000000006E-2</v>
      </c>
      <c r="H2404" s="15">
        <f t="shared" si="82"/>
        <v>-450</v>
      </c>
    </row>
    <row r="2405" spans="1:8" x14ac:dyDescent="0.25">
      <c r="A2405" s="13">
        <v>45967</v>
      </c>
      <c r="B2405" s="15" t="s">
        <v>21</v>
      </c>
      <c r="C2405" s="3">
        <v>4</v>
      </c>
      <c r="D2405" s="13">
        <f t="shared" ref="D2405:D2409" si="83">+A2405+C2405</f>
        <v>45971</v>
      </c>
      <c r="E2405" s="15">
        <v>-700</v>
      </c>
      <c r="F2405" s="9">
        <v>8.4500000000000006E-2</v>
      </c>
      <c r="G2405" s="9">
        <v>8.4500000000000006E-2</v>
      </c>
      <c r="H2405" s="15">
        <f t="shared" ref="H2405:H2409" si="84">+SUMIFS($E$10:$E$4503,$A$10:$A$4503,"&lt;="&amp;A2405,$D$10:$D$4503,"&gt;"&amp;A2405)</f>
        <v>-700</v>
      </c>
    </row>
    <row r="2406" spans="1:8" x14ac:dyDescent="0.25">
      <c r="A2406" s="13">
        <v>45968</v>
      </c>
      <c r="B2406" s="15" t="s">
        <v>21</v>
      </c>
      <c r="C2406" s="3">
        <v>4</v>
      </c>
      <c r="D2406" s="13">
        <f t="shared" si="83"/>
        <v>45972</v>
      </c>
      <c r="E2406" s="15">
        <v>2000</v>
      </c>
      <c r="F2406" s="9">
        <v>8.2500000000000004E-2</v>
      </c>
      <c r="G2406" s="9">
        <v>8.2500000000000004E-2</v>
      </c>
      <c r="H2406" s="15">
        <f t="shared" si="84"/>
        <v>6300</v>
      </c>
    </row>
    <row r="2407" spans="1:8" x14ac:dyDescent="0.25">
      <c r="A2407" s="13">
        <v>45968</v>
      </c>
      <c r="B2407" s="15" t="s">
        <v>21</v>
      </c>
      <c r="C2407" s="3">
        <v>5</v>
      </c>
      <c r="D2407" s="13">
        <f t="shared" si="83"/>
        <v>45973</v>
      </c>
      <c r="E2407" s="15">
        <v>3500</v>
      </c>
      <c r="F2407" s="9">
        <v>8.2500000000000004E-2</v>
      </c>
      <c r="G2407" s="9">
        <v>8.2500000000000004E-2</v>
      </c>
      <c r="H2407" s="15">
        <f t="shared" si="84"/>
        <v>6300</v>
      </c>
    </row>
    <row r="2408" spans="1:8" x14ac:dyDescent="0.25">
      <c r="A2408" s="13">
        <v>45968</v>
      </c>
      <c r="B2408" s="15" t="s">
        <v>21</v>
      </c>
      <c r="C2408" s="3">
        <v>6</v>
      </c>
      <c r="D2408" s="13">
        <f t="shared" si="83"/>
        <v>45974</v>
      </c>
      <c r="E2408" s="15">
        <v>1500</v>
      </c>
      <c r="F2408" s="9">
        <v>8.2500000000000004E-2</v>
      </c>
      <c r="G2408" s="9">
        <v>8.2500000000000004E-2</v>
      </c>
      <c r="H2408" s="15">
        <f t="shared" si="84"/>
        <v>6300</v>
      </c>
    </row>
    <row r="2409" spans="1:8" x14ac:dyDescent="0.25">
      <c r="A2409" s="13">
        <v>45973</v>
      </c>
      <c r="B2409" s="15" t="s">
        <v>21</v>
      </c>
      <c r="C2409" s="3">
        <v>5</v>
      </c>
      <c r="D2409" s="13">
        <f t="shared" si="83"/>
        <v>45978</v>
      </c>
      <c r="E2409" s="15">
        <v>4000</v>
      </c>
      <c r="F2409" s="9">
        <v>8.2500000000000004E-2</v>
      </c>
      <c r="G2409" s="9">
        <v>8.2500000000000004E-2</v>
      </c>
      <c r="H2409" s="15">
        <f t="shared" si="84"/>
        <v>5500</v>
      </c>
    </row>
    <row r="2410" spans="1:8" x14ac:dyDescent="0.25">
      <c r="A2410" s="13">
        <v>45974</v>
      </c>
      <c r="B2410" s="15" t="s">
        <v>21</v>
      </c>
      <c r="C2410" s="3">
        <v>4</v>
      </c>
      <c r="D2410" s="13">
        <f t="shared" ref="D2410" si="85">+A2410+C2410</f>
        <v>45978</v>
      </c>
      <c r="E2410" s="15">
        <v>2600</v>
      </c>
      <c r="F2410" s="9">
        <v>8.2500000000000004E-2</v>
      </c>
      <c r="G2410" s="9">
        <v>8.2500000000000004E-2</v>
      </c>
      <c r="H2410" s="15">
        <f t="shared" ref="H2410" si="86">+SUMIFS($E$10:$E$4503,$A$10:$A$4503,"&lt;="&amp;A2410,$D$10:$D$4503,"&gt;"&amp;A2410)</f>
        <v>8300</v>
      </c>
    </row>
    <row r="2411" spans="1:8" x14ac:dyDescent="0.25">
      <c r="A2411" s="13">
        <v>45974</v>
      </c>
      <c r="B2411" s="15" t="s">
        <v>21</v>
      </c>
      <c r="C2411" s="3">
        <v>5</v>
      </c>
      <c r="D2411" s="13">
        <f t="shared" ref="D2411:D2432" si="87">+A2411+C2411</f>
        <v>45979</v>
      </c>
      <c r="E2411" s="15">
        <v>1700</v>
      </c>
      <c r="F2411" s="9">
        <v>8.2500000000000004E-2</v>
      </c>
      <c r="G2411" s="9">
        <v>8.2500000000000004E-2</v>
      </c>
      <c r="H2411" s="15">
        <f t="shared" ref="H2411:H2432" si="88">+SUMIFS($E$10:$E$4503,$A$10:$A$4503,"&lt;="&amp;A2411,$D$10:$D$4503,"&gt;"&amp;A2411)</f>
        <v>8300</v>
      </c>
    </row>
    <row r="2412" spans="1:8" x14ac:dyDescent="0.25">
      <c r="A2412" s="13">
        <v>45975</v>
      </c>
      <c r="B2412" s="15" t="s">
        <v>21</v>
      </c>
      <c r="C2412" s="3">
        <v>5</v>
      </c>
      <c r="D2412" s="13">
        <f t="shared" si="87"/>
        <v>45980</v>
      </c>
      <c r="E2412" s="15">
        <v>6400</v>
      </c>
      <c r="F2412" s="9">
        <v>8.2500000000000004E-2</v>
      </c>
      <c r="G2412" s="9">
        <v>8.2500000000000004E-2</v>
      </c>
      <c r="H2412" s="15">
        <f t="shared" si="88"/>
        <v>14700</v>
      </c>
    </row>
    <row r="2413" spans="1:8" x14ac:dyDescent="0.25">
      <c r="A2413" s="13">
        <v>45978</v>
      </c>
      <c r="B2413" s="15" t="s">
        <v>21</v>
      </c>
      <c r="C2413" s="3">
        <v>2</v>
      </c>
      <c r="D2413" s="13">
        <f t="shared" si="87"/>
        <v>45980</v>
      </c>
      <c r="E2413" s="15">
        <v>10500</v>
      </c>
      <c r="F2413" s="9">
        <v>8.2500000000000004E-2</v>
      </c>
      <c r="G2413" s="9">
        <v>8.2500000000000004E-2</v>
      </c>
      <c r="H2413" s="15">
        <f t="shared" si="88"/>
        <v>18600</v>
      </c>
    </row>
    <row r="2414" spans="1:8" x14ac:dyDescent="0.25">
      <c r="A2414" s="13">
        <v>45980</v>
      </c>
      <c r="B2414" s="15" t="s">
        <v>21</v>
      </c>
      <c r="C2414" s="3">
        <v>2</v>
      </c>
      <c r="D2414" s="13">
        <f t="shared" si="87"/>
        <v>45982</v>
      </c>
      <c r="E2414" s="15">
        <v>3900</v>
      </c>
      <c r="F2414" s="9">
        <v>0.08</v>
      </c>
      <c r="G2414" s="9">
        <v>0.08</v>
      </c>
      <c r="H2414" s="15">
        <f t="shared" si="88"/>
        <v>4400</v>
      </c>
    </row>
    <row r="2415" spans="1:8" x14ac:dyDescent="0.25">
      <c r="A2415" s="13">
        <v>45980</v>
      </c>
      <c r="B2415" s="15" t="s">
        <v>21</v>
      </c>
      <c r="C2415" s="3">
        <v>5</v>
      </c>
      <c r="D2415" s="13">
        <f t="shared" si="87"/>
        <v>45985</v>
      </c>
      <c r="E2415" s="15">
        <v>500</v>
      </c>
      <c r="F2415" s="9">
        <v>0.08</v>
      </c>
      <c r="G2415" s="9">
        <v>0.08</v>
      </c>
      <c r="H2415" s="15">
        <f t="shared" si="88"/>
        <v>4400</v>
      </c>
    </row>
    <row r="2416" spans="1:8" x14ac:dyDescent="0.25">
      <c r="A2416" s="13">
        <v>45981</v>
      </c>
      <c r="B2416" s="15" t="s">
        <v>21</v>
      </c>
      <c r="C2416" s="3">
        <v>4</v>
      </c>
      <c r="D2416" s="13">
        <f t="shared" si="87"/>
        <v>45985</v>
      </c>
      <c r="E2416" s="15">
        <v>8300</v>
      </c>
      <c r="F2416" s="9">
        <v>0.08</v>
      </c>
      <c r="G2416" s="9">
        <v>0.08</v>
      </c>
      <c r="H2416" s="15">
        <f t="shared" si="88"/>
        <v>13700</v>
      </c>
    </row>
    <row r="2417" spans="1:8" x14ac:dyDescent="0.25">
      <c r="A2417" s="13">
        <v>45981</v>
      </c>
      <c r="B2417" s="15" t="s">
        <v>21</v>
      </c>
      <c r="C2417" s="3">
        <v>1</v>
      </c>
      <c r="D2417" s="13">
        <f t="shared" si="87"/>
        <v>45982</v>
      </c>
      <c r="E2417" s="15">
        <v>1000</v>
      </c>
      <c r="F2417" s="9">
        <v>0.08</v>
      </c>
      <c r="G2417" s="9">
        <v>0.08</v>
      </c>
      <c r="H2417" s="15">
        <f t="shared" si="88"/>
        <v>13700</v>
      </c>
    </row>
    <row r="2418" spans="1:8" x14ac:dyDescent="0.25">
      <c r="A2418" s="13">
        <v>45982</v>
      </c>
      <c r="B2418" s="15" t="s">
        <v>21</v>
      </c>
      <c r="C2418" s="3">
        <v>3</v>
      </c>
      <c r="D2418" s="13">
        <f t="shared" si="87"/>
        <v>45985</v>
      </c>
      <c r="E2418" s="15">
        <v>1000</v>
      </c>
      <c r="F2418" s="9">
        <v>0.08</v>
      </c>
      <c r="G2418" s="9">
        <v>0.08</v>
      </c>
      <c r="H2418" s="15">
        <f t="shared" si="88"/>
        <v>19700</v>
      </c>
    </row>
    <row r="2419" spans="1:8" x14ac:dyDescent="0.25">
      <c r="A2419" s="13">
        <v>45982</v>
      </c>
      <c r="B2419" s="15" t="s">
        <v>21</v>
      </c>
      <c r="C2419" s="3">
        <v>4</v>
      </c>
      <c r="D2419" s="13">
        <f t="shared" si="87"/>
        <v>45986</v>
      </c>
      <c r="E2419" s="15">
        <v>3900</v>
      </c>
      <c r="F2419" s="9">
        <v>0.08</v>
      </c>
      <c r="G2419" s="9">
        <v>0.08</v>
      </c>
      <c r="H2419" s="15">
        <f t="shared" si="88"/>
        <v>19700</v>
      </c>
    </row>
    <row r="2420" spans="1:8" x14ac:dyDescent="0.25">
      <c r="A2420" s="13">
        <v>45982</v>
      </c>
      <c r="B2420" s="15" t="s">
        <v>21</v>
      </c>
      <c r="C2420" s="3">
        <v>5</v>
      </c>
      <c r="D2420" s="13">
        <f t="shared" si="87"/>
        <v>45987</v>
      </c>
      <c r="E2420" s="15">
        <v>3500</v>
      </c>
      <c r="F2420" s="9">
        <v>0.08</v>
      </c>
      <c r="G2420" s="9">
        <v>0.08</v>
      </c>
      <c r="H2420" s="15">
        <f t="shared" si="88"/>
        <v>19700</v>
      </c>
    </row>
    <row r="2421" spans="1:8" x14ac:dyDescent="0.25">
      <c r="A2421" s="13">
        <v>45982</v>
      </c>
      <c r="B2421" s="15" t="s">
        <v>21</v>
      </c>
      <c r="C2421" s="3">
        <v>6</v>
      </c>
      <c r="D2421" s="13">
        <f t="shared" si="87"/>
        <v>45988</v>
      </c>
      <c r="E2421" s="15">
        <v>500</v>
      </c>
      <c r="F2421" s="9">
        <v>0.08</v>
      </c>
      <c r="G2421" s="9">
        <v>0.08</v>
      </c>
      <c r="H2421" s="15">
        <f t="shared" si="88"/>
        <v>19700</v>
      </c>
    </row>
    <row r="2422" spans="1:8" x14ac:dyDescent="0.25">
      <c r="A2422" s="13">
        <v>45982</v>
      </c>
      <c r="B2422" s="15" t="s">
        <v>21</v>
      </c>
      <c r="C2422" s="3">
        <v>10</v>
      </c>
      <c r="D2422" s="13">
        <f t="shared" si="87"/>
        <v>45992</v>
      </c>
      <c r="E2422" s="15">
        <v>2000</v>
      </c>
      <c r="F2422" s="9">
        <v>0.08</v>
      </c>
      <c r="G2422" s="9">
        <v>0.08</v>
      </c>
      <c r="H2422" s="15">
        <f t="shared" si="88"/>
        <v>19700</v>
      </c>
    </row>
    <row r="2423" spans="1:8" x14ac:dyDescent="0.25">
      <c r="A2423" s="13">
        <v>45985</v>
      </c>
      <c r="B2423" s="15" t="s">
        <v>21</v>
      </c>
      <c r="C2423" s="3">
        <v>1</v>
      </c>
      <c r="D2423" s="13">
        <f t="shared" si="87"/>
        <v>45986</v>
      </c>
      <c r="E2423" s="15">
        <v>500</v>
      </c>
      <c r="F2423" s="9">
        <v>7.8E-2</v>
      </c>
      <c r="G2423" s="9">
        <v>7.8E-2</v>
      </c>
      <c r="H2423" s="15">
        <f t="shared" si="88"/>
        <v>19400</v>
      </c>
    </row>
    <row r="2424" spans="1:8" x14ac:dyDescent="0.25">
      <c r="A2424" s="13">
        <v>45985</v>
      </c>
      <c r="B2424" s="15" t="s">
        <v>21</v>
      </c>
      <c r="C2424" s="3">
        <v>2</v>
      </c>
      <c r="D2424" s="13">
        <f t="shared" si="87"/>
        <v>45987</v>
      </c>
      <c r="E2424" s="15">
        <v>5000</v>
      </c>
      <c r="F2424" s="9">
        <v>0.08</v>
      </c>
      <c r="G2424" s="9">
        <v>0.08</v>
      </c>
      <c r="H2424" s="15">
        <f t="shared" si="88"/>
        <v>19400</v>
      </c>
    </row>
    <row r="2425" spans="1:8" x14ac:dyDescent="0.25">
      <c r="A2425" s="13">
        <v>45985</v>
      </c>
      <c r="B2425" s="15" t="s">
        <v>21</v>
      </c>
      <c r="C2425" s="3">
        <v>3</v>
      </c>
      <c r="D2425" s="13">
        <f t="shared" si="87"/>
        <v>45988</v>
      </c>
      <c r="E2425" s="15">
        <v>2500</v>
      </c>
      <c r="F2425" s="9">
        <v>0.08</v>
      </c>
      <c r="G2425" s="9">
        <v>0.08</v>
      </c>
      <c r="H2425" s="15">
        <f t="shared" si="88"/>
        <v>19400</v>
      </c>
    </row>
    <row r="2426" spans="1:8" x14ac:dyDescent="0.25">
      <c r="A2426" s="13">
        <v>45985</v>
      </c>
      <c r="B2426" s="15" t="s">
        <v>21</v>
      </c>
      <c r="C2426" s="3">
        <v>4</v>
      </c>
      <c r="D2426" s="13">
        <f t="shared" si="87"/>
        <v>45989</v>
      </c>
      <c r="E2426" s="15">
        <v>500</v>
      </c>
      <c r="F2426" s="9">
        <v>0.08</v>
      </c>
      <c r="G2426" s="9">
        <v>0.08</v>
      </c>
      <c r="H2426" s="15">
        <f t="shared" si="88"/>
        <v>19400</v>
      </c>
    </row>
    <row r="2427" spans="1:8" x14ac:dyDescent="0.25">
      <c r="A2427" s="13">
        <v>45985</v>
      </c>
      <c r="B2427" s="15" t="s">
        <v>21</v>
      </c>
      <c r="C2427" s="3">
        <v>7</v>
      </c>
      <c r="D2427" s="13">
        <f t="shared" si="87"/>
        <v>45992</v>
      </c>
      <c r="E2427" s="15">
        <v>1000</v>
      </c>
      <c r="F2427" s="9">
        <v>0.08</v>
      </c>
      <c r="G2427" s="9">
        <v>0.08</v>
      </c>
      <c r="H2427" s="15">
        <f t="shared" si="88"/>
        <v>19400</v>
      </c>
    </row>
    <row r="2428" spans="1:8" x14ac:dyDescent="0.25">
      <c r="A2428" s="13">
        <v>45986</v>
      </c>
      <c r="B2428" s="15" t="s">
        <v>21</v>
      </c>
      <c r="C2428" s="3">
        <v>1</v>
      </c>
      <c r="D2428" s="13">
        <f t="shared" si="87"/>
        <v>45987</v>
      </c>
      <c r="E2428" s="15">
        <v>900</v>
      </c>
      <c r="F2428" s="9">
        <v>7.5999999999999998E-2</v>
      </c>
      <c r="G2428" s="9">
        <v>0.08</v>
      </c>
      <c r="H2428" s="15">
        <f t="shared" si="88"/>
        <v>25100</v>
      </c>
    </row>
    <row r="2429" spans="1:8" x14ac:dyDescent="0.25">
      <c r="A2429" s="13">
        <v>45986</v>
      </c>
      <c r="B2429" s="15" t="s">
        <v>21</v>
      </c>
      <c r="C2429" s="3">
        <v>2</v>
      </c>
      <c r="D2429" s="13">
        <f t="shared" si="87"/>
        <v>45988</v>
      </c>
      <c r="E2429" s="15">
        <v>2000</v>
      </c>
      <c r="F2429" s="9">
        <v>0.08</v>
      </c>
      <c r="G2429" s="9">
        <v>0.08</v>
      </c>
      <c r="H2429" s="15">
        <f t="shared" si="88"/>
        <v>25100</v>
      </c>
    </row>
    <row r="2430" spans="1:8" x14ac:dyDescent="0.25">
      <c r="A2430" s="13">
        <v>45986</v>
      </c>
      <c r="B2430" s="15" t="s">
        <v>21</v>
      </c>
      <c r="C2430" s="3">
        <v>3</v>
      </c>
      <c r="D2430" s="13">
        <f t="shared" si="87"/>
        <v>45989</v>
      </c>
      <c r="E2430" s="15">
        <v>3200</v>
      </c>
      <c r="F2430" s="9">
        <v>0.08</v>
      </c>
      <c r="G2430" s="9">
        <v>0.08</v>
      </c>
      <c r="H2430" s="15">
        <f t="shared" si="88"/>
        <v>25100</v>
      </c>
    </row>
    <row r="2431" spans="1:8" x14ac:dyDescent="0.25">
      <c r="A2431" s="13">
        <v>45986</v>
      </c>
      <c r="B2431" s="15" t="s">
        <v>21</v>
      </c>
      <c r="C2431" s="3">
        <v>6</v>
      </c>
      <c r="D2431" s="13">
        <f t="shared" si="87"/>
        <v>45992</v>
      </c>
      <c r="E2431" s="15">
        <v>4000</v>
      </c>
      <c r="F2431" s="9">
        <v>0.08</v>
      </c>
      <c r="G2431" s="9">
        <v>0.08</v>
      </c>
      <c r="H2431" s="15">
        <f t="shared" si="88"/>
        <v>25100</v>
      </c>
    </row>
    <row r="2432" spans="1:8" x14ac:dyDescent="0.25">
      <c r="A2432" s="13">
        <v>45987</v>
      </c>
      <c r="B2432" s="15" t="s">
        <v>21</v>
      </c>
      <c r="C2432" s="3">
        <v>2</v>
      </c>
      <c r="D2432" s="13">
        <f t="shared" si="87"/>
        <v>45989</v>
      </c>
      <c r="E2432" s="15">
        <v>400</v>
      </c>
      <c r="F2432" s="9">
        <v>0.08</v>
      </c>
      <c r="G2432" s="9">
        <v>0.08</v>
      </c>
      <c r="H2432" s="15">
        <f t="shared" si="88"/>
        <v>16100</v>
      </c>
    </row>
    <row r="2433" spans="1:8" x14ac:dyDescent="0.25">
      <c r="A2433" s="13">
        <v>45989</v>
      </c>
      <c r="B2433" s="15" t="s">
        <v>21</v>
      </c>
      <c r="C2433" s="3">
        <v>3</v>
      </c>
      <c r="D2433" s="13">
        <f t="shared" ref="D2433:D2487" si="89">+A2433+C2433</f>
        <v>45992</v>
      </c>
      <c r="E2433" s="15">
        <v>-1700</v>
      </c>
      <c r="F2433" s="9">
        <v>8.2000000000000003E-2</v>
      </c>
      <c r="G2433" s="9">
        <v>8.2000000000000003E-2</v>
      </c>
      <c r="H2433" s="15">
        <f t="shared" ref="H2433:H2460" si="90">+SUMIFS($E$10:$E$4503,$A$10:$A$4503,"&lt;="&amp;A2433,$D$10:$D$4503,"&gt;"&amp;A2433)</f>
        <v>5300</v>
      </c>
    </row>
    <row r="2434" spans="1:8" x14ac:dyDescent="0.25">
      <c r="A2434" s="13">
        <v>45992</v>
      </c>
      <c r="B2434" s="15" t="s">
        <v>21</v>
      </c>
      <c r="C2434" s="3">
        <v>1</v>
      </c>
      <c r="D2434" s="13">
        <f t="shared" si="89"/>
        <v>45993</v>
      </c>
      <c r="E2434" s="15">
        <v>-1500</v>
      </c>
      <c r="F2434" s="9">
        <v>8.2000000000000003E-2</v>
      </c>
      <c r="G2434" s="9">
        <v>8.2000000000000003E-2</v>
      </c>
      <c r="H2434" s="15">
        <f t="shared" si="90"/>
        <v>-1500</v>
      </c>
    </row>
    <row r="2435" spans="1:8" x14ac:dyDescent="0.25">
      <c r="A2435" s="13">
        <v>45999</v>
      </c>
      <c r="B2435" s="15" t="s">
        <v>21</v>
      </c>
      <c r="C2435" s="3">
        <v>2</v>
      </c>
      <c r="D2435" s="13">
        <f t="shared" si="89"/>
        <v>46001</v>
      </c>
      <c r="E2435" s="15">
        <v>500</v>
      </c>
      <c r="F2435" s="9">
        <v>0.08</v>
      </c>
      <c r="G2435" s="9">
        <v>0.08</v>
      </c>
      <c r="H2435" s="15">
        <f t="shared" si="90"/>
        <v>5300</v>
      </c>
    </row>
    <row r="2436" spans="1:8" x14ac:dyDescent="0.25">
      <c r="A2436" s="13">
        <v>45999</v>
      </c>
      <c r="B2436" s="15" t="s">
        <v>21</v>
      </c>
      <c r="C2436" s="3">
        <v>3</v>
      </c>
      <c r="D2436" s="13">
        <f t="shared" si="89"/>
        <v>46002</v>
      </c>
      <c r="E2436" s="15">
        <v>1000</v>
      </c>
      <c r="F2436" s="9">
        <v>0.08</v>
      </c>
      <c r="G2436" s="9">
        <v>0.08</v>
      </c>
      <c r="H2436" s="15">
        <f t="shared" si="90"/>
        <v>5300</v>
      </c>
    </row>
    <row r="2437" spans="1:8" x14ac:dyDescent="0.25">
      <c r="A2437" s="13">
        <v>45999</v>
      </c>
      <c r="B2437" s="15" t="s">
        <v>21</v>
      </c>
      <c r="C2437" s="3">
        <v>4</v>
      </c>
      <c r="D2437" s="13">
        <f t="shared" si="89"/>
        <v>46003</v>
      </c>
      <c r="E2437" s="15">
        <v>2500</v>
      </c>
      <c r="F2437" s="9">
        <v>0.08</v>
      </c>
      <c r="G2437" s="9">
        <v>0.08</v>
      </c>
      <c r="H2437" s="15">
        <f t="shared" si="90"/>
        <v>5300</v>
      </c>
    </row>
    <row r="2438" spans="1:8" x14ac:dyDescent="0.25">
      <c r="A2438" s="13">
        <v>45999</v>
      </c>
      <c r="B2438" s="15" t="s">
        <v>21</v>
      </c>
      <c r="C2438" s="3">
        <v>7</v>
      </c>
      <c r="D2438" s="13">
        <f t="shared" si="89"/>
        <v>46006</v>
      </c>
      <c r="E2438" s="15">
        <v>1300</v>
      </c>
      <c r="F2438" s="9">
        <v>0.08</v>
      </c>
      <c r="G2438" s="9">
        <v>0.08</v>
      </c>
      <c r="H2438" s="15">
        <f t="shared" si="90"/>
        <v>5300</v>
      </c>
    </row>
    <row r="2439" spans="1:8" x14ac:dyDescent="0.25">
      <c r="A2439" s="13">
        <v>46000</v>
      </c>
      <c r="B2439" s="15" t="s">
        <v>21</v>
      </c>
      <c r="C2439" s="3">
        <v>3</v>
      </c>
      <c r="D2439" s="13">
        <f t="shared" si="89"/>
        <v>46003</v>
      </c>
      <c r="E2439" s="15">
        <v>1400</v>
      </c>
      <c r="F2439" s="9">
        <v>0.08</v>
      </c>
      <c r="G2439" s="9">
        <v>0.08</v>
      </c>
      <c r="H2439" s="15">
        <f t="shared" si="90"/>
        <v>8400</v>
      </c>
    </row>
    <row r="2440" spans="1:8" x14ac:dyDescent="0.25">
      <c r="A2440" s="13">
        <v>46000</v>
      </c>
      <c r="B2440" s="15" t="s">
        <v>21</v>
      </c>
      <c r="C2440" s="3">
        <v>6</v>
      </c>
      <c r="D2440" s="13">
        <f t="shared" si="89"/>
        <v>46006</v>
      </c>
      <c r="E2440" s="15">
        <v>700</v>
      </c>
      <c r="F2440" s="9">
        <v>0.08</v>
      </c>
      <c r="G2440" s="9">
        <v>0.08</v>
      </c>
      <c r="H2440" s="15">
        <f t="shared" si="90"/>
        <v>8400</v>
      </c>
    </row>
    <row r="2441" spans="1:8" x14ac:dyDescent="0.25">
      <c r="A2441" s="13">
        <v>46000</v>
      </c>
      <c r="B2441" s="15" t="s">
        <v>21</v>
      </c>
      <c r="C2441" s="3">
        <v>7</v>
      </c>
      <c r="D2441" s="13">
        <f t="shared" si="89"/>
        <v>46007</v>
      </c>
      <c r="E2441" s="15">
        <v>1000</v>
      </c>
      <c r="F2441" s="9">
        <v>0.08</v>
      </c>
      <c r="G2441" s="9">
        <v>0.08</v>
      </c>
      <c r="H2441" s="15">
        <f t="shared" si="90"/>
        <v>8400</v>
      </c>
    </row>
    <row r="2442" spans="1:8" x14ac:dyDescent="0.25">
      <c r="A2442" s="13">
        <v>46001</v>
      </c>
      <c r="B2442" s="15" t="s">
        <v>21</v>
      </c>
      <c r="C2442" s="3">
        <v>5</v>
      </c>
      <c r="D2442" s="13">
        <f t="shared" si="89"/>
        <v>46006</v>
      </c>
      <c r="E2442" s="15">
        <v>1000</v>
      </c>
      <c r="F2442" s="9">
        <v>0.08</v>
      </c>
      <c r="G2442" s="9">
        <v>0.08</v>
      </c>
      <c r="H2442" s="15">
        <f t="shared" si="90"/>
        <v>8900</v>
      </c>
    </row>
    <row r="2443" spans="1:8" x14ac:dyDescent="0.25">
      <c r="A2443" s="13">
        <v>46003</v>
      </c>
      <c r="B2443" s="15" t="s">
        <v>21</v>
      </c>
      <c r="C2443" s="3">
        <v>4</v>
      </c>
      <c r="D2443" s="13">
        <f t="shared" si="89"/>
        <v>46007</v>
      </c>
      <c r="E2443" s="15">
        <v>1000</v>
      </c>
      <c r="F2443" s="9">
        <v>0.08</v>
      </c>
      <c r="G2443" s="9">
        <v>0.08</v>
      </c>
      <c r="H2443" s="15">
        <f t="shared" si="90"/>
        <v>9000</v>
      </c>
    </row>
    <row r="2444" spans="1:8" x14ac:dyDescent="0.25">
      <c r="A2444" s="13">
        <v>46003</v>
      </c>
      <c r="B2444" s="15" t="s">
        <v>21</v>
      </c>
      <c r="C2444" s="3">
        <v>5</v>
      </c>
      <c r="D2444" s="13">
        <f t="shared" si="89"/>
        <v>46008</v>
      </c>
      <c r="E2444" s="15">
        <v>3000</v>
      </c>
      <c r="F2444" s="9">
        <v>0.08</v>
      </c>
      <c r="G2444" s="9">
        <v>0.08</v>
      </c>
      <c r="H2444" s="15">
        <f t="shared" si="90"/>
        <v>9000</v>
      </c>
    </row>
    <row r="2445" spans="1:8" x14ac:dyDescent="0.25">
      <c r="A2445" s="13">
        <v>46003</v>
      </c>
      <c r="B2445" s="15" t="s">
        <v>21</v>
      </c>
      <c r="C2445" s="3">
        <v>6</v>
      </c>
      <c r="D2445" s="13">
        <f t="shared" si="89"/>
        <v>46009</v>
      </c>
      <c r="E2445" s="15">
        <v>500</v>
      </c>
      <c r="F2445" s="9">
        <v>0.08</v>
      </c>
      <c r="G2445" s="9">
        <v>0.08</v>
      </c>
      <c r="H2445" s="15">
        <f t="shared" si="90"/>
        <v>9000</v>
      </c>
    </row>
    <row r="2446" spans="1:8" x14ac:dyDescent="0.25">
      <c r="A2446" s="13">
        <v>46003</v>
      </c>
      <c r="B2446" s="15" t="s">
        <v>21</v>
      </c>
      <c r="C2446" s="3">
        <v>7</v>
      </c>
      <c r="D2446" s="13">
        <f t="shared" si="89"/>
        <v>46010</v>
      </c>
      <c r="E2446" s="15">
        <v>500</v>
      </c>
      <c r="F2446" s="9">
        <v>0.08</v>
      </c>
      <c r="G2446" s="9">
        <v>0.08</v>
      </c>
      <c r="H2446" s="15">
        <f t="shared" si="90"/>
        <v>9000</v>
      </c>
    </row>
    <row r="2447" spans="1:8" x14ac:dyDescent="0.25">
      <c r="A2447" s="13">
        <v>46008</v>
      </c>
      <c r="B2447" s="15" t="s">
        <v>21</v>
      </c>
      <c r="C2447" s="3">
        <v>5</v>
      </c>
      <c r="D2447" s="13">
        <f t="shared" si="89"/>
        <v>46013</v>
      </c>
      <c r="E2447" s="15">
        <v>3800</v>
      </c>
      <c r="F2447" s="9">
        <v>0.08</v>
      </c>
      <c r="G2447" s="9">
        <v>0.08</v>
      </c>
      <c r="H2447" s="15">
        <f t="shared" si="90"/>
        <v>6400</v>
      </c>
    </row>
    <row r="2448" spans="1:8" x14ac:dyDescent="0.25">
      <c r="A2448" s="13">
        <v>46008</v>
      </c>
      <c r="B2448" s="15" t="s">
        <v>21</v>
      </c>
      <c r="C2448" s="3">
        <v>6</v>
      </c>
      <c r="D2448" s="13">
        <f t="shared" si="89"/>
        <v>46014</v>
      </c>
      <c r="E2448" s="15">
        <v>1600</v>
      </c>
      <c r="F2448" s="9">
        <v>0.08</v>
      </c>
      <c r="G2448" s="9">
        <v>0.08</v>
      </c>
      <c r="H2448" s="15">
        <f t="shared" si="90"/>
        <v>6400</v>
      </c>
    </row>
    <row r="2449" spans="1:8" x14ac:dyDescent="0.25">
      <c r="A2449" s="13">
        <v>46009</v>
      </c>
      <c r="B2449" s="15" t="s">
        <v>21</v>
      </c>
      <c r="C2449" s="3">
        <v>5</v>
      </c>
      <c r="D2449" s="13">
        <f t="shared" si="89"/>
        <v>46014</v>
      </c>
      <c r="E2449" s="15">
        <v>2000</v>
      </c>
      <c r="F2449" s="9">
        <v>0.08</v>
      </c>
      <c r="G2449" s="9">
        <v>0.08</v>
      </c>
      <c r="H2449" s="15">
        <f t="shared" si="90"/>
        <v>7900</v>
      </c>
    </row>
    <row r="2450" spans="1:8" x14ac:dyDescent="0.25">
      <c r="A2450" s="13">
        <v>46010</v>
      </c>
      <c r="B2450" s="15" t="s">
        <v>21</v>
      </c>
      <c r="C2450" s="3">
        <v>3</v>
      </c>
      <c r="D2450" s="13">
        <f t="shared" si="89"/>
        <v>46013</v>
      </c>
      <c r="E2450" s="15">
        <v>300</v>
      </c>
      <c r="F2450" s="9">
        <v>0.08</v>
      </c>
      <c r="G2450" s="9">
        <v>0.08</v>
      </c>
      <c r="H2450" s="15">
        <f t="shared" si="90"/>
        <v>15300</v>
      </c>
    </row>
    <row r="2451" spans="1:8" x14ac:dyDescent="0.25">
      <c r="A2451" s="13">
        <v>46010</v>
      </c>
      <c r="B2451" s="15" t="s">
        <v>21</v>
      </c>
      <c r="C2451" s="3">
        <v>4</v>
      </c>
      <c r="D2451" s="13">
        <f t="shared" si="89"/>
        <v>46014</v>
      </c>
      <c r="E2451" s="15">
        <v>6200</v>
      </c>
      <c r="F2451" s="9">
        <v>0.08</v>
      </c>
      <c r="G2451" s="9">
        <v>0.08</v>
      </c>
      <c r="H2451" s="15">
        <f t="shared" si="90"/>
        <v>15300</v>
      </c>
    </row>
    <row r="2452" spans="1:8" x14ac:dyDescent="0.25">
      <c r="A2452" s="13">
        <v>46010</v>
      </c>
      <c r="B2452" s="15" t="s">
        <v>21</v>
      </c>
      <c r="C2452" s="3">
        <v>5</v>
      </c>
      <c r="D2452" s="13">
        <f t="shared" si="89"/>
        <v>46015</v>
      </c>
      <c r="E2452" s="15">
        <v>1400</v>
      </c>
      <c r="F2452" s="9">
        <v>0.08</v>
      </c>
      <c r="G2452" s="9">
        <v>0.08</v>
      </c>
      <c r="H2452" s="15">
        <f t="shared" si="90"/>
        <v>15300</v>
      </c>
    </row>
    <row r="2453" spans="1:8" x14ac:dyDescent="0.25">
      <c r="A2453" s="13">
        <v>46013</v>
      </c>
      <c r="B2453" s="15" t="s">
        <v>21</v>
      </c>
      <c r="C2453" s="3">
        <v>1</v>
      </c>
      <c r="D2453" s="13">
        <f t="shared" si="89"/>
        <v>46014</v>
      </c>
      <c r="E2453" s="15">
        <v>500</v>
      </c>
      <c r="F2453" s="9">
        <v>0.08</v>
      </c>
      <c r="G2453" s="9">
        <v>0.08</v>
      </c>
      <c r="H2453" s="15">
        <f t="shared" si="90"/>
        <v>23500</v>
      </c>
    </row>
    <row r="2454" spans="1:8" x14ac:dyDescent="0.25">
      <c r="A2454" s="13">
        <v>46013</v>
      </c>
      <c r="B2454" s="15" t="s">
        <v>21</v>
      </c>
      <c r="C2454" s="3">
        <v>2</v>
      </c>
      <c r="D2454" s="13">
        <f t="shared" si="89"/>
        <v>46015</v>
      </c>
      <c r="E2454" s="15">
        <v>11800</v>
      </c>
      <c r="F2454" s="9">
        <v>0.08</v>
      </c>
      <c r="G2454" s="9">
        <v>0.08</v>
      </c>
      <c r="H2454" s="15">
        <f t="shared" si="90"/>
        <v>23500</v>
      </c>
    </row>
    <row r="2455" spans="1:8" x14ac:dyDescent="0.25">
      <c r="A2455" s="13">
        <v>46015</v>
      </c>
      <c r="B2455" s="15" t="s">
        <v>21</v>
      </c>
      <c r="C2455" s="3">
        <v>5</v>
      </c>
      <c r="D2455" s="13">
        <f t="shared" si="89"/>
        <v>46020</v>
      </c>
      <c r="E2455" s="15">
        <v>4500</v>
      </c>
      <c r="F2455" s="9">
        <v>7.4999999999999997E-2</v>
      </c>
      <c r="G2455" s="9">
        <v>7.4999999999999997E-2</v>
      </c>
      <c r="H2455" s="15">
        <f t="shared" si="90"/>
        <v>6000</v>
      </c>
    </row>
    <row r="2456" spans="1:8" x14ac:dyDescent="0.25">
      <c r="A2456" s="13">
        <v>46015</v>
      </c>
      <c r="B2456" s="15" t="s">
        <v>21</v>
      </c>
      <c r="C2456" s="3">
        <v>9</v>
      </c>
      <c r="D2456" s="13">
        <f t="shared" si="89"/>
        <v>46024</v>
      </c>
      <c r="E2456" s="15">
        <v>1500</v>
      </c>
      <c r="F2456" s="9">
        <v>7.4999999999999997E-2</v>
      </c>
      <c r="G2456" s="9">
        <v>7.4999999999999997E-2</v>
      </c>
      <c r="H2456" s="15">
        <f t="shared" si="90"/>
        <v>6000</v>
      </c>
    </row>
    <row r="2457" spans="1:8" x14ac:dyDescent="0.25">
      <c r="A2457" s="13">
        <v>46017</v>
      </c>
      <c r="B2457" s="15" t="s">
        <v>21</v>
      </c>
      <c r="C2457" s="3">
        <v>4</v>
      </c>
      <c r="D2457" s="13">
        <f t="shared" si="89"/>
        <v>46021</v>
      </c>
      <c r="E2457" s="15">
        <v>2300</v>
      </c>
      <c r="F2457" s="9">
        <v>7.4999999999999997E-2</v>
      </c>
      <c r="G2457" s="9">
        <v>7.4999999999999997E-2</v>
      </c>
      <c r="H2457" s="15">
        <f t="shared" si="90"/>
        <v>8300</v>
      </c>
    </row>
    <row r="2458" spans="1:8" x14ac:dyDescent="0.25">
      <c r="A2458" s="13">
        <v>46020</v>
      </c>
      <c r="B2458" s="15" t="s">
        <v>21</v>
      </c>
      <c r="C2458" s="3">
        <v>1</v>
      </c>
      <c r="D2458" s="13">
        <f t="shared" si="89"/>
        <v>46021</v>
      </c>
      <c r="E2458" s="15">
        <v>300</v>
      </c>
      <c r="F2458" s="9">
        <v>7.3999999999999996E-2</v>
      </c>
      <c r="G2458" s="9">
        <v>7.3999999999999996E-2</v>
      </c>
      <c r="H2458" s="15">
        <f t="shared" si="90"/>
        <v>12100</v>
      </c>
    </row>
    <row r="2459" spans="1:8" x14ac:dyDescent="0.25">
      <c r="A2459" s="13">
        <v>46020</v>
      </c>
      <c r="B2459" s="15" t="s">
        <v>21</v>
      </c>
      <c r="C2459" s="3">
        <v>4</v>
      </c>
      <c r="D2459" s="13">
        <f t="shared" si="89"/>
        <v>46024</v>
      </c>
      <c r="E2459" s="15">
        <v>8000</v>
      </c>
      <c r="F2459" s="9">
        <v>7.4999999999999997E-2</v>
      </c>
      <c r="G2459" s="9">
        <v>7.4999999999999997E-2</v>
      </c>
      <c r="H2459" s="15">
        <f t="shared" si="90"/>
        <v>12100</v>
      </c>
    </row>
    <row r="2460" spans="1:8" x14ac:dyDescent="0.25">
      <c r="A2460" s="13">
        <v>46021</v>
      </c>
      <c r="B2460" s="15" t="s">
        <v>21</v>
      </c>
      <c r="C2460" s="3">
        <v>6</v>
      </c>
      <c r="D2460" s="13">
        <f t="shared" si="89"/>
        <v>46027</v>
      </c>
      <c r="E2460" s="15">
        <v>4800</v>
      </c>
      <c r="F2460" s="9">
        <v>7.4999999999999997E-2</v>
      </c>
      <c r="G2460" s="9">
        <v>7.4999999999999997E-2</v>
      </c>
      <c r="H2460" s="15">
        <f t="shared" si="90"/>
        <v>14300</v>
      </c>
    </row>
    <row r="2461" spans="1:8" x14ac:dyDescent="0.25">
      <c r="A2461" s="13">
        <v>46024</v>
      </c>
      <c r="B2461" s="15" t="s">
        <v>21</v>
      </c>
      <c r="C2461" s="3">
        <v>3</v>
      </c>
      <c r="D2461" s="13">
        <f t="shared" si="89"/>
        <v>46027</v>
      </c>
      <c r="E2461" s="15">
        <v>-950</v>
      </c>
      <c r="F2461" s="9">
        <v>7.6999999999999999E-2</v>
      </c>
      <c r="G2461" s="9">
        <v>7.6999999999999999E-2</v>
      </c>
      <c r="H2461" s="15">
        <f t="shared" ref="H2461:H2487" si="91">+SUMIFS($E$10:$E$4503,$A$10:$A$4503,"&lt;="&amp;A2461,$D$10:$D$4503,"&gt;"&amp;A2461)</f>
        <v>3850</v>
      </c>
    </row>
    <row r="2462" spans="1:8" x14ac:dyDescent="0.25">
      <c r="A2462" s="13">
        <v>46027</v>
      </c>
      <c r="B2462" s="15" t="s">
        <v>21</v>
      </c>
      <c r="C2462" s="3">
        <v>2</v>
      </c>
      <c r="D2462" s="13">
        <f t="shared" si="89"/>
        <v>46029</v>
      </c>
      <c r="E2462" s="15">
        <v>300</v>
      </c>
      <c r="F2462" s="9">
        <v>7.4999999999999997E-2</v>
      </c>
      <c r="G2462" s="9">
        <v>7.4999999999999997E-2</v>
      </c>
      <c r="H2462" s="15">
        <f t="shared" si="91"/>
        <v>11500</v>
      </c>
    </row>
    <row r="2463" spans="1:8" x14ac:dyDescent="0.25">
      <c r="A2463" s="13">
        <v>46027</v>
      </c>
      <c r="B2463" s="15" t="s">
        <v>21</v>
      </c>
      <c r="C2463" s="3">
        <v>3</v>
      </c>
      <c r="D2463" s="13">
        <f t="shared" si="89"/>
        <v>46030</v>
      </c>
      <c r="E2463" s="15">
        <v>5200</v>
      </c>
      <c r="F2463" s="9">
        <v>7.4999999999999997E-2</v>
      </c>
      <c r="G2463" s="9">
        <v>7.4999999999999997E-2</v>
      </c>
      <c r="H2463" s="15">
        <f t="shared" si="91"/>
        <v>11500</v>
      </c>
    </row>
    <row r="2464" spans="1:8" x14ac:dyDescent="0.25">
      <c r="A2464" s="13">
        <v>46027</v>
      </c>
      <c r="B2464" s="15" t="s">
        <v>21</v>
      </c>
      <c r="C2464" s="3">
        <v>4</v>
      </c>
      <c r="D2464" s="13">
        <f t="shared" si="89"/>
        <v>46031</v>
      </c>
      <c r="E2464" s="15">
        <v>5000</v>
      </c>
      <c r="F2464" s="9">
        <v>7.4999999999999997E-2</v>
      </c>
      <c r="G2464" s="9">
        <v>7.4999999999999997E-2</v>
      </c>
      <c r="H2464" s="15">
        <f t="shared" si="91"/>
        <v>11500</v>
      </c>
    </row>
    <row r="2465" spans="1:8" x14ac:dyDescent="0.25">
      <c r="A2465" s="13">
        <v>46027</v>
      </c>
      <c r="B2465" s="15" t="s">
        <v>21</v>
      </c>
      <c r="C2465" s="3">
        <v>7</v>
      </c>
      <c r="D2465" s="13">
        <f t="shared" si="89"/>
        <v>46034</v>
      </c>
      <c r="E2465" s="15">
        <v>1000</v>
      </c>
      <c r="F2465" s="9">
        <v>7.4999999999999997E-2</v>
      </c>
      <c r="G2465" s="9">
        <v>7.4999999999999997E-2</v>
      </c>
      <c r="H2465" s="15">
        <f t="shared" si="91"/>
        <v>11500</v>
      </c>
    </row>
    <row r="2466" spans="1:8" x14ac:dyDescent="0.25">
      <c r="A2466" s="13">
        <v>46029</v>
      </c>
      <c r="B2466" s="15" t="s">
        <v>21</v>
      </c>
      <c r="C2466" s="3">
        <v>2</v>
      </c>
      <c r="D2466" s="13">
        <f t="shared" si="89"/>
        <v>46031</v>
      </c>
      <c r="E2466" s="15">
        <v>6500</v>
      </c>
      <c r="F2466" s="9">
        <v>7.4999999999999997E-2</v>
      </c>
      <c r="G2466" s="9">
        <v>7.4999999999999997E-2</v>
      </c>
      <c r="H2466" s="15">
        <f t="shared" si="91"/>
        <v>18700</v>
      </c>
    </row>
    <row r="2467" spans="1:8" x14ac:dyDescent="0.25">
      <c r="A2467" s="13">
        <v>46029</v>
      </c>
      <c r="B2467" s="15" t="s">
        <v>21</v>
      </c>
      <c r="C2467" s="3">
        <v>5</v>
      </c>
      <c r="D2467" s="13">
        <f t="shared" si="89"/>
        <v>46034</v>
      </c>
      <c r="E2467" s="15">
        <v>500</v>
      </c>
      <c r="F2467" s="9">
        <v>7.4999999999999997E-2</v>
      </c>
      <c r="G2467" s="9">
        <v>7.4999999999999997E-2</v>
      </c>
      <c r="H2467" s="15">
        <f t="shared" si="91"/>
        <v>18700</v>
      </c>
    </row>
    <row r="2468" spans="1:8" x14ac:dyDescent="0.25">
      <c r="A2468" s="13">
        <v>46029</v>
      </c>
      <c r="B2468" s="15" t="s">
        <v>21</v>
      </c>
      <c r="C2468" s="3">
        <v>6</v>
      </c>
      <c r="D2468" s="13">
        <f t="shared" si="89"/>
        <v>46035</v>
      </c>
      <c r="E2468" s="15">
        <v>500</v>
      </c>
      <c r="F2468" s="9">
        <v>7.4999999999999997E-2</v>
      </c>
      <c r="G2468" s="9">
        <v>7.4999999999999997E-2</v>
      </c>
      <c r="H2468" s="15">
        <f t="shared" si="91"/>
        <v>18700</v>
      </c>
    </row>
    <row r="2469" spans="1:8" x14ac:dyDescent="0.25">
      <c r="A2469" s="13">
        <v>46030</v>
      </c>
      <c r="B2469" s="15" t="s">
        <v>21</v>
      </c>
      <c r="C2469" s="3">
        <v>4</v>
      </c>
      <c r="D2469" s="13">
        <f t="shared" si="89"/>
        <v>46034</v>
      </c>
      <c r="E2469" s="15">
        <v>5100</v>
      </c>
      <c r="F2469" s="9">
        <v>7.4999999999999997E-2</v>
      </c>
      <c r="G2469" s="9">
        <v>7.4999999999999997E-2</v>
      </c>
      <c r="H2469" s="15">
        <f t="shared" si="91"/>
        <v>20900</v>
      </c>
    </row>
    <row r="2470" spans="1:8" x14ac:dyDescent="0.25">
      <c r="A2470" s="13">
        <v>46030</v>
      </c>
      <c r="B2470" s="15" t="s">
        <v>21</v>
      </c>
      <c r="C2470" s="3">
        <v>5</v>
      </c>
      <c r="D2470" s="13">
        <f t="shared" si="89"/>
        <v>46035</v>
      </c>
      <c r="E2470" s="15">
        <v>1000</v>
      </c>
      <c r="F2470" s="9">
        <v>7.4999999999999997E-2</v>
      </c>
      <c r="G2470" s="9">
        <v>7.4999999999999997E-2</v>
      </c>
      <c r="H2470" s="15">
        <f t="shared" si="91"/>
        <v>20900</v>
      </c>
    </row>
    <row r="2471" spans="1:8" x14ac:dyDescent="0.25">
      <c r="A2471" s="13">
        <v>46030</v>
      </c>
      <c r="B2471" s="15" t="s">
        <v>21</v>
      </c>
      <c r="C2471" s="3">
        <v>6</v>
      </c>
      <c r="D2471" s="13">
        <f t="shared" si="89"/>
        <v>46036</v>
      </c>
      <c r="E2471" s="15">
        <v>1300</v>
      </c>
      <c r="F2471" s="9">
        <v>7.4999999999999997E-2</v>
      </c>
      <c r="G2471" s="9">
        <v>7.4999999999999997E-2</v>
      </c>
      <c r="H2471" s="15">
        <f t="shared" si="91"/>
        <v>20900</v>
      </c>
    </row>
    <row r="2472" spans="1:8" x14ac:dyDescent="0.25">
      <c r="A2472" s="13">
        <v>46031</v>
      </c>
      <c r="B2472" s="15" t="s">
        <v>21</v>
      </c>
      <c r="C2472" s="3">
        <v>4</v>
      </c>
      <c r="D2472" s="13">
        <f t="shared" si="89"/>
        <v>46035</v>
      </c>
      <c r="E2472" s="15">
        <v>6400</v>
      </c>
      <c r="F2472" s="9">
        <v>7.4999999999999997E-2</v>
      </c>
      <c r="G2472" s="9">
        <v>7.4999999999999997E-2</v>
      </c>
      <c r="H2472" s="15">
        <f t="shared" si="91"/>
        <v>21800</v>
      </c>
    </row>
    <row r="2473" spans="1:8" x14ac:dyDescent="0.25">
      <c r="A2473" s="13">
        <v>46031</v>
      </c>
      <c r="B2473" s="15" t="s">
        <v>21</v>
      </c>
      <c r="C2473" s="3">
        <v>5</v>
      </c>
      <c r="D2473" s="13">
        <f t="shared" si="89"/>
        <v>46036</v>
      </c>
      <c r="E2473" s="15">
        <v>5500</v>
      </c>
      <c r="F2473" s="9">
        <v>7.4999999999999997E-2</v>
      </c>
      <c r="G2473" s="9">
        <v>7.4999999999999997E-2</v>
      </c>
      <c r="H2473" s="15">
        <f t="shared" si="91"/>
        <v>21800</v>
      </c>
    </row>
    <row r="2474" spans="1:8" x14ac:dyDescent="0.25">
      <c r="A2474" s="13">
        <v>46031</v>
      </c>
      <c r="B2474" s="15" t="s">
        <v>21</v>
      </c>
      <c r="C2474" s="3">
        <v>6</v>
      </c>
      <c r="D2474" s="13">
        <f t="shared" si="89"/>
        <v>46037</v>
      </c>
      <c r="E2474" s="15">
        <v>500</v>
      </c>
      <c r="F2474" s="9">
        <v>7.4999999999999997E-2</v>
      </c>
      <c r="G2474" s="9">
        <v>7.4999999999999997E-2</v>
      </c>
      <c r="H2474" s="15">
        <f t="shared" si="91"/>
        <v>21800</v>
      </c>
    </row>
    <row r="2475" spans="1:8" x14ac:dyDescent="0.25">
      <c r="A2475" s="13">
        <v>46034</v>
      </c>
      <c r="B2475" s="15" t="s">
        <v>21</v>
      </c>
      <c r="C2475" s="3">
        <v>1</v>
      </c>
      <c r="D2475" s="13">
        <f t="shared" si="89"/>
        <v>46035</v>
      </c>
      <c r="E2475" s="15">
        <v>100</v>
      </c>
      <c r="F2475" s="9">
        <v>7.3499999999999996E-2</v>
      </c>
      <c r="G2475" s="9">
        <v>7.3499999999999996E-2</v>
      </c>
      <c r="H2475" s="15">
        <f t="shared" si="91"/>
        <v>21400</v>
      </c>
    </row>
    <row r="2476" spans="1:8" x14ac:dyDescent="0.25">
      <c r="A2476" s="13">
        <v>46034</v>
      </c>
      <c r="B2476" s="15" t="s">
        <v>21</v>
      </c>
      <c r="C2476" s="3">
        <v>2</v>
      </c>
      <c r="D2476" s="13">
        <f t="shared" si="89"/>
        <v>46036</v>
      </c>
      <c r="E2476" s="15">
        <v>2500</v>
      </c>
      <c r="F2476" s="9">
        <v>7.4999999999999997E-2</v>
      </c>
      <c r="G2476" s="9">
        <v>7.4999999999999997E-2</v>
      </c>
      <c r="H2476" s="15">
        <f t="shared" si="91"/>
        <v>21400</v>
      </c>
    </row>
    <row r="2477" spans="1:8" x14ac:dyDescent="0.25">
      <c r="A2477" s="13">
        <v>46034</v>
      </c>
      <c r="B2477" s="15" t="s">
        <v>21</v>
      </c>
      <c r="C2477" s="3">
        <v>3</v>
      </c>
      <c r="D2477" s="13">
        <f t="shared" si="89"/>
        <v>46037</v>
      </c>
      <c r="E2477" s="15">
        <v>1100</v>
      </c>
      <c r="F2477" s="9">
        <v>7.4999999999999997E-2</v>
      </c>
      <c r="G2477" s="9">
        <v>7.4999999999999997E-2</v>
      </c>
      <c r="H2477" s="15">
        <f t="shared" si="91"/>
        <v>21400</v>
      </c>
    </row>
    <row r="2478" spans="1:8" x14ac:dyDescent="0.25">
      <c r="A2478" s="13">
        <v>46034</v>
      </c>
      <c r="B2478" s="15" t="s">
        <v>21</v>
      </c>
      <c r="C2478" s="3">
        <v>4</v>
      </c>
      <c r="D2478" s="13">
        <f t="shared" si="89"/>
        <v>46038</v>
      </c>
      <c r="E2478" s="15">
        <v>2500</v>
      </c>
      <c r="F2478" s="9">
        <v>7.4999999999999997E-2</v>
      </c>
      <c r="G2478" s="9">
        <v>7.4999999999999997E-2</v>
      </c>
      <c r="H2478" s="15">
        <f t="shared" si="91"/>
        <v>21400</v>
      </c>
    </row>
    <row r="2479" spans="1:8" x14ac:dyDescent="0.25">
      <c r="A2479" s="13">
        <v>46035</v>
      </c>
      <c r="B2479" s="15" t="s">
        <v>21</v>
      </c>
      <c r="C2479" s="3">
        <v>2</v>
      </c>
      <c r="D2479" s="13">
        <f t="shared" si="89"/>
        <v>46037</v>
      </c>
      <c r="E2479" s="15">
        <v>5300</v>
      </c>
      <c r="F2479" s="9">
        <v>7.4999999999999997E-2</v>
      </c>
      <c r="G2479" s="9">
        <v>7.4999999999999997E-2</v>
      </c>
      <c r="H2479" s="15">
        <f t="shared" si="91"/>
        <v>24400</v>
      </c>
    </row>
    <row r="2480" spans="1:8" x14ac:dyDescent="0.25">
      <c r="A2480" s="13">
        <v>46035</v>
      </c>
      <c r="B2480" s="15" t="s">
        <v>21</v>
      </c>
      <c r="C2480" s="3">
        <v>6</v>
      </c>
      <c r="D2480" s="13">
        <f t="shared" si="89"/>
        <v>46041</v>
      </c>
      <c r="E2480" s="15">
        <v>1500</v>
      </c>
      <c r="F2480" s="9">
        <v>7.4999999999999997E-2</v>
      </c>
      <c r="G2480" s="9">
        <v>7.4999999999999997E-2</v>
      </c>
      <c r="H2480" s="15">
        <f t="shared" si="91"/>
        <v>24400</v>
      </c>
    </row>
    <row r="2481" spans="1:8" x14ac:dyDescent="0.25">
      <c r="A2481" s="13">
        <v>46035</v>
      </c>
      <c r="B2481" s="15" t="s">
        <v>21</v>
      </c>
      <c r="C2481" s="3">
        <v>7</v>
      </c>
      <c r="D2481" s="13">
        <f t="shared" si="89"/>
        <v>46042</v>
      </c>
      <c r="E2481" s="15">
        <v>4200</v>
      </c>
      <c r="F2481" s="9">
        <v>7.4999999999999997E-2</v>
      </c>
      <c r="G2481" s="9">
        <v>7.4999999999999997E-2</v>
      </c>
      <c r="H2481" s="15">
        <f t="shared" si="91"/>
        <v>24400</v>
      </c>
    </row>
    <row r="2482" spans="1:8" x14ac:dyDescent="0.25">
      <c r="A2482" s="13">
        <v>46036</v>
      </c>
      <c r="B2482" s="15" t="s">
        <v>21</v>
      </c>
      <c r="C2482" s="3">
        <v>2</v>
      </c>
      <c r="D2482" s="13">
        <f t="shared" si="89"/>
        <v>46038</v>
      </c>
      <c r="E2482" s="15">
        <v>1500</v>
      </c>
      <c r="F2482" s="9">
        <v>7.4999999999999997E-2</v>
      </c>
      <c r="G2482" s="9">
        <v>7.4999999999999997E-2</v>
      </c>
      <c r="H2482" s="15">
        <f t="shared" si="91"/>
        <v>20900</v>
      </c>
    </row>
    <row r="2483" spans="1:8" x14ac:dyDescent="0.25">
      <c r="A2483" s="13">
        <v>46036</v>
      </c>
      <c r="B2483" s="15" t="s">
        <v>21</v>
      </c>
      <c r="C2483" s="3">
        <v>5</v>
      </c>
      <c r="D2483" s="13">
        <f t="shared" si="89"/>
        <v>46041</v>
      </c>
      <c r="E2483" s="15">
        <v>500</v>
      </c>
      <c r="F2483" s="9">
        <v>7.4999999999999997E-2</v>
      </c>
      <c r="G2483" s="9">
        <v>7.4999999999999997E-2</v>
      </c>
      <c r="H2483" s="15">
        <f t="shared" si="91"/>
        <v>20900</v>
      </c>
    </row>
    <row r="2484" spans="1:8" x14ac:dyDescent="0.25">
      <c r="A2484" s="13">
        <v>46036</v>
      </c>
      <c r="B2484" s="15" t="s">
        <v>21</v>
      </c>
      <c r="C2484" s="3">
        <v>7</v>
      </c>
      <c r="D2484" s="13">
        <f t="shared" si="89"/>
        <v>46043</v>
      </c>
      <c r="E2484" s="15">
        <v>3800</v>
      </c>
      <c r="F2484" s="9">
        <v>7.4999999999999997E-2</v>
      </c>
      <c r="G2484" s="9">
        <v>7.4999999999999997E-2</v>
      </c>
      <c r="H2484" s="15">
        <f t="shared" si="91"/>
        <v>20900</v>
      </c>
    </row>
    <row r="2485" spans="1:8" x14ac:dyDescent="0.25">
      <c r="A2485" s="13">
        <v>46037</v>
      </c>
      <c r="B2485" s="15" t="s">
        <v>21</v>
      </c>
      <c r="C2485" s="3">
        <v>1</v>
      </c>
      <c r="D2485" s="13">
        <f t="shared" si="89"/>
        <v>46038</v>
      </c>
      <c r="E2485" s="15">
        <v>200</v>
      </c>
      <c r="F2485" s="9">
        <v>7.4999999999999997E-2</v>
      </c>
      <c r="G2485" s="9">
        <v>7.4999999999999997E-2</v>
      </c>
      <c r="H2485" s="15">
        <f t="shared" si="91"/>
        <v>18300</v>
      </c>
    </row>
    <row r="2486" spans="1:8" x14ac:dyDescent="0.25">
      <c r="A2486" s="13">
        <v>46037</v>
      </c>
      <c r="B2486" s="15" t="s">
        <v>21</v>
      </c>
      <c r="C2486" s="3">
        <v>4</v>
      </c>
      <c r="D2486" s="13">
        <f t="shared" si="89"/>
        <v>46041</v>
      </c>
      <c r="E2486" s="15">
        <v>1300</v>
      </c>
      <c r="F2486" s="9">
        <v>7.4999999999999997E-2</v>
      </c>
      <c r="G2486" s="9">
        <v>7.4999999999999997E-2</v>
      </c>
      <c r="H2486" s="15">
        <f t="shared" si="91"/>
        <v>18300</v>
      </c>
    </row>
    <row r="2487" spans="1:8" x14ac:dyDescent="0.25">
      <c r="A2487" s="13">
        <v>46037</v>
      </c>
      <c r="B2487" s="15" t="s">
        <v>21</v>
      </c>
      <c r="C2487" s="3">
        <v>5</v>
      </c>
      <c r="D2487" s="13">
        <f t="shared" si="89"/>
        <v>46042</v>
      </c>
      <c r="E2487" s="15">
        <v>800</v>
      </c>
      <c r="F2487" s="9">
        <v>7.4999999999999997E-2</v>
      </c>
      <c r="G2487" s="9">
        <v>7.4999999999999997E-2</v>
      </c>
      <c r="H2487" s="15">
        <f t="shared" si="91"/>
        <v>18300</v>
      </c>
    </row>
    <row r="2488" spans="1:8" x14ac:dyDescent="0.25">
      <c r="A2488" s="13">
        <v>46037</v>
      </c>
      <c r="B2488" s="15" t="s">
        <v>21</v>
      </c>
      <c r="C2488" s="3">
        <v>6</v>
      </c>
      <c r="D2488" s="13">
        <f t="shared" ref="D2488" si="92">+A2488+C2488</f>
        <v>46043</v>
      </c>
      <c r="E2488" s="15">
        <v>500</v>
      </c>
      <c r="F2488" s="9">
        <v>7.4999999999999997E-2</v>
      </c>
      <c r="G2488" s="9">
        <v>7.4999999999999997E-2</v>
      </c>
      <c r="H2488" s="15">
        <f t="shared" ref="H2488" si="93">+SUMIFS($E$10:$E$4503,$A$10:$A$4503,"&lt;="&amp;A2488,$D$10:$D$4503,"&gt;"&amp;A2488)</f>
        <v>18300</v>
      </c>
    </row>
    <row r="2489" spans="1:8" x14ac:dyDescent="0.25">
      <c r="A2489" s="13">
        <v>46037</v>
      </c>
      <c r="B2489" s="15" t="s">
        <v>21</v>
      </c>
      <c r="C2489" s="3">
        <v>7</v>
      </c>
      <c r="D2489" s="13">
        <f t="shared" ref="D2489:D2510" si="94">+A2489+C2489</f>
        <v>46044</v>
      </c>
      <c r="E2489" s="15">
        <v>1500</v>
      </c>
      <c r="F2489" s="9">
        <v>7.4999999999999997E-2</v>
      </c>
      <c r="G2489" s="9">
        <v>7.4999999999999997E-2</v>
      </c>
      <c r="H2489" s="15">
        <f t="shared" ref="H2489:H2510" si="95">+SUMIFS($E$10:$E$4503,$A$10:$A$4503,"&lt;="&amp;A2489,$D$10:$D$4503,"&gt;"&amp;A2489)</f>
        <v>18300</v>
      </c>
    </row>
    <row r="2490" spans="1:8" x14ac:dyDescent="0.25">
      <c r="A2490" s="13">
        <v>46038</v>
      </c>
      <c r="B2490" s="15" t="s">
        <v>21</v>
      </c>
      <c r="C2490" s="3">
        <v>3</v>
      </c>
      <c r="D2490" s="13">
        <f t="shared" si="94"/>
        <v>46041</v>
      </c>
      <c r="E2490" s="15">
        <v>800</v>
      </c>
      <c r="F2490" s="9">
        <v>7.3999999999999996E-2</v>
      </c>
      <c r="G2490" s="9">
        <v>7.3999999999999996E-2</v>
      </c>
      <c r="H2490" s="15">
        <f t="shared" si="95"/>
        <v>15400</v>
      </c>
    </row>
    <row r="2491" spans="1:8" x14ac:dyDescent="0.25">
      <c r="A2491" s="13">
        <v>46038</v>
      </c>
      <c r="B2491" s="15" t="s">
        <v>21</v>
      </c>
      <c r="C2491" s="3">
        <v>4</v>
      </c>
      <c r="D2491" s="13">
        <f t="shared" si="94"/>
        <v>46042</v>
      </c>
      <c r="E2491" s="15">
        <v>500</v>
      </c>
      <c r="F2491" s="9">
        <v>7.4999999999999997E-2</v>
      </c>
      <c r="G2491" s="9">
        <v>7.4999999999999997E-2</v>
      </c>
      <c r="H2491" s="15">
        <f t="shared" si="95"/>
        <v>15400</v>
      </c>
    </row>
    <row r="2492" spans="1:8" x14ac:dyDescent="0.25">
      <c r="A2492" s="13">
        <v>46041</v>
      </c>
      <c r="B2492" s="15" t="s">
        <v>21</v>
      </c>
      <c r="C2492" s="3">
        <v>1</v>
      </c>
      <c r="D2492" s="13">
        <f t="shared" si="94"/>
        <v>46042</v>
      </c>
      <c r="E2492" s="15">
        <v>200</v>
      </c>
      <c r="F2492" s="9">
        <v>7.4999999999999997E-2</v>
      </c>
      <c r="G2492" s="9">
        <v>7.4999999999999997E-2</v>
      </c>
      <c r="H2492" s="15">
        <f t="shared" si="95"/>
        <v>20800</v>
      </c>
    </row>
    <row r="2493" spans="1:8" x14ac:dyDescent="0.25">
      <c r="A2493" s="13">
        <v>46041</v>
      </c>
      <c r="B2493" s="15" t="s">
        <v>21</v>
      </c>
      <c r="C2493" s="3">
        <v>2</v>
      </c>
      <c r="D2493" s="13">
        <f t="shared" si="94"/>
        <v>46043</v>
      </c>
      <c r="E2493" s="15">
        <v>9300</v>
      </c>
      <c r="F2493" s="9">
        <v>7.4999999999999997E-2</v>
      </c>
      <c r="G2493" s="9">
        <v>7.4999999999999997E-2</v>
      </c>
      <c r="H2493" s="15">
        <f t="shared" si="95"/>
        <v>20800</v>
      </c>
    </row>
    <row r="2494" spans="1:8" x14ac:dyDescent="0.25">
      <c r="A2494" s="13">
        <v>46042</v>
      </c>
      <c r="B2494" s="15" t="s">
        <v>21</v>
      </c>
      <c r="C2494" s="3">
        <v>2</v>
      </c>
      <c r="D2494" s="13">
        <f t="shared" si="94"/>
        <v>46044</v>
      </c>
      <c r="E2494" s="15">
        <v>1000</v>
      </c>
      <c r="F2494" s="9">
        <v>7.4999999999999997E-2</v>
      </c>
      <c r="G2494" s="9">
        <v>7.4999999999999997E-2</v>
      </c>
      <c r="H2494" s="15">
        <f t="shared" si="95"/>
        <v>25100</v>
      </c>
    </row>
    <row r="2495" spans="1:8" x14ac:dyDescent="0.25">
      <c r="A2495" s="13">
        <v>46042</v>
      </c>
      <c r="B2495" s="15" t="s">
        <v>21</v>
      </c>
      <c r="C2495" s="3">
        <v>3</v>
      </c>
      <c r="D2495" s="13">
        <f t="shared" si="94"/>
        <v>46045</v>
      </c>
      <c r="E2495" s="15">
        <v>4500</v>
      </c>
      <c r="F2495" s="9">
        <v>7.4999999999999997E-2</v>
      </c>
      <c r="G2495" s="9">
        <v>7.4999999999999997E-2</v>
      </c>
      <c r="H2495" s="15">
        <f t="shared" si="95"/>
        <v>25100</v>
      </c>
    </row>
    <row r="2496" spans="1:8" x14ac:dyDescent="0.25">
      <c r="A2496" s="13">
        <v>46042</v>
      </c>
      <c r="B2496" s="15" t="s">
        <v>21</v>
      </c>
      <c r="C2496" s="3">
        <v>6</v>
      </c>
      <c r="D2496" s="13">
        <f t="shared" si="94"/>
        <v>46048</v>
      </c>
      <c r="E2496" s="15">
        <v>4500</v>
      </c>
      <c r="F2496" s="9">
        <v>7.4999999999999997E-2</v>
      </c>
      <c r="G2496" s="9">
        <v>7.4999999999999997E-2</v>
      </c>
      <c r="H2496" s="15">
        <f t="shared" si="95"/>
        <v>25100</v>
      </c>
    </row>
    <row r="2497" spans="1:8" x14ac:dyDescent="0.25">
      <c r="A2497" s="13">
        <v>46043</v>
      </c>
      <c r="B2497" s="15" t="s">
        <v>21</v>
      </c>
      <c r="C2497" s="3">
        <v>2</v>
      </c>
      <c r="D2497" s="13">
        <f t="shared" si="94"/>
        <v>46045</v>
      </c>
      <c r="E2497" s="15">
        <v>7500</v>
      </c>
      <c r="F2497" s="9">
        <v>7.4999999999999997E-2</v>
      </c>
      <c r="G2497" s="9">
        <v>7.4999999999999997E-2</v>
      </c>
      <c r="H2497" s="15">
        <f t="shared" si="95"/>
        <v>25000</v>
      </c>
    </row>
    <row r="2498" spans="1:8" x14ac:dyDescent="0.25">
      <c r="A2498" s="13">
        <v>46043</v>
      </c>
      <c r="B2498" s="15" t="s">
        <v>21</v>
      </c>
      <c r="C2498" s="3">
        <v>5</v>
      </c>
      <c r="D2498" s="13">
        <f t="shared" si="94"/>
        <v>46048</v>
      </c>
      <c r="E2498" s="15">
        <v>5000</v>
      </c>
      <c r="F2498" s="9">
        <v>7.4999999999999997E-2</v>
      </c>
      <c r="G2498" s="9">
        <v>7.4999999999999997E-2</v>
      </c>
      <c r="H2498" s="15">
        <f t="shared" si="95"/>
        <v>25000</v>
      </c>
    </row>
    <row r="2499" spans="1:8" x14ac:dyDescent="0.25">
      <c r="A2499" s="13">
        <v>46043</v>
      </c>
      <c r="B2499" s="15" t="s">
        <v>21</v>
      </c>
      <c r="C2499" s="3">
        <v>6</v>
      </c>
      <c r="D2499" s="13">
        <f t="shared" si="94"/>
        <v>46049</v>
      </c>
      <c r="E2499" s="15">
        <v>1000</v>
      </c>
      <c r="F2499" s="9">
        <v>7.4999999999999997E-2</v>
      </c>
      <c r="G2499" s="9">
        <v>7.4999999999999997E-2</v>
      </c>
      <c r="H2499" s="15">
        <f t="shared" si="95"/>
        <v>25000</v>
      </c>
    </row>
    <row r="2500" spans="1:8" x14ac:dyDescent="0.25">
      <c r="A2500" s="13">
        <v>46044</v>
      </c>
      <c r="B2500" s="15" t="s">
        <v>21</v>
      </c>
      <c r="C2500" s="3">
        <v>4</v>
      </c>
      <c r="D2500" s="13">
        <f t="shared" si="94"/>
        <v>46048</v>
      </c>
      <c r="E2500" s="15">
        <v>2500</v>
      </c>
      <c r="F2500" s="9">
        <v>7.4999999999999997E-2</v>
      </c>
      <c r="G2500" s="9">
        <v>7.4999999999999997E-2</v>
      </c>
      <c r="H2500" s="15">
        <f t="shared" si="95"/>
        <v>31000</v>
      </c>
    </row>
    <row r="2501" spans="1:8" x14ac:dyDescent="0.25">
      <c r="A2501" s="13">
        <v>46044</v>
      </c>
      <c r="B2501" s="15" t="s">
        <v>21</v>
      </c>
      <c r="C2501" s="3">
        <v>5</v>
      </c>
      <c r="D2501" s="13">
        <f t="shared" si="94"/>
        <v>46049</v>
      </c>
      <c r="E2501" s="15">
        <v>1000</v>
      </c>
      <c r="F2501" s="9">
        <v>7.4999999999999997E-2</v>
      </c>
      <c r="G2501" s="9">
        <v>7.4999999999999997E-2</v>
      </c>
      <c r="H2501" s="15">
        <f t="shared" si="95"/>
        <v>31000</v>
      </c>
    </row>
    <row r="2502" spans="1:8" x14ac:dyDescent="0.25">
      <c r="A2502" s="13">
        <v>46044</v>
      </c>
      <c r="B2502" s="15" t="s">
        <v>21</v>
      </c>
      <c r="C2502" s="3">
        <v>6</v>
      </c>
      <c r="D2502" s="13">
        <f t="shared" si="94"/>
        <v>46050</v>
      </c>
      <c r="E2502" s="15">
        <v>5000</v>
      </c>
      <c r="F2502" s="9">
        <v>7.4999999999999997E-2</v>
      </c>
      <c r="G2502" s="9">
        <v>7.4999999999999997E-2</v>
      </c>
      <c r="H2502" s="15">
        <f t="shared" si="95"/>
        <v>31000</v>
      </c>
    </row>
    <row r="2503" spans="1:8" x14ac:dyDescent="0.25">
      <c r="A2503" s="13">
        <v>46045</v>
      </c>
      <c r="B2503" s="15" t="s">
        <v>21</v>
      </c>
      <c r="C2503" s="3">
        <v>3</v>
      </c>
      <c r="D2503" s="13">
        <f t="shared" si="94"/>
        <v>46048</v>
      </c>
      <c r="E2503" s="15">
        <v>14000</v>
      </c>
      <c r="F2503" s="9">
        <v>7.3499999999999996E-2</v>
      </c>
      <c r="G2503" s="9">
        <v>7.4499999999999997E-2</v>
      </c>
      <c r="H2503" s="15">
        <f t="shared" si="95"/>
        <v>34500</v>
      </c>
    </row>
    <row r="2504" spans="1:8" x14ac:dyDescent="0.25">
      <c r="A2504" s="13">
        <v>46045</v>
      </c>
      <c r="B2504" s="15" t="s">
        <v>21</v>
      </c>
      <c r="C2504" s="3">
        <v>4</v>
      </c>
      <c r="D2504" s="13">
        <f t="shared" si="94"/>
        <v>46049</v>
      </c>
      <c r="E2504" s="15">
        <v>1500</v>
      </c>
      <c r="F2504" s="9">
        <v>7.0000000000000007E-2</v>
      </c>
      <c r="G2504" s="9">
        <v>7.3499999999999996E-2</v>
      </c>
      <c r="H2504" s="15">
        <f t="shared" si="95"/>
        <v>34500</v>
      </c>
    </row>
    <row r="2505" spans="1:8" x14ac:dyDescent="0.25">
      <c r="A2505" s="13">
        <v>46048</v>
      </c>
      <c r="B2505" s="15" t="s">
        <v>21</v>
      </c>
      <c r="C2505" s="3">
        <v>1</v>
      </c>
      <c r="D2505" s="13">
        <f t="shared" si="94"/>
        <v>46049</v>
      </c>
      <c r="E2505" s="15">
        <v>500</v>
      </c>
      <c r="F2505" s="9">
        <v>6.5000000000000002E-2</v>
      </c>
      <c r="G2505" s="9">
        <v>6.5000000000000002E-2</v>
      </c>
      <c r="H2505" s="15">
        <f t="shared" si="95"/>
        <v>20500</v>
      </c>
    </row>
    <row r="2506" spans="1:8" x14ac:dyDescent="0.25">
      <c r="A2506" s="13">
        <v>46048</v>
      </c>
      <c r="B2506" s="15" t="s">
        <v>21</v>
      </c>
      <c r="C2506" s="3">
        <v>2</v>
      </c>
      <c r="D2506" s="13">
        <f t="shared" si="94"/>
        <v>46050</v>
      </c>
      <c r="E2506" s="15">
        <v>11500</v>
      </c>
      <c r="F2506" s="9">
        <v>6.5000000000000002E-2</v>
      </c>
      <c r="G2506" s="9">
        <v>6.5000000000000002E-2</v>
      </c>
      <c r="H2506" s="15">
        <f t="shared" si="95"/>
        <v>20500</v>
      </c>
    </row>
    <row r="2507" spans="1:8" x14ac:dyDescent="0.25">
      <c r="A2507" s="13">
        <v>46049</v>
      </c>
      <c r="B2507" s="15" t="s">
        <v>21</v>
      </c>
      <c r="C2507" s="3">
        <v>1</v>
      </c>
      <c r="D2507" s="13">
        <f t="shared" si="94"/>
        <v>46050</v>
      </c>
      <c r="E2507" s="15">
        <v>900</v>
      </c>
      <c r="F2507" s="9">
        <v>6.5000000000000002E-2</v>
      </c>
      <c r="G2507" s="9">
        <v>6.5000000000000002E-2</v>
      </c>
      <c r="H2507" s="15">
        <f t="shared" si="95"/>
        <v>20500</v>
      </c>
    </row>
    <row r="2508" spans="1:8" x14ac:dyDescent="0.25">
      <c r="A2508" s="13">
        <v>46049</v>
      </c>
      <c r="B2508" s="15" t="s">
        <v>21</v>
      </c>
      <c r="C2508" s="3">
        <v>2</v>
      </c>
      <c r="D2508" s="13">
        <f t="shared" si="94"/>
        <v>46051</v>
      </c>
      <c r="E2508" s="15">
        <v>1100</v>
      </c>
      <c r="F2508" s="9">
        <v>6.5000000000000002E-2</v>
      </c>
      <c r="G2508" s="9">
        <v>6.5000000000000002E-2</v>
      </c>
      <c r="H2508" s="15">
        <f t="shared" si="95"/>
        <v>20500</v>
      </c>
    </row>
    <row r="2509" spans="1:8" x14ac:dyDescent="0.25">
      <c r="A2509" s="13">
        <v>46049</v>
      </c>
      <c r="B2509" s="15" t="s">
        <v>21</v>
      </c>
      <c r="C2509" s="3">
        <v>3</v>
      </c>
      <c r="D2509" s="13">
        <f t="shared" si="94"/>
        <v>46052</v>
      </c>
      <c r="E2509" s="15">
        <v>2000</v>
      </c>
      <c r="F2509" s="9">
        <v>6.5000000000000002E-2</v>
      </c>
      <c r="G2509" s="9">
        <v>6.5000000000000002E-2</v>
      </c>
      <c r="H2509" s="15">
        <f t="shared" si="95"/>
        <v>20500</v>
      </c>
    </row>
    <row r="2510" spans="1:8" x14ac:dyDescent="0.25">
      <c r="A2510" s="13">
        <v>46051</v>
      </c>
      <c r="B2510" s="15" t="s">
        <v>21</v>
      </c>
      <c r="C2510" s="3">
        <v>4</v>
      </c>
      <c r="D2510" s="13">
        <f t="shared" si="94"/>
        <v>46055</v>
      </c>
      <c r="E2510" s="15">
        <v>-200</v>
      </c>
      <c r="F2510" s="9">
        <v>6.5500000000000003E-2</v>
      </c>
      <c r="G2510" s="9">
        <v>6.5500000000000003E-2</v>
      </c>
      <c r="H2510" s="15">
        <f t="shared" si="95"/>
        <v>1300</v>
      </c>
    </row>
    <row r="2511" spans="1:8" x14ac:dyDescent="0.25">
      <c r="A2511" s="13">
        <v>46051</v>
      </c>
      <c r="B2511" s="15" t="s">
        <v>21</v>
      </c>
      <c r="C2511" s="3">
        <v>5</v>
      </c>
      <c r="D2511" s="13">
        <f t="shared" ref="D2511:D2519" si="96">+A2511+C2511</f>
        <v>46056</v>
      </c>
      <c r="E2511" s="15">
        <v>-500</v>
      </c>
      <c r="F2511" s="9">
        <v>6.6000000000000003E-2</v>
      </c>
      <c r="G2511" s="9">
        <v>6.6000000000000003E-2</v>
      </c>
      <c r="H2511" s="15">
        <f t="shared" ref="H2511:H2519" si="97">+SUMIFS($E$10:$E$4503,$A$10:$A$4503,"&lt;="&amp;A2511,$D$10:$D$4503,"&gt;"&amp;A2511)</f>
        <v>1300</v>
      </c>
    </row>
    <row r="2512" spans="1:8" x14ac:dyDescent="0.25">
      <c r="A2512" s="13">
        <v>46055</v>
      </c>
      <c r="B2512" s="15" t="s">
        <v>21</v>
      </c>
      <c r="C2512" s="3">
        <v>3</v>
      </c>
      <c r="D2512" s="13">
        <f t="shared" si="96"/>
        <v>46058</v>
      </c>
      <c r="E2512" s="15">
        <v>600</v>
      </c>
      <c r="F2512" s="9">
        <v>6.5000000000000002E-2</v>
      </c>
      <c r="G2512" s="9">
        <v>6.5000000000000002E-2</v>
      </c>
      <c r="H2512" s="15">
        <f t="shared" si="97"/>
        <v>100</v>
      </c>
    </row>
    <row r="2513" spans="1:8" x14ac:dyDescent="0.25">
      <c r="A2513" s="13">
        <v>46059</v>
      </c>
      <c r="B2513" s="15" t="s">
        <v>21</v>
      </c>
      <c r="C2513" s="3">
        <v>4</v>
      </c>
      <c r="D2513" s="13">
        <f t="shared" si="96"/>
        <v>46063</v>
      </c>
      <c r="E2513" s="15">
        <v>1000</v>
      </c>
      <c r="F2513" s="9">
        <v>6.5000000000000002E-2</v>
      </c>
      <c r="G2513" s="9">
        <v>6.5000000000000002E-2</v>
      </c>
      <c r="H2513" s="15">
        <f t="shared" si="97"/>
        <v>4700</v>
      </c>
    </row>
    <row r="2514" spans="1:8" x14ac:dyDescent="0.25">
      <c r="A2514" s="13">
        <v>46059</v>
      </c>
      <c r="B2514" s="15" t="s">
        <v>21</v>
      </c>
      <c r="C2514" s="3">
        <v>5</v>
      </c>
      <c r="D2514" s="13">
        <f t="shared" si="96"/>
        <v>46064</v>
      </c>
      <c r="E2514" s="15">
        <v>1700</v>
      </c>
      <c r="F2514" s="9">
        <v>6.5000000000000002E-2</v>
      </c>
      <c r="G2514" s="9">
        <v>6.5000000000000002E-2</v>
      </c>
      <c r="H2514" s="15">
        <f t="shared" si="97"/>
        <v>4700</v>
      </c>
    </row>
    <row r="2515" spans="1:8" x14ac:dyDescent="0.25">
      <c r="A2515" s="13">
        <v>46059</v>
      </c>
      <c r="B2515" s="15" t="s">
        <v>21</v>
      </c>
      <c r="C2515" s="3">
        <v>6</v>
      </c>
      <c r="D2515" s="13">
        <f t="shared" si="96"/>
        <v>46065</v>
      </c>
      <c r="E2515" s="15">
        <v>2000</v>
      </c>
      <c r="F2515" s="9">
        <v>6.5000000000000002E-2</v>
      </c>
      <c r="G2515" s="9">
        <v>6.5000000000000002E-2</v>
      </c>
      <c r="H2515" s="15">
        <f t="shared" si="97"/>
        <v>4700</v>
      </c>
    </row>
    <row r="2516" spans="1:8" x14ac:dyDescent="0.25">
      <c r="A2516" s="13">
        <v>46062</v>
      </c>
      <c r="B2516" s="15" t="s">
        <v>21</v>
      </c>
      <c r="C2516" s="3">
        <v>4</v>
      </c>
      <c r="D2516" s="13">
        <f t="shared" si="96"/>
        <v>46066</v>
      </c>
      <c r="E2516" s="15">
        <v>1200</v>
      </c>
      <c r="F2516" s="9">
        <v>6.5000000000000002E-2</v>
      </c>
      <c r="G2516" s="9">
        <v>6.5000000000000002E-2</v>
      </c>
      <c r="H2516" s="15">
        <f t="shared" si="97"/>
        <v>6200</v>
      </c>
    </row>
    <row r="2517" spans="1:8" x14ac:dyDescent="0.25">
      <c r="A2517" s="13">
        <v>46062</v>
      </c>
      <c r="B2517" s="15" t="s">
        <v>21</v>
      </c>
      <c r="C2517" s="3">
        <v>9</v>
      </c>
      <c r="D2517" s="13">
        <f t="shared" si="96"/>
        <v>46071</v>
      </c>
      <c r="E2517" s="15">
        <v>300</v>
      </c>
      <c r="F2517" s="9">
        <v>6.5000000000000002E-2</v>
      </c>
      <c r="G2517" s="9">
        <v>6.5000000000000002E-2</v>
      </c>
      <c r="H2517" s="15">
        <f t="shared" si="97"/>
        <v>6200</v>
      </c>
    </row>
    <row r="2518" spans="1:8" x14ac:dyDescent="0.25">
      <c r="A2518" s="13">
        <v>46063</v>
      </c>
      <c r="B2518" s="15" t="s">
        <v>21</v>
      </c>
      <c r="C2518" s="3">
        <v>8</v>
      </c>
      <c r="D2518" s="13">
        <f t="shared" si="96"/>
        <v>46071</v>
      </c>
      <c r="E2518" s="15">
        <v>1100</v>
      </c>
      <c r="F2518" s="9">
        <v>6.5000000000000002E-2</v>
      </c>
      <c r="G2518" s="9">
        <v>6.5000000000000002E-2</v>
      </c>
      <c r="H2518" s="15">
        <f t="shared" si="97"/>
        <v>9600</v>
      </c>
    </row>
    <row r="2519" spans="1:8" x14ac:dyDescent="0.25">
      <c r="A2519" s="13">
        <v>46063</v>
      </c>
      <c r="B2519" s="15" t="s">
        <v>21</v>
      </c>
      <c r="C2519" s="3">
        <v>9</v>
      </c>
      <c r="D2519" s="13">
        <f t="shared" si="96"/>
        <v>46072</v>
      </c>
      <c r="E2519" s="15">
        <v>3300</v>
      </c>
      <c r="F2519" s="9">
        <v>6.5000000000000002E-2</v>
      </c>
      <c r="G2519" s="9">
        <v>6.5000000000000002E-2</v>
      </c>
      <c r="H2519" s="15">
        <f t="shared" si="97"/>
        <v>9600</v>
      </c>
    </row>
  </sheetData>
  <mergeCells count="1">
    <mergeCell ref="E2:G6"/>
  </mergeCells>
  <pageMargins left="0.7" right="0.7" top="0.75" bottom="0.75" header="0.3" footer="0.3"/>
  <ignoredErrors>
    <ignoredError sqref="I2277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D1048575"/>
  <sheetViews>
    <sheetView zoomScale="90" zoomScaleNormal="90" workbookViewId="0">
      <pane ySplit="10" topLeftCell="A1276" activePane="bottomLeft" state="frozen"/>
      <selection pane="bottomLeft" activeCell="I1284" sqref="I1284"/>
    </sheetView>
  </sheetViews>
  <sheetFormatPr baseColWidth="10" defaultColWidth="11.42578125" defaultRowHeight="15" x14ac:dyDescent="0.25"/>
  <cols>
    <col min="1" max="1" width="12.85546875" style="2" bestFit="1" customWidth="1"/>
    <col min="2" max="2" width="11.7109375" style="44" bestFit="1" customWidth="1"/>
    <col min="3" max="4" width="12.7109375" style="3" bestFit="1" customWidth="1"/>
    <col min="5" max="5" width="15.28515625" style="3" customWidth="1"/>
    <col min="6" max="6" width="10.5703125" style="3" bestFit="1" customWidth="1"/>
    <col min="7" max="7" width="13.5703125" style="3" bestFit="1" customWidth="1"/>
    <col min="8" max="8" width="12" style="1" bestFit="1" customWidth="1"/>
    <col min="9" max="9" width="11.42578125" style="1" bestFit="1" customWidth="1"/>
    <col min="10" max="10" width="10" style="3" customWidth="1"/>
    <col min="11" max="11" width="15.140625" style="3" bestFit="1" customWidth="1"/>
    <col min="12" max="12" width="17.42578125" style="49" bestFit="1" customWidth="1"/>
    <col min="13" max="13" width="13.140625" style="3" bestFit="1" customWidth="1"/>
    <col min="14" max="14" width="14.28515625" style="3" bestFit="1" customWidth="1"/>
    <col min="15" max="15" width="12" style="3" bestFit="1" customWidth="1"/>
    <col min="16" max="16" width="11.42578125" style="3" bestFit="1" customWidth="1"/>
    <col min="17" max="17" width="7.7109375" style="3" bestFit="1" customWidth="1"/>
    <col min="18" max="18" width="15.140625" style="3" bestFit="1" customWidth="1"/>
    <col min="19" max="19" width="17.42578125" style="49" bestFit="1" customWidth="1"/>
    <col min="20" max="20" width="13.140625" style="1" bestFit="1" customWidth="1"/>
    <col min="21" max="21" width="14.28515625" style="1" bestFit="1" customWidth="1"/>
    <col min="22" max="23" width="11.28515625" style="1" bestFit="1" customWidth="1"/>
    <col min="24" max="24" width="9.140625" style="47" bestFit="1" customWidth="1"/>
    <col min="25" max="25" width="15" style="1" customWidth="1"/>
    <col min="26" max="26" width="14.28515625" style="51" customWidth="1"/>
    <col min="27" max="27" width="14.28515625" style="1" bestFit="1" customWidth="1"/>
    <col min="28" max="28" width="10.5703125" style="1" bestFit="1" customWidth="1"/>
    <col min="29" max="29" width="10.85546875" style="1" bestFit="1" customWidth="1"/>
    <col min="30" max="30" width="11.7109375" style="1" bestFit="1" customWidth="1"/>
    <col min="31" max="31" width="16.5703125" style="1" bestFit="1" customWidth="1"/>
    <col min="32" max="16384" width="11.42578125" style="1"/>
  </cols>
  <sheetData>
    <row r="1" spans="1:30" x14ac:dyDescent="0.25">
      <c r="L1" s="3"/>
      <c r="S1" s="3"/>
      <c r="X1" s="1"/>
      <c r="Z1" s="1"/>
    </row>
    <row r="2" spans="1:30" ht="15" customHeight="1" x14ac:dyDescent="0.25">
      <c r="E2" s="82" t="s">
        <v>294</v>
      </c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</row>
    <row r="3" spans="1:30" x14ac:dyDescent="0.25"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</row>
    <row r="4" spans="1:30" x14ac:dyDescent="0.25"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</row>
    <row r="5" spans="1:30" x14ac:dyDescent="0.25"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</row>
    <row r="6" spans="1:30" x14ac:dyDescent="0.25"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</row>
    <row r="7" spans="1:30" x14ac:dyDescent="0.25">
      <c r="L7" s="3"/>
      <c r="S7" s="3"/>
      <c r="X7" s="1"/>
      <c r="Y7" s="66"/>
      <c r="Z7" s="1"/>
    </row>
    <row r="8" spans="1:30" x14ac:dyDescent="0.25">
      <c r="L8" s="3"/>
      <c r="S8" s="3"/>
      <c r="X8" s="1"/>
      <c r="Z8" s="1"/>
    </row>
    <row r="9" spans="1:30" x14ac:dyDescent="0.25">
      <c r="H9" s="79" t="s">
        <v>297</v>
      </c>
      <c r="I9" s="80"/>
      <c r="J9" s="80"/>
      <c r="K9" s="80"/>
      <c r="L9" s="80"/>
      <c r="M9" s="80"/>
      <c r="N9" s="81"/>
      <c r="O9" s="79" t="s">
        <v>298</v>
      </c>
      <c r="P9" s="80"/>
      <c r="Q9" s="80"/>
      <c r="R9" s="80"/>
      <c r="S9" s="80"/>
      <c r="T9" s="80"/>
      <c r="U9" s="81"/>
      <c r="V9" s="79" t="s">
        <v>655</v>
      </c>
      <c r="W9" s="80"/>
      <c r="X9" s="80"/>
      <c r="Y9" s="80"/>
      <c r="Z9" s="81"/>
    </row>
    <row r="10" spans="1:30" ht="15" customHeight="1" x14ac:dyDescent="0.25">
      <c r="A10" s="5" t="s">
        <v>18</v>
      </c>
      <c r="B10" s="45" t="s">
        <v>13</v>
      </c>
      <c r="C10" s="4" t="s">
        <v>305</v>
      </c>
      <c r="D10" s="4" t="s">
        <v>14</v>
      </c>
      <c r="E10" s="4" t="s">
        <v>0</v>
      </c>
      <c r="F10" s="4" t="s">
        <v>293</v>
      </c>
      <c r="G10" s="4" t="s">
        <v>1</v>
      </c>
      <c r="H10" s="5" t="s">
        <v>2</v>
      </c>
      <c r="I10" s="4" t="s">
        <v>3</v>
      </c>
      <c r="J10" s="4" t="s">
        <v>15</v>
      </c>
      <c r="K10" s="4" t="s">
        <v>4</v>
      </c>
      <c r="L10" s="4" t="s">
        <v>656</v>
      </c>
      <c r="M10" s="4" t="s">
        <v>8</v>
      </c>
      <c r="N10" s="4" t="s">
        <v>295</v>
      </c>
      <c r="O10" s="4" t="s">
        <v>5</v>
      </c>
      <c r="P10" s="4" t="s">
        <v>6</v>
      </c>
      <c r="Q10" s="4" t="s">
        <v>16</v>
      </c>
      <c r="R10" s="4" t="s">
        <v>7</v>
      </c>
      <c r="S10" s="4" t="s">
        <v>657</v>
      </c>
      <c r="T10" s="4" t="s">
        <v>9</v>
      </c>
      <c r="U10" s="4" t="s">
        <v>296</v>
      </c>
      <c r="V10" s="4" t="s">
        <v>19</v>
      </c>
      <c r="W10" s="4" t="s">
        <v>308</v>
      </c>
      <c r="X10" s="4" t="s">
        <v>20</v>
      </c>
      <c r="Y10" s="4" t="s">
        <v>309</v>
      </c>
      <c r="Z10" s="4" t="s">
        <v>658</v>
      </c>
      <c r="AA10" s="4" t="s">
        <v>17</v>
      </c>
      <c r="AB10" s="4" t="s">
        <v>10</v>
      </c>
      <c r="AC10" s="4" t="s">
        <v>11</v>
      </c>
      <c r="AD10" s="12" t="s">
        <v>12</v>
      </c>
    </row>
    <row r="11" spans="1:30" x14ac:dyDescent="0.25">
      <c r="A11" s="13">
        <v>43467</v>
      </c>
      <c r="B11" s="46" t="s">
        <v>636</v>
      </c>
      <c r="C11" s="13">
        <v>43467</v>
      </c>
      <c r="D11" s="15" t="s">
        <v>387</v>
      </c>
      <c r="E11" s="15">
        <v>33</v>
      </c>
      <c r="F11" s="15">
        <v>30</v>
      </c>
      <c r="G11" s="13">
        <v>43500</v>
      </c>
      <c r="H11" s="17">
        <v>800</v>
      </c>
      <c r="I11" s="19">
        <v>1518.8500000000001</v>
      </c>
      <c r="J11" s="20">
        <v>1.8985624999999999</v>
      </c>
      <c r="K11" s="19">
        <v>1168.8500000000001</v>
      </c>
      <c r="L11" s="20">
        <v>1.4610625000000002</v>
      </c>
      <c r="M11" s="21">
        <v>0</v>
      </c>
      <c r="N11" s="19">
        <v>0</v>
      </c>
      <c r="O11" s="23">
        <v>160</v>
      </c>
      <c r="P11" s="24">
        <v>100</v>
      </c>
      <c r="Q11" s="25">
        <v>0.625</v>
      </c>
      <c r="R11" s="24">
        <v>100</v>
      </c>
      <c r="S11" s="25">
        <v>0.625</v>
      </c>
      <c r="T11" s="26">
        <v>0</v>
      </c>
      <c r="U11" s="24">
        <v>0</v>
      </c>
      <c r="V11" s="19">
        <v>960</v>
      </c>
      <c r="W11" s="19">
        <v>1618.8500000000001</v>
      </c>
      <c r="X11" s="21">
        <v>1.6863020833333335</v>
      </c>
      <c r="Y11" s="19">
        <v>1268.8500000000001</v>
      </c>
      <c r="Z11" s="20">
        <v>1.3217187500000001</v>
      </c>
      <c r="AA11" s="30">
        <v>8.1099999999999964E-2</v>
      </c>
      <c r="AB11" s="27">
        <v>0.06</v>
      </c>
      <c r="AC11" s="27">
        <v>8.72E-2</v>
      </c>
      <c r="AD11" s="11">
        <v>7.8869539454192283E-2</v>
      </c>
    </row>
    <row r="12" spans="1:30" x14ac:dyDescent="0.25">
      <c r="A12" s="13">
        <v>43467</v>
      </c>
      <c r="B12" s="46" t="s">
        <v>637</v>
      </c>
      <c r="C12" s="13">
        <v>43467</v>
      </c>
      <c r="D12" s="15" t="s">
        <v>388</v>
      </c>
      <c r="E12" s="15">
        <v>98</v>
      </c>
      <c r="F12" s="15">
        <v>90</v>
      </c>
      <c r="G12" s="13">
        <v>43565</v>
      </c>
      <c r="H12" s="17">
        <v>800</v>
      </c>
      <c r="I12" s="19">
        <v>921.55000000000007</v>
      </c>
      <c r="J12" s="20">
        <v>1.1519374999999998</v>
      </c>
      <c r="K12" s="19">
        <v>805.95</v>
      </c>
      <c r="L12" s="20">
        <v>1.0074375</v>
      </c>
      <c r="M12" s="21">
        <v>0</v>
      </c>
      <c r="N12" s="19">
        <v>0</v>
      </c>
      <c r="O12" s="23">
        <v>160</v>
      </c>
      <c r="P12" s="24">
        <v>0</v>
      </c>
      <c r="Q12" s="25">
        <v>0</v>
      </c>
      <c r="R12" s="24">
        <v>0</v>
      </c>
      <c r="S12" s="25">
        <v>0</v>
      </c>
      <c r="T12" s="26">
        <v>0</v>
      </c>
      <c r="U12" s="24">
        <v>0</v>
      </c>
      <c r="V12" s="19">
        <v>960</v>
      </c>
      <c r="W12" s="19">
        <v>921.55000000000007</v>
      </c>
      <c r="X12" s="21">
        <v>0.95994791666666679</v>
      </c>
      <c r="Y12" s="19">
        <v>805.95</v>
      </c>
      <c r="Z12" s="20">
        <v>0.83953125000000006</v>
      </c>
      <c r="AA12" s="30">
        <v>9.2999999999999985E-2</v>
      </c>
      <c r="AB12" s="27">
        <v>7.0000000000000007E-2</v>
      </c>
      <c r="AC12" s="27">
        <v>9.9000000000000005E-2</v>
      </c>
      <c r="AD12" s="11">
        <v>9.1663946611686808E-2</v>
      </c>
    </row>
    <row r="13" spans="1:30" x14ac:dyDescent="0.25">
      <c r="A13" s="13">
        <v>43468</v>
      </c>
      <c r="B13" s="46" t="s">
        <v>636</v>
      </c>
      <c r="C13" s="13">
        <v>43469</v>
      </c>
      <c r="D13" s="15" t="s">
        <v>389</v>
      </c>
      <c r="E13" s="15">
        <v>364</v>
      </c>
      <c r="F13" s="15">
        <v>360</v>
      </c>
      <c r="G13" s="13">
        <v>43833</v>
      </c>
      <c r="H13" s="17">
        <v>2500</v>
      </c>
      <c r="I13" s="19">
        <v>2864.44</v>
      </c>
      <c r="J13" s="20">
        <v>1.1457760000000001</v>
      </c>
      <c r="K13" s="19">
        <v>2564.44</v>
      </c>
      <c r="L13" s="20">
        <v>1.025776</v>
      </c>
      <c r="M13" s="21">
        <v>0</v>
      </c>
      <c r="N13" s="19">
        <v>0</v>
      </c>
      <c r="O13" s="23">
        <v>500</v>
      </c>
      <c r="P13" s="24">
        <v>600</v>
      </c>
      <c r="Q13" s="25">
        <v>1.2</v>
      </c>
      <c r="R13" s="24">
        <v>500</v>
      </c>
      <c r="S13" s="25">
        <v>1</v>
      </c>
      <c r="T13" s="26">
        <v>0.8333334</v>
      </c>
      <c r="U13" s="24">
        <v>0</v>
      </c>
      <c r="V13" s="19">
        <v>3000</v>
      </c>
      <c r="W13" s="19">
        <v>3464.44</v>
      </c>
      <c r="X13" s="21">
        <v>1.1548133333333332</v>
      </c>
      <c r="Y13" s="19">
        <v>3064.44</v>
      </c>
      <c r="Z13" s="20">
        <v>1.0214799999999999</v>
      </c>
      <c r="AA13" s="30">
        <v>0.1032</v>
      </c>
      <c r="AB13" s="27">
        <v>9.7500000000000003E-2</v>
      </c>
      <c r="AC13" s="27">
        <v>0.10339999999999999</v>
      </c>
      <c r="AD13" s="11">
        <v>0.10178269679239223</v>
      </c>
    </row>
    <row r="14" spans="1:30" x14ac:dyDescent="0.25">
      <c r="A14" s="13">
        <v>43468</v>
      </c>
      <c r="B14" s="46" t="s">
        <v>637</v>
      </c>
      <c r="C14" s="13">
        <v>43469</v>
      </c>
      <c r="D14" s="15" t="s">
        <v>390</v>
      </c>
      <c r="E14" s="15">
        <v>698</v>
      </c>
      <c r="F14" s="15">
        <v>720</v>
      </c>
      <c r="G14" s="13">
        <v>44167</v>
      </c>
      <c r="H14" s="17">
        <v>1000</v>
      </c>
      <c r="I14" s="19">
        <v>1375</v>
      </c>
      <c r="J14" s="20">
        <v>1.3750000000000002</v>
      </c>
      <c r="K14" s="19">
        <v>1075</v>
      </c>
      <c r="L14" s="20">
        <v>1.075</v>
      </c>
      <c r="M14" s="21">
        <v>0</v>
      </c>
      <c r="N14" s="19">
        <v>0</v>
      </c>
      <c r="O14" s="23">
        <v>200</v>
      </c>
      <c r="P14" s="24">
        <v>200</v>
      </c>
      <c r="Q14" s="25">
        <v>1</v>
      </c>
      <c r="R14" s="24">
        <v>200</v>
      </c>
      <c r="S14" s="25">
        <v>1</v>
      </c>
      <c r="T14" s="26">
        <v>0</v>
      </c>
      <c r="U14" s="24">
        <v>0</v>
      </c>
      <c r="V14" s="19">
        <v>1200</v>
      </c>
      <c r="W14" s="19">
        <v>1575</v>
      </c>
      <c r="X14" s="21">
        <v>1.3125</v>
      </c>
      <c r="Y14" s="19">
        <v>1275</v>
      </c>
      <c r="Z14" s="20">
        <v>1.0625</v>
      </c>
      <c r="AA14" s="30">
        <v>0.10329999999999996</v>
      </c>
      <c r="AB14" s="27">
        <v>0.10099999999999999</v>
      </c>
      <c r="AC14" s="27">
        <v>0.10390000000000001</v>
      </c>
      <c r="AD14" s="11">
        <v>0.10239999999999999</v>
      </c>
    </row>
    <row r="15" spans="1:30" x14ac:dyDescent="0.25">
      <c r="A15" s="13">
        <v>43469</v>
      </c>
      <c r="B15" s="46" t="s">
        <v>636</v>
      </c>
      <c r="C15" s="13">
        <v>43469</v>
      </c>
      <c r="D15" s="15" t="s">
        <v>391</v>
      </c>
      <c r="E15" s="15">
        <v>182</v>
      </c>
      <c r="F15" s="15">
        <v>180</v>
      </c>
      <c r="G15" s="13">
        <v>43651</v>
      </c>
      <c r="H15" s="17">
        <v>1500</v>
      </c>
      <c r="I15" s="19">
        <v>1359.8899999999999</v>
      </c>
      <c r="J15" s="20">
        <v>0.90659333333333314</v>
      </c>
      <c r="K15" s="19">
        <v>1134.8900000000001</v>
      </c>
      <c r="L15" s="20">
        <v>0.75659333333333345</v>
      </c>
      <c r="M15" s="21">
        <v>0</v>
      </c>
      <c r="N15" s="19">
        <v>0</v>
      </c>
      <c r="O15" s="23">
        <v>300</v>
      </c>
      <c r="P15" s="24">
        <v>240</v>
      </c>
      <c r="Q15" s="25">
        <v>0.8</v>
      </c>
      <c r="R15" s="24">
        <v>226.97800000000001</v>
      </c>
      <c r="S15" s="25">
        <v>0.75659333333333334</v>
      </c>
      <c r="T15" s="26">
        <v>0.94574333333333327</v>
      </c>
      <c r="U15" s="24">
        <v>0</v>
      </c>
      <c r="V15" s="19">
        <v>1800</v>
      </c>
      <c r="W15" s="19">
        <v>1599.8899999999999</v>
      </c>
      <c r="X15" s="21">
        <v>0.88882777777777766</v>
      </c>
      <c r="Y15" s="19">
        <v>1361.8680000000002</v>
      </c>
      <c r="Z15" s="20">
        <v>0.75659333333333345</v>
      </c>
      <c r="AA15" s="30">
        <v>9.8199999999999968E-2</v>
      </c>
      <c r="AB15" s="27">
        <v>0.08</v>
      </c>
      <c r="AC15" s="27">
        <v>0.1014</v>
      </c>
      <c r="AD15" s="11">
        <v>9.6161667487811534E-2</v>
      </c>
    </row>
    <row r="16" spans="1:30" x14ac:dyDescent="0.25">
      <c r="A16" s="13">
        <v>43472</v>
      </c>
      <c r="B16" s="46" t="s">
        <v>636</v>
      </c>
      <c r="C16" s="13">
        <v>43472</v>
      </c>
      <c r="D16" s="15" t="s">
        <v>392</v>
      </c>
      <c r="E16" s="15">
        <v>35</v>
      </c>
      <c r="F16" s="15">
        <v>30</v>
      </c>
      <c r="G16" s="13">
        <v>43507</v>
      </c>
      <c r="H16" s="17">
        <v>2000</v>
      </c>
      <c r="I16" s="19">
        <v>2591.5300000000002</v>
      </c>
      <c r="J16" s="20">
        <v>1.2957650000000005</v>
      </c>
      <c r="K16" s="19">
        <v>2391.5300000000002</v>
      </c>
      <c r="L16" s="20">
        <v>1.1957650000000002</v>
      </c>
      <c r="M16" s="21">
        <v>0</v>
      </c>
      <c r="N16" s="19">
        <v>0</v>
      </c>
      <c r="O16" s="23">
        <v>400</v>
      </c>
      <c r="P16" s="24">
        <v>30</v>
      </c>
      <c r="Q16" s="25">
        <v>7.4999999999999997E-2</v>
      </c>
      <c r="R16" s="24">
        <v>30</v>
      </c>
      <c r="S16" s="25">
        <v>7.4999999999999997E-2</v>
      </c>
      <c r="T16" s="26">
        <v>0</v>
      </c>
      <c r="U16" s="24">
        <v>0</v>
      </c>
      <c r="V16" s="19">
        <v>2400</v>
      </c>
      <c r="W16" s="19">
        <v>2621.53</v>
      </c>
      <c r="X16" s="21">
        <v>1.0923041666666669</v>
      </c>
      <c r="Y16" s="19">
        <v>2421.5300000000002</v>
      </c>
      <c r="Z16" s="20">
        <v>1.0089708333333334</v>
      </c>
      <c r="AA16" s="30">
        <v>8.1900000000000056E-2</v>
      </c>
      <c r="AB16" s="27">
        <v>0.06</v>
      </c>
      <c r="AC16" s="27">
        <v>8.7400000000000005E-2</v>
      </c>
      <c r="AD16" s="11">
        <v>7.8185512419304423E-2</v>
      </c>
    </row>
    <row r="17" spans="1:30" x14ac:dyDescent="0.25">
      <c r="A17" s="13">
        <v>43473</v>
      </c>
      <c r="B17" s="46" t="s">
        <v>636</v>
      </c>
      <c r="C17" s="13">
        <v>43474</v>
      </c>
      <c r="D17" s="15" t="s">
        <v>342</v>
      </c>
      <c r="E17" s="15">
        <v>749</v>
      </c>
      <c r="F17" s="15">
        <v>720</v>
      </c>
      <c r="G17" s="13">
        <v>44223</v>
      </c>
      <c r="H17" s="17">
        <v>1000</v>
      </c>
      <c r="I17" s="19">
        <v>1050</v>
      </c>
      <c r="J17" s="20">
        <v>1.05</v>
      </c>
      <c r="K17" s="19">
        <v>950</v>
      </c>
      <c r="L17" s="20">
        <v>0.95</v>
      </c>
      <c r="M17" s="21">
        <v>0</v>
      </c>
      <c r="N17" s="19">
        <v>0</v>
      </c>
      <c r="O17" s="23">
        <v>200</v>
      </c>
      <c r="P17" s="24">
        <v>200</v>
      </c>
      <c r="Q17" s="25">
        <v>1</v>
      </c>
      <c r="R17" s="24">
        <v>190</v>
      </c>
      <c r="S17" s="25">
        <v>0.95</v>
      </c>
      <c r="T17" s="26">
        <v>0.95</v>
      </c>
      <c r="U17" s="24">
        <v>0</v>
      </c>
      <c r="V17" s="19">
        <v>1200</v>
      </c>
      <c r="W17" s="19">
        <v>1250</v>
      </c>
      <c r="X17" s="21">
        <v>1.0416666666666667</v>
      </c>
      <c r="Y17" s="19">
        <v>1140</v>
      </c>
      <c r="Z17" s="20">
        <v>0.95</v>
      </c>
      <c r="AA17" s="30">
        <v>0.1031</v>
      </c>
      <c r="AB17" s="27">
        <v>0.10150000000000001</v>
      </c>
      <c r="AC17" s="27">
        <v>0.1051</v>
      </c>
      <c r="AD17" s="11">
        <v>0.10258095238095237</v>
      </c>
    </row>
    <row r="18" spans="1:30" x14ac:dyDescent="0.25">
      <c r="A18" s="13">
        <v>43474</v>
      </c>
      <c r="B18" s="46" t="s">
        <v>636</v>
      </c>
      <c r="C18" s="13">
        <v>43474</v>
      </c>
      <c r="D18" s="15" t="s">
        <v>393</v>
      </c>
      <c r="E18" s="15">
        <v>91</v>
      </c>
      <c r="F18" s="15">
        <v>90</v>
      </c>
      <c r="G18" s="13">
        <v>43565</v>
      </c>
      <c r="H18" s="17">
        <v>2000</v>
      </c>
      <c r="I18" s="19">
        <v>2575.0500000000002</v>
      </c>
      <c r="J18" s="20">
        <v>1.2875249999999996</v>
      </c>
      <c r="K18" s="19">
        <v>2219.4500000000007</v>
      </c>
      <c r="L18" s="20">
        <v>1.1097250000000003</v>
      </c>
      <c r="M18" s="21">
        <v>0</v>
      </c>
      <c r="N18" s="19">
        <v>0</v>
      </c>
      <c r="O18" s="23">
        <v>400</v>
      </c>
      <c r="P18" s="24">
        <v>191.98</v>
      </c>
      <c r="Q18" s="25">
        <v>0.47994999999999999</v>
      </c>
      <c r="R18" s="24">
        <v>191.98</v>
      </c>
      <c r="S18" s="25">
        <v>0.47994999999999999</v>
      </c>
      <c r="T18" s="26">
        <v>0</v>
      </c>
      <c r="U18" s="24">
        <v>0</v>
      </c>
      <c r="V18" s="19">
        <v>2400</v>
      </c>
      <c r="W18" s="19">
        <v>2767.03</v>
      </c>
      <c r="X18" s="21">
        <v>1.1529291666666668</v>
      </c>
      <c r="Y18" s="19">
        <v>2411.4300000000007</v>
      </c>
      <c r="Z18" s="20">
        <v>1.0047625000000002</v>
      </c>
      <c r="AA18" s="30">
        <v>9.3300000000000091E-2</v>
      </c>
      <c r="AB18" s="27">
        <v>7.7499999999999999E-2</v>
      </c>
      <c r="AC18" s="27">
        <v>9.5399999999999985E-2</v>
      </c>
      <c r="AD18" s="11">
        <v>9.0230367177336387E-2</v>
      </c>
    </row>
    <row r="19" spans="1:30" x14ac:dyDescent="0.25">
      <c r="A19" s="13">
        <v>43475</v>
      </c>
      <c r="B19" s="46" t="s">
        <v>636</v>
      </c>
      <c r="C19" s="13">
        <v>43476</v>
      </c>
      <c r="D19" s="15" t="s">
        <v>394</v>
      </c>
      <c r="E19" s="15">
        <v>357</v>
      </c>
      <c r="F19" s="15">
        <v>360</v>
      </c>
      <c r="G19" s="13">
        <v>43833</v>
      </c>
      <c r="H19" s="17">
        <v>3000</v>
      </c>
      <c r="I19" s="19">
        <v>6271.2500000000009</v>
      </c>
      <c r="J19" s="20">
        <v>2.0904166666666661</v>
      </c>
      <c r="K19" s="19">
        <v>3050.2500000000005</v>
      </c>
      <c r="L19" s="20">
        <v>1.01675</v>
      </c>
      <c r="M19" s="21">
        <v>0</v>
      </c>
      <c r="N19" s="19">
        <v>0</v>
      </c>
      <c r="O19" s="23">
        <v>600</v>
      </c>
      <c r="P19" s="24">
        <v>1350</v>
      </c>
      <c r="Q19" s="25">
        <v>2.25</v>
      </c>
      <c r="R19" s="24">
        <v>600</v>
      </c>
      <c r="S19" s="25">
        <v>1</v>
      </c>
      <c r="T19" s="26">
        <v>0.44444449999999996</v>
      </c>
      <c r="U19" s="24">
        <v>0</v>
      </c>
      <c r="V19" s="19">
        <v>3600</v>
      </c>
      <c r="W19" s="19">
        <v>7621.2500000000009</v>
      </c>
      <c r="X19" s="21">
        <v>2.1170138888888892</v>
      </c>
      <c r="Y19" s="19">
        <v>3650.2500000000005</v>
      </c>
      <c r="Z19" s="20">
        <v>1.0139583333333335</v>
      </c>
      <c r="AA19" s="30">
        <v>0.1019</v>
      </c>
      <c r="AB19" s="27">
        <v>0.08</v>
      </c>
      <c r="AC19" s="27">
        <v>0.1048</v>
      </c>
      <c r="AD19" s="11">
        <v>0.10202369862467608</v>
      </c>
    </row>
    <row r="20" spans="1:30" x14ac:dyDescent="0.25">
      <c r="A20" s="13">
        <v>43476</v>
      </c>
      <c r="B20" s="46" t="s">
        <v>636</v>
      </c>
      <c r="C20" s="13">
        <v>43476</v>
      </c>
      <c r="D20" s="15" t="s">
        <v>395</v>
      </c>
      <c r="E20" s="15">
        <v>175</v>
      </c>
      <c r="F20" s="15">
        <v>180</v>
      </c>
      <c r="G20" s="13">
        <v>43651</v>
      </c>
      <c r="H20" s="17">
        <v>2400</v>
      </c>
      <c r="I20" s="19">
        <v>2989.24</v>
      </c>
      <c r="J20" s="20">
        <v>1.2455166666666666</v>
      </c>
      <c r="K20" s="19">
        <v>2939.24</v>
      </c>
      <c r="L20" s="20">
        <v>1.2246833333333333</v>
      </c>
      <c r="M20" s="21">
        <v>0</v>
      </c>
      <c r="N20" s="19">
        <v>0</v>
      </c>
      <c r="O20" s="23">
        <v>480</v>
      </c>
      <c r="P20" s="24">
        <v>22.8</v>
      </c>
      <c r="Q20" s="25">
        <v>4.7500000000000001E-2</v>
      </c>
      <c r="R20" s="24">
        <v>22.8</v>
      </c>
      <c r="S20" s="25">
        <v>4.7500000000000001E-2</v>
      </c>
      <c r="T20" s="26">
        <v>0</v>
      </c>
      <c r="U20" s="24">
        <v>0</v>
      </c>
      <c r="V20" s="19">
        <v>2880</v>
      </c>
      <c r="W20" s="19">
        <v>3012.04</v>
      </c>
      <c r="X20" s="21">
        <v>1.0458472222222222</v>
      </c>
      <c r="Y20" s="19">
        <v>2962.04</v>
      </c>
      <c r="Z20" s="20">
        <v>1.028486111111111</v>
      </c>
      <c r="AA20" s="30">
        <v>9.9199999999999969E-2</v>
      </c>
      <c r="AB20" s="27">
        <v>8.5000000000000006E-2</v>
      </c>
      <c r="AC20" s="27">
        <v>9.9399999999999988E-2</v>
      </c>
      <c r="AD20" s="11">
        <v>9.6230614805100992E-2</v>
      </c>
    </row>
    <row r="21" spans="1:30" x14ac:dyDescent="0.25">
      <c r="A21" s="13">
        <v>43479</v>
      </c>
      <c r="B21" s="46" t="s">
        <v>636</v>
      </c>
      <c r="C21" s="13">
        <v>43479</v>
      </c>
      <c r="D21" s="15" t="s">
        <v>396</v>
      </c>
      <c r="E21" s="15">
        <v>28</v>
      </c>
      <c r="F21" s="15">
        <v>30</v>
      </c>
      <c r="G21" s="13">
        <v>43507</v>
      </c>
      <c r="H21" s="17">
        <v>2000</v>
      </c>
      <c r="I21" s="19">
        <v>4566.07</v>
      </c>
      <c r="J21" s="20">
        <v>2.2830350000000004</v>
      </c>
      <c r="K21" s="19">
        <v>3896.07</v>
      </c>
      <c r="L21" s="20">
        <v>1.9480350000000002</v>
      </c>
      <c r="M21" s="21">
        <v>0</v>
      </c>
      <c r="N21" s="19">
        <v>0</v>
      </c>
      <c r="O21" s="23">
        <v>400</v>
      </c>
      <c r="P21" s="24">
        <v>150.13</v>
      </c>
      <c r="Q21" s="25">
        <v>0.37532500000000002</v>
      </c>
      <c r="R21" s="24">
        <v>150.13</v>
      </c>
      <c r="S21" s="25">
        <v>0.37532499999999996</v>
      </c>
      <c r="T21" s="26">
        <v>0</v>
      </c>
      <c r="U21" s="24">
        <v>0</v>
      </c>
      <c r="V21" s="19">
        <v>2400</v>
      </c>
      <c r="W21" s="19">
        <v>4716.2</v>
      </c>
      <c r="X21" s="21">
        <v>1.9650833333333333</v>
      </c>
      <c r="Y21" s="19">
        <v>4046.2000000000003</v>
      </c>
      <c r="Z21" s="20">
        <v>1.6859166666666667</v>
      </c>
      <c r="AA21" s="30">
        <v>8.1100000000000075E-2</v>
      </c>
      <c r="AB21" s="27">
        <v>7.0000000000000007E-2</v>
      </c>
      <c r="AC21" s="27">
        <v>8.7499999999999994E-2</v>
      </c>
      <c r="AD21" s="11">
        <v>7.8131617342703866E-2</v>
      </c>
    </row>
    <row r="22" spans="1:30" x14ac:dyDescent="0.25">
      <c r="A22" s="13">
        <v>43480</v>
      </c>
      <c r="B22" s="46" t="s">
        <v>636</v>
      </c>
      <c r="C22" s="13">
        <v>43481</v>
      </c>
      <c r="D22" s="15" t="s">
        <v>343</v>
      </c>
      <c r="E22" s="15">
        <v>742</v>
      </c>
      <c r="F22" s="15">
        <v>720</v>
      </c>
      <c r="G22" s="13">
        <v>44223</v>
      </c>
      <c r="H22" s="17">
        <v>1500</v>
      </c>
      <c r="I22" s="19">
        <v>2875.54</v>
      </c>
      <c r="J22" s="20">
        <v>1.9170266666666671</v>
      </c>
      <c r="K22" s="19">
        <v>1550.54</v>
      </c>
      <c r="L22" s="20">
        <v>1.0336933333333334</v>
      </c>
      <c r="M22" s="21">
        <v>0</v>
      </c>
      <c r="N22" s="19">
        <v>0</v>
      </c>
      <c r="O22" s="23">
        <v>300</v>
      </c>
      <c r="P22" s="24">
        <v>550</v>
      </c>
      <c r="Q22" s="25">
        <v>1.8333333333333333</v>
      </c>
      <c r="R22" s="24">
        <v>300</v>
      </c>
      <c r="S22" s="25">
        <v>1</v>
      </c>
      <c r="T22" s="26">
        <v>0.54545466666666664</v>
      </c>
      <c r="U22" s="24">
        <v>0</v>
      </c>
      <c r="V22" s="19">
        <v>1800</v>
      </c>
      <c r="W22" s="19">
        <v>3425.54</v>
      </c>
      <c r="X22" s="21">
        <v>1.9030777777777779</v>
      </c>
      <c r="Y22" s="19">
        <v>1850.54</v>
      </c>
      <c r="Z22" s="20">
        <v>1.0280777777777779</v>
      </c>
      <c r="AA22" s="30">
        <v>0.10210000000000004</v>
      </c>
      <c r="AB22" s="27">
        <v>9.9900000000000003E-2</v>
      </c>
      <c r="AC22" s="27">
        <v>0.1043</v>
      </c>
      <c r="AD22" s="11">
        <v>0.10196658714537096</v>
      </c>
    </row>
    <row r="23" spans="1:30" x14ac:dyDescent="0.25">
      <c r="A23" s="13">
        <v>43481</v>
      </c>
      <c r="B23" s="46" t="s">
        <v>636</v>
      </c>
      <c r="C23" s="13">
        <v>43481</v>
      </c>
      <c r="D23" s="15" t="s">
        <v>397</v>
      </c>
      <c r="E23" s="15">
        <v>84</v>
      </c>
      <c r="F23" s="15">
        <v>90</v>
      </c>
      <c r="G23" s="13">
        <v>43565</v>
      </c>
      <c r="H23" s="17">
        <v>2000</v>
      </c>
      <c r="I23" s="19">
        <v>2962.5</v>
      </c>
      <c r="J23" s="20">
        <v>1.4812500000000004</v>
      </c>
      <c r="K23" s="19">
        <v>2656.8999999999996</v>
      </c>
      <c r="L23" s="20">
        <v>1.3284499999999999</v>
      </c>
      <c r="M23" s="21">
        <v>0</v>
      </c>
      <c r="N23" s="19">
        <v>0</v>
      </c>
      <c r="O23" s="23">
        <v>400</v>
      </c>
      <c r="P23" s="24">
        <v>20</v>
      </c>
      <c r="Q23" s="25">
        <v>0.05</v>
      </c>
      <c r="R23" s="24">
        <v>20</v>
      </c>
      <c r="S23" s="25">
        <v>0.05</v>
      </c>
      <c r="T23" s="26">
        <v>0</v>
      </c>
      <c r="U23" s="24">
        <v>0</v>
      </c>
      <c r="V23" s="19">
        <v>2400</v>
      </c>
      <c r="W23" s="19">
        <v>2982.5</v>
      </c>
      <c r="X23" s="21">
        <v>1.2427083333333333</v>
      </c>
      <c r="Y23" s="19">
        <v>2676.8999999999996</v>
      </c>
      <c r="Z23" s="20">
        <v>1.1153749999999998</v>
      </c>
      <c r="AA23" s="30">
        <v>9.2799999999999994E-2</v>
      </c>
      <c r="AB23" s="27">
        <v>0.08</v>
      </c>
      <c r="AC23" s="27">
        <v>9.4200000000000006E-2</v>
      </c>
      <c r="AD23" s="11">
        <v>9.0639792742615993E-2</v>
      </c>
    </row>
    <row r="24" spans="1:30" x14ac:dyDescent="0.25">
      <c r="A24" s="13">
        <v>43482</v>
      </c>
      <c r="B24" s="46" t="s">
        <v>636</v>
      </c>
      <c r="C24" s="13">
        <v>43483</v>
      </c>
      <c r="D24" s="15" t="s">
        <v>398</v>
      </c>
      <c r="E24" s="15">
        <v>350</v>
      </c>
      <c r="F24" s="15">
        <v>360</v>
      </c>
      <c r="G24" s="13">
        <v>43833</v>
      </c>
      <c r="H24" s="17">
        <v>3000</v>
      </c>
      <c r="I24" s="19">
        <v>5793.79</v>
      </c>
      <c r="J24" s="20">
        <v>1.9312633333333344</v>
      </c>
      <c r="K24" s="19">
        <v>4483.79</v>
      </c>
      <c r="L24" s="20">
        <v>1.4945966666666666</v>
      </c>
      <c r="M24" s="21">
        <v>0</v>
      </c>
      <c r="N24" s="19">
        <v>0</v>
      </c>
      <c r="O24" s="23">
        <v>600</v>
      </c>
      <c r="P24" s="24">
        <v>650</v>
      </c>
      <c r="Q24" s="25">
        <v>1.0833333333333333</v>
      </c>
      <c r="R24" s="24">
        <v>600</v>
      </c>
      <c r="S24" s="25">
        <v>1</v>
      </c>
      <c r="T24" s="26">
        <v>0.92307699999999993</v>
      </c>
      <c r="U24" s="24">
        <v>0</v>
      </c>
      <c r="V24" s="19">
        <v>3600</v>
      </c>
      <c r="W24" s="19">
        <v>6443.79</v>
      </c>
      <c r="X24" s="21">
        <v>1.7899416666666668</v>
      </c>
      <c r="Y24" s="19">
        <v>5083.79</v>
      </c>
      <c r="Z24" s="20">
        <v>1.4121638888888888</v>
      </c>
      <c r="AA24" s="30">
        <v>0.10179999999999993</v>
      </c>
      <c r="AB24" s="27">
        <v>9.5000000000000001E-2</v>
      </c>
      <c r="AC24" s="27">
        <v>0.10339999999999999</v>
      </c>
      <c r="AD24" s="11">
        <v>0.10120099451309074</v>
      </c>
    </row>
    <row r="25" spans="1:30" x14ac:dyDescent="0.25">
      <c r="A25" s="13">
        <v>43483</v>
      </c>
      <c r="B25" s="46" t="s">
        <v>636</v>
      </c>
      <c r="C25" s="13">
        <v>43483</v>
      </c>
      <c r="D25" s="15" t="s">
        <v>399</v>
      </c>
      <c r="E25" s="15">
        <v>189</v>
      </c>
      <c r="F25" s="15">
        <v>180</v>
      </c>
      <c r="G25" s="13">
        <v>43672</v>
      </c>
      <c r="H25" s="17">
        <v>1500</v>
      </c>
      <c r="I25" s="19">
        <v>3317.32</v>
      </c>
      <c r="J25" s="20">
        <v>2.2115466666666679</v>
      </c>
      <c r="K25" s="19">
        <v>3000.0000000000005</v>
      </c>
      <c r="L25" s="20">
        <v>2.0000000000000004</v>
      </c>
      <c r="M25" s="21">
        <v>0.96376700000000004</v>
      </c>
      <c r="N25" s="19">
        <v>0</v>
      </c>
      <c r="O25" s="23">
        <v>300</v>
      </c>
      <c r="P25" s="24">
        <v>130</v>
      </c>
      <c r="Q25" s="25">
        <v>0.43333333333333335</v>
      </c>
      <c r="R25" s="24">
        <v>130</v>
      </c>
      <c r="S25" s="25">
        <v>0.43333333333333335</v>
      </c>
      <c r="T25" s="26">
        <v>0</v>
      </c>
      <c r="U25" s="24">
        <v>0</v>
      </c>
      <c r="V25" s="19">
        <v>1800</v>
      </c>
      <c r="W25" s="19">
        <v>3447.32</v>
      </c>
      <c r="X25" s="21">
        <v>1.9151777777777779</v>
      </c>
      <c r="Y25" s="19">
        <v>3130.0000000000005</v>
      </c>
      <c r="Z25" s="20">
        <v>1.7388888888888892</v>
      </c>
      <c r="AA25" s="30">
        <v>9.8900000000000002E-2</v>
      </c>
      <c r="AB25" s="27">
        <v>8.4499999999999992E-2</v>
      </c>
      <c r="AC25" s="27">
        <v>0.10009999999999999</v>
      </c>
      <c r="AD25" s="11">
        <v>9.7975935393631003E-2</v>
      </c>
    </row>
    <row r="26" spans="1:30" x14ac:dyDescent="0.25">
      <c r="A26" s="13">
        <v>43486</v>
      </c>
      <c r="B26" s="46" t="s">
        <v>636</v>
      </c>
      <c r="C26" s="13">
        <v>43486</v>
      </c>
      <c r="D26" s="15" t="s">
        <v>400</v>
      </c>
      <c r="E26" s="15">
        <v>25</v>
      </c>
      <c r="F26" s="15">
        <v>30</v>
      </c>
      <c r="G26" s="13">
        <v>43511</v>
      </c>
      <c r="H26" s="17">
        <v>1800</v>
      </c>
      <c r="I26" s="19">
        <v>2561.1600000000003</v>
      </c>
      <c r="J26" s="20">
        <v>1.4228666666666663</v>
      </c>
      <c r="K26" s="19">
        <v>2546.1600000000003</v>
      </c>
      <c r="L26" s="20">
        <v>1.4145333333333334</v>
      </c>
      <c r="M26" s="21">
        <v>0</v>
      </c>
      <c r="N26" s="19">
        <v>0</v>
      </c>
      <c r="O26" s="23">
        <v>360</v>
      </c>
      <c r="P26" s="24">
        <v>141.01</v>
      </c>
      <c r="Q26" s="25">
        <v>0.39169444444444446</v>
      </c>
      <c r="R26" s="24">
        <v>141.01</v>
      </c>
      <c r="S26" s="25">
        <v>0.3916944444444444</v>
      </c>
      <c r="T26" s="26">
        <v>0</v>
      </c>
      <c r="U26" s="24">
        <v>0</v>
      </c>
      <c r="V26" s="19">
        <v>2160</v>
      </c>
      <c r="W26" s="19">
        <v>2702.17</v>
      </c>
      <c r="X26" s="21">
        <v>1.2510046296296298</v>
      </c>
      <c r="Y26" s="19">
        <v>2687.17</v>
      </c>
      <c r="Z26" s="20">
        <v>1.2440601851851851</v>
      </c>
      <c r="AA26" s="30">
        <v>8.4999999999999978E-2</v>
      </c>
      <c r="AB26" s="27">
        <v>7.2499999999999995E-2</v>
      </c>
      <c r="AC26" s="27">
        <v>8.6999999999999994E-2</v>
      </c>
      <c r="AD26" s="11">
        <v>7.9241320729669384E-2</v>
      </c>
    </row>
    <row r="27" spans="1:30" x14ac:dyDescent="0.25">
      <c r="A27" s="13">
        <v>43487</v>
      </c>
      <c r="B27" s="46" t="s">
        <v>636</v>
      </c>
      <c r="C27" s="13">
        <v>43488</v>
      </c>
      <c r="D27" s="15" t="s">
        <v>344</v>
      </c>
      <c r="E27" s="15">
        <v>735</v>
      </c>
      <c r="F27" s="15">
        <v>720</v>
      </c>
      <c r="G27" s="13">
        <v>44223</v>
      </c>
      <c r="H27" s="17">
        <v>1800</v>
      </c>
      <c r="I27" s="19">
        <v>2526.1</v>
      </c>
      <c r="J27" s="20">
        <v>1.403388888888889</v>
      </c>
      <c r="K27" s="19">
        <v>2295.1</v>
      </c>
      <c r="L27" s="20">
        <v>1.2750555555555556</v>
      </c>
      <c r="M27" s="21">
        <v>0</v>
      </c>
      <c r="N27" s="19">
        <v>0</v>
      </c>
      <c r="O27" s="23">
        <v>360</v>
      </c>
      <c r="P27" s="24">
        <v>460</v>
      </c>
      <c r="Q27" s="25">
        <v>1.2777777777777777</v>
      </c>
      <c r="R27" s="24">
        <v>360</v>
      </c>
      <c r="S27" s="25">
        <v>1</v>
      </c>
      <c r="T27" s="26">
        <v>0.78260900000000011</v>
      </c>
      <c r="U27" s="24">
        <v>0</v>
      </c>
      <c r="V27" s="19">
        <v>2160</v>
      </c>
      <c r="W27" s="19">
        <v>2986.1</v>
      </c>
      <c r="X27" s="21">
        <v>1.3824537037037037</v>
      </c>
      <c r="Y27" s="19">
        <v>2655.1</v>
      </c>
      <c r="Z27" s="20">
        <v>1.2292129629629629</v>
      </c>
      <c r="AA27" s="30">
        <v>0.10289999999999999</v>
      </c>
      <c r="AB27" s="27">
        <v>9.5000000000000001E-2</v>
      </c>
      <c r="AC27" s="27">
        <v>0.11</v>
      </c>
      <c r="AD27" s="11">
        <v>0.10192213293218796</v>
      </c>
    </row>
    <row r="28" spans="1:30" x14ac:dyDescent="0.25">
      <c r="A28" s="13">
        <v>43488</v>
      </c>
      <c r="B28" s="46" t="s">
        <v>636</v>
      </c>
      <c r="C28" s="13">
        <v>43488</v>
      </c>
      <c r="D28" s="15" t="s">
        <v>401</v>
      </c>
      <c r="E28" s="15">
        <v>93</v>
      </c>
      <c r="F28" s="15">
        <v>90</v>
      </c>
      <c r="G28" s="13">
        <v>43581</v>
      </c>
      <c r="H28" s="17">
        <v>1200</v>
      </c>
      <c r="I28" s="19">
        <v>636.16</v>
      </c>
      <c r="J28" s="20">
        <v>0.53013333333333335</v>
      </c>
      <c r="K28" s="19">
        <v>586.16</v>
      </c>
      <c r="L28" s="20">
        <v>0.48846666666666666</v>
      </c>
      <c r="M28" s="21">
        <v>0</v>
      </c>
      <c r="N28" s="19">
        <v>0</v>
      </c>
      <c r="O28" s="23">
        <v>240</v>
      </c>
      <c r="P28" s="24">
        <v>50</v>
      </c>
      <c r="Q28" s="25">
        <v>0.20833333333333334</v>
      </c>
      <c r="R28" s="24">
        <v>50</v>
      </c>
      <c r="S28" s="25">
        <v>0.20833333333333334</v>
      </c>
      <c r="T28" s="26">
        <v>0</v>
      </c>
      <c r="U28" s="24">
        <v>0</v>
      </c>
      <c r="V28" s="19">
        <v>1440</v>
      </c>
      <c r="W28" s="19">
        <v>686.16</v>
      </c>
      <c r="X28" s="21">
        <v>0.47649999999999998</v>
      </c>
      <c r="Y28" s="19">
        <v>636.16</v>
      </c>
      <c r="Z28" s="20">
        <v>0.44177777777777777</v>
      </c>
      <c r="AA28" s="30">
        <v>9.4999999999999987E-2</v>
      </c>
      <c r="AB28" s="27">
        <v>0.08</v>
      </c>
      <c r="AC28" s="27">
        <v>9.7500000000000003E-2</v>
      </c>
      <c r="AD28" s="11">
        <v>9.3300403986418506E-2</v>
      </c>
    </row>
    <row r="29" spans="1:30" x14ac:dyDescent="0.25">
      <c r="A29" s="13">
        <v>43489</v>
      </c>
      <c r="B29" s="46" t="s">
        <v>636</v>
      </c>
      <c r="C29" s="13">
        <v>43490</v>
      </c>
      <c r="D29" s="15" t="s">
        <v>402</v>
      </c>
      <c r="E29" s="15">
        <v>378</v>
      </c>
      <c r="F29" s="15">
        <v>360</v>
      </c>
      <c r="G29" s="13">
        <v>43868</v>
      </c>
      <c r="H29" s="17">
        <v>2500</v>
      </c>
      <c r="I29" s="19">
        <v>1444.56</v>
      </c>
      <c r="J29" s="20">
        <v>0.57782400000000012</v>
      </c>
      <c r="K29" s="19">
        <v>1315.15</v>
      </c>
      <c r="L29" s="20">
        <v>0.52606000000000008</v>
      </c>
      <c r="M29" s="21">
        <v>0</v>
      </c>
      <c r="N29" s="19">
        <v>0</v>
      </c>
      <c r="O29" s="23">
        <v>500</v>
      </c>
      <c r="P29" s="24">
        <v>460</v>
      </c>
      <c r="Q29" s="25">
        <v>0.92</v>
      </c>
      <c r="R29" s="24">
        <v>263.02999999999997</v>
      </c>
      <c r="S29" s="25">
        <v>0.52605999999999997</v>
      </c>
      <c r="T29" s="26">
        <v>0.57180999999999993</v>
      </c>
      <c r="U29" s="24">
        <v>0</v>
      </c>
      <c r="V29" s="19">
        <v>3000</v>
      </c>
      <c r="W29" s="19">
        <v>1904.56</v>
      </c>
      <c r="X29" s="21">
        <v>0.63485333333333327</v>
      </c>
      <c r="Y29" s="19">
        <v>1578.18</v>
      </c>
      <c r="Z29" s="20">
        <v>0.52605999999999997</v>
      </c>
      <c r="AA29" s="30">
        <v>0.10300000000000006</v>
      </c>
      <c r="AB29" s="27">
        <v>9.5000000000000001E-2</v>
      </c>
      <c r="AC29" s="27">
        <v>0.105</v>
      </c>
      <c r="AD29" s="11">
        <v>0.10191161876280666</v>
      </c>
    </row>
    <row r="30" spans="1:30" x14ac:dyDescent="0.25">
      <c r="A30" s="13">
        <v>43490</v>
      </c>
      <c r="B30" s="46" t="s">
        <v>636</v>
      </c>
      <c r="C30" s="13">
        <v>43490</v>
      </c>
      <c r="D30" s="15" t="s">
        <v>403</v>
      </c>
      <c r="E30" s="15">
        <v>182</v>
      </c>
      <c r="F30" s="15">
        <v>180</v>
      </c>
      <c r="G30" s="13">
        <v>43672</v>
      </c>
      <c r="H30" s="17">
        <v>1500</v>
      </c>
      <c r="I30" s="19">
        <v>2227.2600000000002</v>
      </c>
      <c r="J30" s="20">
        <v>1.4848399999999997</v>
      </c>
      <c r="K30" s="19">
        <v>1877.2599999999995</v>
      </c>
      <c r="L30" s="20">
        <v>1.2515066666666663</v>
      </c>
      <c r="M30" s="21">
        <v>0</v>
      </c>
      <c r="N30" s="19">
        <v>0</v>
      </c>
      <c r="O30" s="23">
        <v>300</v>
      </c>
      <c r="P30" s="24">
        <v>109</v>
      </c>
      <c r="Q30" s="25">
        <v>0.36333333333333329</v>
      </c>
      <c r="R30" s="24">
        <v>109</v>
      </c>
      <c r="S30" s="25">
        <v>0.36333333333333334</v>
      </c>
      <c r="T30" s="26">
        <v>0</v>
      </c>
      <c r="U30" s="24">
        <v>0</v>
      </c>
      <c r="V30" s="19">
        <v>1800</v>
      </c>
      <c r="W30" s="19">
        <v>2336.2600000000002</v>
      </c>
      <c r="X30" s="21">
        <v>1.2979222222222224</v>
      </c>
      <c r="Y30" s="19">
        <v>1986.2599999999995</v>
      </c>
      <c r="Z30" s="20">
        <v>1.1034777777777776</v>
      </c>
      <c r="AA30" s="30">
        <v>9.9899999999999919E-2</v>
      </c>
      <c r="AB30" s="27">
        <v>8.5000000000000006E-2</v>
      </c>
      <c r="AC30" s="27">
        <v>0.10199999999999999</v>
      </c>
      <c r="AD30" s="11">
        <v>9.5924806264199025E-2</v>
      </c>
    </row>
    <row r="31" spans="1:30" x14ac:dyDescent="0.25">
      <c r="A31" s="13">
        <v>43493</v>
      </c>
      <c r="B31" s="46" t="s">
        <v>636</v>
      </c>
      <c r="C31" s="13">
        <v>43493</v>
      </c>
      <c r="D31" s="15" t="s">
        <v>404</v>
      </c>
      <c r="E31" s="15">
        <v>28</v>
      </c>
      <c r="F31" s="15">
        <v>30</v>
      </c>
      <c r="G31" s="13">
        <v>43521</v>
      </c>
      <c r="H31" s="17">
        <v>1300</v>
      </c>
      <c r="I31" s="19">
        <v>3072.6</v>
      </c>
      <c r="J31" s="20">
        <v>2.3635384615384614</v>
      </c>
      <c r="K31" s="19">
        <v>2531.6</v>
      </c>
      <c r="L31" s="20">
        <v>1.9473846153846153</v>
      </c>
      <c r="M31" s="21">
        <v>0</v>
      </c>
      <c r="N31" s="19">
        <v>0</v>
      </c>
      <c r="O31" s="23">
        <v>260</v>
      </c>
      <c r="P31" s="24">
        <v>100</v>
      </c>
      <c r="Q31" s="25">
        <v>0.38461538461538464</v>
      </c>
      <c r="R31" s="24">
        <v>100</v>
      </c>
      <c r="S31" s="25">
        <v>0.38461538461538464</v>
      </c>
      <c r="T31" s="26">
        <v>0</v>
      </c>
      <c r="U31" s="24">
        <v>0</v>
      </c>
      <c r="V31" s="19">
        <v>1560</v>
      </c>
      <c r="W31" s="19">
        <v>3172.6</v>
      </c>
      <c r="X31" s="21">
        <v>2.0337179487179489</v>
      </c>
      <c r="Y31" s="19">
        <v>2631.6</v>
      </c>
      <c r="Z31" s="20">
        <v>1.686923076923077</v>
      </c>
      <c r="AA31" s="30">
        <v>8.3000000000000088E-2</v>
      </c>
      <c r="AB31" s="27">
        <v>0.06</v>
      </c>
      <c r="AC31" s="27">
        <v>9.2499999999999999E-2</v>
      </c>
      <c r="AD31" s="11">
        <v>7.999349736379617E-2</v>
      </c>
    </row>
    <row r="32" spans="1:30" x14ac:dyDescent="0.25">
      <c r="A32" s="13">
        <v>43494</v>
      </c>
      <c r="B32" s="46" t="s">
        <v>636</v>
      </c>
      <c r="C32" s="13">
        <v>43495</v>
      </c>
      <c r="D32" s="15" t="s">
        <v>345</v>
      </c>
      <c r="E32" s="15">
        <v>728</v>
      </c>
      <c r="F32" s="15">
        <v>720</v>
      </c>
      <c r="G32" s="13">
        <v>44223</v>
      </c>
      <c r="H32" s="17">
        <v>1500</v>
      </c>
      <c r="I32" s="19">
        <v>2405</v>
      </c>
      <c r="J32" s="20">
        <v>1.6033333333333335</v>
      </c>
      <c r="K32" s="19">
        <v>2180</v>
      </c>
      <c r="L32" s="20">
        <v>1.4533333333333334</v>
      </c>
      <c r="M32" s="21">
        <v>0</v>
      </c>
      <c r="N32" s="19">
        <v>0</v>
      </c>
      <c r="O32" s="23">
        <v>300</v>
      </c>
      <c r="P32" s="24">
        <v>300</v>
      </c>
      <c r="Q32" s="25">
        <v>1</v>
      </c>
      <c r="R32" s="24">
        <v>300</v>
      </c>
      <c r="S32" s="25">
        <v>1</v>
      </c>
      <c r="T32" s="26">
        <v>0</v>
      </c>
      <c r="U32" s="24">
        <v>0</v>
      </c>
      <c r="V32" s="19">
        <v>1800</v>
      </c>
      <c r="W32" s="19">
        <v>2705</v>
      </c>
      <c r="X32" s="21">
        <v>1.5027777777777778</v>
      </c>
      <c r="Y32" s="19">
        <v>2480</v>
      </c>
      <c r="Z32" s="20">
        <v>1.3777777777777778</v>
      </c>
      <c r="AA32" s="30">
        <v>0.10380000000000005</v>
      </c>
      <c r="AB32" s="27">
        <v>0.1014</v>
      </c>
      <c r="AC32" s="27">
        <v>0.11</v>
      </c>
      <c r="AD32" s="11">
        <v>0.10292827442827442</v>
      </c>
    </row>
    <row r="33" spans="1:30" x14ac:dyDescent="0.25">
      <c r="A33" s="13">
        <v>43495</v>
      </c>
      <c r="B33" s="46" t="s">
        <v>636</v>
      </c>
      <c r="C33" s="13">
        <v>43495</v>
      </c>
      <c r="D33" s="15" t="s">
        <v>405</v>
      </c>
      <c r="E33" s="15">
        <v>86</v>
      </c>
      <c r="F33" s="15">
        <v>90</v>
      </c>
      <c r="G33" s="13">
        <v>43581</v>
      </c>
      <c r="H33" s="17">
        <v>1200</v>
      </c>
      <c r="I33" s="19">
        <v>2365.7900000000009</v>
      </c>
      <c r="J33" s="20">
        <v>1.9714916666666666</v>
      </c>
      <c r="K33" s="19">
        <v>2115.79</v>
      </c>
      <c r="L33" s="20">
        <v>1.7631583333333334</v>
      </c>
      <c r="M33" s="21">
        <v>0</v>
      </c>
      <c r="N33" s="19">
        <v>0</v>
      </c>
      <c r="O33" s="23">
        <v>240</v>
      </c>
      <c r="P33" s="24">
        <v>141</v>
      </c>
      <c r="Q33" s="25">
        <v>0.58750000000000002</v>
      </c>
      <c r="R33" s="24">
        <v>141</v>
      </c>
      <c r="S33" s="25">
        <v>0.58750000000000002</v>
      </c>
      <c r="T33" s="26">
        <v>0</v>
      </c>
      <c r="U33" s="24">
        <v>0</v>
      </c>
      <c r="V33" s="19">
        <v>1440</v>
      </c>
      <c r="W33" s="19">
        <v>2506.7900000000009</v>
      </c>
      <c r="X33" s="21">
        <v>1.7408263888888895</v>
      </c>
      <c r="Y33" s="19">
        <v>2256.79</v>
      </c>
      <c r="Z33" s="20">
        <v>1.5672152777777777</v>
      </c>
      <c r="AA33" s="30">
        <v>9.4699999999999881E-2</v>
      </c>
      <c r="AB33" s="27">
        <v>7.4999999999999997E-2</v>
      </c>
      <c r="AC33" s="27">
        <v>9.6000000000000002E-2</v>
      </c>
      <c r="AD33" s="11">
        <v>9.1815600708431408E-2</v>
      </c>
    </row>
    <row r="34" spans="1:30" x14ac:dyDescent="0.25">
      <c r="A34" s="13">
        <v>43496</v>
      </c>
      <c r="B34" s="46" t="s">
        <v>636</v>
      </c>
      <c r="C34" s="13">
        <v>43497</v>
      </c>
      <c r="D34" s="15" t="s">
        <v>406</v>
      </c>
      <c r="E34" s="15">
        <v>371</v>
      </c>
      <c r="F34" s="15">
        <v>360</v>
      </c>
      <c r="G34" s="13">
        <v>43868</v>
      </c>
      <c r="H34" s="17">
        <v>1500</v>
      </c>
      <c r="I34" s="19">
        <v>3436.42</v>
      </c>
      <c r="J34" s="20">
        <v>2.2909466666666671</v>
      </c>
      <c r="K34" s="19">
        <v>1511.42</v>
      </c>
      <c r="L34" s="20">
        <v>1.0076133333333335</v>
      </c>
      <c r="M34" s="21">
        <v>0</v>
      </c>
      <c r="N34" s="19">
        <v>0</v>
      </c>
      <c r="O34" s="23">
        <v>300</v>
      </c>
      <c r="P34" s="24">
        <v>750.36</v>
      </c>
      <c r="Q34" s="25">
        <v>2.5011999999999999</v>
      </c>
      <c r="R34" s="24">
        <v>300</v>
      </c>
      <c r="S34" s="25">
        <v>1</v>
      </c>
      <c r="T34" s="26">
        <v>0.39999999999999997</v>
      </c>
      <c r="U34" s="24">
        <v>0</v>
      </c>
      <c r="V34" s="19">
        <v>1800</v>
      </c>
      <c r="W34" s="19">
        <v>4186.78</v>
      </c>
      <c r="X34" s="21">
        <v>2.3259888888888889</v>
      </c>
      <c r="Y34" s="19">
        <v>1811.42</v>
      </c>
      <c r="Z34" s="20">
        <v>1.0063444444444445</v>
      </c>
      <c r="AA34" s="30">
        <v>0.10199999999999998</v>
      </c>
      <c r="AB34" s="27">
        <v>0.09</v>
      </c>
      <c r="AC34" s="27">
        <v>0.1045</v>
      </c>
      <c r="AD34" s="11">
        <v>0.1020806697085921</v>
      </c>
    </row>
    <row r="35" spans="1:30" x14ac:dyDescent="0.25">
      <c r="A35" s="13">
        <v>43497</v>
      </c>
      <c r="B35" s="46" t="s">
        <v>636</v>
      </c>
      <c r="C35" s="13">
        <v>43497</v>
      </c>
      <c r="D35" s="15" t="s">
        <v>407</v>
      </c>
      <c r="E35" s="15">
        <v>175</v>
      </c>
      <c r="F35" s="15">
        <v>180</v>
      </c>
      <c r="G35" s="13">
        <v>43672</v>
      </c>
      <c r="H35" s="17">
        <v>1000</v>
      </c>
      <c r="I35" s="19">
        <v>1125.8</v>
      </c>
      <c r="J35" s="20">
        <v>1.1258000000000001</v>
      </c>
      <c r="K35" s="19">
        <v>925.8</v>
      </c>
      <c r="L35" s="20">
        <v>0.92579999999999996</v>
      </c>
      <c r="M35" s="21">
        <v>0</v>
      </c>
      <c r="N35" s="19">
        <v>0</v>
      </c>
      <c r="O35" s="23">
        <v>200</v>
      </c>
      <c r="P35" s="24">
        <v>271.10000000000002</v>
      </c>
      <c r="Q35" s="25">
        <v>1.3554999999999999</v>
      </c>
      <c r="R35" s="24">
        <v>185.16</v>
      </c>
      <c r="S35" s="25">
        <v>0.92579999999999996</v>
      </c>
      <c r="T35" s="26">
        <v>0.68299999999999994</v>
      </c>
      <c r="U35" s="24">
        <v>0</v>
      </c>
      <c r="V35" s="19">
        <v>1200</v>
      </c>
      <c r="W35" s="19">
        <v>1396.9</v>
      </c>
      <c r="X35" s="21">
        <v>1.1640833333333334</v>
      </c>
      <c r="Y35" s="19">
        <v>1110.96</v>
      </c>
      <c r="Z35" s="20">
        <v>0.92580000000000007</v>
      </c>
      <c r="AA35" s="30">
        <v>0.10020000000000004</v>
      </c>
      <c r="AB35" s="27">
        <v>0.09</v>
      </c>
      <c r="AC35" s="27">
        <v>0.10099999999999999</v>
      </c>
      <c r="AD35" s="11">
        <v>9.6971032154912082E-2</v>
      </c>
    </row>
    <row r="36" spans="1:30" x14ac:dyDescent="0.25">
      <c r="A36" s="13">
        <v>43500</v>
      </c>
      <c r="B36" s="46" t="s">
        <v>636</v>
      </c>
      <c r="C36" s="13">
        <v>43500</v>
      </c>
      <c r="D36" s="15" t="s">
        <v>408</v>
      </c>
      <c r="E36" s="15">
        <v>30</v>
      </c>
      <c r="F36" s="15">
        <v>30</v>
      </c>
      <c r="G36" s="13">
        <v>43530</v>
      </c>
      <c r="H36" s="17">
        <v>1200</v>
      </c>
      <c r="I36" s="19">
        <v>676.13999999999987</v>
      </c>
      <c r="J36" s="20">
        <v>0.56345000000000001</v>
      </c>
      <c r="K36" s="19">
        <v>476.14</v>
      </c>
      <c r="L36" s="20">
        <v>0.39678333333333332</v>
      </c>
      <c r="M36" s="21">
        <v>0</v>
      </c>
      <c r="N36" s="19">
        <v>0</v>
      </c>
      <c r="O36" s="23">
        <v>240</v>
      </c>
      <c r="P36" s="24">
        <v>0</v>
      </c>
      <c r="Q36" s="25">
        <v>0</v>
      </c>
      <c r="R36" s="24">
        <v>0</v>
      </c>
      <c r="S36" s="25">
        <v>0</v>
      </c>
      <c r="T36" s="26">
        <v>0</v>
      </c>
      <c r="U36" s="24">
        <v>0</v>
      </c>
      <c r="V36" s="19">
        <v>1440</v>
      </c>
      <c r="W36" s="19">
        <v>676.13999999999987</v>
      </c>
      <c r="X36" s="21">
        <v>0.46954166666666658</v>
      </c>
      <c r="Y36" s="19">
        <v>476.14</v>
      </c>
      <c r="Z36" s="20">
        <v>0.3306527777777778</v>
      </c>
      <c r="AA36" s="30">
        <v>8.1999999999999962E-2</v>
      </c>
      <c r="AB36" s="27">
        <v>0.06</v>
      </c>
      <c r="AC36" s="27">
        <v>9.5000000000000001E-2</v>
      </c>
      <c r="AD36" s="11">
        <v>8.1460846866033679E-2</v>
      </c>
    </row>
    <row r="37" spans="1:30" x14ac:dyDescent="0.25">
      <c r="A37" s="13">
        <v>43501</v>
      </c>
      <c r="B37" s="46" t="s">
        <v>636</v>
      </c>
      <c r="C37" s="13">
        <v>43502</v>
      </c>
      <c r="D37" s="15" t="s">
        <v>346</v>
      </c>
      <c r="E37" s="15">
        <v>721</v>
      </c>
      <c r="F37" s="15">
        <v>720</v>
      </c>
      <c r="G37" s="13">
        <v>44223</v>
      </c>
      <c r="H37" s="17">
        <v>800</v>
      </c>
      <c r="I37" s="19">
        <v>1760</v>
      </c>
      <c r="J37" s="20">
        <v>2.2000000000000002</v>
      </c>
      <c r="K37" s="19">
        <v>1600</v>
      </c>
      <c r="L37" s="20">
        <v>2</v>
      </c>
      <c r="M37" s="21">
        <v>0.82499999999999996</v>
      </c>
      <c r="N37" s="19">
        <v>0</v>
      </c>
      <c r="O37" s="23">
        <v>160</v>
      </c>
      <c r="P37" s="24">
        <v>235</v>
      </c>
      <c r="Q37" s="25">
        <v>1.46875</v>
      </c>
      <c r="R37" s="24">
        <v>160</v>
      </c>
      <c r="S37" s="25">
        <v>1</v>
      </c>
      <c r="T37" s="26">
        <v>0.68085125000000002</v>
      </c>
      <c r="U37" s="24">
        <v>0</v>
      </c>
      <c r="V37" s="19">
        <v>960</v>
      </c>
      <c r="W37" s="19">
        <v>1995</v>
      </c>
      <c r="X37" s="21">
        <v>2.078125</v>
      </c>
      <c r="Y37" s="19">
        <v>1760</v>
      </c>
      <c r="Z37" s="20">
        <v>1.8333333333333333</v>
      </c>
      <c r="AA37" s="30">
        <v>0.10369999999999996</v>
      </c>
      <c r="AB37" s="27">
        <v>0.1017</v>
      </c>
      <c r="AC37" s="27">
        <v>0.10830000000000001</v>
      </c>
      <c r="AD37" s="11">
        <v>0.10293181818181819</v>
      </c>
    </row>
    <row r="38" spans="1:30" x14ac:dyDescent="0.25">
      <c r="A38" s="13">
        <v>43502</v>
      </c>
      <c r="B38" s="46" t="s">
        <v>636</v>
      </c>
      <c r="C38" s="13">
        <v>43502</v>
      </c>
      <c r="D38" s="15" t="s">
        <v>409</v>
      </c>
      <c r="E38" s="15">
        <v>79</v>
      </c>
      <c r="F38" s="15">
        <v>90</v>
      </c>
      <c r="G38" s="13">
        <v>43581</v>
      </c>
      <c r="H38" s="17">
        <v>1200</v>
      </c>
      <c r="I38" s="19">
        <v>2510.7600000000002</v>
      </c>
      <c r="J38" s="20">
        <v>2.0922999999999998</v>
      </c>
      <c r="K38" s="19">
        <v>2310.7600000000002</v>
      </c>
      <c r="L38" s="20">
        <v>1.9256333333333335</v>
      </c>
      <c r="M38" s="21">
        <v>0</v>
      </c>
      <c r="N38" s="19">
        <v>0</v>
      </c>
      <c r="O38" s="23">
        <v>240</v>
      </c>
      <c r="P38" s="24">
        <v>292.56</v>
      </c>
      <c r="Q38" s="25">
        <v>1.2189999999999999</v>
      </c>
      <c r="R38" s="24">
        <v>240</v>
      </c>
      <c r="S38" s="25">
        <v>1</v>
      </c>
      <c r="T38" s="26">
        <v>0.82034564643799479</v>
      </c>
      <c r="U38" s="24">
        <v>0</v>
      </c>
      <c r="V38" s="19">
        <v>1440</v>
      </c>
      <c r="W38" s="19">
        <v>2803.32</v>
      </c>
      <c r="X38" s="21">
        <v>1.9467500000000002</v>
      </c>
      <c r="Y38" s="19">
        <v>2550.7600000000002</v>
      </c>
      <c r="Z38" s="20">
        <v>1.7713611111111112</v>
      </c>
      <c r="AA38" s="30">
        <v>9.5000000000000029E-2</v>
      </c>
      <c r="AB38" s="27">
        <v>7.0000000000000007E-2</v>
      </c>
      <c r="AC38" s="27">
        <v>9.6799999999999997E-2</v>
      </c>
      <c r="AD38" s="11">
        <v>9.0787546798578894E-2</v>
      </c>
    </row>
    <row r="39" spans="1:30" x14ac:dyDescent="0.25">
      <c r="A39" s="13">
        <v>43503</v>
      </c>
      <c r="B39" s="46" t="s">
        <v>636</v>
      </c>
      <c r="C39" s="13">
        <v>43504</v>
      </c>
      <c r="D39" s="15" t="s">
        <v>410</v>
      </c>
      <c r="E39" s="15">
        <v>364</v>
      </c>
      <c r="F39" s="15">
        <v>360</v>
      </c>
      <c r="G39" s="13">
        <v>43868</v>
      </c>
      <c r="H39" s="17">
        <v>4000</v>
      </c>
      <c r="I39" s="19">
        <v>8910.68</v>
      </c>
      <c r="J39" s="20">
        <v>2.2276699999999998</v>
      </c>
      <c r="K39" s="19">
        <v>7960.68</v>
      </c>
      <c r="L39" s="20">
        <v>1.99017</v>
      </c>
      <c r="M39" s="21">
        <v>0</v>
      </c>
      <c r="N39" s="19">
        <v>0</v>
      </c>
      <c r="O39" s="23">
        <v>800</v>
      </c>
      <c r="P39" s="24">
        <v>1646.15</v>
      </c>
      <c r="Q39" s="25">
        <v>2.0576875000000001</v>
      </c>
      <c r="R39" s="24">
        <v>800</v>
      </c>
      <c r="S39" s="25">
        <v>1</v>
      </c>
      <c r="T39" s="26">
        <v>0.48600000000000004</v>
      </c>
      <c r="U39" s="24">
        <v>0</v>
      </c>
      <c r="V39" s="19">
        <v>4800</v>
      </c>
      <c r="W39" s="19">
        <v>10556.83</v>
      </c>
      <c r="X39" s="21">
        <v>2.1993395833333333</v>
      </c>
      <c r="Y39" s="19">
        <v>8760.68</v>
      </c>
      <c r="Z39" s="20">
        <v>1.8251416666666667</v>
      </c>
      <c r="AA39" s="30">
        <v>0.10250000000000002</v>
      </c>
      <c r="AB39" s="27">
        <v>9.0200000000000002E-2</v>
      </c>
      <c r="AC39" s="27">
        <v>0.1047</v>
      </c>
      <c r="AD39" s="11">
        <v>0.1013805149550876</v>
      </c>
    </row>
    <row r="40" spans="1:30" x14ac:dyDescent="0.25">
      <c r="A40" s="13">
        <v>43504</v>
      </c>
      <c r="B40" s="46" t="s">
        <v>636</v>
      </c>
      <c r="C40" s="13">
        <v>43504</v>
      </c>
      <c r="D40" s="15" t="s">
        <v>411</v>
      </c>
      <c r="E40" s="15">
        <v>189</v>
      </c>
      <c r="F40" s="15">
        <v>180</v>
      </c>
      <c r="G40" s="13">
        <v>43693</v>
      </c>
      <c r="H40" s="17">
        <v>1500</v>
      </c>
      <c r="I40" s="19">
        <v>2623.09</v>
      </c>
      <c r="J40" s="20">
        <v>1.7487266666666663</v>
      </c>
      <c r="K40" s="19">
        <v>2373.09</v>
      </c>
      <c r="L40" s="20">
        <v>1.58206</v>
      </c>
      <c r="M40" s="21">
        <v>0</v>
      </c>
      <c r="N40" s="19">
        <v>0</v>
      </c>
      <c r="O40" s="23">
        <v>300</v>
      </c>
      <c r="P40" s="24">
        <v>308.43</v>
      </c>
      <c r="Q40" s="25">
        <v>1.0281</v>
      </c>
      <c r="R40" s="24">
        <v>300.00000000000006</v>
      </c>
      <c r="S40" s="25">
        <v>1.0000000000000002</v>
      </c>
      <c r="T40" s="26">
        <v>0.97267073170731722</v>
      </c>
      <c r="U40" s="24">
        <v>0</v>
      </c>
      <c r="V40" s="19">
        <v>1800</v>
      </c>
      <c r="W40" s="19">
        <v>2931.52</v>
      </c>
      <c r="X40" s="21">
        <v>1.6286222222222222</v>
      </c>
      <c r="Y40" s="19">
        <v>2673.09</v>
      </c>
      <c r="Z40" s="20">
        <v>1.48505</v>
      </c>
      <c r="AA40" s="30">
        <v>0.10069999999999987</v>
      </c>
      <c r="AB40" s="27">
        <v>0.08</v>
      </c>
      <c r="AC40" s="27">
        <v>0.10199999999999999</v>
      </c>
      <c r="AD40" s="11">
        <v>9.7355203976988963E-2</v>
      </c>
    </row>
    <row r="41" spans="1:30" x14ac:dyDescent="0.25">
      <c r="A41" s="13">
        <v>43507</v>
      </c>
      <c r="B41" s="46" t="s">
        <v>636</v>
      </c>
      <c r="C41" s="13">
        <v>43507</v>
      </c>
      <c r="D41" s="15" t="s">
        <v>412</v>
      </c>
      <c r="E41" s="15">
        <v>32</v>
      </c>
      <c r="F41" s="15">
        <v>30</v>
      </c>
      <c r="G41" s="13">
        <v>43539</v>
      </c>
      <c r="H41" s="17">
        <v>1000</v>
      </c>
      <c r="I41" s="19">
        <v>2184.9899999999998</v>
      </c>
      <c r="J41" s="20">
        <v>2.1849899999999991</v>
      </c>
      <c r="K41" s="19">
        <v>1282.4899999999998</v>
      </c>
      <c r="L41" s="20">
        <v>1.2824899999999997</v>
      </c>
      <c r="M41" s="21">
        <v>0</v>
      </c>
      <c r="N41" s="19">
        <v>0</v>
      </c>
      <c r="O41" s="23">
        <v>200</v>
      </c>
      <c r="P41" s="24">
        <v>100.13</v>
      </c>
      <c r="Q41" s="25">
        <v>0.50065000000000004</v>
      </c>
      <c r="R41" s="24">
        <v>100.13</v>
      </c>
      <c r="S41" s="25">
        <v>0.50064999999999993</v>
      </c>
      <c r="T41" s="26">
        <v>0</v>
      </c>
      <c r="U41" s="24">
        <v>0</v>
      </c>
      <c r="V41" s="19">
        <v>1200</v>
      </c>
      <c r="W41" s="19">
        <v>2285.12</v>
      </c>
      <c r="X41" s="21">
        <v>1.9042666666666666</v>
      </c>
      <c r="Y41" s="19">
        <v>1382.62</v>
      </c>
      <c r="Z41" s="20">
        <v>1.1521833333333333</v>
      </c>
      <c r="AA41" s="30">
        <v>8.0000000000000043E-2</v>
      </c>
      <c r="AB41" s="27">
        <v>6.8000000000000005E-2</v>
      </c>
      <c r="AC41" s="27">
        <v>0.09</v>
      </c>
      <c r="AD41" s="11">
        <v>8.0996318518620228E-2</v>
      </c>
    </row>
    <row r="42" spans="1:30" x14ac:dyDescent="0.25">
      <c r="A42" s="13">
        <v>43508</v>
      </c>
      <c r="B42" s="46" t="s">
        <v>636</v>
      </c>
      <c r="C42" s="13">
        <v>43509</v>
      </c>
      <c r="D42" s="15" t="s">
        <v>347</v>
      </c>
      <c r="E42" s="15">
        <v>714</v>
      </c>
      <c r="F42" s="15">
        <v>720</v>
      </c>
      <c r="G42" s="13">
        <v>44223</v>
      </c>
      <c r="H42" s="17">
        <v>800</v>
      </c>
      <c r="I42" s="19">
        <v>4555.2</v>
      </c>
      <c r="J42" s="20">
        <v>5.694</v>
      </c>
      <c r="K42" s="19">
        <v>1600</v>
      </c>
      <c r="L42" s="20">
        <v>2</v>
      </c>
      <c r="M42" s="21">
        <v>0.66666666666666663</v>
      </c>
      <c r="N42" s="19">
        <v>0</v>
      </c>
      <c r="O42" s="23">
        <v>160</v>
      </c>
      <c r="P42" s="24">
        <v>370</v>
      </c>
      <c r="Q42" s="25">
        <v>2.3125</v>
      </c>
      <c r="R42" s="24">
        <v>160</v>
      </c>
      <c r="S42" s="25">
        <v>1</v>
      </c>
      <c r="T42" s="26">
        <v>0.4324325</v>
      </c>
      <c r="U42" s="24">
        <v>0</v>
      </c>
      <c r="V42" s="19">
        <v>960</v>
      </c>
      <c r="W42" s="19">
        <v>4925.2</v>
      </c>
      <c r="X42" s="21">
        <v>5.1304166666666662</v>
      </c>
      <c r="Y42" s="19">
        <v>1760</v>
      </c>
      <c r="Z42" s="20">
        <v>1.8333333333333333</v>
      </c>
      <c r="AA42" s="30">
        <v>0.10219999999999996</v>
      </c>
      <c r="AB42" s="27">
        <v>0.1</v>
      </c>
      <c r="AC42" s="27">
        <v>0.105</v>
      </c>
      <c r="AD42" s="11">
        <v>0.10245082543027748</v>
      </c>
    </row>
    <row r="43" spans="1:30" x14ac:dyDescent="0.25">
      <c r="A43" s="13">
        <v>43509</v>
      </c>
      <c r="B43" s="46" t="s">
        <v>636</v>
      </c>
      <c r="C43" s="13">
        <v>43509</v>
      </c>
      <c r="D43" s="15" t="s">
        <v>413</v>
      </c>
      <c r="E43" s="15">
        <v>98</v>
      </c>
      <c r="F43" s="15">
        <v>90</v>
      </c>
      <c r="G43" s="13">
        <v>43607</v>
      </c>
      <c r="H43" s="17">
        <v>800</v>
      </c>
      <c r="I43" s="19">
        <v>3624.79</v>
      </c>
      <c r="J43" s="20">
        <v>4.5309875000000002</v>
      </c>
      <c r="K43" s="19">
        <v>1600.0000000000002</v>
      </c>
      <c r="L43" s="20">
        <v>2.0000000000000004</v>
      </c>
      <c r="M43" s="21">
        <v>0.31876666666666664</v>
      </c>
      <c r="N43" s="19">
        <v>0</v>
      </c>
      <c r="O43" s="23">
        <v>160</v>
      </c>
      <c r="P43" s="24">
        <v>263.79000000000002</v>
      </c>
      <c r="Q43" s="25">
        <v>1.6486875000000001</v>
      </c>
      <c r="R43" s="24">
        <v>160</v>
      </c>
      <c r="S43" s="25">
        <v>1</v>
      </c>
      <c r="T43" s="26">
        <v>0.6065435356200527</v>
      </c>
      <c r="U43" s="24">
        <v>0</v>
      </c>
      <c r="V43" s="19">
        <v>960</v>
      </c>
      <c r="W43" s="19">
        <v>3888.58</v>
      </c>
      <c r="X43" s="21">
        <v>4.050604166666667</v>
      </c>
      <c r="Y43" s="19">
        <v>1760.0000000000002</v>
      </c>
      <c r="Z43" s="20">
        <v>1.8333333333333335</v>
      </c>
      <c r="AA43" s="30">
        <v>9.1000000000000122E-2</v>
      </c>
      <c r="AB43" s="27">
        <v>7.0000000000000007E-2</v>
      </c>
      <c r="AC43" s="27">
        <v>9.5199999999999993E-2</v>
      </c>
      <c r="AD43" s="11">
        <v>9.0158267099611278E-2</v>
      </c>
    </row>
    <row r="44" spans="1:30" x14ac:dyDescent="0.25">
      <c r="A44" s="13">
        <v>43510</v>
      </c>
      <c r="B44" s="46" t="s">
        <v>636</v>
      </c>
      <c r="C44" s="13">
        <v>43511</v>
      </c>
      <c r="D44" s="15" t="s">
        <v>414</v>
      </c>
      <c r="E44" s="15">
        <v>357</v>
      </c>
      <c r="F44" s="15">
        <v>360</v>
      </c>
      <c r="G44" s="13">
        <v>43868</v>
      </c>
      <c r="H44" s="17">
        <v>2000</v>
      </c>
      <c r="I44" s="19">
        <v>6728.72</v>
      </c>
      <c r="J44" s="20">
        <v>3.36436</v>
      </c>
      <c r="K44" s="19">
        <v>3999.9999999999995</v>
      </c>
      <c r="L44" s="20">
        <v>1.9999999999999998</v>
      </c>
      <c r="M44" s="21">
        <v>0.55159999999999998</v>
      </c>
      <c r="N44" s="19">
        <v>0</v>
      </c>
      <c r="O44" s="23">
        <v>400</v>
      </c>
      <c r="P44" s="24">
        <v>1150</v>
      </c>
      <c r="Q44" s="25">
        <v>2.875</v>
      </c>
      <c r="R44" s="24">
        <v>400</v>
      </c>
      <c r="S44" s="25">
        <v>1</v>
      </c>
      <c r="T44" s="26">
        <v>0.34782625</v>
      </c>
      <c r="U44" s="24">
        <v>0</v>
      </c>
      <c r="V44" s="19">
        <v>2400</v>
      </c>
      <c r="W44" s="19">
        <v>7878.72</v>
      </c>
      <c r="X44" s="21">
        <v>3.2827999999999999</v>
      </c>
      <c r="Y44" s="19">
        <v>4400</v>
      </c>
      <c r="Z44" s="20">
        <v>1.8333333333333333</v>
      </c>
      <c r="AA44" s="30">
        <v>0.10090000000000013</v>
      </c>
      <c r="AB44" s="27">
        <v>9.5000000000000001E-2</v>
      </c>
      <c r="AC44" s="27">
        <v>0.1032</v>
      </c>
      <c r="AD44" s="11">
        <v>0.10064376211225907</v>
      </c>
    </row>
    <row r="45" spans="1:30" x14ac:dyDescent="0.25">
      <c r="A45" s="13">
        <v>43511</v>
      </c>
      <c r="B45" s="46" t="s">
        <v>636</v>
      </c>
      <c r="C45" s="13">
        <v>43511</v>
      </c>
      <c r="D45" s="15" t="s">
        <v>415</v>
      </c>
      <c r="E45" s="15">
        <v>182</v>
      </c>
      <c r="F45" s="15">
        <v>180</v>
      </c>
      <c r="G45" s="13">
        <v>43693</v>
      </c>
      <c r="H45" s="17">
        <v>1000</v>
      </c>
      <c r="I45" s="19">
        <v>4795.4400000000005</v>
      </c>
      <c r="J45" s="20">
        <v>4.795440000000001</v>
      </c>
      <c r="K45" s="19">
        <v>2000</v>
      </c>
      <c r="L45" s="20">
        <v>2</v>
      </c>
      <c r="M45" s="21">
        <v>0.57299999999999995</v>
      </c>
      <c r="N45" s="19">
        <v>0</v>
      </c>
      <c r="O45" s="23">
        <v>200</v>
      </c>
      <c r="P45" s="24">
        <v>404.36</v>
      </c>
      <c r="Q45" s="25">
        <v>2.0217999999999998</v>
      </c>
      <c r="R45" s="24">
        <v>200</v>
      </c>
      <c r="S45" s="25">
        <v>1</v>
      </c>
      <c r="T45" s="26">
        <v>0.49472222222222229</v>
      </c>
      <c r="U45" s="24">
        <v>0</v>
      </c>
      <c r="V45" s="19">
        <v>1200</v>
      </c>
      <c r="W45" s="19">
        <v>5199.8</v>
      </c>
      <c r="X45" s="21">
        <v>4.3331666666666671</v>
      </c>
      <c r="Y45" s="19">
        <v>2200</v>
      </c>
      <c r="Z45" s="20">
        <v>1.8333333333333333</v>
      </c>
      <c r="AA45" s="30">
        <v>9.4999999999999946E-2</v>
      </c>
      <c r="AB45" s="27">
        <v>8.5000000000000006E-2</v>
      </c>
      <c r="AC45" s="27">
        <v>0.10009999999999999</v>
      </c>
      <c r="AD45" s="11">
        <v>9.5516597851292004E-2</v>
      </c>
    </row>
    <row r="46" spans="1:30" x14ac:dyDescent="0.25">
      <c r="A46" s="13">
        <v>43514</v>
      </c>
      <c r="B46" s="46" t="s">
        <v>636</v>
      </c>
      <c r="C46" s="13">
        <v>43514</v>
      </c>
      <c r="D46" s="15" t="s">
        <v>416</v>
      </c>
      <c r="E46" s="15">
        <v>28</v>
      </c>
      <c r="F46" s="15">
        <v>30</v>
      </c>
      <c r="G46" s="13">
        <v>43542</v>
      </c>
      <c r="H46" s="17">
        <v>1200</v>
      </c>
      <c r="I46" s="19">
        <v>3067.6100000000006</v>
      </c>
      <c r="J46" s="20">
        <v>2.5563416666666665</v>
      </c>
      <c r="K46" s="19">
        <v>2400</v>
      </c>
      <c r="L46" s="20">
        <v>2</v>
      </c>
      <c r="M46" s="21">
        <v>0.73272999999999999</v>
      </c>
      <c r="N46" s="19">
        <v>0</v>
      </c>
      <c r="O46" s="23">
        <v>240</v>
      </c>
      <c r="P46" s="24">
        <v>280</v>
      </c>
      <c r="Q46" s="25">
        <v>1.1666666666666667</v>
      </c>
      <c r="R46" s="24">
        <v>240</v>
      </c>
      <c r="S46" s="25">
        <v>1</v>
      </c>
      <c r="T46" s="26">
        <v>0.85714291666666675</v>
      </c>
      <c r="U46" s="24">
        <v>0</v>
      </c>
      <c r="V46" s="19">
        <v>1440</v>
      </c>
      <c r="W46" s="19">
        <v>3347.6100000000006</v>
      </c>
      <c r="X46" s="21">
        <v>2.3247291666666672</v>
      </c>
      <c r="Y46" s="19">
        <v>2640</v>
      </c>
      <c r="Z46" s="20">
        <v>1.8333333333333333</v>
      </c>
      <c r="AA46" s="30">
        <v>7.9899999999999957E-2</v>
      </c>
      <c r="AB46" s="27">
        <v>6.7500000000000004E-2</v>
      </c>
      <c r="AC46" s="27">
        <v>8.5000000000000006E-2</v>
      </c>
      <c r="AD46" s="11">
        <v>7.7201860731970467E-2</v>
      </c>
    </row>
    <row r="47" spans="1:30" x14ac:dyDescent="0.25">
      <c r="A47" s="13">
        <v>43515</v>
      </c>
      <c r="B47" s="46" t="s">
        <v>636</v>
      </c>
      <c r="C47" s="13">
        <v>43516</v>
      </c>
      <c r="D47" s="15" t="s">
        <v>348</v>
      </c>
      <c r="E47" s="15">
        <v>749</v>
      </c>
      <c r="F47" s="15">
        <v>720</v>
      </c>
      <c r="G47" s="13">
        <v>44265</v>
      </c>
      <c r="H47" s="17">
        <v>1500</v>
      </c>
      <c r="I47" s="19">
        <v>3594.7999999999997</v>
      </c>
      <c r="J47" s="20">
        <v>2.3965333333333332</v>
      </c>
      <c r="K47" s="19">
        <v>1584.8</v>
      </c>
      <c r="L47" s="20">
        <v>1.0565333333333333</v>
      </c>
      <c r="M47" s="21">
        <v>0</v>
      </c>
      <c r="N47" s="19">
        <v>0</v>
      </c>
      <c r="O47" s="23">
        <v>300</v>
      </c>
      <c r="P47" s="24">
        <v>150</v>
      </c>
      <c r="Q47" s="25">
        <v>0.5</v>
      </c>
      <c r="R47" s="24">
        <v>150</v>
      </c>
      <c r="S47" s="25">
        <v>0.5</v>
      </c>
      <c r="T47" s="26">
        <v>0</v>
      </c>
      <c r="U47" s="24">
        <v>0</v>
      </c>
      <c r="V47" s="19">
        <v>1800</v>
      </c>
      <c r="W47" s="19">
        <v>3744.7999999999997</v>
      </c>
      <c r="X47" s="21">
        <v>2.0804444444444443</v>
      </c>
      <c r="Y47" s="19">
        <v>1734.8</v>
      </c>
      <c r="Z47" s="20">
        <v>0.96377777777777773</v>
      </c>
      <c r="AA47" s="30">
        <v>0.10119999999999997</v>
      </c>
      <c r="AB47" s="27">
        <v>9.5000000000000001E-2</v>
      </c>
      <c r="AC47" s="27">
        <v>0.10339999999999999</v>
      </c>
      <c r="AD47" s="11">
        <v>0.10150877934794705</v>
      </c>
    </row>
    <row r="48" spans="1:30" x14ac:dyDescent="0.25">
      <c r="A48" s="13">
        <v>43516</v>
      </c>
      <c r="B48" s="46" t="s">
        <v>636</v>
      </c>
      <c r="C48" s="13">
        <v>43516</v>
      </c>
      <c r="D48" s="15" t="s">
        <v>417</v>
      </c>
      <c r="E48" s="15">
        <v>91</v>
      </c>
      <c r="F48" s="15">
        <v>90</v>
      </c>
      <c r="G48" s="13">
        <v>43607</v>
      </c>
      <c r="H48" s="17">
        <v>1200</v>
      </c>
      <c r="I48" s="19">
        <v>2891.64</v>
      </c>
      <c r="J48" s="20">
        <v>2.4097</v>
      </c>
      <c r="K48" s="19">
        <v>2341.4300000000003</v>
      </c>
      <c r="L48" s="20">
        <v>1.9511916666666669</v>
      </c>
      <c r="M48" s="21">
        <v>0</v>
      </c>
      <c r="N48" s="19">
        <v>0</v>
      </c>
      <c r="O48" s="23">
        <v>240</v>
      </c>
      <c r="P48" s="24">
        <v>260</v>
      </c>
      <c r="Q48" s="25">
        <v>1.0833333333333333</v>
      </c>
      <c r="R48" s="24">
        <v>240</v>
      </c>
      <c r="S48" s="25">
        <v>1</v>
      </c>
      <c r="T48" s="26">
        <v>0.92307708333333338</v>
      </c>
      <c r="U48" s="24">
        <v>0</v>
      </c>
      <c r="V48" s="19">
        <v>1440</v>
      </c>
      <c r="W48" s="19">
        <v>3151.64</v>
      </c>
      <c r="X48" s="21">
        <v>2.1886388888888888</v>
      </c>
      <c r="Y48" s="19">
        <v>2581.4300000000003</v>
      </c>
      <c r="Z48" s="20">
        <v>1.7926597222222225</v>
      </c>
      <c r="AA48" s="30">
        <v>8.9999999999999927E-2</v>
      </c>
      <c r="AB48" s="27">
        <v>6.5000000000000002E-2</v>
      </c>
      <c r="AC48" s="27">
        <v>9.5700000000000007E-2</v>
      </c>
      <c r="AD48" s="11">
        <v>8.7923722870066806E-2</v>
      </c>
    </row>
    <row r="49" spans="1:30" x14ac:dyDescent="0.25">
      <c r="A49" s="13">
        <v>43517</v>
      </c>
      <c r="B49" s="46" t="s">
        <v>636</v>
      </c>
      <c r="C49" s="13">
        <v>43518</v>
      </c>
      <c r="D49" s="15" t="s">
        <v>418</v>
      </c>
      <c r="E49" s="15">
        <v>371</v>
      </c>
      <c r="F49" s="15">
        <v>360</v>
      </c>
      <c r="G49" s="13">
        <v>43889</v>
      </c>
      <c r="H49" s="17">
        <v>2400</v>
      </c>
      <c r="I49" s="19">
        <v>6334.08</v>
      </c>
      <c r="J49" s="20">
        <v>2.6391999999999998</v>
      </c>
      <c r="K49" s="19">
        <v>4800</v>
      </c>
      <c r="L49" s="20">
        <v>2</v>
      </c>
      <c r="M49" s="21">
        <v>0.54514000000000007</v>
      </c>
      <c r="N49" s="19">
        <v>0</v>
      </c>
      <c r="O49" s="23">
        <v>480</v>
      </c>
      <c r="P49" s="24">
        <v>1100.0999999999999</v>
      </c>
      <c r="Q49" s="25">
        <v>2.2918750000000001</v>
      </c>
      <c r="R49" s="24">
        <v>480</v>
      </c>
      <c r="S49" s="25">
        <v>1</v>
      </c>
      <c r="T49" s="26">
        <v>0.43632499999999996</v>
      </c>
      <c r="U49" s="24">
        <v>0</v>
      </c>
      <c r="V49" s="19">
        <v>2880</v>
      </c>
      <c r="W49" s="19">
        <v>7434.18</v>
      </c>
      <c r="X49" s="21">
        <v>2.5813125000000001</v>
      </c>
      <c r="Y49" s="19">
        <v>5280</v>
      </c>
      <c r="Z49" s="20">
        <v>1.8333333333333333</v>
      </c>
      <c r="AA49" s="30">
        <v>0.10069999999999987</v>
      </c>
      <c r="AB49" s="27">
        <v>0.08</v>
      </c>
      <c r="AC49" s="27">
        <v>0.10279999999999999</v>
      </c>
      <c r="AD49" s="11">
        <v>9.9854580775740109E-2</v>
      </c>
    </row>
    <row r="50" spans="1:30" x14ac:dyDescent="0.25">
      <c r="A50" s="13">
        <v>43518</v>
      </c>
      <c r="B50" s="46" t="s">
        <v>636</v>
      </c>
      <c r="C50" s="13">
        <v>43518</v>
      </c>
      <c r="D50" s="15" t="s">
        <v>419</v>
      </c>
      <c r="E50" s="15">
        <v>175</v>
      </c>
      <c r="F50" s="15">
        <v>180</v>
      </c>
      <c r="G50" s="13">
        <v>43693</v>
      </c>
      <c r="H50" s="17">
        <v>2000</v>
      </c>
      <c r="I50" s="19">
        <v>2953.2699999999995</v>
      </c>
      <c r="J50" s="20">
        <v>1.4766349999999999</v>
      </c>
      <c r="K50" s="19">
        <v>2728.2699999999995</v>
      </c>
      <c r="L50" s="20">
        <v>1.3641349999999997</v>
      </c>
      <c r="M50" s="21">
        <v>0</v>
      </c>
      <c r="N50" s="19">
        <v>0</v>
      </c>
      <c r="O50" s="23">
        <v>400</v>
      </c>
      <c r="P50" s="24">
        <v>2.5499999999999998</v>
      </c>
      <c r="Q50" s="25">
        <v>6.3750000000000005E-3</v>
      </c>
      <c r="R50" s="24">
        <v>2.5499999999999998</v>
      </c>
      <c r="S50" s="25">
        <v>6.3749999999999996E-3</v>
      </c>
      <c r="T50" s="26">
        <v>0</v>
      </c>
      <c r="U50" s="24">
        <v>0</v>
      </c>
      <c r="V50" s="19">
        <v>2400</v>
      </c>
      <c r="W50" s="19">
        <v>2955.8199999999997</v>
      </c>
      <c r="X50" s="21">
        <v>1.2315916666666666</v>
      </c>
      <c r="Y50" s="19">
        <v>2730.8199999999997</v>
      </c>
      <c r="Z50" s="20">
        <v>1.1378416666666666</v>
      </c>
      <c r="AA50" s="30">
        <v>9.8399999999999904E-2</v>
      </c>
      <c r="AB50" s="27">
        <v>7.9899999999999999E-2</v>
      </c>
      <c r="AC50" s="27">
        <v>9.98E-2</v>
      </c>
      <c r="AD50" s="11">
        <v>9.5260067992428754E-2</v>
      </c>
    </row>
    <row r="51" spans="1:30" x14ac:dyDescent="0.25">
      <c r="A51" s="13">
        <v>43521</v>
      </c>
      <c r="B51" s="46" t="s">
        <v>636</v>
      </c>
      <c r="C51" s="13">
        <v>43521</v>
      </c>
      <c r="D51" s="15" t="s">
        <v>420</v>
      </c>
      <c r="E51" s="15">
        <v>28</v>
      </c>
      <c r="F51" s="15">
        <v>30</v>
      </c>
      <c r="G51" s="13">
        <v>43549</v>
      </c>
      <c r="H51" s="17">
        <v>1000</v>
      </c>
      <c r="I51" s="19">
        <v>1864.4499999999998</v>
      </c>
      <c r="J51" s="20">
        <v>1.8644499999999999</v>
      </c>
      <c r="K51" s="19">
        <v>1549.1999999999998</v>
      </c>
      <c r="L51" s="20">
        <v>1.5491999999999999</v>
      </c>
      <c r="M51" s="21">
        <v>0</v>
      </c>
      <c r="N51" s="19">
        <v>0</v>
      </c>
      <c r="O51" s="23">
        <v>200</v>
      </c>
      <c r="P51" s="24">
        <v>140</v>
      </c>
      <c r="Q51" s="25">
        <v>0.7</v>
      </c>
      <c r="R51" s="24">
        <v>140</v>
      </c>
      <c r="S51" s="25">
        <v>0.7</v>
      </c>
      <c r="T51" s="26">
        <v>0</v>
      </c>
      <c r="U51" s="24">
        <v>0</v>
      </c>
      <c r="V51" s="19">
        <v>1200</v>
      </c>
      <c r="W51" s="19">
        <v>2004.4499999999998</v>
      </c>
      <c r="X51" s="21">
        <v>1.6703749999999999</v>
      </c>
      <c r="Y51" s="19">
        <v>1689.1999999999998</v>
      </c>
      <c r="Z51" s="20">
        <v>1.4076666666666666</v>
      </c>
      <c r="AA51" s="30">
        <v>7.9899999999999957E-2</v>
      </c>
      <c r="AB51" s="27">
        <v>7.0000000000000007E-2</v>
      </c>
      <c r="AC51" s="27">
        <v>8.5800000000000001E-2</v>
      </c>
      <c r="AD51" s="11">
        <v>7.7878178551315402E-2</v>
      </c>
    </row>
    <row r="52" spans="1:30" x14ac:dyDescent="0.25">
      <c r="A52" s="13">
        <v>43522</v>
      </c>
      <c r="B52" s="46" t="s">
        <v>636</v>
      </c>
      <c r="C52" s="13">
        <v>43523</v>
      </c>
      <c r="D52" s="15" t="s">
        <v>349</v>
      </c>
      <c r="E52" s="15">
        <v>742</v>
      </c>
      <c r="F52" s="15">
        <v>720</v>
      </c>
      <c r="G52" s="13">
        <v>44265</v>
      </c>
      <c r="H52" s="17">
        <v>1500</v>
      </c>
      <c r="I52" s="19">
        <v>2580</v>
      </c>
      <c r="J52" s="20">
        <v>1.7200000000000002</v>
      </c>
      <c r="K52" s="19">
        <v>1630</v>
      </c>
      <c r="L52" s="20">
        <v>1.0866666666666667</v>
      </c>
      <c r="M52" s="21">
        <v>0</v>
      </c>
      <c r="N52" s="19">
        <v>0</v>
      </c>
      <c r="O52" s="23">
        <v>300</v>
      </c>
      <c r="P52" s="24">
        <v>300</v>
      </c>
      <c r="Q52" s="25">
        <v>1</v>
      </c>
      <c r="R52" s="24">
        <v>300</v>
      </c>
      <c r="S52" s="25">
        <v>1</v>
      </c>
      <c r="T52" s="26">
        <v>0</v>
      </c>
      <c r="U52" s="24">
        <v>0</v>
      </c>
      <c r="V52" s="19">
        <v>1800</v>
      </c>
      <c r="W52" s="19">
        <v>2880</v>
      </c>
      <c r="X52" s="21">
        <v>1.6</v>
      </c>
      <c r="Y52" s="19">
        <v>1930</v>
      </c>
      <c r="Z52" s="20">
        <v>1.0722222222222222</v>
      </c>
      <c r="AA52" s="30">
        <v>0.10119999999999997</v>
      </c>
      <c r="AB52" s="27">
        <v>0.1</v>
      </c>
      <c r="AC52" s="27">
        <v>0.1033</v>
      </c>
      <c r="AD52" s="11">
        <v>0.10125077519379846</v>
      </c>
    </row>
    <row r="53" spans="1:30" x14ac:dyDescent="0.25">
      <c r="A53" s="13">
        <v>43523</v>
      </c>
      <c r="B53" s="46" t="s">
        <v>636</v>
      </c>
      <c r="C53" s="13">
        <v>43523</v>
      </c>
      <c r="D53" s="15" t="s">
        <v>421</v>
      </c>
      <c r="E53" s="15">
        <v>84</v>
      </c>
      <c r="F53" s="15">
        <v>90</v>
      </c>
      <c r="G53" s="13">
        <v>43607</v>
      </c>
      <c r="H53" s="17">
        <v>800</v>
      </c>
      <c r="I53" s="19">
        <v>1829.26</v>
      </c>
      <c r="J53" s="20">
        <v>2.2865750000000005</v>
      </c>
      <c r="K53" s="19">
        <v>1329.26</v>
      </c>
      <c r="L53" s="20">
        <v>1.661575</v>
      </c>
      <c r="M53" s="21">
        <v>0</v>
      </c>
      <c r="N53" s="19">
        <v>0</v>
      </c>
      <c r="O53" s="23">
        <v>160</v>
      </c>
      <c r="P53" s="24">
        <v>0.11</v>
      </c>
      <c r="Q53" s="25">
        <v>6.8749999999999996E-4</v>
      </c>
      <c r="R53" s="24">
        <v>0.11</v>
      </c>
      <c r="S53" s="25">
        <v>6.8749999999999996E-4</v>
      </c>
      <c r="T53" s="26">
        <v>0</v>
      </c>
      <c r="U53" s="24">
        <v>0</v>
      </c>
      <c r="V53" s="19">
        <v>960</v>
      </c>
      <c r="W53" s="19">
        <v>1829.37</v>
      </c>
      <c r="X53" s="21">
        <v>1.90559375</v>
      </c>
      <c r="Y53" s="19">
        <v>1329.37</v>
      </c>
      <c r="Z53" s="20">
        <v>1.3847604166666665</v>
      </c>
      <c r="AA53" s="30">
        <v>8.8999999999999982E-2</v>
      </c>
      <c r="AB53" s="27">
        <v>7.9000000000000001E-2</v>
      </c>
      <c r="AC53" s="27">
        <v>9.7500000000000003E-2</v>
      </c>
      <c r="AD53" s="11">
        <v>8.7815056361588831E-2</v>
      </c>
    </row>
    <row r="54" spans="1:30" x14ac:dyDescent="0.25">
      <c r="A54" s="13">
        <v>43524</v>
      </c>
      <c r="B54" s="46" t="s">
        <v>636</v>
      </c>
      <c r="C54" s="13">
        <v>43525</v>
      </c>
      <c r="D54" s="15" t="s">
        <v>422</v>
      </c>
      <c r="E54" s="15">
        <v>364</v>
      </c>
      <c r="F54" s="15">
        <v>360</v>
      </c>
      <c r="G54" s="13">
        <v>43889</v>
      </c>
      <c r="H54" s="17">
        <v>2000</v>
      </c>
      <c r="I54" s="19">
        <v>3081.8199999999997</v>
      </c>
      <c r="J54" s="20">
        <v>1.54091</v>
      </c>
      <c r="K54" s="19">
        <v>2068.0700000000002</v>
      </c>
      <c r="L54" s="20">
        <v>1.034035</v>
      </c>
      <c r="M54" s="21">
        <v>0</v>
      </c>
      <c r="N54" s="19">
        <v>0</v>
      </c>
      <c r="O54" s="23">
        <v>400</v>
      </c>
      <c r="P54" s="24">
        <v>300</v>
      </c>
      <c r="Q54" s="25">
        <v>0.75</v>
      </c>
      <c r="R54" s="24">
        <v>300</v>
      </c>
      <c r="S54" s="25">
        <v>0.75</v>
      </c>
      <c r="T54" s="26">
        <v>0</v>
      </c>
      <c r="U54" s="24">
        <v>0</v>
      </c>
      <c r="V54" s="19">
        <v>2400</v>
      </c>
      <c r="W54" s="19">
        <v>3381.8199999999997</v>
      </c>
      <c r="X54" s="21">
        <v>1.4090916666666666</v>
      </c>
      <c r="Y54" s="19">
        <v>2368.0700000000002</v>
      </c>
      <c r="Z54" s="20">
        <v>0.98669583333333344</v>
      </c>
      <c r="AA54" s="30">
        <v>0.10119999999999997</v>
      </c>
      <c r="AB54" s="27">
        <v>0.09</v>
      </c>
      <c r="AC54" s="27">
        <v>0.1024</v>
      </c>
      <c r="AD54" s="11">
        <v>0.10080157212296634</v>
      </c>
    </row>
    <row r="55" spans="1:30" x14ac:dyDescent="0.25">
      <c r="A55" s="13">
        <v>43525</v>
      </c>
      <c r="B55" s="46" t="s">
        <v>636</v>
      </c>
      <c r="C55" s="13">
        <v>43525</v>
      </c>
      <c r="D55" s="15" t="s">
        <v>423</v>
      </c>
      <c r="E55" s="15">
        <v>175</v>
      </c>
      <c r="F55" s="15">
        <v>180</v>
      </c>
      <c r="G55" s="13">
        <v>43700</v>
      </c>
      <c r="H55" s="17">
        <v>1000</v>
      </c>
      <c r="I55" s="19">
        <v>1312.5800000000002</v>
      </c>
      <c r="J55" s="20">
        <v>1.3125800000000001</v>
      </c>
      <c r="K55" s="19">
        <v>712.58</v>
      </c>
      <c r="L55" s="20">
        <v>0.71257999999999999</v>
      </c>
      <c r="M55" s="21">
        <v>0</v>
      </c>
      <c r="N55" s="19">
        <v>0</v>
      </c>
      <c r="O55" s="23">
        <v>200</v>
      </c>
      <c r="P55" s="24">
        <v>11.4</v>
      </c>
      <c r="Q55" s="25">
        <v>5.7000000000000002E-2</v>
      </c>
      <c r="R55" s="24">
        <v>11.4</v>
      </c>
      <c r="S55" s="25">
        <v>5.7000000000000002E-2</v>
      </c>
      <c r="T55" s="26">
        <v>0</v>
      </c>
      <c r="U55" s="24">
        <v>0</v>
      </c>
      <c r="V55" s="19">
        <v>1200</v>
      </c>
      <c r="W55" s="19">
        <v>1323.9800000000002</v>
      </c>
      <c r="X55" s="21">
        <v>1.1033166666666669</v>
      </c>
      <c r="Y55" s="19">
        <v>723.98</v>
      </c>
      <c r="Z55" s="20">
        <v>0.60331666666666672</v>
      </c>
      <c r="AA55" s="30">
        <v>9.8900000000000002E-2</v>
      </c>
      <c r="AB55" s="27">
        <v>0.08</v>
      </c>
      <c r="AC55" s="27">
        <v>0.1012</v>
      </c>
      <c r="AD55" s="11">
        <v>9.592998979109843E-2</v>
      </c>
    </row>
    <row r="56" spans="1:30" x14ac:dyDescent="0.25">
      <c r="A56" s="13">
        <v>43530</v>
      </c>
      <c r="B56" s="46" t="s">
        <v>636</v>
      </c>
      <c r="C56" s="13">
        <v>43530</v>
      </c>
      <c r="D56" s="15" t="s">
        <v>424</v>
      </c>
      <c r="E56" s="15">
        <v>35</v>
      </c>
      <c r="F56" s="15">
        <v>30</v>
      </c>
      <c r="G56" s="13">
        <v>43565</v>
      </c>
      <c r="H56" s="17">
        <v>1000</v>
      </c>
      <c r="I56" s="19">
        <v>574.52000000000021</v>
      </c>
      <c r="J56" s="20">
        <v>0.5745199999999997</v>
      </c>
      <c r="K56" s="19">
        <v>334.52</v>
      </c>
      <c r="L56" s="20">
        <v>0.33451999999999998</v>
      </c>
      <c r="M56" s="21">
        <v>0</v>
      </c>
      <c r="N56" s="19">
        <v>0</v>
      </c>
      <c r="O56" s="23">
        <v>200</v>
      </c>
      <c r="P56" s="24">
        <v>0</v>
      </c>
      <c r="Q56" s="25">
        <v>0</v>
      </c>
      <c r="R56" s="24">
        <v>0</v>
      </c>
      <c r="S56" s="25">
        <v>0</v>
      </c>
      <c r="T56" s="26">
        <v>0</v>
      </c>
      <c r="U56" s="24">
        <v>0</v>
      </c>
      <c r="V56" s="19">
        <v>1200</v>
      </c>
      <c r="W56" s="19">
        <v>574.52000000000021</v>
      </c>
      <c r="X56" s="21">
        <v>0.47876666666666684</v>
      </c>
      <c r="Y56" s="19">
        <v>334.52</v>
      </c>
      <c r="Z56" s="20">
        <v>0.27876666666666666</v>
      </c>
      <c r="AA56" s="30">
        <v>7.9000000000000029E-2</v>
      </c>
      <c r="AB56" s="27">
        <v>6.5000000000000002E-2</v>
      </c>
      <c r="AC56" s="27">
        <v>0.09</v>
      </c>
      <c r="AD56" s="11">
        <v>7.9188867228294851E-2</v>
      </c>
    </row>
    <row r="57" spans="1:30" x14ac:dyDescent="0.25">
      <c r="A57" s="13">
        <v>43530</v>
      </c>
      <c r="B57" s="46" t="s">
        <v>638</v>
      </c>
      <c r="C57" s="13">
        <v>43531</v>
      </c>
      <c r="D57" s="15" t="s">
        <v>350</v>
      </c>
      <c r="E57" s="15">
        <v>734</v>
      </c>
      <c r="F57" s="15">
        <v>720</v>
      </c>
      <c r="G57" s="13">
        <v>44265</v>
      </c>
      <c r="H57" s="17">
        <v>1200</v>
      </c>
      <c r="I57" s="19">
        <v>1320.24</v>
      </c>
      <c r="J57" s="20">
        <v>1.1002000000000001</v>
      </c>
      <c r="K57" s="19">
        <v>1220.24</v>
      </c>
      <c r="L57" s="20">
        <v>1.0168666666666666</v>
      </c>
      <c r="M57" s="21">
        <v>0</v>
      </c>
      <c r="N57" s="19">
        <v>0</v>
      </c>
      <c r="O57" s="23">
        <v>240</v>
      </c>
      <c r="P57" s="24">
        <v>240</v>
      </c>
      <c r="Q57" s="25">
        <v>1</v>
      </c>
      <c r="R57" s="24">
        <v>240</v>
      </c>
      <c r="S57" s="25">
        <v>1</v>
      </c>
      <c r="T57" s="26">
        <v>0</v>
      </c>
      <c r="U57" s="24">
        <v>0</v>
      </c>
      <c r="V57" s="19">
        <v>1440</v>
      </c>
      <c r="W57" s="19">
        <v>1560.24</v>
      </c>
      <c r="X57" s="21">
        <v>1.0834999999999999</v>
      </c>
      <c r="Y57" s="19">
        <v>1460.24</v>
      </c>
      <c r="Z57" s="20">
        <v>1.0140555555555555</v>
      </c>
      <c r="AA57" s="30">
        <v>0.10299999999999999</v>
      </c>
      <c r="AB57" s="27">
        <v>7.0000000000000007E-2</v>
      </c>
      <c r="AC57" s="27">
        <v>0.10400000000000001</v>
      </c>
      <c r="AD57" s="11">
        <v>0.10177452584378599</v>
      </c>
    </row>
    <row r="58" spans="1:30" x14ac:dyDescent="0.25">
      <c r="A58" s="13">
        <v>43531</v>
      </c>
      <c r="B58" s="46" t="s">
        <v>636</v>
      </c>
      <c r="C58" s="13">
        <v>43531</v>
      </c>
      <c r="D58" s="15" t="s">
        <v>425</v>
      </c>
      <c r="E58" s="15">
        <v>90</v>
      </c>
      <c r="F58" s="15">
        <v>90</v>
      </c>
      <c r="G58" s="13">
        <v>43621</v>
      </c>
      <c r="H58" s="17">
        <v>800</v>
      </c>
      <c r="I58" s="19">
        <v>1694.67</v>
      </c>
      <c r="J58" s="20">
        <v>2.1183375</v>
      </c>
      <c r="K58" s="19">
        <v>794.67</v>
      </c>
      <c r="L58" s="20">
        <v>0.99333749999999998</v>
      </c>
      <c r="M58" s="21">
        <v>0</v>
      </c>
      <c r="N58" s="19">
        <v>0</v>
      </c>
      <c r="O58" s="23">
        <v>160</v>
      </c>
      <c r="P58" s="24">
        <v>77.59</v>
      </c>
      <c r="Q58" s="25">
        <v>0.48493750000000002</v>
      </c>
      <c r="R58" s="24">
        <v>77.59</v>
      </c>
      <c r="S58" s="25">
        <v>0.48493750000000002</v>
      </c>
      <c r="T58" s="26">
        <v>0</v>
      </c>
      <c r="U58" s="24">
        <v>0</v>
      </c>
      <c r="V58" s="19">
        <v>960</v>
      </c>
      <c r="W58" s="19">
        <v>1772.26</v>
      </c>
      <c r="X58" s="21">
        <v>1.8461041666666667</v>
      </c>
      <c r="Y58" s="19">
        <v>872.26</v>
      </c>
      <c r="Z58" s="20">
        <v>0.90860416666666666</v>
      </c>
      <c r="AA58" s="30">
        <v>8.9999999999999941E-2</v>
      </c>
      <c r="AB58" s="27">
        <v>7.4999999999999997E-2</v>
      </c>
      <c r="AC58" s="27">
        <v>0.10249999999999999</v>
      </c>
      <c r="AD58" s="11">
        <v>9.0726965131854576E-2</v>
      </c>
    </row>
    <row r="59" spans="1:30" x14ac:dyDescent="0.25">
      <c r="A59" s="13">
        <v>43531</v>
      </c>
      <c r="B59" s="46" t="s">
        <v>638</v>
      </c>
      <c r="C59" s="13">
        <v>43532</v>
      </c>
      <c r="D59" s="15" t="s">
        <v>426</v>
      </c>
      <c r="E59" s="15">
        <v>357</v>
      </c>
      <c r="F59" s="15">
        <v>360</v>
      </c>
      <c r="G59" s="13">
        <v>43889</v>
      </c>
      <c r="H59" s="17">
        <v>2500</v>
      </c>
      <c r="I59" s="19">
        <v>5029.3900000000003</v>
      </c>
      <c r="J59" s="20">
        <v>2.0117560000000005</v>
      </c>
      <c r="K59" s="19">
        <v>3244.39</v>
      </c>
      <c r="L59" s="20">
        <v>1.2977559999999999</v>
      </c>
      <c r="M59" s="21">
        <v>0</v>
      </c>
      <c r="N59" s="19">
        <v>0</v>
      </c>
      <c r="O59" s="23">
        <v>500</v>
      </c>
      <c r="P59" s="24">
        <v>800.23</v>
      </c>
      <c r="Q59" s="25">
        <v>1.60046</v>
      </c>
      <c r="R59" s="24">
        <v>500</v>
      </c>
      <c r="S59" s="25">
        <v>1</v>
      </c>
      <c r="T59" s="26">
        <v>0.62482039999999994</v>
      </c>
      <c r="U59" s="24">
        <v>0</v>
      </c>
      <c r="V59" s="19">
        <v>3000</v>
      </c>
      <c r="W59" s="19">
        <v>5829.6200000000008</v>
      </c>
      <c r="X59" s="21">
        <v>1.943206666666667</v>
      </c>
      <c r="Y59" s="19">
        <v>3744.39</v>
      </c>
      <c r="Z59" s="20">
        <v>1.24813</v>
      </c>
      <c r="AA59" s="30">
        <v>0.10179999999999993</v>
      </c>
      <c r="AB59" s="27">
        <v>8.5000000000000006E-2</v>
      </c>
      <c r="AC59" s="27">
        <v>0.10970000000000001</v>
      </c>
      <c r="AD59" s="11">
        <v>0.10173055658837354</v>
      </c>
    </row>
    <row r="60" spans="1:30" x14ac:dyDescent="0.25">
      <c r="A60" s="13">
        <v>43532</v>
      </c>
      <c r="B60" s="46" t="s">
        <v>636</v>
      </c>
      <c r="C60" s="13">
        <v>43532</v>
      </c>
      <c r="D60" s="15" t="s">
        <v>427</v>
      </c>
      <c r="E60" s="15">
        <v>168</v>
      </c>
      <c r="F60" s="15">
        <v>180</v>
      </c>
      <c r="G60" s="13">
        <v>43700</v>
      </c>
      <c r="H60" s="17">
        <v>1000</v>
      </c>
      <c r="I60" s="19">
        <v>2163.98</v>
      </c>
      <c r="J60" s="20">
        <v>2.1639800000000005</v>
      </c>
      <c r="K60" s="19">
        <v>1698.98</v>
      </c>
      <c r="L60" s="20">
        <v>1.6989799999999999</v>
      </c>
      <c r="M60" s="21">
        <v>0</v>
      </c>
      <c r="N60" s="19">
        <v>0</v>
      </c>
      <c r="O60" s="23">
        <v>200</v>
      </c>
      <c r="P60" s="24">
        <v>130.80000000000001</v>
      </c>
      <c r="Q60" s="25">
        <v>0.65400000000000003</v>
      </c>
      <c r="R60" s="24">
        <v>130.80000000000001</v>
      </c>
      <c r="S60" s="25">
        <v>0.65400000000000003</v>
      </c>
      <c r="T60" s="26">
        <v>0</v>
      </c>
      <c r="U60" s="24">
        <v>0</v>
      </c>
      <c r="V60" s="19">
        <v>1200</v>
      </c>
      <c r="W60" s="19">
        <v>2294.7800000000002</v>
      </c>
      <c r="X60" s="21">
        <v>1.9123166666666669</v>
      </c>
      <c r="Y60" s="19">
        <v>1829.78</v>
      </c>
      <c r="Z60" s="20">
        <v>1.5248166666666667</v>
      </c>
      <c r="AA60" s="30">
        <v>9.9000000000000102E-2</v>
      </c>
      <c r="AB60" s="27">
        <v>0.08</v>
      </c>
      <c r="AC60" s="27">
        <v>0.1008</v>
      </c>
      <c r="AD60" s="11">
        <v>9.6953590606197848E-2</v>
      </c>
    </row>
    <row r="61" spans="1:30" x14ac:dyDescent="0.25">
      <c r="A61" s="13">
        <v>43535</v>
      </c>
      <c r="B61" s="46" t="s">
        <v>636</v>
      </c>
      <c r="C61" s="13">
        <v>43535</v>
      </c>
      <c r="D61" s="15" t="s">
        <v>428</v>
      </c>
      <c r="E61" s="15">
        <v>30</v>
      </c>
      <c r="F61" s="15">
        <v>30</v>
      </c>
      <c r="G61" s="13">
        <v>43565</v>
      </c>
      <c r="H61" s="17">
        <v>1500</v>
      </c>
      <c r="I61" s="19">
        <v>901.14</v>
      </c>
      <c r="J61" s="20">
        <v>0.60075999999999996</v>
      </c>
      <c r="K61" s="19">
        <v>550.64</v>
      </c>
      <c r="L61" s="20">
        <v>0.36709333333333333</v>
      </c>
      <c r="M61" s="21">
        <v>0</v>
      </c>
      <c r="N61" s="19">
        <v>0</v>
      </c>
      <c r="O61" s="23">
        <v>300</v>
      </c>
      <c r="P61" s="24">
        <v>0.52</v>
      </c>
      <c r="Q61" s="25">
        <v>1.7333333333333335E-3</v>
      </c>
      <c r="R61" s="24">
        <v>0.52</v>
      </c>
      <c r="S61" s="25">
        <v>1.7333333333333335E-3</v>
      </c>
      <c r="T61" s="26">
        <v>0</v>
      </c>
      <c r="U61" s="24">
        <v>0</v>
      </c>
      <c r="V61" s="19">
        <v>1800</v>
      </c>
      <c r="W61" s="19">
        <v>901.66</v>
      </c>
      <c r="X61" s="21">
        <v>0.50092222222222216</v>
      </c>
      <c r="Y61" s="19">
        <v>551.16</v>
      </c>
      <c r="Z61" s="20">
        <v>0.30619999999999997</v>
      </c>
      <c r="AA61" s="30">
        <v>7.8899999999999984E-2</v>
      </c>
      <c r="AB61" s="27">
        <v>7.4900000000000008E-2</v>
      </c>
      <c r="AC61" s="27">
        <v>8.7499999999999994E-2</v>
      </c>
      <c r="AD61" s="11">
        <v>7.9576832678607101E-2</v>
      </c>
    </row>
    <row r="62" spans="1:30" x14ac:dyDescent="0.25">
      <c r="A62" s="13">
        <v>43536</v>
      </c>
      <c r="B62" s="46" t="s">
        <v>636</v>
      </c>
      <c r="C62" s="13">
        <v>43537</v>
      </c>
      <c r="D62" s="15" t="s">
        <v>351</v>
      </c>
      <c r="E62" s="15">
        <v>728</v>
      </c>
      <c r="F62" s="15">
        <v>720</v>
      </c>
      <c r="G62" s="13">
        <v>44265</v>
      </c>
      <c r="H62" s="17">
        <v>1800</v>
      </c>
      <c r="I62" s="19">
        <v>2703</v>
      </c>
      <c r="J62" s="20">
        <v>1.5016666666666667</v>
      </c>
      <c r="K62" s="19">
        <v>2528</v>
      </c>
      <c r="L62" s="20">
        <v>1.4044444444444444</v>
      </c>
      <c r="M62" s="21">
        <v>0</v>
      </c>
      <c r="N62" s="19">
        <v>0</v>
      </c>
      <c r="O62" s="23">
        <v>360</v>
      </c>
      <c r="P62" s="24">
        <v>360</v>
      </c>
      <c r="Q62" s="25">
        <v>1</v>
      </c>
      <c r="R62" s="24">
        <v>360</v>
      </c>
      <c r="S62" s="25">
        <v>1</v>
      </c>
      <c r="T62" s="26">
        <v>0</v>
      </c>
      <c r="U62" s="24">
        <v>0</v>
      </c>
      <c r="V62" s="19">
        <v>2160</v>
      </c>
      <c r="W62" s="19">
        <v>3063</v>
      </c>
      <c r="X62" s="21">
        <v>1.4180555555555556</v>
      </c>
      <c r="Y62" s="19">
        <v>2888</v>
      </c>
      <c r="Z62" s="20">
        <v>1.337037037037037</v>
      </c>
      <c r="AA62" s="30">
        <v>0.10349999999999997</v>
      </c>
      <c r="AB62" s="27">
        <v>0.1014</v>
      </c>
      <c r="AC62" s="27">
        <v>0.1043</v>
      </c>
      <c r="AD62" s="11">
        <v>0.10279596744358122</v>
      </c>
    </row>
    <row r="63" spans="1:30" x14ac:dyDescent="0.25">
      <c r="A63" s="13">
        <v>43537</v>
      </c>
      <c r="B63" s="46" t="s">
        <v>636</v>
      </c>
      <c r="C63" s="13">
        <v>43537</v>
      </c>
      <c r="D63" s="15" t="s">
        <v>429</v>
      </c>
      <c r="E63" s="15">
        <v>84</v>
      </c>
      <c r="F63" s="15">
        <v>90</v>
      </c>
      <c r="G63" s="13">
        <v>43621</v>
      </c>
      <c r="H63" s="17">
        <v>1500</v>
      </c>
      <c r="I63" s="19">
        <v>2932.57</v>
      </c>
      <c r="J63" s="20">
        <v>1.9550466666666679</v>
      </c>
      <c r="K63" s="19">
        <v>1840.4599999999998</v>
      </c>
      <c r="L63" s="20">
        <v>1.2269733333333332</v>
      </c>
      <c r="M63" s="21">
        <v>0</v>
      </c>
      <c r="N63" s="19">
        <v>0</v>
      </c>
      <c r="O63" s="23">
        <v>300</v>
      </c>
      <c r="P63" s="24">
        <v>71.95</v>
      </c>
      <c r="Q63" s="25">
        <v>0.23983333333333334</v>
      </c>
      <c r="R63" s="24">
        <v>71.95</v>
      </c>
      <c r="S63" s="25">
        <v>0.23983333333333334</v>
      </c>
      <c r="T63" s="26">
        <v>0</v>
      </c>
      <c r="U63" s="24">
        <v>0</v>
      </c>
      <c r="V63" s="19">
        <v>1800</v>
      </c>
      <c r="W63" s="19">
        <v>3004.52</v>
      </c>
      <c r="X63" s="21">
        <v>1.6691777777777779</v>
      </c>
      <c r="Y63" s="19">
        <v>1912.4099999999999</v>
      </c>
      <c r="Z63" s="20">
        <v>1.0624499999999999</v>
      </c>
      <c r="AA63" s="30">
        <v>8.840000000000002E-2</v>
      </c>
      <c r="AB63" s="27">
        <v>7.4999999999999997E-2</v>
      </c>
      <c r="AC63" s="27">
        <v>9.5000000000000001E-2</v>
      </c>
      <c r="AD63" s="11">
        <v>8.7865222313533831E-2</v>
      </c>
    </row>
    <row r="64" spans="1:30" x14ac:dyDescent="0.25">
      <c r="A64" s="13">
        <v>43538</v>
      </c>
      <c r="B64" s="46" t="s">
        <v>636</v>
      </c>
      <c r="C64" s="13">
        <v>43539</v>
      </c>
      <c r="D64" s="15" t="s">
        <v>430</v>
      </c>
      <c r="E64" s="15">
        <v>350</v>
      </c>
      <c r="F64" s="15">
        <v>360</v>
      </c>
      <c r="G64" s="13">
        <v>43889</v>
      </c>
      <c r="H64" s="17">
        <v>2800</v>
      </c>
      <c r="I64" s="19">
        <v>3202.7899999999995</v>
      </c>
      <c r="J64" s="20">
        <v>1.1438535714285714</v>
      </c>
      <c r="K64" s="19">
        <v>2902.7899999999995</v>
      </c>
      <c r="L64" s="20">
        <v>1.0367107142857142</v>
      </c>
      <c r="M64" s="21">
        <v>0</v>
      </c>
      <c r="N64" s="19">
        <v>0</v>
      </c>
      <c r="O64" s="23">
        <v>560</v>
      </c>
      <c r="P64" s="24">
        <v>430</v>
      </c>
      <c r="Q64" s="25">
        <v>0.7678571428571429</v>
      </c>
      <c r="R64" s="24">
        <v>430</v>
      </c>
      <c r="S64" s="25">
        <v>0.7678571428571429</v>
      </c>
      <c r="T64" s="26">
        <v>0</v>
      </c>
      <c r="U64" s="24">
        <v>0</v>
      </c>
      <c r="V64" s="19">
        <v>3360</v>
      </c>
      <c r="W64" s="19">
        <v>3632.7899999999995</v>
      </c>
      <c r="X64" s="21">
        <v>1.0811874999999997</v>
      </c>
      <c r="Y64" s="19">
        <v>3332.7899999999995</v>
      </c>
      <c r="Z64" s="20">
        <v>0.99190178571428556</v>
      </c>
      <c r="AA64" s="30">
        <v>0.10250000000000002</v>
      </c>
      <c r="AB64" s="27">
        <v>0.09</v>
      </c>
      <c r="AC64" s="27">
        <v>0.10349999999999999</v>
      </c>
      <c r="AD64" s="11">
        <v>0.10139079552515151</v>
      </c>
    </row>
    <row r="65" spans="1:30" x14ac:dyDescent="0.25">
      <c r="A65" s="13">
        <v>43539</v>
      </c>
      <c r="B65" s="46" t="s">
        <v>636</v>
      </c>
      <c r="C65" s="13">
        <v>43539</v>
      </c>
      <c r="D65" s="15" t="s">
        <v>431</v>
      </c>
      <c r="E65" s="15">
        <v>161</v>
      </c>
      <c r="F65" s="15">
        <v>180</v>
      </c>
      <c r="G65" s="13">
        <v>43700</v>
      </c>
      <c r="H65" s="17">
        <v>2000</v>
      </c>
      <c r="I65" s="19">
        <v>3127.62</v>
      </c>
      <c r="J65" s="20">
        <v>1.5638099999999995</v>
      </c>
      <c r="K65" s="19">
        <v>2277.6200000000003</v>
      </c>
      <c r="L65" s="20">
        <v>1.1388100000000001</v>
      </c>
      <c r="M65" s="21">
        <v>0</v>
      </c>
      <c r="N65" s="19">
        <v>0</v>
      </c>
      <c r="O65" s="23">
        <v>400</v>
      </c>
      <c r="P65" s="24">
        <v>288.20999999999998</v>
      </c>
      <c r="Q65" s="25">
        <v>0.72052499999999997</v>
      </c>
      <c r="R65" s="24">
        <v>288.20999999999998</v>
      </c>
      <c r="S65" s="25">
        <v>0.72052499999999997</v>
      </c>
      <c r="T65" s="26">
        <v>0</v>
      </c>
      <c r="U65" s="24">
        <v>0</v>
      </c>
      <c r="V65" s="19">
        <v>2400</v>
      </c>
      <c r="W65" s="19">
        <v>3415.83</v>
      </c>
      <c r="X65" s="21">
        <v>1.4232624999999999</v>
      </c>
      <c r="Y65" s="19">
        <v>2565.8300000000004</v>
      </c>
      <c r="Z65" s="20">
        <v>1.0690958333333336</v>
      </c>
      <c r="AA65" s="30">
        <v>9.9099999999999994E-2</v>
      </c>
      <c r="AB65" s="27">
        <v>0.08</v>
      </c>
      <c r="AC65" s="27">
        <v>0.10199999999999999</v>
      </c>
      <c r="AD65" s="11">
        <v>9.5416287464589702E-2</v>
      </c>
    </row>
    <row r="66" spans="1:30" x14ac:dyDescent="0.25">
      <c r="A66" s="13">
        <v>43542</v>
      </c>
      <c r="B66" s="46" t="s">
        <v>636</v>
      </c>
      <c r="C66" s="13">
        <v>43542</v>
      </c>
      <c r="D66" s="15" t="s">
        <v>432</v>
      </c>
      <c r="E66" s="15">
        <v>25</v>
      </c>
      <c r="F66" s="15">
        <v>30</v>
      </c>
      <c r="G66" s="13">
        <v>43567</v>
      </c>
      <c r="H66" s="17">
        <v>1200</v>
      </c>
      <c r="I66" s="19">
        <v>2264.6800000000003</v>
      </c>
      <c r="J66" s="20">
        <v>1.8872333333333327</v>
      </c>
      <c r="K66" s="19">
        <v>1488.86</v>
      </c>
      <c r="L66" s="20">
        <v>1.2407166666666667</v>
      </c>
      <c r="M66" s="21">
        <v>0</v>
      </c>
      <c r="N66" s="19">
        <v>0</v>
      </c>
      <c r="O66" s="23">
        <v>240</v>
      </c>
      <c r="P66" s="24">
        <v>20.13</v>
      </c>
      <c r="Q66" s="25">
        <v>8.3874999999999991E-2</v>
      </c>
      <c r="R66" s="24">
        <v>20.13</v>
      </c>
      <c r="S66" s="25">
        <v>8.3874999999999991E-2</v>
      </c>
      <c r="T66" s="26">
        <v>0</v>
      </c>
      <c r="U66" s="24">
        <v>0</v>
      </c>
      <c r="V66" s="19">
        <v>1440</v>
      </c>
      <c r="W66" s="19">
        <v>2284.8100000000004</v>
      </c>
      <c r="X66" s="21">
        <v>1.5866736111111115</v>
      </c>
      <c r="Y66" s="19">
        <v>1508.99</v>
      </c>
      <c r="Z66" s="20">
        <v>1.0479097222222222</v>
      </c>
      <c r="AA66" s="30">
        <v>7.8E-2</v>
      </c>
      <c r="AB66" s="27">
        <v>0.06</v>
      </c>
      <c r="AC66" s="27">
        <v>8.2500000000000004E-2</v>
      </c>
      <c r="AD66" s="11">
        <v>7.6388459296677688E-2</v>
      </c>
    </row>
    <row r="67" spans="1:30" x14ac:dyDescent="0.25">
      <c r="A67" s="13">
        <v>43543</v>
      </c>
      <c r="B67" s="46" t="s">
        <v>636</v>
      </c>
      <c r="C67" s="13">
        <v>43544</v>
      </c>
      <c r="D67" s="15" t="s">
        <v>352</v>
      </c>
      <c r="E67" s="15">
        <v>721</v>
      </c>
      <c r="F67" s="15">
        <v>720</v>
      </c>
      <c r="G67" s="13">
        <v>44265</v>
      </c>
      <c r="H67" s="17">
        <v>1200</v>
      </c>
      <c r="I67" s="19">
        <v>3380.6</v>
      </c>
      <c r="J67" s="20">
        <v>2.8171666666666648</v>
      </c>
      <c r="K67" s="19">
        <v>1855.6</v>
      </c>
      <c r="L67" s="20">
        <v>1.5463333333333333</v>
      </c>
      <c r="M67" s="21">
        <v>0</v>
      </c>
      <c r="N67" s="19">
        <v>0</v>
      </c>
      <c r="O67" s="23">
        <v>240</v>
      </c>
      <c r="P67" s="24">
        <v>275</v>
      </c>
      <c r="Q67" s="25">
        <v>1.1458333333333333</v>
      </c>
      <c r="R67" s="24">
        <v>240</v>
      </c>
      <c r="S67" s="25">
        <v>1</v>
      </c>
      <c r="T67" s="26">
        <v>0.87272857142857141</v>
      </c>
      <c r="U67" s="24">
        <v>0</v>
      </c>
      <c r="V67" s="19">
        <v>1440</v>
      </c>
      <c r="W67" s="19">
        <v>3655.6</v>
      </c>
      <c r="X67" s="21">
        <v>2.5386111111111109</v>
      </c>
      <c r="Y67" s="19">
        <v>2095.6</v>
      </c>
      <c r="Z67" s="20">
        <v>1.4552777777777777</v>
      </c>
      <c r="AA67" s="30">
        <v>0.10289999999999999</v>
      </c>
      <c r="AB67" s="27">
        <v>9.7500000000000003E-2</v>
      </c>
      <c r="AC67" s="27">
        <v>0.105</v>
      </c>
      <c r="AD67" s="11">
        <v>0.10287108797254925</v>
      </c>
    </row>
    <row r="68" spans="1:30" x14ac:dyDescent="0.25">
      <c r="A68" s="13">
        <v>43544</v>
      </c>
      <c r="B68" s="46" t="s">
        <v>636</v>
      </c>
      <c r="C68" s="13">
        <v>43544</v>
      </c>
      <c r="D68" s="15" t="s">
        <v>433</v>
      </c>
      <c r="E68" s="15">
        <v>86</v>
      </c>
      <c r="F68" s="15">
        <v>90</v>
      </c>
      <c r="G68" s="13">
        <v>43630</v>
      </c>
      <c r="H68" s="17">
        <v>1000</v>
      </c>
      <c r="I68" s="19">
        <v>3120.9300000000003</v>
      </c>
      <c r="J68" s="20">
        <v>3.1209299999999995</v>
      </c>
      <c r="K68" s="19">
        <v>1249.7799999999997</v>
      </c>
      <c r="L68" s="20">
        <v>1.2497799999999997</v>
      </c>
      <c r="M68" s="21">
        <v>0</v>
      </c>
      <c r="N68" s="19">
        <v>0</v>
      </c>
      <c r="O68" s="23">
        <v>200</v>
      </c>
      <c r="P68" s="24">
        <v>101.36</v>
      </c>
      <c r="Q68" s="25">
        <v>0.50680000000000003</v>
      </c>
      <c r="R68" s="24">
        <v>101.36</v>
      </c>
      <c r="S68" s="25">
        <v>0.50680000000000003</v>
      </c>
      <c r="T68" s="26">
        <v>0</v>
      </c>
      <c r="U68" s="24">
        <v>0</v>
      </c>
      <c r="V68" s="19">
        <v>1200</v>
      </c>
      <c r="W68" s="19">
        <v>3222.2900000000004</v>
      </c>
      <c r="X68" s="21">
        <v>2.6852416666666672</v>
      </c>
      <c r="Y68" s="19">
        <v>1351.1399999999996</v>
      </c>
      <c r="Z68" s="20">
        <v>1.1259499999999998</v>
      </c>
      <c r="AA68" s="30">
        <v>8.5700000000000082E-2</v>
      </c>
      <c r="AB68" s="27">
        <v>0.05</v>
      </c>
      <c r="AC68" s="27">
        <v>9.1999999999999998E-2</v>
      </c>
      <c r="AD68" s="11">
        <v>8.6589720051394953E-2</v>
      </c>
    </row>
    <row r="69" spans="1:30" x14ac:dyDescent="0.25">
      <c r="A69" s="13">
        <v>43545</v>
      </c>
      <c r="B69" s="46" t="s">
        <v>636</v>
      </c>
      <c r="C69" s="13">
        <v>43546</v>
      </c>
      <c r="D69" s="15" t="s">
        <v>434</v>
      </c>
      <c r="E69" s="15">
        <v>371</v>
      </c>
      <c r="F69" s="15">
        <v>360</v>
      </c>
      <c r="G69" s="13">
        <v>43917</v>
      </c>
      <c r="H69" s="17">
        <v>2000</v>
      </c>
      <c r="I69" s="19">
        <v>4842.25</v>
      </c>
      <c r="J69" s="20">
        <v>2.4211249999999995</v>
      </c>
      <c r="K69" s="19">
        <v>3313.3199999999997</v>
      </c>
      <c r="L69" s="20">
        <v>1.6566599999999998</v>
      </c>
      <c r="M69" s="21">
        <v>0</v>
      </c>
      <c r="N69" s="19">
        <v>0</v>
      </c>
      <c r="O69" s="23">
        <v>400</v>
      </c>
      <c r="P69" s="24">
        <v>632.02</v>
      </c>
      <c r="Q69" s="25">
        <v>1.58005</v>
      </c>
      <c r="R69" s="24">
        <v>400</v>
      </c>
      <c r="S69" s="25">
        <v>1</v>
      </c>
      <c r="T69" s="26">
        <v>0.63289282470481378</v>
      </c>
      <c r="U69" s="24">
        <v>0</v>
      </c>
      <c r="V69" s="19">
        <v>2400</v>
      </c>
      <c r="W69" s="19">
        <v>5474.27</v>
      </c>
      <c r="X69" s="21">
        <v>2.2809458333333335</v>
      </c>
      <c r="Y69" s="19">
        <v>3713.3199999999997</v>
      </c>
      <c r="Z69" s="20">
        <v>1.5472166666666665</v>
      </c>
      <c r="AA69" s="30">
        <v>0.10139999999999995</v>
      </c>
      <c r="AB69" s="27">
        <v>9.2499999999999999E-2</v>
      </c>
      <c r="AC69" s="27">
        <v>0.10439999999999999</v>
      </c>
      <c r="AD69" s="11">
        <v>0.10103688471268525</v>
      </c>
    </row>
    <row r="70" spans="1:30" x14ac:dyDescent="0.25">
      <c r="A70" s="13">
        <v>43546</v>
      </c>
      <c r="B70" s="46" t="s">
        <v>636</v>
      </c>
      <c r="C70" s="13">
        <v>43546</v>
      </c>
      <c r="D70" s="15" t="s">
        <v>435</v>
      </c>
      <c r="E70" s="15">
        <v>182</v>
      </c>
      <c r="F70" s="15">
        <v>180</v>
      </c>
      <c r="G70" s="13">
        <v>43728</v>
      </c>
      <c r="H70" s="17">
        <v>1200</v>
      </c>
      <c r="I70" s="19">
        <v>2136.66</v>
      </c>
      <c r="J70" s="20">
        <v>1.7805499999999999</v>
      </c>
      <c r="K70" s="19">
        <v>1661.6599999999999</v>
      </c>
      <c r="L70" s="20">
        <v>1.3847166666666666</v>
      </c>
      <c r="M70" s="21">
        <v>0</v>
      </c>
      <c r="N70" s="19">
        <v>0</v>
      </c>
      <c r="O70" s="23">
        <v>240</v>
      </c>
      <c r="P70" s="24">
        <v>5.25</v>
      </c>
      <c r="Q70" s="25">
        <v>2.1874999999999999E-2</v>
      </c>
      <c r="R70" s="24">
        <v>5.25</v>
      </c>
      <c r="S70" s="25">
        <v>2.1874999999999999E-2</v>
      </c>
      <c r="T70" s="26">
        <v>0</v>
      </c>
      <c r="U70" s="24">
        <v>0</v>
      </c>
      <c r="V70" s="19">
        <v>1440</v>
      </c>
      <c r="W70" s="19">
        <v>2141.91</v>
      </c>
      <c r="X70" s="21">
        <v>1.4874375</v>
      </c>
      <c r="Y70" s="19">
        <v>1666.9099999999999</v>
      </c>
      <c r="Z70" s="20">
        <v>1.1575763888888888</v>
      </c>
      <c r="AA70" s="30">
        <v>9.8099999999999923E-2</v>
      </c>
      <c r="AB70" s="27">
        <v>0.08</v>
      </c>
      <c r="AC70" s="27">
        <v>0.10060000000000001</v>
      </c>
      <c r="AD70" s="11">
        <v>9.4644073460447647E-2</v>
      </c>
    </row>
    <row r="71" spans="1:30" x14ac:dyDescent="0.25">
      <c r="A71" s="13">
        <v>43549</v>
      </c>
      <c r="B71" s="46" t="s">
        <v>636</v>
      </c>
      <c r="C71" s="13">
        <v>43549</v>
      </c>
      <c r="D71" s="15" t="s">
        <v>436</v>
      </c>
      <c r="E71" s="15">
        <v>35</v>
      </c>
      <c r="F71" s="15">
        <v>30</v>
      </c>
      <c r="G71" s="13">
        <v>43584</v>
      </c>
      <c r="H71" s="17">
        <v>1000</v>
      </c>
      <c r="I71" s="19">
        <v>1818.67</v>
      </c>
      <c r="J71" s="20">
        <v>1.8186699999999998</v>
      </c>
      <c r="K71" s="19">
        <v>1478.67</v>
      </c>
      <c r="L71" s="20">
        <v>1.4786700000000002</v>
      </c>
      <c r="M71" s="21">
        <v>0</v>
      </c>
      <c r="N71" s="19">
        <v>0</v>
      </c>
      <c r="O71" s="23">
        <v>200</v>
      </c>
      <c r="P71" s="24">
        <v>30</v>
      </c>
      <c r="Q71" s="25">
        <v>0.15</v>
      </c>
      <c r="R71" s="24">
        <v>30</v>
      </c>
      <c r="S71" s="25">
        <v>0.15</v>
      </c>
      <c r="T71" s="26">
        <v>0</v>
      </c>
      <c r="U71" s="24">
        <v>0</v>
      </c>
      <c r="V71" s="19">
        <v>1200</v>
      </c>
      <c r="W71" s="19">
        <v>1848.67</v>
      </c>
      <c r="X71" s="21">
        <v>1.5405583333333335</v>
      </c>
      <c r="Y71" s="19">
        <v>1508.67</v>
      </c>
      <c r="Z71" s="20">
        <v>1.257225</v>
      </c>
      <c r="AA71" s="30">
        <v>7.7199999999999949E-2</v>
      </c>
      <c r="AB71" s="27">
        <v>6.8000000000000005E-2</v>
      </c>
      <c r="AC71" s="27">
        <v>8.2500000000000004E-2</v>
      </c>
      <c r="AD71" s="11">
        <v>7.604107947016224E-2</v>
      </c>
    </row>
    <row r="72" spans="1:30" x14ac:dyDescent="0.25">
      <c r="A72" s="13">
        <v>43550</v>
      </c>
      <c r="B72" s="46" t="s">
        <v>636</v>
      </c>
      <c r="C72" s="13">
        <v>43551</v>
      </c>
      <c r="D72" s="15" t="s">
        <v>353</v>
      </c>
      <c r="E72" s="15">
        <v>714</v>
      </c>
      <c r="F72" s="15">
        <v>720</v>
      </c>
      <c r="G72" s="13">
        <v>44265</v>
      </c>
      <c r="H72" s="17">
        <v>1200</v>
      </c>
      <c r="I72" s="19">
        <v>1865</v>
      </c>
      <c r="J72" s="20">
        <v>1.5541666666666665</v>
      </c>
      <c r="K72" s="19">
        <v>1470</v>
      </c>
      <c r="L72" s="20">
        <v>1.2250000000000001</v>
      </c>
      <c r="M72" s="21">
        <v>0</v>
      </c>
      <c r="N72" s="19">
        <v>0</v>
      </c>
      <c r="O72" s="23">
        <v>240</v>
      </c>
      <c r="P72" s="24">
        <v>240</v>
      </c>
      <c r="Q72" s="25">
        <v>1</v>
      </c>
      <c r="R72" s="24">
        <v>240</v>
      </c>
      <c r="S72" s="25">
        <v>1</v>
      </c>
      <c r="T72" s="26">
        <v>0</v>
      </c>
      <c r="U72" s="24">
        <v>0</v>
      </c>
      <c r="V72" s="19">
        <v>1440</v>
      </c>
      <c r="W72" s="19">
        <v>2105</v>
      </c>
      <c r="X72" s="21">
        <v>1.4618055555555556</v>
      </c>
      <c r="Y72" s="19">
        <v>1710</v>
      </c>
      <c r="Z72" s="20">
        <v>1.1875</v>
      </c>
      <c r="AA72" s="30">
        <v>0.10210000000000001</v>
      </c>
      <c r="AB72" s="27">
        <v>0.1009</v>
      </c>
      <c r="AC72" s="27">
        <v>0.10400000000000001</v>
      </c>
      <c r="AD72" s="11">
        <v>0.10193592493297586</v>
      </c>
    </row>
    <row r="73" spans="1:30" x14ac:dyDescent="0.25">
      <c r="A73" s="13">
        <v>43551</v>
      </c>
      <c r="B73" s="46" t="s">
        <v>636</v>
      </c>
      <c r="C73" s="13">
        <v>43551</v>
      </c>
      <c r="D73" s="15" t="s">
        <v>437</v>
      </c>
      <c r="E73" s="15">
        <v>79</v>
      </c>
      <c r="F73" s="15">
        <v>90</v>
      </c>
      <c r="G73" s="13">
        <v>43630</v>
      </c>
      <c r="H73" s="17">
        <v>1000</v>
      </c>
      <c r="I73" s="19">
        <v>695.56</v>
      </c>
      <c r="J73" s="20">
        <v>0.69555999999999985</v>
      </c>
      <c r="K73" s="19">
        <v>594.54</v>
      </c>
      <c r="L73" s="20">
        <v>0.59453999999999996</v>
      </c>
      <c r="M73" s="21">
        <v>0</v>
      </c>
      <c r="N73" s="19">
        <v>0</v>
      </c>
      <c r="O73" s="23">
        <v>200</v>
      </c>
      <c r="P73" s="24">
        <v>50</v>
      </c>
      <c r="Q73" s="25">
        <v>0.25</v>
      </c>
      <c r="R73" s="24">
        <v>50</v>
      </c>
      <c r="S73" s="25">
        <v>0.25</v>
      </c>
      <c r="T73" s="26">
        <v>0</v>
      </c>
      <c r="U73" s="24">
        <v>0</v>
      </c>
      <c r="V73" s="19">
        <v>1200</v>
      </c>
      <c r="W73" s="19">
        <v>745.56</v>
      </c>
      <c r="X73" s="21">
        <v>0.62129999999999996</v>
      </c>
      <c r="Y73" s="19">
        <v>644.54</v>
      </c>
      <c r="Z73" s="20">
        <v>0.53711666666666669</v>
      </c>
      <c r="AA73" s="30">
        <v>8.7900000000000048E-2</v>
      </c>
      <c r="AB73" s="27">
        <v>7.0000000000000007E-2</v>
      </c>
      <c r="AC73" s="27">
        <v>9.0299999999999991E-2</v>
      </c>
      <c r="AD73" s="11">
        <v>8.4277274426361501E-2</v>
      </c>
    </row>
    <row r="74" spans="1:30" x14ac:dyDescent="0.25">
      <c r="A74" s="13">
        <v>43552</v>
      </c>
      <c r="B74" s="46" t="s">
        <v>636</v>
      </c>
      <c r="C74" s="13">
        <v>43553</v>
      </c>
      <c r="D74" s="15" t="s">
        <v>438</v>
      </c>
      <c r="E74" s="15">
        <v>364</v>
      </c>
      <c r="F74" s="15">
        <v>360</v>
      </c>
      <c r="G74" s="13">
        <v>43917</v>
      </c>
      <c r="H74" s="17">
        <v>1400</v>
      </c>
      <c r="I74" s="19">
        <v>1125.8599999999999</v>
      </c>
      <c r="J74" s="20">
        <v>0.80418571428571417</v>
      </c>
      <c r="K74" s="19">
        <v>1015.86</v>
      </c>
      <c r="L74" s="20">
        <v>0.72561428571428577</v>
      </c>
      <c r="M74" s="21">
        <v>0</v>
      </c>
      <c r="N74" s="19">
        <v>0</v>
      </c>
      <c r="O74" s="23">
        <v>280</v>
      </c>
      <c r="P74" s="24">
        <v>300</v>
      </c>
      <c r="Q74" s="25">
        <v>1.0714285714285714</v>
      </c>
      <c r="R74" s="24">
        <v>203.172</v>
      </c>
      <c r="S74" s="25">
        <v>0.72561428571428566</v>
      </c>
      <c r="T74" s="26">
        <v>0.67724000000000006</v>
      </c>
      <c r="U74" s="24">
        <v>0</v>
      </c>
      <c r="V74" s="19">
        <v>1680</v>
      </c>
      <c r="W74" s="19">
        <v>1425.86</v>
      </c>
      <c r="X74" s="21">
        <v>0.84872619047619047</v>
      </c>
      <c r="Y74" s="19">
        <v>1219.0319999999999</v>
      </c>
      <c r="Z74" s="20">
        <v>0.72561428571428566</v>
      </c>
      <c r="AA74" s="30">
        <v>0.10250000000000002</v>
      </c>
      <c r="AB74" s="27">
        <v>9.1400000000000009E-2</v>
      </c>
      <c r="AC74" s="27">
        <v>0.10300000000000001</v>
      </c>
      <c r="AD74" s="11">
        <v>0.10144491677473219</v>
      </c>
    </row>
    <row r="75" spans="1:30" x14ac:dyDescent="0.25">
      <c r="A75" s="13">
        <v>43553</v>
      </c>
      <c r="B75" s="46" t="s">
        <v>636</v>
      </c>
      <c r="C75" s="13">
        <v>43553</v>
      </c>
      <c r="D75" s="15" t="s">
        <v>439</v>
      </c>
      <c r="E75" s="15">
        <v>175</v>
      </c>
      <c r="F75" s="15">
        <v>180</v>
      </c>
      <c r="G75" s="13">
        <v>43728</v>
      </c>
      <c r="H75" s="17">
        <v>1000</v>
      </c>
      <c r="I75" s="19">
        <v>216.72</v>
      </c>
      <c r="J75" s="20">
        <v>0.21672</v>
      </c>
      <c r="K75" s="19">
        <v>0</v>
      </c>
      <c r="L75" s="20">
        <v>0</v>
      </c>
      <c r="M75" s="21">
        <v>0</v>
      </c>
      <c r="N75" s="19">
        <v>0</v>
      </c>
      <c r="O75" s="23">
        <v>200</v>
      </c>
      <c r="P75" s="24">
        <v>0</v>
      </c>
      <c r="Q75" s="25">
        <v>0</v>
      </c>
      <c r="R75" s="24">
        <v>0</v>
      </c>
      <c r="S75" s="25">
        <v>0</v>
      </c>
      <c r="T75" s="26">
        <v>0</v>
      </c>
      <c r="U75" s="24">
        <v>0</v>
      </c>
      <c r="V75" s="19">
        <v>1200</v>
      </c>
      <c r="W75" s="19">
        <v>216.72</v>
      </c>
      <c r="X75" s="21">
        <v>0.18060000000000001</v>
      </c>
      <c r="Y75" s="19">
        <v>0</v>
      </c>
      <c r="Z75" s="20">
        <v>0</v>
      </c>
      <c r="AA75" s="30">
        <v>0</v>
      </c>
      <c r="AB75" s="27">
        <v>8.8100000000000012E-2</v>
      </c>
      <c r="AC75" s="27">
        <v>0.1016</v>
      </c>
      <c r="AD75" s="11">
        <v>9.3941906607604292E-2</v>
      </c>
    </row>
    <row r="76" spans="1:30" x14ac:dyDescent="0.25">
      <c r="A76" s="13">
        <v>43556</v>
      </c>
      <c r="B76" s="46" t="s">
        <v>636</v>
      </c>
      <c r="C76" s="13">
        <v>43556</v>
      </c>
      <c r="D76" s="15" t="s">
        <v>440</v>
      </c>
      <c r="E76" s="15">
        <v>28</v>
      </c>
      <c r="F76" s="15">
        <v>30</v>
      </c>
      <c r="G76" s="13">
        <v>43584</v>
      </c>
      <c r="H76" s="17">
        <v>800</v>
      </c>
      <c r="I76" s="19">
        <v>579.77</v>
      </c>
      <c r="J76" s="20">
        <v>0.72471249999999987</v>
      </c>
      <c r="K76" s="19">
        <v>317.27</v>
      </c>
      <c r="L76" s="20">
        <v>0.39658749999999998</v>
      </c>
      <c r="M76" s="21">
        <v>0</v>
      </c>
      <c r="N76" s="19">
        <v>0</v>
      </c>
      <c r="O76" s="23">
        <v>160</v>
      </c>
      <c r="P76" s="24">
        <v>160</v>
      </c>
      <c r="Q76" s="25">
        <v>1</v>
      </c>
      <c r="R76" s="24">
        <v>63.454000000000001</v>
      </c>
      <c r="S76" s="25">
        <v>0.39658749999999998</v>
      </c>
      <c r="T76" s="26">
        <v>0.39658749999999998</v>
      </c>
      <c r="U76" s="24">
        <v>0</v>
      </c>
      <c r="V76" s="19">
        <v>960</v>
      </c>
      <c r="W76" s="19">
        <v>739.77</v>
      </c>
      <c r="X76" s="21">
        <v>0.77059374999999997</v>
      </c>
      <c r="Y76" s="19">
        <v>380.72399999999999</v>
      </c>
      <c r="Z76" s="20">
        <v>0.39658749999999998</v>
      </c>
      <c r="AA76" s="30">
        <v>7.8000000000000028E-2</v>
      </c>
      <c r="AB76" s="27">
        <v>7.0000000000000007E-2</v>
      </c>
      <c r="AC76" s="27">
        <v>8.6699999999999999E-2</v>
      </c>
      <c r="AD76" s="11">
        <v>7.9029051175466145E-2</v>
      </c>
    </row>
    <row r="77" spans="1:30" x14ac:dyDescent="0.25">
      <c r="A77" s="13">
        <v>43557</v>
      </c>
      <c r="B77" s="46" t="s">
        <v>636</v>
      </c>
      <c r="C77" s="13">
        <v>43558</v>
      </c>
      <c r="D77" s="15" t="s">
        <v>354</v>
      </c>
      <c r="E77" s="15">
        <v>742</v>
      </c>
      <c r="F77" s="15">
        <v>720</v>
      </c>
      <c r="G77" s="13">
        <v>44300</v>
      </c>
      <c r="H77" s="17">
        <v>1200</v>
      </c>
      <c r="I77" s="19">
        <v>1254.5</v>
      </c>
      <c r="J77" s="20">
        <v>1.0454166666666667</v>
      </c>
      <c r="K77" s="19">
        <v>1004.5</v>
      </c>
      <c r="L77" s="20">
        <v>0.83708333333333329</v>
      </c>
      <c r="M77" s="21">
        <v>0</v>
      </c>
      <c r="N77" s="19">
        <v>0</v>
      </c>
      <c r="O77" s="23">
        <v>240</v>
      </c>
      <c r="P77" s="24">
        <v>390</v>
      </c>
      <c r="Q77" s="25">
        <v>1.625</v>
      </c>
      <c r="R77" s="24">
        <v>200.89999999999998</v>
      </c>
      <c r="S77" s="25">
        <v>0.83708333333333329</v>
      </c>
      <c r="T77" s="26">
        <v>0.5151283333333333</v>
      </c>
      <c r="U77" s="24">
        <v>0</v>
      </c>
      <c r="V77" s="19">
        <v>1440</v>
      </c>
      <c r="W77" s="19">
        <v>1644.5</v>
      </c>
      <c r="X77" s="21">
        <v>1.1420138888888889</v>
      </c>
      <c r="Y77" s="19">
        <v>1205.4000000000001</v>
      </c>
      <c r="Z77" s="20">
        <v>0.8370833333333334</v>
      </c>
      <c r="AA77" s="30">
        <v>0.10339999999999996</v>
      </c>
      <c r="AB77" s="27">
        <v>0.1</v>
      </c>
      <c r="AC77" s="27">
        <v>0.11</v>
      </c>
      <c r="AD77" s="11">
        <v>0.10353128736548425</v>
      </c>
    </row>
    <row r="78" spans="1:30" x14ac:dyDescent="0.25">
      <c r="A78" s="13">
        <v>43558</v>
      </c>
      <c r="B78" s="46" t="s">
        <v>636</v>
      </c>
      <c r="C78" s="13">
        <v>43558</v>
      </c>
      <c r="D78" s="15" t="s">
        <v>441</v>
      </c>
      <c r="E78" s="15">
        <v>93</v>
      </c>
      <c r="F78" s="15">
        <v>90</v>
      </c>
      <c r="G78" s="13">
        <v>43651</v>
      </c>
      <c r="H78" s="17">
        <v>800</v>
      </c>
      <c r="I78" s="19">
        <v>1656.91</v>
      </c>
      <c r="J78" s="20">
        <v>2.0711375000000007</v>
      </c>
      <c r="K78" s="19">
        <v>905.91</v>
      </c>
      <c r="L78" s="20">
        <v>1.1323874999999999</v>
      </c>
      <c r="M78" s="21">
        <v>0</v>
      </c>
      <c r="N78" s="19">
        <v>0</v>
      </c>
      <c r="O78" s="23">
        <v>160</v>
      </c>
      <c r="P78" s="24">
        <v>160</v>
      </c>
      <c r="Q78" s="25">
        <v>1</v>
      </c>
      <c r="R78" s="24">
        <v>160</v>
      </c>
      <c r="S78" s="25">
        <v>1</v>
      </c>
      <c r="T78" s="26">
        <v>0</v>
      </c>
      <c r="U78" s="24">
        <v>0</v>
      </c>
      <c r="V78" s="19">
        <v>960</v>
      </c>
      <c r="W78" s="19">
        <v>1816.91</v>
      </c>
      <c r="X78" s="21">
        <v>1.8926145833333334</v>
      </c>
      <c r="Y78" s="19">
        <v>1065.9099999999999</v>
      </c>
      <c r="Z78" s="20">
        <v>1.1103229166666666</v>
      </c>
      <c r="AA78" s="30">
        <v>8.7499999999999967E-2</v>
      </c>
      <c r="AB78" s="27">
        <v>7.7899999999999997E-2</v>
      </c>
      <c r="AC78" s="27">
        <v>9.7500000000000003E-2</v>
      </c>
      <c r="AD78" s="11">
        <v>8.7675600364533993E-2</v>
      </c>
    </row>
    <row r="79" spans="1:30" x14ac:dyDescent="0.25">
      <c r="A79" s="13">
        <v>43559</v>
      </c>
      <c r="B79" s="46" t="s">
        <v>636</v>
      </c>
      <c r="C79" s="13">
        <v>43560</v>
      </c>
      <c r="D79" s="15" t="s">
        <v>442</v>
      </c>
      <c r="E79" s="15">
        <v>357</v>
      </c>
      <c r="F79" s="15">
        <v>360</v>
      </c>
      <c r="G79" s="13">
        <v>43917</v>
      </c>
      <c r="H79" s="17">
        <v>2500</v>
      </c>
      <c r="I79" s="19">
        <v>3571.63</v>
      </c>
      <c r="J79" s="20">
        <v>1.428652</v>
      </c>
      <c r="K79" s="19">
        <v>3571.63</v>
      </c>
      <c r="L79" s="20">
        <v>1.428652</v>
      </c>
      <c r="M79" s="21">
        <v>0</v>
      </c>
      <c r="N79" s="19">
        <v>0</v>
      </c>
      <c r="O79" s="23">
        <v>500</v>
      </c>
      <c r="P79" s="24">
        <v>707</v>
      </c>
      <c r="Q79" s="25">
        <v>1.4140000000000001</v>
      </c>
      <c r="R79" s="24">
        <v>500</v>
      </c>
      <c r="S79" s="25">
        <v>1</v>
      </c>
      <c r="T79" s="26">
        <v>0.70721999999999996</v>
      </c>
      <c r="U79" s="24">
        <v>0</v>
      </c>
      <c r="V79" s="19">
        <v>3000</v>
      </c>
      <c r="W79" s="19">
        <v>4278.63</v>
      </c>
      <c r="X79" s="21">
        <v>1.42621</v>
      </c>
      <c r="Y79" s="19">
        <v>4071.63</v>
      </c>
      <c r="Z79" s="20">
        <v>1.35721</v>
      </c>
      <c r="AA79" s="30">
        <v>0.10340000000000002</v>
      </c>
      <c r="AB79" s="27">
        <v>9.6999999999999989E-2</v>
      </c>
      <c r="AC79" s="27">
        <v>0.10339999999999999</v>
      </c>
      <c r="AD79" s="11">
        <v>0.10198135025184578</v>
      </c>
    </row>
    <row r="80" spans="1:30" x14ac:dyDescent="0.25">
      <c r="A80" s="13">
        <v>43560</v>
      </c>
      <c r="B80" s="46" t="s">
        <v>636</v>
      </c>
      <c r="C80" s="13">
        <v>43560</v>
      </c>
      <c r="D80" s="15" t="s">
        <v>443</v>
      </c>
      <c r="E80" s="15">
        <v>168</v>
      </c>
      <c r="F80" s="15">
        <v>180</v>
      </c>
      <c r="G80" s="13">
        <v>43728</v>
      </c>
      <c r="H80" s="17">
        <v>1200</v>
      </c>
      <c r="I80" s="19">
        <v>2769.9800000000009</v>
      </c>
      <c r="J80" s="20">
        <v>2.3083166666666659</v>
      </c>
      <c r="K80" s="19">
        <v>1324.9799999999998</v>
      </c>
      <c r="L80" s="20">
        <v>1.1041499999999997</v>
      </c>
      <c r="M80" s="21">
        <v>0</v>
      </c>
      <c r="N80" s="19">
        <v>0</v>
      </c>
      <c r="O80" s="23">
        <v>240</v>
      </c>
      <c r="P80" s="24">
        <v>246.68</v>
      </c>
      <c r="Q80" s="25">
        <v>1.0278333333333334</v>
      </c>
      <c r="R80" s="24">
        <v>240</v>
      </c>
      <c r="S80" s="25">
        <v>1</v>
      </c>
      <c r="T80" s="26">
        <v>0.97292041666666662</v>
      </c>
      <c r="U80" s="24">
        <v>0</v>
      </c>
      <c r="V80" s="19">
        <v>1440</v>
      </c>
      <c r="W80" s="19">
        <v>3016.6600000000008</v>
      </c>
      <c r="X80" s="21">
        <v>2.0949027777777784</v>
      </c>
      <c r="Y80" s="19">
        <v>1564.9799999999998</v>
      </c>
      <c r="Z80" s="20">
        <v>1.0867916666666666</v>
      </c>
      <c r="AA80" s="30">
        <v>9.7999999999999948E-2</v>
      </c>
      <c r="AB80" s="27">
        <v>0.09</v>
      </c>
      <c r="AC80" s="27">
        <v>0.10249999999999999</v>
      </c>
      <c r="AD80" s="11">
        <v>9.7366149936100613E-2</v>
      </c>
    </row>
    <row r="81" spans="1:30" x14ac:dyDescent="0.25">
      <c r="A81" s="13">
        <v>43563</v>
      </c>
      <c r="B81" s="46" t="s">
        <v>636</v>
      </c>
      <c r="C81" s="13">
        <v>43563</v>
      </c>
      <c r="D81" s="15" t="s">
        <v>444</v>
      </c>
      <c r="E81" s="15">
        <v>28</v>
      </c>
      <c r="F81" s="15">
        <v>30</v>
      </c>
      <c r="G81" s="13">
        <v>43591</v>
      </c>
      <c r="H81" s="17">
        <v>1200</v>
      </c>
      <c r="I81" s="19">
        <v>4878.01</v>
      </c>
      <c r="J81" s="20">
        <v>4.065008333333334</v>
      </c>
      <c r="K81" s="19">
        <v>2400</v>
      </c>
      <c r="L81" s="20">
        <v>2</v>
      </c>
      <c r="M81" s="21">
        <v>0.64329999999999998</v>
      </c>
      <c r="N81" s="19">
        <v>0</v>
      </c>
      <c r="O81" s="23">
        <v>240</v>
      </c>
      <c r="P81" s="24">
        <v>240</v>
      </c>
      <c r="Q81" s="25">
        <v>1</v>
      </c>
      <c r="R81" s="24">
        <v>240</v>
      </c>
      <c r="S81" s="25">
        <v>1</v>
      </c>
      <c r="T81" s="26">
        <v>0</v>
      </c>
      <c r="U81" s="24">
        <v>0</v>
      </c>
      <c r="V81" s="19">
        <v>1440</v>
      </c>
      <c r="W81" s="19">
        <v>5118.01</v>
      </c>
      <c r="X81" s="21">
        <v>3.5541736111111111</v>
      </c>
      <c r="Y81" s="19">
        <v>2640</v>
      </c>
      <c r="Z81" s="20">
        <v>1.8333333333333333</v>
      </c>
      <c r="AA81" s="30">
        <v>7.6499999999999901E-2</v>
      </c>
      <c r="AB81" s="27">
        <v>7.0000000000000007E-2</v>
      </c>
      <c r="AC81" s="27">
        <v>8.7499999999999994E-2</v>
      </c>
      <c r="AD81" s="11">
        <v>7.7797710541798779E-2</v>
      </c>
    </row>
    <row r="82" spans="1:30" x14ac:dyDescent="0.25">
      <c r="A82" s="13">
        <v>43564</v>
      </c>
      <c r="B82" s="46" t="s">
        <v>636</v>
      </c>
      <c r="C82" s="13">
        <v>43565</v>
      </c>
      <c r="D82" s="15" t="s">
        <v>355</v>
      </c>
      <c r="E82" s="15">
        <v>735</v>
      </c>
      <c r="F82" s="15">
        <v>720</v>
      </c>
      <c r="G82" s="13">
        <v>44300</v>
      </c>
      <c r="H82" s="17">
        <v>1600</v>
      </c>
      <c r="I82" s="19">
        <v>2050.6</v>
      </c>
      <c r="J82" s="20">
        <v>1.281625</v>
      </c>
      <c r="K82" s="19">
        <v>1600.6</v>
      </c>
      <c r="L82" s="20">
        <v>1.000375</v>
      </c>
      <c r="M82" s="21">
        <v>0</v>
      </c>
      <c r="N82" s="19">
        <v>0</v>
      </c>
      <c r="O82" s="23">
        <v>320</v>
      </c>
      <c r="P82" s="24">
        <v>220</v>
      </c>
      <c r="Q82" s="25">
        <v>0.6875</v>
      </c>
      <c r="R82" s="24">
        <v>220</v>
      </c>
      <c r="S82" s="25">
        <v>0.6875</v>
      </c>
      <c r="T82" s="26">
        <v>0</v>
      </c>
      <c r="U82" s="24">
        <v>0</v>
      </c>
      <c r="V82" s="19">
        <v>1920</v>
      </c>
      <c r="W82" s="19">
        <v>2270.6</v>
      </c>
      <c r="X82" s="21">
        <v>1.1826041666666667</v>
      </c>
      <c r="Y82" s="19">
        <v>1820.6</v>
      </c>
      <c r="Z82" s="20">
        <v>0.94822916666666657</v>
      </c>
      <c r="AA82" s="30">
        <v>0.10349999999999997</v>
      </c>
      <c r="AB82" s="27">
        <v>9.6500000000000002E-2</v>
      </c>
      <c r="AC82" s="27">
        <v>0.10490000000000001</v>
      </c>
      <c r="AD82" s="11">
        <v>0.10327801619038329</v>
      </c>
    </row>
    <row r="83" spans="1:30" x14ac:dyDescent="0.25">
      <c r="A83" s="13">
        <v>43565</v>
      </c>
      <c r="B83" s="46" t="s">
        <v>636</v>
      </c>
      <c r="C83" s="13">
        <v>43565</v>
      </c>
      <c r="D83" s="15" t="s">
        <v>445</v>
      </c>
      <c r="E83" s="15">
        <v>86</v>
      </c>
      <c r="F83" s="15">
        <v>90</v>
      </c>
      <c r="G83" s="13">
        <v>43651</v>
      </c>
      <c r="H83" s="17">
        <v>1200</v>
      </c>
      <c r="I83" s="19">
        <v>4037.2400000000002</v>
      </c>
      <c r="J83" s="20">
        <v>3.3643666666666645</v>
      </c>
      <c r="K83" s="19">
        <v>2389.91</v>
      </c>
      <c r="L83" s="20">
        <v>1.9915916666666666</v>
      </c>
      <c r="M83" s="21">
        <v>0</v>
      </c>
      <c r="N83" s="19">
        <v>0</v>
      </c>
      <c r="O83" s="23">
        <v>240</v>
      </c>
      <c r="P83" s="24">
        <v>242.3</v>
      </c>
      <c r="Q83" s="25">
        <v>1.0095833333333333</v>
      </c>
      <c r="R83" s="24">
        <v>240</v>
      </c>
      <c r="S83" s="25">
        <v>1</v>
      </c>
      <c r="T83" s="26">
        <v>0.99053333333333338</v>
      </c>
      <c r="U83" s="24">
        <v>0</v>
      </c>
      <c r="V83" s="19">
        <v>1440</v>
      </c>
      <c r="W83" s="19">
        <v>4279.54</v>
      </c>
      <c r="X83" s="21">
        <v>2.9719027777777778</v>
      </c>
      <c r="Y83" s="19">
        <v>2629.91</v>
      </c>
      <c r="Z83" s="20">
        <v>1.8263263888888888</v>
      </c>
      <c r="AA83" s="30">
        <v>8.4000000000000019E-2</v>
      </c>
      <c r="AB83" s="27">
        <v>7.2000000000000008E-2</v>
      </c>
      <c r="AC83" s="27">
        <v>0.09</v>
      </c>
      <c r="AD83" s="11">
        <v>8.3149816954156852E-2</v>
      </c>
    </row>
    <row r="84" spans="1:30" x14ac:dyDescent="0.25">
      <c r="A84" s="13">
        <v>43566</v>
      </c>
      <c r="B84" s="46" t="s">
        <v>636</v>
      </c>
      <c r="C84" s="13">
        <v>43567</v>
      </c>
      <c r="D84" s="15" t="s">
        <v>446</v>
      </c>
      <c r="E84" s="15">
        <v>350</v>
      </c>
      <c r="F84" s="15">
        <v>360</v>
      </c>
      <c r="G84" s="13">
        <v>43917</v>
      </c>
      <c r="H84" s="17">
        <v>2000</v>
      </c>
      <c r="I84" s="19">
        <v>4466.0200000000004</v>
      </c>
      <c r="J84" s="20">
        <v>2.2330099999999993</v>
      </c>
      <c r="K84" s="19">
        <v>2690.52</v>
      </c>
      <c r="L84" s="20">
        <v>1.3452599999999999</v>
      </c>
      <c r="M84" s="21">
        <v>0</v>
      </c>
      <c r="N84" s="19">
        <v>0</v>
      </c>
      <c r="O84" s="23">
        <v>400</v>
      </c>
      <c r="P84" s="24">
        <v>250</v>
      </c>
      <c r="Q84" s="25">
        <v>0.625</v>
      </c>
      <c r="R84" s="24">
        <v>250</v>
      </c>
      <c r="S84" s="25">
        <v>0.625</v>
      </c>
      <c r="T84" s="26">
        <v>0</v>
      </c>
      <c r="U84" s="24">
        <v>0</v>
      </c>
      <c r="V84" s="19">
        <v>2400</v>
      </c>
      <c r="W84" s="19">
        <v>4716.0200000000004</v>
      </c>
      <c r="X84" s="21">
        <v>1.9650083333333335</v>
      </c>
      <c r="Y84" s="19">
        <v>2940.52</v>
      </c>
      <c r="Z84" s="20">
        <v>1.2252166666666666</v>
      </c>
      <c r="AA84" s="30">
        <v>0.10250000000000002</v>
      </c>
      <c r="AB84" s="27">
        <v>7.0000000000000007E-2</v>
      </c>
      <c r="AC84" s="27">
        <v>0.10400000000000001</v>
      </c>
      <c r="AD84" s="11">
        <v>0.10191571757403682</v>
      </c>
    </row>
    <row r="85" spans="1:30" x14ac:dyDescent="0.25">
      <c r="A85" s="13">
        <v>43567</v>
      </c>
      <c r="B85" s="46" t="s">
        <v>636</v>
      </c>
      <c r="C85" s="13">
        <v>43567</v>
      </c>
      <c r="D85" s="15" t="s">
        <v>447</v>
      </c>
      <c r="E85" s="15">
        <v>161</v>
      </c>
      <c r="F85" s="15">
        <v>180</v>
      </c>
      <c r="G85" s="13">
        <v>43728</v>
      </c>
      <c r="H85" s="17">
        <v>1800</v>
      </c>
      <c r="I85" s="19">
        <v>3332.98</v>
      </c>
      <c r="J85" s="20">
        <v>1.8516555555555547</v>
      </c>
      <c r="K85" s="19">
        <v>2959.98</v>
      </c>
      <c r="L85" s="20">
        <v>1.6444333333333334</v>
      </c>
      <c r="M85" s="21">
        <v>0</v>
      </c>
      <c r="N85" s="19">
        <v>0</v>
      </c>
      <c r="O85" s="23">
        <v>360</v>
      </c>
      <c r="P85" s="24">
        <v>19.100000000000001</v>
      </c>
      <c r="Q85" s="25">
        <v>5.305555555555555E-2</v>
      </c>
      <c r="R85" s="24">
        <v>19.100000000000001</v>
      </c>
      <c r="S85" s="25">
        <v>5.3055555555555557E-2</v>
      </c>
      <c r="T85" s="26">
        <v>0</v>
      </c>
      <c r="U85" s="24">
        <v>0</v>
      </c>
      <c r="V85" s="19">
        <v>2160</v>
      </c>
      <c r="W85" s="19">
        <v>3352.08</v>
      </c>
      <c r="X85" s="21">
        <v>1.5518888888888889</v>
      </c>
      <c r="Y85" s="19">
        <v>2979.08</v>
      </c>
      <c r="Z85" s="20">
        <v>1.3792037037037037</v>
      </c>
      <c r="AA85" s="30">
        <v>9.7999999999999907E-2</v>
      </c>
      <c r="AB85" s="27">
        <v>7.4999999999999997E-2</v>
      </c>
      <c r="AC85" s="27">
        <v>0.1</v>
      </c>
      <c r="AD85" s="11">
        <v>9.4518542865543731E-2</v>
      </c>
    </row>
    <row r="86" spans="1:30" x14ac:dyDescent="0.25">
      <c r="A86" s="13">
        <v>43570</v>
      </c>
      <c r="B86" s="46" t="s">
        <v>636</v>
      </c>
      <c r="C86" s="13">
        <v>43570</v>
      </c>
      <c r="D86" s="15" t="s">
        <v>448</v>
      </c>
      <c r="E86" s="15">
        <v>32</v>
      </c>
      <c r="F86" s="15">
        <v>30</v>
      </c>
      <c r="G86" s="13">
        <v>43602</v>
      </c>
      <c r="H86" s="17">
        <v>1000</v>
      </c>
      <c r="I86" s="19">
        <v>2316.06</v>
      </c>
      <c r="J86" s="20">
        <v>2.3160600000000002</v>
      </c>
      <c r="K86" s="19">
        <v>1672.8599999999997</v>
      </c>
      <c r="L86" s="20">
        <v>1.6728599999999996</v>
      </c>
      <c r="M86" s="21">
        <v>0</v>
      </c>
      <c r="N86" s="19">
        <v>0</v>
      </c>
      <c r="O86" s="23">
        <v>200</v>
      </c>
      <c r="P86" s="24">
        <v>0.65</v>
      </c>
      <c r="Q86" s="25">
        <v>3.2500000000000003E-3</v>
      </c>
      <c r="R86" s="24">
        <v>0.65</v>
      </c>
      <c r="S86" s="25">
        <v>3.2500000000000003E-3</v>
      </c>
      <c r="T86" s="26">
        <v>0</v>
      </c>
      <c r="U86" s="24">
        <v>0</v>
      </c>
      <c r="V86" s="19">
        <v>1200</v>
      </c>
      <c r="W86" s="19">
        <v>2316.71</v>
      </c>
      <c r="X86" s="21">
        <v>1.9305916666666667</v>
      </c>
      <c r="Y86" s="19">
        <v>1673.5099999999998</v>
      </c>
      <c r="Z86" s="20">
        <v>1.3945916666666665</v>
      </c>
      <c r="AA86" s="30">
        <v>7.5000000000000067E-2</v>
      </c>
      <c r="AB86" s="27">
        <v>0.06</v>
      </c>
      <c r="AC86" s="27">
        <v>7.9000000000000001E-2</v>
      </c>
      <c r="AD86" s="11">
        <v>7.3336249924440627E-2</v>
      </c>
    </row>
    <row r="87" spans="1:30" x14ac:dyDescent="0.25">
      <c r="A87" s="13">
        <v>43570</v>
      </c>
      <c r="B87" s="46" t="s">
        <v>637</v>
      </c>
      <c r="C87" s="13">
        <v>43570</v>
      </c>
      <c r="D87" s="15" t="s">
        <v>449</v>
      </c>
      <c r="E87" s="15">
        <v>81</v>
      </c>
      <c r="F87" s="15">
        <v>90</v>
      </c>
      <c r="G87" s="13">
        <v>43651</v>
      </c>
      <c r="H87" s="17">
        <v>1000</v>
      </c>
      <c r="I87" s="19">
        <v>1006.8</v>
      </c>
      <c r="J87" s="20">
        <v>1.0067999999999999</v>
      </c>
      <c r="K87" s="19">
        <v>823.35</v>
      </c>
      <c r="L87" s="20">
        <v>0.82335000000000003</v>
      </c>
      <c r="M87" s="21">
        <v>0</v>
      </c>
      <c r="N87" s="19">
        <v>0</v>
      </c>
      <c r="O87" s="23">
        <v>200</v>
      </c>
      <c r="P87" s="24">
        <v>0</v>
      </c>
      <c r="Q87" s="25">
        <v>0</v>
      </c>
      <c r="R87" s="24">
        <v>0</v>
      </c>
      <c r="S87" s="25">
        <v>0</v>
      </c>
      <c r="T87" s="26">
        <v>0</v>
      </c>
      <c r="U87" s="24">
        <v>0</v>
      </c>
      <c r="V87" s="19">
        <v>1200</v>
      </c>
      <c r="W87" s="19">
        <v>1006.8</v>
      </c>
      <c r="X87" s="21">
        <v>0.83899999999999997</v>
      </c>
      <c r="Y87" s="19">
        <v>823.35</v>
      </c>
      <c r="Z87" s="20">
        <v>0.68612499999999998</v>
      </c>
      <c r="AA87" s="30">
        <v>8.3900000000000016E-2</v>
      </c>
      <c r="AB87" s="27">
        <v>7.400000000000001E-2</v>
      </c>
      <c r="AC87" s="27">
        <v>8.8399999999999992E-2</v>
      </c>
      <c r="AD87" s="11">
        <v>8.2907981724274937E-2</v>
      </c>
    </row>
    <row r="88" spans="1:30" x14ac:dyDescent="0.25">
      <c r="A88" s="13">
        <v>43571</v>
      </c>
      <c r="B88" s="46" t="s">
        <v>636</v>
      </c>
      <c r="C88" s="13">
        <v>43572</v>
      </c>
      <c r="D88" s="15" t="s">
        <v>450</v>
      </c>
      <c r="E88" s="15">
        <v>345</v>
      </c>
      <c r="F88" s="15">
        <v>360</v>
      </c>
      <c r="G88" s="13">
        <v>43917</v>
      </c>
      <c r="H88" s="17">
        <v>1800</v>
      </c>
      <c r="I88" s="19">
        <v>1971.54</v>
      </c>
      <c r="J88" s="20">
        <v>1.0952999999999999</v>
      </c>
      <c r="K88" s="19">
        <v>851.54</v>
      </c>
      <c r="L88" s="20">
        <v>0.47307777777777776</v>
      </c>
      <c r="M88" s="21">
        <v>0</v>
      </c>
      <c r="N88" s="19">
        <v>0</v>
      </c>
      <c r="O88" s="23">
        <v>360</v>
      </c>
      <c r="P88" s="24">
        <v>0</v>
      </c>
      <c r="Q88" s="25">
        <v>0</v>
      </c>
      <c r="R88" s="24">
        <v>0</v>
      </c>
      <c r="S88" s="25">
        <v>0</v>
      </c>
      <c r="T88" s="26">
        <v>0</v>
      </c>
      <c r="U88" s="24">
        <v>0</v>
      </c>
      <c r="V88" s="19">
        <v>2160</v>
      </c>
      <c r="W88" s="19">
        <v>1971.54</v>
      </c>
      <c r="X88" s="21">
        <v>0.91274999999999995</v>
      </c>
      <c r="Y88" s="19">
        <v>851.54</v>
      </c>
      <c r="Z88" s="20">
        <v>0.39423148148148146</v>
      </c>
      <c r="AA88" s="30">
        <v>0.10259999999999998</v>
      </c>
      <c r="AB88" s="27">
        <v>9.3000000000000013E-2</v>
      </c>
      <c r="AC88" s="27">
        <v>0.10490000000000001</v>
      </c>
      <c r="AD88" s="11">
        <v>0.10324705306511664</v>
      </c>
    </row>
    <row r="89" spans="1:30" x14ac:dyDescent="0.25">
      <c r="A89" s="13">
        <v>43571</v>
      </c>
      <c r="B89" s="46" t="s">
        <v>637</v>
      </c>
      <c r="C89" s="13">
        <v>43572</v>
      </c>
      <c r="D89" s="15" t="s">
        <v>356</v>
      </c>
      <c r="E89" s="15">
        <v>728</v>
      </c>
      <c r="F89" s="15">
        <v>720</v>
      </c>
      <c r="G89" s="13">
        <v>44300</v>
      </c>
      <c r="H89" s="17">
        <v>800</v>
      </c>
      <c r="I89" s="19">
        <v>1000</v>
      </c>
      <c r="J89" s="20">
        <v>1.25</v>
      </c>
      <c r="K89" s="19">
        <v>500</v>
      </c>
      <c r="L89" s="20">
        <v>0.625</v>
      </c>
      <c r="M89" s="21">
        <v>0</v>
      </c>
      <c r="N89" s="19">
        <v>0</v>
      </c>
      <c r="O89" s="23">
        <v>160</v>
      </c>
      <c r="P89" s="24">
        <v>0</v>
      </c>
      <c r="Q89" s="25">
        <v>0</v>
      </c>
      <c r="R89" s="24">
        <v>0</v>
      </c>
      <c r="S89" s="25">
        <v>0</v>
      </c>
      <c r="T89" s="26">
        <v>0</v>
      </c>
      <c r="U89" s="24">
        <v>0</v>
      </c>
      <c r="V89" s="19">
        <v>960</v>
      </c>
      <c r="W89" s="19">
        <v>1000</v>
      </c>
      <c r="X89" s="21">
        <v>1.0416666666666667</v>
      </c>
      <c r="Y89" s="19">
        <v>500</v>
      </c>
      <c r="Z89" s="20">
        <v>0.52083333333333337</v>
      </c>
      <c r="AA89" s="30">
        <v>0.10310000000000001</v>
      </c>
      <c r="AB89" s="27">
        <v>0.10249999999999999</v>
      </c>
      <c r="AC89" s="27">
        <v>0.1047</v>
      </c>
      <c r="AD89" s="11">
        <v>0.10373</v>
      </c>
    </row>
    <row r="90" spans="1:30" x14ac:dyDescent="0.25">
      <c r="A90" s="13">
        <v>43572</v>
      </c>
      <c r="B90" s="46" t="s">
        <v>636</v>
      </c>
      <c r="C90" s="13">
        <v>43572</v>
      </c>
      <c r="D90" s="15" t="s">
        <v>451</v>
      </c>
      <c r="E90" s="15">
        <v>191</v>
      </c>
      <c r="F90" s="15">
        <v>180</v>
      </c>
      <c r="G90" s="13">
        <v>43763</v>
      </c>
      <c r="H90" s="17">
        <v>1200</v>
      </c>
      <c r="I90" s="19">
        <v>2124.61</v>
      </c>
      <c r="J90" s="20">
        <v>1.7705083333333331</v>
      </c>
      <c r="K90" s="19">
        <v>1899.6100000000001</v>
      </c>
      <c r="L90" s="20">
        <v>1.5830083333333334</v>
      </c>
      <c r="M90" s="21">
        <v>0</v>
      </c>
      <c r="N90" s="19">
        <v>0</v>
      </c>
      <c r="O90" s="23">
        <v>240</v>
      </c>
      <c r="P90" s="24">
        <v>0</v>
      </c>
      <c r="Q90" s="25">
        <v>0</v>
      </c>
      <c r="R90" s="24">
        <v>0</v>
      </c>
      <c r="S90" s="25">
        <v>0</v>
      </c>
      <c r="T90" s="26">
        <v>0</v>
      </c>
      <c r="U90" s="24">
        <v>0</v>
      </c>
      <c r="V90" s="19">
        <v>1440</v>
      </c>
      <c r="W90" s="19">
        <v>2124.61</v>
      </c>
      <c r="X90" s="21">
        <v>1.4754236111111112</v>
      </c>
      <c r="Y90" s="19">
        <v>1899.6100000000001</v>
      </c>
      <c r="Z90" s="20">
        <v>1.3191736111111112</v>
      </c>
      <c r="AA90" s="30">
        <v>9.7999999999999976E-2</v>
      </c>
      <c r="AB90" s="27">
        <v>7.0000000000000007E-2</v>
      </c>
      <c r="AC90" s="27">
        <v>0.1</v>
      </c>
      <c r="AD90" s="11">
        <v>9.7222454944672215E-2</v>
      </c>
    </row>
    <row r="91" spans="1:30" x14ac:dyDescent="0.25">
      <c r="A91" s="13">
        <v>43578</v>
      </c>
      <c r="B91" s="46" t="s">
        <v>636</v>
      </c>
      <c r="C91" s="13">
        <v>43578</v>
      </c>
      <c r="D91" s="15" t="s">
        <v>452</v>
      </c>
      <c r="E91" s="15">
        <v>29</v>
      </c>
      <c r="F91" s="15">
        <v>30</v>
      </c>
      <c r="G91" s="13">
        <v>43607</v>
      </c>
      <c r="H91" s="17">
        <v>1800</v>
      </c>
      <c r="I91" s="19">
        <v>2355.5500000000002</v>
      </c>
      <c r="J91" s="20">
        <v>1.3086388888888889</v>
      </c>
      <c r="K91" s="19">
        <v>1755.55</v>
      </c>
      <c r="L91" s="20">
        <v>0.97530555555555554</v>
      </c>
      <c r="M91" s="21">
        <v>0</v>
      </c>
      <c r="N91" s="19">
        <v>0</v>
      </c>
      <c r="O91" s="23">
        <v>360</v>
      </c>
      <c r="P91" s="24">
        <v>20.78</v>
      </c>
      <c r="Q91" s="25">
        <v>5.7722222222222216E-2</v>
      </c>
      <c r="R91" s="24">
        <v>20.78</v>
      </c>
      <c r="S91" s="25">
        <v>5.7722222222222223E-2</v>
      </c>
      <c r="T91" s="26">
        <v>0</v>
      </c>
      <c r="U91" s="24">
        <v>0</v>
      </c>
      <c r="V91" s="19">
        <v>2160</v>
      </c>
      <c r="W91" s="19">
        <v>2376.3300000000004</v>
      </c>
      <c r="X91" s="21">
        <v>1.100152777777778</v>
      </c>
      <c r="Y91" s="19">
        <v>1776.33</v>
      </c>
      <c r="Z91" s="20">
        <v>0.82237499999999997</v>
      </c>
      <c r="AA91" s="30">
        <v>7.7500000000000027E-2</v>
      </c>
      <c r="AB91" s="27">
        <v>6.5000000000000002E-2</v>
      </c>
      <c r="AC91" s="27">
        <v>8.2299999999999998E-2</v>
      </c>
      <c r="AD91" s="11">
        <v>7.3535777207021674E-2</v>
      </c>
    </row>
    <row r="92" spans="1:30" x14ac:dyDescent="0.25">
      <c r="A92" s="13">
        <v>43579</v>
      </c>
      <c r="B92" s="46" t="s">
        <v>636</v>
      </c>
      <c r="C92" s="13">
        <v>43580</v>
      </c>
      <c r="D92" s="15" t="s">
        <v>357</v>
      </c>
      <c r="E92" s="15">
        <v>720</v>
      </c>
      <c r="F92" s="15">
        <v>720</v>
      </c>
      <c r="G92" s="13">
        <v>44300</v>
      </c>
      <c r="H92" s="17">
        <v>1000</v>
      </c>
      <c r="I92" s="19">
        <v>1780.4</v>
      </c>
      <c r="J92" s="20">
        <v>1.7804</v>
      </c>
      <c r="K92" s="19">
        <v>1230.4000000000001</v>
      </c>
      <c r="L92" s="20">
        <v>1.2304000000000002</v>
      </c>
      <c r="M92" s="21">
        <v>0</v>
      </c>
      <c r="N92" s="19">
        <v>0</v>
      </c>
      <c r="O92" s="23">
        <v>200</v>
      </c>
      <c r="P92" s="24">
        <v>10</v>
      </c>
      <c r="Q92" s="25">
        <v>0.05</v>
      </c>
      <c r="R92" s="24">
        <v>10</v>
      </c>
      <c r="S92" s="25">
        <v>0.05</v>
      </c>
      <c r="T92" s="26">
        <v>0</v>
      </c>
      <c r="U92" s="24">
        <v>0</v>
      </c>
      <c r="V92" s="19">
        <v>1200</v>
      </c>
      <c r="W92" s="19">
        <v>1790.4</v>
      </c>
      <c r="X92" s="21">
        <v>1.492</v>
      </c>
      <c r="Y92" s="19">
        <v>1240.4000000000001</v>
      </c>
      <c r="Z92" s="20">
        <v>1.0336666666666667</v>
      </c>
      <c r="AA92" s="30">
        <v>0.10349999999999998</v>
      </c>
      <c r="AB92" s="27">
        <v>0.1009</v>
      </c>
      <c r="AC92" s="27">
        <v>0.10490000000000001</v>
      </c>
      <c r="AD92" s="11">
        <v>0.10343933947427543</v>
      </c>
    </row>
    <row r="93" spans="1:30" x14ac:dyDescent="0.25">
      <c r="A93" s="13">
        <v>43579</v>
      </c>
      <c r="B93" s="46" t="s">
        <v>637</v>
      </c>
      <c r="C93" s="13">
        <v>43579</v>
      </c>
      <c r="D93" s="15" t="s">
        <v>453</v>
      </c>
      <c r="E93" s="15">
        <v>89</v>
      </c>
      <c r="F93" s="15">
        <v>90</v>
      </c>
      <c r="G93" s="13">
        <v>43668</v>
      </c>
      <c r="H93" s="17">
        <v>1800</v>
      </c>
      <c r="I93" s="19">
        <v>1172.6300000000001</v>
      </c>
      <c r="J93" s="20">
        <v>0.65146111111111127</v>
      </c>
      <c r="K93" s="19">
        <v>776.98</v>
      </c>
      <c r="L93" s="20">
        <v>0.43165555555555557</v>
      </c>
      <c r="M93" s="21">
        <v>0</v>
      </c>
      <c r="N93" s="19">
        <v>0</v>
      </c>
      <c r="O93" s="23">
        <v>360</v>
      </c>
      <c r="P93" s="24">
        <v>15</v>
      </c>
      <c r="Q93" s="25">
        <v>4.1666666666666664E-2</v>
      </c>
      <c r="R93" s="24">
        <v>15</v>
      </c>
      <c r="S93" s="25">
        <v>4.1666666666666664E-2</v>
      </c>
      <c r="T93" s="26">
        <v>0</v>
      </c>
      <c r="U93" s="24">
        <v>0</v>
      </c>
      <c r="V93" s="19">
        <v>2160</v>
      </c>
      <c r="W93" s="19">
        <v>1187.6300000000001</v>
      </c>
      <c r="X93" s="21">
        <v>0.54982870370370374</v>
      </c>
      <c r="Y93" s="19">
        <v>791.98</v>
      </c>
      <c r="Z93" s="20">
        <v>0.36665740740740743</v>
      </c>
      <c r="AA93" s="30">
        <v>8.3599999999999952E-2</v>
      </c>
      <c r="AB93" s="27">
        <v>7.3899999999999993E-2</v>
      </c>
      <c r="AC93" s="27">
        <v>9.6000000000000002E-2</v>
      </c>
      <c r="AD93" s="11">
        <v>8.4667039048975365E-2</v>
      </c>
    </row>
    <row r="94" spans="1:30" x14ac:dyDescent="0.25">
      <c r="A94" s="13">
        <v>43580</v>
      </c>
      <c r="B94" s="46" t="s">
        <v>636</v>
      </c>
      <c r="C94" s="13">
        <v>43581</v>
      </c>
      <c r="D94" s="15" t="s">
        <v>454</v>
      </c>
      <c r="E94" s="15">
        <v>378</v>
      </c>
      <c r="F94" s="15">
        <v>360</v>
      </c>
      <c r="G94" s="13">
        <v>43959</v>
      </c>
      <c r="H94" s="17">
        <v>2000</v>
      </c>
      <c r="I94" s="19">
        <v>1885.38</v>
      </c>
      <c r="J94" s="20">
        <v>0.94269000000000014</v>
      </c>
      <c r="K94" s="19">
        <v>1085.3800000000001</v>
      </c>
      <c r="L94" s="20">
        <v>0.54269000000000001</v>
      </c>
      <c r="M94" s="21">
        <v>0</v>
      </c>
      <c r="N94" s="19">
        <v>0</v>
      </c>
      <c r="O94" s="23">
        <v>400</v>
      </c>
      <c r="P94" s="24">
        <v>50</v>
      </c>
      <c r="Q94" s="25">
        <v>0.125</v>
      </c>
      <c r="R94" s="24">
        <v>50</v>
      </c>
      <c r="S94" s="25">
        <v>0.125</v>
      </c>
      <c r="T94" s="26">
        <v>0</v>
      </c>
      <c r="U94" s="24">
        <v>0</v>
      </c>
      <c r="V94" s="19">
        <v>2400</v>
      </c>
      <c r="W94" s="19">
        <v>1935.38</v>
      </c>
      <c r="X94" s="21">
        <v>0.80640833333333339</v>
      </c>
      <c r="Y94" s="19">
        <v>1135.3800000000001</v>
      </c>
      <c r="Z94" s="20">
        <v>0.47307500000000002</v>
      </c>
      <c r="AA94" s="30">
        <v>0.10269999999999999</v>
      </c>
      <c r="AB94" s="27">
        <v>9.2600000000000002E-2</v>
      </c>
      <c r="AC94" s="27">
        <v>0.1048</v>
      </c>
      <c r="AD94" s="11">
        <v>0.10283491391655793</v>
      </c>
    </row>
    <row r="95" spans="1:30" x14ac:dyDescent="0.25">
      <c r="A95" s="13">
        <v>43581</v>
      </c>
      <c r="B95" s="46" t="s">
        <v>636</v>
      </c>
      <c r="C95" s="13">
        <v>43581</v>
      </c>
      <c r="D95" s="15" t="s">
        <v>455</v>
      </c>
      <c r="E95" s="15">
        <v>182</v>
      </c>
      <c r="F95" s="15">
        <v>180</v>
      </c>
      <c r="G95" s="13">
        <v>43763</v>
      </c>
      <c r="H95" s="17">
        <v>1800</v>
      </c>
      <c r="I95" s="19">
        <v>3075.0699999999997</v>
      </c>
      <c r="J95" s="20">
        <v>1.7083722222222226</v>
      </c>
      <c r="K95" s="19">
        <v>2695.0699999999997</v>
      </c>
      <c r="L95" s="20">
        <v>1.4972611111111109</v>
      </c>
      <c r="M95" s="21">
        <v>0</v>
      </c>
      <c r="N95" s="19">
        <v>0</v>
      </c>
      <c r="O95" s="23">
        <v>360</v>
      </c>
      <c r="P95" s="24">
        <v>38.369999999999997</v>
      </c>
      <c r="Q95" s="25">
        <v>0.10658333333333334</v>
      </c>
      <c r="R95" s="24">
        <v>38.369999999999997</v>
      </c>
      <c r="S95" s="25">
        <v>0.10658333333333332</v>
      </c>
      <c r="T95" s="26">
        <v>0</v>
      </c>
      <c r="U95" s="24">
        <v>0</v>
      </c>
      <c r="V95" s="19">
        <v>2160</v>
      </c>
      <c r="W95" s="19">
        <v>3113.4399999999996</v>
      </c>
      <c r="X95" s="21">
        <v>1.4414074074074072</v>
      </c>
      <c r="Y95" s="19">
        <v>2733.4399999999996</v>
      </c>
      <c r="Z95" s="20">
        <v>1.2654814814814812</v>
      </c>
      <c r="AA95" s="30">
        <v>9.8399999999999876E-2</v>
      </c>
      <c r="AB95" s="27">
        <v>7.4999999999999997E-2</v>
      </c>
      <c r="AC95" s="27">
        <v>0.1</v>
      </c>
      <c r="AD95" s="11">
        <v>9.478616454259578E-2</v>
      </c>
    </row>
    <row r="96" spans="1:30" x14ac:dyDescent="0.25">
      <c r="A96" s="13">
        <v>43584</v>
      </c>
      <c r="B96" s="46" t="s">
        <v>636</v>
      </c>
      <c r="C96" s="13">
        <v>43584</v>
      </c>
      <c r="D96" s="15" t="s">
        <v>456</v>
      </c>
      <c r="E96" s="15">
        <v>28</v>
      </c>
      <c r="F96" s="15">
        <v>30</v>
      </c>
      <c r="G96" s="13">
        <v>43612</v>
      </c>
      <c r="H96" s="17">
        <v>1800</v>
      </c>
      <c r="I96" s="19">
        <v>1604.2300000000002</v>
      </c>
      <c r="J96" s="20">
        <v>0.8912388888888888</v>
      </c>
      <c r="K96" s="19">
        <v>1393.0000000000002</v>
      </c>
      <c r="L96" s="20">
        <v>0.77388888888888907</v>
      </c>
      <c r="M96" s="21">
        <v>0</v>
      </c>
      <c r="N96" s="19">
        <v>0</v>
      </c>
      <c r="O96" s="23">
        <v>360</v>
      </c>
      <c r="P96" s="24">
        <v>130</v>
      </c>
      <c r="Q96" s="25">
        <v>0.3611111111111111</v>
      </c>
      <c r="R96" s="24">
        <v>130</v>
      </c>
      <c r="S96" s="25">
        <v>0.3611111111111111</v>
      </c>
      <c r="T96" s="26">
        <v>0</v>
      </c>
      <c r="U96" s="24">
        <v>0</v>
      </c>
      <c r="V96" s="19">
        <v>2160</v>
      </c>
      <c r="W96" s="19">
        <v>1734.2300000000002</v>
      </c>
      <c r="X96" s="21">
        <v>0.80288425925925933</v>
      </c>
      <c r="Y96" s="19">
        <v>1523.0000000000002</v>
      </c>
      <c r="Z96" s="20">
        <v>0.70509259259259272</v>
      </c>
      <c r="AA96" s="30">
        <v>7.6999999999999971E-2</v>
      </c>
      <c r="AB96" s="27">
        <v>6.7500000000000004E-2</v>
      </c>
      <c r="AC96" s="27">
        <v>8.2500000000000004E-2</v>
      </c>
      <c r="AD96" s="11">
        <v>7.4764659680968432E-2</v>
      </c>
    </row>
    <row r="97" spans="1:30" x14ac:dyDescent="0.25">
      <c r="A97" s="13">
        <v>43584</v>
      </c>
      <c r="B97" s="46" t="s">
        <v>637</v>
      </c>
      <c r="C97" s="13">
        <v>43585</v>
      </c>
      <c r="D97" s="15" t="s">
        <v>358</v>
      </c>
      <c r="E97" s="15">
        <v>715</v>
      </c>
      <c r="F97" s="15">
        <v>720</v>
      </c>
      <c r="G97" s="13">
        <v>44300</v>
      </c>
      <c r="H97" s="17">
        <v>1000</v>
      </c>
      <c r="I97" s="19">
        <v>1750</v>
      </c>
      <c r="J97" s="20">
        <v>1.75</v>
      </c>
      <c r="K97" s="19">
        <v>900</v>
      </c>
      <c r="L97" s="20">
        <v>0.9</v>
      </c>
      <c r="M97" s="21">
        <v>0</v>
      </c>
      <c r="N97" s="19">
        <v>0</v>
      </c>
      <c r="O97" s="23">
        <v>200</v>
      </c>
      <c r="P97" s="24">
        <v>0</v>
      </c>
      <c r="Q97" s="25">
        <v>0</v>
      </c>
      <c r="R97" s="24">
        <v>0</v>
      </c>
      <c r="S97" s="25">
        <v>0</v>
      </c>
      <c r="T97" s="26">
        <v>0</v>
      </c>
      <c r="U97" s="24">
        <v>0</v>
      </c>
      <c r="V97" s="19">
        <v>1200</v>
      </c>
      <c r="W97" s="19">
        <v>1750</v>
      </c>
      <c r="X97" s="21">
        <v>1.4583333333333333</v>
      </c>
      <c r="Y97" s="19">
        <v>900</v>
      </c>
      <c r="Z97" s="20">
        <v>0.75</v>
      </c>
      <c r="AA97" s="30">
        <v>0.1031</v>
      </c>
      <c r="AB97" s="27">
        <v>0.10199999999999999</v>
      </c>
      <c r="AC97" s="27">
        <v>0.10439999999999999</v>
      </c>
      <c r="AD97" s="11">
        <v>0.10346285714285715</v>
      </c>
    </row>
    <row r="98" spans="1:30" x14ac:dyDescent="0.25">
      <c r="A98" s="13">
        <v>43585</v>
      </c>
      <c r="B98" s="46" t="s">
        <v>636</v>
      </c>
      <c r="C98" s="13">
        <v>43585</v>
      </c>
      <c r="D98" s="15" t="s">
        <v>457</v>
      </c>
      <c r="E98" s="15">
        <v>83</v>
      </c>
      <c r="F98" s="15">
        <v>90</v>
      </c>
      <c r="G98" s="13">
        <v>43668</v>
      </c>
      <c r="H98" s="17">
        <v>1500</v>
      </c>
      <c r="I98" s="19">
        <v>803.81000000000006</v>
      </c>
      <c r="J98" s="20">
        <v>0.53587333333333353</v>
      </c>
      <c r="K98" s="19">
        <v>796.54000000000008</v>
      </c>
      <c r="L98" s="20">
        <v>0.53102666666666676</v>
      </c>
      <c r="M98" s="21">
        <v>0</v>
      </c>
      <c r="N98" s="19">
        <v>0</v>
      </c>
      <c r="O98" s="23">
        <v>300</v>
      </c>
      <c r="P98" s="24">
        <v>44.57</v>
      </c>
      <c r="Q98" s="25">
        <v>0.14856666666666668</v>
      </c>
      <c r="R98" s="24">
        <v>44.57</v>
      </c>
      <c r="S98" s="25">
        <v>0.14856666666666668</v>
      </c>
      <c r="T98" s="26">
        <v>0</v>
      </c>
      <c r="U98" s="24">
        <v>0</v>
      </c>
      <c r="V98" s="19">
        <v>1800</v>
      </c>
      <c r="W98" s="19">
        <v>848.38000000000011</v>
      </c>
      <c r="X98" s="21">
        <v>0.47132222222222231</v>
      </c>
      <c r="Y98" s="19">
        <v>841.11000000000013</v>
      </c>
      <c r="Z98" s="20">
        <v>0.46728333333333338</v>
      </c>
      <c r="AA98" s="30">
        <v>8.0000000000000016E-2</v>
      </c>
      <c r="AB98" s="27">
        <v>7.0000000000000007E-2</v>
      </c>
      <c r="AC98" s="27">
        <v>8.6999999999999994E-2</v>
      </c>
      <c r="AD98" s="11">
        <v>7.8095083415234953E-2</v>
      </c>
    </row>
    <row r="99" spans="1:30" x14ac:dyDescent="0.25">
      <c r="A99" s="13">
        <v>43587</v>
      </c>
      <c r="B99" s="46" t="s">
        <v>636</v>
      </c>
      <c r="C99" s="13">
        <v>43588</v>
      </c>
      <c r="D99" s="15" t="s">
        <v>458</v>
      </c>
      <c r="E99" s="15">
        <v>371</v>
      </c>
      <c r="F99" s="15">
        <v>360</v>
      </c>
      <c r="G99" s="13">
        <v>43959</v>
      </c>
      <c r="H99" s="17">
        <v>2500</v>
      </c>
      <c r="I99" s="19">
        <v>3139.75</v>
      </c>
      <c r="J99" s="20">
        <v>1.2559</v>
      </c>
      <c r="K99" s="19">
        <v>1889.75</v>
      </c>
      <c r="L99" s="20">
        <v>0.75590000000000002</v>
      </c>
      <c r="M99" s="21">
        <v>0</v>
      </c>
      <c r="N99" s="19">
        <v>0</v>
      </c>
      <c r="O99" s="23">
        <v>500</v>
      </c>
      <c r="P99" s="24">
        <v>200</v>
      </c>
      <c r="Q99" s="25">
        <v>0.4</v>
      </c>
      <c r="R99" s="24">
        <v>200</v>
      </c>
      <c r="S99" s="25">
        <v>0.4</v>
      </c>
      <c r="T99" s="26">
        <v>0</v>
      </c>
      <c r="U99" s="24">
        <v>0</v>
      </c>
      <c r="V99" s="19">
        <v>3000</v>
      </c>
      <c r="W99" s="19">
        <v>3339.75</v>
      </c>
      <c r="X99" s="21">
        <v>1.1132500000000001</v>
      </c>
      <c r="Y99" s="19">
        <v>2089.75</v>
      </c>
      <c r="Z99" s="20">
        <v>0.69658333333333333</v>
      </c>
      <c r="AA99" s="30">
        <v>0.10289999999999999</v>
      </c>
      <c r="AB99" s="27">
        <v>9.2699999999999991E-2</v>
      </c>
      <c r="AC99" s="27">
        <v>0.1048</v>
      </c>
      <c r="AD99" s="11">
        <v>0.10274862584600683</v>
      </c>
    </row>
    <row r="100" spans="1:30" x14ac:dyDescent="0.25">
      <c r="A100" s="13">
        <v>43588</v>
      </c>
      <c r="B100" s="46" t="s">
        <v>636</v>
      </c>
      <c r="C100" s="13">
        <v>43588</v>
      </c>
      <c r="D100" s="15" t="s">
        <v>459</v>
      </c>
      <c r="E100" s="15">
        <v>182</v>
      </c>
      <c r="F100" s="15">
        <v>180</v>
      </c>
      <c r="G100" s="13">
        <v>43770</v>
      </c>
      <c r="H100" s="17">
        <v>1800</v>
      </c>
      <c r="I100" s="19">
        <v>2893.94</v>
      </c>
      <c r="J100" s="20">
        <v>1.607744444444444</v>
      </c>
      <c r="K100" s="19">
        <v>2501.13</v>
      </c>
      <c r="L100" s="20">
        <v>1.3895166666666667</v>
      </c>
      <c r="M100" s="21">
        <v>0</v>
      </c>
      <c r="N100" s="19">
        <v>0</v>
      </c>
      <c r="O100" s="23">
        <v>360</v>
      </c>
      <c r="P100" s="24">
        <v>0</v>
      </c>
      <c r="Q100" s="25">
        <v>0</v>
      </c>
      <c r="R100" s="24">
        <v>0</v>
      </c>
      <c r="S100" s="25">
        <v>0</v>
      </c>
      <c r="T100" s="26">
        <v>0</v>
      </c>
      <c r="U100" s="24">
        <v>0</v>
      </c>
      <c r="V100" s="19">
        <v>2160</v>
      </c>
      <c r="W100" s="19">
        <v>2893.94</v>
      </c>
      <c r="X100" s="21">
        <v>1.3397870370370371</v>
      </c>
      <c r="Y100" s="19">
        <v>2501.13</v>
      </c>
      <c r="Z100" s="20">
        <v>1.1579305555555557</v>
      </c>
      <c r="AA100" s="30">
        <v>9.7800000000000012E-2</v>
      </c>
      <c r="AB100" s="27">
        <v>7.9899999999999999E-2</v>
      </c>
      <c r="AC100" s="27">
        <v>0.1012</v>
      </c>
      <c r="AD100" s="11">
        <v>9.4434044244179227E-2</v>
      </c>
    </row>
    <row r="101" spans="1:30" x14ac:dyDescent="0.25">
      <c r="A101" s="13">
        <v>43598</v>
      </c>
      <c r="B101" s="46" t="s">
        <v>636</v>
      </c>
      <c r="C101" s="13">
        <v>43598</v>
      </c>
      <c r="D101" s="15" t="s">
        <v>460</v>
      </c>
      <c r="E101" s="15">
        <v>32</v>
      </c>
      <c r="F101" s="15">
        <v>30</v>
      </c>
      <c r="G101" s="13">
        <v>43630</v>
      </c>
      <c r="H101" s="17">
        <v>2000</v>
      </c>
      <c r="I101" s="19">
        <v>1572.95</v>
      </c>
      <c r="J101" s="20">
        <v>0.78647499999999959</v>
      </c>
      <c r="K101" s="19">
        <v>1546.95</v>
      </c>
      <c r="L101" s="20">
        <v>0.77347500000000002</v>
      </c>
      <c r="M101" s="21">
        <v>0</v>
      </c>
      <c r="N101" s="19">
        <v>0</v>
      </c>
      <c r="O101" s="23">
        <v>400</v>
      </c>
      <c r="P101" s="24">
        <v>14</v>
      </c>
      <c r="Q101" s="25">
        <v>3.5000000000000003E-2</v>
      </c>
      <c r="R101" s="24">
        <v>14</v>
      </c>
      <c r="S101" s="25">
        <v>3.5000000000000003E-2</v>
      </c>
      <c r="T101" s="26">
        <v>0</v>
      </c>
      <c r="U101" s="24">
        <v>0</v>
      </c>
      <c r="V101" s="19">
        <v>2400</v>
      </c>
      <c r="W101" s="19">
        <v>1586.95</v>
      </c>
      <c r="X101" s="21">
        <v>0.66122916666666665</v>
      </c>
      <c r="Y101" s="19">
        <v>1560.95</v>
      </c>
      <c r="Z101" s="20">
        <v>0.6503958333333334</v>
      </c>
      <c r="AA101" s="30">
        <v>7.9400000000000026E-2</v>
      </c>
      <c r="AB101" s="27">
        <v>0.05</v>
      </c>
      <c r="AC101" s="27">
        <v>8.5000000000000006E-2</v>
      </c>
      <c r="AD101" s="11">
        <v>7.549070790552781E-2</v>
      </c>
    </row>
    <row r="102" spans="1:30" x14ac:dyDescent="0.25">
      <c r="A102" s="13">
        <v>43599</v>
      </c>
      <c r="B102" s="46" t="s">
        <v>636</v>
      </c>
      <c r="C102" s="13">
        <v>43600</v>
      </c>
      <c r="D102" s="15" t="s">
        <v>359</v>
      </c>
      <c r="E102" s="15">
        <v>700</v>
      </c>
      <c r="F102" s="15">
        <v>720</v>
      </c>
      <c r="G102" s="13">
        <v>44300</v>
      </c>
      <c r="H102" s="17">
        <v>800</v>
      </c>
      <c r="I102" s="19">
        <v>960.55</v>
      </c>
      <c r="J102" s="20">
        <v>1.2006874999999999</v>
      </c>
      <c r="K102" s="19">
        <v>400.55</v>
      </c>
      <c r="L102" s="20">
        <v>0.50068750000000006</v>
      </c>
      <c r="M102" s="21">
        <v>0</v>
      </c>
      <c r="N102" s="19">
        <v>0</v>
      </c>
      <c r="O102" s="23">
        <v>160</v>
      </c>
      <c r="P102" s="24">
        <v>75</v>
      </c>
      <c r="Q102" s="25">
        <v>0.46875</v>
      </c>
      <c r="R102" s="24">
        <v>75</v>
      </c>
      <c r="S102" s="25">
        <v>0.46875</v>
      </c>
      <c r="T102" s="26">
        <v>0</v>
      </c>
      <c r="U102" s="24">
        <v>0</v>
      </c>
      <c r="V102" s="19">
        <v>960</v>
      </c>
      <c r="W102" s="19">
        <v>1035.55</v>
      </c>
      <c r="X102" s="21">
        <v>1.0786979166666666</v>
      </c>
      <c r="Y102" s="19">
        <v>475.55</v>
      </c>
      <c r="Z102" s="20">
        <v>0.49536458333333333</v>
      </c>
      <c r="AA102" s="30">
        <v>0.10350000000000001</v>
      </c>
      <c r="AB102" s="27">
        <v>0.1027</v>
      </c>
      <c r="AC102" s="27">
        <v>0.11</v>
      </c>
      <c r="AD102" s="11">
        <v>0.10577994378220812</v>
      </c>
    </row>
    <row r="103" spans="1:30" x14ac:dyDescent="0.25">
      <c r="A103" s="13">
        <v>43600</v>
      </c>
      <c r="B103" s="46" t="s">
        <v>636</v>
      </c>
      <c r="C103" s="13">
        <v>43600</v>
      </c>
      <c r="D103" s="15" t="s">
        <v>461</v>
      </c>
      <c r="E103" s="15">
        <v>93</v>
      </c>
      <c r="F103" s="15">
        <v>90</v>
      </c>
      <c r="G103" s="13">
        <v>43693</v>
      </c>
      <c r="H103" s="17">
        <v>800</v>
      </c>
      <c r="I103" s="19">
        <v>376.4</v>
      </c>
      <c r="J103" s="20">
        <v>0.47049999999999997</v>
      </c>
      <c r="K103" s="19">
        <v>208.96999999999994</v>
      </c>
      <c r="L103" s="20">
        <v>0.2612124999999999</v>
      </c>
      <c r="M103" s="21">
        <v>0</v>
      </c>
      <c r="N103" s="19">
        <v>0</v>
      </c>
      <c r="O103" s="23">
        <v>160</v>
      </c>
      <c r="P103" s="24">
        <v>0.45</v>
      </c>
      <c r="Q103" s="25">
        <v>2.8124999999999999E-3</v>
      </c>
      <c r="R103" s="24">
        <v>0.45</v>
      </c>
      <c r="S103" s="25">
        <v>2.8124999999999999E-3</v>
      </c>
      <c r="T103" s="26">
        <v>0</v>
      </c>
      <c r="U103" s="24">
        <v>0</v>
      </c>
      <c r="V103" s="19">
        <v>960</v>
      </c>
      <c r="W103" s="19">
        <v>376.84999999999997</v>
      </c>
      <c r="X103" s="21">
        <v>0.3925520833333333</v>
      </c>
      <c r="Y103" s="19">
        <v>209.41999999999993</v>
      </c>
      <c r="Z103" s="20">
        <v>0.21814583333333326</v>
      </c>
      <c r="AA103" s="30">
        <v>8.0000000000000016E-2</v>
      </c>
      <c r="AB103" s="27">
        <v>7.0999999999999994E-2</v>
      </c>
      <c r="AC103" s="27">
        <v>9.2499999999999999E-2</v>
      </c>
      <c r="AD103" s="11">
        <v>8.1659909670563233E-2</v>
      </c>
    </row>
    <row r="104" spans="1:30" x14ac:dyDescent="0.25">
      <c r="A104" s="13">
        <v>43601</v>
      </c>
      <c r="B104" s="46" t="s">
        <v>636</v>
      </c>
      <c r="C104" s="13">
        <v>43602</v>
      </c>
      <c r="D104" s="15" t="s">
        <v>462</v>
      </c>
      <c r="E104" s="15">
        <v>357</v>
      </c>
      <c r="F104" s="15">
        <v>360</v>
      </c>
      <c r="G104" s="13">
        <v>43959</v>
      </c>
      <c r="H104" s="17">
        <v>1500</v>
      </c>
      <c r="I104" s="19">
        <v>941.75</v>
      </c>
      <c r="J104" s="20">
        <v>0.62783333333333324</v>
      </c>
      <c r="K104" s="19">
        <v>741.75</v>
      </c>
      <c r="L104" s="20">
        <v>0.4945</v>
      </c>
      <c r="M104" s="21">
        <v>0</v>
      </c>
      <c r="N104" s="19">
        <v>0</v>
      </c>
      <c r="O104" s="23">
        <v>300</v>
      </c>
      <c r="P104" s="24">
        <v>10</v>
      </c>
      <c r="Q104" s="25">
        <v>3.3333333333333333E-2</v>
      </c>
      <c r="R104" s="24">
        <v>10</v>
      </c>
      <c r="S104" s="25">
        <v>3.3333333333333333E-2</v>
      </c>
      <c r="T104" s="26">
        <v>0</v>
      </c>
      <c r="U104" s="24">
        <v>0</v>
      </c>
      <c r="V104" s="19">
        <v>1800</v>
      </c>
      <c r="W104" s="19">
        <v>951.75</v>
      </c>
      <c r="X104" s="21">
        <v>0.52875000000000005</v>
      </c>
      <c r="Y104" s="19">
        <v>751.75</v>
      </c>
      <c r="Z104" s="20">
        <v>0.41763888888888889</v>
      </c>
      <c r="AA104" s="30">
        <v>0.10390000000000005</v>
      </c>
      <c r="AB104" s="27">
        <v>0.09</v>
      </c>
      <c r="AC104" s="27">
        <v>0.10490000000000001</v>
      </c>
      <c r="AD104" s="11">
        <v>0.10222382267056014</v>
      </c>
    </row>
    <row r="105" spans="1:30" x14ac:dyDescent="0.25">
      <c r="A105" s="13">
        <v>43602</v>
      </c>
      <c r="B105" s="46" t="s">
        <v>636</v>
      </c>
      <c r="C105" s="13">
        <v>43602</v>
      </c>
      <c r="D105" s="15" t="s">
        <v>463</v>
      </c>
      <c r="E105" s="15">
        <v>168</v>
      </c>
      <c r="F105" s="15">
        <v>180</v>
      </c>
      <c r="G105" s="13">
        <v>43770</v>
      </c>
      <c r="H105" s="17">
        <v>800</v>
      </c>
      <c r="I105" s="19">
        <v>1880.49</v>
      </c>
      <c r="J105" s="20">
        <v>2.3506125</v>
      </c>
      <c r="K105" s="19">
        <v>1250.4899999999998</v>
      </c>
      <c r="L105" s="20">
        <v>1.5631124999999997</v>
      </c>
      <c r="M105" s="21">
        <v>0</v>
      </c>
      <c r="N105" s="19">
        <v>0</v>
      </c>
      <c r="O105" s="23">
        <v>160</v>
      </c>
      <c r="P105" s="24">
        <v>162.75</v>
      </c>
      <c r="Q105" s="25">
        <v>1.0171874999999999</v>
      </c>
      <c r="R105" s="24">
        <v>160</v>
      </c>
      <c r="S105" s="25">
        <v>1</v>
      </c>
      <c r="T105" s="26">
        <v>0.98310312500000008</v>
      </c>
      <c r="U105" s="24">
        <v>0</v>
      </c>
      <c r="V105" s="19">
        <v>960</v>
      </c>
      <c r="W105" s="19">
        <v>2043.24</v>
      </c>
      <c r="X105" s="21">
        <v>2.1283750000000001</v>
      </c>
      <c r="Y105" s="19">
        <v>1410.4899999999998</v>
      </c>
      <c r="Z105" s="20">
        <v>1.4692604166666665</v>
      </c>
      <c r="AA105" s="30">
        <v>9.7000000000000169E-2</v>
      </c>
      <c r="AB105" s="27">
        <v>0.08</v>
      </c>
      <c r="AC105" s="27">
        <v>0.1</v>
      </c>
      <c r="AD105" s="11">
        <v>9.3833274837941211E-2</v>
      </c>
    </row>
    <row r="106" spans="1:30" x14ac:dyDescent="0.25">
      <c r="A106" s="13">
        <v>43605</v>
      </c>
      <c r="B106" s="46" t="s">
        <v>636</v>
      </c>
      <c r="C106" s="13">
        <v>43605</v>
      </c>
      <c r="D106" s="15" t="s">
        <v>464</v>
      </c>
      <c r="E106" s="15">
        <v>28</v>
      </c>
      <c r="F106" s="15">
        <v>30</v>
      </c>
      <c r="G106" s="13">
        <v>43633</v>
      </c>
      <c r="H106" s="17">
        <v>800</v>
      </c>
      <c r="I106" s="19">
        <v>1077.6299999999999</v>
      </c>
      <c r="J106" s="20">
        <v>1.3470374999999999</v>
      </c>
      <c r="K106" s="19">
        <v>982.63</v>
      </c>
      <c r="L106" s="20">
        <v>1.2282875</v>
      </c>
      <c r="M106" s="21">
        <v>0</v>
      </c>
      <c r="N106" s="19">
        <v>0</v>
      </c>
      <c r="O106" s="23">
        <v>160</v>
      </c>
      <c r="P106" s="24">
        <v>0.19</v>
      </c>
      <c r="Q106" s="25">
        <v>1.1875E-3</v>
      </c>
      <c r="R106" s="24">
        <v>0.19</v>
      </c>
      <c r="S106" s="25">
        <v>1.1875E-3</v>
      </c>
      <c r="T106" s="26">
        <v>0</v>
      </c>
      <c r="U106" s="24">
        <v>0</v>
      </c>
      <c r="V106" s="19">
        <v>960</v>
      </c>
      <c r="W106" s="19">
        <v>1077.82</v>
      </c>
      <c r="X106" s="21">
        <v>1.1227291666666666</v>
      </c>
      <c r="Y106" s="19">
        <v>982.82</v>
      </c>
      <c r="Z106" s="20">
        <v>1.0237708333333333</v>
      </c>
      <c r="AA106" s="30">
        <v>7.9000000000000056E-2</v>
      </c>
      <c r="AB106" s="27">
        <v>0.06</v>
      </c>
      <c r="AC106" s="27">
        <v>8.5000000000000006E-2</v>
      </c>
      <c r="AD106" s="11">
        <v>7.4223612000408321E-2</v>
      </c>
    </row>
    <row r="107" spans="1:30" x14ac:dyDescent="0.25">
      <c r="A107" s="13">
        <v>43606</v>
      </c>
      <c r="B107" s="46" t="s">
        <v>636</v>
      </c>
      <c r="C107" s="13">
        <v>43607</v>
      </c>
      <c r="D107" s="15" t="s">
        <v>360</v>
      </c>
      <c r="E107" s="15">
        <v>749</v>
      </c>
      <c r="F107" s="15">
        <v>720</v>
      </c>
      <c r="G107" s="13">
        <v>44356</v>
      </c>
      <c r="H107" s="17">
        <v>400</v>
      </c>
      <c r="I107" s="19">
        <v>345.6</v>
      </c>
      <c r="J107" s="20">
        <v>0.86399999999999999</v>
      </c>
      <c r="K107" s="19">
        <v>295.60000000000002</v>
      </c>
      <c r="L107" s="20">
        <v>0.7390000000000001</v>
      </c>
      <c r="M107" s="21">
        <v>0</v>
      </c>
      <c r="N107" s="19">
        <v>0</v>
      </c>
      <c r="O107" s="23">
        <v>80</v>
      </c>
      <c r="P107" s="24">
        <v>0</v>
      </c>
      <c r="Q107" s="25">
        <v>0</v>
      </c>
      <c r="R107" s="24">
        <v>0</v>
      </c>
      <c r="S107" s="25">
        <v>0</v>
      </c>
      <c r="T107" s="26">
        <v>0</v>
      </c>
      <c r="U107" s="24">
        <v>0</v>
      </c>
      <c r="V107" s="19">
        <v>480</v>
      </c>
      <c r="W107" s="19">
        <v>345.6</v>
      </c>
      <c r="X107" s="21">
        <v>0.72000000000000008</v>
      </c>
      <c r="Y107" s="19">
        <v>295.60000000000002</v>
      </c>
      <c r="Z107" s="20">
        <v>0.61583333333333334</v>
      </c>
      <c r="AA107" s="30">
        <v>0.10430000000000002</v>
      </c>
      <c r="AB107" s="27">
        <v>0.09</v>
      </c>
      <c r="AC107" s="27">
        <v>0.1047</v>
      </c>
      <c r="AD107" s="11">
        <v>0.10345486111111112</v>
      </c>
    </row>
    <row r="108" spans="1:30" x14ac:dyDescent="0.25">
      <c r="A108" s="13">
        <v>43607</v>
      </c>
      <c r="B108" s="46" t="s">
        <v>636</v>
      </c>
      <c r="C108" s="13">
        <v>43607</v>
      </c>
      <c r="D108" s="15" t="s">
        <v>465</v>
      </c>
      <c r="E108" s="15">
        <v>86</v>
      </c>
      <c r="F108" s="15">
        <v>90</v>
      </c>
      <c r="G108" s="13">
        <v>43693</v>
      </c>
      <c r="H108" s="17">
        <v>400</v>
      </c>
      <c r="I108" s="19">
        <v>819.09000000000015</v>
      </c>
      <c r="J108" s="20">
        <v>2.0477250000000002</v>
      </c>
      <c r="K108" s="19">
        <v>693.46</v>
      </c>
      <c r="L108" s="20">
        <v>1.7336500000000001</v>
      </c>
      <c r="M108" s="21">
        <v>0</v>
      </c>
      <c r="N108" s="19">
        <v>0</v>
      </c>
      <c r="O108" s="23">
        <v>80</v>
      </c>
      <c r="P108" s="24">
        <v>19.100000000000001</v>
      </c>
      <c r="Q108" s="25">
        <v>0.23874999999999999</v>
      </c>
      <c r="R108" s="24">
        <v>19.100000000000001</v>
      </c>
      <c r="S108" s="25">
        <v>0.23875000000000002</v>
      </c>
      <c r="T108" s="26">
        <v>0</v>
      </c>
      <c r="U108" s="24">
        <v>0</v>
      </c>
      <c r="V108" s="19">
        <v>480</v>
      </c>
      <c r="W108" s="19">
        <v>838.19000000000017</v>
      </c>
      <c r="X108" s="21">
        <v>1.7462291666666669</v>
      </c>
      <c r="Y108" s="19">
        <v>712.56000000000006</v>
      </c>
      <c r="Z108" s="20">
        <v>1.4845000000000002</v>
      </c>
      <c r="AA108" s="30">
        <v>8.4299999999999986E-2</v>
      </c>
      <c r="AB108" s="27">
        <v>7.0000000000000007E-2</v>
      </c>
      <c r="AC108" s="27">
        <v>0.09</v>
      </c>
      <c r="AD108" s="11">
        <v>8.0606148286513066E-2</v>
      </c>
    </row>
    <row r="109" spans="1:30" x14ac:dyDescent="0.25">
      <c r="A109" s="13">
        <v>43608</v>
      </c>
      <c r="B109" s="46" t="s">
        <v>636</v>
      </c>
      <c r="C109" s="13">
        <v>43609</v>
      </c>
      <c r="D109" s="15" t="s">
        <v>466</v>
      </c>
      <c r="E109" s="15">
        <v>350</v>
      </c>
      <c r="F109" s="15">
        <v>360</v>
      </c>
      <c r="G109" s="13">
        <v>43959</v>
      </c>
      <c r="H109" s="17">
        <v>400</v>
      </c>
      <c r="I109" s="19">
        <v>607.56999999999982</v>
      </c>
      <c r="J109" s="20">
        <v>1.5189249999999996</v>
      </c>
      <c r="K109" s="19">
        <v>607.56999999999982</v>
      </c>
      <c r="L109" s="20">
        <v>1.5189249999999996</v>
      </c>
      <c r="M109" s="21">
        <v>0</v>
      </c>
      <c r="N109" s="19">
        <v>0</v>
      </c>
      <c r="O109" s="23">
        <v>80</v>
      </c>
      <c r="P109" s="24">
        <v>10</v>
      </c>
      <c r="Q109" s="25">
        <v>0.125</v>
      </c>
      <c r="R109" s="24">
        <v>10</v>
      </c>
      <c r="S109" s="25">
        <v>0.125</v>
      </c>
      <c r="T109" s="26">
        <v>0</v>
      </c>
      <c r="U109" s="24">
        <v>0</v>
      </c>
      <c r="V109" s="19">
        <v>480</v>
      </c>
      <c r="W109" s="19">
        <v>617.56999999999982</v>
      </c>
      <c r="X109" s="21">
        <v>1.2866041666666663</v>
      </c>
      <c r="Y109" s="19">
        <v>617.56999999999982</v>
      </c>
      <c r="Z109" s="20">
        <v>1.2866041666666663</v>
      </c>
      <c r="AA109" s="30">
        <v>0.10429999999999999</v>
      </c>
      <c r="AB109" s="27">
        <v>8.4000000000000005E-2</v>
      </c>
      <c r="AC109" s="27">
        <v>0.1043</v>
      </c>
      <c r="AD109" s="11">
        <v>0.10302997185509491</v>
      </c>
    </row>
    <row r="110" spans="1:30" x14ac:dyDescent="0.25">
      <c r="A110" s="13">
        <v>43609</v>
      </c>
      <c r="B110" s="46" t="s">
        <v>636</v>
      </c>
      <c r="C110" s="13">
        <v>43609</v>
      </c>
      <c r="D110" s="15" t="s">
        <v>467</v>
      </c>
      <c r="E110" s="15">
        <v>161</v>
      </c>
      <c r="F110" s="15">
        <v>180</v>
      </c>
      <c r="G110" s="13">
        <v>43770</v>
      </c>
      <c r="H110" s="17">
        <v>400</v>
      </c>
      <c r="I110" s="19">
        <v>1740.4099999999999</v>
      </c>
      <c r="J110" s="20">
        <v>4.3510250000000008</v>
      </c>
      <c r="K110" s="19">
        <v>799.99999999999989</v>
      </c>
      <c r="L110" s="20">
        <v>1.9999999999999998</v>
      </c>
      <c r="M110" s="21">
        <v>0.11482889733840304</v>
      </c>
      <c r="N110" s="19">
        <v>0</v>
      </c>
      <c r="O110" s="23">
        <v>80</v>
      </c>
      <c r="P110" s="24">
        <v>80</v>
      </c>
      <c r="Q110" s="25">
        <v>1</v>
      </c>
      <c r="R110" s="24">
        <v>80</v>
      </c>
      <c r="S110" s="25">
        <v>1</v>
      </c>
      <c r="T110" s="26">
        <v>0</v>
      </c>
      <c r="U110" s="24">
        <v>0</v>
      </c>
      <c r="V110" s="19">
        <v>480</v>
      </c>
      <c r="W110" s="19">
        <v>1820.4099999999999</v>
      </c>
      <c r="X110" s="21">
        <v>3.7925208333333331</v>
      </c>
      <c r="Y110" s="19">
        <v>879.99999999999989</v>
      </c>
      <c r="Z110" s="20">
        <v>1.833333333333333</v>
      </c>
      <c r="AA110" s="30">
        <v>9.5499999999999974E-2</v>
      </c>
      <c r="AB110" s="27">
        <v>7.4999999999999997E-2</v>
      </c>
      <c r="AC110" s="27">
        <v>0.1173</v>
      </c>
      <c r="AD110" s="11">
        <v>9.4611385822880839E-2</v>
      </c>
    </row>
    <row r="111" spans="1:30" x14ac:dyDescent="0.25">
      <c r="A111" s="13">
        <v>43619</v>
      </c>
      <c r="B111" s="46" t="s">
        <v>636</v>
      </c>
      <c r="C111" s="13">
        <v>43619</v>
      </c>
      <c r="D111" s="15" t="s">
        <v>468</v>
      </c>
      <c r="E111" s="15">
        <v>28</v>
      </c>
      <c r="F111" s="15">
        <v>30</v>
      </c>
      <c r="G111" s="13">
        <v>43647</v>
      </c>
      <c r="H111" s="17">
        <v>2000</v>
      </c>
      <c r="I111" s="19">
        <v>2331.3099999999995</v>
      </c>
      <c r="J111" s="20">
        <v>1.1656549999999997</v>
      </c>
      <c r="K111" s="19">
        <v>1981.31</v>
      </c>
      <c r="L111" s="20">
        <v>0.99065499999999995</v>
      </c>
      <c r="M111" s="21">
        <v>0</v>
      </c>
      <c r="N111" s="19">
        <v>0</v>
      </c>
      <c r="O111" s="23">
        <v>400</v>
      </c>
      <c r="P111" s="24">
        <v>70.8</v>
      </c>
      <c r="Q111" s="25">
        <v>0.17699999999999999</v>
      </c>
      <c r="R111" s="24">
        <v>70.8</v>
      </c>
      <c r="S111" s="25">
        <v>0.17699999999999999</v>
      </c>
      <c r="T111" s="26">
        <v>0</v>
      </c>
      <c r="U111" s="24">
        <v>0</v>
      </c>
      <c r="V111" s="19">
        <v>2400</v>
      </c>
      <c r="W111" s="19">
        <v>2402.1099999999997</v>
      </c>
      <c r="X111" s="21">
        <v>1.0008791666666665</v>
      </c>
      <c r="Y111" s="19">
        <v>2052.11</v>
      </c>
      <c r="Z111" s="20">
        <v>0.85504583333333339</v>
      </c>
      <c r="AA111" s="30">
        <v>8.0400000000000013E-2</v>
      </c>
      <c r="AB111" s="27">
        <v>6.5000000000000002E-2</v>
      </c>
      <c r="AC111" s="27">
        <v>9.1700000000000004E-2</v>
      </c>
      <c r="AD111" s="11">
        <v>7.7489349335781207E-2</v>
      </c>
    </row>
    <row r="112" spans="1:30" x14ac:dyDescent="0.25">
      <c r="A112" s="13">
        <v>43620</v>
      </c>
      <c r="B112" s="46" t="s">
        <v>636</v>
      </c>
      <c r="C112" s="13">
        <v>43621</v>
      </c>
      <c r="D112" s="15" t="s">
        <v>361</v>
      </c>
      <c r="E112" s="15">
        <v>735</v>
      </c>
      <c r="F112" s="15">
        <v>720</v>
      </c>
      <c r="G112" s="13">
        <v>44356</v>
      </c>
      <c r="H112" s="17">
        <v>800</v>
      </c>
      <c r="I112" s="19">
        <v>1052.57</v>
      </c>
      <c r="J112" s="20">
        <v>1.3157125000000001</v>
      </c>
      <c r="K112" s="19">
        <v>902.56999999999994</v>
      </c>
      <c r="L112" s="20">
        <v>1.1282124999999998</v>
      </c>
      <c r="M112" s="21">
        <v>0</v>
      </c>
      <c r="N112" s="19">
        <v>0</v>
      </c>
      <c r="O112" s="23">
        <v>160</v>
      </c>
      <c r="P112" s="24">
        <v>100</v>
      </c>
      <c r="Q112" s="25">
        <v>0.625</v>
      </c>
      <c r="R112" s="24">
        <v>100</v>
      </c>
      <c r="S112" s="25">
        <v>0.625</v>
      </c>
      <c r="T112" s="26">
        <v>0</v>
      </c>
      <c r="U112" s="24">
        <v>0</v>
      </c>
      <c r="V112" s="19">
        <v>960</v>
      </c>
      <c r="W112" s="19">
        <v>1152.57</v>
      </c>
      <c r="X112" s="21">
        <v>1.2005937499999999</v>
      </c>
      <c r="Y112" s="19">
        <v>1002.5699999999999</v>
      </c>
      <c r="Z112" s="20">
        <v>1.0443437499999999</v>
      </c>
      <c r="AA112" s="30">
        <v>0.10450000000000002</v>
      </c>
      <c r="AB112" s="27">
        <v>0.1</v>
      </c>
      <c r="AC112" s="27">
        <v>0.11</v>
      </c>
      <c r="AD112" s="11">
        <v>0.10438213135468427</v>
      </c>
    </row>
    <row r="113" spans="1:30" x14ac:dyDescent="0.25">
      <c r="A113" s="13">
        <v>43621</v>
      </c>
      <c r="B113" s="46" t="s">
        <v>636</v>
      </c>
      <c r="C113" s="13">
        <v>43621</v>
      </c>
      <c r="D113" s="15" t="s">
        <v>469</v>
      </c>
      <c r="E113" s="15">
        <v>91</v>
      </c>
      <c r="F113" s="15">
        <v>90</v>
      </c>
      <c r="G113" s="13">
        <v>43712</v>
      </c>
      <c r="H113" s="17">
        <v>1000</v>
      </c>
      <c r="I113" s="19">
        <v>3408.4400000000005</v>
      </c>
      <c r="J113" s="20">
        <v>3.4084400000000001</v>
      </c>
      <c r="K113" s="19">
        <v>1999.9999999999998</v>
      </c>
      <c r="L113" s="20">
        <v>1.9999999999999998</v>
      </c>
      <c r="M113" s="21">
        <v>0.98963333333333336</v>
      </c>
      <c r="N113" s="19">
        <v>0</v>
      </c>
      <c r="O113" s="23">
        <v>200</v>
      </c>
      <c r="P113" s="24">
        <v>500.5</v>
      </c>
      <c r="Q113" s="25">
        <v>2.5024999999999999</v>
      </c>
      <c r="R113" s="24">
        <v>200.00000000000003</v>
      </c>
      <c r="S113" s="25">
        <v>1.0000000000000002</v>
      </c>
      <c r="T113" s="26">
        <v>0.39960050000000003</v>
      </c>
      <c r="U113" s="24">
        <v>0</v>
      </c>
      <c r="V113" s="19">
        <v>1200</v>
      </c>
      <c r="W113" s="19">
        <v>3908.9400000000005</v>
      </c>
      <c r="X113" s="21">
        <v>3.2574500000000004</v>
      </c>
      <c r="Y113" s="19">
        <v>2200</v>
      </c>
      <c r="Z113" s="20">
        <v>1.8333333333333333</v>
      </c>
      <c r="AA113" s="30">
        <v>8.2499999999999948E-2</v>
      </c>
      <c r="AB113" s="27">
        <v>0.06</v>
      </c>
      <c r="AC113" s="27">
        <v>0.1017</v>
      </c>
      <c r="AD113" s="11">
        <v>8.3472962997735031E-2</v>
      </c>
    </row>
    <row r="114" spans="1:30" x14ac:dyDescent="0.25">
      <c r="A114" s="13">
        <v>43622</v>
      </c>
      <c r="B114" s="46" t="s">
        <v>636</v>
      </c>
      <c r="C114" s="13">
        <v>43623</v>
      </c>
      <c r="D114" s="15" t="s">
        <v>470</v>
      </c>
      <c r="E114" s="15">
        <v>369</v>
      </c>
      <c r="F114" s="15">
        <v>360</v>
      </c>
      <c r="G114" s="13">
        <v>43992</v>
      </c>
      <c r="H114" s="17">
        <v>1500</v>
      </c>
      <c r="I114" s="19">
        <v>3150.7999999999997</v>
      </c>
      <c r="J114" s="20">
        <v>2.1005333333333329</v>
      </c>
      <c r="K114" s="19">
        <v>2999.9999999999995</v>
      </c>
      <c r="L114" s="20">
        <v>1.9999999999999998</v>
      </c>
      <c r="M114" s="21">
        <v>0.99199999999999999</v>
      </c>
      <c r="N114" s="19">
        <v>0</v>
      </c>
      <c r="O114" s="23">
        <v>300</v>
      </c>
      <c r="P114" s="24">
        <v>101</v>
      </c>
      <c r="Q114" s="25">
        <v>0.33666666666666667</v>
      </c>
      <c r="R114" s="24">
        <v>101</v>
      </c>
      <c r="S114" s="25">
        <v>0.33666666666666667</v>
      </c>
      <c r="T114" s="26">
        <v>0</v>
      </c>
      <c r="U114" s="24">
        <v>0</v>
      </c>
      <c r="V114" s="19">
        <v>1800</v>
      </c>
      <c r="W114" s="19">
        <v>3251.7999999999997</v>
      </c>
      <c r="X114" s="21">
        <v>1.8065555555555555</v>
      </c>
      <c r="Y114" s="19">
        <v>3100.9999999999995</v>
      </c>
      <c r="Z114" s="20">
        <v>1.7227777777777775</v>
      </c>
      <c r="AA114" s="30">
        <v>0.10440000000000003</v>
      </c>
      <c r="AB114" s="27">
        <v>0.09</v>
      </c>
      <c r="AC114" s="27">
        <v>0.105</v>
      </c>
      <c r="AD114" s="11">
        <v>0.10306529579789261</v>
      </c>
    </row>
    <row r="115" spans="1:30" x14ac:dyDescent="0.25">
      <c r="A115" s="13">
        <v>43623</v>
      </c>
      <c r="B115" s="46" t="s">
        <v>636</v>
      </c>
      <c r="C115" s="13">
        <v>43623</v>
      </c>
      <c r="D115" s="15" t="s">
        <v>471</v>
      </c>
      <c r="E115" s="15">
        <v>189</v>
      </c>
      <c r="F115" s="15">
        <v>180</v>
      </c>
      <c r="G115" s="13">
        <v>43812</v>
      </c>
      <c r="H115" s="17">
        <v>1500</v>
      </c>
      <c r="I115" s="19">
        <v>3841.4900000000002</v>
      </c>
      <c r="J115" s="20">
        <v>2.5609933333333332</v>
      </c>
      <c r="K115" s="19">
        <v>2546.4900000000002</v>
      </c>
      <c r="L115" s="20">
        <v>1.6976600000000002</v>
      </c>
      <c r="M115" s="21">
        <v>0</v>
      </c>
      <c r="N115" s="19">
        <v>0</v>
      </c>
      <c r="O115" s="23">
        <v>300</v>
      </c>
      <c r="P115" s="24">
        <v>300</v>
      </c>
      <c r="Q115" s="25">
        <v>1</v>
      </c>
      <c r="R115" s="24">
        <v>300</v>
      </c>
      <c r="S115" s="25">
        <v>1</v>
      </c>
      <c r="T115" s="26">
        <v>0</v>
      </c>
      <c r="U115" s="24">
        <v>0</v>
      </c>
      <c r="V115" s="19">
        <v>1800</v>
      </c>
      <c r="W115" s="19">
        <v>4141.49</v>
      </c>
      <c r="X115" s="21">
        <v>2.3008277777777777</v>
      </c>
      <c r="Y115" s="19">
        <v>2846.4900000000002</v>
      </c>
      <c r="Z115" s="20">
        <v>1.5813833333333334</v>
      </c>
      <c r="AA115" s="30">
        <v>9.6499999999999878E-2</v>
      </c>
      <c r="AB115" s="27">
        <v>0.08</v>
      </c>
      <c r="AC115" s="27">
        <v>0.1</v>
      </c>
      <c r="AD115" s="11">
        <v>9.5612940551712988E-2</v>
      </c>
    </row>
    <row r="116" spans="1:30" x14ac:dyDescent="0.25">
      <c r="A116" s="13">
        <v>43626</v>
      </c>
      <c r="B116" s="46" t="s">
        <v>636</v>
      </c>
      <c r="C116" s="13">
        <v>43626</v>
      </c>
      <c r="D116" s="15" t="s">
        <v>472</v>
      </c>
      <c r="E116" s="15">
        <v>28</v>
      </c>
      <c r="F116" s="15">
        <v>30</v>
      </c>
      <c r="G116" s="13">
        <v>43654</v>
      </c>
      <c r="H116" s="17">
        <v>2000</v>
      </c>
      <c r="I116" s="19">
        <v>3113.54</v>
      </c>
      <c r="J116" s="20">
        <v>1.5567700000000009</v>
      </c>
      <c r="K116" s="19">
        <v>2413.54</v>
      </c>
      <c r="L116" s="20">
        <v>1.2067699999999999</v>
      </c>
      <c r="M116" s="21">
        <v>0</v>
      </c>
      <c r="N116" s="19">
        <v>0</v>
      </c>
      <c r="O116" s="23">
        <v>400</v>
      </c>
      <c r="P116" s="24">
        <v>70</v>
      </c>
      <c r="Q116" s="25">
        <v>0.17499999999999999</v>
      </c>
      <c r="R116" s="24">
        <v>70</v>
      </c>
      <c r="S116" s="25">
        <v>0.17499999999999999</v>
      </c>
      <c r="T116" s="26">
        <v>0</v>
      </c>
      <c r="U116" s="24">
        <v>0</v>
      </c>
      <c r="V116" s="19">
        <v>2400</v>
      </c>
      <c r="W116" s="19">
        <v>3183.54</v>
      </c>
      <c r="X116" s="21">
        <v>1.3264750000000001</v>
      </c>
      <c r="Y116" s="19">
        <v>2483.54</v>
      </c>
      <c r="Z116" s="20">
        <v>1.0348083333333333</v>
      </c>
      <c r="AA116" s="30">
        <v>8.0000000000000043E-2</v>
      </c>
      <c r="AB116" s="27">
        <v>7.0000000000000007E-2</v>
      </c>
      <c r="AC116" s="27">
        <v>8.4399999999999989E-2</v>
      </c>
      <c r="AD116" s="11">
        <v>7.7630141254006704E-2</v>
      </c>
    </row>
    <row r="117" spans="1:30" x14ac:dyDescent="0.25">
      <c r="A117" s="13">
        <v>43627</v>
      </c>
      <c r="B117" s="46" t="s">
        <v>636</v>
      </c>
      <c r="C117" s="13">
        <v>43628</v>
      </c>
      <c r="D117" s="15" t="s">
        <v>362</v>
      </c>
      <c r="E117" s="15">
        <v>728</v>
      </c>
      <c r="F117" s="15">
        <v>720</v>
      </c>
      <c r="G117" s="13">
        <v>44356</v>
      </c>
      <c r="H117" s="17">
        <v>800</v>
      </c>
      <c r="I117" s="19">
        <v>1175</v>
      </c>
      <c r="J117" s="20">
        <v>1.46875</v>
      </c>
      <c r="K117" s="19">
        <v>900</v>
      </c>
      <c r="L117" s="20">
        <v>1.125</v>
      </c>
      <c r="M117" s="21">
        <v>0</v>
      </c>
      <c r="N117" s="19">
        <v>0</v>
      </c>
      <c r="O117" s="23">
        <v>160</v>
      </c>
      <c r="P117" s="24">
        <v>100.35</v>
      </c>
      <c r="Q117" s="25">
        <v>0.62718750000000001</v>
      </c>
      <c r="R117" s="24">
        <v>100.35</v>
      </c>
      <c r="S117" s="25">
        <v>0.62718750000000001</v>
      </c>
      <c r="T117" s="26">
        <v>0</v>
      </c>
      <c r="U117" s="24">
        <v>0</v>
      </c>
      <c r="V117" s="19">
        <v>960</v>
      </c>
      <c r="W117" s="19">
        <v>1275.3499999999999</v>
      </c>
      <c r="X117" s="21">
        <v>1.3284895833333332</v>
      </c>
      <c r="Y117" s="19">
        <v>1000.35</v>
      </c>
      <c r="Z117" s="20">
        <v>1.04203125</v>
      </c>
      <c r="AA117" s="30">
        <v>0.10440000000000003</v>
      </c>
      <c r="AB117" s="27">
        <v>0.10289999999999999</v>
      </c>
      <c r="AC117" s="27">
        <v>0.11230000000000001</v>
      </c>
      <c r="AD117" s="11">
        <v>0.10429999999999999</v>
      </c>
    </row>
    <row r="118" spans="1:30" x14ac:dyDescent="0.25">
      <c r="A118" s="13">
        <v>43628</v>
      </c>
      <c r="B118" s="46" t="s">
        <v>636</v>
      </c>
      <c r="C118" s="13">
        <v>43628</v>
      </c>
      <c r="D118" s="15" t="s">
        <v>473</v>
      </c>
      <c r="E118" s="15">
        <v>84</v>
      </c>
      <c r="F118" s="15">
        <v>90</v>
      </c>
      <c r="G118" s="13">
        <v>43712</v>
      </c>
      <c r="H118" s="17">
        <v>1500</v>
      </c>
      <c r="I118" s="19">
        <v>2547.8999999999996</v>
      </c>
      <c r="J118" s="20">
        <v>1.6985999999999999</v>
      </c>
      <c r="K118" s="19">
        <v>1696.7</v>
      </c>
      <c r="L118" s="20">
        <v>1.1311333333333333</v>
      </c>
      <c r="M118" s="21">
        <v>0</v>
      </c>
      <c r="N118" s="19">
        <v>0</v>
      </c>
      <c r="O118" s="23">
        <v>300</v>
      </c>
      <c r="P118" s="24">
        <v>102.89</v>
      </c>
      <c r="Q118" s="25">
        <v>0.34296666666666664</v>
      </c>
      <c r="R118" s="24">
        <v>102.89</v>
      </c>
      <c r="S118" s="25">
        <v>0.34296666666666664</v>
      </c>
      <c r="T118" s="26">
        <v>0</v>
      </c>
      <c r="U118" s="24">
        <v>0</v>
      </c>
      <c r="V118" s="19">
        <v>1800</v>
      </c>
      <c r="W118" s="19">
        <v>2650.7899999999995</v>
      </c>
      <c r="X118" s="21">
        <v>1.4726611111111108</v>
      </c>
      <c r="Y118" s="19">
        <v>1799.5900000000001</v>
      </c>
      <c r="Z118" s="20">
        <v>0.99977222222222228</v>
      </c>
      <c r="AA118" s="30">
        <v>8.4900000000000073E-2</v>
      </c>
      <c r="AB118" s="27">
        <v>7.0000000000000007E-2</v>
      </c>
      <c r="AC118" s="27">
        <v>9.5000000000000001E-2</v>
      </c>
      <c r="AD118" s="11">
        <v>8.4103261509478416E-2</v>
      </c>
    </row>
    <row r="119" spans="1:30" x14ac:dyDescent="0.25">
      <c r="A119" s="13">
        <v>43629</v>
      </c>
      <c r="B119" s="46" t="s">
        <v>636</v>
      </c>
      <c r="C119" s="13">
        <v>43630</v>
      </c>
      <c r="D119" s="15" t="s">
        <v>474</v>
      </c>
      <c r="E119" s="15">
        <v>362</v>
      </c>
      <c r="F119" s="15">
        <v>360</v>
      </c>
      <c r="G119" s="13">
        <v>43992</v>
      </c>
      <c r="H119" s="17">
        <v>1500</v>
      </c>
      <c r="I119" s="19">
        <v>2551.04</v>
      </c>
      <c r="J119" s="20">
        <v>1.7006933333333334</v>
      </c>
      <c r="K119" s="19">
        <v>1701.04</v>
      </c>
      <c r="L119" s="20">
        <v>1.1340266666666667</v>
      </c>
      <c r="M119" s="21">
        <v>0</v>
      </c>
      <c r="N119" s="19">
        <v>0</v>
      </c>
      <c r="O119" s="23">
        <v>300</v>
      </c>
      <c r="P119" s="24">
        <v>100</v>
      </c>
      <c r="Q119" s="25">
        <v>0.33333333333333331</v>
      </c>
      <c r="R119" s="24">
        <v>100</v>
      </c>
      <c r="S119" s="25">
        <v>0.33333333333333331</v>
      </c>
      <c r="T119" s="26">
        <v>0</v>
      </c>
      <c r="U119" s="24">
        <v>0</v>
      </c>
      <c r="V119" s="19">
        <v>1800</v>
      </c>
      <c r="W119" s="19">
        <v>2651.04</v>
      </c>
      <c r="X119" s="21">
        <v>1.4727999999999999</v>
      </c>
      <c r="Y119" s="19">
        <v>1801.04</v>
      </c>
      <c r="Z119" s="20">
        <v>1.0005777777777778</v>
      </c>
      <c r="AA119" s="30">
        <v>0.10409999999999996</v>
      </c>
      <c r="AB119" s="27">
        <v>9.4E-2</v>
      </c>
      <c r="AC119" s="27">
        <v>0.1047</v>
      </c>
      <c r="AD119" s="11">
        <v>0.1033563174234822</v>
      </c>
    </row>
    <row r="120" spans="1:30" x14ac:dyDescent="0.25">
      <c r="A120" s="13">
        <v>43630</v>
      </c>
      <c r="B120" s="46" t="s">
        <v>636</v>
      </c>
      <c r="C120" s="13">
        <v>43630</v>
      </c>
      <c r="D120" s="15" t="s">
        <v>475</v>
      </c>
      <c r="E120" s="15">
        <v>182</v>
      </c>
      <c r="F120" s="15">
        <v>180</v>
      </c>
      <c r="G120" s="13">
        <v>43812</v>
      </c>
      <c r="H120" s="17">
        <v>1500</v>
      </c>
      <c r="I120" s="19">
        <v>1848.1299999999999</v>
      </c>
      <c r="J120" s="20">
        <v>1.2320866666666668</v>
      </c>
      <c r="K120" s="19">
        <v>1643.1299999999999</v>
      </c>
      <c r="L120" s="20">
        <v>1.0954199999999998</v>
      </c>
      <c r="M120" s="21">
        <v>0</v>
      </c>
      <c r="N120" s="19">
        <v>0</v>
      </c>
      <c r="O120" s="23">
        <v>300</v>
      </c>
      <c r="P120" s="24">
        <v>141</v>
      </c>
      <c r="Q120" s="25">
        <v>0.47</v>
      </c>
      <c r="R120" s="24">
        <v>141</v>
      </c>
      <c r="S120" s="25">
        <v>0.47</v>
      </c>
      <c r="T120" s="26">
        <v>0</v>
      </c>
      <c r="U120" s="24">
        <v>0</v>
      </c>
      <c r="V120" s="19">
        <v>1800</v>
      </c>
      <c r="W120" s="19">
        <v>1989.1299999999999</v>
      </c>
      <c r="X120" s="21">
        <v>1.1050722222222222</v>
      </c>
      <c r="Y120" s="19">
        <v>1784.1299999999999</v>
      </c>
      <c r="Z120" s="20">
        <v>0.99118333333333331</v>
      </c>
      <c r="AA120" s="30">
        <v>9.7100000000000103E-2</v>
      </c>
      <c r="AB120" s="27">
        <v>8.2500000000000004E-2</v>
      </c>
      <c r="AC120" s="27">
        <v>9.9000000000000005E-2</v>
      </c>
      <c r="AD120" s="11">
        <v>9.4490154913344851E-2</v>
      </c>
    </row>
    <row r="121" spans="1:30" x14ac:dyDescent="0.25">
      <c r="A121" s="13">
        <v>43633</v>
      </c>
      <c r="B121" s="46" t="s">
        <v>636</v>
      </c>
      <c r="C121" s="13">
        <v>43633</v>
      </c>
      <c r="D121" s="15" t="s">
        <v>476</v>
      </c>
      <c r="E121" s="15">
        <v>28</v>
      </c>
      <c r="F121" s="15">
        <v>30</v>
      </c>
      <c r="G121" s="13">
        <v>43661</v>
      </c>
      <c r="H121" s="17">
        <v>2500</v>
      </c>
      <c r="I121" s="19">
        <v>2996.01</v>
      </c>
      <c r="J121" s="20">
        <v>1.1984040000000005</v>
      </c>
      <c r="K121" s="19">
        <v>2996.01</v>
      </c>
      <c r="L121" s="20">
        <v>1.198404</v>
      </c>
      <c r="M121" s="21">
        <v>0</v>
      </c>
      <c r="N121" s="19">
        <v>0</v>
      </c>
      <c r="O121" s="23">
        <v>500</v>
      </c>
      <c r="P121" s="24">
        <v>15.23</v>
      </c>
      <c r="Q121" s="25">
        <v>3.0459999999999997E-2</v>
      </c>
      <c r="R121" s="24">
        <v>15.23</v>
      </c>
      <c r="S121" s="25">
        <v>3.0460000000000001E-2</v>
      </c>
      <c r="T121" s="26">
        <v>0</v>
      </c>
      <c r="U121" s="24">
        <v>0</v>
      </c>
      <c r="V121" s="19">
        <v>3000</v>
      </c>
      <c r="W121" s="19">
        <v>3011.2400000000002</v>
      </c>
      <c r="X121" s="21">
        <v>1.0037466666666668</v>
      </c>
      <c r="Y121" s="19">
        <v>3011.2400000000002</v>
      </c>
      <c r="Z121" s="20">
        <v>1.0037466666666668</v>
      </c>
      <c r="AA121" s="30">
        <v>8.1500000000000059E-2</v>
      </c>
      <c r="AB121" s="27">
        <v>0.06</v>
      </c>
      <c r="AC121" s="27">
        <v>8.1500000000000003E-2</v>
      </c>
      <c r="AD121" s="11">
        <v>7.3816779316490916E-2</v>
      </c>
    </row>
    <row r="122" spans="1:30" x14ac:dyDescent="0.25">
      <c r="A122" s="13">
        <v>43633</v>
      </c>
      <c r="B122" s="46" t="s">
        <v>637</v>
      </c>
      <c r="C122" s="13">
        <v>43634</v>
      </c>
      <c r="D122" s="15" t="s">
        <v>363</v>
      </c>
      <c r="E122" s="15">
        <v>722</v>
      </c>
      <c r="F122" s="15">
        <v>720</v>
      </c>
      <c r="G122" s="13">
        <v>44356</v>
      </c>
      <c r="H122" s="17">
        <v>1000</v>
      </c>
      <c r="I122" s="19">
        <v>1650</v>
      </c>
      <c r="J122" s="20">
        <v>1.6500000000000004</v>
      </c>
      <c r="K122" s="19">
        <v>1300</v>
      </c>
      <c r="L122" s="20">
        <v>1.3</v>
      </c>
      <c r="M122" s="21">
        <v>0</v>
      </c>
      <c r="N122" s="19">
        <v>0</v>
      </c>
      <c r="O122" s="23">
        <v>200</v>
      </c>
      <c r="P122" s="24">
        <v>100</v>
      </c>
      <c r="Q122" s="25">
        <v>0.5</v>
      </c>
      <c r="R122" s="24">
        <v>100</v>
      </c>
      <c r="S122" s="25">
        <v>0.5</v>
      </c>
      <c r="T122" s="26">
        <v>0</v>
      </c>
      <c r="U122" s="24">
        <v>0</v>
      </c>
      <c r="V122" s="19">
        <v>1200</v>
      </c>
      <c r="W122" s="19">
        <v>1750</v>
      </c>
      <c r="X122" s="21">
        <v>1.4583333333333333</v>
      </c>
      <c r="Y122" s="19">
        <v>1400</v>
      </c>
      <c r="Z122" s="20">
        <v>1.1666666666666667</v>
      </c>
      <c r="AA122" s="30">
        <v>0.10410000000000001</v>
      </c>
      <c r="AB122" s="27">
        <v>0.1032</v>
      </c>
      <c r="AC122" s="27">
        <v>0.1048</v>
      </c>
      <c r="AD122" s="11">
        <v>0.10388484848484848</v>
      </c>
    </row>
    <row r="123" spans="1:30" x14ac:dyDescent="0.25">
      <c r="A123" s="13">
        <v>43634</v>
      </c>
      <c r="B123" s="46" t="s">
        <v>636</v>
      </c>
      <c r="C123" s="13">
        <v>43634</v>
      </c>
      <c r="D123" s="15" t="s">
        <v>477</v>
      </c>
      <c r="E123" s="15">
        <v>92</v>
      </c>
      <c r="F123" s="15">
        <v>90</v>
      </c>
      <c r="G123" s="13">
        <v>43726</v>
      </c>
      <c r="H123" s="17">
        <v>1500</v>
      </c>
      <c r="I123" s="19">
        <v>2812.52</v>
      </c>
      <c r="J123" s="20">
        <v>1.8750133333333328</v>
      </c>
      <c r="K123" s="19">
        <v>2086.09</v>
      </c>
      <c r="L123" s="20">
        <v>1.3907266666666667</v>
      </c>
      <c r="M123" s="21">
        <v>0</v>
      </c>
      <c r="N123" s="19">
        <v>0</v>
      </c>
      <c r="O123" s="23">
        <v>300</v>
      </c>
      <c r="P123" s="24">
        <v>52.2</v>
      </c>
      <c r="Q123" s="25">
        <v>0.17399999999999999</v>
      </c>
      <c r="R123" s="24">
        <v>52.2</v>
      </c>
      <c r="S123" s="25">
        <v>0.17400000000000002</v>
      </c>
      <c r="T123" s="26">
        <v>0</v>
      </c>
      <c r="U123" s="24">
        <v>0</v>
      </c>
      <c r="V123" s="19">
        <v>1800</v>
      </c>
      <c r="W123" s="19">
        <v>2864.72</v>
      </c>
      <c r="X123" s="21">
        <v>1.5915111111111111</v>
      </c>
      <c r="Y123" s="19">
        <v>2138.29</v>
      </c>
      <c r="Z123" s="20">
        <v>1.1879388888888889</v>
      </c>
      <c r="AA123" s="30">
        <v>8.49000000000001E-2</v>
      </c>
      <c r="AB123" s="27">
        <v>7.0000000000000007E-2</v>
      </c>
      <c r="AC123" s="27">
        <v>9.1499999999999998E-2</v>
      </c>
      <c r="AD123" s="11">
        <v>8.3761918137471053E-2</v>
      </c>
    </row>
    <row r="124" spans="1:30" x14ac:dyDescent="0.25">
      <c r="A124" s="13">
        <v>43636</v>
      </c>
      <c r="B124" s="46" t="s">
        <v>636</v>
      </c>
      <c r="C124" s="13">
        <v>43637</v>
      </c>
      <c r="D124" s="15" t="s">
        <v>478</v>
      </c>
      <c r="E124" s="15">
        <v>355</v>
      </c>
      <c r="F124" s="15">
        <v>360</v>
      </c>
      <c r="G124" s="13">
        <v>43992</v>
      </c>
      <c r="H124" s="17">
        <v>2000</v>
      </c>
      <c r="I124" s="19">
        <v>5129.2</v>
      </c>
      <c r="J124" s="20">
        <v>2.5645999999999995</v>
      </c>
      <c r="K124" s="19">
        <v>4000</v>
      </c>
      <c r="L124" s="20">
        <v>2</v>
      </c>
      <c r="M124" s="21">
        <v>0.52960000000000007</v>
      </c>
      <c r="N124" s="19">
        <v>0</v>
      </c>
      <c r="O124" s="23">
        <v>400</v>
      </c>
      <c r="P124" s="24">
        <v>175</v>
      </c>
      <c r="Q124" s="25">
        <v>0.4375</v>
      </c>
      <c r="R124" s="24">
        <v>175</v>
      </c>
      <c r="S124" s="25">
        <v>0.4375</v>
      </c>
      <c r="T124" s="26">
        <v>0</v>
      </c>
      <c r="U124" s="24">
        <v>0</v>
      </c>
      <c r="V124" s="19">
        <v>2400</v>
      </c>
      <c r="W124" s="19">
        <v>5304.2</v>
      </c>
      <c r="X124" s="21">
        <v>2.2100833333333334</v>
      </c>
      <c r="Y124" s="19">
        <v>4175</v>
      </c>
      <c r="Z124" s="20">
        <v>1.7395833333333333</v>
      </c>
      <c r="AA124" s="30">
        <v>0.10390000000000002</v>
      </c>
      <c r="AB124" s="27">
        <v>9.5000000000000001E-2</v>
      </c>
      <c r="AC124" s="27">
        <v>0.1045</v>
      </c>
      <c r="AD124" s="11">
        <v>0.10325639475941668</v>
      </c>
    </row>
    <row r="125" spans="1:30" x14ac:dyDescent="0.25">
      <c r="A125" s="13">
        <v>43637</v>
      </c>
      <c r="B125" s="46" t="s">
        <v>636</v>
      </c>
      <c r="C125" s="13">
        <v>43637</v>
      </c>
      <c r="D125" s="15" t="s">
        <v>479</v>
      </c>
      <c r="E125" s="15">
        <v>175</v>
      </c>
      <c r="F125" s="15">
        <v>180</v>
      </c>
      <c r="G125" s="13">
        <v>43812</v>
      </c>
      <c r="H125" s="17">
        <v>2000</v>
      </c>
      <c r="I125" s="19">
        <v>2714.38</v>
      </c>
      <c r="J125" s="20">
        <v>1.3571900000000006</v>
      </c>
      <c r="K125" s="19">
        <v>2662.7799999999997</v>
      </c>
      <c r="L125" s="20">
        <v>1.3313899999999999</v>
      </c>
      <c r="M125" s="21">
        <v>0</v>
      </c>
      <c r="N125" s="19">
        <v>0</v>
      </c>
      <c r="O125" s="23">
        <v>400</v>
      </c>
      <c r="P125" s="24">
        <v>200.92</v>
      </c>
      <c r="Q125" s="25">
        <v>0.50229999999999997</v>
      </c>
      <c r="R125" s="24">
        <v>200.92</v>
      </c>
      <c r="S125" s="25">
        <v>0.50229999999999997</v>
      </c>
      <c r="T125" s="26">
        <v>0</v>
      </c>
      <c r="U125" s="24">
        <v>0</v>
      </c>
      <c r="V125" s="19">
        <v>2400</v>
      </c>
      <c r="W125" s="19">
        <v>2915.3</v>
      </c>
      <c r="X125" s="21">
        <v>1.2147083333333335</v>
      </c>
      <c r="Y125" s="19">
        <v>2863.7</v>
      </c>
      <c r="Z125" s="20">
        <v>1.1932083333333332</v>
      </c>
      <c r="AA125" s="30">
        <v>9.7100000000000089E-2</v>
      </c>
      <c r="AB125" s="27">
        <v>8.6999999999999994E-2</v>
      </c>
      <c r="AC125" s="27">
        <v>9.8000000000000004E-2</v>
      </c>
      <c r="AD125" s="11">
        <v>9.4837522749209785E-2</v>
      </c>
    </row>
    <row r="126" spans="1:30" x14ac:dyDescent="0.25">
      <c r="A126" s="13">
        <v>43640</v>
      </c>
      <c r="B126" s="46" t="s">
        <v>636</v>
      </c>
      <c r="C126" s="13">
        <v>43640</v>
      </c>
      <c r="D126" s="15" t="s">
        <v>480</v>
      </c>
      <c r="E126" s="15">
        <v>28</v>
      </c>
      <c r="F126" s="15">
        <v>30</v>
      </c>
      <c r="G126" s="13">
        <v>43668</v>
      </c>
      <c r="H126" s="17">
        <v>3000</v>
      </c>
      <c r="I126" s="19">
        <v>1048.82</v>
      </c>
      <c r="J126" s="20">
        <v>0.34960666666666662</v>
      </c>
      <c r="K126" s="19">
        <v>948.81999999999994</v>
      </c>
      <c r="L126" s="20">
        <v>0.3162733333333333</v>
      </c>
      <c r="M126" s="21">
        <v>0</v>
      </c>
      <c r="N126" s="19">
        <v>0</v>
      </c>
      <c r="O126" s="23">
        <v>600</v>
      </c>
      <c r="P126" s="24">
        <v>150</v>
      </c>
      <c r="Q126" s="25">
        <v>0.25</v>
      </c>
      <c r="R126" s="24">
        <v>150</v>
      </c>
      <c r="S126" s="25">
        <v>0.25</v>
      </c>
      <c r="T126" s="26">
        <v>0</v>
      </c>
      <c r="U126" s="24">
        <v>0</v>
      </c>
      <c r="V126" s="19">
        <v>3600</v>
      </c>
      <c r="W126" s="19">
        <v>1198.82</v>
      </c>
      <c r="X126" s="21">
        <v>0.33300555555555555</v>
      </c>
      <c r="Y126" s="19">
        <v>1098.82</v>
      </c>
      <c r="Z126" s="20">
        <v>0.30522777777777776</v>
      </c>
      <c r="AA126" s="30">
        <v>8.1500000000000017E-2</v>
      </c>
      <c r="AB126" s="27">
        <v>7.1500000000000008E-2</v>
      </c>
      <c r="AC126" s="27">
        <v>8.5000000000000006E-2</v>
      </c>
      <c r="AD126" s="11">
        <v>7.8437443984668509E-2</v>
      </c>
    </row>
    <row r="127" spans="1:30" x14ac:dyDescent="0.25">
      <c r="A127" s="13">
        <v>43640</v>
      </c>
      <c r="B127" s="46" t="s">
        <v>637</v>
      </c>
      <c r="C127" s="13">
        <v>43640</v>
      </c>
      <c r="D127" s="15" t="s">
        <v>481</v>
      </c>
      <c r="E127" s="15">
        <v>86</v>
      </c>
      <c r="F127" s="15">
        <v>90</v>
      </c>
      <c r="G127" s="13">
        <v>43726</v>
      </c>
      <c r="H127" s="17">
        <v>1800</v>
      </c>
      <c r="I127" s="19">
        <v>736.79</v>
      </c>
      <c r="J127" s="20">
        <v>0.40932777777777785</v>
      </c>
      <c r="K127" s="19">
        <v>666.79</v>
      </c>
      <c r="L127" s="20">
        <v>0.37043888888888887</v>
      </c>
      <c r="M127" s="21">
        <v>0</v>
      </c>
      <c r="N127" s="19">
        <v>0</v>
      </c>
      <c r="O127" s="23">
        <v>360</v>
      </c>
      <c r="P127" s="24">
        <v>40</v>
      </c>
      <c r="Q127" s="25">
        <v>0.1111111111111111</v>
      </c>
      <c r="R127" s="24">
        <v>40</v>
      </c>
      <c r="S127" s="25">
        <v>0.1111111111111111</v>
      </c>
      <c r="T127" s="26">
        <v>0</v>
      </c>
      <c r="U127" s="24">
        <v>0</v>
      </c>
      <c r="V127" s="19">
        <v>2160</v>
      </c>
      <c r="W127" s="19">
        <v>776.79</v>
      </c>
      <c r="X127" s="21">
        <v>0.35962499999999997</v>
      </c>
      <c r="Y127" s="19">
        <v>706.79</v>
      </c>
      <c r="Z127" s="20">
        <v>0.32721759259259259</v>
      </c>
      <c r="AA127" s="30">
        <v>8.5099999999999967E-2</v>
      </c>
      <c r="AB127" s="27">
        <v>7.4499999999999997E-2</v>
      </c>
      <c r="AC127" s="27">
        <v>0.09</v>
      </c>
      <c r="AD127" s="11">
        <v>8.4261275261607788E-2</v>
      </c>
    </row>
    <row r="128" spans="1:30" x14ac:dyDescent="0.25">
      <c r="A128" s="13">
        <v>43642</v>
      </c>
      <c r="B128" s="46" t="s">
        <v>636</v>
      </c>
      <c r="C128" s="13">
        <v>43643</v>
      </c>
      <c r="D128" s="15" t="s">
        <v>364</v>
      </c>
      <c r="E128" s="15">
        <v>713</v>
      </c>
      <c r="F128" s="15">
        <v>720</v>
      </c>
      <c r="G128" s="13">
        <v>44356</v>
      </c>
      <c r="H128" s="17">
        <v>1000</v>
      </c>
      <c r="I128" s="19">
        <v>2227.15</v>
      </c>
      <c r="J128" s="20">
        <v>2.2271500000000004</v>
      </c>
      <c r="K128" s="19">
        <v>2000</v>
      </c>
      <c r="L128" s="20">
        <v>2</v>
      </c>
      <c r="M128" s="21">
        <v>0.48924999999999996</v>
      </c>
      <c r="N128" s="19">
        <v>0</v>
      </c>
      <c r="O128" s="23">
        <v>200</v>
      </c>
      <c r="P128" s="24">
        <v>0</v>
      </c>
      <c r="Q128" s="25">
        <v>0</v>
      </c>
      <c r="R128" s="24">
        <v>0</v>
      </c>
      <c r="S128" s="25">
        <v>0</v>
      </c>
      <c r="T128" s="26">
        <v>0</v>
      </c>
      <c r="U128" s="24">
        <v>0</v>
      </c>
      <c r="V128" s="19">
        <v>1200</v>
      </c>
      <c r="W128" s="19">
        <v>2227.15</v>
      </c>
      <c r="X128" s="21">
        <v>1.8559583333333334</v>
      </c>
      <c r="Y128" s="19">
        <v>2000</v>
      </c>
      <c r="Z128" s="20">
        <v>1.6666666666666667</v>
      </c>
      <c r="AA128" s="30">
        <v>0.10410000000000003</v>
      </c>
      <c r="AB128" s="27">
        <v>0.1</v>
      </c>
      <c r="AC128" s="27">
        <v>0.1104</v>
      </c>
      <c r="AD128" s="11">
        <v>0.10366050782390047</v>
      </c>
    </row>
    <row r="129" spans="1:30" x14ac:dyDescent="0.25">
      <c r="A129" s="13">
        <v>43643</v>
      </c>
      <c r="B129" s="46" t="s">
        <v>636</v>
      </c>
      <c r="C129" s="13">
        <v>43644</v>
      </c>
      <c r="D129" s="15" t="s">
        <v>482</v>
      </c>
      <c r="E129" s="15">
        <v>371</v>
      </c>
      <c r="F129" s="15">
        <v>360</v>
      </c>
      <c r="G129" s="13">
        <v>44015</v>
      </c>
      <c r="H129" s="17">
        <v>3000</v>
      </c>
      <c r="I129" s="19">
        <v>5869.62</v>
      </c>
      <c r="J129" s="20">
        <v>1.9565399999999999</v>
      </c>
      <c r="K129" s="19">
        <v>5819.62</v>
      </c>
      <c r="L129" s="20">
        <v>1.9398733333333333</v>
      </c>
      <c r="M129" s="21">
        <v>0</v>
      </c>
      <c r="N129" s="19">
        <v>0</v>
      </c>
      <c r="O129" s="23">
        <v>600</v>
      </c>
      <c r="P129" s="24">
        <v>775</v>
      </c>
      <c r="Q129" s="25">
        <v>1.2916666666666667</v>
      </c>
      <c r="R129" s="24">
        <v>600</v>
      </c>
      <c r="S129" s="25">
        <v>1</v>
      </c>
      <c r="T129" s="26">
        <v>0.7742</v>
      </c>
      <c r="U129" s="24">
        <v>0</v>
      </c>
      <c r="V129" s="19">
        <v>3600</v>
      </c>
      <c r="W129" s="19">
        <v>6644.62</v>
      </c>
      <c r="X129" s="21">
        <v>1.8457277777777779</v>
      </c>
      <c r="Y129" s="19">
        <v>6419.62</v>
      </c>
      <c r="Z129" s="20">
        <v>1.7832277777777779</v>
      </c>
      <c r="AA129" s="30">
        <v>0.10430000000000005</v>
      </c>
      <c r="AB129" s="27">
        <v>9.35E-2</v>
      </c>
      <c r="AC129" s="27">
        <v>0.1045</v>
      </c>
      <c r="AD129" s="11">
        <v>0.10307870441357364</v>
      </c>
    </row>
    <row r="130" spans="1:30" x14ac:dyDescent="0.25">
      <c r="A130" s="13">
        <v>43644</v>
      </c>
      <c r="B130" s="46" t="s">
        <v>636</v>
      </c>
      <c r="C130" s="13">
        <v>43644</v>
      </c>
      <c r="D130" s="15" t="s">
        <v>483</v>
      </c>
      <c r="E130" s="15">
        <v>175</v>
      </c>
      <c r="F130" s="15">
        <v>180</v>
      </c>
      <c r="G130" s="13">
        <v>43819</v>
      </c>
      <c r="H130" s="17">
        <v>2000</v>
      </c>
      <c r="I130" s="19">
        <v>1461.1000000000001</v>
      </c>
      <c r="J130" s="20">
        <v>0.73055000000000003</v>
      </c>
      <c r="K130" s="19">
        <v>1359.5</v>
      </c>
      <c r="L130" s="20">
        <v>0.67974999999999997</v>
      </c>
      <c r="M130" s="21">
        <v>0</v>
      </c>
      <c r="N130" s="19">
        <v>0</v>
      </c>
      <c r="O130" s="23">
        <v>400</v>
      </c>
      <c r="P130" s="24">
        <v>464.15</v>
      </c>
      <c r="Q130" s="25">
        <v>1.1603749999999999</v>
      </c>
      <c r="R130" s="24">
        <v>271.89999999999998</v>
      </c>
      <c r="S130" s="25">
        <v>0.67974999999999997</v>
      </c>
      <c r="T130" s="26">
        <v>0.5858072289156625</v>
      </c>
      <c r="U130" s="24">
        <v>0</v>
      </c>
      <c r="V130" s="19">
        <v>2400</v>
      </c>
      <c r="W130" s="19">
        <v>1925.25</v>
      </c>
      <c r="X130" s="21">
        <v>0.80218750000000005</v>
      </c>
      <c r="Y130" s="19">
        <v>1631.4</v>
      </c>
      <c r="Z130" s="20">
        <v>0.67975000000000008</v>
      </c>
      <c r="AA130" s="30">
        <v>9.7900000000000056E-2</v>
      </c>
      <c r="AB130" s="27">
        <v>8.5000000000000006E-2</v>
      </c>
      <c r="AC130" s="27">
        <v>0.1023</v>
      </c>
      <c r="AD130" s="11">
        <v>9.4231893094244054E-2</v>
      </c>
    </row>
    <row r="131" spans="1:30" x14ac:dyDescent="0.25">
      <c r="A131" s="13">
        <v>43647</v>
      </c>
      <c r="B131" s="46" t="s">
        <v>636</v>
      </c>
      <c r="C131" s="13">
        <v>43647</v>
      </c>
      <c r="D131" s="15" t="s">
        <v>484</v>
      </c>
      <c r="E131" s="15">
        <v>28</v>
      </c>
      <c r="F131" s="15">
        <v>30</v>
      </c>
      <c r="G131" s="13">
        <v>43675</v>
      </c>
      <c r="H131" s="17">
        <v>1000</v>
      </c>
      <c r="I131" s="19">
        <v>1834.55</v>
      </c>
      <c r="J131" s="20">
        <v>1.8345499999999999</v>
      </c>
      <c r="K131" s="19">
        <v>1734.5500000000002</v>
      </c>
      <c r="L131" s="20">
        <v>1.7345500000000003</v>
      </c>
      <c r="M131" s="21">
        <v>0</v>
      </c>
      <c r="N131" s="19">
        <v>0</v>
      </c>
      <c r="O131" s="23">
        <v>200</v>
      </c>
      <c r="P131" s="24">
        <v>0</v>
      </c>
      <c r="Q131" s="25">
        <v>0</v>
      </c>
      <c r="R131" s="24">
        <v>0</v>
      </c>
      <c r="S131" s="25">
        <v>0</v>
      </c>
      <c r="T131" s="26">
        <v>0</v>
      </c>
      <c r="U131" s="24">
        <v>0</v>
      </c>
      <c r="V131" s="19">
        <v>1200</v>
      </c>
      <c r="W131" s="19">
        <v>1834.55</v>
      </c>
      <c r="X131" s="21">
        <v>1.5287916666666665</v>
      </c>
      <c r="Y131" s="19">
        <v>1734.5500000000002</v>
      </c>
      <c r="Z131" s="20">
        <v>1.4454583333333335</v>
      </c>
      <c r="AA131" s="30">
        <v>8.1500000000000031E-2</v>
      </c>
      <c r="AB131" s="27">
        <v>0.06</v>
      </c>
      <c r="AC131" s="27">
        <v>8.5000000000000006E-2</v>
      </c>
      <c r="AD131" s="11">
        <v>7.6192502248507821E-2</v>
      </c>
    </row>
    <row r="132" spans="1:30" x14ac:dyDescent="0.25">
      <c r="A132" s="13">
        <v>43648</v>
      </c>
      <c r="B132" s="46" t="s">
        <v>636</v>
      </c>
      <c r="C132" s="13">
        <v>43649</v>
      </c>
      <c r="D132" s="15" t="s">
        <v>365</v>
      </c>
      <c r="E132" s="15">
        <v>707</v>
      </c>
      <c r="F132" s="15">
        <v>720</v>
      </c>
      <c r="G132" s="13">
        <v>44356</v>
      </c>
      <c r="H132" s="17">
        <v>800</v>
      </c>
      <c r="I132" s="19">
        <v>1301</v>
      </c>
      <c r="J132" s="20">
        <v>1.62625</v>
      </c>
      <c r="K132" s="19">
        <v>1026</v>
      </c>
      <c r="L132" s="20">
        <v>1.2825</v>
      </c>
      <c r="M132" s="21">
        <v>0</v>
      </c>
      <c r="N132" s="19">
        <v>0</v>
      </c>
      <c r="O132" s="23">
        <v>160</v>
      </c>
      <c r="P132" s="24">
        <v>190</v>
      </c>
      <c r="Q132" s="25">
        <v>1.1875</v>
      </c>
      <c r="R132" s="24">
        <v>160</v>
      </c>
      <c r="S132" s="25">
        <v>1</v>
      </c>
      <c r="T132" s="26">
        <v>0.84210666666666667</v>
      </c>
      <c r="U132" s="24">
        <v>0</v>
      </c>
      <c r="V132" s="19">
        <v>960</v>
      </c>
      <c r="W132" s="19">
        <v>1491</v>
      </c>
      <c r="X132" s="21">
        <v>1.5531250000000001</v>
      </c>
      <c r="Y132" s="19">
        <v>1186</v>
      </c>
      <c r="Z132" s="20">
        <v>1.2354166666666666</v>
      </c>
      <c r="AA132" s="30">
        <v>0.10400000000000004</v>
      </c>
      <c r="AB132" s="27">
        <v>0.10199999999999999</v>
      </c>
      <c r="AC132" s="27">
        <v>0.105</v>
      </c>
      <c r="AD132" s="11">
        <v>0.10385972328977712</v>
      </c>
    </row>
    <row r="133" spans="1:30" x14ac:dyDescent="0.25">
      <c r="A133" s="13">
        <v>43649</v>
      </c>
      <c r="B133" s="46" t="s">
        <v>636</v>
      </c>
      <c r="C133" s="13">
        <v>43649</v>
      </c>
      <c r="D133" s="15" t="s">
        <v>485</v>
      </c>
      <c r="E133" s="15">
        <v>86</v>
      </c>
      <c r="F133" s="15">
        <v>90</v>
      </c>
      <c r="G133" s="13">
        <v>43735</v>
      </c>
      <c r="H133" s="17">
        <v>800</v>
      </c>
      <c r="I133" s="19">
        <v>1850.76</v>
      </c>
      <c r="J133" s="20">
        <v>2.3134499999999996</v>
      </c>
      <c r="K133" s="19">
        <v>950.76</v>
      </c>
      <c r="L133" s="20">
        <v>1.18845</v>
      </c>
      <c r="M133" s="21">
        <v>0</v>
      </c>
      <c r="N133" s="19">
        <v>0</v>
      </c>
      <c r="O133" s="23">
        <v>160</v>
      </c>
      <c r="P133" s="24">
        <v>41.85</v>
      </c>
      <c r="Q133" s="25">
        <v>0.26156250000000003</v>
      </c>
      <c r="R133" s="24">
        <v>41.85</v>
      </c>
      <c r="S133" s="25">
        <v>0.26156250000000003</v>
      </c>
      <c r="T133" s="26">
        <v>0</v>
      </c>
      <c r="U133" s="24">
        <v>0</v>
      </c>
      <c r="V133" s="19">
        <v>960</v>
      </c>
      <c r="W133" s="19">
        <v>1892.61</v>
      </c>
      <c r="X133" s="21">
        <v>1.9714687499999999</v>
      </c>
      <c r="Y133" s="19">
        <v>992.61</v>
      </c>
      <c r="Z133" s="20">
        <v>1.0339687500000001</v>
      </c>
      <c r="AA133" s="30">
        <v>8.4299999999999986E-2</v>
      </c>
      <c r="AB133" s="27">
        <v>0.06</v>
      </c>
      <c r="AC133" s="27">
        <v>9.2499999999999999E-2</v>
      </c>
      <c r="AD133" s="11">
        <v>8.3172955974842769E-2</v>
      </c>
    </row>
    <row r="134" spans="1:30" x14ac:dyDescent="0.25">
      <c r="A134" s="13">
        <v>43650</v>
      </c>
      <c r="B134" s="46" t="s">
        <v>636</v>
      </c>
      <c r="C134" s="13">
        <v>43651</v>
      </c>
      <c r="D134" s="15" t="s">
        <v>486</v>
      </c>
      <c r="E134" s="15">
        <v>364</v>
      </c>
      <c r="F134" s="15">
        <v>360</v>
      </c>
      <c r="G134" s="13">
        <v>44015</v>
      </c>
      <c r="H134" s="17">
        <v>2000</v>
      </c>
      <c r="I134" s="19">
        <v>5586.68</v>
      </c>
      <c r="J134" s="20">
        <v>2.7933399999999988</v>
      </c>
      <c r="K134" s="19">
        <v>2841.3799999999997</v>
      </c>
      <c r="L134" s="20">
        <v>1.4206899999999998</v>
      </c>
      <c r="M134" s="21">
        <v>0</v>
      </c>
      <c r="N134" s="19">
        <v>0</v>
      </c>
      <c r="O134" s="23">
        <v>400</v>
      </c>
      <c r="P134" s="24">
        <v>850</v>
      </c>
      <c r="Q134" s="25">
        <v>2.125</v>
      </c>
      <c r="R134" s="24">
        <v>400</v>
      </c>
      <c r="S134" s="25">
        <v>1</v>
      </c>
      <c r="T134" s="26">
        <v>0.47058824999999999</v>
      </c>
      <c r="U134" s="24">
        <v>0</v>
      </c>
      <c r="V134" s="19">
        <v>2400</v>
      </c>
      <c r="W134" s="19">
        <v>6436.68</v>
      </c>
      <c r="X134" s="21">
        <v>2.6819500000000001</v>
      </c>
      <c r="Y134" s="19">
        <v>3241.3799999999997</v>
      </c>
      <c r="Z134" s="20">
        <v>1.3505749999999999</v>
      </c>
      <c r="AA134" s="30">
        <v>0.10339999999999994</v>
      </c>
      <c r="AB134" s="27">
        <v>8.9700000000000002E-2</v>
      </c>
      <c r="AC134" s="27">
        <v>0.10490000000000001</v>
      </c>
      <c r="AD134" s="11">
        <v>0.10295805720034082</v>
      </c>
    </row>
    <row r="135" spans="1:30" x14ac:dyDescent="0.25">
      <c r="A135" s="13">
        <v>43651</v>
      </c>
      <c r="B135" s="46" t="s">
        <v>636</v>
      </c>
      <c r="C135" s="13">
        <v>43651</v>
      </c>
      <c r="D135" s="15" t="s">
        <v>487</v>
      </c>
      <c r="E135" s="15">
        <v>168</v>
      </c>
      <c r="F135" s="15">
        <v>180</v>
      </c>
      <c r="G135" s="13">
        <v>43819</v>
      </c>
      <c r="H135" s="17">
        <v>1000</v>
      </c>
      <c r="I135" s="19">
        <v>2206.58</v>
      </c>
      <c r="J135" s="20">
        <v>2.2065799999999998</v>
      </c>
      <c r="K135" s="19">
        <v>1479.9800000000002</v>
      </c>
      <c r="L135" s="20">
        <v>1.4799800000000003</v>
      </c>
      <c r="M135" s="21">
        <v>0</v>
      </c>
      <c r="N135" s="19">
        <v>0</v>
      </c>
      <c r="O135" s="23">
        <v>200</v>
      </c>
      <c r="P135" s="24">
        <v>85.35</v>
      </c>
      <c r="Q135" s="25">
        <v>0.42674999999999996</v>
      </c>
      <c r="R135" s="24">
        <v>85.35</v>
      </c>
      <c r="S135" s="25">
        <v>0.42674999999999996</v>
      </c>
      <c r="T135" s="26">
        <v>0</v>
      </c>
      <c r="U135" s="24">
        <v>0</v>
      </c>
      <c r="V135" s="19">
        <v>1200</v>
      </c>
      <c r="W135" s="19">
        <v>2291.9299999999998</v>
      </c>
      <c r="X135" s="21">
        <v>1.9099416666666664</v>
      </c>
      <c r="Y135" s="19">
        <v>1565.3300000000002</v>
      </c>
      <c r="Z135" s="20">
        <v>1.3044416666666667</v>
      </c>
      <c r="AA135" s="30">
        <v>9.7000000000000128E-2</v>
      </c>
      <c r="AB135" s="27">
        <v>7.4999999999999997E-2</v>
      </c>
      <c r="AC135" s="27">
        <v>0.1</v>
      </c>
      <c r="AD135" s="11">
        <v>9.417948726082899E-2</v>
      </c>
    </row>
    <row r="136" spans="1:30" x14ac:dyDescent="0.25">
      <c r="A136" s="13">
        <v>43654</v>
      </c>
      <c r="B136" s="46" t="s">
        <v>636</v>
      </c>
      <c r="C136" s="13">
        <v>43654</v>
      </c>
      <c r="D136" s="15" t="s">
        <v>488</v>
      </c>
      <c r="E136" s="15">
        <v>28</v>
      </c>
      <c r="F136" s="15">
        <v>30</v>
      </c>
      <c r="G136" s="13">
        <v>43682</v>
      </c>
      <c r="H136" s="17">
        <v>800</v>
      </c>
      <c r="I136" s="19">
        <v>2300.4</v>
      </c>
      <c r="J136" s="20">
        <v>2.8755000000000011</v>
      </c>
      <c r="K136" s="19">
        <v>1599.9999999999998</v>
      </c>
      <c r="L136" s="20">
        <v>1.9999999999999998</v>
      </c>
      <c r="M136" s="21">
        <v>0.49926633333333331</v>
      </c>
      <c r="N136" s="19">
        <v>0</v>
      </c>
      <c r="O136" s="23">
        <v>160</v>
      </c>
      <c r="P136" s="24">
        <v>250.1</v>
      </c>
      <c r="Q136" s="25">
        <v>1.5631250000000001</v>
      </c>
      <c r="R136" s="24">
        <v>160</v>
      </c>
      <c r="S136" s="25">
        <v>1</v>
      </c>
      <c r="T136" s="26">
        <v>0.64</v>
      </c>
      <c r="U136" s="24">
        <v>0</v>
      </c>
      <c r="V136" s="19">
        <v>960</v>
      </c>
      <c r="W136" s="19">
        <v>2550.5</v>
      </c>
      <c r="X136" s="21">
        <v>2.6567708333333333</v>
      </c>
      <c r="Y136" s="19">
        <v>1759.9999999999998</v>
      </c>
      <c r="Z136" s="20">
        <v>1.833333333333333</v>
      </c>
      <c r="AA136" s="30">
        <v>7.6999999999999971E-2</v>
      </c>
      <c r="AB136" s="27">
        <v>6.7500000000000004E-2</v>
      </c>
      <c r="AC136" s="27">
        <v>9.2499999999999999E-2</v>
      </c>
      <c r="AD136" s="11">
        <v>7.674322509128842E-2</v>
      </c>
    </row>
    <row r="137" spans="1:30" x14ac:dyDescent="0.25">
      <c r="A137" s="13">
        <v>43655</v>
      </c>
      <c r="B137" s="46" t="s">
        <v>636</v>
      </c>
      <c r="C137" s="13">
        <v>43656</v>
      </c>
      <c r="D137" s="15" t="s">
        <v>366</v>
      </c>
      <c r="E137" s="15">
        <v>742</v>
      </c>
      <c r="F137" s="15">
        <v>720</v>
      </c>
      <c r="G137" s="13">
        <v>44398</v>
      </c>
      <c r="H137" s="17">
        <v>600</v>
      </c>
      <c r="I137" s="19">
        <v>1751</v>
      </c>
      <c r="J137" s="20">
        <v>2.9183333333333334</v>
      </c>
      <c r="K137" s="19">
        <v>1101</v>
      </c>
      <c r="L137" s="20">
        <v>1.835</v>
      </c>
      <c r="M137" s="21">
        <v>0</v>
      </c>
      <c r="N137" s="19">
        <v>0</v>
      </c>
      <c r="O137" s="23">
        <v>120</v>
      </c>
      <c r="P137" s="24">
        <v>220</v>
      </c>
      <c r="Q137" s="25">
        <v>1.8333333333333335</v>
      </c>
      <c r="R137" s="24">
        <v>120</v>
      </c>
      <c r="S137" s="25">
        <v>1</v>
      </c>
      <c r="T137" s="26">
        <v>0.54545500000000002</v>
      </c>
      <c r="U137" s="24">
        <v>0</v>
      </c>
      <c r="V137" s="19">
        <v>720</v>
      </c>
      <c r="W137" s="19">
        <v>1971</v>
      </c>
      <c r="X137" s="21">
        <v>2.7374999999999998</v>
      </c>
      <c r="Y137" s="19">
        <v>1221</v>
      </c>
      <c r="Z137" s="20">
        <v>1.6958333333333333</v>
      </c>
      <c r="AA137" s="30">
        <v>0.10369999999999996</v>
      </c>
      <c r="AB137" s="27">
        <v>9.9499999999999991E-2</v>
      </c>
      <c r="AC137" s="27">
        <v>0.10490000000000001</v>
      </c>
      <c r="AD137" s="11">
        <v>0.10373186750428325</v>
      </c>
    </row>
    <row r="138" spans="1:30" x14ac:dyDescent="0.25">
      <c r="A138" s="13">
        <v>43656</v>
      </c>
      <c r="B138" s="46" t="s">
        <v>636</v>
      </c>
      <c r="C138" s="13">
        <v>43656</v>
      </c>
      <c r="D138" s="15" t="s">
        <v>489</v>
      </c>
      <c r="E138" s="15">
        <v>91</v>
      </c>
      <c r="F138" s="15">
        <v>90</v>
      </c>
      <c r="G138" s="13">
        <v>43747</v>
      </c>
      <c r="H138" s="17">
        <v>600</v>
      </c>
      <c r="I138" s="19">
        <v>2358.5899999999997</v>
      </c>
      <c r="J138" s="20">
        <v>3.9309833333333315</v>
      </c>
      <c r="K138" s="19">
        <v>1199.9999999999998</v>
      </c>
      <c r="L138" s="20">
        <v>1.9999999999999996</v>
      </c>
      <c r="M138" s="21">
        <v>0.49458515283842797</v>
      </c>
      <c r="N138" s="19">
        <v>0</v>
      </c>
      <c r="O138" s="23">
        <v>120</v>
      </c>
      <c r="P138" s="24">
        <v>221.22</v>
      </c>
      <c r="Q138" s="25">
        <v>1.8435000000000001</v>
      </c>
      <c r="R138" s="24">
        <v>120</v>
      </c>
      <c r="S138" s="25">
        <v>1</v>
      </c>
      <c r="T138" s="26">
        <v>0.54245901639344263</v>
      </c>
      <c r="U138" s="24">
        <v>0</v>
      </c>
      <c r="V138" s="19">
        <v>720</v>
      </c>
      <c r="W138" s="19">
        <v>2579.8099999999995</v>
      </c>
      <c r="X138" s="21">
        <v>3.5830694444444435</v>
      </c>
      <c r="Y138" s="19">
        <v>1319.9999999999998</v>
      </c>
      <c r="Z138" s="20">
        <v>1.833333333333333</v>
      </c>
      <c r="AA138" s="30">
        <v>8.3000000000000074E-2</v>
      </c>
      <c r="AB138" s="27">
        <v>7.4299999999999991E-2</v>
      </c>
      <c r="AC138" s="27">
        <v>9.4499999999999987E-2</v>
      </c>
      <c r="AD138" s="11">
        <v>8.3034806388562657E-2</v>
      </c>
    </row>
    <row r="139" spans="1:30" x14ac:dyDescent="0.25">
      <c r="A139" s="13">
        <v>43657</v>
      </c>
      <c r="B139" s="46" t="s">
        <v>636</v>
      </c>
      <c r="C139" s="13">
        <v>43658</v>
      </c>
      <c r="D139" s="15" t="s">
        <v>490</v>
      </c>
      <c r="E139" s="15">
        <v>357</v>
      </c>
      <c r="F139" s="15">
        <v>360</v>
      </c>
      <c r="G139" s="13">
        <v>44015</v>
      </c>
      <c r="H139" s="17">
        <v>800</v>
      </c>
      <c r="I139" s="19">
        <v>3691.27</v>
      </c>
      <c r="J139" s="20">
        <v>4.6140875000000001</v>
      </c>
      <c r="K139" s="19">
        <v>1600</v>
      </c>
      <c r="L139" s="20">
        <v>2</v>
      </c>
      <c r="M139" s="21">
        <v>0.54264999999999997</v>
      </c>
      <c r="N139" s="19">
        <v>0</v>
      </c>
      <c r="O139" s="23">
        <v>160</v>
      </c>
      <c r="P139" s="24">
        <v>260</v>
      </c>
      <c r="Q139" s="25">
        <v>1.625</v>
      </c>
      <c r="R139" s="24">
        <v>160</v>
      </c>
      <c r="S139" s="25">
        <v>1</v>
      </c>
      <c r="T139" s="26">
        <v>0.61538499999999996</v>
      </c>
      <c r="U139" s="24">
        <v>0</v>
      </c>
      <c r="V139" s="19">
        <v>960</v>
      </c>
      <c r="W139" s="19">
        <v>3951.27</v>
      </c>
      <c r="X139" s="21">
        <v>4.1159062500000001</v>
      </c>
      <c r="Y139" s="19">
        <v>1760</v>
      </c>
      <c r="Z139" s="20">
        <v>1.8333333333333333</v>
      </c>
      <c r="AA139" s="30">
        <v>0.1027</v>
      </c>
      <c r="AB139" s="27">
        <v>9.3000000000000013E-2</v>
      </c>
      <c r="AC139" s="27">
        <v>0.1043</v>
      </c>
      <c r="AD139" s="11">
        <v>0.10262658380449001</v>
      </c>
    </row>
    <row r="140" spans="1:30" x14ac:dyDescent="0.25">
      <c r="A140" s="13">
        <v>43658</v>
      </c>
      <c r="B140" s="46" t="s">
        <v>636</v>
      </c>
      <c r="C140" s="13">
        <v>43658</v>
      </c>
      <c r="D140" s="15" t="s">
        <v>491</v>
      </c>
      <c r="E140" s="15">
        <v>161</v>
      </c>
      <c r="F140" s="15">
        <v>180</v>
      </c>
      <c r="G140" s="13">
        <v>43819</v>
      </c>
      <c r="H140" s="17">
        <v>600</v>
      </c>
      <c r="I140" s="19">
        <v>2339.9299999999998</v>
      </c>
      <c r="J140" s="20">
        <v>3.8998833333333329</v>
      </c>
      <c r="K140" s="19">
        <v>1200.0000000000002</v>
      </c>
      <c r="L140" s="20">
        <v>2.0000000000000004</v>
      </c>
      <c r="M140" s="21">
        <v>0.90046700000000002</v>
      </c>
      <c r="N140" s="19">
        <v>0</v>
      </c>
      <c r="O140" s="23">
        <v>120</v>
      </c>
      <c r="P140" s="24">
        <v>50</v>
      </c>
      <c r="Q140" s="25">
        <v>0.41666666666666669</v>
      </c>
      <c r="R140" s="24">
        <v>50</v>
      </c>
      <c r="S140" s="25">
        <v>0.41666666666666669</v>
      </c>
      <c r="T140" s="26">
        <v>0</v>
      </c>
      <c r="U140" s="24">
        <v>0</v>
      </c>
      <c r="V140" s="19">
        <v>720</v>
      </c>
      <c r="W140" s="19">
        <v>2389.9299999999998</v>
      </c>
      <c r="X140" s="21">
        <v>3.319347222222222</v>
      </c>
      <c r="Y140" s="19">
        <v>1250.0000000000002</v>
      </c>
      <c r="Z140" s="20">
        <v>1.7361111111111114</v>
      </c>
      <c r="AA140" s="30">
        <v>9.6000000000000044E-2</v>
      </c>
      <c r="AB140" s="27">
        <v>8.5000000000000006E-2</v>
      </c>
      <c r="AC140" s="27">
        <v>0.1</v>
      </c>
      <c r="AD140" s="11">
        <v>9.4987021833986496E-2</v>
      </c>
    </row>
    <row r="141" spans="1:30" x14ac:dyDescent="0.25">
      <c r="A141" s="13">
        <v>43661</v>
      </c>
      <c r="B141" s="46" t="s">
        <v>636</v>
      </c>
      <c r="C141" s="13">
        <v>43661</v>
      </c>
      <c r="D141" s="15" t="s">
        <v>492</v>
      </c>
      <c r="E141" s="15">
        <v>28</v>
      </c>
      <c r="F141" s="15">
        <v>30</v>
      </c>
      <c r="G141" s="13">
        <v>43689</v>
      </c>
      <c r="H141" s="17">
        <v>500</v>
      </c>
      <c r="I141" s="19">
        <v>2985.3700000000008</v>
      </c>
      <c r="J141" s="20">
        <v>5.9707400000000002</v>
      </c>
      <c r="K141" s="19">
        <v>1000</v>
      </c>
      <c r="L141" s="20">
        <v>2</v>
      </c>
      <c r="M141" s="21">
        <v>0.245</v>
      </c>
      <c r="N141" s="19">
        <v>0</v>
      </c>
      <c r="O141" s="23">
        <v>100</v>
      </c>
      <c r="P141" s="24">
        <v>125.31</v>
      </c>
      <c r="Q141" s="25">
        <v>1.2531000000000001</v>
      </c>
      <c r="R141" s="24">
        <v>100</v>
      </c>
      <c r="S141" s="25">
        <v>1</v>
      </c>
      <c r="T141" s="26">
        <v>0.79806451612903229</v>
      </c>
      <c r="U141" s="24">
        <v>0</v>
      </c>
      <c r="V141" s="19">
        <v>600</v>
      </c>
      <c r="W141" s="19">
        <v>3110.6800000000007</v>
      </c>
      <c r="X141" s="21">
        <v>5.1844666666666681</v>
      </c>
      <c r="Y141" s="19">
        <v>1100</v>
      </c>
      <c r="Z141" s="20">
        <v>1.8333333333333333</v>
      </c>
      <c r="AA141" s="30">
        <v>7.2999999999999995E-2</v>
      </c>
      <c r="AB141" s="27">
        <v>0.06</v>
      </c>
      <c r="AC141" s="27">
        <v>8.1099999999999992E-2</v>
      </c>
      <c r="AD141" s="11">
        <v>7.3639354585863709E-2</v>
      </c>
    </row>
    <row r="142" spans="1:30" x14ac:dyDescent="0.25">
      <c r="A142" s="13">
        <v>43662</v>
      </c>
      <c r="B142" s="46" t="s">
        <v>636</v>
      </c>
      <c r="C142" s="13">
        <v>43663</v>
      </c>
      <c r="D142" s="15" t="s">
        <v>367</v>
      </c>
      <c r="E142" s="15">
        <v>735</v>
      </c>
      <c r="F142" s="15">
        <v>720</v>
      </c>
      <c r="G142" s="13">
        <v>44398</v>
      </c>
      <c r="H142" s="17">
        <v>400</v>
      </c>
      <c r="I142" s="19">
        <v>760.36</v>
      </c>
      <c r="J142" s="20">
        <v>1.9009</v>
      </c>
      <c r="K142" s="19">
        <v>660.36</v>
      </c>
      <c r="L142" s="20">
        <v>1.6509</v>
      </c>
      <c r="M142" s="21">
        <v>0</v>
      </c>
      <c r="N142" s="19">
        <v>0</v>
      </c>
      <c r="O142" s="23">
        <v>80</v>
      </c>
      <c r="P142" s="24">
        <v>110</v>
      </c>
      <c r="Q142" s="25">
        <v>1.375</v>
      </c>
      <c r="R142" s="24">
        <v>80</v>
      </c>
      <c r="S142" s="25">
        <v>1</v>
      </c>
      <c r="T142" s="26">
        <v>0.72727333333333333</v>
      </c>
      <c r="U142" s="24">
        <v>0</v>
      </c>
      <c r="V142" s="19">
        <v>480</v>
      </c>
      <c r="W142" s="19">
        <v>870.36</v>
      </c>
      <c r="X142" s="21">
        <v>1.81325</v>
      </c>
      <c r="Y142" s="19">
        <v>740.36</v>
      </c>
      <c r="Z142" s="20">
        <v>1.5424166666666668</v>
      </c>
      <c r="AA142" s="30">
        <v>0.10300000000000001</v>
      </c>
      <c r="AB142" s="27">
        <v>9.9000000000000005E-2</v>
      </c>
      <c r="AC142" s="27">
        <v>0.10400000000000001</v>
      </c>
      <c r="AD142" s="11">
        <v>0.10256410121521385</v>
      </c>
    </row>
    <row r="143" spans="1:30" x14ac:dyDescent="0.25">
      <c r="A143" s="13">
        <v>43662</v>
      </c>
      <c r="B143" s="46" t="s">
        <v>638</v>
      </c>
      <c r="C143" s="13">
        <v>43663</v>
      </c>
      <c r="D143" s="15" t="s">
        <v>493</v>
      </c>
      <c r="E143" s="15">
        <v>352</v>
      </c>
      <c r="F143" s="15">
        <v>360</v>
      </c>
      <c r="G143" s="13">
        <v>44015</v>
      </c>
      <c r="H143" s="17">
        <v>400</v>
      </c>
      <c r="I143" s="19">
        <v>2811.23</v>
      </c>
      <c r="J143" s="20">
        <v>7.0280750000000003</v>
      </c>
      <c r="K143" s="19">
        <v>400.76</v>
      </c>
      <c r="L143" s="20">
        <v>1.0019</v>
      </c>
      <c r="M143" s="21">
        <v>0</v>
      </c>
      <c r="N143" s="19">
        <v>0</v>
      </c>
      <c r="O143" s="23">
        <v>80</v>
      </c>
      <c r="P143" s="24">
        <v>110</v>
      </c>
      <c r="Q143" s="25">
        <v>1.375</v>
      </c>
      <c r="R143" s="24">
        <v>80</v>
      </c>
      <c r="S143" s="25">
        <v>1</v>
      </c>
      <c r="T143" s="26">
        <v>0.72727333333333333</v>
      </c>
      <c r="U143" s="24">
        <v>0</v>
      </c>
      <c r="V143" s="19">
        <v>480</v>
      </c>
      <c r="W143" s="19">
        <v>2921.23</v>
      </c>
      <c r="X143" s="21">
        <v>6.0858958333333337</v>
      </c>
      <c r="Y143" s="19">
        <v>480.76</v>
      </c>
      <c r="Z143" s="20">
        <v>1.0015833333333333</v>
      </c>
      <c r="AA143" s="30">
        <v>0.10179999999999993</v>
      </c>
      <c r="AB143" s="27">
        <v>9.5000000000000001E-2</v>
      </c>
      <c r="AC143" s="27">
        <v>0.10800000000000001</v>
      </c>
      <c r="AD143" s="11">
        <v>0.10319040064313489</v>
      </c>
    </row>
    <row r="144" spans="1:30" x14ac:dyDescent="0.25">
      <c r="A144" s="13">
        <v>43663</v>
      </c>
      <c r="B144" s="46" t="s">
        <v>636</v>
      </c>
      <c r="C144" s="13">
        <v>43663</v>
      </c>
      <c r="D144" s="15" t="s">
        <v>494</v>
      </c>
      <c r="E144" s="15">
        <v>84</v>
      </c>
      <c r="F144" s="15">
        <v>90</v>
      </c>
      <c r="G144" s="13">
        <v>43747</v>
      </c>
      <c r="H144" s="17">
        <v>400</v>
      </c>
      <c r="I144" s="19">
        <v>1811.44</v>
      </c>
      <c r="J144" s="20">
        <v>4.5286</v>
      </c>
      <c r="K144" s="19">
        <v>800</v>
      </c>
      <c r="L144" s="20">
        <v>2</v>
      </c>
      <c r="M144" s="21">
        <v>0.59970000000000001</v>
      </c>
      <c r="N144" s="19">
        <v>0</v>
      </c>
      <c r="O144" s="23">
        <v>80</v>
      </c>
      <c r="P144" s="24">
        <v>100.15</v>
      </c>
      <c r="Q144" s="25">
        <v>1.2518750000000001</v>
      </c>
      <c r="R144" s="24">
        <v>80</v>
      </c>
      <c r="S144" s="25">
        <v>1</v>
      </c>
      <c r="T144" s="26">
        <v>0.79880200000000001</v>
      </c>
      <c r="U144" s="24">
        <v>0</v>
      </c>
      <c r="V144" s="19">
        <v>480</v>
      </c>
      <c r="W144" s="19">
        <v>1911.5900000000001</v>
      </c>
      <c r="X144" s="21">
        <v>3.9824791666666668</v>
      </c>
      <c r="Y144" s="19">
        <v>880</v>
      </c>
      <c r="Z144" s="20">
        <v>1.8333333333333333</v>
      </c>
      <c r="AA144" s="30">
        <v>8.0299999999999941E-2</v>
      </c>
      <c r="AB144" s="27">
        <v>7.0000000000000007E-2</v>
      </c>
      <c r="AC144" s="27">
        <v>0.09</v>
      </c>
      <c r="AD144" s="11">
        <v>7.9964067261405286E-2</v>
      </c>
    </row>
    <row r="145" spans="1:30" x14ac:dyDescent="0.25">
      <c r="A145" s="13">
        <v>43665</v>
      </c>
      <c r="B145" s="46" t="s">
        <v>636</v>
      </c>
      <c r="C145" s="13">
        <v>43665</v>
      </c>
      <c r="D145" s="15" t="s">
        <v>495</v>
      </c>
      <c r="E145" s="15">
        <v>189</v>
      </c>
      <c r="F145" s="15">
        <v>180</v>
      </c>
      <c r="G145" s="13">
        <v>43854</v>
      </c>
      <c r="H145" s="17">
        <v>400</v>
      </c>
      <c r="I145" s="19">
        <v>2588.9899999999998</v>
      </c>
      <c r="J145" s="20">
        <v>6.4724750000000002</v>
      </c>
      <c r="K145" s="19">
        <v>800</v>
      </c>
      <c r="L145" s="20">
        <v>2</v>
      </c>
      <c r="M145" s="21">
        <v>0.36902500000000005</v>
      </c>
      <c r="N145" s="19">
        <v>0</v>
      </c>
      <c r="O145" s="23">
        <v>80</v>
      </c>
      <c r="P145" s="24">
        <v>160</v>
      </c>
      <c r="Q145" s="25">
        <v>2</v>
      </c>
      <c r="R145" s="24">
        <v>80</v>
      </c>
      <c r="S145" s="25">
        <v>1</v>
      </c>
      <c r="T145" s="26">
        <v>0.5</v>
      </c>
      <c r="U145" s="24">
        <v>0</v>
      </c>
      <c r="V145" s="19">
        <v>480</v>
      </c>
      <c r="W145" s="19">
        <v>2748.99</v>
      </c>
      <c r="X145" s="21">
        <v>5.7270624999999997</v>
      </c>
      <c r="Y145" s="19">
        <v>880</v>
      </c>
      <c r="Z145" s="20">
        <v>1.8333333333333333</v>
      </c>
      <c r="AA145" s="30">
        <v>9.4899999999999998E-2</v>
      </c>
      <c r="AB145" s="27">
        <v>0.08</v>
      </c>
      <c r="AC145" s="27">
        <v>0.10730000000000001</v>
      </c>
      <c r="AD145" s="11">
        <v>9.5054237366695146E-2</v>
      </c>
    </row>
    <row r="146" spans="1:30" x14ac:dyDescent="0.25">
      <c r="A146" s="13">
        <v>43668</v>
      </c>
      <c r="B146" s="46" t="s">
        <v>636</v>
      </c>
      <c r="C146" s="13">
        <v>43668</v>
      </c>
      <c r="D146" s="15" t="s">
        <v>496</v>
      </c>
      <c r="E146" s="15">
        <v>28</v>
      </c>
      <c r="F146" s="15">
        <v>30</v>
      </c>
      <c r="G146" s="13">
        <v>43696</v>
      </c>
      <c r="H146" s="17">
        <v>1200</v>
      </c>
      <c r="I146" s="19">
        <v>2222.7999999999997</v>
      </c>
      <c r="J146" s="20">
        <v>1.8523333333333327</v>
      </c>
      <c r="K146" s="19">
        <v>1722.7999999999997</v>
      </c>
      <c r="L146" s="20">
        <v>1.4356666666666664</v>
      </c>
      <c r="M146" s="21">
        <v>0</v>
      </c>
      <c r="N146" s="19">
        <v>0</v>
      </c>
      <c r="O146" s="23">
        <v>240</v>
      </c>
      <c r="P146" s="24">
        <v>255.19</v>
      </c>
      <c r="Q146" s="25">
        <v>1.0632916666666667</v>
      </c>
      <c r="R146" s="24">
        <v>240</v>
      </c>
      <c r="S146" s="25">
        <v>1</v>
      </c>
      <c r="T146" s="26">
        <v>0.9404758333333334</v>
      </c>
      <c r="U146" s="24">
        <v>0</v>
      </c>
      <c r="V146" s="19">
        <v>1440</v>
      </c>
      <c r="W146" s="19">
        <v>2477.9899999999998</v>
      </c>
      <c r="X146" s="21">
        <v>1.7208263888888888</v>
      </c>
      <c r="Y146" s="19">
        <v>1962.7999999999997</v>
      </c>
      <c r="Z146" s="20">
        <v>1.3630555555555555</v>
      </c>
      <c r="AA146" s="30">
        <v>7.500000000000008E-2</v>
      </c>
      <c r="AB146" s="27">
        <v>0.06</v>
      </c>
      <c r="AC146" s="27">
        <v>0.08</v>
      </c>
      <c r="AD146" s="11">
        <v>7.1623479395357181E-2</v>
      </c>
    </row>
    <row r="147" spans="1:30" x14ac:dyDescent="0.25">
      <c r="A147" s="13">
        <v>43669</v>
      </c>
      <c r="B147" s="46" t="s">
        <v>636</v>
      </c>
      <c r="C147" s="13">
        <v>43670</v>
      </c>
      <c r="D147" s="15" t="s">
        <v>368</v>
      </c>
      <c r="E147" s="15">
        <v>728</v>
      </c>
      <c r="F147" s="15">
        <v>720</v>
      </c>
      <c r="G147" s="13">
        <v>44398</v>
      </c>
      <c r="H147" s="17">
        <v>500</v>
      </c>
      <c r="I147" s="19">
        <v>2760.5299999999997</v>
      </c>
      <c r="J147" s="20">
        <v>5.5210599999999985</v>
      </c>
      <c r="K147" s="19">
        <v>500.53</v>
      </c>
      <c r="L147" s="20">
        <v>1.0010599999999998</v>
      </c>
      <c r="M147" s="21">
        <v>0</v>
      </c>
      <c r="N147" s="19">
        <v>0</v>
      </c>
      <c r="O147" s="23">
        <v>100</v>
      </c>
      <c r="P147" s="24">
        <v>350</v>
      </c>
      <c r="Q147" s="25">
        <v>3.5</v>
      </c>
      <c r="R147" s="24">
        <v>100</v>
      </c>
      <c r="S147" s="25">
        <v>1</v>
      </c>
      <c r="T147" s="26">
        <v>0.285715</v>
      </c>
      <c r="U147" s="24">
        <v>0</v>
      </c>
      <c r="V147" s="19">
        <v>600</v>
      </c>
      <c r="W147" s="19">
        <v>3110.5299999999997</v>
      </c>
      <c r="X147" s="21">
        <v>5.184216666666666</v>
      </c>
      <c r="Y147" s="19">
        <v>600.53</v>
      </c>
      <c r="Z147" s="20">
        <v>1.0008833333333333</v>
      </c>
      <c r="AA147" s="30">
        <v>9.990000000000003E-2</v>
      </c>
      <c r="AB147" s="27">
        <v>9.6999999999999989E-2</v>
      </c>
      <c r="AC147" s="27">
        <v>0.10369999999999999</v>
      </c>
      <c r="AD147" s="11">
        <v>0.10158480798977008</v>
      </c>
    </row>
    <row r="148" spans="1:30" x14ac:dyDescent="0.25">
      <c r="A148" s="13">
        <v>43670</v>
      </c>
      <c r="B148" s="46" t="s">
        <v>636</v>
      </c>
      <c r="C148" s="13">
        <v>43670</v>
      </c>
      <c r="D148" s="15" t="s">
        <v>497</v>
      </c>
      <c r="E148" s="15">
        <v>77</v>
      </c>
      <c r="F148" s="15">
        <v>90</v>
      </c>
      <c r="G148" s="13">
        <v>43747</v>
      </c>
      <c r="H148" s="17">
        <v>1000</v>
      </c>
      <c r="I148" s="19">
        <v>1784.56</v>
      </c>
      <c r="J148" s="20">
        <v>1.7845599999999999</v>
      </c>
      <c r="K148" s="19">
        <v>1009.5600000000001</v>
      </c>
      <c r="L148" s="20">
        <v>1.00956</v>
      </c>
      <c r="M148" s="21">
        <v>0</v>
      </c>
      <c r="N148" s="19">
        <v>0</v>
      </c>
      <c r="O148" s="23">
        <v>200</v>
      </c>
      <c r="P148" s="24">
        <v>200</v>
      </c>
      <c r="Q148" s="25">
        <v>1</v>
      </c>
      <c r="R148" s="24">
        <v>200</v>
      </c>
      <c r="S148" s="25">
        <v>1</v>
      </c>
      <c r="T148" s="26">
        <v>0</v>
      </c>
      <c r="U148" s="24">
        <v>0</v>
      </c>
      <c r="V148" s="19">
        <v>1200</v>
      </c>
      <c r="W148" s="19">
        <v>1984.56</v>
      </c>
      <c r="X148" s="21">
        <v>1.6537999999999999</v>
      </c>
      <c r="Y148" s="19">
        <v>1209.56</v>
      </c>
      <c r="Z148" s="20">
        <v>1.0079666666666667</v>
      </c>
      <c r="AA148" s="30">
        <v>7.9699999999999924E-2</v>
      </c>
      <c r="AB148" s="27">
        <v>6.5000000000000002E-2</v>
      </c>
      <c r="AC148" s="27">
        <v>8.5000000000000006E-2</v>
      </c>
      <c r="AD148" s="11">
        <v>7.7622310821715168E-2</v>
      </c>
    </row>
    <row r="149" spans="1:30" x14ac:dyDescent="0.25">
      <c r="A149" s="13">
        <v>43671</v>
      </c>
      <c r="B149" s="46" t="s">
        <v>636</v>
      </c>
      <c r="C149" s="13">
        <v>43672</v>
      </c>
      <c r="D149" s="15" t="s">
        <v>498</v>
      </c>
      <c r="E149" s="15">
        <v>371</v>
      </c>
      <c r="F149" s="15">
        <v>360</v>
      </c>
      <c r="G149" s="13">
        <v>44043</v>
      </c>
      <c r="H149" s="17">
        <v>500</v>
      </c>
      <c r="I149" s="19">
        <v>3378.2</v>
      </c>
      <c r="J149" s="20">
        <v>6.7563999999999993</v>
      </c>
      <c r="K149" s="19">
        <v>829.05000000000007</v>
      </c>
      <c r="L149" s="20">
        <v>1.6581000000000001</v>
      </c>
      <c r="M149" s="21">
        <v>0</v>
      </c>
      <c r="N149" s="19">
        <v>0</v>
      </c>
      <c r="O149" s="23">
        <v>100</v>
      </c>
      <c r="P149" s="24">
        <v>201</v>
      </c>
      <c r="Q149" s="25">
        <v>2.0099999999999998</v>
      </c>
      <c r="R149" s="24">
        <v>100</v>
      </c>
      <c r="S149" s="25">
        <v>1</v>
      </c>
      <c r="T149" s="26">
        <v>0.49751299999999998</v>
      </c>
      <c r="U149" s="24">
        <v>0</v>
      </c>
      <c r="V149" s="19">
        <v>600</v>
      </c>
      <c r="W149" s="19">
        <v>3579.2</v>
      </c>
      <c r="X149" s="21">
        <v>5.9653333333333327</v>
      </c>
      <c r="Y149" s="19">
        <v>929.05000000000007</v>
      </c>
      <c r="Z149" s="20">
        <v>1.5484166666666668</v>
      </c>
      <c r="AA149" s="30">
        <v>9.8900000000000043E-2</v>
      </c>
      <c r="AB149" s="27">
        <v>0.09</v>
      </c>
      <c r="AC149" s="27">
        <v>0.10210000000000001</v>
      </c>
      <c r="AD149" s="11">
        <v>9.9792587768634214E-2</v>
      </c>
    </row>
    <row r="150" spans="1:30" x14ac:dyDescent="0.25">
      <c r="A150" s="13">
        <v>43672</v>
      </c>
      <c r="B150" s="46" t="s">
        <v>636</v>
      </c>
      <c r="C150" s="13">
        <v>43672</v>
      </c>
      <c r="D150" s="15" t="s">
        <v>499</v>
      </c>
      <c r="E150" s="15">
        <v>182</v>
      </c>
      <c r="F150" s="15">
        <v>180</v>
      </c>
      <c r="G150" s="13">
        <v>43854</v>
      </c>
      <c r="H150" s="17">
        <v>1000</v>
      </c>
      <c r="I150" s="19">
        <v>3100.3900000000003</v>
      </c>
      <c r="J150" s="20">
        <v>3.1003899999999991</v>
      </c>
      <c r="K150" s="19">
        <v>1893</v>
      </c>
      <c r="L150" s="20">
        <v>1.893</v>
      </c>
      <c r="M150" s="21">
        <v>0</v>
      </c>
      <c r="N150" s="19">
        <v>0</v>
      </c>
      <c r="O150" s="23">
        <v>200</v>
      </c>
      <c r="P150" s="24">
        <v>414.7</v>
      </c>
      <c r="Q150" s="25">
        <v>2.0735000000000001</v>
      </c>
      <c r="R150" s="24">
        <v>200</v>
      </c>
      <c r="S150" s="25">
        <v>1</v>
      </c>
      <c r="T150" s="26">
        <v>0.4822765</v>
      </c>
      <c r="U150" s="24">
        <v>0</v>
      </c>
      <c r="V150" s="19">
        <v>1200</v>
      </c>
      <c r="W150" s="19">
        <v>3515.09</v>
      </c>
      <c r="X150" s="21">
        <v>2.929241666666667</v>
      </c>
      <c r="Y150" s="19">
        <v>2093</v>
      </c>
      <c r="Z150" s="20">
        <v>1.7441666666666666</v>
      </c>
      <c r="AA150" s="30">
        <v>9.2399999999999816E-2</v>
      </c>
      <c r="AB150" s="27">
        <v>0.08</v>
      </c>
      <c r="AC150" s="27">
        <v>9.6000000000000002E-2</v>
      </c>
      <c r="AD150" s="11">
        <v>9.1120070378242699E-2</v>
      </c>
    </row>
    <row r="151" spans="1:30" x14ac:dyDescent="0.25">
      <c r="A151" s="13">
        <v>43675</v>
      </c>
      <c r="B151" s="46" t="s">
        <v>636</v>
      </c>
      <c r="C151" s="13">
        <v>43675</v>
      </c>
      <c r="D151" s="15" t="s">
        <v>500</v>
      </c>
      <c r="E151" s="15">
        <v>28</v>
      </c>
      <c r="F151" s="15">
        <v>30</v>
      </c>
      <c r="G151" s="13">
        <v>43703</v>
      </c>
      <c r="H151" s="17">
        <v>1000</v>
      </c>
      <c r="I151" s="19">
        <v>2707.69</v>
      </c>
      <c r="J151" s="20">
        <v>2.7076899999999995</v>
      </c>
      <c r="K151" s="19">
        <v>1977.69</v>
      </c>
      <c r="L151" s="20">
        <v>1.9776899999999999</v>
      </c>
      <c r="M151" s="21">
        <v>0</v>
      </c>
      <c r="N151" s="19">
        <v>0</v>
      </c>
      <c r="O151" s="23">
        <v>200</v>
      </c>
      <c r="P151" s="24">
        <v>250</v>
      </c>
      <c r="Q151" s="25">
        <v>1.25</v>
      </c>
      <c r="R151" s="24">
        <v>200</v>
      </c>
      <c r="S151" s="25">
        <v>1</v>
      </c>
      <c r="T151" s="26">
        <v>0.8</v>
      </c>
      <c r="U151" s="24">
        <v>0</v>
      </c>
      <c r="V151" s="19">
        <v>1200</v>
      </c>
      <c r="W151" s="19">
        <v>2957.69</v>
      </c>
      <c r="X151" s="21">
        <v>2.4647416666666668</v>
      </c>
      <c r="Y151" s="19">
        <v>2177.69</v>
      </c>
      <c r="Z151" s="20">
        <v>1.8147416666666667</v>
      </c>
      <c r="AA151" s="30">
        <v>7.3700000000000015E-2</v>
      </c>
      <c r="AB151" s="27">
        <v>0.06</v>
      </c>
      <c r="AC151" s="27">
        <v>0.09</v>
      </c>
      <c r="AD151" s="11">
        <v>7.2063153462914892E-2</v>
      </c>
    </row>
    <row r="152" spans="1:30" x14ac:dyDescent="0.25">
      <c r="A152" s="13">
        <v>43676</v>
      </c>
      <c r="B152" s="46" t="s">
        <v>636</v>
      </c>
      <c r="C152" s="13">
        <v>43677</v>
      </c>
      <c r="D152" s="15" t="s">
        <v>369</v>
      </c>
      <c r="E152" s="15">
        <v>721</v>
      </c>
      <c r="F152" s="15">
        <v>720</v>
      </c>
      <c r="G152" s="13">
        <v>44398</v>
      </c>
      <c r="H152" s="17">
        <v>500</v>
      </c>
      <c r="I152" s="19">
        <v>1306.76</v>
      </c>
      <c r="J152" s="20">
        <v>2.6135200000000003</v>
      </c>
      <c r="K152" s="19">
        <v>856.76</v>
      </c>
      <c r="L152" s="20">
        <v>1.7135199999999999</v>
      </c>
      <c r="M152" s="21">
        <v>0</v>
      </c>
      <c r="N152" s="19">
        <v>0</v>
      </c>
      <c r="O152" s="23">
        <v>100</v>
      </c>
      <c r="P152" s="24">
        <v>0</v>
      </c>
      <c r="Q152" s="25">
        <v>0</v>
      </c>
      <c r="R152" s="24">
        <v>0</v>
      </c>
      <c r="S152" s="25">
        <v>0</v>
      </c>
      <c r="T152" s="26">
        <v>0</v>
      </c>
      <c r="U152" s="24">
        <v>0</v>
      </c>
      <c r="V152" s="19">
        <v>600</v>
      </c>
      <c r="W152" s="19">
        <v>1306.76</v>
      </c>
      <c r="X152" s="21">
        <v>2.1779333333333333</v>
      </c>
      <c r="Y152" s="19">
        <v>856.76</v>
      </c>
      <c r="Z152" s="20">
        <v>1.4279333333333333</v>
      </c>
      <c r="AA152" s="30">
        <v>9.9900000000000003E-2</v>
      </c>
      <c r="AB152" s="27">
        <v>9.1999999999999998E-2</v>
      </c>
      <c r="AC152" s="27">
        <v>0.10300000000000001</v>
      </c>
      <c r="AD152" s="11">
        <v>9.9937785056169473E-2</v>
      </c>
    </row>
    <row r="153" spans="1:30" x14ac:dyDescent="0.25">
      <c r="A153" s="13">
        <v>43677</v>
      </c>
      <c r="B153" s="46" t="s">
        <v>636</v>
      </c>
      <c r="C153" s="13">
        <v>43677</v>
      </c>
      <c r="D153" s="15" t="s">
        <v>501</v>
      </c>
      <c r="E153" s="15">
        <v>98</v>
      </c>
      <c r="F153" s="15">
        <v>90</v>
      </c>
      <c r="G153" s="13">
        <v>43775</v>
      </c>
      <c r="H153" s="17">
        <v>1000</v>
      </c>
      <c r="I153" s="19">
        <v>1425.9800000000002</v>
      </c>
      <c r="J153" s="20">
        <v>1.4259799999999996</v>
      </c>
      <c r="K153" s="19">
        <v>1193.0600000000002</v>
      </c>
      <c r="L153" s="20">
        <v>1.1930600000000002</v>
      </c>
      <c r="M153" s="21">
        <v>0</v>
      </c>
      <c r="N153" s="19">
        <v>0</v>
      </c>
      <c r="O153" s="23">
        <v>200</v>
      </c>
      <c r="P153" s="24">
        <v>400</v>
      </c>
      <c r="Q153" s="25">
        <v>2</v>
      </c>
      <c r="R153" s="24">
        <v>200</v>
      </c>
      <c r="S153" s="25">
        <v>1</v>
      </c>
      <c r="T153" s="26">
        <v>0.5</v>
      </c>
      <c r="U153" s="24">
        <v>0</v>
      </c>
      <c r="V153" s="19">
        <v>1200</v>
      </c>
      <c r="W153" s="19">
        <v>1825.9800000000002</v>
      </c>
      <c r="X153" s="21">
        <v>1.5216500000000002</v>
      </c>
      <c r="Y153" s="19">
        <v>1393.0600000000002</v>
      </c>
      <c r="Z153" s="20">
        <v>1.1608833333333335</v>
      </c>
      <c r="AA153" s="30">
        <v>8.1300000000000039E-2</v>
      </c>
      <c r="AB153" s="27">
        <v>6.5000000000000002E-2</v>
      </c>
      <c r="AC153" s="27">
        <v>0.09</v>
      </c>
      <c r="AD153" s="11">
        <v>7.7750004207632631E-2</v>
      </c>
    </row>
    <row r="154" spans="1:30" x14ac:dyDescent="0.25">
      <c r="A154" s="13">
        <v>43678</v>
      </c>
      <c r="B154" s="46" t="s">
        <v>636</v>
      </c>
      <c r="C154" s="13">
        <v>43679</v>
      </c>
      <c r="D154" s="15" t="s">
        <v>502</v>
      </c>
      <c r="E154" s="15">
        <v>364</v>
      </c>
      <c r="F154" s="15">
        <v>360</v>
      </c>
      <c r="G154" s="13">
        <v>44043</v>
      </c>
      <c r="H154" s="17">
        <v>500</v>
      </c>
      <c r="I154" s="19">
        <v>2298.65</v>
      </c>
      <c r="J154" s="20">
        <v>4.5972999999999979</v>
      </c>
      <c r="K154" s="19">
        <v>956.48000000000013</v>
      </c>
      <c r="L154" s="20">
        <v>1.9129600000000002</v>
      </c>
      <c r="M154" s="21">
        <v>0</v>
      </c>
      <c r="N154" s="19">
        <v>0</v>
      </c>
      <c r="O154" s="23">
        <v>100</v>
      </c>
      <c r="P154" s="24">
        <v>100.43</v>
      </c>
      <c r="Q154" s="25">
        <v>1.0043</v>
      </c>
      <c r="R154" s="24">
        <v>100</v>
      </c>
      <c r="S154" s="25">
        <v>1</v>
      </c>
      <c r="T154" s="26">
        <v>0.99581395348837221</v>
      </c>
      <c r="U154" s="24">
        <v>0</v>
      </c>
      <c r="V154" s="19">
        <v>600</v>
      </c>
      <c r="W154" s="19">
        <v>2399.08</v>
      </c>
      <c r="X154" s="21">
        <v>3.9984666666666664</v>
      </c>
      <c r="Y154" s="19">
        <v>1056.48</v>
      </c>
      <c r="Z154" s="20">
        <v>1.7607999999999999</v>
      </c>
      <c r="AA154" s="30">
        <v>9.8100000000000048E-2</v>
      </c>
      <c r="AB154" s="27">
        <v>8.5000000000000006E-2</v>
      </c>
      <c r="AC154" s="27">
        <v>0.10199999999999999</v>
      </c>
      <c r="AD154" s="11">
        <v>9.8443090509646947E-2</v>
      </c>
    </row>
    <row r="155" spans="1:30" x14ac:dyDescent="0.25">
      <c r="A155" s="13">
        <v>43679</v>
      </c>
      <c r="B155" s="46" t="s">
        <v>636</v>
      </c>
      <c r="C155" s="13">
        <v>43679</v>
      </c>
      <c r="D155" s="15" t="s">
        <v>503</v>
      </c>
      <c r="E155" s="15">
        <v>175</v>
      </c>
      <c r="F155" s="15">
        <v>180</v>
      </c>
      <c r="G155" s="13">
        <v>43854</v>
      </c>
      <c r="H155" s="17">
        <v>800</v>
      </c>
      <c r="I155" s="19">
        <v>2240</v>
      </c>
      <c r="J155" s="20">
        <v>2.8000000000000003</v>
      </c>
      <c r="K155" s="19">
        <v>1554.0000000000002</v>
      </c>
      <c r="L155" s="20">
        <v>1.9425000000000003</v>
      </c>
      <c r="M155" s="21">
        <v>0</v>
      </c>
      <c r="N155" s="19">
        <v>0</v>
      </c>
      <c r="O155" s="23">
        <v>160</v>
      </c>
      <c r="P155" s="24">
        <v>362.89</v>
      </c>
      <c r="Q155" s="25">
        <v>2.2680625000000001</v>
      </c>
      <c r="R155" s="24">
        <v>160</v>
      </c>
      <c r="S155" s="25">
        <v>1</v>
      </c>
      <c r="T155" s="26">
        <v>0.44090789473684217</v>
      </c>
      <c r="U155" s="24">
        <v>0</v>
      </c>
      <c r="V155" s="19">
        <v>960</v>
      </c>
      <c r="W155" s="19">
        <v>2602.89</v>
      </c>
      <c r="X155" s="21">
        <v>2.7113437499999997</v>
      </c>
      <c r="Y155" s="19">
        <v>1714.0000000000002</v>
      </c>
      <c r="Z155" s="20">
        <v>1.7854166666666669</v>
      </c>
      <c r="AA155" s="30">
        <v>9.1700000000000004E-2</v>
      </c>
      <c r="AB155" s="27">
        <v>0.06</v>
      </c>
      <c r="AC155" s="27">
        <v>9.3900000000000011E-2</v>
      </c>
      <c r="AD155" s="11">
        <v>8.9640484374999996E-2</v>
      </c>
    </row>
    <row r="156" spans="1:30" x14ac:dyDescent="0.25">
      <c r="A156" s="13">
        <v>43682</v>
      </c>
      <c r="B156" s="46" t="s">
        <v>636</v>
      </c>
      <c r="C156" s="13">
        <v>43682</v>
      </c>
      <c r="D156" s="15" t="s">
        <v>504</v>
      </c>
      <c r="E156" s="15">
        <v>30</v>
      </c>
      <c r="F156" s="15">
        <v>30</v>
      </c>
      <c r="G156" s="13">
        <v>43712</v>
      </c>
      <c r="H156" s="17">
        <v>800</v>
      </c>
      <c r="I156" s="19">
        <v>2339.1800000000003</v>
      </c>
      <c r="J156" s="20">
        <v>2.9239749999999995</v>
      </c>
      <c r="K156" s="19">
        <v>1514.1799999999998</v>
      </c>
      <c r="L156" s="20">
        <v>1.8927249999999998</v>
      </c>
      <c r="M156" s="21">
        <v>0</v>
      </c>
      <c r="N156" s="19">
        <v>0</v>
      </c>
      <c r="O156" s="23">
        <v>160</v>
      </c>
      <c r="P156" s="24">
        <v>200</v>
      </c>
      <c r="Q156" s="25">
        <v>1.25</v>
      </c>
      <c r="R156" s="24">
        <v>160</v>
      </c>
      <c r="S156" s="25">
        <v>1</v>
      </c>
      <c r="T156" s="26">
        <v>0.8</v>
      </c>
      <c r="U156" s="24">
        <v>0</v>
      </c>
      <c r="V156" s="19">
        <v>960</v>
      </c>
      <c r="W156" s="19">
        <v>2539.1800000000003</v>
      </c>
      <c r="X156" s="21">
        <v>2.6449791666666669</v>
      </c>
      <c r="Y156" s="19">
        <v>1674.1799999999998</v>
      </c>
      <c r="Z156" s="20">
        <v>1.7439374999999999</v>
      </c>
      <c r="AA156" s="30">
        <v>7.3100000000000012E-2</v>
      </c>
      <c r="AB156" s="27">
        <v>0.06</v>
      </c>
      <c r="AC156" s="27">
        <v>0.08</v>
      </c>
      <c r="AD156" s="11">
        <v>7.2106528783590806E-2</v>
      </c>
    </row>
    <row r="157" spans="1:30" x14ac:dyDescent="0.25">
      <c r="A157" s="13">
        <v>43683</v>
      </c>
      <c r="B157" s="46" t="s">
        <v>636</v>
      </c>
      <c r="C157" s="13">
        <v>43684</v>
      </c>
      <c r="D157" s="15" t="s">
        <v>370</v>
      </c>
      <c r="E157" s="15">
        <v>714</v>
      </c>
      <c r="F157" s="15">
        <v>720</v>
      </c>
      <c r="G157" s="13">
        <v>44398</v>
      </c>
      <c r="H157" s="17">
        <v>500</v>
      </c>
      <c r="I157" s="19">
        <v>978.4</v>
      </c>
      <c r="J157" s="20">
        <v>1.9568000000000005</v>
      </c>
      <c r="K157" s="19">
        <v>733.4</v>
      </c>
      <c r="L157" s="20">
        <v>1.4667999999999999</v>
      </c>
      <c r="M157" s="21">
        <v>0</v>
      </c>
      <c r="N157" s="19">
        <v>0</v>
      </c>
      <c r="O157" s="23">
        <v>100</v>
      </c>
      <c r="P157" s="24">
        <v>0</v>
      </c>
      <c r="Q157" s="25">
        <v>0</v>
      </c>
      <c r="R157" s="24">
        <v>0</v>
      </c>
      <c r="S157" s="25">
        <v>0</v>
      </c>
      <c r="T157" s="26">
        <v>0</v>
      </c>
      <c r="U157" s="24">
        <v>0</v>
      </c>
      <c r="V157" s="19">
        <v>600</v>
      </c>
      <c r="W157" s="19">
        <v>978.4</v>
      </c>
      <c r="X157" s="21">
        <v>1.6306666666666667</v>
      </c>
      <c r="Y157" s="19">
        <v>733.4</v>
      </c>
      <c r="Z157" s="20">
        <v>1.2223333333333333</v>
      </c>
      <c r="AA157" s="30">
        <v>0.10200000000000004</v>
      </c>
      <c r="AB157" s="27">
        <v>8.9900000000000008E-2</v>
      </c>
      <c r="AC157" s="27">
        <v>0.105</v>
      </c>
      <c r="AD157" s="11">
        <v>0.10134015739983647</v>
      </c>
    </row>
    <row r="158" spans="1:30" x14ac:dyDescent="0.25">
      <c r="A158" s="13">
        <v>43684</v>
      </c>
      <c r="B158" s="46" t="s">
        <v>636</v>
      </c>
      <c r="C158" s="13">
        <v>43684</v>
      </c>
      <c r="D158" s="15" t="s">
        <v>505</v>
      </c>
      <c r="E158" s="15">
        <v>91</v>
      </c>
      <c r="F158" s="15">
        <v>90</v>
      </c>
      <c r="G158" s="13">
        <v>43775</v>
      </c>
      <c r="H158" s="17">
        <v>500</v>
      </c>
      <c r="I158" s="19">
        <v>1055.9699999999998</v>
      </c>
      <c r="J158" s="20">
        <v>2.1119399999999997</v>
      </c>
      <c r="K158" s="19">
        <v>677.71999999999991</v>
      </c>
      <c r="L158" s="20">
        <v>1.3554399999999998</v>
      </c>
      <c r="M158" s="21">
        <v>0</v>
      </c>
      <c r="N158" s="19">
        <v>0</v>
      </c>
      <c r="O158" s="23">
        <v>100</v>
      </c>
      <c r="P158" s="24">
        <v>4.2</v>
      </c>
      <c r="Q158" s="25">
        <v>4.2000000000000003E-2</v>
      </c>
      <c r="R158" s="24">
        <v>4.2</v>
      </c>
      <c r="S158" s="25">
        <v>4.2000000000000003E-2</v>
      </c>
      <c r="T158" s="26">
        <v>0</v>
      </c>
      <c r="U158" s="24">
        <v>0</v>
      </c>
      <c r="V158" s="19">
        <v>600</v>
      </c>
      <c r="W158" s="19">
        <v>1060.1699999999998</v>
      </c>
      <c r="X158" s="21">
        <v>1.7669499999999998</v>
      </c>
      <c r="Y158" s="19">
        <v>681.92</v>
      </c>
      <c r="Z158" s="20">
        <v>1.1365333333333332</v>
      </c>
      <c r="AA158" s="30">
        <v>8.0000000000000016E-2</v>
      </c>
      <c r="AB158" s="27">
        <v>7.0000000000000007E-2</v>
      </c>
      <c r="AC158" s="27">
        <v>0.09</v>
      </c>
      <c r="AD158" s="11">
        <v>8.0585684252393541E-2</v>
      </c>
    </row>
    <row r="159" spans="1:30" x14ac:dyDescent="0.25">
      <c r="A159" s="13">
        <v>43685</v>
      </c>
      <c r="B159" s="46" t="s">
        <v>636</v>
      </c>
      <c r="C159" s="13">
        <v>43686</v>
      </c>
      <c r="D159" s="15" t="s">
        <v>506</v>
      </c>
      <c r="E159" s="15">
        <v>357</v>
      </c>
      <c r="F159" s="15">
        <v>360</v>
      </c>
      <c r="G159" s="13">
        <v>44043</v>
      </c>
      <c r="H159" s="17">
        <v>500</v>
      </c>
      <c r="I159" s="19">
        <v>4215.83</v>
      </c>
      <c r="J159" s="20">
        <v>8.431659999999999</v>
      </c>
      <c r="K159" s="19">
        <v>787.83</v>
      </c>
      <c r="L159" s="20">
        <v>1.5756600000000001</v>
      </c>
      <c r="M159" s="21">
        <v>0</v>
      </c>
      <c r="N159" s="19">
        <v>0</v>
      </c>
      <c r="O159" s="23">
        <v>100</v>
      </c>
      <c r="P159" s="24">
        <v>100</v>
      </c>
      <c r="Q159" s="25">
        <v>1</v>
      </c>
      <c r="R159" s="24">
        <v>100</v>
      </c>
      <c r="S159" s="25">
        <v>1</v>
      </c>
      <c r="T159" s="26">
        <v>0</v>
      </c>
      <c r="U159" s="24">
        <v>0</v>
      </c>
      <c r="V159" s="19">
        <v>600</v>
      </c>
      <c r="W159" s="19">
        <v>4315.83</v>
      </c>
      <c r="X159" s="21">
        <v>7.1930499999999995</v>
      </c>
      <c r="Y159" s="19">
        <v>887.83</v>
      </c>
      <c r="Z159" s="20">
        <v>1.4797166666666668</v>
      </c>
      <c r="AA159" s="30">
        <v>9.9699999999999955E-2</v>
      </c>
      <c r="AB159" s="27">
        <v>8.8000000000000009E-2</v>
      </c>
      <c r="AC159" s="27">
        <v>0.1047</v>
      </c>
      <c r="AD159" s="11">
        <v>0.10113152095791342</v>
      </c>
    </row>
    <row r="160" spans="1:30" x14ac:dyDescent="0.25">
      <c r="A160" s="13">
        <v>43686</v>
      </c>
      <c r="B160" s="46" t="s">
        <v>636</v>
      </c>
      <c r="C160" s="13">
        <v>43686</v>
      </c>
      <c r="D160" s="15" t="s">
        <v>507</v>
      </c>
      <c r="E160" s="15">
        <v>168</v>
      </c>
      <c r="F160" s="15">
        <v>180</v>
      </c>
      <c r="G160" s="13">
        <v>43854</v>
      </c>
      <c r="H160" s="17">
        <v>700</v>
      </c>
      <c r="I160" s="19">
        <v>1561.77</v>
      </c>
      <c r="J160" s="20">
        <v>2.2311000000000005</v>
      </c>
      <c r="K160" s="19">
        <v>737.67</v>
      </c>
      <c r="L160" s="20">
        <v>1.0538142857142856</v>
      </c>
      <c r="M160" s="21">
        <v>0</v>
      </c>
      <c r="N160" s="19">
        <v>0</v>
      </c>
      <c r="O160" s="23">
        <v>140</v>
      </c>
      <c r="P160" s="24">
        <v>100.16</v>
      </c>
      <c r="Q160" s="25">
        <v>0.71542857142857141</v>
      </c>
      <c r="R160" s="24">
        <v>100.16</v>
      </c>
      <c r="S160" s="25">
        <v>0.71542857142857141</v>
      </c>
      <c r="T160" s="26">
        <v>0</v>
      </c>
      <c r="U160" s="24">
        <v>0</v>
      </c>
      <c r="V160" s="19">
        <v>840</v>
      </c>
      <c r="W160" s="19">
        <v>1661.93</v>
      </c>
      <c r="X160" s="21">
        <v>1.9784880952380952</v>
      </c>
      <c r="Y160" s="19">
        <v>837.82999999999993</v>
      </c>
      <c r="Z160" s="20">
        <v>0.99741666666666662</v>
      </c>
      <c r="AA160" s="30">
        <v>9.1699999999999934E-2</v>
      </c>
      <c r="AB160" s="27">
        <v>0.08</v>
      </c>
      <c r="AC160" s="27">
        <v>9.9700000000000011E-2</v>
      </c>
      <c r="AD160" s="11">
        <v>9.2857011595817551E-2</v>
      </c>
    </row>
    <row r="161" spans="1:30" x14ac:dyDescent="0.25">
      <c r="A161" s="13">
        <v>43689</v>
      </c>
      <c r="B161" s="46" t="s">
        <v>636</v>
      </c>
      <c r="C161" s="13">
        <v>43689</v>
      </c>
      <c r="D161" s="15" t="s">
        <v>508</v>
      </c>
      <c r="E161" s="15">
        <v>28</v>
      </c>
      <c r="F161" s="15">
        <v>30</v>
      </c>
      <c r="G161" s="13">
        <v>43717</v>
      </c>
      <c r="H161" s="17">
        <v>800</v>
      </c>
      <c r="I161" s="19">
        <v>1562.19</v>
      </c>
      <c r="J161" s="20">
        <v>1.9527374999999996</v>
      </c>
      <c r="K161" s="19">
        <v>1122.47</v>
      </c>
      <c r="L161" s="20">
        <v>1.4030875</v>
      </c>
      <c r="M161" s="21">
        <v>0</v>
      </c>
      <c r="N161" s="19">
        <v>0</v>
      </c>
      <c r="O161" s="23">
        <v>160</v>
      </c>
      <c r="P161" s="24">
        <v>0.11</v>
      </c>
      <c r="Q161" s="25">
        <v>6.8749999999999996E-4</v>
      </c>
      <c r="R161" s="24">
        <v>0.11</v>
      </c>
      <c r="S161" s="25">
        <v>6.8749999999999996E-4</v>
      </c>
      <c r="T161" s="26">
        <v>0</v>
      </c>
      <c r="U161" s="24">
        <v>0</v>
      </c>
      <c r="V161" s="19">
        <v>960</v>
      </c>
      <c r="W161" s="19">
        <v>1562.3</v>
      </c>
      <c r="X161" s="21">
        <v>1.6273958333333334</v>
      </c>
      <c r="Y161" s="19">
        <v>1122.58</v>
      </c>
      <c r="Z161" s="20">
        <v>1.1693541666666667</v>
      </c>
      <c r="AA161" s="30">
        <v>7.0300000000000015E-2</v>
      </c>
      <c r="AB161" s="27">
        <v>0.06</v>
      </c>
      <c r="AC161" s="27">
        <v>0.08</v>
      </c>
      <c r="AD161" s="11">
        <v>6.9305007713530362E-2</v>
      </c>
    </row>
    <row r="162" spans="1:30" x14ac:dyDescent="0.25">
      <c r="A162" s="13">
        <v>43690</v>
      </c>
      <c r="B162" s="46" t="s">
        <v>636</v>
      </c>
      <c r="C162" s="13">
        <v>43691</v>
      </c>
      <c r="D162" s="15" t="s">
        <v>371</v>
      </c>
      <c r="E162" s="15">
        <v>707</v>
      </c>
      <c r="F162" s="15">
        <v>720</v>
      </c>
      <c r="G162" s="13">
        <v>44398</v>
      </c>
      <c r="H162" s="17">
        <v>500</v>
      </c>
      <c r="I162" s="19">
        <v>592.1</v>
      </c>
      <c r="J162" s="20">
        <v>1.1841999999999999</v>
      </c>
      <c r="K162" s="19">
        <v>417.1</v>
      </c>
      <c r="L162" s="20">
        <v>0.83420000000000005</v>
      </c>
      <c r="M162" s="21">
        <v>0</v>
      </c>
      <c r="N162" s="19">
        <v>0</v>
      </c>
      <c r="O162" s="23">
        <v>100</v>
      </c>
      <c r="P162" s="24">
        <v>100</v>
      </c>
      <c r="Q162" s="25">
        <v>1</v>
      </c>
      <c r="R162" s="24">
        <v>83.42</v>
      </c>
      <c r="S162" s="25">
        <v>0.83420000000000005</v>
      </c>
      <c r="T162" s="26">
        <v>0.83420000000000005</v>
      </c>
      <c r="U162" s="24">
        <v>0</v>
      </c>
      <c r="V162" s="19">
        <v>600</v>
      </c>
      <c r="W162" s="19">
        <v>692.1</v>
      </c>
      <c r="X162" s="21">
        <v>1.1535</v>
      </c>
      <c r="Y162" s="19">
        <v>500.52000000000004</v>
      </c>
      <c r="Z162" s="20">
        <v>0.83420000000000005</v>
      </c>
      <c r="AA162" s="30">
        <v>0.10339999999999996</v>
      </c>
      <c r="AB162" s="27">
        <v>9.5899999999999999E-2</v>
      </c>
      <c r="AC162" s="27">
        <v>0.10439999999999999</v>
      </c>
      <c r="AD162" s="11">
        <v>0.10299592974159769</v>
      </c>
    </row>
    <row r="163" spans="1:30" x14ac:dyDescent="0.25">
      <c r="A163" s="13">
        <v>43691</v>
      </c>
      <c r="B163" s="46" t="s">
        <v>636</v>
      </c>
      <c r="C163" s="13">
        <v>43691</v>
      </c>
      <c r="D163" s="15" t="s">
        <v>509</v>
      </c>
      <c r="E163" s="15">
        <v>84</v>
      </c>
      <c r="F163" s="15">
        <v>90</v>
      </c>
      <c r="G163" s="13">
        <v>43775</v>
      </c>
      <c r="H163" s="17">
        <v>800</v>
      </c>
      <c r="I163" s="19">
        <v>393.67</v>
      </c>
      <c r="J163" s="20">
        <v>0.49208749999999996</v>
      </c>
      <c r="K163" s="19">
        <v>290.67</v>
      </c>
      <c r="L163" s="20">
        <v>0.36333750000000004</v>
      </c>
      <c r="M163" s="21">
        <v>0</v>
      </c>
      <c r="N163" s="19">
        <v>0</v>
      </c>
      <c r="O163" s="23">
        <v>160</v>
      </c>
      <c r="P163" s="24">
        <v>0</v>
      </c>
      <c r="Q163" s="25">
        <v>0</v>
      </c>
      <c r="R163" s="24">
        <v>0</v>
      </c>
      <c r="S163" s="25">
        <v>0</v>
      </c>
      <c r="T163" s="26">
        <v>0</v>
      </c>
      <c r="U163" s="24">
        <v>0</v>
      </c>
      <c r="V163" s="19">
        <v>960</v>
      </c>
      <c r="W163" s="19">
        <v>393.67</v>
      </c>
      <c r="X163" s="21">
        <v>0.41007291666666668</v>
      </c>
      <c r="Y163" s="19">
        <v>290.67</v>
      </c>
      <c r="Z163" s="20">
        <v>0.30278125</v>
      </c>
      <c r="AA163" s="30">
        <v>8.030000000000001E-2</v>
      </c>
      <c r="AB163" s="27">
        <v>7.0000000000000007E-2</v>
      </c>
      <c r="AC163" s="27">
        <v>0.11</v>
      </c>
      <c r="AD163" s="11">
        <v>8.5279294840856557E-2</v>
      </c>
    </row>
    <row r="164" spans="1:30" x14ac:dyDescent="0.25">
      <c r="A164" s="13">
        <v>43692</v>
      </c>
      <c r="B164" s="46" t="s">
        <v>636</v>
      </c>
      <c r="C164" s="13">
        <v>43693</v>
      </c>
      <c r="D164" s="15" t="s">
        <v>510</v>
      </c>
      <c r="E164" s="15">
        <v>350</v>
      </c>
      <c r="F164" s="15">
        <v>360</v>
      </c>
      <c r="G164" s="13">
        <v>44043</v>
      </c>
      <c r="H164" s="17">
        <v>800</v>
      </c>
      <c r="I164" s="19">
        <v>831.41</v>
      </c>
      <c r="J164" s="20">
        <v>1.0392624999999998</v>
      </c>
      <c r="K164" s="19">
        <v>781.41</v>
      </c>
      <c r="L164" s="20">
        <v>0.97676249999999998</v>
      </c>
      <c r="M164" s="21">
        <v>0</v>
      </c>
      <c r="N164" s="19">
        <v>0</v>
      </c>
      <c r="O164" s="23">
        <v>160</v>
      </c>
      <c r="P164" s="24">
        <v>0</v>
      </c>
      <c r="Q164" s="25">
        <v>0</v>
      </c>
      <c r="R164" s="24">
        <v>0</v>
      </c>
      <c r="S164" s="25">
        <v>0</v>
      </c>
      <c r="T164" s="26">
        <v>0</v>
      </c>
      <c r="U164" s="24">
        <v>0</v>
      </c>
      <c r="V164" s="19">
        <v>960</v>
      </c>
      <c r="W164" s="19">
        <v>831.41</v>
      </c>
      <c r="X164" s="21">
        <v>0.86605208333333328</v>
      </c>
      <c r="Y164" s="19">
        <v>781.41</v>
      </c>
      <c r="Z164" s="20">
        <v>0.81396875000000002</v>
      </c>
      <c r="AA164" s="30">
        <v>0.10220000000000005</v>
      </c>
      <c r="AB164" s="27">
        <v>8.9700000000000002E-2</v>
      </c>
      <c r="AC164" s="27">
        <v>0.10300000000000001</v>
      </c>
      <c r="AD164" s="11">
        <v>0.10147473689274848</v>
      </c>
    </row>
    <row r="165" spans="1:30" x14ac:dyDescent="0.25">
      <c r="A165" s="13">
        <v>43693</v>
      </c>
      <c r="B165" s="46" t="s">
        <v>636</v>
      </c>
      <c r="C165" s="13">
        <v>43693</v>
      </c>
      <c r="D165" s="15" t="s">
        <v>511</v>
      </c>
      <c r="E165" s="15">
        <v>189</v>
      </c>
      <c r="F165" s="15">
        <v>180</v>
      </c>
      <c r="G165" s="13">
        <v>43882</v>
      </c>
      <c r="H165" s="17">
        <v>500</v>
      </c>
      <c r="I165" s="19">
        <v>1223.43</v>
      </c>
      <c r="J165" s="20">
        <v>2.4468599999999996</v>
      </c>
      <c r="K165" s="19">
        <v>617.13</v>
      </c>
      <c r="L165" s="20">
        <v>1.2342599999999999</v>
      </c>
      <c r="M165" s="21">
        <v>0</v>
      </c>
      <c r="N165" s="19">
        <v>0</v>
      </c>
      <c r="O165" s="23">
        <v>100</v>
      </c>
      <c r="P165" s="24">
        <v>5</v>
      </c>
      <c r="Q165" s="25">
        <v>0.05</v>
      </c>
      <c r="R165" s="24">
        <v>5</v>
      </c>
      <c r="S165" s="25">
        <v>0.05</v>
      </c>
      <c r="T165" s="26">
        <v>0</v>
      </c>
      <c r="U165" s="24">
        <v>0</v>
      </c>
      <c r="V165" s="19">
        <v>600</v>
      </c>
      <c r="W165" s="19">
        <v>1228.43</v>
      </c>
      <c r="X165" s="21">
        <v>2.0473833333333333</v>
      </c>
      <c r="Y165" s="19">
        <v>622.13</v>
      </c>
      <c r="Z165" s="20">
        <v>1.0368833333333334</v>
      </c>
      <c r="AA165" s="30">
        <v>8.9000000000000107E-2</v>
      </c>
      <c r="AB165" s="27">
        <v>0.08</v>
      </c>
      <c r="AC165" s="27">
        <v>9.9399999999999988E-2</v>
      </c>
      <c r="AD165" s="11">
        <v>8.7650678829193335E-2</v>
      </c>
    </row>
    <row r="166" spans="1:30" x14ac:dyDescent="0.25">
      <c r="A166" s="13">
        <v>43696</v>
      </c>
      <c r="B166" s="46" t="s">
        <v>636</v>
      </c>
      <c r="C166" s="13">
        <v>43696</v>
      </c>
      <c r="D166" s="15" t="s">
        <v>512</v>
      </c>
      <c r="E166" s="15">
        <v>30</v>
      </c>
      <c r="F166" s="15">
        <v>30</v>
      </c>
      <c r="G166" s="13">
        <v>43726</v>
      </c>
      <c r="H166" s="17">
        <v>1000</v>
      </c>
      <c r="I166" s="19">
        <v>1152.8499999999999</v>
      </c>
      <c r="J166" s="20">
        <v>1.1528500000000002</v>
      </c>
      <c r="K166" s="19">
        <v>1062.8499999999999</v>
      </c>
      <c r="L166" s="20">
        <v>1.0628499999999999</v>
      </c>
      <c r="M166" s="21">
        <v>0</v>
      </c>
      <c r="N166" s="19">
        <v>0</v>
      </c>
      <c r="O166" s="23">
        <v>200</v>
      </c>
      <c r="P166" s="24">
        <v>20.38</v>
      </c>
      <c r="Q166" s="25">
        <v>0.10189999999999999</v>
      </c>
      <c r="R166" s="24">
        <v>20.38</v>
      </c>
      <c r="S166" s="25">
        <v>0.10189999999999999</v>
      </c>
      <c r="T166" s="26">
        <v>0</v>
      </c>
      <c r="U166" s="24">
        <v>0</v>
      </c>
      <c r="V166" s="19">
        <v>1200</v>
      </c>
      <c r="W166" s="19">
        <v>1173.23</v>
      </c>
      <c r="X166" s="21">
        <v>0.97769166666666674</v>
      </c>
      <c r="Y166" s="19">
        <v>1083.23</v>
      </c>
      <c r="Z166" s="20">
        <v>0.90269166666666667</v>
      </c>
      <c r="AA166" s="30">
        <v>7.2499999999999926E-2</v>
      </c>
      <c r="AB166" s="27">
        <v>0.06</v>
      </c>
      <c r="AC166" s="27">
        <v>0.08</v>
      </c>
      <c r="AD166" s="11">
        <v>6.575491781237805E-2</v>
      </c>
    </row>
    <row r="167" spans="1:30" x14ac:dyDescent="0.25">
      <c r="A167" s="13">
        <v>43697</v>
      </c>
      <c r="B167" s="46" t="s">
        <v>636</v>
      </c>
      <c r="C167" s="13">
        <v>43698</v>
      </c>
      <c r="D167" s="15" t="s">
        <v>372</v>
      </c>
      <c r="E167" s="15">
        <v>749</v>
      </c>
      <c r="F167" s="15">
        <v>720</v>
      </c>
      <c r="G167" s="13">
        <v>44447</v>
      </c>
      <c r="H167" s="17">
        <v>400</v>
      </c>
      <c r="I167" s="19">
        <v>320</v>
      </c>
      <c r="J167" s="20">
        <v>0.8</v>
      </c>
      <c r="K167" s="19">
        <v>150</v>
      </c>
      <c r="L167" s="20">
        <v>0.375</v>
      </c>
      <c r="M167" s="21">
        <v>0</v>
      </c>
      <c r="N167" s="19">
        <v>0</v>
      </c>
      <c r="O167" s="23">
        <v>80</v>
      </c>
      <c r="P167" s="24">
        <v>50</v>
      </c>
      <c r="Q167" s="25">
        <v>0.625</v>
      </c>
      <c r="R167" s="24">
        <v>30</v>
      </c>
      <c r="S167" s="25">
        <v>0.375</v>
      </c>
      <c r="T167" s="26">
        <v>0.6</v>
      </c>
      <c r="U167" s="24">
        <v>0</v>
      </c>
      <c r="V167" s="19">
        <v>480</v>
      </c>
      <c r="W167" s="19">
        <v>370</v>
      </c>
      <c r="X167" s="21">
        <v>0.77083333333333337</v>
      </c>
      <c r="Y167" s="19">
        <v>180</v>
      </c>
      <c r="Z167" s="20">
        <v>0.375</v>
      </c>
      <c r="AA167" s="30">
        <v>0.10299999999999999</v>
      </c>
      <c r="AB167" s="27">
        <v>0.10009999999999999</v>
      </c>
      <c r="AC167" s="27">
        <v>0.12</v>
      </c>
      <c r="AD167" s="11">
        <v>0.10776562500000002</v>
      </c>
    </row>
    <row r="168" spans="1:30" x14ac:dyDescent="0.25">
      <c r="A168" s="13">
        <v>43698</v>
      </c>
      <c r="B168" s="46" t="s">
        <v>636</v>
      </c>
      <c r="C168" s="13">
        <v>43698</v>
      </c>
      <c r="D168" s="15" t="s">
        <v>513</v>
      </c>
      <c r="E168" s="15">
        <v>91</v>
      </c>
      <c r="F168" s="15">
        <v>90</v>
      </c>
      <c r="G168" s="13">
        <v>43789</v>
      </c>
      <c r="H168" s="17">
        <v>800</v>
      </c>
      <c r="I168" s="19">
        <v>676.15999999999985</v>
      </c>
      <c r="J168" s="20">
        <v>0.84519999999999973</v>
      </c>
      <c r="K168" s="19">
        <v>568.16</v>
      </c>
      <c r="L168" s="20">
        <v>0.71019999999999994</v>
      </c>
      <c r="M168" s="21">
        <v>0</v>
      </c>
      <c r="N168" s="19">
        <v>0</v>
      </c>
      <c r="O168" s="23">
        <v>160</v>
      </c>
      <c r="P168" s="24">
        <v>15</v>
      </c>
      <c r="Q168" s="25">
        <v>9.375E-2</v>
      </c>
      <c r="R168" s="24">
        <v>15</v>
      </c>
      <c r="S168" s="25">
        <v>9.375E-2</v>
      </c>
      <c r="T168" s="26">
        <v>0</v>
      </c>
      <c r="U168" s="24">
        <v>0</v>
      </c>
      <c r="V168" s="19">
        <v>960</v>
      </c>
      <c r="W168" s="19">
        <v>691.15999999999985</v>
      </c>
      <c r="X168" s="21">
        <v>0.71995833333333314</v>
      </c>
      <c r="Y168" s="19">
        <v>583.16</v>
      </c>
      <c r="Z168" s="20">
        <v>0.60745833333333332</v>
      </c>
      <c r="AA168" s="30">
        <v>8.0999999999999975E-2</v>
      </c>
      <c r="AB168" s="27">
        <v>7.0000000000000007E-2</v>
      </c>
      <c r="AC168" s="27">
        <v>0.09</v>
      </c>
      <c r="AD168" s="11">
        <v>7.7134830513487976E-2</v>
      </c>
    </row>
    <row r="169" spans="1:30" x14ac:dyDescent="0.25">
      <c r="A169" s="13">
        <v>43699</v>
      </c>
      <c r="B169" s="46" t="s">
        <v>636</v>
      </c>
      <c r="C169" s="13">
        <v>43700</v>
      </c>
      <c r="D169" s="15" t="s">
        <v>514</v>
      </c>
      <c r="E169" s="15">
        <v>371</v>
      </c>
      <c r="F169" s="15">
        <v>360</v>
      </c>
      <c r="G169" s="13">
        <v>44071</v>
      </c>
      <c r="H169" s="17">
        <v>1000</v>
      </c>
      <c r="I169" s="19">
        <v>1529.6999999999998</v>
      </c>
      <c r="J169" s="20">
        <v>1.5297000000000001</v>
      </c>
      <c r="K169" s="19">
        <v>989.69999999999993</v>
      </c>
      <c r="L169" s="20">
        <v>0.98969999999999991</v>
      </c>
      <c r="M169" s="21">
        <v>0</v>
      </c>
      <c r="N169" s="19">
        <v>0</v>
      </c>
      <c r="O169" s="23">
        <v>200</v>
      </c>
      <c r="P169" s="24">
        <v>0.97</v>
      </c>
      <c r="Q169" s="25">
        <v>4.8500000000000001E-3</v>
      </c>
      <c r="R169" s="24">
        <v>0.97</v>
      </c>
      <c r="S169" s="25">
        <v>4.8500000000000001E-3</v>
      </c>
      <c r="T169" s="26">
        <v>0</v>
      </c>
      <c r="U169" s="24">
        <v>0</v>
      </c>
      <c r="V169" s="19">
        <v>1200</v>
      </c>
      <c r="W169" s="19">
        <v>1530.6699999999998</v>
      </c>
      <c r="X169" s="21">
        <v>1.2755583333333331</v>
      </c>
      <c r="Y169" s="19">
        <v>990.67</v>
      </c>
      <c r="Z169" s="20">
        <v>0.82555833333333328</v>
      </c>
      <c r="AA169" s="30">
        <v>0.10250000000000002</v>
      </c>
      <c r="AB169" s="27">
        <v>7.4999999999999997E-2</v>
      </c>
      <c r="AC169" s="27">
        <v>0.107</v>
      </c>
      <c r="AD169" s="11">
        <v>9.979972870497486E-2</v>
      </c>
    </row>
    <row r="170" spans="1:30" x14ac:dyDescent="0.25">
      <c r="A170" s="13">
        <v>43700</v>
      </c>
      <c r="B170" s="46" t="s">
        <v>636</v>
      </c>
      <c r="C170" s="13">
        <v>43700</v>
      </c>
      <c r="D170" s="15" t="s">
        <v>515</v>
      </c>
      <c r="E170" s="15">
        <v>182</v>
      </c>
      <c r="F170" s="15">
        <v>180</v>
      </c>
      <c r="G170" s="13">
        <v>43882</v>
      </c>
      <c r="H170" s="17">
        <v>1000</v>
      </c>
      <c r="I170" s="19">
        <v>1946.7699999999998</v>
      </c>
      <c r="J170" s="20">
        <v>1.9467699999999999</v>
      </c>
      <c r="K170" s="19">
        <v>1227.6499999999999</v>
      </c>
      <c r="L170" s="20">
        <v>1.2276499999999999</v>
      </c>
      <c r="M170" s="21">
        <v>0</v>
      </c>
      <c r="N170" s="19">
        <v>0</v>
      </c>
      <c r="O170" s="23">
        <v>200</v>
      </c>
      <c r="P170" s="24">
        <v>50</v>
      </c>
      <c r="Q170" s="25">
        <v>0.25</v>
      </c>
      <c r="R170" s="24">
        <v>50</v>
      </c>
      <c r="S170" s="25">
        <v>0.25</v>
      </c>
      <c r="T170" s="26">
        <v>0</v>
      </c>
      <c r="U170" s="24">
        <v>0</v>
      </c>
      <c r="V170" s="19">
        <v>1200</v>
      </c>
      <c r="W170" s="19">
        <v>1996.7699999999998</v>
      </c>
      <c r="X170" s="21">
        <v>1.6639749999999998</v>
      </c>
      <c r="Y170" s="19">
        <v>1277.6499999999999</v>
      </c>
      <c r="Z170" s="20">
        <v>1.0647083333333331</v>
      </c>
      <c r="AA170" s="30">
        <v>9.04999999999999E-2</v>
      </c>
      <c r="AB170" s="27">
        <v>0.04</v>
      </c>
      <c r="AC170" s="27">
        <v>9.9000000000000005E-2</v>
      </c>
      <c r="AD170" s="11">
        <v>8.7500428401916977E-2</v>
      </c>
    </row>
    <row r="171" spans="1:30" x14ac:dyDescent="0.25">
      <c r="A171" s="13">
        <v>43703</v>
      </c>
      <c r="B171" s="46" t="s">
        <v>636</v>
      </c>
      <c r="C171" s="13">
        <v>43703</v>
      </c>
      <c r="D171" s="15" t="s">
        <v>516</v>
      </c>
      <c r="E171" s="15">
        <v>28</v>
      </c>
      <c r="F171" s="15">
        <v>30</v>
      </c>
      <c r="G171" s="13">
        <v>43731</v>
      </c>
      <c r="H171" s="17">
        <v>700</v>
      </c>
      <c r="I171" s="19">
        <v>2766.9300000000003</v>
      </c>
      <c r="J171" s="20">
        <v>3.9527571428571413</v>
      </c>
      <c r="K171" s="19">
        <v>1370.5</v>
      </c>
      <c r="L171" s="20">
        <v>1.957857142857143</v>
      </c>
      <c r="M171" s="21">
        <v>0</v>
      </c>
      <c r="N171" s="19">
        <v>0</v>
      </c>
      <c r="O171" s="23">
        <v>140</v>
      </c>
      <c r="P171" s="24">
        <v>51.370000000000005</v>
      </c>
      <c r="Q171" s="25">
        <v>0.36692857142857138</v>
      </c>
      <c r="R171" s="24">
        <v>51.370000000000005</v>
      </c>
      <c r="S171" s="25">
        <v>0.36692857142857144</v>
      </c>
      <c r="T171" s="26">
        <v>0</v>
      </c>
      <c r="U171" s="24">
        <v>0</v>
      </c>
      <c r="V171" s="19">
        <v>840</v>
      </c>
      <c r="W171" s="19">
        <v>2818.3</v>
      </c>
      <c r="X171" s="21">
        <v>3.355119047619048</v>
      </c>
      <c r="Y171" s="19">
        <v>1421.87</v>
      </c>
      <c r="Z171" s="20">
        <v>1.6927023809523809</v>
      </c>
      <c r="AA171" s="30">
        <v>6.8900000000000086E-2</v>
      </c>
      <c r="AB171" s="27">
        <v>0.06</v>
      </c>
      <c r="AC171" s="27">
        <v>8.5000000000000006E-2</v>
      </c>
      <c r="AD171" s="11">
        <v>6.8508802174250871E-2</v>
      </c>
    </row>
    <row r="172" spans="1:30" x14ac:dyDescent="0.25">
      <c r="A172" s="13">
        <v>43704</v>
      </c>
      <c r="B172" s="46" t="s">
        <v>636</v>
      </c>
      <c r="C172" s="13">
        <v>43705</v>
      </c>
      <c r="D172" s="15" t="s">
        <v>373</v>
      </c>
      <c r="E172" s="15">
        <v>742</v>
      </c>
      <c r="F172" s="15">
        <v>720</v>
      </c>
      <c r="G172" s="13">
        <v>44447</v>
      </c>
      <c r="H172" s="17">
        <v>500</v>
      </c>
      <c r="I172" s="19">
        <v>351.09000000000003</v>
      </c>
      <c r="J172" s="20">
        <v>0.70217999999999992</v>
      </c>
      <c r="K172" s="19">
        <v>201.09</v>
      </c>
      <c r="L172" s="20">
        <v>0.40217999999999998</v>
      </c>
      <c r="M172" s="21">
        <v>0</v>
      </c>
      <c r="N172" s="19">
        <v>0</v>
      </c>
      <c r="O172" s="23">
        <v>100</v>
      </c>
      <c r="P172" s="24">
        <v>100</v>
      </c>
      <c r="Q172" s="25">
        <v>1</v>
      </c>
      <c r="R172" s="24">
        <v>40.218000000000004</v>
      </c>
      <c r="S172" s="25">
        <v>0.40218000000000004</v>
      </c>
      <c r="T172" s="26">
        <v>0.40218000000000004</v>
      </c>
      <c r="U172" s="24">
        <v>0</v>
      </c>
      <c r="V172" s="19">
        <v>600</v>
      </c>
      <c r="W172" s="19">
        <v>451.09000000000003</v>
      </c>
      <c r="X172" s="21">
        <v>0.75181666666666669</v>
      </c>
      <c r="Y172" s="19">
        <v>241.30799999999999</v>
      </c>
      <c r="Z172" s="20">
        <v>0.40217999999999998</v>
      </c>
      <c r="AA172" s="30">
        <v>0.1048</v>
      </c>
      <c r="AB172" s="27">
        <v>9.7500000000000003E-2</v>
      </c>
      <c r="AC172" s="27">
        <v>0.10800000000000001</v>
      </c>
      <c r="AD172" s="11">
        <v>0.10537547352530688</v>
      </c>
    </row>
    <row r="173" spans="1:30" x14ac:dyDescent="0.25">
      <c r="A173" s="13">
        <v>43705</v>
      </c>
      <c r="B173" s="46" t="s">
        <v>636</v>
      </c>
      <c r="C173" s="13">
        <v>43705</v>
      </c>
      <c r="D173" s="15" t="s">
        <v>517</v>
      </c>
      <c r="E173" s="15">
        <v>84</v>
      </c>
      <c r="F173" s="15">
        <v>90</v>
      </c>
      <c r="G173" s="13">
        <v>43789</v>
      </c>
      <c r="H173" s="17">
        <v>500</v>
      </c>
      <c r="I173" s="19">
        <v>2307.86</v>
      </c>
      <c r="J173" s="20">
        <v>4.6157199999999978</v>
      </c>
      <c r="K173" s="19">
        <v>985.35</v>
      </c>
      <c r="L173" s="20">
        <v>1.9707000000000001</v>
      </c>
      <c r="M173" s="21">
        <v>0</v>
      </c>
      <c r="N173" s="19">
        <v>0</v>
      </c>
      <c r="O173" s="23">
        <v>100</v>
      </c>
      <c r="P173" s="24">
        <v>0</v>
      </c>
      <c r="Q173" s="25">
        <v>0</v>
      </c>
      <c r="R173" s="24">
        <v>0</v>
      </c>
      <c r="S173" s="25">
        <v>0</v>
      </c>
      <c r="T173" s="26">
        <v>0</v>
      </c>
      <c r="U173" s="24">
        <v>0</v>
      </c>
      <c r="V173" s="19">
        <v>600</v>
      </c>
      <c r="W173" s="19">
        <v>2307.86</v>
      </c>
      <c r="X173" s="21">
        <v>3.8464333333333336</v>
      </c>
      <c r="Y173" s="19">
        <v>985.35</v>
      </c>
      <c r="Z173" s="20">
        <v>1.64225</v>
      </c>
      <c r="AA173" s="30">
        <v>7.8300000000000022E-2</v>
      </c>
      <c r="AB173" s="27">
        <v>7.0000000000000007E-2</v>
      </c>
      <c r="AC173" s="27">
        <v>0.09</v>
      </c>
      <c r="AD173" s="11">
        <v>7.904461535795064E-2</v>
      </c>
    </row>
    <row r="174" spans="1:30" x14ac:dyDescent="0.25">
      <c r="A174" s="13">
        <v>43706</v>
      </c>
      <c r="B174" s="46" t="s">
        <v>636</v>
      </c>
      <c r="C174" s="13">
        <v>43707</v>
      </c>
      <c r="D174" s="15" t="s">
        <v>518</v>
      </c>
      <c r="E174" s="15">
        <v>364</v>
      </c>
      <c r="F174" s="15">
        <v>360</v>
      </c>
      <c r="G174" s="13">
        <v>44071</v>
      </c>
      <c r="H174" s="17">
        <v>700</v>
      </c>
      <c r="I174" s="19">
        <v>1080.8399999999999</v>
      </c>
      <c r="J174" s="20">
        <v>1.5440571428571428</v>
      </c>
      <c r="K174" s="19">
        <v>880.83999999999992</v>
      </c>
      <c r="L174" s="20">
        <v>1.258342857142857</v>
      </c>
      <c r="M174" s="21">
        <v>0</v>
      </c>
      <c r="N174" s="19">
        <v>0</v>
      </c>
      <c r="O174" s="23">
        <v>140</v>
      </c>
      <c r="P174" s="24">
        <v>15</v>
      </c>
      <c r="Q174" s="25">
        <v>0.10714285714285714</v>
      </c>
      <c r="R174" s="24">
        <v>15</v>
      </c>
      <c r="S174" s="25">
        <v>0.10714285714285714</v>
      </c>
      <c r="T174" s="26">
        <v>0</v>
      </c>
      <c r="U174" s="24">
        <v>0</v>
      </c>
      <c r="V174" s="19">
        <v>840</v>
      </c>
      <c r="W174" s="19">
        <v>1095.8399999999999</v>
      </c>
      <c r="X174" s="21">
        <v>1.3045714285714285</v>
      </c>
      <c r="Y174" s="19">
        <v>895.83999999999992</v>
      </c>
      <c r="Z174" s="20">
        <v>1.0664761904761904</v>
      </c>
      <c r="AA174" s="30">
        <v>0.10320000000000003</v>
      </c>
      <c r="AB174" s="27">
        <v>0.09</v>
      </c>
      <c r="AC174" s="27">
        <v>0.1042</v>
      </c>
      <c r="AD174" s="11">
        <v>0.101660612116502</v>
      </c>
    </row>
    <row r="175" spans="1:30" x14ac:dyDescent="0.25">
      <c r="A175" s="13">
        <v>43707</v>
      </c>
      <c r="B175" s="46" t="s">
        <v>636</v>
      </c>
      <c r="C175" s="13">
        <v>43707</v>
      </c>
      <c r="D175" s="15" t="s">
        <v>519</v>
      </c>
      <c r="E175" s="15">
        <v>175</v>
      </c>
      <c r="F175" s="15">
        <v>180</v>
      </c>
      <c r="G175" s="13">
        <v>43882</v>
      </c>
      <c r="H175" s="17">
        <v>600</v>
      </c>
      <c r="I175" s="19">
        <v>201.73</v>
      </c>
      <c r="J175" s="20">
        <v>0.33621666666666672</v>
      </c>
      <c r="K175" s="19">
        <v>196.48</v>
      </c>
      <c r="L175" s="20">
        <v>0.32746666666666663</v>
      </c>
      <c r="M175" s="21">
        <v>0</v>
      </c>
      <c r="N175" s="19">
        <v>0</v>
      </c>
      <c r="O175" s="23">
        <v>120</v>
      </c>
      <c r="P175" s="24">
        <v>1.84</v>
      </c>
      <c r="Q175" s="25">
        <v>1.5333333333333334E-2</v>
      </c>
      <c r="R175" s="24">
        <v>1.84</v>
      </c>
      <c r="S175" s="25">
        <v>1.5333333333333334E-2</v>
      </c>
      <c r="T175" s="26">
        <v>0</v>
      </c>
      <c r="U175" s="24">
        <v>0</v>
      </c>
      <c r="V175" s="19">
        <v>720</v>
      </c>
      <c r="W175" s="19">
        <v>203.57</v>
      </c>
      <c r="X175" s="21">
        <v>0.28273611111111108</v>
      </c>
      <c r="Y175" s="19">
        <v>198.32</v>
      </c>
      <c r="Z175" s="20">
        <v>0.27544444444444444</v>
      </c>
      <c r="AA175" s="30">
        <v>9.0000000000000011E-2</v>
      </c>
      <c r="AB175" s="27">
        <v>7.4999999999999997E-2</v>
      </c>
      <c r="AC175" s="27">
        <v>9.5000000000000001E-2</v>
      </c>
      <c r="AD175" s="11">
        <v>8.4547588360680118E-2</v>
      </c>
    </row>
    <row r="176" spans="1:30" x14ac:dyDescent="0.25">
      <c r="A176" s="13">
        <v>43710</v>
      </c>
      <c r="B176" s="46" t="s">
        <v>636</v>
      </c>
      <c r="C176" s="13">
        <v>43710</v>
      </c>
      <c r="D176" s="15" t="s">
        <v>520</v>
      </c>
      <c r="E176" s="15">
        <v>30</v>
      </c>
      <c r="F176" s="15">
        <v>30</v>
      </c>
      <c r="G176" s="13">
        <v>43740</v>
      </c>
      <c r="H176" s="17">
        <v>700</v>
      </c>
      <c r="I176" s="19">
        <v>456.31999999999994</v>
      </c>
      <c r="J176" s="20">
        <v>0.6518857142857144</v>
      </c>
      <c r="K176" s="19">
        <v>456.31999999999994</v>
      </c>
      <c r="L176" s="20">
        <v>0.65188571428571418</v>
      </c>
      <c r="M176" s="21">
        <v>0</v>
      </c>
      <c r="N176" s="19">
        <v>0</v>
      </c>
      <c r="O176" s="23">
        <v>140</v>
      </c>
      <c r="P176" s="24">
        <v>0</v>
      </c>
      <c r="Q176" s="25">
        <v>0</v>
      </c>
      <c r="R176" s="24">
        <v>0</v>
      </c>
      <c r="S176" s="25">
        <v>0</v>
      </c>
      <c r="T176" s="26">
        <v>0</v>
      </c>
      <c r="U176" s="24">
        <v>0</v>
      </c>
      <c r="V176" s="19">
        <v>840</v>
      </c>
      <c r="W176" s="19">
        <v>456.31999999999994</v>
      </c>
      <c r="X176" s="21">
        <v>0.54323809523809519</v>
      </c>
      <c r="Y176" s="19">
        <v>456.31999999999994</v>
      </c>
      <c r="Z176" s="20">
        <v>0.54323809523809519</v>
      </c>
      <c r="AA176" s="30">
        <v>7.2499999999999995E-2</v>
      </c>
      <c r="AB176" s="27">
        <v>5.7500000000000002E-2</v>
      </c>
      <c r="AC176" s="27">
        <v>7.2499999999999995E-2</v>
      </c>
      <c r="AD176" s="11">
        <v>6.7205042514025259E-2</v>
      </c>
    </row>
    <row r="177" spans="1:30" x14ac:dyDescent="0.25">
      <c r="A177" s="13">
        <v>43711</v>
      </c>
      <c r="B177" s="46" t="s">
        <v>636</v>
      </c>
      <c r="C177" s="13">
        <v>43712</v>
      </c>
      <c r="D177" s="15" t="s">
        <v>374</v>
      </c>
      <c r="E177" s="15">
        <v>735</v>
      </c>
      <c r="F177" s="15">
        <v>720</v>
      </c>
      <c r="G177" s="13">
        <v>44447</v>
      </c>
      <c r="H177" s="17">
        <v>400</v>
      </c>
      <c r="I177" s="19">
        <v>200.25</v>
      </c>
      <c r="J177" s="20">
        <v>0.50062499999999999</v>
      </c>
      <c r="K177" s="19">
        <v>150.25</v>
      </c>
      <c r="L177" s="20">
        <v>0.37562499999999999</v>
      </c>
      <c r="M177" s="21">
        <v>0</v>
      </c>
      <c r="N177" s="19">
        <v>0</v>
      </c>
      <c r="O177" s="23">
        <v>80</v>
      </c>
      <c r="P177" s="24">
        <v>1</v>
      </c>
      <c r="Q177" s="25">
        <v>1.2500000000000001E-2</v>
      </c>
      <c r="R177" s="24">
        <v>1</v>
      </c>
      <c r="S177" s="25">
        <v>1.2500000000000001E-2</v>
      </c>
      <c r="T177" s="26">
        <v>0</v>
      </c>
      <c r="U177" s="24">
        <v>0</v>
      </c>
      <c r="V177" s="19">
        <v>480</v>
      </c>
      <c r="W177" s="19">
        <v>201.25</v>
      </c>
      <c r="X177" s="21">
        <v>0.41927083333333331</v>
      </c>
      <c r="Y177" s="19">
        <v>151.25</v>
      </c>
      <c r="Z177" s="20">
        <v>0.31510416666666669</v>
      </c>
      <c r="AA177" s="30">
        <v>0.1057</v>
      </c>
      <c r="AB177" s="27">
        <v>9.9000000000000005E-2</v>
      </c>
      <c r="AC177" s="27">
        <v>0.1394</v>
      </c>
      <c r="AD177" s="11">
        <v>0.11399375780274656</v>
      </c>
    </row>
    <row r="178" spans="1:30" x14ac:dyDescent="0.25">
      <c r="A178" s="13">
        <v>43712</v>
      </c>
      <c r="B178" s="46" t="s">
        <v>636</v>
      </c>
      <c r="C178" s="13">
        <v>43712</v>
      </c>
      <c r="D178" s="15" t="s">
        <v>521</v>
      </c>
      <c r="E178" s="15">
        <v>84</v>
      </c>
      <c r="F178" s="15">
        <v>90</v>
      </c>
      <c r="G178" s="13">
        <v>43796</v>
      </c>
      <c r="H178" s="17">
        <v>500</v>
      </c>
      <c r="I178" s="19">
        <v>905.40999999999985</v>
      </c>
      <c r="J178" s="20">
        <v>1.8108199999999999</v>
      </c>
      <c r="K178" s="19">
        <v>885.8499999999998</v>
      </c>
      <c r="L178" s="20">
        <v>1.7716999999999996</v>
      </c>
      <c r="M178" s="21">
        <v>0</v>
      </c>
      <c r="N178" s="19">
        <v>0</v>
      </c>
      <c r="O178" s="23">
        <v>100</v>
      </c>
      <c r="P178" s="24">
        <v>100.29</v>
      </c>
      <c r="Q178" s="25">
        <v>1.0028999999999999</v>
      </c>
      <c r="R178" s="24">
        <v>100</v>
      </c>
      <c r="S178" s="25">
        <v>1</v>
      </c>
      <c r="T178" s="26">
        <v>0.99710842105263164</v>
      </c>
      <c r="U178" s="24">
        <v>0</v>
      </c>
      <c r="V178" s="19">
        <v>600</v>
      </c>
      <c r="W178" s="19">
        <v>1005.6999999999998</v>
      </c>
      <c r="X178" s="21">
        <v>1.6761666666666664</v>
      </c>
      <c r="Y178" s="19">
        <v>985.8499999999998</v>
      </c>
      <c r="Z178" s="20">
        <v>1.643083333333333</v>
      </c>
      <c r="AA178" s="30">
        <v>7.9000000000000001E-2</v>
      </c>
      <c r="AB178" s="27">
        <v>6.5000000000000002E-2</v>
      </c>
      <c r="AC178" s="27">
        <v>8.1799999999999998E-2</v>
      </c>
      <c r="AD178" s="11">
        <v>7.4530262532996119E-2</v>
      </c>
    </row>
    <row r="179" spans="1:30" x14ac:dyDescent="0.25">
      <c r="A179" s="13">
        <v>43713</v>
      </c>
      <c r="B179" s="46" t="s">
        <v>636</v>
      </c>
      <c r="C179" s="13">
        <v>43714</v>
      </c>
      <c r="D179" s="15" t="s">
        <v>522</v>
      </c>
      <c r="E179" s="15">
        <v>357</v>
      </c>
      <c r="F179" s="15">
        <v>360</v>
      </c>
      <c r="G179" s="13">
        <v>44071</v>
      </c>
      <c r="H179" s="17">
        <v>500</v>
      </c>
      <c r="I179" s="19">
        <v>829.45</v>
      </c>
      <c r="J179" s="20">
        <v>1.6589</v>
      </c>
      <c r="K179" s="19">
        <v>829.45</v>
      </c>
      <c r="L179" s="20">
        <v>1.6589</v>
      </c>
      <c r="M179" s="21">
        <v>0</v>
      </c>
      <c r="N179" s="19">
        <v>0</v>
      </c>
      <c r="O179" s="23">
        <v>100</v>
      </c>
      <c r="P179" s="24">
        <v>75</v>
      </c>
      <c r="Q179" s="25">
        <v>0.75</v>
      </c>
      <c r="R179" s="24">
        <v>75</v>
      </c>
      <c r="S179" s="25">
        <v>0.75</v>
      </c>
      <c r="T179" s="26">
        <v>0</v>
      </c>
      <c r="U179" s="24">
        <v>0</v>
      </c>
      <c r="V179" s="19">
        <v>600</v>
      </c>
      <c r="W179" s="19">
        <v>904.45</v>
      </c>
      <c r="X179" s="21">
        <v>1.5074166666666668</v>
      </c>
      <c r="Y179" s="19">
        <v>904.45</v>
      </c>
      <c r="Z179" s="20">
        <v>1.5074166666666668</v>
      </c>
      <c r="AA179" s="30">
        <v>0.10339999999999995</v>
      </c>
      <c r="AB179" s="27">
        <v>9.35E-2</v>
      </c>
      <c r="AC179" s="27">
        <v>0.10339999999999999</v>
      </c>
      <c r="AD179" s="11">
        <v>0.1012656097413949</v>
      </c>
    </row>
    <row r="180" spans="1:30" x14ac:dyDescent="0.25">
      <c r="A180" s="13">
        <v>43714</v>
      </c>
      <c r="B180" s="46" t="s">
        <v>636</v>
      </c>
      <c r="C180" s="13">
        <v>43714</v>
      </c>
      <c r="D180" s="15" t="s">
        <v>523</v>
      </c>
      <c r="E180" s="15">
        <v>168</v>
      </c>
      <c r="F180" s="15">
        <v>180</v>
      </c>
      <c r="G180" s="13">
        <v>43882</v>
      </c>
      <c r="H180" s="17">
        <v>400</v>
      </c>
      <c r="I180" s="19">
        <v>204.23</v>
      </c>
      <c r="J180" s="20">
        <v>0.510575</v>
      </c>
      <c r="K180" s="19">
        <v>160.86000000000001</v>
      </c>
      <c r="L180" s="20">
        <v>0.40215000000000001</v>
      </c>
      <c r="M180" s="21">
        <v>0</v>
      </c>
      <c r="N180" s="19">
        <v>0</v>
      </c>
      <c r="O180" s="23">
        <v>80</v>
      </c>
      <c r="P180" s="24">
        <v>1.1100000000000001</v>
      </c>
      <c r="Q180" s="25">
        <v>1.3875000000000002E-2</v>
      </c>
      <c r="R180" s="24">
        <v>1.1100000000000001</v>
      </c>
      <c r="S180" s="25">
        <v>1.3875000000000002E-2</v>
      </c>
      <c r="T180" s="26">
        <v>0</v>
      </c>
      <c r="U180" s="24">
        <v>0</v>
      </c>
      <c r="V180" s="19">
        <v>480</v>
      </c>
      <c r="W180" s="19">
        <v>205.34</v>
      </c>
      <c r="X180" s="21">
        <v>0.42779166666666668</v>
      </c>
      <c r="Y180" s="19">
        <v>161.97000000000003</v>
      </c>
      <c r="Z180" s="20">
        <v>0.33743750000000006</v>
      </c>
      <c r="AA180" s="30">
        <v>9.1999999999999998E-2</v>
      </c>
      <c r="AB180" s="27">
        <v>7.4999999999999997E-2</v>
      </c>
      <c r="AC180" s="27">
        <v>9.6500000000000002E-2</v>
      </c>
      <c r="AD180" s="11">
        <v>8.983231650590022E-2</v>
      </c>
    </row>
    <row r="181" spans="1:30" x14ac:dyDescent="0.25">
      <c r="A181" s="13">
        <v>43717</v>
      </c>
      <c r="B181" s="46" t="s">
        <v>636</v>
      </c>
      <c r="C181" s="13">
        <v>43717</v>
      </c>
      <c r="D181" s="15" t="s">
        <v>524</v>
      </c>
      <c r="E181" s="15">
        <v>30</v>
      </c>
      <c r="F181" s="15">
        <v>30</v>
      </c>
      <c r="G181" s="13">
        <v>43747</v>
      </c>
      <c r="H181" s="17">
        <v>1200</v>
      </c>
      <c r="I181" s="19">
        <v>1453.85</v>
      </c>
      <c r="J181" s="20">
        <v>1.2115416666666665</v>
      </c>
      <c r="K181" s="19">
        <v>1418.85</v>
      </c>
      <c r="L181" s="20">
        <v>1.182375</v>
      </c>
      <c r="M181" s="21">
        <v>0</v>
      </c>
      <c r="N181" s="19">
        <v>0</v>
      </c>
      <c r="O181" s="23">
        <v>240</v>
      </c>
      <c r="P181" s="24">
        <v>0.11</v>
      </c>
      <c r="Q181" s="25">
        <v>4.5833333333333332E-4</v>
      </c>
      <c r="R181" s="24">
        <v>0.11</v>
      </c>
      <c r="S181" s="25">
        <v>4.5833333333333332E-4</v>
      </c>
      <c r="T181" s="26">
        <v>0</v>
      </c>
      <c r="U181" s="24">
        <v>0</v>
      </c>
      <c r="V181" s="19">
        <v>1440</v>
      </c>
      <c r="W181" s="19">
        <v>1453.9599999999998</v>
      </c>
      <c r="X181" s="21">
        <v>1.0096944444444442</v>
      </c>
      <c r="Y181" s="19">
        <v>1418.9599999999998</v>
      </c>
      <c r="Z181" s="20">
        <v>0.98538888888888876</v>
      </c>
      <c r="AA181" s="30">
        <v>7.279999999999999E-2</v>
      </c>
      <c r="AB181" s="27">
        <v>0.06</v>
      </c>
      <c r="AC181" s="27">
        <v>0.09</v>
      </c>
      <c r="AD181" s="11">
        <v>6.9002097878047924E-2</v>
      </c>
    </row>
    <row r="182" spans="1:30" x14ac:dyDescent="0.25">
      <c r="A182" s="13">
        <v>43718</v>
      </c>
      <c r="B182" s="46" t="s">
        <v>636</v>
      </c>
      <c r="C182" s="13">
        <v>43719</v>
      </c>
      <c r="D182" s="15" t="s">
        <v>375</v>
      </c>
      <c r="E182" s="15">
        <v>728</v>
      </c>
      <c r="F182" s="15">
        <v>720</v>
      </c>
      <c r="G182" s="13">
        <v>44447</v>
      </c>
      <c r="H182" s="17">
        <v>500</v>
      </c>
      <c r="I182" s="19">
        <v>425</v>
      </c>
      <c r="J182" s="20">
        <v>0.85000000000000009</v>
      </c>
      <c r="K182" s="19">
        <v>200</v>
      </c>
      <c r="L182" s="20">
        <v>0.4</v>
      </c>
      <c r="M182" s="21">
        <v>0</v>
      </c>
      <c r="N182" s="19">
        <v>0</v>
      </c>
      <c r="O182" s="23">
        <v>100</v>
      </c>
      <c r="P182" s="24">
        <v>2</v>
      </c>
      <c r="Q182" s="25">
        <v>0.02</v>
      </c>
      <c r="R182" s="24">
        <v>2</v>
      </c>
      <c r="S182" s="25">
        <v>0.02</v>
      </c>
      <c r="T182" s="26">
        <v>0</v>
      </c>
      <c r="U182" s="24">
        <v>0</v>
      </c>
      <c r="V182" s="19">
        <v>600</v>
      </c>
      <c r="W182" s="19">
        <v>427</v>
      </c>
      <c r="X182" s="21">
        <v>0.71166666666666667</v>
      </c>
      <c r="Y182" s="19">
        <v>202</v>
      </c>
      <c r="Z182" s="20">
        <v>0.33666666666666667</v>
      </c>
      <c r="AA182" s="30">
        <v>0.10619999999999997</v>
      </c>
      <c r="AB182" s="27">
        <v>0.1036</v>
      </c>
      <c r="AC182" s="27">
        <v>0.11</v>
      </c>
      <c r="AD182" s="11">
        <v>0.10621176470588235</v>
      </c>
    </row>
    <row r="183" spans="1:30" x14ac:dyDescent="0.25">
      <c r="A183" s="13">
        <v>43719</v>
      </c>
      <c r="B183" s="46" t="s">
        <v>636</v>
      </c>
      <c r="C183" s="13">
        <v>43719</v>
      </c>
      <c r="D183" s="15" t="s">
        <v>525</v>
      </c>
      <c r="E183" s="15">
        <v>77</v>
      </c>
      <c r="F183" s="15">
        <v>90</v>
      </c>
      <c r="G183" s="13">
        <v>43796</v>
      </c>
      <c r="H183" s="17">
        <v>800</v>
      </c>
      <c r="I183" s="19">
        <v>660.26</v>
      </c>
      <c r="J183" s="20">
        <v>0.82532499999999998</v>
      </c>
      <c r="K183" s="19">
        <v>360.26</v>
      </c>
      <c r="L183" s="20">
        <v>0.45032499999999998</v>
      </c>
      <c r="M183" s="21">
        <v>0</v>
      </c>
      <c r="N183" s="19">
        <v>0</v>
      </c>
      <c r="O183" s="23">
        <v>160</v>
      </c>
      <c r="P183" s="24">
        <v>12.9</v>
      </c>
      <c r="Q183" s="25">
        <v>8.0625000000000002E-2</v>
      </c>
      <c r="R183" s="24">
        <v>12.9</v>
      </c>
      <c r="S183" s="25">
        <v>8.0625000000000002E-2</v>
      </c>
      <c r="T183" s="26">
        <v>0</v>
      </c>
      <c r="U183" s="24">
        <v>0</v>
      </c>
      <c r="V183" s="19">
        <v>960</v>
      </c>
      <c r="W183" s="19">
        <v>673.16</v>
      </c>
      <c r="X183" s="21">
        <v>0.70120833333333332</v>
      </c>
      <c r="Y183" s="19">
        <v>373.15999999999997</v>
      </c>
      <c r="Z183" s="20">
        <v>0.38870833333333332</v>
      </c>
      <c r="AA183" s="30">
        <v>7.7999999999999986E-2</v>
      </c>
      <c r="AB183" s="27">
        <v>0.06</v>
      </c>
      <c r="AC183" s="27">
        <v>0.09</v>
      </c>
      <c r="AD183" s="11">
        <v>8.0692060703359283E-2</v>
      </c>
    </row>
    <row r="184" spans="1:30" x14ac:dyDescent="0.25">
      <c r="A184" s="13">
        <v>43720</v>
      </c>
      <c r="B184" s="46" t="s">
        <v>636</v>
      </c>
      <c r="C184" s="13">
        <v>43721</v>
      </c>
      <c r="D184" s="15" t="s">
        <v>526</v>
      </c>
      <c r="E184" s="15">
        <v>350</v>
      </c>
      <c r="F184" s="15">
        <v>360</v>
      </c>
      <c r="G184" s="13">
        <v>44071</v>
      </c>
      <c r="H184" s="17">
        <v>800</v>
      </c>
      <c r="I184" s="19">
        <v>1004.14</v>
      </c>
      <c r="J184" s="20">
        <v>1.2551749999999999</v>
      </c>
      <c r="K184" s="19">
        <v>629.14</v>
      </c>
      <c r="L184" s="20">
        <v>0.78642499999999993</v>
      </c>
      <c r="M184" s="21">
        <v>0</v>
      </c>
      <c r="N184" s="19">
        <v>0</v>
      </c>
      <c r="O184" s="23">
        <v>160</v>
      </c>
      <c r="P184" s="24">
        <v>100</v>
      </c>
      <c r="Q184" s="25">
        <v>0.625</v>
      </c>
      <c r="R184" s="24">
        <v>100</v>
      </c>
      <c r="S184" s="25">
        <v>0.625</v>
      </c>
      <c r="T184" s="26">
        <v>0</v>
      </c>
      <c r="U184" s="24">
        <v>0</v>
      </c>
      <c r="V184" s="19">
        <v>960</v>
      </c>
      <c r="W184" s="19">
        <v>1104.1399999999999</v>
      </c>
      <c r="X184" s="21">
        <v>1.1501458333333332</v>
      </c>
      <c r="Y184" s="19">
        <v>729.14</v>
      </c>
      <c r="Z184" s="20">
        <v>0.75952083333333331</v>
      </c>
      <c r="AA184" s="30">
        <v>0.10420000000000004</v>
      </c>
      <c r="AB184" s="27">
        <v>0.09</v>
      </c>
      <c r="AC184" s="27">
        <v>0.11</v>
      </c>
      <c r="AD184" s="11">
        <v>0.10379421992949191</v>
      </c>
    </row>
    <row r="185" spans="1:30" x14ac:dyDescent="0.25">
      <c r="A185" s="13">
        <v>43721</v>
      </c>
      <c r="B185" s="46" t="s">
        <v>636</v>
      </c>
      <c r="C185" s="13">
        <v>43721</v>
      </c>
      <c r="D185" s="15" t="s">
        <v>527</v>
      </c>
      <c r="E185" s="15">
        <v>189</v>
      </c>
      <c r="F185" s="15">
        <v>180</v>
      </c>
      <c r="G185" s="13">
        <v>43910</v>
      </c>
      <c r="H185" s="17">
        <v>1200</v>
      </c>
      <c r="I185" s="19">
        <v>786.26999999999987</v>
      </c>
      <c r="J185" s="20">
        <v>0.65522499999999984</v>
      </c>
      <c r="K185" s="19">
        <v>224.93</v>
      </c>
      <c r="L185" s="20">
        <v>0.18744166666666667</v>
      </c>
      <c r="M185" s="21">
        <v>0</v>
      </c>
      <c r="N185" s="19">
        <v>0</v>
      </c>
      <c r="O185" s="23">
        <v>240</v>
      </c>
      <c r="P185" s="24">
        <v>0</v>
      </c>
      <c r="Q185" s="25">
        <v>0</v>
      </c>
      <c r="R185" s="24">
        <v>0</v>
      </c>
      <c r="S185" s="25">
        <v>0</v>
      </c>
      <c r="T185" s="26">
        <v>0</v>
      </c>
      <c r="U185" s="24">
        <v>0</v>
      </c>
      <c r="V185" s="19">
        <v>1440</v>
      </c>
      <c r="W185" s="19">
        <v>786.26999999999987</v>
      </c>
      <c r="X185" s="21">
        <v>0.54602083333333329</v>
      </c>
      <c r="Y185" s="19">
        <v>224.93</v>
      </c>
      <c r="Z185" s="20">
        <v>0.1562013888888889</v>
      </c>
      <c r="AA185" s="30">
        <v>9.0000000000000024E-2</v>
      </c>
      <c r="AB185" s="27">
        <v>8.199999999999999E-2</v>
      </c>
      <c r="AC185" s="27">
        <v>0.1</v>
      </c>
      <c r="AD185" s="11">
        <v>9.5379220878324275E-2</v>
      </c>
    </row>
    <row r="186" spans="1:30" x14ac:dyDescent="0.25">
      <c r="A186" s="13">
        <v>43724</v>
      </c>
      <c r="B186" s="46" t="s">
        <v>636</v>
      </c>
      <c r="C186" s="13">
        <v>43724</v>
      </c>
      <c r="D186" s="15" t="s">
        <v>528</v>
      </c>
      <c r="E186" s="15">
        <v>28</v>
      </c>
      <c r="F186" s="15">
        <v>30</v>
      </c>
      <c r="G186" s="13">
        <v>43752</v>
      </c>
      <c r="H186" s="17">
        <v>2000</v>
      </c>
      <c r="I186" s="19">
        <v>1619.85</v>
      </c>
      <c r="J186" s="20">
        <v>0.8099249999999999</v>
      </c>
      <c r="K186" s="19">
        <v>1089.8499999999999</v>
      </c>
      <c r="L186" s="20">
        <v>0.54492499999999999</v>
      </c>
      <c r="M186" s="21">
        <v>0</v>
      </c>
      <c r="N186" s="19">
        <v>0</v>
      </c>
      <c r="O186" s="23">
        <v>400</v>
      </c>
      <c r="P186" s="24">
        <v>450</v>
      </c>
      <c r="Q186" s="25">
        <v>1.125</v>
      </c>
      <c r="R186" s="24">
        <v>217.97</v>
      </c>
      <c r="S186" s="25">
        <v>0.54492499999999999</v>
      </c>
      <c r="T186" s="26">
        <v>0.48437800000000003</v>
      </c>
      <c r="U186" s="24">
        <v>0</v>
      </c>
      <c r="V186" s="19">
        <v>2400</v>
      </c>
      <c r="W186" s="19">
        <v>2069.85</v>
      </c>
      <c r="X186" s="21">
        <v>0.86243749999999997</v>
      </c>
      <c r="Y186" s="19">
        <v>1307.82</v>
      </c>
      <c r="Z186" s="20">
        <v>0.54492499999999999</v>
      </c>
      <c r="AA186" s="30">
        <v>7.4800000000000033E-2</v>
      </c>
      <c r="AB186" s="27">
        <v>0.06</v>
      </c>
      <c r="AC186" s="27">
        <v>7.9899999999999999E-2</v>
      </c>
      <c r="AD186" s="11">
        <v>7.3290017594221699E-2</v>
      </c>
    </row>
    <row r="187" spans="1:30" x14ac:dyDescent="0.25">
      <c r="A187" s="13">
        <v>43725</v>
      </c>
      <c r="B187" s="46" t="s">
        <v>636</v>
      </c>
      <c r="C187" s="13">
        <v>43726</v>
      </c>
      <c r="D187" s="15" t="s">
        <v>376</v>
      </c>
      <c r="E187" s="15">
        <v>721</v>
      </c>
      <c r="F187" s="15">
        <v>720</v>
      </c>
      <c r="G187" s="13">
        <v>44447</v>
      </c>
      <c r="H187" s="17">
        <v>500</v>
      </c>
      <c r="I187" s="19">
        <v>650</v>
      </c>
      <c r="J187" s="20">
        <v>1.3000000000000003</v>
      </c>
      <c r="K187" s="19">
        <v>600</v>
      </c>
      <c r="L187" s="20">
        <v>1.2</v>
      </c>
      <c r="M187" s="21">
        <v>0</v>
      </c>
      <c r="N187" s="19">
        <v>0</v>
      </c>
      <c r="O187" s="23">
        <v>100</v>
      </c>
      <c r="P187" s="24">
        <v>225</v>
      </c>
      <c r="Q187" s="25">
        <v>2.25</v>
      </c>
      <c r="R187" s="24">
        <v>100</v>
      </c>
      <c r="S187" s="25">
        <v>1</v>
      </c>
      <c r="T187" s="26">
        <v>0.44444499999999998</v>
      </c>
      <c r="U187" s="24">
        <v>0</v>
      </c>
      <c r="V187" s="19">
        <v>600</v>
      </c>
      <c r="W187" s="19">
        <v>875</v>
      </c>
      <c r="X187" s="21">
        <v>1.4583333333333333</v>
      </c>
      <c r="Y187" s="19">
        <v>700</v>
      </c>
      <c r="Z187" s="20">
        <v>1.1666666666666667</v>
      </c>
      <c r="AA187" s="30">
        <v>0.10679999999999999</v>
      </c>
      <c r="AB187" s="27">
        <v>0.10550000000000001</v>
      </c>
      <c r="AC187" s="27">
        <v>0.107</v>
      </c>
      <c r="AD187" s="11">
        <v>0.10620384615384615</v>
      </c>
    </row>
    <row r="188" spans="1:30" x14ac:dyDescent="0.25">
      <c r="A188" s="13">
        <v>43726</v>
      </c>
      <c r="B188" s="46" t="s">
        <v>636</v>
      </c>
      <c r="C188" s="13">
        <v>43726</v>
      </c>
      <c r="D188" s="15" t="s">
        <v>529</v>
      </c>
      <c r="E188" s="15">
        <v>93</v>
      </c>
      <c r="F188" s="15">
        <v>90</v>
      </c>
      <c r="G188" s="13">
        <v>43819</v>
      </c>
      <c r="H188" s="17">
        <v>1300</v>
      </c>
      <c r="I188" s="19">
        <v>1989.6000000000001</v>
      </c>
      <c r="J188" s="20">
        <v>1.5304615384615383</v>
      </c>
      <c r="K188" s="19">
        <v>814.6</v>
      </c>
      <c r="L188" s="20">
        <v>0.62661538461538469</v>
      </c>
      <c r="M188" s="21">
        <v>0</v>
      </c>
      <c r="N188" s="19">
        <v>0</v>
      </c>
      <c r="O188" s="23">
        <v>260</v>
      </c>
      <c r="P188" s="24">
        <v>0.4</v>
      </c>
      <c r="Q188" s="25">
        <v>1.5384615384615385E-3</v>
      </c>
      <c r="R188" s="24">
        <v>0.4</v>
      </c>
      <c r="S188" s="25">
        <v>1.5384615384615385E-3</v>
      </c>
      <c r="T188" s="26">
        <v>0</v>
      </c>
      <c r="U188" s="24">
        <v>0</v>
      </c>
      <c r="V188" s="19">
        <v>1560</v>
      </c>
      <c r="W188" s="19">
        <v>1990.0000000000002</v>
      </c>
      <c r="X188" s="21">
        <v>1.2756410256410258</v>
      </c>
      <c r="Y188" s="19">
        <v>815</v>
      </c>
      <c r="Z188" s="20">
        <v>0.52243589743589747</v>
      </c>
      <c r="AA188" s="30">
        <v>8.0999999999999975E-2</v>
      </c>
      <c r="AB188" s="27">
        <v>6.8000000000000005E-2</v>
      </c>
      <c r="AC188" s="27">
        <v>0.1075</v>
      </c>
      <c r="AD188" s="11">
        <v>8.1214146059509454E-2</v>
      </c>
    </row>
    <row r="189" spans="1:30" x14ac:dyDescent="0.25">
      <c r="A189" s="13">
        <v>43727</v>
      </c>
      <c r="B189" s="46" t="s">
        <v>636</v>
      </c>
      <c r="C189" s="13">
        <v>43728</v>
      </c>
      <c r="D189" s="15" t="s">
        <v>530</v>
      </c>
      <c r="E189" s="15">
        <v>378</v>
      </c>
      <c r="F189" s="15">
        <v>360</v>
      </c>
      <c r="G189" s="13">
        <v>44106</v>
      </c>
      <c r="H189" s="17">
        <v>2000</v>
      </c>
      <c r="I189" s="19">
        <v>1777.88</v>
      </c>
      <c r="J189" s="20">
        <v>0.88894000000000017</v>
      </c>
      <c r="K189" s="19">
        <v>1527.88</v>
      </c>
      <c r="L189" s="20">
        <v>0.76394000000000006</v>
      </c>
      <c r="M189" s="21">
        <v>0</v>
      </c>
      <c r="N189" s="19">
        <v>0</v>
      </c>
      <c r="O189" s="23">
        <v>400</v>
      </c>
      <c r="P189" s="24">
        <v>275</v>
      </c>
      <c r="Q189" s="25">
        <v>0.6875</v>
      </c>
      <c r="R189" s="24">
        <v>275</v>
      </c>
      <c r="S189" s="25">
        <v>0.6875</v>
      </c>
      <c r="T189" s="26">
        <v>0</v>
      </c>
      <c r="U189" s="24">
        <v>0</v>
      </c>
      <c r="V189" s="19">
        <v>2400</v>
      </c>
      <c r="W189" s="19">
        <v>2052.88</v>
      </c>
      <c r="X189" s="21">
        <v>0.85536666666666672</v>
      </c>
      <c r="Y189" s="19">
        <v>1802.88</v>
      </c>
      <c r="Z189" s="20">
        <v>0.75120000000000009</v>
      </c>
      <c r="AA189" s="30">
        <v>0.1048</v>
      </c>
      <c r="AB189" s="27">
        <v>0.09</v>
      </c>
      <c r="AC189" s="27">
        <v>0.10589999999999999</v>
      </c>
      <c r="AD189" s="11">
        <v>0.10280928296622943</v>
      </c>
    </row>
    <row r="190" spans="1:30" x14ac:dyDescent="0.25">
      <c r="A190" s="13">
        <v>43728</v>
      </c>
      <c r="B190" s="46" t="s">
        <v>636</v>
      </c>
      <c r="C190" s="13">
        <v>43728</v>
      </c>
      <c r="D190" s="15" t="s">
        <v>531</v>
      </c>
      <c r="E190" s="15">
        <v>182</v>
      </c>
      <c r="F190" s="15">
        <v>180</v>
      </c>
      <c r="G190" s="13">
        <v>43910</v>
      </c>
      <c r="H190" s="17">
        <v>1200</v>
      </c>
      <c r="I190" s="19">
        <v>2541.7600000000007</v>
      </c>
      <c r="J190" s="20">
        <v>2.1181333333333328</v>
      </c>
      <c r="K190" s="19">
        <v>1674.0600000000002</v>
      </c>
      <c r="L190" s="20">
        <v>1.3950500000000001</v>
      </c>
      <c r="M190" s="21">
        <v>0</v>
      </c>
      <c r="N190" s="19">
        <v>0</v>
      </c>
      <c r="O190" s="23">
        <v>240</v>
      </c>
      <c r="P190" s="24">
        <v>15.16</v>
      </c>
      <c r="Q190" s="25">
        <v>6.3166666666666663E-2</v>
      </c>
      <c r="R190" s="24">
        <v>15.16</v>
      </c>
      <c r="S190" s="25">
        <v>6.3166666666666663E-2</v>
      </c>
      <c r="T190" s="26">
        <v>0</v>
      </c>
      <c r="U190" s="24">
        <v>0</v>
      </c>
      <c r="V190" s="19">
        <v>1440</v>
      </c>
      <c r="W190" s="19">
        <v>2556.9200000000005</v>
      </c>
      <c r="X190" s="21">
        <v>1.7756388888888892</v>
      </c>
      <c r="Y190" s="19">
        <v>1689.2200000000003</v>
      </c>
      <c r="Z190" s="20">
        <v>1.1730694444444447</v>
      </c>
      <c r="AA190" s="30">
        <v>9.1999999999999901E-2</v>
      </c>
      <c r="AB190" s="27">
        <v>7.0000000000000007E-2</v>
      </c>
      <c r="AC190" s="27">
        <v>9.7200000000000009E-2</v>
      </c>
      <c r="AD190" s="11">
        <v>9.0208206124889834E-2</v>
      </c>
    </row>
    <row r="191" spans="1:30" x14ac:dyDescent="0.25">
      <c r="A191" s="13">
        <v>43731</v>
      </c>
      <c r="B191" s="46" t="s">
        <v>636</v>
      </c>
      <c r="C191" s="13">
        <v>43731</v>
      </c>
      <c r="D191" s="15" t="s">
        <v>532</v>
      </c>
      <c r="E191" s="15">
        <v>28</v>
      </c>
      <c r="F191" s="15">
        <v>30</v>
      </c>
      <c r="G191" s="13">
        <v>43759</v>
      </c>
      <c r="H191" s="17">
        <v>1800</v>
      </c>
      <c r="I191" s="19">
        <v>3872.07</v>
      </c>
      <c r="J191" s="20">
        <v>2.1511499999999995</v>
      </c>
      <c r="K191" s="19">
        <v>2693.7200000000003</v>
      </c>
      <c r="L191" s="20">
        <v>1.4965111111111113</v>
      </c>
      <c r="M191" s="21">
        <v>0</v>
      </c>
      <c r="N191" s="19">
        <v>0</v>
      </c>
      <c r="O191" s="23">
        <v>360</v>
      </c>
      <c r="P191" s="24">
        <v>38.340000000000003</v>
      </c>
      <c r="Q191" s="25">
        <v>0.1065</v>
      </c>
      <c r="R191" s="24">
        <v>38.340000000000003</v>
      </c>
      <c r="S191" s="25">
        <v>0.10650000000000001</v>
      </c>
      <c r="T191" s="26">
        <v>0</v>
      </c>
      <c r="U191" s="24">
        <v>0</v>
      </c>
      <c r="V191" s="19">
        <v>2160</v>
      </c>
      <c r="W191" s="19">
        <v>3910.4100000000003</v>
      </c>
      <c r="X191" s="21">
        <v>1.8103750000000001</v>
      </c>
      <c r="Y191" s="19">
        <v>2732.0600000000004</v>
      </c>
      <c r="Z191" s="20">
        <v>1.2648425925925928</v>
      </c>
      <c r="AA191" s="30">
        <v>7.279999999999999E-2</v>
      </c>
      <c r="AB191" s="27">
        <v>0.06</v>
      </c>
      <c r="AC191" s="27">
        <v>7.4999999999999997E-2</v>
      </c>
      <c r="AD191" s="11">
        <v>6.8915750490047945E-2</v>
      </c>
    </row>
    <row r="192" spans="1:30" x14ac:dyDescent="0.25">
      <c r="A192" s="13">
        <v>43732</v>
      </c>
      <c r="B192" s="46" t="s">
        <v>636</v>
      </c>
      <c r="C192" s="13">
        <v>43733</v>
      </c>
      <c r="D192" s="15" t="s">
        <v>377</v>
      </c>
      <c r="E192" s="15">
        <v>714</v>
      </c>
      <c r="F192" s="15">
        <v>720</v>
      </c>
      <c r="G192" s="13">
        <v>44447</v>
      </c>
      <c r="H192" s="17">
        <v>500</v>
      </c>
      <c r="I192" s="19">
        <v>1070</v>
      </c>
      <c r="J192" s="20">
        <v>2.1399999999999997</v>
      </c>
      <c r="K192" s="19">
        <v>570</v>
      </c>
      <c r="L192" s="20">
        <v>1.1399999999999999</v>
      </c>
      <c r="M192" s="21">
        <v>0</v>
      </c>
      <c r="N192" s="19">
        <v>0</v>
      </c>
      <c r="O192" s="23">
        <v>100</v>
      </c>
      <c r="P192" s="24">
        <v>120</v>
      </c>
      <c r="Q192" s="25">
        <v>1.2</v>
      </c>
      <c r="R192" s="24">
        <v>100</v>
      </c>
      <c r="S192" s="25">
        <v>1</v>
      </c>
      <c r="T192" s="26">
        <v>0.83333499999999994</v>
      </c>
      <c r="U192" s="24">
        <v>0</v>
      </c>
      <c r="V192" s="19">
        <v>600</v>
      </c>
      <c r="W192" s="19">
        <v>1190</v>
      </c>
      <c r="X192" s="21">
        <v>1.9833333333333334</v>
      </c>
      <c r="Y192" s="19">
        <v>670</v>
      </c>
      <c r="Z192" s="20">
        <v>1.1166666666666667</v>
      </c>
      <c r="AA192" s="30">
        <v>0.10679999999999998</v>
      </c>
      <c r="AB192" s="27">
        <v>0.10310000000000001</v>
      </c>
      <c r="AC192" s="27">
        <v>0.1079</v>
      </c>
      <c r="AD192" s="11">
        <v>0.10675233644859811</v>
      </c>
    </row>
    <row r="193" spans="1:30" x14ac:dyDescent="0.25">
      <c r="A193" s="13">
        <v>43733</v>
      </c>
      <c r="B193" s="46" t="s">
        <v>636</v>
      </c>
      <c r="C193" s="13">
        <v>43733</v>
      </c>
      <c r="D193" s="15" t="s">
        <v>533</v>
      </c>
      <c r="E193" s="15">
        <v>86</v>
      </c>
      <c r="F193" s="15">
        <v>90</v>
      </c>
      <c r="G193" s="13">
        <v>43819</v>
      </c>
      <c r="H193" s="17">
        <v>1200</v>
      </c>
      <c r="I193" s="19">
        <v>1260.7</v>
      </c>
      <c r="J193" s="20">
        <v>1.0505833333333336</v>
      </c>
      <c r="K193" s="19">
        <v>1230.7</v>
      </c>
      <c r="L193" s="20">
        <v>1.0255833333333333</v>
      </c>
      <c r="M193" s="21">
        <v>0</v>
      </c>
      <c r="N193" s="19">
        <v>0</v>
      </c>
      <c r="O193" s="23">
        <v>240</v>
      </c>
      <c r="P193" s="24">
        <v>20.170000000000002</v>
      </c>
      <c r="Q193" s="25">
        <v>8.4041666666666667E-2</v>
      </c>
      <c r="R193" s="24">
        <v>20.170000000000002</v>
      </c>
      <c r="S193" s="25">
        <v>8.4041666666666667E-2</v>
      </c>
      <c r="T193" s="26">
        <v>0</v>
      </c>
      <c r="U193" s="24">
        <v>0</v>
      </c>
      <c r="V193" s="19">
        <v>1440</v>
      </c>
      <c r="W193" s="19">
        <v>1280.8700000000001</v>
      </c>
      <c r="X193" s="21">
        <v>0.88949305555555569</v>
      </c>
      <c r="Y193" s="19">
        <v>1250.8700000000001</v>
      </c>
      <c r="Z193" s="20">
        <v>0.86865972222222232</v>
      </c>
      <c r="AA193" s="30">
        <v>8.0499999999999947E-2</v>
      </c>
      <c r="AB193" s="27">
        <v>7.0000000000000007E-2</v>
      </c>
      <c r="AC193" s="27">
        <v>8.14E-2</v>
      </c>
      <c r="AD193" s="11">
        <v>7.6896874752121855E-2</v>
      </c>
    </row>
    <row r="194" spans="1:30" x14ac:dyDescent="0.25">
      <c r="A194" s="13">
        <v>43734</v>
      </c>
      <c r="B194" s="46" t="s">
        <v>636</v>
      </c>
      <c r="C194" s="13">
        <v>43735</v>
      </c>
      <c r="D194" s="15" t="s">
        <v>534</v>
      </c>
      <c r="E194" s="15">
        <v>371</v>
      </c>
      <c r="F194" s="15">
        <v>360</v>
      </c>
      <c r="G194" s="13">
        <v>44106</v>
      </c>
      <c r="H194" s="17">
        <v>2500</v>
      </c>
      <c r="I194" s="19">
        <v>1953.34</v>
      </c>
      <c r="J194" s="20">
        <v>0.78133600000000003</v>
      </c>
      <c r="K194" s="19">
        <v>1603.34</v>
      </c>
      <c r="L194" s="20">
        <v>0.64133600000000002</v>
      </c>
      <c r="M194" s="21">
        <v>0</v>
      </c>
      <c r="N194" s="19">
        <v>0</v>
      </c>
      <c r="O194" s="23">
        <v>500</v>
      </c>
      <c r="P194" s="24">
        <v>50</v>
      </c>
      <c r="Q194" s="25">
        <v>0.1</v>
      </c>
      <c r="R194" s="24">
        <v>50</v>
      </c>
      <c r="S194" s="25">
        <v>0.1</v>
      </c>
      <c r="T194" s="26">
        <v>0</v>
      </c>
      <c r="U194" s="24">
        <v>0</v>
      </c>
      <c r="V194" s="19">
        <v>3000</v>
      </c>
      <c r="W194" s="19">
        <v>2003.34</v>
      </c>
      <c r="X194" s="21">
        <v>0.66777999999999993</v>
      </c>
      <c r="Y194" s="19">
        <v>1653.34</v>
      </c>
      <c r="Z194" s="20">
        <v>0.55111333333333334</v>
      </c>
      <c r="AA194" s="30">
        <v>0.10519999999999997</v>
      </c>
      <c r="AB194" s="27">
        <v>7.4999999999999997E-2</v>
      </c>
      <c r="AC194" s="27">
        <v>0.10619999999999999</v>
      </c>
      <c r="AD194" s="11">
        <v>0.10305027798539938</v>
      </c>
    </row>
    <row r="195" spans="1:30" x14ac:dyDescent="0.25">
      <c r="A195" s="13">
        <v>43735</v>
      </c>
      <c r="B195" s="46" t="s">
        <v>636</v>
      </c>
      <c r="C195" s="13">
        <v>43735</v>
      </c>
      <c r="D195" s="15" t="s">
        <v>535</v>
      </c>
      <c r="E195" s="15">
        <v>175</v>
      </c>
      <c r="F195" s="15">
        <v>180</v>
      </c>
      <c r="G195" s="13">
        <v>43910</v>
      </c>
      <c r="H195" s="17">
        <v>1600</v>
      </c>
      <c r="I195" s="19">
        <v>1479.59</v>
      </c>
      <c r="J195" s="20">
        <v>0.9247437500000002</v>
      </c>
      <c r="K195" s="19">
        <v>1029.5900000000001</v>
      </c>
      <c r="L195" s="20">
        <v>0.64349375000000009</v>
      </c>
      <c r="M195" s="21">
        <v>0</v>
      </c>
      <c r="N195" s="19">
        <v>0</v>
      </c>
      <c r="O195" s="23">
        <v>320</v>
      </c>
      <c r="P195" s="24">
        <v>40.119999999999997</v>
      </c>
      <c r="Q195" s="25">
        <v>0.12537500000000001</v>
      </c>
      <c r="R195" s="24">
        <v>40.119999999999997</v>
      </c>
      <c r="S195" s="25">
        <v>0.12537499999999999</v>
      </c>
      <c r="T195" s="26">
        <v>0</v>
      </c>
      <c r="U195" s="24">
        <v>0</v>
      </c>
      <c r="V195" s="19">
        <v>1920</v>
      </c>
      <c r="W195" s="19">
        <v>1519.7099999999998</v>
      </c>
      <c r="X195" s="21">
        <v>0.79151562499999994</v>
      </c>
      <c r="Y195" s="19">
        <v>1069.71</v>
      </c>
      <c r="Z195" s="20">
        <v>0.55714062500000006</v>
      </c>
      <c r="AA195" s="30">
        <v>9.1899999999999982E-2</v>
      </c>
      <c r="AB195" s="27">
        <v>0.08</v>
      </c>
      <c r="AC195" s="27">
        <v>9.4399999999999998E-2</v>
      </c>
      <c r="AD195" s="11">
        <v>9.0029119553389825E-2</v>
      </c>
    </row>
    <row r="196" spans="1:30" x14ac:dyDescent="0.25">
      <c r="A196" s="13">
        <v>43738</v>
      </c>
      <c r="B196" s="46" t="s">
        <v>636</v>
      </c>
      <c r="C196" s="13">
        <v>43738</v>
      </c>
      <c r="D196" s="15" t="s">
        <v>536</v>
      </c>
      <c r="E196" s="15">
        <v>37</v>
      </c>
      <c r="F196" s="15">
        <v>30</v>
      </c>
      <c r="G196" s="13">
        <v>43775</v>
      </c>
      <c r="H196" s="17">
        <v>1200</v>
      </c>
      <c r="I196" s="19">
        <v>2200.25</v>
      </c>
      <c r="J196" s="20">
        <v>1.8335416666666664</v>
      </c>
      <c r="K196" s="19">
        <v>2150.25</v>
      </c>
      <c r="L196" s="20">
        <v>1.7918750000000001</v>
      </c>
      <c r="M196" s="21">
        <v>0</v>
      </c>
      <c r="N196" s="19">
        <v>0</v>
      </c>
      <c r="O196" s="23">
        <v>240</v>
      </c>
      <c r="P196" s="24">
        <v>30.75</v>
      </c>
      <c r="Q196" s="25">
        <v>0.12812499999999999</v>
      </c>
      <c r="R196" s="24">
        <v>30.75</v>
      </c>
      <c r="S196" s="25">
        <v>0.12812499999999999</v>
      </c>
      <c r="T196" s="26">
        <v>0</v>
      </c>
      <c r="U196" s="24">
        <v>0</v>
      </c>
      <c r="V196" s="19">
        <v>1440</v>
      </c>
      <c r="W196" s="19">
        <v>2231</v>
      </c>
      <c r="X196" s="21">
        <v>1.5493055555555555</v>
      </c>
      <c r="Y196" s="19">
        <v>2181</v>
      </c>
      <c r="Z196" s="20">
        <v>1.5145833333333334</v>
      </c>
      <c r="AA196" s="30">
        <v>7.279999999999999E-2</v>
      </c>
      <c r="AB196" s="27">
        <v>0.06</v>
      </c>
      <c r="AC196" s="27">
        <v>7.2999999999999995E-2</v>
      </c>
      <c r="AD196" s="11">
        <v>6.9604483581411219E-2</v>
      </c>
    </row>
    <row r="197" spans="1:30" x14ac:dyDescent="0.25">
      <c r="A197" s="13">
        <v>43739</v>
      </c>
      <c r="B197" s="46" t="s">
        <v>636</v>
      </c>
      <c r="C197" s="13">
        <v>43740</v>
      </c>
      <c r="D197" s="15" t="s">
        <v>378</v>
      </c>
      <c r="E197" s="15">
        <v>707</v>
      </c>
      <c r="F197" s="15">
        <v>720</v>
      </c>
      <c r="G197" s="13">
        <v>44447</v>
      </c>
      <c r="H197" s="17">
        <v>500</v>
      </c>
      <c r="I197" s="19">
        <v>251.70000000000002</v>
      </c>
      <c r="J197" s="20">
        <v>0.50340000000000007</v>
      </c>
      <c r="K197" s="19">
        <v>251.70000000000002</v>
      </c>
      <c r="L197" s="20">
        <v>0.50340000000000007</v>
      </c>
      <c r="M197" s="21">
        <v>0</v>
      </c>
      <c r="N197" s="19">
        <v>0</v>
      </c>
      <c r="O197" s="23">
        <v>100</v>
      </c>
      <c r="P197" s="24">
        <v>0</v>
      </c>
      <c r="Q197" s="25">
        <v>0</v>
      </c>
      <c r="R197" s="24">
        <v>0</v>
      </c>
      <c r="S197" s="25">
        <v>0</v>
      </c>
      <c r="T197" s="26">
        <v>0</v>
      </c>
      <c r="U197" s="24">
        <v>0</v>
      </c>
      <c r="V197" s="19">
        <v>600</v>
      </c>
      <c r="W197" s="19">
        <v>251.70000000000002</v>
      </c>
      <c r="X197" s="21">
        <v>0.41950000000000004</v>
      </c>
      <c r="Y197" s="19">
        <v>251.70000000000002</v>
      </c>
      <c r="Z197" s="20">
        <v>0.41950000000000004</v>
      </c>
      <c r="AA197" s="30">
        <v>0.1072</v>
      </c>
      <c r="AB197" s="27">
        <v>0.1</v>
      </c>
      <c r="AC197" s="27">
        <v>0.1072</v>
      </c>
      <c r="AD197" s="11">
        <v>0.10697258641239571</v>
      </c>
    </row>
    <row r="198" spans="1:30" x14ac:dyDescent="0.25">
      <c r="A198" s="13">
        <v>43740</v>
      </c>
      <c r="B198" s="46" t="s">
        <v>636</v>
      </c>
      <c r="C198" s="13">
        <v>43740</v>
      </c>
      <c r="D198" s="15" t="s">
        <v>537</v>
      </c>
      <c r="E198" s="15">
        <v>98</v>
      </c>
      <c r="F198" s="15">
        <v>90</v>
      </c>
      <c r="G198" s="13">
        <v>43838</v>
      </c>
      <c r="H198" s="17">
        <v>800</v>
      </c>
      <c r="I198" s="19">
        <v>982.75</v>
      </c>
      <c r="J198" s="20">
        <v>1.2284375000000001</v>
      </c>
      <c r="K198" s="19">
        <v>882.75</v>
      </c>
      <c r="L198" s="20">
        <v>1.1034375000000001</v>
      </c>
      <c r="M198" s="21">
        <v>0</v>
      </c>
      <c r="N198" s="19">
        <v>0</v>
      </c>
      <c r="O198" s="23">
        <v>160</v>
      </c>
      <c r="P198" s="24">
        <v>260</v>
      </c>
      <c r="Q198" s="25">
        <v>1.625</v>
      </c>
      <c r="R198" s="24">
        <v>160</v>
      </c>
      <c r="S198" s="25">
        <v>1</v>
      </c>
      <c r="T198" s="26">
        <v>0.61538499999999996</v>
      </c>
      <c r="U198" s="24">
        <v>0</v>
      </c>
      <c r="V198" s="19">
        <v>960</v>
      </c>
      <c r="W198" s="19">
        <v>1242.75</v>
      </c>
      <c r="X198" s="21">
        <v>1.2945312499999999</v>
      </c>
      <c r="Y198" s="19">
        <v>1042.75</v>
      </c>
      <c r="Z198" s="20">
        <v>1.0861979166666667</v>
      </c>
      <c r="AA198" s="30">
        <v>8.0200000000000021E-2</v>
      </c>
      <c r="AB198" s="27">
        <v>0.06</v>
      </c>
      <c r="AC198" s="27">
        <v>8.1199999999999994E-2</v>
      </c>
      <c r="AD198" s="11">
        <v>7.8002416687865686E-2</v>
      </c>
    </row>
    <row r="199" spans="1:30" x14ac:dyDescent="0.25">
      <c r="A199" s="13">
        <v>43741</v>
      </c>
      <c r="B199" s="46" t="s">
        <v>636</v>
      </c>
      <c r="C199" s="13">
        <v>43742</v>
      </c>
      <c r="D199" s="15" t="s">
        <v>538</v>
      </c>
      <c r="E199" s="15">
        <v>364</v>
      </c>
      <c r="F199" s="15">
        <v>360</v>
      </c>
      <c r="G199" s="13">
        <v>44106</v>
      </c>
      <c r="H199" s="17">
        <v>1000</v>
      </c>
      <c r="I199" s="19">
        <v>1603.76</v>
      </c>
      <c r="J199" s="20">
        <v>1.6037599999999999</v>
      </c>
      <c r="K199" s="19">
        <v>1153.7600000000002</v>
      </c>
      <c r="L199" s="20">
        <v>1.1537600000000001</v>
      </c>
      <c r="M199" s="21">
        <v>0</v>
      </c>
      <c r="N199" s="19">
        <v>0</v>
      </c>
      <c r="O199" s="23">
        <v>200</v>
      </c>
      <c r="P199" s="24">
        <v>0</v>
      </c>
      <c r="Q199" s="25">
        <v>0</v>
      </c>
      <c r="R199" s="24">
        <v>0</v>
      </c>
      <c r="S199" s="25">
        <v>0</v>
      </c>
      <c r="T199" s="26">
        <v>0</v>
      </c>
      <c r="U199" s="24">
        <v>0</v>
      </c>
      <c r="V199" s="19">
        <v>1200</v>
      </c>
      <c r="W199" s="19">
        <v>1603.76</v>
      </c>
      <c r="X199" s="21">
        <v>1.3364666666666667</v>
      </c>
      <c r="Y199" s="19">
        <v>1153.7600000000002</v>
      </c>
      <c r="Z199" s="20">
        <v>0.9614666666666668</v>
      </c>
      <c r="AA199" s="30">
        <v>0.10570000000000003</v>
      </c>
      <c r="AB199" s="27">
        <v>9.5199999999999993E-2</v>
      </c>
      <c r="AC199" s="27">
        <v>0.10769999999999999</v>
      </c>
      <c r="AD199" s="11">
        <v>0.10484915448695566</v>
      </c>
    </row>
    <row r="200" spans="1:30" x14ac:dyDescent="0.25">
      <c r="A200" s="13">
        <v>43742</v>
      </c>
      <c r="B200" s="46" t="s">
        <v>636</v>
      </c>
      <c r="C200" s="13">
        <v>43742</v>
      </c>
      <c r="D200" s="15" t="s">
        <v>539</v>
      </c>
      <c r="E200" s="15">
        <v>168</v>
      </c>
      <c r="F200" s="15">
        <v>180</v>
      </c>
      <c r="G200" s="13">
        <v>43910</v>
      </c>
      <c r="H200" s="17">
        <v>1100</v>
      </c>
      <c r="I200" s="19">
        <v>318.22999999999996</v>
      </c>
      <c r="J200" s="20">
        <v>0.2893</v>
      </c>
      <c r="K200" s="19">
        <v>118.23</v>
      </c>
      <c r="L200" s="20">
        <v>0.10748181818181819</v>
      </c>
      <c r="M200" s="21">
        <v>0</v>
      </c>
      <c r="N200" s="19">
        <v>0</v>
      </c>
      <c r="O200" s="23">
        <v>220</v>
      </c>
      <c r="P200" s="24">
        <v>0</v>
      </c>
      <c r="Q200" s="25">
        <v>0</v>
      </c>
      <c r="R200" s="24">
        <v>0</v>
      </c>
      <c r="S200" s="25">
        <v>0</v>
      </c>
      <c r="T200" s="26">
        <v>0</v>
      </c>
      <c r="U200" s="24">
        <v>0</v>
      </c>
      <c r="V200" s="19">
        <v>1320</v>
      </c>
      <c r="W200" s="19">
        <v>318.22999999999996</v>
      </c>
      <c r="X200" s="21">
        <v>0.24108333333333332</v>
      </c>
      <c r="Y200" s="19">
        <v>118.23</v>
      </c>
      <c r="Z200" s="20">
        <v>8.9568181818181825E-2</v>
      </c>
      <c r="AA200" s="30">
        <v>0.09</v>
      </c>
      <c r="AB200" s="27">
        <v>7.4999999999999997E-2</v>
      </c>
      <c r="AC200" s="27">
        <v>9.74E-2</v>
      </c>
      <c r="AD200" s="11">
        <v>9.2411479118876289E-2</v>
      </c>
    </row>
    <row r="201" spans="1:30" x14ac:dyDescent="0.25">
      <c r="A201" s="13">
        <v>43745</v>
      </c>
      <c r="B201" s="46" t="s">
        <v>636</v>
      </c>
      <c r="C201" s="13">
        <v>43745</v>
      </c>
      <c r="D201" s="15" t="s">
        <v>540</v>
      </c>
      <c r="E201" s="15">
        <v>35</v>
      </c>
      <c r="F201" s="15">
        <v>30</v>
      </c>
      <c r="G201" s="13">
        <v>43780</v>
      </c>
      <c r="H201" s="17">
        <v>1500</v>
      </c>
      <c r="I201" s="19">
        <v>1684.04</v>
      </c>
      <c r="J201" s="20">
        <v>1.1226933333333333</v>
      </c>
      <c r="K201" s="19">
        <v>1684.04</v>
      </c>
      <c r="L201" s="20">
        <v>1.1226933333333333</v>
      </c>
      <c r="M201" s="21">
        <v>0</v>
      </c>
      <c r="N201" s="19">
        <v>0</v>
      </c>
      <c r="O201" s="23">
        <v>300</v>
      </c>
      <c r="P201" s="24">
        <v>15</v>
      </c>
      <c r="Q201" s="25">
        <v>0.05</v>
      </c>
      <c r="R201" s="24">
        <v>15</v>
      </c>
      <c r="S201" s="25">
        <v>0.05</v>
      </c>
      <c r="T201" s="26">
        <v>0</v>
      </c>
      <c r="U201" s="24">
        <v>0</v>
      </c>
      <c r="V201" s="19">
        <v>1800</v>
      </c>
      <c r="W201" s="19">
        <v>1699.04</v>
      </c>
      <c r="X201" s="21">
        <v>0.94391111111111115</v>
      </c>
      <c r="Y201" s="19">
        <v>1699.04</v>
      </c>
      <c r="Z201" s="20">
        <v>0.94391111111111115</v>
      </c>
      <c r="AA201" s="30">
        <v>7.1900000000000019E-2</v>
      </c>
      <c r="AB201" s="27">
        <v>6.25E-2</v>
      </c>
      <c r="AC201" s="27">
        <v>7.1900000000000006E-2</v>
      </c>
      <c r="AD201" s="11">
        <v>6.9386326928101469E-2</v>
      </c>
    </row>
    <row r="202" spans="1:30" x14ac:dyDescent="0.25">
      <c r="A202" s="13">
        <v>43746</v>
      </c>
      <c r="B202" s="46" t="s">
        <v>636</v>
      </c>
      <c r="C202" s="13">
        <v>43747</v>
      </c>
      <c r="D202" s="15" t="s">
        <v>379</v>
      </c>
      <c r="E202" s="15">
        <v>742</v>
      </c>
      <c r="F202" s="15">
        <v>720</v>
      </c>
      <c r="G202" s="13">
        <v>44489</v>
      </c>
      <c r="H202" s="17">
        <v>600</v>
      </c>
      <c r="I202" s="19">
        <v>339</v>
      </c>
      <c r="J202" s="20">
        <v>0.56499999999999995</v>
      </c>
      <c r="K202" s="19">
        <v>339</v>
      </c>
      <c r="L202" s="20">
        <v>0.56499999999999995</v>
      </c>
      <c r="M202" s="21">
        <v>0</v>
      </c>
      <c r="N202" s="19">
        <v>0</v>
      </c>
      <c r="O202" s="23">
        <v>120</v>
      </c>
      <c r="P202" s="24">
        <v>5</v>
      </c>
      <c r="Q202" s="25">
        <v>4.1666666666666664E-2</v>
      </c>
      <c r="R202" s="24">
        <v>5</v>
      </c>
      <c r="S202" s="25">
        <v>4.1666666666666664E-2</v>
      </c>
      <c r="T202" s="26">
        <v>0</v>
      </c>
      <c r="U202" s="24">
        <v>0</v>
      </c>
      <c r="V202" s="19">
        <v>720</v>
      </c>
      <c r="W202" s="19">
        <v>344</v>
      </c>
      <c r="X202" s="21">
        <v>0.4777777777777778</v>
      </c>
      <c r="Y202" s="19">
        <v>344</v>
      </c>
      <c r="Z202" s="20">
        <v>0.4777777777777778</v>
      </c>
      <c r="AA202" s="30">
        <v>0.10809999999999999</v>
      </c>
      <c r="AB202" s="27">
        <v>0.10539999999999999</v>
      </c>
      <c r="AC202" s="27">
        <v>0.1081</v>
      </c>
      <c r="AD202" s="11">
        <v>0.1076212389380531</v>
      </c>
    </row>
    <row r="203" spans="1:30" x14ac:dyDescent="0.25">
      <c r="A203" s="13">
        <v>43747</v>
      </c>
      <c r="B203" s="46" t="s">
        <v>636</v>
      </c>
      <c r="C203" s="13">
        <v>43747</v>
      </c>
      <c r="D203" s="15" t="s">
        <v>541</v>
      </c>
      <c r="E203" s="15">
        <v>91</v>
      </c>
      <c r="F203" s="15">
        <v>90</v>
      </c>
      <c r="G203" s="13">
        <v>43838</v>
      </c>
      <c r="H203" s="17">
        <v>900</v>
      </c>
      <c r="I203" s="19">
        <v>402.92</v>
      </c>
      <c r="J203" s="20">
        <v>0.44768888888888891</v>
      </c>
      <c r="K203" s="19">
        <v>402.92</v>
      </c>
      <c r="L203" s="20">
        <v>0.44768888888888891</v>
      </c>
      <c r="M203" s="21">
        <v>0</v>
      </c>
      <c r="N203" s="19">
        <v>0</v>
      </c>
      <c r="O203" s="23">
        <v>180</v>
      </c>
      <c r="P203" s="24">
        <v>0.11</v>
      </c>
      <c r="Q203" s="25">
        <v>6.111111111111111E-4</v>
      </c>
      <c r="R203" s="24">
        <v>0.11</v>
      </c>
      <c r="S203" s="25">
        <v>6.111111111111111E-4</v>
      </c>
      <c r="T203" s="26">
        <v>0</v>
      </c>
      <c r="U203" s="24">
        <v>0</v>
      </c>
      <c r="V203" s="19">
        <v>1080</v>
      </c>
      <c r="W203" s="19">
        <v>403.03000000000003</v>
      </c>
      <c r="X203" s="21">
        <v>0.37317592592592597</v>
      </c>
      <c r="Y203" s="19">
        <v>403.03000000000003</v>
      </c>
      <c r="Z203" s="20">
        <v>0.37317592592592597</v>
      </c>
      <c r="AA203" s="30">
        <v>8.0000000000000016E-2</v>
      </c>
      <c r="AB203" s="27">
        <v>6.5000000000000002E-2</v>
      </c>
      <c r="AC203" s="27">
        <v>0.08</v>
      </c>
      <c r="AD203" s="11">
        <v>7.0410900426883749E-2</v>
      </c>
    </row>
    <row r="204" spans="1:30" x14ac:dyDescent="0.25">
      <c r="A204" s="13">
        <v>43748</v>
      </c>
      <c r="B204" s="46" t="s">
        <v>636</v>
      </c>
      <c r="C204" s="13">
        <v>43749</v>
      </c>
      <c r="D204" s="15" t="s">
        <v>542</v>
      </c>
      <c r="E204" s="15">
        <v>357</v>
      </c>
      <c r="F204" s="15">
        <v>360</v>
      </c>
      <c r="G204" s="13">
        <v>44106</v>
      </c>
      <c r="H204" s="17">
        <v>1000</v>
      </c>
      <c r="I204" s="19">
        <v>504.89</v>
      </c>
      <c r="J204" s="20">
        <v>0.50489000000000017</v>
      </c>
      <c r="K204" s="19">
        <v>319.89000000000004</v>
      </c>
      <c r="L204" s="20">
        <v>0.31989000000000006</v>
      </c>
      <c r="M204" s="21">
        <v>0</v>
      </c>
      <c r="N204" s="19">
        <v>0</v>
      </c>
      <c r="O204" s="23">
        <v>200</v>
      </c>
      <c r="P204" s="24">
        <v>0</v>
      </c>
      <c r="Q204" s="25">
        <v>0</v>
      </c>
      <c r="R204" s="24">
        <v>0</v>
      </c>
      <c r="S204" s="25">
        <v>0</v>
      </c>
      <c r="T204" s="26">
        <v>0</v>
      </c>
      <c r="U204" s="24">
        <v>0</v>
      </c>
      <c r="V204" s="19">
        <v>1200</v>
      </c>
      <c r="W204" s="19">
        <v>504.89</v>
      </c>
      <c r="X204" s="21">
        <v>0.42074166666666668</v>
      </c>
      <c r="Y204" s="19">
        <v>319.89000000000004</v>
      </c>
      <c r="Z204" s="20">
        <v>0.26657500000000006</v>
      </c>
      <c r="AA204" s="30">
        <v>0.10569999999999997</v>
      </c>
      <c r="AB204" s="27">
        <v>9.5700000000000007E-2</v>
      </c>
      <c r="AC204" s="27">
        <v>0.11</v>
      </c>
      <c r="AD204" s="11">
        <v>0.10493540375131219</v>
      </c>
    </row>
    <row r="205" spans="1:30" x14ac:dyDescent="0.25">
      <c r="A205" s="13">
        <v>43749</v>
      </c>
      <c r="B205" s="46" t="s">
        <v>636</v>
      </c>
      <c r="C205" s="13">
        <v>43749</v>
      </c>
      <c r="D205" s="15" t="s">
        <v>543</v>
      </c>
      <c r="E205" s="15">
        <v>189</v>
      </c>
      <c r="F205" s="15">
        <v>180</v>
      </c>
      <c r="G205" s="13">
        <v>43938</v>
      </c>
      <c r="H205" s="17">
        <v>1000</v>
      </c>
      <c r="I205" s="19">
        <v>52.17</v>
      </c>
      <c r="J205" s="20">
        <v>5.2170000000000001E-2</v>
      </c>
      <c r="K205" s="19">
        <v>0</v>
      </c>
      <c r="L205" s="20">
        <v>0</v>
      </c>
      <c r="M205" s="21">
        <v>0</v>
      </c>
      <c r="N205" s="19">
        <v>0</v>
      </c>
      <c r="O205" s="23">
        <v>200</v>
      </c>
      <c r="P205" s="24">
        <v>100.42</v>
      </c>
      <c r="Q205" s="25">
        <v>0.50209999999999999</v>
      </c>
      <c r="R205" s="24">
        <v>0</v>
      </c>
      <c r="S205" s="25">
        <v>0</v>
      </c>
      <c r="T205" s="26">
        <v>0</v>
      </c>
      <c r="U205" s="24">
        <v>0</v>
      </c>
      <c r="V205" s="19">
        <v>1200</v>
      </c>
      <c r="W205" s="19">
        <v>152.59</v>
      </c>
      <c r="X205" s="21">
        <v>0.12715833333333335</v>
      </c>
      <c r="Y205" s="19">
        <v>0</v>
      </c>
      <c r="Z205" s="20">
        <v>0</v>
      </c>
      <c r="AA205" s="30">
        <v>0</v>
      </c>
      <c r="AB205" s="27">
        <v>0.08</v>
      </c>
      <c r="AC205" s="27">
        <v>0.09</v>
      </c>
      <c r="AD205" s="11">
        <v>8.3165650757140108E-2</v>
      </c>
    </row>
    <row r="206" spans="1:30" x14ac:dyDescent="0.25">
      <c r="A206" s="13">
        <v>43752</v>
      </c>
      <c r="B206" s="46" t="s">
        <v>636</v>
      </c>
      <c r="C206" s="13">
        <v>43752</v>
      </c>
      <c r="D206" s="15" t="s">
        <v>544</v>
      </c>
      <c r="E206" s="15">
        <v>28</v>
      </c>
      <c r="F206" s="15">
        <v>30</v>
      </c>
      <c r="G206" s="13">
        <v>43780</v>
      </c>
      <c r="H206" s="17">
        <v>2000</v>
      </c>
      <c r="I206" s="19">
        <v>1600.46</v>
      </c>
      <c r="J206" s="20">
        <v>0.80022999999999989</v>
      </c>
      <c r="K206" s="19">
        <v>1450.46</v>
      </c>
      <c r="L206" s="20">
        <v>0.72523000000000004</v>
      </c>
      <c r="M206" s="21">
        <v>0</v>
      </c>
      <c r="N206" s="19">
        <v>0</v>
      </c>
      <c r="O206" s="23">
        <v>400</v>
      </c>
      <c r="P206" s="24">
        <v>0</v>
      </c>
      <c r="Q206" s="25">
        <v>0</v>
      </c>
      <c r="R206" s="24">
        <v>0</v>
      </c>
      <c r="S206" s="25">
        <v>0</v>
      </c>
      <c r="T206" s="26">
        <v>0</v>
      </c>
      <c r="U206" s="24">
        <v>0</v>
      </c>
      <c r="V206" s="19">
        <v>2400</v>
      </c>
      <c r="W206" s="19">
        <v>1600.46</v>
      </c>
      <c r="X206" s="21">
        <v>0.66685833333333333</v>
      </c>
      <c r="Y206" s="19">
        <v>1450.46</v>
      </c>
      <c r="Z206" s="20">
        <v>0.60435833333333333</v>
      </c>
      <c r="AA206" s="30">
        <v>7.319999999999996E-2</v>
      </c>
      <c r="AB206" s="27">
        <v>0.06</v>
      </c>
      <c r="AC206" s="27">
        <v>0.08</v>
      </c>
      <c r="AD206" s="11">
        <v>6.9561955937667896E-2</v>
      </c>
    </row>
    <row r="207" spans="1:30" x14ac:dyDescent="0.25">
      <c r="A207" s="13">
        <v>43753</v>
      </c>
      <c r="B207" s="46" t="s">
        <v>636</v>
      </c>
      <c r="C207" s="13">
        <v>43754</v>
      </c>
      <c r="D207" s="15" t="s">
        <v>380</v>
      </c>
      <c r="E207" s="15">
        <v>735</v>
      </c>
      <c r="F207" s="15">
        <v>720</v>
      </c>
      <c r="G207" s="13">
        <v>44489</v>
      </c>
      <c r="H207" s="17">
        <v>500</v>
      </c>
      <c r="I207" s="19">
        <v>750</v>
      </c>
      <c r="J207" s="20">
        <v>1.5000000000000002</v>
      </c>
      <c r="K207" s="19">
        <v>350</v>
      </c>
      <c r="L207" s="20">
        <v>0.7</v>
      </c>
      <c r="M207" s="21">
        <v>0</v>
      </c>
      <c r="N207" s="19">
        <v>0</v>
      </c>
      <c r="O207" s="23">
        <v>100</v>
      </c>
      <c r="P207" s="24">
        <v>20</v>
      </c>
      <c r="Q207" s="25">
        <v>0.2</v>
      </c>
      <c r="R207" s="24">
        <v>20</v>
      </c>
      <c r="S207" s="25">
        <v>0.2</v>
      </c>
      <c r="T207" s="26">
        <v>0</v>
      </c>
      <c r="U207" s="24">
        <v>0</v>
      </c>
      <c r="V207" s="19">
        <v>600</v>
      </c>
      <c r="W207" s="19">
        <v>770</v>
      </c>
      <c r="X207" s="21">
        <v>1.2833333333333334</v>
      </c>
      <c r="Y207" s="19">
        <v>370</v>
      </c>
      <c r="Z207" s="20">
        <v>0.6166666666666667</v>
      </c>
      <c r="AA207" s="30">
        <v>0.10890000000000001</v>
      </c>
      <c r="AB207" s="27">
        <v>0.1081</v>
      </c>
      <c r="AC207" s="27">
        <v>0.11</v>
      </c>
      <c r="AD207" s="11">
        <v>0.10915333333333332</v>
      </c>
    </row>
    <row r="208" spans="1:30" x14ac:dyDescent="0.25">
      <c r="A208" s="13">
        <v>43754</v>
      </c>
      <c r="B208" s="46" t="s">
        <v>636</v>
      </c>
      <c r="C208" s="13">
        <v>43754</v>
      </c>
      <c r="D208" s="15" t="s">
        <v>545</v>
      </c>
      <c r="E208" s="15">
        <v>84</v>
      </c>
      <c r="F208" s="15">
        <v>90</v>
      </c>
      <c r="G208" s="13">
        <v>43838</v>
      </c>
      <c r="H208" s="17">
        <v>500</v>
      </c>
      <c r="I208" s="19">
        <v>723.12</v>
      </c>
      <c r="J208" s="20">
        <v>1.4462400000000002</v>
      </c>
      <c r="K208" s="19">
        <v>592.63</v>
      </c>
      <c r="L208" s="20">
        <v>1.18526</v>
      </c>
      <c r="M208" s="21">
        <v>0</v>
      </c>
      <c r="N208" s="19">
        <v>0</v>
      </c>
      <c r="O208" s="23">
        <v>100</v>
      </c>
      <c r="P208" s="24">
        <v>0</v>
      </c>
      <c r="Q208" s="25">
        <v>0</v>
      </c>
      <c r="R208" s="24">
        <v>0</v>
      </c>
      <c r="S208" s="25">
        <v>0</v>
      </c>
      <c r="T208" s="26">
        <v>0</v>
      </c>
      <c r="U208" s="24">
        <v>0</v>
      </c>
      <c r="V208" s="19">
        <v>600</v>
      </c>
      <c r="W208" s="19">
        <v>723.12</v>
      </c>
      <c r="X208" s="21">
        <v>1.2052</v>
      </c>
      <c r="Y208" s="19">
        <v>592.63</v>
      </c>
      <c r="Z208" s="20">
        <v>0.98771666666666669</v>
      </c>
      <c r="AA208" s="30">
        <v>8.0899999999999986E-2</v>
      </c>
      <c r="AB208" s="27">
        <v>7.0000000000000007E-2</v>
      </c>
      <c r="AC208" s="27">
        <v>9.2499999999999999E-2</v>
      </c>
      <c r="AD208" s="11">
        <v>8.046688654718441E-2</v>
      </c>
    </row>
    <row r="209" spans="1:30" x14ac:dyDescent="0.25">
      <c r="A209" s="13">
        <v>43755</v>
      </c>
      <c r="B209" s="46" t="s">
        <v>636</v>
      </c>
      <c r="C209" s="13">
        <v>43756</v>
      </c>
      <c r="D209" s="15" t="s">
        <v>546</v>
      </c>
      <c r="E209" s="15">
        <v>385</v>
      </c>
      <c r="F209" s="15">
        <v>360</v>
      </c>
      <c r="G209" s="13">
        <v>44141</v>
      </c>
      <c r="H209" s="17">
        <v>800</v>
      </c>
      <c r="I209" s="19">
        <v>1029.52</v>
      </c>
      <c r="J209" s="20">
        <v>1.2868999999999999</v>
      </c>
      <c r="K209" s="19">
        <v>679.52</v>
      </c>
      <c r="L209" s="20">
        <v>0.84939999999999993</v>
      </c>
      <c r="M209" s="21">
        <v>0</v>
      </c>
      <c r="N209" s="19">
        <v>0</v>
      </c>
      <c r="O209" s="23">
        <v>160</v>
      </c>
      <c r="P209" s="24">
        <v>35</v>
      </c>
      <c r="Q209" s="25">
        <v>0.21875</v>
      </c>
      <c r="R209" s="24">
        <v>35</v>
      </c>
      <c r="S209" s="25">
        <v>0.21875</v>
      </c>
      <c r="T209" s="26">
        <v>0</v>
      </c>
      <c r="U209" s="24">
        <v>0</v>
      </c>
      <c r="V209" s="19">
        <v>960</v>
      </c>
      <c r="W209" s="19">
        <v>1064.52</v>
      </c>
      <c r="X209" s="21">
        <v>1.1088750000000001</v>
      </c>
      <c r="Y209" s="19">
        <v>714.52</v>
      </c>
      <c r="Z209" s="20">
        <v>0.74429166666666668</v>
      </c>
      <c r="AA209" s="30">
        <v>0.10610000000000003</v>
      </c>
      <c r="AB209" s="27">
        <v>9.5000000000000001E-2</v>
      </c>
      <c r="AC209" s="27">
        <v>0.1075</v>
      </c>
      <c r="AD209" s="11">
        <v>0.10501541397933017</v>
      </c>
    </row>
    <row r="210" spans="1:30" x14ac:dyDescent="0.25">
      <c r="A210" s="13">
        <v>43756</v>
      </c>
      <c r="B210" s="46" t="s">
        <v>636</v>
      </c>
      <c r="C210" s="13">
        <v>43756</v>
      </c>
      <c r="D210" s="15" t="s">
        <v>547</v>
      </c>
      <c r="E210" s="15">
        <v>182</v>
      </c>
      <c r="F210" s="15">
        <v>180</v>
      </c>
      <c r="G210" s="13">
        <v>43938</v>
      </c>
      <c r="H210" s="17">
        <v>1200</v>
      </c>
      <c r="I210" s="19">
        <v>67.42</v>
      </c>
      <c r="J210" s="20">
        <v>5.6183333333333335E-2</v>
      </c>
      <c r="K210" s="19">
        <v>0</v>
      </c>
      <c r="L210" s="20">
        <v>0</v>
      </c>
      <c r="M210" s="21">
        <v>0</v>
      </c>
      <c r="N210" s="19">
        <v>0</v>
      </c>
      <c r="O210" s="23">
        <v>240</v>
      </c>
      <c r="P210" s="24">
        <v>2.41</v>
      </c>
      <c r="Q210" s="25">
        <v>1.0041666666666666E-2</v>
      </c>
      <c r="R210" s="24">
        <v>0</v>
      </c>
      <c r="S210" s="25">
        <v>0</v>
      </c>
      <c r="T210" s="26">
        <v>0</v>
      </c>
      <c r="U210" s="24">
        <v>0</v>
      </c>
      <c r="V210" s="19">
        <v>1440</v>
      </c>
      <c r="W210" s="19">
        <v>69.83</v>
      </c>
      <c r="X210" s="21">
        <v>4.8493055555555553E-2</v>
      </c>
      <c r="Y210" s="19">
        <v>0</v>
      </c>
      <c r="Z210" s="20">
        <v>0</v>
      </c>
      <c r="AA210" s="30">
        <v>0</v>
      </c>
      <c r="AB210" s="27">
        <v>7.4999999999999997E-2</v>
      </c>
      <c r="AC210" s="27">
        <v>0.09</v>
      </c>
      <c r="AD210" s="11">
        <v>8.5065707505191338E-2</v>
      </c>
    </row>
    <row r="211" spans="1:30" x14ac:dyDescent="0.25">
      <c r="A211" s="13">
        <v>43759</v>
      </c>
      <c r="B211" s="46" t="s">
        <v>636</v>
      </c>
      <c r="C211" s="13">
        <v>43759</v>
      </c>
      <c r="D211" s="15" t="s">
        <v>548</v>
      </c>
      <c r="E211" s="15">
        <v>30</v>
      </c>
      <c r="F211" s="15">
        <v>30</v>
      </c>
      <c r="G211" s="13">
        <v>43789</v>
      </c>
      <c r="H211" s="17">
        <v>2000</v>
      </c>
      <c r="I211" s="19">
        <v>1056.27</v>
      </c>
      <c r="J211" s="20">
        <v>0.5281349999999998</v>
      </c>
      <c r="K211" s="19">
        <v>1056.27</v>
      </c>
      <c r="L211" s="20">
        <v>0.52813500000000002</v>
      </c>
      <c r="M211" s="21">
        <v>0</v>
      </c>
      <c r="N211" s="19">
        <v>0</v>
      </c>
      <c r="O211" s="23">
        <v>400</v>
      </c>
      <c r="P211" s="24">
        <v>0</v>
      </c>
      <c r="Q211" s="25">
        <v>0</v>
      </c>
      <c r="R211" s="24">
        <v>0</v>
      </c>
      <c r="S211" s="25">
        <v>0</v>
      </c>
      <c r="T211" s="26">
        <v>0</v>
      </c>
      <c r="U211" s="24">
        <v>0</v>
      </c>
      <c r="V211" s="19">
        <v>2400</v>
      </c>
      <c r="W211" s="19">
        <v>1056.27</v>
      </c>
      <c r="X211" s="21">
        <v>0.44011250000000002</v>
      </c>
      <c r="Y211" s="19">
        <v>1056.27</v>
      </c>
      <c r="Z211" s="20">
        <v>0.44011250000000002</v>
      </c>
      <c r="AA211" s="30">
        <v>7.4199999999999988E-2</v>
      </c>
      <c r="AB211" s="27">
        <v>0.06</v>
      </c>
      <c r="AC211" s="27">
        <v>7.4200000000000002E-2</v>
      </c>
      <c r="AD211" s="11">
        <v>6.9637069120584705E-2</v>
      </c>
    </row>
    <row r="212" spans="1:30" x14ac:dyDescent="0.25">
      <c r="A212" s="13">
        <v>43760</v>
      </c>
      <c r="B212" s="46" t="s">
        <v>636</v>
      </c>
      <c r="C212" s="13">
        <v>43761</v>
      </c>
      <c r="D212" s="15" t="s">
        <v>381</v>
      </c>
      <c r="E212" s="15">
        <v>728</v>
      </c>
      <c r="F212" s="15">
        <v>720</v>
      </c>
      <c r="G212" s="13">
        <v>44489</v>
      </c>
      <c r="H212" s="17">
        <v>500</v>
      </c>
      <c r="I212" s="19">
        <v>700</v>
      </c>
      <c r="J212" s="20">
        <v>1.4000000000000004</v>
      </c>
      <c r="K212" s="19">
        <v>475</v>
      </c>
      <c r="L212" s="20">
        <v>0.95</v>
      </c>
      <c r="M212" s="21">
        <v>0</v>
      </c>
      <c r="N212" s="19">
        <v>0</v>
      </c>
      <c r="O212" s="23">
        <v>100</v>
      </c>
      <c r="P212" s="24">
        <v>0</v>
      </c>
      <c r="Q212" s="25">
        <v>0</v>
      </c>
      <c r="R212" s="24">
        <v>0</v>
      </c>
      <c r="S212" s="25">
        <v>0</v>
      </c>
      <c r="T212" s="26">
        <v>0</v>
      </c>
      <c r="U212" s="24">
        <v>0</v>
      </c>
      <c r="V212" s="19">
        <v>600</v>
      </c>
      <c r="W212" s="19">
        <v>700</v>
      </c>
      <c r="X212" s="21">
        <v>1.1666666666666667</v>
      </c>
      <c r="Y212" s="19">
        <v>475</v>
      </c>
      <c r="Z212" s="20">
        <v>0.79166666666666663</v>
      </c>
      <c r="AA212" s="30">
        <v>0.10970000000000001</v>
      </c>
      <c r="AB212" s="27">
        <v>0.10710000000000001</v>
      </c>
      <c r="AC212" s="27">
        <v>0.1104</v>
      </c>
      <c r="AD212" s="11">
        <v>0.10943214285714288</v>
      </c>
    </row>
    <row r="213" spans="1:30" x14ac:dyDescent="0.25">
      <c r="A213" s="13">
        <v>43761</v>
      </c>
      <c r="B213" s="46" t="s">
        <v>636</v>
      </c>
      <c r="C213" s="13">
        <v>43761</v>
      </c>
      <c r="D213" s="15" t="s">
        <v>549</v>
      </c>
      <c r="E213" s="15">
        <v>91</v>
      </c>
      <c r="F213" s="15">
        <v>90</v>
      </c>
      <c r="G213" s="13">
        <v>43852</v>
      </c>
      <c r="H213" s="17">
        <v>500</v>
      </c>
      <c r="I213" s="19">
        <v>64.789999999999992</v>
      </c>
      <c r="J213" s="20">
        <v>0.12958</v>
      </c>
      <c r="K213" s="19">
        <v>0</v>
      </c>
      <c r="L213" s="20">
        <v>0</v>
      </c>
      <c r="M213" s="21">
        <v>0</v>
      </c>
      <c r="N213" s="19">
        <v>0</v>
      </c>
      <c r="O213" s="23">
        <v>100</v>
      </c>
      <c r="P213" s="24">
        <v>15</v>
      </c>
      <c r="Q213" s="25">
        <v>0.15</v>
      </c>
      <c r="R213" s="24">
        <v>0</v>
      </c>
      <c r="S213" s="25">
        <v>0</v>
      </c>
      <c r="T213" s="26">
        <v>0</v>
      </c>
      <c r="U213" s="24">
        <v>0</v>
      </c>
      <c r="V213" s="19">
        <v>600</v>
      </c>
      <c r="W213" s="19">
        <v>79.789999999999992</v>
      </c>
      <c r="X213" s="21">
        <v>0.13298333333333331</v>
      </c>
      <c r="Y213" s="19">
        <v>0</v>
      </c>
      <c r="Z213" s="20">
        <v>0</v>
      </c>
      <c r="AA213" s="30">
        <v>0</v>
      </c>
      <c r="AB213" s="27">
        <v>7.0000000000000007E-2</v>
      </c>
      <c r="AC213" s="27">
        <v>8.1000000000000003E-2</v>
      </c>
      <c r="AD213" s="11">
        <v>7.4061799660441435E-2</v>
      </c>
    </row>
    <row r="214" spans="1:30" x14ac:dyDescent="0.25">
      <c r="A214" s="13">
        <v>43762</v>
      </c>
      <c r="B214" s="46" t="s">
        <v>636</v>
      </c>
      <c r="C214" s="13">
        <v>43763</v>
      </c>
      <c r="D214" s="15" t="s">
        <v>550</v>
      </c>
      <c r="E214" s="15">
        <v>378</v>
      </c>
      <c r="F214" s="15">
        <v>360</v>
      </c>
      <c r="G214" s="13">
        <v>44141</v>
      </c>
      <c r="H214" s="17">
        <v>2000</v>
      </c>
      <c r="I214" s="19">
        <v>151.47</v>
      </c>
      <c r="J214" s="20">
        <v>7.5734999999999997E-2</v>
      </c>
      <c r="K214" s="19">
        <v>0</v>
      </c>
      <c r="L214" s="20">
        <v>0</v>
      </c>
      <c r="M214" s="21">
        <v>0</v>
      </c>
      <c r="N214" s="19">
        <v>0</v>
      </c>
      <c r="O214" s="23">
        <v>400</v>
      </c>
      <c r="P214" s="24">
        <v>0</v>
      </c>
      <c r="Q214" s="25">
        <v>0</v>
      </c>
      <c r="R214" s="24">
        <v>0</v>
      </c>
      <c r="S214" s="25">
        <v>0</v>
      </c>
      <c r="T214" s="26">
        <v>0</v>
      </c>
      <c r="U214" s="24">
        <v>0</v>
      </c>
      <c r="V214" s="19">
        <v>2400</v>
      </c>
      <c r="W214" s="19">
        <v>151.47</v>
      </c>
      <c r="X214" s="21">
        <v>6.3112500000000002E-2</v>
      </c>
      <c r="Y214" s="19">
        <v>0</v>
      </c>
      <c r="Z214" s="20">
        <v>0</v>
      </c>
      <c r="AA214" s="30">
        <v>0</v>
      </c>
      <c r="AB214" s="27">
        <v>9.5000000000000001E-2</v>
      </c>
      <c r="AC214" s="27">
        <v>0.107</v>
      </c>
      <c r="AD214" s="11">
        <v>0.10593431702647391</v>
      </c>
    </row>
    <row r="215" spans="1:30" x14ac:dyDescent="0.25">
      <c r="A215" s="13">
        <v>43763</v>
      </c>
      <c r="B215" s="46" t="s">
        <v>636</v>
      </c>
      <c r="C215" s="13">
        <v>43763</v>
      </c>
      <c r="D215" s="15" t="s">
        <v>551</v>
      </c>
      <c r="E215" s="15">
        <v>175</v>
      </c>
      <c r="F215" s="15">
        <v>180</v>
      </c>
      <c r="G215" s="13">
        <v>43938</v>
      </c>
      <c r="H215" s="17">
        <v>700</v>
      </c>
      <c r="I215" s="19">
        <v>215.76000000000002</v>
      </c>
      <c r="J215" s="20">
        <v>0.30822857142857141</v>
      </c>
      <c r="K215" s="19">
        <v>211.55000000000004</v>
      </c>
      <c r="L215" s="20">
        <v>0.30221428571428577</v>
      </c>
      <c r="M215" s="21">
        <v>0</v>
      </c>
      <c r="N215" s="19">
        <v>0</v>
      </c>
      <c r="O215" s="23">
        <v>140</v>
      </c>
      <c r="P215" s="24">
        <v>10</v>
      </c>
      <c r="Q215" s="25">
        <v>7.1428571428571425E-2</v>
      </c>
      <c r="R215" s="24">
        <v>10</v>
      </c>
      <c r="S215" s="25">
        <v>7.1428571428571425E-2</v>
      </c>
      <c r="T215" s="26">
        <v>0</v>
      </c>
      <c r="U215" s="24">
        <v>0</v>
      </c>
      <c r="V215" s="19">
        <v>840</v>
      </c>
      <c r="W215" s="19">
        <v>225.76000000000002</v>
      </c>
      <c r="X215" s="21">
        <v>0.26876190476190476</v>
      </c>
      <c r="Y215" s="19">
        <v>221.55000000000004</v>
      </c>
      <c r="Z215" s="20">
        <v>0.26375000000000004</v>
      </c>
      <c r="AA215" s="30">
        <v>9.0000000000000011E-2</v>
      </c>
      <c r="AB215" s="27">
        <v>0.08</v>
      </c>
      <c r="AC215" s="27">
        <v>0.1</v>
      </c>
      <c r="AD215" s="11">
        <v>8.7949383574341858E-2</v>
      </c>
    </row>
    <row r="216" spans="1:30" x14ac:dyDescent="0.25">
      <c r="A216" s="13">
        <v>43766</v>
      </c>
      <c r="B216" s="46" t="s">
        <v>636</v>
      </c>
      <c r="C216" s="13">
        <v>43766</v>
      </c>
      <c r="D216" s="15" t="s">
        <v>552</v>
      </c>
      <c r="E216" s="15">
        <v>30</v>
      </c>
      <c r="F216" s="15">
        <v>30</v>
      </c>
      <c r="G216" s="13">
        <v>43796</v>
      </c>
      <c r="H216" s="17">
        <v>400</v>
      </c>
      <c r="I216" s="19">
        <v>167.07999999999998</v>
      </c>
      <c r="J216" s="20">
        <v>0.41770000000000002</v>
      </c>
      <c r="K216" s="19">
        <v>167.07999999999998</v>
      </c>
      <c r="L216" s="20">
        <v>0.41769999999999996</v>
      </c>
      <c r="M216" s="21">
        <v>0</v>
      </c>
      <c r="N216" s="19">
        <v>0</v>
      </c>
      <c r="O216" s="23">
        <v>80</v>
      </c>
      <c r="P216" s="24">
        <v>15</v>
      </c>
      <c r="Q216" s="25">
        <v>0.1875</v>
      </c>
      <c r="R216" s="24">
        <v>15</v>
      </c>
      <c r="S216" s="25">
        <v>0.1875</v>
      </c>
      <c r="T216" s="26">
        <v>0</v>
      </c>
      <c r="U216" s="24">
        <v>0</v>
      </c>
      <c r="V216" s="19">
        <v>480</v>
      </c>
      <c r="W216" s="19">
        <v>182.07999999999998</v>
      </c>
      <c r="X216" s="21">
        <v>0.3793333333333333</v>
      </c>
      <c r="Y216" s="19">
        <v>182.07999999999998</v>
      </c>
      <c r="Z216" s="20">
        <v>0.3793333333333333</v>
      </c>
      <c r="AA216" s="30">
        <v>7.2999999999999982E-2</v>
      </c>
      <c r="AB216" s="27">
        <v>0.06</v>
      </c>
      <c r="AC216" s="27">
        <v>7.2999999999999995E-2</v>
      </c>
      <c r="AD216" s="11">
        <v>6.9894182427579596E-2</v>
      </c>
    </row>
    <row r="217" spans="1:30" x14ac:dyDescent="0.25">
      <c r="A217" s="13">
        <v>43768</v>
      </c>
      <c r="B217" s="46" t="s">
        <v>636</v>
      </c>
      <c r="C217" s="13">
        <v>43768</v>
      </c>
      <c r="D217" s="15" t="s">
        <v>553</v>
      </c>
      <c r="E217" s="15">
        <v>84</v>
      </c>
      <c r="F217" s="15">
        <v>90</v>
      </c>
      <c r="G217" s="13">
        <v>43852</v>
      </c>
      <c r="H217" s="17">
        <v>400</v>
      </c>
      <c r="I217" s="19">
        <v>107.61999999999999</v>
      </c>
      <c r="J217" s="20">
        <v>0.26904999999999996</v>
      </c>
      <c r="K217" s="19">
        <v>0</v>
      </c>
      <c r="L217" s="20">
        <v>0</v>
      </c>
      <c r="M217" s="21">
        <v>0</v>
      </c>
      <c r="N217" s="19">
        <v>0</v>
      </c>
      <c r="O217" s="23">
        <v>80</v>
      </c>
      <c r="P217" s="24">
        <v>12</v>
      </c>
      <c r="Q217" s="25">
        <v>0.15</v>
      </c>
      <c r="R217" s="24">
        <v>0</v>
      </c>
      <c r="S217" s="25">
        <v>0</v>
      </c>
      <c r="T217" s="26">
        <v>0</v>
      </c>
      <c r="U217" s="24">
        <v>0</v>
      </c>
      <c r="V217" s="19">
        <v>480</v>
      </c>
      <c r="W217" s="19">
        <v>119.61999999999999</v>
      </c>
      <c r="X217" s="21">
        <v>0.24920833333333331</v>
      </c>
      <c r="Y217" s="19">
        <v>0</v>
      </c>
      <c r="Z217" s="20">
        <v>0</v>
      </c>
      <c r="AA217" s="30">
        <v>0</v>
      </c>
      <c r="AB217" s="27">
        <v>0.06</v>
      </c>
      <c r="AC217" s="27">
        <v>9.1499999999999998E-2</v>
      </c>
      <c r="AD217" s="11">
        <v>7.5841581490429286E-2</v>
      </c>
    </row>
    <row r="218" spans="1:30" x14ac:dyDescent="0.25">
      <c r="A218" s="13">
        <v>43769</v>
      </c>
      <c r="B218" s="46" t="s">
        <v>636</v>
      </c>
      <c r="C218" s="13">
        <v>43770</v>
      </c>
      <c r="D218" s="15" t="s">
        <v>554</v>
      </c>
      <c r="E218" s="15">
        <v>371</v>
      </c>
      <c r="F218" s="15">
        <v>360</v>
      </c>
      <c r="G218" s="13">
        <v>44141</v>
      </c>
      <c r="H218" s="17">
        <v>800</v>
      </c>
      <c r="I218" s="19">
        <v>252.37</v>
      </c>
      <c r="J218" s="20">
        <v>0.31546249999999998</v>
      </c>
      <c r="K218" s="19">
        <v>148.12</v>
      </c>
      <c r="L218" s="20">
        <v>0.18515000000000001</v>
      </c>
      <c r="M218" s="21">
        <v>0</v>
      </c>
      <c r="N218" s="19">
        <v>0</v>
      </c>
      <c r="O218" s="23">
        <v>160</v>
      </c>
      <c r="P218" s="24">
        <v>0</v>
      </c>
      <c r="Q218" s="25">
        <v>0</v>
      </c>
      <c r="R218" s="24">
        <v>0</v>
      </c>
      <c r="S218" s="25">
        <v>0</v>
      </c>
      <c r="T218" s="26">
        <v>0</v>
      </c>
      <c r="U218" s="24">
        <v>0</v>
      </c>
      <c r="V218" s="19">
        <v>960</v>
      </c>
      <c r="W218" s="19">
        <v>252.37</v>
      </c>
      <c r="X218" s="21">
        <v>0.26288541666666665</v>
      </c>
      <c r="Y218" s="19">
        <v>148.12</v>
      </c>
      <c r="Z218" s="20">
        <v>0.15429166666666666</v>
      </c>
      <c r="AA218" s="30">
        <v>0.10640000000000002</v>
      </c>
      <c r="AB218" s="27">
        <v>9.5000000000000001E-2</v>
      </c>
      <c r="AC218" s="27">
        <v>0.1099</v>
      </c>
      <c r="AD218" s="11">
        <v>0.10431390815073108</v>
      </c>
    </row>
    <row r="219" spans="1:30" x14ac:dyDescent="0.25">
      <c r="A219" s="13">
        <v>43770</v>
      </c>
      <c r="B219" s="46" t="s">
        <v>636</v>
      </c>
      <c r="C219" s="13">
        <v>43770</v>
      </c>
      <c r="D219" s="15" t="s">
        <v>555</v>
      </c>
      <c r="E219" s="15">
        <v>168</v>
      </c>
      <c r="F219" s="15">
        <v>180</v>
      </c>
      <c r="G219" s="13">
        <v>43938</v>
      </c>
      <c r="H219" s="17">
        <v>400</v>
      </c>
      <c r="I219" s="19">
        <v>550.63999999999987</v>
      </c>
      <c r="J219" s="20">
        <v>1.3766</v>
      </c>
      <c r="K219" s="19">
        <v>535.74</v>
      </c>
      <c r="L219" s="20">
        <v>1.33935</v>
      </c>
      <c r="M219" s="21">
        <v>0</v>
      </c>
      <c r="N219" s="19">
        <v>0</v>
      </c>
      <c r="O219" s="23">
        <v>80</v>
      </c>
      <c r="P219" s="24">
        <v>25</v>
      </c>
      <c r="Q219" s="25">
        <v>0.3125</v>
      </c>
      <c r="R219" s="24">
        <v>25</v>
      </c>
      <c r="S219" s="25">
        <v>0.3125</v>
      </c>
      <c r="T219" s="26">
        <v>0</v>
      </c>
      <c r="U219" s="24">
        <v>0</v>
      </c>
      <c r="V219" s="19">
        <v>480</v>
      </c>
      <c r="W219" s="19">
        <v>575.63999999999987</v>
      </c>
      <c r="X219" s="21">
        <v>1.1992499999999997</v>
      </c>
      <c r="Y219" s="19">
        <v>560.74</v>
      </c>
      <c r="Z219" s="20">
        <v>1.1682083333333333</v>
      </c>
      <c r="AA219" s="30">
        <v>8.9999999999999969E-2</v>
      </c>
      <c r="AB219" s="27">
        <v>7.9899999999999999E-2</v>
      </c>
      <c r="AC219" s="27">
        <v>9.7500000000000003E-2</v>
      </c>
      <c r="AD219" s="11">
        <v>8.3664472250472202E-2</v>
      </c>
    </row>
    <row r="220" spans="1:30" x14ac:dyDescent="0.25">
      <c r="A220" s="13">
        <v>43773</v>
      </c>
      <c r="B220" s="46" t="s">
        <v>636</v>
      </c>
      <c r="C220" s="13">
        <v>43773</v>
      </c>
      <c r="D220" s="15" t="s">
        <v>556</v>
      </c>
      <c r="E220" s="15">
        <v>28</v>
      </c>
      <c r="F220" s="15">
        <v>30</v>
      </c>
      <c r="G220" s="13">
        <v>43801</v>
      </c>
      <c r="H220" s="17">
        <v>2000</v>
      </c>
      <c r="I220" s="19">
        <v>623.62</v>
      </c>
      <c r="J220" s="20">
        <v>0.31180999999999998</v>
      </c>
      <c r="K220" s="19">
        <v>565.62</v>
      </c>
      <c r="L220" s="20">
        <v>0.28281000000000001</v>
      </c>
      <c r="M220" s="21">
        <v>0</v>
      </c>
      <c r="N220" s="19">
        <v>0</v>
      </c>
      <c r="O220" s="23">
        <v>400</v>
      </c>
      <c r="P220" s="24">
        <v>30</v>
      </c>
      <c r="Q220" s="25">
        <v>7.4999999999999997E-2</v>
      </c>
      <c r="R220" s="24">
        <v>30</v>
      </c>
      <c r="S220" s="25">
        <v>7.4999999999999997E-2</v>
      </c>
      <c r="T220" s="26">
        <v>0</v>
      </c>
      <c r="U220" s="24">
        <v>0</v>
      </c>
      <c r="V220" s="19">
        <v>2400</v>
      </c>
      <c r="W220" s="19">
        <v>653.62</v>
      </c>
      <c r="X220" s="21">
        <v>0.27234166666666665</v>
      </c>
      <c r="Y220" s="19">
        <v>595.62</v>
      </c>
      <c r="Z220" s="20">
        <v>0.24817500000000001</v>
      </c>
      <c r="AA220" s="30">
        <v>8.5499999999999951E-2</v>
      </c>
      <c r="AB220" s="27">
        <v>6.3E-2</v>
      </c>
      <c r="AC220" s="27">
        <v>0.1</v>
      </c>
      <c r="AD220" s="11">
        <v>7.905904236554312E-2</v>
      </c>
    </row>
    <row r="221" spans="1:30" x14ac:dyDescent="0.25">
      <c r="A221" s="13">
        <v>43774</v>
      </c>
      <c r="B221" s="46" t="s">
        <v>636</v>
      </c>
      <c r="C221" s="13">
        <v>43775</v>
      </c>
      <c r="D221" s="15" t="s">
        <v>382</v>
      </c>
      <c r="E221" s="15">
        <v>714</v>
      </c>
      <c r="F221" s="15">
        <v>720</v>
      </c>
      <c r="G221" s="13">
        <v>44489</v>
      </c>
      <c r="H221" s="17">
        <v>400</v>
      </c>
      <c r="I221" s="19">
        <v>450.63</v>
      </c>
      <c r="J221" s="20">
        <v>1.1265749999999999</v>
      </c>
      <c r="K221" s="19">
        <v>350.63</v>
      </c>
      <c r="L221" s="20">
        <v>0.87657499999999999</v>
      </c>
      <c r="M221" s="21">
        <v>0</v>
      </c>
      <c r="N221" s="19">
        <v>0</v>
      </c>
      <c r="O221" s="23">
        <v>80</v>
      </c>
      <c r="P221" s="24">
        <v>20</v>
      </c>
      <c r="Q221" s="25">
        <v>0.25</v>
      </c>
      <c r="R221" s="24">
        <v>20</v>
      </c>
      <c r="S221" s="25">
        <v>0.25</v>
      </c>
      <c r="T221" s="26">
        <v>0</v>
      </c>
      <c r="U221" s="24">
        <v>0</v>
      </c>
      <c r="V221" s="19">
        <v>480</v>
      </c>
      <c r="W221" s="19">
        <v>470.63</v>
      </c>
      <c r="X221" s="21">
        <v>0.98047916666666668</v>
      </c>
      <c r="Y221" s="19">
        <v>370.63</v>
      </c>
      <c r="Z221" s="20">
        <v>0.77214583333333331</v>
      </c>
      <c r="AA221" s="30">
        <v>0.11</v>
      </c>
      <c r="AB221" s="27">
        <v>0.10400000000000001</v>
      </c>
      <c r="AC221" s="27">
        <v>0.11749999999999999</v>
      </c>
      <c r="AD221" s="11">
        <v>0.1113119854426026</v>
      </c>
    </row>
    <row r="222" spans="1:30" x14ac:dyDescent="0.25">
      <c r="A222" s="13">
        <v>43775</v>
      </c>
      <c r="B222" s="46" t="s">
        <v>636</v>
      </c>
      <c r="C222" s="13">
        <v>43775</v>
      </c>
      <c r="D222" s="15" t="s">
        <v>557</v>
      </c>
      <c r="E222" s="15">
        <v>98</v>
      </c>
      <c r="F222" s="15">
        <v>90</v>
      </c>
      <c r="G222" s="13">
        <v>43873</v>
      </c>
      <c r="H222" s="17">
        <v>800</v>
      </c>
      <c r="I222" s="19">
        <v>472.98000000000008</v>
      </c>
      <c r="J222" s="20">
        <v>0.591225</v>
      </c>
      <c r="K222" s="19">
        <v>272.98</v>
      </c>
      <c r="L222" s="20">
        <v>0.341225</v>
      </c>
      <c r="M222" s="21">
        <v>0</v>
      </c>
      <c r="N222" s="19">
        <v>0</v>
      </c>
      <c r="O222" s="23">
        <v>160</v>
      </c>
      <c r="P222" s="24">
        <v>147.78</v>
      </c>
      <c r="Q222" s="25">
        <v>0.92362499999999992</v>
      </c>
      <c r="R222" s="24">
        <v>54.596000000000004</v>
      </c>
      <c r="S222" s="25">
        <v>0.341225</v>
      </c>
      <c r="T222" s="26">
        <v>0.36948717948717946</v>
      </c>
      <c r="U222" s="24">
        <v>0</v>
      </c>
      <c r="V222" s="19">
        <v>960</v>
      </c>
      <c r="W222" s="19">
        <v>620.7600000000001</v>
      </c>
      <c r="X222" s="21">
        <v>0.64662500000000012</v>
      </c>
      <c r="Y222" s="19">
        <v>327.57600000000002</v>
      </c>
      <c r="Z222" s="20">
        <v>0.341225</v>
      </c>
      <c r="AA222" s="30">
        <v>9.1000000000000039E-2</v>
      </c>
      <c r="AB222" s="27">
        <v>0.06</v>
      </c>
      <c r="AC222" s="27">
        <v>0.1</v>
      </c>
      <c r="AD222" s="11">
        <v>8.809852213624253E-2</v>
      </c>
    </row>
    <row r="223" spans="1:30" x14ac:dyDescent="0.25">
      <c r="A223" s="13">
        <v>43776</v>
      </c>
      <c r="B223" s="46" t="s">
        <v>636</v>
      </c>
      <c r="C223" s="13">
        <v>43777</v>
      </c>
      <c r="D223" s="15" t="s">
        <v>558</v>
      </c>
      <c r="E223" s="15">
        <v>364</v>
      </c>
      <c r="F223" s="15">
        <v>360</v>
      </c>
      <c r="G223" s="13">
        <v>44141</v>
      </c>
      <c r="H223" s="17">
        <v>1000</v>
      </c>
      <c r="I223" s="19">
        <v>622.11</v>
      </c>
      <c r="J223" s="20">
        <v>0.62211000000000005</v>
      </c>
      <c r="K223" s="19">
        <v>527.1099999999999</v>
      </c>
      <c r="L223" s="20">
        <v>0.52710999999999986</v>
      </c>
      <c r="M223" s="21">
        <v>0</v>
      </c>
      <c r="N223" s="19">
        <v>0</v>
      </c>
      <c r="O223" s="23">
        <v>200</v>
      </c>
      <c r="P223" s="24">
        <v>0</v>
      </c>
      <c r="Q223" s="25">
        <v>0</v>
      </c>
      <c r="R223" s="24">
        <v>0</v>
      </c>
      <c r="S223" s="25">
        <v>0</v>
      </c>
      <c r="T223" s="26">
        <v>0</v>
      </c>
      <c r="U223" s="24">
        <v>0</v>
      </c>
      <c r="V223" s="19">
        <v>1200</v>
      </c>
      <c r="W223" s="19">
        <v>622.11</v>
      </c>
      <c r="X223" s="21">
        <v>0.51842500000000002</v>
      </c>
      <c r="Y223" s="19">
        <v>527.1099999999999</v>
      </c>
      <c r="Z223" s="20">
        <v>0.43925833333333325</v>
      </c>
      <c r="AA223" s="30">
        <v>0.1074</v>
      </c>
      <c r="AB223" s="27">
        <v>7.0000000000000007E-2</v>
      </c>
      <c r="AC223" s="27">
        <v>0.109</v>
      </c>
      <c r="AD223" s="11">
        <v>0.10312646638054364</v>
      </c>
    </row>
    <row r="224" spans="1:30" x14ac:dyDescent="0.25">
      <c r="A224" s="13">
        <v>43777</v>
      </c>
      <c r="B224" s="46" t="s">
        <v>636</v>
      </c>
      <c r="C224" s="13">
        <v>43777</v>
      </c>
      <c r="D224" s="15" t="s">
        <v>559</v>
      </c>
      <c r="E224" s="15">
        <v>189</v>
      </c>
      <c r="F224" s="15">
        <v>180</v>
      </c>
      <c r="G224" s="13">
        <v>43966</v>
      </c>
      <c r="H224" s="17">
        <v>1000</v>
      </c>
      <c r="I224" s="19">
        <v>1149.7699999999998</v>
      </c>
      <c r="J224" s="20">
        <v>1.1497699999999997</v>
      </c>
      <c r="K224" s="19">
        <v>799.77</v>
      </c>
      <c r="L224" s="20">
        <v>0.79976999999999998</v>
      </c>
      <c r="M224" s="21">
        <v>0</v>
      </c>
      <c r="N224" s="19">
        <v>0</v>
      </c>
      <c r="O224" s="23">
        <v>200</v>
      </c>
      <c r="P224" s="24">
        <v>266</v>
      </c>
      <c r="Q224" s="25">
        <v>1.33</v>
      </c>
      <c r="R224" s="24">
        <v>159.95400000000001</v>
      </c>
      <c r="S224" s="25">
        <v>0.79977000000000009</v>
      </c>
      <c r="T224" s="26">
        <v>0.60133099999999995</v>
      </c>
      <c r="U224" s="24">
        <v>0</v>
      </c>
      <c r="V224" s="19">
        <v>1200</v>
      </c>
      <c r="W224" s="19">
        <v>1415.7699999999998</v>
      </c>
      <c r="X224" s="21">
        <v>1.1798083333333331</v>
      </c>
      <c r="Y224" s="19">
        <v>959.72399999999993</v>
      </c>
      <c r="Z224" s="20">
        <v>0.79976999999999998</v>
      </c>
      <c r="AA224" s="30">
        <v>9.9200000000000052E-2</v>
      </c>
      <c r="AB224" s="27">
        <v>0.08</v>
      </c>
      <c r="AC224" s="27">
        <v>0.10300000000000001</v>
      </c>
      <c r="AD224" s="11">
        <v>9.6535685397949197E-2</v>
      </c>
    </row>
    <row r="225" spans="1:30" x14ac:dyDescent="0.25">
      <c r="A225" s="13">
        <v>43780</v>
      </c>
      <c r="B225" s="46" t="s">
        <v>636</v>
      </c>
      <c r="C225" s="13">
        <v>43780</v>
      </c>
      <c r="D225" s="15" t="s">
        <v>560</v>
      </c>
      <c r="E225" s="15">
        <v>28</v>
      </c>
      <c r="F225" s="15">
        <v>30</v>
      </c>
      <c r="G225" s="13">
        <v>43808</v>
      </c>
      <c r="H225" s="17">
        <v>2000</v>
      </c>
      <c r="I225" s="19">
        <v>2817.94</v>
      </c>
      <c r="J225" s="20">
        <v>1.4089699999999998</v>
      </c>
      <c r="K225" s="19">
        <v>2425.9399999999996</v>
      </c>
      <c r="L225" s="20">
        <v>1.2129699999999999</v>
      </c>
      <c r="M225" s="21">
        <v>0</v>
      </c>
      <c r="N225" s="19">
        <v>0</v>
      </c>
      <c r="O225" s="23">
        <v>400</v>
      </c>
      <c r="P225" s="24">
        <v>89</v>
      </c>
      <c r="Q225" s="25">
        <v>0.22250000000000003</v>
      </c>
      <c r="R225" s="24">
        <v>89</v>
      </c>
      <c r="S225" s="25">
        <v>0.2225</v>
      </c>
      <c r="T225" s="26">
        <v>0</v>
      </c>
      <c r="U225" s="24">
        <v>0</v>
      </c>
      <c r="V225" s="19">
        <v>2400</v>
      </c>
      <c r="W225" s="19">
        <v>2906.94</v>
      </c>
      <c r="X225" s="21">
        <v>1.211225</v>
      </c>
      <c r="Y225" s="19">
        <v>2514.9399999999996</v>
      </c>
      <c r="Z225" s="20">
        <v>1.0478916666666664</v>
      </c>
      <c r="AA225" s="30">
        <v>8.3899999999999947E-2</v>
      </c>
      <c r="AB225" s="27">
        <v>0.06</v>
      </c>
      <c r="AC225" s="27">
        <v>0.09</v>
      </c>
      <c r="AD225" s="11">
        <v>7.8082542566555668E-2</v>
      </c>
    </row>
    <row r="226" spans="1:30" x14ac:dyDescent="0.25">
      <c r="A226" s="13">
        <v>43781</v>
      </c>
      <c r="B226" s="46" t="s">
        <v>636</v>
      </c>
      <c r="C226" s="13">
        <v>43782</v>
      </c>
      <c r="D226" s="15" t="s">
        <v>383</v>
      </c>
      <c r="E226" s="15">
        <v>707</v>
      </c>
      <c r="F226" s="15">
        <v>720</v>
      </c>
      <c r="G226" s="13">
        <v>44489</v>
      </c>
      <c r="H226" s="17">
        <v>800</v>
      </c>
      <c r="I226" s="19">
        <v>945.12</v>
      </c>
      <c r="J226" s="20">
        <v>1.1814</v>
      </c>
      <c r="K226" s="19">
        <v>620.12</v>
      </c>
      <c r="L226" s="20">
        <v>0.77515000000000001</v>
      </c>
      <c r="M226" s="21">
        <v>0</v>
      </c>
      <c r="N226" s="19">
        <v>0</v>
      </c>
      <c r="O226" s="23">
        <v>160</v>
      </c>
      <c r="P226" s="24">
        <v>20</v>
      </c>
      <c r="Q226" s="25">
        <v>0.125</v>
      </c>
      <c r="R226" s="24">
        <v>20</v>
      </c>
      <c r="S226" s="25">
        <v>0.125</v>
      </c>
      <c r="T226" s="26">
        <v>0</v>
      </c>
      <c r="U226" s="24">
        <v>0</v>
      </c>
      <c r="V226" s="19">
        <v>960</v>
      </c>
      <c r="W226" s="19">
        <v>965.12</v>
      </c>
      <c r="X226" s="21">
        <v>1.0053333333333334</v>
      </c>
      <c r="Y226" s="19">
        <v>640.12</v>
      </c>
      <c r="Z226" s="20">
        <v>0.66679166666666667</v>
      </c>
      <c r="AA226" s="30">
        <v>0.11070000000000001</v>
      </c>
      <c r="AB226" s="27">
        <v>9.8000000000000004E-2</v>
      </c>
      <c r="AC226" s="27">
        <v>0.115</v>
      </c>
      <c r="AD226" s="11">
        <v>0.1107867360758422</v>
      </c>
    </row>
    <row r="227" spans="1:30" x14ac:dyDescent="0.25">
      <c r="A227" s="13">
        <v>43782</v>
      </c>
      <c r="B227" s="46" t="s">
        <v>636</v>
      </c>
      <c r="C227" s="13">
        <v>43782</v>
      </c>
      <c r="D227" s="15" t="s">
        <v>561</v>
      </c>
      <c r="E227" s="15">
        <v>91</v>
      </c>
      <c r="F227" s="15">
        <v>90</v>
      </c>
      <c r="G227" s="13">
        <v>43873</v>
      </c>
      <c r="H227" s="17">
        <v>1200</v>
      </c>
      <c r="I227" s="19">
        <v>2326.3000000000006</v>
      </c>
      <c r="J227" s="20">
        <v>1.9385833333333335</v>
      </c>
      <c r="K227" s="19">
        <v>2226.3000000000002</v>
      </c>
      <c r="L227" s="20">
        <v>1.8552500000000001</v>
      </c>
      <c r="M227" s="21">
        <v>0</v>
      </c>
      <c r="N227" s="19">
        <v>0</v>
      </c>
      <c r="O227" s="23">
        <v>240</v>
      </c>
      <c r="P227" s="24">
        <v>160</v>
      </c>
      <c r="Q227" s="25">
        <v>0.66666666666666674</v>
      </c>
      <c r="R227" s="24">
        <v>160</v>
      </c>
      <c r="S227" s="25">
        <v>0.66666666666666663</v>
      </c>
      <c r="T227" s="26">
        <v>0</v>
      </c>
      <c r="U227" s="24">
        <v>0</v>
      </c>
      <c r="V227" s="19">
        <v>1440</v>
      </c>
      <c r="W227" s="19">
        <v>2486.3000000000006</v>
      </c>
      <c r="X227" s="21">
        <v>1.7265972222222226</v>
      </c>
      <c r="Y227" s="19">
        <v>2386.3000000000002</v>
      </c>
      <c r="Z227" s="20">
        <v>1.6571527777777779</v>
      </c>
      <c r="AA227" s="30">
        <v>9.2000000000000026E-2</v>
      </c>
      <c r="AB227" s="27">
        <v>7.0000000000000007E-2</v>
      </c>
      <c r="AC227" s="27">
        <v>9.4E-2</v>
      </c>
      <c r="AD227" s="11">
        <v>8.8577655504449099E-2</v>
      </c>
    </row>
    <row r="228" spans="1:30" x14ac:dyDescent="0.25">
      <c r="A228" s="13">
        <v>43783</v>
      </c>
      <c r="B228" s="46" t="s">
        <v>636</v>
      </c>
      <c r="C228" s="13">
        <v>43784</v>
      </c>
      <c r="D228" s="15" t="s">
        <v>562</v>
      </c>
      <c r="E228" s="15">
        <v>357</v>
      </c>
      <c r="F228" s="15">
        <v>360</v>
      </c>
      <c r="G228" s="13">
        <v>44141</v>
      </c>
      <c r="H228" s="17">
        <v>1800</v>
      </c>
      <c r="I228" s="19">
        <v>1008.32</v>
      </c>
      <c r="J228" s="20">
        <v>0.56017777777777777</v>
      </c>
      <c r="K228" s="19">
        <v>558.31999999999994</v>
      </c>
      <c r="L228" s="20">
        <v>0.31017777777777772</v>
      </c>
      <c r="M228" s="21">
        <v>0</v>
      </c>
      <c r="N228" s="19">
        <v>0</v>
      </c>
      <c r="O228" s="23">
        <v>360</v>
      </c>
      <c r="P228" s="24">
        <v>20</v>
      </c>
      <c r="Q228" s="25">
        <v>5.5555555555555552E-2</v>
      </c>
      <c r="R228" s="24">
        <v>20</v>
      </c>
      <c r="S228" s="25">
        <v>5.5555555555555552E-2</v>
      </c>
      <c r="T228" s="26">
        <v>0</v>
      </c>
      <c r="U228" s="24">
        <v>0</v>
      </c>
      <c r="V228" s="19">
        <v>2160</v>
      </c>
      <c r="W228" s="19">
        <v>1028.3200000000002</v>
      </c>
      <c r="X228" s="21">
        <v>0.47607407407407415</v>
      </c>
      <c r="Y228" s="19">
        <v>578.31999999999994</v>
      </c>
      <c r="Z228" s="20">
        <v>0.26774074074074072</v>
      </c>
      <c r="AA228" s="30">
        <v>0.10749999999999997</v>
      </c>
      <c r="AB228" s="27">
        <v>7.4999999999999997E-2</v>
      </c>
      <c r="AC228" s="27">
        <v>0.11</v>
      </c>
      <c r="AD228" s="11">
        <v>0.10773226753411616</v>
      </c>
    </row>
    <row r="229" spans="1:30" x14ac:dyDescent="0.25">
      <c r="A229" s="13">
        <v>43784</v>
      </c>
      <c r="B229" s="46" t="s">
        <v>636</v>
      </c>
      <c r="C229" s="13">
        <v>43784</v>
      </c>
      <c r="D229" s="15" t="s">
        <v>563</v>
      </c>
      <c r="E229" s="15">
        <v>182</v>
      </c>
      <c r="F229" s="15">
        <v>180</v>
      </c>
      <c r="G229" s="13">
        <v>43966</v>
      </c>
      <c r="H229" s="17">
        <v>2000</v>
      </c>
      <c r="I229" s="19">
        <v>1391.54</v>
      </c>
      <c r="J229" s="20">
        <v>0.69577000000000033</v>
      </c>
      <c r="K229" s="19">
        <v>671.54000000000008</v>
      </c>
      <c r="L229" s="20">
        <v>0.33577000000000001</v>
      </c>
      <c r="M229" s="21">
        <v>0</v>
      </c>
      <c r="N229" s="19">
        <v>0</v>
      </c>
      <c r="O229" s="23">
        <v>400</v>
      </c>
      <c r="P229" s="24">
        <v>450.54</v>
      </c>
      <c r="Q229" s="25">
        <v>1.12635</v>
      </c>
      <c r="R229" s="24">
        <v>134.30799999999999</v>
      </c>
      <c r="S229" s="25">
        <v>0.33576999999999996</v>
      </c>
      <c r="T229" s="26">
        <v>0.29814814814814816</v>
      </c>
      <c r="U229" s="24">
        <v>0</v>
      </c>
      <c r="V229" s="19">
        <v>2400</v>
      </c>
      <c r="W229" s="19">
        <v>1842.08</v>
      </c>
      <c r="X229" s="21">
        <v>0.76753333333333329</v>
      </c>
      <c r="Y229" s="19">
        <v>805.84800000000007</v>
      </c>
      <c r="Z229" s="20">
        <v>0.33577000000000001</v>
      </c>
      <c r="AA229" s="30">
        <v>9.949999999999995E-2</v>
      </c>
      <c r="AB229" s="27">
        <v>8.8000000000000009E-2</v>
      </c>
      <c r="AC229" s="27">
        <v>0.10249999999999999</v>
      </c>
      <c r="AD229" s="11">
        <v>9.8251206576885977E-2</v>
      </c>
    </row>
    <row r="230" spans="1:30" x14ac:dyDescent="0.25">
      <c r="A230" s="13">
        <v>43787</v>
      </c>
      <c r="B230" s="46" t="s">
        <v>636</v>
      </c>
      <c r="C230" s="13">
        <v>43787</v>
      </c>
      <c r="D230" s="15" t="s">
        <v>564</v>
      </c>
      <c r="E230" s="15">
        <v>28</v>
      </c>
      <c r="F230" s="15">
        <v>30</v>
      </c>
      <c r="G230" s="13">
        <v>43815</v>
      </c>
      <c r="H230" s="17">
        <v>2000</v>
      </c>
      <c r="I230" s="19">
        <v>2325.73</v>
      </c>
      <c r="J230" s="20">
        <v>1.1628649999999998</v>
      </c>
      <c r="K230" s="19">
        <v>2275.73</v>
      </c>
      <c r="L230" s="20">
        <v>1.1378649999999999</v>
      </c>
      <c r="M230" s="21">
        <v>0</v>
      </c>
      <c r="N230" s="19">
        <v>0</v>
      </c>
      <c r="O230" s="23">
        <v>400</v>
      </c>
      <c r="P230" s="24">
        <v>0</v>
      </c>
      <c r="Q230" s="25">
        <v>0</v>
      </c>
      <c r="R230" s="24">
        <v>0</v>
      </c>
      <c r="S230" s="25">
        <v>0</v>
      </c>
      <c r="T230" s="26">
        <v>0</v>
      </c>
      <c r="U230" s="24">
        <v>0</v>
      </c>
      <c r="V230" s="19">
        <v>2400</v>
      </c>
      <c r="W230" s="19">
        <v>2325.73</v>
      </c>
      <c r="X230" s="21">
        <v>0.96905416666666666</v>
      </c>
      <c r="Y230" s="19">
        <v>2275.73</v>
      </c>
      <c r="Z230" s="20">
        <v>0.94822083333333329</v>
      </c>
      <c r="AA230" s="30">
        <v>8.4499999999999936E-2</v>
      </c>
      <c r="AB230" s="27">
        <v>6.6900000000000001E-2</v>
      </c>
      <c r="AC230" s="27">
        <v>0.09</v>
      </c>
      <c r="AD230" s="11">
        <v>7.5070942026804477E-2</v>
      </c>
    </row>
    <row r="231" spans="1:30" x14ac:dyDescent="0.25">
      <c r="A231" s="13">
        <v>43788</v>
      </c>
      <c r="B231" s="46" t="s">
        <v>636</v>
      </c>
      <c r="C231" s="13">
        <v>43789</v>
      </c>
      <c r="D231" s="15" t="s">
        <v>384</v>
      </c>
      <c r="E231" s="15">
        <v>700</v>
      </c>
      <c r="F231" s="15">
        <v>720</v>
      </c>
      <c r="G231" s="13">
        <v>44489</v>
      </c>
      <c r="H231" s="17">
        <v>700</v>
      </c>
      <c r="I231" s="19">
        <v>940</v>
      </c>
      <c r="J231" s="20">
        <v>1.3428571428571425</v>
      </c>
      <c r="K231" s="19">
        <v>740</v>
      </c>
      <c r="L231" s="20">
        <v>1.0571428571428572</v>
      </c>
      <c r="M231" s="21">
        <v>0</v>
      </c>
      <c r="N231" s="19">
        <v>0</v>
      </c>
      <c r="O231" s="23">
        <v>140</v>
      </c>
      <c r="P231" s="24">
        <v>80</v>
      </c>
      <c r="Q231" s="25">
        <v>0.5714285714285714</v>
      </c>
      <c r="R231" s="24">
        <v>80</v>
      </c>
      <c r="S231" s="25">
        <v>0.5714285714285714</v>
      </c>
      <c r="T231" s="26">
        <v>0</v>
      </c>
      <c r="U231" s="24">
        <v>0</v>
      </c>
      <c r="V231" s="19">
        <v>840</v>
      </c>
      <c r="W231" s="19">
        <v>1020</v>
      </c>
      <c r="X231" s="21">
        <v>1.2142857142857142</v>
      </c>
      <c r="Y231" s="19">
        <v>820</v>
      </c>
      <c r="Z231" s="20">
        <v>0.97619047619047616</v>
      </c>
      <c r="AA231" s="30">
        <v>0.11139999999999997</v>
      </c>
      <c r="AB231" s="27">
        <v>0.10890000000000001</v>
      </c>
      <c r="AC231" s="27">
        <v>0.1125</v>
      </c>
      <c r="AD231" s="11">
        <v>0.11089468085106383</v>
      </c>
    </row>
    <row r="232" spans="1:30" x14ac:dyDescent="0.25">
      <c r="A232" s="13">
        <v>43789</v>
      </c>
      <c r="B232" s="46" t="s">
        <v>636</v>
      </c>
      <c r="C232" s="13">
        <v>43789</v>
      </c>
      <c r="D232" s="15" t="s">
        <v>565</v>
      </c>
      <c r="E232" s="15">
        <v>84</v>
      </c>
      <c r="F232" s="15">
        <v>90</v>
      </c>
      <c r="G232" s="13">
        <v>43873</v>
      </c>
      <c r="H232" s="17">
        <v>900</v>
      </c>
      <c r="I232" s="19">
        <v>565.56999999999994</v>
      </c>
      <c r="J232" s="20">
        <v>0.62841111111111114</v>
      </c>
      <c r="K232" s="19">
        <v>515.56999999999994</v>
      </c>
      <c r="L232" s="20">
        <v>0.57285555555555545</v>
      </c>
      <c r="M232" s="21">
        <v>0</v>
      </c>
      <c r="N232" s="19">
        <v>0</v>
      </c>
      <c r="O232" s="23">
        <v>180</v>
      </c>
      <c r="P232" s="24">
        <v>100</v>
      </c>
      <c r="Q232" s="25">
        <v>0.55555555555555558</v>
      </c>
      <c r="R232" s="24">
        <v>100</v>
      </c>
      <c r="S232" s="25">
        <v>0.55555555555555558</v>
      </c>
      <c r="T232" s="26">
        <v>0</v>
      </c>
      <c r="U232" s="24">
        <v>0</v>
      </c>
      <c r="V232" s="19">
        <v>1080</v>
      </c>
      <c r="W232" s="19">
        <v>665.56999999999994</v>
      </c>
      <c r="X232" s="21">
        <v>0.61626851851851849</v>
      </c>
      <c r="Y232" s="19">
        <v>615.56999999999994</v>
      </c>
      <c r="Z232" s="20">
        <v>0.56997222222222221</v>
      </c>
      <c r="AA232" s="30">
        <v>9.4999999999999987E-2</v>
      </c>
      <c r="AB232" s="27">
        <v>0.08</v>
      </c>
      <c r="AC232" s="27">
        <v>0.1</v>
      </c>
      <c r="AD232" s="11">
        <v>8.9458553317891695E-2</v>
      </c>
    </row>
    <row r="233" spans="1:30" x14ac:dyDescent="0.25">
      <c r="A233" s="13">
        <v>43790</v>
      </c>
      <c r="B233" s="46" t="s">
        <v>636</v>
      </c>
      <c r="C233" s="13">
        <v>43791</v>
      </c>
      <c r="D233" s="15" t="s">
        <v>566</v>
      </c>
      <c r="E233" s="15">
        <v>350</v>
      </c>
      <c r="F233" s="15">
        <v>360</v>
      </c>
      <c r="G233" s="13">
        <v>44141</v>
      </c>
      <c r="H233" s="17">
        <v>1200</v>
      </c>
      <c r="I233" s="19">
        <v>978.39</v>
      </c>
      <c r="J233" s="20">
        <v>0.81532499999999986</v>
      </c>
      <c r="K233" s="19">
        <v>661.89</v>
      </c>
      <c r="L233" s="20">
        <v>0.55157500000000004</v>
      </c>
      <c r="M233" s="21">
        <v>0</v>
      </c>
      <c r="N233" s="19">
        <v>0</v>
      </c>
      <c r="O233" s="23">
        <v>240</v>
      </c>
      <c r="P233" s="24">
        <v>113.9</v>
      </c>
      <c r="Q233" s="25">
        <v>0.47458333333333336</v>
      </c>
      <c r="R233" s="24">
        <v>113.9</v>
      </c>
      <c r="S233" s="25">
        <v>0.47458333333333336</v>
      </c>
      <c r="T233" s="26">
        <v>0</v>
      </c>
      <c r="U233" s="24">
        <v>0</v>
      </c>
      <c r="V233" s="19">
        <v>1440</v>
      </c>
      <c r="W233" s="19">
        <v>1092.29</v>
      </c>
      <c r="X233" s="21">
        <v>0.75853472222222218</v>
      </c>
      <c r="Y233" s="19">
        <v>775.79</v>
      </c>
      <c r="Z233" s="20">
        <v>0.53874305555555557</v>
      </c>
      <c r="AA233" s="30">
        <v>0.10729999999999996</v>
      </c>
      <c r="AB233" s="27">
        <v>0.09</v>
      </c>
      <c r="AC233" s="27">
        <v>0.1103</v>
      </c>
      <c r="AD233" s="11">
        <v>0.10626465417675979</v>
      </c>
    </row>
    <row r="234" spans="1:30" x14ac:dyDescent="0.25">
      <c r="A234" s="13">
        <v>43791</v>
      </c>
      <c r="B234" s="46" t="s">
        <v>636</v>
      </c>
      <c r="C234" s="13">
        <v>43791</v>
      </c>
      <c r="D234" s="15" t="s">
        <v>567</v>
      </c>
      <c r="E234" s="15">
        <v>175</v>
      </c>
      <c r="F234" s="15">
        <v>180</v>
      </c>
      <c r="G234" s="13">
        <v>43966</v>
      </c>
      <c r="H234" s="17">
        <v>1000</v>
      </c>
      <c r="I234" s="19">
        <v>548.99</v>
      </c>
      <c r="J234" s="20">
        <v>0.54898999999999998</v>
      </c>
      <c r="K234" s="19">
        <v>298.99</v>
      </c>
      <c r="L234" s="20">
        <v>0.29899000000000003</v>
      </c>
      <c r="M234" s="21">
        <v>0</v>
      </c>
      <c r="N234" s="19">
        <v>0</v>
      </c>
      <c r="O234" s="23">
        <v>200</v>
      </c>
      <c r="P234" s="24">
        <v>101.57</v>
      </c>
      <c r="Q234" s="25">
        <v>0.50785000000000002</v>
      </c>
      <c r="R234" s="24">
        <v>59.798000000000002</v>
      </c>
      <c r="S234" s="25">
        <v>0.29899000000000003</v>
      </c>
      <c r="T234" s="26">
        <v>0.5887719298245615</v>
      </c>
      <c r="U234" s="24">
        <v>0</v>
      </c>
      <c r="V234" s="19">
        <v>1200</v>
      </c>
      <c r="W234" s="19">
        <v>650.55999999999995</v>
      </c>
      <c r="X234" s="21">
        <v>0.54213333333333324</v>
      </c>
      <c r="Y234" s="19">
        <v>358.78800000000001</v>
      </c>
      <c r="Z234" s="20">
        <v>0.29899000000000003</v>
      </c>
      <c r="AA234" s="30">
        <v>9.9399999999999961E-2</v>
      </c>
      <c r="AB234" s="27">
        <v>7.4999999999999997E-2</v>
      </c>
      <c r="AC234" s="27">
        <v>0.1065</v>
      </c>
      <c r="AD234" s="11">
        <v>9.929929506912695E-2</v>
      </c>
    </row>
    <row r="235" spans="1:30" x14ac:dyDescent="0.25">
      <c r="A235" s="13">
        <v>43794</v>
      </c>
      <c r="B235" s="46" t="s">
        <v>636</v>
      </c>
      <c r="C235" s="13">
        <v>43794</v>
      </c>
      <c r="D235" s="15" t="s">
        <v>568</v>
      </c>
      <c r="E235" s="15">
        <v>28</v>
      </c>
      <c r="F235" s="15">
        <v>30</v>
      </c>
      <c r="G235" s="13">
        <v>43822</v>
      </c>
      <c r="H235" s="17">
        <v>1200</v>
      </c>
      <c r="I235" s="19">
        <v>1331.5</v>
      </c>
      <c r="J235" s="20">
        <v>1.1095833333333331</v>
      </c>
      <c r="K235" s="19">
        <v>1231.5</v>
      </c>
      <c r="L235" s="20">
        <v>1.0262500000000001</v>
      </c>
      <c r="M235" s="21">
        <v>0</v>
      </c>
      <c r="N235" s="19">
        <v>0</v>
      </c>
      <c r="O235" s="23">
        <v>240</v>
      </c>
      <c r="P235" s="24">
        <v>0</v>
      </c>
      <c r="Q235" s="25">
        <v>0</v>
      </c>
      <c r="R235" s="24">
        <v>0</v>
      </c>
      <c r="S235" s="25">
        <v>0</v>
      </c>
      <c r="T235" s="26">
        <v>0</v>
      </c>
      <c r="U235" s="24">
        <v>0</v>
      </c>
      <c r="V235" s="19">
        <v>1440</v>
      </c>
      <c r="W235" s="19">
        <v>1331.5</v>
      </c>
      <c r="X235" s="21">
        <v>0.92465277777777777</v>
      </c>
      <c r="Y235" s="19">
        <v>1231.5</v>
      </c>
      <c r="Z235" s="20">
        <v>0.85520833333333335</v>
      </c>
      <c r="AA235" s="30">
        <v>8.5700000000000068E-2</v>
      </c>
      <c r="AB235" s="27">
        <v>7.0000000000000007E-2</v>
      </c>
      <c r="AC235" s="27">
        <v>9.5000000000000001E-2</v>
      </c>
      <c r="AD235" s="11">
        <v>7.8576432594817877E-2</v>
      </c>
    </row>
    <row r="236" spans="1:30" x14ac:dyDescent="0.25">
      <c r="A236" s="13">
        <v>43795</v>
      </c>
      <c r="B236" s="46" t="s">
        <v>636</v>
      </c>
      <c r="C236" s="13">
        <v>43796</v>
      </c>
      <c r="D236" s="15" t="s">
        <v>385</v>
      </c>
      <c r="E236" s="15">
        <v>742</v>
      </c>
      <c r="F236" s="15">
        <v>720</v>
      </c>
      <c r="G236" s="13">
        <v>44538</v>
      </c>
      <c r="H236" s="17">
        <v>400</v>
      </c>
      <c r="I236" s="19">
        <v>638.20000000000005</v>
      </c>
      <c r="J236" s="20">
        <v>1.5954999999999999</v>
      </c>
      <c r="K236" s="19">
        <v>483.2</v>
      </c>
      <c r="L236" s="20">
        <v>1.208</v>
      </c>
      <c r="M236" s="21">
        <v>0</v>
      </c>
      <c r="N236" s="19">
        <v>0</v>
      </c>
      <c r="O236" s="23">
        <v>80</v>
      </c>
      <c r="P236" s="24">
        <v>50</v>
      </c>
      <c r="Q236" s="25">
        <v>0.625</v>
      </c>
      <c r="R236" s="24">
        <v>50</v>
      </c>
      <c r="S236" s="25">
        <v>0.625</v>
      </c>
      <c r="T236" s="26">
        <v>0</v>
      </c>
      <c r="U236" s="24">
        <v>0</v>
      </c>
      <c r="V236" s="19">
        <v>480</v>
      </c>
      <c r="W236" s="19">
        <v>688.2</v>
      </c>
      <c r="X236" s="21">
        <v>1.4337500000000001</v>
      </c>
      <c r="Y236" s="19">
        <v>533.20000000000005</v>
      </c>
      <c r="Z236" s="20">
        <v>1.1108333333333333</v>
      </c>
      <c r="AA236" s="30">
        <v>0.11139999999999997</v>
      </c>
      <c r="AB236" s="27">
        <v>0.1</v>
      </c>
      <c r="AC236" s="27">
        <v>0.1198</v>
      </c>
      <c r="AD236" s="11">
        <v>0.11170620495142589</v>
      </c>
    </row>
    <row r="237" spans="1:30" x14ac:dyDescent="0.25">
      <c r="A237" s="13">
        <v>43796</v>
      </c>
      <c r="B237" s="46" t="s">
        <v>636</v>
      </c>
      <c r="C237" s="13">
        <v>43796</v>
      </c>
      <c r="D237" s="15" t="s">
        <v>569</v>
      </c>
      <c r="E237" s="15">
        <v>86</v>
      </c>
      <c r="F237" s="15">
        <v>90</v>
      </c>
      <c r="G237" s="13">
        <v>43882</v>
      </c>
      <c r="H237" s="17">
        <v>1200</v>
      </c>
      <c r="I237" s="19">
        <v>369.71000000000009</v>
      </c>
      <c r="J237" s="20">
        <v>0.30809166666666671</v>
      </c>
      <c r="K237" s="19">
        <v>366.71000000000009</v>
      </c>
      <c r="L237" s="20">
        <v>0.30559166666666676</v>
      </c>
      <c r="M237" s="21">
        <v>0</v>
      </c>
      <c r="N237" s="19">
        <v>0</v>
      </c>
      <c r="O237" s="23">
        <v>240</v>
      </c>
      <c r="P237" s="24">
        <v>105</v>
      </c>
      <c r="Q237" s="25">
        <v>0.4375</v>
      </c>
      <c r="R237" s="24">
        <v>73.341999999999999</v>
      </c>
      <c r="S237" s="25">
        <v>0.30559166666666665</v>
      </c>
      <c r="T237" s="26">
        <v>0.69850000000000001</v>
      </c>
      <c r="U237" s="24">
        <v>0</v>
      </c>
      <c r="V237" s="19">
        <v>1440</v>
      </c>
      <c r="W237" s="19">
        <v>474.71000000000009</v>
      </c>
      <c r="X237" s="21">
        <v>0.32965972222222228</v>
      </c>
      <c r="Y237" s="19">
        <v>440.05200000000008</v>
      </c>
      <c r="Z237" s="20">
        <v>0.30559166666666671</v>
      </c>
      <c r="AA237" s="30">
        <v>9.200000000000004E-2</v>
      </c>
      <c r="AB237" s="27">
        <v>0.06</v>
      </c>
      <c r="AC237" s="27">
        <v>9.8000000000000004E-2</v>
      </c>
      <c r="AD237" s="11">
        <v>8.3978764436991135E-2</v>
      </c>
    </row>
    <row r="238" spans="1:30" x14ac:dyDescent="0.25">
      <c r="A238" s="13">
        <v>43797</v>
      </c>
      <c r="B238" s="46" t="s">
        <v>636</v>
      </c>
      <c r="C238" s="13">
        <v>43798</v>
      </c>
      <c r="D238" s="15" t="s">
        <v>570</v>
      </c>
      <c r="E238" s="15">
        <v>343</v>
      </c>
      <c r="F238" s="15">
        <v>360</v>
      </c>
      <c r="G238" s="13">
        <v>44141</v>
      </c>
      <c r="H238" s="17">
        <v>1000</v>
      </c>
      <c r="I238" s="19">
        <v>142.01999999999998</v>
      </c>
      <c r="J238" s="20">
        <v>0.14202000000000001</v>
      </c>
      <c r="K238" s="19">
        <v>0</v>
      </c>
      <c r="L238" s="20">
        <v>0</v>
      </c>
      <c r="M238" s="21">
        <v>0</v>
      </c>
      <c r="N238" s="19">
        <v>0</v>
      </c>
      <c r="O238" s="23">
        <v>200</v>
      </c>
      <c r="P238" s="24">
        <v>0</v>
      </c>
      <c r="Q238" s="25">
        <v>0</v>
      </c>
      <c r="R238" s="24">
        <v>0</v>
      </c>
      <c r="S238" s="25">
        <v>0</v>
      </c>
      <c r="T238" s="26">
        <v>0</v>
      </c>
      <c r="U238" s="24">
        <v>0</v>
      </c>
      <c r="V238" s="19">
        <v>1200</v>
      </c>
      <c r="W238" s="19">
        <v>142.01999999999998</v>
      </c>
      <c r="X238" s="21">
        <v>0.11834999999999998</v>
      </c>
      <c r="Y238" s="19">
        <v>0</v>
      </c>
      <c r="Z238" s="20">
        <v>0</v>
      </c>
      <c r="AA238" s="30">
        <v>0</v>
      </c>
      <c r="AB238" s="27">
        <v>9.6999999999999989E-2</v>
      </c>
      <c r="AC238" s="27">
        <v>0.11119999999999999</v>
      </c>
      <c r="AD238" s="11">
        <v>0.10995592170116886</v>
      </c>
    </row>
    <row r="239" spans="1:30" x14ac:dyDescent="0.25">
      <c r="A239" s="13">
        <v>43798</v>
      </c>
      <c r="B239" s="46" t="s">
        <v>636</v>
      </c>
      <c r="C239" s="13">
        <v>43798</v>
      </c>
      <c r="D239" s="15" t="s">
        <v>571</v>
      </c>
      <c r="E239" s="15">
        <v>189</v>
      </c>
      <c r="F239" s="15">
        <v>180</v>
      </c>
      <c r="G239" s="13">
        <v>43987</v>
      </c>
      <c r="H239" s="17">
        <v>800</v>
      </c>
      <c r="I239" s="19">
        <v>132.60999999999999</v>
      </c>
      <c r="J239" s="20">
        <v>0.16576249999999995</v>
      </c>
      <c r="K239" s="19">
        <v>0</v>
      </c>
      <c r="L239" s="20">
        <v>0</v>
      </c>
      <c r="M239" s="21">
        <v>0</v>
      </c>
      <c r="N239" s="19">
        <v>0</v>
      </c>
      <c r="O239" s="23">
        <v>160</v>
      </c>
      <c r="P239" s="24">
        <v>51.54</v>
      </c>
      <c r="Q239" s="25">
        <v>0.32212499999999999</v>
      </c>
      <c r="R239" s="24">
        <v>0</v>
      </c>
      <c r="S239" s="25">
        <v>0</v>
      </c>
      <c r="T239" s="26">
        <v>0</v>
      </c>
      <c r="U239" s="24">
        <v>0</v>
      </c>
      <c r="V239" s="19">
        <v>960</v>
      </c>
      <c r="W239" s="19">
        <v>184.14999999999998</v>
      </c>
      <c r="X239" s="21">
        <v>0.19182291666666665</v>
      </c>
      <c r="Y239" s="19">
        <v>0</v>
      </c>
      <c r="Z239" s="20">
        <v>0</v>
      </c>
      <c r="AA239" s="30">
        <v>0</v>
      </c>
      <c r="AB239" s="27">
        <v>7.0000000000000007E-2</v>
      </c>
      <c r="AC239" s="27">
        <v>0.105</v>
      </c>
      <c r="AD239" s="11">
        <v>8.9150501470477345E-2</v>
      </c>
    </row>
    <row r="240" spans="1:30" x14ac:dyDescent="0.25">
      <c r="A240" s="13">
        <v>43801</v>
      </c>
      <c r="B240" s="46" t="s">
        <v>636</v>
      </c>
      <c r="C240" s="13">
        <v>43801</v>
      </c>
      <c r="D240" s="15" t="s">
        <v>572</v>
      </c>
      <c r="E240" s="15">
        <v>28</v>
      </c>
      <c r="F240" s="15">
        <v>30</v>
      </c>
      <c r="G240" s="13">
        <v>43829</v>
      </c>
      <c r="H240" s="17">
        <v>800</v>
      </c>
      <c r="I240" s="19">
        <v>52.74</v>
      </c>
      <c r="J240" s="20">
        <v>6.5925000000000011E-2</v>
      </c>
      <c r="K240" s="19">
        <v>0</v>
      </c>
      <c r="L240" s="20">
        <v>0</v>
      </c>
      <c r="M240" s="21">
        <v>0</v>
      </c>
      <c r="N240" s="19">
        <v>0</v>
      </c>
      <c r="O240" s="23">
        <v>160</v>
      </c>
      <c r="P240" s="24">
        <v>3</v>
      </c>
      <c r="Q240" s="25">
        <v>1.8749999999999999E-2</v>
      </c>
      <c r="R240" s="24">
        <v>0</v>
      </c>
      <c r="S240" s="25">
        <v>0</v>
      </c>
      <c r="T240" s="26">
        <v>0</v>
      </c>
      <c r="U240" s="24">
        <v>0</v>
      </c>
      <c r="V240" s="19">
        <v>960</v>
      </c>
      <c r="W240" s="19">
        <v>55.74</v>
      </c>
      <c r="X240" s="21">
        <v>5.8062500000000003E-2</v>
      </c>
      <c r="Y240" s="19">
        <v>0</v>
      </c>
      <c r="Z240" s="20">
        <v>0</v>
      </c>
      <c r="AA240" s="30">
        <v>0</v>
      </c>
      <c r="AB240" s="27">
        <v>7.4999999999999997E-2</v>
      </c>
      <c r="AC240" s="27">
        <v>0.08</v>
      </c>
      <c r="AD240" s="11">
        <v>7.6957527493363667E-2</v>
      </c>
    </row>
    <row r="241" spans="1:30" x14ac:dyDescent="0.25">
      <c r="A241" s="13">
        <v>43803</v>
      </c>
      <c r="B241" s="46" t="s">
        <v>636</v>
      </c>
      <c r="C241" s="13">
        <v>43803</v>
      </c>
      <c r="D241" s="15" t="s">
        <v>573</v>
      </c>
      <c r="E241" s="15">
        <v>98</v>
      </c>
      <c r="F241" s="15">
        <v>90</v>
      </c>
      <c r="G241" s="13">
        <v>43901</v>
      </c>
      <c r="H241" s="17">
        <v>400</v>
      </c>
      <c r="I241" s="19">
        <v>406.3</v>
      </c>
      <c r="J241" s="20">
        <v>1.0157499999999999</v>
      </c>
      <c r="K241" s="19">
        <v>401.9</v>
      </c>
      <c r="L241" s="20">
        <v>1.00475</v>
      </c>
      <c r="M241" s="21">
        <v>0</v>
      </c>
      <c r="N241" s="19">
        <v>0</v>
      </c>
      <c r="O241" s="23">
        <v>80</v>
      </c>
      <c r="P241" s="24">
        <v>3</v>
      </c>
      <c r="Q241" s="25">
        <v>3.7499999999999999E-2</v>
      </c>
      <c r="R241" s="24">
        <v>3</v>
      </c>
      <c r="S241" s="25">
        <v>3.7499999999999999E-2</v>
      </c>
      <c r="T241" s="26">
        <v>0</v>
      </c>
      <c r="U241" s="24">
        <v>0</v>
      </c>
      <c r="V241" s="19">
        <v>480</v>
      </c>
      <c r="W241" s="19">
        <v>409.3</v>
      </c>
      <c r="X241" s="21">
        <v>0.8527083333333334</v>
      </c>
      <c r="Y241" s="19">
        <v>404.9</v>
      </c>
      <c r="Z241" s="20">
        <v>0.84354166666666663</v>
      </c>
      <c r="AA241" s="30">
        <v>8.8000000000000009E-2</v>
      </c>
      <c r="AB241" s="27">
        <v>7.0000000000000007E-2</v>
      </c>
      <c r="AC241" s="27">
        <v>0.10300000000000001</v>
      </c>
      <c r="AD241" s="11">
        <v>8.5669812946098919E-2</v>
      </c>
    </row>
    <row r="242" spans="1:30" x14ac:dyDescent="0.25">
      <c r="A242" s="13">
        <v>43804</v>
      </c>
      <c r="B242" s="46" t="s">
        <v>636</v>
      </c>
      <c r="C242" s="13">
        <v>43805</v>
      </c>
      <c r="D242" s="15" t="s">
        <v>574</v>
      </c>
      <c r="E242" s="15">
        <v>378</v>
      </c>
      <c r="F242" s="15">
        <v>360</v>
      </c>
      <c r="G242" s="13">
        <v>44183</v>
      </c>
      <c r="H242" s="17">
        <v>400</v>
      </c>
      <c r="I242" s="19">
        <v>60.22</v>
      </c>
      <c r="J242" s="20">
        <v>0.15055000000000002</v>
      </c>
      <c r="K242" s="19">
        <v>0</v>
      </c>
      <c r="L242" s="20">
        <v>0</v>
      </c>
      <c r="M242" s="21">
        <v>0</v>
      </c>
      <c r="N242" s="19">
        <v>0</v>
      </c>
      <c r="O242" s="23">
        <v>80</v>
      </c>
      <c r="P242" s="24">
        <v>0</v>
      </c>
      <c r="Q242" s="25">
        <v>0</v>
      </c>
      <c r="R242" s="24">
        <v>0</v>
      </c>
      <c r="S242" s="25">
        <v>0</v>
      </c>
      <c r="T242" s="26">
        <v>0</v>
      </c>
      <c r="U242" s="24">
        <v>0</v>
      </c>
      <c r="V242" s="19">
        <v>480</v>
      </c>
      <c r="W242" s="19">
        <v>60.22</v>
      </c>
      <c r="X242" s="21">
        <v>0.12545833333333334</v>
      </c>
      <c r="Y242" s="19">
        <v>0</v>
      </c>
      <c r="Z242" s="20">
        <v>0</v>
      </c>
      <c r="AA242" s="30">
        <v>0</v>
      </c>
      <c r="AB242" s="27">
        <v>8.5000000000000006E-2</v>
      </c>
      <c r="AC242" s="27">
        <v>0.107</v>
      </c>
      <c r="AD242" s="11">
        <v>0.1009028561939555</v>
      </c>
    </row>
    <row r="243" spans="1:30" x14ac:dyDescent="0.25">
      <c r="A243" s="13">
        <v>43805</v>
      </c>
      <c r="B243" s="46" t="s">
        <v>636</v>
      </c>
      <c r="C243" s="13">
        <v>43805</v>
      </c>
      <c r="D243" s="15" t="s">
        <v>575</v>
      </c>
      <c r="E243" s="15">
        <v>182</v>
      </c>
      <c r="F243" s="15">
        <v>180</v>
      </c>
      <c r="G243" s="13">
        <v>43987</v>
      </c>
      <c r="H243" s="17">
        <v>400</v>
      </c>
      <c r="I243" s="19">
        <v>112.21000000000001</v>
      </c>
      <c r="J243" s="20">
        <v>0.28052500000000002</v>
      </c>
      <c r="K243" s="19">
        <v>0</v>
      </c>
      <c r="L243" s="20">
        <v>0</v>
      </c>
      <c r="M243" s="21">
        <v>0</v>
      </c>
      <c r="N243" s="19">
        <v>0</v>
      </c>
      <c r="O243" s="23">
        <v>80</v>
      </c>
      <c r="P243" s="24">
        <v>1.02</v>
      </c>
      <c r="Q243" s="25">
        <v>1.2750000000000001E-2</v>
      </c>
      <c r="R243" s="24">
        <v>0</v>
      </c>
      <c r="S243" s="25">
        <v>0</v>
      </c>
      <c r="T243" s="26">
        <v>0</v>
      </c>
      <c r="U243" s="24">
        <v>0</v>
      </c>
      <c r="V243" s="19">
        <v>480</v>
      </c>
      <c r="W243" s="19">
        <v>113.23</v>
      </c>
      <c r="X243" s="21">
        <v>0.23589583333333333</v>
      </c>
      <c r="Y243" s="19">
        <v>0</v>
      </c>
      <c r="Z243" s="20">
        <v>0</v>
      </c>
      <c r="AA243" s="30">
        <v>0</v>
      </c>
      <c r="AB243" s="27">
        <v>7.0000000000000007E-2</v>
      </c>
      <c r="AC243" s="27">
        <v>0.105</v>
      </c>
      <c r="AD243" s="11">
        <v>8.828956420996345E-2</v>
      </c>
    </row>
    <row r="244" spans="1:30" x14ac:dyDescent="0.25">
      <c r="A244" s="13">
        <v>43815</v>
      </c>
      <c r="B244" s="46" t="s">
        <v>636</v>
      </c>
      <c r="C244" s="13">
        <v>43815</v>
      </c>
      <c r="D244" s="15" t="s">
        <v>576</v>
      </c>
      <c r="E244" s="15">
        <v>28</v>
      </c>
      <c r="F244" s="15">
        <v>30</v>
      </c>
      <c r="G244" s="13">
        <v>43843</v>
      </c>
      <c r="H244" s="17">
        <v>800</v>
      </c>
      <c r="I244" s="19">
        <v>1665.89</v>
      </c>
      <c r="J244" s="20">
        <v>2.0823624999999999</v>
      </c>
      <c r="K244" s="19">
        <v>909.99</v>
      </c>
      <c r="L244" s="20">
        <v>1.1374875</v>
      </c>
      <c r="M244" s="21">
        <v>0</v>
      </c>
      <c r="N244" s="19">
        <v>0</v>
      </c>
      <c r="O244" s="23">
        <v>160</v>
      </c>
      <c r="P244" s="24">
        <v>190</v>
      </c>
      <c r="Q244" s="25">
        <v>1.1875</v>
      </c>
      <c r="R244" s="24">
        <v>160</v>
      </c>
      <c r="S244" s="25">
        <v>1</v>
      </c>
      <c r="T244" s="26">
        <v>0.84210666666666667</v>
      </c>
      <c r="U244" s="24">
        <v>0</v>
      </c>
      <c r="V244" s="19">
        <v>960</v>
      </c>
      <c r="W244" s="19">
        <v>1855.89</v>
      </c>
      <c r="X244" s="21">
        <v>1.9332187500000002</v>
      </c>
      <c r="Y244" s="19">
        <v>1069.99</v>
      </c>
      <c r="Z244" s="20">
        <v>1.1145729166666667</v>
      </c>
      <c r="AA244" s="30">
        <v>8.5999999999999965E-2</v>
      </c>
      <c r="AB244" s="27">
        <v>0.06</v>
      </c>
      <c r="AC244" s="27">
        <v>9.4499999999999987E-2</v>
      </c>
      <c r="AD244" s="11">
        <v>8.100652504066895E-2</v>
      </c>
    </row>
    <row r="245" spans="1:30" x14ac:dyDescent="0.25">
      <c r="A245" s="13">
        <v>43817</v>
      </c>
      <c r="B245" s="46" t="s">
        <v>636</v>
      </c>
      <c r="C245" s="13">
        <v>43817</v>
      </c>
      <c r="D245" s="15" t="s">
        <v>577</v>
      </c>
      <c r="E245" s="15">
        <v>84</v>
      </c>
      <c r="F245" s="15">
        <v>90</v>
      </c>
      <c r="G245" s="13">
        <v>43901</v>
      </c>
      <c r="H245" s="17">
        <v>400</v>
      </c>
      <c r="I245" s="19">
        <v>868.83999999999992</v>
      </c>
      <c r="J245" s="20">
        <v>2.1720999999999999</v>
      </c>
      <c r="K245" s="19">
        <v>705.04</v>
      </c>
      <c r="L245" s="20">
        <v>1.7625999999999999</v>
      </c>
      <c r="M245" s="21">
        <v>0</v>
      </c>
      <c r="N245" s="19">
        <v>0</v>
      </c>
      <c r="O245" s="23">
        <v>80</v>
      </c>
      <c r="P245" s="24">
        <v>0</v>
      </c>
      <c r="Q245" s="25">
        <v>0</v>
      </c>
      <c r="R245" s="24">
        <v>0</v>
      </c>
      <c r="S245" s="25">
        <v>0</v>
      </c>
      <c r="T245" s="26">
        <v>0</v>
      </c>
      <c r="U245" s="24">
        <v>0</v>
      </c>
      <c r="V245" s="19">
        <v>480</v>
      </c>
      <c r="W245" s="19">
        <v>868.83999999999992</v>
      </c>
      <c r="X245" s="21">
        <v>1.8100833333333333</v>
      </c>
      <c r="Y245" s="19">
        <v>705.04</v>
      </c>
      <c r="Z245" s="20">
        <v>1.4688333333333332</v>
      </c>
      <c r="AA245" s="30">
        <v>8.8000000000000023E-2</v>
      </c>
      <c r="AB245" s="27">
        <v>7.0000000000000007E-2</v>
      </c>
      <c r="AC245" s="27">
        <v>0.1</v>
      </c>
      <c r="AD245" s="11">
        <v>8.2035449564937163E-2</v>
      </c>
    </row>
    <row r="246" spans="1:30" x14ac:dyDescent="0.25">
      <c r="A246" s="13">
        <v>43818</v>
      </c>
      <c r="B246" s="46" t="s">
        <v>636</v>
      </c>
      <c r="C246" s="13">
        <v>43819</v>
      </c>
      <c r="D246" s="15" t="s">
        <v>578</v>
      </c>
      <c r="E246" s="15">
        <v>364</v>
      </c>
      <c r="F246" s="15">
        <v>360</v>
      </c>
      <c r="G246" s="13">
        <v>44183</v>
      </c>
      <c r="H246" s="17">
        <v>800</v>
      </c>
      <c r="I246" s="19">
        <v>1206.2400000000002</v>
      </c>
      <c r="J246" s="20">
        <v>1.5078000000000003</v>
      </c>
      <c r="K246" s="19">
        <v>906.24</v>
      </c>
      <c r="L246" s="20">
        <v>1.1328</v>
      </c>
      <c r="M246" s="21">
        <v>0</v>
      </c>
      <c r="N246" s="19">
        <v>0</v>
      </c>
      <c r="O246" s="23">
        <v>160</v>
      </c>
      <c r="P246" s="24">
        <v>0.27</v>
      </c>
      <c r="Q246" s="25">
        <v>1.6875000000000002E-3</v>
      </c>
      <c r="R246" s="24">
        <v>0.27</v>
      </c>
      <c r="S246" s="25">
        <v>1.6875000000000002E-3</v>
      </c>
      <c r="T246" s="26">
        <v>0</v>
      </c>
      <c r="U246" s="24">
        <v>0</v>
      </c>
      <c r="V246" s="19">
        <v>960</v>
      </c>
      <c r="W246" s="19">
        <v>1206.5100000000002</v>
      </c>
      <c r="X246" s="21">
        <v>1.2567812500000002</v>
      </c>
      <c r="Y246" s="19">
        <v>906.51</v>
      </c>
      <c r="Z246" s="20">
        <v>0.94428124999999996</v>
      </c>
      <c r="AA246" s="30">
        <v>0.10890000000000004</v>
      </c>
      <c r="AB246" s="27">
        <v>8.5000000000000006E-2</v>
      </c>
      <c r="AC246" s="27">
        <v>0.1125</v>
      </c>
      <c r="AD246" s="11">
        <v>0.107016219823584</v>
      </c>
    </row>
    <row r="247" spans="1:30" x14ac:dyDescent="0.25">
      <c r="A247" s="13">
        <v>43819</v>
      </c>
      <c r="B247" s="46" t="s">
        <v>636</v>
      </c>
      <c r="C247" s="13">
        <v>43819</v>
      </c>
      <c r="D247" s="15" t="s">
        <v>579</v>
      </c>
      <c r="E247" s="15">
        <v>168</v>
      </c>
      <c r="F247" s="15">
        <v>180</v>
      </c>
      <c r="G247" s="13">
        <v>43987</v>
      </c>
      <c r="H247" s="17">
        <v>1300</v>
      </c>
      <c r="I247" s="19">
        <v>1932.0300000000002</v>
      </c>
      <c r="J247" s="20">
        <v>1.4861769230769233</v>
      </c>
      <c r="K247" s="19">
        <v>1545.7300000000005</v>
      </c>
      <c r="L247" s="20">
        <v>1.1890230769230772</v>
      </c>
      <c r="M247" s="21">
        <v>0</v>
      </c>
      <c r="N247" s="19">
        <v>0</v>
      </c>
      <c r="O247" s="23">
        <v>260</v>
      </c>
      <c r="P247" s="24">
        <v>440</v>
      </c>
      <c r="Q247" s="25">
        <v>1.6923076923076923</v>
      </c>
      <c r="R247" s="24">
        <v>260</v>
      </c>
      <c r="S247" s="25">
        <v>1</v>
      </c>
      <c r="T247" s="26">
        <v>0.5909091666666666</v>
      </c>
      <c r="U247" s="24">
        <v>0</v>
      </c>
      <c r="V247" s="19">
        <v>1560</v>
      </c>
      <c r="W247" s="19">
        <v>2372.0300000000002</v>
      </c>
      <c r="X247" s="21">
        <v>1.5205320512820515</v>
      </c>
      <c r="Y247" s="19">
        <v>1805.7300000000005</v>
      </c>
      <c r="Z247" s="20">
        <v>1.157519230769231</v>
      </c>
      <c r="AA247" s="30">
        <v>9.9400000000000086E-2</v>
      </c>
      <c r="AB247" s="27">
        <v>7.9000000000000001E-2</v>
      </c>
      <c r="AC247" s="27">
        <v>0.1041</v>
      </c>
      <c r="AD247" s="11">
        <v>9.314912760153829E-2</v>
      </c>
    </row>
    <row r="248" spans="1:30" x14ac:dyDescent="0.25">
      <c r="A248" s="13">
        <v>43822</v>
      </c>
      <c r="B248" s="46" t="s">
        <v>636</v>
      </c>
      <c r="C248" s="13">
        <v>43822</v>
      </c>
      <c r="D248" s="15" t="s">
        <v>580</v>
      </c>
      <c r="E248" s="15">
        <v>28</v>
      </c>
      <c r="F248" s="15">
        <v>30</v>
      </c>
      <c r="G248" s="13">
        <v>43850</v>
      </c>
      <c r="H248" s="17">
        <v>1700</v>
      </c>
      <c r="I248" s="19">
        <v>1972.3400000000001</v>
      </c>
      <c r="J248" s="20">
        <v>1.1601999999999999</v>
      </c>
      <c r="K248" s="19">
        <v>1972.3400000000001</v>
      </c>
      <c r="L248" s="20">
        <v>1.1602000000000001</v>
      </c>
      <c r="M248" s="21">
        <v>0</v>
      </c>
      <c r="N248" s="19">
        <v>0</v>
      </c>
      <c r="O248" s="23">
        <v>340</v>
      </c>
      <c r="P248" s="24">
        <v>17.12</v>
      </c>
      <c r="Q248" s="25">
        <v>5.0352941176470593E-2</v>
      </c>
      <c r="R248" s="24">
        <v>17.12</v>
      </c>
      <c r="S248" s="25">
        <v>5.0352941176470593E-2</v>
      </c>
      <c r="T248" s="26">
        <v>0</v>
      </c>
      <c r="U248" s="24">
        <v>0</v>
      </c>
      <c r="V248" s="19">
        <v>2040</v>
      </c>
      <c r="W248" s="19">
        <v>1989.46</v>
      </c>
      <c r="X248" s="21">
        <v>0.9752254901960784</v>
      </c>
      <c r="Y248" s="19">
        <v>1989.46</v>
      </c>
      <c r="Z248" s="20">
        <v>0.9752254901960784</v>
      </c>
      <c r="AA248" s="30">
        <v>8.5899999999999949E-2</v>
      </c>
      <c r="AB248" s="27">
        <v>6.9500000000000006E-2</v>
      </c>
      <c r="AC248" s="27">
        <v>8.5900000000000004E-2</v>
      </c>
      <c r="AD248" s="11">
        <v>8.0130162649441741E-2</v>
      </c>
    </row>
    <row r="249" spans="1:30" x14ac:dyDescent="0.25">
      <c r="A249" s="13">
        <v>43822</v>
      </c>
      <c r="B249" s="46" t="s">
        <v>637</v>
      </c>
      <c r="C249" s="13">
        <v>43822</v>
      </c>
      <c r="D249" s="15" t="s">
        <v>581</v>
      </c>
      <c r="E249" s="15">
        <v>88</v>
      </c>
      <c r="F249" s="15">
        <v>90</v>
      </c>
      <c r="G249" s="13">
        <v>43910</v>
      </c>
      <c r="H249" s="17">
        <v>1300</v>
      </c>
      <c r="I249" s="19">
        <v>533.58999999999992</v>
      </c>
      <c r="J249" s="20">
        <v>0.41045384615384617</v>
      </c>
      <c r="K249" s="19">
        <v>505.84000000000009</v>
      </c>
      <c r="L249" s="20">
        <v>0.38910769230769238</v>
      </c>
      <c r="M249" s="21">
        <v>0</v>
      </c>
      <c r="N249" s="19">
        <v>0</v>
      </c>
      <c r="O249" s="23">
        <v>260</v>
      </c>
      <c r="P249" s="24">
        <v>0.16</v>
      </c>
      <c r="Q249" s="25">
        <v>6.1538461538461541E-4</v>
      </c>
      <c r="R249" s="24">
        <v>0.16</v>
      </c>
      <c r="S249" s="25">
        <v>6.1538461538461541E-4</v>
      </c>
      <c r="T249" s="26">
        <v>0</v>
      </c>
      <c r="U249" s="24">
        <v>0</v>
      </c>
      <c r="V249" s="19">
        <v>1560</v>
      </c>
      <c r="W249" s="19">
        <v>533.74999999999989</v>
      </c>
      <c r="X249" s="21">
        <v>0.34214743589743585</v>
      </c>
      <c r="Y249" s="19">
        <v>506.00000000000011</v>
      </c>
      <c r="Z249" s="20">
        <v>0.32435897435897443</v>
      </c>
      <c r="AA249" s="30">
        <v>8.6000000000000007E-2</v>
      </c>
      <c r="AB249" s="27">
        <v>7.8E-2</v>
      </c>
      <c r="AC249" s="27">
        <v>9.1499999999999998E-2</v>
      </c>
      <c r="AD249" s="11">
        <v>8.4391030566539876E-2</v>
      </c>
    </row>
    <row r="250" spans="1:30" x14ac:dyDescent="0.25">
      <c r="A250" s="13">
        <v>43825</v>
      </c>
      <c r="B250" s="46" t="s">
        <v>636</v>
      </c>
      <c r="C250" s="13">
        <v>43826</v>
      </c>
      <c r="D250" s="15" t="s">
        <v>386</v>
      </c>
      <c r="E250" s="15">
        <v>712</v>
      </c>
      <c r="F250" s="15">
        <v>720</v>
      </c>
      <c r="G250" s="13">
        <v>44538</v>
      </c>
      <c r="H250" s="17">
        <v>400</v>
      </c>
      <c r="I250" s="19">
        <v>300</v>
      </c>
      <c r="J250" s="20">
        <v>0.75</v>
      </c>
      <c r="K250" s="19">
        <v>250</v>
      </c>
      <c r="L250" s="20">
        <v>0.625</v>
      </c>
      <c r="M250" s="21">
        <v>0</v>
      </c>
      <c r="N250" s="19">
        <v>0</v>
      </c>
      <c r="O250" s="23">
        <v>80</v>
      </c>
      <c r="P250" s="24">
        <v>0</v>
      </c>
      <c r="Q250" s="25">
        <v>0</v>
      </c>
      <c r="R250" s="24">
        <v>0</v>
      </c>
      <c r="S250" s="25">
        <v>0</v>
      </c>
      <c r="T250" s="26">
        <v>0</v>
      </c>
      <c r="U250" s="24">
        <v>0</v>
      </c>
      <c r="V250" s="19">
        <v>480</v>
      </c>
      <c r="W250" s="19">
        <v>300</v>
      </c>
      <c r="X250" s="21">
        <v>0.625</v>
      </c>
      <c r="Y250" s="19">
        <v>250</v>
      </c>
      <c r="Z250" s="20">
        <v>0.52083333333333337</v>
      </c>
      <c r="AA250" s="30">
        <v>0.1115</v>
      </c>
      <c r="AB250" s="27">
        <v>0.109</v>
      </c>
      <c r="AC250" s="27">
        <v>0.114</v>
      </c>
      <c r="AD250" s="11">
        <v>0.110625</v>
      </c>
    </row>
    <row r="251" spans="1:30" x14ac:dyDescent="0.25">
      <c r="A251" s="13">
        <v>43825</v>
      </c>
      <c r="B251" s="46" t="s">
        <v>637</v>
      </c>
      <c r="C251" s="13">
        <v>43826</v>
      </c>
      <c r="D251" s="15" t="s">
        <v>582</v>
      </c>
      <c r="E251" s="15">
        <v>357</v>
      </c>
      <c r="F251" s="15">
        <v>360</v>
      </c>
      <c r="G251" s="13">
        <v>44183</v>
      </c>
      <c r="H251" s="17">
        <v>1300</v>
      </c>
      <c r="I251" s="19">
        <v>609.79999999999995</v>
      </c>
      <c r="J251" s="20">
        <v>0.46907692307692306</v>
      </c>
      <c r="K251" s="19">
        <v>559.79999999999995</v>
      </c>
      <c r="L251" s="20">
        <v>0.43061538461538457</v>
      </c>
      <c r="M251" s="21">
        <v>0</v>
      </c>
      <c r="N251" s="19">
        <v>0</v>
      </c>
      <c r="O251" s="23">
        <v>260</v>
      </c>
      <c r="P251" s="24">
        <v>0</v>
      </c>
      <c r="Q251" s="25">
        <v>0</v>
      </c>
      <c r="R251" s="24">
        <v>0</v>
      </c>
      <c r="S251" s="25">
        <v>0</v>
      </c>
      <c r="T251" s="26">
        <v>0</v>
      </c>
      <c r="U251" s="24">
        <v>0</v>
      </c>
      <c r="V251" s="19">
        <v>1560</v>
      </c>
      <c r="W251" s="19">
        <v>609.79999999999995</v>
      </c>
      <c r="X251" s="21">
        <v>0.39089743589743586</v>
      </c>
      <c r="Y251" s="19">
        <v>559.79999999999995</v>
      </c>
      <c r="Z251" s="20">
        <v>0.35884615384615381</v>
      </c>
      <c r="AA251" s="30">
        <v>0.10919999999999998</v>
      </c>
      <c r="AB251" s="27">
        <v>0.08</v>
      </c>
      <c r="AC251" s="27">
        <v>0.10949999999999999</v>
      </c>
      <c r="AD251" s="11">
        <v>0.10794612987864874</v>
      </c>
    </row>
    <row r="252" spans="1:30" x14ac:dyDescent="0.25">
      <c r="A252" s="13">
        <v>43826</v>
      </c>
      <c r="B252" s="46" t="s">
        <v>636</v>
      </c>
      <c r="C252" s="13">
        <v>43826</v>
      </c>
      <c r="D252" s="15" t="s">
        <v>583</v>
      </c>
      <c r="E252" s="15">
        <v>182</v>
      </c>
      <c r="F252" s="15">
        <v>180</v>
      </c>
      <c r="G252" s="13">
        <v>44008</v>
      </c>
      <c r="H252" s="17">
        <v>800</v>
      </c>
      <c r="I252" s="19">
        <v>682.80000000000007</v>
      </c>
      <c r="J252" s="20">
        <v>0.85349999999999993</v>
      </c>
      <c r="K252" s="19">
        <v>582.20000000000005</v>
      </c>
      <c r="L252" s="20">
        <v>0.72775000000000001</v>
      </c>
      <c r="M252" s="21">
        <v>0</v>
      </c>
      <c r="N252" s="19">
        <v>0</v>
      </c>
      <c r="O252" s="23">
        <v>160</v>
      </c>
      <c r="P252" s="24">
        <v>0</v>
      </c>
      <c r="Q252" s="25">
        <v>0</v>
      </c>
      <c r="R252" s="24">
        <v>0</v>
      </c>
      <c r="S252" s="25">
        <v>0</v>
      </c>
      <c r="T252" s="26">
        <v>0</v>
      </c>
      <c r="U252" s="24">
        <v>0</v>
      </c>
      <c r="V252" s="19">
        <v>960</v>
      </c>
      <c r="W252" s="19">
        <v>682.80000000000007</v>
      </c>
      <c r="X252" s="21">
        <v>0.71125000000000005</v>
      </c>
      <c r="Y252" s="19">
        <v>582.20000000000005</v>
      </c>
      <c r="Z252" s="20">
        <v>0.60645833333333343</v>
      </c>
      <c r="AA252" s="30">
        <v>9.4999999999999987E-2</v>
      </c>
      <c r="AB252" s="27">
        <v>8.5000000000000006E-2</v>
      </c>
      <c r="AC252" s="27">
        <v>0.10400000000000001</v>
      </c>
      <c r="AD252" s="11">
        <v>9.3364264792032789E-2</v>
      </c>
    </row>
    <row r="253" spans="1:30" x14ac:dyDescent="0.25">
      <c r="A253" s="13">
        <v>43829</v>
      </c>
      <c r="B253" s="46" t="s">
        <v>636</v>
      </c>
      <c r="C253" s="13">
        <v>43829</v>
      </c>
      <c r="D253" s="15" t="s">
        <v>584</v>
      </c>
      <c r="E253" s="15">
        <v>28</v>
      </c>
      <c r="F253" s="15">
        <v>30</v>
      </c>
      <c r="G253" s="13">
        <v>43857</v>
      </c>
      <c r="H253" s="17">
        <v>1600</v>
      </c>
      <c r="I253" s="19">
        <v>2191.8199999999997</v>
      </c>
      <c r="J253" s="20">
        <v>1.3698875000000001</v>
      </c>
      <c r="K253" s="19">
        <v>2116.8199999999997</v>
      </c>
      <c r="L253" s="20">
        <v>1.3230124999999999</v>
      </c>
      <c r="M253" s="21">
        <v>0</v>
      </c>
      <c r="N253" s="19">
        <v>0</v>
      </c>
      <c r="O253" s="23">
        <v>320</v>
      </c>
      <c r="P253" s="24">
        <v>10</v>
      </c>
      <c r="Q253" s="25">
        <v>3.125E-2</v>
      </c>
      <c r="R253" s="24">
        <v>10</v>
      </c>
      <c r="S253" s="25">
        <v>3.125E-2</v>
      </c>
      <c r="T253" s="26">
        <v>0</v>
      </c>
      <c r="U253" s="24">
        <v>0</v>
      </c>
      <c r="V253" s="19">
        <v>1920</v>
      </c>
      <c r="W253" s="19">
        <v>2201.8199999999997</v>
      </c>
      <c r="X253" s="21">
        <v>1.1467812499999999</v>
      </c>
      <c r="Y253" s="19">
        <v>2126.8199999999997</v>
      </c>
      <c r="Z253" s="20">
        <v>1.1077187499999999</v>
      </c>
      <c r="AA253" s="30">
        <v>8.5700000000000068E-2</v>
      </c>
      <c r="AB253" s="27">
        <v>7.0000000000000007E-2</v>
      </c>
      <c r="AC253" s="27">
        <v>8.9499999999999996E-2</v>
      </c>
      <c r="AD253" s="11">
        <v>8.3144699382248541E-2</v>
      </c>
    </row>
    <row r="254" spans="1:30" x14ac:dyDescent="0.25">
      <c r="A254" s="13">
        <v>43832</v>
      </c>
      <c r="B254" s="46" t="s">
        <v>636</v>
      </c>
      <c r="C254" s="13">
        <v>43833</v>
      </c>
      <c r="D254" s="15" t="s">
        <v>22</v>
      </c>
      <c r="E254" s="15">
        <v>705</v>
      </c>
      <c r="F254" s="15">
        <v>720</v>
      </c>
      <c r="G254" s="13">
        <v>44538</v>
      </c>
      <c r="H254" s="16">
        <v>800</v>
      </c>
      <c r="I254" s="18">
        <v>720</v>
      </c>
      <c r="J254" s="20">
        <v>0.9</v>
      </c>
      <c r="K254" s="19">
        <v>720</v>
      </c>
      <c r="L254" s="20">
        <v>0.9</v>
      </c>
      <c r="M254" s="21">
        <v>0</v>
      </c>
      <c r="N254" s="22">
        <v>0</v>
      </c>
      <c r="O254" s="23">
        <v>160</v>
      </c>
      <c r="P254" s="24">
        <v>0</v>
      </c>
      <c r="Q254" s="25">
        <v>0</v>
      </c>
      <c r="R254" s="24">
        <v>0</v>
      </c>
      <c r="S254" s="25">
        <v>0</v>
      </c>
      <c r="T254" s="26">
        <v>0</v>
      </c>
      <c r="U254" s="24">
        <v>0</v>
      </c>
      <c r="V254" s="19">
        <v>960</v>
      </c>
      <c r="W254" s="19">
        <v>720</v>
      </c>
      <c r="X254" s="21">
        <v>0.75</v>
      </c>
      <c r="Y254" s="19">
        <v>720</v>
      </c>
      <c r="Z254" s="20">
        <v>0.75</v>
      </c>
      <c r="AA254" s="30">
        <v>0.11240000000000001</v>
      </c>
      <c r="AB254" s="27">
        <v>0.11119999999999999</v>
      </c>
      <c r="AC254" s="27">
        <v>0.1124</v>
      </c>
      <c r="AD254" s="11">
        <v>0.11163055555555555</v>
      </c>
    </row>
    <row r="255" spans="1:30" x14ac:dyDescent="0.25">
      <c r="A255" s="13">
        <v>43832</v>
      </c>
      <c r="B255" s="46" t="s">
        <v>637</v>
      </c>
      <c r="C255" s="13">
        <v>43833</v>
      </c>
      <c r="D255" s="15" t="s">
        <v>23</v>
      </c>
      <c r="E255" s="15">
        <v>350</v>
      </c>
      <c r="F255" s="15">
        <v>360</v>
      </c>
      <c r="G255" s="13">
        <v>44183</v>
      </c>
      <c r="H255" s="16">
        <v>2500</v>
      </c>
      <c r="I255" s="18">
        <v>1800.92</v>
      </c>
      <c r="J255" s="20">
        <v>0.7203679999999999</v>
      </c>
      <c r="K255" s="19">
        <v>1600.92</v>
      </c>
      <c r="L255" s="20">
        <v>0.64036800000000005</v>
      </c>
      <c r="M255" s="21">
        <v>0</v>
      </c>
      <c r="N255" s="22">
        <v>0</v>
      </c>
      <c r="O255" s="23">
        <v>500</v>
      </c>
      <c r="P255" s="24">
        <v>150</v>
      </c>
      <c r="Q255" s="25">
        <v>0.3</v>
      </c>
      <c r="R255" s="24">
        <v>150</v>
      </c>
      <c r="S255" s="25">
        <v>0.3</v>
      </c>
      <c r="T255" s="26">
        <v>0</v>
      </c>
      <c r="U255" s="24">
        <v>0</v>
      </c>
      <c r="V255" s="19">
        <v>3000</v>
      </c>
      <c r="W255" s="19">
        <v>1950.92</v>
      </c>
      <c r="X255" s="21">
        <v>0.6503066666666667</v>
      </c>
      <c r="Y255" s="19">
        <v>1750.92</v>
      </c>
      <c r="Z255" s="20">
        <v>0.58364000000000005</v>
      </c>
      <c r="AA255" s="30">
        <v>0.10990000000000005</v>
      </c>
      <c r="AB255" s="27">
        <v>0.09</v>
      </c>
      <c r="AC255" s="27">
        <v>0.1119</v>
      </c>
      <c r="AD255" s="11">
        <v>0.1087962319259045</v>
      </c>
    </row>
    <row r="256" spans="1:30" x14ac:dyDescent="0.25">
      <c r="A256" s="13">
        <v>43833</v>
      </c>
      <c r="B256" s="46" t="s">
        <v>636</v>
      </c>
      <c r="C256" s="13">
        <v>43833</v>
      </c>
      <c r="D256" s="15" t="s">
        <v>24</v>
      </c>
      <c r="E256" s="15">
        <v>175</v>
      </c>
      <c r="F256" s="15">
        <v>180</v>
      </c>
      <c r="G256" s="13">
        <v>44008</v>
      </c>
      <c r="H256" s="16">
        <v>2500</v>
      </c>
      <c r="I256" s="18">
        <v>1416.23</v>
      </c>
      <c r="J256" s="20">
        <v>0.56649199999999988</v>
      </c>
      <c r="K256" s="19">
        <v>1166.23</v>
      </c>
      <c r="L256" s="20">
        <v>0.46649200000000002</v>
      </c>
      <c r="M256" s="21">
        <v>0</v>
      </c>
      <c r="N256" s="22">
        <v>0</v>
      </c>
      <c r="O256" s="23">
        <v>500</v>
      </c>
      <c r="P256" s="24">
        <v>50.51</v>
      </c>
      <c r="Q256" s="25">
        <v>0.10102</v>
      </c>
      <c r="R256" s="24">
        <v>50.51</v>
      </c>
      <c r="S256" s="25">
        <v>0.10102</v>
      </c>
      <c r="T256" s="26">
        <v>0</v>
      </c>
      <c r="U256" s="24">
        <v>0</v>
      </c>
      <c r="V256" s="19">
        <v>3000</v>
      </c>
      <c r="W256" s="19">
        <v>1466.74</v>
      </c>
      <c r="X256" s="21">
        <v>0.48891333333333331</v>
      </c>
      <c r="Y256" s="19">
        <v>1216.74</v>
      </c>
      <c r="Z256" s="20">
        <v>0.40558</v>
      </c>
      <c r="AA256" s="30">
        <v>9.9400000000000002E-2</v>
      </c>
      <c r="AB256" s="27">
        <v>0.08</v>
      </c>
      <c r="AC256" s="27">
        <v>0.10289999999999999</v>
      </c>
      <c r="AD256" s="11">
        <v>9.7706876707879364E-2</v>
      </c>
    </row>
    <row r="257" spans="1:30" x14ac:dyDescent="0.25">
      <c r="A257" s="13">
        <v>43833</v>
      </c>
      <c r="B257" s="46" t="s">
        <v>637</v>
      </c>
      <c r="C257" s="13">
        <v>43833</v>
      </c>
      <c r="D257" s="15" t="s">
        <v>25</v>
      </c>
      <c r="E257" s="15">
        <v>89</v>
      </c>
      <c r="F257" s="15">
        <v>90</v>
      </c>
      <c r="G257" s="13">
        <v>43922</v>
      </c>
      <c r="H257" s="16">
        <v>2500</v>
      </c>
      <c r="I257" s="18">
        <v>2620.4800000000005</v>
      </c>
      <c r="J257" s="20">
        <v>1.0481920000000002</v>
      </c>
      <c r="K257" s="19">
        <v>1919.9800000000002</v>
      </c>
      <c r="L257" s="20">
        <v>0.76799200000000012</v>
      </c>
      <c r="M257" s="21">
        <v>0</v>
      </c>
      <c r="N257" s="22">
        <v>0</v>
      </c>
      <c r="O257" s="23">
        <v>500</v>
      </c>
      <c r="P257" s="24">
        <v>50.5</v>
      </c>
      <c r="Q257" s="25">
        <v>0.10100000000000001</v>
      </c>
      <c r="R257" s="24">
        <v>50.5</v>
      </c>
      <c r="S257" s="25">
        <v>0.10100000000000001</v>
      </c>
      <c r="T257" s="26">
        <v>0</v>
      </c>
      <c r="U257" s="24">
        <v>0</v>
      </c>
      <c r="V257" s="19">
        <v>3000</v>
      </c>
      <c r="W257" s="19">
        <v>2670.9800000000005</v>
      </c>
      <c r="X257" s="21">
        <v>0.89032666666666682</v>
      </c>
      <c r="Y257" s="19">
        <v>1970.4800000000002</v>
      </c>
      <c r="Z257" s="20">
        <v>0.65682666666666678</v>
      </c>
      <c r="AA257" s="30">
        <v>8.8699999999999904E-2</v>
      </c>
      <c r="AB257" s="27">
        <v>7.4999999999999997E-2</v>
      </c>
      <c r="AC257" s="27">
        <v>9.9000000000000005E-2</v>
      </c>
      <c r="AD257" s="11">
        <v>8.8008723592624225E-2</v>
      </c>
    </row>
    <row r="258" spans="1:30" x14ac:dyDescent="0.25">
      <c r="A258" s="13">
        <v>43837</v>
      </c>
      <c r="B258" s="46" t="s">
        <v>636</v>
      </c>
      <c r="C258" s="13">
        <v>43837</v>
      </c>
      <c r="D258" s="15" t="s">
        <v>26</v>
      </c>
      <c r="E258" s="15">
        <v>27</v>
      </c>
      <c r="F258" s="15">
        <v>30</v>
      </c>
      <c r="G258" s="13">
        <v>43864</v>
      </c>
      <c r="H258" s="16">
        <v>1600</v>
      </c>
      <c r="I258" s="18">
        <v>2743.8699999999994</v>
      </c>
      <c r="J258" s="20">
        <v>1.71491875</v>
      </c>
      <c r="K258" s="19">
        <v>2293.8699999999994</v>
      </c>
      <c r="L258" s="20">
        <v>1.4336687499999996</v>
      </c>
      <c r="M258" s="21">
        <v>0</v>
      </c>
      <c r="N258" s="22">
        <v>0</v>
      </c>
      <c r="O258" s="23">
        <v>320</v>
      </c>
      <c r="P258" s="24">
        <v>110</v>
      </c>
      <c r="Q258" s="25">
        <v>0.34375</v>
      </c>
      <c r="R258" s="24">
        <v>110</v>
      </c>
      <c r="S258" s="25">
        <v>0.34375</v>
      </c>
      <c r="T258" s="26">
        <v>0</v>
      </c>
      <c r="U258" s="24">
        <v>0</v>
      </c>
      <c r="V258" s="19">
        <v>1920</v>
      </c>
      <c r="W258" s="19">
        <v>2853.8699999999994</v>
      </c>
      <c r="X258" s="21">
        <v>1.4863906249999996</v>
      </c>
      <c r="Y258" s="19">
        <v>2403.8699999999994</v>
      </c>
      <c r="Z258" s="20">
        <v>1.2520156249999996</v>
      </c>
      <c r="AA258" s="30">
        <v>8.4700000000000109E-2</v>
      </c>
      <c r="AB258" s="27">
        <v>7.0000000000000007E-2</v>
      </c>
      <c r="AC258" s="27">
        <v>8.6999999999999994E-2</v>
      </c>
      <c r="AD258" s="11">
        <v>8.1947244220753931E-2</v>
      </c>
    </row>
    <row r="259" spans="1:30" x14ac:dyDescent="0.25">
      <c r="A259" s="13">
        <v>43837</v>
      </c>
      <c r="B259" s="46" t="s">
        <v>637</v>
      </c>
      <c r="C259" s="13">
        <v>43838</v>
      </c>
      <c r="D259" s="15" t="s">
        <v>27</v>
      </c>
      <c r="E259" s="15">
        <v>700</v>
      </c>
      <c r="F259" s="15">
        <v>720</v>
      </c>
      <c r="G259" s="13">
        <v>44538</v>
      </c>
      <c r="H259" s="16">
        <v>800</v>
      </c>
      <c r="I259" s="18">
        <v>350.9</v>
      </c>
      <c r="J259" s="20">
        <v>0.43862499999999999</v>
      </c>
      <c r="K259" s="19">
        <v>350.9</v>
      </c>
      <c r="L259" s="20">
        <v>0.43862499999999999</v>
      </c>
      <c r="M259" s="21">
        <v>0</v>
      </c>
      <c r="N259" s="22">
        <v>0</v>
      </c>
      <c r="O259" s="23">
        <v>160</v>
      </c>
      <c r="P259" s="24">
        <v>0</v>
      </c>
      <c r="Q259" s="25">
        <v>0</v>
      </c>
      <c r="R259" s="24">
        <v>0</v>
      </c>
      <c r="S259" s="25">
        <v>0</v>
      </c>
      <c r="T259" s="26">
        <v>0</v>
      </c>
      <c r="U259" s="24">
        <v>0</v>
      </c>
      <c r="V259" s="19">
        <v>960</v>
      </c>
      <c r="W259" s="19">
        <v>350.9</v>
      </c>
      <c r="X259" s="21">
        <v>0.36552083333333329</v>
      </c>
      <c r="Y259" s="19">
        <v>350.9</v>
      </c>
      <c r="Z259" s="20">
        <v>0.36552083333333329</v>
      </c>
      <c r="AA259" s="30">
        <v>0.11289999999999997</v>
      </c>
      <c r="AB259" s="27">
        <v>0.1</v>
      </c>
      <c r="AC259" s="27">
        <v>0.11289999999999999</v>
      </c>
      <c r="AD259" s="11">
        <v>0.1120974636648618</v>
      </c>
    </row>
    <row r="260" spans="1:30" x14ac:dyDescent="0.25">
      <c r="A260" s="13">
        <v>43838</v>
      </c>
      <c r="B260" s="46" t="s">
        <v>636</v>
      </c>
      <c r="C260" s="13">
        <v>43838</v>
      </c>
      <c r="D260" s="15" t="s">
        <v>28</v>
      </c>
      <c r="E260" s="15">
        <v>84</v>
      </c>
      <c r="F260" s="15">
        <v>90</v>
      </c>
      <c r="G260" s="13">
        <v>43922</v>
      </c>
      <c r="H260" s="16">
        <v>1600</v>
      </c>
      <c r="I260" s="18">
        <v>3595.73</v>
      </c>
      <c r="J260" s="20">
        <v>2.2473312500000002</v>
      </c>
      <c r="K260" s="19">
        <v>2970.7300000000005</v>
      </c>
      <c r="L260" s="20">
        <v>1.8567062500000002</v>
      </c>
      <c r="M260" s="21">
        <v>0</v>
      </c>
      <c r="N260" s="22">
        <v>0</v>
      </c>
      <c r="O260" s="23">
        <v>320</v>
      </c>
      <c r="P260" s="24">
        <v>121.64</v>
      </c>
      <c r="Q260" s="25">
        <v>0.38012499999999999</v>
      </c>
      <c r="R260" s="24">
        <v>121.64</v>
      </c>
      <c r="S260" s="25">
        <v>0.38012499999999999</v>
      </c>
      <c r="T260" s="26">
        <v>0</v>
      </c>
      <c r="U260" s="24">
        <v>0</v>
      </c>
      <c r="V260" s="19">
        <v>1920</v>
      </c>
      <c r="W260" s="19">
        <v>3717.37</v>
      </c>
      <c r="X260" s="21">
        <v>1.9361302083333334</v>
      </c>
      <c r="Y260" s="19">
        <v>3092.3700000000003</v>
      </c>
      <c r="Z260" s="20">
        <v>1.6106093750000001</v>
      </c>
      <c r="AA260" s="30">
        <v>8.8499999999999912E-2</v>
      </c>
      <c r="AB260" s="27">
        <v>0.06</v>
      </c>
      <c r="AC260" s="27">
        <v>9.1499999999999998E-2</v>
      </c>
      <c r="AD260" s="11">
        <v>8.437410122562039E-2</v>
      </c>
    </row>
    <row r="261" spans="1:30" x14ac:dyDescent="0.25">
      <c r="A261" s="13">
        <v>43839</v>
      </c>
      <c r="B261" s="46" t="s">
        <v>636</v>
      </c>
      <c r="C261" s="13">
        <v>43840</v>
      </c>
      <c r="D261" s="15" t="s">
        <v>29</v>
      </c>
      <c r="E261" s="15">
        <v>343</v>
      </c>
      <c r="F261" s="15">
        <v>360</v>
      </c>
      <c r="G261" s="13">
        <v>44183</v>
      </c>
      <c r="H261" s="16">
        <v>2500</v>
      </c>
      <c r="I261" s="18">
        <v>3160.4100000000003</v>
      </c>
      <c r="J261" s="20">
        <v>1.2641640000000001</v>
      </c>
      <c r="K261" s="19">
        <v>2860.4100000000003</v>
      </c>
      <c r="L261" s="20">
        <v>1.1441640000000002</v>
      </c>
      <c r="M261" s="21">
        <v>0</v>
      </c>
      <c r="N261" s="22">
        <v>0</v>
      </c>
      <c r="O261" s="23">
        <v>500</v>
      </c>
      <c r="P261" s="24">
        <v>100</v>
      </c>
      <c r="Q261" s="25">
        <v>0.2</v>
      </c>
      <c r="R261" s="24">
        <v>100</v>
      </c>
      <c r="S261" s="25">
        <v>0.2</v>
      </c>
      <c r="T261" s="26">
        <v>0</v>
      </c>
      <c r="U261" s="24">
        <v>0</v>
      </c>
      <c r="V261" s="19">
        <v>3000</v>
      </c>
      <c r="W261" s="19">
        <v>3260.4100000000003</v>
      </c>
      <c r="X261" s="21">
        <v>1.0868033333333333</v>
      </c>
      <c r="Y261" s="19">
        <v>2960.4100000000003</v>
      </c>
      <c r="Z261" s="20">
        <v>0.98680333333333348</v>
      </c>
      <c r="AA261" s="30">
        <v>0.11050000000000001</v>
      </c>
      <c r="AB261" s="27">
        <v>0.09</v>
      </c>
      <c r="AC261" s="27">
        <v>0.11119999999999999</v>
      </c>
      <c r="AD261" s="11">
        <v>0.10903567891507744</v>
      </c>
    </row>
    <row r="262" spans="1:30" x14ac:dyDescent="0.25">
      <c r="A262" s="13">
        <v>43840</v>
      </c>
      <c r="B262" s="46" t="s">
        <v>636</v>
      </c>
      <c r="C262" s="13">
        <v>43840</v>
      </c>
      <c r="D262" s="15" t="s">
        <v>30</v>
      </c>
      <c r="E262" s="15">
        <v>168</v>
      </c>
      <c r="F262" s="15">
        <v>180</v>
      </c>
      <c r="G262" s="13">
        <v>44008</v>
      </c>
      <c r="H262" s="16">
        <v>1600</v>
      </c>
      <c r="I262" s="18">
        <v>2548.69</v>
      </c>
      <c r="J262" s="20">
        <v>1.5929312499999997</v>
      </c>
      <c r="K262" s="19">
        <v>2548.69</v>
      </c>
      <c r="L262" s="20">
        <v>1.5929312500000001</v>
      </c>
      <c r="M262" s="21">
        <v>0</v>
      </c>
      <c r="N262" s="22">
        <v>0</v>
      </c>
      <c r="O262" s="23">
        <v>320</v>
      </c>
      <c r="P262" s="24">
        <v>100</v>
      </c>
      <c r="Q262" s="25">
        <v>0.3125</v>
      </c>
      <c r="R262" s="24">
        <v>100</v>
      </c>
      <c r="S262" s="25">
        <v>0.3125</v>
      </c>
      <c r="T262" s="26">
        <v>0</v>
      </c>
      <c r="U262" s="24">
        <v>0</v>
      </c>
      <c r="V262" s="19">
        <v>1920</v>
      </c>
      <c r="W262" s="19">
        <v>2648.69</v>
      </c>
      <c r="X262" s="21">
        <v>1.3795260416666666</v>
      </c>
      <c r="Y262" s="19">
        <v>2648.69</v>
      </c>
      <c r="Z262" s="20">
        <v>1.3795260416666666</v>
      </c>
      <c r="AA262" s="30">
        <v>9.9900000000000003E-2</v>
      </c>
      <c r="AB262" s="27">
        <v>7.0000000000000007E-2</v>
      </c>
      <c r="AC262" s="27">
        <v>9.9900000000000003E-2</v>
      </c>
      <c r="AD262" s="11">
        <v>9.7028104634145379E-2</v>
      </c>
    </row>
    <row r="263" spans="1:30" x14ac:dyDescent="0.25">
      <c r="A263" s="13">
        <v>43843</v>
      </c>
      <c r="B263" s="46" t="s">
        <v>636</v>
      </c>
      <c r="C263" s="13">
        <v>43843</v>
      </c>
      <c r="D263" s="15" t="s">
        <v>31</v>
      </c>
      <c r="E263" s="15">
        <v>30</v>
      </c>
      <c r="F263" s="15">
        <v>30</v>
      </c>
      <c r="G263" s="13">
        <v>43873</v>
      </c>
      <c r="H263" s="16">
        <v>2000</v>
      </c>
      <c r="I263" s="18">
        <v>3988.79</v>
      </c>
      <c r="J263" s="20">
        <v>1.9943949999999999</v>
      </c>
      <c r="K263" s="19">
        <v>2900.79</v>
      </c>
      <c r="L263" s="20">
        <v>1.4503949999999999</v>
      </c>
      <c r="M263" s="21">
        <v>0</v>
      </c>
      <c r="N263" s="22">
        <v>0</v>
      </c>
      <c r="O263" s="23">
        <v>400</v>
      </c>
      <c r="P263" s="24">
        <v>37.22</v>
      </c>
      <c r="Q263" s="25">
        <v>9.3049999999999994E-2</v>
      </c>
      <c r="R263" s="24">
        <v>37.22</v>
      </c>
      <c r="S263" s="25">
        <v>9.3049999999999994E-2</v>
      </c>
      <c r="T263" s="26">
        <v>0</v>
      </c>
      <c r="U263" s="24">
        <v>0</v>
      </c>
      <c r="V263" s="19">
        <v>2400</v>
      </c>
      <c r="W263" s="19">
        <v>4026.0099999999998</v>
      </c>
      <c r="X263" s="21">
        <v>1.6775041666666666</v>
      </c>
      <c r="Y263" s="19">
        <v>2938.0099999999998</v>
      </c>
      <c r="Z263" s="20">
        <v>1.2241708333333332</v>
      </c>
      <c r="AA263" s="30">
        <v>8.2499999999999962E-2</v>
      </c>
      <c r="AB263" s="27">
        <v>0.06</v>
      </c>
      <c r="AC263" s="27">
        <v>8.5500000000000007E-2</v>
      </c>
      <c r="AD263" s="11">
        <v>7.9941869589524664E-2</v>
      </c>
    </row>
    <row r="264" spans="1:30" x14ac:dyDescent="0.25">
      <c r="A264" s="13">
        <v>43844</v>
      </c>
      <c r="B264" s="46" t="s">
        <v>636</v>
      </c>
      <c r="C264" s="13">
        <v>43845</v>
      </c>
      <c r="D264" s="15" t="s">
        <v>32</v>
      </c>
      <c r="E264" s="15">
        <v>693</v>
      </c>
      <c r="F264" s="15">
        <v>720</v>
      </c>
      <c r="G264" s="13">
        <v>44538</v>
      </c>
      <c r="H264" s="16">
        <v>800</v>
      </c>
      <c r="I264" s="18">
        <v>1900.95</v>
      </c>
      <c r="J264" s="20">
        <v>2.3761874999999999</v>
      </c>
      <c r="K264" s="19">
        <v>1000.95</v>
      </c>
      <c r="L264" s="20">
        <v>1.2511875000000001</v>
      </c>
      <c r="M264" s="21">
        <v>0</v>
      </c>
      <c r="N264" s="22">
        <v>0</v>
      </c>
      <c r="O264" s="23">
        <v>160</v>
      </c>
      <c r="P264" s="24">
        <v>210</v>
      </c>
      <c r="Q264" s="25">
        <v>1.3125</v>
      </c>
      <c r="R264" s="24">
        <v>160</v>
      </c>
      <c r="S264" s="25">
        <v>1</v>
      </c>
      <c r="T264" s="26">
        <v>0.76190499999999994</v>
      </c>
      <c r="U264" s="24">
        <v>0</v>
      </c>
      <c r="V264" s="19">
        <v>960</v>
      </c>
      <c r="W264" s="19">
        <v>2110.9499999999998</v>
      </c>
      <c r="X264" s="21">
        <v>2.1989062499999998</v>
      </c>
      <c r="Y264" s="19">
        <v>1160.95</v>
      </c>
      <c r="Z264" s="20">
        <v>1.2093229166666668</v>
      </c>
      <c r="AA264" s="30">
        <v>0.11189999999999996</v>
      </c>
      <c r="AB264" s="27">
        <v>0.105</v>
      </c>
      <c r="AC264" s="27">
        <v>0.1134</v>
      </c>
      <c r="AD264" s="11">
        <v>0.11210960309319024</v>
      </c>
    </row>
    <row r="265" spans="1:30" x14ac:dyDescent="0.25">
      <c r="A265" s="13">
        <v>43845</v>
      </c>
      <c r="B265" s="46" t="s">
        <v>636</v>
      </c>
      <c r="C265" s="13">
        <v>43845</v>
      </c>
      <c r="D265" s="15" t="s">
        <v>33</v>
      </c>
      <c r="E265" s="15">
        <v>93</v>
      </c>
      <c r="F265" s="15">
        <v>90</v>
      </c>
      <c r="G265" s="13">
        <v>43938</v>
      </c>
      <c r="H265" s="16">
        <v>1600</v>
      </c>
      <c r="I265" s="18">
        <v>2312.6000000000004</v>
      </c>
      <c r="J265" s="20">
        <v>1.4453750000000001</v>
      </c>
      <c r="K265" s="19">
        <v>2012.6000000000001</v>
      </c>
      <c r="L265" s="20">
        <v>1.2578750000000001</v>
      </c>
      <c r="M265" s="21">
        <v>0</v>
      </c>
      <c r="N265" s="22">
        <v>0</v>
      </c>
      <c r="O265" s="23">
        <v>320</v>
      </c>
      <c r="P265" s="24">
        <v>112.22</v>
      </c>
      <c r="Q265" s="25">
        <v>0.35068749999999999</v>
      </c>
      <c r="R265" s="24">
        <v>112.22</v>
      </c>
      <c r="S265" s="25">
        <v>0.35068749999999999</v>
      </c>
      <c r="T265" s="26">
        <v>0</v>
      </c>
      <c r="U265" s="24">
        <v>0</v>
      </c>
      <c r="V265" s="19">
        <v>1920</v>
      </c>
      <c r="W265" s="19">
        <v>2424.8200000000002</v>
      </c>
      <c r="X265" s="21">
        <v>1.2629270833333335</v>
      </c>
      <c r="Y265" s="19">
        <v>2124.8200000000002</v>
      </c>
      <c r="Z265" s="20">
        <v>1.1066770833333335</v>
      </c>
      <c r="AA265" s="30">
        <v>8.7499999999999953E-2</v>
      </c>
      <c r="AB265" s="27">
        <v>7.0000000000000007E-2</v>
      </c>
      <c r="AC265" s="27">
        <v>8.9099999999999999E-2</v>
      </c>
      <c r="AD265" s="11">
        <v>8.3169047824958889E-2</v>
      </c>
    </row>
    <row r="266" spans="1:30" x14ac:dyDescent="0.25">
      <c r="A266" s="13">
        <v>43846</v>
      </c>
      <c r="B266" s="46" t="s">
        <v>636</v>
      </c>
      <c r="C266" s="13">
        <v>43847</v>
      </c>
      <c r="D266" s="15" t="s">
        <v>34</v>
      </c>
      <c r="E266" s="15">
        <v>336</v>
      </c>
      <c r="F266" s="15">
        <v>360</v>
      </c>
      <c r="G266" s="13">
        <v>44183</v>
      </c>
      <c r="H266" s="16">
        <v>3000</v>
      </c>
      <c r="I266" s="18">
        <v>3699.22</v>
      </c>
      <c r="J266" s="20">
        <v>1.2330733333333337</v>
      </c>
      <c r="K266" s="19">
        <v>3349.22</v>
      </c>
      <c r="L266" s="20">
        <v>1.1164066666666665</v>
      </c>
      <c r="M266" s="21">
        <v>0</v>
      </c>
      <c r="N266" s="22">
        <v>0</v>
      </c>
      <c r="O266" s="23">
        <v>600</v>
      </c>
      <c r="P266" s="24">
        <v>450</v>
      </c>
      <c r="Q266" s="25">
        <v>0.75</v>
      </c>
      <c r="R266" s="24">
        <v>450</v>
      </c>
      <c r="S266" s="25">
        <v>0.75</v>
      </c>
      <c r="T266" s="26">
        <v>0</v>
      </c>
      <c r="U266" s="24">
        <v>0</v>
      </c>
      <c r="V266" s="19">
        <v>3600</v>
      </c>
      <c r="W266" s="19">
        <v>4149.2199999999993</v>
      </c>
      <c r="X266" s="21">
        <v>1.1525611111111109</v>
      </c>
      <c r="Y266" s="19">
        <v>3799.22</v>
      </c>
      <c r="Z266" s="20">
        <v>1.0553388888888888</v>
      </c>
      <c r="AA266" s="30">
        <v>0.11050000000000001</v>
      </c>
      <c r="AB266" s="27">
        <v>0.09</v>
      </c>
      <c r="AC266" s="27">
        <v>0.1114</v>
      </c>
      <c r="AD266" s="11">
        <v>0.10960779569747138</v>
      </c>
    </row>
    <row r="267" spans="1:30" x14ac:dyDescent="0.25">
      <c r="A267" s="13">
        <v>43847</v>
      </c>
      <c r="B267" s="46" t="s">
        <v>636</v>
      </c>
      <c r="C267" s="13">
        <v>43847</v>
      </c>
      <c r="D267" s="15" t="s">
        <v>35</v>
      </c>
      <c r="E267" s="15">
        <v>180</v>
      </c>
      <c r="F267" s="15">
        <v>180</v>
      </c>
      <c r="G267" s="13">
        <v>44027</v>
      </c>
      <c r="H267" s="16">
        <v>1600</v>
      </c>
      <c r="I267" s="18">
        <v>2599.69</v>
      </c>
      <c r="J267" s="20">
        <v>1.62480625</v>
      </c>
      <c r="K267" s="19">
        <v>1399.6899999999998</v>
      </c>
      <c r="L267" s="20">
        <v>0.8748062499999999</v>
      </c>
      <c r="M267" s="21">
        <v>0</v>
      </c>
      <c r="N267" s="22">
        <v>0</v>
      </c>
      <c r="O267" s="23">
        <v>320</v>
      </c>
      <c r="P267" s="24">
        <v>0</v>
      </c>
      <c r="Q267" s="25">
        <v>0</v>
      </c>
      <c r="R267" s="24">
        <v>0</v>
      </c>
      <c r="S267" s="25">
        <v>0</v>
      </c>
      <c r="T267" s="26">
        <v>0</v>
      </c>
      <c r="U267" s="24">
        <v>0</v>
      </c>
      <c r="V267" s="19">
        <v>1920</v>
      </c>
      <c r="W267" s="19">
        <v>2599.69</v>
      </c>
      <c r="X267" s="21">
        <v>1.3540052083333334</v>
      </c>
      <c r="Y267" s="19">
        <v>1399.6899999999998</v>
      </c>
      <c r="Z267" s="20">
        <v>0.72900520833333327</v>
      </c>
      <c r="AA267" s="30">
        <v>0.10029999999999997</v>
      </c>
      <c r="AB267" s="27">
        <v>0.08</v>
      </c>
      <c r="AC267" s="27">
        <v>0.10199999999999999</v>
      </c>
      <c r="AD267" s="11">
        <v>0.10011031122941583</v>
      </c>
    </row>
    <row r="268" spans="1:30" x14ac:dyDescent="0.25">
      <c r="A268" s="13">
        <v>43857</v>
      </c>
      <c r="B268" s="46" t="s">
        <v>636</v>
      </c>
      <c r="C268" s="13">
        <v>43857</v>
      </c>
      <c r="D268" s="15" t="s">
        <v>36</v>
      </c>
      <c r="E268" s="15">
        <v>25</v>
      </c>
      <c r="F268" s="15">
        <v>30</v>
      </c>
      <c r="G268" s="13">
        <v>43882</v>
      </c>
      <c r="H268" s="16">
        <v>3000</v>
      </c>
      <c r="I268" s="18">
        <v>2379.1699999999996</v>
      </c>
      <c r="J268" s="20">
        <v>0.79305666666666619</v>
      </c>
      <c r="K268" s="19">
        <v>2329.17</v>
      </c>
      <c r="L268" s="20">
        <v>0.77639000000000002</v>
      </c>
      <c r="M268" s="21">
        <v>0</v>
      </c>
      <c r="N268" s="22">
        <v>0</v>
      </c>
      <c r="O268" s="23">
        <v>600</v>
      </c>
      <c r="P268" s="24">
        <v>628.70000000000005</v>
      </c>
      <c r="Q268" s="25">
        <v>1.0478333333333334</v>
      </c>
      <c r="R268" s="24">
        <v>465.834</v>
      </c>
      <c r="S268" s="25">
        <v>0.77639000000000002</v>
      </c>
      <c r="T268" s="26">
        <v>0.74094800000000005</v>
      </c>
      <c r="U268" s="24">
        <v>0</v>
      </c>
      <c r="V268" s="19">
        <v>3600</v>
      </c>
      <c r="W268" s="19">
        <v>3007.87</v>
      </c>
      <c r="X268" s="21">
        <v>0.83551944444444437</v>
      </c>
      <c r="Y268" s="19">
        <v>2795.0039999999999</v>
      </c>
      <c r="Z268" s="20">
        <v>0.77639000000000002</v>
      </c>
      <c r="AA268" s="30">
        <v>8.3999999999999977E-2</v>
      </c>
      <c r="AB268" s="27">
        <v>0.06</v>
      </c>
      <c r="AC268" s="27">
        <v>8.4499999999999992E-2</v>
      </c>
      <c r="AD268" s="11">
        <v>7.5834450669771444E-2</v>
      </c>
    </row>
    <row r="269" spans="1:30" x14ac:dyDescent="0.25">
      <c r="A269" s="13">
        <v>43858</v>
      </c>
      <c r="B269" s="46" t="s">
        <v>636</v>
      </c>
      <c r="C269" s="13">
        <v>43859</v>
      </c>
      <c r="D269" s="15" t="s">
        <v>37</v>
      </c>
      <c r="E269" s="15">
        <v>679</v>
      </c>
      <c r="F269" s="15">
        <v>720</v>
      </c>
      <c r="G269" s="13">
        <v>44538</v>
      </c>
      <c r="H269" s="16">
        <v>1600</v>
      </c>
      <c r="I269" s="18">
        <v>2010.45</v>
      </c>
      <c r="J269" s="20">
        <v>1.2565312500000001</v>
      </c>
      <c r="K269" s="19">
        <v>1010.45</v>
      </c>
      <c r="L269" s="20">
        <v>0.63153124999999999</v>
      </c>
      <c r="M269" s="21">
        <v>0</v>
      </c>
      <c r="N269" s="22">
        <v>0</v>
      </c>
      <c r="O269" s="23">
        <v>320</v>
      </c>
      <c r="P269" s="24">
        <v>30</v>
      </c>
      <c r="Q269" s="25">
        <v>9.375E-2</v>
      </c>
      <c r="R269" s="24">
        <v>30</v>
      </c>
      <c r="S269" s="25">
        <v>9.375E-2</v>
      </c>
      <c r="T269" s="26">
        <v>0</v>
      </c>
      <c r="U269" s="24">
        <v>0</v>
      </c>
      <c r="V269" s="19">
        <v>1920</v>
      </c>
      <c r="W269" s="19">
        <v>2040.45</v>
      </c>
      <c r="X269" s="21">
        <v>1.062734375</v>
      </c>
      <c r="Y269" s="19">
        <v>1040.45</v>
      </c>
      <c r="Z269" s="20">
        <v>0.54190104166666664</v>
      </c>
      <c r="AA269" s="30">
        <v>0.11179999999999997</v>
      </c>
      <c r="AB269" s="27">
        <v>0.1099</v>
      </c>
      <c r="AC269" s="27">
        <v>0.11699999999999999</v>
      </c>
      <c r="AD269" s="11">
        <v>0.11337710462831703</v>
      </c>
    </row>
    <row r="270" spans="1:30" x14ac:dyDescent="0.25">
      <c r="A270" s="13">
        <v>43859</v>
      </c>
      <c r="B270" s="46" t="s">
        <v>636</v>
      </c>
      <c r="C270" s="13">
        <v>43859</v>
      </c>
      <c r="D270" s="15" t="s">
        <v>38</v>
      </c>
      <c r="E270" s="15">
        <v>79</v>
      </c>
      <c r="F270" s="15">
        <v>90</v>
      </c>
      <c r="G270" s="13">
        <v>43938</v>
      </c>
      <c r="H270" s="16">
        <v>1600</v>
      </c>
      <c r="I270" s="18">
        <v>1482.49</v>
      </c>
      <c r="J270" s="20">
        <v>0.92655625000000019</v>
      </c>
      <c r="K270" s="19">
        <v>1252.49</v>
      </c>
      <c r="L270" s="20">
        <v>0.78280625000000004</v>
      </c>
      <c r="M270" s="21">
        <v>0</v>
      </c>
      <c r="N270" s="22">
        <v>0</v>
      </c>
      <c r="O270" s="23">
        <v>320</v>
      </c>
      <c r="P270" s="24">
        <v>20</v>
      </c>
      <c r="Q270" s="25">
        <v>6.25E-2</v>
      </c>
      <c r="R270" s="24">
        <v>20</v>
      </c>
      <c r="S270" s="25">
        <v>6.25E-2</v>
      </c>
      <c r="T270" s="26">
        <v>0</v>
      </c>
      <c r="U270" s="24">
        <v>0</v>
      </c>
      <c r="V270" s="19">
        <v>1920</v>
      </c>
      <c r="W270" s="19">
        <v>1502.49</v>
      </c>
      <c r="X270" s="21">
        <v>0.78254687499999998</v>
      </c>
      <c r="Y270" s="19">
        <v>1272.49</v>
      </c>
      <c r="Z270" s="20">
        <v>0.66275520833333335</v>
      </c>
      <c r="AA270" s="30">
        <v>8.7400000000000019E-2</v>
      </c>
      <c r="AB270" s="27">
        <v>7.4999999999999997E-2</v>
      </c>
      <c r="AC270" s="27">
        <v>9.2499999999999999E-2</v>
      </c>
      <c r="AD270" s="11">
        <v>8.5595342970272978E-2</v>
      </c>
    </row>
    <row r="271" spans="1:30" x14ac:dyDescent="0.25">
      <c r="A271" s="13">
        <v>43860</v>
      </c>
      <c r="B271" s="46" t="s">
        <v>636</v>
      </c>
      <c r="C271" s="13">
        <v>43861</v>
      </c>
      <c r="D271" s="15" t="s">
        <v>39</v>
      </c>
      <c r="E271" s="15">
        <v>371</v>
      </c>
      <c r="F271" s="15">
        <v>360</v>
      </c>
      <c r="G271" s="13">
        <v>44232</v>
      </c>
      <c r="H271" s="16">
        <v>3200</v>
      </c>
      <c r="I271" s="18">
        <v>4482.68</v>
      </c>
      <c r="J271" s="20">
        <v>1.4008375</v>
      </c>
      <c r="K271" s="19">
        <v>4482.68</v>
      </c>
      <c r="L271" s="20">
        <v>1.4008375000000002</v>
      </c>
      <c r="M271" s="21">
        <v>0</v>
      </c>
      <c r="N271" s="22">
        <v>0</v>
      </c>
      <c r="O271" s="23">
        <v>640</v>
      </c>
      <c r="P271" s="24">
        <v>691</v>
      </c>
      <c r="Q271" s="25">
        <v>1.0796874999999999</v>
      </c>
      <c r="R271" s="24">
        <v>640</v>
      </c>
      <c r="S271" s="25">
        <v>1</v>
      </c>
      <c r="T271" s="26">
        <v>0.92620000000000002</v>
      </c>
      <c r="U271" s="24">
        <v>0</v>
      </c>
      <c r="V271" s="19">
        <v>3840</v>
      </c>
      <c r="W271" s="19">
        <v>5173.68</v>
      </c>
      <c r="X271" s="21">
        <v>1.3473125000000001</v>
      </c>
      <c r="Y271" s="19">
        <v>5122.68</v>
      </c>
      <c r="Z271" s="20">
        <v>1.33403125</v>
      </c>
      <c r="AA271" s="30">
        <v>0.1106999999999999</v>
      </c>
      <c r="AB271" s="27">
        <v>9.5000000000000001E-2</v>
      </c>
      <c r="AC271" s="27">
        <v>0.11070000000000001</v>
      </c>
      <c r="AD271" s="11">
        <v>0.10881551884140733</v>
      </c>
    </row>
    <row r="272" spans="1:30" x14ac:dyDescent="0.25">
      <c r="A272" s="13">
        <v>43861</v>
      </c>
      <c r="B272" s="46" t="s">
        <v>636</v>
      </c>
      <c r="C272" s="13">
        <v>43861</v>
      </c>
      <c r="D272" s="15" t="s">
        <v>40</v>
      </c>
      <c r="E272" s="15">
        <v>166</v>
      </c>
      <c r="F272" s="15">
        <v>180</v>
      </c>
      <c r="G272" s="13">
        <v>44027</v>
      </c>
      <c r="H272" s="16">
        <v>1800</v>
      </c>
      <c r="I272" s="18">
        <v>1610.44</v>
      </c>
      <c r="J272" s="20">
        <v>0.8946888888888892</v>
      </c>
      <c r="K272" s="19">
        <v>1420.44</v>
      </c>
      <c r="L272" s="20">
        <v>0.78913333333333335</v>
      </c>
      <c r="M272" s="21">
        <v>0</v>
      </c>
      <c r="N272" s="22">
        <v>0</v>
      </c>
      <c r="O272" s="23">
        <v>360</v>
      </c>
      <c r="P272" s="24">
        <v>0.3</v>
      </c>
      <c r="Q272" s="25">
        <v>8.3333333333333328E-4</v>
      </c>
      <c r="R272" s="24">
        <v>0.3</v>
      </c>
      <c r="S272" s="25">
        <v>8.3333333333333328E-4</v>
      </c>
      <c r="T272" s="26">
        <v>0</v>
      </c>
      <c r="U272" s="24">
        <v>0</v>
      </c>
      <c r="V272" s="19">
        <v>2160</v>
      </c>
      <c r="W272" s="19">
        <v>1610.74</v>
      </c>
      <c r="X272" s="21">
        <v>0.74571296296296297</v>
      </c>
      <c r="Y272" s="19">
        <v>1420.74</v>
      </c>
      <c r="Z272" s="20">
        <v>0.65775000000000006</v>
      </c>
      <c r="AA272" s="30">
        <v>0.1002999999999999</v>
      </c>
      <c r="AB272" s="27">
        <v>0.08</v>
      </c>
      <c r="AC272" s="27">
        <v>0.1013</v>
      </c>
      <c r="AD272" s="11">
        <v>9.578322694418917E-2</v>
      </c>
    </row>
    <row r="273" spans="1:30" x14ac:dyDescent="0.25">
      <c r="A273" s="13">
        <v>43864</v>
      </c>
      <c r="B273" s="46" t="s">
        <v>636</v>
      </c>
      <c r="C273" s="13">
        <v>43864</v>
      </c>
      <c r="D273" s="15" t="s">
        <v>41</v>
      </c>
      <c r="E273" s="15">
        <v>28</v>
      </c>
      <c r="F273" s="15">
        <v>30</v>
      </c>
      <c r="G273" s="13">
        <v>43892</v>
      </c>
      <c r="H273" s="16">
        <v>400</v>
      </c>
      <c r="I273" s="18">
        <v>880.6400000000001</v>
      </c>
      <c r="J273" s="20">
        <v>2.2015999999999996</v>
      </c>
      <c r="K273" s="19">
        <v>780.6400000000001</v>
      </c>
      <c r="L273" s="20">
        <v>1.9516000000000002</v>
      </c>
      <c r="M273" s="21">
        <v>0</v>
      </c>
      <c r="N273" s="22">
        <v>0</v>
      </c>
      <c r="O273" s="23">
        <v>80</v>
      </c>
      <c r="P273" s="24">
        <v>95.48</v>
      </c>
      <c r="Q273" s="25">
        <v>1.1935</v>
      </c>
      <c r="R273" s="24">
        <v>80.000000000000014</v>
      </c>
      <c r="S273" s="25">
        <v>1.0000000000000002</v>
      </c>
      <c r="T273" s="26">
        <v>0.83787999999999996</v>
      </c>
      <c r="U273" s="24">
        <v>0</v>
      </c>
      <c r="V273" s="19">
        <v>480</v>
      </c>
      <c r="W273" s="19">
        <v>976.12000000000012</v>
      </c>
      <c r="X273" s="21">
        <v>2.0335833333333335</v>
      </c>
      <c r="Y273" s="19">
        <v>860.6400000000001</v>
      </c>
      <c r="Z273" s="20">
        <v>1.7930000000000001</v>
      </c>
      <c r="AA273" s="30">
        <v>8.4400000000000017E-2</v>
      </c>
      <c r="AB273" s="27">
        <v>7.0000000000000007E-2</v>
      </c>
      <c r="AC273" s="27">
        <v>8.5800000000000001E-2</v>
      </c>
      <c r="AD273" s="11">
        <v>7.6830543695494191E-2</v>
      </c>
    </row>
    <row r="274" spans="1:30" x14ac:dyDescent="0.25">
      <c r="A274" s="13">
        <v>43866</v>
      </c>
      <c r="B274" s="46" t="s">
        <v>636</v>
      </c>
      <c r="C274" s="13">
        <v>43866</v>
      </c>
      <c r="D274" s="15" t="s">
        <v>42</v>
      </c>
      <c r="E274" s="15">
        <v>100</v>
      </c>
      <c r="F274" s="15">
        <v>90</v>
      </c>
      <c r="G274" s="13">
        <v>43966</v>
      </c>
      <c r="H274" s="16">
        <v>400</v>
      </c>
      <c r="I274" s="18">
        <v>1738.5700000000004</v>
      </c>
      <c r="J274" s="20">
        <v>4.346425</v>
      </c>
      <c r="K274" s="19">
        <v>800</v>
      </c>
      <c r="L274" s="20">
        <v>2</v>
      </c>
      <c r="M274" s="21">
        <v>0.62869999999999993</v>
      </c>
      <c r="N274" s="22">
        <v>0</v>
      </c>
      <c r="O274" s="23">
        <v>80</v>
      </c>
      <c r="P274" s="24">
        <v>80</v>
      </c>
      <c r="Q274" s="25">
        <v>1</v>
      </c>
      <c r="R274" s="24">
        <v>80</v>
      </c>
      <c r="S274" s="25">
        <v>1</v>
      </c>
      <c r="T274" s="26">
        <v>0</v>
      </c>
      <c r="U274" s="24">
        <v>0</v>
      </c>
      <c r="V274" s="19">
        <v>480</v>
      </c>
      <c r="W274" s="19">
        <v>1818.5700000000004</v>
      </c>
      <c r="X274" s="21">
        <v>3.7886875000000009</v>
      </c>
      <c r="Y274" s="19">
        <v>880</v>
      </c>
      <c r="Z274" s="20">
        <v>1.8333333333333333</v>
      </c>
      <c r="AA274" s="30">
        <v>8.4900000000000017E-2</v>
      </c>
      <c r="AB274" s="27">
        <v>7.0000000000000007E-2</v>
      </c>
      <c r="AC274" s="27">
        <v>9.9499999999999991E-2</v>
      </c>
      <c r="AD274" s="11">
        <v>8.6181626279068418E-2</v>
      </c>
    </row>
    <row r="275" spans="1:30" x14ac:dyDescent="0.25">
      <c r="A275" s="13">
        <v>43867</v>
      </c>
      <c r="B275" s="46" t="s">
        <v>636</v>
      </c>
      <c r="C275" s="13">
        <v>43868</v>
      </c>
      <c r="D275" s="15" t="s">
        <v>43</v>
      </c>
      <c r="E275" s="15">
        <v>364</v>
      </c>
      <c r="F275" s="15">
        <v>360</v>
      </c>
      <c r="G275" s="13">
        <v>44232</v>
      </c>
      <c r="H275" s="16">
        <v>400</v>
      </c>
      <c r="I275" s="18">
        <v>4732.0999999999985</v>
      </c>
      <c r="J275" s="20">
        <v>11.830250000000001</v>
      </c>
      <c r="K275" s="19">
        <v>800.00000000000011</v>
      </c>
      <c r="L275" s="20">
        <v>2.0000000000000004</v>
      </c>
      <c r="M275" s="21">
        <v>5.63953488372093E-2</v>
      </c>
      <c r="N275" s="22">
        <v>0</v>
      </c>
      <c r="O275" s="23">
        <v>80</v>
      </c>
      <c r="P275" s="24">
        <v>240</v>
      </c>
      <c r="Q275" s="25">
        <v>3</v>
      </c>
      <c r="R275" s="24">
        <v>80</v>
      </c>
      <c r="S275" s="25">
        <v>1</v>
      </c>
      <c r="T275" s="26">
        <v>0.33333374999999998</v>
      </c>
      <c r="U275" s="24">
        <v>0</v>
      </c>
      <c r="V275" s="19">
        <v>480</v>
      </c>
      <c r="W275" s="19">
        <v>4972.0999999999985</v>
      </c>
      <c r="X275" s="21">
        <v>10.358541666666664</v>
      </c>
      <c r="Y275" s="19">
        <v>880.00000000000011</v>
      </c>
      <c r="Z275" s="20">
        <v>1.8333333333333335</v>
      </c>
      <c r="AA275" s="30">
        <v>0.10749999999999994</v>
      </c>
      <c r="AB275" s="27">
        <v>0.1</v>
      </c>
      <c r="AC275" s="27">
        <v>0.11169999999999999</v>
      </c>
      <c r="AD275" s="11">
        <v>0.10867292216986121</v>
      </c>
    </row>
    <row r="276" spans="1:30" x14ac:dyDescent="0.25">
      <c r="A276" s="13">
        <v>43868</v>
      </c>
      <c r="B276" s="46" t="s">
        <v>636</v>
      </c>
      <c r="C276" s="13">
        <v>43868</v>
      </c>
      <c r="D276" s="15" t="s">
        <v>44</v>
      </c>
      <c r="E276" s="15">
        <v>189</v>
      </c>
      <c r="F276" s="15">
        <v>180</v>
      </c>
      <c r="G276" s="13">
        <v>44057</v>
      </c>
      <c r="H276" s="16">
        <v>400</v>
      </c>
      <c r="I276" s="18">
        <v>5544.42</v>
      </c>
      <c r="J276" s="20">
        <v>13.861049999999999</v>
      </c>
      <c r="K276" s="19">
        <v>800.00000000000011</v>
      </c>
      <c r="L276" s="20">
        <v>2.0000000000000004</v>
      </c>
      <c r="M276" s="21">
        <v>0.28690199999999999</v>
      </c>
      <c r="N276" s="22">
        <v>0</v>
      </c>
      <c r="O276" s="23">
        <v>80</v>
      </c>
      <c r="P276" s="24">
        <v>0</v>
      </c>
      <c r="Q276" s="25">
        <v>0</v>
      </c>
      <c r="R276" s="24">
        <v>0</v>
      </c>
      <c r="S276" s="25">
        <v>0</v>
      </c>
      <c r="T276" s="26">
        <v>0</v>
      </c>
      <c r="U276" s="24">
        <v>0</v>
      </c>
      <c r="V276" s="19">
        <v>480</v>
      </c>
      <c r="W276" s="19">
        <v>5544.42</v>
      </c>
      <c r="X276" s="21">
        <v>11.550875</v>
      </c>
      <c r="Y276" s="19">
        <v>800.00000000000011</v>
      </c>
      <c r="Z276" s="20">
        <v>1.666666666666667</v>
      </c>
      <c r="AA276" s="30">
        <v>9.1000000000000122E-2</v>
      </c>
      <c r="AB276" s="27">
        <v>7.0000000000000007E-2</v>
      </c>
      <c r="AC276" s="27">
        <v>9.9900000000000003E-2</v>
      </c>
      <c r="AD276" s="11">
        <v>9.4134598930095501E-2</v>
      </c>
    </row>
    <row r="277" spans="1:30" x14ac:dyDescent="0.25">
      <c r="A277" s="13">
        <v>43871</v>
      </c>
      <c r="B277" s="46" t="s">
        <v>636</v>
      </c>
      <c r="C277" s="13">
        <v>43871</v>
      </c>
      <c r="D277" s="15" t="s">
        <v>45</v>
      </c>
      <c r="E277" s="15">
        <v>30</v>
      </c>
      <c r="F277" s="15">
        <v>30</v>
      </c>
      <c r="G277" s="13">
        <v>43901</v>
      </c>
      <c r="H277" s="16">
        <v>1500</v>
      </c>
      <c r="I277" s="18">
        <v>4905.4600000000009</v>
      </c>
      <c r="J277" s="20">
        <v>3.2703066666666678</v>
      </c>
      <c r="K277" s="19">
        <v>2948.76</v>
      </c>
      <c r="L277" s="20">
        <v>1.9658400000000003</v>
      </c>
      <c r="M277" s="21">
        <v>0</v>
      </c>
      <c r="N277" s="22">
        <v>0</v>
      </c>
      <c r="O277" s="23">
        <v>300</v>
      </c>
      <c r="P277" s="24">
        <v>100</v>
      </c>
      <c r="Q277" s="25">
        <v>0.33333333333333331</v>
      </c>
      <c r="R277" s="24">
        <v>100</v>
      </c>
      <c r="S277" s="25">
        <v>0.33333333333333331</v>
      </c>
      <c r="T277" s="26">
        <v>0</v>
      </c>
      <c r="U277" s="24">
        <v>0</v>
      </c>
      <c r="V277" s="19">
        <v>1800</v>
      </c>
      <c r="W277" s="19">
        <v>5005.4600000000009</v>
      </c>
      <c r="X277" s="21">
        <v>2.7808111111111118</v>
      </c>
      <c r="Y277" s="19">
        <v>3048.76</v>
      </c>
      <c r="Z277" s="20">
        <v>1.6937555555555557</v>
      </c>
      <c r="AA277" s="30">
        <v>7.9000000000000029E-2</v>
      </c>
      <c r="AB277" s="27">
        <v>6.4199999999999993E-2</v>
      </c>
      <c r="AC277" s="27">
        <v>8.4000000000000005E-2</v>
      </c>
      <c r="AD277" s="11">
        <v>7.5862543166186208E-2</v>
      </c>
    </row>
    <row r="278" spans="1:30" x14ac:dyDescent="0.25">
      <c r="A278" s="13">
        <v>43872</v>
      </c>
      <c r="B278" s="46" t="s">
        <v>636</v>
      </c>
      <c r="C278" s="13">
        <v>43873</v>
      </c>
      <c r="D278" s="15" t="s">
        <v>46</v>
      </c>
      <c r="E278" s="15">
        <v>749</v>
      </c>
      <c r="F278" s="15">
        <v>720</v>
      </c>
      <c r="G278" s="13">
        <v>44622</v>
      </c>
      <c r="H278" s="16">
        <v>400</v>
      </c>
      <c r="I278" s="18">
        <v>4492.12</v>
      </c>
      <c r="J278" s="20">
        <v>11.2303</v>
      </c>
      <c r="K278" s="19">
        <v>800</v>
      </c>
      <c r="L278" s="20">
        <v>2</v>
      </c>
      <c r="M278" s="21">
        <v>0</v>
      </c>
      <c r="N278" s="22">
        <v>0</v>
      </c>
      <c r="O278" s="23">
        <v>80</v>
      </c>
      <c r="P278" s="24">
        <v>110</v>
      </c>
      <c r="Q278" s="25">
        <v>1.375</v>
      </c>
      <c r="R278" s="24">
        <v>80</v>
      </c>
      <c r="S278" s="25">
        <v>1</v>
      </c>
      <c r="T278" s="26">
        <v>0.72727333333333333</v>
      </c>
      <c r="U278" s="24">
        <v>0</v>
      </c>
      <c r="V278" s="19">
        <v>480</v>
      </c>
      <c r="W278" s="19">
        <v>4602.12</v>
      </c>
      <c r="X278" s="21">
        <v>9.5877499999999998</v>
      </c>
      <c r="Y278" s="19">
        <v>880</v>
      </c>
      <c r="Z278" s="20">
        <v>1.8333333333333333</v>
      </c>
      <c r="AA278" s="30">
        <v>0.10490000000000003</v>
      </c>
      <c r="AB278" s="27">
        <v>0.10490000000000001</v>
      </c>
      <c r="AC278" s="27">
        <v>0.11449999999999999</v>
      </c>
      <c r="AD278" s="11">
        <v>0.10984403800432758</v>
      </c>
    </row>
    <row r="279" spans="1:30" x14ac:dyDescent="0.25">
      <c r="A279" s="13">
        <v>43873</v>
      </c>
      <c r="B279" s="46" t="s">
        <v>636</v>
      </c>
      <c r="C279" s="13">
        <v>43873</v>
      </c>
      <c r="D279" s="15" t="s">
        <v>47</v>
      </c>
      <c r="E279" s="15">
        <v>93</v>
      </c>
      <c r="F279" s="15">
        <v>90</v>
      </c>
      <c r="G279" s="13">
        <v>43966</v>
      </c>
      <c r="H279" s="16">
        <v>1500</v>
      </c>
      <c r="I279" s="18">
        <v>6589.420000000001</v>
      </c>
      <c r="J279" s="20">
        <v>4.3929466666666679</v>
      </c>
      <c r="K279" s="19">
        <v>1525.1199999999997</v>
      </c>
      <c r="L279" s="20">
        <v>1.0167466666666665</v>
      </c>
      <c r="M279" s="21">
        <v>0</v>
      </c>
      <c r="N279" s="22">
        <v>0</v>
      </c>
      <c r="O279" s="23">
        <v>300</v>
      </c>
      <c r="P279" s="24">
        <v>169.57</v>
      </c>
      <c r="Q279" s="25">
        <v>0.56523333333333337</v>
      </c>
      <c r="R279" s="24">
        <v>169.57</v>
      </c>
      <c r="S279" s="25">
        <v>0.56523333333333337</v>
      </c>
      <c r="T279" s="26">
        <v>0</v>
      </c>
      <c r="U279" s="24">
        <v>0</v>
      </c>
      <c r="V279" s="19">
        <v>1800</v>
      </c>
      <c r="W279" s="19">
        <v>6758.9900000000007</v>
      </c>
      <c r="X279" s="21">
        <v>3.7549944444444447</v>
      </c>
      <c r="Y279" s="19">
        <v>1694.6899999999996</v>
      </c>
      <c r="Z279" s="20">
        <v>0.94149444444444419</v>
      </c>
      <c r="AA279" s="30">
        <v>8.060000000000006E-2</v>
      </c>
      <c r="AB279" s="27">
        <v>0.06</v>
      </c>
      <c r="AC279" s="27">
        <v>0.09</v>
      </c>
      <c r="AD279" s="11">
        <v>8.3047287925189145E-2</v>
      </c>
    </row>
    <row r="280" spans="1:30" x14ac:dyDescent="0.25">
      <c r="A280" s="13">
        <v>43874</v>
      </c>
      <c r="B280" s="46" t="s">
        <v>636</v>
      </c>
      <c r="C280" s="13">
        <v>43875</v>
      </c>
      <c r="D280" s="15" t="s">
        <v>48</v>
      </c>
      <c r="E280" s="15">
        <v>357</v>
      </c>
      <c r="F280" s="15">
        <v>360</v>
      </c>
      <c r="G280" s="13">
        <v>44232</v>
      </c>
      <c r="H280" s="16">
        <v>1500</v>
      </c>
      <c r="I280" s="18">
        <v>11430.620000000003</v>
      </c>
      <c r="J280" s="20">
        <v>7.6204133333333326</v>
      </c>
      <c r="K280" s="19">
        <v>2464.1200000000003</v>
      </c>
      <c r="L280" s="20">
        <v>1.6427466666666668</v>
      </c>
      <c r="M280" s="21">
        <v>0</v>
      </c>
      <c r="N280" s="22">
        <v>0</v>
      </c>
      <c r="O280" s="23">
        <v>300</v>
      </c>
      <c r="P280" s="24">
        <v>330</v>
      </c>
      <c r="Q280" s="25">
        <v>1.1000000000000001</v>
      </c>
      <c r="R280" s="24">
        <v>300</v>
      </c>
      <c r="S280" s="25">
        <v>1</v>
      </c>
      <c r="T280" s="26">
        <v>0.90909100000000009</v>
      </c>
      <c r="U280" s="24">
        <v>0</v>
      </c>
      <c r="V280" s="19">
        <v>1800</v>
      </c>
      <c r="W280" s="19">
        <v>11760.620000000003</v>
      </c>
      <c r="X280" s="21">
        <v>6.533677777777779</v>
      </c>
      <c r="Y280" s="19">
        <v>2764.1200000000003</v>
      </c>
      <c r="Z280" s="20">
        <v>1.5356222222222224</v>
      </c>
      <c r="AA280" s="30">
        <v>0.10179999999999995</v>
      </c>
      <c r="AB280" s="27">
        <v>9.4E-2</v>
      </c>
      <c r="AC280" s="27">
        <v>0.1125</v>
      </c>
      <c r="AD280" s="11">
        <v>0.10372218567321803</v>
      </c>
    </row>
    <row r="281" spans="1:30" x14ac:dyDescent="0.25">
      <c r="A281" s="13">
        <v>43875</v>
      </c>
      <c r="B281" s="46" t="s">
        <v>636</v>
      </c>
      <c r="C281" s="13">
        <v>43875</v>
      </c>
      <c r="D281" s="15" t="s">
        <v>49</v>
      </c>
      <c r="E281" s="15">
        <v>182</v>
      </c>
      <c r="F281" s="15">
        <v>180</v>
      </c>
      <c r="G281" s="13">
        <v>44057</v>
      </c>
      <c r="H281" s="16">
        <v>1800</v>
      </c>
      <c r="I281" s="18">
        <v>7165.46</v>
      </c>
      <c r="J281" s="20">
        <v>3.9808111111111084</v>
      </c>
      <c r="K281" s="19">
        <v>1709.9</v>
      </c>
      <c r="L281" s="20">
        <v>0.94994444444444448</v>
      </c>
      <c r="M281" s="21">
        <v>0</v>
      </c>
      <c r="N281" s="22">
        <v>0</v>
      </c>
      <c r="O281" s="23">
        <v>360</v>
      </c>
      <c r="P281" s="24">
        <v>210</v>
      </c>
      <c r="Q281" s="25">
        <v>0.58333333333333337</v>
      </c>
      <c r="R281" s="24">
        <v>210</v>
      </c>
      <c r="S281" s="25">
        <v>0.58333333333333337</v>
      </c>
      <c r="T281" s="26">
        <v>0</v>
      </c>
      <c r="U281" s="24">
        <v>0</v>
      </c>
      <c r="V281" s="19">
        <v>2160</v>
      </c>
      <c r="W281" s="19">
        <v>7375.46</v>
      </c>
      <c r="X281" s="21">
        <v>3.4145648148148147</v>
      </c>
      <c r="Y281" s="19">
        <v>1919.9</v>
      </c>
      <c r="Z281" s="20">
        <v>0.88884259259259268</v>
      </c>
      <c r="AA281" s="30">
        <v>8.9400000000000118E-2</v>
      </c>
      <c r="AB281" s="27">
        <v>7.8E-2</v>
      </c>
      <c r="AC281" s="27">
        <v>0.1066</v>
      </c>
      <c r="AD281" s="11">
        <v>9.2527724668060404E-2</v>
      </c>
    </row>
    <row r="282" spans="1:30" x14ac:dyDescent="0.25">
      <c r="A282" s="13">
        <v>43878</v>
      </c>
      <c r="B282" s="46" t="s">
        <v>636</v>
      </c>
      <c r="C282" s="13">
        <v>43878</v>
      </c>
      <c r="D282" s="15" t="s">
        <v>50</v>
      </c>
      <c r="E282" s="15">
        <v>28</v>
      </c>
      <c r="F282" s="15">
        <v>30</v>
      </c>
      <c r="G282" s="13">
        <v>43906</v>
      </c>
      <c r="H282" s="16">
        <v>1500</v>
      </c>
      <c r="I282" s="18">
        <v>8488.02</v>
      </c>
      <c r="J282" s="20">
        <v>5.6586799999999995</v>
      </c>
      <c r="K282" s="19">
        <v>3000</v>
      </c>
      <c r="L282" s="20">
        <v>2</v>
      </c>
      <c r="M282" s="21">
        <v>0.77700000000000002</v>
      </c>
      <c r="N282" s="22">
        <v>0</v>
      </c>
      <c r="O282" s="23">
        <v>300</v>
      </c>
      <c r="P282" s="24">
        <v>107</v>
      </c>
      <c r="Q282" s="25">
        <v>0.35666666666666663</v>
      </c>
      <c r="R282" s="24">
        <v>107</v>
      </c>
      <c r="S282" s="25">
        <v>0.35666666666666669</v>
      </c>
      <c r="T282" s="26">
        <v>0</v>
      </c>
      <c r="U282" s="24">
        <v>0</v>
      </c>
      <c r="V282" s="19">
        <v>1800</v>
      </c>
      <c r="W282" s="19">
        <v>8595.02</v>
      </c>
      <c r="X282" s="21">
        <v>4.7750111111111115</v>
      </c>
      <c r="Y282" s="19">
        <v>3107</v>
      </c>
      <c r="Z282" s="20">
        <v>1.7261111111111112</v>
      </c>
      <c r="AA282" s="30">
        <v>6.0900000000000079E-2</v>
      </c>
      <c r="AB282" s="27">
        <v>0.05</v>
      </c>
      <c r="AC282" s="27">
        <v>7.8E-2</v>
      </c>
      <c r="AD282" s="11">
        <v>6.6163839152122594E-2</v>
      </c>
    </row>
    <row r="283" spans="1:30" x14ac:dyDescent="0.25">
      <c r="A283" s="13">
        <v>43879</v>
      </c>
      <c r="B283" s="46" t="s">
        <v>636</v>
      </c>
      <c r="C283" s="13">
        <v>43880</v>
      </c>
      <c r="D283" s="15" t="s">
        <v>51</v>
      </c>
      <c r="E283" s="15">
        <v>742</v>
      </c>
      <c r="F283" s="15">
        <v>720</v>
      </c>
      <c r="G283" s="13">
        <v>44622</v>
      </c>
      <c r="H283" s="16">
        <v>400</v>
      </c>
      <c r="I283" s="18">
        <v>4520</v>
      </c>
      <c r="J283" s="20">
        <v>11.3</v>
      </c>
      <c r="K283" s="19">
        <v>470</v>
      </c>
      <c r="L283" s="20">
        <v>1.175</v>
      </c>
      <c r="M283" s="21">
        <v>0</v>
      </c>
      <c r="N283" s="22">
        <v>0</v>
      </c>
      <c r="O283" s="23">
        <v>80</v>
      </c>
      <c r="P283" s="24">
        <v>100</v>
      </c>
      <c r="Q283" s="25">
        <v>1.25</v>
      </c>
      <c r="R283" s="24">
        <v>80</v>
      </c>
      <c r="S283" s="25">
        <v>1</v>
      </c>
      <c r="T283" s="26">
        <v>0.8</v>
      </c>
      <c r="U283" s="24">
        <v>0</v>
      </c>
      <c r="V283" s="19">
        <v>480</v>
      </c>
      <c r="W283" s="19">
        <v>4620</v>
      </c>
      <c r="X283" s="21">
        <v>9.625</v>
      </c>
      <c r="Y283" s="19">
        <v>550</v>
      </c>
      <c r="Z283" s="20">
        <v>1.1458333333333333</v>
      </c>
      <c r="AA283" s="30">
        <v>9.9699999999999955E-2</v>
      </c>
      <c r="AB283" s="27">
        <v>9.64E-2</v>
      </c>
      <c r="AC283" s="27">
        <v>0.11</v>
      </c>
      <c r="AD283" s="11">
        <v>0.10345022123893806</v>
      </c>
    </row>
    <row r="284" spans="1:30" x14ac:dyDescent="0.25">
      <c r="A284" s="13">
        <v>43880</v>
      </c>
      <c r="B284" s="46" t="s">
        <v>636</v>
      </c>
      <c r="C284" s="13">
        <v>43880</v>
      </c>
      <c r="D284" s="15" t="s">
        <v>52</v>
      </c>
      <c r="E284" s="15">
        <v>86</v>
      </c>
      <c r="F284" s="15">
        <v>90</v>
      </c>
      <c r="G284" s="13">
        <v>43966</v>
      </c>
      <c r="H284" s="16">
        <v>1500</v>
      </c>
      <c r="I284" s="18">
        <v>7065.01</v>
      </c>
      <c r="J284" s="20">
        <v>4.7100066666666667</v>
      </c>
      <c r="K284" s="19">
        <v>3000</v>
      </c>
      <c r="L284" s="20">
        <v>2</v>
      </c>
      <c r="M284" s="21">
        <v>0.63749999999999996</v>
      </c>
      <c r="N284" s="22">
        <v>0</v>
      </c>
      <c r="O284" s="23">
        <v>300</v>
      </c>
      <c r="P284" s="24">
        <v>310</v>
      </c>
      <c r="Q284" s="25">
        <v>1.0333333333333334</v>
      </c>
      <c r="R284" s="24">
        <v>300</v>
      </c>
      <c r="S284" s="25">
        <v>1</v>
      </c>
      <c r="T284" s="26">
        <v>0.9677420000000001</v>
      </c>
      <c r="U284" s="24">
        <v>0</v>
      </c>
      <c r="V284" s="19">
        <v>1800</v>
      </c>
      <c r="W284" s="19">
        <v>7375.01</v>
      </c>
      <c r="X284" s="21">
        <v>4.0972277777777775</v>
      </c>
      <c r="Y284" s="19">
        <v>3300</v>
      </c>
      <c r="Z284" s="20">
        <v>1.8333333333333333</v>
      </c>
      <c r="AA284" s="30">
        <v>7.1299999999999947E-2</v>
      </c>
      <c r="AB284" s="27">
        <v>0.06</v>
      </c>
      <c r="AC284" s="27">
        <v>8.4900000000000003E-2</v>
      </c>
      <c r="AD284" s="11">
        <v>7.3447277498545668E-2</v>
      </c>
    </row>
    <row r="285" spans="1:30" x14ac:dyDescent="0.25">
      <c r="A285" s="13">
        <v>43881</v>
      </c>
      <c r="B285" s="46" t="s">
        <v>636</v>
      </c>
      <c r="C285" s="13">
        <v>43882</v>
      </c>
      <c r="D285" s="15" t="s">
        <v>53</v>
      </c>
      <c r="E285" s="15">
        <v>364</v>
      </c>
      <c r="F285" s="15">
        <v>360</v>
      </c>
      <c r="G285" s="13">
        <v>44246</v>
      </c>
      <c r="H285" s="16">
        <v>1500</v>
      </c>
      <c r="I285" s="18">
        <v>5442.79</v>
      </c>
      <c r="J285" s="20">
        <v>3.6285266666666671</v>
      </c>
      <c r="K285" s="19">
        <v>1398.02</v>
      </c>
      <c r="L285" s="20">
        <v>0.93201333333333336</v>
      </c>
      <c r="M285" s="21">
        <v>0</v>
      </c>
      <c r="N285" s="22">
        <v>0</v>
      </c>
      <c r="O285" s="23">
        <v>300</v>
      </c>
      <c r="P285" s="24">
        <v>30</v>
      </c>
      <c r="Q285" s="25">
        <v>0.1</v>
      </c>
      <c r="R285" s="24">
        <v>30</v>
      </c>
      <c r="S285" s="25">
        <v>0.1</v>
      </c>
      <c r="T285" s="26">
        <v>0</v>
      </c>
      <c r="U285" s="24">
        <v>0</v>
      </c>
      <c r="V285" s="19">
        <v>1800</v>
      </c>
      <c r="W285" s="19">
        <v>5472.79</v>
      </c>
      <c r="X285" s="21">
        <v>3.0404388888888887</v>
      </c>
      <c r="Y285" s="19">
        <v>1428.02</v>
      </c>
      <c r="Z285" s="20">
        <v>0.79334444444444441</v>
      </c>
      <c r="AA285" s="30">
        <v>9.580000000000001E-2</v>
      </c>
      <c r="AB285" s="27">
        <v>8.5000000000000006E-2</v>
      </c>
      <c r="AC285" s="27">
        <v>0.10800000000000001</v>
      </c>
      <c r="AD285" s="11">
        <v>9.8595139625081998E-2</v>
      </c>
    </row>
    <row r="286" spans="1:30" x14ac:dyDescent="0.25">
      <c r="A286" s="13">
        <v>43882</v>
      </c>
      <c r="B286" s="46" t="s">
        <v>636</v>
      </c>
      <c r="C286" s="13">
        <v>43882</v>
      </c>
      <c r="D286" s="15" t="s">
        <v>54</v>
      </c>
      <c r="E286" s="15">
        <v>175</v>
      </c>
      <c r="F286" s="15">
        <v>180</v>
      </c>
      <c r="G286" s="13">
        <v>44057</v>
      </c>
      <c r="H286" s="16">
        <v>1500</v>
      </c>
      <c r="I286" s="18">
        <v>3705.8400000000011</v>
      </c>
      <c r="J286" s="20">
        <v>2.4705600000000016</v>
      </c>
      <c r="K286" s="19">
        <v>1822.3000000000002</v>
      </c>
      <c r="L286" s="20">
        <v>1.2148666666666668</v>
      </c>
      <c r="M286" s="21">
        <v>0</v>
      </c>
      <c r="N286" s="22">
        <v>0</v>
      </c>
      <c r="O286" s="23">
        <v>300</v>
      </c>
      <c r="P286" s="24">
        <v>6.38</v>
      </c>
      <c r="Q286" s="25">
        <v>2.1266666666666666E-2</v>
      </c>
      <c r="R286" s="24">
        <v>6.38</v>
      </c>
      <c r="S286" s="25">
        <v>2.1266666666666666E-2</v>
      </c>
      <c r="T286" s="26">
        <v>0</v>
      </c>
      <c r="U286" s="24">
        <v>0</v>
      </c>
      <c r="V286" s="19">
        <v>1800</v>
      </c>
      <c r="W286" s="19">
        <v>3712.2200000000012</v>
      </c>
      <c r="X286" s="21">
        <v>2.0623444444444452</v>
      </c>
      <c r="Y286" s="19">
        <v>1828.6800000000003</v>
      </c>
      <c r="Z286" s="20">
        <v>1.0159333333333336</v>
      </c>
      <c r="AA286" s="30">
        <v>8.4999999999999978E-2</v>
      </c>
      <c r="AB286" s="27">
        <v>6.9000000000000006E-2</v>
      </c>
      <c r="AC286" s="27">
        <v>9.3299999999999994E-2</v>
      </c>
      <c r="AD286" s="11">
        <v>8.3654153714137647E-2</v>
      </c>
    </row>
    <row r="287" spans="1:30" x14ac:dyDescent="0.25">
      <c r="A287" s="13">
        <v>43887</v>
      </c>
      <c r="B287" s="46" t="s">
        <v>636</v>
      </c>
      <c r="C287" s="13">
        <v>43888</v>
      </c>
      <c r="D287" s="15" t="s">
        <v>55</v>
      </c>
      <c r="E287" s="15">
        <v>734</v>
      </c>
      <c r="F287" s="15">
        <v>720</v>
      </c>
      <c r="G287" s="13">
        <v>44622</v>
      </c>
      <c r="H287" s="16">
        <v>1250</v>
      </c>
      <c r="I287" s="18">
        <v>3290</v>
      </c>
      <c r="J287" s="20">
        <v>2.6320000000000006</v>
      </c>
      <c r="K287" s="19">
        <v>2115</v>
      </c>
      <c r="L287" s="20">
        <v>1.6919999999999999</v>
      </c>
      <c r="M287" s="21">
        <v>0</v>
      </c>
      <c r="N287" s="22">
        <v>0</v>
      </c>
      <c r="O287" s="23">
        <v>250</v>
      </c>
      <c r="P287" s="24">
        <v>20</v>
      </c>
      <c r="Q287" s="25">
        <v>0.08</v>
      </c>
      <c r="R287" s="24">
        <v>20</v>
      </c>
      <c r="S287" s="25">
        <v>0.08</v>
      </c>
      <c r="T287" s="26">
        <v>0</v>
      </c>
      <c r="U287" s="24">
        <v>0</v>
      </c>
      <c r="V287" s="19">
        <v>1500</v>
      </c>
      <c r="W287" s="19">
        <v>3310</v>
      </c>
      <c r="X287" s="21">
        <v>2.2066666666666666</v>
      </c>
      <c r="Y287" s="19">
        <v>2135</v>
      </c>
      <c r="Z287" s="20">
        <v>1.4233333333333333</v>
      </c>
      <c r="AA287" s="30">
        <v>0.10490000000000008</v>
      </c>
      <c r="AB287" s="27">
        <v>9.6999999999999989E-2</v>
      </c>
      <c r="AC287" s="27">
        <v>0.115</v>
      </c>
      <c r="AD287" s="11">
        <v>0.10542431610942253</v>
      </c>
    </row>
    <row r="288" spans="1:30" x14ac:dyDescent="0.25">
      <c r="A288" s="13">
        <v>43888</v>
      </c>
      <c r="B288" s="46" t="s">
        <v>636</v>
      </c>
      <c r="C288" s="13">
        <v>43889</v>
      </c>
      <c r="D288" s="15" t="s">
        <v>56</v>
      </c>
      <c r="E288" s="15">
        <v>357</v>
      </c>
      <c r="F288" s="15">
        <v>360</v>
      </c>
      <c r="G288" s="13">
        <v>44246</v>
      </c>
      <c r="H288" s="16">
        <v>2500</v>
      </c>
      <c r="I288" s="18">
        <v>5823.29</v>
      </c>
      <c r="J288" s="20">
        <v>2.3293160000000013</v>
      </c>
      <c r="K288" s="19">
        <v>3093.2900000000004</v>
      </c>
      <c r="L288" s="20">
        <v>1.2373160000000001</v>
      </c>
      <c r="M288" s="21">
        <v>0</v>
      </c>
      <c r="N288" s="22">
        <v>0</v>
      </c>
      <c r="O288" s="23">
        <v>500</v>
      </c>
      <c r="P288" s="24">
        <v>85</v>
      </c>
      <c r="Q288" s="25">
        <v>0.17</v>
      </c>
      <c r="R288" s="24">
        <v>85</v>
      </c>
      <c r="S288" s="25">
        <v>0.17</v>
      </c>
      <c r="T288" s="26">
        <v>0</v>
      </c>
      <c r="U288" s="24">
        <v>0</v>
      </c>
      <c r="V288" s="19">
        <v>3000</v>
      </c>
      <c r="W288" s="19">
        <v>5908.29</v>
      </c>
      <c r="X288" s="21">
        <v>1.96943</v>
      </c>
      <c r="Y288" s="19">
        <v>3178.2900000000004</v>
      </c>
      <c r="Z288" s="20">
        <v>1.0594300000000001</v>
      </c>
      <c r="AA288" s="30">
        <v>0.10489999999999998</v>
      </c>
      <c r="AB288" s="27">
        <v>0.08</v>
      </c>
      <c r="AC288" s="27">
        <v>0.11359999999999999</v>
      </c>
      <c r="AD288" s="11">
        <v>0.10482851669760565</v>
      </c>
    </row>
    <row r="289" spans="1:30" x14ac:dyDescent="0.25">
      <c r="A289" s="13">
        <v>43892</v>
      </c>
      <c r="B289" s="46" t="s">
        <v>636</v>
      </c>
      <c r="C289" s="13">
        <v>43892</v>
      </c>
      <c r="D289" s="15" t="s">
        <v>57</v>
      </c>
      <c r="E289" s="15">
        <v>28</v>
      </c>
      <c r="F289" s="15">
        <v>30</v>
      </c>
      <c r="G289" s="13">
        <v>43920</v>
      </c>
      <c r="H289" s="16">
        <v>1800</v>
      </c>
      <c r="I289" s="18">
        <v>4061.8000000000006</v>
      </c>
      <c r="J289" s="20">
        <v>2.256555555555555</v>
      </c>
      <c r="K289" s="19">
        <v>3324.9200000000005</v>
      </c>
      <c r="L289" s="48">
        <v>1.847177777777778</v>
      </c>
      <c r="M289" s="42">
        <v>0</v>
      </c>
      <c r="N289" s="22">
        <v>0</v>
      </c>
      <c r="O289" s="23">
        <v>360</v>
      </c>
      <c r="P289" s="24">
        <v>25.490000000000002</v>
      </c>
      <c r="Q289" s="25">
        <v>7.0805555555555552E-2</v>
      </c>
      <c r="R289" s="24">
        <v>25.490000000000002</v>
      </c>
      <c r="S289" s="50">
        <v>7.0805555555555566E-2</v>
      </c>
      <c r="T289" s="43">
        <v>0</v>
      </c>
      <c r="U289" s="24">
        <v>0</v>
      </c>
      <c r="V289" s="19">
        <v>2160</v>
      </c>
      <c r="W289" s="19">
        <v>4087.2900000000004</v>
      </c>
      <c r="X289" s="21">
        <v>1.8922638888888892</v>
      </c>
      <c r="Y289" s="19">
        <v>3350.4100000000003</v>
      </c>
      <c r="Z289" s="20">
        <v>1.551115740740741</v>
      </c>
      <c r="AA289" s="30">
        <v>7.5000000000000108E-2</v>
      </c>
      <c r="AB289" s="27">
        <v>4.4500000000000005E-2</v>
      </c>
      <c r="AC289" s="27">
        <v>8.4000000000000005E-2</v>
      </c>
      <c r="AD289" s="11">
        <v>6.882183760894181E-2</v>
      </c>
    </row>
    <row r="290" spans="1:30" x14ac:dyDescent="0.25">
      <c r="A290" s="13">
        <v>43893</v>
      </c>
      <c r="B290" s="46" t="s">
        <v>636</v>
      </c>
      <c r="C290" s="13">
        <v>43894</v>
      </c>
      <c r="D290" s="15" t="s">
        <v>58</v>
      </c>
      <c r="E290" s="15">
        <v>728</v>
      </c>
      <c r="F290" s="15">
        <v>720</v>
      </c>
      <c r="G290" s="13">
        <v>44622</v>
      </c>
      <c r="H290" s="16">
        <v>400</v>
      </c>
      <c r="I290" s="18">
        <v>1550</v>
      </c>
      <c r="J290" s="20">
        <v>3.875</v>
      </c>
      <c r="K290" s="19">
        <v>400</v>
      </c>
      <c r="L290" s="48">
        <v>1</v>
      </c>
      <c r="M290" s="42">
        <v>0</v>
      </c>
      <c r="N290" s="22">
        <v>0</v>
      </c>
      <c r="O290" s="23">
        <v>80</v>
      </c>
      <c r="P290" s="24">
        <v>20</v>
      </c>
      <c r="Q290" s="25">
        <v>0.25</v>
      </c>
      <c r="R290" s="24">
        <v>20</v>
      </c>
      <c r="S290" s="50">
        <v>0.25</v>
      </c>
      <c r="T290" s="43">
        <v>0</v>
      </c>
      <c r="U290" s="24">
        <v>0</v>
      </c>
      <c r="V290" s="19">
        <v>480</v>
      </c>
      <c r="W290" s="19">
        <v>1570</v>
      </c>
      <c r="X290" s="21">
        <v>3.2708333333333335</v>
      </c>
      <c r="Y290" s="19">
        <v>420</v>
      </c>
      <c r="Z290" s="20">
        <v>0.875</v>
      </c>
      <c r="AA290" s="30">
        <v>0.10600000000000004</v>
      </c>
      <c r="AB290" s="27">
        <v>0.10439999999999999</v>
      </c>
      <c r="AC290" s="27">
        <v>0.1124</v>
      </c>
      <c r="AD290" s="11">
        <v>0.10828064516129032</v>
      </c>
    </row>
    <row r="291" spans="1:30" x14ac:dyDescent="0.25">
      <c r="A291" s="13">
        <v>43894</v>
      </c>
      <c r="B291" s="46" t="s">
        <v>636</v>
      </c>
      <c r="C291" s="13">
        <v>43894</v>
      </c>
      <c r="D291" s="15" t="s">
        <v>59</v>
      </c>
      <c r="E291" s="15">
        <v>84</v>
      </c>
      <c r="F291" s="15">
        <v>90</v>
      </c>
      <c r="G291" s="13">
        <v>43978</v>
      </c>
      <c r="H291" s="16">
        <v>1500</v>
      </c>
      <c r="I291" s="18">
        <v>3134.6199999999994</v>
      </c>
      <c r="J291" s="20">
        <v>2.0897466666666666</v>
      </c>
      <c r="K291" s="19">
        <v>1773.02</v>
      </c>
      <c r="L291" s="48">
        <v>1.1820133333333334</v>
      </c>
      <c r="M291" s="42">
        <v>0</v>
      </c>
      <c r="N291" s="22">
        <v>0</v>
      </c>
      <c r="O291" s="23">
        <v>300</v>
      </c>
      <c r="P291" s="24">
        <v>26</v>
      </c>
      <c r="Q291" s="25">
        <v>8.666666666666667E-2</v>
      </c>
      <c r="R291" s="24">
        <v>26</v>
      </c>
      <c r="S291" s="50">
        <v>8.666666666666667E-2</v>
      </c>
      <c r="T291" s="43">
        <v>0</v>
      </c>
      <c r="U291" s="24">
        <v>0</v>
      </c>
      <c r="V291" s="19">
        <v>1800</v>
      </c>
      <c r="W291" s="19">
        <v>3160.6199999999994</v>
      </c>
      <c r="X291" s="21">
        <v>1.7558999999999998</v>
      </c>
      <c r="Y291" s="19">
        <v>1799.02</v>
      </c>
      <c r="Z291" s="20">
        <v>0.99945555555555554</v>
      </c>
      <c r="AA291" s="30">
        <v>8.1500000000000045E-2</v>
      </c>
      <c r="AB291" s="27">
        <v>0.06</v>
      </c>
      <c r="AC291" s="27">
        <v>9.1499999999999998E-2</v>
      </c>
      <c r="AD291" s="11">
        <v>8.104166374233561E-2</v>
      </c>
    </row>
    <row r="292" spans="1:30" x14ac:dyDescent="0.25">
      <c r="A292" s="13">
        <v>43895</v>
      </c>
      <c r="B292" s="46" t="s">
        <v>636</v>
      </c>
      <c r="C292" s="13">
        <v>43896</v>
      </c>
      <c r="D292" s="15" t="s">
        <v>60</v>
      </c>
      <c r="E292" s="15">
        <v>350</v>
      </c>
      <c r="F292" s="15">
        <v>360</v>
      </c>
      <c r="G292" s="13">
        <v>44246</v>
      </c>
      <c r="H292" s="16">
        <v>1600</v>
      </c>
      <c r="I292" s="18">
        <v>7542.2300000000014</v>
      </c>
      <c r="J292" s="20">
        <v>4.7138937500000004</v>
      </c>
      <c r="K292" s="19">
        <v>3199.9999999999995</v>
      </c>
      <c r="L292" s="48">
        <v>1.9999999999999998</v>
      </c>
      <c r="M292" s="42">
        <v>0.4914</v>
      </c>
      <c r="N292" s="22">
        <v>0</v>
      </c>
      <c r="O292" s="23">
        <v>320</v>
      </c>
      <c r="P292" s="24">
        <v>415</v>
      </c>
      <c r="Q292" s="25">
        <v>1.296875</v>
      </c>
      <c r="R292" s="24">
        <v>320.00000000000006</v>
      </c>
      <c r="S292" s="50">
        <v>1.0000000000000002</v>
      </c>
      <c r="T292" s="43">
        <v>0.7710866666666667</v>
      </c>
      <c r="U292" s="24">
        <v>0</v>
      </c>
      <c r="V292" s="19">
        <v>1920</v>
      </c>
      <c r="W292" s="19">
        <v>7957.2300000000014</v>
      </c>
      <c r="X292" s="21">
        <v>4.1443906250000007</v>
      </c>
      <c r="Y292" s="19">
        <v>3519.9999999999995</v>
      </c>
      <c r="Z292" s="20">
        <v>1.833333333333333</v>
      </c>
      <c r="AA292" s="30">
        <v>0.10440000000000003</v>
      </c>
      <c r="AB292" s="27">
        <v>0.08</v>
      </c>
      <c r="AC292" s="27">
        <v>0.1119</v>
      </c>
      <c r="AD292" s="11">
        <v>0.10445898958265658</v>
      </c>
    </row>
    <row r="293" spans="1:30" x14ac:dyDescent="0.25">
      <c r="A293" s="13">
        <v>43896</v>
      </c>
      <c r="B293" s="46" t="s">
        <v>636</v>
      </c>
      <c r="C293" s="13">
        <v>43896</v>
      </c>
      <c r="D293" s="15" t="s">
        <v>61</v>
      </c>
      <c r="E293" s="15">
        <v>189</v>
      </c>
      <c r="F293" s="15">
        <v>180</v>
      </c>
      <c r="G293" s="13">
        <v>44085</v>
      </c>
      <c r="H293" s="16">
        <v>1000</v>
      </c>
      <c r="I293" s="18">
        <v>2671.3399999999992</v>
      </c>
      <c r="J293" s="20">
        <v>2.6713399999999994</v>
      </c>
      <c r="K293" s="19">
        <v>2000</v>
      </c>
      <c r="L293" s="48">
        <v>2</v>
      </c>
      <c r="M293" s="42">
        <v>0.12886666666666666</v>
      </c>
      <c r="N293" s="22">
        <v>0</v>
      </c>
      <c r="O293" s="23">
        <v>200</v>
      </c>
      <c r="P293" s="24">
        <v>101</v>
      </c>
      <c r="Q293" s="25">
        <v>0.505</v>
      </c>
      <c r="R293" s="24">
        <v>101</v>
      </c>
      <c r="S293" s="50">
        <v>0.505</v>
      </c>
      <c r="T293" s="43">
        <v>0</v>
      </c>
      <c r="U293" s="24">
        <v>0</v>
      </c>
      <c r="V293" s="19">
        <v>1200</v>
      </c>
      <c r="W293" s="19">
        <v>2772.3399999999992</v>
      </c>
      <c r="X293" s="21">
        <v>2.3102833333333326</v>
      </c>
      <c r="Y293" s="19">
        <v>2101</v>
      </c>
      <c r="Z293" s="20">
        <v>1.7508333333333332</v>
      </c>
      <c r="AA293" s="30">
        <v>9.2999999999999985E-2</v>
      </c>
      <c r="AB293" s="27">
        <v>7.0000000000000007E-2</v>
      </c>
      <c r="AC293" s="27">
        <v>0.1103</v>
      </c>
      <c r="AD293" s="11">
        <v>8.7953835902580768E-2</v>
      </c>
    </row>
    <row r="294" spans="1:30" x14ac:dyDescent="0.25">
      <c r="A294" s="13">
        <v>43899</v>
      </c>
      <c r="B294" s="46" t="s">
        <v>636</v>
      </c>
      <c r="C294" s="13">
        <v>43899</v>
      </c>
      <c r="D294" s="15" t="s">
        <v>62</v>
      </c>
      <c r="E294" s="15">
        <v>28</v>
      </c>
      <c r="F294" s="15">
        <v>30</v>
      </c>
      <c r="G294" s="13">
        <v>43927</v>
      </c>
      <c r="H294" s="16">
        <v>3000</v>
      </c>
      <c r="I294" s="18">
        <v>2307.09</v>
      </c>
      <c r="J294" s="20">
        <v>0.76902999999999977</v>
      </c>
      <c r="K294" s="19">
        <v>1657.09</v>
      </c>
      <c r="L294" s="48">
        <v>0.55236333333333332</v>
      </c>
      <c r="M294" s="42">
        <v>0</v>
      </c>
      <c r="N294" s="22">
        <v>0</v>
      </c>
      <c r="O294" s="23">
        <v>600</v>
      </c>
      <c r="P294" s="24">
        <v>20</v>
      </c>
      <c r="Q294" s="25">
        <v>3.3333333333333333E-2</v>
      </c>
      <c r="R294" s="24">
        <v>20</v>
      </c>
      <c r="S294" s="50">
        <v>3.3333333333333333E-2</v>
      </c>
      <c r="T294" s="43">
        <v>0</v>
      </c>
      <c r="U294" s="24">
        <v>0</v>
      </c>
      <c r="V294" s="19">
        <v>3600</v>
      </c>
      <c r="W294" s="19">
        <v>2327.09</v>
      </c>
      <c r="X294" s="21">
        <v>0.64641388888888895</v>
      </c>
      <c r="Y294" s="19">
        <v>1677.09</v>
      </c>
      <c r="Z294" s="20">
        <v>0.46585833333333332</v>
      </c>
      <c r="AA294" s="30">
        <v>7.9899999999999957E-2</v>
      </c>
      <c r="AB294" s="27">
        <v>0.06</v>
      </c>
      <c r="AC294" s="27">
        <v>8.6400000000000005E-2</v>
      </c>
      <c r="AD294" s="11">
        <v>7.3699438686830598E-2</v>
      </c>
    </row>
    <row r="295" spans="1:30" x14ac:dyDescent="0.25">
      <c r="A295" s="13">
        <v>43900</v>
      </c>
      <c r="B295" s="46" t="s">
        <v>636</v>
      </c>
      <c r="C295" s="13">
        <v>43901</v>
      </c>
      <c r="D295" s="15" t="s">
        <v>63</v>
      </c>
      <c r="E295" s="15">
        <v>721</v>
      </c>
      <c r="F295" s="15">
        <v>720</v>
      </c>
      <c r="G295" s="13">
        <v>44622</v>
      </c>
      <c r="H295" s="16">
        <v>1000</v>
      </c>
      <c r="I295" s="18">
        <v>2036.35</v>
      </c>
      <c r="J295" s="20">
        <v>2.0363500000000001</v>
      </c>
      <c r="K295" s="19">
        <v>1236.3499999999999</v>
      </c>
      <c r="L295" s="48">
        <v>1.2363499999999998</v>
      </c>
      <c r="M295" s="42">
        <v>0</v>
      </c>
      <c r="N295" s="22">
        <v>0</v>
      </c>
      <c r="O295" s="23">
        <v>200</v>
      </c>
      <c r="P295" s="24">
        <v>20</v>
      </c>
      <c r="Q295" s="25">
        <v>0.1</v>
      </c>
      <c r="R295" s="24">
        <v>20</v>
      </c>
      <c r="S295" s="50">
        <v>0.1</v>
      </c>
      <c r="T295" s="43">
        <v>0</v>
      </c>
      <c r="U295" s="24">
        <v>0</v>
      </c>
      <c r="V295" s="19">
        <v>1200</v>
      </c>
      <c r="W295" s="19">
        <v>2056.35</v>
      </c>
      <c r="X295" s="21">
        <v>1.713625</v>
      </c>
      <c r="Y295" s="19">
        <v>1256.3499999999999</v>
      </c>
      <c r="Z295" s="20">
        <v>1.0469583333333332</v>
      </c>
      <c r="AA295" s="30">
        <v>0.11289999999999999</v>
      </c>
      <c r="AB295" s="27">
        <v>9.3000000000000013E-2</v>
      </c>
      <c r="AC295" s="27">
        <v>0.11599999999999999</v>
      </c>
      <c r="AD295" s="11">
        <v>0.11290669580376655</v>
      </c>
    </row>
    <row r="296" spans="1:30" x14ac:dyDescent="0.25">
      <c r="A296" s="13">
        <v>43901</v>
      </c>
      <c r="B296" s="46" t="s">
        <v>636</v>
      </c>
      <c r="C296" s="13">
        <v>43901</v>
      </c>
      <c r="D296" s="15" t="s">
        <v>64</v>
      </c>
      <c r="E296" s="15">
        <v>77</v>
      </c>
      <c r="F296" s="15">
        <v>90</v>
      </c>
      <c r="G296" s="13">
        <v>43978</v>
      </c>
      <c r="H296" s="16">
        <v>2500</v>
      </c>
      <c r="I296" s="18">
        <v>2159</v>
      </c>
      <c r="J296" s="20">
        <v>0.86359999999999992</v>
      </c>
      <c r="K296" s="19">
        <v>658.60000000000014</v>
      </c>
      <c r="L296" s="48">
        <v>0.26344000000000006</v>
      </c>
      <c r="M296" s="42">
        <v>0</v>
      </c>
      <c r="N296" s="22">
        <v>0</v>
      </c>
      <c r="O296" s="23">
        <v>500</v>
      </c>
      <c r="P296" s="24">
        <v>150.5</v>
      </c>
      <c r="Q296" s="25">
        <v>0.30100000000000005</v>
      </c>
      <c r="R296" s="24">
        <v>131.72</v>
      </c>
      <c r="S296" s="50">
        <v>0.26344000000000001</v>
      </c>
      <c r="T296" s="43">
        <v>0.8752160000000001</v>
      </c>
      <c r="U296" s="24">
        <v>0</v>
      </c>
      <c r="V296" s="19">
        <v>3000</v>
      </c>
      <c r="W296" s="19">
        <v>2309.5</v>
      </c>
      <c r="X296" s="21">
        <v>0.76983333333333337</v>
      </c>
      <c r="Y296" s="19">
        <v>790.32000000000016</v>
      </c>
      <c r="Z296" s="20">
        <v>0.26344000000000006</v>
      </c>
      <c r="AA296" s="30">
        <v>8.4000000000000047E-2</v>
      </c>
      <c r="AB296" s="27">
        <v>6.7000000000000004E-2</v>
      </c>
      <c r="AC296" s="27">
        <v>0.1023</v>
      </c>
      <c r="AD296" s="11">
        <v>8.9238244557665602E-2</v>
      </c>
    </row>
    <row r="297" spans="1:30" x14ac:dyDescent="0.25">
      <c r="A297" s="13">
        <v>43902</v>
      </c>
      <c r="B297" s="46" t="s">
        <v>636</v>
      </c>
      <c r="C297" s="13">
        <v>43903</v>
      </c>
      <c r="D297" s="15" t="s">
        <v>65</v>
      </c>
      <c r="E297" s="15">
        <v>343</v>
      </c>
      <c r="F297" s="15">
        <v>360</v>
      </c>
      <c r="G297" s="13">
        <v>44246</v>
      </c>
      <c r="H297" s="16">
        <v>2500</v>
      </c>
      <c r="I297" s="18">
        <v>4633.66</v>
      </c>
      <c r="J297" s="20">
        <v>1.8534640000000004</v>
      </c>
      <c r="K297" s="19">
        <v>2333.66</v>
      </c>
      <c r="L297" s="48">
        <v>0.93346399999999996</v>
      </c>
      <c r="M297" s="42">
        <v>0</v>
      </c>
      <c r="N297" s="22">
        <v>0</v>
      </c>
      <c r="O297" s="23">
        <v>500</v>
      </c>
      <c r="P297" s="24">
        <v>500</v>
      </c>
      <c r="Q297" s="25">
        <v>1</v>
      </c>
      <c r="R297" s="24">
        <v>466.73200000000003</v>
      </c>
      <c r="S297" s="50">
        <v>0.93346400000000007</v>
      </c>
      <c r="T297" s="43">
        <v>0.93346400000000007</v>
      </c>
      <c r="U297" s="24">
        <v>0</v>
      </c>
      <c r="V297" s="19">
        <v>3000</v>
      </c>
      <c r="W297" s="19">
        <v>5133.66</v>
      </c>
      <c r="X297" s="21">
        <v>1.71122</v>
      </c>
      <c r="Y297" s="19">
        <v>2800.3919999999998</v>
      </c>
      <c r="Z297" s="20">
        <v>0.93346399999999996</v>
      </c>
      <c r="AA297" s="30">
        <v>0.11289999999999989</v>
      </c>
      <c r="AB297" s="27">
        <v>8.5000000000000006E-2</v>
      </c>
      <c r="AC297" s="27">
        <v>0.13</v>
      </c>
      <c r="AD297" s="11">
        <v>0.11373983632808624</v>
      </c>
    </row>
    <row r="298" spans="1:30" x14ac:dyDescent="0.25">
      <c r="A298" s="13">
        <v>43903</v>
      </c>
      <c r="B298" s="46" t="s">
        <v>636</v>
      </c>
      <c r="C298" s="13">
        <v>43903</v>
      </c>
      <c r="D298" s="15" t="s">
        <v>66</v>
      </c>
      <c r="E298" s="15">
        <v>182</v>
      </c>
      <c r="F298" s="15">
        <v>180</v>
      </c>
      <c r="G298" s="13">
        <v>44085</v>
      </c>
      <c r="H298" s="16">
        <v>2000</v>
      </c>
      <c r="I298" s="18">
        <v>2201.86</v>
      </c>
      <c r="J298" s="20">
        <v>1.10093</v>
      </c>
      <c r="K298" s="19">
        <v>1281.8599999999999</v>
      </c>
      <c r="L298" s="48">
        <v>0.64093</v>
      </c>
      <c r="M298" s="42">
        <v>0</v>
      </c>
      <c r="N298" s="22">
        <v>0</v>
      </c>
      <c r="O298" s="23">
        <v>400</v>
      </c>
      <c r="P298" s="24">
        <v>30</v>
      </c>
      <c r="Q298" s="25">
        <v>7.4999999999999997E-2</v>
      </c>
      <c r="R298" s="24">
        <v>30</v>
      </c>
      <c r="S298" s="50">
        <v>7.4999999999999997E-2</v>
      </c>
      <c r="T298" s="43">
        <v>0</v>
      </c>
      <c r="U298" s="24">
        <v>0</v>
      </c>
      <c r="V298" s="19">
        <v>2400</v>
      </c>
      <c r="W298" s="19">
        <v>2231.86</v>
      </c>
      <c r="X298" s="21">
        <v>0.92994166666666667</v>
      </c>
      <c r="Y298" s="19">
        <v>1311.86</v>
      </c>
      <c r="Z298" s="20">
        <v>0.54660833333333325</v>
      </c>
      <c r="AA298" s="30">
        <v>0.10000000000000005</v>
      </c>
      <c r="AB298" s="27">
        <v>7.4999999999999997E-2</v>
      </c>
      <c r="AC298" s="27">
        <v>0.1114</v>
      </c>
      <c r="AD298" s="11">
        <v>9.9732113758367921E-2</v>
      </c>
    </row>
    <row r="299" spans="1:30" x14ac:dyDescent="0.25">
      <c r="A299" s="13">
        <v>43906</v>
      </c>
      <c r="B299" s="46" t="s">
        <v>636</v>
      </c>
      <c r="C299" s="13">
        <v>43906</v>
      </c>
      <c r="D299" s="15" t="s">
        <v>67</v>
      </c>
      <c r="E299" s="15">
        <v>28</v>
      </c>
      <c r="F299" s="15">
        <v>30</v>
      </c>
      <c r="G299" s="13">
        <v>43934</v>
      </c>
      <c r="H299" s="16">
        <v>2000</v>
      </c>
      <c r="I299" s="18">
        <v>665.29</v>
      </c>
      <c r="J299" s="20">
        <v>0.33264500000000002</v>
      </c>
      <c r="K299" s="19">
        <v>665.29</v>
      </c>
      <c r="L299" s="48">
        <v>0.33264499999999997</v>
      </c>
      <c r="M299" s="42">
        <v>0</v>
      </c>
      <c r="N299" s="22">
        <v>0</v>
      </c>
      <c r="O299" s="23">
        <v>400</v>
      </c>
      <c r="P299" s="24">
        <v>10</v>
      </c>
      <c r="Q299" s="25">
        <v>2.5000000000000001E-2</v>
      </c>
      <c r="R299" s="24">
        <v>10</v>
      </c>
      <c r="S299" s="50">
        <v>2.5000000000000001E-2</v>
      </c>
      <c r="T299" s="43">
        <v>0</v>
      </c>
      <c r="U299" s="24">
        <v>0</v>
      </c>
      <c r="V299" s="19">
        <v>2400</v>
      </c>
      <c r="W299" s="19">
        <v>675.29</v>
      </c>
      <c r="X299" s="21">
        <v>0.28137083333333329</v>
      </c>
      <c r="Y299" s="19">
        <v>675.29</v>
      </c>
      <c r="Z299" s="20">
        <v>0.28137083333333329</v>
      </c>
      <c r="AA299" s="30">
        <v>8.2999999999999977E-2</v>
      </c>
      <c r="AB299" s="27">
        <v>0.06</v>
      </c>
      <c r="AC299" s="27">
        <v>8.3000000000000004E-2</v>
      </c>
      <c r="AD299" s="11">
        <v>7.464023207924364E-2</v>
      </c>
    </row>
    <row r="300" spans="1:30" x14ac:dyDescent="0.25">
      <c r="A300" s="13">
        <v>43907</v>
      </c>
      <c r="B300" s="46" t="s">
        <v>636</v>
      </c>
      <c r="C300" s="13">
        <v>43908</v>
      </c>
      <c r="D300" s="15" t="s">
        <v>68</v>
      </c>
      <c r="E300" s="15">
        <v>714</v>
      </c>
      <c r="F300" s="15">
        <v>720</v>
      </c>
      <c r="G300" s="13">
        <v>44622</v>
      </c>
      <c r="H300" s="16">
        <v>800</v>
      </c>
      <c r="I300" s="18">
        <v>1320</v>
      </c>
      <c r="J300" s="20">
        <v>1.65</v>
      </c>
      <c r="K300" s="19">
        <v>820</v>
      </c>
      <c r="L300" s="48">
        <v>1.0249999999999999</v>
      </c>
      <c r="M300" s="42">
        <v>0</v>
      </c>
      <c r="N300" s="22">
        <v>0</v>
      </c>
      <c r="O300" s="23">
        <v>160</v>
      </c>
      <c r="P300" s="24">
        <v>170</v>
      </c>
      <c r="Q300" s="25">
        <v>1.0625</v>
      </c>
      <c r="R300" s="24">
        <v>160</v>
      </c>
      <c r="S300" s="50">
        <v>1</v>
      </c>
      <c r="T300" s="43">
        <v>0.94117999999999991</v>
      </c>
      <c r="U300" s="24">
        <v>0</v>
      </c>
      <c r="V300" s="19">
        <v>960</v>
      </c>
      <c r="W300" s="19">
        <v>1490</v>
      </c>
      <c r="X300" s="21">
        <v>1.5520833333333333</v>
      </c>
      <c r="Y300" s="19">
        <v>980</v>
      </c>
      <c r="Z300" s="20">
        <v>1.0208333333333333</v>
      </c>
      <c r="AA300" s="30">
        <v>0.1188</v>
      </c>
      <c r="AB300" s="27">
        <v>0.11689999999999999</v>
      </c>
      <c r="AC300" s="27">
        <v>0.12</v>
      </c>
      <c r="AD300" s="11">
        <v>0.1186439393939394</v>
      </c>
    </row>
    <row r="301" spans="1:30" x14ac:dyDescent="0.25">
      <c r="A301" s="13">
        <v>43908</v>
      </c>
      <c r="B301" s="46" t="s">
        <v>636</v>
      </c>
      <c r="C301" s="13">
        <v>43908</v>
      </c>
      <c r="D301" s="15" t="s">
        <v>69</v>
      </c>
      <c r="E301" s="15">
        <v>91</v>
      </c>
      <c r="F301" s="15">
        <v>90</v>
      </c>
      <c r="G301" s="13">
        <v>43999</v>
      </c>
      <c r="H301" s="16">
        <v>1200</v>
      </c>
      <c r="I301" s="18">
        <v>874.74000000000012</v>
      </c>
      <c r="J301" s="20">
        <v>0.72894999999999999</v>
      </c>
      <c r="K301" s="19">
        <v>674.74000000000012</v>
      </c>
      <c r="L301" s="48">
        <v>0.56228333333333347</v>
      </c>
      <c r="M301" s="42">
        <v>0</v>
      </c>
      <c r="N301" s="22">
        <v>0</v>
      </c>
      <c r="O301" s="23">
        <v>240</v>
      </c>
      <c r="P301" s="24">
        <v>0</v>
      </c>
      <c r="Q301" s="25">
        <v>0</v>
      </c>
      <c r="R301" s="24">
        <v>0</v>
      </c>
      <c r="S301" s="50">
        <v>0</v>
      </c>
      <c r="T301" s="43">
        <v>0</v>
      </c>
      <c r="U301" s="24">
        <v>0</v>
      </c>
      <c r="V301" s="19">
        <v>1440</v>
      </c>
      <c r="W301" s="19">
        <v>874.74000000000012</v>
      </c>
      <c r="X301" s="21">
        <v>0.60745833333333343</v>
      </c>
      <c r="Y301" s="19">
        <v>674.74000000000012</v>
      </c>
      <c r="Z301" s="20">
        <v>0.46856944444444454</v>
      </c>
      <c r="AA301" s="30">
        <v>9.8000000000000018E-2</v>
      </c>
      <c r="AB301" s="27">
        <v>7.0000000000000007E-2</v>
      </c>
      <c r="AC301" s="27">
        <v>0.12230000000000001</v>
      </c>
      <c r="AD301" s="11">
        <v>9.5557148409813192E-2</v>
      </c>
    </row>
    <row r="302" spans="1:30" x14ac:dyDescent="0.25">
      <c r="A302" s="13">
        <v>43909</v>
      </c>
      <c r="B302" s="46" t="s">
        <v>636</v>
      </c>
      <c r="C302" s="13">
        <v>43910</v>
      </c>
      <c r="D302" s="15" t="s">
        <v>70</v>
      </c>
      <c r="E302" s="15">
        <v>364</v>
      </c>
      <c r="F302" s="15">
        <v>360</v>
      </c>
      <c r="G302" s="13">
        <v>44274</v>
      </c>
      <c r="H302" s="16">
        <v>2500</v>
      </c>
      <c r="I302" s="18">
        <v>2023.8700000000001</v>
      </c>
      <c r="J302" s="20">
        <v>0.80954800000000005</v>
      </c>
      <c r="K302" s="19">
        <v>1823.8700000000001</v>
      </c>
      <c r="L302" s="48">
        <v>0.72954800000000009</v>
      </c>
      <c r="M302" s="42">
        <v>0</v>
      </c>
      <c r="N302" s="22">
        <v>0</v>
      </c>
      <c r="O302" s="23">
        <v>500</v>
      </c>
      <c r="P302" s="24">
        <v>0</v>
      </c>
      <c r="Q302" s="25">
        <v>0</v>
      </c>
      <c r="R302" s="24">
        <v>0</v>
      </c>
      <c r="S302" s="50">
        <v>0</v>
      </c>
      <c r="T302" s="43">
        <v>0</v>
      </c>
      <c r="U302" s="24">
        <v>0</v>
      </c>
      <c r="V302" s="19">
        <v>3000</v>
      </c>
      <c r="W302" s="19">
        <v>2023.8700000000001</v>
      </c>
      <c r="X302" s="21">
        <v>0.67462333333333335</v>
      </c>
      <c r="Y302" s="19">
        <v>1823.8700000000001</v>
      </c>
      <c r="Z302" s="20">
        <v>0.6079566666666667</v>
      </c>
      <c r="AA302" s="30">
        <v>0.13470000000000001</v>
      </c>
      <c r="AB302" s="27">
        <v>0.1</v>
      </c>
      <c r="AC302" s="27">
        <v>0.13730000000000001</v>
      </c>
      <c r="AD302" s="11">
        <v>0.12310763537183711</v>
      </c>
    </row>
    <row r="303" spans="1:30" x14ac:dyDescent="0.25">
      <c r="A303" s="13">
        <v>43910</v>
      </c>
      <c r="B303" s="46" t="s">
        <v>636</v>
      </c>
      <c r="C303" s="13">
        <v>43910</v>
      </c>
      <c r="D303" s="15" t="s">
        <v>71</v>
      </c>
      <c r="E303" s="15">
        <v>175</v>
      </c>
      <c r="F303" s="15">
        <v>180</v>
      </c>
      <c r="G303" s="13">
        <v>44085</v>
      </c>
      <c r="H303" s="16">
        <v>2500</v>
      </c>
      <c r="I303" s="18">
        <v>859.34999999999991</v>
      </c>
      <c r="J303" s="20">
        <v>0.34374000000000005</v>
      </c>
      <c r="K303" s="19">
        <v>819.34999999999991</v>
      </c>
      <c r="L303" s="48">
        <v>0.32773999999999998</v>
      </c>
      <c r="M303" s="42">
        <v>0</v>
      </c>
      <c r="N303" s="22">
        <v>0</v>
      </c>
      <c r="O303" s="23">
        <v>500</v>
      </c>
      <c r="P303" s="24">
        <v>0</v>
      </c>
      <c r="Q303" s="25">
        <v>0</v>
      </c>
      <c r="R303" s="24">
        <v>0</v>
      </c>
      <c r="S303" s="50">
        <v>0</v>
      </c>
      <c r="T303" s="43">
        <v>0</v>
      </c>
      <c r="U303" s="24">
        <v>0</v>
      </c>
      <c r="V303" s="19">
        <v>3000</v>
      </c>
      <c r="W303" s="19">
        <v>859.34999999999991</v>
      </c>
      <c r="X303" s="21">
        <v>0.28644999999999998</v>
      </c>
      <c r="Y303" s="19">
        <v>819.34999999999991</v>
      </c>
      <c r="Z303" s="20">
        <v>0.27311666666666662</v>
      </c>
      <c r="AA303" s="30">
        <v>0.1150000000000001</v>
      </c>
      <c r="AB303" s="27">
        <v>8.3000000000000004E-2</v>
      </c>
      <c r="AC303" s="27">
        <v>0.13</v>
      </c>
      <c r="AD303" s="11">
        <v>9.6274509803921576E-2</v>
      </c>
    </row>
    <row r="304" spans="1:30" x14ac:dyDescent="0.25">
      <c r="A304" s="13">
        <v>43913</v>
      </c>
      <c r="B304" s="46" t="s">
        <v>636</v>
      </c>
      <c r="C304" s="13">
        <v>43913</v>
      </c>
      <c r="D304" s="15" t="s">
        <v>72</v>
      </c>
      <c r="E304" s="15">
        <v>25</v>
      </c>
      <c r="F304" s="15">
        <v>30</v>
      </c>
      <c r="G304" s="13">
        <v>43938</v>
      </c>
      <c r="H304" s="16">
        <v>2500</v>
      </c>
      <c r="I304" s="18">
        <v>488.88999999999993</v>
      </c>
      <c r="J304" s="20">
        <v>0.19555599999999998</v>
      </c>
      <c r="K304" s="19">
        <v>488.88999999999993</v>
      </c>
      <c r="L304" s="48">
        <v>0.19555599999999998</v>
      </c>
      <c r="M304" s="42">
        <v>0</v>
      </c>
      <c r="N304" s="22">
        <v>0</v>
      </c>
      <c r="O304" s="23">
        <v>500</v>
      </c>
      <c r="P304" s="24">
        <v>7.08</v>
      </c>
      <c r="Q304" s="25">
        <v>1.4160000000000001E-2</v>
      </c>
      <c r="R304" s="24">
        <v>7.08</v>
      </c>
      <c r="S304" s="50">
        <v>1.4160000000000001E-2</v>
      </c>
      <c r="T304" s="43">
        <v>0</v>
      </c>
      <c r="U304" s="24">
        <v>0</v>
      </c>
      <c r="V304" s="19">
        <v>3000</v>
      </c>
      <c r="W304" s="19">
        <v>495.96999999999991</v>
      </c>
      <c r="X304" s="21">
        <v>0.16532333333333329</v>
      </c>
      <c r="Y304" s="19">
        <v>495.96999999999991</v>
      </c>
      <c r="Z304" s="20">
        <v>0.16532333333333329</v>
      </c>
      <c r="AA304" s="30">
        <v>9.7599999999999965E-2</v>
      </c>
      <c r="AB304" s="27">
        <v>0.06</v>
      </c>
      <c r="AC304" s="27">
        <v>9.7599999999999992E-2</v>
      </c>
      <c r="AD304" s="11">
        <v>7.3923369265069871E-2</v>
      </c>
    </row>
    <row r="305" spans="1:30" x14ac:dyDescent="0.25">
      <c r="A305" s="13">
        <v>43914</v>
      </c>
      <c r="B305" s="46" t="s">
        <v>636</v>
      </c>
      <c r="C305" s="13">
        <v>43915</v>
      </c>
      <c r="D305" s="15" t="s">
        <v>73</v>
      </c>
      <c r="E305" s="15">
        <v>742</v>
      </c>
      <c r="F305" s="15">
        <v>720</v>
      </c>
      <c r="G305" s="13">
        <v>44657</v>
      </c>
      <c r="H305" s="16">
        <v>1000</v>
      </c>
      <c r="I305" s="18">
        <v>2075.4499999999998</v>
      </c>
      <c r="J305" s="20">
        <v>2.0754499999999996</v>
      </c>
      <c r="K305" s="19">
        <v>374.45</v>
      </c>
      <c r="L305" s="48">
        <v>0.37445000000000001</v>
      </c>
      <c r="M305" s="42">
        <v>0</v>
      </c>
      <c r="N305" s="22">
        <v>0</v>
      </c>
      <c r="O305" s="23">
        <v>200</v>
      </c>
      <c r="P305" s="24">
        <v>0</v>
      </c>
      <c r="Q305" s="25">
        <v>0</v>
      </c>
      <c r="R305" s="24">
        <v>0</v>
      </c>
      <c r="S305" s="50">
        <v>0</v>
      </c>
      <c r="T305" s="43">
        <v>0</v>
      </c>
      <c r="U305" s="24">
        <v>0</v>
      </c>
      <c r="V305" s="19">
        <v>1200</v>
      </c>
      <c r="W305" s="19">
        <v>2075.4499999999998</v>
      </c>
      <c r="X305" s="21">
        <v>1.7295416666666665</v>
      </c>
      <c r="Y305" s="19">
        <v>374.45</v>
      </c>
      <c r="Z305" s="20">
        <v>0.31204166666666666</v>
      </c>
      <c r="AA305" s="30">
        <v>0.14279999999999998</v>
      </c>
      <c r="AB305" s="27">
        <v>0.11749999999999999</v>
      </c>
      <c r="AC305" s="27">
        <v>0.1547</v>
      </c>
      <c r="AD305" s="11">
        <v>0.14642673877954179</v>
      </c>
    </row>
    <row r="306" spans="1:30" x14ac:dyDescent="0.25">
      <c r="A306" s="13">
        <v>43915</v>
      </c>
      <c r="B306" s="46" t="s">
        <v>636</v>
      </c>
      <c r="C306" s="13">
        <v>43915</v>
      </c>
      <c r="D306" s="15" t="s">
        <v>74</v>
      </c>
      <c r="E306" s="15">
        <v>84</v>
      </c>
      <c r="F306" s="15">
        <v>90</v>
      </c>
      <c r="G306" s="13">
        <v>43999</v>
      </c>
      <c r="H306" s="16">
        <v>2500</v>
      </c>
      <c r="I306" s="18">
        <v>918.73000000000013</v>
      </c>
      <c r="J306" s="20">
        <v>0.36749199999999993</v>
      </c>
      <c r="K306" s="19">
        <v>892.23000000000013</v>
      </c>
      <c r="L306" s="48">
        <v>0.35689200000000004</v>
      </c>
      <c r="M306" s="42">
        <v>0</v>
      </c>
      <c r="N306" s="22">
        <v>0</v>
      </c>
      <c r="O306" s="23">
        <v>500</v>
      </c>
      <c r="P306" s="24">
        <v>15</v>
      </c>
      <c r="Q306" s="25">
        <v>0.03</v>
      </c>
      <c r="R306" s="24">
        <v>15</v>
      </c>
      <c r="S306" s="50">
        <v>0.03</v>
      </c>
      <c r="T306" s="43">
        <v>0</v>
      </c>
      <c r="U306" s="24">
        <v>0</v>
      </c>
      <c r="V306" s="19">
        <v>3000</v>
      </c>
      <c r="W306" s="19">
        <v>933.73000000000013</v>
      </c>
      <c r="X306" s="21">
        <v>0.31124333333333337</v>
      </c>
      <c r="Y306" s="19">
        <v>907.23000000000013</v>
      </c>
      <c r="Z306" s="20">
        <v>0.30241000000000007</v>
      </c>
      <c r="AA306" s="30">
        <v>0.10200000000000002</v>
      </c>
      <c r="AB306" s="27">
        <v>0.08</v>
      </c>
      <c r="AC306" s="27">
        <v>0.13750000000000001</v>
      </c>
      <c r="AD306" s="11">
        <v>9.4127861286776304E-2</v>
      </c>
    </row>
    <row r="307" spans="1:30" x14ac:dyDescent="0.25">
      <c r="A307" s="13">
        <v>43916</v>
      </c>
      <c r="B307" s="46" t="s">
        <v>636</v>
      </c>
      <c r="C307" s="13">
        <v>43917</v>
      </c>
      <c r="D307" s="15" t="s">
        <v>75</v>
      </c>
      <c r="E307" s="15">
        <v>357</v>
      </c>
      <c r="F307" s="15">
        <v>360</v>
      </c>
      <c r="G307" s="13">
        <v>44274</v>
      </c>
      <c r="H307" s="16">
        <v>2500</v>
      </c>
      <c r="I307" s="18">
        <v>3259.0499999999997</v>
      </c>
      <c r="J307" s="20">
        <v>1.3036200000000002</v>
      </c>
      <c r="K307" s="19">
        <v>884.05000000000007</v>
      </c>
      <c r="L307" s="48">
        <v>0.35362000000000005</v>
      </c>
      <c r="M307" s="42">
        <v>0</v>
      </c>
      <c r="N307" s="22">
        <v>0</v>
      </c>
      <c r="O307" s="23">
        <v>500</v>
      </c>
      <c r="P307" s="24">
        <v>70</v>
      </c>
      <c r="Q307" s="25">
        <v>0.14000000000000001</v>
      </c>
      <c r="R307" s="24">
        <v>70</v>
      </c>
      <c r="S307" s="50">
        <v>0.14000000000000001</v>
      </c>
      <c r="T307" s="43">
        <v>0</v>
      </c>
      <c r="U307" s="24">
        <v>0</v>
      </c>
      <c r="V307" s="19">
        <v>3000</v>
      </c>
      <c r="W307" s="19">
        <v>3329.0499999999997</v>
      </c>
      <c r="X307" s="21">
        <v>1.1096833333333331</v>
      </c>
      <c r="Y307" s="19">
        <v>954.05000000000007</v>
      </c>
      <c r="Z307" s="20">
        <v>0.31801666666666667</v>
      </c>
      <c r="AA307" s="30">
        <v>0.13600000000000009</v>
      </c>
      <c r="AB307" s="27">
        <v>0.09</v>
      </c>
      <c r="AC307" s="27">
        <v>0.15479999999999999</v>
      </c>
      <c r="AD307" s="11">
        <v>0.13980302235313974</v>
      </c>
    </row>
    <row r="308" spans="1:30" x14ac:dyDescent="0.25">
      <c r="A308" s="13">
        <v>43917</v>
      </c>
      <c r="B308" s="46" t="s">
        <v>636</v>
      </c>
      <c r="C308" s="13">
        <v>43917</v>
      </c>
      <c r="D308" s="15" t="s">
        <v>76</v>
      </c>
      <c r="E308" s="15">
        <v>168</v>
      </c>
      <c r="F308" s="15">
        <v>180</v>
      </c>
      <c r="G308" s="13">
        <v>44085</v>
      </c>
      <c r="H308" s="16">
        <v>2000</v>
      </c>
      <c r="I308" s="18">
        <v>2038.68</v>
      </c>
      <c r="J308" s="20">
        <v>1.0193399999999999</v>
      </c>
      <c r="K308" s="19">
        <v>1828.68</v>
      </c>
      <c r="L308" s="48">
        <v>0.91434000000000004</v>
      </c>
      <c r="M308" s="42">
        <v>0</v>
      </c>
      <c r="N308" s="22">
        <v>0</v>
      </c>
      <c r="O308" s="23">
        <v>400</v>
      </c>
      <c r="P308" s="24">
        <v>23.5</v>
      </c>
      <c r="Q308" s="25">
        <v>5.8750000000000004E-2</v>
      </c>
      <c r="R308" s="24">
        <v>23.5</v>
      </c>
      <c r="S308" s="50">
        <v>5.8749999999999997E-2</v>
      </c>
      <c r="T308" s="43">
        <v>0</v>
      </c>
      <c r="U308" s="24">
        <v>0</v>
      </c>
      <c r="V308" s="19">
        <v>2400</v>
      </c>
      <c r="W308" s="19">
        <v>2062.1800000000003</v>
      </c>
      <c r="X308" s="21">
        <v>0.85924166666666679</v>
      </c>
      <c r="Y308" s="19">
        <v>1852.18</v>
      </c>
      <c r="Z308" s="20">
        <v>0.77174166666666666</v>
      </c>
      <c r="AA308" s="30">
        <v>0.11699999999999999</v>
      </c>
      <c r="AB308" s="27">
        <v>0.09</v>
      </c>
      <c r="AC308" s="27">
        <v>0.129</v>
      </c>
      <c r="AD308" s="11">
        <v>0.11221390311377946</v>
      </c>
    </row>
    <row r="309" spans="1:30" x14ac:dyDescent="0.25">
      <c r="A309" s="13">
        <v>43920</v>
      </c>
      <c r="B309" s="46" t="s">
        <v>636</v>
      </c>
      <c r="C309" s="13">
        <v>43920</v>
      </c>
      <c r="D309" s="15" t="s">
        <v>77</v>
      </c>
      <c r="E309" s="15">
        <v>28</v>
      </c>
      <c r="F309" s="15">
        <v>30</v>
      </c>
      <c r="G309" s="13">
        <v>43948</v>
      </c>
      <c r="H309" s="16">
        <v>800</v>
      </c>
      <c r="I309" s="18">
        <v>859.54999999999984</v>
      </c>
      <c r="J309" s="20">
        <v>1.0744375000000002</v>
      </c>
      <c r="K309" s="19">
        <v>849.54999999999984</v>
      </c>
      <c r="L309" s="48">
        <v>1.0619374999999998</v>
      </c>
      <c r="M309" s="42">
        <v>0</v>
      </c>
      <c r="N309" s="22">
        <v>0</v>
      </c>
      <c r="O309" s="23">
        <v>160</v>
      </c>
      <c r="P309" s="24">
        <v>152.55000000000001</v>
      </c>
      <c r="Q309" s="25">
        <v>0.95343749999999994</v>
      </c>
      <c r="R309" s="24">
        <v>152.55000000000001</v>
      </c>
      <c r="S309" s="50">
        <v>0.95343750000000005</v>
      </c>
      <c r="T309" s="43">
        <v>0</v>
      </c>
      <c r="U309" s="24">
        <v>0</v>
      </c>
      <c r="V309" s="19">
        <v>960</v>
      </c>
      <c r="W309" s="19">
        <v>1012.0999999999999</v>
      </c>
      <c r="X309" s="21">
        <v>1.0542708333333333</v>
      </c>
      <c r="Y309" s="19">
        <v>1002.0999999999999</v>
      </c>
      <c r="Z309" s="20">
        <v>1.0438541666666665</v>
      </c>
      <c r="AA309" s="30">
        <v>9.7500000000000045E-2</v>
      </c>
      <c r="AB309" s="27">
        <v>0.06</v>
      </c>
      <c r="AC309" s="27">
        <v>0.1</v>
      </c>
      <c r="AD309" s="11">
        <v>8.2878215345238815E-2</v>
      </c>
    </row>
    <row r="310" spans="1:30" x14ac:dyDescent="0.25">
      <c r="A310" s="13">
        <v>43922</v>
      </c>
      <c r="B310" s="46" t="s">
        <v>636</v>
      </c>
      <c r="C310" s="13">
        <v>43922</v>
      </c>
      <c r="D310" s="15" t="s">
        <v>78</v>
      </c>
      <c r="E310" s="15">
        <v>98</v>
      </c>
      <c r="F310" s="15">
        <v>90</v>
      </c>
      <c r="G310" s="13">
        <v>44020</v>
      </c>
      <c r="H310" s="16">
        <v>800</v>
      </c>
      <c r="I310" s="18">
        <v>458.49999999999994</v>
      </c>
      <c r="J310" s="20">
        <v>0.573125</v>
      </c>
      <c r="K310" s="19">
        <v>348.49999999999994</v>
      </c>
      <c r="L310" s="48">
        <v>0.43562499999999993</v>
      </c>
      <c r="M310" s="42">
        <v>0</v>
      </c>
      <c r="N310" s="22">
        <v>0</v>
      </c>
      <c r="O310" s="23">
        <v>160</v>
      </c>
      <c r="P310" s="24">
        <v>145.19999999999999</v>
      </c>
      <c r="Q310" s="25">
        <v>0.90749999999999997</v>
      </c>
      <c r="R310" s="24">
        <v>69.699999999999989</v>
      </c>
      <c r="S310" s="50">
        <v>0.43562499999999993</v>
      </c>
      <c r="T310" s="43">
        <v>0.48003000000000001</v>
      </c>
      <c r="U310" s="24">
        <v>0</v>
      </c>
      <c r="V310" s="19">
        <v>960</v>
      </c>
      <c r="W310" s="19">
        <v>603.69999999999993</v>
      </c>
      <c r="X310" s="21">
        <v>0.6288541666666666</v>
      </c>
      <c r="Y310" s="19">
        <v>418.19999999999993</v>
      </c>
      <c r="Z310" s="20">
        <v>0.43562499999999993</v>
      </c>
      <c r="AA310" s="30">
        <v>0.10289999999999999</v>
      </c>
      <c r="AB310" s="27">
        <v>0.06</v>
      </c>
      <c r="AC310" s="27">
        <v>0.1125</v>
      </c>
      <c r="AD310" s="11">
        <v>9.7193511450381687E-2</v>
      </c>
    </row>
    <row r="311" spans="1:30" x14ac:dyDescent="0.25">
      <c r="A311" s="13">
        <v>43923</v>
      </c>
      <c r="B311" s="46" t="s">
        <v>636</v>
      </c>
      <c r="C311" s="13">
        <v>43924</v>
      </c>
      <c r="D311" s="15" t="s">
        <v>79</v>
      </c>
      <c r="E311" s="15">
        <v>350</v>
      </c>
      <c r="F311" s="15">
        <v>360</v>
      </c>
      <c r="G311" s="13">
        <v>44274</v>
      </c>
      <c r="H311" s="16">
        <v>800</v>
      </c>
      <c r="I311" s="18">
        <v>1015.7200000000003</v>
      </c>
      <c r="J311" s="20">
        <v>1.2696500000000002</v>
      </c>
      <c r="K311" s="19">
        <v>490.71999999999991</v>
      </c>
      <c r="L311" s="48">
        <v>0.61339999999999995</v>
      </c>
      <c r="M311" s="42">
        <v>0</v>
      </c>
      <c r="N311" s="22">
        <v>0</v>
      </c>
      <c r="O311" s="23">
        <v>160</v>
      </c>
      <c r="P311" s="24">
        <v>160</v>
      </c>
      <c r="Q311" s="25">
        <v>1</v>
      </c>
      <c r="R311" s="24">
        <v>98.144000000000005</v>
      </c>
      <c r="S311" s="50">
        <v>0.61340000000000006</v>
      </c>
      <c r="T311" s="43">
        <v>0.61340000000000006</v>
      </c>
      <c r="U311" s="24">
        <v>0</v>
      </c>
      <c r="V311" s="19">
        <v>960</v>
      </c>
      <c r="W311" s="19">
        <v>1175.7200000000003</v>
      </c>
      <c r="X311" s="21">
        <v>1.2247083333333335</v>
      </c>
      <c r="Y311" s="19">
        <v>588.86399999999992</v>
      </c>
      <c r="Z311" s="20">
        <v>0.61339999999999995</v>
      </c>
      <c r="AA311" s="30">
        <v>0.13739999999999999</v>
      </c>
      <c r="AB311" s="27">
        <v>0.105</v>
      </c>
      <c r="AC311" s="27">
        <v>0.1399</v>
      </c>
      <c r="AD311" s="11">
        <v>0.13605419603827823</v>
      </c>
    </row>
    <row r="312" spans="1:30" x14ac:dyDescent="0.25">
      <c r="A312" s="13">
        <v>43924</v>
      </c>
      <c r="B312" s="46" t="s">
        <v>636</v>
      </c>
      <c r="C312" s="13">
        <v>43924</v>
      </c>
      <c r="D312" s="15" t="s">
        <v>80</v>
      </c>
      <c r="E312" s="15">
        <v>189</v>
      </c>
      <c r="F312" s="15">
        <v>180</v>
      </c>
      <c r="G312" s="13">
        <v>44113</v>
      </c>
      <c r="H312" s="16">
        <v>800</v>
      </c>
      <c r="I312" s="18">
        <v>1094.75</v>
      </c>
      <c r="J312" s="20">
        <v>1.3684375</v>
      </c>
      <c r="K312" s="19">
        <v>1009.75</v>
      </c>
      <c r="L312" s="48">
        <v>1.2621875</v>
      </c>
      <c r="M312" s="42">
        <v>0</v>
      </c>
      <c r="N312" s="22">
        <v>0</v>
      </c>
      <c r="O312" s="23">
        <v>160</v>
      </c>
      <c r="P312" s="24">
        <v>163.21</v>
      </c>
      <c r="Q312" s="25">
        <v>1.0200625000000001</v>
      </c>
      <c r="R312" s="24">
        <v>160</v>
      </c>
      <c r="S312" s="50">
        <v>1</v>
      </c>
      <c r="T312" s="43">
        <v>0.98034267912772588</v>
      </c>
      <c r="U312" s="24">
        <v>0</v>
      </c>
      <c r="V312" s="19">
        <v>960</v>
      </c>
      <c r="W312" s="19">
        <v>1257.96</v>
      </c>
      <c r="X312" s="21">
        <v>1.3103750000000001</v>
      </c>
      <c r="Y312" s="19">
        <v>1169.75</v>
      </c>
      <c r="Z312" s="20">
        <v>1.2184895833333333</v>
      </c>
      <c r="AA312" s="30">
        <v>0.11699999999999999</v>
      </c>
      <c r="AB312" s="27">
        <v>8.5000000000000006E-2</v>
      </c>
      <c r="AC312" s="27">
        <v>0.13</v>
      </c>
      <c r="AD312" s="11">
        <v>0.1068932404658598</v>
      </c>
    </row>
    <row r="313" spans="1:30" x14ac:dyDescent="0.25">
      <c r="A313" s="13">
        <v>43927</v>
      </c>
      <c r="B313" s="46" t="s">
        <v>636</v>
      </c>
      <c r="C313" s="13">
        <v>43927</v>
      </c>
      <c r="D313" s="15" t="s">
        <v>81</v>
      </c>
      <c r="E313" s="15">
        <v>32</v>
      </c>
      <c r="F313" s="15">
        <v>30</v>
      </c>
      <c r="G313" s="13">
        <v>43959</v>
      </c>
      <c r="H313" s="16">
        <v>1250</v>
      </c>
      <c r="I313" s="18">
        <v>2164.59</v>
      </c>
      <c r="J313" s="20">
        <v>1.7316719999999999</v>
      </c>
      <c r="K313" s="19">
        <v>1928.59</v>
      </c>
      <c r="L313" s="48">
        <v>1.542872</v>
      </c>
      <c r="M313" s="42">
        <v>0</v>
      </c>
      <c r="N313" s="22">
        <v>0</v>
      </c>
      <c r="O313" s="23">
        <v>250</v>
      </c>
      <c r="P313" s="24">
        <v>55.7</v>
      </c>
      <c r="Q313" s="25">
        <v>0.2228</v>
      </c>
      <c r="R313" s="24">
        <v>55.7</v>
      </c>
      <c r="S313" s="50">
        <v>0.2228</v>
      </c>
      <c r="T313" s="43">
        <v>0</v>
      </c>
      <c r="U313" s="24">
        <v>0</v>
      </c>
      <c r="V313" s="19">
        <v>1500</v>
      </c>
      <c r="W313" s="19">
        <v>2220.29</v>
      </c>
      <c r="X313" s="21">
        <v>1.4801933333333332</v>
      </c>
      <c r="Y313" s="19">
        <v>1984.29</v>
      </c>
      <c r="Z313" s="20">
        <v>1.3228599999999999</v>
      </c>
      <c r="AA313" s="30">
        <v>9.549999999999996E-2</v>
      </c>
      <c r="AB313" s="27">
        <v>7.0000000000000007E-2</v>
      </c>
      <c r="AC313" s="27">
        <v>0.1</v>
      </c>
      <c r="AD313" s="11">
        <v>8.7949482350006228E-2</v>
      </c>
    </row>
    <row r="314" spans="1:30" x14ac:dyDescent="0.25">
      <c r="A314" s="13">
        <v>43928</v>
      </c>
      <c r="B314" s="46" t="s">
        <v>636</v>
      </c>
      <c r="C314" s="13">
        <v>43928</v>
      </c>
      <c r="D314" s="15" t="s">
        <v>82</v>
      </c>
      <c r="E314" s="15">
        <v>92</v>
      </c>
      <c r="F314" s="15">
        <v>90</v>
      </c>
      <c r="G314" s="13">
        <v>44020</v>
      </c>
      <c r="H314" s="16">
        <v>1000</v>
      </c>
      <c r="I314" s="18">
        <v>2138.8000000000002</v>
      </c>
      <c r="J314" s="20">
        <v>2.1387999999999998</v>
      </c>
      <c r="K314" s="19">
        <v>1312.8</v>
      </c>
      <c r="L314" s="48">
        <v>1.3128</v>
      </c>
      <c r="M314" s="42">
        <v>0</v>
      </c>
      <c r="N314" s="22">
        <v>0</v>
      </c>
      <c r="O314" s="23">
        <v>200</v>
      </c>
      <c r="P314" s="24">
        <v>10</v>
      </c>
      <c r="Q314" s="25">
        <v>0.05</v>
      </c>
      <c r="R314" s="24">
        <v>10</v>
      </c>
      <c r="S314" s="50">
        <v>0.05</v>
      </c>
      <c r="T314" s="43">
        <v>0</v>
      </c>
      <c r="U314" s="24">
        <v>0</v>
      </c>
      <c r="V314" s="19">
        <v>1200</v>
      </c>
      <c r="W314" s="19">
        <v>2148.8000000000002</v>
      </c>
      <c r="X314" s="21">
        <v>1.7906666666666669</v>
      </c>
      <c r="Y314" s="19">
        <v>1322.8</v>
      </c>
      <c r="Z314" s="20">
        <v>1.1023333333333334</v>
      </c>
      <c r="AA314" s="30">
        <v>0.10009999999999998</v>
      </c>
      <c r="AB314" s="27">
        <v>8.7499999999999994E-2</v>
      </c>
      <c r="AC314" s="27">
        <v>0.1149</v>
      </c>
      <c r="AD314" s="11">
        <v>0.10063989152795957</v>
      </c>
    </row>
    <row r="315" spans="1:30" x14ac:dyDescent="0.25">
      <c r="A315" s="13">
        <v>43928</v>
      </c>
      <c r="B315" s="46" t="s">
        <v>637</v>
      </c>
      <c r="C315" s="13">
        <v>43929</v>
      </c>
      <c r="D315" s="15" t="s">
        <v>83</v>
      </c>
      <c r="E315" s="15">
        <v>345</v>
      </c>
      <c r="F315" s="15">
        <v>360</v>
      </c>
      <c r="G315" s="13">
        <v>44274</v>
      </c>
      <c r="H315" s="16">
        <v>1200</v>
      </c>
      <c r="I315" s="18">
        <v>2470.29</v>
      </c>
      <c r="J315" s="20">
        <v>2.0585750000000003</v>
      </c>
      <c r="K315" s="19">
        <v>1820.29</v>
      </c>
      <c r="L315" s="48">
        <v>1.5169083333333333</v>
      </c>
      <c r="M315" s="42">
        <v>0</v>
      </c>
      <c r="N315" s="22">
        <v>0</v>
      </c>
      <c r="O315" s="23">
        <v>240</v>
      </c>
      <c r="P315" s="24">
        <v>0</v>
      </c>
      <c r="Q315" s="25">
        <v>0</v>
      </c>
      <c r="R315" s="24">
        <v>0</v>
      </c>
      <c r="S315" s="50">
        <v>0</v>
      </c>
      <c r="T315" s="43">
        <v>0</v>
      </c>
      <c r="U315" s="24">
        <v>0</v>
      </c>
      <c r="V315" s="19">
        <v>1440</v>
      </c>
      <c r="W315" s="19">
        <v>2470.29</v>
      </c>
      <c r="X315" s="21">
        <v>1.7154791666666667</v>
      </c>
      <c r="Y315" s="19">
        <v>1820.29</v>
      </c>
      <c r="Z315" s="20">
        <v>1.2640902777777778</v>
      </c>
      <c r="AA315" s="30">
        <v>0.13699999999999998</v>
      </c>
      <c r="AB315" s="27">
        <v>0.105</v>
      </c>
      <c r="AC315" s="27">
        <v>0.14249999999999999</v>
      </c>
      <c r="AD315" s="11">
        <v>0.1364097899436908</v>
      </c>
    </row>
    <row r="316" spans="1:30" x14ac:dyDescent="0.25">
      <c r="A316" s="13">
        <v>43929</v>
      </c>
      <c r="B316" s="46" t="s">
        <v>636</v>
      </c>
      <c r="C316" s="13">
        <v>43929</v>
      </c>
      <c r="D316" s="15" t="s">
        <v>84</v>
      </c>
      <c r="E316" s="15">
        <v>184</v>
      </c>
      <c r="F316" s="15">
        <v>180</v>
      </c>
      <c r="G316" s="13">
        <v>44113</v>
      </c>
      <c r="H316" s="16">
        <v>1200</v>
      </c>
      <c r="I316" s="18">
        <v>684.85</v>
      </c>
      <c r="J316" s="20">
        <v>0.57070833333333337</v>
      </c>
      <c r="K316" s="19">
        <v>184.85</v>
      </c>
      <c r="L316" s="48">
        <v>0.15404166666666666</v>
      </c>
      <c r="M316" s="42">
        <v>0</v>
      </c>
      <c r="N316" s="22">
        <v>0</v>
      </c>
      <c r="O316" s="23">
        <v>240</v>
      </c>
      <c r="P316" s="24">
        <v>180</v>
      </c>
      <c r="Q316" s="25">
        <v>0.75</v>
      </c>
      <c r="R316" s="24">
        <v>36.97</v>
      </c>
      <c r="S316" s="50">
        <v>0.15404166666666666</v>
      </c>
      <c r="T316" s="43">
        <v>0.20538900000000002</v>
      </c>
      <c r="U316" s="24">
        <v>0</v>
      </c>
      <c r="V316" s="19">
        <v>1440</v>
      </c>
      <c r="W316" s="19">
        <v>864.85</v>
      </c>
      <c r="X316" s="21">
        <v>0.60059027777777785</v>
      </c>
      <c r="Y316" s="19">
        <v>221.82</v>
      </c>
      <c r="Z316" s="20">
        <v>0.15404166666666666</v>
      </c>
      <c r="AA316" s="30">
        <v>0.11699999999999999</v>
      </c>
      <c r="AB316" s="27">
        <v>0.09</v>
      </c>
      <c r="AC316" s="27">
        <v>0.12990000000000002</v>
      </c>
      <c r="AD316" s="11">
        <v>0.12321617872526829</v>
      </c>
    </row>
    <row r="317" spans="1:30" x14ac:dyDescent="0.25">
      <c r="A317" s="13">
        <v>43934</v>
      </c>
      <c r="B317" s="46" t="s">
        <v>636</v>
      </c>
      <c r="C317" s="13">
        <v>43934</v>
      </c>
      <c r="D317" s="15" t="s">
        <v>85</v>
      </c>
      <c r="E317" s="15">
        <v>28</v>
      </c>
      <c r="F317" s="15">
        <v>30</v>
      </c>
      <c r="G317" s="13">
        <v>43962</v>
      </c>
      <c r="H317" s="16">
        <v>1700</v>
      </c>
      <c r="I317" s="18">
        <v>3665.1700000000005</v>
      </c>
      <c r="J317" s="20">
        <v>2.1559823529411761</v>
      </c>
      <c r="K317" s="19">
        <v>2110.17</v>
      </c>
      <c r="L317" s="48">
        <v>1.2412764705882353</v>
      </c>
      <c r="M317" s="42">
        <v>0</v>
      </c>
      <c r="N317" s="22">
        <v>0</v>
      </c>
      <c r="O317" s="23">
        <v>340</v>
      </c>
      <c r="P317" s="24">
        <v>130</v>
      </c>
      <c r="Q317" s="25">
        <v>0.38235294117647062</v>
      </c>
      <c r="R317" s="24">
        <v>130</v>
      </c>
      <c r="S317" s="50">
        <v>0.38235294117647056</v>
      </c>
      <c r="T317" s="43">
        <v>0</v>
      </c>
      <c r="U317" s="24">
        <v>0</v>
      </c>
      <c r="V317" s="19">
        <v>2040</v>
      </c>
      <c r="W317" s="19">
        <v>3795.1700000000005</v>
      </c>
      <c r="X317" s="21">
        <v>1.8603774509803923</v>
      </c>
      <c r="Y317" s="19">
        <v>2240.17</v>
      </c>
      <c r="Z317" s="20">
        <v>1.0981225490196078</v>
      </c>
      <c r="AA317" s="30">
        <v>9.3900000000000067E-2</v>
      </c>
      <c r="AB317" s="27">
        <v>0.06</v>
      </c>
      <c r="AC317" s="27">
        <v>9.7500000000000003E-2</v>
      </c>
      <c r="AD317" s="11">
        <v>9.1358598646174669E-2</v>
      </c>
    </row>
    <row r="318" spans="1:30" x14ac:dyDescent="0.25">
      <c r="A318" s="13">
        <v>43936</v>
      </c>
      <c r="B318" s="46" t="s">
        <v>636</v>
      </c>
      <c r="C318" s="13">
        <v>43936</v>
      </c>
      <c r="D318" s="15" t="s">
        <v>86</v>
      </c>
      <c r="E318" s="15">
        <v>84</v>
      </c>
      <c r="F318" s="15">
        <v>90</v>
      </c>
      <c r="G318" s="13">
        <v>44020</v>
      </c>
      <c r="H318" s="16">
        <v>1700</v>
      </c>
      <c r="I318" s="18">
        <v>1407.44</v>
      </c>
      <c r="J318" s="20">
        <v>0.82790588235294127</v>
      </c>
      <c r="K318" s="19">
        <v>1006.4399999999999</v>
      </c>
      <c r="L318" s="48">
        <v>0.59202352941176473</v>
      </c>
      <c r="M318" s="42">
        <v>0</v>
      </c>
      <c r="N318" s="22">
        <v>0</v>
      </c>
      <c r="O318" s="23">
        <v>340</v>
      </c>
      <c r="P318" s="24">
        <v>300</v>
      </c>
      <c r="Q318" s="25">
        <v>0.88235294117647056</v>
      </c>
      <c r="R318" s="24">
        <v>201.28800000000001</v>
      </c>
      <c r="S318" s="50">
        <v>0.59202352941176473</v>
      </c>
      <c r="T318" s="43">
        <v>0.67096</v>
      </c>
      <c r="U318" s="24">
        <v>0</v>
      </c>
      <c r="V318" s="19">
        <v>2040</v>
      </c>
      <c r="W318" s="19">
        <v>1707.44</v>
      </c>
      <c r="X318" s="21">
        <v>0.83698039215686282</v>
      </c>
      <c r="Y318" s="19">
        <v>1207.7280000000001</v>
      </c>
      <c r="Z318" s="20">
        <v>0.59202352941176473</v>
      </c>
      <c r="AA318" s="30">
        <v>0.10100000000000001</v>
      </c>
      <c r="AB318" s="27">
        <v>8.5000000000000006E-2</v>
      </c>
      <c r="AC318" s="27">
        <v>0.11</v>
      </c>
      <c r="AD318" s="11">
        <v>9.9542448701187947E-2</v>
      </c>
    </row>
    <row r="319" spans="1:30" x14ac:dyDescent="0.25">
      <c r="A319" s="13">
        <v>43937</v>
      </c>
      <c r="B319" s="46" t="s">
        <v>636</v>
      </c>
      <c r="C319" s="13">
        <v>43938</v>
      </c>
      <c r="D319" s="15" t="s">
        <v>87</v>
      </c>
      <c r="E319" s="15">
        <v>336</v>
      </c>
      <c r="F319" s="15">
        <v>360</v>
      </c>
      <c r="G319" s="13">
        <v>44274</v>
      </c>
      <c r="H319" s="16">
        <v>2500</v>
      </c>
      <c r="I319" s="18">
        <v>4220.6399999999994</v>
      </c>
      <c r="J319" s="20">
        <v>1.6882560000000002</v>
      </c>
      <c r="K319" s="19">
        <v>3000.64</v>
      </c>
      <c r="L319" s="48">
        <v>1.200256</v>
      </c>
      <c r="M319" s="42">
        <v>0</v>
      </c>
      <c r="N319" s="22">
        <v>0</v>
      </c>
      <c r="O319" s="23">
        <v>500</v>
      </c>
      <c r="P319" s="24">
        <v>50</v>
      </c>
      <c r="Q319" s="25">
        <v>0.1</v>
      </c>
      <c r="R319" s="24">
        <v>50</v>
      </c>
      <c r="S319" s="50">
        <v>0.1</v>
      </c>
      <c r="T319" s="43">
        <v>0</v>
      </c>
      <c r="U319" s="24">
        <v>0</v>
      </c>
      <c r="V319" s="19">
        <v>3000</v>
      </c>
      <c r="W319" s="19">
        <v>4270.6399999999994</v>
      </c>
      <c r="X319" s="21">
        <v>1.4235466666666665</v>
      </c>
      <c r="Y319" s="19">
        <v>3050.64</v>
      </c>
      <c r="Z319" s="20">
        <v>1.01688</v>
      </c>
      <c r="AA319" s="30">
        <v>0.13689999999999988</v>
      </c>
      <c r="AB319" s="27">
        <v>0.09</v>
      </c>
      <c r="AC319" s="27">
        <v>0.14119999999999999</v>
      </c>
      <c r="AD319" s="11">
        <v>0.13549298803025137</v>
      </c>
    </row>
    <row r="320" spans="1:30" x14ac:dyDescent="0.25">
      <c r="A320" s="13">
        <v>43938</v>
      </c>
      <c r="B320" s="46" t="s">
        <v>636</v>
      </c>
      <c r="C320" s="13">
        <v>43938</v>
      </c>
      <c r="D320" s="15" t="s">
        <v>88</v>
      </c>
      <c r="E320" s="15">
        <v>175</v>
      </c>
      <c r="F320" s="15">
        <v>180</v>
      </c>
      <c r="G320" s="13">
        <v>44113</v>
      </c>
      <c r="H320" s="16">
        <v>1700</v>
      </c>
      <c r="I320" s="18">
        <v>2026.8400000000004</v>
      </c>
      <c r="J320" s="20">
        <v>1.1922588235294114</v>
      </c>
      <c r="K320" s="19">
        <v>1476.8400000000004</v>
      </c>
      <c r="L320" s="48">
        <v>0.86872941176470608</v>
      </c>
      <c r="M320" s="42">
        <v>0</v>
      </c>
      <c r="N320" s="22">
        <v>0</v>
      </c>
      <c r="O320" s="23">
        <v>340</v>
      </c>
      <c r="P320" s="24">
        <v>227</v>
      </c>
      <c r="Q320" s="25">
        <v>0.66764705882352937</v>
      </c>
      <c r="R320" s="24">
        <v>227</v>
      </c>
      <c r="S320" s="50">
        <v>0.66764705882352937</v>
      </c>
      <c r="T320" s="43">
        <v>0</v>
      </c>
      <c r="U320" s="24">
        <v>0</v>
      </c>
      <c r="V320" s="19">
        <v>2040</v>
      </c>
      <c r="W320" s="19">
        <v>2253.84</v>
      </c>
      <c r="X320" s="21">
        <v>1.1048235294117648</v>
      </c>
      <c r="Y320" s="19">
        <v>1703.8400000000004</v>
      </c>
      <c r="Z320" s="20">
        <v>0.83521568627451004</v>
      </c>
      <c r="AA320" s="30">
        <v>0.11699999999999999</v>
      </c>
      <c r="AB320" s="27">
        <v>8.5000000000000006E-2</v>
      </c>
      <c r="AC320" s="27">
        <v>0.12</v>
      </c>
      <c r="AD320" s="11">
        <v>0.11152594432712992</v>
      </c>
    </row>
    <row r="321" spans="1:30" x14ac:dyDescent="0.25">
      <c r="A321" s="13">
        <v>43941</v>
      </c>
      <c r="B321" s="46" t="s">
        <v>636</v>
      </c>
      <c r="C321" s="13">
        <v>43941</v>
      </c>
      <c r="D321" s="15" t="s">
        <v>89</v>
      </c>
      <c r="E321" s="15">
        <v>30</v>
      </c>
      <c r="F321" s="15">
        <v>30</v>
      </c>
      <c r="G321" s="13">
        <v>43971</v>
      </c>
      <c r="H321" s="16">
        <v>2500</v>
      </c>
      <c r="I321" s="18">
        <v>4011.43</v>
      </c>
      <c r="J321" s="20">
        <v>1.604572000000001</v>
      </c>
      <c r="K321" s="19">
        <v>2857.4299999999994</v>
      </c>
      <c r="L321" s="48">
        <v>1.1429719999999997</v>
      </c>
      <c r="M321" s="42">
        <v>0</v>
      </c>
      <c r="N321" s="22">
        <v>0</v>
      </c>
      <c r="O321" s="23">
        <v>500</v>
      </c>
      <c r="P321" s="24">
        <v>320</v>
      </c>
      <c r="Q321" s="25">
        <v>0.64</v>
      </c>
      <c r="R321" s="24">
        <v>320</v>
      </c>
      <c r="S321" s="50">
        <v>0.64</v>
      </c>
      <c r="T321" s="43">
        <v>0</v>
      </c>
      <c r="U321" s="24">
        <v>0</v>
      </c>
      <c r="V321" s="19">
        <v>3000</v>
      </c>
      <c r="W321" s="19">
        <v>4331.43</v>
      </c>
      <c r="X321" s="21">
        <v>1.44381</v>
      </c>
      <c r="Y321" s="19">
        <v>3177.4299999999994</v>
      </c>
      <c r="Z321" s="20">
        <v>1.0591433333333331</v>
      </c>
      <c r="AA321" s="30">
        <v>9.1999999999999929E-2</v>
      </c>
      <c r="AB321" s="27">
        <v>7.0000000000000007E-2</v>
      </c>
      <c r="AC321" s="27">
        <v>9.6999999999999989E-2</v>
      </c>
      <c r="AD321" s="11">
        <v>8.7427603124072953E-2</v>
      </c>
    </row>
    <row r="322" spans="1:30" x14ac:dyDescent="0.25">
      <c r="A322" s="13">
        <v>43943</v>
      </c>
      <c r="B322" s="46" t="s">
        <v>636</v>
      </c>
      <c r="C322" s="13">
        <v>43943</v>
      </c>
      <c r="D322" s="15" t="s">
        <v>90</v>
      </c>
      <c r="E322" s="15">
        <v>77</v>
      </c>
      <c r="F322" s="15">
        <v>90</v>
      </c>
      <c r="G322" s="13">
        <v>44020</v>
      </c>
      <c r="H322" s="16">
        <v>2100</v>
      </c>
      <c r="I322" s="18">
        <v>1406.8200000000002</v>
      </c>
      <c r="J322" s="20">
        <v>0.66991428571428557</v>
      </c>
      <c r="K322" s="19">
        <v>1105.8200000000002</v>
      </c>
      <c r="L322" s="48">
        <v>0.52658095238095248</v>
      </c>
      <c r="M322" s="42">
        <v>0</v>
      </c>
      <c r="N322" s="22">
        <v>0</v>
      </c>
      <c r="O322" s="23">
        <v>420</v>
      </c>
      <c r="P322" s="24">
        <v>0</v>
      </c>
      <c r="Q322" s="25">
        <v>0</v>
      </c>
      <c r="R322" s="24">
        <v>0</v>
      </c>
      <c r="S322" s="50">
        <v>0</v>
      </c>
      <c r="T322" s="43">
        <v>0</v>
      </c>
      <c r="U322" s="24">
        <v>0</v>
      </c>
      <c r="V322" s="19">
        <v>2520</v>
      </c>
      <c r="W322" s="19">
        <v>1406.8200000000002</v>
      </c>
      <c r="X322" s="21">
        <v>0.55826190476190485</v>
      </c>
      <c r="Y322" s="19">
        <v>1105.8200000000002</v>
      </c>
      <c r="Z322" s="20">
        <v>0.43881746031746038</v>
      </c>
      <c r="AA322" s="30">
        <v>0.10139999999999996</v>
      </c>
      <c r="AB322" s="27">
        <v>7.0000000000000007E-2</v>
      </c>
      <c r="AC322" s="27">
        <v>0.11</v>
      </c>
      <c r="AD322" s="11">
        <v>9.7522756998052337E-2</v>
      </c>
    </row>
    <row r="323" spans="1:30" x14ac:dyDescent="0.25">
      <c r="A323" s="13">
        <v>43944</v>
      </c>
      <c r="B323" s="46" t="s">
        <v>636</v>
      </c>
      <c r="C323" s="13">
        <v>43945</v>
      </c>
      <c r="D323" s="15" t="s">
        <v>91</v>
      </c>
      <c r="E323" s="15">
        <v>378</v>
      </c>
      <c r="F323" s="15">
        <v>360</v>
      </c>
      <c r="G323" s="13">
        <v>44323</v>
      </c>
      <c r="H323" s="16">
        <v>3400</v>
      </c>
      <c r="I323" s="18">
        <v>3703.2900000000009</v>
      </c>
      <c r="J323" s="20">
        <v>1.0892029411764705</v>
      </c>
      <c r="K323" s="19">
        <v>1381.4700000000003</v>
      </c>
      <c r="L323" s="48">
        <v>0.40631470588235302</v>
      </c>
      <c r="M323" s="42">
        <v>0</v>
      </c>
      <c r="N323" s="22">
        <v>0</v>
      </c>
      <c r="O323" s="23">
        <v>680</v>
      </c>
      <c r="P323" s="24">
        <v>250</v>
      </c>
      <c r="Q323" s="25">
        <v>0.36764705882352944</v>
      </c>
      <c r="R323" s="24">
        <v>250</v>
      </c>
      <c r="S323" s="50">
        <v>0.36764705882352944</v>
      </c>
      <c r="T323" s="43">
        <v>0</v>
      </c>
      <c r="U323" s="24">
        <v>0</v>
      </c>
      <c r="V323" s="19">
        <v>4080</v>
      </c>
      <c r="W323" s="19">
        <v>3953.2900000000009</v>
      </c>
      <c r="X323" s="21">
        <v>0.96894362745098062</v>
      </c>
      <c r="Y323" s="19">
        <v>1631.4700000000003</v>
      </c>
      <c r="Z323" s="20">
        <v>0.39987009803921575</v>
      </c>
      <c r="AA323" s="30">
        <v>0.1348</v>
      </c>
      <c r="AB323" s="27">
        <v>0.1</v>
      </c>
      <c r="AC323" s="27">
        <v>0.14449999999999999</v>
      </c>
      <c r="AD323" s="11">
        <v>0.13534726472947028</v>
      </c>
    </row>
    <row r="324" spans="1:30" x14ac:dyDescent="0.25">
      <c r="A324" s="13">
        <v>43945</v>
      </c>
      <c r="B324" s="46" t="s">
        <v>636</v>
      </c>
      <c r="C324" s="13">
        <v>43945</v>
      </c>
      <c r="D324" s="15" t="s">
        <v>92</v>
      </c>
      <c r="E324" s="15">
        <v>189</v>
      </c>
      <c r="F324" s="15">
        <v>180</v>
      </c>
      <c r="G324" s="13">
        <v>44134</v>
      </c>
      <c r="H324" s="16">
        <v>2100</v>
      </c>
      <c r="I324" s="18">
        <v>1296.6200000000001</v>
      </c>
      <c r="J324" s="20">
        <v>0.61743809523809534</v>
      </c>
      <c r="K324" s="19">
        <v>746.62</v>
      </c>
      <c r="L324" s="48">
        <v>0.35553333333333331</v>
      </c>
      <c r="M324" s="42">
        <v>0</v>
      </c>
      <c r="N324" s="22">
        <v>0</v>
      </c>
      <c r="O324" s="23">
        <v>420</v>
      </c>
      <c r="P324" s="24">
        <v>131.84</v>
      </c>
      <c r="Q324" s="25">
        <v>0.31390476190476191</v>
      </c>
      <c r="R324" s="24">
        <v>131.84</v>
      </c>
      <c r="S324" s="50">
        <v>0.31390476190476191</v>
      </c>
      <c r="T324" s="43">
        <v>0</v>
      </c>
      <c r="U324" s="24">
        <v>0</v>
      </c>
      <c r="V324" s="19">
        <v>2520</v>
      </c>
      <c r="W324" s="19">
        <v>1428.46</v>
      </c>
      <c r="X324" s="21">
        <v>0.56684920634920632</v>
      </c>
      <c r="Y324" s="19">
        <v>878.46</v>
      </c>
      <c r="Z324" s="20">
        <v>0.34859523809523812</v>
      </c>
      <c r="AA324" s="30">
        <v>0.11639999999999993</v>
      </c>
      <c r="AB324" s="27">
        <v>0.06</v>
      </c>
      <c r="AC324" s="27">
        <v>0.12240000000000001</v>
      </c>
      <c r="AD324" s="11">
        <v>0.11568401150684085</v>
      </c>
    </row>
    <row r="325" spans="1:30" x14ac:dyDescent="0.25">
      <c r="A325" s="13">
        <v>43948</v>
      </c>
      <c r="B325" s="46" t="s">
        <v>636</v>
      </c>
      <c r="C325" s="13">
        <v>43948</v>
      </c>
      <c r="D325" s="15" t="s">
        <v>93</v>
      </c>
      <c r="E325" s="15">
        <v>30</v>
      </c>
      <c r="F325" s="15">
        <v>30</v>
      </c>
      <c r="G325" s="13">
        <v>43978</v>
      </c>
      <c r="H325" s="16">
        <v>3300</v>
      </c>
      <c r="I325" s="18">
        <v>4162.01</v>
      </c>
      <c r="J325" s="20">
        <v>1.2612151515151515</v>
      </c>
      <c r="K325" s="19">
        <v>3662.0099999999998</v>
      </c>
      <c r="L325" s="48">
        <v>1.1096999999999999</v>
      </c>
      <c r="M325" s="42">
        <v>0</v>
      </c>
      <c r="N325" s="22">
        <v>0</v>
      </c>
      <c r="O325" s="23">
        <v>660</v>
      </c>
      <c r="P325" s="24">
        <v>344.2</v>
      </c>
      <c r="Q325" s="25">
        <v>0.5215151515151516</v>
      </c>
      <c r="R325" s="24">
        <v>344.2</v>
      </c>
      <c r="S325" s="50">
        <v>0.52151515151515149</v>
      </c>
      <c r="T325" s="43">
        <v>0</v>
      </c>
      <c r="U325" s="24">
        <v>0</v>
      </c>
      <c r="V325" s="19">
        <v>3960</v>
      </c>
      <c r="W325" s="19">
        <v>4506.21</v>
      </c>
      <c r="X325" s="21">
        <v>1.1379318181818181</v>
      </c>
      <c r="Y325" s="19">
        <v>4006.2099999999996</v>
      </c>
      <c r="Z325" s="20">
        <v>1.0116691919191918</v>
      </c>
      <c r="AA325" s="30">
        <v>9.1200000000000017E-2</v>
      </c>
      <c r="AB325" s="27">
        <v>7.0000000000000007E-2</v>
      </c>
      <c r="AC325" s="27">
        <v>9.5000000000000001E-2</v>
      </c>
      <c r="AD325" s="11">
        <v>8.6268593780408964E-2</v>
      </c>
    </row>
    <row r="326" spans="1:30" x14ac:dyDescent="0.25">
      <c r="A326" s="13">
        <v>43950</v>
      </c>
      <c r="B326" s="46" t="s">
        <v>636</v>
      </c>
      <c r="C326" s="13">
        <v>43950</v>
      </c>
      <c r="D326" s="15" t="s">
        <v>94</v>
      </c>
      <c r="E326" s="15">
        <v>98</v>
      </c>
      <c r="F326" s="15">
        <v>90</v>
      </c>
      <c r="G326" s="13">
        <v>44048</v>
      </c>
      <c r="H326" s="16">
        <v>2500</v>
      </c>
      <c r="I326" s="18">
        <v>228.68</v>
      </c>
      <c r="J326" s="20">
        <v>9.1471999999999998E-2</v>
      </c>
      <c r="K326" s="19">
        <v>228.68</v>
      </c>
      <c r="L326" s="48">
        <v>9.1471999999999998E-2</v>
      </c>
      <c r="M326" s="42">
        <v>0</v>
      </c>
      <c r="N326" s="22">
        <v>0</v>
      </c>
      <c r="O326" s="23">
        <v>500</v>
      </c>
      <c r="P326" s="24">
        <v>0.4</v>
      </c>
      <c r="Q326" s="25">
        <v>8.0000000000000004E-4</v>
      </c>
      <c r="R326" s="24">
        <v>0.4</v>
      </c>
      <c r="S326" s="50">
        <v>8.0000000000000004E-4</v>
      </c>
      <c r="T326" s="43">
        <v>0</v>
      </c>
      <c r="U326" s="24">
        <v>0</v>
      </c>
      <c r="V326" s="19">
        <v>3000</v>
      </c>
      <c r="W326" s="19">
        <v>229.08</v>
      </c>
      <c r="X326" s="21">
        <v>7.6359999999999997E-2</v>
      </c>
      <c r="Y326" s="19">
        <v>229.08</v>
      </c>
      <c r="Z326" s="20">
        <v>7.6359999999999997E-2</v>
      </c>
      <c r="AA326" s="30">
        <v>9.8000000000000032E-2</v>
      </c>
      <c r="AB326" s="27">
        <v>0.08</v>
      </c>
      <c r="AC326" s="27">
        <v>9.8000000000000004E-2</v>
      </c>
      <c r="AD326" s="11">
        <v>9.4296440440790621E-2</v>
      </c>
    </row>
    <row r="327" spans="1:30" x14ac:dyDescent="0.25">
      <c r="A327" s="13">
        <v>43950</v>
      </c>
      <c r="B327" s="46" t="s">
        <v>637</v>
      </c>
      <c r="C327" s="13">
        <v>43951</v>
      </c>
      <c r="D327" s="15" t="s">
        <v>95</v>
      </c>
      <c r="E327" s="15">
        <v>372</v>
      </c>
      <c r="F327" s="15">
        <v>360</v>
      </c>
      <c r="G327" s="13">
        <v>44323</v>
      </c>
      <c r="H327" s="16">
        <v>1700</v>
      </c>
      <c r="I327" s="18">
        <v>3946.38</v>
      </c>
      <c r="J327" s="20">
        <v>2.3213999999999997</v>
      </c>
      <c r="K327" s="19">
        <v>2146.38</v>
      </c>
      <c r="L327" s="48">
        <v>1.2625764705882354</v>
      </c>
      <c r="M327" s="42">
        <v>0</v>
      </c>
      <c r="N327" s="22">
        <v>0</v>
      </c>
      <c r="O327" s="23">
        <v>340</v>
      </c>
      <c r="P327" s="24">
        <v>0</v>
      </c>
      <c r="Q327" s="25">
        <v>0</v>
      </c>
      <c r="R327" s="24">
        <v>0</v>
      </c>
      <c r="S327" s="50">
        <v>0</v>
      </c>
      <c r="T327" s="43">
        <v>0</v>
      </c>
      <c r="U327" s="24">
        <v>0</v>
      </c>
      <c r="V327" s="19">
        <v>2040</v>
      </c>
      <c r="W327" s="19">
        <v>3946.38</v>
      </c>
      <c r="X327" s="21">
        <v>1.9345000000000001</v>
      </c>
      <c r="Y327" s="19">
        <v>2146.38</v>
      </c>
      <c r="Z327" s="20">
        <v>1.0521470588235295</v>
      </c>
      <c r="AA327" s="30">
        <v>0.13140000000000007</v>
      </c>
      <c r="AB327" s="27">
        <v>0.1</v>
      </c>
      <c r="AC327" s="27">
        <v>0.13750000000000001</v>
      </c>
      <c r="AD327" s="11">
        <v>0.13189490114991459</v>
      </c>
    </row>
    <row r="328" spans="1:30" x14ac:dyDescent="0.25">
      <c r="A328" s="13">
        <v>43951</v>
      </c>
      <c r="B328" s="46" t="s">
        <v>636</v>
      </c>
      <c r="C328" s="13">
        <v>43951</v>
      </c>
      <c r="D328" s="15" t="s">
        <v>96</v>
      </c>
      <c r="E328" s="15">
        <v>183</v>
      </c>
      <c r="F328" s="15">
        <v>180</v>
      </c>
      <c r="G328" s="13">
        <v>44134</v>
      </c>
      <c r="H328" s="16">
        <v>2100</v>
      </c>
      <c r="I328" s="18">
        <v>207.22</v>
      </c>
      <c r="J328" s="20">
        <v>9.8676190476190473E-2</v>
      </c>
      <c r="K328" s="19">
        <v>107.22</v>
      </c>
      <c r="L328" s="48">
        <v>5.1057142857142856E-2</v>
      </c>
      <c r="M328" s="42">
        <v>0</v>
      </c>
      <c r="N328" s="22">
        <v>0</v>
      </c>
      <c r="O328" s="23">
        <v>420</v>
      </c>
      <c r="P328" s="24">
        <v>50</v>
      </c>
      <c r="Q328" s="25">
        <v>0.11904761904761904</v>
      </c>
      <c r="R328" s="24">
        <v>21.443999999999999</v>
      </c>
      <c r="S328" s="50">
        <v>5.1057142857142856E-2</v>
      </c>
      <c r="T328" s="43">
        <v>0.42887999999999998</v>
      </c>
      <c r="U328" s="24">
        <v>0</v>
      </c>
      <c r="V328" s="19">
        <v>2520</v>
      </c>
      <c r="W328" s="19">
        <v>257.22000000000003</v>
      </c>
      <c r="X328" s="21">
        <v>0.10207142857142858</v>
      </c>
      <c r="Y328" s="19">
        <v>128.66399999999999</v>
      </c>
      <c r="Z328" s="20">
        <v>5.105714285714285E-2</v>
      </c>
      <c r="AA328" s="30">
        <v>0.1149</v>
      </c>
      <c r="AB328" s="27">
        <v>0.09</v>
      </c>
      <c r="AC328" s="27">
        <v>0.11789999999999999</v>
      </c>
      <c r="AD328" s="11">
        <v>0.11310056944310394</v>
      </c>
    </row>
    <row r="329" spans="1:30" x14ac:dyDescent="0.25">
      <c r="A329" s="13">
        <v>43955</v>
      </c>
      <c r="B329" s="46" t="s">
        <v>636</v>
      </c>
      <c r="C329" s="13">
        <v>43955</v>
      </c>
      <c r="D329" s="15" t="s">
        <v>97</v>
      </c>
      <c r="E329" s="15">
        <v>28</v>
      </c>
      <c r="F329" s="15">
        <v>30</v>
      </c>
      <c r="G329" s="13">
        <v>43983</v>
      </c>
      <c r="H329" s="16">
        <v>4200</v>
      </c>
      <c r="I329" s="18">
        <v>1956.17</v>
      </c>
      <c r="J329" s="20">
        <v>0.46575476190476189</v>
      </c>
      <c r="K329" s="19">
        <v>1180.17</v>
      </c>
      <c r="L329" s="48">
        <v>0.28099285714285716</v>
      </c>
      <c r="M329" s="42">
        <v>0</v>
      </c>
      <c r="N329" s="22">
        <v>0</v>
      </c>
      <c r="O329" s="23">
        <v>840</v>
      </c>
      <c r="P329" s="24">
        <v>25</v>
      </c>
      <c r="Q329" s="25">
        <v>2.976190476190476E-2</v>
      </c>
      <c r="R329" s="24">
        <v>25</v>
      </c>
      <c r="S329" s="50">
        <v>2.976190476190476E-2</v>
      </c>
      <c r="T329" s="43">
        <v>0</v>
      </c>
      <c r="U329" s="24">
        <v>0</v>
      </c>
      <c r="V329" s="19">
        <v>5040</v>
      </c>
      <c r="W329" s="19">
        <v>1981.17</v>
      </c>
      <c r="X329" s="21">
        <v>0.39308928571428575</v>
      </c>
      <c r="Y329" s="19">
        <v>1205.17</v>
      </c>
      <c r="Z329" s="20">
        <v>0.23912103174603175</v>
      </c>
      <c r="AA329" s="30">
        <v>8.9599999999999957E-2</v>
      </c>
      <c r="AB329" s="27">
        <v>7.0000000000000007E-2</v>
      </c>
      <c r="AC329" s="27">
        <v>9.4700000000000006E-2</v>
      </c>
      <c r="AD329" s="11">
        <v>8.6577444700613945E-2</v>
      </c>
    </row>
    <row r="330" spans="1:30" x14ac:dyDescent="0.25">
      <c r="A330" s="13">
        <v>43957</v>
      </c>
      <c r="B330" s="46" t="s">
        <v>636</v>
      </c>
      <c r="C330" s="13">
        <v>43957</v>
      </c>
      <c r="D330" s="15" t="s">
        <v>98</v>
      </c>
      <c r="E330" s="15">
        <v>91</v>
      </c>
      <c r="F330" s="15">
        <v>90</v>
      </c>
      <c r="G330" s="13">
        <v>44048</v>
      </c>
      <c r="H330" s="16">
        <v>1700</v>
      </c>
      <c r="I330" s="18">
        <v>1683.8200000000002</v>
      </c>
      <c r="J330" s="20">
        <v>0.99048235294117648</v>
      </c>
      <c r="K330" s="19">
        <v>831.65</v>
      </c>
      <c r="L330" s="48">
        <v>0.48920588235294116</v>
      </c>
      <c r="M330" s="42">
        <v>0</v>
      </c>
      <c r="N330" s="22">
        <v>0</v>
      </c>
      <c r="O330" s="23">
        <v>340</v>
      </c>
      <c r="P330" s="24">
        <v>40</v>
      </c>
      <c r="Q330" s="25">
        <v>0.11764705882352941</v>
      </c>
      <c r="R330" s="24">
        <v>40</v>
      </c>
      <c r="S330" s="50">
        <v>0.11764705882352941</v>
      </c>
      <c r="T330" s="43">
        <v>0</v>
      </c>
      <c r="U330" s="24">
        <v>0</v>
      </c>
      <c r="V330" s="19">
        <v>2040</v>
      </c>
      <c r="W330" s="19">
        <v>1723.8200000000002</v>
      </c>
      <c r="X330" s="21">
        <v>0.84500980392156866</v>
      </c>
      <c r="Y330" s="19">
        <v>871.65</v>
      </c>
      <c r="Z330" s="20">
        <v>0.42727941176470585</v>
      </c>
      <c r="AA330" s="30">
        <v>9.6900000000000069E-2</v>
      </c>
      <c r="AB330" s="27">
        <v>7.4999999999999997E-2</v>
      </c>
      <c r="AC330" s="27">
        <v>0.1024</v>
      </c>
      <c r="AD330" s="11">
        <v>9.6694483377083029E-2</v>
      </c>
    </row>
    <row r="331" spans="1:30" x14ac:dyDescent="0.25">
      <c r="A331" s="13">
        <v>43958</v>
      </c>
      <c r="B331" s="46" t="s">
        <v>636</v>
      </c>
      <c r="C331" s="13">
        <v>43959</v>
      </c>
      <c r="D331" s="15" t="s">
        <v>99</v>
      </c>
      <c r="E331" s="15">
        <v>364</v>
      </c>
      <c r="F331" s="15">
        <v>360</v>
      </c>
      <c r="G331" s="13">
        <v>44323</v>
      </c>
      <c r="H331" s="16">
        <v>4200</v>
      </c>
      <c r="I331" s="18">
        <v>6131.7800000000016</v>
      </c>
      <c r="J331" s="20">
        <v>1.4599476190476182</v>
      </c>
      <c r="K331" s="19">
        <v>2074.4799999999996</v>
      </c>
      <c r="L331" s="48">
        <v>0.49392380952380943</v>
      </c>
      <c r="M331" s="42">
        <v>0</v>
      </c>
      <c r="N331" s="22">
        <v>0</v>
      </c>
      <c r="O331" s="23">
        <v>840</v>
      </c>
      <c r="P331" s="24">
        <v>730.26</v>
      </c>
      <c r="Q331" s="25">
        <v>0.86935714285714283</v>
      </c>
      <c r="R331" s="24">
        <v>414.89599999999996</v>
      </c>
      <c r="S331" s="50">
        <v>0.49392380952380949</v>
      </c>
      <c r="T331" s="43">
        <v>0.56814999999999993</v>
      </c>
      <c r="U331" s="24">
        <v>0</v>
      </c>
      <c r="V331" s="19">
        <v>5040</v>
      </c>
      <c r="W331" s="19">
        <v>6862.0400000000018</v>
      </c>
      <c r="X331" s="21">
        <v>1.3615158730158734</v>
      </c>
      <c r="Y331" s="19">
        <v>2489.3759999999993</v>
      </c>
      <c r="Z331" s="20">
        <v>0.49392380952380938</v>
      </c>
      <c r="AA331" s="30">
        <v>0.13089999999999979</v>
      </c>
      <c r="AB331" s="27">
        <v>0.06</v>
      </c>
      <c r="AC331" s="27">
        <v>0.14219999999999999</v>
      </c>
      <c r="AD331" s="11">
        <v>0.13258586087563484</v>
      </c>
    </row>
    <row r="332" spans="1:30" x14ac:dyDescent="0.25">
      <c r="A332" s="13">
        <v>43959</v>
      </c>
      <c r="B332" s="46" t="s">
        <v>636</v>
      </c>
      <c r="C332" s="13">
        <v>43959</v>
      </c>
      <c r="D332" s="15" t="s">
        <v>100</v>
      </c>
      <c r="E332" s="15">
        <v>175</v>
      </c>
      <c r="F332" s="15">
        <v>180</v>
      </c>
      <c r="G332" s="13">
        <v>44134</v>
      </c>
      <c r="H332" s="16">
        <v>2500</v>
      </c>
      <c r="I332" s="18">
        <v>2188.1800000000003</v>
      </c>
      <c r="J332" s="20">
        <v>0.87527200000000049</v>
      </c>
      <c r="K332" s="19">
        <v>1930.18</v>
      </c>
      <c r="L332" s="48">
        <v>0.77207199999999998</v>
      </c>
      <c r="M332" s="42">
        <v>0</v>
      </c>
      <c r="N332" s="22">
        <v>0</v>
      </c>
      <c r="O332" s="23">
        <v>500</v>
      </c>
      <c r="P332" s="24">
        <v>25.11</v>
      </c>
      <c r="Q332" s="25">
        <v>5.0220000000000001E-2</v>
      </c>
      <c r="R332" s="24">
        <v>25.11</v>
      </c>
      <c r="S332" s="50">
        <v>5.0220000000000001E-2</v>
      </c>
      <c r="T332" s="43">
        <v>0</v>
      </c>
      <c r="U332" s="24">
        <v>0</v>
      </c>
      <c r="V332" s="19">
        <v>3000</v>
      </c>
      <c r="W332" s="19">
        <v>2213.2900000000004</v>
      </c>
      <c r="X332" s="21">
        <v>0.73776333333333344</v>
      </c>
      <c r="Y332" s="19">
        <v>1955.29</v>
      </c>
      <c r="Z332" s="20">
        <v>0.65176333333333336</v>
      </c>
      <c r="AA332" s="30">
        <v>0.11390000000000008</v>
      </c>
      <c r="AB332" s="27">
        <v>0.09</v>
      </c>
      <c r="AC332" s="27">
        <v>0.11599999999999999</v>
      </c>
      <c r="AD332" s="11">
        <v>0.11006398011132539</v>
      </c>
    </row>
    <row r="333" spans="1:30" x14ac:dyDescent="0.25">
      <c r="A333" s="13">
        <v>43962</v>
      </c>
      <c r="B333" s="46" t="s">
        <v>636</v>
      </c>
      <c r="C333" s="13">
        <v>43962</v>
      </c>
      <c r="D333" s="15" t="s">
        <v>101</v>
      </c>
      <c r="E333" s="15">
        <v>28</v>
      </c>
      <c r="F333" s="15">
        <v>30</v>
      </c>
      <c r="G333" s="13">
        <v>43990</v>
      </c>
      <c r="H333" s="16">
        <v>3300</v>
      </c>
      <c r="I333" s="18">
        <v>4133.6100000000006</v>
      </c>
      <c r="J333" s="20">
        <v>1.2526090909090906</v>
      </c>
      <c r="K333" s="19">
        <v>3589.3900000000003</v>
      </c>
      <c r="L333" s="48">
        <v>1.0876939393939395</v>
      </c>
      <c r="M333" s="42">
        <v>0</v>
      </c>
      <c r="N333" s="22">
        <v>0</v>
      </c>
      <c r="O333" s="23">
        <v>660</v>
      </c>
      <c r="P333" s="24">
        <v>10.93</v>
      </c>
      <c r="Q333" s="25">
        <v>1.656060606060606E-2</v>
      </c>
      <c r="R333" s="24">
        <v>10.93</v>
      </c>
      <c r="S333" s="50">
        <v>1.656060606060606E-2</v>
      </c>
      <c r="T333" s="43">
        <v>0</v>
      </c>
      <c r="U333" s="24">
        <v>0</v>
      </c>
      <c r="V333" s="19">
        <v>3960</v>
      </c>
      <c r="W333" s="19">
        <v>4144.5400000000009</v>
      </c>
      <c r="X333" s="21">
        <v>1.0466010101010104</v>
      </c>
      <c r="Y333" s="19">
        <v>3600.32</v>
      </c>
      <c r="Z333" s="20">
        <v>0.90917171717171719</v>
      </c>
      <c r="AA333" s="30">
        <v>8.6999999999999966E-2</v>
      </c>
      <c r="AB333" s="27">
        <v>7.0000000000000007E-2</v>
      </c>
      <c r="AC333" s="27">
        <v>9.2499999999999999E-2</v>
      </c>
      <c r="AD333" s="11">
        <v>8.2321227692017385E-2</v>
      </c>
    </row>
    <row r="334" spans="1:30" x14ac:dyDescent="0.25">
      <c r="A334" s="13">
        <v>43964</v>
      </c>
      <c r="B334" s="46" t="s">
        <v>636</v>
      </c>
      <c r="C334" s="13">
        <v>43964</v>
      </c>
      <c r="D334" s="15" t="s">
        <v>102</v>
      </c>
      <c r="E334" s="15">
        <v>84</v>
      </c>
      <c r="F334" s="15">
        <v>90</v>
      </c>
      <c r="G334" s="13">
        <v>44048</v>
      </c>
      <c r="H334" s="16">
        <v>1700</v>
      </c>
      <c r="I334" s="18">
        <v>2478.83</v>
      </c>
      <c r="J334" s="20">
        <v>1.4581352941176469</v>
      </c>
      <c r="K334" s="19">
        <v>1882.7099999999998</v>
      </c>
      <c r="L334" s="48">
        <v>1.1074764705882352</v>
      </c>
      <c r="M334" s="42">
        <v>0</v>
      </c>
      <c r="N334" s="22">
        <v>0</v>
      </c>
      <c r="O334" s="23">
        <v>340</v>
      </c>
      <c r="P334" s="24">
        <v>262</v>
      </c>
      <c r="Q334" s="25">
        <v>0.77058823529411757</v>
      </c>
      <c r="R334" s="24">
        <v>262</v>
      </c>
      <c r="S334" s="50">
        <v>0.77058823529411768</v>
      </c>
      <c r="T334" s="43">
        <v>0</v>
      </c>
      <c r="U334" s="24">
        <v>0</v>
      </c>
      <c r="V334" s="19">
        <v>2040</v>
      </c>
      <c r="W334" s="19">
        <v>2740.83</v>
      </c>
      <c r="X334" s="21">
        <v>1.3435441176470588</v>
      </c>
      <c r="Y334" s="19">
        <v>2144.71</v>
      </c>
      <c r="Z334" s="20">
        <v>1.0513284313725491</v>
      </c>
      <c r="AA334" s="30">
        <v>9.3500000000000041E-2</v>
      </c>
      <c r="AB334" s="27">
        <v>8.3000000000000004E-2</v>
      </c>
      <c r="AC334" s="27">
        <v>0.12089999999999999</v>
      </c>
      <c r="AD334" s="11">
        <v>9.2775344819935199E-2</v>
      </c>
    </row>
    <row r="335" spans="1:30" x14ac:dyDescent="0.25">
      <c r="A335" s="13">
        <v>43965</v>
      </c>
      <c r="B335" s="46" t="s">
        <v>636</v>
      </c>
      <c r="C335" s="13">
        <v>43966</v>
      </c>
      <c r="D335" s="15" t="s">
        <v>103</v>
      </c>
      <c r="E335" s="15">
        <v>357</v>
      </c>
      <c r="F335" s="15">
        <v>360</v>
      </c>
      <c r="G335" s="13">
        <v>44323</v>
      </c>
      <c r="H335" s="16">
        <v>1200</v>
      </c>
      <c r="I335" s="18">
        <v>6140.0199999999995</v>
      </c>
      <c r="J335" s="20">
        <v>5.1166833333333317</v>
      </c>
      <c r="K335" s="19">
        <v>666.95999999999992</v>
      </c>
      <c r="L335" s="48">
        <v>0.55579999999999996</v>
      </c>
      <c r="M335" s="42">
        <v>0</v>
      </c>
      <c r="N335" s="22">
        <v>0</v>
      </c>
      <c r="O335" s="23">
        <v>240</v>
      </c>
      <c r="P335" s="24">
        <v>240</v>
      </c>
      <c r="Q335" s="25">
        <v>1</v>
      </c>
      <c r="R335" s="24">
        <v>133.392</v>
      </c>
      <c r="S335" s="50">
        <v>0.55579999999999996</v>
      </c>
      <c r="T335" s="43">
        <v>0.55579999999999996</v>
      </c>
      <c r="U335" s="24">
        <v>0</v>
      </c>
      <c r="V335" s="19">
        <v>1440</v>
      </c>
      <c r="W335" s="19">
        <v>6380.0199999999995</v>
      </c>
      <c r="X335" s="21">
        <v>4.4305694444444441</v>
      </c>
      <c r="Y335" s="19">
        <v>800.35199999999986</v>
      </c>
      <c r="Z335" s="20">
        <v>0.55579999999999985</v>
      </c>
      <c r="AA335" s="30">
        <v>0.12579999999999994</v>
      </c>
      <c r="AB335" s="27">
        <v>0.06</v>
      </c>
      <c r="AC335" s="27">
        <v>0.13500000000000001</v>
      </c>
      <c r="AD335" s="11">
        <v>0.12836526281673352</v>
      </c>
    </row>
    <row r="336" spans="1:30" x14ac:dyDescent="0.25">
      <c r="A336" s="13">
        <v>43966</v>
      </c>
      <c r="B336" s="46" t="s">
        <v>636</v>
      </c>
      <c r="C336" s="13">
        <v>43966</v>
      </c>
      <c r="D336" s="15" t="s">
        <v>104</v>
      </c>
      <c r="E336" s="15">
        <v>168</v>
      </c>
      <c r="F336" s="15">
        <v>180</v>
      </c>
      <c r="G336" s="13">
        <v>44134</v>
      </c>
      <c r="H336" s="16">
        <v>1700</v>
      </c>
      <c r="I336" s="18">
        <v>3627.9300000000007</v>
      </c>
      <c r="J336" s="20">
        <v>2.1340764705882354</v>
      </c>
      <c r="K336" s="19">
        <v>2134.4699999999998</v>
      </c>
      <c r="L336" s="48">
        <v>1.2555705882352941</v>
      </c>
      <c r="M336" s="42">
        <v>0</v>
      </c>
      <c r="N336" s="22">
        <v>0</v>
      </c>
      <c r="O336" s="23">
        <v>340</v>
      </c>
      <c r="P336" s="24">
        <v>690</v>
      </c>
      <c r="Q336" s="25">
        <v>2.0294117647058827</v>
      </c>
      <c r="R336" s="24">
        <v>340</v>
      </c>
      <c r="S336" s="50">
        <v>1</v>
      </c>
      <c r="T336" s="43">
        <v>0.492755</v>
      </c>
      <c r="U336" s="24">
        <v>0</v>
      </c>
      <c r="V336" s="19">
        <v>2040</v>
      </c>
      <c r="W336" s="19">
        <v>4317.93</v>
      </c>
      <c r="X336" s="21">
        <v>2.1166323529411768</v>
      </c>
      <c r="Y336" s="19">
        <v>2474.4699999999998</v>
      </c>
      <c r="Z336" s="20">
        <v>1.2129754901960783</v>
      </c>
      <c r="AA336" s="30">
        <v>0.10689999999999987</v>
      </c>
      <c r="AB336" s="27">
        <v>0.06</v>
      </c>
      <c r="AC336" s="27">
        <v>0.1119</v>
      </c>
      <c r="AD336" s="11">
        <v>0.10591260911869849</v>
      </c>
    </row>
    <row r="337" spans="1:30" x14ac:dyDescent="0.25">
      <c r="A337" s="13">
        <v>43970</v>
      </c>
      <c r="B337" s="46" t="s">
        <v>636</v>
      </c>
      <c r="C337" s="13">
        <v>43970</v>
      </c>
      <c r="D337" s="15" t="s">
        <v>105</v>
      </c>
      <c r="E337" s="15">
        <v>29</v>
      </c>
      <c r="F337" s="15">
        <v>30</v>
      </c>
      <c r="G337" s="13">
        <v>43999</v>
      </c>
      <c r="H337" s="16">
        <v>4200</v>
      </c>
      <c r="I337" s="18">
        <v>4618.12</v>
      </c>
      <c r="J337" s="20">
        <v>1.0995523809523804</v>
      </c>
      <c r="K337" s="19">
        <v>4368.12</v>
      </c>
      <c r="L337" s="48">
        <v>1.0400285714285713</v>
      </c>
      <c r="M337" s="42">
        <v>0</v>
      </c>
      <c r="N337" s="22">
        <v>0</v>
      </c>
      <c r="O337" s="23">
        <v>840</v>
      </c>
      <c r="P337" s="24">
        <v>76.09</v>
      </c>
      <c r="Q337" s="25">
        <v>9.0583333333333321E-2</v>
      </c>
      <c r="R337" s="24">
        <v>76.09</v>
      </c>
      <c r="S337" s="50">
        <v>9.0583333333333335E-2</v>
      </c>
      <c r="T337" s="43">
        <v>0</v>
      </c>
      <c r="U337" s="24">
        <v>0</v>
      </c>
      <c r="V337" s="19">
        <v>5040</v>
      </c>
      <c r="W337" s="19">
        <v>4694.21</v>
      </c>
      <c r="X337" s="21">
        <v>0.93139087301587298</v>
      </c>
      <c r="Y337" s="19">
        <v>4444.21</v>
      </c>
      <c r="Z337" s="20">
        <v>0.88178769841269844</v>
      </c>
      <c r="AA337" s="30">
        <v>8.5999999999999979E-2</v>
      </c>
      <c r="AB337" s="27">
        <v>0.06</v>
      </c>
      <c r="AC337" s="27">
        <v>8.929999999999999E-2</v>
      </c>
      <c r="AD337" s="11">
        <v>7.8783556945250466E-2</v>
      </c>
    </row>
    <row r="338" spans="1:30" x14ac:dyDescent="0.25">
      <c r="A338" s="13">
        <v>43971</v>
      </c>
      <c r="B338" s="46" t="s">
        <v>636</v>
      </c>
      <c r="C338" s="13">
        <v>43971</v>
      </c>
      <c r="D338" s="15" t="s">
        <v>106</v>
      </c>
      <c r="E338" s="15">
        <v>77</v>
      </c>
      <c r="F338" s="15">
        <v>90</v>
      </c>
      <c r="G338" s="13">
        <v>44048</v>
      </c>
      <c r="H338" s="16">
        <v>3300</v>
      </c>
      <c r="I338" s="18">
        <v>1738.4900000000002</v>
      </c>
      <c r="J338" s="20">
        <v>0.52681515151515135</v>
      </c>
      <c r="K338" s="19">
        <v>1178.4900000000002</v>
      </c>
      <c r="L338" s="48">
        <v>0.35711818181818189</v>
      </c>
      <c r="M338" s="42">
        <v>0</v>
      </c>
      <c r="N338" s="22">
        <v>0</v>
      </c>
      <c r="O338" s="23">
        <v>660</v>
      </c>
      <c r="P338" s="24">
        <v>80</v>
      </c>
      <c r="Q338" s="25">
        <v>0.12121212121212122</v>
      </c>
      <c r="R338" s="24">
        <v>80</v>
      </c>
      <c r="S338" s="50">
        <v>0.12121212121212122</v>
      </c>
      <c r="T338" s="43">
        <v>0</v>
      </c>
      <c r="U338" s="24">
        <v>0</v>
      </c>
      <c r="V338" s="19">
        <v>3960</v>
      </c>
      <c r="W338" s="19">
        <v>1818.4900000000002</v>
      </c>
      <c r="X338" s="21">
        <v>0.45921464646464655</v>
      </c>
      <c r="Y338" s="19">
        <v>1258.4900000000002</v>
      </c>
      <c r="Z338" s="20">
        <v>0.31780050505050511</v>
      </c>
      <c r="AA338" s="30">
        <v>9.2699999999999894E-2</v>
      </c>
      <c r="AB338" s="27">
        <v>7.0000000000000007E-2</v>
      </c>
      <c r="AC338" s="27">
        <v>0.1</v>
      </c>
      <c r="AD338" s="11">
        <v>9.1230119241410626E-2</v>
      </c>
    </row>
    <row r="339" spans="1:30" x14ac:dyDescent="0.25">
      <c r="A339" s="13">
        <v>43972</v>
      </c>
      <c r="B339" s="46" t="s">
        <v>636</v>
      </c>
      <c r="C339" s="13">
        <v>43973</v>
      </c>
      <c r="D339" s="15" t="s">
        <v>107</v>
      </c>
      <c r="E339" s="15">
        <v>371</v>
      </c>
      <c r="F339" s="15">
        <v>360</v>
      </c>
      <c r="G339" s="13">
        <v>44344</v>
      </c>
      <c r="H339" s="16">
        <v>1700</v>
      </c>
      <c r="I339" s="18">
        <v>6594.83</v>
      </c>
      <c r="J339" s="20">
        <v>3.8793117647058799</v>
      </c>
      <c r="K339" s="19">
        <v>2097.0700000000002</v>
      </c>
      <c r="L339" s="48">
        <v>1.2335705882352943</v>
      </c>
      <c r="M339" s="42">
        <v>0</v>
      </c>
      <c r="N339" s="22">
        <v>0</v>
      </c>
      <c r="O339" s="23">
        <v>340</v>
      </c>
      <c r="P339" s="24">
        <v>740</v>
      </c>
      <c r="Q339" s="25">
        <v>2.1764705882352944</v>
      </c>
      <c r="R339" s="24">
        <v>340</v>
      </c>
      <c r="S339" s="50">
        <v>1</v>
      </c>
      <c r="T339" s="43">
        <v>0.45945960000000002</v>
      </c>
      <c r="U339" s="24">
        <v>0</v>
      </c>
      <c r="V339" s="19">
        <v>2040</v>
      </c>
      <c r="W339" s="19">
        <v>7334.83</v>
      </c>
      <c r="X339" s="21">
        <v>3.5955049019607843</v>
      </c>
      <c r="Y339" s="19">
        <v>2437.0700000000002</v>
      </c>
      <c r="Z339" s="20">
        <v>1.1946421568627452</v>
      </c>
      <c r="AA339" s="30">
        <v>0.11490000000000015</v>
      </c>
      <c r="AB339" s="27">
        <v>0.1</v>
      </c>
      <c r="AC339" s="27">
        <v>0.13</v>
      </c>
      <c r="AD339" s="11">
        <v>0.11740139700341026</v>
      </c>
    </row>
    <row r="340" spans="1:30" x14ac:dyDescent="0.25">
      <c r="A340" s="13">
        <v>43973</v>
      </c>
      <c r="B340" s="46" t="s">
        <v>636</v>
      </c>
      <c r="C340" s="13">
        <v>43973</v>
      </c>
      <c r="D340" s="15" t="s">
        <v>108</v>
      </c>
      <c r="E340" s="15">
        <v>189</v>
      </c>
      <c r="F340" s="15">
        <v>180</v>
      </c>
      <c r="G340" s="13">
        <v>44162</v>
      </c>
      <c r="H340" s="16">
        <v>2500</v>
      </c>
      <c r="I340" s="18">
        <v>3705.3599999999997</v>
      </c>
      <c r="J340" s="20">
        <v>1.4821440000000004</v>
      </c>
      <c r="K340" s="19">
        <v>2480.16</v>
      </c>
      <c r="L340" s="48">
        <v>0.99206399999999995</v>
      </c>
      <c r="M340" s="42">
        <v>0</v>
      </c>
      <c r="N340" s="22">
        <v>0</v>
      </c>
      <c r="O340" s="23">
        <v>500</v>
      </c>
      <c r="P340" s="24">
        <v>500</v>
      </c>
      <c r="Q340" s="25">
        <v>1</v>
      </c>
      <c r="R340" s="24">
        <v>496.03199999999998</v>
      </c>
      <c r="S340" s="50">
        <v>0.99206399999999995</v>
      </c>
      <c r="T340" s="43">
        <v>0.99206400000000006</v>
      </c>
      <c r="U340" s="24">
        <v>0</v>
      </c>
      <c r="V340" s="19">
        <v>3000</v>
      </c>
      <c r="W340" s="19">
        <v>4205.3599999999997</v>
      </c>
      <c r="X340" s="21">
        <v>1.4017866666666665</v>
      </c>
      <c r="Y340" s="19">
        <v>2976.192</v>
      </c>
      <c r="Z340" s="20">
        <v>0.99206400000000006</v>
      </c>
      <c r="AA340" s="30">
        <v>0.10369999999999992</v>
      </c>
      <c r="AB340" s="27">
        <v>0.08</v>
      </c>
      <c r="AC340" s="27">
        <v>0.11</v>
      </c>
      <c r="AD340" s="11">
        <v>0.10125533551395816</v>
      </c>
    </row>
    <row r="341" spans="1:30" x14ac:dyDescent="0.25">
      <c r="A341" s="13">
        <v>43976</v>
      </c>
      <c r="B341" s="46" t="s">
        <v>636</v>
      </c>
      <c r="C341" s="13">
        <v>43976</v>
      </c>
      <c r="D341" s="15" t="s">
        <v>109</v>
      </c>
      <c r="E341" s="15">
        <v>28</v>
      </c>
      <c r="F341" s="15">
        <v>30</v>
      </c>
      <c r="G341" s="13">
        <v>44004</v>
      </c>
      <c r="H341" s="16">
        <v>5000</v>
      </c>
      <c r="I341" s="18">
        <v>3185.42</v>
      </c>
      <c r="J341" s="20">
        <v>0.63708399999999998</v>
      </c>
      <c r="K341" s="19">
        <v>2765.42</v>
      </c>
      <c r="L341" s="48">
        <v>0.55308400000000002</v>
      </c>
      <c r="M341" s="42">
        <v>0</v>
      </c>
      <c r="N341" s="22">
        <v>0</v>
      </c>
      <c r="O341" s="23">
        <v>1000</v>
      </c>
      <c r="P341" s="24">
        <v>293</v>
      </c>
      <c r="Q341" s="25">
        <v>0.29300000000000004</v>
      </c>
      <c r="R341" s="24">
        <v>293</v>
      </c>
      <c r="S341" s="50">
        <v>0.29299999999999998</v>
      </c>
      <c r="T341" s="43">
        <v>0</v>
      </c>
      <c r="U341" s="24">
        <v>0</v>
      </c>
      <c r="V341" s="19">
        <v>6000</v>
      </c>
      <c r="W341" s="19">
        <v>3478.42</v>
      </c>
      <c r="X341" s="21">
        <v>0.57973666666666668</v>
      </c>
      <c r="Y341" s="19">
        <v>3058.42</v>
      </c>
      <c r="Z341" s="20">
        <v>0.50973666666666673</v>
      </c>
      <c r="AA341" s="30">
        <v>8.4999999999999978E-2</v>
      </c>
      <c r="AB341" s="27">
        <v>0.06</v>
      </c>
      <c r="AC341" s="27">
        <v>8.6999999999999994E-2</v>
      </c>
      <c r="AD341" s="11">
        <v>8.158754261604434E-2</v>
      </c>
    </row>
    <row r="342" spans="1:30" x14ac:dyDescent="0.25">
      <c r="A342" s="13">
        <v>43978</v>
      </c>
      <c r="B342" s="46" t="s">
        <v>636</v>
      </c>
      <c r="C342" s="13">
        <v>43978</v>
      </c>
      <c r="D342" s="15" t="s">
        <v>110</v>
      </c>
      <c r="E342" s="15">
        <v>93</v>
      </c>
      <c r="F342" s="15">
        <v>90</v>
      </c>
      <c r="G342" s="13">
        <v>44071</v>
      </c>
      <c r="H342" s="16">
        <v>3300</v>
      </c>
      <c r="I342" s="18">
        <v>2809.1800000000003</v>
      </c>
      <c r="J342" s="20">
        <v>0.85126666666666662</v>
      </c>
      <c r="K342" s="19">
        <v>2194.1800000000003</v>
      </c>
      <c r="L342" s="48">
        <v>0.66490303030303044</v>
      </c>
      <c r="M342" s="42">
        <v>0</v>
      </c>
      <c r="N342" s="22">
        <v>0</v>
      </c>
      <c r="O342" s="23">
        <v>660</v>
      </c>
      <c r="P342" s="24">
        <v>55.68</v>
      </c>
      <c r="Q342" s="25">
        <v>8.4363636363636363E-2</v>
      </c>
      <c r="R342" s="24">
        <v>55.68</v>
      </c>
      <c r="S342" s="50">
        <v>8.4363636363636363E-2</v>
      </c>
      <c r="T342" s="43">
        <v>0</v>
      </c>
      <c r="U342" s="24">
        <v>0</v>
      </c>
      <c r="V342" s="19">
        <v>3960</v>
      </c>
      <c r="W342" s="19">
        <v>2864.86</v>
      </c>
      <c r="X342" s="21">
        <v>0.72344949494949495</v>
      </c>
      <c r="Y342" s="19">
        <v>2249.86</v>
      </c>
      <c r="Z342" s="20">
        <v>0.56814646464646468</v>
      </c>
      <c r="AA342" s="30">
        <v>9.249999999999993E-2</v>
      </c>
      <c r="AB342" s="27">
        <v>0.06</v>
      </c>
      <c r="AC342" s="27">
        <v>9.7500000000000003E-2</v>
      </c>
      <c r="AD342" s="11">
        <v>8.9195101417495495E-2</v>
      </c>
    </row>
    <row r="343" spans="1:30" x14ac:dyDescent="0.25">
      <c r="A343" s="13">
        <v>43979</v>
      </c>
      <c r="B343" s="46" t="s">
        <v>636</v>
      </c>
      <c r="C343" s="13">
        <v>43980</v>
      </c>
      <c r="D343" s="15" t="s">
        <v>111</v>
      </c>
      <c r="E343" s="15">
        <v>364</v>
      </c>
      <c r="F343" s="15">
        <v>360</v>
      </c>
      <c r="G343" s="13">
        <v>44344</v>
      </c>
      <c r="H343" s="16">
        <v>3300</v>
      </c>
      <c r="I343" s="18">
        <v>4930.92</v>
      </c>
      <c r="J343" s="20">
        <v>1.4942181818181817</v>
      </c>
      <c r="K343" s="19">
        <v>3968.4199999999996</v>
      </c>
      <c r="L343" s="48">
        <v>1.2025515151515149</v>
      </c>
      <c r="M343" s="42">
        <v>0</v>
      </c>
      <c r="N343" s="22">
        <v>0</v>
      </c>
      <c r="O343" s="23">
        <v>660</v>
      </c>
      <c r="P343" s="24">
        <v>660</v>
      </c>
      <c r="Q343" s="25">
        <v>1</v>
      </c>
      <c r="R343" s="24">
        <v>660</v>
      </c>
      <c r="S343" s="50">
        <v>1</v>
      </c>
      <c r="T343" s="43">
        <v>0</v>
      </c>
      <c r="U343" s="24">
        <v>0</v>
      </c>
      <c r="V343" s="19">
        <v>3960</v>
      </c>
      <c r="W343" s="19">
        <v>5590.92</v>
      </c>
      <c r="X343" s="21">
        <v>1.4118484848484849</v>
      </c>
      <c r="Y343" s="19">
        <v>4628.42</v>
      </c>
      <c r="Z343" s="20">
        <v>1.1687929292929293</v>
      </c>
      <c r="AA343" s="30">
        <v>0.11390000000000008</v>
      </c>
      <c r="AB343" s="27">
        <v>0.06</v>
      </c>
      <c r="AC343" s="27">
        <v>0.129</v>
      </c>
      <c r="AD343" s="11">
        <v>0.11313237773072775</v>
      </c>
    </row>
    <row r="344" spans="1:30" x14ac:dyDescent="0.25">
      <c r="A344" s="13">
        <v>43980</v>
      </c>
      <c r="B344" s="46" t="s">
        <v>636</v>
      </c>
      <c r="C344" s="13">
        <v>43980</v>
      </c>
      <c r="D344" s="15" t="s">
        <v>112</v>
      </c>
      <c r="E344" s="15">
        <v>182</v>
      </c>
      <c r="F344" s="15">
        <v>180</v>
      </c>
      <c r="G344" s="13">
        <v>44162</v>
      </c>
      <c r="H344" s="16">
        <v>3300</v>
      </c>
      <c r="I344" s="18">
        <v>904.18000000000029</v>
      </c>
      <c r="J344" s="20">
        <v>0.27399393939393935</v>
      </c>
      <c r="K344" s="19">
        <v>704.18000000000006</v>
      </c>
      <c r="L344" s="48">
        <v>0.21338787878787882</v>
      </c>
      <c r="M344" s="42">
        <v>0</v>
      </c>
      <c r="N344" s="22">
        <v>0</v>
      </c>
      <c r="O344" s="23">
        <v>660</v>
      </c>
      <c r="P344" s="24">
        <v>40</v>
      </c>
      <c r="Q344" s="25">
        <v>6.0606060606060608E-2</v>
      </c>
      <c r="R344" s="24">
        <v>40</v>
      </c>
      <c r="S344" s="50">
        <v>6.0606060606060608E-2</v>
      </c>
      <c r="T344" s="43">
        <v>0</v>
      </c>
      <c r="U344" s="24">
        <v>0</v>
      </c>
      <c r="V344" s="19">
        <v>3960</v>
      </c>
      <c r="W344" s="19">
        <v>944.18000000000029</v>
      </c>
      <c r="X344" s="21">
        <v>0.23842929292929299</v>
      </c>
      <c r="Y344" s="19">
        <v>744.18000000000006</v>
      </c>
      <c r="Z344" s="20">
        <v>0.18792424242424244</v>
      </c>
      <c r="AA344" s="30">
        <v>0.1036</v>
      </c>
      <c r="AB344" s="27">
        <v>8.5000000000000006E-2</v>
      </c>
      <c r="AC344" s="27">
        <v>0.11</v>
      </c>
      <c r="AD344" s="11">
        <v>0.10108003826671678</v>
      </c>
    </row>
    <row r="345" spans="1:30" x14ac:dyDescent="0.25">
      <c r="A345" s="13">
        <v>43983</v>
      </c>
      <c r="B345" s="46" t="s">
        <v>636</v>
      </c>
      <c r="C345" s="13">
        <v>43983</v>
      </c>
      <c r="D345" s="15" t="s">
        <v>113</v>
      </c>
      <c r="E345" s="15">
        <v>28</v>
      </c>
      <c r="F345" s="15">
        <v>30</v>
      </c>
      <c r="G345" s="13">
        <v>44011</v>
      </c>
      <c r="H345" s="16">
        <v>2100</v>
      </c>
      <c r="I345" s="18">
        <v>2279.3399999999997</v>
      </c>
      <c r="J345" s="20">
        <v>1.0853999999999999</v>
      </c>
      <c r="K345" s="19">
        <v>1829.34</v>
      </c>
      <c r="L345" s="48">
        <v>0.87111428571428573</v>
      </c>
      <c r="M345" s="42">
        <v>0</v>
      </c>
      <c r="N345" s="22">
        <v>0</v>
      </c>
      <c r="O345" s="23">
        <v>420</v>
      </c>
      <c r="P345" s="24">
        <v>290.3</v>
      </c>
      <c r="Q345" s="25">
        <v>0.69119047619047613</v>
      </c>
      <c r="R345" s="24">
        <v>290.3</v>
      </c>
      <c r="S345" s="50">
        <v>0.69119047619047624</v>
      </c>
      <c r="T345" s="43">
        <v>0</v>
      </c>
      <c r="U345" s="24">
        <v>0</v>
      </c>
      <c r="V345" s="19">
        <v>2520</v>
      </c>
      <c r="W345" s="19">
        <v>2569.64</v>
      </c>
      <c r="X345" s="21">
        <v>1.0196984126984125</v>
      </c>
      <c r="Y345" s="19">
        <v>2119.64</v>
      </c>
      <c r="Z345" s="20">
        <v>0.84112698412698406</v>
      </c>
      <c r="AA345" s="30">
        <v>8.5700000000000068E-2</v>
      </c>
      <c r="AB345" s="27">
        <v>7.0000000000000007E-2</v>
      </c>
      <c r="AC345" s="27">
        <v>9.1199999999999989E-2</v>
      </c>
      <c r="AD345" s="11">
        <v>8.2383729500644903E-2</v>
      </c>
    </row>
    <row r="346" spans="1:30" x14ac:dyDescent="0.25">
      <c r="A346" s="13">
        <v>43985</v>
      </c>
      <c r="B346" s="46" t="s">
        <v>636</v>
      </c>
      <c r="C346" s="13">
        <v>43985</v>
      </c>
      <c r="D346" s="15" t="s">
        <v>114</v>
      </c>
      <c r="E346" s="15">
        <v>91</v>
      </c>
      <c r="F346" s="15">
        <v>90</v>
      </c>
      <c r="G346" s="13">
        <v>44076</v>
      </c>
      <c r="H346" s="16">
        <v>800</v>
      </c>
      <c r="I346" s="18">
        <v>1952.8600000000001</v>
      </c>
      <c r="J346" s="20">
        <v>2.4410750000000001</v>
      </c>
      <c r="K346" s="19">
        <v>1600.0000000000002</v>
      </c>
      <c r="L346" s="48">
        <v>2.0000000000000004</v>
      </c>
      <c r="M346" s="42">
        <v>0.97140000000000004</v>
      </c>
      <c r="N346" s="22">
        <v>0</v>
      </c>
      <c r="O346" s="23">
        <v>160</v>
      </c>
      <c r="P346" s="24">
        <v>120.8</v>
      </c>
      <c r="Q346" s="25">
        <v>0.755</v>
      </c>
      <c r="R346" s="24">
        <v>120.8</v>
      </c>
      <c r="S346" s="50">
        <v>0.755</v>
      </c>
      <c r="T346" s="43">
        <v>0</v>
      </c>
      <c r="U346" s="24">
        <v>0</v>
      </c>
      <c r="V346" s="19">
        <v>960</v>
      </c>
      <c r="W346" s="19">
        <v>2073.6600000000003</v>
      </c>
      <c r="X346" s="21">
        <v>2.1600625000000004</v>
      </c>
      <c r="Y346" s="19">
        <v>1720.8000000000002</v>
      </c>
      <c r="Z346" s="20">
        <v>1.7925000000000002</v>
      </c>
      <c r="AA346" s="30">
        <v>9.2400000000000024E-2</v>
      </c>
      <c r="AB346" s="27">
        <v>7.4999999999999997E-2</v>
      </c>
      <c r="AC346" s="27">
        <v>0.10050000000000001</v>
      </c>
      <c r="AD346" s="11">
        <v>9.1441024958266337E-2</v>
      </c>
    </row>
    <row r="347" spans="1:30" x14ac:dyDescent="0.25">
      <c r="A347" s="13">
        <v>43986</v>
      </c>
      <c r="B347" s="46" t="s">
        <v>636</v>
      </c>
      <c r="C347" s="13">
        <v>43987</v>
      </c>
      <c r="D347" s="15" t="s">
        <v>115</v>
      </c>
      <c r="E347" s="15">
        <v>357</v>
      </c>
      <c r="F347" s="15">
        <v>360</v>
      </c>
      <c r="G347" s="13">
        <v>44344</v>
      </c>
      <c r="H347" s="17">
        <v>2500</v>
      </c>
      <c r="I347" s="19">
        <v>7262.3200000000006</v>
      </c>
      <c r="J347" s="20">
        <v>2.9049280000000008</v>
      </c>
      <c r="K347" s="19">
        <v>4910.7199999999993</v>
      </c>
      <c r="L347" s="48">
        <v>1.9642879999999998</v>
      </c>
      <c r="M347" s="42">
        <v>0</v>
      </c>
      <c r="N347" s="22">
        <v>0</v>
      </c>
      <c r="O347" s="23">
        <v>500</v>
      </c>
      <c r="P347" s="24">
        <v>1030</v>
      </c>
      <c r="Q347" s="25">
        <v>2.06</v>
      </c>
      <c r="R347" s="24">
        <v>500</v>
      </c>
      <c r="S347" s="50">
        <v>1</v>
      </c>
      <c r="T347" s="43">
        <v>0.48543700000000001</v>
      </c>
      <c r="U347" s="24">
        <v>0</v>
      </c>
      <c r="V347" s="19">
        <v>3000</v>
      </c>
      <c r="W347" s="19">
        <v>8292.32</v>
      </c>
      <c r="X347" s="21">
        <v>2.7641066666666667</v>
      </c>
      <c r="Y347" s="19">
        <v>5410.7199999999993</v>
      </c>
      <c r="Z347" s="20">
        <v>1.803573333333333</v>
      </c>
      <c r="AA347" s="30">
        <v>0.11270000000000004</v>
      </c>
      <c r="AB347" s="27">
        <v>9.1999999999999998E-2</v>
      </c>
      <c r="AC347" s="27">
        <v>0.1164</v>
      </c>
      <c r="AD347" s="11">
        <v>0.11136860135604049</v>
      </c>
    </row>
    <row r="348" spans="1:30" x14ac:dyDescent="0.25">
      <c r="A348" s="13">
        <v>43987</v>
      </c>
      <c r="B348" s="46" t="s">
        <v>636</v>
      </c>
      <c r="C348" s="13">
        <v>43987</v>
      </c>
      <c r="D348" s="15" t="s">
        <v>116</v>
      </c>
      <c r="E348" s="15">
        <v>175</v>
      </c>
      <c r="F348" s="15">
        <v>180</v>
      </c>
      <c r="G348" s="13">
        <v>44162</v>
      </c>
      <c r="H348" s="17">
        <v>800</v>
      </c>
      <c r="I348" s="19">
        <v>2776.28</v>
      </c>
      <c r="J348" s="20">
        <v>3.4703499999999998</v>
      </c>
      <c r="K348" s="19">
        <v>1600.0000000000002</v>
      </c>
      <c r="L348" s="48">
        <v>2.0000000000000004</v>
      </c>
      <c r="M348" s="42">
        <v>0.52849999999999997</v>
      </c>
      <c r="N348" s="22">
        <v>0</v>
      </c>
      <c r="O348" s="23">
        <v>160</v>
      </c>
      <c r="P348" s="24">
        <v>355</v>
      </c>
      <c r="Q348" s="25">
        <v>2.21875</v>
      </c>
      <c r="R348" s="24">
        <v>160</v>
      </c>
      <c r="S348" s="50">
        <v>1</v>
      </c>
      <c r="T348" s="43">
        <v>0.45070437500000005</v>
      </c>
      <c r="U348" s="24">
        <v>0</v>
      </c>
      <c r="V348" s="19">
        <v>960</v>
      </c>
      <c r="W348" s="19">
        <v>3131.28</v>
      </c>
      <c r="X348" s="21">
        <v>3.2617500000000001</v>
      </c>
      <c r="Y348" s="19">
        <v>1760.0000000000002</v>
      </c>
      <c r="Z348" s="20">
        <v>1.8333333333333335</v>
      </c>
      <c r="AA348" s="30">
        <v>0.10139999999999995</v>
      </c>
      <c r="AB348" s="27">
        <v>0.06</v>
      </c>
      <c r="AC348" s="27">
        <v>0.1125</v>
      </c>
      <c r="AD348" s="11">
        <v>9.9391737504862618E-2</v>
      </c>
    </row>
    <row r="349" spans="1:30" x14ac:dyDescent="0.25">
      <c r="A349" s="13">
        <v>43990</v>
      </c>
      <c r="B349" s="46" t="s">
        <v>636</v>
      </c>
      <c r="C349" s="13">
        <v>43990</v>
      </c>
      <c r="D349" s="15" t="s">
        <v>117</v>
      </c>
      <c r="E349" s="15">
        <v>30</v>
      </c>
      <c r="F349" s="15">
        <v>30</v>
      </c>
      <c r="G349" s="13">
        <v>44020</v>
      </c>
      <c r="H349" s="17">
        <v>2500</v>
      </c>
      <c r="I349" s="19">
        <v>3549.65</v>
      </c>
      <c r="J349" s="20">
        <v>1.4198600000000006</v>
      </c>
      <c r="K349" s="19">
        <v>3349.6499999999996</v>
      </c>
      <c r="L349" s="48">
        <v>1.3398599999999998</v>
      </c>
      <c r="M349" s="42">
        <v>0</v>
      </c>
      <c r="N349" s="22">
        <v>0</v>
      </c>
      <c r="O349" s="23">
        <v>500</v>
      </c>
      <c r="P349" s="24">
        <v>48.6</v>
      </c>
      <c r="Q349" s="25">
        <v>9.7200000000000009E-2</v>
      </c>
      <c r="R349" s="24">
        <v>48.6</v>
      </c>
      <c r="S349" s="50">
        <v>9.7200000000000009E-2</v>
      </c>
      <c r="T349" s="43">
        <v>0</v>
      </c>
      <c r="U349" s="24">
        <v>0</v>
      </c>
      <c r="V349" s="19">
        <v>3000</v>
      </c>
      <c r="W349" s="19">
        <v>3598.25</v>
      </c>
      <c r="X349" s="21">
        <v>1.1994166666666666</v>
      </c>
      <c r="Y349" s="19">
        <v>3398.2499999999995</v>
      </c>
      <c r="Z349" s="20">
        <v>1.1327499999999999</v>
      </c>
      <c r="AA349" s="30">
        <v>8.5500000000000034E-2</v>
      </c>
      <c r="AB349" s="27">
        <v>7.0000000000000007E-2</v>
      </c>
      <c r="AC349" s="27">
        <v>8.6300000000000002E-2</v>
      </c>
      <c r="AD349" s="11">
        <v>8.081175608862845E-2</v>
      </c>
    </row>
    <row r="350" spans="1:30" x14ac:dyDescent="0.25">
      <c r="A350" s="13">
        <v>43992</v>
      </c>
      <c r="B350" s="46" t="s">
        <v>636</v>
      </c>
      <c r="C350" s="13">
        <v>43992</v>
      </c>
      <c r="D350" s="15" t="s">
        <v>118</v>
      </c>
      <c r="E350" s="15">
        <v>84</v>
      </c>
      <c r="F350" s="15">
        <v>90</v>
      </c>
      <c r="G350" s="13">
        <v>44076</v>
      </c>
      <c r="H350" s="17">
        <v>2500</v>
      </c>
      <c r="I350" s="19">
        <v>3406.1499999999996</v>
      </c>
      <c r="J350" s="20">
        <v>1.3624600000000002</v>
      </c>
      <c r="K350" s="19">
        <v>3006.1499999999996</v>
      </c>
      <c r="L350" s="48">
        <v>1.2024599999999999</v>
      </c>
      <c r="M350" s="42">
        <v>0</v>
      </c>
      <c r="N350" s="22">
        <v>0</v>
      </c>
      <c r="O350" s="23">
        <v>500</v>
      </c>
      <c r="P350" s="24">
        <v>20</v>
      </c>
      <c r="Q350" s="25">
        <v>0.04</v>
      </c>
      <c r="R350" s="24">
        <v>20</v>
      </c>
      <c r="S350" s="50">
        <v>0.04</v>
      </c>
      <c r="T350" s="43">
        <v>0</v>
      </c>
      <c r="U350" s="24">
        <v>0</v>
      </c>
      <c r="V350" s="19">
        <v>3000</v>
      </c>
      <c r="W350" s="19">
        <v>3426.1499999999996</v>
      </c>
      <c r="X350" s="21">
        <v>1.1420499999999998</v>
      </c>
      <c r="Y350" s="19">
        <v>3026.1499999999996</v>
      </c>
      <c r="Z350" s="20">
        <v>1.0087166666666665</v>
      </c>
      <c r="AA350" s="30">
        <v>9.2400000000000024E-2</v>
      </c>
      <c r="AB350" s="27">
        <v>0.06</v>
      </c>
      <c r="AC350" s="27">
        <v>9.6000000000000002E-2</v>
      </c>
      <c r="AD350" s="11">
        <v>8.9358472175329912E-2</v>
      </c>
    </row>
    <row r="351" spans="1:30" x14ac:dyDescent="0.25">
      <c r="A351" s="13">
        <v>43993</v>
      </c>
      <c r="B351" s="46" t="s">
        <v>636</v>
      </c>
      <c r="C351" s="13">
        <v>43994</v>
      </c>
      <c r="D351" s="15" t="s">
        <v>119</v>
      </c>
      <c r="E351" s="15">
        <v>371</v>
      </c>
      <c r="F351" s="15">
        <v>360</v>
      </c>
      <c r="G351" s="13">
        <v>44365</v>
      </c>
      <c r="H351" s="17">
        <v>4000</v>
      </c>
      <c r="I351" s="19">
        <v>11198.88</v>
      </c>
      <c r="J351" s="20">
        <v>2.7997199999999989</v>
      </c>
      <c r="K351" s="19">
        <v>7962.5799999999981</v>
      </c>
      <c r="L351" s="48">
        <v>1.9906449999999996</v>
      </c>
      <c r="M351" s="42">
        <v>0</v>
      </c>
      <c r="N351" s="22">
        <v>0</v>
      </c>
      <c r="O351" s="23">
        <v>800</v>
      </c>
      <c r="P351" s="24">
        <v>825</v>
      </c>
      <c r="Q351" s="25">
        <v>1.03125</v>
      </c>
      <c r="R351" s="24">
        <v>800</v>
      </c>
      <c r="S351" s="50">
        <v>1</v>
      </c>
      <c r="T351" s="43">
        <v>0.9696999999999999</v>
      </c>
      <c r="U351" s="24">
        <v>0</v>
      </c>
      <c r="V351" s="19">
        <v>4800</v>
      </c>
      <c r="W351" s="19">
        <v>12023.88</v>
      </c>
      <c r="X351" s="21">
        <v>2.504975</v>
      </c>
      <c r="Y351" s="19">
        <v>8762.5799999999981</v>
      </c>
      <c r="Z351" s="20">
        <v>1.8255374999999996</v>
      </c>
      <c r="AA351" s="30">
        <v>0.1117000000000001</v>
      </c>
      <c r="AB351" s="27">
        <v>0.09</v>
      </c>
      <c r="AC351" s="27">
        <v>0.115</v>
      </c>
      <c r="AD351" s="11">
        <v>0.11066502105567698</v>
      </c>
    </row>
    <row r="352" spans="1:30" x14ac:dyDescent="0.25">
      <c r="A352" s="13">
        <v>43994</v>
      </c>
      <c r="B352" s="46" t="s">
        <v>636</v>
      </c>
      <c r="C352" s="13">
        <v>43994</v>
      </c>
      <c r="D352" s="15" t="s">
        <v>120</v>
      </c>
      <c r="E352" s="15">
        <v>168</v>
      </c>
      <c r="F352" s="15">
        <v>180</v>
      </c>
      <c r="G352" s="13">
        <v>44162</v>
      </c>
      <c r="H352" s="17">
        <v>3200</v>
      </c>
      <c r="I352" s="19">
        <v>3773.4100000000003</v>
      </c>
      <c r="J352" s="20">
        <v>1.1791906249999997</v>
      </c>
      <c r="K352" s="19">
        <v>3573.4100000000003</v>
      </c>
      <c r="L352" s="48">
        <v>1.1166906250000002</v>
      </c>
      <c r="M352" s="42">
        <v>0</v>
      </c>
      <c r="N352" s="22">
        <v>0</v>
      </c>
      <c r="O352" s="23">
        <v>640</v>
      </c>
      <c r="P352" s="24">
        <v>20</v>
      </c>
      <c r="Q352" s="25">
        <v>3.125E-2</v>
      </c>
      <c r="R352" s="24">
        <v>20</v>
      </c>
      <c r="S352" s="50">
        <v>3.125E-2</v>
      </c>
      <c r="T352" s="43">
        <v>0</v>
      </c>
      <c r="U352" s="24">
        <v>0</v>
      </c>
      <c r="V352" s="19">
        <v>3840</v>
      </c>
      <c r="W352" s="19">
        <v>3793.4100000000003</v>
      </c>
      <c r="X352" s="21">
        <v>0.98786718750000013</v>
      </c>
      <c r="Y352" s="19">
        <v>3593.4100000000003</v>
      </c>
      <c r="Z352" s="20">
        <v>0.93578385416666676</v>
      </c>
      <c r="AA352" s="30">
        <v>0.10130000000000011</v>
      </c>
      <c r="AB352" s="27">
        <v>0.09</v>
      </c>
      <c r="AC352" s="27">
        <v>0.1065</v>
      </c>
      <c r="AD352" s="11">
        <v>9.8923364807958838E-2</v>
      </c>
    </row>
    <row r="353" spans="1:30" x14ac:dyDescent="0.25">
      <c r="A353" s="13">
        <v>43997</v>
      </c>
      <c r="B353" s="46" t="s">
        <v>636</v>
      </c>
      <c r="C353" s="13">
        <v>43997</v>
      </c>
      <c r="D353" s="15" t="s">
        <v>121</v>
      </c>
      <c r="E353" s="15">
        <v>28</v>
      </c>
      <c r="F353" s="15">
        <v>30</v>
      </c>
      <c r="G353" s="13">
        <v>44025</v>
      </c>
      <c r="H353" s="17">
        <v>3300</v>
      </c>
      <c r="I353" s="19">
        <v>1816.0599999999997</v>
      </c>
      <c r="J353" s="20">
        <v>0.55032121212121221</v>
      </c>
      <c r="K353" s="19">
        <v>1686.0599999999997</v>
      </c>
      <c r="L353" s="48">
        <v>0.51092727272727267</v>
      </c>
      <c r="M353" s="42">
        <v>0</v>
      </c>
      <c r="N353" s="22">
        <v>0</v>
      </c>
      <c r="O353" s="23">
        <v>660</v>
      </c>
      <c r="P353" s="24">
        <v>25</v>
      </c>
      <c r="Q353" s="25">
        <v>3.787878787878788E-2</v>
      </c>
      <c r="R353" s="24">
        <v>25</v>
      </c>
      <c r="S353" s="50">
        <v>3.787878787878788E-2</v>
      </c>
      <c r="T353" s="43">
        <v>0</v>
      </c>
      <c r="U353" s="24">
        <v>0</v>
      </c>
      <c r="V353" s="19">
        <v>3960</v>
      </c>
      <c r="W353" s="19">
        <v>1841.0599999999997</v>
      </c>
      <c r="X353" s="21">
        <v>0.46491414141414134</v>
      </c>
      <c r="Y353" s="19">
        <v>1711.0599999999997</v>
      </c>
      <c r="Z353" s="20">
        <v>0.43208585858585852</v>
      </c>
      <c r="AA353" s="30">
        <v>8.5199999999999956E-2</v>
      </c>
      <c r="AB353" s="27">
        <v>0.06</v>
      </c>
      <c r="AC353" s="27">
        <v>8.8399999999999992E-2</v>
      </c>
      <c r="AD353" s="11">
        <v>8.0716702091340589E-2</v>
      </c>
    </row>
    <row r="354" spans="1:30" x14ac:dyDescent="0.25">
      <c r="A354" s="13">
        <v>43999</v>
      </c>
      <c r="B354" s="46" t="s">
        <v>636</v>
      </c>
      <c r="C354" s="13">
        <v>43999</v>
      </c>
      <c r="D354" s="15" t="s">
        <v>122</v>
      </c>
      <c r="E354" s="15">
        <v>98</v>
      </c>
      <c r="F354" s="15">
        <v>90</v>
      </c>
      <c r="G354" s="13">
        <v>44097</v>
      </c>
      <c r="H354" s="17">
        <v>2500</v>
      </c>
      <c r="I354" s="19">
        <v>735.99</v>
      </c>
      <c r="J354" s="20">
        <v>0.2943960000000001</v>
      </c>
      <c r="K354" s="19">
        <v>635.99</v>
      </c>
      <c r="L354" s="48">
        <v>0.25439600000000001</v>
      </c>
      <c r="M354" s="42">
        <v>0</v>
      </c>
      <c r="N354" s="22">
        <v>0</v>
      </c>
      <c r="O354" s="23">
        <v>500</v>
      </c>
      <c r="P354" s="24">
        <v>10.1</v>
      </c>
      <c r="Q354" s="25">
        <v>2.0199999999999999E-2</v>
      </c>
      <c r="R354" s="24">
        <v>10.1</v>
      </c>
      <c r="S354" s="50">
        <v>2.0199999999999999E-2</v>
      </c>
      <c r="T354" s="43">
        <v>0</v>
      </c>
      <c r="U354" s="24">
        <v>0</v>
      </c>
      <c r="V354" s="19">
        <v>3000</v>
      </c>
      <c r="W354" s="19">
        <v>746.09</v>
      </c>
      <c r="X354" s="21">
        <v>0.24869666666666668</v>
      </c>
      <c r="Y354" s="19">
        <v>646.09</v>
      </c>
      <c r="Z354" s="20">
        <v>0.21536333333333335</v>
      </c>
      <c r="AA354" s="30">
        <v>9.1299999999999978E-2</v>
      </c>
      <c r="AB354" s="27">
        <v>8.2400000000000001E-2</v>
      </c>
      <c r="AC354" s="27">
        <v>9.3900000000000011E-2</v>
      </c>
      <c r="AD354" s="11">
        <v>8.8826675634179814E-2</v>
      </c>
    </row>
    <row r="355" spans="1:30" x14ac:dyDescent="0.25">
      <c r="A355" s="13">
        <v>43999</v>
      </c>
      <c r="B355" s="46" t="s">
        <v>637</v>
      </c>
      <c r="C355" s="13">
        <v>44000</v>
      </c>
      <c r="D355" s="15" t="s">
        <v>123</v>
      </c>
      <c r="E355" s="15">
        <v>365</v>
      </c>
      <c r="F355" s="15">
        <v>360</v>
      </c>
      <c r="G355" s="13">
        <v>44365</v>
      </c>
      <c r="H355" s="17">
        <v>5000</v>
      </c>
      <c r="I355" s="19">
        <v>6681.9</v>
      </c>
      <c r="J355" s="20">
        <v>1.3363800000000006</v>
      </c>
      <c r="K355" s="19">
        <v>5021.2</v>
      </c>
      <c r="L355" s="48">
        <v>1.00424</v>
      </c>
      <c r="M355" s="42">
        <v>0</v>
      </c>
      <c r="N355" s="22">
        <v>0</v>
      </c>
      <c r="O355" s="23">
        <v>1000</v>
      </c>
      <c r="P355" s="24">
        <v>800</v>
      </c>
      <c r="Q355" s="25">
        <v>0.8</v>
      </c>
      <c r="R355" s="24">
        <v>800</v>
      </c>
      <c r="S355" s="50">
        <v>0.8</v>
      </c>
      <c r="T355" s="43">
        <v>0</v>
      </c>
      <c r="U355" s="24">
        <v>0</v>
      </c>
      <c r="V355" s="19">
        <v>6000</v>
      </c>
      <c r="W355" s="19">
        <v>7481.9</v>
      </c>
      <c r="X355" s="21">
        <v>1.2469833333333333</v>
      </c>
      <c r="Y355" s="19">
        <v>5821.2</v>
      </c>
      <c r="Z355" s="20">
        <v>0.97019999999999995</v>
      </c>
      <c r="AA355" s="30">
        <v>0.11209999999999995</v>
      </c>
      <c r="AB355" s="27">
        <v>9.35E-2</v>
      </c>
      <c r="AC355" s="27">
        <v>0.1139</v>
      </c>
      <c r="AD355" s="11">
        <v>0.11033461440608212</v>
      </c>
    </row>
    <row r="356" spans="1:30" x14ac:dyDescent="0.25">
      <c r="A356" s="13">
        <v>44000</v>
      </c>
      <c r="B356" s="46" t="s">
        <v>636</v>
      </c>
      <c r="C356" s="13">
        <v>44000</v>
      </c>
      <c r="D356" s="15" t="s">
        <v>124</v>
      </c>
      <c r="E356" s="15">
        <v>162</v>
      </c>
      <c r="F356" s="15">
        <v>180</v>
      </c>
      <c r="G356" s="13">
        <v>44162</v>
      </c>
      <c r="H356" s="17">
        <v>2500</v>
      </c>
      <c r="I356" s="19">
        <v>557.15</v>
      </c>
      <c r="J356" s="20">
        <v>0.22286000000000003</v>
      </c>
      <c r="K356" s="19">
        <v>507.15</v>
      </c>
      <c r="L356" s="48">
        <v>0.20285999999999998</v>
      </c>
      <c r="M356" s="42">
        <v>0</v>
      </c>
      <c r="N356" s="22">
        <v>0</v>
      </c>
      <c r="O356" s="23">
        <v>500</v>
      </c>
      <c r="P356" s="24">
        <v>10.16</v>
      </c>
      <c r="Q356" s="25">
        <v>2.0320000000000001E-2</v>
      </c>
      <c r="R356" s="24">
        <v>10.16</v>
      </c>
      <c r="S356" s="50">
        <v>2.0320000000000001E-2</v>
      </c>
      <c r="T356" s="43">
        <v>0</v>
      </c>
      <c r="U356" s="24">
        <v>0</v>
      </c>
      <c r="V356" s="19">
        <v>3000</v>
      </c>
      <c r="W356" s="19">
        <v>567.30999999999995</v>
      </c>
      <c r="X356" s="21">
        <v>0.18910333333333332</v>
      </c>
      <c r="Y356" s="19">
        <v>517.30999999999995</v>
      </c>
      <c r="Z356" s="20">
        <v>0.17243666666666665</v>
      </c>
      <c r="AA356" s="30">
        <v>0.10129999999999996</v>
      </c>
      <c r="AB356" s="27">
        <v>7.4999999999999997E-2</v>
      </c>
      <c r="AC356" s="27">
        <v>0.10369999999999999</v>
      </c>
      <c r="AD356" s="11">
        <v>9.8456250560890246E-2</v>
      </c>
    </row>
    <row r="357" spans="1:30" x14ac:dyDescent="0.25">
      <c r="A357" s="13">
        <v>44004</v>
      </c>
      <c r="B357" s="46" t="s">
        <v>636</v>
      </c>
      <c r="C357" s="13">
        <v>44004</v>
      </c>
      <c r="D357" s="15" t="s">
        <v>125</v>
      </c>
      <c r="E357" s="15">
        <v>28</v>
      </c>
      <c r="F357" s="15">
        <v>30</v>
      </c>
      <c r="G357" s="13">
        <v>44032</v>
      </c>
      <c r="H357" s="17">
        <v>3500</v>
      </c>
      <c r="I357" s="19">
        <v>2758.57</v>
      </c>
      <c r="J357" s="20">
        <v>0.78816285714285705</v>
      </c>
      <c r="K357" s="19">
        <v>2658.57</v>
      </c>
      <c r="L357" s="48">
        <v>0.75959142857142858</v>
      </c>
      <c r="M357" s="42">
        <v>0</v>
      </c>
      <c r="N357" s="22">
        <v>0</v>
      </c>
      <c r="O357" s="23">
        <v>700</v>
      </c>
      <c r="P357" s="24">
        <v>15</v>
      </c>
      <c r="Q357" s="25">
        <v>2.1428571428571429E-2</v>
      </c>
      <c r="R357" s="24">
        <v>15</v>
      </c>
      <c r="S357" s="50">
        <v>2.1428571428571429E-2</v>
      </c>
      <c r="T357" s="43">
        <v>0</v>
      </c>
      <c r="U357" s="24">
        <v>0</v>
      </c>
      <c r="V357" s="19">
        <v>4200</v>
      </c>
      <c r="W357" s="19">
        <v>2773.57</v>
      </c>
      <c r="X357" s="21">
        <v>0.66037380952380953</v>
      </c>
      <c r="Y357" s="19">
        <v>2673.57</v>
      </c>
      <c r="Z357" s="20">
        <v>0.6365642857142858</v>
      </c>
      <c r="AA357" s="30">
        <v>8.5100000000000023E-2</v>
      </c>
      <c r="AB357" s="27">
        <v>7.0000000000000007E-2</v>
      </c>
      <c r="AC357" s="27">
        <v>8.7300000000000003E-2</v>
      </c>
      <c r="AD357" s="11">
        <v>8.0643518199646921E-2</v>
      </c>
    </row>
    <row r="358" spans="1:30" x14ac:dyDescent="0.25">
      <c r="A358" s="13">
        <v>44006</v>
      </c>
      <c r="B358" s="46" t="s">
        <v>636</v>
      </c>
      <c r="C358" s="13">
        <v>44006</v>
      </c>
      <c r="D358" s="15" t="s">
        <v>126</v>
      </c>
      <c r="E358" s="15">
        <v>91</v>
      </c>
      <c r="F358" s="15">
        <v>90</v>
      </c>
      <c r="G358" s="13">
        <v>44097</v>
      </c>
      <c r="H358" s="17">
        <v>2000</v>
      </c>
      <c r="I358" s="19">
        <v>732.3900000000001</v>
      </c>
      <c r="J358" s="20">
        <v>0.3661950000000001</v>
      </c>
      <c r="K358" s="19">
        <v>557.3900000000001</v>
      </c>
      <c r="L358" s="48">
        <v>0.27869500000000003</v>
      </c>
      <c r="M358" s="42">
        <v>0</v>
      </c>
      <c r="N358" s="22">
        <v>0</v>
      </c>
      <c r="O358" s="23">
        <v>400</v>
      </c>
      <c r="P358" s="24">
        <v>20.6</v>
      </c>
      <c r="Q358" s="25">
        <v>5.1500000000000004E-2</v>
      </c>
      <c r="R358" s="24">
        <v>20.6</v>
      </c>
      <c r="S358" s="50">
        <v>5.1500000000000004E-2</v>
      </c>
      <c r="T358" s="43">
        <v>0</v>
      </c>
      <c r="U358" s="24">
        <v>0</v>
      </c>
      <c r="V358" s="19">
        <v>2400</v>
      </c>
      <c r="W358" s="19">
        <v>752.99000000000012</v>
      </c>
      <c r="X358" s="21">
        <v>0.31374583333333339</v>
      </c>
      <c r="Y358" s="19">
        <v>577.99000000000012</v>
      </c>
      <c r="Z358" s="20">
        <v>0.24082916666666671</v>
      </c>
      <c r="AA358" s="30">
        <v>9.2400000000000024E-2</v>
      </c>
      <c r="AB358" s="27">
        <v>0.08</v>
      </c>
      <c r="AC358" s="27">
        <v>9.5000000000000001E-2</v>
      </c>
      <c r="AD358" s="11">
        <v>8.9328035609443052E-2</v>
      </c>
    </row>
    <row r="359" spans="1:30" x14ac:dyDescent="0.25">
      <c r="A359" s="13">
        <v>44007</v>
      </c>
      <c r="B359" s="46" t="s">
        <v>636</v>
      </c>
      <c r="C359" s="13">
        <v>44008</v>
      </c>
      <c r="D359" s="15" t="s">
        <v>127</v>
      </c>
      <c r="E359" s="15">
        <v>357</v>
      </c>
      <c r="F359" s="15">
        <v>360</v>
      </c>
      <c r="G359" s="13">
        <v>44365</v>
      </c>
      <c r="H359" s="17">
        <v>4000</v>
      </c>
      <c r="I359" s="19">
        <v>7027.32</v>
      </c>
      <c r="J359" s="20">
        <v>1.7568299999999994</v>
      </c>
      <c r="K359" s="19">
        <v>6971.32</v>
      </c>
      <c r="L359" s="48">
        <v>1.7428299999999999</v>
      </c>
      <c r="M359" s="42">
        <v>0</v>
      </c>
      <c r="N359" s="22">
        <v>0</v>
      </c>
      <c r="O359" s="23">
        <v>800</v>
      </c>
      <c r="P359" s="24">
        <v>600</v>
      </c>
      <c r="Q359" s="25">
        <v>0.75</v>
      </c>
      <c r="R359" s="24">
        <v>600</v>
      </c>
      <c r="S359" s="50">
        <v>0.75</v>
      </c>
      <c r="T359" s="43">
        <v>0</v>
      </c>
      <c r="U359" s="24">
        <v>0</v>
      </c>
      <c r="V359" s="19">
        <v>4800</v>
      </c>
      <c r="W359" s="19">
        <v>7627.32</v>
      </c>
      <c r="X359" s="21">
        <v>1.5890249999999999</v>
      </c>
      <c r="Y359" s="19">
        <v>7571.32</v>
      </c>
      <c r="Z359" s="20">
        <v>1.5773583333333332</v>
      </c>
      <c r="AA359" s="30">
        <v>0.11249999999999991</v>
      </c>
      <c r="AB359" s="27">
        <v>0.09</v>
      </c>
      <c r="AC359" s="27">
        <v>0.11289999999999999</v>
      </c>
      <c r="AD359" s="11">
        <v>0.10942468992446623</v>
      </c>
    </row>
    <row r="360" spans="1:30" x14ac:dyDescent="0.25">
      <c r="A360" s="13">
        <v>44008</v>
      </c>
      <c r="B360" s="46" t="s">
        <v>636</v>
      </c>
      <c r="C360" s="13">
        <v>44008</v>
      </c>
      <c r="D360" s="15" t="s">
        <v>128</v>
      </c>
      <c r="E360" s="15">
        <v>175</v>
      </c>
      <c r="F360" s="15">
        <v>180</v>
      </c>
      <c r="G360" s="13">
        <v>44183</v>
      </c>
      <c r="H360" s="17">
        <v>2000</v>
      </c>
      <c r="I360" s="19">
        <v>1281.51</v>
      </c>
      <c r="J360" s="20">
        <v>0.64075499999999996</v>
      </c>
      <c r="K360" s="19">
        <v>1106.51</v>
      </c>
      <c r="L360" s="48">
        <v>0.55325499999999994</v>
      </c>
      <c r="M360" s="42">
        <v>0</v>
      </c>
      <c r="N360" s="22">
        <v>0</v>
      </c>
      <c r="O360" s="23">
        <v>400</v>
      </c>
      <c r="P360" s="24">
        <v>430</v>
      </c>
      <c r="Q360" s="25">
        <v>1.075</v>
      </c>
      <c r="R360" s="24">
        <v>221.30199999999999</v>
      </c>
      <c r="S360" s="50">
        <v>0.55325499999999994</v>
      </c>
      <c r="T360" s="43">
        <v>0.51465666666666665</v>
      </c>
      <c r="U360" s="24">
        <v>0</v>
      </c>
      <c r="V360" s="19">
        <v>2400</v>
      </c>
      <c r="W360" s="19">
        <v>1711.51</v>
      </c>
      <c r="X360" s="21">
        <v>0.7131291666666667</v>
      </c>
      <c r="Y360" s="19">
        <v>1327.8119999999999</v>
      </c>
      <c r="Z360" s="20">
        <v>0.55325499999999994</v>
      </c>
      <c r="AA360" s="30">
        <v>0.10110000000000008</v>
      </c>
      <c r="AB360" s="27">
        <v>8.9900000000000008E-2</v>
      </c>
      <c r="AC360" s="27">
        <v>0.105</v>
      </c>
      <c r="AD360" s="11">
        <v>9.8900298085851851E-2</v>
      </c>
    </row>
    <row r="361" spans="1:30" x14ac:dyDescent="0.25">
      <c r="A361" s="13">
        <v>44011</v>
      </c>
      <c r="B361" s="46" t="s">
        <v>636</v>
      </c>
      <c r="C361" s="13">
        <v>44011</v>
      </c>
      <c r="D361" s="15" t="s">
        <v>129</v>
      </c>
      <c r="E361" s="15">
        <v>28</v>
      </c>
      <c r="F361" s="15">
        <v>30</v>
      </c>
      <c r="G361" s="13">
        <v>44039</v>
      </c>
      <c r="H361" s="17">
        <v>3500</v>
      </c>
      <c r="I361" s="19">
        <v>1913.3600000000004</v>
      </c>
      <c r="J361" s="20">
        <v>0.546674285714286</v>
      </c>
      <c r="K361" s="19">
        <v>1738.3600000000004</v>
      </c>
      <c r="L361" s="48">
        <v>0.49667428571428579</v>
      </c>
      <c r="M361" s="42">
        <v>0</v>
      </c>
      <c r="N361" s="22">
        <v>0</v>
      </c>
      <c r="O361" s="23">
        <v>700</v>
      </c>
      <c r="P361" s="24">
        <v>130.65</v>
      </c>
      <c r="Q361" s="25">
        <v>0.18664285714285714</v>
      </c>
      <c r="R361" s="24">
        <v>130.65</v>
      </c>
      <c r="S361" s="50">
        <v>0.18664285714285714</v>
      </c>
      <c r="T361" s="43">
        <v>0</v>
      </c>
      <c r="U361" s="24">
        <v>0</v>
      </c>
      <c r="V361" s="19">
        <v>4200</v>
      </c>
      <c r="W361" s="19">
        <v>2044.0100000000004</v>
      </c>
      <c r="X361" s="21">
        <v>0.48666904761904772</v>
      </c>
      <c r="Y361" s="19">
        <v>1869.0100000000004</v>
      </c>
      <c r="Z361" s="20">
        <v>0.44500238095238104</v>
      </c>
      <c r="AA361" s="30">
        <v>8.4999999999999978E-2</v>
      </c>
      <c r="AB361" s="27">
        <v>0.06</v>
      </c>
      <c r="AC361" s="27">
        <v>8.7599999999999997E-2</v>
      </c>
      <c r="AD361" s="11">
        <v>7.9850190763891785E-2</v>
      </c>
    </row>
    <row r="362" spans="1:30" x14ac:dyDescent="0.25">
      <c r="A362" s="13">
        <v>44013</v>
      </c>
      <c r="B362" s="46" t="s">
        <v>636</v>
      </c>
      <c r="C362" s="13">
        <v>44013</v>
      </c>
      <c r="D362" s="15" t="s">
        <v>130</v>
      </c>
      <c r="E362" s="15">
        <v>84</v>
      </c>
      <c r="F362" s="15">
        <v>90</v>
      </c>
      <c r="G362" s="13">
        <v>44097</v>
      </c>
      <c r="H362" s="17">
        <v>2000</v>
      </c>
      <c r="I362" s="19">
        <v>981.43</v>
      </c>
      <c r="J362" s="20">
        <v>0.49071500000000001</v>
      </c>
      <c r="K362" s="19">
        <v>881.43</v>
      </c>
      <c r="L362" s="48">
        <v>0.44071499999999997</v>
      </c>
      <c r="M362" s="42">
        <v>0</v>
      </c>
      <c r="N362" s="22">
        <v>0</v>
      </c>
      <c r="O362" s="23">
        <v>400</v>
      </c>
      <c r="P362" s="24">
        <v>40</v>
      </c>
      <c r="Q362" s="25">
        <v>0.1</v>
      </c>
      <c r="R362" s="24">
        <v>40</v>
      </c>
      <c r="S362" s="50">
        <v>0.1</v>
      </c>
      <c r="T362" s="43">
        <v>0</v>
      </c>
      <c r="U362" s="24">
        <v>0</v>
      </c>
      <c r="V362" s="19">
        <v>2400</v>
      </c>
      <c r="W362" s="19">
        <v>1021.43</v>
      </c>
      <c r="X362" s="21">
        <v>0.42559583333333334</v>
      </c>
      <c r="Y362" s="19">
        <v>921.43</v>
      </c>
      <c r="Z362" s="20">
        <v>0.38392916666666665</v>
      </c>
      <c r="AA362" s="30">
        <v>9.1299999999999992E-2</v>
      </c>
      <c r="AB362" s="27">
        <v>0.08</v>
      </c>
      <c r="AC362" s="27">
        <v>9.3299999999999994E-2</v>
      </c>
      <c r="AD362" s="11">
        <v>8.972916458636887E-2</v>
      </c>
    </row>
    <row r="363" spans="1:30" x14ac:dyDescent="0.25">
      <c r="A363" s="13">
        <v>44014</v>
      </c>
      <c r="B363" s="46" t="s">
        <v>636</v>
      </c>
      <c r="C363" s="13">
        <v>44015</v>
      </c>
      <c r="D363" s="15" t="s">
        <v>131</v>
      </c>
      <c r="E363" s="15">
        <v>350</v>
      </c>
      <c r="F363" s="15">
        <v>360</v>
      </c>
      <c r="G363" s="13">
        <v>44365</v>
      </c>
      <c r="H363" s="17">
        <v>4000</v>
      </c>
      <c r="I363" s="19">
        <v>7233.7500000000009</v>
      </c>
      <c r="J363" s="20">
        <v>1.8084374999999993</v>
      </c>
      <c r="K363" s="19">
        <v>4039.75</v>
      </c>
      <c r="L363" s="48">
        <v>1.0099374999999999</v>
      </c>
      <c r="M363" s="42">
        <v>0</v>
      </c>
      <c r="N363" s="22">
        <v>0</v>
      </c>
      <c r="O363" s="23">
        <v>800</v>
      </c>
      <c r="P363" s="24">
        <v>25</v>
      </c>
      <c r="Q363" s="25">
        <v>3.125E-2</v>
      </c>
      <c r="R363" s="24">
        <v>25</v>
      </c>
      <c r="S363" s="50">
        <v>3.125E-2</v>
      </c>
      <c r="T363" s="43">
        <v>0</v>
      </c>
      <c r="U363" s="24">
        <v>0</v>
      </c>
      <c r="V363" s="19">
        <v>4800</v>
      </c>
      <c r="W363" s="19">
        <v>7258.7500000000009</v>
      </c>
      <c r="X363" s="21">
        <v>1.5122395833333335</v>
      </c>
      <c r="Y363" s="19">
        <v>4064.75</v>
      </c>
      <c r="Z363" s="20">
        <v>0.84682291666666665</v>
      </c>
      <c r="AA363" s="30">
        <v>0.11069999999999983</v>
      </c>
      <c r="AB363" s="27">
        <v>0.06</v>
      </c>
      <c r="AC363" s="27">
        <v>0.11470000000000001</v>
      </c>
      <c r="AD363" s="11">
        <v>0.11026876903404181</v>
      </c>
    </row>
    <row r="364" spans="1:30" x14ac:dyDescent="0.25">
      <c r="A364" s="13">
        <v>44015</v>
      </c>
      <c r="B364" s="46" t="s">
        <v>636</v>
      </c>
      <c r="C364" s="13">
        <v>44015</v>
      </c>
      <c r="D364" s="15" t="s">
        <v>132</v>
      </c>
      <c r="E364" s="15">
        <v>189</v>
      </c>
      <c r="F364" s="15">
        <v>180</v>
      </c>
      <c r="G364" s="13">
        <v>44204</v>
      </c>
      <c r="H364" s="17">
        <v>2000</v>
      </c>
      <c r="I364" s="19">
        <v>4663.84</v>
      </c>
      <c r="J364" s="20">
        <v>2.3319199999999989</v>
      </c>
      <c r="K364" s="19">
        <v>3119.08</v>
      </c>
      <c r="L364" s="48">
        <v>1.5595399999999999</v>
      </c>
      <c r="M364" s="42">
        <v>0</v>
      </c>
      <c r="N364" s="22">
        <v>0</v>
      </c>
      <c r="O364" s="23">
        <v>400</v>
      </c>
      <c r="P364" s="24">
        <v>70</v>
      </c>
      <c r="Q364" s="25">
        <v>0.17499999999999999</v>
      </c>
      <c r="R364" s="24">
        <v>70</v>
      </c>
      <c r="S364" s="50">
        <v>0.17499999999999999</v>
      </c>
      <c r="T364" s="43">
        <v>0</v>
      </c>
      <c r="U364" s="24">
        <v>0</v>
      </c>
      <c r="V364" s="19">
        <v>2400</v>
      </c>
      <c r="W364" s="19">
        <v>4733.84</v>
      </c>
      <c r="X364" s="21">
        <v>1.9724333333333335</v>
      </c>
      <c r="Y364" s="19">
        <v>3189.08</v>
      </c>
      <c r="Z364" s="20">
        <v>1.3287833333333332</v>
      </c>
      <c r="AA364" s="30">
        <v>9.9800000000000083E-2</v>
      </c>
      <c r="AB364" s="27">
        <v>0.08</v>
      </c>
      <c r="AC364" s="27">
        <v>0.1075</v>
      </c>
      <c r="AD364" s="11">
        <v>9.8364107688085373E-2</v>
      </c>
    </row>
    <row r="365" spans="1:30" x14ac:dyDescent="0.25">
      <c r="A365" s="13">
        <v>44018</v>
      </c>
      <c r="B365" s="46" t="s">
        <v>636</v>
      </c>
      <c r="C365" s="13">
        <v>44018</v>
      </c>
      <c r="D365" s="15" t="s">
        <v>133</v>
      </c>
      <c r="E365" s="15">
        <v>28</v>
      </c>
      <c r="F365" s="15">
        <v>30</v>
      </c>
      <c r="G365" s="13">
        <v>44046</v>
      </c>
      <c r="H365" s="17">
        <v>3400</v>
      </c>
      <c r="I365" s="19">
        <v>5115.5200000000004</v>
      </c>
      <c r="J365" s="20">
        <v>1.5045647058823524</v>
      </c>
      <c r="K365" s="19">
        <v>4063.62</v>
      </c>
      <c r="L365" s="48">
        <v>1.1951823529411765</v>
      </c>
      <c r="M365" s="42">
        <v>0</v>
      </c>
      <c r="N365" s="22">
        <v>0</v>
      </c>
      <c r="O365" s="23">
        <v>680</v>
      </c>
      <c r="P365" s="24">
        <v>21.4</v>
      </c>
      <c r="Q365" s="25">
        <v>3.1470588235294118E-2</v>
      </c>
      <c r="R365" s="24">
        <v>21.4</v>
      </c>
      <c r="S365" s="50">
        <v>3.1470588235294118E-2</v>
      </c>
      <c r="T365" s="43">
        <v>0</v>
      </c>
      <c r="U365" s="24">
        <v>0</v>
      </c>
      <c r="V365" s="19">
        <v>4080</v>
      </c>
      <c r="W365" s="19">
        <v>5136.92</v>
      </c>
      <c r="X365" s="21">
        <v>1.2590490196078432</v>
      </c>
      <c r="Y365" s="19">
        <v>4085.02</v>
      </c>
      <c r="Z365" s="20">
        <v>1.0012303921568628</v>
      </c>
      <c r="AA365" s="30">
        <v>8.1400000000000014E-2</v>
      </c>
      <c r="AB365" s="27">
        <v>7.0000000000000007E-2</v>
      </c>
      <c r="AC365" s="27">
        <v>8.5000000000000006E-2</v>
      </c>
      <c r="AD365" s="11">
        <v>7.8477144063555632E-2</v>
      </c>
    </row>
    <row r="366" spans="1:30" x14ac:dyDescent="0.25">
      <c r="A366" s="13">
        <v>44020</v>
      </c>
      <c r="B366" s="46" t="s">
        <v>636</v>
      </c>
      <c r="C366" s="13">
        <v>44020</v>
      </c>
      <c r="D366" s="15" t="s">
        <v>134</v>
      </c>
      <c r="E366" s="15">
        <v>77</v>
      </c>
      <c r="F366" s="15">
        <v>90</v>
      </c>
      <c r="G366" s="13">
        <v>44097</v>
      </c>
      <c r="H366" s="17">
        <v>2500</v>
      </c>
      <c r="I366" s="19">
        <v>2808.7400000000002</v>
      </c>
      <c r="J366" s="20">
        <v>1.1234960000000003</v>
      </c>
      <c r="K366" s="19">
        <v>2386.0399999999995</v>
      </c>
      <c r="L366" s="48">
        <v>0.95441599999999982</v>
      </c>
      <c r="M366" s="42">
        <v>0</v>
      </c>
      <c r="N366" s="22">
        <v>200</v>
      </c>
      <c r="O366" s="23">
        <v>500</v>
      </c>
      <c r="P366" s="24">
        <v>749.38</v>
      </c>
      <c r="Q366" s="25">
        <v>1.4987600000000001</v>
      </c>
      <c r="R366" s="24">
        <v>477.20800000000003</v>
      </c>
      <c r="S366" s="50">
        <v>0.95441600000000004</v>
      </c>
      <c r="T366" s="43">
        <v>0.63680500000000007</v>
      </c>
      <c r="U366" s="24">
        <v>318.40190000000001</v>
      </c>
      <c r="V366" s="19">
        <v>3000</v>
      </c>
      <c r="W366" s="19">
        <v>3558.1200000000003</v>
      </c>
      <c r="X366" s="21">
        <v>1.1860400000000002</v>
      </c>
      <c r="Y366" s="19">
        <v>2863.2479999999996</v>
      </c>
      <c r="Z366" s="20">
        <v>0.95441599999999982</v>
      </c>
      <c r="AA366" s="30">
        <v>8.9999999999999927E-2</v>
      </c>
      <c r="AB366" s="27">
        <v>7.0000000000000007E-2</v>
      </c>
      <c r="AC366" s="27">
        <v>9.2799999999999994E-2</v>
      </c>
      <c r="AD366" s="11">
        <v>8.6836691541402902E-2</v>
      </c>
    </row>
    <row r="367" spans="1:30" x14ac:dyDescent="0.25">
      <c r="A367" s="13">
        <v>44021</v>
      </c>
      <c r="B367" s="46" t="s">
        <v>636</v>
      </c>
      <c r="C367" s="13">
        <v>44022</v>
      </c>
      <c r="D367" s="15" t="s">
        <v>135</v>
      </c>
      <c r="E367" s="15">
        <v>376</v>
      </c>
      <c r="F367" s="15">
        <v>360</v>
      </c>
      <c r="G367" s="13">
        <v>44398</v>
      </c>
      <c r="H367" s="17">
        <v>5000</v>
      </c>
      <c r="I367" s="19">
        <v>11161.86</v>
      </c>
      <c r="J367" s="20">
        <v>2.2323719999999998</v>
      </c>
      <c r="K367" s="19">
        <v>5497.0400000000009</v>
      </c>
      <c r="L367" s="48">
        <v>1.0994080000000002</v>
      </c>
      <c r="M367" s="42">
        <v>0</v>
      </c>
      <c r="N367" s="22">
        <v>1023</v>
      </c>
      <c r="O367" s="23">
        <v>1000</v>
      </c>
      <c r="P367" s="24">
        <v>1274</v>
      </c>
      <c r="Q367" s="25">
        <v>1.274</v>
      </c>
      <c r="R367" s="24">
        <v>1000</v>
      </c>
      <c r="S367" s="50">
        <v>1</v>
      </c>
      <c r="T367" s="43">
        <v>0.78492999999999991</v>
      </c>
      <c r="U367" s="24">
        <v>784.92930000000001</v>
      </c>
      <c r="V367" s="19">
        <v>6000</v>
      </c>
      <c r="W367" s="19">
        <v>12435.86</v>
      </c>
      <c r="X367" s="21">
        <v>2.0726433333333336</v>
      </c>
      <c r="Y367" s="19">
        <v>6497.0400000000009</v>
      </c>
      <c r="Z367" s="20">
        <v>1.0828400000000002</v>
      </c>
      <c r="AA367" s="30">
        <v>0.10740000000000009</v>
      </c>
      <c r="AB367" s="27">
        <v>9.8000000000000004E-2</v>
      </c>
      <c r="AC367" s="27">
        <v>0.11230000000000001</v>
      </c>
      <c r="AD367" s="11">
        <v>0.10752548204331538</v>
      </c>
    </row>
    <row r="368" spans="1:30" x14ac:dyDescent="0.25">
      <c r="A368" s="13">
        <v>44022</v>
      </c>
      <c r="B368" s="46" t="s">
        <v>636</v>
      </c>
      <c r="C368" s="13">
        <v>44022</v>
      </c>
      <c r="D368" s="15" t="s">
        <v>136</v>
      </c>
      <c r="E368" s="15">
        <v>182</v>
      </c>
      <c r="F368" s="15">
        <v>180</v>
      </c>
      <c r="G368" s="13">
        <v>44204</v>
      </c>
      <c r="H368" s="17">
        <v>1600</v>
      </c>
      <c r="I368" s="19">
        <v>4782.6500000000005</v>
      </c>
      <c r="J368" s="20">
        <v>2.9891562500000002</v>
      </c>
      <c r="K368" s="19">
        <v>1878.34</v>
      </c>
      <c r="L368" s="48">
        <v>1.1739625</v>
      </c>
      <c r="M368" s="42">
        <v>0</v>
      </c>
      <c r="N368" s="22">
        <v>724.91</v>
      </c>
      <c r="O368" s="23">
        <v>320</v>
      </c>
      <c r="P368" s="24">
        <v>856</v>
      </c>
      <c r="Q368" s="25">
        <v>2.6749999999999998</v>
      </c>
      <c r="R368" s="24">
        <v>319.99999999999994</v>
      </c>
      <c r="S368" s="50">
        <v>0.99999999999999978</v>
      </c>
      <c r="T368" s="43">
        <v>0.3738333333333333</v>
      </c>
      <c r="U368" s="24">
        <v>119.6262</v>
      </c>
      <c r="V368" s="19">
        <v>1920</v>
      </c>
      <c r="W368" s="19">
        <v>5638.6500000000005</v>
      </c>
      <c r="X368" s="21">
        <v>2.9367968750000002</v>
      </c>
      <c r="Y368" s="19">
        <v>2198.3399999999997</v>
      </c>
      <c r="Z368" s="20">
        <v>1.1449687499999999</v>
      </c>
      <c r="AA368" s="30">
        <v>9.4000000000000083E-2</v>
      </c>
      <c r="AB368" s="27">
        <v>7.4999999999999997E-2</v>
      </c>
      <c r="AC368" s="27">
        <v>0.10050000000000001</v>
      </c>
      <c r="AD368" s="11">
        <v>9.511498227969846E-2</v>
      </c>
    </row>
    <row r="369" spans="1:30" x14ac:dyDescent="0.25">
      <c r="A369" s="13">
        <v>44025</v>
      </c>
      <c r="B369" s="46" t="s">
        <v>636</v>
      </c>
      <c r="C369" s="13">
        <v>44025</v>
      </c>
      <c r="D369" s="15" t="s">
        <v>137</v>
      </c>
      <c r="E369" s="15">
        <v>32</v>
      </c>
      <c r="F369" s="15">
        <v>30</v>
      </c>
      <c r="G369" s="13">
        <v>44057</v>
      </c>
      <c r="H369" s="17">
        <v>2500</v>
      </c>
      <c r="I369" s="19">
        <v>6015.79</v>
      </c>
      <c r="J369" s="20">
        <v>2.4063160000000003</v>
      </c>
      <c r="K369" s="19">
        <v>4807.74</v>
      </c>
      <c r="L369" s="48">
        <v>1.9230959999999999</v>
      </c>
      <c r="M369" s="42">
        <v>0</v>
      </c>
      <c r="N369" s="22">
        <v>2207.5</v>
      </c>
      <c r="O369" s="23">
        <v>500</v>
      </c>
      <c r="P369" s="24">
        <v>629.36</v>
      </c>
      <c r="Q369" s="25">
        <v>1.2587200000000001</v>
      </c>
      <c r="R369" s="24">
        <v>500</v>
      </c>
      <c r="S369" s="50">
        <v>1</v>
      </c>
      <c r="T369" s="43">
        <v>0.79446000000000006</v>
      </c>
      <c r="U369" s="24">
        <v>397.22890000000001</v>
      </c>
      <c r="V369" s="19">
        <v>3000</v>
      </c>
      <c r="W369" s="19">
        <v>6645.15</v>
      </c>
      <c r="X369" s="21">
        <v>2.2150499999999997</v>
      </c>
      <c r="Y369" s="19">
        <v>5307.74</v>
      </c>
      <c r="Z369" s="20">
        <v>1.7692466666666666</v>
      </c>
      <c r="AA369" s="30">
        <v>7.5300000000000047E-2</v>
      </c>
      <c r="AB369" s="27">
        <v>5.9000000000000004E-2</v>
      </c>
      <c r="AC369" s="27">
        <v>8.0500000000000002E-2</v>
      </c>
      <c r="AD369" s="11">
        <v>7.0401425581677557E-2</v>
      </c>
    </row>
    <row r="370" spans="1:30" x14ac:dyDescent="0.25">
      <c r="A370" s="13">
        <v>44027</v>
      </c>
      <c r="B370" s="46" t="s">
        <v>636</v>
      </c>
      <c r="C370" s="13">
        <v>44027</v>
      </c>
      <c r="D370" s="15" t="s">
        <v>138</v>
      </c>
      <c r="E370" s="15">
        <v>91</v>
      </c>
      <c r="F370" s="15">
        <v>90</v>
      </c>
      <c r="G370" s="13">
        <v>44118</v>
      </c>
      <c r="H370" s="17">
        <v>1700</v>
      </c>
      <c r="I370" s="19">
        <v>4818.2099999999991</v>
      </c>
      <c r="J370" s="20">
        <v>2.8342411764705879</v>
      </c>
      <c r="K370" s="19">
        <v>1922.14</v>
      </c>
      <c r="L370" s="48">
        <v>1.1306705882352941</v>
      </c>
      <c r="M370" s="42">
        <v>0</v>
      </c>
      <c r="N370" s="22">
        <v>832.8</v>
      </c>
      <c r="O370" s="23">
        <v>340</v>
      </c>
      <c r="P370" s="24">
        <v>666.95</v>
      </c>
      <c r="Q370" s="25">
        <v>1.9616176470588236</v>
      </c>
      <c r="R370" s="24">
        <v>340</v>
      </c>
      <c r="S370" s="50">
        <v>1</v>
      </c>
      <c r="T370" s="43">
        <v>0.50979487179487182</v>
      </c>
      <c r="U370" s="24">
        <v>300.7722</v>
      </c>
      <c r="V370" s="19">
        <v>2040</v>
      </c>
      <c r="W370" s="19">
        <v>5485.1599999999989</v>
      </c>
      <c r="X370" s="21">
        <v>2.6888039215686268</v>
      </c>
      <c r="Y370" s="19">
        <v>2262.1400000000003</v>
      </c>
      <c r="Z370" s="20">
        <v>1.1088921568627452</v>
      </c>
      <c r="AA370" s="30">
        <v>7.980000000000001E-2</v>
      </c>
      <c r="AB370" s="27">
        <v>7.0000000000000007E-2</v>
      </c>
      <c r="AC370" s="27">
        <v>8.8599999999999998E-2</v>
      </c>
      <c r="AD370" s="11">
        <v>8.0230846102598272E-2</v>
      </c>
    </row>
    <row r="371" spans="1:30" x14ac:dyDescent="0.25">
      <c r="A371" s="13">
        <v>44028</v>
      </c>
      <c r="B371" s="46" t="s">
        <v>636</v>
      </c>
      <c r="C371" s="13">
        <v>44029</v>
      </c>
      <c r="D371" s="15" t="s">
        <v>139</v>
      </c>
      <c r="E371" s="15">
        <v>369</v>
      </c>
      <c r="F371" s="15">
        <v>360</v>
      </c>
      <c r="G371" s="13">
        <v>44398</v>
      </c>
      <c r="H371" s="17">
        <v>3000</v>
      </c>
      <c r="I371" s="19">
        <v>8471.7000000000007</v>
      </c>
      <c r="J371" s="20">
        <v>2.8239000000000005</v>
      </c>
      <c r="K371" s="19">
        <v>4903.3099999999995</v>
      </c>
      <c r="L371" s="48">
        <v>1.6344366666666665</v>
      </c>
      <c r="M371" s="42">
        <v>0</v>
      </c>
      <c r="N371" s="22">
        <v>2080.6400000000003</v>
      </c>
      <c r="O371" s="23">
        <v>600</v>
      </c>
      <c r="P371" s="24">
        <v>1740</v>
      </c>
      <c r="Q371" s="25">
        <v>2.9</v>
      </c>
      <c r="R371" s="24">
        <v>600</v>
      </c>
      <c r="S371" s="50">
        <v>1</v>
      </c>
      <c r="T371" s="43">
        <v>0.34482833333333329</v>
      </c>
      <c r="U371" s="24">
        <v>227.58619999999999</v>
      </c>
      <c r="V371" s="19">
        <v>3600</v>
      </c>
      <c r="W371" s="19">
        <v>10211.700000000001</v>
      </c>
      <c r="X371" s="21">
        <v>2.8365833333333335</v>
      </c>
      <c r="Y371" s="19">
        <v>5503.3099999999995</v>
      </c>
      <c r="Z371" s="20">
        <v>1.5286972222222222</v>
      </c>
      <c r="AA371" s="30">
        <v>9.9700000000000094E-2</v>
      </c>
      <c r="AB371" s="27">
        <v>0.06</v>
      </c>
      <c r="AC371" s="27">
        <v>0.106</v>
      </c>
      <c r="AD371" s="11">
        <v>9.8610831356162276E-2</v>
      </c>
    </row>
    <row r="372" spans="1:30" x14ac:dyDescent="0.25">
      <c r="A372" s="13">
        <v>44029</v>
      </c>
      <c r="B372" s="46" t="s">
        <v>636</v>
      </c>
      <c r="C372" s="13">
        <v>44029</v>
      </c>
      <c r="D372" s="15" t="s">
        <v>140</v>
      </c>
      <c r="E372" s="15">
        <v>175</v>
      </c>
      <c r="F372" s="15">
        <v>180</v>
      </c>
      <c r="G372" s="13">
        <v>44204</v>
      </c>
      <c r="H372" s="17">
        <v>2000</v>
      </c>
      <c r="I372" s="19">
        <v>4965.0700000000006</v>
      </c>
      <c r="J372" s="20">
        <v>2.4825349999999995</v>
      </c>
      <c r="K372" s="19">
        <v>4000</v>
      </c>
      <c r="L372" s="48">
        <v>2</v>
      </c>
      <c r="M372" s="42">
        <v>0.97546666666666659</v>
      </c>
      <c r="N372" s="22">
        <v>801.69</v>
      </c>
      <c r="O372" s="23">
        <v>400</v>
      </c>
      <c r="P372" s="24">
        <v>1358</v>
      </c>
      <c r="Q372" s="25">
        <v>3.395</v>
      </c>
      <c r="R372" s="24">
        <v>400</v>
      </c>
      <c r="S372" s="50">
        <v>1</v>
      </c>
      <c r="T372" s="43">
        <v>0.29455100000000001</v>
      </c>
      <c r="U372" s="24">
        <v>117.8203</v>
      </c>
      <c r="V372" s="19">
        <v>2400</v>
      </c>
      <c r="W372" s="19">
        <v>6323.0700000000006</v>
      </c>
      <c r="X372" s="21">
        <v>2.6346125000000002</v>
      </c>
      <c r="Y372" s="19">
        <v>4400</v>
      </c>
      <c r="Z372" s="20">
        <v>1.8333333333333333</v>
      </c>
      <c r="AA372" s="30">
        <v>8.9400000000000035E-2</v>
      </c>
      <c r="AB372" s="27">
        <v>7.0000000000000007E-2</v>
      </c>
      <c r="AC372" s="27">
        <v>9.5000000000000001E-2</v>
      </c>
      <c r="AD372" s="11">
        <v>8.4601355469308595E-2</v>
      </c>
    </row>
    <row r="373" spans="1:30" x14ac:dyDescent="0.25">
      <c r="A373" s="13">
        <v>44032</v>
      </c>
      <c r="B373" s="46" t="s">
        <v>636</v>
      </c>
      <c r="C373" s="13">
        <v>44032</v>
      </c>
      <c r="D373" s="15" t="s">
        <v>141</v>
      </c>
      <c r="E373" s="15">
        <v>35</v>
      </c>
      <c r="F373" s="15">
        <v>30</v>
      </c>
      <c r="G373" s="13">
        <v>44067</v>
      </c>
      <c r="H373" s="17">
        <v>2500</v>
      </c>
      <c r="I373" s="19">
        <v>3726.78</v>
      </c>
      <c r="J373" s="20">
        <v>1.4907120000000003</v>
      </c>
      <c r="K373" s="19">
        <v>3526.78</v>
      </c>
      <c r="L373" s="48">
        <v>1.4107120000000002</v>
      </c>
      <c r="M373" s="42">
        <v>0</v>
      </c>
      <c r="N373" s="22">
        <v>1069.46</v>
      </c>
      <c r="O373" s="23">
        <v>500</v>
      </c>
      <c r="P373" s="24">
        <v>610.24</v>
      </c>
      <c r="Q373" s="25">
        <v>1.22048</v>
      </c>
      <c r="R373" s="24">
        <v>500</v>
      </c>
      <c r="S373" s="50">
        <v>1</v>
      </c>
      <c r="T373" s="43">
        <v>0.81935000000000002</v>
      </c>
      <c r="U373" s="24">
        <v>409.67489999999998</v>
      </c>
      <c r="V373" s="19">
        <v>3000</v>
      </c>
      <c r="W373" s="19">
        <v>4337.0200000000004</v>
      </c>
      <c r="X373" s="21">
        <v>1.4456733333333336</v>
      </c>
      <c r="Y373" s="19">
        <v>4026.78</v>
      </c>
      <c r="Z373" s="20">
        <v>1.34226</v>
      </c>
      <c r="AA373" s="30">
        <v>7.500000000000008E-2</v>
      </c>
      <c r="AB373" s="27">
        <v>0.05</v>
      </c>
      <c r="AC373" s="27">
        <v>7.9899999999999999E-2</v>
      </c>
      <c r="AD373" s="11">
        <v>6.2654685814563793E-2</v>
      </c>
    </row>
    <row r="374" spans="1:30" x14ac:dyDescent="0.25">
      <c r="A374" s="13">
        <v>44034</v>
      </c>
      <c r="B374" s="46" t="s">
        <v>636</v>
      </c>
      <c r="C374" s="13">
        <v>44034</v>
      </c>
      <c r="D374" s="15" t="s">
        <v>142</v>
      </c>
      <c r="E374" s="15">
        <v>84</v>
      </c>
      <c r="F374" s="15">
        <v>90</v>
      </c>
      <c r="G374" s="13">
        <v>44118</v>
      </c>
      <c r="H374" s="17">
        <v>2100</v>
      </c>
      <c r="I374" s="19">
        <v>3271</v>
      </c>
      <c r="J374" s="20">
        <v>1.5576190476190477</v>
      </c>
      <c r="K374" s="19">
        <v>1764.55</v>
      </c>
      <c r="L374" s="48">
        <v>0.84026190476190477</v>
      </c>
      <c r="M374" s="42">
        <v>0</v>
      </c>
      <c r="N374" s="22">
        <v>1690.54</v>
      </c>
      <c r="O374" s="23">
        <v>420</v>
      </c>
      <c r="P374" s="24">
        <v>840</v>
      </c>
      <c r="Q374" s="25">
        <v>2</v>
      </c>
      <c r="R374" s="24">
        <v>352.91</v>
      </c>
      <c r="S374" s="50">
        <v>0.84026190476190488</v>
      </c>
      <c r="T374" s="43">
        <v>0.42013095238095244</v>
      </c>
      <c r="U374" s="24">
        <v>352.91</v>
      </c>
      <c r="V374" s="19">
        <v>2520</v>
      </c>
      <c r="W374" s="19">
        <v>4111</v>
      </c>
      <c r="X374" s="21">
        <v>1.6313492063492063</v>
      </c>
      <c r="Y374" s="19">
        <v>2117.46</v>
      </c>
      <c r="Z374" s="20">
        <v>0.84026190476190477</v>
      </c>
      <c r="AA374" s="30">
        <v>7.6999999999999971E-2</v>
      </c>
      <c r="AB374" s="27">
        <v>6.9800000000000001E-2</v>
      </c>
      <c r="AC374" s="27">
        <v>8.6500000000000007E-2</v>
      </c>
      <c r="AD374" s="11">
        <v>7.7479704677468661E-2</v>
      </c>
    </row>
    <row r="375" spans="1:30" x14ac:dyDescent="0.25">
      <c r="A375" s="13">
        <v>44035</v>
      </c>
      <c r="B375" s="46" t="s">
        <v>636</v>
      </c>
      <c r="C375" s="13">
        <v>44036</v>
      </c>
      <c r="D375" s="15" t="s">
        <v>143</v>
      </c>
      <c r="E375" s="15">
        <v>378</v>
      </c>
      <c r="F375" s="15">
        <v>360</v>
      </c>
      <c r="G375" s="13">
        <v>44414</v>
      </c>
      <c r="H375" s="17">
        <v>3800</v>
      </c>
      <c r="I375" s="19">
        <v>8516.7199999999993</v>
      </c>
      <c r="J375" s="20">
        <v>2.2412421052631584</v>
      </c>
      <c r="K375" s="19">
        <v>3249.7200000000003</v>
      </c>
      <c r="L375" s="48">
        <v>0.85518947368421061</v>
      </c>
      <c r="M375" s="42">
        <v>0</v>
      </c>
      <c r="N375" s="22">
        <v>2051.7799999999997</v>
      </c>
      <c r="O375" s="23">
        <v>760</v>
      </c>
      <c r="P375" s="24">
        <v>1571.25</v>
      </c>
      <c r="Q375" s="25">
        <v>2.0674342105263159</v>
      </c>
      <c r="R375" s="24">
        <v>649.94400000000007</v>
      </c>
      <c r="S375" s="50">
        <v>0.85518947368421061</v>
      </c>
      <c r="T375" s="43">
        <v>0.41364800000000002</v>
      </c>
      <c r="U375" s="24">
        <v>649.42700000000002</v>
      </c>
      <c r="V375" s="19">
        <v>4560</v>
      </c>
      <c r="W375" s="19">
        <v>10087.969999999999</v>
      </c>
      <c r="X375" s="21">
        <v>2.2122741228070173</v>
      </c>
      <c r="Y375" s="19">
        <v>3899.6640000000002</v>
      </c>
      <c r="Z375" s="20">
        <v>0.85518947368421061</v>
      </c>
      <c r="AA375" s="30">
        <v>9.4899999999999998E-2</v>
      </c>
      <c r="AB375" s="27">
        <v>8.7499999999999994E-2</v>
      </c>
      <c r="AC375" s="27">
        <v>0.105</v>
      </c>
      <c r="AD375" s="11">
        <v>9.5964913722653811E-2</v>
      </c>
    </row>
    <row r="376" spans="1:30" x14ac:dyDescent="0.25">
      <c r="A376" s="13">
        <v>44036</v>
      </c>
      <c r="B376" s="46" t="s">
        <v>636</v>
      </c>
      <c r="C376" s="13">
        <v>44036</v>
      </c>
      <c r="D376" s="15" t="s">
        <v>144</v>
      </c>
      <c r="E376" s="15">
        <v>182</v>
      </c>
      <c r="F376" s="15">
        <v>180</v>
      </c>
      <c r="G376" s="13">
        <v>44218</v>
      </c>
      <c r="H376" s="17">
        <v>2500</v>
      </c>
      <c r="I376" s="19">
        <v>4444.9399999999996</v>
      </c>
      <c r="J376" s="20">
        <v>1.7779760000000002</v>
      </c>
      <c r="K376" s="19">
        <v>3951.2400000000002</v>
      </c>
      <c r="L376" s="48">
        <v>1.5804960000000001</v>
      </c>
      <c r="M376" s="42">
        <v>0</v>
      </c>
      <c r="N376" s="22">
        <v>1600</v>
      </c>
      <c r="O376" s="23">
        <v>500</v>
      </c>
      <c r="P376" s="24">
        <v>500</v>
      </c>
      <c r="Q376" s="25">
        <v>1</v>
      </c>
      <c r="R376" s="24">
        <v>500</v>
      </c>
      <c r="S376" s="50">
        <v>1</v>
      </c>
      <c r="T376" s="43">
        <v>0</v>
      </c>
      <c r="U376" s="24">
        <v>500</v>
      </c>
      <c r="V376" s="19">
        <v>3000</v>
      </c>
      <c r="W376" s="19">
        <v>4944.9399999999996</v>
      </c>
      <c r="X376" s="21">
        <v>1.6483133333333333</v>
      </c>
      <c r="Y376" s="19">
        <v>4451.24</v>
      </c>
      <c r="Z376" s="20">
        <v>1.4837466666666665</v>
      </c>
      <c r="AA376" s="30">
        <v>8.4299999999999944E-2</v>
      </c>
      <c r="AB376" s="27">
        <v>7.7899999999999997E-2</v>
      </c>
      <c r="AC376" s="27">
        <v>0.09</v>
      </c>
      <c r="AD376" s="11">
        <v>8.2740205042137818E-2</v>
      </c>
    </row>
    <row r="377" spans="1:30" x14ac:dyDescent="0.25">
      <c r="A377" s="13">
        <v>44039</v>
      </c>
      <c r="B377" s="46" t="s">
        <v>636</v>
      </c>
      <c r="C377" s="13">
        <v>44039</v>
      </c>
      <c r="D377" s="15" t="s">
        <v>145</v>
      </c>
      <c r="E377" s="15">
        <v>35</v>
      </c>
      <c r="F377" s="15">
        <v>30</v>
      </c>
      <c r="G377" s="13">
        <v>44074</v>
      </c>
      <c r="H377" s="17">
        <v>2500</v>
      </c>
      <c r="I377" s="19">
        <v>1372.0700000000002</v>
      </c>
      <c r="J377" s="20">
        <v>0.54882799999999998</v>
      </c>
      <c r="K377" s="19">
        <v>1314.0700000000002</v>
      </c>
      <c r="L377" s="48">
        <v>0.5256280000000001</v>
      </c>
      <c r="M377" s="42">
        <v>0</v>
      </c>
      <c r="N377" s="22">
        <v>0</v>
      </c>
      <c r="O377" s="23">
        <v>500</v>
      </c>
      <c r="P377" s="24">
        <v>330</v>
      </c>
      <c r="Q377" s="25">
        <v>0.66</v>
      </c>
      <c r="R377" s="24">
        <v>262.81399999999996</v>
      </c>
      <c r="S377" s="50">
        <v>0.52562799999999998</v>
      </c>
      <c r="T377" s="43">
        <v>0.79641000000000006</v>
      </c>
      <c r="U377" s="24">
        <v>0</v>
      </c>
      <c r="V377" s="19">
        <v>3000</v>
      </c>
      <c r="W377" s="19">
        <v>1702.0700000000002</v>
      </c>
      <c r="X377" s="21">
        <v>0.56735666666666673</v>
      </c>
      <c r="Y377" s="19">
        <v>1576.884</v>
      </c>
      <c r="Z377" s="20">
        <v>0.52562799999999998</v>
      </c>
      <c r="AA377" s="30">
        <v>7.1000000000000035E-2</v>
      </c>
      <c r="AB377" s="27">
        <v>0.06</v>
      </c>
      <c r="AC377" s="27">
        <v>7.4999999999999997E-2</v>
      </c>
      <c r="AD377" s="11">
        <v>6.702882505994591E-2</v>
      </c>
    </row>
    <row r="378" spans="1:30" x14ac:dyDescent="0.25">
      <c r="A378" s="13">
        <v>44041</v>
      </c>
      <c r="B378" s="46" t="s">
        <v>636</v>
      </c>
      <c r="C378" s="13">
        <v>44041</v>
      </c>
      <c r="D378" s="15" t="s">
        <v>146</v>
      </c>
      <c r="E378" s="15">
        <v>100</v>
      </c>
      <c r="F378" s="15">
        <v>90</v>
      </c>
      <c r="G378" s="13">
        <v>44141</v>
      </c>
      <c r="H378" s="17">
        <v>2100</v>
      </c>
      <c r="I378" s="19">
        <v>1471.53</v>
      </c>
      <c r="J378" s="20">
        <v>0.70072857142857148</v>
      </c>
      <c r="K378" s="19">
        <v>896.53</v>
      </c>
      <c r="L378" s="48">
        <v>0.42691904761904759</v>
      </c>
      <c r="M378" s="42">
        <v>0</v>
      </c>
      <c r="N378" s="22">
        <v>220.14</v>
      </c>
      <c r="O378" s="23">
        <v>420</v>
      </c>
      <c r="P378" s="24">
        <v>425</v>
      </c>
      <c r="Q378" s="25">
        <v>1.0119047619047619</v>
      </c>
      <c r="R378" s="24">
        <v>179.30599999999998</v>
      </c>
      <c r="S378" s="50">
        <v>0.42691904761904759</v>
      </c>
      <c r="T378" s="43">
        <v>0.42190000000000005</v>
      </c>
      <c r="U378" s="24">
        <v>0</v>
      </c>
      <c r="V378" s="19">
        <v>2520</v>
      </c>
      <c r="W378" s="19">
        <v>1896.53</v>
      </c>
      <c r="X378" s="21">
        <v>0.75259126984126978</v>
      </c>
      <c r="Y378" s="19">
        <v>1075.836</v>
      </c>
      <c r="Z378" s="20">
        <v>0.42691904761904764</v>
      </c>
      <c r="AA378" s="30">
        <v>7.4999999999999983E-2</v>
      </c>
      <c r="AB378" s="27">
        <v>6.7000000000000004E-2</v>
      </c>
      <c r="AC378" s="27">
        <v>7.9399999999999998E-2</v>
      </c>
      <c r="AD378" s="11">
        <v>7.5833350322453488E-2</v>
      </c>
    </row>
    <row r="379" spans="1:30" x14ac:dyDescent="0.25">
      <c r="A379" s="13">
        <v>44042</v>
      </c>
      <c r="B379" s="46" t="s">
        <v>636</v>
      </c>
      <c r="C379" s="13">
        <v>44043</v>
      </c>
      <c r="D379" s="15" t="s">
        <v>147</v>
      </c>
      <c r="E379" s="15">
        <v>371</v>
      </c>
      <c r="F379" s="15">
        <v>360</v>
      </c>
      <c r="G379" s="13">
        <v>44414</v>
      </c>
      <c r="H379" s="17">
        <v>3800</v>
      </c>
      <c r="I379" s="19">
        <v>11924.39</v>
      </c>
      <c r="J379" s="20">
        <v>3.1379973684210527</v>
      </c>
      <c r="K379" s="19">
        <v>4699.9400000000005</v>
      </c>
      <c r="L379" s="48">
        <v>1.2368263157894739</v>
      </c>
      <c r="M379" s="42">
        <v>0</v>
      </c>
      <c r="N379" s="22">
        <v>1775.71</v>
      </c>
      <c r="O379" s="23">
        <v>760</v>
      </c>
      <c r="P379" s="24">
        <v>1470</v>
      </c>
      <c r="Q379" s="25">
        <v>1.9342105263157892</v>
      </c>
      <c r="R379" s="24">
        <v>760</v>
      </c>
      <c r="S379" s="50">
        <v>1</v>
      </c>
      <c r="T379" s="43">
        <v>0.51700749999999995</v>
      </c>
      <c r="U379" s="24">
        <v>429.1157</v>
      </c>
      <c r="V379" s="19">
        <v>4560</v>
      </c>
      <c r="W379" s="19">
        <v>13394.39</v>
      </c>
      <c r="X379" s="21">
        <v>2.9373662280701751</v>
      </c>
      <c r="Y379" s="19">
        <v>5459.9400000000005</v>
      </c>
      <c r="Z379" s="20">
        <v>1.1973552631578948</v>
      </c>
      <c r="AA379" s="30">
        <v>8.9900000000000063E-2</v>
      </c>
      <c r="AB379" s="27">
        <v>7.9000000000000001E-2</v>
      </c>
      <c r="AC379" s="27">
        <v>0.10279999999999999</v>
      </c>
      <c r="AD379" s="11">
        <v>9.1098389099987534E-2</v>
      </c>
    </row>
    <row r="380" spans="1:30" x14ac:dyDescent="0.25">
      <c r="A380" s="13">
        <v>44043</v>
      </c>
      <c r="B380" s="46" t="s">
        <v>636</v>
      </c>
      <c r="C380" s="13">
        <v>44043</v>
      </c>
      <c r="D380" s="15" t="s">
        <v>148</v>
      </c>
      <c r="E380" s="15">
        <v>175</v>
      </c>
      <c r="F380" s="15">
        <v>180</v>
      </c>
      <c r="G380" s="13">
        <v>44218</v>
      </c>
      <c r="H380" s="17">
        <v>2500</v>
      </c>
      <c r="I380" s="19">
        <v>6061.44</v>
      </c>
      <c r="J380" s="20">
        <v>2.4245760000000005</v>
      </c>
      <c r="K380" s="19">
        <v>3817.92</v>
      </c>
      <c r="L380" s="48">
        <v>1.5271680000000001</v>
      </c>
      <c r="M380" s="42">
        <v>0</v>
      </c>
      <c r="N380" s="22">
        <v>2000</v>
      </c>
      <c r="O380" s="23">
        <v>500</v>
      </c>
      <c r="P380" s="24">
        <v>620</v>
      </c>
      <c r="Q380" s="25">
        <v>1.24</v>
      </c>
      <c r="R380" s="24">
        <v>500</v>
      </c>
      <c r="S380" s="50">
        <v>1</v>
      </c>
      <c r="T380" s="43">
        <v>0.80645200000000006</v>
      </c>
      <c r="U380" s="24">
        <v>403.22579999999999</v>
      </c>
      <c r="V380" s="19">
        <v>3000</v>
      </c>
      <c r="W380" s="19">
        <v>6681.44</v>
      </c>
      <c r="X380" s="21">
        <v>2.2271466666666666</v>
      </c>
      <c r="Y380" s="19">
        <v>4317.92</v>
      </c>
      <c r="Z380" s="20">
        <v>1.4393066666666667</v>
      </c>
      <c r="AA380" s="30">
        <v>7.9000000000000056E-2</v>
      </c>
      <c r="AB380" s="27">
        <v>6.8499999999999991E-2</v>
      </c>
      <c r="AC380" s="27">
        <v>8.43E-2</v>
      </c>
      <c r="AD380" s="11">
        <v>7.7175981284975215E-2</v>
      </c>
    </row>
    <row r="381" spans="1:30" x14ac:dyDescent="0.25">
      <c r="A381" s="13">
        <v>44046</v>
      </c>
      <c r="B381" s="46" t="s">
        <v>636</v>
      </c>
      <c r="C381" s="13">
        <v>44046</v>
      </c>
      <c r="D381" s="15" t="s">
        <v>149</v>
      </c>
      <c r="E381" s="15">
        <v>28</v>
      </c>
      <c r="F381" s="15">
        <v>30</v>
      </c>
      <c r="G381" s="13">
        <v>44074</v>
      </c>
      <c r="H381" s="17">
        <v>2500</v>
      </c>
      <c r="I381" s="19">
        <v>6703.170000000001</v>
      </c>
      <c r="J381" s="20">
        <v>2.6812680000000002</v>
      </c>
      <c r="K381" s="19">
        <v>4966.67</v>
      </c>
      <c r="L381" s="48">
        <v>1.9866680000000001</v>
      </c>
      <c r="M381" s="42">
        <v>0</v>
      </c>
      <c r="N381" s="22">
        <v>1335</v>
      </c>
      <c r="O381" s="23">
        <v>500</v>
      </c>
      <c r="P381" s="24">
        <v>1020</v>
      </c>
      <c r="Q381" s="25">
        <v>2.04</v>
      </c>
      <c r="R381" s="24">
        <v>500</v>
      </c>
      <c r="S381" s="50">
        <v>1</v>
      </c>
      <c r="T381" s="43">
        <v>0.49019619999999997</v>
      </c>
      <c r="U381" s="24">
        <v>490.1961</v>
      </c>
      <c r="V381" s="19">
        <v>3000</v>
      </c>
      <c r="W381" s="19">
        <v>7723.170000000001</v>
      </c>
      <c r="X381" s="21">
        <v>2.5743900000000002</v>
      </c>
      <c r="Y381" s="19">
        <v>5466.67</v>
      </c>
      <c r="Z381" s="20">
        <v>1.8222233333333333</v>
      </c>
      <c r="AA381" s="30">
        <v>6.5999999999999948E-2</v>
      </c>
      <c r="AB381" s="27">
        <v>0.05</v>
      </c>
      <c r="AC381" s="27">
        <v>7.4999999999999997E-2</v>
      </c>
      <c r="AD381" s="11">
        <v>6.3293544696016987E-2</v>
      </c>
    </row>
    <row r="382" spans="1:30" x14ac:dyDescent="0.25">
      <c r="A382" s="13">
        <v>44048</v>
      </c>
      <c r="B382" s="46" t="s">
        <v>636</v>
      </c>
      <c r="C382" s="13">
        <v>44048</v>
      </c>
      <c r="D382" s="15" t="s">
        <v>150</v>
      </c>
      <c r="E382" s="15">
        <v>93</v>
      </c>
      <c r="F382" s="15">
        <v>90</v>
      </c>
      <c r="G382" s="13">
        <v>44141</v>
      </c>
      <c r="H382" s="17">
        <v>1700</v>
      </c>
      <c r="I382" s="19">
        <v>3817.5499999999997</v>
      </c>
      <c r="J382" s="20">
        <v>2.2456176470588232</v>
      </c>
      <c r="K382" s="19">
        <v>2572.5499999999997</v>
      </c>
      <c r="L382" s="48">
        <v>1.5132647058823527</v>
      </c>
      <c r="M382" s="42">
        <v>0</v>
      </c>
      <c r="N382" s="22">
        <v>856.72</v>
      </c>
      <c r="O382" s="23">
        <v>340</v>
      </c>
      <c r="P382" s="24">
        <v>295.14999999999998</v>
      </c>
      <c r="Q382" s="25">
        <v>0.86808823529411761</v>
      </c>
      <c r="R382" s="24">
        <v>295.14999999999998</v>
      </c>
      <c r="S382" s="50">
        <v>0.86808823529411761</v>
      </c>
      <c r="T382" s="43">
        <v>0</v>
      </c>
      <c r="U382" s="24">
        <v>175</v>
      </c>
      <c r="V382" s="19">
        <v>2040</v>
      </c>
      <c r="W382" s="19">
        <v>4112.7</v>
      </c>
      <c r="X382" s="21">
        <v>2.016029411764706</v>
      </c>
      <c r="Y382" s="19">
        <v>2867.7</v>
      </c>
      <c r="Z382" s="20">
        <v>1.4057352941176469</v>
      </c>
      <c r="AA382" s="30">
        <v>7.0699999999999999E-2</v>
      </c>
      <c r="AB382" s="27">
        <v>5.9400000000000001E-2</v>
      </c>
      <c r="AC382" s="27">
        <v>8.4499999999999992E-2</v>
      </c>
      <c r="AD382" s="11">
        <v>6.9507878089350508E-2</v>
      </c>
    </row>
    <row r="383" spans="1:30" x14ac:dyDescent="0.25">
      <c r="A383" s="13">
        <v>44049</v>
      </c>
      <c r="B383" s="46" t="s">
        <v>636</v>
      </c>
      <c r="C383" s="13">
        <v>44050</v>
      </c>
      <c r="D383" s="15" t="s">
        <v>151</v>
      </c>
      <c r="E383" s="15">
        <v>364</v>
      </c>
      <c r="F383" s="15">
        <v>360</v>
      </c>
      <c r="G383" s="13">
        <v>44414</v>
      </c>
      <c r="H383" s="17">
        <v>3400</v>
      </c>
      <c r="I383" s="19">
        <v>10926.03</v>
      </c>
      <c r="J383" s="20">
        <v>3.2135382352941169</v>
      </c>
      <c r="K383" s="19">
        <v>3524.48</v>
      </c>
      <c r="L383" s="48">
        <v>1.0366117647058823</v>
      </c>
      <c r="M383" s="42">
        <v>0</v>
      </c>
      <c r="N383" s="22">
        <v>2845.34</v>
      </c>
      <c r="O383" s="23">
        <v>680</v>
      </c>
      <c r="P383" s="24">
        <v>910</v>
      </c>
      <c r="Q383" s="25">
        <v>1.3382352941176472</v>
      </c>
      <c r="R383" s="24">
        <v>680</v>
      </c>
      <c r="S383" s="50">
        <v>1</v>
      </c>
      <c r="T383" s="43">
        <v>0.74725333333333332</v>
      </c>
      <c r="U383" s="24">
        <v>508.13189999999997</v>
      </c>
      <c r="V383" s="19">
        <v>4080</v>
      </c>
      <c r="W383" s="19">
        <v>11836.03</v>
      </c>
      <c r="X383" s="21">
        <v>2.9009877450980395</v>
      </c>
      <c r="Y383" s="19">
        <v>4204.4799999999996</v>
      </c>
      <c r="Z383" s="20">
        <v>1.0305098039215685</v>
      </c>
      <c r="AA383" s="30">
        <v>8.1900000000000042E-2</v>
      </c>
      <c r="AB383" s="27">
        <v>6.9900000000000004E-2</v>
      </c>
      <c r="AC383" s="27">
        <v>0.1</v>
      </c>
      <c r="AD383" s="11">
        <v>8.381157199824639E-2</v>
      </c>
    </row>
    <row r="384" spans="1:30" x14ac:dyDescent="0.25">
      <c r="A384" s="13">
        <v>44050</v>
      </c>
      <c r="B384" s="46" t="s">
        <v>636</v>
      </c>
      <c r="C384" s="13">
        <v>44050</v>
      </c>
      <c r="D384" s="15" t="s">
        <v>152</v>
      </c>
      <c r="E384" s="15">
        <v>168</v>
      </c>
      <c r="F384" s="15">
        <v>180</v>
      </c>
      <c r="G384" s="13">
        <v>44218</v>
      </c>
      <c r="H384" s="17">
        <v>1700</v>
      </c>
      <c r="I384" s="19">
        <v>4638.8100000000004</v>
      </c>
      <c r="J384" s="20">
        <v>2.7287117647058814</v>
      </c>
      <c r="K384" s="19">
        <v>2816.81</v>
      </c>
      <c r="L384" s="48">
        <v>1.6569470588235293</v>
      </c>
      <c r="M384" s="42">
        <v>0</v>
      </c>
      <c r="N384" s="22">
        <v>1693.65</v>
      </c>
      <c r="O384" s="23">
        <v>340</v>
      </c>
      <c r="P384" s="24">
        <v>411</v>
      </c>
      <c r="Q384" s="25">
        <v>1.2088235294117646</v>
      </c>
      <c r="R384" s="24">
        <v>340</v>
      </c>
      <c r="S384" s="50">
        <v>1</v>
      </c>
      <c r="T384" s="43">
        <v>0.82725333333333329</v>
      </c>
      <c r="U384" s="24">
        <v>281.26519999999999</v>
      </c>
      <c r="V384" s="19">
        <v>2040</v>
      </c>
      <c r="W384" s="19">
        <v>5049.8100000000004</v>
      </c>
      <c r="X384" s="21">
        <v>2.4753970588235297</v>
      </c>
      <c r="Y384" s="19">
        <v>3156.81</v>
      </c>
      <c r="Z384" s="20">
        <v>1.5474558823529412</v>
      </c>
      <c r="AA384" s="30">
        <v>7.200000000000005E-2</v>
      </c>
      <c r="AB384" s="27">
        <v>0.06</v>
      </c>
      <c r="AC384" s="27">
        <v>7.9699999999999993E-2</v>
      </c>
      <c r="AD384" s="11">
        <v>7.1100373802764058E-2</v>
      </c>
    </row>
    <row r="385" spans="1:30" x14ac:dyDescent="0.25">
      <c r="A385" s="13">
        <v>44053</v>
      </c>
      <c r="B385" s="46" t="s">
        <v>636</v>
      </c>
      <c r="C385" s="13">
        <v>44053</v>
      </c>
      <c r="D385" s="15" t="s">
        <v>153</v>
      </c>
      <c r="E385" s="15">
        <v>28</v>
      </c>
      <c r="F385" s="15">
        <v>30</v>
      </c>
      <c r="G385" s="13">
        <v>44081</v>
      </c>
      <c r="H385" s="17">
        <v>1700</v>
      </c>
      <c r="I385" s="19">
        <v>6020.9</v>
      </c>
      <c r="J385" s="20">
        <v>3.5417058823529377</v>
      </c>
      <c r="K385" s="19">
        <v>3400.0000000000005</v>
      </c>
      <c r="L385" s="48">
        <v>2.0000000000000004</v>
      </c>
      <c r="M385" s="42">
        <v>0.61374799999999996</v>
      </c>
      <c r="N385" s="22">
        <v>148.22</v>
      </c>
      <c r="O385" s="23">
        <v>340</v>
      </c>
      <c r="P385" s="24">
        <v>360.12</v>
      </c>
      <c r="Q385" s="25">
        <v>1.0591764705882354</v>
      </c>
      <c r="R385" s="24">
        <v>340</v>
      </c>
      <c r="S385" s="50">
        <v>1</v>
      </c>
      <c r="T385" s="43">
        <v>0.94416666666666671</v>
      </c>
      <c r="U385" s="24">
        <v>0</v>
      </c>
      <c r="V385" s="19">
        <v>2040</v>
      </c>
      <c r="W385" s="19">
        <v>6381.0199999999995</v>
      </c>
      <c r="X385" s="21">
        <v>3.1279509803921566</v>
      </c>
      <c r="Y385" s="19">
        <v>3740.0000000000005</v>
      </c>
      <c r="Z385" s="20">
        <v>1.8333333333333335</v>
      </c>
      <c r="AA385" s="30">
        <v>5.4899999999999963E-2</v>
      </c>
      <c r="AB385" s="27">
        <v>3.85E-2</v>
      </c>
      <c r="AC385" s="27">
        <v>7.4999999999999997E-2</v>
      </c>
      <c r="AD385" s="11">
        <v>5.455157866764105E-2</v>
      </c>
    </row>
    <row r="386" spans="1:30" x14ac:dyDescent="0.25">
      <c r="A386" s="13">
        <v>44055</v>
      </c>
      <c r="B386" s="46" t="s">
        <v>636</v>
      </c>
      <c r="C386" s="13">
        <v>44055</v>
      </c>
      <c r="D386" s="15" t="s">
        <v>154</v>
      </c>
      <c r="E386" s="15">
        <v>86</v>
      </c>
      <c r="F386" s="15">
        <v>90</v>
      </c>
      <c r="G386" s="13">
        <v>44141</v>
      </c>
      <c r="H386" s="17">
        <v>1200</v>
      </c>
      <c r="I386" s="19">
        <v>2773.96</v>
      </c>
      <c r="J386" s="20">
        <v>2.3116333333333339</v>
      </c>
      <c r="K386" s="19">
        <v>1600.9</v>
      </c>
      <c r="L386" s="48">
        <v>1.3340833333333335</v>
      </c>
      <c r="M386" s="42">
        <v>0</v>
      </c>
      <c r="N386" s="22">
        <v>45</v>
      </c>
      <c r="O386" s="23">
        <v>240</v>
      </c>
      <c r="P386" s="24">
        <v>94.86</v>
      </c>
      <c r="Q386" s="25">
        <v>0.39524999999999999</v>
      </c>
      <c r="R386" s="24">
        <v>94.86</v>
      </c>
      <c r="S386" s="50">
        <v>0.39524999999999999</v>
      </c>
      <c r="T386" s="43">
        <v>0</v>
      </c>
      <c r="U386" s="24">
        <v>0</v>
      </c>
      <c r="V386" s="19">
        <v>1440</v>
      </c>
      <c r="W386" s="19">
        <v>2868.82</v>
      </c>
      <c r="X386" s="21">
        <v>1.9922361111111113</v>
      </c>
      <c r="Y386" s="19">
        <v>1695.76</v>
      </c>
      <c r="Z386" s="20">
        <v>1.1776111111111112</v>
      </c>
      <c r="AA386" s="30">
        <v>6.0299999999999999E-2</v>
      </c>
      <c r="AB386" s="27">
        <v>5.5E-2</v>
      </c>
      <c r="AC386" s="27">
        <v>7.2400000000000006E-2</v>
      </c>
      <c r="AD386" s="11">
        <v>6.2328759967699578E-2</v>
      </c>
    </row>
    <row r="387" spans="1:30" x14ac:dyDescent="0.25">
      <c r="A387" s="13">
        <v>44056</v>
      </c>
      <c r="B387" s="46" t="s">
        <v>636</v>
      </c>
      <c r="C387" s="13">
        <v>44057</v>
      </c>
      <c r="D387" s="15" t="s">
        <v>155</v>
      </c>
      <c r="E387" s="15">
        <v>378</v>
      </c>
      <c r="F387" s="15">
        <v>360</v>
      </c>
      <c r="G387" s="13">
        <v>44435</v>
      </c>
      <c r="H387" s="17">
        <v>3400</v>
      </c>
      <c r="I387" s="19">
        <v>6188.6600000000008</v>
      </c>
      <c r="J387" s="20">
        <v>1.8201941176470589</v>
      </c>
      <c r="K387" s="19">
        <v>3829.1600000000003</v>
      </c>
      <c r="L387" s="48">
        <v>1.1262235294117648</v>
      </c>
      <c r="M387" s="42">
        <v>0</v>
      </c>
      <c r="N387" s="22">
        <v>1391.8899999999999</v>
      </c>
      <c r="O387" s="23">
        <v>680</v>
      </c>
      <c r="P387" s="24">
        <v>740</v>
      </c>
      <c r="Q387" s="25">
        <v>1.088235294117647</v>
      </c>
      <c r="R387" s="24">
        <v>680</v>
      </c>
      <c r="S387" s="50">
        <v>1</v>
      </c>
      <c r="T387" s="43">
        <v>0.91891897058823535</v>
      </c>
      <c r="U387" s="24">
        <v>624.86490000000003</v>
      </c>
      <c r="V387" s="19">
        <v>4080</v>
      </c>
      <c r="W387" s="19">
        <v>6928.6600000000008</v>
      </c>
      <c r="X387" s="21">
        <v>1.6982009803921569</v>
      </c>
      <c r="Y387" s="19">
        <v>4509.16</v>
      </c>
      <c r="Z387" s="20">
        <v>1.1051862745098038</v>
      </c>
      <c r="AA387" s="30">
        <v>8.0400000000000013E-2</v>
      </c>
      <c r="AB387" s="27">
        <v>6.0899999999999996E-2</v>
      </c>
      <c r="AC387" s="27">
        <v>8.9700000000000002E-2</v>
      </c>
      <c r="AD387" s="11">
        <v>7.9673639527781462E-2</v>
      </c>
    </row>
    <row r="388" spans="1:30" x14ac:dyDescent="0.25">
      <c r="A388" s="13">
        <v>44057</v>
      </c>
      <c r="B388" s="46" t="s">
        <v>636</v>
      </c>
      <c r="C388" s="13">
        <v>44057</v>
      </c>
      <c r="D388" s="15" t="s">
        <v>156</v>
      </c>
      <c r="E388" s="15">
        <v>196</v>
      </c>
      <c r="F388" s="15">
        <v>180</v>
      </c>
      <c r="G388" s="13">
        <v>44253</v>
      </c>
      <c r="H388" s="17">
        <v>2900</v>
      </c>
      <c r="I388" s="19">
        <v>2372.63</v>
      </c>
      <c r="J388" s="20">
        <v>0.81814827586206895</v>
      </c>
      <c r="K388" s="19">
        <v>1893.13</v>
      </c>
      <c r="L388" s="48">
        <v>0.65280344827586212</v>
      </c>
      <c r="M388" s="42">
        <v>0</v>
      </c>
      <c r="N388" s="22">
        <v>5.33</v>
      </c>
      <c r="O388" s="23">
        <v>580</v>
      </c>
      <c r="P388" s="24">
        <v>0</v>
      </c>
      <c r="Q388" s="25">
        <v>0</v>
      </c>
      <c r="R388" s="24">
        <v>0</v>
      </c>
      <c r="S388" s="50">
        <v>0</v>
      </c>
      <c r="T388" s="43">
        <v>0</v>
      </c>
      <c r="U388" s="24">
        <v>0</v>
      </c>
      <c r="V388" s="19">
        <v>3480</v>
      </c>
      <c r="W388" s="19">
        <v>2372.63</v>
      </c>
      <c r="X388" s="21">
        <v>0.68179022988505755</v>
      </c>
      <c r="Y388" s="19">
        <v>1893.13</v>
      </c>
      <c r="Z388" s="20">
        <v>0.54400287356321841</v>
      </c>
      <c r="AA388" s="30">
        <v>7.1000000000000021E-2</v>
      </c>
      <c r="AB388" s="27">
        <v>0.05</v>
      </c>
      <c r="AC388" s="27">
        <v>7.8899999999999998E-2</v>
      </c>
      <c r="AD388" s="11">
        <v>6.7094557516342607E-2</v>
      </c>
    </row>
    <row r="389" spans="1:30" x14ac:dyDescent="0.25">
      <c r="A389" s="13">
        <v>44060</v>
      </c>
      <c r="B389" s="46" t="s">
        <v>636</v>
      </c>
      <c r="C389" s="13">
        <v>44060</v>
      </c>
      <c r="D389" s="15" t="s">
        <v>157</v>
      </c>
      <c r="E389" s="15">
        <v>28</v>
      </c>
      <c r="F389" s="15">
        <v>30</v>
      </c>
      <c r="G389" s="13">
        <v>44088</v>
      </c>
      <c r="H389" s="17">
        <v>2100</v>
      </c>
      <c r="I389" s="19">
        <v>2098.81</v>
      </c>
      <c r="J389" s="20">
        <v>0.99943333333333328</v>
      </c>
      <c r="K389" s="19">
        <v>1843.81</v>
      </c>
      <c r="L389" s="48">
        <v>0.87800476190476184</v>
      </c>
      <c r="M389" s="42">
        <v>0</v>
      </c>
      <c r="N389" s="22">
        <v>0</v>
      </c>
      <c r="O389" s="23">
        <v>420</v>
      </c>
      <c r="P389" s="24">
        <v>40</v>
      </c>
      <c r="Q389" s="25">
        <v>9.5238095238095233E-2</v>
      </c>
      <c r="R389" s="24">
        <v>40</v>
      </c>
      <c r="S389" s="50">
        <v>9.5238095238095233E-2</v>
      </c>
      <c r="T389" s="43">
        <v>0</v>
      </c>
      <c r="U389" s="24">
        <v>0</v>
      </c>
      <c r="V389" s="19">
        <v>2520</v>
      </c>
      <c r="W389" s="19">
        <v>2138.81</v>
      </c>
      <c r="X389" s="21">
        <v>0.84873412698412698</v>
      </c>
      <c r="Y389" s="19">
        <v>1883.81</v>
      </c>
      <c r="Z389" s="20">
        <v>0.74754365079365082</v>
      </c>
      <c r="AA389" s="30">
        <v>5.5000000000000049E-2</v>
      </c>
      <c r="AB389" s="27">
        <v>0.04</v>
      </c>
      <c r="AC389" s="27">
        <v>6.8499999999999991E-2</v>
      </c>
      <c r="AD389" s="11">
        <v>4.9961239940728319E-2</v>
      </c>
    </row>
    <row r="390" spans="1:30" x14ac:dyDescent="0.25">
      <c r="A390" s="13">
        <v>44062</v>
      </c>
      <c r="B390" s="46" t="s">
        <v>636</v>
      </c>
      <c r="C390" s="13">
        <v>44062</v>
      </c>
      <c r="D390" s="15" t="s">
        <v>158</v>
      </c>
      <c r="E390" s="15">
        <v>91</v>
      </c>
      <c r="F390" s="15">
        <v>90</v>
      </c>
      <c r="G390" s="13">
        <v>44153</v>
      </c>
      <c r="H390" s="17">
        <v>1600</v>
      </c>
      <c r="I390" s="19">
        <v>1951.0000000000002</v>
      </c>
      <c r="J390" s="20">
        <v>1.2193749999999999</v>
      </c>
      <c r="K390" s="19">
        <v>1451.0000000000002</v>
      </c>
      <c r="L390" s="48">
        <v>0.9068750000000001</v>
      </c>
      <c r="M390" s="42">
        <v>0</v>
      </c>
      <c r="N390" s="22">
        <v>0</v>
      </c>
      <c r="O390" s="23">
        <v>320</v>
      </c>
      <c r="P390" s="24">
        <v>90</v>
      </c>
      <c r="Q390" s="25">
        <v>0.28125</v>
      </c>
      <c r="R390" s="24">
        <v>90</v>
      </c>
      <c r="S390" s="50">
        <v>0.28125</v>
      </c>
      <c r="T390" s="43">
        <v>0</v>
      </c>
      <c r="U390" s="24">
        <v>0</v>
      </c>
      <c r="V390" s="19">
        <v>1920</v>
      </c>
      <c r="W390" s="19">
        <v>2041.0000000000002</v>
      </c>
      <c r="X390" s="21">
        <v>1.0630208333333335</v>
      </c>
      <c r="Y390" s="19">
        <v>1541.0000000000002</v>
      </c>
      <c r="Z390" s="20">
        <v>0.80260416666666679</v>
      </c>
      <c r="AA390" s="30">
        <v>6.4999999999999961E-2</v>
      </c>
      <c r="AB390" s="27">
        <v>0.04</v>
      </c>
      <c r="AC390" s="27">
        <v>7.0000000000000007E-2</v>
      </c>
      <c r="AD390" s="11">
        <v>6.1759831881086615E-2</v>
      </c>
    </row>
    <row r="391" spans="1:30" x14ac:dyDescent="0.25">
      <c r="A391" s="13">
        <v>44063</v>
      </c>
      <c r="B391" s="46" t="s">
        <v>636</v>
      </c>
      <c r="C391" s="13">
        <v>44064</v>
      </c>
      <c r="D391" s="15" t="s">
        <v>159</v>
      </c>
      <c r="E391" s="15">
        <v>371</v>
      </c>
      <c r="F391" s="15">
        <v>360</v>
      </c>
      <c r="G391" s="13">
        <v>44435</v>
      </c>
      <c r="H391" s="17">
        <v>3400</v>
      </c>
      <c r="I391" s="19">
        <v>2566.31</v>
      </c>
      <c r="J391" s="20">
        <v>0.75479705882352954</v>
      </c>
      <c r="K391" s="19">
        <v>361.31</v>
      </c>
      <c r="L391" s="48">
        <v>0.10626764705882354</v>
      </c>
      <c r="M391" s="42">
        <v>0</v>
      </c>
      <c r="N391" s="22">
        <v>278.51</v>
      </c>
      <c r="O391" s="23">
        <v>680</v>
      </c>
      <c r="P391" s="24">
        <v>340</v>
      </c>
      <c r="Q391" s="25">
        <v>0.5</v>
      </c>
      <c r="R391" s="24">
        <v>72.261999999999986</v>
      </c>
      <c r="S391" s="50">
        <v>0.10626764705882351</v>
      </c>
      <c r="T391" s="43">
        <v>0.21253533333333333</v>
      </c>
      <c r="U391" s="24">
        <v>63.760599999999997</v>
      </c>
      <c r="V391" s="19">
        <v>4080</v>
      </c>
      <c r="W391" s="19">
        <v>2906.31</v>
      </c>
      <c r="X391" s="21">
        <v>0.71233088235294117</v>
      </c>
      <c r="Y391" s="19">
        <v>433.572</v>
      </c>
      <c r="Z391" s="20">
        <v>0.10626764705882354</v>
      </c>
      <c r="AA391" s="30">
        <v>8.0399999999999999E-2</v>
      </c>
      <c r="AB391" s="27">
        <v>0.06</v>
      </c>
      <c r="AC391" s="27">
        <v>0.1</v>
      </c>
      <c r="AD391" s="11">
        <v>8.8171697105961483E-2</v>
      </c>
    </row>
    <row r="392" spans="1:30" x14ac:dyDescent="0.25">
      <c r="A392" s="13">
        <v>44064</v>
      </c>
      <c r="B392" s="46" t="s">
        <v>636</v>
      </c>
      <c r="C392" s="13">
        <v>44064</v>
      </c>
      <c r="D392" s="15" t="s">
        <v>160</v>
      </c>
      <c r="E392" s="15">
        <v>189</v>
      </c>
      <c r="F392" s="15">
        <v>180</v>
      </c>
      <c r="G392" s="13">
        <v>44253</v>
      </c>
      <c r="H392" s="17">
        <v>2100</v>
      </c>
      <c r="I392" s="19">
        <v>1625.32</v>
      </c>
      <c r="J392" s="20">
        <v>0.77396190476190474</v>
      </c>
      <c r="K392" s="19">
        <v>1468.32</v>
      </c>
      <c r="L392" s="48">
        <v>0.69919999999999993</v>
      </c>
      <c r="M392" s="42">
        <v>0</v>
      </c>
      <c r="N392" s="22">
        <v>891.73</v>
      </c>
      <c r="O392" s="23">
        <v>420</v>
      </c>
      <c r="P392" s="24">
        <v>290</v>
      </c>
      <c r="Q392" s="25">
        <v>0.69047619047619047</v>
      </c>
      <c r="R392" s="24">
        <v>290</v>
      </c>
      <c r="S392" s="50">
        <v>0.69047619047619047</v>
      </c>
      <c r="T392" s="43">
        <v>0</v>
      </c>
      <c r="U392" s="24">
        <v>200</v>
      </c>
      <c r="V392" s="19">
        <v>2520</v>
      </c>
      <c r="W392" s="19">
        <v>1915.32</v>
      </c>
      <c r="X392" s="21">
        <v>0.76004761904761897</v>
      </c>
      <c r="Y392" s="19">
        <v>1758.32</v>
      </c>
      <c r="Z392" s="20">
        <v>0.69774603174603167</v>
      </c>
      <c r="AA392" s="30">
        <v>7.0999999999999966E-2</v>
      </c>
      <c r="AB392" s="27">
        <v>6.0999999999999999E-2</v>
      </c>
      <c r="AC392" s="27">
        <v>7.9000000000000001E-2</v>
      </c>
      <c r="AD392" s="11">
        <v>6.7804204710457033E-2</v>
      </c>
    </row>
    <row r="393" spans="1:30" x14ac:dyDescent="0.25">
      <c r="A393" s="13">
        <v>44067</v>
      </c>
      <c r="B393" s="46" t="s">
        <v>636</v>
      </c>
      <c r="C393" s="13">
        <v>44067</v>
      </c>
      <c r="D393" s="15" t="s">
        <v>161</v>
      </c>
      <c r="E393" s="15">
        <v>28</v>
      </c>
      <c r="F393" s="15">
        <v>30</v>
      </c>
      <c r="G393" s="13">
        <v>44095</v>
      </c>
      <c r="H393" s="17">
        <v>4200</v>
      </c>
      <c r="I393" s="19">
        <v>1735.05</v>
      </c>
      <c r="J393" s="20">
        <v>0.41310714285714295</v>
      </c>
      <c r="K393" s="19">
        <v>1435.05</v>
      </c>
      <c r="L393" s="48">
        <v>0.34167857142857144</v>
      </c>
      <c r="M393" s="42">
        <v>0</v>
      </c>
      <c r="N393" s="22">
        <v>215</v>
      </c>
      <c r="O393" s="23">
        <v>840</v>
      </c>
      <c r="P393" s="24">
        <v>15</v>
      </c>
      <c r="Q393" s="25">
        <v>1.7857142857142856E-2</v>
      </c>
      <c r="R393" s="24">
        <v>15</v>
      </c>
      <c r="S393" s="50">
        <v>1.7857142857142856E-2</v>
      </c>
      <c r="T393" s="43">
        <v>0</v>
      </c>
      <c r="U393" s="24">
        <v>0</v>
      </c>
      <c r="V393" s="19">
        <v>5040</v>
      </c>
      <c r="W393" s="19">
        <v>1750.05</v>
      </c>
      <c r="X393" s="21">
        <v>0.34723214285714282</v>
      </c>
      <c r="Y393" s="19">
        <v>1450.05</v>
      </c>
      <c r="Z393" s="20">
        <v>0.28770833333333334</v>
      </c>
      <c r="AA393" s="30">
        <v>5.6799999999999969E-2</v>
      </c>
      <c r="AB393" s="27">
        <v>0.04</v>
      </c>
      <c r="AC393" s="27">
        <v>7.1099999999999997E-2</v>
      </c>
      <c r="AD393" s="11">
        <v>5.4554911962191303E-2</v>
      </c>
    </row>
    <row r="394" spans="1:30" x14ac:dyDescent="0.25">
      <c r="A394" s="13">
        <v>44069</v>
      </c>
      <c r="B394" s="46" t="s">
        <v>636</v>
      </c>
      <c r="C394" s="13">
        <v>44069</v>
      </c>
      <c r="D394" s="15" t="s">
        <v>162</v>
      </c>
      <c r="E394" s="15">
        <v>84</v>
      </c>
      <c r="F394" s="15">
        <v>90</v>
      </c>
      <c r="G394" s="13">
        <v>44153</v>
      </c>
      <c r="H394" s="17">
        <v>2500</v>
      </c>
      <c r="I394" s="19">
        <v>969.05000000000007</v>
      </c>
      <c r="J394" s="20">
        <v>0.38761999999999996</v>
      </c>
      <c r="K394" s="19">
        <v>669.05000000000007</v>
      </c>
      <c r="L394" s="48">
        <v>0.26762000000000002</v>
      </c>
      <c r="M394" s="42">
        <v>0</v>
      </c>
      <c r="N394" s="22">
        <v>70.14</v>
      </c>
      <c r="O394" s="23">
        <v>500</v>
      </c>
      <c r="P394" s="24">
        <v>30</v>
      </c>
      <c r="Q394" s="25">
        <v>0.06</v>
      </c>
      <c r="R394" s="24">
        <v>30</v>
      </c>
      <c r="S394" s="50">
        <v>0.06</v>
      </c>
      <c r="T394" s="43">
        <v>0</v>
      </c>
      <c r="U394" s="24">
        <v>0</v>
      </c>
      <c r="V394" s="19">
        <v>3000</v>
      </c>
      <c r="W394" s="19">
        <v>999.05000000000007</v>
      </c>
      <c r="X394" s="21">
        <v>0.33301666666666668</v>
      </c>
      <c r="Y394" s="19">
        <v>699.05000000000007</v>
      </c>
      <c r="Z394" s="20">
        <v>0.23301666666666668</v>
      </c>
      <c r="AA394" s="30">
        <v>6.4999999999999961E-2</v>
      </c>
      <c r="AB394" s="27">
        <v>5.5E-2</v>
      </c>
      <c r="AC394" s="27">
        <v>7.2300000000000003E-2</v>
      </c>
      <c r="AD394" s="11">
        <v>6.2636706052319288E-2</v>
      </c>
    </row>
    <row r="395" spans="1:30" x14ac:dyDescent="0.25">
      <c r="A395" s="13">
        <v>44070</v>
      </c>
      <c r="B395" s="46" t="s">
        <v>636</v>
      </c>
      <c r="C395" s="13">
        <v>44071</v>
      </c>
      <c r="D395" s="15" t="s">
        <v>163</v>
      </c>
      <c r="E395" s="15">
        <v>364</v>
      </c>
      <c r="F395" s="15">
        <v>360</v>
      </c>
      <c r="G395" s="13">
        <v>44435</v>
      </c>
      <c r="H395" s="17">
        <v>4200</v>
      </c>
      <c r="I395" s="19">
        <v>2445.81</v>
      </c>
      <c r="J395" s="20">
        <v>0.58233571428571429</v>
      </c>
      <c r="K395" s="19">
        <v>520.81000000000006</v>
      </c>
      <c r="L395" s="48">
        <v>0.12400238095238096</v>
      </c>
      <c r="M395" s="42">
        <v>0</v>
      </c>
      <c r="N395" s="22">
        <v>0</v>
      </c>
      <c r="O395" s="23">
        <v>840</v>
      </c>
      <c r="P395" s="24">
        <v>25</v>
      </c>
      <c r="Q395" s="25">
        <v>2.976190476190476E-2</v>
      </c>
      <c r="R395" s="24">
        <v>25</v>
      </c>
      <c r="S395" s="50">
        <v>2.976190476190476E-2</v>
      </c>
      <c r="T395" s="43">
        <v>0</v>
      </c>
      <c r="U395" s="24">
        <v>0</v>
      </c>
      <c r="V395" s="19">
        <v>5040</v>
      </c>
      <c r="W395" s="19">
        <v>2470.81</v>
      </c>
      <c r="X395" s="21">
        <v>0.49024007936507935</v>
      </c>
      <c r="Y395" s="19">
        <v>545.81000000000006</v>
      </c>
      <c r="Z395" s="20">
        <v>0.10829563492063493</v>
      </c>
      <c r="AA395" s="30">
        <v>8.0899999999999986E-2</v>
      </c>
      <c r="AB395" s="27">
        <v>7.3499999999999996E-2</v>
      </c>
      <c r="AC395" s="27">
        <v>0.09</v>
      </c>
      <c r="AD395" s="11">
        <v>8.3351069788740767E-2</v>
      </c>
    </row>
    <row r="396" spans="1:30" x14ac:dyDescent="0.25">
      <c r="A396" s="13">
        <v>44071</v>
      </c>
      <c r="B396" s="46" t="s">
        <v>636</v>
      </c>
      <c r="C396" s="13">
        <v>44071</v>
      </c>
      <c r="D396" s="15" t="s">
        <v>164</v>
      </c>
      <c r="E396" s="15">
        <v>182</v>
      </c>
      <c r="F396" s="15">
        <v>180</v>
      </c>
      <c r="G396" s="13">
        <v>44253</v>
      </c>
      <c r="H396" s="17">
        <v>3300</v>
      </c>
      <c r="I396" s="19">
        <v>2069.8199999999997</v>
      </c>
      <c r="J396" s="20">
        <v>0.62721818181818145</v>
      </c>
      <c r="K396" s="19">
        <v>1479.82</v>
      </c>
      <c r="L396" s="48">
        <v>0.44843030303030301</v>
      </c>
      <c r="M396" s="42">
        <v>0</v>
      </c>
      <c r="N396" s="22">
        <v>70</v>
      </c>
      <c r="O396" s="23">
        <v>660</v>
      </c>
      <c r="P396" s="24">
        <v>136</v>
      </c>
      <c r="Q396" s="25">
        <v>0.20606060606060606</v>
      </c>
      <c r="R396" s="24">
        <v>136</v>
      </c>
      <c r="S396" s="50">
        <v>0.20606060606060606</v>
      </c>
      <c r="T396" s="43">
        <v>0</v>
      </c>
      <c r="U396" s="24">
        <v>0</v>
      </c>
      <c r="V396" s="19">
        <v>3960</v>
      </c>
      <c r="W396" s="19">
        <v>2205.8199999999997</v>
      </c>
      <c r="X396" s="21">
        <v>0.55702525252525248</v>
      </c>
      <c r="Y396" s="19">
        <v>1615.82</v>
      </c>
      <c r="Z396" s="20">
        <v>0.40803535353535353</v>
      </c>
      <c r="AA396" s="30">
        <v>7.1899999999999992E-2</v>
      </c>
      <c r="AB396" s="27">
        <v>0.06</v>
      </c>
      <c r="AC396" s="27">
        <v>7.5399999999999995E-2</v>
      </c>
      <c r="AD396" s="11">
        <v>7.0261104830371734E-2</v>
      </c>
    </row>
    <row r="397" spans="1:30" x14ac:dyDescent="0.25">
      <c r="A397" s="13">
        <v>44074</v>
      </c>
      <c r="B397" s="46" t="s">
        <v>636</v>
      </c>
      <c r="C397" s="13">
        <v>44074</v>
      </c>
      <c r="D397" s="15" t="s">
        <v>165</v>
      </c>
      <c r="E397" s="15">
        <v>28</v>
      </c>
      <c r="F397" s="15">
        <v>30</v>
      </c>
      <c r="G397" s="13">
        <v>44102</v>
      </c>
      <c r="H397" s="17">
        <v>3300</v>
      </c>
      <c r="I397" s="19">
        <v>4923.5300000000007</v>
      </c>
      <c r="J397" s="20">
        <v>1.4919787878787876</v>
      </c>
      <c r="K397" s="19">
        <v>4016.0299999999997</v>
      </c>
      <c r="L397" s="48">
        <v>1.2169787878787879</v>
      </c>
      <c r="M397" s="42">
        <v>0</v>
      </c>
      <c r="N397" s="22">
        <v>36.6</v>
      </c>
      <c r="O397" s="23">
        <v>660</v>
      </c>
      <c r="P397" s="24">
        <v>43</v>
      </c>
      <c r="Q397" s="25">
        <v>6.5151515151515155E-2</v>
      </c>
      <c r="R397" s="24">
        <v>43</v>
      </c>
      <c r="S397" s="50">
        <v>6.5151515151515155E-2</v>
      </c>
      <c r="T397" s="43">
        <v>0</v>
      </c>
      <c r="U397" s="24">
        <v>0</v>
      </c>
      <c r="V397" s="19">
        <v>3960</v>
      </c>
      <c r="W397" s="19">
        <v>4966.5300000000007</v>
      </c>
      <c r="X397" s="21">
        <v>1.2541742424242426</v>
      </c>
      <c r="Y397" s="19">
        <v>4059.0299999999997</v>
      </c>
      <c r="Z397" s="20">
        <v>1.0250075757575756</v>
      </c>
      <c r="AA397" s="30">
        <v>5.4800000000000085E-2</v>
      </c>
      <c r="AB397" s="27">
        <v>0.04</v>
      </c>
      <c r="AC397" s="27">
        <v>8.3699999999999997E-2</v>
      </c>
      <c r="AD397" s="11">
        <v>5.2338037952444676E-2</v>
      </c>
    </row>
    <row r="398" spans="1:30" x14ac:dyDescent="0.25">
      <c r="A398" s="13">
        <v>44076</v>
      </c>
      <c r="B398" s="46" t="s">
        <v>636</v>
      </c>
      <c r="C398" s="13">
        <v>44076</v>
      </c>
      <c r="D398" s="15" t="s">
        <v>166</v>
      </c>
      <c r="E398" s="15">
        <v>77</v>
      </c>
      <c r="F398" s="15">
        <v>90</v>
      </c>
      <c r="G398" s="13">
        <v>44153</v>
      </c>
      <c r="H398" s="17">
        <v>2100</v>
      </c>
      <c r="I398" s="19">
        <v>3891.94</v>
      </c>
      <c r="J398" s="20">
        <v>1.8533047619047613</v>
      </c>
      <c r="K398" s="19">
        <v>2471.9399999999996</v>
      </c>
      <c r="L398" s="48">
        <v>1.1771142857142856</v>
      </c>
      <c r="M398" s="42">
        <v>0</v>
      </c>
      <c r="N398" s="22">
        <v>0</v>
      </c>
      <c r="O398" s="23">
        <v>420</v>
      </c>
      <c r="P398" s="24">
        <v>120</v>
      </c>
      <c r="Q398" s="25">
        <v>0.2857142857142857</v>
      </c>
      <c r="R398" s="24">
        <v>120</v>
      </c>
      <c r="S398" s="50">
        <v>0.2857142857142857</v>
      </c>
      <c r="T398" s="43">
        <v>0</v>
      </c>
      <c r="U398" s="24">
        <v>0</v>
      </c>
      <c r="V398" s="19">
        <v>2520</v>
      </c>
      <c r="W398" s="19">
        <v>4011.94</v>
      </c>
      <c r="X398" s="21">
        <v>1.5920396825396825</v>
      </c>
      <c r="Y398" s="19">
        <v>2591.9399999999996</v>
      </c>
      <c r="Z398" s="20">
        <v>1.0285476190476188</v>
      </c>
      <c r="AA398" s="30">
        <v>6.3899999999999943E-2</v>
      </c>
      <c r="AB398" s="27">
        <v>0.05</v>
      </c>
      <c r="AC398" s="27">
        <v>7.6999999999999999E-2</v>
      </c>
      <c r="AD398" s="11">
        <v>6.3252920137514976E-2</v>
      </c>
    </row>
    <row r="399" spans="1:30" x14ac:dyDescent="0.25">
      <c r="A399" s="13">
        <v>44077</v>
      </c>
      <c r="B399" s="46" t="s">
        <v>636</v>
      </c>
      <c r="C399" s="13">
        <v>44078</v>
      </c>
      <c r="D399" s="15" t="s">
        <v>167</v>
      </c>
      <c r="E399" s="15">
        <v>357</v>
      </c>
      <c r="F399" s="15">
        <v>360</v>
      </c>
      <c r="G399" s="13">
        <v>44435</v>
      </c>
      <c r="H399" s="17">
        <v>3300</v>
      </c>
      <c r="I399" s="19">
        <v>7330.71</v>
      </c>
      <c r="J399" s="20">
        <v>2.2214272727272726</v>
      </c>
      <c r="K399" s="19">
        <v>6192.71</v>
      </c>
      <c r="L399" s="48">
        <v>1.8765787878787878</v>
      </c>
      <c r="M399" s="42">
        <v>0</v>
      </c>
      <c r="N399" s="22">
        <v>1550</v>
      </c>
      <c r="O399" s="23">
        <v>660</v>
      </c>
      <c r="P399" s="24">
        <v>700</v>
      </c>
      <c r="Q399" s="25">
        <v>1.0606060606060606</v>
      </c>
      <c r="R399" s="24">
        <v>660</v>
      </c>
      <c r="S399" s="50">
        <v>1</v>
      </c>
      <c r="T399" s="43">
        <v>0.94285733333333321</v>
      </c>
      <c r="U399" s="24">
        <v>282.8571</v>
      </c>
      <c r="V399" s="19">
        <v>3960</v>
      </c>
      <c r="W399" s="19">
        <v>8030.71</v>
      </c>
      <c r="X399" s="21">
        <v>2.0279570707070707</v>
      </c>
      <c r="Y399" s="19">
        <v>6852.71</v>
      </c>
      <c r="Z399" s="20">
        <v>1.7304823232323232</v>
      </c>
      <c r="AA399" s="30">
        <v>8.0400000000000013E-2</v>
      </c>
      <c r="AB399" s="27">
        <v>7.0000000000000007E-2</v>
      </c>
      <c r="AC399" s="27">
        <v>8.7400000000000005E-2</v>
      </c>
      <c r="AD399" s="11">
        <v>7.9662026597696528E-2</v>
      </c>
    </row>
    <row r="400" spans="1:30" x14ac:dyDescent="0.25">
      <c r="A400" s="13">
        <v>44078</v>
      </c>
      <c r="B400" s="46" t="s">
        <v>636</v>
      </c>
      <c r="C400" s="13">
        <v>44078</v>
      </c>
      <c r="D400" s="15" t="s">
        <v>168</v>
      </c>
      <c r="E400" s="15">
        <v>175</v>
      </c>
      <c r="F400" s="15">
        <v>180</v>
      </c>
      <c r="G400" s="13">
        <v>44253</v>
      </c>
      <c r="H400" s="17">
        <v>2500</v>
      </c>
      <c r="I400" s="19">
        <v>5887.3099999999995</v>
      </c>
      <c r="J400" s="20">
        <v>2.3549240000000013</v>
      </c>
      <c r="K400" s="19">
        <v>2509.21</v>
      </c>
      <c r="L400" s="48">
        <v>1.003684</v>
      </c>
      <c r="M400" s="42">
        <v>0</v>
      </c>
      <c r="N400" s="22">
        <v>200</v>
      </c>
      <c r="O400" s="23">
        <v>500</v>
      </c>
      <c r="P400" s="24">
        <v>670</v>
      </c>
      <c r="Q400" s="25">
        <v>1.34</v>
      </c>
      <c r="R400" s="24">
        <v>500</v>
      </c>
      <c r="S400" s="50">
        <v>1</v>
      </c>
      <c r="T400" s="43">
        <v>0.74626999999999999</v>
      </c>
      <c r="U400" s="24">
        <v>335.82089999999999</v>
      </c>
      <c r="V400" s="19">
        <v>3000</v>
      </c>
      <c r="W400" s="19">
        <v>6557.3099999999995</v>
      </c>
      <c r="X400" s="21">
        <v>2.1857699999999998</v>
      </c>
      <c r="Y400" s="19">
        <v>3009.21</v>
      </c>
      <c r="Z400" s="20">
        <v>1.0030699999999999</v>
      </c>
      <c r="AA400" s="30">
        <v>6.8499999999999894E-2</v>
      </c>
      <c r="AB400" s="27">
        <v>5.4900000000000004E-2</v>
      </c>
      <c r="AC400" s="27">
        <v>8.2500000000000004E-2</v>
      </c>
      <c r="AD400" s="11">
        <v>6.6694245759098825E-2</v>
      </c>
    </row>
    <row r="401" spans="1:30" x14ac:dyDescent="0.25">
      <c r="A401" s="13">
        <v>44081</v>
      </c>
      <c r="B401" s="46" t="s">
        <v>636</v>
      </c>
      <c r="C401" s="13">
        <v>44081</v>
      </c>
      <c r="D401" s="15" t="s">
        <v>169</v>
      </c>
      <c r="E401" s="15">
        <v>28</v>
      </c>
      <c r="F401" s="15">
        <v>30</v>
      </c>
      <c r="G401" s="13">
        <v>44109</v>
      </c>
      <c r="H401" s="17">
        <v>3300</v>
      </c>
      <c r="I401" s="19">
        <v>4803.66</v>
      </c>
      <c r="J401" s="20">
        <v>1.4556545454545449</v>
      </c>
      <c r="K401" s="19">
        <v>3303.06</v>
      </c>
      <c r="L401" s="48">
        <v>1.0009272727272727</v>
      </c>
      <c r="M401" s="42">
        <v>0</v>
      </c>
      <c r="N401" s="22">
        <v>0</v>
      </c>
      <c r="O401" s="23">
        <v>660</v>
      </c>
      <c r="P401" s="24">
        <v>761</v>
      </c>
      <c r="Q401" s="25">
        <v>1.1530303030303028</v>
      </c>
      <c r="R401" s="24">
        <v>660</v>
      </c>
      <c r="S401" s="50">
        <v>1</v>
      </c>
      <c r="T401" s="43">
        <v>0.86729999999999996</v>
      </c>
      <c r="U401" s="24">
        <v>0</v>
      </c>
      <c r="V401" s="19">
        <v>3960</v>
      </c>
      <c r="W401" s="19">
        <v>5564.66</v>
      </c>
      <c r="X401" s="21">
        <v>1.4052171717171718</v>
      </c>
      <c r="Y401" s="19">
        <v>3963.06</v>
      </c>
      <c r="Z401" s="20">
        <v>1.0007727272727274</v>
      </c>
      <c r="AA401" s="30">
        <v>5.2299999999999937E-2</v>
      </c>
      <c r="AB401" s="27">
        <v>4.2500000000000003E-2</v>
      </c>
      <c r="AC401" s="27">
        <v>6.2899999999999998E-2</v>
      </c>
      <c r="AD401" s="11">
        <v>5.0982146946286784E-2</v>
      </c>
    </row>
    <row r="402" spans="1:30" x14ac:dyDescent="0.25">
      <c r="A402" s="13">
        <v>44083</v>
      </c>
      <c r="B402" s="46" t="s">
        <v>636</v>
      </c>
      <c r="C402" s="13">
        <v>44083</v>
      </c>
      <c r="D402" s="15" t="s">
        <v>170</v>
      </c>
      <c r="E402" s="15">
        <v>70</v>
      </c>
      <c r="F402" s="15">
        <v>90</v>
      </c>
      <c r="G402" s="13">
        <v>44153</v>
      </c>
      <c r="H402" s="17">
        <v>1700</v>
      </c>
      <c r="I402" s="19">
        <v>4972.72</v>
      </c>
      <c r="J402" s="20">
        <v>2.9251294117647033</v>
      </c>
      <c r="K402" s="19">
        <v>1748.13</v>
      </c>
      <c r="L402" s="48">
        <v>1.0283117647058824</v>
      </c>
      <c r="M402" s="42">
        <v>0</v>
      </c>
      <c r="N402" s="22">
        <v>0</v>
      </c>
      <c r="O402" s="23">
        <v>340</v>
      </c>
      <c r="P402" s="24">
        <v>440</v>
      </c>
      <c r="Q402" s="25">
        <v>1.2941176470588236</v>
      </c>
      <c r="R402" s="24">
        <v>340</v>
      </c>
      <c r="S402" s="50">
        <v>1</v>
      </c>
      <c r="T402" s="43">
        <v>0.77272750000000001</v>
      </c>
      <c r="U402" s="24">
        <v>0</v>
      </c>
      <c r="V402" s="19">
        <v>2040</v>
      </c>
      <c r="W402" s="19">
        <v>5412.72</v>
      </c>
      <c r="X402" s="21">
        <v>2.653294117647059</v>
      </c>
      <c r="Y402" s="19">
        <v>2088.13</v>
      </c>
      <c r="Z402" s="20">
        <v>1.0235931372549021</v>
      </c>
      <c r="AA402" s="30">
        <v>5.7900000000000028E-2</v>
      </c>
      <c r="AB402" s="27">
        <v>0.05</v>
      </c>
      <c r="AC402" s="27">
        <v>6.5000000000000002E-2</v>
      </c>
      <c r="AD402" s="11">
        <v>5.9307497707492086E-2</v>
      </c>
    </row>
    <row r="403" spans="1:30" x14ac:dyDescent="0.25">
      <c r="A403" s="13">
        <v>44084</v>
      </c>
      <c r="B403" s="46" t="s">
        <v>636</v>
      </c>
      <c r="C403" s="13">
        <v>44085</v>
      </c>
      <c r="D403" s="15" t="s">
        <v>171</v>
      </c>
      <c r="E403" s="15">
        <v>385</v>
      </c>
      <c r="F403" s="15">
        <v>360</v>
      </c>
      <c r="G403" s="13">
        <v>44470</v>
      </c>
      <c r="H403" s="17">
        <v>3300</v>
      </c>
      <c r="I403" s="19">
        <v>8539.52</v>
      </c>
      <c r="J403" s="20">
        <v>2.5877333333333326</v>
      </c>
      <c r="K403" s="19">
        <v>6053.75</v>
      </c>
      <c r="L403" s="48">
        <v>1.834469696969697</v>
      </c>
      <c r="M403" s="42">
        <v>0</v>
      </c>
      <c r="N403" s="22">
        <v>1850</v>
      </c>
      <c r="O403" s="23">
        <v>660</v>
      </c>
      <c r="P403" s="24">
        <v>1510</v>
      </c>
      <c r="Q403" s="25">
        <v>2.2878787878787881</v>
      </c>
      <c r="R403" s="24">
        <v>660</v>
      </c>
      <c r="S403" s="50">
        <v>1</v>
      </c>
      <c r="T403" s="43">
        <v>0.43708620000000004</v>
      </c>
      <c r="U403" s="24">
        <v>288.47680000000003</v>
      </c>
      <c r="V403" s="19">
        <v>3960</v>
      </c>
      <c r="W403" s="19">
        <v>10049.52</v>
      </c>
      <c r="X403" s="21">
        <v>2.5377575757575759</v>
      </c>
      <c r="Y403" s="19">
        <v>6713.75</v>
      </c>
      <c r="Z403" s="20">
        <v>1.6953914141414141</v>
      </c>
      <c r="AA403" s="30">
        <v>7.7399999999999941E-2</v>
      </c>
      <c r="AB403" s="27">
        <v>0.06</v>
      </c>
      <c r="AC403" s="27">
        <v>8.5000000000000006E-2</v>
      </c>
      <c r="AD403" s="11">
        <v>7.5719141122686059E-2</v>
      </c>
    </row>
    <row r="404" spans="1:30" x14ac:dyDescent="0.25">
      <c r="A404" s="13">
        <v>44085</v>
      </c>
      <c r="B404" s="46" t="s">
        <v>636</v>
      </c>
      <c r="C404" s="13">
        <v>44085</v>
      </c>
      <c r="D404" s="15" t="s">
        <v>172</v>
      </c>
      <c r="E404" s="15">
        <v>196</v>
      </c>
      <c r="F404" s="15">
        <v>180</v>
      </c>
      <c r="G404" s="13">
        <v>44281</v>
      </c>
      <c r="H404" s="17">
        <v>3300</v>
      </c>
      <c r="I404" s="19">
        <v>4084.75</v>
      </c>
      <c r="J404" s="20">
        <v>1.2378030303030303</v>
      </c>
      <c r="K404" s="19">
        <v>4078.3500000000004</v>
      </c>
      <c r="L404" s="48">
        <v>1.2358636363636364</v>
      </c>
      <c r="M404" s="42">
        <v>0</v>
      </c>
      <c r="N404" s="22">
        <v>1300</v>
      </c>
      <c r="O404" s="23">
        <v>660</v>
      </c>
      <c r="P404" s="24">
        <v>1846</v>
      </c>
      <c r="Q404" s="25">
        <v>2.7969696969696973</v>
      </c>
      <c r="R404" s="24">
        <v>660</v>
      </c>
      <c r="S404" s="50">
        <v>1</v>
      </c>
      <c r="T404" s="43">
        <v>0.35753076923076921</v>
      </c>
      <c r="U404" s="24">
        <v>414.7346</v>
      </c>
      <c r="V404" s="19">
        <v>3960</v>
      </c>
      <c r="W404" s="19">
        <v>5930.75</v>
      </c>
      <c r="X404" s="21">
        <v>1.4976641414141414</v>
      </c>
      <c r="Y404" s="19">
        <v>4738.3500000000004</v>
      </c>
      <c r="Z404" s="20">
        <v>1.1965530303030303</v>
      </c>
      <c r="AA404" s="30">
        <v>6.8400000000000002E-2</v>
      </c>
      <c r="AB404" s="27">
        <v>0.05</v>
      </c>
      <c r="AC404" s="27">
        <v>0.08</v>
      </c>
      <c r="AD404" s="11">
        <v>6.413550890507376E-2</v>
      </c>
    </row>
    <row r="405" spans="1:30" x14ac:dyDescent="0.25">
      <c r="A405" s="13">
        <v>44088</v>
      </c>
      <c r="B405" s="46" t="s">
        <v>636</v>
      </c>
      <c r="C405" s="13">
        <v>44088</v>
      </c>
      <c r="D405" s="15" t="s">
        <v>173</v>
      </c>
      <c r="E405" s="15">
        <v>25</v>
      </c>
      <c r="F405" s="15">
        <v>30</v>
      </c>
      <c r="G405" s="13">
        <v>44113</v>
      </c>
      <c r="H405" s="17">
        <v>3300</v>
      </c>
      <c r="I405" s="19">
        <v>4168.2000000000007</v>
      </c>
      <c r="J405" s="20">
        <v>1.2630909090909088</v>
      </c>
      <c r="K405" s="19">
        <v>3768.2000000000003</v>
      </c>
      <c r="L405" s="48">
        <v>1.1418787878787879</v>
      </c>
      <c r="M405" s="42">
        <v>0</v>
      </c>
      <c r="N405" s="22">
        <v>0</v>
      </c>
      <c r="O405" s="23">
        <v>660</v>
      </c>
      <c r="P405" s="24">
        <v>175</v>
      </c>
      <c r="Q405" s="25">
        <v>0.26515151515151514</v>
      </c>
      <c r="R405" s="24">
        <v>175</v>
      </c>
      <c r="S405" s="50">
        <v>0.26515151515151514</v>
      </c>
      <c r="T405" s="43">
        <v>0</v>
      </c>
      <c r="U405" s="24">
        <v>0</v>
      </c>
      <c r="V405" s="19">
        <v>3960</v>
      </c>
      <c r="W405" s="19">
        <v>4343.2000000000007</v>
      </c>
      <c r="X405" s="21">
        <v>1.0967676767676771</v>
      </c>
      <c r="Y405" s="19">
        <v>3943.2000000000003</v>
      </c>
      <c r="Z405" s="20">
        <v>0.99575757575757584</v>
      </c>
      <c r="AA405" s="30">
        <v>5.4699999999999978E-2</v>
      </c>
      <c r="AB405" s="27">
        <v>0.04</v>
      </c>
      <c r="AC405" s="27">
        <v>0.06</v>
      </c>
      <c r="AD405" s="11">
        <v>4.9539984885562105E-2</v>
      </c>
    </row>
    <row r="406" spans="1:30" x14ac:dyDescent="0.25">
      <c r="A406" s="13">
        <v>44090</v>
      </c>
      <c r="B406" s="46" t="s">
        <v>636</v>
      </c>
      <c r="C406" s="13">
        <v>44090</v>
      </c>
      <c r="D406" s="15" t="s">
        <v>174</v>
      </c>
      <c r="E406" s="15">
        <v>98</v>
      </c>
      <c r="F406" s="15">
        <v>90</v>
      </c>
      <c r="G406" s="13">
        <v>44188</v>
      </c>
      <c r="H406" s="17">
        <v>3300</v>
      </c>
      <c r="I406" s="19">
        <v>1416.2199999999998</v>
      </c>
      <c r="J406" s="20">
        <v>0.42915757575757552</v>
      </c>
      <c r="K406" s="19">
        <v>1116.2199999999998</v>
      </c>
      <c r="L406" s="48">
        <v>0.3382484848484848</v>
      </c>
      <c r="M406" s="42">
        <v>0</v>
      </c>
      <c r="N406" s="22">
        <v>0</v>
      </c>
      <c r="O406" s="23">
        <v>660</v>
      </c>
      <c r="P406" s="24">
        <v>19.420000000000002</v>
      </c>
      <c r="Q406" s="25">
        <v>2.9424242424242422E-2</v>
      </c>
      <c r="R406" s="24">
        <v>19.420000000000002</v>
      </c>
      <c r="S406" s="50">
        <v>2.9424242424242426E-2</v>
      </c>
      <c r="T406" s="43">
        <v>0</v>
      </c>
      <c r="U406" s="24">
        <v>0</v>
      </c>
      <c r="V406" s="19">
        <v>3960</v>
      </c>
      <c r="W406" s="19">
        <v>1435.6399999999999</v>
      </c>
      <c r="X406" s="21">
        <v>0.36253535353535349</v>
      </c>
      <c r="Y406" s="19">
        <v>1135.6399999999999</v>
      </c>
      <c r="Z406" s="20">
        <v>0.28677777777777774</v>
      </c>
      <c r="AA406" s="30">
        <v>6.289999999999997E-2</v>
      </c>
      <c r="AB406" s="27">
        <v>0.04</v>
      </c>
      <c r="AC406" s="27">
        <v>7.0699999999999999E-2</v>
      </c>
      <c r="AD406" s="11">
        <v>5.9403913233819619E-2</v>
      </c>
    </row>
    <row r="407" spans="1:30" x14ac:dyDescent="0.25">
      <c r="A407" s="13">
        <v>44091</v>
      </c>
      <c r="B407" s="46" t="s">
        <v>636</v>
      </c>
      <c r="C407" s="13">
        <v>44092</v>
      </c>
      <c r="D407" s="15" t="s">
        <v>175</v>
      </c>
      <c r="E407" s="15">
        <v>378</v>
      </c>
      <c r="F407" s="15">
        <v>360</v>
      </c>
      <c r="G407" s="13">
        <v>44470</v>
      </c>
      <c r="H407" s="17">
        <v>3300</v>
      </c>
      <c r="I407" s="19">
        <v>4918.74</v>
      </c>
      <c r="J407" s="20">
        <v>1.490527272727272</v>
      </c>
      <c r="K407" s="19">
        <v>3907.97</v>
      </c>
      <c r="L407" s="48">
        <v>1.1842333333333332</v>
      </c>
      <c r="M407" s="42">
        <v>0</v>
      </c>
      <c r="N407" s="22">
        <v>1821.59</v>
      </c>
      <c r="O407" s="23">
        <v>660</v>
      </c>
      <c r="P407" s="24">
        <v>660</v>
      </c>
      <c r="Q407" s="25">
        <v>1</v>
      </c>
      <c r="R407" s="24">
        <v>660</v>
      </c>
      <c r="S407" s="50">
        <v>1</v>
      </c>
      <c r="T407" s="43">
        <v>0</v>
      </c>
      <c r="U407" s="24">
        <v>660</v>
      </c>
      <c r="V407" s="19">
        <v>3960</v>
      </c>
      <c r="W407" s="19">
        <v>5578.74</v>
      </c>
      <c r="X407" s="21">
        <v>1.4087727272727273</v>
      </c>
      <c r="Y407" s="19">
        <v>4567.9699999999993</v>
      </c>
      <c r="Z407" s="20">
        <v>1.1535277777777777</v>
      </c>
      <c r="AA407" s="30">
        <v>7.7799999999999994E-2</v>
      </c>
      <c r="AB407" s="27">
        <v>0.06</v>
      </c>
      <c r="AC407" s="27">
        <v>8.1300000000000011E-2</v>
      </c>
      <c r="AD407" s="11">
        <v>7.5690846842890652E-2</v>
      </c>
    </row>
    <row r="408" spans="1:30" x14ac:dyDescent="0.25">
      <c r="A408" s="13">
        <v>44092</v>
      </c>
      <c r="B408" s="46" t="s">
        <v>636</v>
      </c>
      <c r="C408" s="13">
        <v>44092</v>
      </c>
      <c r="D408" s="15" t="s">
        <v>176</v>
      </c>
      <c r="E408" s="15">
        <v>189</v>
      </c>
      <c r="F408" s="15">
        <v>180</v>
      </c>
      <c r="G408" s="13">
        <v>44281</v>
      </c>
      <c r="H408" s="17">
        <v>2500</v>
      </c>
      <c r="I408" s="19">
        <v>1029.5900000000001</v>
      </c>
      <c r="J408" s="20">
        <v>0.41183599999999998</v>
      </c>
      <c r="K408" s="19">
        <v>1015.73</v>
      </c>
      <c r="L408" s="48">
        <v>0.40629199999999999</v>
      </c>
      <c r="M408" s="42">
        <v>0</v>
      </c>
      <c r="N408" s="22">
        <v>145.69999999999999</v>
      </c>
      <c r="O408" s="23">
        <v>500</v>
      </c>
      <c r="P408" s="24">
        <v>600</v>
      </c>
      <c r="Q408" s="25">
        <v>1.2</v>
      </c>
      <c r="R408" s="24">
        <v>203.14599999999999</v>
      </c>
      <c r="S408" s="50">
        <v>0.40629199999999999</v>
      </c>
      <c r="T408" s="43">
        <v>0.33857700000000002</v>
      </c>
      <c r="U408" s="24">
        <v>169.28829999999999</v>
      </c>
      <c r="V408" s="19">
        <v>3000</v>
      </c>
      <c r="W408" s="19">
        <v>1629.5900000000001</v>
      </c>
      <c r="X408" s="21">
        <v>0.54319666666666666</v>
      </c>
      <c r="Y408" s="19">
        <v>1218.876</v>
      </c>
      <c r="Z408" s="20">
        <v>0.40629199999999999</v>
      </c>
      <c r="AA408" s="30">
        <v>7.0699999999999999E-2</v>
      </c>
      <c r="AB408" s="27">
        <v>5.8400000000000001E-2</v>
      </c>
      <c r="AC408" s="27">
        <v>0.08</v>
      </c>
      <c r="AD408" s="11">
        <v>6.7446653522275871E-2</v>
      </c>
    </row>
    <row r="409" spans="1:30" x14ac:dyDescent="0.25">
      <c r="A409" s="13">
        <v>44095</v>
      </c>
      <c r="B409" s="46" t="s">
        <v>636</v>
      </c>
      <c r="C409" s="13">
        <v>44095</v>
      </c>
      <c r="D409" s="15" t="s">
        <v>177</v>
      </c>
      <c r="E409" s="15">
        <v>28</v>
      </c>
      <c r="F409" s="15">
        <v>30</v>
      </c>
      <c r="G409" s="13">
        <v>44123</v>
      </c>
      <c r="H409" s="17">
        <v>3000</v>
      </c>
      <c r="I409" s="19">
        <v>2981.99</v>
      </c>
      <c r="J409" s="20">
        <v>0.99399666666666653</v>
      </c>
      <c r="K409" s="19">
        <v>2931.99</v>
      </c>
      <c r="L409" s="48">
        <v>0.97732999999999992</v>
      </c>
      <c r="M409" s="42">
        <v>0</v>
      </c>
      <c r="N409" s="22">
        <v>0</v>
      </c>
      <c r="O409" s="23">
        <v>600</v>
      </c>
      <c r="P409" s="24">
        <v>220.45</v>
      </c>
      <c r="Q409" s="25">
        <v>0.36741666666666661</v>
      </c>
      <c r="R409" s="24">
        <v>220.45</v>
      </c>
      <c r="S409" s="50">
        <v>0.36741666666666667</v>
      </c>
      <c r="T409" s="43">
        <v>0</v>
      </c>
      <c r="U409" s="24">
        <v>0</v>
      </c>
      <c r="V409" s="19">
        <v>3600</v>
      </c>
      <c r="W409" s="19">
        <v>3202.4399999999996</v>
      </c>
      <c r="X409" s="21">
        <v>0.88956666666666651</v>
      </c>
      <c r="Y409" s="19">
        <v>3152.4399999999996</v>
      </c>
      <c r="Z409" s="20">
        <v>0.87567777777777767</v>
      </c>
      <c r="AA409" s="30">
        <v>5.7300000000000031E-2</v>
      </c>
      <c r="AB409" s="27">
        <v>4.5899999999999996E-2</v>
      </c>
      <c r="AC409" s="27">
        <v>5.9000000000000004E-2</v>
      </c>
      <c r="AD409" s="11">
        <v>5.1671239675518676E-2</v>
      </c>
    </row>
    <row r="410" spans="1:30" x14ac:dyDescent="0.25">
      <c r="A410" s="13">
        <v>44097</v>
      </c>
      <c r="B410" s="46" t="s">
        <v>636</v>
      </c>
      <c r="C410" s="13">
        <v>44097</v>
      </c>
      <c r="D410" s="15" t="s">
        <v>178</v>
      </c>
      <c r="E410" s="15">
        <v>91</v>
      </c>
      <c r="F410" s="15">
        <v>90</v>
      </c>
      <c r="G410" s="13">
        <v>44188</v>
      </c>
      <c r="H410" s="17">
        <v>3000</v>
      </c>
      <c r="I410" s="19">
        <v>1179.3400000000001</v>
      </c>
      <c r="J410" s="20">
        <v>0.39311333333333337</v>
      </c>
      <c r="K410" s="19">
        <v>876.13</v>
      </c>
      <c r="L410" s="48">
        <v>0.29204333333333332</v>
      </c>
      <c r="M410" s="42">
        <v>0</v>
      </c>
      <c r="N410" s="22">
        <v>0</v>
      </c>
      <c r="O410" s="23">
        <v>600</v>
      </c>
      <c r="P410" s="24">
        <v>48</v>
      </c>
      <c r="Q410" s="25">
        <v>0.08</v>
      </c>
      <c r="R410" s="24">
        <v>48</v>
      </c>
      <c r="S410" s="50">
        <v>0.08</v>
      </c>
      <c r="T410" s="43">
        <v>0</v>
      </c>
      <c r="U410" s="24">
        <v>0</v>
      </c>
      <c r="V410" s="19">
        <v>3600</v>
      </c>
      <c r="W410" s="19">
        <v>1227.3400000000001</v>
      </c>
      <c r="X410" s="21">
        <v>0.34092777777777783</v>
      </c>
      <c r="Y410" s="19">
        <v>924.13</v>
      </c>
      <c r="Z410" s="20">
        <v>0.25670277777777778</v>
      </c>
      <c r="AA410" s="30">
        <v>6.0899999999999968E-2</v>
      </c>
      <c r="AB410" s="27">
        <v>0.05</v>
      </c>
      <c r="AC410" s="27">
        <v>7.0599999999999996E-2</v>
      </c>
      <c r="AD410" s="11">
        <v>6.0777545067580166E-2</v>
      </c>
    </row>
    <row r="411" spans="1:30" x14ac:dyDescent="0.25">
      <c r="A411" s="13">
        <v>44098</v>
      </c>
      <c r="B411" s="46" t="s">
        <v>636</v>
      </c>
      <c r="C411" s="13">
        <v>44099</v>
      </c>
      <c r="D411" s="15" t="s">
        <v>179</v>
      </c>
      <c r="E411" s="15">
        <v>385</v>
      </c>
      <c r="F411" s="15">
        <v>360</v>
      </c>
      <c r="G411" s="13">
        <v>44484</v>
      </c>
      <c r="H411" s="17">
        <v>2000</v>
      </c>
      <c r="I411" s="19">
        <v>4281.63</v>
      </c>
      <c r="J411" s="20">
        <v>2.1408150000000004</v>
      </c>
      <c r="K411" s="19">
        <v>2023.53</v>
      </c>
      <c r="L411" s="48">
        <v>1.011765</v>
      </c>
      <c r="M411" s="42">
        <v>0</v>
      </c>
      <c r="N411" s="22">
        <v>2</v>
      </c>
      <c r="O411" s="23">
        <v>400</v>
      </c>
      <c r="P411" s="24">
        <v>280</v>
      </c>
      <c r="Q411" s="25">
        <v>0.7</v>
      </c>
      <c r="R411" s="24">
        <v>280</v>
      </c>
      <c r="S411" s="50">
        <v>0.7</v>
      </c>
      <c r="T411" s="43">
        <v>0</v>
      </c>
      <c r="U411" s="24">
        <v>0</v>
      </c>
      <c r="V411" s="19">
        <v>2400</v>
      </c>
      <c r="W411" s="19">
        <v>4561.63</v>
      </c>
      <c r="X411" s="21">
        <v>1.9006791666666667</v>
      </c>
      <c r="Y411" s="19">
        <v>2303.5299999999997</v>
      </c>
      <c r="Z411" s="20">
        <v>0.95980416666666657</v>
      </c>
      <c r="AA411" s="30">
        <v>7.5900000000000009E-2</v>
      </c>
      <c r="AB411" s="27">
        <v>6.5000000000000002E-2</v>
      </c>
      <c r="AC411" s="27">
        <v>0.08</v>
      </c>
      <c r="AD411" s="11">
        <v>7.4852616877217309E-2</v>
      </c>
    </row>
    <row r="412" spans="1:30" x14ac:dyDescent="0.25">
      <c r="A412" s="13">
        <v>44099</v>
      </c>
      <c r="B412" s="46" t="s">
        <v>636</v>
      </c>
      <c r="C412" s="13">
        <v>44099</v>
      </c>
      <c r="D412" s="15" t="s">
        <v>180</v>
      </c>
      <c r="E412" s="15">
        <v>182</v>
      </c>
      <c r="F412" s="15">
        <v>180</v>
      </c>
      <c r="G412" s="13">
        <v>44281</v>
      </c>
      <c r="H412" s="17">
        <v>2500</v>
      </c>
      <c r="I412" s="19">
        <v>902.28000000000009</v>
      </c>
      <c r="J412" s="20">
        <v>0.36091200000000012</v>
      </c>
      <c r="K412" s="19">
        <v>211.8</v>
      </c>
      <c r="L412" s="48">
        <v>8.4720000000000004E-2</v>
      </c>
      <c r="M412" s="42">
        <v>0</v>
      </c>
      <c r="N412" s="22">
        <v>0</v>
      </c>
      <c r="O412" s="23">
        <v>500</v>
      </c>
      <c r="P412" s="24">
        <v>50</v>
      </c>
      <c r="Q412" s="25">
        <v>0.1</v>
      </c>
      <c r="R412" s="24">
        <v>42.36</v>
      </c>
      <c r="S412" s="50">
        <v>8.4720000000000004E-2</v>
      </c>
      <c r="T412" s="43">
        <v>0.84719999999999995</v>
      </c>
      <c r="U412" s="24">
        <v>0</v>
      </c>
      <c r="V412" s="19">
        <v>3000</v>
      </c>
      <c r="W412" s="19">
        <v>952.28000000000009</v>
      </c>
      <c r="X412" s="21">
        <v>0.31742666666666669</v>
      </c>
      <c r="Y412" s="19">
        <v>254.16000000000003</v>
      </c>
      <c r="Z412" s="20">
        <v>8.4720000000000004E-2</v>
      </c>
      <c r="AA412" s="30">
        <v>6.8999999999999964E-2</v>
      </c>
      <c r="AB412" s="27">
        <v>6.0700000000000004E-2</v>
      </c>
      <c r="AC412" s="27">
        <v>0.09</v>
      </c>
      <c r="AD412" s="11">
        <v>7.0421585317196445E-2</v>
      </c>
    </row>
    <row r="413" spans="1:30" x14ac:dyDescent="0.25">
      <c r="A413" s="13">
        <v>44102</v>
      </c>
      <c r="B413" s="46" t="s">
        <v>636</v>
      </c>
      <c r="C413" s="13">
        <v>44102</v>
      </c>
      <c r="D413" s="15" t="s">
        <v>181</v>
      </c>
      <c r="E413" s="15">
        <v>28</v>
      </c>
      <c r="F413" s="15">
        <v>30</v>
      </c>
      <c r="G413" s="13">
        <v>44130</v>
      </c>
      <c r="H413" s="17">
        <v>2000</v>
      </c>
      <c r="I413" s="19">
        <v>3264.99</v>
      </c>
      <c r="J413" s="20">
        <v>1.6324949999999994</v>
      </c>
      <c r="K413" s="19">
        <v>2414.9899999999998</v>
      </c>
      <c r="L413" s="48">
        <v>1.207495</v>
      </c>
      <c r="M413" s="42">
        <v>0</v>
      </c>
      <c r="N413" s="22">
        <v>0</v>
      </c>
      <c r="O413" s="23">
        <v>400</v>
      </c>
      <c r="P413" s="24">
        <v>43</v>
      </c>
      <c r="Q413" s="25">
        <v>0.10750000000000001</v>
      </c>
      <c r="R413" s="24">
        <v>43</v>
      </c>
      <c r="S413" s="50">
        <v>0.1075</v>
      </c>
      <c r="T413" s="43">
        <v>0</v>
      </c>
      <c r="U413" s="24">
        <v>0</v>
      </c>
      <c r="V413" s="19">
        <v>2400</v>
      </c>
      <c r="W413" s="19">
        <v>3307.99</v>
      </c>
      <c r="X413" s="21">
        <v>1.3783291666666666</v>
      </c>
      <c r="Y413" s="19">
        <v>2457.9899999999998</v>
      </c>
      <c r="Z413" s="20">
        <v>1.0241624999999999</v>
      </c>
      <c r="AA413" s="30">
        <v>5.3799999999999973E-2</v>
      </c>
      <c r="AB413" s="27">
        <v>4.2500000000000003E-2</v>
      </c>
      <c r="AC413" s="27">
        <v>6.1500000000000006E-2</v>
      </c>
      <c r="AD413" s="11">
        <v>5.21765426540357E-2</v>
      </c>
    </row>
    <row r="414" spans="1:30" x14ac:dyDescent="0.25">
      <c r="A414" s="13">
        <v>44104</v>
      </c>
      <c r="B414" s="46" t="s">
        <v>636</v>
      </c>
      <c r="C414" s="13">
        <v>44104</v>
      </c>
      <c r="D414" s="15" t="s">
        <v>182</v>
      </c>
      <c r="E414" s="15">
        <v>96</v>
      </c>
      <c r="F414" s="15">
        <v>90</v>
      </c>
      <c r="G414" s="13">
        <v>44200</v>
      </c>
      <c r="H414" s="17">
        <v>2000</v>
      </c>
      <c r="I414" s="19">
        <v>1441.11</v>
      </c>
      <c r="J414" s="20">
        <v>0.72055500000000028</v>
      </c>
      <c r="K414" s="19">
        <v>511.11000000000007</v>
      </c>
      <c r="L414" s="48">
        <v>0.25555500000000003</v>
      </c>
      <c r="M414" s="42">
        <v>0</v>
      </c>
      <c r="N414" s="22">
        <v>0</v>
      </c>
      <c r="O414" s="23">
        <v>400</v>
      </c>
      <c r="P414" s="24">
        <v>46</v>
      </c>
      <c r="Q414" s="25">
        <v>0.11499999999999999</v>
      </c>
      <c r="R414" s="24">
        <v>46</v>
      </c>
      <c r="S414" s="50">
        <v>0.115</v>
      </c>
      <c r="T414" s="43">
        <v>0</v>
      </c>
      <c r="U414" s="24">
        <v>0</v>
      </c>
      <c r="V414" s="19">
        <v>2400</v>
      </c>
      <c r="W414" s="19">
        <v>1487.11</v>
      </c>
      <c r="X414" s="21">
        <v>0.61962916666666668</v>
      </c>
      <c r="Y414" s="19">
        <v>557.11000000000013</v>
      </c>
      <c r="Z414" s="20">
        <v>0.23212916666666672</v>
      </c>
      <c r="AA414" s="30">
        <v>6.0000000000000039E-2</v>
      </c>
      <c r="AB414" s="27">
        <v>0.05</v>
      </c>
      <c r="AC414" s="27">
        <v>7.0000000000000007E-2</v>
      </c>
      <c r="AD414" s="11">
        <v>6.0459906599773787E-2</v>
      </c>
    </row>
    <row r="415" spans="1:30" x14ac:dyDescent="0.25">
      <c r="A415" s="13">
        <v>44105</v>
      </c>
      <c r="B415" s="46" t="s">
        <v>636</v>
      </c>
      <c r="C415" s="13">
        <v>44106</v>
      </c>
      <c r="D415" s="15" t="s">
        <v>183</v>
      </c>
      <c r="E415" s="15">
        <v>378</v>
      </c>
      <c r="F415" s="15">
        <v>360</v>
      </c>
      <c r="G415" s="13">
        <v>44484</v>
      </c>
      <c r="H415" s="17">
        <v>1700</v>
      </c>
      <c r="I415" s="19">
        <v>1807.8699999999997</v>
      </c>
      <c r="J415" s="20">
        <v>1.0634529411764706</v>
      </c>
      <c r="K415" s="19">
        <v>1592.87</v>
      </c>
      <c r="L415" s="48">
        <v>0.93698235294117638</v>
      </c>
      <c r="M415" s="42">
        <v>0</v>
      </c>
      <c r="N415" s="22">
        <v>0.86</v>
      </c>
      <c r="O415" s="23">
        <v>340</v>
      </c>
      <c r="P415" s="24">
        <v>300.75</v>
      </c>
      <c r="Q415" s="25">
        <v>0.88455882352941184</v>
      </c>
      <c r="R415" s="24">
        <v>300.75</v>
      </c>
      <c r="S415" s="50">
        <v>0.88455882352941173</v>
      </c>
      <c r="T415" s="43">
        <v>0</v>
      </c>
      <c r="U415" s="24">
        <v>0</v>
      </c>
      <c r="V415" s="19">
        <v>2040</v>
      </c>
      <c r="W415" s="19">
        <v>2108.62</v>
      </c>
      <c r="X415" s="21">
        <v>1.0336372549019608</v>
      </c>
      <c r="Y415" s="19">
        <v>1893.62</v>
      </c>
      <c r="Z415" s="20">
        <v>0.92824509803921562</v>
      </c>
      <c r="AA415" s="30">
        <v>7.6899999999999996E-2</v>
      </c>
      <c r="AB415" s="27">
        <v>0.06</v>
      </c>
      <c r="AC415" s="27">
        <v>8.2500000000000004E-2</v>
      </c>
      <c r="AD415" s="11">
        <v>7.4727491467859966E-2</v>
      </c>
    </row>
    <row r="416" spans="1:30" x14ac:dyDescent="0.25">
      <c r="A416" s="13">
        <v>44106</v>
      </c>
      <c r="B416" s="46" t="s">
        <v>636</v>
      </c>
      <c r="C416" s="13">
        <v>44106</v>
      </c>
      <c r="D416" s="15" t="s">
        <v>184</v>
      </c>
      <c r="E416" s="15">
        <v>189</v>
      </c>
      <c r="F416" s="15">
        <v>180</v>
      </c>
      <c r="G416" s="13">
        <v>44295</v>
      </c>
      <c r="H416" s="17">
        <v>1700</v>
      </c>
      <c r="I416" s="19">
        <v>2283.48</v>
      </c>
      <c r="J416" s="20">
        <v>1.3432235294117647</v>
      </c>
      <c r="K416" s="19">
        <v>1602.4</v>
      </c>
      <c r="L416" s="48">
        <v>0.94258823529411773</v>
      </c>
      <c r="M416" s="42">
        <v>0</v>
      </c>
      <c r="N416" s="22">
        <v>280</v>
      </c>
      <c r="O416" s="23">
        <v>340</v>
      </c>
      <c r="P416" s="24">
        <v>138</v>
      </c>
      <c r="Q416" s="25">
        <v>0.40588235294117647</v>
      </c>
      <c r="R416" s="24">
        <v>138</v>
      </c>
      <c r="S416" s="50">
        <v>0.40588235294117647</v>
      </c>
      <c r="T416" s="43">
        <v>0</v>
      </c>
      <c r="U416" s="24">
        <v>0</v>
      </c>
      <c r="V416" s="19">
        <v>2040</v>
      </c>
      <c r="W416" s="19">
        <v>2421.48</v>
      </c>
      <c r="X416" s="21">
        <v>1.1870000000000001</v>
      </c>
      <c r="Y416" s="19">
        <v>1740.4</v>
      </c>
      <c r="Z416" s="20">
        <v>0.8531372549019608</v>
      </c>
      <c r="AA416" s="30">
        <v>7.0000000000000048E-2</v>
      </c>
      <c r="AB416" s="27">
        <v>0.06</v>
      </c>
      <c r="AC416" s="27">
        <v>7.9000000000000001E-2</v>
      </c>
      <c r="AD416" s="11">
        <v>6.8353717133497985E-2</v>
      </c>
    </row>
    <row r="417" spans="1:30" x14ac:dyDescent="0.25">
      <c r="A417" s="13">
        <v>44109</v>
      </c>
      <c r="B417" s="46" t="s">
        <v>636</v>
      </c>
      <c r="C417" s="13">
        <v>44109</v>
      </c>
      <c r="D417" s="15" t="s">
        <v>185</v>
      </c>
      <c r="E417" s="15">
        <v>29</v>
      </c>
      <c r="F417" s="15">
        <v>30</v>
      </c>
      <c r="G417" s="13">
        <v>44138</v>
      </c>
      <c r="H417" s="17">
        <v>1600</v>
      </c>
      <c r="I417" s="19">
        <v>2678.44</v>
      </c>
      <c r="J417" s="20">
        <v>1.6740249999999997</v>
      </c>
      <c r="K417" s="19">
        <v>1888.44</v>
      </c>
      <c r="L417" s="48">
        <v>1.180275</v>
      </c>
      <c r="M417" s="42">
        <v>0</v>
      </c>
      <c r="N417" s="22">
        <v>0</v>
      </c>
      <c r="O417" s="23">
        <v>320</v>
      </c>
      <c r="P417" s="24">
        <v>65</v>
      </c>
      <c r="Q417" s="25">
        <v>0.203125</v>
      </c>
      <c r="R417" s="24">
        <v>65</v>
      </c>
      <c r="S417" s="50">
        <v>0.203125</v>
      </c>
      <c r="T417" s="43">
        <v>0</v>
      </c>
      <c r="U417" s="24">
        <v>0</v>
      </c>
      <c r="V417" s="19">
        <v>1920</v>
      </c>
      <c r="W417" s="19">
        <v>2743.44</v>
      </c>
      <c r="X417" s="21">
        <v>1.4288750000000001</v>
      </c>
      <c r="Y417" s="19">
        <v>1953.44</v>
      </c>
      <c r="Z417" s="20">
        <v>1.0174166666666666</v>
      </c>
      <c r="AA417" s="30">
        <v>5.2700000000000004E-2</v>
      </c>
      <c r="AB417" s="27">
        <v>0.04</v>
      </c>
      <c r="AC417" s="27">
        <v>0.06</v>
      </c>
      <c r="AD417" s="11">
        <v>5.2717761084810577E-2</v>
      </c>
    </row>
    <row r="418" spans="1:30" x14ac:dyDescent="0.25">
      <c r="A418" s="13">
        <v>44111</v>
      </c>
      <c r="B418" s="46" t="s">
        <v>636</v>
      </c>
      <c r="C418" s="13">
        <v>44111</v>
      </c>
      <c r="D418" s="15" t="s">
        <v>186</v>
      </c>
      <c r="E418" s="15">
        <v>89</v>
      </c>
      <c r="F418" s="15">
        <v>90</v>
      </c>
      <c r="G418" s="13">
        <v>44200</v>
      </c>
      <c r="H418" s="17">
        <v>1000</v>
      </c>
      <c r="I418" s="19">
        <v>1630.6999999999998</v>
      </c>
      <c r="J418" s="20">
        <v>1.6307000000000003</v>
      </c>
      <c r="K418" s="19">
        <v>1009.95</v>
      </c>
      <c r="L418" s="48">
        <v>1.0099500000000001</v>
      </c>
      <c r="M418" s="42">
        <v>0</v>
      </c>
      <c r="N418" s="22">
        <v>0</v>
      </c>
      <c r="O418" s="23">
        <v>200</v>
      </c>
      <c r="P418" s="24">
        <v>250</v>
      </c>
      <c r="Q418" s="25">
        <v>1.25</v>
      </c>
      <c r="R418" s="24">
        <v>200</v>
      </c>
      <c r="S418" s="50">
        <v>1</v>
      </c>
      <c r="T418" s="43">
        <v>0.8</v>
      </c>
      <c r="U418" s="24">
        <v>0</v>
      </c>
      <c r="V418" s="19">
        <v>1200</v>
      </c>
      <c r="W418" s="19">
        <v>1880.6999999999998</v>
      </c>
      <c r="X418" s="21">
        <v>1.5672499999999998</v>
      </c>
      <c r="Y418" s="19">
        <v>1209.95</v>
      </c>
      <c r="Z418" s="20">
        <v>1.0082916666666668</v>
      </c>
      <c r="AA418" s="30">
        <v>5.9900000000000002E-2</v>
      </c>
      <c r="AB418" s="27">
        <v>0.05</v>
      </c>
      <c r="AC418" s="27">
        <v>6.5000000000000002E-2</v>
      </c>
      <c r="AD418" s="11">
        <v>5.9462899368369425E-2</v>
      </c>
    </row>
    <row r="419" spans="1:30" x14ac:dyDescent="0.25">
      <c r="A419" s="13">
        <v>44112</v>
      </c>
      <c r="B419" s="46" t="s">
        <v>636</v>
      </c>
      <c r="C419" s="13">
        <v>44113</v>
      </c>
      <c r="D419" s="15" t="s">
        <v>187</v>
      </c>
      <c r="E419" s="15">
        <v>371</v>
      </c>
      <c r="F419" s="15">
        <v>360</v>
      </c>
      <c r="G419" s="13">
        <v>44484</v>
      </c>
      <c r="H419" s="17">
        <v>1600</v>
      </c>
      <c r="I419" s="19">
        <v>5486.4900000000007</v>
      </c>
      <c r="J419" s="20">
        <v>3.4290562499999995</v>
      </c>
      <c r="K419" s="19">
        <v>1885.09</v>
      </c>
      <c r="L419" s="48">
        <v>1.17818125</v>
      </c>
      <c r="M419" s="42">
        <v>0</v>
      </c>
      <c r="N419" s="22">
        <v>25</v>
      </c>
      <c r="O419" s="23">
        <v>320</v>
      </c>
      <c r="P419" s="24">
        <v>225</v>
      </c>
      <c r="Q419" s="25">
        <v>0.703125</v>
      </c>
      <c r="R419" s="24">
        <v>225</v>
      </c>
      <c r="S419" s="50">
        <v>0.703125</v>
      </c>
      <c r="T419" s="43">
        <v>0</v>
      </c>
      <c r="U419" s="24">
        <v>0</v>
      </c>
      <c r="V419" s="19">
        <v>1920</v>
      </c>
      <c r="W419" s="19">
        <v>5711.4900000000007</v>
      </c>
      <c r="X419" s="21">
        <v>2.9747343750000002</v>
      </c>
      <c r="Y419" s="19">
        <v>2110.09</v>
      </c>
      <c r="Z419" s="20">
        <v>1.0990052083333335</v>
      </c>
      <c r="AA419" s="30">
        <v>7.5800000000000062E-2</v>
      </c>
      <c r="AB419" s="27">
        <v>0.06</v>
      </c>
      <c r="AC419" s="27">
        <v>0.1</v>
      </c>
      <c r="AD419" s="11">
        <v>7.6385095024323377E-2</v>
      </c>
    </row>
    <row r="420" spans="1:30" x14ac:dyDescent="0.25">
      <c r="A420" s="13">
        <v>44113</v>
      </c>
      <c r="B420" s="46" t="s">
        <v>636</v>
      </c>
      <c r="C420" s="13">
        <v>44113</v>
      </c>
      <c r="D420" s="15" t="s">
        <v>188</v>
      </c>
      <c r="E420" s="15">
        <v>182</v>
      </c>
      <c r="F420" s="15">
        <v>180</v>
      </c>
      <c r="G420" s="13">
        <v>44295</v>
      </c>
      <c r="H420" s="17">
        <v>2000</v>
      </c>
      <c r="I420" s="19">
        <v>3868.16</v>
      </c>
      <c r="J420" s="20">
        <v>1.9340799999999998</v>
      </c>
      <c r="K420" s="19">
        <v>2543.1600000000003</v>
      </c>
      <c r="L420" s="48">
        <v>1.2715800000000002</v>
      </c>
      <c r="M420" s="42">
        <v>0</v>
      </c>
      <c r="N420" s="22">
        <v>342.32</v>
      </c>
      <c r="O420" s="23">
        <v>400</v>
      </c>
      <c r="P420" s="24">
        <v>426</v>
      </c>
      <c r="Q420" s="25">
        <v>1.0649999999999999</v>
      </c>
      <c r="R420" s="24">
        <v>400</v>
      </c>
      <c r="S420" s="50">
        <v>1</v>
      </c>
      <c r="T420" s="43">
        <v>0.93896923076923078</v>
      </c>
      <c r="U420" s="24">
        <v>0</v>
      </c>
      <c r="V420" s="19">
        <v>2400</v>
      </c>
      <c r="W420" s="19">
        <v>4294.16</v>
      </c>
      <c r="X420" s="21">
        <v>1.7892333333333332</v>
      </c>
      <c r="Y420" s="19">
        <v>2943.1600000000003</v>
      </c>
      <c r="Z420" s="20">
        <v>1.2263166666666667</v>
      </c>
      <c r="AA420" s="30">
        <v>6.9300000000000042E-2</v>
      </c>
      <c r="AB420" s="27">
        <v>5.4900000000000004E-2</v>
      </c>
      <c r="AC420" s="27">
        <v>7.17E-2</v>
      </c>
      <c r="AD420" s="11">
        <v>6.8129300494291861E-2</v>
      </c>
    </row>
    <row r="421" spans="1:30" x14ac:dyDescent="0.25">
      <c r="A421" s="13">
        <v>44117</v>
      </c>
      <c r="B421" s="46" t="s">
        <v>636</v>
      </c>
      <c r="C421" s="13">
        <v>44117</v>
      </c>
      <c r="D421" s="15" t="s">
        <v>189</v>
      </c>
      <c r="E421" s="15">
        <v>27</v>
      </c>
      <c r="F421" s="15">
        <v>30</v>
      </c>
      <c r="G421" s="13">
        <v>44144</v>
      </c>
      <c r="H421" s="17">
        <v>1700</v>
      </c>
      <c r="I421" s="19">
        <v>2934.9700000000003</v>
      </c>
      <c r="J421" s="20">
        <v>1.7264529411764704</v>
      </c>
      <c r="K421" s="19">
        <v>2084.9700000000003</v>
      </c>
      <c r="L421" s="48">
        <v>1.2264529411764706</v>
      </c>
      <c r="M421" s="42">
        <v>0</v>
      </c>
      <c r="N421" s="22">
        <v>0</v>
      </c>
      <c r="O421" s="23">
        <v>340</v>
      </c>
      <c r="P421" s="24">
        <v>73.989999999999995</v>
      </c>
      <c r="Q421" s="25">
        <v>0.21761764705882353</v>
      </c>
      <c r="R421" s="24">
        <v>73.989999999999995</v>
      </c>
      <c r="S421" s="50">
        <v>0.21761764705882353</v>
      </c>
      <c r="T421" s="43">
        <v>0</v>
      </c>
      <c r="U421" s="24">
        <v>0</v>
      </c>
      <c r="V421" s="19">
        <v>2040</v>
      </c>
      <c r="W421" s="19">
        <v>3008.96</v>
      </c>
      <c r="X421" s="21">
        <v>1.4749803921568627</v>
      </c>
      <c r="Y421" s="19">
        <v>2158.96</v>
      </c>
      <c r="Z421" s="20">
        <v>1.0583137254901962</v>
      </c>
      <c r="AA421" s="30">
        <v>5.2299999999999965E-2</v>
      </c>
      <c r="AB421" s="27">
        <v>0.04</v>
      </c>
      <c r="AC421" s="27">
        <v>5.4699999999999999E-2</v>
      </c>
      <c r="AD421" s="11">
        <v>5.0912399445309488E-2</v>
      </c>
    </row>
    <row r="422" spans="1:30" x14ac:dyDescent="0.25">
      <c r="A422" s="13">
        <v>44118</v>
      </c>
      <c r="B422" s="46" t="s">
        <v>636</v>
      </c>
      <c r="C422" s="13">
        <v>44118</v>
      </c>
      <c r="D422" s="15" t="s">
        <v>190</v>
      </c>
      <c r="E422" s="15">
        <v>91</v>
      </c>
      <c r="F422" s="15">
        <v>90</v>
      </c>
      <c r="G422" s="13">
        <v>44209</v>
      </c>
      <c r="H422" s="17">
        <v>1700</v>
      </c>
      <c r="I422" s="19">
        <v>1680.3500000000001</v>
      </c>
      <c r="J422" s="20">
        <v>0.98844117647058827</v>
      </c>
      <c r="K422" s="19">
        <v>580.34999999999991</v>
      </c>
      <c r="L422" s="48">
        <v>0.34138235294117641</v>
      </c>
      <c r="M422" s="42">
        <v>0</v>
      </c>
      <c r="N422" s="22">
        <v>0</v>
      </c>
      <c r="O422" s="23">
        <v>340</v>
      </c>
      <c r="P422" s="24">
        <v>162</v>
      </c>
      <c r="Q422" s="25">
        <v>0.47647058823529409</v>
      </c>
      <c r="R422" s="24">
        <v>116.07000000000001</v>
      </c>
      <c r="S422" s="50">
        <v>0.34138235294117647</v>
      </c>
      <c r="T422" s="43">
        <v>0.71648333333333325</v>
      </c>
      <c r="U422" s="24">
        <v>0</v>
      </c>
      <c r="V422" s="19">
        <v>2040</v>
      </c>
      <c r="W422" s="19">
        <v>1842.3500000000001</v>
      </c>
      <c r="X422" s="21">
        <v>0.90311274509803929</v>
      </c>
      <c r="Y422" s="19">
        <v>696.42</v>
      </c>
      <c r="Z422" s="20">
        <v>0.34138235294117647</v>
      </c>
      <c r="AA422" s="30">
        <v>5.9000000000000004E-2</v>
      </c>
      <c r="AB422" s="27">
        <v>4.99E-2</v>
      </c>
      <c r="AC422" s="27">
        <v>6.4699999999999994E-2</v>
      </c>
      <c r="AD422" s="11">
        <v>5.987118755021275E-2</v>
      </c>
    </row>
    <row r="423" spans="1:30" x14ac:dyDescent="0.25">
      <c r="A423" s="13">
        <v>44119</v>
      </c>
      <c r="B423" s="46" t="s">
        <v>636</v>
      </c>
      <c r="C423" s="13">
        <v>44120</v>
      </c>
      <c r="D423" s="15" t="s">
        <v>191</v>
      </c>
      <c r="E423" s="15">
        <v>364</v>
      </c>
      <c r="F423" s="15">
        <v>360</v>
      </c>
      <c r="G423" s="13">
        <v>44484</v>
      </c>
      <c r="H423" s="17">
        <v>2500</v>
      </c>
      <c r="I423" s="19">
        <v>3892.5499999999997</v>
      </c>
      <c r="J423" s="20">
        <v>1.5570200000000005</v>
      </c>
      <c r="K423" s="19">
        <v>2632.5499999999997</v>
      </c>
      <c r="L423" s="48">
        <v>1.0530199999999998</v>
      </c>
      <c r="M423" s="42">
        <v>0</v>
      </c>
      <c r="N423" s="22">
        <v>0</v>
      </c>
      <c r="O423" s="23">
        <v>500</v>
      </c>
      <c r="P423" s="24">
        <v>100</v>
      </c>
      <c r="Q423" s="25">
        <v>0.2</v>
      </c>
      <c r="R423" s="24">
        <v>100</v>
      </c>
      <c r="S423" s="50">
        <v>0.2</v>
      </c>
      <c r="T423" s="43">
        <v>0</v>
      </c>
      <c r="U423" s="24">
        <v>0</v>
      </c>
      <c r="V423" s="19">
        <v>3000</v>
      </c>
      <c r="W423" s="19">
        <v>3992.5499999999997</v>
      </c>
      <c r="X423" s="21">
        <v>1.3308499999999999</v>
      </c>
      <c r="Y423" s="19">
        <v>2732.5499999999997</v>
      </c>
      <c r="Z423" s="20">
        <v>0.91084999999999994</v>
      </c>
      <c r="AA423" s="30">
        <v>7.5399999999999967E-2</v>
      </c>
      <c r="AB423" s="27">
        <v>6.5799999999999997E-2</v>
      </c>
      <c r="AC423" s="27">
        <v>0.08</v>
      </c>
      <c r="AD423" s="11">
        <v>7.5107710883611012E-2</v>
      </c>
    </row>
    <row r="424" spans="1:30" x14ac:dyDescent="0.25">
      <c r="A424" s="13">
        <v>44120</v>
      </c>
      <c r="B424" s="46" t="s">
        <v>636</v>
      </c>
      <c r="C424" s="13">
        <v>44120</v>
      </c>
      <c r="D424" s="15" t="s">
        <v>192</v>
      </c>
      <c r="E424" s="15">
        <v>175</v>
      </c>
      <c r="F424" s="15">
        <v>180</v>
      </c>
      <c r="G424" s="13">
        <v>44295</v>
      </c>
      <c r="H424" s="17">
        <v>1200</v>
      </c>
      <c r="I424" s="19">
        <v>2132.4699999999998</v>
      </c>
      <c r="J424" s="20">
        <v>1.7770583333333323</v>
      </c>
      <c r="K424" s="19">
        <v>1382.47</v>
      </c>
      <c r="L424" s="48">
        <v>1.1520583333333334</v>
      </c>
      <c r="M424" s="42">
        <v>0</v>
      </c>
      <c r="N424" s="22">
        <v>0</v>
      </c>
      <c r="O424" s="23">
        <v>240</v>
      </c>
      <c r="P424" s="24">
        <v>250</v>
      </c>
      <c r="Q424" s="25">
        <v>1.0416666666666667</v>
      </c>
      <c r="R424" s="24">
        <v>240</v>
      </c>
      <c r="S424" s="50">
        <v>1</v>
      </c>
      <c r="T424" s="43">
        <v>0.96</v>
      </c>
      <c r="U424" s="24">
        <v>96</v>
      </c>
      <c r="V424" s="19">
        <v>1440</v>
      </c>
      <c r="W424" s="19">
        <v>2382.4699999999998</v>
      </c>
      <c r="X424" s="21">
        <v>1.6544930555555555</v>
      </c>
      <c r="Y424" s="19">
        <v>1622.47</v>
      </c>
      <c r="Z424" s="20">
        <v>1.1267152777777778</v>
      </c>
      <c r="AA424" s="30">
        <v>6.919999999999997E-2</v>
      </c>
      <c r="AB424" s="27">
        <v>5.9000000000000004E-2</v>
      </c>
      <c r="AC424" s="27">
        <v>7.2499999999999995E-2</v>
      </c>
      <c r="AD424" s="11">
        <v>6.8487856804550606E-2</v>
      </c>
    </row>
    <row r="425" spans="1:30" x14ac:dyDescent="0.25">
      <c r="A425" s="13">
        <v>44123</v>
      </c>
      <c r="B425" s="46" t="s">
        <v>636</v>
      </c>
      <c r="C425" s="13">
        <v>44123</v>
      </c>
      <c r="D425" s="15" t="s">
        <v>193</v>
      </c>
      <c r="E425" s="15">
        <v>28</v>
      </c>
      <c r="F425" s="15">
        <v>30</v>
      </c>
      <c r="G425" s="13">
        <v>44151</v>
      </c>
      <c r="H425" s="17">
        <v>2000</v>
      </c>
      <c r="I425" s="19">
        <v>3990.38</v>
      </c>
      <c r="J425" s="20">
        <v>1.9951899999999996</v>
      </c>
      <c r="K425" s="19">
        <v>2447.88</v>
      </c>
      <c r="L425" s="48">
        <v>1.22394</v>
      </c>
      <c r="M425" s="42">
        <v>0</v>
      </c>
      <c r="N425" s="22">
        <v>0</v>
      </c>
      <c r="O425" s="23">
        <v>400</v>
      </c>
      <c r="P425" s="24">
        <v>80.2</v>
      </c>
      <c r="Q425" s="25">
        <v>0.20050000000000001</v>
      </c>
      <c r="R425" s="24">
        <v>80.2</v>
      </c>
      <c r="S425" s="50">
        <v>0.20050000000000001</v>
      </c>
      <c r="T425" s="43">
        <v>0</v>
      </c>
      <c r="U425" s="24">
        <v>0</v>
      </c>
      <c r="V425" s="19">
        <v>2400</v>
      </c>
      <c r="W425" s="19">
        <v>4070.58</v>
      </c>
      <c r="X425" s="21">
        <v>1.696075</v>
      </c>
      <c r="Y425" s="19">
        <v>2528.08</v>
      </c>
      <c r="Z425" s="20">
        <v>1.0533666666666666</v>
      </c>
      <c r="AA425" s="30">
        <v>5.1399999999999994E-2</v>
      </c>
      <c r="AB425" s="27">
        <v>0.04</v>
      </c>
      <c r="AC425" s="27">
        <v>5.4699999999999999E-2</v>
      </c>
      <c r="AD425" s="11">
        <v>4.9665870167753437E-2</v>
      </c>
    </row>
    <row r="426" spans="1:30" x14ac:dyDescent="0.25">
      <c r="A426" s="13">
        <v>44125</v>
      </c>
      <c r="B426" s="46" t="s">
        <v>636</v>
      </c>
      <c r="C426" s="13">
        <v>44125</v>
      </c>
      <c r="D426" s="15" t="s">
        <v>194</v>
      </c>
      <c r="E426" s="15">
        <v>84</v>
      </c>
      <c r="F426" s="15">
        <v>90</v>
      </c>
      <c r="G426" s="13">
        <v>44209</v>
      </c>
      <c r="H426" s="17">
        <v>1300</v>
      </c>
      <c r="I426" s="19">
        <v>420.92</v>
      </c>
      <c r="J426" s="20">
        <v>0.32378461538461545</v>
      </c>
      <c r="K426" s="19">
        <v>190.92</v>
      </c>
      <c r="L426" s="48">
        <v>0.14686153846153846</v>
      </c>
      <c r="M426" s="42">
        <v>0</v>
      </c>
      <c r="N426" s="22">
        <v>0</v>
      </c>
      <c r="O426" s="23">
        <v>260</v>
      </c>
      <c r="P426" s="24">
        <v>211.97</v>
      </c>
      <c r="Q426" s="25">
        <v>0.81526923076923075</v>
      </c>
      <c r="R426" s="24">
        <v>38.184000000000005</v>
      </c>
      <c r="S426" s="50">
        <v>0.14686153846153849</v>
      </c>
      <c r="T426" s="43">
        <v>0.18015228426395938</v>
      </c>
      <c r="U426" s="24">
        <v>0</v>
      </c>
      <c r="V426" s="19">
        <v>1560</v>
      </c>
      <c r="W426" s="19">
        <v>632.89</v>
      </c>
      <c r="X426" s="21">
        <v>0.40569871794871792</v>
      </c>
      <c r="Y426" s="19">
        <v>229.10399999999998</v>
      </c>
      <c r="Z426" s="20">
        <v>0.14686153846153846</v>
      </c>
      <c r="AA426" s="30">
        <v>5.8699999999999981E-2</v>
      </c>
      <c r="AB426" s="27">
        <v>4.9000000000000002E-2</v>
      </c>
      <c r="AC426" s="27">
        <v>6.0499999999999998E-2</v>
      </c>
      <c r="AD426" s="11">
        <v>5.7031383635845284E-2</v>
      </c>
    </row>
    <row r="427" spans="1:30" x14ac:dyDescent="0.25">
      <c r="A427" s="13">
        <v>44126</v>
      </c>
      <c r="B427" s="46" t="s">
        <v>636</v>
      </c>
      <c r="C427" s="13">
        <v>44127</v>
      </c>
      <c r="D427" s="15" t="s">
        <v>195</v>
      </c>
      <c r="E427" s="15">
        <v>378</v>
      </c>
      <c r="F427" s="15">
        <v>360</v>
      </c>
      <c r="G427" s="13">
        <v>44505</v>
      </c>
      <c r="H427" s="17">
        <v>2500</v>
      </c>
      <c r="I427" s="19">
        <v>3486.16</v>
      </c>
      <c r="J427" s="20">
        <v>1.3944640000000006</v>
      </c>
      <c r="K427" s="19">
        <v>2861.16</v>
      </c>
      <c r="L427" s="48">
        <v>1.1444639999999999</v>
      </c>
      <c r="M427" s="42">
        <v>0</v>
      </c>
      <c r="N427" s="22">
        <v>0</v>
      </c>
      <c r="O427" s="23">
        <v>500</v>
      </c>
      <c r="P427" s="24">
        <v>240</v>
      </c>
      <c r="Q427" s="25">
        <v>0.48000000000000004</v>
      </c>
      <c r="R427" s="24">
        <v>240</v>
      </c>
      <c r="S427" s="50">
        <v>0.48</v>
      </c>
      <c r="T427" s="43">
        <v>0</v>
      </c>
      <c r="U427" s="24">
        <v>0</v>
      </c>
      <c r="V427" s="19">
        <v>3000</v>
      </c>
      <c r="W427" s="19">
        <v>3726.16</v>
      </c>
      <c r="X427" s="21">
        <v>1.2420533333333332</v>
      </c>
      <c r="Y427" s="19">
        <v>3101.16</v>
      </c>
      <c r="Z427" s="20">
        <v>1.03372</v>
      </c>
      <c r="AA427" s="30">
        <v>7.5900000000000023E-2</v>
      </c>
      <c r="AB427" s="27">
        <v>6.8000000000000005E-2</v>
      </c>
      <c r="AC427" s="27">
        <v>0.08</v>
      </c>
      <c r="AD427" s="11">
        <v>7.5230276292539644E-2</v>
      </c>
    </row>
    <row r="428" spans="1:30" x14ac:dyDescent="0.25">
      <c r="A428" s="13">
        <v>44127</v>
      </c>
      <c r="B428" s="46" t="s">
        <v>636</v>
      </c>
      <c r="C428" s="13">
        <v>44127</v>
      </c>
      <c r="D428" s="15" t="s">
        <v>196</v>
      </c>
      <c r="E428" s="15">
        <v>168</v>
      </c>
      <c r="F428" s="15">
        <v>180</v>
      </c>
      <c r="G428" s="13">
        <v>44295</v>
      </c>
      <c r="H428" s="17">
        <v>1300</v>
      </c>
      <c r="I428" s="19">
        <v>1617.1</v>
      </c>
      <c r="J428" s="20">
        <v>1.2439230769230769</v>
      </c>
      <c r="K428" s="19">
        <v>1517.1</v>
      </c>
      <c r="L428" s="48">
        <v>1.167</v>
      </c>
      <c r="M428" s="42">
        <v>0</v>
      </c>
      <c r="N428" s="22">
        <v>300</v>
      </c>
      <c r="O428" s="23">
        <v>260</v>
      </c>
      <c r="P428" s="24">
        <v>100</v>
      </c>
      <c r="Q428" s="25">
        <v>0.38461538461538464</v>
      </c>
      <c r="R428" s="24">
        <v>100</v>
      </c>
      <c r="S428" s="50">
        <v>0.38461538461538464</v>
      </c>
      <c r="T428" s="43">
        <v>0</v>
      </c>
      <c r="U428" s="24">
        <v>0</v>
      </c>
      <c r="V428" s="19">
        <v>1560</v>
      </c>
      <c r="W428" s="19">
        <v>1717.1</v>
      </c>
      <c r="X428" s="21">
        <v>1.1007051282051281</v>
      </c>
      <c r="Y428" s="19">
        <v>1617.1</v>
      </c>
      <c r="Z428" s="20">
        <v>1.036602564102564</v>
      </c>
      <c r="AA428" s="30">
        <v>6.9700000000000026E-2</v>
      </c>
      <c r="AB428" s="27">
        <v>5.9200000000000003E-2</v>
      </c>
      <c r="AC428" s="27">
        <v>7.2499999999999995E-2</v>
      </c>
      <c r="AD428" s="11">
        <v>6.8061158864634222E-2</v>
      </c>
    </row>
    <row r="429" spans="1:30" x14ac:dyDescent="0.25">
      <c r="A429" s="13">
        <v>44130</v>
      </c>
      <c r="B429" s="46" t="s">
        <v>636</v>
      </c>
      <c r="C429" s="13">
        <v>44130</v>
      </c>
      <c r="D429" s="15" t="s">
        <v>197</v>
      </c>
      <c r="E429" s="15">
        <v>28</v>
      </c>
      <c r="F429" s="15">
        <v>30</v>
      </c>
      <c r="G429" s="13">
        <v>44158</v>
      </c>
      <c r="H429" s="17">
        <v>1800</v>
      </c>
      <c r="I429" s="19">
        <v>2447.62</v>
      </c>
      <c r="J429" s="20">
        <v>1.3597888888888885</v>
      </c>
      <c r="K429" s="19">
        <v>2347.62</v>
      </c>
      <c r="L429" s="48">
        <v>1.3042333333333334</v>
      </c>
      <c r="M429" s="42">
        <v>0</v>
      </c>
      <c r="N429" s="22">
        <v>0</v>
      </c>
      <c r="O429" s="23">
        <v>360</v>
      </c>
      <c r="P429" s="24">
        <v>226</v>
      </c>
      <c r="Q429" s="25">
        <v>0.62777777777777777</v>
      </c>
      <c r="R429" s="24">
        <v>226</v>
      </c>
      <c r="S429" s="50">
        <v>0.62777777777777777</v>
      </c>
      <c r="T429" s="43">
        <v>0</v>
      </c>
      <c r="U429" s="24">
        <v>0</v>
      </c>
      <c r="V429" s="19">
        <v>2160</v>
      </c>
      <c r="W429" s="19">
        <v>2673.62</v>
      </c>
      <c r="X429" s="21">
        <v>1.237787037037037</v>
      </c>
      <c r="Y429" s="19">
        <v>2573.62</v>
      </c>
      <c r="Z429" s="20">
        <v>1.1914907407407407</v>
      </c>
      <c r="AA429" s="30">
        <v>5.1399999999999973E-2</v>
      </c>
      <c r="AB429" s="27">
        <v>0.04</v>
      </c>
      <c r="AC429" s="27">
        <v>5.2499999999999998E-2</v>
      </c>
      <c r="AD429" s="11">
        <v>4.9476195242725569E-2</v>
      </c>
    </row>
    <row r="430" spans="1:30" x14ac:dyDescent="0.25">
      <c r="A430" s="13">
        <v>44132</v>
      </c>
      <c r="B430" s="46" t="s">
        <v>636</v>
      </c>
      <c r="C430" s="13">
        <v>44132</v>
      </c>
      <c r="D430" s="15" t="s">
        <v>198</v>
      </c>
      <c r="E430" s="15">
        <v>98</v>
      </c>
      <c r="F430" s="15">
        <v>90</v>
      </c>
      <c r="G430" s="13">
        <v>44230</v>
      </c>
      <c r="H430" s="17">
        <v>800</v>
      </c>
      <c r="I430" s="19">
        <v>951.55</v>
      </c>
      <c r="J430" s="20">
        <v>1.1894375000000001</v>
      </c>
      <c r="K430" s="19">
        <v>859.15</v>
      </c>
      <c r="L430" s="48">
        <v>1.0739375</v>
      </c>
      <c r="M430" s="42">
        <v>0</v>
      </c>
      <c r="N430" s="22">
        <v>0</v>
      </c>
      <c r="O430" s="23">
        <v>160</v>
      </c>
      <c r="P430" s="24">
        <v>20</v>
      </c>
      <c r="Q430" s="25">
        <v>0.125</v>
      </c>
      <c r="R430" s="24">
        <v>20</v>
      </c>
      <c r="S430" s="50">
        <v>0.125</v>
      </c>
      <c r="T430" s="43">
        <v>0</v>
      </c>
      <c r="U430" s="24">
        <v>0</v>
      </c>
      <c r="V430" s="19">
        <v>960</v>
      </c>
      <c r="W430" s="19">
        <v>971.55</v>
      </c>
      <c r="X430" s="21">
        <v>1.0120312499999999</v>
      </c>
      <c r="Y430" s="19">
        <v>879.15</v>
      </c>
      <c r="Z430" s="20">
        <v>0.91578124999999999</v>
      </c>
      <c r="AA430" s="30">
        <v>5.8599999999999999E-2</v>
      </c>
      <c r="AB430" s="27">
        <v>0.05</v>
      </c>
      <c r="AC430" s="27">
        <v>6.2E-2</v>
      </c>
      <c r="AD430" s="11">
        <v>5.7394929325836799E-2</v>
      </c>
    </row>
    <row r="431" spans="1:30" x14ac:dyDescent="0.25">
      <c r="A431" s="13">
        <v>44133</v>
      </c>
      <c r="B431" s="46" t="s">
        <v>636</v>
      </c>
      <c r="C431" s="13">
        <v>44134</v>
      </c>
      <c r="D431" s="15" t="s">
        <v>199</v>
      </c>
      <c r="E431" s="15">
        <v>371</v>
      </c>
      <c r="F431" s="15">
        <v>360</v>
      </c>
      <c r="G431" s="13">
        <v>44505</v>
      </c>
      <c r="H431" s="17">
        <v>1800</v>
      </c>
      <c r="I431" s="19">
        <v>571.54</v>
      </c>
      <c r="J431" s="20">
        <v>0.31752222222222221</v>
      </c>
      <c r="K431" s="19">
        <v>101.54</v>
      </c>
      <c r="L431" s="48">
        <v>5.6411111111111113E-2</v>
      </c>
      <c r="M431" s="42">
        <v>0</v>
      </c>
      <c r="N431" s="22">
        <v>0</v>
      </c>
      <c r="O431" s="23">
        <v>360</v>
      </c>
      <c r="P431" s="24">
        <v>0</v>
      </c>
      <c r="Q431" s="25">
        <v>0</v>
      </c>
      <c r="R431" s="24">
        <v>0</v>
      </c>
      <c r="S431" s="50">
        <v>0</v>
      </c>
      <c r="T431" s="43">
        <v>0</v>
      </c>
      <c r="U431" s="24">
        <v>0</v>
      </c>
      <c r="V431" s="19">
        <v>2160</v>
      </c>
      <c r="W431" s="19">
        <v>571.54</v>
      </c>
      <c r="X431" s="21">
        <v>0.26460185185185181</v>
      </c>
      <c r="Y431" s="19">
        <v>101.54</v>
      </c>
      <c r="Z431" s="20">
        <v>4.7009259259259265E-2</v>
      </c>
      <c r="AA431" s="30">
        <v>7.2999999999999995E-2</v>
      </c>
      <c r="AB431" s="27">
        <v>6.9000000000000006E-2</v>
      </c>
      <c r="AC431" s="27">
        <v>8.7499999999999994E-2</v>
      </c>
      <c r="AD431" s="11">
        <v>7.9035168142212273E-2</v>
      </c>
    </row>
    <row r="432" spans="1:30" x14ac:dyDescent="0.25">
      <c r="A432" s="13">
        <v>44134</v>
      </c>
      <c r="B432" s="46" t="s">
        <v>636</v>
      </c>
      <c r="C432" s="13">
        <v>44134</v>
      </c>
      <c r="D432" s="15" t="s">
        <v>200</v>
      </c>
      <c r="E432" s="15">
        <v>196</v>
      </c>
      <c r="F432" s="15">
        <v>180</v>
      </c>
      <c r="G432" s="13">
        <v>44330</v>
      </c>
      <c r="H432" s="17">
        <v>1600</v>
      </c>
      <c r="I432" s="19">
        <v>537.66999999999985</v>
      </c>
      <c r="J432" s="20">
        <v>0.33604375000000003</v>
      </c>
      <c r="K432" s="19">
        <v>412.66999999999996</v>
      </c>
      <c r="L432" s="48">
        <v>0.25791874999999997</v>
      </c>
      <c r="M432" s="42">
        <v>0</v>
      </c>
      <c r="N432" s="22">
        <v>173</v>
      </c>
      <c r="O432" s="23">
        <v>320</v>
      </c>
      <c r="P432" s="24">
        <v>155</v>
      </c>
      <c r="Q432" s="25">
        <v>0.484375</v>
      </c>
      <c r="R432" s="24">
        <v>82.534000000000006</v>
      </c>
      <c r="S432" s="50">
        <v>0.25791875000000003</v>
      </c>
      <c r="T432" s="43">
        <v>0.53247999999999995</v>
      </c>
      <c r="U432" s="24">
        <v>0</v>
      </c>
      <c r="V432" s="19">
        <v>1920</v>
      </c>
      <c r="W432" s="19">
        <v>692.66999999999985</v>
      </c>
      <c r="X432" s="21">
        <v>0.36076562499999992</v>
      </c>
      <c r="Y432" s="19">
        <v>495.20399999999995</v>
      </c>
      <c r="Z432" s="20">
        <v>0.25791874999999997</v>
      </c>
      <c r="AA432" s="30">
        <v>6.9700000000000026E-2</v>
      </c>
      <c r="AB432" s="27">
        <v>0.05</v>
      </c>
      <c r="AC432" s="27">
        <v>7.0900000000000005E-2</v>
      </c>
      <c r="AD432" s="11">
        <v>6.6726540443022703E-2</v>
      </c>
    </row>
    <row r="433" spans="1:30" x14ac:dyDescent="0.25">
      <c r="A433" s="13">
        <v>44138</v>
      </c>
      <c r="B433" s="46" t="s">
        <v>636</v>
      </c>
      <c r="C433" s="13">
        <v>44138</v>
      </c>
      <c r="D433" s="15" t="s">
        <v>201</v>
      </c>
      <c r="E433" s="15">
        <v>34</v>
      </c>
      <c r="F433" s="15">
        <v>30</v>
      </c>
      <c r="G433" s="13">
        <v>44172</v>
      </c>
      <c r="H433" s="17">
        <v>1300</v>
      </c>
      <c r="I433" s="19">
        <v>2159.4499999999998</v>
      </c>
      <c r="J433" s="20">
        <v>1.6611153846153845</v>
      </c>
      <c r="K433" s="19">
        <v>1909.45</v>
      </c>
      <c r="L433" s="48">
        <v>1.4688076923076923</v>
      </c>
      <c r="M433" s="42">
        <v>0</v>
      </c>
      <c r="N433" s="22">
        <v>0</v>
      </c>
      <c r="O433" s="23">
        <v>260</v>
      </c>
      <c r="P433" s="24">
        <v>0.26</v>
      </c>
      <c r="Q433" s="25">
        <v>1E-3</v>
      </c>
      <c r="R433" s="24">
        <v>0.26</v>
      </c>
      <c r="S433" s="50">
        <v>1E-3</v>
      </c>
      <c r="T433" s="43">
        <v>0</v>
      </c>
      <c r="U433" s="24">
        <v>0</v>
      </c>
      <c r="V433" s="19">
        <v>1560</v>
      </c>
      <c r="W433" s="19">
        <v>2159.71</v>
      </c>
      <c r="X433" s="21">
        <v>1.3844294871794871</v>
      </c>
      <c r="Y433" s="19">
        <v>1909.71</v>
      </c>
      <c r="Z433" s="20">
        <v>1.224173076923077</v>
      </c>
      <c r="AA433" s="30">
        <v>5.0999999999999983E-2</v>
      </c>
      <c r="AB433" s="27">
        <v>3.9900000000000005E-2</v>
      </c>
      <c r="AC433" s="27">
        <v>5.3899999999999997E-2</v>
      </c>
      <c r="AD433" s="11">
        <v>4.9164933200583502E-2</v>
      </c>
    </row>
    <row r="434" spans="1:30" x14ac:dyDescent="0.25">
      <c r="A434" s="13">
        <v>44139</v>
      </c>
      <c r="B434" s="46" t="s">
        <v>636</v>
      </c>
      <c r="C434" s="13">
        <v>44139</v>
      </c>
      <c r="D434" s="15" t="s">
        <v>202</v>
      </c>
      <c r="E434" s="15">
        <v>91</v>
      </c>
      <c r="F434" s="15">
        <v>90</v>
      </c>
      <c r="G434" s="13">
        <v>44230</v>
      </c>
      <c r="H434" s="17">
        <v>800</v>
      </c>
      <c r="I434" s="19">
        <v>987.68</v>
      </c>
      <c r="J434" s="20">
        <v>1.2346000000000001</v>
      </c>
      <c r="K434" s="19">
        <v>436.28</v>
      </c>
      <c r="L434" s="48">
        <v>0.54535</v>
      </c>
      <c r="M434" s="42">
        <v>0</v>
      </c>
      <c r="N434" s="22">
        <v>0</v>
      </c>
      <c r="O434" s="23">
        <v>160</v>
      </c>
      <c r="P434" s="24">
        <v>0</v>
      </c>
      <c r="Q434" s="25">
        <v>0</v>
      </c>
      <c r="R434" s="24">
        <v>0</v>
      </c>
      <c r="S434" s="50">
        <v>0</v>
      </c>
      <c r="T434" s="43">
        <v>0</v>
      </c>
      <c r="U434" s="24">
        <v>0</v>
      </c>
      <c r="V434" s="19">
        <v>960</v>
      </c>
      <c r="W434" s="19">
        <v>987.68</v>
      </c>
      <c r="X434" s="21">
        <v>1.0288333333333333</v>
      </c>
      <c r="Y434" s="19">
        <v>436.28</v>
      </c>
      <c r="Z434" s="20">
        <v>0.4544583333333333</v>
      </c>
      <c r="AA434" s="30">
        <v>5.8300000000000012E-2</v>
      </c>
      <c r="AB434" s="27">
        <v>4.8600000000000004E-2</v>
      </c>
      <c r="AC434" s="27">
        <v>6.7299999999999999E-2</v>
      </c>
      <c r="AD434" s="11">
        <v>5.9973053013121669E-2</v>
      </c>
    </row>
    <row r="435" spans="1:30" x14ac:dyDescent="0.25">
      <c r="A435" s="13">
        <v>44140</v>
      </c>
      <c r="B435" s="46" t="s">
        <v>636</v>
      </c>
      <c r="C435" s="13">
        <v>44141</v>
      </c>
      <c r="D435" s="15" t="s">
        <v>203</v>
      </c>
      <c r="E435" s="15">
        <v>364</v>
      </c>
      <c r="F435" s="15">
        <v>360</v>
      </c>
      <c r="G435" s="13">
        <v>44505</v>
      </c>
      <c r="H435" s="17">
        <v>1700</v>
      </c>
      <c r="I435" s="19">
        <v>1440.43</v>
      </c>
      <c r="J435" s="20">
        <v>0.84731176470588243</v>
      </c>
      <c r="K435" s="19">
        <v>640.43000000000006</v>
      </c>
      <c r="L435" s="48">
        <v>0.37672352941176473</v>
      </c>
      <c r="M435" s="42">
        <v>0</v>
      </c>
      <c r="N435" s="22">
        <v>0</v>
      </c>
      <c r="O435" s="23">
        <v>340</v>
      </c>
      <c r="P435" s="24">
        <v>0</v>
      </c>
      <c r="Q435" s="25">
        <v>0</v>
      </c>
      <c r="R435" s="24">
        <v>0</v>
      </c>
      <c r="S435" s="50">
        <v>0</v>
      </c>
      <c r="T435" s="43">
        <v>0</v>
      </c>
      <c r="U435" s="24">
        <v>0</v>
      </c>
      <c r="V435" s="19">
        <v>2040</v>
      </c>
      <c r="W435" s="19">
        <v>1440.43</v>
      </c>
      <c r="X435" s="21">
        <v>0.70609313725490197</v>
      </c>
      <c r="Y435" s="19">
        <v>640.43000000000006</v>
      </c>
      <c r="Z435" s="20">
        <v>0.31393627450980394</v>
      </c>
      <c r="AA435" s="30">
        <v>7.6200000000000018E-2</v>
      </c>
      <c r="AB435" s="27">
        <v>6.5000000000000002E-2</v>
      </c>
      <c r="AC435" s="27">
        <v>8.2500000000000004E-2</v>
      </c>
      <c r="AD435" s="11">
        <v>7.7035645605826042E-2</v>
      </c>
    </row>
    <row r="436" spans="1:30" x14ac:dyDescent="0.25">
      <c r="A436" s="13">
        <v>44141</v>
      </c>
      <c r="B436" s="46" t="s">
        <v>636</v>
      </c>
      <c r="C436" s="13">
        <v>44141</v>
      </c>
      <c r="D436" s="15" t="s">
        <v>204</v>
      </c>
      <c r="E436" s="15">
        <v>189</v>
      </c>
      <c r="F436" s="15">
        <v>180</v>
      </c>
      <c r="G436" s="13">
        <v>44330</v>
      </c>
      <c r="H436" s="17">
        <v>1300</v>
      </c>
      <c r="I436" s="19">
        <v>1390.52</v>
      </c>
      <c r="J436" s="20">
        <v>1.0696307692307692</v>
      </c>
      <c r="K436" s="19">
        <v>990.52</v>
      </c>
      <c r="L436" s="48">
        <v>0.76193846153846156</v>
      </c>
      <c r="M436" s="42">
        <v>0</v>
      </c>
      <c r="N436" s="22">
        <v>95.78</v>
      </c>
      <c r="O436" s="23">
        <v>260</v>
      </c>
      <c r="P436" s="24">
        <v>170</v>
      </c>
      <c r="Q436" s="25">
        <v>0.65384615384615374</v>
      </c>
      <c r="R436" s="24">
        <v>170</v>
      </c>
      <c r="S436" s="50">
        <v>0.65384615384615385</v>
      </c>
      <c r="T436" s="43">
        <v>0</v>
      </c>
      <c r="U436" s="24">
        <v>0</v>
      </c>
      <c r="V436" s="19">
        <v>1560</v>
      </c>
      <c r="W436" s="19">
        <v>1560.52</v>
      </c>
      <c r="X436" s="21">
        <v>1.0003333333333333</v>
      </c>
      <c r="Y436" s="19">
        <v>1160.52</v>
      </c>
      <c r="Z436" s="20">
        <v>0.74392307692307691</v>
      </c>
      <c r="AA436" s="30">
        <v>7.0399999999999976E-2</v>
      </c>
      <c r="AB436" s="27">
        <v>5.7999999999999996E-2</v>
      </c>
      <c r="AC436" s="27">
        <v>7.3499999999999996E-2</v>
      </c>
      <c r="AD436" s="11">
        <v>6.8068021315766766E-2</v>
      </c>
    </row>
    <row r="437" spans="1:30" x14ac:dyDescent="0.25">
      <c r="A437" s="13">
        <v>44144</v>
      </c>
      <c r="B437" s="46" t="s">
        <v>636</v>
      </c>
      <c r="C437" s="13">
        <v>44144</v>
      </c>
      <c r="D437" s="15" t="s">
        <v>205</v>
      </c>
      <c r="E437" s="15">
        <v>28</v>
      </c>
      <c r="F437" s="15">
        <v>30</v>
      </c>
      <c r="G437" s="13">
        <v>44172</v>
      </c>
      <c r="H437" s="17">
        <v>1200</v>
      </c>
      <c r="I437" s="19">
        <v>3375.5899999999997</v>
      </c>
      <c r="J437" s="20">
        <v>2.812991666666667</v>
      </c>
      <c r="K437" s="19">
        <v>1946.47</v>
      </c>
      <c r="L437" s="48">
        <v>1.6220583333333334</v>
      </c>
      <c r="M437" s="42">
        <v>0</v>
      </c>
      <c r="N437" s="22">
        <v>0</v>
      </c>
      <c r="O437" s="23">
        <v>240</v>
      </c>
      <c r="P437" s="24">
        <v>30</v>
      </c>
      <c r="Q437" s="25">
        <v>0.125</v>
      </c>
      <c r="R437" s="24">
        <v>30</v>
      </c>
      <c r="S437" s="50">
        <v>0.125</v>
      </c>
      <c r="T437" s="43">
        <v>0</v>
      </c>
      <c r="U437" s="24">
        <v>0</v>
      </c>
      <c r="V437" s="19">
        <v>1440</v>
      </c>
      <c r="W437" s="19">
        <v>3405.5899999999997</v>
      </c>
      <c r="X437" s="21">
        <v>2.3649930555555554</v>
      </c>
      <c r="Y437" s="19">
        <v>1976.47</v>
      </c>
      <c r="Z437" s="20">
        <v>1.3725486111111111</v>
      </c>
      <c r="AA437" s="30">
        <v>4.8000000000000022E-2</v>
      </c>
      <c r="AB437" s="27">
        <v>3.9900000000000005E-2</v>
      </c>
      <c r="AC437" s="27">
        <v>5.2400000000000002E-2</v>
      </c>
      <c r="AD437" s="11">
        <v>4.711328538122226E-2</v>
      </c>
    </row>
    <row r="438" spans="1:30" x14ac:dyDescent="0.25">
      <c r="A438" s="13">
        <v>44146</v>
      </c>
      <c r="B438" s="46" t="s">
        <v>636</v>
      </c>
      <c r="C438" s="13">
        <v>44146</v>
      </c>
      <c r="D438" s="15" t="s">
        <v>206</v>
      </c>
      <c r="E438" s="15">
        <v>84</v>
      </c>
      <c r="F438" s="15">
        <v>90</v>
      </c>
      <c r="G438" s="13">
        <v>44230</v>
      </c>
      <c r="H438" s="17">
        <v>400</v>
      </c>
      <c r="I438" s="19">
        <v>1378.73</v>
      </c>
      <c r="J438" s="20">
        <v>3.4468249999999996</v>
      </c>
      <c r="K438" s="19">
        <v>463.96</v>
      </c>
      <c r="L438" s="48">
        <v>1.1598999999999999</v>
      </c>
      <c r="M438" s="42">
        <v>0</v>
      </c>
      <c r="N438" s="22">
        <v>0</v>
      </c>
      <c r="O438" s="23">
        <v>80</v>
      </c>
      <c r="P438" s="24">
        <v>80</v>
      </c>
      <c r="Q438" s="25">
        <v>1</v>
      </c>
      <c r="R438" s="24">
        <v>80</v>
      </c>
      <c r="S438" s="50">
        <v>1</v>
      </c>
      <c r="T438" s="43">
        <v>0</v>
      </c>
      <c r="U438" s="24">
        <v>0</v>
      </c>
      <c r="V438" s="19">
        <v>480</v>
      </c>
      <c r="W438" s="19">
        <v>1458.73</v>
      </c>
      <c r="X438" s="21">
        <v>3.0390208333333333</v>
      </c>
      <c r="Y438" s="19">
        <v>543.96</v>
      </c>
      <c r="Z438" s="20">
        <v>1.1332500000000001</v>
      </c>
      <c r="AA438" s="30">
        <v>5.4799999999999981E-2</v>
      </c>
      <c r="AB438" s="27">
        <v>4.7500000000000001E-2</v>
      </c>
      <c r="AC438" s="27">
        <v>0.06</v>
      </c>
      <c r="AD438" s="11">
        <v>5.6016914841919736E-2</v>
      </c>
    </row>
    <row r="439" spans="1:30" x14ac:dyDescent="0.25">
      <c r="A439" s="13">
        <v>44148</v>
      </c>
      <c r="B439" s="46" t="s">
        <v>636</v>
      </c>
      <c r="C439" s="13">
        <v>44148</v>
      </c>
      <c r="D439" s="15" t="s">
        <v>207</v>
      </c>
      <c r="E439" s="15">
        <v>182</v>
      </c>
      <c r="F439" s="15">
        <v>180</v>
      </c>
      <c r="G439" s="13">
        <v>44330</v>
      </c>
      <c r="H439" s="17">
        <v>3000</v>
      </c>
      <c r="I439" s="19">
        <v>4617.63</v>
      </c>
      <c r="J439" s="20">
        <v>1.5392100000000006</v>
      </c>
      <c r="K439" s="19">
        <v>4017.6299999999997</v>
      </c>
      <c r="L439" s="48">
        <v>1.3392099999999998</v>
      </c>
      <c r="M439" s="42">
        <v>0</v>
      </c>
      <c r="N439" s="22">
        <v>1007</v>
      </c>
      <c r="O439" s="23">
        <v>600</v>
      </c>
      <c r="P439" s="24">
        <v>510</v>
      </c>
      <c r="Q439" s="25">
        <v>0.85</v>
      </c>
      <c r="R439" s="24">
        <v>510</v>
      </c>
      <c r="S439" s="50">
        <v>0.85</v>
      </c>
      <c r="T439" s="43">
        <v>0</v>
      </c>
      <c r="U439" s="24">
        <v>200</v>
      </c>
      <c r="V439" s="19">
        <v>3600</v>
      </c>
      <c r="W439" s="19">
        <v>5127.63</v>
      </c>
      <c r="X439" s="21">
        <v>1.4243416666666666</v>
      </c>
      <c r="Y439" s="19">
        <v>4527.6299999999992</v>
      </c>
      <c r="Z439" s="20">
        <v>1.2576749999999999</v>
      </c>
      <c r="AA439" s="30">
        <v>6.9199999999999956E-2</v>
      </c>
      <c r="AB439" s="27">
        <v>0.06</v>
      </c>
      <c r="AC439" s="27">
        <v>7.2300000000000003E-2</v>
      </c>
      <c r="AD439" s="11">
        <v>6.6391375012722978E-2</v>
      </c>
    </row>
    <row r="440" spans="1:30" x14ac:dyDescent="0.25">
      <c r="A440" s="13">
        <v>44151</v>
      </c>
      <c r="B440" s="46" t="s">
        <v>636</v>
      </c>
      <c r="C440" s="13">
        <v>44151</v>
      </c>
      <c r="D440" s="15" t="s">
        <v>208</v>
      </c>
      <c r="E440" s="15">
        <v>28</v>
      </c>
      <c r="F440" s="15">
        <v>30</v>
      </c>
      <c r="G440" s="13">
        <v>44179</v>
      </c>
      <c r="H440" s="17">
        <v>2100</v>
      </c>
      <c r="I440" s="19">
        <v>3013.13</v>
      </c>
      <c r="J440" s="20">
        <v>1.4348238095238093</v>
      </c>
      <c r="K440" s="19">
        <v>2263.1299999999997</v>
      </c>
      <c r="L440" s="48">
        <v>1.0776809523809523</v>
      </c>
      <c r="M440" s="42">
        <v>0</v>
      </c>
      <c r="N440" s="22">
        <v>0</v>
      </c>
      <c r="O440" s="23">
        <v>420</v>
      </c>
      <c r="P440" s="24">
        <v>497</v>
      </c>
      <c r="Q440" s="25">
        <v>1.1833333333333333</v>
      </c>
      <c r="R440" s="24">
        <v>420</v>
      </c>
      <c r="S440" s="50">
        <v>1</v>
      </c>
      <c r="T440" s="43">
        <v>0.84507055702917777</v>
      </c>
      <c r="U440" s="24">
        <v>0</v>
      </c>
      <c r="V440" s="19">
        <v>2520</v>
      </c>
      <c r="W440" s="19">
        <v>3510.13</v>
      </c>
      <c r="X440" s="21">
        <v>1.3929087301587302</v>
      </c>
      <c r="Y440" s="19">
        <v>2683.1299999999997</v>
      </c>
      <c r="Z440" s="20">
        <v>1.0647341269841268</v>
      </c>
      <c r="AA440" s="30">
        <v>4.780000000000003E-2</v>
      </c>
      <c r="AB440" s="27">
        <v>3.9900000000000005E-2</v>
      </c>
      <c r="AC440" s="27">
        <v>5.2300000000000006E-2</v>
      </c>
      <c r="AD440" s="11">
        <v>4.5027433267067797E-2</v>
      </c>
    </row>
    <row r="441" spans="1:30" x14ac:dyDescent="0.25">
      <c r="A441" s="13">
        <v>44153</v>
      </c>
      <c r="B441" s="46" t="s">
        <v>636</v>
      </c>
      <c r="C441" s="13">
        <v>44153</v>
      </c>
      <c r="D441" s="15" t="s">
        <v>209</v>
      </c>
      <c r="E441" s="15">
        <v>77</v>
      </c>
      <c r="F441" s="15">
        <v>90</v>
      </c>
      <c r="G441" s="13">
        <v>44230</v>
      </c>
      <c r="H441" s="17">
        <v>2100</v>
      </c>
      <c r="I441" s="19">
        <v>1589.1499999999999</v>
      </c>
      <c r="J441" s="20">
        <v>0.7567380952380951</v>
      </c>
      <c r="K441" s="19">
        <v>1291.45</v>
      </c>
      <c r="L441" s="48">
        <v>0.61497619047619045</v>
      </c>
      <c r="M441" s="42">
        <v>0</v>
      </c>
      <c r="N441" s="22">
        <v>0</v>
      </c>
      <c r="O441" s="23">
        <v>420</v>
      </c>
      <c r="P441" s="24">
        <v>101.03999999999999</v>
      </c>
      <c r="Q441" s="25">
        <v>0.24057142857142857</v>
      </c>
      <c r="R441" s="24">
        <v>101.03999999999999</v>
      </c>
      <c r="S441" s="50">
        <v>0.24057142857142855</v>
      </c>
      <c r="T441" s="43">
        <v>0</v>
      </c>
      <c r="U441" s="24">
        <v>0</v>
      </c>
      <c r="V441" s="19">
        <v>2520</v>
      </c>
      <c r="W441" s="19">
        <v>1690.1899999999998</v>
      </c>
      <c r="X441" s="21">
        <v>0.6707103174603174</v>
      </c>
      <c r="Y441" s="19">
        <v>1392.49</v>
      </c>
      <c r="Z441" s="20">
        <v>0.5525753968253968</v>
      </c>
      <c r="AA441" s="30">
        <v>5.2999999999999992E-2</v>
      </c>
      <c r="AB441" s="27">
        <v>0.04</v>
      </c>
      <c r="AC441" s="27">
        <v>0.06</v>
      </c>
      <c r="AD441" s="11">
        <v>4.9293310889469213E-2</v>
      </c>
    </row>
    <row r="442" spans="1:30" x14ac:dyDescent="0.25">
      <c r="A442" s="13">
        <v>44154</v>
      </c>
      <c r="B442" s="46" t="s">
        <v>636</v>
      </c>
      <c r="C442" s="13">
        <v>44155</v>
      </c>
      <c r="D442" s="15" t="s">
        <v>210</v>
      </c>
      <c r="E442" s="15">
        <v>350</v>
      </c>
      <c r="F442" s="15">
        <v>360</v>
      </c>
      <c r="G442" s="13">
        <v>44505</v>
      </c>
      <c r="H442" s="17">
        <v>4200</v>
      </c>
      <c r="I442" s="19">
        <v>4458.16</v>
      </c>
      <c r="J442" s="20">
        <v>1.0614666666666668</v>
      </c>
      <c r="K442" s="19">
        <v>4258.16</v>
      </c>
      <c r="L442" s="48">
        <v>1.0138476190476191</v>
      </c>
      <c r="M442" s="42">
        <v>0</v>
      </c>
      <c r="N442" s="22">
        <v>200</v>
      </c>
      <c r="O442" s="23">
        <v>840</v>
      </c>
      <c r="P442" s="24">
        <v>600</v>
      </c>
      <c r="Q442" s="25">
        <v>0.7142857142857143</v>
      </c>
      <c r="R442" s="24">
        <v>600</v>
      </c>
      <c r="S442" s="50">
        <v>0.7142857142857143</v>
      </c>
      <c r="T442" s="43">
        <v>0</v>
      </c>
      <c r="U442" s="24">
        <v>600</v>
      </c>
      <c r="V442" s="19">
        <v>5040</v>
      </c>
      <c r="W442" s="19">
        <v>5058.16</v>
      </c>
      <c r="X442" s="21">
        <v>1.0036031746031746</v>
      </c>
      <c r="Y442" s="19">
        <v>4858.16</v>
      </c>
      <c r="Z442" s="20">
        <v>0.96392063492063484</v>
      </c>
      <c r="AA442" s="30">
        <v>7.640000000000001E-2</v>
      </c>
      <c r="AB442" s="27">
        <v>0.06</v>
      </c>
      <c r="AC442" s="27">
        <v>7.9899999999999999E-2</v>
      </c>
      <c r="AD442" s="11">
        <v>7.4220568799684139E-2</v>
      </c>
    </row>
    <row r="443" spans="1:30" x14ac:dyDescent="0.25">
      <c r="A443" s="13">
        <v>44158</v>
      </c>
      <c r="B443" s="46" t="s">
        <v>636</v>
      </c>
      <c r="C443" s="13">
        <v>44158</v>
      </c>
      <c r="D443" s="15" t="s">
        <v>211</v>
      </c>
      <c r="E443" s="15">
        <v>28</v>
      </c>
      <c r="F443" s="15">
        <v>30</v>
      </c>
      <c r="G443" s="13">
        <v>44186</v>
      </c>
      <c r="H443" s="17">
        <v>3400</v>
      </c>
      <c r="I443" s="19">
        <v>2021.1399999999999</v>
      </c>
      <c r="J443" s="20">
        <v>0.59445294117647052</v>
      </c>
      <c r="K443" s="19">
        <v>1124.17</v>
      </c>
      <c r="L443" s="48">
        <v>0.33063823529411768</v>
      </c>
      <c r="M443" s="42">
        <v>0</v>
      </c>
      <c r="N443" s="22">
        <v>0</v>
      </c>
      <c r="O443" s="23">
        <v>680</v>
      </c>
      <c r="P443" s="24">
        <v>433.3</v>
      </c>
      <c r="Q443" s="25">
        <v>0.63720588235294118</v>
      </c>
      <c r="R443" s="24">
        <v>224.834</v>
      </c>
      <c r="S443" s="50">
        <v>0.33063823529411768</v>
      </c>
      <c r="T443" s="43">
        <v>0.51888833333333328</v>
      </c>
      <c r="U443" s="24">
        <v>0</v>
      </c>
      <c r="V443" s="19">
        <v>4080</v>
      </c>
      <c r="W443" s="19">
        <v>2454.44</v>
      </c>
      <c r="X443" s="21">
        <v>0.60157843137254907</v>
      </c>
      <c r="Y443" s="19">
        <v>1349.0040000000001</v>
      </c>
      <c r="Z443" s="20">
        <v>0.33063823529411768</v>
      </c>
      <c r="AA443" s="30">
        <v>4.6000000000000006E-2</v>
      </c>
      <c r="AB443" s="27">
        <v>3.5000000000000003E-2</v>
      </c>
      <c r="AC443" s="27">
        <v>5.4000000000000006E-2</v>
      </c>
      <c r="AD443" s="11">
        <v>4.5995230414518549E-2</v>
      </c>
    </row>
    <row r="444" spans="1:30" x14ac:dyDescent="0.25">
      <c r="A444" s="13">
        <v>44160</v>
      </c>
      <c r="B444" s="46" t="s">
        <v>636</v>
      </c>
      <c r="C444" s="13">
        <v>44160</v>
      </c>
      <c r="D444" s="15" t="s">
        <v>212</v>
      </c>
      <c r="E444" s="15">
        <v>98</v>
      </c>
      <c r="F444" s="15">
        <v>90</v>
      </c>
      <c r="G444" s="13">
        <v>44258</v>
      </c>
      <c r="H444" s="17">
        <v>2500</v>
      </c>
      <c r="I444" s="19">
        <v>510.67999999999995</v>
      </c>
      <c r="J444" s="20">
        <v>0.20427200000000001</v>
      </c>
      <c r="K444" s="19">
        <v>410.67999999999995</v>
      </c>
      <c r="L444" s="48">
        <v>0.16427199999999997</v>
      </c>
      <c r="M444" s="42">
        <v>0</v>
      </c>
      <c r="N444" s="22">
        <v>0</v>
      </c>
      <c r="O444" s="23">
        <v>500</v>
      </c>
      <c r="P444" s="24">
        <v>134</v>
      </c>
      <c r="Q444" s="25">
        <v>0.26800000000000002</v>
      </c>
      <c r="R444" s="24">
        <v>82.135999999999996</v>
      </c>
      <c r="S444" s="50">
        <v>0.164272</v>
      </c>
      <c r="T444" s="43">
        <v>0.61295666666666671</v>
      </c>
      <c r="U444" s="24">
        <v>0</v>
      </c>
      <c r="V444" s="19">
        <v>3000</v>
      </c>
      <c r="W444" s="19">
        <v>644.67999999999995</v>
      </c>
      <c r="X444" s="21">
        <v>0.21489333333333333</v>
      </c>
      <c r="Y444" s="19">
        <v>492.81599999999992</v>
      </c>
      <c r="Z444" s="20">
        <v>0.16427199999999997</v>
      </c>
      <c r="AA444" s="30">
        <v>5.4800000000000001E-2</v>
      </c>
      <c r="AB444" s="27">
        <v>4.2999999999999997E-2</v>
      </c>
      <c r="AC444" s="27">
        <v>5.74E-2</v>
      </c>
      <c r="AD444" s="11">
        <v>5.1772293804339321E-2</v>
      </c>
    </row>
    <row r="445" spans="1:30" x14ac:dyDescent="0.25">
      <c r="A445" s="13">
        <v>44162</v>
      </c>
      <c r="B445" s="46" t="s">
        <v>636</v>
      </c>
      <c r="C445" s="13">
        <v>44162</v>
      </c>
      <c r="D445" s="15" t="s">
        <v>213</v>
      </c>
      <c r="E445" s="15">
        <v>196</v>
      </c>
      <c r="F445" s="15">
        <v>180</v>
      </c>
      <c r="G445" s="13">
        <v>44358</v>
      </c>
      <c r="H445" s="17">
        <v>5800</v>
      </c>
      <c r="I445" s="19">
        <v>2984.9800000000005</v>
      </c>
      <c r="J445" s="20">
        <v>0.51465172413793114</v>
      </c>
      <c r="K445" s="19">
        <v>1674.9799999999998</v>
      </c>
      <c r="L445" s="48">
        <v>0.28878965517241378</v>
      </c>
      <c r="M445" s="42">
        <v>0</v>
      </c>
      <c r="N445" s="22">
        <v>374.8</v>
      </c>
      <c r="O445" s="23">
        <v>1160</v>
      </c>
      <c r="P445" s="24">
        <v>127</v>
      </c>
      <c r="Q445" s="25">
        <v>0.10948275862068965</v>
      </c>
      <c r="R445" s="24">
        <v>127</v>
      </c>
      <c r="S445" s="50">
        <v>0.10948275862068965</v>
      </c>
      <c r="T445" s="43">
        <v>0</v>
      </c>
      <c r="U445" s="24">
        <v>0</v>
      </c>
      <c r="V445" s="19">
        <v>6960</v>
      </c>
      <c r="W445" s="19">
        <v>3111.9800000000005</v>
      </c>
      <c r="X445" s="21">
        <v>0.44712356321839086</v>
      </c>
      <c r="Y445" s="19">
        <v>1801.9799999999998</v>
      </c>
      <c r="Z445" s="20">
        <v>0.25890517241379307</v>
      </c>
      <c r="AA445" s="30">
        <v>6.8499999999999922E-2</v>
      </c>
      <c r="AB445" s="27">
        <v>0.05</v>
      </c>
      <c r="AC445" s="27">
        <v>7.22E-2</v>
      </c>
      <c r="AD445" s="11">
        <v>6.6324212557538051E-2</v>
      </c>
    </row>
    <row r="446" spans="1:30" x14ac:dyDescent="0.25">
      <c r="A446" s="13">
        <v>44165</v>
      </c>
      <c r="B446" s="46" t="s">
        <v>636</v>
      </c>
      <c r="C446" s="13">
        <v>44165</v>
      </c>
      <c r="D446" s="15" t="s">
        <v>214</v>
      </c>
      <c r="E446" s="15">
        <v>28</v>
      </c>
      <c r="F446" s="15">
        <v>30</v>
      </c>
      <c r="G446" s="13">
        <v>44193</v>
      </c>
      <c r="H446" s="17">
        <v>1800</v>
      </c>
      <c r="I446" s="19">
        <v>2025.5</v>
      </c>
      <c r="J446" s="20">
        <v>1.1252777777777778</v>
      </c>
      <c r="K446" s="19">
        <v>1725.5</v>
      </c>
      <c r="L446" s="48">
        <v>0.95861111111111108</v>
      </c>
      <c r="M446" s="42">
        <v>0</v>
      </c>
      <c r="N446" s="22">
        <v>0</v>
      </c>
      <c r="O446" s="23">
        <v>360</v>
      </c>
      <c r="P446" s="24">
        <v>360.55</v>
      </c>
      <c r="Q446" s="25">
        <v>1.0015277777777778</v>
      </c>
      <c r="R446" s="24">
        <v>345.1</v>
      </c>
      <c r="S446" s="50">
        <v>0.95861111111111119</v>
      </c>
      <c r="T446" s="43">
        <v>0.95714888888888894</v>
      </c>
      <c r="U446" s="24">
        <v>0</v>
      </c>
      <c r="V446" s="19">
        <v>2160</v>
      </c>
      <c r="W446" s="19">
        <v>2386.0500000000002</v>
      </c>
      <c r="X446" s="21">
        <v>1.1046527777777779</v>
      </c>
      <c r="Y446" s="19">
        <v>2070.6</v>
      </c>
      <c r="Z446" s="20">
        <v>0.95861111111111108</v>
      </c>
      <c r="AA446" s="30">
        <v>4.6799999999999974E-2</v>
      </c>
      <c r="AB446" s="27">
        <v>3.6000000000000004E-2</v>
      </c>
      <c r="AC446" s="27">
        <v>5.0300000000000004E-2</v>
      </c>
      <c r="AD446" s="11">
        <v>4.4435492470994827E-2</v>
      </c>
    </row>
    <row r="447" spans="1:30" x14ac:dyDescent="0.25">
      <c r="A447" s="13">
        <v>44167</v>
      </c>
      <c r="B447" s="46" t="s">
        <v>636</v>
      </c>
      <c r="C447" s="13">
        <v>44167</v>
      </c>
      <c r="D447" s="15" t="s">
        <v>215</v>
      </c>
      <c r="E447" s="15">
        <v>91</v>
      </c>
      <c r="F447" s="15">
        <v>90</v>
      </c>
      <c r="G447" s="13">
        <v>44258</v>
      </c>
      <c r="H447" s="17">
        <v>800</v>
      </c>
      <c r="I447" s="19">
        <v>1418.25</v>
      </c>
      <c r="J447" s="20">
        <v>1.7728124999999997</v>
      </c>
      <c r="K447" s="19">
        <v>1168.25</v>
      </c>
      <c r="L447" s="48">
        <v>1.4603124999999999</v>
      </c>
      <c r="M447" s="42">
        <v>0</v>
      </c>
      <c r="N447" s="22">
        <v>0</v>
      </c>
      <c r="O447" s="23">
        <v>160</v>
      </c>
      <c r="P447" s="24">
        <v>65</v>
      </c>
      <c r="Q447" s="25">
        <v>0.40625</v>
      </c>
      <c r="R447" s="24">
        <v>65</v>
      </c>
      <c r="S447" s="50">
        <v>0.40625</v>
      </c>
      <c r="T447" s="43">
        <v>0</v>
      </c>
      <c r="U447" s="24">
        <v>0</v>
      </c>
      <c r="V447" s="19">
        <v>960</v>
      </c>
      <c r="W447" s="19">
        <v>1483.25</v>
      </c>
      <c r="X447" s="21">
        <v>1.5450520833333334</v>
      </c>
      <c r="Y447" s="19">
        <v>1233.25</v>
      </c>
      <c r="Z447" s="20">
        <v>1.2846354166666667</v>
      </c>
      <c r="AA447" s="30">
        <v>5.5E-2</v>
      </c>
      <c r="AB447" s="27">
        <v>0.04</v>
      </c>
      <c r="AC447" s="27">
        <v>6.4000000000000001E-2</v>
      </c>
      <c r="AD447" s="11">
        <v>5.4535794112462538E-2</v>
      </c>
    </row>
    <row r="448" spans="1:30" x14ac:dyDescent="0.25">
      <c r="A448" s="13">
        <v>44168</v>
      </c>
      <c r="B448" s="46" t="s">
        <v>636</v>
      </c>
      <c r="C448" s="13">
        <v>44169</v>
      </c>
      <c r="D448" s="15" t="s">
        <v>216</v>
      </c>
      <c r="E448" s="15">
        <v>364</v>
      </c>
      <c r="F448" s="15">
        <v>360</v>
      </c>
      <c r="G448" s="13">
        <v>44533</v>
      </c>
      <c r="H448" s="17">
        <v>4500</v>
      </c>
      <c r="I448" s="19">
        <v>6807.21</v>
      </c>
      <c r="J448" s="20">
        <v>1.5127133333333329</v>
      </c>
      <c r="K448" s="19">
        <v>5517.21</v>
      </c>
      <c r="L448" s="48">
        <v>1.2260466666666667</v>
      </c>
      <c r="M448" s="42">
        <v>0</v>
      </c>
      <c r="N448" s="22">
        <v>916</v>
      </c>
      <c r="O448" s="23">
        <v>900</v>
      </c>
      <c r="P448" s="24">
        <v>280</v>
      </c>
      <c r="Q448" s="25">
        <v>0.31111111111111112</v>
      </c>
      <c r="R448" s="24">
        <v>280</v>
      </c>
      <c r="S448" s="50">
        <v>0.31111111111111112</v>
      </c>
      <c r="T448" s="43">
        <v>0</v>
      </c>
      <c r="U448" s="24">
        <v>80</v>
      </c>
      <c r="V448" s="19">
        <v>5400</v>
      </c>
      <c r="W448" s="19">
        <v>7087.21</v>
      </c>
      <c r="X448" s="21">
        <v>1.3124462962962964</v>
      </c>
      <c r="Y448" s="19">
        <v>5797.21</v>
      </c>
      <c r="Z448" s="20">
        <v>1.0735574074074075</v>
      </c>
      <c r="AA448" s="30">
        <v>7.5899999999999954E-2</v>
      </c>
      <c r="AB448" s="27">
        <v>6.5000000000000002E-2</v>
      </c>
      <c r="AC448" s="27">
        <v>7.7899999999999997E-2</v>
      </c>
      <c r="AD448" s="11">
        <v>7.4703037514635209E-2</v>
      </c>
    </row>
    <row r="449" spans="1:30" x14ac:dyDescent="0.25">
      <c r="A449" s="13">
        <v>44172</v>
      </c>
      <c r="B449" s="46" t="s">
        <v>636</v>
      </c>
      <c r="C449" s="13">
        <v>44172</v>
      </c>
      <c r="D449" s="15" t="s">
        <v>217</v>
      </c>
      <c r="E449" s="15">
        <v>28</v>
      </c>
      <c r="F449" s="15">
        <v>30</v>
      </c>
      <c r="G449" s="13">
        <v>44200</v>
      </c>
      <c r="H449" s="17">
        <v>2000</v>
      </c>
      <c r="I449" s="19">
        <v>2769.67</v>
      </c>
      <c r="J449" s="20">
        <v>1.384835</v>
      </c>
      <c r="K449" s="19">
        <v>2024.67</v>
      </c>
      <c r="L449" s="48">
        <v>1.012335</v>
      </c>
      <c r="M449" s="42">
        <v>0</v>
      </c>
      <c r="N449" s="22">
        <v>0</v>
      </c>
      <c r="O449" s="23">
        <v>400</v>
      </c>
      <c r="P449" s="24">
        <v>0</v>
      </c>
      <c r="Q449" s="25">
        <v>0</v>
      </c>
      <c r="R449" s="24">
        <v>0</v>
      </c>
      <c r="S449" s="50">
        <v>0</v>
      </c>
      <c r="T449" s="43">
        <v>0</v>
      </c>
      <c r="U449" s="24">
        <v>0</v>
      </c>
      <c r="V449" s="19">
        <v>2400</v>
      </c>
      <c r="W449" s="19">
        <v>2769.67</v>
      </c>
      <c r="X449" s="21">
        <v>1.1540291666666667</v>
      </c>
      <c r="Y449" s="19">
        <v>2024.67</v>
      </c>
      <c r="Z449" s="20">
        <v>0.84361249999999999</v>
      </c>
      <c r="AA449" s="30">
        <v>4.6899999999999983E-2</v>
      </c>
      <c r="AB449" s="27">
        <v>0.03</v>
      </c>
      <c r="AC449" s="27">
        <v>5.2300000000000006E-2</v>
      </c>
      <c r="AD449" s="11">
        <v>4.5847386150696653E-2</v>
      </c>
    </row>
    <row r="450" spans="1:30" x14ac:dyDescent="0.25">
      <c r="A450" s="13">
        <v>44174</v>
      </c>
      <c r="B450" s="46" t="s">
        <v>636</v>
      </c>
      <c r="C450" s="13">
        <v>44174</v>
      </c>
      <c r="D450" s="15" t="s">
        <v>218</v>
      </c>
      <c r="E450" s="15">
        <v>84</v>
      </c>
      <c r="F450" s="15">
        <v>90</v>
      </c>
      <c r="G450" s="13">
        <v>44258</v>
      </c>
      <c r="H450" s="17">
        <v>1300</v>
      </c>
      <c r="I450" s="19">
        <v>1288.6099999999999</v>
      </c>
      <c r="J450" s="20">
        <v>0.99123846153846151</v>
      </c>
      <c r="K450" s="19">
        <v>313.61</v>
      </c>
      <c r="L450" s="48">
        <v>0.24123846153846154</v>
      </c>
      <c r="M450" s="42">
        <v>0</v>
      </c>
      <c r="N450" s="22">
        <v>0</v>
      </c>
      <c r="O450" s="23">
        <v>260</v>
      </c>
      <c r="P450" s="24">
        <v>0</v>
      </c>
      <c r="Q450" s="25">
        <v>0</v>
      </c>
      <c r="R450" s="24">
        <v>0</v>
      </c>
      <c r="S450" s="50">
        <v>0</v>
      </c>
      <c r="T450" s="43">
        <v>0</v>
      </c>
      <c r="U450" s="24">
        <v>0</v>
      </c>
      <c r="V450" s="19">
        <v>1560</v>
      </c>
      <c r="W450" s="19">
        <v>1288.6099999999999</v>
      </c>
      <c r="X450" s="21">
        <v>0.82603205128205126</v>
      </c>
      <c r="Y450" s="19">
        <v>313.61</v>
      </c>
      <c r="Z450" s="20">
        <v>0.20103205128205129</v>
      </c>
      <c r="AA450" s="30">
        <v>5.4200000000000012E-2</v>
      </c>
      <c r="AB450" s="27">
        <v>4.4999999999999998E-2</v>
      </c>
      <c r="AC450" s="27">
        <v>6.25E-2</v>
      </c>
      <c r="AD450" s="11">
        <v>5.6961997811595451E-2</v>
      </c>
    </row>
    <row r="451" spans="1:30" x14ac:dyDescent="0.25">
      <c r="A451" s="13">
        <v>44176</v>
      </c>
      <c r="B451" s="46" t="s">
        <v>636</v>
      </c>
      <c r="C451" s="13">
        <v>44176</v>
      </c>
      <c r="D451" s="15" t="s">
        <v>219</v>
      </c>
      <c r="E451" s="15">
        <v>182</v>
      </c>
      <c r="F451" s="15">
        <v>180</v>
      </c>
      <c r="G451" s="13">
        <v>44358</v>
      </c>
      <c r="H451" s="17">
        <v>3800</v>
      </c>
      <c r="I451" s="19">
        <v>3493.8199999999997</v>
      </c>
      <c r="J451" s="20">
        <v>0.91942631578947331</v>
      </c>
      <c r="K451" s="19">
        <v>1913.82</v>
      </c>
      <c r="L451" s="48">
        <v>0.50363684210526316</v>
      </c>
      <c r="M451" s="42">
        <v>0</v>
      </c>
      <c r="N451" s="22">
        <v>565.15</v>
      </c>
      <c r="O451" s="23">
        <v>760</v>
      </c>
      <c r="P451" s="24">
        <v>380</v>
      </c>
      <c r="Q451" s="25">
        <v>0.5</v>
      </c>
      <c r="R451" s="24">
        <v>380</v>
      </c>
      <c r="S451" s="50">
        <v>0.5</v>
      </c>
      <c r="T451" s="43">
        <v>0</v>
      </c>
      <c r="U451" s="24">
        <v>0</v>
      </c>
      <c r="V451" s="19">
        <v>4560</v>
      </c>
      <c r="W451" s="19">
        <v>3873.8199999999997</v>
      </c>
      <c r="X451" s="21">
        <v>0.84952192982456132</v>
      </c>
      <c r="Y451" s="19">
        <v>2293.8199999999997</v>
      </c>
      <c r="Z451" s="20">
        <v>0.50303070175438591</v>
      </c>
      <c r="AA451" s="30">
        <v>6.5999999999999975E-2</v>
      </c>
      <c r="AB451" s="27">
        <v>0.05</v>
      </c>
      <c r="AC451" s="27">
        <v>7.0300000000000001E-2</v>
      </c>
      <c r="AD451" s="11">
        <v>6.5326881464986733E-2</v>
      </c>
    </row>
    <row r="452" spans="1:30" x14ac:dyDescent="0.25">
      <c r="A452" s="13">
        <v>44179</v>
      </c>
      <c r="B452" s="46" t="s">
        <v>636</v>
      </c>
      <c r="C452" s="13">
        <v>44179</v>
      </c>
      <c r="D452" s="15" t="s">
        <v>220</v>
      </c>
      <c r="E452" s="15">
        <v>30</v>
      </c>
      <c r="F452" s="15">
        <v>30</v>
      </c>
      <c r="G452" s="13">
        <v>44209</v>
      </c>
      <c r="H452" s="17">
        <v>3400</v>
      </c>
      <c r="I452" s="19">
        <v>2466.37</v>
      </c>
      <c r="J452" s="20">
        <v>0.72540294117647064</v>
      </c>
      <c r="K452" s="19">
        <v>1566.37</v>
      </c>
      <c r="L452" s="48">
        <v>0.4606970588235294</v>
      </c>
      <c r="M452" s="42">
        <v>0</v>
      </c>
      <c r="N452" s="22">
        <v>0</v>
      </c>
      <c r="O452" s="23">
        <v>680</v>
      </c>
      <c r="P452" s="24">
        <v>115.75</v>
      </c>
      <c r="Q452" s="25">
        <v>0.17022058823529412</v>
      </c>
      <c r="R452" s="24">
        <v>115.75</v>
      </c>
      <c r="S452" s="50">
        <v>0.17022058823529412</v>
      </c>
      <c r="T452" s="43">
        <v>0</v>
      </c>
      <c r="U452" s="24">
        <v>0</v>
      </c>
      <c r="V452" s="19">
        <v>4080</v>
      </c>
      <c r="W452" s="19">
        <v>2582.12</v>
      </c>
      <c r="X452" s="21">
        <v>0.63287254901960777</v>
      </c>
      <c r="Y452" s="19">
        <v>1682.12</v>
      </c>
      <c r="Z452" s="20">
        <v>0.41228431372549018</v>
      </c>
      <c r="AA452" s="30">
        <v>4.600000000000002E-2</v>
      </c>
      <c r="AB452" s="27">
        <v>3.6900000000000002E-2</v>
      </c>
      <c r="AC452" s="27">
        <v>5.5E-2</v>
      </c>
      <c r="AD452" s="11">
        <v>4.7009739009151098E-2</v>
      </c>
    </row>
    <row r="453" spans="1:30" x14ac:dyDescent="0.25">
      <c r="A453" s="13">
        <v>44181</v>
      </c>
      <c r="B453" s="46" t="s">
        <v>636</v>
      </c>
      <c r="C453" s="13">
        <v>44181</v>
      </c>
      <c r="D453" s="15" t="s">
        <v>221</v>
      </c>
      <c r="E453" s="15">
        <v>77</v>
      </c>
      <c r="F453" s="15">
        <v>90</v>
      </c>
      <c r="G453" s="13">
        <v>44258</v>
      </c>
      <c r="H453" s="17">
        <v>2000</v>
      </c>
      <c r="I453" s="19">
        <v>1125.75</v>
      </c>
      <c r="J453" s="20">
        <v>0.5628749999999999</v>
      </c>
      <c r="K453" s="19">
        <v>825.75</v>
      </c>
      <c r="L453" s="48">
        <v>0.41287499999999999</v>
      </c>
      <c r="M453" s="42">
        <v>0</v>
      </c>
      <c r="N453" s="22">
        <v>0</v>
      </c>
      <c r="O453" s="23">
        <v>400</v>
      </c>
      <c r="P453" s="24">
        <v>200</v>
      </c>
      <c r="Q453" s="25">
        <v>0.5</v>
      </c>
      <c r="R453" s="24">
        <v>165.15</v>
      </c>
      <c r="S453" s="50">
        <v>0.41287499999999999</v>
      </c>
      <c r="T453" s="43">
        <v>0.82574999999999998</v>
      </c>
      <c r="U453" s="24">
        <v>0</v>
      </c>
      <c r="V453" s="19">
        <v>2400</v>
      </c>
      <c r="W453" s="19">
        <v>1325.75</v>
      </c>
      <c r="X453" s="21">
        <v>0.55239583333333331</v>
      </c>
      <c r="Y453" s="19">
        <v>990.9</v>
      </c>
      <c r="Z453" s="20">
        <v>0.41287499999999999</v>
      </c>
      <c r="AA453" s="30">
        <v>5.3799999999999994E-2</v>
      </c>
      <c r="AB453" s="27">
        <v>4.4199999999999996E-2</v>
      </c>
      <c r="AC453" s="27">
        <v>5.5399999999999998E-2</v>
      </c>
      <c r="AD453" s="11">
        <v>5.3173503886298018E-2</v>
      </c>
    </row>
    <row r="454" spans="1:30" x14ac:dyDescent="0.25">
      <c r="A454" s="13">
        <v>44182</v>
      </c>
      <c r="B454" s="46" t="s">
        <v>636</v>
      </c>
      <c r="C454" s="13">
        <v>44183</v>
      </c>
      <c r="D454" s="15" t="s">
        <v>222</v>
      </c>
      <c r="E454" s="15">
        <v>350</v>
      </c>
      <c r="F454" s="15">
        <v>360</v>
      </c>
      <c r="G454" s="13">
        <v>44533</v>
      </c>
      <c r="H454" s="17">
        <v>5000</v>
      </c>
      <c r="I454" s="19">
        <v>8890.84</v>
      </c>
      <c r="J454" s="20">
        <v>1.7781680000000009</v>
      </c>
      <c r="K454" s="19">
        <v>6205.8399999999992</v>
      </c>
      <c r="L454" s="48">
        <v>1.2411679999999998</v>
      </c>
      <c r="M454" s="42">
        <v>0</v>
      </c>
      <c r="N454" s="22">
        <v>2712.6499999999996</v>
      </c>
      <c r="O454" s="23">
        <v>1000</v>
      </c>
      <c r="P454" s="24">
        <v>150.4</v>
      </c>
      <c r="Q454" s="25">
        <v>0.15040000000000001</v>
      </c>
      <c r="R454" s="24">
        <v>150.4</v>
      </c>
      <c r="S454" s="50">
        <v>0.15040000000000001</v>
      </c>
      <c r="T454" s="43">
        <v>0</v>
      </c>
      <c r="U454" s="24">
        <v>0</v>
      </c>
      <c r="V454" s="19">
        <v>6000</v>
      </c>
      <c r="W454" s="19">
        <v>9041.24</v>
      </c>
      <c r="X454" s="21">
        <v>1.5068733333333333</v>
      </c>
      <c r="Y454" s="19">
        <v>6356.2399999999989</v>
      </c>
      <c r="Z454" s="20">
        <v>1.0593733333333331</v>
      </c>
      <c r="AA454" s="30">
        <v>7.3900000000000049E-2</v>
      </c>
      <c r="AB454" s="27">
        <v>0.06</v>
      </c>
      <c r="AC454" s="27">
        <v>7.7300000000000008E-2</v>
      </c>
      <c r="AD454" s="11">
        <v>7.3167297465706285E-2</v>
      </c>
    </row>
    <row r="455" spans="1:30" x14ac:dyDescent="0.25">
      <c r="A455" s="13">
        <v>44186</v>
      </c>
      <c r="B455" s="46" t="s">
        <v>636</v>
      </c>
      <c r="C455" s="13">
        <v>44186</v>
      </c>
      <c r="D455" s="15" t="s">
        <v>223</v>
      </c>
      <c r="E455" s="15">
        <v>28</v>
      </c>
      <c r="F455" s="15">
        <v>30</v>
      </c>
      <c r="G455" s="13">
        <v>44214</v>
      </c>
      <c r="H455" s="17">
        <v>4200</v>
      </c>
      <c r="I455" s="19">
        <v>3392.71</v>
      </c>
      <c r="J455" s="20">
        <v>0.80778809523809514</v>
      </c>
      <c r="K455" s="19">
        <v>2792.71</v>
      </c>
      <c r="L455" s="48">
        <v>0.66493095238095234</v>
      </c>
      <c r="M455" s="42">
        <v>0</v>
      </c>
      <c r="N455" s="22">
        <v>0</v>
      </c>
      <c r="O455" s="23">
        <v>840</v>
      </c>
      <c r="P455" s="24">
        <v>250.48</v>
      </c>
      <c r="Q455" s="25">
        <v>0.29819047619047612</v>
      </c>
      <c r="R455" s="24">
        <v>250.48</v>
      </c>
      <c r="S455" s="50">
        <v>0.29819047619047617</v>
      </c>
      <c r="T455" s="43">
        <v>0</v>
      </c>
      <c r="U455" s="24">
        <v>0</v>
      </c>
      <c r="V455" s="19">
        <v>5040</v>
      </c>
      <c r="W455" s="19">
        <v>3643.19</v>
      </c>
      <c r="X455" s="21">
        <v>0.72285515873015871</v>
      </c>
      <c r="Y455" s="19">
        <v>3043.19</v>
      </c>
      <c r="Z455" s="20">
        <v>0.60380753968253964</v>
      </c>
      <c r="AA455" s="30">
        <v>4.6899999999999976E-2</v>
      </c>
      <c r="AB455" s="27">
        <v>3.5000000000000003E-2</v>
      </c>
      <c r="AC455" s="27">
        <v>5.3499999999999999E-2</v>
      </c>
      <c r="AD455" s="11">
        <v>4.5213210088690149E-2</v>
      </c>
    </row>
    <row r="456" spans="1:30" x14ac:dyDescent="0.25">
      <c r="A456" s="13">
        <v>44187</v>
      </c>
      <c r="B456" s="46" t="s">
        <v>636</v>
      </c>
      <c r="C456" s="13">
        <v>44187</v>
      </c>
      <c r="D456" s="15" t="s">
        <v>224</v>
      </c>
      <c r="E456" s="15">
        <v>99</v>
      </c>
      <c r="F456" s="15">
        <v>90</v>
      </c>
      <c r="G456" s="13">
        <v>44286</v>
      </c>
      <c r="H456" s="17">
        <v>1600</v>
      </c>
      <c r="I456" s="19">
        <v>1200.3500000000004</v>
      </c>
      <c r="J456" s="20">
        <v>0.75021875000000005</v>
      </c>
      <c r="K456" s="19">
        <v>1021.49</v>
      </c>
      <c r="L456" s="48">
        <v>0.63843125000000001</v>
      </c>
      <c r="M456" s="42">
        <v>0</v>
      </c>
      <c r="N456" s="22">
        <v>0</v>
      </c>
      <c r="O456" s="23">
        <v>320</v>
      </c>
      <c r="P456" s="24">
        <v>120</v>
      </c>
      <c r="Q456" s="25">
        <v>0.375</v>
      </c>
      <c r="R456" s="24">
        <v>120</v>
      </c>
      <c r="S456" s="50">
        <v>0.375</v>
      </c>
      <c r="T456" s="43">
        <v>0</v>
      </c>
      <c r="U456" s="24">
        <v>0</v>
      </c>
      <c r="V456" s="19">
        <v>1920</v>
      </c>
      <c r="W456" s="19">
        <v>1320.3500000000004</v>
      </c>
      <c r="X456" s="21">
        <v>0.68768229166666683</v>
      </c>
      <c r="Y456" s="19">
        <v>1141.49</v>
      </c>
      <c r="Z456" s="20">
        <v>0.59452604166666667</v>
      </c>
      <c r="AA456" s="30">
        <v>5.2000000000000025E-2</v>
      </c>
      <c r="AB456" s="27">
        <v>4.4999999999999998E-2</v>
      </c>
      <c r="AC456" s="27">
        <v>5.62E-2</v>
      </c>
      <c r="AD456" s="11">
        <v>5.0896921731161733E-2</v>
      </c>
    </row>
    <row r="457" spans="1:30" x14ac:dyDescent="0.25">
      <c r="A457" s="13">
        <v>44188</v>
      </c>
      <c r="B457" s="46" t="s">
        <v>636</v>
      </c>
      <c r="C457" s="13">
        <v>44188</v>
      </c>
      <c r="D457" s="15" t="s">
        <v>225</v>
      </c>
      <c r="E457" s="15">
        <v>170</v>
      </c>
      <c r="F457" s="15">
        <v>180</v>
      </c>
      <c r="G457" s="13">
        <v>44358</v>
      </c>
      <c r="H457" s="17">
        <v>5000</v>
      </c>
      <c r="I457" s="19">
        <v>3883.6899999999991</v>
      </c>
      <c r="J457" s="20">
        <v>0.77673800000000004</v>
      </c>
      <c r="K457" s="19">
        <v>3433.6899999999996</v>
      </c>
      <c r="L457" s="48">
        <v>0.68673799999999996</v>
      </c>
      <c r="M457" s="42">
        <v>0</v>
      </c>
      <c r="N457" s="22">
        <v>411.35</v>
      </c>
      <c r="O457" s="23">
        <v>1000</v>
      </c>
      <c r="P457" s="24">
        <v>4.2699999999999996</v>
      </c>
      <c r="Q457" s="25">
        <v>4.2699999999999995E-3</v>
      </c>
      <c r="R457" s="24">
        <v>4.2699999999999996</v>
      </c>
      <c r="S457" s="50">
        <v>4.2699999999999995E-3</v>
      </c>
      <c r="T457" s="43">
        <v>0</v>
      </c>
      <c r="U457" s="24">
        <v>0</v>
      </c>
      <c r="V457" s="19">
        <v>6000</v>
      </c>
      <c r="W457" s="19">
        <v>3887.9599999999991</v>
      </c>
      <c r="X457" s="21">
        <v>0.6479933333333332</v>
      </c>
      <c r="Y457" s="19">
        <v>3437.9599999999996</v>
      </c>
      <c r="Z457" s="20">
        <v>0.57299333333333324</v>
      </c>
      <c r="AA457" s="30">
        <v>6.5199999999999952E-2</v>
      </c>
      <c r="AB457" s="27">
        <v>0.04</v>
      </c>
      <c r="AC457" s="27">
        <v>6.7000000000000004E-2</v>
      </c>
      <c r="AD457" s="11">
        <v>6.2956160249659471E-2</v>
      </c>
    </row>
    <row r="458" spans="1:30" x14ac:dyDescent="0.25">
      <c r="A458" s="13">
        <v>44193</v>
      </c>
      <c r="B458" s="46" t="s">
        <v>636</v>
      </c>
      <c r="C458" s="13">
        <v>44193</v>
      </c>
      <c r="D458" s="15" t="s">
        <v>226</v>
      </c>
      <c r="E458" s="15">
        <v>28</v>
      </c>
      <c r="F458" s="15">
        <v>30</v>
      </c>
      <c r="G458" s="13">
        <v>44221</v>
      </c>
      <c r="H458" s="17">
        <v>2900</v>
      </c>
      <c r="I458" s="19">
        <v>1827.92</v>
      </c>
      <c r="J458" s="20">
        <v>0.63031724137931033</v>
      </c>
      <c r="K458" s="19">
        <v>1558.02</v>
      </c>
      <c r="L458" s="48">
        <v>0.53724827586206891</v>
      </c>
      <c r="M458" s="42">
        <v>0</v>
      </c>
      <c r="N458" s="22">
        <v>0</v>
      </c>
      <c r="O458" s="23">
        <v>580</v>
      </c>
      <c r="P458" s="24">
        <v>430</v>
      </c>
      <c r="Q458" s="25">
        <v>0.74137931034482762</v>
      </c>
      <c r="R458" s="24">
        <v>311.60399999999998</v>
      </c>
      <c r="S458" s="50">
        <v>0.53724827586206891</v>
      </c>
      <c r="T458" s="43">
        <v>0.72466052631578948</v>
      </c>
      <c r="U458" s="24">
        <v>0</v>
      </c>
      <c r="V458" s="19">
        <v>3480</v>
      </c>
      <c r="W458" s="19">
        <v>2257.92</v>
      </c>
      <c r="X458" s="21">
        <v>0.64882758620689662</v>
      </c>
      <c r="Y458" s="19">
        <v>1869.624</v>
      </c>
      <c r="Z458" s="20">
        <v>0.53724827586206902</v>
      </c>
      <c r="AA458" s="30">
        <v>4.5700000000000032E-2</v>
      </c>
      <c r="AB458" s="27">
        <v>3.5000000000000003E-2</v>
      </c>
      <c r="AC458" s="27">
        <v>5.7999999999999996E-2</v>
      </c>
      <c r="AD458" s="11">
        <v>4.2432281500284483E-2</v>
      </c>
    </row>
    <row r="459" spans="1:30" x14ac:dyDescent="0.25">
      <c r="A459" s="13">
        <v>44194</v>
      </c>
      <c r="B459" s="46" t="s">
        <v>636</v>
      </c>
      <c r="C459" s="13">
        <v>44195</v>
      </c>
      <c r="D459" s="15" t="s">
        <v>227</v>
      </c>
      <c r="E459" s="15">
        <v>373</v>
      </c>
      <c r="F459" s="15">
        <v>360</v>
      </c>
      <c r="G459" s="13">
        <v>44568</v>
      </c>
      <c r="H459" s="17">
        <v>4200</v>
      </c>
      <c r="I459" s="19">
        <v>5004.41</v>
      </c>
      <c r="J459" s="20">
        <v>1.19152619047619</v>
      </c>
      <c r="K459" s="19">
        <v>2665.41</v>
      </c>
      <c r="L459" s="48">
        <v>0.63462142857142856</v>
      </c>
      <c r="M459" s="42">
        <v>0</v>
      </c>
      <c r="N459" s="22">
        <v>976</v>
      </c>
      <c r="O459" s="23">
        <v>840</v>
      </c>
      <c r="P459" s="24">
        <v>150</v>
      </c>
      <c r="Q459" s="25">
        <v>0.17857142857142858</v>
      </c>
      <c r="R459" s="24">
        <v>150</v>
      </c>
      <c r="S459" s="50">
        <v>0.17857142857142858</v>
      </c>
      <c r="T459" s="43">
        <v>0</v>
      </c>
      <c r="U459" s="24">
        <v>0</v>
      </c>
      <c r="V459" s="19">
        <v>5040</v>
      </c>
      <c r="W459" s="19">
        <v>5154.41</v>
      </c>
      <c r="X459" s="21">
        <v>1.0227003968253967</v>
      </c>
      <c r="Y459" s="19">
        <v>2815.41</v>
      </c>
      <c r="Z459" s="20">
        <v>0.55861309523809521</v>
      </c>
      <c r="AA459" s="30">
        <v>7.2900000000000048E-2</v>
      </c>
      <c r="AB459" s="27">
        <v>6.3899999999999998E-2</v>
      </c>
      <c r="AC459" s="27">
        <v>7.5399999999999995E-2</v>
      </c>
      <c r="AD459" s="11">
        <v>7.207046185264597E-2</v>
      </c>
    </row>
    <row r="460" spans="1:30" x14ac:dyDescent="0.25">
      <c r="A460" s="13">
        <v>44195</v>
      </c>
      <c r="B460" s="46" t="s">
        <v>636</v>
      </c>
      <c r="C460" s="13">
        <v>44195</v>
      </c>
      <c r="D460" s="15" t="s">
        <v>228</v>
      </c>
      <c r="E460" s="15">
        <v>91</v>
      </c>
      <c r="F460" s="15">
        <v>90</v>
      </c>
      <c r="G460" s="13">
        <v>44286</v>
      </c>
      <c r="H460" s="17">
        <v>2100</v>
      </c>
      <c r="I460" s="19">
        <v>826.79</v>
      </c>
      <c r="J460" s="20">
        <v>0.39370952380952379</v>
      </c>
      <c r="K460" s="19">
        <v>826.39</v>
      </c>
      <c r="L460" s="48">
        <v>0.3935190476190476</v>
      </c>
      <c r="M460" s="42">
        <v>0</v>
      </c>
      <c r="N460" s="22">
        <v>0</v>
      </c>
      <c r="O460" s="23">
        <v>420</v>
      </c>
      <c r="P460" s="24">
        <v>0</v>
      </c>
      <c r="Q460" s="25">
        <v>0</v>
      </c>
      <c r="R460" s="24">
        <v>0</v>
      </c>
      <c r="S460" s="50">
        <v>0</v>
      </c>
      <c r="T460" s="43">
        <v>0</v>
      </c>
      <c r="U460" s="24">
        <v>0</v>
      </c>
      <c r="V460" s="19">
        <v>2520</v>
      </c>
      <c r="W460" s="19">
        <v>826.79</v>
      </c>
      <c r="X460" s="21">
        <v>0.32809126984126985</v>
      </c>
      <c r="Y460" s="19">
        <v>826.39</v>
      </c>
      <c r="Z460" s="20">
        <v>0.32793253968253966</v>
      </c>
      <c r="AA460" s="30">
        <v>5.1399999999999994E-2</v>
      </c>
      <c r="AB460" s="27">
        <v>0.04</v>
      </c>
      <c r="AC460" s="27">
        <v>5.5E-2</v>
      </c>
      <c r="AD460" s="11">
        <v>4.7688149348685885E-2</v>
      </c>
    </row>
    <row r="461" spans="1:30" x14ac:dyDescent="0.25">
      <c r="A461" s="13">
        <v>44200</v>
      </c>
      <c r="B461" s="46" t="s">
        <v>636</v>
      </c>
      <c r="C461" s="13">
        <v>44200</v>
      </c>
      <c r="D461" s="15" t="s">
        <v>229</v>
      </c>
      <c r="E461" s="15">
        <v>30</v>
      </c>
      <c r="F461" s="15">
        <v>30</v>
      </c>
      <c r="G461" s="13">
        <v>44230</v>
      </c>
      <c r="H461" s="17">
        <v>2900</v>
      </c>
      <c r="I461" s="19">
        <v>1167.6500000000001</v>
      </c>
      <c r="J461" s="20">
        <v>0.40263793103448292</v>
      </c>
      <c r="K461" s="19">
        <v>867.65</v>
      </c>
      <c r="L461" s="48">
        <v>0.2991896551724138</v>
      </c>
      <c r="M461" s="42">
        <v>0</v>
      </c>
      <c r="N461" s="22">
        <v>0</v>
      </c>
      <c r="O461" s="23">
        <v>580</v>
      </c>
      <c r="P461" s="24">
        <v>196.78</v>
      </c>
      <c r="Q461" s="25">
        <v>0.33927586206896554</v>
      </c>
      <c r="R461" s="24">
        <v>173.53</v>
      </c>
      <c r="S461" s="50">
        <v>0.2991896551724138</v>
      </c>
      <c r="T461" s="43">
        <v>0.8818539325842697</v>
      </c>
      <c r="U461" s="24">
        <v>0</v>
      </c>
      <c r="V461" s="19">
        <v>3480</v>
      </c>
      <c r="W461" s="19">
        <v>1364.43</v>
      </c>
      <c r="X461" s="21">
        <v>0.39207758620689659</v>
      </c>
      <c r="Y461" s="19">
        <v>1041.18</v>
      </c>
      <c r="Z461" s="20">
        <v>0.2991896551724138</v>
      </c>
      <c r="AA461" s="30">
        <v>4.5000000000000005E-2</v>
      </c>
      <c r="AB461" s="27">
        <v>3.5000000000000003E-2</v>
      </c>
      <c r="AC461" s="27">
        <v>4.9699999999999994E-2</v>
      </c>
      <c r="AD461" s="11">
        <v>4.2982785937566909E-2</v>
      </c>
    </row>
    <row r="462" spans="1:30" x14ac:dyDescent="0.25">
      <c r="A462" s="13">
        <v>44201</v>
      </c>
      <c r="B462" s="46" t="s">
        <v>636</v>
      </c>
      <c r="C462" s="13">
        <v>44201</v>
      </c>
      <c r="D462" s="15" t="s">
        <v>230</v>
      </c>
      <c r="E462" s="15">
        <v>85</v>
      </c>
      <c r="F462" s="15">
        <v>90</v>
      </c>
      <c r="G462" s="13">
        <v>44286</v>
      </c>
      <c r="H462" s="17">
        <v>2100</v>
      </c>
      <c r="I462" s="19">
        <v>1361.8</v>
      </c>
      <c r="J462" s="20">
        <v>0.64847619047619054</v>
      </c>
      <c r="K462" s="19">
        <v>911.49999999999989</v>
      </c>
      <c r="L462" s="48">
        <v>0.43404761904761902</v>
      </c>
      <c r="M462" s="42">
        <v>0</v>
      </c>
      <c r="N462" s="22">
        <v>0</v>
      </c>
      <c r="O462" s="23">
        <v>420</v>
      </c>
      <c r="P462" s="24">
        <v>54.24</v>
      </c>
      <c r="Q462" s="25">
        <v>0.12914285714285714</v>
      </c>
      <c r="R462" s="24">
        <v>54.24</v>
      </c>
      <c r="S462" s="50">
        <v>0.12914285714285714</v>
      </c>
      <c r="T462" s="43">
        <v>0</v>
      </c>
      <c r="U462" s="24">
        <v>0</v>
      </c>
      <c r="V462" s="19">
        <v>2520</v>
      </c>
      <c r="W462" s="19">
        <v>1416.04</v>
      </c>
      <c r="X462" s="21">
        <v>0.56192063492063493</v>
      </c>
      <c r="Y462" s="19">
        <v>965.7399999999999</v>
      </c>
      <c r="Z462" s="20">
        <v>0.3832301587301587</v>
      </c>
      <c r="AA462" s="30">
        <v>5.1200000000000016E-2</v>
      </c>
      <c r="AB462" s="27">
        <v>4.1399999999999999E-2</v>
      </c>
      <c r="AC462" s="27">
        <v>5.8499999999999996E-2</v>
      </c>
      <c r="AD462" s="11">
        <v>5.0568713467469537E-2</v>
      </c>
    </row>
    <row r="463" spans="1:30" x14ac:dyDescent="0.25">
      <c r="A463" s="13">
        <v>44204</v>
      </c>
      <c r="B463" s="46" t="s">
        <v>636</v>
      </c>
      <c r="C463" s="13">
        <v>44204</v>
      </c>
      <c r="D463" s="15" t="s">
        <v>231</v>
      </c>
      <c r="E463" s="15">
        <v>189</v>
      </c>
      <c r="F463" s="15">
        <v>180</v>
      </c>
      <c r="G463" s="13">
        <v>44393</v>
      </c>
      <c r="H463" s="17">
        <v>5800</v>
      </c>
      <c r="I463" s="19">
        <v>6870.1799999999985</v>
      </c>
      <c r="J463" s="20">
        <v>1.1845137931034484</v>
      </c>
      <c r="K463" s="19">
        <v>6670.1799999999985</v>
      </c>
      <c r="L463" s="48">
        <v>1.1500310344827585</v>
      </c>
      <c r="M463" s="42">
        <v>0</v>
      </c>
      <c r="N463" s="22">
        <v>260</v>
      </c>
      <c r="O463" s="23">
        <v>1160</v>
      </c>
      <c r="P463" s="24">
        <v>10</v>
      </c>
      <c r="Q463" s="25">
        <v>8.6206896551724137E-3</v>
      </c>
      <c r="R463" s="24">
        <v>10</v>
      </c>
      <c r="S463" s="50">
        <v>8.6206896551724137E-3</v>
      </c>
      <c r="T463" s="43">
        <v>0</v>
      </c>
      <c r="U463" s="24">
        <v>0</v>
      </c>
      <c r="V463" s="19">
        <v>6960</v>
      </c>
      <c r="W463" s="19">
        <v>6880.1799999999985</v>
      </c>
      <c r="X463" s="21">
        <v>0.98853160919540206</v>
      </c>
      <c r="Y463" s="19">
        <v>6680.1799999999985</v>
      </c>
      <c r="Z463" s="20">
        <v>0.95979597701149399</v>
      </c>
      <c r="AA463" s="30">
        <v>6.5300000000000025E-2</v>
      </c>
      <c r="AB463" s="27">
        <v>0.04</v>
      </c>
      <c r="AC463" s="27">
        <v>6.6400000000000001E-2</v>
      </c>
      <c r="AD463" s="11">
        <v>6.2882749796948537E-2</v>
      </c>
    </row>
    <row r="464" spans="1:30" x14ac:dyDescent="0.25">
      <c r="A464" s="13">
        <v>44207</v>
      </c>
      <c r="B464" s="46" t="s">
        <v>636</v>
      </c>
      <c r="C464" s="13">
        <v>44207</v>
      </c>
      <c r="D464" s="15" t="s">
        <v>232</v>
      </c>
      <c r="E464" s="15">
        <v>28</v>
      </c>
      <c r="F464" s="15">
        <v>30</v>
      </c>
      <c r="G464" s="13">
        <v>44235</v>
      </c>
      <c r="H464" s="17">
        <v>3400</v>
      </c>
      <c r="I464" s="19">
        <v>2707.5499999999997</v>
      </c>
      <c r="J464" s="20">
        <v>0.7963382352941174</v>
      </c>
      <c r="K464" s="19">
        <v>2407.5500000000002</v>
      </c>
      <c r="L464" s="48">
        <v>0.70810294117647066</v>
      </c>
      <c r="M464" s="42">
        <v>0</v>
      </c>
      <c r="N464" s="22">
        <v>0</v>
      </c>
      <c r="O464" s="23">
        <v>680</v>
      </c>
      <c r="P464" s="24">
        <v>47</v>
      </c>
      <c r="Q464" s="25">
        <v>6.9117647058823534E-2</v>
      </c>
      <c r="R464" s="24">
        <v>47</v>
      </c>
      <c r="S464" s="50">
        <v>6.9117647058823534E-2</v>
      </c>
      <c r="T464" s="43">
        <v>0</v>
      </c>
      <c r="U464" s="24">
        <v>0</v>
      </c>
      <c r="V464" s="19">
        <v>4080</v>
      </c>
      <c r="W464" s="19">
        <v>2754.5499999999997</v>
      </c>
      <c r="X464" s="21">
        <v>0.67513480392156855</v>
      </c>
      <c r="Y464" s="19">
        <v>2454.5500000000002</v>
      </c>
      <c r="Z464" s="20">
        <v>0.60160539215686282</v>
      </c>
      <c r="AA464" s="30">
        <v>4.5900000000000031E-2</v>
      </c>
      <c r="AB464" s="27">
        <v>3.5000000000000003E-2</v>
      </c>
      <c r="AC464" s="27">
        <v>4.9699999999999994E-2</v>
      </c>
      <c r="AD464" s="11">
        <v>4.4890679765839971E-2</v>
      </c>
    </row>
    <row r="465" spans="1:30" x14ac:dyDescent="0.25">
      <c r="A465" s="13">
        <v>44209</v>
      </c>
      <c r="B465" s="46" t="s">
        <v>636</v>
      </c>
      <c r="C465" s="13">
        <v>44209</v>
      </c>
      <c r="D465" s="15" t="s">
        <v>233</v>
      </c>
      <c r="E465" s="15">
        <v>77</v>
      </c>
      <c r="F465" s="15">
        <v>90</v>
      </c>
      <c r="G465" s="13">
        <v>44286</v>
      </c>
      <c r="H465" s="17">
        <v>3400</v>
      </c>
      <c r="I465" s="19">
        <v>2194.4</v>
      </c>
      <c r="J465" s="20">
        <v>0.64541176470588235</v>
      </c>
      <c r="K465" s="19">
        <v>1794.4</v>
      </c>
      <c r="L465" s="48">
        <v>0.52776470588235291</v>
      </c>
      <c r="M465" s="42">
        <v>0</v>
      </c>
      <c r="N465" s="22">
        <v>0</v>
      </c>
      <c r="O465" s="23">
        <v>680</v>
      </c>
      <c r="P465" s="24">
        <v>30</v>
      </c>
      <c r="Q465" s="25">
        <v>4.4117647058823532E-2</v>
      </c>
      <c r="R465" s="24">
        <v>30</v>
      </c>
      <c r="S465" s="50">
        <v>4.4117647058823532E-2</v>
      </c>
      <c r="T465" s="43">
        <v>0</v>
      </c>
      <c r="U465" s="24">
        <v>0</v>
      </c>
      <c r="V465" s="19">
        <v>4080</v>
      </c>
      <c r="W465" s="19">
        <v>2224.4</v>
      </c>
      <c r="X465" s="21">
        <v>0.54519607843137252</v>
      </c>
      <c r="Y465" s="19">
        <v>1824.4</v>
      </c>
      <c r="Z465" s="20">
        <v>0.44715686274509808</v>
      </c>
      <c r="AA465" s="30">
        <v>5.1700000000000017E-2</v>
      </c>
      <c r="AB465" s="27">
        <v>0.04</v>
      </c>
      <c r="AC465" s="27">
        <v>5.3800000000000001E-2</v>
      </c>
      <c r="AD465" s="11">
        <v>4.9543870761939487E-2</v>
      </c>
    </row>
    <row r="466" spans="1:30" x14ac:dyDescent="0.25">
      <c r="A466" s="13">
        <v>44210</v>
      </c>
      <c r="B466" s="46" t="s">
        <v>636</v>
      </c>
      <c r="C466" s="13">
        <v>44211</v>
      </c>
      <c r="D466" s="15" t="s">
        <v>234</v>
      </c>
      <c r="E466" s="15">
        <v>357</v>
      </c>
      <c r="F466" s="15">
        <v>360</v>
      </c>
      <c r="G466" s="13">
        <v>44568</v>
      </c>
      <c r="H466" s="17">
        <v>2500</v>
      </c>
      <c r="I466" s="19">
        <v>7558.4699999999993</v>
      </c>
      <c r="J466" s="20">
        <v>3.0233880000000011</v>
      </c>
      <c r="K466" s="19">
        <v>3978.4699999999993</v>
      </c>
      <c r="L466" s="48">
        <v>1.5913879999999998</v>
      </c>
      <c r="M466" s="42">
        <v>0</v>
      </c>
      <c r="N466" s="22">
        <v>1740.82</v>
      </c>
      <c r="O466" s="23">
        <v>500</v>
      </c>
      <c r="P466" s="24">
        <v>700</v>
      </c>
      <c r="Q466" s="25">
        <v>1.4</v>
      </c>
      <c r="R466" s="24">
        <v>500</v>
      </c>
      <c r="S466" s="50">
        <v>1</v>
      </c>
      <c r="T466" s="43">
        <v>0.71428579999999997</v>
      </c>
      <c r="U466" s="24">
        <v>357.1429</v>
      </c>
      <c r="V466" s="19">
        <v>3000</v>
      </c>
      <c r="W466" s="19">
        <v>8258.4699999999993</v>
      </c>
      <c r="X466" s="21">
        <v>2.7528233333333332</v>
      </c>
      <c r="Y466" s="19">
        <v>4478.4699999999993</v>
      </c>
      <c r="Z466" s="20">
        <v>1.4928233333333332</v>
      </c>
      <c r="AA466" s="30">
        <v>7.1400000000000033E-2</v>
      </c>
      <c r="AB466" s="27">
        <v>0.06</v>
      </c>
      <c r="AC466" s="27">
        <v>7.3700000000000002E-2</v>
      </c>
      <c r="AD466" s="11">
        <v>7.0850158828440132E-2</v>
      </c>
    </row>
    <row r="467" spans="1:30" x14ac:dyDescent="0.25">
      <c r="A467" s="13">
        <v>44214</v>
      </c>
      <c r="B467" s="46" t="s">
        <v>636</v>
      </c>
      <c r="C467" s="13">
        <v>44214</v>
      </c>
      <c r="D467" s="15" t="s">
        <v>235</v>
      </c>
      <c r="E467" s="15">
        <v>30</v>
      </c>
      <c r="F467" s="15">
        <v>30</v>
      </c>
      <c r="G467" s="13">
        <v>44244</v>
      </c>
      <c r="H467" s="17">
        <v>4200</v>
      </c>
      <c r="I467" s="19">
        <v>2987.66</v>
      </c>
      <c r="J467" s="20">
        <v>0.71134761904761878</v>
      </c>
      <c r="K467" s="19">
        <v>2337.66</v>
      </c>
      <c r="L467" s="48">
        <v>0.55658571428571424</v>
      </c>
      <c r="M467" s="42">
        <v>0</v>
      </c>
      <c r="N467" s="22">
        <v>0</v>
      </c>
      <c r="O467" s="23">
        <v>840</v>
      </c>
      <c r="P467" s="24">
        <v>80</v>
      </c>
      <c r="Q467" s="25">
        <v>9.5238095238095233E-2</v>
      </c>
      <c r="R467" s="24">
        <v>80</v>
      </c>
      <c r="S467" s="50">
        <v>9.5238095238095233E-2</v>
      </c>
      <c r="T467" s="43">
        <v>0</v>
      </c>
      <c r="U467" s="24">
        <v>0</v>
      </c>
      <c r="V467" s="19">
        <v>5040</v>
      </c>
      <c r="W467" s="19">
        <v>3067.66</v>
      </c>
      <c r="X467" s="21">
        <v>0.60866269841269838</v>
      </c>
      <c r="Y467" s="19">
        <v>2417.66</v>
      </c>
      <c r="Z467" s="20">
        <v>0.47969444444444442</v>
      </c>
      <c r="AA467" s="30">
        <v>4.5800000000000007E-2</v>
      </c>
      <c r="AB467" s="27">
        <v>3.5000000000000003E-2</v>
      </c>
      <c r="AC467" s="27">
        <v>0.05</v>
      </c>
      <c r="AD467" s="11">
        <v>4.4752232516417544E-2</v>
      </c>
    </row>
    <row r="468" spans="1:30" x14ac:dyDescent="0.25">
      <c r="A468" s="13">
        <v>44216</v>
      </c>
      <c r="B468" s="46" t="s">
        <v>636</v>
      </c>
      <c r="C468" s="13">
        <v>44216</v>
      </c>
      <c r="D468" s="15" t="s">
        <v>236</v>
      </c>
      <c r="E468" s="15">
        <v>91</v>
      </c>
      <c r="F468" s="15">
        <v>90</v>
      </c>
      <c r="G468" s="13">
        <v>44307</v>
      </c>
      <c r="H468" s="17">
        <v>3400</v>
      </c>
      <c r="I468" s="19">
        <v>994.66000000000008</v>
      </c>
      <c r="J468" s="20">
        <v>0.29254705882352938</v>
      </c>
      <c r="K468" s="19">
        <v>894.66000000000008</v>
      </c>
      <c r="L468" s="48">
        <v>0.26313529411764708</v>
      </c>
      <c r="M468" s="42">
        <v>0</v>
      </c>
      <c r="N468" s="22">
        <v>0</v>
      </c>
      <c r="O468" s="23">
        <v>680</v>
      </c>
      <c r="P468" s="24">
        <v>215</v>
      </c>
      <c r="Q468" s="25">
        <v>0.31617647058823528</v>
      </c>
      <c r="R468" s="24">
        <v>178.93199999999999</v>
      </c>
      <c r="S468" s="50">
        <v>0.26313529411764702</v>
      </c>
      <c r="T468" s="43">
        <v>0.83224199999999993</v>
      </c>
      <c r="U468" s="24">
        <v>0</v>
      </c>
      <c r="V468" s="19">
        <v>4080</v>
      </c>
      <c r="W468" s="19">
        <v>1209.6600000000001</v>
      </c>
      <c r="X468" s="21">
        <v>0.29648529411764707</v>
      </c>
      <c r="Y468" s="19">
        <v>1073.5920000000001</v>
      </c>
      <c r="Z468" s="20">
        <v>0.26313529411764708</v>
      </c>
      <c r="AA468" s="30">
        <v>5.0699999999999995E-2</v>
      </c>
      <c r="AB468" s="27">
        <v>0.04</v>
      </c>
      <c r="AC468" s="27">
        <v>5.4699999999999999E-2</v>
      </c>
      <c r="AD468" s="11">
        <v>4.9232903705788915E-2</v>
      </c>
    </row>
    <row r="469" spans="1:30" x14ac:dyDescent="0.25">
      <c r="A469" s="13">
        <v>44218</v>
      </c>
      <c r="B469" s="46" t="s">
        <v>636</v>
      </c>
      <c r="C469" s="13">
        <v>44218</v>
      </c>
      <c r="D469" s="15" t="s">
        <v>237</v>
      </c>
      <c r="E469" s="15">
        <v>175</v>
      </c>
      <c r="F469" s="15">
        <v>180</v>
      </c>
      <c r="G469" s="13">
        <v>44393</v>
      </c>
      <c r="H469" s="17">
        <v>4200</v>
      </c>
      <c r="I469" s="19">
        <v>7596.4599999999991</v>
      </c>
      <c r="J469" s="20">
        <v>1.8086809523809522</v>
      </c>
      <c r="K469" s="19">
        <v>7146.4599999999991</v>
      </c>
      <c r="L469" s="48">
        <v>1.701538095238095</v>
      </c>
      <c r="M469" s="42">
        <v>0</v>
      </c>
      <c r="N469" s="22">
        <v>738.71</v>
      </c>
      <c r="O469" s="23">
        <v>840</v>
      </c>
      <c r="P469" s="24">
        <v>890.85</v>
      </c>
      <c r="Q469" s="25">
        <v>1.0605357142857144</v>
      </c>
      <c r="R469" s="24">
        <v>840</v>
      </c>
      <c r="S469" s="50">
        <v>1</v>
      </c>
      <c r="T469" s="43">
        <v>0.94294117647058828</v>
      </c>
      <c r="U469" s="24">
        <v>0</v>
      </c>
      <c r="V469" s="19">
        <v>5040</v>
      </c>
      <c r="W469" s="19">
        <v>8487.31</v>
      </c>
      <c r="X469" s="21">
        <v>1.6839900793650793</v>
      </c>
      <c r="Y469" s="19">
        <v>7986.4599999999991</v>
      </c>
      <c r="Z469" s="20">
        <v>1.5846150793650793</v>
      </c>
      <c r="AA469" s="30">
        <v>6.4900000000000055E-2</v>
      </c>
      <c r="AB469" s="27">
        <v>5.2000000000000005E-2</v>
      </c>
      <c r="AC469" s="27">
        <v>6.7299999999999999E-2</v>
      </c>
      <c r="AD469" s="11">
        <v>6.190833006426677E-2</v>
      </c>
    </row>
    <row r="470" spans="1:30" x14ac:dyDescent="0.25">
      <c r="A470" s="13">
        <v>44221</v>
      </c>
      <c r="B470" s="46" t="s">
        <v>636</v>
      </c>
      <c r="C470" s="13">
        <v>44221</v>
      </c>
      <c r="D470" s="15" t="s">
        <v>238</v>
      </c>
      <c r="E470" s="15">
        <v>28</v>
      </c>
      <c r="F470" s="15">
        <v>30</v>
      </c>
      <c r="G470" s="13">
        <v>44249</v>
      </c>
      <c r="H470" s="17">
        <v>4200</v>
      </c>
      <c r="I470" s="19">
        <v>2323</v>
      </c>
      <c r="J470" s="20">
        <v>0.55309523809523775</v>
      </c>
      <c r="K470" s="19">
        <v>2173</v>
      </c>
      <c r="L470" s="48">
        <v>0.51738095238095239</v>
      </c>
      <c r="M470" s="42">
        <v>0</v>
      </c>
      <c r="N470" s="22">
        <v>0</v>
      </c>
      <c r="O470" s="23">
        <v>840</v>
      </c>
      <c r="P470" s="24">
        <v>315</v>
      </c>
      <c r="Q470" s="25">
        <v>0.375</v>
      </c>
      <c r="R470" s="24">
        <v>315</v>
      </c>
      <c r="S470" s="50">
        <v>0.375</v>
      </c>
      <c r="T470" s="43">
        <v>0</v>
      </c>
      <c r="U470" s="24">
        <v>0</v>
      </c>
      <c r="V470" s="19">
        <v>5040</v>
      </c>
      <c r="W470" s="19">
        <v>2638</v>
      </c>
      <c r="X470" s="21">
        <v>0.52341269841269844</v>
      </c>
      <c r="Y470" s="19">
        <v>2488</v>
      </c>
      <c r="Z470" s="20">
        <v>0.49365079365079367</v>
      </c>
      <c r="AA470" s="30">
        <v>4.4999999999999978E-2</v>
      </c>
      <c r="AB470" s="27">
        <v>3.5000000000000003E-2</v>
      </c>
      <c r="AC470" s="27">
        <v>0.05</v>
      </c>
      <c r="AD470" s="11">
        <v>4.2375789926818785E-2</v>
      </c>
    </row>
    <row r="471" spans="1:30" x14ac:dyDescent="0.25">
      <c r="A471" s="13">
        <v>44223</v>
      </c>
      <c r="B471" s="46" t="s">
        <v>636</v>
      </c>
      <c r="C471" s="13">
        <v>44223</v>
      </c>
      <c r="D471" s="15" t="s">
        <v>239</v>
      </c>
      <c r="E471" s="15">
        <v>84</v>
      </c>
      <c r="F471" s="15">
        <v>90</v>
      </c>
      <c r="G471" s="13">
        <v>44307</v>
      </c>
      <c r="H471" s="17">
        <v>3400</v>
      </c>
      <c r="I471" s="19">
        <v>2250.9</v>
      </c>
      <c r="J471" s="20">
        <v>0.66202941176470576</v>
      </c>
      <c r="K471" s="19">
        <v>2110.9000000000005</v>
      </c>
      <c r="L471" s="48">
        <v>0.62085294117647072</v>
      </c>
      <c r="M471" s="42">
        <v>0</v>
      </c>
      <c r="N471" s="22">
        <v>0</v>
      </c>
      <c r="O471" s="23">
        <v>680</v>
      </c>
      <c r="P471" s="24">
        <v>0</v>
      </c>
      <c r="Q471" s="25">
        <v>0</v>
      </c>
      <c r="R471" s="24">
        <v>0</v>
      </c>
      <c r="S471" s="50">
        <v>0</v>
      </c>
      <c r="T471" s="43">
        <v>0</v>
      </c>
      <c r="U471" s="24">
        <v>0</v>
      </c>
      <c r="V471" s="19">
        <v>4080</v>
      </c>
      <c r="W471" s="19">
        <v>2250.9</v>
      </c>
      <c r="X471" s="21">
        <v>0.5516911764705883</v>
      </c>
      <c r="Y471" s="19">
        <v>2110.9000000000005</v>
      </c>
      <c r="Z471" s="20">
        <v>0.51737745098039234</v>
      </c>
      <c r="AA471" s="30">
        <v>5.0000000000000024E-2</v>
      </c>
      <c r="AB471" s="27">
        <v>4.07E-2</v>
      </c>
      <c r="AC471" s="27">
        <v>5.4299999999999994E-2</v>
      </c>
      <c r="AD471" s="11">
        <v>4.8765931405215686E-2</v>
      </c>
    </row>
    <row r="472" spans="1:30" x14ac:dyDescent="0.25">
      <c r="A472" s="13">
        <v>44224</v>
      </c>
      <c r="B472" s="46" t="s">
        <v>636</v>
      </c>
      <c r="C472" s="13">
        <v>44225</v>
      </c>
      <c r="D472" s="15" t="s">
        <v>240</v>
      </c>
      <c r="E472" s="15">
        <v>378</v>
      </c>
      <c r="F472" s="15">
        <v>360</v>
      </c>
      <c r="G472" s="13">
        <v>44603</v>
      </c>
      <c r="H472" s="17">
        <v>5000</v>
      </c>
      <c r="I472" s="19">
        <v>14270.12</v>
      </c>
      <c r="J472" s="20">
        <v>2.8540239999999999</v>
      </c>
      <c r="K472" s="19">
        <v>10000</v>
      </c>
      <c r="L472" s="48">
        <v>2</v>
      </c>
      <c r="M472" s="42">
        <v>0.8095106861642295</v>
      </c>
      <c r="N472" s="22">
        <v>2660</v>
      </c>
      <c r="O472" s="23">
        <v>1000</v>
      </c>
      <c r="P472" s="24">
        <v>1001.08</v>
      </c>
      <c r="Q472" s="25">
        <v>1.00108</v>
      </c>
      <c r="R472" s="24">
        <v>1000</v>
      </c>
      <c r="S472" s="50">
        <v>1</v>
      </c>
      <c r="T472" s="43">
        <v>0.99892119999999995</v>
      </c>
      <c r="U472" s="24">
        <v>998.9212</v>
      </c>
      <c r="V472" s="19">
        <v>6000</v>
      </c>
      <c r="W472" s="19">
        <v>15271.2</v>
      </c>
      <c r="X472" s="21">
        <v>2.5451999999999999</v>
      </c>
      <c r="Y472" s="19">
        <v>11000</v>
      </c>
      <c r="Z472" s="20">
        <v>1.8333333333333333</v>
      </c>
      <c r="AA472" s="30">
        <v>6.9999999999999965E-2</v>
      </c>
      <c r="AB472" s="27">
        <v>5.9900000000000002E-2</v>
      </c>
      <c r="AC472" s="27">
        <v>7.2599999999999998E-2</v>
      </c>
      <c r="AD472" s="11">
        <v>6.938069546717196E-2</v>
      </c>
    </row>
    <row r="473" spans="1:30" x14ac:dyDescent="0.25">
      <c r="A473" s="13">
        <v>44228</v>
      </c>
      <c r="B473" s="46" t="s">
        <v>636</v>
      </c>
      <c r="C473" s="13">
        <v>44228</v>
      </c>
      <c r="D473" s="15" t="s">
        <v>241</v>
      </c>
      <c r="E473" s="15">
        <v>30</v>
      </c>
      <c r="F473" s="15">
        <v>30</v>
      </c>
      <c r="G473" s="13">
        <v>44258</v>
      </c>
      <c r="H473" s="17">
        <v>2500</v>
      </c>
      <c r="I473" s="19">
        <v>2709.86</v>
      </c>
      <c r="J473" s="20">
        <v>1.083944</v>
      </c>
      <c r="K473" s="19">
        <v>2209.86</v>
      </c>
      <c r="L473" s="48">
        <v>0.88394400000000006</v>
      </c>
      <c r="M473" s="42">
        <v>0</v>
      </c>
      <c r="N473" s="22">
        <v>0</v>
      </c>
      <c r="O473" s="23">
        <v>500</v>
      </c>
      <c r="P473" s="24">
        <v>30</v>
      </c>
      <c r="Q473" s="25">
        <v>0.06</v>
      </c>
      <c r="R473" s="24">
        <v>30</v>
      </c>
      <c r="S473" s="50">
        <v>0.06</v>
      </c>
      <c r="T473" s="43">
        <v>0</v>
      </c>
      <c r="U473" s="24">
        <v>0</v>
      </c>
      <c r="V473" s="19">
        <v>3000</v>
      </c>
      <c r="W473" s="19">
        <v>2739.86</v>
      </c>
      <c r="X473" s="21">
        <v>0.91328666666666669</v>
      </c>
      <c r="Y473" s="19">
        <v>2239.86</v>
      </c>
      <c r="Z473" s="20">
        <v>0.74662000000000006</v>
      </c>
      <c r="AA473" s="30">
        <v>4.5299999999999993E-2</v>
      </c>
      <c r="AB473" s="27">
        <v>3.5000000000000003E-2</v>
      </c>
      <c r="AC473" s="27">
        <v>5.2400000000000002E-2</v>
      </c>
      <c r="AD473" s="11">
        <v>4.5410611618312391E-2</v>
      </c>
    </row>
    <row r="474" spans="1:30" x14ac:dyDescent="0.25">
      <c r="A474" s="13">
        <v>44230</v>
      </c>
      <c r="B474" s="46" t="s">
        <v>636</v>
      </c>
      <c r="C474" s="13">
        <v>44230</v>
      </c>
      <c r="D474" s="15" t="s">
        <v>242</v>
      </c>
      <c r="E474" s="15">
        <v>77</v>
      </c>
      <c r="F474" s="15">
        <v>90</v>
      </c>
      <c r="G474" s="13">
        <v>44307</v>
      </c>
      <c r="H474" s="17">
        <v>800</v>
      </c>
      <c r="I474" s="19">
        <v>3078.91</v>
      </c>
      <c r="J474" s="20">
        <v>3.8486374999999997</v>
      </c>
      <c r="K474" s="19">
        <v>1572.53</v>
      </c>
      <c r="L474" s="48">
        <v>1.9656624999999999</v>
      </c>
      <c r="M474" s="42">
        <v>0</v>
      </c>
      <c r="N474" s="22">
        <v>0</v>
      </c>
      <c r="O474" s="23">
        <v>160</v>
      </c>
      <c r="P474" s="24">
        <v>190</v>
      </c>
      <c r="Q474" s="25">
        <v>1.1875</v>
      </c>
      <c r="R474" s="24">
        <v>160</v>
      </c>
      <c r="S474" s="50">
        <v>1</v>
      </c>
      <c r="T474" s="43">
        <v>0.84210666666666667</v>
      </c>
      <c r="U474" s="24">
        <v>0</v>
      </c>
      <c r="V474" s="19">
        <v>960</v>
      </c>
      <c r="W474" s="19">
        <v>3268.91</v>
      </c>
      <c r="X474" s="21">
        <v>3.4051145833333334</v>
      </c>
      <c r="Y474" s="19">
        <v>1732.53</v>
      </c>
      <c r="Z474" s="20">
        <v>1.8047187499999999</v>
      </c>
      <c r="AA474" s="30">
        <v>4.9400000000000048E-2</v>
      </c>
      <c r="AB474" s="27">
        <v>3.5000000000000003E-2</v>
      </c>
      <c r="AC474" s="27">
        <v>5.5E-2</v>
      </c>
      <c r="AD474" s="11">
        <v>4.8065942817425648E-2</v>
      </c>
    </row>
    <row r="475" spans="1:30" x14ac:dyDescent="0.25">
      <c r="A475" s="13">
        <v>44232</v>
      </c>
      <c r="B475" s="46" t="s">
        <v>636</v>
      </c>
      <c r="C475" s="13">
        <v>44232</v>
      </c>
      <c r="D475" s="15" t="s">
        <v>243</v>
      </c>
      <c r="E475" s="15">
        <v>161</v>
      </c>
      <c r="F475" s="15">
        <v>180</v>
      </c>
      <c r="G475" s="13">
        <v>44393</v>
      </c>
      <c r="H475" s="17">
        <v>3300</v>
      </c>
      <c r="I475" s="19">
        <v>8284.57</v>
      </c>
      <c r="J475" s="20">
        <v>2.5104757575757572</v>
      </c>
      <c r="K475" s="19">
        <v>5155.1200000000008</v>
      </c>
      <c r="L475" s="48">
        <v>1.5621575757575761</v>
      </c>
      <c r="M475" s="42">
        <v>0</v>
      </c>
      <c r="N475" s="22">
        <v>682.06999999999994</v>
      </c>
      <c r="O475" s="23">
        <v>660</v>
      </c>
      <c r="P475" s="24">
        <v>960</v>
      </c>
      <c r="Q475" s="25">
        <v>1.4545454545454546</v>
      </c>
      <c r="R475" s="24">
        <v>660</v>
      </c>
      <c r="S475" s="50">
        <v>1</v>
      </c>
      <c r="T475" s="43">
        <v>0.6875</v>
      </c>
      <c r="U475" s="24">
        <v>453.75</v>
      </c>
      <c r="V475" s="19">
        <v>3960</v>
      </c>
      <c r="W475" s="19">
        <v>9244.57</v>
      </c>
      <c r="X475" s="21">
        <v>2.3344873737373737</v>
      </c>
      <c r="Y475" s="19">
        <v>5815.1200000000008</v>
      </c>
      <c r="Z475" s="20">
        <v>1.4684646464646467</v>
      </c>
      <c r="AA475" s="30">
        <v>6.2300000000000015E-2</v>
      </c>
      <c r="AB475" s="27">
        <v>0.05</v>
      </c>
      <c r="AC475" s="27">
        <v>7.0000000000000007E-2</v>
      </c>
      <c r="AD475" s="11">
        <v>6.1483158329279614E-2</v>
      </c>
    </row>
    <row r="476" spans="1:30" x14ac:dyDescent="0.25">
      <c r="A476" s="13">
        <v>44235</v>
      </c>
      <c r="B476" s="46" t="s">
        <v>636</v>
      </c>
      <c r="C476" s="13">
        <v>44235</v>
      </c>
      <c r="D476" s="15" t="s">
        <v>244</v>
      </c>
      <c r="E476" s="15">
        <v>28</v>
      </c>
      <c r="F476" s="15">
        <v>30</v>
      </c>
      <c r="G476" s="13">
        <v>44263</v>
      </c>
      <c r="H476" s="17">
        <v>4000</v>
      </c>
      <c r="I476" s="19">
        <v>2729.34</v>
      </c>
      <c r="J476" s="20">
        <v>0.68233499999999969</v>
      </c>
      <c r="K476" s="19">
        <v>2729.34</v>
      </c>
      <c r="L476" s="48">
        <v>0.68233500000000002</v>
      </c>
      <c r="M476" s="42">
        <v>0</v>
      </c>
      <c r="N476" s="22">
        <v>0</v>
      </c>
      <c r="O476" s="23">
        <v>800</v>
      </c>
      <c r="P476" s="24">
        <v>585</v>
      </c>
      <c r="Q476" s="25">
        <v>0.73124999999999996</v>
      </c>
      <c r="R476" s="24">
        <v>545.86800000000005</v>
      </c>
      <c r="S476" s="50">
        <v>0.68233500000000002</v>
      </c>
      <c r="T476" s="43">
        <v>0.93310823529411768</v>
      </c>
      <c r="U476" s="24">
        <v>0</v>
      </c>
      <c r="V476" s="19">
        <v>4800</v>
      </c>
      <c r="W476" s="19">
        <v>3314.34</v>
      </c>
      <c r="X476" s="21">
        <v>0.69048750000000003</v>
      </c>
      <c r="Y476" s="19">
        <v>3275.2080000000001</v>
      </c>
      <c r="Z476" s="20">
        <v>0.68233500000000002</v>
      </c>
      <c r="AA476" s="30">
        <v>4.5199999999999976E-2</v>
      </c>
      <c r="AB476" s="27">
        <v>0.03</v>
      </c>
      <c r="AC476" s="27">
        <v>4.5199999999999997E-2</v>
      </c>
      <c r="AD476" s="11">
        <v>4.3190474620237861E-2</v>
      </c>
    </row>
    <row r="477" spans="1:30" x14ac:dyDescent="0.25">
      <c r="A477" s="13">
        <v>44237</v>
      </c>
      <c r="B477" s="46" t="s">
        <v>636</v>
      </c>
      <c r="C477" s="13">
        <v>44237</v>
      </c>
      <c r="D477" s="15" t="s">
        <v>245</v>
      </c>
      <c r="E477" s="15">
        <v>98</v>
      </c>
      <c r="F477" s="15">
        <v>90</v>
      </c>
      <c r="G477" s="13">
        <v>44335</v>
      </c>
      <c r="H477" s="17">
        <v>1600</v>
      </c>
      <c r="I477" s="19">
        <v>1133.54</v>
      </c>
      <c r="J477" s="20">
        <v>0.70846250000000011</v>
      </c>
      <c r="K477" s="19">
        <v>912.83000000000015</v>
      </c>
      <c r="L477" s="48">
        <v>0.57051875000000007</v>
      </c>
      <c r="M477" s="42">
        <v>0</v>
      </c>
      <c r="N477" s="22">
        <v>0</v>
      </c>
      <c r="O477" s="23">
        <v>320</v>
      </c>
      <c r="P477" s="24">
        <v>100</v>
      </c>
      <c r="Q477" s="25">
        <v>0.3125</v>
      </c>
      <c r="R477" s="24">
        <v>100</v>
      </c>
      <c r="S477" s="50">
        <v>0.3125</v>
      </c>
      <c r="T477" s="43">
        <v>0</v>
      </c>
      <c r="U477" s="24">
        <v>0</v>
      </c>
      <c r="V477" s="19">
        <v>1920</v>
      </c>
      <c r="W477" s="19">
        <v>1233.54</v>
      </c>
      <c r="X477" s="21">
        <v>0.64246875000000003</v>
      </c>
      <c r="Y477" s="19">
        <v>1012.8300000000002</v>
      </c>
      <c r="Z477" s="20">
        <v>0.52751562500000004</v>
      </c>
      <c r="AA477" s="30">
        <v>4.9000000000000002E-2</v>
      </c>
      <c r="AB477" s="27">
        <v>3.9399999999999998E-2</v>
      </c>
      <c r="AC477" s="27">
        <v>5.5E-2</v>
      </c>
      <c r="AD477" s="11">
        <v>4.9182569649064006E-2</v>
      </c>
    </row>
    <row r="478" spans="1:30" x14ac:dyDescent="0.25">
      <c r="A478" s="13">
        <v>44238</v>
      </c>
      <c r="B478" s="46" t="s">
        <v>636</v>
      </c>
      <c r="C478" s="13">
        <v>44239</v>
      </c>
      <c r="D478" s="15" t="s">
        <v>246</v>
      </c>
      <c r="E478" s="15">
        <v>378</v>
      </c>
      <c r="F478" s="15">
        <v>360</v>
      </c>
      <c r="G478" s="13">
        <v>44617</v>
      </c>
      <c r="H478" s="17">
        <v>6000</v>
      </c>
      <c r="I478" s="19">
        <v>15136.94</v>
      </c>
      <c r="J478" s="20">
        <v>2.522823333333331</v>
      </c>
      <c r="K478" s="19">
        <v>5812.2900000000009</v>
      </c>
      <c r="L478" s="48">
        <v>0.9687150000000001</v>
      </c>
      <c r="M478" s="42">
        <v>0</v>
      </c>
      <c r="N478" s="22">
        <v>1550</v>
      </c>
      <c r="O478" s="23">
        <v>1200</v>
      </c>
      <c r="P478" s="24">
        <v>1200</v>
      </c>
      <c r="Q478" s="25">
        <v>1</v>
      </c>
      <c r="R478" s="24">
        <v>1162.4580000000001</v>
      </c>
      <c r="S478" s="50">
        <v>0.9687150000000001</v>
      </c>
      <c r="T478" s="43">
        <v>0.9687150000000001</v>
      </c>
      <c r="U478" s="24">
        <v>1162.4580000000001</v>
      </c>
      <c r="V478" s="19">
        <v>7200</v>
      </c>
      <c r="W478" s="19">
        <v>16336.94</v>
      </c>
      <c r="X478" s="21">
        <v>2.2690194444444445</v>
      </c>
      <c r="Y478" s="19">
        <v>6974.7480000000014</v>
      </c>
      <c r="Z478" s="20">
        <v>0.96871500000000021</v>
      </c>
      <c r="AA478" s="30">
        <v>6.5800000000000067E-2</v>
      </c>
      <c r="AB478" s="27">
        <v>0.05</v>
      </c>
      <c r="AC478" s="27">
        <v>7.2000000000000008E-2</v>
      </c>
      <c r="AD478" s="11">
        <v>6.5570223241949846E-2</v>
      </c>
    </row>
    <row r="479" spans="1:30" x14ac:dyDescent="0.25">
      <c r="A479" s="13">
        <v>44244</v>
      </c>
      <c r="B479" s="46" t="s">
        <v>636</v>
      </c>
      <c r="C479" s="13">
        <v>44244</v>
      </c>
      <c r="D479" s="15" t="s">
        <v>247</v>
      </c>
      <c r="E479" s="15">
        <v>33</v>
      </c>
      <c r="F479" s="15">
        <v>30</v>
      </c>
      <c r="G479" s="13">
        <v>44277</v>
      </c>
      <c r="H479" s="17">
        <v>5000</v>
      </c>
      <c r="I479" s="19">
        <v>849.37</v>
      </c>
      <c r="J479" s="20">
        <v>0.16987400000000002</v>
      </c>
      <c r="K479" s="19">
        <v>849.37</v>
      </c>
      <c r="L479" s="48">
        <v>0.169874</v>
      </c>
      <c r="M479" s="42">
        <v>0</v>
      </c>
      <c r="N479" s="22">
        <v>0</v>
      </c>
      <c r="O479" s="23">
        <v>1000</v>
      </c>
      <c r="P479" s="24">
        <v>31.5</v>
      </c>
      <c r="Q479" s="25">
        <v>3.15E-2</v>
      </c>
      <c r="R479" s="24">
        <v>31.5</v>
      </c>
      <c r="S479" s="50">
        <v>3.15E-2</v>
      </c>
      <c r="T479" s="43">
        <v>0</v>
      </c>
      <c r="U479" s="24">
        <v>0</v>
      </c>
      <c r="V479" s="19">
        <v>6000</v>
      </c>
      <c r="W479" s="19">
        <v>880.87</v>
      </c>
      <c r="X479" s="21">
        <v>0.14681166666666667</v>
      </c>
      <c r="Y479" s="19">
        <v>880.87</v>
      </c>
      <c r="Z479" s="20">
        <v>0.14681166666666667</v>
      </c>
      <c r="AA479" s="30">
        <v>4.4999999999999991E-2</v>
      </c>
      <c r="AB479" s="27">
        <v>0.03</v>
      </c>
      <c r="AC479" s="27">
        <v>4.4999999999999998E-2</v>
      </c>
      <c r="AD479" s="11">
        <v>4.1262382707182972E-2</v>
      </c>
    </row>
    <row r="480" spans="1:30" x14ac:dyDescent="0.25">
      <c r="A480" s="13">
        <v>44245</v>
      </c>
      <c r="B480" s="46" t="s">
        <v>636</v>
      </c>
      <c r="C480" s="13">
        <v>44245</v>
      </c>
      <c r="D480" s="15" t="s">
        <v>248</v>
      </c>
      <c r="E480" s="15">
        <v>90</v>
      </c>
      <c r="F480" s="15">
        <v>90</v>
      </c>
      <c r="G480" s="13">
        <v>44335</v>
      </c>
      <c r="H480" s="17">
        <v>3300</v>
      </c>
      <c r="I480" s="19">
        <v>1132.6500000000001</v>
      </c>
      <c r="J480" s="20">
        <v>0.34322727272727271</v>
      </c>
      <c r="K480" s="19">
        <v>732.65</v>
      </c>
      <c r="L480" s="48">
        <v>0.2220151515151515</v>
      </c>
      <c r="M480" s="42">
        <v>0</v>
      </c>
      <c r="N480" s="22">
        <v>0</v>
      </c>
      <c r="O480" s="23">
        <v>660</v>
      </c>
      <c r="P480" s="24">
        <v>160</v>
      </c>
      <c r="Q480" s="25">
        <v>0.24242424242424243</v>
      </c>
      <c r="R480" s="24">
        <v>146.53</v>
      </c>
      <c r="S480" s="50">
        <v>0.22201515151515153</v>
      </c>
      <c r="T480" s="43">
        <v>0.91581250000000003</v>
      </c>
      <c r="U480" s="24">
        <v>0</v>
      </c>
      <c r="V480" s="19">
        <v>3960</v>
      </c>
      <c r="W480" s="19">
        <v>1292.6500000000001</v>
      </c>
      <c r="X480" s="21">
        <v>0.3264267676767677</v>
      </c>
      <c r="Y480" s="19">
        <v>879.18</v>
      </c>
      <c r="Z480" s="20">
        <v>0.2220151515151515</v>
      </c>
      <c r="AA480" s="30">
        <v>4.9999999999999996E-2</v>
      </c>
      <c r="AB480" s="27">
        <v>0.04</v>
      </c>
      <c r="AC480" s="27">
        <v>5.4699999999999999E-2</v>
      </c>
      <c r="AD480" s="11">
        <v>4.949619299871981E-2</v>
      </c>
    </row>
    <row r="481" spans="1:30" x14ac:dyDescent="0.25">
      <c r="A481" s="13">
        <v>44246</v>
      </c>
      <c r="B481" s="46" t="s">
        <v>636</v>
      </c>
      <c r="C481" s="13">
        <v>44246</v>
      </c>
      <c r="D481" s="15" t="s">
        <v>249</v>
      </c>
      <c r="E481" s="15">
        <v>182</v>
      </c>
      <c r="F481" s="15">
        <v>180</v>
      </c>
      <c r="G481" s="13">
        <v>44428</v>
      </c>
      <c r="H481" s="17">
        <v>5800</v>
      </c>
      <c r="I481" s="19">
        <v>8211.510000000002</v>
      </c>
      <c r="J481" s="20">
        <v>1.4157775862068966</v>
      </c>
      <c r="K481" s="19">
        <v>6432.89</v>
      </c>
      <c r="L481" s="48">
        <v>1.1091189655172415</v>
      </c>
      <c r="M481" s="42">
        <v>0</v>
      </c>
      <c r="N481" s="22">
        <v>504</v>
      </c>
      <c r="O481" s="23">
        <v>1160</v>
      </c>
      <c r="P481" s="24">
        <v>1310</v>
      </c>
      <c r="Q481" s="25">
        <v>1.1293103448275861</v>
      </c>
      <c r="R481" s="24">
        <v>1160</v>
      </c>
      <c r="S481" s="50">
        <v>1</v>
      </c>
      <c r="T481" s="43">
        <v>0.88550000000000006</v>
      </c>
      <c r="U481" s="24">
        <v>0</v>
      </c>
      <c r="V481" s="19">
        <v>6960</v>
      </c>
      <c r="W481" s="19">
        <v>9521.510000000002</v>
      </c>
      <c r="X481" s="21">
        <v>1.3680330459770118</v>
      </c>
      <c r="Y481" s="19">
        <v>7592.89</v>
      </c>
      <c r="Z481" s="20">
        <v>1.0909324712643678</v>
      </c>
      <c r="AA481" s="30">
        <v>5.9000000000000066E-2</v>
      </c>
      <c r="AB481" s="27">
        <v>4.4999999999999998E-2</v>
      </c>
      <c r="AC481" s="27">
        <v>6.2300000000000001E-2</v>
      </c>
      <c r="AD481" s="11">
        <v>5.8239838714195073E-2</v>
      </c>
    </row>
    <row r="482" spans="1:30" x14ac:dyDescent="0.25">
      <c r="A482" s="13">
        <v>44249</v>
      </c>
      <c r="B482" s="46" t="s">
        <v>636</v>
      </c>
      <c r="C482" s="13">
        <v>44249</v>
      </c>
      <c r="D482" s="15" t="s">
        <v>250</v>
      </c>
      <c r="E482" s="15">
        <v>42</v>
      </c>
      <c r="F482" s="15">
        <v>30</v>
      </c>
      <c r="G482" s="13">
        <v>44291</v>
      </c>
      <c r="H482" s="17">
        <v>4000</v>
      </c>
      <c r="I482" s="19">
        <v>1628.82</v>
      </c>
      <c r="J482" s="20">
        <v>0.40720499999999987</v>
      </c>
      <c r="K482" s="19">
        <v>1128.7199999999998</v>
      </c>
      <c r="L482" s="48">
        <v>0.28217999999999993</v>
      </c>
      <c r="M482" s="42">
        <v>0</v>
      </c>
      <c r="N482" s="22">
        <v>0</v>
      </c>
      <c r="O482" s="23">
        <v>800</v>
      </c>
      <c r="P482" s="24">
        <v>200</v>
      </c>
      <c r="Q482" s="25">
        <v>0.25</v>
      </c>
      <c r="R482" s="24">
        <v>200</v>
      </c>
      <c r="S482" s="50">
        <v>0.25</v>
      </c>
      <c r="T482" s="43">
        <v>0</v>
      </c>
      <c r="U482" s="24">
        <v>0</v>
      </c>
      <c r="V482" s="19">
        <v>4800</v>
      </c>
      <c r="W482" s="19">
        <v>1828.82</v>
      </c>
      <c r="X482" s="21">
        <v>0.38100416666666664</v>
      </c>
      <c r="Y482" s="19">
        <v>1328.7199999999998</v>
      </c>
      <c r="Z482" s="20">
        <v>0.2768166666666666</v>
      </c>
      <c r="AA482" s="30">
        <v>4.4999999999999991E-2</v>
      </c>
      <c r="AB482" s="27">
        <v>3.5000000000000003E-2</v>
      </c>
      <c r="AC482" s="27">
        <v>5.2400000000000002E-2</v>
      </c>
      <c r="AD482" s="11">
        <v>4.5761450006753357E-2</v>
      </c>
    </row>
    <row r="483" spans="1:30" x14ac:dyDescent="0.25">
      <c r="A483" s="13">
        <v>44251</v>
      </c>
      <c r="B483" s="46" t="s">
        <v>636</v>
      </c>
      <c r="C483" s="13">
        <v>44251</v>
      </c>
      <c r="D483" s="15" t="s">
        <v>251</v>
      </c>
      <c r="E483" s="15">
        <v>91</v>
      </c>
      <c r="F483" s="15">
        <v>90</v>
      </c>
      <c r="G483" s="13">
        <v>44342</v>
      </c>
      <c r="H483" s="17">
        <v>2500</v>
      </c>
      <c r="I483" s="19">
        <v>1749.05</v>
      </c>
      <c r="J483" s="20">
        <v>0.69961999999999991</v>
      </c>
      <c r="K483" s="19">
        <v>1149.05</v>
      </c>
      <c r="L483" s="48">
        <v>0.45961999999999997</v>
      </c>
      <c r="M483" s="42">
        <v>0</v>
      </c>
      <c r="N483" s="22">
        <v>0</v>
      </c>
      <c r="O483" s="23">
        <v>500</v>
      </c>
      <c r="P483" s="24">
        <v>100</v>
      </c>
      <c r="Q483" s="25">
        <v>0.2</v>
      </c>
      <c r="R483" s="24">
        <v>100</v>
      </c>
      <c r="S483" s="50">
        <v>0.2</v>
      </c>
      <c r="T483" s="43">
        <v>0</v>
      </c>
      <c r="U483" s="24">
        <v>0</v>
      </c>
      <c r="V483" s="19">
        <v>3000</v>
      </c>
      <c r="W483" s="19">
        <v>1849.05</v>
      </c>
      <c r="X483" s="21">
        <v>0.61634999999999995</v>
      </c>
      <c r="Y483" s="19">
        <v>1249.05</v>
      </c>
      <c r="Z483" s="20">
        <v>0.41635</v>
      </c>
      <c r="AA483" s="30">
        <v>5.000000000000001E-2</v>
      </c>
      <c r="AB483" s="27">
        <v>0.04</v>
      </c>
      <c r="AC483" s="27">
        <v>5.4400000000000004E-2</v>
      </c>
      <c r="AD483" s="11">
        <v>4.9272805237128729E-2</v>
      </c>
    </row>
    <row r="484" spans="1:30" x14ac:dyDescent="0.25">
      <c r="A484" s="13">
        <v>44252</v>
      </c>
      <c r="B484" s="46" t="s">
        <v>636</v>
      </c>
      <c r="C484" s="13">
        <v>44253</v>
      </c>
      <c r="D484" s="15" t="s">
        <v>252</v>
      </c>
      <c r="E484" s="15">
        <v>392</v>
      </c>
      <c r="F484" s="15">
        <v>360</v>
      </c>
      <c r="G484" s="13">
        <v>44645</v>
      </c>
      <c r="H484" s="17">
        <v>4500</v>
      </c>
      <c r="I484" s="19">
        <v>8002.44</v>
      </c>
      <c r="J484" s="20">
        <v>1.7783199999999997</v>
      </c>
      <c r="K484" s="19">
        <v>4549.2899999999991</v>
      </c>
      <c r="L484" s="48">
        <v>1.0109533333333331</v>
      </c>
      <c r="M484" s="42">
        <v>0</v>
      </c>
      <c r="N484" s="22">
        <v>727.47</v>
      </c>
      <c r="O484" s="23">
        <v>900</v>
      </c>
      <c r="P484" s="24">
        <v>400</v>
      </c>
      <c r="Q484" s="25">
        <v>0.44444444444444442</v>
      </c>
      <c r="R484" s="24">
        <v>400</v>
      </c>
      <c r="S484" s="50">
        <v>0.44444444444444442</v>
      </c>
      <c r="T484" s="43">
        <v>0</v>
      </c>
      <c r="U484" s="24">
        <v>0</v>
      </c>
      <c r="V484" s="19">
        <v>5400</v>
      </c>
      <c r="W484" s="19">
        <v>8402.4399999999987</v>
      </c>
      <c r="X484" s="21">
        <v>1.5560074074074071</v>
      </c>
      <c r="Y484" s="19">
        <v>4949.2899999999991</v>
      </c>
      <c r="Z484" s="20">
        <v>0.91653518518518506</v>
      </c>
      <c r="AA484" s="30">
        <v>6.4399999999999999E-2</v>
      </c>
      <c r="AB484" s="27">
        <v>5.5E-2</v>
      </c>
      <c r="AC484" s="27">
        <v>7.8E-2</v>
      </c>
      <c r="AD484" s="11">
        <v>6.3480936439386002E-2</v>
      </c>
    </row>
    <row r="485" spans="1:30" x14ac:dyDescent="0.25">
      <c r="A485" s="13">
        <v>44256</v>
      </c>
      <c r="B485" s="46" t="s">
        <v>636</v>
      </c>
      <c r="C485" s="13">
        <v>44256</v>
      </c>
      <c r="D485" s="15" t="s">
        <v>253</v>
      </c>
      <c r="E485" s="15">
        <v>35</v>
      </c>
      <c r="F485" s="15">
        <v>30</v>
      </c>
      <c r="G485" s="13">
        <v>44291</v>
      </c>
      <c r="H485" s="17">
        <v>1600</v>
      </c>
      <c r="I485" s="19">
        <v>2613.81</v>
      </c>
      <c r="J485" s="20">
        <v>1.6336312500000001</v>
      </c>
      <c r="K485" s="19">
        <v>2558.81</v>
      </c>
      <c r="L485" s="48">
        <v>1.59925625</v>
      </c>
      <c r="M485" s="42">
        <v>0</v>
      </c>
      <c r="N485" s="22">
        <v>0</v>
      </c>
      <c r="O485" s="23">
        <v>320</v>
      </c>
      <c r="P485" s="24">
        <v>0</v>
      </c>
      <c r="Q485" s="25">
        <v>0</v>
      </c>
      <c r="R485" s="24">
        <v>0</v>
      </c>
      <c r="S485" s="50">
        <v>0</v>
      </c>
      <c r="T485" s="43">
        <v>0</v>
      </c>
      <c r="U485" s="24">
        <v>0</v>
      </c>
      <c r="V485" s="19">
        <v>1920</v>
      </c>
      <c r="W485" s="19">
        <v>2613.81</v>
      </c>
      <c r="X485" s="21">
        <v>1.3613593749999999</v>
      </c>
      <c r="Y485" s="19">
        <v>2558.81</v>
      </c>
      <c r="Z485" s="20">
        <v>1.3327135416666667</v>
      </c>
      <c r="AA485" s="30">
        <v>4.4999999999999984E-2</v>
      </c>
      <c r="AB485" s="27">
        <v>3.9E-2</v>
      </c>
      <c r="AC485" s="27">
        <v>4.8499999999999995E-2</v>
      </c>
      <c r="AD485" s="11">
        <v>4.37243296184497E-2</v>
      </c>
    </row>
    <row r="486" spans="1:30" x14ac:dyDescent="0.25">
      <c r="A486" s="13">
        <v>44258</v>
      </c>
      <c r="B486" s="46" t="s">
        <v>636</v>
      </c>
      <c r="C486" s="13">
        <v>44258</v>
      </c>
      <c r="D486" s="15" t="s">
        <v>254</v>
      </c>
      <c r="E486" s="15">
        <v>84</v>
      </c>
      <c r="F486" s="15">
        <v>90</v>
      </c>
      <c r="G486" s="13">
        <v>44342</v>
      </c>
      <c r="H486" s="17">
        <v>1600</v>
      </c>
      <c r="I486" s="19">
        <v>3136.3499999999995</v>
      </c>
      <c r="J486" s="20">
        <v>1.9602187500000001</v>
      </c>
      <c r="K486" s="19">
        <v>3086.3499999999995</v>
      </c>
      <c r="L486" s="48">
        <v>1.9289687499999997</v>
      </c>
      <c r="M486" s="42">
        <v>0</v>
      </c>
      <c r="N486" s="22">
        <v>0</v>
      </c>
      <c r="O486" s="23">
        <v>320</v>
      </c>
      <c r="P486" s="24">
        <v>0</v>
      </c>
      <c r="Q486" s="25">
        <v>0</v>
      </c>
      <c r="R486" s="24">
        <v>0</v>
      </c>
      <c r="S486" s="50">
        <v>0</v>
      </c>
      <c r="T486" s="43">
        <v>0</v>
      </c>
      <c r="U486" s="24">
        <v>0</v>
      </c>
      <c r="V486" s="19">
        <v>1920</v>
      </c>
      <c r="W486" s="19">
        <v>3136.3499999999995</v>
      </c>
      <c r="X486" s="21">
        <v>1.6335156249999998</v>
      </c>
      <c r="Y486" s="19">
        <v>3086.3499999999995</v>
      </c>
      <c r="Z486" s="20">
        <v>1.6074739583333331</v>
      </c>
      <c r="AA486" s="30">
        <v>5.0000000000000024E-2</v>
      </c>
      <c r="AB486" s="27">
        <v>0.04</v>
      </c>
      <c r="AC486" s="27">
        <v>5.1399999999999994E-2</v>
      </c>
      <c r="AD486" s="11">
        <v>4.7666461970124502E-2</v>
      </c>
    </row>
    <row r="487" spans="1:30" x14ac:dyDescent="0.25">
      <c r="A487" s="13">
        <v>44260</v>
      </c>
      <c r="B487" s="46" t="s">
        <v>636</v>
      </c>
      <c r="C487" s="13">
        <v>44260</v>
      </c>
      <c r="D487" s="15" t="s">
        <v>255</v>
      </c>
      <c r="E487" s="15">
        <v>168</v>
      </c>
      <c r="F487" s="15">
        <v>180</v>
      </c>
      <c r="G487" s="13">
        <v>44428</v>
      </c>
      <c r="H487" s="17">
        <v>3800</v>
      </c>
      <c r="I487" s="19">
        <v>8913.2500000000018</v>
      </c>
      <c r="J487" s="20">
        <v>2.3455921052631572</v>
      </c>
      <c r="K487" s="19">
        <v>7600</v>
      </c>
      <c r="L487" s="48">
        <v>2</v>
      </c>
      <c r="M487" s="42">
        <v>0.46155400000000002</v>
      </c>
      <c r="N487" s="22">
        <v>420</v>
      </c>
      <c r="O487" s="23">
        <v>760</v>
      </c>
      <c r="P487" s="24">
        <v>300</v>
      </c>
      <c r="Q487" s="25">
        <v>0.39473684210526316</v>
      </c>
      <c r="R487" s="24">
        <v>300</v>
      </c>
      <c r="S487" s="50">
        <v>0.39473684210526316</v>
      </c>
      <c r="T487" s="43">
        <v>0</v>
      </c>
      <c r="U487" s="24">
        <v>0</v>
      </c>
      <c r="V487" s="19">
        <v>4560</v>
      </c>
      <c r="W487" s="19">
        <v>9213.2500000000018</v>
      </c>
      <c r="X487" s="21">
        <v>2.0204495614035092</v>
      </c>
      <c r="Y487" s="19">
        <v>7900</v>
      </c>
      <c r="Z487" s="20">
        <v>1.7324561403508771</v>
      </c>
      <c r="AA487" s="30">
        <v>5.9000000000000094E-2</v>
      </c>
      <c r="AB487" s="27">
        <v>0.04</v>
      </c>
      <c r="AC487" s="27">
        <v>6.5000000000000002E-2</v>
      </c>
      <c r="AD487" s="11">
        <v>5.6356565786890279E-2</v>
      </c>
    </row>
    <row r="488" spans="1:30" x14ac:dyDescent="0.25">
      <c r="A488" s="13">
        <v>44263</v>
      </c>
      <c r="B488" s="46" t="s">
        <v>636</v>
      </c>
      <c r="C488" s="13">
        <v>44263</v>
      </c>
      <c r="D488" s="15" t="s">
        <v>256</v>
      </c>
      <c r="E488" s="15">
        <v>28</v>
      </c>
      <c r="F488" s="15">
        <v>30</v>
      </c>
      <c r="G488" s="13">
        <v>44291</v>
      </c>
      <c r="H488" s="17">
        <v>3300</v>
      </c>
      <c r="I488" s="19">
        <v>4196.24</v>
      </c>
      <c r="J488" s="20">
        <v>1.2715878787878787</v>
      </c>
      <c r="K488" s="19">
        <v>3346.24</v>
      </c>
      <c r="L488" s="48">
        <v>1.0140121212121211</v>
      </c>
      <c r="M488" s="42">
        <v>0</v>
      </c>
      <c r="N488" s="22">
        <v>0</v>
      </c>
      <c r="O488" s="23">
        <v>660</v>
      </c>
      <c r="P488" s="24">
        <v>0</v>
      </c>
      <c r="Q488" s="25">
        <v>0</v>
      </c>
      <c r="R488" s="24">
        <v>0</v>
      </c>
      <c r="S488" s="50">
        <v>0</v>
      </c>
      <c r="T488" s="43">
        <v>0</v>
      </c>
      <c r="U488" s="24">
        <v>0</v>
      </c>
      <c r="V488" s="19">
        <v>3960</v>
      </c>
      <c r="W488" s="19">
        <v>4196.24</v>
      </c>
      <c r="X488" s="21">
        <v>1.0596565656565655</v>
      </c>
      <c r="Y488" s="19">
        <v>3346.24</v>
      </c>
      <c r="Z488" s="20">
        <v>0.84501010101010099</v>
      </c>
      <c r="AA488" s="30">
        <v>4.6000000000000013E-2</v>
      </c>
      <c r="AB488" s="27">
        <v>3.5000000000000003E-2</v>
      </c>
      <c r="AC488" s="27">
        <v>5.2499999999999998E-2</v>
      </c>
      <c r="AD488" s="11">
        <v>4.4714458658227381E-2</v>
      </c>
    </row>
    <row r="489" spans="1:30" x14ac:dyDescent="0.25">
      <c r="A489" s="13">
        <v>44265</v>
      </c>
      <c r="B489" s="46" t="s">
        <v>636</v>
      </c>
      <c r="C489" s="13">
        <v>44265</v>
      </c>
      <c r="D489" s="15" t="s">
        <v>257</v>
      </c>
      <c r="E489" s="15">
        <v>77</v>
      </c>
      <c r="F489" s="15">
        <v>90</v>
      </c>
      <c r="G489" s="13">
        <v>44342</v>
      </c>
      <c r="H489" s="17">
        <v>2500</v>
      </c>
      <c r="I489" s="19">
        <v>1621.6399999999999</v>
      </c>
      <c r="J489" s="20">
        <v>0.64865600000000001</v>
      </c>
      <c r="K489" s="19">
        <v>771.6400000000001</v>
      </c>
      <c r="L489" s="48">
        <v>0.30865600000000004</v>
      </c>
      <c r="M489" s="42">
        <v>0</v>
      </c>
      <c r="N489" s="22">
        <v>0</v>
      </c>
      <c r="O489" s="23">
        <v>500</v>
      </c>
      <c r="P489" s="24">
        <v>0</v>
      </c>
      <c r="Q489" s="25">
        <v>0</v>
      </c>
      <c r="R489" s="24">
        <v>0</v>
      </c>
      <c r="S489" s="50">
        <v>0</v>
      </c>
      <c r="T489" s="43">
        <v>0</v>
      </c>
      <c r="U489" s="24">
        <v>0</v>
      </c>
      <c r="V489" s="19">
        <v>3000</v>
      </c>
      <c r="W489" s="19">
        <v>1621.6399999999999</v>
      </c>
      <c r="X489" s="21">
        <v>0.54054666666666662</v>
      </c>
      <c r="Y489" s="19">
        <v>771.6400000000001</v>
      </c>
      <c r="Z489" s="20">
        <v>0.25721333333333335</v>
      </c>
      <c r="AA489" s="30">
        <v>5.0000000000000017E-2</v>
      </c>
      <c r="AB489" s="27">
        <v>0.04</v>
      </c>
      <c r="AC489" s="27">
        <v>5.6500000000000002E-2</v>
      </c>
      <c r="AD489" s="11">
        <v>5.0991520929429462E-2</v>
      </c>
    </row>
    <row r="490" spans="1:30" x14ac:dyDescent="0.25">
      <c r="A490" s="13">
        <v>44266</v>
      </c>
      <c r="B490" s="46" t="s">
        <v>636</v>
      </c>
      <c r="C490" s="13">
        <v>44267</v>
      </c>
      <c r="D490" s="15" t="s">
        <v>258</v>
      </c>
      <c r="E490" s="15">
        <v>378</v>
      </c>
      <c r="F490" s="15">
        <v>360</v>
      </c>
      <c r="G490" s="13">
        <v>44645</v>
      </c>
      <c r="H490" s="17">
        <v>5400</v>
      </c>
      <c r="I490" s="19">
        <v>9780.83</v>
      </c>
      <c r="J490" s="20">
        <v>1.8112648148148149</v>
      </c>
      <c r="K490" s="19">
        <v>6671.829999999999</v>
      </c>
      <c r="L490" s="48">
        <v>1.2355240740740738</v>
      </c>
      <c r="M490" s="42">
        <v>0</v>
      </c>
      <c r="N490" s="19">
        <v>1425.25</v>
      </c>
      <c r="O490" s="23">
        <v>1080</v>
      </c>
      <c r="P490" s="24">
        <v>1580</v>
      </c>
      <c r="Q490" s="25">
        <v>1.462962962962963</v>
      </c>
      <c r="R490" s="24">
        <v>1080</v>
      </c>
      <c r="S490" s="50">
        <v>1</v>
      </c>
      <c r="T490" s="43">
        <v>0.68354439999999994</v>
      </c>
      <c r="U490" s="24">
        <v>0</v>
      </c>
      <c r="V490" s="19">
        <v>6480</v>
      </c>
      <c r="W490" s="19">
        <v>11360.83</v>
      </c>
      <c r="X490" s="21">
        <v>1.7532145061728395</v>
      </c>
      <c r="Y490" s="19">
        <v>7751.829999999999</v>
      </c>
      <c r="Z490" s="20">
        <v>1.196270061728395</v>
      </c>
      <c r="AA490" s="30">
        <v>6.4399999999999999E-2</v>
      </c>
      <c r="AB490" s="27">
        <v>0.05</v>
      </c>
      <c r="AC490" s="27">
        <v>6.7599999999999993E-2</v>
      </c>
      <c r="AD490" s="11">
        <v>6.3603030110941497E-2</v>
      </c>
    </row>
    <row r="491" spans="1:30" x14ac:dyDescent="0.25">
      <c r="A491" s="13">
        <v>44270</v>
      </c>
      <c r="B491" s="46" t="s">
        <v>636</v>
      </c>
      <c r="C491" s="13">
        <v>44270</v>
      </c>
      <c r="D491" s="15" t="s">
        <v>259</v>
      </c>
      <c r="E491" s="15">
        <v>28</v>
      </c>
      <c r="F491" s="15">
        <v>30</v>
      </c>
      <c r="G491" s="13">
        <v>44298</v>
      </c>
      <c r="H491" s="17">
        <v>5000</v>
      </c>
      <c r="I491" s="19">
        <v>603.23</v>
      </c>
      <c r="J491" s="20">
        <v>0.12064600000000002</v>
      </c>
      <c r="K491" s="19">
        <v>603.23</v>
      </c>
      <c r="L491" s="48">
        <v>0.120646</v>
      </c>
      <c r="M491" s="42">
        <v>0</v>
      </c>
      <c r="N491" s="19">
        <v>0</v>
      </c>
      <c r="O491" s="23">
        <v>1000</v>
      </c>
      <c r="P491" s="24">
        <v>0</v>
      </c>
      <c r="Q491" s="25">
        <v>0</v>
      </c>
      <c r="R491" s="24">
        <v>0</v>
      </c>
      <c r="S491" s="50">
        <v>0</v>
      </c>
      <c r="T491" s="43">
        <v>0</v>
      </c>
      <c r="U491" s="24">
        <v>0</v>
      </c>
      <c r="V491" s="19">
        <v>6000</v>
      </c>
      <c r="W491" s="19">
        <v>603.23</v>
      </c>
      <c r="X491" s="21">
        <v>0.10053833333333334</v>
      </c>
      <c r="Y491" s="19">
        <v>603.23</v>
      </c>
      <c r="Z491" s="20">
        <v>0.10053833333333334</v>
      </c>
      <c r="AA491" s="30">
        <v>4.5000000000000012E-2</v>
      </c>
      <c r="AB491" s="27">
        <v>3.6000000000000004E-2</v>
      </c>
      <c r="AC491" s="27">
        <v>4.4999999999999998E-2</v>
      </c>
      <c r="AD491" s="11">
        <v>4.0632702286026889E-2</v>
      </c>
    </row>
    <row r="492" spans="1:30" x14ac:dyDescent="0.25">
      <c r="A492" s="13">
        <v>44272</v>
      </c>
      <c r="B492" s="46" t="s">
        <v>636</v>
      </c>
      <c r="C492" s="13">
        <v>44272</v>
      </c>
      <c r="D492" s="15" t="s">
        <v>260</v>
      </c>
      <c r="E492" s="15">
        <v>98</v>
      </c>
      <c r="F492" s="15">
        <v>90</v>
      </c>
      <c r="G492" s="13">
        <v>44370</v>
      </c>
      <c r="H492" s="17">
        <v>3300</v>
      </c>
      <c r="I492" s="19">
        <v>153.18</v>
      </c>
      <c r="J492" s="20">
        <v>4.641818181818181E-2</v>
      </c>
      <c r="K492" s="19">
        <v>153.18</v>
      </c>
      <c r="L492" s="48">
        <v>4.6418181818181824E-2</v>
      </c>
      <c r="M492" s="42">
        <v>0</v>
      </c>
      <c r="N492" s="19">
        <v>0</v>
      </c>
      <c r="O492" s="23">
        <v>660</v>
      </c>
      <c r="P492" s="24">
        <v>0</v>
      </c>
      <c r="Q492" s="25">
        <v>0</v>
      </c>
      <c r="R492" s="24">
        <v>0</v>
      </c>
      <c r="S492" s="50">
        <v>0</v>
      </c>
      <c r="T492" s="43">
        <v>0</v>
      </c>
      <c r="U492" s="24">
        <v>0</v>
      </c>
      <c r="V492" s="19">
        <v>3960</v>
      </c>
      <c r="W492" s="19">
        <v>153.18</v>
      </c>
      <c r="X492" s="21">
        <v>3.8681818181818185E-2</v>
      </c>
      <c r="Y492" s="19">
        <v>153.18</v>
      </c>
      <c r="Z492" s="20">
        <v>3.8681818181818185E-2</v>
      </c>
      <c r="AA492" s="30">
        <v>4.8499999999999995E-2</v>
      </c>
      <c r="AB492" s="27">
        <v>0.04</v>
      </c>
      <c r="AC492" s="27">
        <v>4.8499999999999995E-2</v>
      </c>
      <c r="AD492" s="11">
        <v>4.4732667450058751E-2</v>
      </c>
    </row>
    <row r="493" spans="1:30" x14ac:dyDescent="0.25">
      <c r="A493" s="13">
        <v>44274</v>
      </c>
      <c r="B493" s="46" t="s">
        <v>636</v>
      </c>
      <c r="C493" s="13">
        <v>44274</v>
      </c>
      <c r="D493" s="15" t="s">
        <v>261</v>
      </c>
      <c r="E493" s="15">
        <v>182</v>
      </c>
      <c r="F493" s="15">
        <v>180</v>
      </c>
      <c r="G493" s="13">
        <v>44456</v>
      </c>
      <c r="H493" s="17">
        <v>6500</v>
      </c>
      <c r="I493" s="19">
        <v>7049.64</v>
      </c>
      <c r="J493" s="20">
        <v>1.0845599999999997</v>
      </c>
      <c r="K493" s="19">
        <v>6449.64</v>
      </c>
      <c r="L493" s="48">
        <v>0.99225230769230777</v>
      </c>
      <c r="M493" s="42">
        <v>0</v>
      </c>
      <c r="N493" s="19">
        <v>0</v>
      </c>
      <c r="O493" s="23">
        <v>1300</v>
      </c>
      <c r="P493" s="24">
        <v>1400</v>
      </c>
      <c r="Q493" s="25">
        <v>1.0769230769230771</v>
      </c>
      <c r="R493" s="24">
        <v>1289.9279999999999</v>
      </c>
      <c r="S493" s="50">
        <v>0.99225230769230766</v>
      </c>
      <c r="T493" s="43">
        <v>0.92137725000000004</v>
      </c>
      <c r="U493" s="24">
        <v>0</v>
      </c>
      <c r="V493" s="19">
        <v>7800</v>
      </c>
      <c r="W493" s="19">
        <v>8449.64</v>
      </c>
      <c r="X493" s="21">
        <v>1.0832871794871795</v>
      </c>
      <c r="Y493" s="19">
        <v>7739.5680000000002</v>
      </c>
      <c r="Z493" s="20">
        <v>0.99225230769230777</v>
      </c>
      <c r="AA493" s="30">
        <v>5.9800000000000055E-2</v>
      </c>
      <c r="AB493" s="27">
        <v>0.04</v>
      </c>
      <c r="AC493" s="27">
        <v>6.2E-2</v>
      </c>
      <c r="AD493" s="11">
        <v>5.7965020199613033E-2</v>
      </c>
    </row>
    <row r="494" spans="1:30" x14ac:dyDescent="0.25">
      <c r="A494" s="13">
        <v>44277</v>
      </c>
      <c r="B494" s="46" t="s">
        <v>636</v>
      </c>
      <c r="C494" s="13">
        <v>44277</v>
      </c>
      <c r="D494" s="15" t="s">
        <v>262</v>
      </c>
      <c r="E494" s="15">
        <v>35</v>
      </c>
      <c r="F494" s="15">
        <v>30</v>
      </c>
      <c r="G494" s="13">
        <v>44312</v>
      </c>
      <c r="H494" s="17">
        <v>4500</v>
      </c>
      <c r="I494" s="19">
        <v>2328.92</v>
      </c>
      <c r="J494" s="20">
        <v>0.51753777777777776</v>
      </c>
      <c r="K494" s="19">
        <v>2278.92</v>
      </c>
      <c r="L494" s="48">
        <v>0.50642666666666669</v>
      </c>
      <c r="M494" s="42">
        <v>0</v>
      </c>
      <c r="N494" s="19">
        <v>0</v>
      </c>
      <c r="O494" s="23">
        <v>900</v>
      </c>
      <c r="P494" s="24">
        <v>516</v>
      </c>
      <c r="Q494" s="25">
        <v>0.57333333333333336</v>
      </c>
      <c r="R494" s="24">
        <v>455.78399999999999</v>
      </c>
      <c r="S494" s="50">
        <v>0.50642666666666669</v>
      </c>
      <c r="T494" s="43">
        <v>0.88330240000000004</v>
      </c>
      <c r="U494" s="24">
        <v>0</v>
      </c>
      <c r="V494" s="19">
        <v>5400</v>
      </c>
      <c r="W494" s="19">
        <v>2844.92</v>
      </c>
      <c r="X494" s="21">
        <v>0.5268370370370371</v>
      </c>
      <c r="Y494" s="19">
        <v>2734.7040000000002</v>
      </c>
      <c r="Z494" s="20">
        <v>0.50642666666666669</v>
      </c>
      <c r="AA494" s="30">
        <v>4.5800000000000021E-2</v>
      </c>
      <c r="AB494" s="27">
        <v>3.5000000000000003E-2</v>
      </c>
      <c r="AC494" s="27">
        <v>4.5999999999999999E-2</v>
      </c>
      <c r="AD494" s="11">
        <v>4.2522838912457277E-2</v>
      </c>
    </row>
    <row r="495" spans="1:30" x14ac:dyDescent="0.25">
      <c r="A495" s="13">
        <v>44279</v>
      </c>
      <c r="B495" s="46" t="s">
        <v>636</v>
      </c>
      <c r="C495" s="13">
        <v>44279</v>
      </c>
      <c r="D495" s="15" t="s">
        <v>263</v>
      </c>
      <c r="E495" s="15">
        <v>91</v>
      </c>
      <c r="F495" s="15">
        <v>90</v>
      </c>
      <c r="G495" s="13">
        <v>44370</v>
      </c>
      <c r="H495" s="17">
        <v>2000</v>
      </c>
      <c r="I495" s="19">
        <v>746.27</v>
      </c>
      <c r="J495" s="20">
        <v>0.37313499999999999</v>
      </c>
      <c r="K495" s="19">
        <v>376.27</v>
      </c>
      <c r="L495" s="48">
        <v>0.188135</v>
      </c>
      <c r="M495" s="42">
        <v>0</v>
      </c>
      <c r="N495" s="19">
        <v>0</v>
      </c>
      <c r="O495" s="23">
        <v>400</v>
      </c>
      <c r="P495" s="24">
        <v>0</v>
      </c>
      <c r="Q495" s="25">
        <v>0</v>
      </c>
      <c r="R495" s="24">
        <v>0</v>
      </c>
      <c r="S495" s="50">
        <v>0</v>
      </c>
      <c r="T495" s="43">
        <v>0</v>
      </c>
      <c r="U495" s="24">
        <v>0</v>
      </c>
      <c r="V495" s="19">
        <v>2400</v>
      </c>
      <c r="W495" s="19">
        <v>746.27</v>
      </c>
      <c r="X495" s="21">
        <v>0.31094583333333331</v>
      </c>
      <c r="Y495" s="19">
        <v>376.27</v>
      </c>
      <c r="Z495" s="20">
        <v>0.15677916666666666</v>
      </c>
      <c r="AA495" s="30">
        <v>4.8000000000000015E-2</v>
      </c>
      <c r="AB495" s="27">
        <v>3.85E-2</v>
      </c>
      <c r="AC495" s="27">
        <v>5.2400000000000002E-2</v>
      </c>
      <c r="AD495" s="11">
        <v>4.8901195277848503E-2</v>
      </c>
    </row>
    <row r="496" spans="1:30" x14ac:dyDescent="0.25">
      <c r="A496" s="13">
        <v>44280</v>
      </c>
      <c r="B496" s="46" t="s">
        <v>636</v>
      </c>
      <c r="C496" s="13">
        <v>44281</v>
      </c>
      <c r="D496" s="15" t="s">
        <v>264</v>
      </c>
      <c r="E496" s="15">
        <v>378</v>
      </c>
      <c r="F496" s="15">
        <v>360</v>
      </c>
      <c r="G496" s="13">
        <v>44659</v>
      </c>
      <c r="H496" s="17">
        <v>5500</v>
      </c>
      <c r="I496" s="19">
        <v>5678.85</v>
      </c>
      <c r="J496" s="20">
        <v>1.0325181818181821</v>
      </c>
      <c r="K496" s="19">
        <v>5003.8500000000004</v>
      </c>
      <c r="L496" s="48">
        <v>0.90979090909090921</v>
      </c>
      <c r="M496" s="42">
        <v>0</v>
      </c>
      <c r="N496" s="19">
        <v>0</v>
      </c>
      <c r="O496" s="23">
        <v>1100</v>
      </c>
      <c r="P496" s="24">
        <v>1130.1100000000001</v>
      </c>
      <c r="Q496" s="25">
        <v>1.0273727272727273</v>
      </c>
      <c r="R496" s="24">
        <v>1000.77</v>
      </c>
      <c r="S496" s="50">
        <v>0.90979090909090909</v>
      </c>
      <c r="T496" s="43">
        <v>0.88555099999999998</v>
      </c>
      <c r="U496" s="24">
        <v>0</v>
      </c>
      <c r="V496" s="19">
        <v>6600</v>
      </c>
      <c r="W496" s="19">
        <v>6808.9600000000009</v>
      </c>
      <c r="X496" s="21">
        <v>1.0316606060606062</v>
      </c>
      <c r="Y496" s="19">
        <v>6004.6200000000008</v>
      </c>
      <c r="Z496" s="20">
        <v>0.90979090909090921</v>
      </c>
      <c r="AA496" s="30">
        <v>6.4900000000000055E-2</v>
      </c>
      <c r="AB496" s="27">
        <v>0.05</v>
      </c>
      <c r="AC496" s="27">
        <v>6.8000000000000005E-2</v>
      </c>
      <c r="AD496" s="11">
        <v>6.3581719538286785E-2</v>
      </c>
    </row>
    <row r="497" spans="1:30" x14ac:dyDescent="0.25">
      <c r="A497" s="13">
        <v>44284</v>
      </c>
      <c r="B497" s="46" t="s">
        <v>636</v>
      </c>
      <c r="C497" s="13">
        <v>44284</v>
      </c>
      <c r="D497" s="15" t="s">
        <v>265</v>
      </c>
      <c r="E497" s="15">
        <v>28</v>
      </c>
      <c r="F497" s="15">
        <v>30</v>
      </c>
      <c r="G497" s="13">
        <v>44312</v>
      </c>
      <c r="H497" s="17">
        <v>1200</v>
      </c>
      <c r="I497" s="19">
        <v>1243.1300000000001</v>
      </c>
      <c r="J497" s="20">
        <v>1.0359416666666663</v>
      </c>
      <c r="K497" s="19">
        <v>1243.1300000000001</v>
      </c>
      <c r="L497" s="48">
        <v>1.0359416666666668</v>
      </c>
      <c r="M497" s="42">
        <v>0</v>
      </c>
      <c r="N497" s="19">
        <v>0</v>
      </c>
      <c r="O497" s="23">
        <v>240</v>
      </c>
      <c r="P497" s="24">
        <v>260</v>
      </c>
      <c r="Q497" s="25">
        <v>1.0833333333333333</v>
      </c>
      <c r="R497" s="24">
        <v>240</v>
      </c>
      <c r="S497" s="50">
        <v>1</v>
      </c>
      <c r="T497" s="43">
        <v>0.92307708333333338</v>
      </c>
      <c r="U497" s="24">
        <v>0</v>
      </c>
      <c r="V497" s="19">
        <v>1440</v>
      </c>
      <c r="W497" s="19">
        <v>1503.13</v>
      </c>
      <c r="X497" s="21">
        <v>1.0438402777777778</v>
      </c>
      <c r="Y497" s="19">
        <v>1483.13</v>
      </c>
      <c r="Z497" s="20">
        <v>1.0299513888888889</v>
      </c>
      <c r="AA497" s="30">
        <v>4.6399999999999997E-2</v>
      </c>
      <c r="AB497" s="27">
        <v>3.7999999999999999E-2</v>
      </c>
      <c r="AC497" s="27">
        <v>4.6399999999999997E-2</v>
      </c>
      <c r="AD497" s="11">
        <v>4.2885394126117131E-2</v>
      </c>
    </row>
    <row r="498" spans="1:30" x14ac:dyDescent="0.25">
      <c r="A498" s="13">
        <v>44285</v>
      </c>
      <c r="B498" s="46" t="s">
        <v>636</v>
      </c>
      <c r="C498" s="13">
        <v>44285</v>
      </c>
      <c r="D498" s="15" t="s">
        <v>266</v>
      </c>
      <c r="E498" s="15">
        <v>85</v>
      </c>
      <c r="F498" s="15">
        <v>90</v>
      </c>
      <c r="G498" s="13">
        <v>44370</v>
      </c>
      <c r="H498" s="17">
        <v>800</v>
      </c>
      <c r="I498" s="19">
        <v>298.67</v>
      </c>
      <c r="J498" s="20">
        <v>0.37333750000000004</v>
      </c>
      <c r="K498" s="19">
        <v>158.66999999999999</v>
      </c>
      <c r="L498" s="48">
        <v>0.19833749999999997</v>
      </c>
      <c r="M498" s="42">
        <v>0</v>
      </c>
      <c r="N498" s="19">
        <v>0</v>
      </c>
      <c r="O498" s="23">
        <v>160</v>
      </c>
      <c r="P498" s="24">
        <v>20</v>
      </c>
      <c r="Q498" s="25">
        <v>0.125</v>
      </c>
      <c r="R498" s="24">
        <v>20</v>
      </c>
      <c r="S498" s="50">
        <v>0.125</v>
      </c>
      <c r="T498" s="43">
        <v>0</v>
      </c>
      <c r="U498" s="24">
        <v>0</v>
      </c>
      <c r="V498" s="19">
        <v>960</v>
      </c>
      <c r="W498" s="19">
        <v>318.67</v>
      </c>
      <c r="X498" s="21">
        <v>0.33194791666666668</v>
      </c>
      <c r="Y498" s="19">
        <v>178.67</v>
      </c>
      <c r="Z498" s="20">
        <v>0.18611458333333333</v>
      </c>
      <c r="AA498" s="30">
        <v>5.0700000000000002E-2</v>
      </c>
      <c r="AB498" s="27">
        <v>0.04</v>
      </c>
      <c r="AC498" s="27">
        <v>5.2199999999999996E-2</v>
      </c>
      <c r="AD498" s="11">
        <v>4.8144574279304915E-2</v>
      </c>
    </row>
    <row r="499" spans="1:30" x14ac:dyDescent="0.25">
      <c r="A499" s="13">
        <v>44286</v>
      </c>
      <c r="B499" s="46" t="s">
        <v>636</v>
      </c>
      <c r="C499" s="13">
        <v>44286</v>
      </c>
      <c r="D499" s="15" t="s">
        <v>267</v>
      </c>
      <c r="E499" s="15">
        <v>170</v>
      </c>
      <c r="F499" s="15">
        <v>180</v>
      </c>
      <c r="G499" s="13">
        <v>44456</v>
      </c>
      <c r="H499" s="17">
        <v>5000</v>
      </c>
      <c r="I499" s="19">
        <v>3881.4700000000003</v>
      </c>
      <c r="J499" s="20">
        <v>0.77629400000000015</v>
      </c>
      <c r="K499" s="19">
        <v>3131.4700000000003</v>
      </c>
      <c r="L499" s="48">
        <v>0.62629400000000002</v>
      </c>
      <c r="M499" s="42">
        <v>0</v>
      </c>
      <c r="N499" s="19">
        <v>0</v>
      </c>
      <c r="O499" s="23">
        <v>1000</v>
      </c>
      <c r="P499" s="24">
        <v>356.23</v>
      </c>
      <c r="Q499" s="25">
        <v>0.35622999999999999</v>
      </c>
      <c r="R499" s="24">
        <v>356.23</v>
      </c>
      <c r="S499" s="50">
        <v>0.35622999999999999</v>
      </c>
      <c r="T499" s="43">
        <v>0</v>
      </c>
      <c r="U499" s="24">
        <v>0</v>
      </c>
      <c r="V499" s="19">
        <v>6000</v>
      </c>
      <c r="W499" s="19">
        <v>4237.7000000000007</v>
      </c>
      <c r="X499" s="21">
        <v>0.70628333333333349</v>
      </c>
      <c r="Y499" s="19">
        <v>3487.7000000000003</v>
      </c>
      <c r="Z499" s="20">
        <v>0.58128333333333337</v>
      </c>
      <c r="AA499" s="30">
        <v>6.0299999999999916E-2</v>
      </c>
      <c r="AB499" s="27">
        <v>4.8000000000000001E-2</v>
      </c>
      <c r="AC499" s="27">
        <v>6.2400000000000004E-2</v>
      </c>
      <c r="AD499" s="11">
        <v>5.8198579404194782E-2</v>
      </c>
    </row>
    <row r="500" spans="1:30" x14ac:dyDescent="0.25">
      <c r="A500" s="13">
        <v>44291</v>
      </c>
      <c r="B500" s="46" t="s">
        <v>636</v>
      </c>
      <c r="C500" s="13">
        <v>44291</v>
      </c>
      <c r="D500" s="15" t="s">
        <v>268</v>
      </c>
      <c r="E500" s="15">
        <v>35</v>
      </c>
      <c r="F500" s="15">
        <v>30</v>
      </c>
      <c r="G500" s="13">
        <v>44326</v>
      </c>
      <c r="H500" s="17">
        <v>2000</v>
      </c>
      <c r="I500" s="19">
        <v>4197.3099999999995</v>
      </c>
      <c r="J500" s="20">
        <v>2.0986549999999995</v>
      </c>
      <c r="K500" s="19">
        <v>3697.31</v>
      </c>
      <c r="L500" s="48">
        <v>1.8486549999999999</v>
      </c>
      <c r="M500" s="42">
        <v>0</v>
      </c>
      <c r="N500" s="19">
        <v>0</v>
      </c>
      <c r="O500" s="23">
        <v>400</v>
      </c>
      <c r="P500" s="24">
        <v>30</v>
      </c>
      <c r="Q500" s="25">
        <v>7.4999999999999997E-2</v>
      </c>
      <c r="R500" s="24">
        <v>30</v>
      </c>
      <c r="S500" s="50">
        <v>7.4999999999999997E-2</v>
      </c>
      <c r="T500" s="43">
        <v>0</v>
      </c>
      <c r="U500" s="24">
        <v>0</v>
      </c>
      <c r="V500" s="19">
        <v>2400</v>
      </c>
      <c r="W500" s="19">
        <v>4227.3099999999995</v>
      </c>
      <c r="X500" s="21">
        <v>1.7613791666666665</v>
      </c>
      <c r="Y500" s="19">
        <v>3727.31</v>
      </c>
      <c r="Z500" s="20">
        <v>1.5530458333333332</v>
      </c>
      <c r="AA500" s="30">
        <v>4.6000000000000013E-2</v>
      </c>
      <c r="AB500" s="27">
        <v>3.6000000000000004E-2</v>
      </c>
      <c r="AC500" s="27">
        <v>0.05</v>
      </c>
      <c r="AD500" s="11">
        <v>4.4304747564511561E-2</v>
      </c>
    </row>
    <row r="501" spans="1:30" x14ac:dyDescent="0.25">
      <c r="A501" s="13">
        <v>44293</v>
      </c>
      <c r="B501" s="46" t="s">
        <v>636</v>
      </c>
      <c r="C501" s="13">
        <v>44293</v>
      </c>
      <c r="D501" s="15" t="s">
        <v>269</v>
      </c>
      <c r="E501" s="15">
        <v>91</v>
      </c>
      <c r="F501" s="15">
        <v>90</v>
      </c>
      <c r="G501" s="13">
        <v>44384</v>
      </c>
      <c r="H501" s="17">
        <v>1200</v>
      </c>
      <c r="I501" s="19">
        <v>1605.3999999999999</v>
      </c>
      <c r="J501" s="20">
        <v>1.3378333333333332</v>
      </c>
      <c r="K501" s="19">
        <v>1365.3999999999999</v>
      </c>
      <c r="L501" s="48">
        <v>1.1378333333333333</v>
      </c>
      <c r="M501" s="42">
        <v>0</v>
      </c>
      <c r="N501" s="19">
        <v>0</v>
      </c>
      <c r="O501" s="23">
        <v>240</v>
      </c>
      <c r="P501" s="24">
        <v>30</v>
      </c>
      <c r="Q501" s="25">
        <v>0.125</v>
      </c>
      <c r="R501" s="24">
        <v>30</v>
      </c>
      <c r="S501" s="50">
        <v>0.125</v>
      </c>
      <c r="T501" s="43">
        <v>0</v>
      </c>
      <c r="U501" s="24">
        <v>0</v>
      </c>
      <c r="V501" s="19">
        <v>1440</v>
      </c>
      <c r="W501" s="19">
        <v>1635.3999999999999</v>
      </c>
      <c r="X501" s="21">
        <v>1.1356944444444443</v>
      </c>
      <c r="Y501" s="19">
        <v>1395.3999999999999</v>
      </c>
      <c r="Z501" s="20">
        <v>0.96902777777777771</v>
      </c>
      <c r="AA501" s="30">
        <v>5.0899999999999966E-2</v>
      </c>
      <c r="AB501" s="27">
        <v>0.04</v>
      </c>
      <c r="AC501" s="27">
        <v>5.2699999999999997E-2</v>
      </c>
      <c r="AD501" s="11">
        <v>4.7746158589759571E-2</v>
      </c>
    </row>
    <row r="502" spans="1:30" x14ac:dyDescent="0.25">
      <c r="A502" s="13">
        <v>44294</v>
      </c>
      <c r="B502" s="46" t="s">
        <v>636</v>
      </c>
      <c r="C502" s="13">
        <v>44295</v>
      </c>
      <c r="D502" s="15" t="s">
        <v>270</v>
      </c>
      <c r="E502" s="15">
        <v>378</v>
      </c>
      <c r="F502" s="15">
        <v>360</v>
      </c>
      <c r="G502" s="13">
        <v>44673</v>
      </c>
      <c r="H502" s="17">
        <v>7000</v>
      </c>
      <c r="I502" s="19">
        <v>7059.94</v>
      </c>
      <c r="J502" s="20">
        <v>1.0085628571428569</v>
      </c>
      <c r="K502" s="19">
        <v>5334.94</v>
      </c>
      <c r="L502" s="48">
        <v>0.76213428571428565</v>
      </c>
      <c r="M502" s="42">
        <v>0</v>
      </c>
      <c r="N502" s="19">
        <v>0</v>
      </c>
      <c r="O502" s="23">
        <v>1400</v>
      </c>
      <c r="P502" s="24">
        <v>550</v>
      </c>
      <c r="Q502" s="25">
        <v>0.39285714285714285</v>
      </c>
      <c r="R502" s="24">
        <v>550</v>
      </c>
      <c r="S502" s="50">
        <v>0.39285714285714285</v>
      </c>
      <c r="T502" s="43">
        <v>0</v>
      </c>
      <c r="U502" s="24">
        <v>0</v>
      </c>
      <c r="V502" s="19">
        <v>8400</v>
      </c>
      <c r="W502" s="19">
        <v>7609.94</v>
      </c>
      <c r="X502" s="21">
        <v>0.90594523809523808</v>
      </c>
      <c r="Y502" s="19">
        <v>5884.94</v>
      </c>
      <c r="Z502" s="20">
        <v>0.70058809523809518</v>
      </c>
      <c r="AA502" s="30">
        <v>6.5199999999999952E-2</v>
      </c>
      <c r="AB502" s="27">
        <v>0.05</v>
      </c>
      <c r="AC502" s="27">
        <v>6.9000000000000006E-2</v>
      </c>
      <c r="AD502" s="11">
        <v>6.3824893695980434E-2</v>
      </c>
    </row>
    <row r="503" spans="1:30" x14ac:dyDescent="0.25">
      <c r="A503" s="13">
        <v>44298</v>
      </c>
      <c r="B503" s="46" t="s">
        <v>636</v>
      </c>
      <c r="C503" s="13">
        <v>44298</v>
      </c>
      <c r="D503" s="15" t="s">
        <v>271</v>
      </c>
      <c r="E503" s="15">
        <v>28</v>
      </c>
      <c r="F503" s="15">
        <v>30</v>
      </c>
      <c r="G503" s="13">
        <v>44326</v>
      </c>
      <c r="H503" s="17">
        <v>2800</v>
      </c>
      <c r="I503" s="19">
        <v>1701.4699999999998</v>
      </c>
      <c r="J503" s="20">
        <v>0.6076678571428572</v>
      </c>
      <c r="K503" s="19">
        <v>1451.4699999999998</v>
      </c>
      <c r="L503" s="48">
        <v>0.51838214285714279</v>
      </c>
      <c r="M503" s="42">
        <v>0</v>
      </c>
      <c r="N503" s="19">
        <v>0</v>
      </c>
      <c r="O503" s="23">
        <v>560</v>
      </c>
      <c r="P503" s="24">
        <v>100</v>
      </c>
      <c r="Q503" s="25">
        <v>0.17857142857142858</v>
      </c>
      <c r="R503" s="24">
        <v>100</v>
      </c>
      <c r="S503" s="50">
        <v>0.17857142857142858</v>
      </c>
      <c r="T503" s="43">
        <v>0</v>
      </c>
      <c r="U503" s="24">
        <v>0</v>
      </c>
      <c r="V503" s="19">
        <v>3360</v>
      </c>
      <c r="W503" s="19">
        <v>1801.4699999999998</v>
      </c>
      <c r="X503" s="21">
        <v>0.53615178571428568</v>
      </c>
      <c r="Y503" s="19">
        <v>1551.4699999999998</v>
      </c>
      <c r="Z503" s="20">
        <v>0.46174702380952376</v>
      </c>
      <c r="AA503" s="30">
        <v>4.6200000000000012E-2</v>
      </c>
      <c r="AB503" s="27">
        <v>3.5000000000000003E-2</v>
      </c>
      <c r="AC503" s="27">
        <v>4.9000000000000002E-2</v>
      </c>
      <c r="AD503" s="11">
        <v>4.3096698736974505E-2</v>
      </c>
    </row>
    <row r="504" spans="1:30" x14ac:dyDescent="0.25">
      <c r="A504" s="13">
        <v>44300</v>
      </c>
      <c r="B504" s="46" t="s">
        <v>636</v>
      </c>
      <c r="C504" s="13">
        <v>44300</v>
      </c>
      <c r="D504" s="15" t="s">
        <v>272</v>
      </c>
      <c r="E504" s="15">
        <v>84</v>
      </c>
      <c r="F504" s="15">
        <v>90</v>
      </c>
      <c r="G504" s="13">
        <v>44384</v>
      </c>
      <c r="H504" s="17">
        <v>2000</v>
      </c>
      <c r="I504" s="19">
        <v>1551.18</v>
      </c>
      <c r="J504" s="20">
        <v>0.77558999999999978</v>
      </c>
      <c r="K504" s="19">
        <v>1551.18</v>
      </c>
      <c r="L504" s="48">
        <v>0.77559</v>
      </c>
      <c r="M504" s="42">
        <v>0</v>
      </c>
      <c r="N504" s="19">
        <v>0</v>
      </c>
      <c r="O504" s="23">
        <v>400</v>
      </c>
      <c r="P504" s="24">
        <v>150.19999999999999</v>
      </c>
      <c r="Q504" s="25">
        <v>0.3755</v>
      </c>
      <c r="R504" s="24">
        <v>150.19999999999999</v>
      </c>
      <c r="S504" s="50">
        <v>0.37549999999999994</v>
      </c>
      <c r="T504" s="43">
        <v>0</v>
      </c>
      <c r="U504" s="24">
        <v>0</v>
      </c>
      <c r="V504" s="19">
        <v>2400</v>
      </c>
      <c r="W504" s="19">
        <v>1701.38</v>
      </c>
      <c r="X504" s="21">
        <v>0.70890833333333336</v>
      </c>
      <c r="Y504" s="19">
        <v>1701.38</v>
      </c>
      <c r="Z504" s="20">
        <v>0.70890833333333336</v>
      </c>
      <c r="AA504" s="30">
        <v>5.1699999999999989E-2</v>
      </c>
      <c r="AB504" s="27">
        <v>0.04</v>
      </c>
      <c r="AC504" s="27">
        <v>5.1699999999999996E-2</v>
      </c>
      <c r="AD504" s="11">
        <v>4.9567329387949825E-2</v>
      </c>
    </row>
    <row r="505" spans="1:30" x14ac:dyDescent="0.25">
      <c r="A505" s="13">
        <v>44302</v>
      </c>
      <c r="B505" s="46" t="s">
        <v>636</v>
      </c>
      <c r="C505" s="13">
        <v>44302</v>
      </c>
      <c r="D505" s="15" t="s">
        <v>273</v>
      </c>
      <c r="E505" s="15">
        <v>196</v>
      </c>
      <c r="F505" s="15">
        <v>180</v>
      </c>
      <c r="G505" s="13">
        <v>44498</v>
      </c>
      <c r="H505" s="17">
        <v>5400</v>
      </c>
      <c r="I505" s="19">
        <v>7246.93</v>
      </c>
      <c r="J505" s="20">
        <v>1.3420240740740736</v>
      </c>
      <c r="K505" s="19">
        <v>6996.93</v>
      </c>
      <c r="L505" s="48">
        <v>1.2957277777777778</v>
      </c>
      <c r="M505" s="42">
        <v>0</v>
      </c>
      <c r="N505" s="19">
        <v>0</v>
      </c>
      <c r="O505" s="23">
        <v>1080</v>
      </c>
      <c r="P505" s="24">
        <v>200</v>
      </c>
      <c r="Q505" s="25">
        <v>0.18518518518518517</v>
      </c>
      <c r="R505" s="24">
        <v>200</v>
      </c>
      <c r="S505" s="50">
        <v>0.18518518518518517</v>
      </c>
      <c r="T505" s="43">
        <v>0</v>
      </c>
      <c r="U505" s="24">
        <v>0</v>
      </c>
      <c r="V505" s="19">
        <v>6480</v>
      </c>
      <c r="W505" s="19">
        <v>7446.93</v>
      </c>
      <c r="X505" s="21">
        <v>1.1492175925925927</v>
      </c>
      <c r="Y505" s="19">
        <v>7196.93</v>
      </c>
      <c r="Z505" s="20">
        <v>1.1106373456790124</v>
      </c>
      <c r="AA505" s="30">
        <v>6.0999999999999957E-2</v>
      </c>
      <c r="AB505" s="27">
        <v>0.04</v>
      </c>
      <c r="AC505" s="27">
        <v>6.25E-2</v>
      </c>
      <c r="AD505" s="11">
        <v>5.8349233675501176E-2</v>
      </c>
    </row>
    <row r="506" spans="1:30" x14ac:dyDescent="0.25">
      <c r="A506" s="13">
        <v>44306</v>
      </c>
      <c r="B506" s="46" t="s">
        <v>636</v>
      </c>
      <c r="C506" s="13">
        <v>44306</v>
      </c>
      <c r="D506" s="15" t="s">
        <v>274</v>
      </c>
      <c r="E506" s="15">
        <v>29</v>
      </c>
      <c r="F506" s="15">
        <v>30</v>
      </c>
      <c r="G506" s="13">
        <v>44335</v>
      </c>
      <c r="H506" s="17">
        <v>2500</v>
      </c>
      <c r="I506" s="19">
        <v>316.39999999999998</v>
      </c>
      <c r="J506" s="20">
        <v>0.12656000000000001</v>
      </c>
      <c r="K506" s="19">
        <v>316.39999999999998</v>
      </c>
      <c r="L506" s="48">
        <v>0.12655999999999998</v>
      </c>
      <c r="M506" s="42">
        <v>0</v>
      </c>
      <c r="N506" s="19">
        <v>0</v>
      </c>
      <c r="O506" s="23">
        <v>500</v>
      </c>
      <c r="P506" s="24">
        <v>0</v>
      </c>
      <c r="Q506" s="25">
        <v>0</v>
      </c>
      <c r="R506" s="24">
        <v>0</v>
      </c>
      <c r="S506" s="50">
        <v>0</v>
      </c>
      <c r="T506" s="43">
        <v>0</v>
      </c>
      <c r="U506" s="24">
        <v>0</v>
      </c>
      <c r="V506" s="19">
        <v>3000</v>
      </c>
      <c r="W506" s="19">
        <v>316.39999999999998</v>
      </c>
      <c r="X506" s="21">
        <v>0.10546666666666665</v>
      </c>
      <c r="Y506" s="19">
        <v>316.39999999999998</v>
      </c>
      <c r="Z506" s="20">
        <v>0.10546666666666665</v>
      </c>
      <c r="AA506" s="30">
        <v>4.5000000000000012E-2</v>
      </c>
      <c r="AB506" s="27">
        <v>3.6200000000000003E-2</v>
      </c>
      <c r="AC506" s="27">
        <v>4.4999999999999998E-2</v>
      </c>
      <c r="AD506" s="11">
        <v>4.2254740834386864E-2</v>
      </c>
    </row>
    <row r="507" spans="1:30" x14ac:dyDescent="0.25">
      <c r="A507" s="13">
        <v>44307</v>
      </c>
      <c r="B507" s="46" t="s">
        <v>636</v>
      </c>
      <c r="C507" s="13">
        <v>44307</v>
      </c>
      <c r="D507" s="15" t="s">
        <v>275</v>
      </c>
      <c r="E507" s="15">
        <v>77</v>
      </c>
      <c r="F507" s="15">
        <v>90</v>
      </c>
      <c r="G507" s="13">
        <v>44384</v>
      </c>
      <c r="H507" s="17">
        <v>2500</v>
      </c>
      <c r="I507" s="19">
        <v>1195.1299999999999</v>
      </c>
      <c r="J507" s="20">
        <v>0.47805199999999998</v>
      </c>
      <c r="K507" s="19">
        <v>995.12999999999988</v>
      </c>
      <c r="L507" s="48">
        <v>0.39805199999999996</v>
      </c>
      <c r="M507" s="42">
        <v>0</v>
      </c>
      <c r="N507" s="19">
        <v>0</v>
      </c>
      <c r="O507" s="23">
        <v>500</v>
      </c>
      <c r="P507" s="24">
        <v>2.8</v>
      </c>
      <c r="Q507" s="25">
        <v>5.5999999999999999E-3</v>
      </c>
      <c r="R507" s="24">
        <v>2.8</v>
      </c>
      <c r="S507" s="50">
        <v>5.5999999999999999E-3</v>
      </c>
      <c r="T507" s="43">
        <v>0</v>
      </c>
      <c r="U507" s="24">
        <v>0</v>
      </c>
      <c r="V507" s="19">
        <v>3000</v>
      </c>
      <c r="W507" s="19">
        <v>1197.9299999999998</v>
      </c>
      <c r="X507" s="21">
        <v>0.39930999999999994</v>
      </c>
      <c r="Y507" s="19">
        <v>997.92999999999984</v>
      </c>
      <c r="Z507" s="20">
        <v>0.33264333333333329</v>
      </c>
      <c r="AA507" s="30">
        <v>5.000000000000001E-2</v>
      </c>
      <c r="AB507" s="27">
        <v>0.04</v>
      </c>
      <c r="AC507" s="27">
        <v>5.5E-2</v>
      </c>
      <c r="AD507" s="11">
        <v>4.860411838042724E-2</v>
      </c>
    </row>
    <row r="508" spans="1:30" x14ac:dyDescent="0.25">
      <c r="A508" s="13">
        <v>44308</v>
      </c>
      <c r="B508" s="46" t="s">
        <v>636</v>
      </c>
      <c r="C508" s="13">
        <v>44309</v>
      </c>
      <c r="D508" s="15" t="s">
        <v>276</v>
      </c>
      <c r="E508" s="15">
        <v>378</v>
      </c>
      <c r="F508" s="15">
        <v>360</v>
      </c>
      <c r="G508" s="13">
        <v>44687</v>
      </c>
      <c r="H508" s="17">
        <v>7500</v>
      </c>
      <c r="I508" s="19">
        <v>3698.07</v>
      </c>
      <c r="J508" s="20">
        <v>0.49307599999999985</v>
      </c>
      <c r="K508" s="19">
        <v>2898.0699999999997</v>
      </c>
      <c r="L508" s="48">
        <v>0.38640933333333327</v>
      </c>
      <c r="M508" s="42">
        <v>0</v>
      </c>
      <c r="N508" s="19">
        <v>0</v>
      </c>
      <c r="O508" s="23">
        <v>1500</v>
      </c>
      <c r="P508" s="24">
        <v>590</v>
      </c>
      <c r="Q508" s="25">
        <v>0.39333333333333331</v>
      </c>
      <c r="R508" s="24">
        <v>579.61400000000003</v>
      </c>
      <c r="S508" s="50">
        <v>0.38640933333333338</v>
      </c>
      <c r="T508" s="43">
        <v>0.98239750000000003</v>
      </c>
      <c r="U508" s="24">
        <v>0</v>
      </c>
      <c r="V508" s="19">
        <v>9000</v>
      </c>
      <c r="W508" s="19">
        <v>4288.07</v>
      </c>
      <c r="X508" s="21">
        <v>0.47645222222222217</v>
      </c>
      <c r="Y508" s="19">
        <v>3477.6839999999997</v>
      </c>
      <c r="Z508" s="20">
        <v>0.38640933333333333</v>
      </c>
      <c r="AA508" s="30">
        <v>6.6799999999999998E-2</v>
      </c>
      <c r="AB508" s="27">
        <v>5.5E-2</v>
      </c>
      <c r="AC508" s="27">
        <v>6.8000000000000005E-2</v>
      </c>
      <c r="AD508" s="11">
        <v>6.5413542739861608E-2</v>
      </c>
    </row>
    <row r="509" spans="1:30" x14ac:dyDescent="0.25">
      <c r="A509" s="13">
        <v>44312</v>
      </c>
      <c r="B509" s="46" t="s">
        <v>636</v>
      </c>
      <c r="C509" s="13">
        <v>44312</v>
      </c>
      <c r="D509" s="15" t="s">
        <v>277</v>
      </c>
      <c r="E509" s="15">
        <v>35</v>
      </c>
      <c r="F509" s="15">
        <v>30</v>
      </c>
      <c r="G509" s="13">
        <v>44347</v>
      </c>
      <c r="H509" s="17">
        <v>2500</v>
      </c>
      <c r="I509" s="19">
        <v>1050.55</v>
      </c>
      <c r="J509" s="20">
        <v>0.42022000000000009</v>
      </c>
      <c r="K509" s="19">
        <v>1050.03</v>
      </c>
      <c r="L509" s="48">
        <v>0.420012</v>
      </c>
      <c r="M509" s="42">
        <v>0</v>
      </c>
      <c r="N509" s="19">
        <v>0</v>
      </c>
      <c r="O509" s="23">
        <v>500</v>
      </c>
      <c r="P509" s="24">
        <v>16</v>
      </c>
      <c r="Q509" s="25">
        <v>3.2000000000000001E-2</v>
      </c>
      <c r="R509" s="24">
        <v>16</v>
      </c>
      <c r="S509" s="50">
        <v>3.2000000000000001E-2</v>
      </c>
      <c r="T509" s="43">
        <v>0</v>
      </c>
      <c r="U509" s="24">
        <v>0</v>
      </c>
      <c r="V509" s="19">
        <v>3000</v>
      </c>
      <c r="W509" s="19">
        <v>1066.55</v>
      </c>
      <c r="X509" s="21">
        <v>0.35551666666666665</v>
      </c>
      <c r="Y509" s="19">
        <v>1066.03</v>
      </c>
      <c r="Z509" s="20">
        <v>0.35534333333333334</v>
      </c>
      <c r="AA509" s="30">
        <v>4.4999999999999984E-2</v>
      </c>
      <c r="AB509" s="27">
        <v>3.5000000000000003E-2</v>
      </c>
      <c r="AC509" s="27">
        <v>4.8000000000000001E-2</v>
      </c>
      <c r="AD509" s="11">
        <v>4.103116462805198E-2</v>
      </c>
    </row>
    <row r="510" spans="1:30" x14ac:dyDescent="0.25">
      <c r="A510" s="13">
        <v>44314</v>
      </c>
      <c r="B510" s="46" t="s">
        <v>636</v>
      </c>
      <c r="C510" s="13">
        <v>44314</v>
      </c>
      <c r="D510" s="15" t="s">
        <v>278</v>
      </c>
      <c r="E510" s="15">
        <v>98</v>
      </c>
      <c r="F510" s="15">
        <v>90</v>
      </c>
      <c r="G510" s="13">
        <v>44412</v>
      </c>
      <c r="H510" s="17">
        <v>1300</v>
      </c>
      <c r="I510" s="19">
        <v>335.69</v>
      </c>
      <c r="J510" s="20">
        <v>0.25822307692307689</v>
      </c>
      <c r="K510" s="19">
        <v>335.69</v>
      </c>
      <c r="L510" s="48">
        <v>0.25822307692307694</v>
      </c>
      <c r="M510" s="42">
        <v>0</v>
      </c>
      <c r="N510" s="19">
        <v>0</v>
      </c>
      <c r="O510" s="23">
        <v>260</v>
      </c>
      <c r="P510" s="24">
        <v>5.76</v>
      </c>
      <c r="Q510" s="25">
        <v>2.2153846153846152E-2</v>
      </c>
      <c r="R510" s="24">
        <v>5.76</v>
      </c>
      <c r="S510" s="50">
        <v>2.2153846153846152E-2</v>
      </c>
      <c r="T510" s="43">
        <v>0</v>
      </c>
      <c r="U510" s="24">
        <v>0</v>
      </c>
      <c r="V510" s="19">
        <v>1560</v>
      </c>
      <c r="W510" s="19">
        <v>341.45</v>
      </c>
      <c r="X510" s="21">
        <v>0.21887820512820513</v>
      </c>
      <c r="Y510" s="19">
        <v>341.45</v>
      </c>
      <c r="Z510" s="20">
        <v>0.21887820512820513</v>
      </c>
      <c r="AA510" s="30">
        <v>5.3000000000000012E-2</v>
      </c>
      <c r="AB510" s="27">
        <v>0.04</v>
      </c>
      <c r="AC510" s="27">
        <v>5.2999999999999999E-2</v>
      </c>
      <c r="AD510" s="11">
        <v>4.8832702791265753E-2</v>
      </c>
    </row>
    <row r="511" spans="1:30" x14ac:dyDescent="0.25">
      <c r="A511" s="13">
        <v>44316</v>
      </c>
      <c r="B511" s="46" t="s">
        <v>636</v>
      </c>
      <c r="C511" s="13">
        <v>44316</v>
      </c>
      <c r="D511" s="15" t="s">
        <v>279</v>
      </c>
      <c r="E511" s="15">
        <v>196</v>
      </c>
      <c r="F511" s="15">
        <v>180</v>
      </c>
      <c r="G511" s="13">
        <v>44512</v>
      </c>
      <c r="H511" s="17">
        <v>5800</v>
      </c>
      <c r="I511" s="19">
        <v>2675.92</v>
      </c>
      <c r="J511" s="20">
        <v>0.46136551724137953</v>
      </c>
      <c r="K511" s="19">
        <v>1500.9199999999996</v>
      </c>
      <c r="L511" s="48">
        <v>0.25877931034482754</v>
      </c>
      <c r="M511" s="42">
        <v>0</v>
      </c>
      <c r="N511" s="19">
        <v>0</v>
      </c>
      <c r="O511" s="23">
        <v>1160</v>
      </c>
      <c r="P511" s="24">
        <v>111.1</v>
      </c>
      <c r="Q511" s="25">
        <v>9.5775862068965517E-2</v>
      </c>
      <c r="R511" s="24">
        <v>111.1</v>
      </c>
      <c r="S511" s="50">
        <v>9.5775862068965517E-2</v>
      </c>
      <c r="T511" s="43">
        <v>0</v>
      </c>
      <c r="U511" s="24">
        <v>0</v>
      </c>
      <c r="V511" s="19">
        <v>6960</v>
      </c>
      <c r="W511" s="19">
        <v>2787.02</v>
      </c>
      <c r="X511" s="21">
        <v>0.40043390804597701</v>
      </c>
      <c r="Y511" s="19">
        <v>1612.0199999999995</v>
      </c>
      <c r="Z511" s="20">
        <v>0.23161206896551717</v>
      </c>
      <c r="AA511" s="30">
        <v>6.1900000000000031E-2</v>
      </c>
      <c r="AB511" s="27">
        <v>0.05</v>
      </c>
      <c r="AC511" s="27">
        <v>6.7500000000000004E-2</v>
      </c>
      <c r="AD511" s="11">
        <v>6.1617041615593886E-2</v>
      </c>
    </row>
    <row r="512" spans="1:30" x14ac:dyDescent="0.25">
      <c r="A512" s="13">
        <v>44319</v>
      </c>
      <c r="B512" s="46" t="s">
        <v>636</v>
      </c>
      <c r="C512" s="13">
        <v>44319</v>
      </c>
      <c r="D512" s="15" t="s">
        <v>280</v>
      </c>
      <c r="E512" s="15">
        <v>28</v>
      </c>
      <c r="F512" s="15">
        <v>30</v>
      </c>
      <c r="G512" s="13">
        <v>44347</v>
      </c>
      <c r="H512" s="17">
        <v>2000</v>
      </c>
      <c r="I512" s="19">
        <v>293.56</v>
      </c>
      <c r="J512" s="20">
        <v>0.14678000000000002</v>
      </c>
      <c r="K512" s="19">
        <v>293.56</v>
      </c>
      <c r="L512" s="48">
        <v>0.14677999999999999</v>
      </c>
      <c r="M512" s="42">
        <v>0</v>
      </c>
      <c r="N512" s="19">
        <v>0</v>
      </c>
      <c r="O512" s="23">
        <v>400</v>
      </c>
      <c r="P512" s="24">
        <v>0</v>
      </c>
      <c r="Q512" s="25">
        <v>0</v>
      </c>
      <c r="R512" s="24">
        <v>0</v>
      </c>
      <c r="S512" s="50">
        <v>0</v>
      </c>
      <c r="T512" s="43">
        <v>0</v>
      </c>
      <c r="U512" s="24">
        <v>0</v>
      </c>
      <c r="V512" s="19">
        <v>2400</v>
      </c>
      <c r="W512" s="19">
        <v>293.56</v>
      </c>
      <c r="X512" s="21">
        <v>0.12231666666666667</v>
      </c>
      <c r="Y512" s="19">
        <v>293.56</v>
      </c>
      <c r="Z512" s="20">
        <v>0.12231666666666667</v>
      </c>
      <c r="AA512" s="30">
        <v>4.5000000000000012E-2</v>
      </c>
      <c r="AB512" s="27">
        <v>0.04</v>
      </c>
      <c r="AC512" s="27">
        <v>4.4999999999999998E-2</v>
      </c>
      <c r="AD512" s="11">
        <v>4.3361823817958854E-2</v>
      </c>
    </row>
    <row r="513" spans="1:30" x14ac:dyDescent="0.25">
      <c r="A513" s="13">
        <v>44321</v>
      </c>
      <c r="B513" s="46" t="s">
        <v>636</v>
      </c>
      <c r="C513" s="13">
        <v>44321</v>
      </c>
      <c r="D513" s="15" t="s">
        <v>281</v>
      </c>
      <c r="E513" s="15">
        <v>91</v>
      </c>
      <c r="F513" s="15">
        <v>90</v>
      </c>
      <c r="G513" s="13">
        <v>44412</v>
      </c>
      <c r="H513" s="17">
        <v>1300</v>
      </c>
      <c r="I513" s="19">
        <v>930.55</v>
      </c>
      <c r="J513" s="20">
        <v>0.71580769230769237</v>
      </c>
      <c r="K513" s="19">
        <v>870.55</v>
      </c>
      <c r="L513" s="48">
        <v>0.66965384615384616</v>
      </c>
      <c r="M513" s="42">
        <v>0</v>
      </c>
      <c r="N513" s="19">
        <v>0</v>
      </c>
      <c r="O513" s="23">
        <v>260</v>
      </c>
      <c r="P513" s="24">
        <v>0</v>
      </c>
      <c r="Q513" s="25">
        <v>0</v>
      </c>
      <c r="R513" s="24">
        <v>0</v>
      </c>
      <c r="S513" s="50">
        <v>0</v>
      </c>
      <c r="T513" s="43">
        <v>0</v>
      </c>
      <c r="U513" s="24">
        <v>0</v>
      </c>
      <c r="V513" s="19">
        <v>1560</v>
      </c>
      <c r="W513" s="19">
        <v>930.55</v>
      </c>
      <c r="X513" s="21">
        <v>0.59650641025641027</v>
      </c>
      <c r="Y513" s="19">
        <v>870.55</v>
      </c>
      <c r="Z513" s="20">
        <v>0.55804487179487172</v>
      </c>
      <c r="AA513" s="30">
        <v>5.3000000000000019E-2</v>
      </c>
      <c r="AB513" s="27">
        <v>4.2999999999999997E-2</v>
      </c>
      <c r="AC513" s="27">
        <v>5.7099999999999998E-2</v>
      </c>
      <c r="AD513" s="11">
        <v>4.9728144645639676E-2</v>
      </c>
    </row>
    <row r="514" spans="1:30" x14ac:dyDescent="0.25">
      <c r="A514" s="13">
        <v>44322</v>
      </c>
      <c r="B514" s="46" t="s">
        <v>636</v>
      </c>
      <c r="C514" s="13">
        <v>44323</v>
      </c>
      <c r="D514" s="15" t="s">
        <v>282</v>
      </c>
      <c r="E514" s="15">
        <v>364</v>
      </c>
      <c r="F514" s="15">
        <v>360</v>
      </c>
      <c r="G514" s="13">
        <v>44687</v>
      </c>
      <c r="H514" s="17">
        <v>6500</v>
      </c>
      <c r="I514" s="19">
        <v>5100.7000000000007</v>
      </c>
      <c r="J514" s="20">
        <v>0.78472307692307663</v>
      </c>
      <c r="K514" s="19">
        <v>2480.6999999999998</v>
      </c>
      <c r="L514" s="48">
        <v>0.3816461538461538</v>
      </c>
      <c r="M514" s="42">
        <v>0</v>
      </c>
      <c r="N514" s="19">
        <v>0</v>
      </c>
      <c r="O514" s="23">
        <v>1300</v>
      </c>
      <c r="P514" s="24">
        <v>0</v>
      </c>
      <c r="Q514" s="25">
        <v>0</v>
      </c>
      <c r="R514" s="24">
        <v>0</v>
      </c>
      <c r="S514" s="50">
        <v>0</v>
      </c>
      <c r="T514" s="43">
        <v>0</v>
      </c>
      <c r="U514" s="24">
        <v>0</v>
      </c>
      <c r="V514" s="19">
        <v>7800</v>
      </c>
      <c r="W514" s="19">
        <v>5100.7000000000007</v>
      </c>
      <c r="X514" s="21">
        <v>0.65393589743589753</v>
      </c>
      <c r="Y514" s="19">
        <v>2480.6999999999998</v>
      </c>
      <c r="Z514" s="20">
        <v>0.31803846153846149</v>
      </c>
      <c r="AA514" s="30">
        <v>6.7299999999999957E-2</v>
      </c>
      <c r="AB514" s="27">
        <v>5.5999999999999994E-2</v>
      </c>
      <c r="AC514" s="27">
        <v>7.0999999999999994E-2</v>
      </c>
      <c r="AD514" s="11">
        <v>6.7430905561981697E-2</v>
      </c>
    </row>
    <row r="515" spans="1:30" x14ac:dyDescent="0.25">
      <c r="A515" s="13">
        <v>44326</v>
      </c>
      <c r="B515" s="46" t="s">
        <v>636</v>
      </c>
      <c r="C515" s="13">
        <v>44326</v>
      </c>
      <c r="D515" s="15" t="s">
        <v>283</v>
      </c>
      <c r="E515" s="15">
        <v>28</v>
      </c>
      <c r="F515" s="15">
        <v>30</v>
      </c>
      <c r="G515" s="13">
        <v>44354</v>
      </c>
      <c r="H515" s="17">
        <v>2100</v>
      </c>
      <c r="I515" s="19">
        <v>2402.4900000000002</v>
      </c>
      <c r="J515" s="20">
        <v>1.1440428571428569</v>
      </c>
      <c r="K515" s="19">
        <v>2282.4900000000002</v>
      </c>
      <c r="L515" s="48">
        <v>1.0869000000000002</v>
      </c>
      <c r="M515" s="42">
        <v>0</v>
      </c>
      <c r="N515" s="19">
        <v>0</v>
      </c>
      <c r="O515" s="23">
        <v>420</v>
      </c>
      <c r="P515" s="24">
        <v>430</v>
      </c>
      <c r="Q515" s="25">
        <v>1.0238095238095237</v>
      </c>
      <c r="R515" s="24">
        <v>420</v>
      </c>
      <c r="S515" s="50">
        <v>1</v>
      </c>
      <c r="T515" s="43">
        <v>0.97674424999999998</v>
      </c>
      <c r="U515" s="24">
        <v>0</v>
      </c>
      <c r="V515" s="19">
        <v>2520</v>
      </c>
      <c r="W515" s="19">
        <v>2832.4900000000002</v>
      </c>
      <c r="X515" s="21">
        <v>1.1240039682539684</v>
      </c>
      <c r="Y515" s="19">
        <v>2702.4900000000002</v>
      </c>
      <c r="Z515" s="20">
        <v>1.0724166666666668</v>
      </c>
      <c r="AA515" s="30">
        <v>4.550000000000004E-2</v>
      </c>
      <c r="AB515" s="27">
        <v>3.5000000000000003E-2</v>
      </c>
      <c r="AC515" s="27">
        <v>5.5E-2</v>
      </c>
      <c r="AD515" s="11">
        <v>4.2110618566570536E-2</v>
      </c>
    </row>
    <row r="516" spans="1:30" x14ac:dyDescent="0.25">
      <c r="A516" s="13">
        <v>44328</v>
      </c>
      <c r="B516" s="46" t="s">
        <v>636</v>
      </c>
      <c r="C516" s="13">
        <v>44328</v>
      </c>
      <c r="D516" s="15" t="s">
        <v>284</v>
      </c>
      <c r="E516" s="15">
        <v>84</v>
      </c>
      <c r="F516" s="15">
        <v>90</v>
      </c>
      <c r="G516" s="13">
        <v>44412</v>
      </c>
      <c r="H516" s="17">
        <v>800</v>
      </c>
      <c r="I516" s="19">
        <v>1289.0500000000002</v>
      </c>
      <c r="J516" s="20">
        <v>1.6113124999999999</v>
      </c>
      <c r="K516" s="19">
        <v>1089.0500000000002</v>
      </c>
      <c r="L516" s="48">
        <v>1.3613125000000001</v>
      </c>
      <c r="M516" s="42">
        <v>0</v>
      </c>
      <c r="N516" s="19">
        <v>0</v>
      </c>
      <c r="O516" s="23">
        <v>160</v>
      </c>
      <c r="P516" s="24">
        <v>0</v>
      </c>
      <c r="Q516" s="25">
        <v>0</v>
      </c>
      <c r="R516" s="24">
        <v>0</v>
      </c>
      <c r="S516" s="50">
        <v>0</v>
      </c>
      <c r="T516" s="43">
        <v>0</v>
      </c>
      <c r="U516" s="24">
        <v>0</v>
      </c>
      <c r="V516" s="19">
        <v>960</v>
      </c>
      <c r="W516" s="19">
        <v>1289.0500000000002</v>
      </c>
      <c r="X516" s="21">
        <v>1.3427604166666669</v>
      </c>
      <c r="Y516" s="19">
        <v>1089.0500000000002</v>
      </c>
      <c r="Z516" s="20">
        <v>1.1344270833333334</v>
      </c>
      <c r="AA516" s="30">
        <v>5.2400000000000002E-2</v>
      </c>
      <c r="AB516" s="27">
        <v>0.04</v>
      </c>
      <c r="AC516" s="27">
        <v>5.4800000000000001E-2</v>
      </c>
      <c r="AD516" s="11">
        <v>5.1364395485047114E-2</v>
      </c>
    </row>
    <row r="517" spans="1:30" x14ac:dyDescent="0.25">
      <c r="A517" s="13">
        <v>44330</v>
      </c>
      <c r="B517" s="46" t="s">
        <v>636</v>
      </c>
      <c r="C517" s="13">
        <v>44330</v>
      </c>
      <c r="D517" s="15" t="s">
        <v>285</v>
      </c>
      <c r="E517" s="15">
        <v>182</v>
      </c>
      <c r="F517" s="15">
        <v>180</v>
      </c>
      <c r="G517" s="13">
        <v>44512</v>
      </c>
      <c r="H517" s="17">
        <v>5000</v>
      </c>
      <c r="I517" s="19">
        <v>5003.3700000000008</v>
      </c>
      <c r="J517" s="20">
        <v>1.0006740000000005</v>
      </c>
      <c r="K517" s="19">
        <v>4268.3700000000008</v>
      </c>
      <c r="L517" s="48">
        <v>0.85367400000000015</v>
      </c>
      <c r="M517" s="42">
        <v>0</v>
      </c>
      <c r="N517" s="19">
        <v>0</v>
      </c>
      <c r="O517" s="23">
        <v>1000</v>
      </c>
      <c r="P517" s="24">
        <v>220</v>
      </c>
      <c r="Q517" s="25">
        <v>0.22</v>
      </c>
      <c r="R517" s="24">
        <v>220</v>
      </c>
      <c r="S517" s="50">
        <v>0.22</v>
      </c>
      <c r="T517" s="43">
        <v>0</v>
      </c>
      <c r="U517" s="24">
        <v>0</v>
      </c>
      <c r="V517" s="19">
        <v>6000</v>
      </c>
      <c r="W517" s="19">
        <v>5223.3700000000008</v>
      </c>
      <c r="X517" s="21">
        <v>0.87056166666666679</v>
      </c>
      <c r="Y517" s="19">
        <v>4488.3700000000008</v>
      </c>
      <c r="Z517" s="20">
        <v>0.74806166666666685</v>
      </c>
      <c r="AA517" s="30">
        <v>6.2399999999999921E-2</v>
      </c>
      <c r="AB517" s="27">
        <v>4.9000000000000002E-2</v>
      </c>
      <c r="AC517" s="27">
        <v>6.5000000000000002E-2</v>
      </c>
      <c r="AD517" s="11">
        <v>6.041884989517065E-2</v>
      </c>
    </row>
    <row r="518" spans="1:30" x14ac:dyDescent="0.25">
      <c r="A518" s="13">
        <v>44334</v>
      </c>
      <c r="B518" s="46" t="s">
        <v>636</v>
      </c>
      <c r="C518" s="13">
        <v>44334</v>
      </c>
      <c r="D518" s="15" t="s">
        <v>286</v>
      </c>
      <c r="E518" s="15">
        <v>36</v>
      </c>
      <c r="F518" s="15">
        <v>30</v>
      </c>
      <c r="G518" s="13">
        <v>44370</v>
      </c>
      <c r="H518" s="17">
        <v>1200</v>
      </c>
      <c r="I518" s="19">
        <v>961</v>
      </c>
      <c r="J518" s="20">
        <v>0.8008333333333334</v>
      </c>
      <c r="K518" s="19">
        <v>961</v>
      </c>
      <c r="L518" s="48">
        <v>0.80083333333333329</v>
      </c>
      <c r="M518" s="42">
        <v>0</v>
      </c>
      <c r="N518" s="19">
        <v>0</v>
      </c>
      <c r="O518" s="23">
        <v>240</v>
      </c>
      <c r="P518" s="24">
        <v>0</v>
      </c>
      <c r="Q518" s="25">
        <v>0</v>
      </c>
      <c r="R518" s="24">
        <v>0</v>
      </c>
      <c r="S518" s="50">
        <v>0</v>
      </c>
      <c r="T518" s="43">
        <v>0</v>
      </c>
      <c r="U518" s="24">
        <v>0</v>
      </c>
      <c r="V518" s="19">
        <v>1440</v>
      </c>
      <c r="W518" s="19">
        <v>961</v>
      </c>
      <c r="X518" s="21">
        <v>0.66736111111111107</v>
      </c>
      <c r="Y518" s="19">
        <v>961</v>
      </c>
      <c r="Z518" s="20">
        <v>0.66736111111111107</v>
      </c>
      <c r="AA518" s="30">
        <v>4.6300000000000001E-2</v>
      </c>
      <c r="AB518" s="27">
        <v>3.5000000000000003E-2</v>
      </c>
      <c r="AC518" s="27">
        <v>4.6300000000000001E-2</v>
      </c>
      <c r="AD518" s="11">
        <v>4.4465400624349637E-2</v>
      </c>
    </row>
    <row r="519" spans="1:30" x14ac:dyDescent="0.25">
      <c r="A519" s="13">
        <v>44335</v>
      </c>
      <c r="B519" s="46" t="s">
        <v>636</v>
      </c>
      <c r="C519" s="13">
        <v>44335</v>
      </c>
      <c r="D519" s="15" t="s">
        <v>287</v>
      </c>
      <c r="E519" s="15">
        <v>77</v>
      </c>
      <c r="F519" s="15">
        <v>90</v>
      </c>
      <c r="G519" s="13">
        <v>44412</v>
      </c>
      <c r="H519" s="17">
        <v>1200</v>
      </c>
      <c r="I519" s="19">
        <v>1138.2200000000003</v>
      </c>
      <c r="J519" s="20">
        <v>0.94851666666666667</v>
      </c>
      <c r="K519" s="19">
        <v>1138.2200000000003</v>
      </c>
      <c r="L519" s="48">
        <v>0.9485166666666669</v>
      </c>
      <c r="M519" s="42">
        <v>0</v>
      </c>
      <c r="N519" s="19">
        <v>0</v>
      </c>
      <c r="O519" s="23">
        <v>240</v>
      </c>
      <c r="P519" s="24">
        <v>0</v>
      </c>
      <c r="Q519" s="25">
        <v>0</v>
      </c>
      <c r="R519" s="24">
        <v>0</v>
      </c>
      <c r="S519" s="50">
        <v>0</v>
      </c>
      <c r="T519" s="43">
        <v>0</v>
      </c>
      <c r="U519" s="24">
        <v>0</v>
      </c>
      <c r="V519" s="19">
        <v>1440</v>
      </c>
      <c r="W519" s="19">
        <v>1138.2200000000003</v>
      </c>
      <c r="X519" s="21">
        <v>0.79043055555555575</v>
      </c>
      <c r="Y519" s="19">
        <v>1138.2200000000003</v>
      </c>
      <c r="Z519" s="20">
        <v>0.79043055555555575</v>
      </c>
      <c r="AA519" s="30">
        <v>5.4400000000000004E-2</v>
      </c>
      <c r="AB519" s="27">
        <v>0.04</v>
      </c>
      <c r="AC519" s="27">
        <v>5.4400000000000004E-2</v>
      </c>
      <c r="AD519" s="11">
        <v>5.2374672734620716E-2</v>
      </c>
    </row>
    <row r="520" spans="1:30" x14ac:dyDescent="0.25">
      <c r="A520" s="13">
        <v>44336</v>
      </c>
      <c r="B520" s="46" t="s">
        <v>636</v>
      </c>
      <c r="C520" s="13">
        <v>44337</v>
      </c>
      <c r="D520" s="15" t="s">
        <v>288</v>
      </c>
      <c r="E520" s="15">
        <v>350</v>
      </c>
      <c r="F520" s="15">
        <v>360</v>
      </c>
      <c r="G520" s="13">
        <v>44687</v>
      </c>
      <c r="H520" s="17">
        <v>4200</v>
      </c>
      <c r="I520" s="19">
        <v>5262.06</v>
      </c>
      <c r="J520" s="20">
        <v>1.2528714285714286</v>
      </c>
      <c r="K520" s="19">
        <v>2637.06</v>
      </c>
      <c r="L520" s="48">
        <v>0.62787142857142852</v>
      </c>
      <c r="M520" s="42">
        <v>0</v>
      </c>
      <c r="N520" s="19">
        <v>0</v>
      </c>
      <c r="O520" s="23">
        <v>840</v>
      </c>
      <c r="P520" s="24">
        <v>580</v>
      </c>
      <c r="Q520" s="25">
        <v>0.69047619047619047</v>
      </c>
      <c r="R520" s="24">
        <v>527.41200000000003</v>
      </c>
      <c r="S520" s="50">
        <v>0.62787142857142864</v>
      </c>
      <c r="T520" s="43">
        <v>0.90933200000000003</v>
      </c>
      <c r="U520" s="24">
        <v>0</v>
      </c>
      <c r="V520" s="19">
        <v>5040</v>
      </c>
      <c r="W520" s="19">
        <v>5842.06</v>
      </c>
      <c r="X520" s="21">
        <v>1.1591388888888889</v>
      </c>
      <c r="Y520" s="19">
        <v>3164.4719999999998</v>
      </c>
      <c r="Z520" s="20">
        <v>0.62787142857142852</v>
      </c>
      <c r="AA520" s="30">
        <v>6.7400000000000002E-2</v>
      </c>
      <c r="AB520" s="27">
        <v>5.6900000000000006E-2</v>
      </c>
      <c r="AC520" s="27">
        <v>7.2000000000000008E-2</v>
      </c>
      <c r="AD520" s="11">
        <v>6.7416739831928932E-2</v>
      </c>
    </row>
    <row r="521" spans="1:30" x14ac:dyDescent="0.25">
      <c r="A521" s="13">
        <v>44340</v>
      </c>
      <c r="B521" s="46" t="s">
        <v>636</v>
      </c>
      <c r="C521" s="13">
        <v>44340</v>
      </c>
      <c r="D521" s="15" t="s">
        <v>289</v>
      </c>
      <c r="E521" s="15">
        <v>30</v>
      </c>
      <c r="F521" s="15">
        <v>30</v>
      </c>
      <c r="G521" s="13">
        <v>44370</v>
      </c>
      <c r="H521" s="17">
        <v>1000</v>
      </c>
      <c r="I521" s="19">
        <v>1416.0500000000002</v>
      </c>
      <c r="J521" s="20">
        <v>1.4160500000000003</v>
      </c>
      <c r="K521" s="19">
        <v>1206.0500000000002</v>
      </c>
      <c r="L521" s="48">
        <v>1.2060500000000003</v>
      </c>
      <c r="M521" s="42">
        <v>0</v>
      </c>
      <c r="N521" s="19">
        <v>0</v>
      </c>
      <c r="O521" s="23">
        <v>200</v>
      </c>
      <c r="P521" s="24">
        <v>220</v>
      </c>
      <c r="Q521" s="25">
        <v>1.1000000000000001</v>
      </c>
      <c r="R521" s="24">
        <v>200</v>
      </c>
      <c r="S521" s="50">
        <v>1</v>
      </c>
      <c r="T521" s="43">
        <v>0.90909099999999998</v>
      </c>
      <c r="U521" s="24">
        <v>0</v>
      </c>
      <c r="V521" s="19">
        <v>1200</v>
      </c>
      <c r="W521" s="19">
        <v>1636.0500000000002</v>
      </c>
      <c r="X521" s="21">
        <v>1.3633750000000002</v>
      </c>
      <c r="Y521" s="19">
        <v>1406.0500000000002</v>
      </c>
      <c r="Z521" s="20">
        <v>1.1717083333333336</v>
      </c>
      <c r="AA521" s="30">
        <v>4.6900000000000018E-2</v>
      </c>
      <c r="AB521" s="27">
        <v>3.6299999999999999E-2</v>
      </c>
      <c r="AC521" s="27">
        <v>5.04E-2</v>
      </c>
      <c r="AD521" s="11">
        <v>4.5088838670950877E-2</v>
      </c>
    </row>
    <row r="522" spans="1:30" x14ac:dyDescent="0.25">
      <c r="A522" s="13">
        <v>44342</v>
      </c>
      <c r="B522" s="46" t="s">
        <v>636</v>
      </c>
      <c r="C522" s="13">
        <v>44342</v>
      </c>
      <c r="D522" s="15" t="s">
        <v>290</v>
      </c>
      <c r="E522" s="15">
        <v>98</v>
      </c>
      <c r="F522" s="15">
        <v>90</v>
      </c>
      <c r="G522" s="13">
        <v>44440</v>
      </c>
      <c r="H522" s="17">
        <v>1300</v>
      </c>
      <c r="I522" s="19">
        <v>1714.0800000000004</v>
      </c>
      <c r="J522" s="20">
        <v>1.3185230769230769</v>
      </c>
      <c r="K522" s="19">
        <v>1214.08</v>
      </c>
      <c r="L522" s="48">
        <v>0.93390769230769222</v>
      </c>
      <c r="M522" s="42">
        <v>0</v>
      </c>
      <c r="N522" s="19">
        <v>0</v>
      </c>
      <c r="O522" s="23">
        <v>260</v>
      </c>
      <c r="P522" s="24">
        <v>253.8</v>
      </c>
      <c r="Q522" s="25">
        <v>0.97615384615384615</v>
      </c>
      <c r="R522" s="24">
        <v>242.816</v>
      </c>
      <c r="S522" s="50">
        <v>0.93390769230769233</v>
      </c>
      <c r="T522" s="43">
        <v>0.95672199999999996</v>
      </c>
      <c r="U522" s="24">
        <v>0</v>
      </c>
      <c r="V522" s="19">
        <v>1560</v>
      </c>
      <c r="W522" s="19">
        <v>1967.8800000000003</v>
      </c>
      <c r="X522" s="21">
        <v>1.2614615384615386</v>
      </c>
      <c r="Y522" s="19">
        <v>1456.896</v>
      </c>
      <c r="Z522" s="20">
        <v>0.93390769230769233</v>
      </c>
      <c r="AA522" s="30">
        <v>5.4899999999999977E-2</v>
      </c>
      <c r="AB522" s="27">
        <v>0.04</v>
      </c>
      <c r="AC522" s="27">
        <v>5.5399999999999998E-2</v>
      </c>
      <c r="AD522" s="11">
        <v>5.3610712452160918E-2</v>
      </c>
    </row>
    <row r="523" spans="1:30" x14ac:dyDescent="0.25">
      <c r="A523" s="13">
        <v>44344</v>
      </c>
      <c r="B523" s="46" t="s">
        <v>636</v>
      </c>
      <c r="C523" s="13">
        <v>44344</v>
      </c>
      <c r="D523" s="15" t="s">
        <v>291</v>
      </c>
      <c r="E523" s="15">
        <v>196</v>
      </c>
      <c r="F523" s="15">
        <v>180</v>
      </c>
      <c r="G523" s="13">
        <v>44540</v>
      </c>
      <c r="H523" s="17">
        <v>6500</v>
      </c>
      <c r="I523" s="19">
        <v>6817.7500000000009</v>
      </c>
      <c r="J523" s="20">
        <v>1.048884615384615</v>
      </c>
      <c r="K523" s="19">
        <v>5317.75</v>
      </c>
      <c r="L523" s="48">
        <v>0.81811538461538458</v>
      </c>
      <c r="M523" s="42">
        <v>0</v>
      </c>
      <c r="N523" s="19">
        <v>0</v>
      </c>
      <c r="O523" s="23">
        <v>1300</v>
      </c>
      <c r="P523" s="24">
        <v>616.5</v>
      </c>
      <c r="Q523" s="25">
        <v>0.47423076923076923</v>
      </c>
      <c r="R523" s="24">
        <v>616.5</v>
      </c>
      <c r="S523" s="50">
        <v>0.47423076923076923</v>
      </c>
      <c r="T523" s="43">
        <v>0</v>
      </c>
      <c r="U523" s="24">
        <v>0</v>
      </c>
      <c r="V523" s="19">
        <v>7800</v>
      </c>
      <c r="W523" s="19">
        <v>7434.2500000000009</v>
      </c>
      <c r="X523" s="21">
        <v>0.95310897435897446</v>
      </c>
      <c r="Y523" s="19">
        <v>5934.25</v>
      </c>
      <c r="Z523" s="20">
        <v>0.76080128205128206</v>
      </c>
      <c r="AA523" s="30">
        <v>6.340000000000004E-2</v>
      </c>
      <c r="AB523" s="27">
        <v>5.2400000000000002E-2</v>
      </c>
      <c r="AC523" s="27">
        <v>6.5000000000000002E-2</v>
      </c>
      <c r="AD523" s="11">
        <v>6.2364657254959474E-2</v>
      </c>
    </row>
    <row r="524" spans="1:30" x14ac:dyDescent="0.25">
      <c r="A524" s="13">
        <v>44347</v>
      </c>
      <c r="B524" s="46" t="s">
        <v>636</v>
      </c>
      <c r="C524" s="13">
        <v>44347</v>
      </c>
      <c r="D524" s="15" t="s">
        <v>292</v>
      </c>
      <c r="E524" s="15">
        <v>35</v>
      </c>
      <c r="F524" s="15">
        <v>30</v>
      </c>
      <c r="G524" s="13">
        <v>44382</v>
      </c>
      <c r="H524" s="17">
        <v>1500</v>
      </c>
      <c r="I524" s="19">
        <v>2196.27</v>
      </c>
      <c r="J524" s="20">
        <v>1.4641799999999998</v>
      </c>
      <c r="K524" s="19">
        <v>1986.2699999999998</v>
      </c>
      <c r="L524" s="48">
        <v>1.3241799999999999</v>
      </c>
      <c r="M524" s="42">
        <v>0</v>
      </c>
      <c r="N524" s="19">
        <v>0</v>
      </c>
      <c r="O524" s="23">
        <v>300</v>
      </c>
      <c r="P524" s="24">
        <v>0</v>
      </c>
      <c r="Q524" s="25">
        <v>0</v>
      </c>
      <c r="R524" s="24">
        <v>0</v>
      </c>
      <c r="S524" s="50">
        <v>0</v>
      </c>
      <c r="T524" s="43">
        <v>0</v>
      </c>
      <c r="U524" s="24">
        <v>0</v>
      </c>
      <c r="V524" s="19">
        <v>1800</v>
      </c>
      <c r="W524" s="19">
        <v>2196.27</v>
      </c>
      <c r="X524" s="21">
        <v>1.2201500000000001</v>
      </c>
      <c r="Y524" s="19">
        <v>1986.2699999999998</v>
      </c>
      <c r="Z524" s="20">
        <v>1.1034833333333331</v>
      </c>
      <c r="AA524" s="30">
        <v>4.5600000000000009E-2</v>
      </c>
      <c r="AB524" s="27">
        <v>3.6900000000000002E-2</v>
      </c>
      <c r="AC524" s="27">
        <v>4.9400000000000006E-2</v>
      </c>
      <c r="AD524" s="11">
        <v>4.4266166728134528E-2</v>
      </c>
    </row>
    <row r="525" spans="1:30" x14ac:dyDescent="0.25">
      <c r="A525" s="13">
        <v>44349</v>
      </c>
      <c r="B525" s="46" t="s">
        <v>636</v>
      </c>
      <c r="C525" s="13">
        <v>44349</v>
      </c>
      <c r="D525" s="15" t="s">
        <v>320</v>
      </c>
      <c r="E525" s="15">
        <v>91</v>
      </c>
      <c r="F525" s="15">
        <v>90</v>
      </c>
      <c r="G525" s="13">
        <v>44440</v>
      </c>
      <c r="H525" s="17">
        <v>3400</v>
      </c>
      <c r="I525" s="19">
        <v>4136.13</v>
      </c>
      <c r="J525" s="20">
        <v>1.2165088235294119</v>
      </c>
      <c r="K525" s="19">
        <v>3536.13</v>
      </c>
      <c r="L525" s="48">
        <v>1.0400382352941178</v>
      </c>
      <c r="M525" s="42">
        <v>0</v>
      </c>
      <c r="N525" s="19">
        <v>0</v>
      </c>
      <c r="O525" s="23">
        <v>680</v>
      </c>
      <c r="P525" s="24">
        <v>0</v>
      </c>
      <c r="Q525" s="25">
        <v>0</v>
      </c>
      <c r="R525" s="24">
        <v>0</v>
      </c>
      <c r="S525" s="50">
        <v>0</v>
      </c>
      <c r="T525" s="43">
        <v>0</v>
      </c>
      <c r="U525" s="24">
        <v>0</v>
      </c>
      <c r="V525" s="19">
        <v>4080</v>
      </c>
      <c r="W525" s="19">
        <v>4136.13</v>
      </c>
      <c r="X525" s="21">
        <v>1.0137573529411765</v>
      </c>
      <c r="Y525" s="19">
        <v>3536.13</v>
      </c>
      <c r="Z525" s="20">
        <v>0.86669852941176473</v>
      </c>
      <c r="AA525" s="30">
        <v>5.5900000000000012E-2</v>
      </c>
      <c r="AB525" s="27">
        <v>0.04</v>
      </c>
      <c r="AC525" s="27">
        <v>5.7000000000000002E-2</v>
      </c>
      <c r="AD525" s="11">
        <v>5.4510462678880989E-2</v>
      </c>
    </row>
    <row r="526" spans="1:30" x14ac:dyDescent="0.25">
      <c r="A526" s="13">
        <v>44350</v>
      </c>
      <c r="B526" s="46" t="s">
        <v>636</v>
      </c>
      <c r="C526" s="13">
        <v>44351</v>
      </c>
      <c r="D526" s="15" t="s">
        <v>321</v>
      </c>
      <c r="E526" s="15">
        <v>385</v>
      </c>
      <c r="F526" s="15">
        <v>360</v>
      </c>
      <c r="G526" s="13">
        <v>44736</v>
      </c>
      <c r="H526" s="17">
        <v>6000</v>
      </c>
      <c r="I526" s="19">
        <v>5396.62</v>
      </c>
      <c r="J526" s="20">
        <v>0.899436666666667</v>
      </c>
      <c r="K526" s="19">
        <v>3896.62</v>
      </c>
      <c r="L526" s="48">
        <v>0.64943666666666666</v>
      </c>
      <c r="M526" s="42">
        <v>0</v>
      </c>
      <c r="N526" s="19">
        <v>0</v>
      </c>
      <c r="O526" s="23">
        <v>1200</v>
      </c>
      <c r="P526" s="24">
        <v>75</v>
      </c>
      <c r="Q526" s="25">
        <v>6.25E-2</v>
      </c>
      <c r="R526" s="24">
        <v>75</v>
      </c>
      <c r="S526" s="50">
        <v>6.25E-2</v>
      </c>
      <c r="T526" s="43">
        <v>0</v>
      </c>
      <c r="U526" s="24">
        <v>0</v>
      </c>
      <c r="V526" s="19">
        <v>7200</v>
      </c>
      <c r="W526" s="19">
        <v>5471.62</v>
      </c>
      <c r="X526" s="21">
        <v>0.75994722222222222</v>
      </c>
      <c r="Y526" s="19">
        <v>3971.62</v>
      </c>
      <c r="Z526" s="20">
        <v>0.55161388888888885</v>
      </c>
      <c r="AA526" s="30">
        <v>6.8499999999999922E-2</v>
      </c>
      <c r="AB526" s="27">
        <v>0.05</v>
      </c>
      <c r="AC526" s="27">
        <v>7.2000000000000008E-2</v>
      </c>
      <c r="AD526" s="11">
        <v>6.8047944824723622E-2</v>
      </c>
    </row>
    <row r="527" spans="1:30" x14ac:dyDescent="0.25">
      <c r="A527" s="13">
        <v>44354</v>
      </c>
      <c r="B527" s="46" t="s">
        <v>636</v>
      </c>
      <c r="C527" s="13">
        <v>44354</v>
      </c>
      <c r="D527" s="15" t="s">
        <v>323</v>
      </c>
      <c r="E527" s="15">
        <v>28</v>
      </c>
      <c r="F527" s="15">
        <v>30</v>
      </c>
      <c r="G527" s="13">
        <v>44382</v>
      </c>
      <c r="H527" s="17">
        <v>2100</v>
      </c>
      <c r="I527" s="19">
        <v>4070.3399999999997</v>
      </c>
      <c r="J527" s="20">
        <v>1.9382571428571427</v>
      </c>
      <c r="K527" s="19">
        <v>3070.34</v>
      </c>
      <c r="L527" s="48">
        <v>1.4620666666666666</v>
      </c>
      <c r="M527" s="42">
        <v>0</v>
      </c>
      <c r="N527" s="19">
        <v>0</v>
      </c>
      <c r="O527" s="23">
        <v>420</v>
      </c>
      <c r="P527" s="24">
        <v>40</v>
      </c>
      <c r="Q527" s="25">
        <v>9.5238095238095233E-2</v>
      </c>
      <c r="R527" s="24">
        <v>40</v>
      </c>
      <c r="S527" s="50">
        <v>9.5238095238095233E-2</v>
      </c>
      <c r="T527" s="43">
        <v>0</v>
      </c>
      <c r="U527" s="24">
        <v>0</v>
      </c>
      <c r="V527" s="19">
        <v>2520</v>
      </c>
      <c r="W527" s="19">
        <v>4110.34</v>
      </c>
      <c r="X527" s="21">
        <v>1.6310873015873018</v>
      </c>
      <c r="Y527" s="19">
        <v>3110.34</v>
      </c>
      <c r="Z527" s="20">
        <v>1.2342619047619048</v>
      </c>
      <c r="AA527" s="30">
        <v>4.6699999999999971E-2</v>
      </c>
      <c r="AB527" s="27">
        <v>3.56E-2</v>
      </c>
      <c r="AC527" s="27">
        <v>5.2499999999999998E-2</v>
      </c>
      <c r="AD527" s="11">
        <v>4.5862780996182149E-2</v>
      </c>
    </row>
    <row r="528" spans="1:30" x14ac:dyDescent="0.25">
      <c r="A528" s="13">
        <v>44356</v>
      </c>
      <c r="B528" s="46" t="s">
        <v>636</v>
      </c>
      <c r="C528" s="13">
        <v>44356</v>
      </c>
      <c r="D528" s="15" t="s">
        <v>324</v>
      </c>
      <c r="E528" s="15">
        <v>84</v>
      </c>
      <c r="F528" s="15">
        <v>90</v>
      </c>
      <c r="G528" s="13">
        <v>44440</v>
      </c>
      <c r="H528" s="17">
        <v>3600</v>
      </c>
      <c r="I528" s="19">
        <v>4788.2300000000005</v>
      </c>
      <c r="J528" s="20">
        <v>1.3300638888888889</v>
      </c>
      <c r="K528" s="19">
        <v>2388.23</v>
      </c>
      <c r="L528" s="48">
        <v>0.66339722222222219</v>
      </c>
      <c r="M528" s="42">
        <v>0</v>
      </c>
      <c r="N528" s="19">
        <v>0</v>
      </c>
      <c r="O528" s="23">
        <v>720</v>
      </c>
      <c r="P528" s="24">
        <v>130</v>
      </c>
      <c r="Q528" s="25">
        <v>0.18055555555555555</v>
      </c>
      <c r="R528" s="24">
        <v>130</v>
      </c>
      <c r="S528" s="50">
        <v>0.18055555555555555</v>
      </c>
      <c r="T528" s="43">
        <v>0</v>
      </c>
      <c r="U528" s="24">
        <v>0</v>
      </c>
      <c r="V528" s="19">
        <v>4320</v>
      </c>
      <c r="W528" s="19">
        <v>4918.2300000000005</v>
      </c>
      <c r="X528" s="21">
        <v>1.1384791666666667</v>
      </c>
      <c r="Y528" s="19">
        <v>2518.23</v>
      </c>
      <c r="Z528" s="20">
        <v>0.58292361111111113</v>
      </c>
      <c r="AA528" s="30">
        <v>5.5899999999999991E-2</v>
      </c>
      <c r="AB528" s="27">
        <v>0.04</v>
      </c>
      <c r="AC528" s="27">
        <v>5.8899999999999994E-2</v>
      </c>
      <c r="AD528" s="11">
        <v>5.5922004582068946E-2</v>
      </c>
    </row>
    <row r="529" spans="1:30" x14ac:dyDescent="0.25">
      <c r="A529" s="13">
        <v>44358</v>
      </c>
      <c r="B529" s="46" t="s">
        <v>636</v>
      </c>
      <c r="C529" s="13">
        <v>44358</v>
      </c>
      <c r="D529" s="15" t="s">
        <v>325</v>
      </c>
      <c r="E529" s="15">
        <v>189</v>
      </c>
      <c r="F529" s="15">
        <v>180</v>
      </c>
      <c r="G529" s="13">
        <v>44547</v>
      </c>
      <c r="H529" s="17">
        <v>6300</v>
      </c>
      <c r="I529" s="19">
        <v>8918.31</v>
      </c>
      <c r="J529" s="20">
        <v>1.4156047619047616</v>
      </c>
      <c r="K529" s="19">
        <v>7768.31</v>
      </c>
      <c r="L529" s="48">
        <v>1.2330650793650795</v>
      </c>
      <c r="M529" s="42">
        <v>0</v>
      </c>
      <c r="N529" s="19">
        <v>0</v>
      </c>
      <c r="O529" s="23">
        <v>1260</v>
      </c>
      <c r="P529" s="24">
        <v>935</v>
      </c>
      <c r="Q529" s="25">
        <v>0.74206349206349198</v>
      </c>
      <c r="R529" s="24">
        <v>935</v>
      </c>
      <c r="S529" s="50">
        <v>0.74206349206349209</v>
      </c>
      <c r="T529" s="43">
        <v>0</v>
      </c>
      <c r="U529" s="24">
        <v>0</v>
      </c>
      <c r="V529" s="19">
        <v>7560</v>
      </c>
      <c r="W529" s="19">
        <v>9853.31</v>
      </c>
      <c r="X529" s="21">
        <v>1.3033478835978836</v>
      </c>
      <c r="Y529" s="19">
        <v>8703.3100000000013</v>
      </c>
      <c r="Z529" s="20">
        <v>1.1512314814814817</v>
      </c>
      <c r="AA529" s="30">
        <v>6.4099999999999893E-2</v>
      </c>
      <c r="AB529" s="27">
        <v>0.05</v>
      </c>
      <c r="AC529" s="27">
        <v>6.5000000000000002E-2</v>
      </c>
      <c r="AD529" s="11">
        <v>6.2318265007607981E-2</v>
      </c>
    </row>
    <row r="530" spans="1:30" x14ac:dyDescent="0.25">
      <c r="A530" s="13">
        <v>44361</v>
      </c>
      <c r="B530" s="46" t="s">
        <v>636</v>
      </c>
      <c r="C530" s="13">
        <v>44361</v>
      </c>
      <c r="D530" s="15" t="s">
        <v>326</v>
      </c>
      <c r="E530" s="15">
        <v>35</v>
      </c>
      <c r="F530" s="15">
        <v>30</v>
      </c>
      <c r="G530" s="13">
        <v>44396</v>
      </c>
      <c r="H530" s="17">
        <v>3000</v>
      </c>
      <c r="I530" s="19">
        <v>2295.04</v>
      </c>
      <c r="J530" s="20">
        <v>0.76501333333333332</v>
      </c>
      <c r="K530" s="19">
        <v>1795.0400000000002</v>
      </c>
      <c r="L530" s="48">
        <v>0.59834666666666669</v>
      </c>
      <c r="M530" s="42">
        <v>0</v>
      </c>
      <c r="N530" s="19">
        <v>0</v>
      </c>
      <c r="O530" s="23">
        <v>600</v>
      </c>
      <c r="P530" s="24">
        <v>460</v>
      </c>
      <c r="Q530" s="25">
        <v>0.76666666666666672</v>
      </c>
      <c r="R530" s="24">
        <v>359.00799999999998</v>
      </c>
      <c r="S530" s="50">
        <v>0.59834666666666658</v>
      </c>
      <c r="T530" s="43">
        <v>0.78045217391304345</v>
      </c>
      <c r="U530" s="24">
        <v>0</v>
      </c>
      <c r="V530" s="19">
        <v>3600</v>
      </c>
      <c r="W530" s="19">
        <v>2755.04</v>
      </c>
      <c r="X530" s="21">
        <v>0.76528888888888891</v>
      </c>
      <c r="Y530" s="19">
        <v>2154.0480000000002</v>
      </c>
      <c r="Z530" s="20">
        <v>0.59834666666666669</v>
      </c>
      <c r="AA530" s="30">
        <v>4.6699999999999978E-2</v>
      </c>
      <c r="AB530" s="27">
        <v>0.04</v>
      </c>
      <c r="AC530" s="27">
        <v>0.05</v>
      </c>
      <c r="AD530" s="11">
        <v>4.526803454406024E-2</v>
      </c>
    </row>
    <row r="531" spans="1:30" x14ac:dyDescent="0.25">
      <c r="A531" s="13">
        <v>44363</v>
      </c>
      <c r="B531" s="46" t="s">
        <v>636</v>
      </c>
      <c r="C531" s="13">
        <v>44363</v>
      </c>
      <c r="D531" s="15" t="s">
        <v>328</v>
      </c>
      <c r="E531" s="15">
        <v>98</v>
      </c>
      <c r="F531" s="15">
        <v>90</v>
      </c>
      <c r="G531" s="13">
        <v>44461</v>
      </c>
      <c r="H531" s="17">
        <v>2200</v>
      </c>
      <c r="I531" s="19">
        <v>3624.5699999999997</v>
      </c>
      <c r="J531" s="20">
        <v>1.6475318181818179</v>
      </c>
      <c r="K531" s="19">
        <v>2199.5700000000002</v>
      </c>
      <c r="L531" s="48">
        <v>0.99980454545454556</v>
      </c>
      <c r="M531" s="42">
        <v>0</v>
      </c>
      <c r="N531" s="19">
        <v>0</v>
      </c>
      <c r="O531" s="23">
        <v>440</v>
      </c>
      <c r="P531" s="24">
        <v>310.74</v>
      </c>
      <c r="Q531" s="25">
        <v>0.7062272727272727</v>
      </c>
      <c r="R531" s="24">
        <v>310.74</v>
      </c>
      <c r="S531" s="50">
        <v>0.7062272727272727</v>
      </c>
      <c r="T531" s="43">
        <v>0</v>
      </c>
      <c r="U531" s="24">
        <v>0</v>
      </c>
      <c r="V531" s="19">
        <v>2640</v>
      </c>
      <c r="W531" s="19">
        <v>3935.3099999999995</v>
      </c>
      <c r="X531" s="21">
        <v>1.490647727272727</v>
      </c>
      <c r="Y531" s="19">
        <v>2510.3100000000004</v>
      </c>
      <c r="Z531" s="20">
        <v>0.95087500000000014</v>
      </c>
      <c r="AA531" s="30">
        <v>5.5900000000000012E-2</v>
      </c>
      <c r="AB531" s="27">
        <v>0.04</v>
      </c>
      <c r="AC531" s="27">
        <v>5.8200000000000002E-2</v>
      </c>
      <c r="AD531" s="11">
        <v>5.5225902658798148E-2</v>
      </c>
    </row>
    <row r="532" spans="1:30" x14ac:dyDescent="0.25">
      <c r="A532" s="13">
        <v>44364</v>
      </c>
      <c r="B532" s="46" t="s">
        <v>636</v>
      </c>
      <c r="C532" s="13">
        <v>44365</v>
      </c>
      <c r="D532" s="15" t="s">
        <v>585</v>
      </c>
      <c r="E532" s="15">
        <v>378</v>
      </c>
      <c r="F532" s="15">
        <v>360</v>
      </c>
      <c r="G532" s="13">
        <v>44743</v>
      </c>
      <c r="H532" s="17">
        <v>18000</v>
      </c>
      <c r="I532" s="19">
        <v>10256.66</v>
      </c>
      <c r="J532" s="20">
        <v>0.5698144444444444</v>
      </c>
      <c r="K532" s="19">
        <v>6831.6599999999989</v>
      </c>
      <c r="L532" s="48">
        <v>0.37953666666666663</v>
      </c>
      <c r="M532" s="42">
        <v>0</v>
      </c>
      <c r="N532" s="19">
        <v>0</v>
      </c>
      <c r="O532" s="23">
        <v>3600</v>
      </c>
      <c r="P532" s="24">
        <v>3000</v>
      </c>
      <c r="Q532" s="25">
        <v>0.83333333333333337</v>
      </c>
      <c r="R532" s="24">
        <v>1366.3319999999999</v>
      </c>
      <c r="S532" s="50">
        <v>0.37953666666666663</v>
      </c>
      <c r="T532" s="43">
        <v>0.45544400000000002</v>
      </c>
      <c r="U532" s="24">
        <v>0</v>
      </c>
      <c r="V532" s="19">
        <v>21600</v>
      </c>
      <c r="W532" s="19">
        <v>13256.66</v>
      </c>
      <c r="X532" s="21">
        <v>0.61373425925925928</v>
      </c>
      <c r="Y532" s="19">
        <v>8197.9919999999984</v>
      </c>
      <c r="Z532" s="20">
        <v>0.37953666666666658</v>
      </c>
      <c r="AA532" s="30">
        <v>6.8900000000000072E-2</v>
      </c>
      <c r="AB532" s="27">
        <v>5.2499999999999998E-2</v>
      </c>
      <c r="AC532" s="27">
        <v>7.2300000000000003E-2</v>
      </c>
      <c r="AD532" s="11">
        <v>6.8139974806613476E-2</v>
      </c>
    </row>
    <row r="533" spans="1:30" x14ac:dyDescent="0.25">
      <c r="A533" s="13">
        <v>44368</v>
      </c>
      <c r="B533" s="46" t="s">
        <v>636</v>
      </c>
      <c r="C533" s="13">
        <v>44368</v>
      </c>
      <c r="D533" s="15" t="s">
        <v>586</v>
      </c>
      <c r="E533" s="15">
        <v>28</v>
      </c>
      <c r="F533" s="15">
        <v>30</v>
      </c>
      <c r="G533" s="13">
        <v>44396</v>
      </c>
      <c r="H533" s="17">
        <v>4200</v>
      </c>
      <c r="I533" s="19">
        <v>3830.88</v>
      </c>
      <c r="J533" s="20">
        <v>0.91211428571428566</v>
      </c>
      <c r="K533" s="19">
        <v>2930.88</v>
      </c>
      <c r="L533" s="48">
        <v>0.69782857142857146</v>
      </c>
      <c r="M533" s="42">
        <v>0</v>
      </c>
      <c r="N533" s="19">
        <v>0</v>
      </c>
      <c r="O533" s="23">
        <v>840</v>
      </c>
      <c r="P533" s="24">
        <v>860</v>
      </c>
      <c r="Q533" s="25">
        <v>1.0238095238095237</v>
      </c>
      <c r="R533" s="24">
        <v>586.17599999999993</v>
      </c>
      <c r="S533" s="50">
        <v>0.69782857142857135</v>
      </c>
      <c r="T533" s="43">
        <v>0.68159999999999998</v>
      </c>
      <c r="U533" s="24">
        <v>0</v>
      </c>
      <c r="V533" s="19">
        <v>5040</v>
      </c>
      <c r="W533" s="19">
        <v>4690.88</v>
      </c>
      <c r="X533" s="21">
        <v>0.93073015873015874</v>
      </c>
      <c r="Y533" s="19">
        <v>3517.056</v>
      </c>
      <c r="Z533" s="20">
        <v>0.69782857142857146</v>
      </c>
      <c r="AA533" s="30">
        <v>4.6599999999999982E-2</v>
      </c>
      <c r="AB533" s="27">
        <v>3.6699999999999997E-2</v>
      </c>
      <c r="AC533" s="27">
        <v>0.05</v>
      </c>
      <c r="AD533" s="11">
        <v>4.5880120233471169E-2</v>
      </c>
    </row>
    <row r="534" spans="1:30" x14ac:dyDescent="0.25">
      <c r="A534" s="13">
        <v>44370</v>
      </c>
      <c r="B534" s="46" t="s">
        <v>636</v>
      </c>
      <c r="C534" s="13">
        <v>44370</v>
      </c>
      <c r="D534" s="15" t="s">
        <v>587</v>
      </c>
      <c r="E534" s="15">
        <v>91</v>
      </c>
      <c r="F534" s="15">
        <v>90</v>
      </c>
      <c r="G534" s="13">
        <v>44461</v>
      </c>
      <c r="H534" s="17">
        <v>4200</v>
      </c>
      <c r="I534" s="19">
        <v>1868.37</v>
      </c>
      <c r="J534" s="20">
        <v>0.44485000000000002</v>
      </c>
      <c r="K534" s="19">
        <v>417.93</v>
      </c>
      <c r="L534" s="48">
        <v>9.9507142857142863E-2</v>
      </c>
      <c r="M534" s="42">
        <v>0</v>
      </c>
      <c r="N534" s="19">
        <v>0</v>
      </c>
      <c r="O534" s="23">
        <v>840</v>
      </c>
      <c r="P534" s="24">
        <v>0</v>
      </c>
      <c r="Q534" s="25">
        <v>0</v>
      </c>
      <c r="R534" s="24">
        <v>0</v>
      </c>
      <c r="S534" s="50">
        <v>0</v>
      </c>
      <c r="T534" s="43">
        <v>0</v>
      </c>
      <c r="U534" s="24">
        <v>0</v>
      </c>
      <c r="V534" s="19">
        <v>5040</v>
      </c>
      <c r="W534" s="19">
        <v>1868.37</v>
      </c>
      <c r="X534" s="21">
        <v>0.37070833333333331</v>
      </c>
      <c r="Y534" s="19">
        <v>417.93</v>
      </c>
      <c r="Z534" s="20">
        <v>8.2922619047619051E-2</v>
      </c>
      <c r="AA534" s="30">
        <v>5.4000000000000034E-2</v>
      </c>
      <c r="AB534" s="27">
        <v>0.04</v>
      </c>
      <c r="AC534" s="27">
        <v>5.9400000000000001E-2</v>
      </c>
      <c r="AD534" s="11">
        <v>5.6756233508352197E-2</v>
      </c>
    </row>
    <row r="535" spans="1:30" x14ac:dyDescent="0.25">
      <c r="A535" s="13">
        <v>44372</v>
      </c>
      <c r="B535" s="46" t="s">
        <v>636</v>
      </c>
      <c r="C535" s="13">
        <v>44372</v>
      </c>
      <c r="D535" s="15" t="s">
        <v>588</v>
      </c>
      <c r="E535" s="15">
        <v>181</v>
      </c>
      <c r="F535" s="15">
        <v>180</v>
      </c>
      <c r="G535" s="13">
        <v>44553</v>
      </c>
      <c r="H535" s="17">
        <v>8500</v>
      </c>
      <c r="I535" s="19">
        <v>7139.3799999999992</v>
      </c>
      <c r="J535" s="20">
        <v>0.83992705882352936</v>
      </c>
      <c r="K535" s="19">
        <v>6289.38</v>
      </c>
      <c r="L535" s="48">
        <v>0.73992705882352938</v>
      </c>
      <c r="M535" s="42">
        <v>0</v>
      </c>
      <c r="N535" s="19">
        <v>0</v>
      </c>
      <c r="O535" s="23">
        <v>1700</v>
      </c>
      <c r="P535" s="24">
        <v>1020</v>
      </c>
      <c r="Q535" s="25">
        <v>0.6</v>
      </c>
      <c r="R535" s="24">
        <v>1020</v>
      </c>
      <c r="S535" s="50">
        <v>0.6</v>
      </c>
      <c r="T535" s="43">
        <v>0</v>
      </c>
      <c r="U535" s="24">
        <v>0</v>
      </c>
      <c r="V535" s="19">
        <v>10200</v>
      </c>
      <c r="W535" s="19">
        <v>8159.3799999999992</v>
      </c>
      <c r="X535" s="21">
        <v>0.79993921568627446</v>
      </c>
      <c r="Y535" s="19">
        <v>7309.38</v>
      </c>
      <c r="Z535" s="20">
        <v>0.7166058823529412</v>
      </c>
      <c r="AA535" s="30">
        <v>6.4900000000000083E-2</v>
      </c>
      <c r="AB535" s="27">
        <v>5.4000000000000006E-2</v>
      </c>
      <c r="AC535" s="27">
        <v>6.6000000000000003E-2</v>
      </c>
      <c r="AD535" s="11">
        <v>6.3833962753068227E-2</v>
      </c>
    </row>
    <row r="536" spans="1:30" x14ac:dyDescent="0.25">
      <c r="A536" s="13">
        <v>44375</v>
      </c>
      <c r="B536" s="46" t="s">
        <v>636</v>
      </c>
      <c r="C536" s="13">
        <v>44375</v>
      </c>
      <c r="D536" s="15" t="s">
        <v>589</v>
      </c>
      <c r="E536" s="15">
        <v>35</v>
      </c>
      <c r="F536" s="15">
        <v>30</v>
      </c>
      <c r="G536" s="13">
        <v>44410</v>
      </c>
      <c r="H536" s="17">
        <v>4200</v>
      </c>
      <c r="I536" s="19">
        <v>2857.29</v>
      </c>
      <c r="J536" s="20">
        <v>0.68030714285714267</v>
      </c>
      <c r="K536" s="19">
        <v>2857.29</v>
      </c>
      <c r="L536" s="48">
        <v>0.68030714285714289</v>
      </c>
      <c r="M536" s="42">
        <v>0</v>
      </c>
      <c r="N536" s="19">
        <v>0</v>
      </c>
      <c r="O536" s="23">
        <v>840</v>
      </c>
      <c r="P536" s="24">
        <v>50</v>
      </c>
      <c r="Q536" s="25">
        <v>5.9523809523809521E-2</v>
      </c>
      <c r="R536" s="24">
        <v>50</v>
      </c>
      <c r="S536" s="50">
        <v>5.9523809523809521E-2</v>
      </c>
      <c r="T536" s="43">
        <v>0</v>
      </c>
      <c r="U536" s="24">
        <v>0</v>
      </c>
      <c r="V536" s="19">
        <v>5040</v>
      </c>
      <c r="W536" s="19">
        <v>2907.29</v>
      </c>
      <c r="X536" s="21">
        <v>0.57684325396825398</v>
      </c>
      <c r="Y536" s="19">
        <v>2907.29</v>
      </c>
      <c r="Z536" s="20">
        <v>0.57684325396825398</v>
      </c>
      <c r="AA536" s="30">
        <v>4.6999999999999986E-2</v>
      </c>
      <c r="AB536" s="27">
        <v>3.7999999999999999E-2</v>
      </c>
      <c r="AC536" s="27">
        <v>4.7E-2</v>
      </c>
      <c r="AD536" s="11">
        <v>4.4683283810883739E-2</v>
      </c>
    </row>
    <row r="537" spans="1:30" x14ac:dyDescent="0.25">
      <c r="A537" s="13">
        <v>44377</v>
      </c>
      <c r="B537" s="46" t="s">
        <v>636</v>
      </c>
      <c r="C537" s="13">
        <v>44377</v>
      </c>
      <c r="D537" s="15" t="s">
        <v>590</v>
      </c>
      <c r="E537" s="15">
        <v>84</v>
      </c>
      <c r="F537" s="15">
        <v>90</v>
      </c>
      <c r="G537" s="13">
        <v>44461</v>
      </c>
      <c r="H537" s="17">
        <v>4200</v>
      </c>
      <c r="I537" s="19">
        <v>2469.0499999999997</v>
      </c>
      <c r="J537" s="20">
        <v>0.58786904761904746</v>
      </c>
      <c r="K537" s="19">
        <v>1614.05</v>
      </c>
      <c r="L537" s="48">
        <v>0.38429761904761905</v>
      </c>
      <c r="M537" s="42">
        <v>0</v>
      </c>
      <c r="N537" s="19">
        <v>0</v>
      </c>
      <c r="O537" s="23">
        <v>840</v>
      </c>
      <c r="P537" s="24">
        <v>100</v>
      </c>
      <c r="Q537" s="25">
        <v>0.11904761904761904</v>
      </c>
      <c r="R537" s="24">
        <v>100</v>
      </c>
      <c r="S537" s="50">
        <v>0.11904761904761904</v>
      </c>
      <c r="T537" s="43">
        <v>0</v>
      </c>
      <c r="U537" s="24">
        <v>0</v>
      </c>
      <c r="V537" s="19">
        <v>5040</v>
      </c>
      <c r="W537" s="19">
        <v>2569.0499999999997</v>
      </c>
      <c r="X537" s="21">
        <v>0.50973214285714286</v>
      </c>
      <c r="Y537" s="19">
        <v>1714.05</v>
      </c>
      <c r="Z537" s="20">
        <v>0.34008928571428571</v>
      </c>
      <c r="AA537" s="30">
        <v>5.570000000000002E-2</v>
      </c>
      <c r="AB537" s="27">
        <v>0.04</v>
      </c>
      <c r="AC537" s="27">
        <v>0.06</v>
      </c>
      <c r="AD537" s="11">
        <v>5.3430833721471831E-2</v>
      </c>
    </row>
    <row r="538" spans="1:30" x14ac:dyDescent="0.25">
      <c r="A538" s="13">
        <v>44378</v>
      </c>
      <c r="B538" s="46" t="s">
        <v>636</v>
      </c>
      <c r="C538" s="13">
        <v>44379</v>
      </c>
      <c r="D538" s="15" t="s">
        <v>591</v>
      </c>
      <c r="E538" s="15">
        <v>364</v>
      </c>
      <c r="F538" s="15">
        <v>360</v>
      </c>
      <c r="G538" s="13">
        <v>44743</v>
      </c>
      <c r="H538" s="17">
        <v>4200</v>
      </c>
      <c r="I538" s="19">
        <v>8767.59</v>
      </c>
      <c r="J538" s="20">
        <v>2.0875214285714283</v>
      </c>
      <c r="K538" s="19">
        <v>4597.5900000000011</v>
      </c>
      <c r="L538" s="48">
        <v>1.0946642857142859</v>
      </c>
      <c r="M538" s="42">
        <v>0</v>
      </c>
      <c r="N538" s="19">
        <v>0</v>
      </c>
      <c r="O538" s="23">
        <v>840</v>
      </c>
      <c r="P538" s="24">
        <v>400</v>
      </c>
      <c r="Q538" s="25">
        <v>0.47619047619047616</v>
      </c>
      <c r="R538" s="24">
        <v>400</v>
      </c>
      <c r="S538" s="50">
        <v>0.47619047619047616</v>
      </c>
      <c r="T538" s="43">
        <v>0</v>
      </c>
      <c r="U538" s="24">
        <v>0</v>
      </c>
      <c r="V538" s="19">
        <v>5040</v>
      </c>
      <c r="W538" s="19">
        <v>9167.59</v>
      </c>
      <c r="X538" s="21">
        <v>1.8189662698412699</v>
      </c>
      <c r="Y538" s="19">
        <v>4997.5900000000011</v>
      </c>
      <c r="Z538" s="20">
        <v>0.99158531746031764</v>
      </c>
      <c r="AA538" s="30">
        <v>6.8600000000000008E-2</v>
      </c>
      <c r="AB538" s="27">
        <v>5.8899999999999994E-2</v>
      </c>
      <c r="AC538" s="27">
        <v>7.1399999999999991E-2</v>
      </c>
      <c r="AD538" s="11">
        <v>6.8462932345148428E-2</v>
      </c>
    </row>
    <row r="539" spans="1:30" x14ac:dyDescent="0.25">
      <c r="A539" s="13">
        <v>44382</v>
      </c>
      <c r="B539" s="46" t="s">
        <v>636</v>
      </c>
      <c r="C539" s="13">
        <v>44382</v>
      </c>
      <c r="D539" s="15" t="s">
        <v>592</v>
      </c>
      <c r="E539" s="15">
        <v>28</v>
      </c>
      <c r="F539" s="15">
        <v>30</v>
      </c>
      <c r="G539" s="13">
        <v>44410</v>
      </c>
      <c r="H539" s="17">
        <v>4200</v>
      </c>
      <c r="I539" s="19">
        <v>2655.39</v>
      </c>
      <c r="J539" s="20">
        <v>0.63223571428571423</v>
      </c>
      <c r="K539" s="19">
        <v>2550.39</v>
      </c>
      <c r="L539" s="48">
        <v>0.60723571428571421</v>
      </c>
      <c r="M539" s="42">
        <v>0</v>
      </c>
      <c r="N539" s="19">
        <v>0</v>
      </c>
      <c r="O539" s="23">
        <v>840</v>
      </c>
      <c r="P539" s="24">
        <v>40</v>
      </c>
      <c r="Q539" s="25">
        <v>4.7619047619047616E-2</v>
      </c>
      <c r="R539" s="24">
        <v>40</v>
      </c>
      <c r="S539" s="50">
        <v>4.7619047619047616E-2</v>
      </c>
      <c r="T539" s="43">
        <v>0</v>
      </c>
      <c r="U539" s="24">
        <v>0</v>
      </c>
      <c r="V539" s="19">
        <v>5040</v>
      </c>
      <c r="W539" s="19">
        <v>2695.39</v>
      </c>
      <c r="X539" s="21">
        <v>0.53479960317460318</v>
      </c>
      <c r="Y539" s="19">
        <v>2590.39</v>
      </c>
      <c r="Z539" s="20">
        <v>0.51396626984126981</v>
      </c>
      <c r="AA539" s="30">
        <v>4.6999999999999979E-2</v>
      </c>
      <c r="AB539" s="27">
        <v>3.7000000000000005E-2</v>
      </c>
      <c r="AC539" s="27">
        <v>5.2999999999999999E-2</v>
      </c>
      <c r="AD539" s="11">
        <v>4.4035653143229436E-2</v>
      </c>
    </row>
    <row r="540" spans="1:30" x14ac:dyDescent="0.25">
      <c r="A540" s="13">
        <v>44384</v>
      </c>
      <c r="B540" s="46" t="s">
        <v>636</v>
      </c>
      <c r="C540" s="13">
        <v>44384</v>
      </c>
      <c r="D540" s="15" t="s">
        <v>593</v>
      </c>
      <c r="E540" s="15">
        <v>91</v>
      </c>
      <c r="F540" s="15">
        <v>90</v>
      </c>
      <c r="G540" s="13">
        <v>44475</v>
      </c>
      <c r="H540" s="17">
        <v>3200</v>
      </c>
      <c r="I540" s="19">
        <v>7385.12</v>
      </c>
      <c r="J540" s="20">
        <v>2.3078499999999997</v>
      </c>
      <c r="K540" s="19">
        <v>5600.12</v>
      </c>
      <c r="L540" s="48">
        <v>1.7500374999999999</v>
      </c>
      <c r="M540" s="42">
        <v>0</v>
      </c>
      <c r="N540" s="19">
        <v>0</v>
      </c>
      <c r="O540" s="23">
        <v>640</v>
      </c>
      <c r="P540" s="24">
        <v>40.19</v>
      </c>
      <c r="Q540" s="25">
        <v>6.2796875000000002E-2</v>
      </c>
      <c r="R540" s="24">
        <v>40.19</v>
      </c>
      <c r="S540" s="50">
        <v>6.2796875000000002E-2</v>
      </c>
      <c r="T540" s="43">
        <v>0</v>
      </c>
      <c r="U540" s="24">
        <v>0</v>
      </c>
      <c r="V540" s="19">
        <v>3840</v>
      </c>
      <c r="W540" s="19">
        <v>7425.3099999999995</v>
      </c>
      <c r="X540" s="21">
        <v>1.9336744791666665</v>
      </c>
      <c r="Y540" s="19">
        <v>5640.3099999999995</v>
      </c>
      <c r="Z540" s="20">
        <v>1.4688307291666665</v>
      </c>
      <c r="AA540" s="30">
        <v>5.5399999999999998E-2</v>
      </c>
      <c r="AB540" s="27">
        <v>4.5700000000000005E-2</v>
      </c>
      <c r="AC540" s="27">
        <v>5.7999999999999996E-2</v>
      </c>
      <c r="AD540" s="11">
        <v>5.4007232109972506E-2</v>
      </c>
    </row>
    <row r="541" spans="1:30" x14ac:dyDescent="0.25">
      <c r="A541" s="13">
        <v>44386</v>
      </c>
      <c r="B541" s="46" t="s">
        <v>636</v>
      </c>
      <c r="C541" s="13">
        <v>44386</v>
      </c>
      <c r="D541" s="15" t="s">
        <v>594</v>
      </c>
      <c r="E541" s="15">
        <v>189</v>
      </c>
      <c r="F541" s="15">
        <v>180</v>
      </c>
      <c r="G541" s="13">
        <v>44575</v>
      </c>
      <c r="H541" s="17">
        <v>10000</v>
      </c>
      <c r="I541" s="19">
        <v>10434.320000000002</v>
      </c>
      <c r="J541" s="20">
        <v>1.0434320000000004</v>
      </c>
      <c r="K541" s="19">
        <v>8984.32</v>
      </c>
      <c r="L541" s="48">
        <v>0.89843200000000001</v>
      </c>
      <c r="M541" s="42">
        <v>0</v>
      </c>
      <c r="N541" s="19">
        <v>0</v>
      </c>
      <c r="O541" s="23">
        <v>2000</v>
      </c>
      <c r="P541" s="24">
        <v>700.6</v>
      </c>
      <c r="Q541" s="25">
        <v>0.3503</v>
      </c>
      <c r="R541" s="24">
        <v>700.6</v>
      </c>
      <c r="S541" s="50">
        <v>0.3503</v>
      </c>
      <c r="T541" s="43">
        <v>0</v>
      </c>
      <c r="U541" s="24">
        <v>0</v>
      </c>
      <c r="V541" s="19">
        <v>12000</v>
      </c>
      <c r="W541" s="19">
        <v>11134.920000000002</v>
      </c>
      <c r="X541" s="21">
        <v>0.92791000000000012</v>
      </c>
      <c r="Y541" s="19">
        <v>9684.92</v>
      </c>
      <c r="Z541" s="20">
        <v>0.80707666666666666</v>
      </c>
      <c r="AA541" s="30">
        <v>6.5399999999999944E-2</v>
      </c>
      <c r="AB541" s="27">
        <v>5.4900000000000004E-2</v>
      </c>
      <c r="AC541" s="27">
        <v>6.9699999999999998E-2</v>
      </c>
      <c r="AD541" s="11">
        <v>6.4339039822432137E-2</v>
      </c>
    </row>
    <row r="542" spans="1:30" x14ac:dyDescent="0.25">
      <c r="A542" s="13">
        <v>44389</v>
      </c>
      <c r="B542" s="46" t="s">
        <v>636</v>
      </c>
      <c r="C542" s="13">
        <v>44389</v>
      </c>
      <c r="D542" s="15" t="s">
        <v>595</v>
      </c>
      <c r="E542" s="15">
        <v>35</v>
      </c>
      <c r="F542" s="15">
        <v>30</v>
      </c>
      <c r="G542" s="13">
        <v>44424</v>
      </c>
      <c r="H542" s="17">
        <v>3200</v>
      </c>
      <c r="I542" s="19">
        <v>1738.6899999999998</v>
      </c>
      <c r="J542" s="20">
        <v>0.54334062500000002</v>
      </c>
      <c r="K542" s="19">
        <v>1278.69</v>
      </c>
      <c r="L542" s="48">
        <v>0.39959062500000003</v>
      </c>
      <c r="M542" s="42">
        <v>0</v>
      </c>
      <c r="N542" s="19">
        <v>0</v>
      </c>
      <c r="O542" s="23">
        <v>640</v>
      </c>
      <c r="P542" s="24">
        <v>30</v>
      </c>
      <c r="Q542" s="25">
        <v>4.6875E-2</v>
      </c>
      <c r="R542" s="24">
        <v>30</v>
      </c>
      <c r="S542" s="50">
        <v>4.6875E-2</v>
      </c>
      <c r="T542" s="43">
        <v>0</v>
      </c>
      <c r="U542" s="24">
        <v>0</v>
      </c>
      <c r="V542" s="19">
        <v>3840</v>
      </c>
      <c r="W542" s="19">
        <v>1768.6899999999998</v>
      </c>
      <c r="X542" s="21">
        <v>0.46059635416666661</v>
      </c>
      <c r="Y542" s="19">
        <v>1308.69</v>
      </c>
      <c r="Z542" s="20">
        <v>0.34080468750000004</v>
      </c>
      <c r="AA542" s="30">
        <v>4.4999999999999991E-2</v>
      </c>
      <c r="AB542" s="27">
        <v>0.04</v>
      </c>
      <c r="AC542" s="27">
        <v>0.05</v>
      </c>
      <c r="AD542" s="11">
        <v>4.4424538014252127E-2</v>
      </c>
    </row>
    <row r="543" spans="1:30" x14ac:dyDescent="0.25">
      <c r="A543" s="13">
        <v>44391</v>
      </c>
      <c r="B543" s="46" t="s">
        <v>636</v>
      </c>
      <c r="C543" s="13">
        <v>44391</v>
      </c>
      <c r="D543" s="15" t="s">
        <v>596</v>
      </c>
      <c r="E543" s="15">
        <v>84</v>
      </c>
      <c r="F543" s="15">
        <v>90</v>
      </c>
      <c r="G543" s="13">
        <v>44475</v>
      </c>
      <c r="H543" s="17">
        <v>4200</v>
      </c>
      <c r="I543" s="19">
        <v>3949.2799999999997</v>
      </c>
      <c r="J543" s="20">
        <v>0.94030476190476187</v>
      </c>
      <c r="K543" s="19">
        <v>1999.28</v>
      </c>
      <c r="L543" s="48">
        <v>0.47601904761904762</v>
      </c>
      <c r="M543" s="42">
        <v>0</v>
      </c>
      <c r="N543" s="19">
        <v>0</v>
      </c>
      <c r="O543" s="23">
        <v>840</v>
      </c>
      <c r="P543" s="24">
        <v>160</v>
      </c>
      <c r="Q543" s="25">
        <v>0.19047619047619047</v>
      </c>
      <c r="R543" s="24">
        <v>160</v>
      </c>
      <c r="S543" s="50">
        <v>0.19047619047619047</v>
      </c>
      <c r="T543" s="43">
        <v>0</v>
      </c>
      <c r="U543" s="24">
        <v>0</v>
      </c>
      <c r="V543" s="19">
        <v>5040</v>
      </c>
      <c r="W543" s="19">
        <v>4109.28</v>
      </c>
      <c r="X543" s="21">
        <v>0.81533333333333324</v>
      </c>
      <c r="Y543" s="19">
        <v>2159.2799999999997</v>
      </c>
      <c r="Z543" s="20">
        <v>0.42842857142857138</v>
      </c>
      <c r="AA543" s="30">
        <v>5.5800000000000002E-2</v>
      </c>
      <c r="AB543" s="27">
        <v>4.5400000000000003E-2</v>
      </c>
      <c r="AC543" s="27">
        <v>5.7999999999999996E-2</v>
      </c>
      <c r="AD543" s="11">
        <v>5.5698386034922817E-2</v>
      </c>
    </row>
    <row r="544" spans="1:30" x14ac:dyDescent="0.25">
      <c r="A544" s="13">
        <v>44392</v>
      </c>
      <c r="B544" s="46" t="s">
        <v>636</v>
      </c>
      <c r="C544" s="13">
        <v>44393</v>
      </c>
      <c r="D544" s="15" t="s">
        <v>597</v>
      </c>
      <c r="E544" s="15">
        <v>378</v>
      </c>
      <c r="F544" s="15">
        <v>360</v>
      </c>
      <c r="G544" s="13">
        <v>44771</v>
      </c>
      <c r="H544" s="17">
        <v>13000</v>
      </c>
      <c r="I544" s="19">
        <v>11187.18</v>
      </c>
      <c r="J544" s="20">
        <v>0.86055230769230751</v>
      </c>
      <c r="K544" s="19">
        <v>7812.18</v>
      </c>
      <c r="L544" s="48">
        <v>0.60093692307692315</v>
      </c>
      <c r="M544" s="42">
        <v>0</v>
      </c>
      <c r="N544" s="19">
        <v>0</v>
      </c>
      <c r="O544" s="23">
        <v>2600</v>
      </c>
      <c r="P544" s="24">
        <v>2200</v>
      </c>
      <c r="Q544" s="25">
        <v>0.84615384615384626</v>
      </c>
      <c r="R544" s="24">
        <v>1562.4360000000001</v>
      </c>
      <c r="S544" s="50">
        <v>0.60093692307692315</v>
      </c>
      <c r="T544" s="43">
        <v>0.7101982</v>
      </c>
      <c r="U544" s="24">
        <v>0</v>
      </c>
      <c r="V544" s="19">
        <v>15600</v>
      </c>
      <c r="W544" s="19">
        <v>13387.18</v>
      </c>
      <c r="X544" s="21">
        <v>0.85815256410256413</v>
      </c>
      <c r="Y544" s="19">
        <v>9374.616</v>
      </c>
      <c r="Z544" s="20">
        <v>0.60093692307692304</v>
      </c>
      <c r="AA544" s="30">
        <v>6.8900000000000072E-2</v>
      </c>
      <c r="AB544" s="27">
        <v>5.7999999999999996E-2</v>
      </c>
      <c r="AC544" s="27">
        <v>7.2000000000000008E-2</v>
      </c>
      <c r="AD544" s="11">
        <v>6.7945677999281334E-2</v>
      </c>
    </row>
    <row r="545" spans="1:30" x14ac:dyDescent="0.25">
      <c r="A545" s="13">
        <v>44396</v>
      </c>
      <c r="B545" s="46" t="s">
        <v>636</v>
      </c>
      <c r="C545" s="13">
        <v>44396</v>
      </c>
      <c r="D545" s="15" t="s">
        <v>598</v>
      </c>
      <c r="E545" s="15">
        <v>28</v>
      </c>
      <c r="F545" s="15">
        <v>30</v>
      </c>
      <c r="G545" s="13">
        <v>44424</v>
      </c>
      <c r="H545" s="17">
        <v>4500</v>
      </c>
      <c r="I545" s="19">
        <v>1430.62</v>
      </c>
      <c r="J545" s="20">
        <v>0.31791555555555562</v>
      </c>
      <c r="K545" s="19">
        <v>1321.62</v>
      </c>
      <c r="L545" s="48">
        <v>0.29369333333333331</v>
      </c>
      <c r="M545" s="42">
        <v>0</v>
      </c>
      <c r="N545" s="19">
        <v>0</v>
      </c>
      <c r="O545" s="23">
        <v>900</v>
      </c>
      <c r="P545" s="24">
        <v>2.82</v>
      </c>
      <c r="Q545" s="25">
        <v>3.133333333333333E-3</v>
      </c>
      <c r="R545" s="24">
        <v>2.82</v>
      </c>
      <c r="S545" s="50">
        <v>3.133333333333333E-3</v>
      </c>
      <c r="T545" s="43">
        <v>0</v>
      </c>
      <c r="U545" s="24">
        <v>0</v>
      </c>
      <c r="V545" s="19">
        <v>5400</v>
      </c>
      <c r="W545" s="19">
        <v>1433.4399999999998</v>
      </c>
      <c r="X545" s="21">
        <v>0.26545185185185183</v>
      </c>
      <c r="Y545" s="19">
        <v>1324.4399999999998</v>
      </c>
      <c r="Z545" s="20">
        <v>0.24526666666666663</v>
      </c>
      <c r="AA545" s="30">
        <v>4.4999999999999984E-2</v>
      </c>
      <c r="AB545" s="27">
        <v>3.5000000000000003E-2</v>
      </c>
      <c r="AC545" s="27">
        <v>4.9599999999999998E-2</v>
      </c>
      <c r="AD545" s="11">
        <v>4.2333932141309365E-2</v>
      </c>
    </row>
    <row r="546" spans="1:30" x14ac:dyDescent="0.25">
      <c r="A546" s="13">
        <v>44398</v>
      </c>
      <c r="B546" s="46" t="s">
        <v>636</v>
      </c>
      <c r="C546" s="13">
        <v>44398</v>
      </c>
      <c r="D546" s="15" t="s">
        <v>599</v>
      </c>
      <c r="E546" s="15">
        <v>77</v>
      </c>
      <c r="F546" s="15">
        <v>90</v>
      </c>
      <c r="G546" s="13">
        <v>44475</v>
      </c>
      <c r="H546" s="17">
        <v>6000</v>
      </c>
      <c r="I546" s="19">
        <v>8171.7699999999995</v>
      </c>
      <c r="J546" s="20">
        <v>1.361961666666667</v>
      </c>
      <c r="K546" s="19">
        <v>6671.77</v>
      </c>
      <c r="L546" s="48">
        <v>1.1119616666666667</v>
      </c>
      <c r="M546" s="42">
        <v>0</v>
      </c>
      <c r="N546" s="19">
        <v>0</v>
      </c>
      <c r="O546" s="23">
        <v>1200</v>
      </c>
      <c r="P546" s="24">
        <v>852.5</v>
      </c>
      <c r="Q546" s="25">
        <v>0.7104166666666667</v>
      </c>
      <c r="R546" s="24">
        <v>852.5</v>
      </c>
      <c r="S546" s="50">
        <v>0.7104166666666667</v>
      </c>
      <c r="T546" s="43">
        <v>0</v>
      </c>
      <c r="U546" s="24">
        <v>0</v>
      </c>
      <c r="V546" s="19">
        <v>7200</v>
      </c>
      <c r="W546" s="19">
        <v>9024.27</v>
      </c>
      <c r="X546" s="21">
        <v>1.2533708333333333</v>
      </c>
      <c r="Y546" s="19">
        <v>7524.27</v>
      </c>
      <c r="Z546" s="20">
        <v>1.0450375000000001</v>
      </c>
      <c r="AA546" s="30">
        <v>5.5899999999999957E-2</v>
      </c>
      <c r="AB546" s="27">
        <v>4.4999999999999998E-2</v>
      </c>
      <c r="AC546" s="27">
        <v>5.7500000000000002E-2</v>
      </c>
      <c r="AD546" s="11">
        <v>5.4674124455289373E-2</v>
      </c>
    </row>
    <row r="547" spans="1:30" x14ac:dyDescent="0.25">
      <c r="A547" s="13">
        <v>44400</v>
      </c>
      <c r="B547" s="46" t="s">
        <v>636</v>
      </c>
      <c r="C547" s="13">
        <v>44400</v>
      </c>
      <c r="D547" s="15" t="s">
        <v>600</v>
      </c>
      <c r="E547" s="15">
        <v>189</v>
      </c>
      <c r="F547" s="15">
        <v>180</v>
      </c>
      <c r="G547" s="13">
        <v>44589</v>
      </c>
      <c r="H547" s="17">
        <v>9000</v>
      </c>
      <c r="I547" s="19">
        <v>12035.49</v>
      </c>
      <c r="J547" s="20">
        <v>1.3372766666666656</v>
      </c>
      <c r="K547" s="19">
        <v>9385.49</v>
      </c>
      <c r="L547" s="48">
        <v>1.0428322222222222</v>
      </c>
      <c r="M547" s="42">
        <v>0</v>
      </c>
      <c r="N547" s="19">
        <v>0</v>
      </c>
      <c r="O547" s="23">
        <v>1800</v>
      </c>
      <c r="P547" s="24">
        <v>2062.08</v>
      </c>
      <c r="Q547" s="25">
        <v>1.1456</v>
      </c>
      <c r="R547" s="24">
        <v>1800</v>
      </c>
      <c r="S547" s="50">
        <v>1</v>
      </c>
      <c r="T547" s="43">
        <v>0.87290562913907288</v>
      </c>
      <c r="U547" s="24">
        <v>0</v>
      </c>
      <c r="V547" s="19">
        <v>10800</v>
      </c>
      <c r="W547" s="19">
        <v>14097.57</v>
      </c>
      <c r="X547" s="21">
        <v>1.3053305555555554</v>
      </c>
      <c r="Y547" s="19">
        <v>11185.49</v>
      </c>
      <c r="Z547" s="20">
        <v>1.0356935185185185</v>
      </c>
      <c r="AA547" s="30">
        <v>6.5400000000000041E-2</v>
      </c>
      <c r="AB547" s="27">
        <v>0.05</v>
      </c>
      <c r="AC547" s="27">
        <v>6.7500000000000004E-2</v>
      </c>
      <c r="AD547" s="11">
        <v>6.4678887191132212E-2</v>
      </c>
    </row>
    <row r="548" spans="1:30" x14ac:dyDescent="0.25">
      <c r="A548" s="13">
        <v>44403</v>
      </c>
      <c r="B548" s="46" t="s">
        <v>636</v>
      </c>
      <c r="C548" s="13">
        <v>44403</v>
      </c>
      <c r="D548" s="15" t="s">
        <v>601</v>
      </c>
      <c r="E548" s="15">
        <v>35</v>
      </c>
      <c r="F548" s="15">
        <v>30</v>
      </c>
      <c r="G548" s="13">
        <v>44438</v>
      </c>
      <c r="H548" s="17">
        <v>1500</v>
      </c>
      <c r="I548" s="19">
        <v>437.37</v>
      </c>
      <c r="J548" s="20">
        <v>0.29158000000000001</v>
      </c>
      <c r="K548" s="19">
        <v>287.37</v>
      </c>
      <c r="L548" s="48">
        <v>0.19158</v>
      </c>
      <c r="M548" s="42">
        <v>0</v>
      </c>
      <c r="N548" s="19">
        <v>0</v>
      </c>
      <c r="O548" s="23">
        <v>300</v>
      </c>
      <c r="P548" s="24">
        <v>20</v>
      </c>
      <c r="Q548" s="25">
        <v>6.6666666666666666E-2</v>
      </c>
      <c r="R548" s="24">
        <v>20</v>
      </c>
      <c r="S548" s="50">
        <v>6.6666666666666666E-2</v>
      </c>
      <c r="T548" s="43">
        <v>0</v>
      </c>
      <c r="U548" s="24">
        <v>0</v>
      </c>
      <c r="V548" s="19">
        <v>1800</v>
      </c>
      <c r="W548" s="19">
        <v>457.37</v>
      </c>
      <c r="X548" s="21">
        <v>0.25409444444444446</v>
      </c>
      <c r="Y548" s="19">
        <v>307.37</v>
      </c>
      <c r="Z548" s="20">
        <v>0.17076111111111111</v>
      </c>
      <c r="AA548" s="30">
        <v>4.5000000000000012E-2</v>
      </c>
      <c r="AB548" s="27">
        <v>3.5000000000000003E-2</v>
      </c>
      <c r="AC548" s="27">
        <v>4.8399999999999999E-2</v>
      </c>
      <c r="AD548" s="11">
        <v>4.4419256007499373E-2</v>
      </c>
    </row>
    <row r="549" spans="1:30" x14ac:dyDescent="0.25">
      <c r="A549" s="13">
        <v>44404</v>
      </c>
      <c r="B549" s="46" t="s">
        <v>636</v>
      </c>
      <c r="C549" s="13">
        <v>44405</v>
      </c>
      <c r="D549" s="15" t="s">
        <v>602</v>
      </c>
      <c r="E549" s="15">
        <v>763</v>
      </c>
      <c r="F549" s="15">
        <v>720</v>
      </c>
      <c r="G549" s="13">
        <v>45168</v>
      </c>
      <c r="H549" s="17">
        <v>5000</v>
      </c>
      <c r="I549" s="19">
        <v>8311.06</v>
      </c>
      <c r="J549" s="20">
        <v>1.662212</v>
      </c>
      <c r="K549" s="19">
        <v>2330.9300000000003</v>
      </c>
      <c r="L549" s="48">
        <v>0.46618600000000004</v>
      </c>
      <c r="M549" s="42">
        <v>0</v>
      </c>
      <c r="N549" s="19">
        <v>0</v>
      </c>
      <c r="O549" s="23">
        <v>1000</v>
      </c>
      <c r="P549" s="24">
        <v>0</v>
      </c>
      <c r="Q549" s="25">
        <v>0</v>
      </c>
      <c r="R549" s="24">
        <v>0</v>
      </c>
      <c r="S549" s="50">
        <v>0</v>
      </c>
      <c r="T549" s="43">
        <v>0</v>
      </c>
      <c r="U549" s="24">
        <v>0</v>
      </c>
      <c r="V549" s="19">
        <v>6000</v>
      </c>
      <c r="W549" s="19">
        <v>8311.06</v>
      </c>
      <c r="X549" s="21">
        <v>1.3851766666666665</v>
      </c>
      <c r="Y549" s="19">
        <v>2330.9300000000003</v>
      </c>
      <c r="Z549" s="20">
        <v>0.38848833333333338</v>
      </c>
      <c r="AA549" s="30">
        <v>6.9900000000000045E-2</v>
      </c>
      <c r="AB549" s="27">
        <v>6.25E-2</v>
      </c>
      <c r="AC549" s="27">
        <v>7.7399999999999997E-2</v>
      </c>
      <c r="AD549" s="11">
        <v>7.2676680230921192E-2</v>
      </c>
    </row>
    <row r="550" spans="1:30" x14ac:dyDescent="0.25">
      <c r="A550" s="13">
        <v>44405</v>
      </c>
      <c r="B550" s="46" t="s">
        <v>636</v>
      </c>
      <c r="C550" s="13">
        <v>44405</v>
      </c>
      <c r="D550" s="15" t="s">
        <v>603</v>
      </c>
      <c r="E550" s="15">
        <v>98</v>
      </c>
      <c r="F550" s="15">
        <v>90</v>
      </c>
      <c r="G550" s="13">
        <v>44503</v>
      </c>
      <c r="H550" s="17">
        <v>1500</v>
      </c>
      <c r="I550" s="19">
        <v>1663.5800000000002</v>
      </c>
      <c r="J550" s="20">
        <v>1.1090533333333334</v>
      </c>
      <c r="K550" s="19">
        <v>743.58</v>
      </c>
      <c r="L550" s="48">
        <v>0.49572000000000005</v>
      </c>
      <c r="M550" s="42">
        <v>0</v>
      </c>
      <c r="N550" s="19">
        <v>0</v>
      </c>
      <c r="O550" s="23">
        <v>300</v>
      </c>
      <c r="P550" s="24">
        <v>0</v>
      </c>
      <c r="Q550" s="25">
        <v>0</v>
      </c>
      <c r="R550" s="24">
        <v>0</v>
      </c>
      <c r="S550" s="50">
        <v>0</v>
      </c>
      <c r="T550" s="43">
        <v>0</v>
      </c>
      <c r="U550" s="24">
        <v>0</v>
      </c>
      <c r="V550" s="19">
        <v>1800</v>
      </c>
      <c r="W550" s="19">
        <v>1663.5800000000002</v>
      </c>
      <c r="X550" s="21">
        <v>0.92421111111111121</v>
      </c>
      <c r="Y550" s="19">
        <v>743.58</v>
      </c>
      <c r="Z550" s="20">
        <v>0.41310000000000002</v>
      </c>
      <c r="AA550" s="30">
        <v>5.5899999999999977E-2</v>
      </c>
      <c r="AB550" s="27">
        <v>4.4000000000000004E-2</v>
      </c>
      <c r="AC550" s="27">
        <v>5.9000000000000004E-2</v>
      </c>
      <c r="AD550" s="11">
        <v>5.6454189158321198E-2</v>
      </c>
    </row>
    <row r="551" spans="1:30" x14ac:dyDescent="0.25">
      <c r="A551" s="13">
        <v>44406</v>
      </c>
      <c r="B551" s="46" t="s">
        <v>636</v>
      </c>
      <c r="C551" s="13">
        <v>44407</v>
      </c>
      <c r="D551" s="15" t="s">
        <v>604</v>
      </c>
      <c r="E551" s="15">
        <v>364</v>
      </c>
      <c r="F551" s="15">
        <v>360</v>
      </c>
      <c r="G551" s="13">
        <v>44771</v>
      </c>
      <c r="H551" s="17">
        <v>3500</v>
      </c>
      <c r="I551" s="19">
        <v>4943.54</v>
      </c>
      <c r="J551" s="20">
        <v>1.4124400000000001</v>
      </c>
      <c r="K551" s="19">
        <v>3412.5400000000004</v>
      </c>
      <c r="L551" s="48">
        <v>0.97501142857142864</v>
      </c>
      <c r="M551" s="42">
        <v>0</v>
      </c>
      <c r="N551" s="19">
        <v>0</v>
      </c>
      <c r="O551" s="23">
        <v>700</v>
      </c>
      <c r="P551" s="24">
        <v>350</v>
      </c>
      <c r="Q551" s="25">
        <v>0.5</v>
      </c>
      <c r="R551" s="24">
        <v>350</v>
      </c>
      <c r="S551" s="50">
        <v>0.5</v>
      </c>
      <c r="T551" s="43">
        <v>0</v>
      </c>
      <c r="U551" s="24">
        <v>0</v>
      </c>
      <c r="V551" s="19">
        <v>4200</v>
      </c>
      <c r="W551" s="19">
        <v>5293.54</v>
      </c>
      <c r="X551" s="21">
        <v>1.2603666666666666</v>
      </c>
      <c r="Y551" s="19">
        <v>3762.5400000000004</v>
      </c>
      <c r="Z551" s="20">
        <v>0.89584285714285727</v>
      </c>
      <c r="AA551" s="30">
        <v>6.9300000000000014E-2</v>
      </c>
      <c r="AB551" s="27">
        <v>5.8899999999999994E-2</v>
      </c>
      <c r="AC551" s="27">
        <v>7.4999999999999997E-2</v>
      </c>
      <c r="AD551" s="11">
        <v>6.8735893711793575E-2</v>
      </c>
    </row>
    <row r="552" spans="1:30" x14ac:dyDescent="0.25">
      <c r="A552" s="13">
        <v>44410</v>
      </c>
      <c r="B552" s="46" t="s">
        <v>636</v>
      </c>
      <c r="C552" s="13">
        <v>44410</v>
      </c>
      <c r="D552" s="15" t="s">
        <v>605</v>
      </c>
      <c r="E552" s="15">
        <v>28</v>
      </c>
      <c r="F552" s="15">
        <v>30</v>
      </c>
      <c r="G552" s="13">
        <v>44438</v>
      </c>
      <c r="H552" s="17">
        <v>1200</v>
      </c>
      <c r="I552" s="19">
        <v>3883.2599999999998</v>
      </c>
      <c r="J552" s="20">
        <v>3.2360499999999996</v>
      </c>
      <c r="K552" s="19">
        <v>2400.0000000000005</v>
      </c>
      <c r="L552" s="48">
        <v>2.0000000000000004</v>
      </c>
      <c r="M552" s="42">
        <v>0.45648</v>
      </c>
      <c r="N552" s="19">
        <v>0</v>
      </c>
      <c r="O552" s="23">
        <v>240</v>
      </c>
      <c r="P552" s="24">
        <v>37.1</v>
      </c>
      <c r="Q552" s="25">
        <v>0.15458333333333332</v>
      </c>
      <c r="R552" s="24">
        <v>37.1</v>
      </c>
      <c r="S552" s="50">
        <v>0.15458333333333335</v>
      </c>
      <c r="T552" s="43">
        <v>0</v>
      </c>
      <c r="U552" s="24">
        <v>0</v>
      </c>
      <c r="V552" s="19">
        <v>1440</v>
      </c>
      <c r="W552" s="19">
        <v>3920.3599999999997</v>
      </c>
      <c r="X552" s="21">
        <v>2.7224722222222222</v>
      </c>
      <c r="Y552" s="19">
        <v>2437.1000000000004</v>
      </c>
      <c r="Z552" s="20">
        <v>1.6924305555555559</v>
      </c>
      <c r="AA552" s="30">
        <v>4.4900000000000023E-2</v>
      </c>
      <c r="AB552" s="27">
        <v>3.5000000000000003E-2</v>
      </c>
      <c r="AC552" s="27">
        <v>0.05</v>
      </c>
      <c r="AD552" s="11">
        <v>4.3847544588824866E-2</v>
      </c>
    </row>
    <row r="553" spans="1:30" x14ac:dyDescent="0.25">
      <c r="A553" s="13">
        <v>44412</v>
      </c>
      <c r="B553" s="46" t="s">
        <v>636</v>
      </c>
      <c r="C553" s="13">
        <v>44412</v>
      </c>
      <c r="D553" s="15" t="s">
        <v>606</v>
      </c>
      <c r="E553" s="15">
        <v>91</v>
      </c>
      <c r="F553" s="15">
        <v>90</v>
      </c>
      <c r="G553" s="13">
        <v>44503</v>
      </c>
      <c r="H553" s="17">
        <v>2500</v>
      </c>
      <c r="I553" s="19">
        <v>6101.48</v>
      </c>
      <c r="J553" s="20">
        <v>2.4405920000000001</v>
      </c>
      <c r="K553" s="19">
        <v>2891.48</v>
      </c>
      <c r="L553" s="48">
        <v>1.1565920000000001</v>
      </c>
      <c r="M553" s="42">
        <v>0</v>
      </c>
      <c r="N553" s="19">
        <v>0</v>
      </c>
      <c r="O553" s="23">
        <v>500</v>
      </c>
      <c r="P553" s="24">
        <v>44.230000000000004</v>
      </c>
      <c r="Q553" s="25">
        <v>8.8459999999999997E-2</v>
      </c>
      <c r="R553" s="24">
        <v>44.230000000000004</v>
      </c>
      <c r="S553" s="50">
        <v>8.8460000000000011E-2</v>
      </c>
      <c r="T553" s="43">
        <v>0</v>
      </c>
      <c r="U553" s="24">
        <v>0</v>
      </c>
      <c r="V553" s="19">
        <v>3000</v>
      </c>
      <c r="W553" s="19">
        <v>6145.7099999999991</v>
      </c>
      <c r="X553" s="21">
        <v>2.0485699999999998</v>
      </c>
      <c r="Y553" s="19">
        <v>2935.71</v>
      </c>
      <c r="Z553" s="20">
        <v>0.97857000000000005</v>
      </c>
      <c r="AA553" s="30">
        <v>5.5899999999999977E-2</v>
      </c>
      <c r="AB553" s="27">
        <v>0.03</v>
      </c>
      <c r="AC553" s="27">
        <v>5.9900000000000002E-2</v>
      </c>
      <c r="AD553" s="11">
        <v>5.5547337367327289E-2</v>
      </c>
    </row>
    <row r="554" spans="1:30" x14ac:dyDescent="0.25">
      <c r="A554" s="13">
        <v>44414</v>
      </c>
      <c r="B554" s="46" t="s">
        <v>636</v>
      </c>
      <c r="C554" s="13">
        <v>44414</v>
      </c>
      <c r="D554" s="15" t="s">
        <v>607</v>
      </c>
      <c r="E554" s="15">
        <v>196</v>
      </c>
      <c r="F554" s="15">
        <v>180</v>
      </c>
      <c r="G554" s="13">
        <v>44610</v>
      </c>
      <c r="H554" s="17">
        <v>6000</v>
      </c>
      <c r="I554" s="19">
        <v>13470.570000000002</v>
      </c>
      <c r="J554" s="20">
        <v>2.2450950000000005</v>
      </c>
      <c r="K554" s="19">
        <v>10320.57</v>
      </c>
      <c r="L554" s="48">
        <v>1.7200949999999999</v>
      </c>
      <c r="M554" s="42">
        <v>0</v>
      </c>
      <c r="N554" s="19">
        <v>0</v>
      </c>
      <c r="O554" s="23">
        <v>1200</v>
      </c>
      <c r="P554" s="24">
        <v>1275.2</v>
      </c>
      <c r="Q554" s="25">
        <v>1.0626666666666666</v>
      </c>
      <c r="R554" s="24">
        <v>1200</v>
      </c>
      <c r="S554" s="25">
        <v>1</v>
      </c>
      <c r="T554" s="26">
        <v>0.94102933333333338</v>
      </c>
      <c r="U554" s="24">
        <v>0</v>
      </c>
      <c r="V554" s="19">
        <v>7200</v>
      </c>
      <c r="W554" s="19">
        <v>14745.770000000002</v>
      </c>
      <c r="X554" s="21">
        <v>2.0480236111111116</v>
      </c>
      <c r="Y554" s="19">
        <v>11520.57</v>
      </c>
      <c r="Z554" s="20">
        <v>1.6000791666666667</v>
      </c>
      <c r="AA554" s="30">
        <v>6.5699999999999981E-2</v>
      </c>
      <c r="AB554" s="27">
        <v>0.05</v>
      </c>
      <c r="AC554" s="27">
        <v>7.0499999999999993E-2</v>
      </c>
      <c r="AD554" s="11">
        <v>6.5124144709540865E-2</v>
      </c>
    </row>
    <row r="555" spans="1:30" x14ac:dyDescent="0.25">
      <c r="A555" s="13">
        <v>44417</v>
      </c>
      <c r="B555" s="46" t="s">
        <v>636</v>
      </c>
      <c r="C555" s="13">
        <v>44417</v>
      </c>
      <c r="D555" s="15" t="s">
        <v>608</v>
      </c>
      <c r="E555" s="15">
        <v>35</v>
      </c>
      <c r="F555" s="15">
        <v>30</v>
      </c>
      <c r="G555" s="13">
        <v>44452</v>
      </c>
      <c r="H555" s="17">
        <v>1600</v>
      </c>
      <c r="I555" s="19">
        <v>2118.7299999999996</v>
      </c>
      <c r="J555" s="20">
        <v>1.32420625</v>
      </c>
      <c r="K555" s="19">
        <v>1918.7299999999998</v>
      </c>
      <c r="L555" s="48">
        <v>1.1992062499999998</v>
      </c>
      <c r="M555" s="42">
        <v>0</v>
      </c>
      <c r="N555" s="19">
        <v>0</v>
      </c>
      <c r="O555" s="23">
        <v>320</v>
      </c>
      <c r="P555" s="24">
        <v>20</v>
      </c>
      <c r="Q555" s="25">
        <v>6.25E-2</v>
      </c>
      <c r="R555" s="24">
        <v>20</v>
      </c>
      <c r="S555" s="50">
        <v>6.25E-2</v>
      </c>
      <c r="T555" s="43">
        <v>0</v>
      </c>
      <c r="U555" s="24">
        <v>0</v>
      </c>
      <c r="V555" s="19">
        <v>1920</v>
      </c>
      <c r="W555" s="19">
        <v>2138.7299999999996</v>
      </c>
      <c r="X555" s="21">
        <v>1.1139218749999997</v>
      </c>
      <c r="Y555" s="19">
        <v>1938.7299999999998</v>
      </c>
      <c r="Z555" s="20">
        <v>1.0097552083333332</v>
      </c>
      <c r="AA555" s="30">
        <v>4.4799999999999972E-2</v>
      </c>
      <c r="AB555" s="27">
        <v>0.04</v>
      </c>
      <c r="AC555" s="27">
        <v>0.05</v>
      </c>
      <c r="AD555" s="11">
        <v>4.3446498610016378E-2</v>
      </c>
    </row>
    <row r="556" spans="1:30" x14ac:dyDescent="0.25">
      <c r="A556" s="13">
        <v>44419</v>
      </c>
      <c r="B556" s="46" t="s">
        <v>636</v>
      </c>
      <c r="C556" s="13">
        <v>44419</v>
      </c>
      <c r="D556" s="15" t="s">
        <v>609</v>
      </c>
      <c r="E556" s="15">
        <v>84</v>
      </c>
      <c r="F556" s="15">
        <v>90</v>
      </c>
      <c r="G556" s="13">
        <v>44503</v>
      </c>
      <c r="H556" s="17">
        <v>3300</v>
      </c>
      <c r="I556" s="19">
        <v>4241.7100000000009</v>
      </c>
      <c r="J556" s="20">
        <v>1.2853666666666665</v>
      </c>
      <c r="K556" s="19">
        <v>2241.7100000000005</v>
      </c>
      <c r="L556" s="48">
        <v>0.6793060606060608</v>
      </c>
      <c r="M556" s="42">
        <v>0</v>
      </c>
      <c r="N556" s="19">
        <v>0</v>
      </c>
      <c r="O556" s="23">
        <v>660</v>
      </c>
      <c r="P556" s="24">
        <v>2.38</v>
      </c>
      <c r="Q556" s="25">
        <v>3.6060606060606057E-3</v>
      </c>
      <c r="R556" s="24">
        <v>2.38</v>
      </c>
      <c r="S556" s="50">
        <v>3.6060606060606057E-3</v>
      </c>
      <c r="T556" s="43">
        <v>0</v>
      </c>
      <c r="U556" s="24">
        <v>0</v>
      </c>
      <c r="V556" s="19">
        <v>3960</v>
      </c>
      <c r="W556" s="19">
        <v>4244.0900000000011</v>
      </c>
      <c r="X556" s="21">
        <v>1.0717398989898992</v>
      </c>
      <c r="Y556" s="19">
        <v>2244.0900000000006</v>
      </c>
      <c r="Z556" s="20">
        <v>0.5666893939393941</v>
      </c>
      <c r="AA556" s="30">
        <v>5.6899999999999971E-2</v>
      </c>
      <c r="AB556" s="27">
        <v>4.5899999999999996E-2</v>
      </c>
      <c r="AC556" s="27">
        <v>0.06</v>
      </c>
      <c r="AD556" s="11">
        <v>5.7220365135758906E-2</v>
      </c>
    </row>
    <row r="557" spans="1:30" x14ac:dyDescent="0.25">
      <c r="A557" s="13">
        <v>44420</v>
      </c>
      <c r="B557" s="46" t="s">
        <v>636</v>
      </c>
      <c r="C557" s="13">
        <v>44421</v>
      </c>
      <c r="D557" s="15" t="s">
        <v>610</v>
      </c>
      <c r="E557" s="15">
        <v>364</v>
      </c>
      <c r="F557" s="15">
        <v>360</v>
      </c>
      <c r="G557" s="13">
        <v>44785</v>
      </c>
      <c r="H557" s="17">
        <v>6500</v>
      </c>
      <c r="I557" s="19">
        <v>6292.58</v>
      </c>
      <c r="J557" s="20">
        <v>0.96808923076923026</v>
      </c>
      <c r="K557" s="19">
        <v>4842.58</v>
      </c>
      <c r="L557" s="20">
        <v>0.74501230769230764</v>
      </c>
      <c r="M557" s="21">
        <v>0</v>
      </c>
      <c r="N557" s="19">
        <v>0</v>
      </c>
      <c r="O557" s="23">
        <v>1300</v>
      </c>
      <c r="P557" s="24">
        <v>100</v>
      </c>
      <c r="Q557" s="25">
        <v>7.6923076923076927E-2</v>
      </c>
      <c r="R557" s="24">
        <v>100</v>
      </c>
      <c r="S557" s="25">
        <v>7.6923076923076927E-2</v>
      </c>
      <c r="T557" s="26">
        <v>0</v>
      </c>
      <c r="U557" s="24">
        <v>0</v>
      </c>
      <c r="V557" s="19">
        <v>7800</v>
      </c>
      <c r="W557" s="19">
        <v>6392.58</v>
      </c>
      <c r="X557" s="21">
        <v>0.81956153846153845</v>
      </c>
      <c r="Y557" s="19">
        <v>4942.58</v>
      </c>
      <c r="Z557" s="20">
        <v>0.63366410256410255</v>
      </c>
      <c r="AA557" s="30">
        <v>7.1499999999999925E-2</v>
      </c>
      <c r="AB557" s="27">
        <v>0.06</v>
      </c>
      <c r="AC557" s="27">
        <v>7.3899999999999993E-2</v>
      </c>
      <c r="AD557" s="11">
        <v>7.0264700647429179E-2</v>
      </c>
    </row>
    <row r="558" spans="1:30" x14ac:dyDescent="0.25">
      <c r="A558" s="13">
        <v>44424</v>
      </c>
      <c r="B558" s="46" t="s">
        <v>636</v>
      </c>
      <c r="C558" s="13">
        <v>44424</v>
      </c>
      <c r="D558" s="15" t="s">
        <v>611</v>
      </c>
      <c r="E558" s="15">
        <v>28</v>
      </c>
      <c r="F558" s="15">
        <v>30</v>
      </c>
      <c r="G558" s="13">
        <v>44452</v>
      </c>
      <c r="H558" s="17">
        <v>3000</v>
      </c>
      <c r="I558" s="19">
        <v>2649.42</v>
      </c>
      <c r="J558" s="20">
        <v>0.88314000000000004</v>
      </c>
      <c r="K558" s="19">
        <v>1699.42</v>
      </c>
      <c r="L558" s="20">
        <v>0.56647333333333338</v>
      </c>
      <c r="M558" s="21">
        <v>0</v>
      </c>
      <c r="N558" s="19">
        <v>0</v>
      </c>
      <c r="O558" s="23">
        <v>600</v>
      </c>
      <c r="P558" s="24">
        <v>30</v>
      </c>
      <c r="Q558" s="25">
        <v>0.05</v>
      </c>
      <c r="R558" s="24">
        <v>30</v>
      </c>
      <c r="S558" s="25">
        <v>0.05</v>
      </c>
      <c r="T558" s="26">
        <v>0</v>
      </c>
      <c r="U558" s="24">
        <v>0</v>
      </c>
      <c r="V558" s="19">
        <v>3600</v>
      </c>
      <c r="W558" s="19">
        <v>2679.42</v>
      </c>
      <c r="X558" s="21">
        <v>0.74428333333333341</v>
      </c>
      <c r="Y558" s="19">
        <v>1729.42</v>
      </c>
      <c r="Z558" s="20">
        <v>0.48039444444444446</v>
      </c>
      <c r="AA558" s="30">
        <v>5.1900000000000036E-2</v>
      </c>
      <c r="AB558" s="27">
        <v>3.4799999999999998E-2</v>
      </c>
      <c r="AC558" s="27">
        <v>5.7500000000000002E-2</v>
      </c>
      <c r="AD558" s="11">
        <v>4.7696168972831791E-2</v>
      </c>
    </row>
    <row r="559" spans="1:30" x14ac:dyDescent="0.25">
      <c r="A559" s="13">
        <v>44426</v>
      </c>
      <c r="B559" s="46" t="s">
        <v>636</v>
      </c>
      <c r="C559" s="13">
        <v>44426</v>
      </c>
      <c r="D559" s="15" t="s">
        <v>612</v>
      </c>
      <c r="E559" s="15">
        <v>77</v>
      </c>
      <c r="F559" s="15">
        <v>90</v>
      </c>
      <c r="G559" s="13">
        <v>44503</v>
      </c>
      <c r="H559" s="17">
        <v>4000</v>
      </c>
      <c r="I559" s="19">
        <v>5049.3900000000003</v>
      </c>
      <c r="J559" s="20">
        <v>1.2623474999999997</v>
      </c>
      <c r="K559" s="19">
        <v>4749.3900000000003</v>
      </c>
      <c r="L559" s="20">
        <v>1.1873475</v>
      </c>
      <c r="M559" s="21">
        <v>0</v>
      </c>
      <c r="N559" s="19">
        <v>0</v>
      </c>
      <c r="O559" s="23">
        <v>800</v>
      </c>
      <c r="P559" s="24">
        <v>10</v>
      </c>
      <c r="Q559" s="25">
        <v>1.2500000000000001E-2</v>
      </c>
      <c r="R559" s="24">
        <v>10</v>
      </c>
      <c r="S559" s="25">
        <v>1.2500000000000001E-2</v>
      </c>
      <c r="T559" s="26">
        <v>0</v>
      </c>
      <c r="U559" s="24">
        <v>0</v>
      </c>
      <c r="V559" s="19">
        <v>4800</v>
      </c>
      <c r="W559" s="19">
        <v>5059.3900000000003</v>
      </c>
      <c r="X559" s="21">
        <v>1.0540395833333334</v>
      </c>
      <c r="Y559" s="19">
        <v>4759.3900000000003</v>
      </c>
      <c r="Z559" s="20">
        <v>0.99153958333333336</v>
      </c>
      <c r="AA559" s="30">
        <v>5.9099999999999958E-2</v>
      </c>
      <c r="AB559" s="27">
        <v>0.03</v>
      </c>
      <c r="AC559" s="27">
        <v>6.0700000000000004E-2</v>
      </c>
      <c r="AD559" s="11">
        <v>5.7496942204899981E-2</v>
      </c>
    </row>
    <row r="560" spans="1:30" x14ac:dyDescent="0.25">
      <c r="A560" s="13">
        <v>44428</v>
      </c>
      <c r="B560" s="46" t="s">
        <v>636</v>
      </c>
      <c r="C560" s="13">
        <v>44428</v>
      </c>
      <c r="D560" s="15" t="s">
        <v>613</v>
      </c>
      <c r="E560" s="15">
        <v>196</v>
      </c>
      <c r="F560" s="15">
        <v>180</v>
      </c>
      <c r="G560" s="13">
        <v>44624</v>
      </c>
      <c r="H560" s="17">
        <v>8000</v>
      </c>
      <c r="I560" s="19">
        <v>13410.07</v>
      </c>
      <c r="J560" s="20">
        <v>1.6762587499999992</v>
      </c>
      <c r="K560" s="19">
        <v>12260.07</v>
      </c>
      <c r="L560" s="20">
        <v>1.5325087499999999</v>
      </c>
      <c r="M560" s="21">
        <v>0</v>
      </c>
      <c r="N560" s="19">
        <v>0</v>
      </c>
      <c r="O560" s="23">
        <v>1600</v>
      </c>
      <c r="P560" s="24">
        <v>1396.02</v>
      </c>
      <c r="Q560" s="25">
        <v>0.87251250000000002</v>
      </c>
      <c r="R560" s="24">
        <v>1396.02</v>
      </c>
      <c r="S560" s="25">
        <v>0.87251250000000002</v>
      </c>
      <c r="T560" s="26">
        <v>0</v>
      </c>
      <c r="U560" s="24">
        <v>0</v>
      </c>
      <c r="V560" s="19">
        <v>9600</v>
      </c>
      <c r="W560" s="19">
        <v>14806.09</v>
      </c>
      <c r="X560" s="21">
        <v>1.5423010416666667</v>
      </c>
      <c r="Y560" s="19">
        <v>13656.09</v>
      </c>
      <c r="Z560" s="20">
        <v>1.422509375</v>
      </c>
      <c r="AA560" s="30">
        <v>6.8900000000000114E-2</v>
      </c>
      <c r="AB560" s="27">
        <v>0.03</v>
      </c>
      <c r="AC560" s="27">
        <v>7.0699999999999999E-2</v>
      </c>
      <c r="AD560" s="11">
        <v>6.696115083664736E-2</v>
      </c>
    </row>
    <row r="561" spans="1:30" x14ac:dyDescent="0.25">
      <c r="A561" s="13">
        <v>44431</v>
      </c>
      <c r="B561" s="46" t="s">
        <v>636</v>
      </c>
      <c r="C561" s="13">
        <v>44431</v>
      </c>
      <c r="D561" s="15" t="s">
        <v>614</v>
      </c>
      <c r="E561" s="15">
        <v>35</v>
      </c>
      <c r="F561" s="15">
        <v>30</v>
      </c>
      <c r="G561" s="13">
        <v>44466</v>
      </c>
      <c r="H561" s="17">
        <v>2500</v>
      </c>
      <c r="I561" s="19">
        <v>1144.56</v>
      </c>
      <c r="J561" s="20">
        <v>0.4578239999999999</v>
      </c>
      <c r="K561" s="19">
        <v>1044.56</v>
      </c>
      <c r="L561" s="20">
        <v>0.41782399999999997</v>
      </c>
      <c r="M561" s="21">
        <v>0</v>
      </c>
      <c r="N561" s="19">
        <v>0</v>
      </c>
      <c r="O561" s="23">
        <v>500</v>
      </c>
      <c r="P561" s="24">
        <v>30</v>
      </c>
      <c r="Q561" s="25">
        <v>0.06</v>
      </c>
      <c r="R561" s="24">
        <v>30</v>
      </c>
      <c r="S561" s="25">
        <v>0.06</v>
      </c>
      <c r="T561" s="26">
        <v>0</v>
      </c>
      <c r="U561" s="24">
        <v>0</v>
      </c>
      <c r="V561" s="19">
        <v>3000</v>
      </c>
      <c r="W561" s="19">
        <v>1174.56</v>
      </c>
      <c r="X561" s="21">
        <v>0.39151999999999998</v>
      </c>
      <c r="Y561" s="19">
        <v>1074.56</v>
      </c>
      <c r="Z561" s="20">
        <v>0.35818666666666665</v>
      </c>
      <c r="AA561" s="30">
        <v>5.0499999999999996E-2</v>
      </c>
      <c r="AB561" s="27">
        <v>0.04</v>
      </c>
      <c r="AC561" s="27">
        <v>5.3800000000000001E-2</v>
      </c>
      <c r="AD561" s="11">
        <v>4.6742320192912558E-2</v>
      </c>
    </row>
    <row r="562" spans="1:30" x14ac:dyDescent="0.25">
      <c r="A562" s="13">
        <v>44432</v>
      </c>
      <c r="B562" s="46" t="s">
        <v>636</v>
      </c>
      <c r="C562" s="13">
        <v>44432</v>
      </c>
      <c r="D562" s="15" t="s">
        <v>615</v>
      </c>
      <c r="E562" s="15">
        <v>99</v>
      </c>
      <c r="F562" s="15">
        <v>90</v>
      </c>
      <c r="G562" s="13">
        <v>44531</v>
      </c>
      <c r="H562" s="17">
        <v>3300</v>
      </c>
      <c r="I562" s="19">
        <v>535.79</v>
      </c>
      <c r="J562" s="20">
        <v>0.16236060606060604</v>
      </c>
      <c r="K562" s="19">
        <v>185.79000000000002</v>
      </c>
      <c r="L562" s="20">
        <v>5.6300000000000003E-2</v>
      </c>
      <c r="M562" s="21">
        <v>0</v>
      </c>
      <c r="N562" s="19">
        <v>0</v>
      </c>
      <c r="O562" s="23">
        <v>660</v>
      </c>
      <c r="P562" s="24">
        <v>0</v>
      </c>
      <c r="Q562" s="25">
        <v>0</v>
      </c>
      <c r="R562" s="24">
        <v>0</v>
      </c>
      <c r="S562" s="25">
        <v>0</v>
      </c>
      <c r="T562" s="26">
        <v>0</v>
      </c>
      <c r="U562" s="24">
        <v>0</v>
      </c>
      <c r="V562" s="19">
        <v>3960</v>
      </c>
      <c r="W562" s="19">
        <v>535.79</v>
      </c>
      <c r="X562" s="21">
        <v>0.13530050505050503</v>
      </c>
      <c r="Y562" s="19">
        <v>185.79000000000002</v>
      </c>
      <c r="Z562" s="20">
        <v>4.6916666666666669E-2</v>
      </c>
      <c r="AA562" s="30">
        <v>5.9699999999999989E-2</v>
      </c>
      <c r="AB562" s="27">
        <v>0.05</v>
      </c>
      <c r="AC562" s="27">
        <v>6.480000000000001E-2</v>
      </c>
      <c r="AD562" s="11">
        <v>6.0537710670225287E-2</v>
      </c>
    </row>
    <row r="563" spans="1:30" x14ac:dyDescent="0.25">
      <c r="A563" s="13">
        <v>44434</v>
      </c>
      <c r="B563" s="46" t="s">
        <v>636</v>
      </c>
      <c r="C563" s="13">
        <v>44435</v>
      </c>
      <c r="D563" s="15" t="s">
        <v>616</v>
      </c>
      <c r="E563" s="15">
        <v>350</v>
      </c>
      <c r="F563" s="15">
        <v>360</v>
      </c>
      <c r="G563" s="13">
        <v>44785</v>
      </c>
      <c r="H563" s="17">
        <v>8000</v>
      </c>
      <c r="I563" s="19">
        <v>7668.31</v>
      </c>
      <c r="J563" s="20">
        <v>0.95853874999999999</v>
      </c>
      <c r="K563" s="19">
        <v>6513.71</v>
      </c>
      <c r="L563" s="20">
        <v>0.81421374999999996</v>
      </c>
      <c r="M563" s="21">
        <v>0</v>
      </c>
      <c r="N563" s="19">
        <v>0</v>
      </c>
      <c r="O563" s="23">
        <v>1600</v>
      </c>
      <c r="P563" s="24">
        <v>0</v>
      </c>
      <c r="Q563" s="25">
        <v>0</v>
      </c>
      <c r="R563" s="24">
        <v>0</v>
      </c>
      <c r="S563" s="25">
        <v>0</v>
      </c>
      <c r="T563" s="26">
        <v>0</v>
      </c>
      <c r="U563" s="24">
        <v>0</v>
      </c>
      <c r="V563" s="19">
        <v>9600</v>
      </c>
      <c r="W563" s="19">
        <v>7668.31</v>
      </c>
      <c r="X563" s="21">
        <v>0.7987822916666667</v>
      </c>
      <c r="Y563" s="19">
        <v>6513.71</v>
      </c>
      <c r="Z563" s="20">
        <v>0.67851145833333337</v>
      </c>
      <c r="AA563" s="30">
        <v>7.189999999999995E-2</v>
      </c>
      <c r="AB563" s="27">
        <v>6.1500000000000006E-2</v>
      </c>
      <c r="AC563" s="27">
        <v>7.4999999999999997E-2</v>
      </c>
      <c r="AD563" s="11">
        <v>7.0605561590493873E-2</v>
      </c>
    </row>
    <row r="564" spans="1:30" x14ac:dyDescent="0.25">
      <c r="A564" s="13">
        <v>44438</v>
      </c>
      <c r="B564" s="46" t="s">
        <v>636</v>
      </c>
      <c r="C564" s="13">
        <v>44438</v>
      </c>
      <c r="D564" s="15" t="s">
        <v>617</v>
      </c>
      <c r="E564" s="15">
        <v>28</v>
      </c>
      <c r="F564" s="15">
        <v>30</v>
      </c>
      <c r="G564" s="13">
        <v>44466</v>
      </c>
      <c r="H564" s="17">
        <v>1600</v>
      </c>
      <c r="I564" s="19">
        <v>2313.75</v>
      </c>
      <c r="J564" s="20">
        <v>1.4460937499999995</v>
      </c>
      <c r="K564" s="19">
        <v>2213.75</v>
      </c>
      <c r="L564" s="20">
        <v>1.38359375</v>
      </c>
      <c r="M564" s="21">
        <v>0</v>
      </c>
      <c r="N564" s="19">
        <v>0</v>
      </c>
      <c r="O564" s="23">
        <v>320</v>
      </c>
      <c r="P564" s="24">
        <v>359</v>
      </c>
      <c r="Q564" s="25">
        <v>1.121875</v>
      </c>
      <c r="R564" s="24">
        <v>320</v>
      </c>
      <c r="S564" s="25">
        <v>1</v>
      </c>
      <c r="T564" s="26">
        <v>0.89136666666666664</v>
      </c>
      <c r="U564" s="24">
        <v>0</v>
      </c>
      <c r="V564" s="19">
        <v>1920</v>
      </c>
      <c r="W564" s="19">
        <v>2672.75</v>
      </c>
      <c r="X564" s="21">
        <v>1.3920572916666667</v>
      </c>
      <c r="Y564" s="19">
        <v>2533.75</v>
      </c>
      <c r="Z564" s="20">
        <v>1.3196614583333333</v>
      </c>
      <c r="AA564" s="30">
        <v>5.0899999999999966E-2</v>
      </c>
      <c r="AB564" s="27">
        <v>0.04</v>
      </c>
      <c r="AC564" s="27">
        <v>5.1900000000000002E-2</v>
      </c>
      <c r="AD564" s="11">
        <v>4.7131937763371164E-2</v>
      </c>
    </row>
    <row r="565" spans="1:30" x14ac:dyDescent="0.25">
      <c r="A565" s="13">
        <v>44439</v>
      </c>
      <c r="B565" s="46" t="s">
        <v>636</v>
      </c>
      <c r="C565" s="13">
        <v>44440</v>
      </c>
      <c r="D565" s="15" t="s">
        <v>618</v>
      </c>
      <c r="E565" s="15">
        <v>728</v>
      </c>
      <c r="F565" s="15">
        <v>720</v>
      </c>
      <c r="G565" s="13">
        <v>45168</v>
      </c>
      <c r="H565" s="17">
        <v>4000</v>
      </c>
      <c r="I565" s="19">
        <v>5266.3</v>
      </c>
      <c r="J565" s="20">
        <v>1.3165750000000001</v>
      </c>
      <c r="K565" s="19">
        <v>4386.3</v>
      </c>
      <c r="L565" s="20">
        <v>1.0965750000000001</v>
      </c>
      <c r="M565" s="21">
        <v>0</v>
      </c>
      <c r="N565" s="19">
        <v>0</v>
      </c>
      <c r="O565" s="23">
        <v>800</v>
      </c>
      <c r="P565" s="24">
        <v>0</v>
      </c>
      <c r="Q565" s="25">
        <v>0</v>
      </c>
      <c r="R565" s="24">
        <v>0</v>
      </c>
      <c r="S565" s="25">
        <v>0</v>
      </c>
      <c r="T565" s="26">
        <v>0</v>
      </c>
      <c r="U565" s="24">
        <v>0</v>
      </c>
      <c r="V565" s="19">
        <v>4800</v>
      </c>
      <c r="W565" s="19">
        <v>5266.3</v>
      </c>
      <c r="X565" s="21">
        <v>1.0971458333333333</v>
      </c>
      <c r="Y565" s="19">
        <v>4386.3</v>
      </c>
      <c r="Z565" s="20">
        <v>0.91381250000000003</v>
      </c>
      <c r="AA565" s="30">
        <v>7.290000000000002E-2</v>
      </c>
      <c r="AB565" s="27">
        <v>6.8000000000000005E-2</v>
      </c>
      <c r="AC565" s="27">
        <v>7.4900000000000008E-2</v>
      </c>
      <c r="AD565" s="11">
        <v>7.2516515390311967E-2</v>
      </c>
    </row>
    <row r="566" spans="1:30" x14ac:dyDescent="0.25">
      <c r="A566" s="13">
        <v>44440</v>
      </c>
      <c r="B566" s="46" t="s">
        <v>636</v>
      </c>
      <c r="C566" s="13">
        <v>44440</v>
      </c>
      <c r="D566" s="15" t="s">
        <v>619</v>
      </c>
      <c r="E566" s="15">
        <v>91</v>
      </c>
      <c r="F566" s="15">
        <v>90</v>
      </c>
      <c r="G566" s="13">
        <v>44531</v>
      </c>
      <c r="H566" s="17">
        <v>2500</v>
      </c>
      <c r="I566" s="19">
        <v>1647.0600000000004</v>
      </c>
      <c r="J566" s="20">
        <v>0.65882400000000008</v>
      </c>
      <c r="K566" s="19">
        <v>797.05999999999983</v>
      </c>
      <c r="L566" s="20">
        <v>0.31882399999999994</v>
      </c>
      <c r="M566" s="21">
        <v>0</v>
      </c>
      <c r="N566" s="19">
        <v>0</v>
      </c>
      <c r="O566" s="23">
        <v>500</v>
      </c>
      <c r="P566" s="24">
        <v>0.55000000000000004</v>
      </c>
      <c r="Q566" s="25">
        <v>1.1000000000000001E-3</v>
      </c>
      <c r="R566" s="24">
        <v>0.55000000000000004</v>
      </c>
      <c r="S566" s="25">
        <v>1.1000000000000001E-3</v>
      </c>
      <c r="T566" s="26">
        <v>0</v>
      </c>
      <c r="U566" s="24">
        <v>0</v>
      </c>
      <c r="V566" s="19">
        <v>3000</v>
      </c>
      <c r="W566" s="19">
        <v>1647.6100000000004</v>
      </c>
      <c r="X566" s="21">
        <v>0.54920333333333349</v>
      </c>
      <c r="Y566" s="19">
        <v>797.60999999999979</v>
      </c>
      <c r="Z566" s="20">
        <v>0.26586999999999994</v>
      </c>
      <c r="AA566" s="30">
        <v>5.9899999999999995E-2</v>
      </c>
      <c r="AB566" s="27">
        <v>4.9699999999999994E-2</v>
      </c>
      <c r="AC566" s="27">
        <v>6.4000000000000001E-2</v>
      </c>
      <c r="AD566" s="11">
        <v>5.9923390769006567E-2</v>
      </c>
    </row>
    <row r="567" spans="1:30" x14ac:dyDescent="0.25">
      <c r="A567" s="13">
        <v>44442</v>
      </c>
      <c r="B567" s="46" t="s">
        <v>636</v>
      </c>
      <c r="C567" s="13">
        <v>44442</v>
      </c>
      <c r="D567" s="15" t="s">
        <v>620</v>
      </c>
      <c r="E567" s="15">
        <v>196</v>
      </c>
      <c r="F567" s="15">
        <v>180</v>
      </c>
      <c r="G567" s="13">
        <v>44638</v>
      </c>
      <c r="H567" s="17">
        <v>3000</v>
      </c>
      <c r="I567" s="19">
        <v>5096.8499999999995</v>
      </c>
      <c r="J567" s="20">
        <v>1.6989500000000006</v>
      </c>
      <c r="K567" s="19">
        <v>3746.8499999999995</v>
      </c>
      <c r="L567" s="20">
        <v>1.2489499999999998</v>
      </c>
      <c r="M567" s="21">
        <v>0</v>
      </c>
      <c r="N567" s="19">
        <v>0</v>
      </c>
      <c r="O567" s="23">
        <v>600</v>
      </c>
      <c r="P567" s="24">
        <v>1000</v>
      </c>
      <c r="Q567" s="25">
        <v>1.6666666666666665</v>
      </c>
      <c r="R567" s="24">
        <v>600</v>
      </c>
      <c r="S567" s="25">
        <v>1</v>
      </c>
      <c r="T567" s="26">
        <v>0.6</v>
      </c>
      <c r="U567" s="24">
        <v>0</v>
      </c>
      <c r="V567" s="19">
        <v>3600</v>
      </c>
      <c r="W567" s="19">
        <v>6096.8499999999995</v>
      </c>
      <c r="X567" s="21">
        <v>1.6935694444444442</v>
      </c>
      <c r="Y567" s="19">
        <v>4346.8499999999995</v>
      </c>
      <c r="Z567" s="20">
        <v>1.2074583333333331</v>
      </c>
      <c r="AA567" s="30">
        <v>6.9500000000000089E-2</v>
      </c>
      <c r="AB567" s="27">
        <v>0.05</v>
      </c>
      <c r="AC567" s="27">
        <v>7.0699999999999999E-2</v>
      </c>
      <c r="AD567" s="11">
        <v>6.7926203439379218E-2</v>
      </c>
    </row>
    <row r="568" spans="1:30" x14ac:dyDescent="0.25">
      <c r="A568" s="13">
        <v>44445</v>
      </c>
      <c r="B568" s="46" t="s">
        <v>636</v>
      </c>
      <c r="C568" s="13">
        <v>44445</v>
      </c>
      <c r="D568" s="15" t="s">
        <v>621</v>
      </c>
      <c r="E568" s="15">
        <v>36</v>
      </c>
      <c r="F568" s="15">
        <v>30</v>
      </c>
      <c r="G568" s="13">
        <v>44481</v>
      </c>
      <c r="H568" s="17">
        <v>800</v>
      </c>
      <c r="I568" s="19">
        <v>205.67</v>
      </c>
      <c r="J568" s="20">
        <v>0.25708749999999997</v>
      </c>
      <c r="K568" s="19">
        <v>205.67</v>
      </c>
      <c r="L568" s="20">
        <v>0.25708749999999997</v>
      </c>
      <c r="M568" s="21">
        <v>0</v>
      </c>
      <c r="N568" s="19">
        <v>0</v>
      </c>
      <c r="O568" s="23">
        <v>160</v>
      </c>
      <c r="P568" s="24">
        <v>290</v>
      </c>
      <c r="Q568" s="25">
        <v>1.8125</v>
      </c>
      <c r="R568" s="24">
        <v>41.134</v>
      </c>
      <c r="S568" s="25">
        <v>0.25708750000000002</v>
      </c>
      <c r="T568" s="26">
        <v>0.14184333333333335</v>
      </c>
      <c r="U568" s="24">
        <v>0</v>
      </c>
      <c r="V568" s="19">
        <v>960</v>
      </c>
      <c r="W568" s="19">
        <v>495.66999999999996</v>
      </c>
      <c r="X568" s="21">
        <v>0.51632291666666663</v>
      </c>
      <c r="Y568" s="19">
        <v>246.80399999999997</v>
      </c>
      <c r="Z568" s="20">
        <v>0.25708749999999997</v>
      </c>
      <c r="AA568" s="30">
        <v>5.3200000000000018E-2</v>
      </c>
      <c r="AB568" s="27">
        <v>0.04</v>
      </c>
      <c r="AC568" s="27">
        <v>5.3200000000000004E-2</v>
      </c>
      <c r="AD568" s="11">
        <v>4.8940244080322846E-2</v>
      </c>
    </row>
    <row r="569" spans="1:30" x14ac:dyDescent="0.25">
      <c r="A569" s="13">
        <v>44447</v>
      </c>
      <c r="B569" s="46" t="s">
        <v>636</v>
      </c>
      <c r="C569" s="13">
        <v>44447</v>
      </c>
      <c r="D569" s="15" t="s">
        <v>622</v>
      </c>
      <c r="E569" s="15">
        <v>84</v>
      </c>
      <c r="F569" s="15">
        <v>90</v>
      </c>
      <c r="G569" s="13">
        <v>44531</v>
      </c>
      <c r="H569" s="17">
        <v>2000</v>
      </c>
      <c r="I569" s="19">
        <v>4189.8599999999997</v>
      </c>
      <c r="J569" s="20">
        <v>2.0949299999999997</v>
      </c>
      <c r="K569" s="19">
        <v>2159.86</v>
      </c>
      <c r="L569" s="20">
        <v>1.0799300000000001</v>
      </c>
      <c r="M569" s="21">
        <v>0</v>
      </c>
      <c r="N569" s="19">
        <v>0</v>
      </c>
      <c r="O569" s="23">
        <v>400</v>
      </c>
      <c r="P569" s="24">
        <v>483.67</v>
      </c>
      <c r="Q569" s="25">
        <v>1.2091750000000001</v>
      </c>
      <c r="R569" s="24">
        <v>400</v>
      </c>
      <c r="S569" s="25">
        <v>1</v>
      </c>
      <c r="T569" s="26">
        <v>0.82701025000000006</v>
      </c>
      <c r="U569" s="24">
        <v>0</v>
      </c>
      <c r="V569" s="19">
        <v>2400</v>
      </c>
      <c r="W569" s="19">
        <v>4673.53</v>
      </c>
      <c r="X569" s="21">
        <v>1.9473041666666666</v>
      </c>
      <c r="Y569" s="19">
        <v>2559.86</v>
      </c>
      <c r="Z569" s="20">
        <v>1.0666083333333334</v>
      </c>
      <c r="AA569" s="30">
        <v>6.0499999999999998E-2</v>
      </c>
      <c r="AB569" s="27">
        <v>4.2999999999999997E-2</v>
      </c>
      <c r="AC569" s="27">
        <v>6.3799999999999996E-2</v>
      </c>
      <c r="AD569" s="11">
        <v>5.9885309294343964E-2</v>
      </c>
    </row>
    <row r="570" spans="1:30" x14ac:dyDescent="0.25">
      <c r="A570" s="13">
        <v>44448</v>
      </c>
      <c r="B570" s="46" t="s">
        <v>636</v>
      </c>
      <c r="C570" s="13">
        <v>44449</v>
      </c>
      <c r="D570" s="15" t="s">
        <v>623</v>
      </c>
      <c r="E570" s="15">
        <v>371</v>
      </c>
      <c r="F570" s="15">
        <v>360</v>
      </c>
      <c r="G570" s="13">
        <v>44820</v>
      </c>
      <c r="H570" s="17">
        <v>4500</v>
      </c>
      <c r="I570" s="19">
        <v>8447.09</v>
      </c>
      <c r="J570" s="20">
        <v>1.8771311111111111</v>
      </c>
      <c r="K570" s="19">
        <v>5086.09</v>
      </c>
      <c r="L570" s="20">
        <v>1.1302422222222221</v>
      </c>
      <c r="M570" s="21">
        <v>0</v>
      </c>
      <c r="N570" s="19">
        <v>0</v>
      </c>
      <c r="O570" s="23">
        <v>900</v>
      </c>
      <c r="P570" s="24">
        <v>600.63</v>
      </c>
      <c r="Q570" s="25">
        <v>0.66736666666666677</v>
      </c>
      <c r="R570" s="24">
        <v>600.63</v>
      </c>
      <c r="S570" s="25">
        <v>0.66736666666666666</v>
      </c>
      <c r="T570" s="26">
        <v>0</v>
      </c>
      <c r="U570" s="24">
        <v>0</v>
      </c>
      <c r="V570" s="19">
        <v>5400</v>
      </c>
      <c r="W570" s="19">
        <v>9047.7199999999993</v>
      </c>
      <c r="X570" s="21">
        <v>1.6755037037037035</v>
      </c>
      <c r="Y570" s="19">
        <v>5686.72</v>
      </c>
      <c r="Z570" s="20">
        <v>1.0530962962962964</v>
      </c>
      <c r="AA570" s="30">
        <v>7.1899999999999992E-2</v>
      </c>
      <c r="AB570" s="27">
        <v>5.6900000000000006E-2</v>
      </c>
      <c r="AC570" s="27">
        <v>7.4700000000000003E-2</v>
      </c>
      <c r="AD570" s="11">
        <v>7.1259202873415597E-2</v>
      </c>
    </row>
    <row r="571" spans="1:30" x14ac:dyDescent="0.25">
      <c r="A571" s="13">
        <v>44452</v>
      </c>
      <c r="B571" s="46" t="s">
        <v>636</v>
      </c>
      <c r="C571" s="13">
        <v>44452</v>
      </c>
      <c r="D571" s="15" t="s">
        <v>624</v>
      </c>
      <c r="E571" s="15">
        <v>29</v>
      </c>
      <c r="F571" s="15">
        <v>30</v>
      </c>
      <c r="G571" s="13">
        <v>44481</v>
      </c>
      <c r="H571" s="17">
        <v>1800</v>
      </c>
      <c r="I571" s="19">
        <v>3700.05</v>
      </c>
      <c r="J571" s="20">
        <v>2.0555833333333324</v>
      </c>
      <c r="K571" s="19">
        <v>2895.05</v>
      </c>
      <c r="L571" s="20">
        <v>1.6083611111111111</v>
      </c>
      <c r="M571" s="21">
        <v>0</v>
      </c>
      <c r="N571" s="19">
        <v>0</v>
      </c>
      <c r="O571" s="23">
        <v>360</v>
      </c>
      <c r="P571" s="24">
        <v>20.7</v>
      </c>
      <c r="Q571" s="25">
        <v>5.7499999999999996E-2</v>
      </c>
      <c r="R571" s="24">
        <v>20.7</v>
      </c>
      <c r="S571" s="25">
        <v>5.7499999999999996E-2</v>
      </c>
      <c r="T571" s="26">
        <v>0</v>
      </c>
      <c r="U571" s="24">
        <v>0</v>
      </c>
      <c r="V571" s="19">
        <v>2160</v>
      </c>
      <c r="W571" s="19">
        <v>3720.75</v>
      </c>
      <c r="X571" s="21">
        <v>1.7225694444444444</v>
      </c>
      <c r="Y571" s="19">
        <v>2915.75</v>
      </c>
      <c r="Z571" s="20">
        <v>1.3498842592592593</v>
      </c>
      <c r="AA571" s="30">
        <v>5.3299999999999993E-2</v>
      </c>
      <c r="AB571" s="27">
        <v>0.04</v>
      </c>
      <c r="AC571" s="27">
        <v>5.7200000000000001E-2</v>
      </c>
      <c r="AD571" s="11">
        <v>5.150255131687409E-2</v>
      </c>
    </row>
    <row r="572" spans="1:30" x14ac:dyDescent="0.25">
      <c r="A572" s="13">
        <v>44454</v>
      </c>
      <c r="B572" s="46" t="s">
        <v>636</v>
      </c>
      <c r="C572" s="13">
        <v>44454</v>
      </c>
      <c r="D572" s="15" t="s">
        <v>625</v>
      </c>
      <c r="E572" s="15">
        <v>77</v>
      </c>
      <c r="F572" s="15">
        <v>90</v>
      </c>
      <c r="G572" s="13">
        <v>44531</v>
      </c>
      <c r="H572" s="17">
        <v>3000</v>
      </c>
      <c r="I572" s="19">
        <v>2045.69</v>
      </c>
      <c r="J572" s="20">
        <v>0.6818966666666666</v>
      </c>
      <c r="K572" s="19">
        <v>895.69</v>
      </c>
      <c r="L572" s="20">
        <v>0.29856333333333335</v>
      </c>
      <c r="M572" s="21">
        <v>0</v>
      </c>
      <c r="N572" s="19">
        <v>0</v>
      </c>
      <c r="O572" s="23">
        <v>600</v>
      </c>
      <c r="P572" s="24">
        <v>5</v>
      </c>
      <c r="Q572" s="25">
        <v>8.3333333333333332E-3</v>
      </c>
      <c r="R572" s="24">
        <v>5</v>
      </c>
      <c r="S572" s="25">
        <v>8.3333333333333332E-3</v>
      </c>
      <c r="T572" s="26">
        <v>0</v>
      </c>
      <c r="U572" s="24">
        <v>0</v>
      </c>
      <c r="V572" s="19">
        <v>3600</v>
      </c>
      <c r="W572" s="19">
        <v>2050.69</v>
      </c>
      <c r="X572" s="21">
        <v>0.56963611111111112</v>
      </c>
      <c r="Y572" s="19">
        <v>900.69</v>
      </c>
      <c r="Z572" s="20">
        <v>0.2501916666666667</v>
      </c>
      <c r="AA572" s="30">
        <v>6.1200000000000018E-2</v>
      </c>
      <c r="AB572" s="27">
        <v>0.05</v>
      </c>
      <c r="AC572" s="27">
        <v>6.3600000000000004E-2</v>
      </c>
      <c r="AD572" s="11">
        <v>6.1725838225733125E-2</v>
      </c>
    </row>
    <row r="573" spans="1:30" x14ac:dyDescent="0.25">
      <c r="A573" s="13">
        <v>44456</v>
      </c>
      <c r="B573" s="46" t="s">
        <v>636</v>
      </c>
      <c r="C573" s="13">
        <v>44456</v>
      </c>
      <c r="D573" s="15" t="s">
        <v>626</v>
      </c>
      <c r="E573" s="15">
        <v>196</v>
      </c>
      <c r="F573" s="15">
        <v>180</v>
      </c>
      <c r="G573" s="13">
        <v>44652</v>
      </c>
      <c r="H573" s="17">
        <v>9000</v>
      </c>
      <c r="I573" s="19">
        <v>8802.9699999999993</v>
      </c>
      <c r="J573" s="20">
        <v>0.97810777777777791</v>
      </c>
      <c r="K573" s="19">
        <v>8252.9700000000012</v>
      </c>
      <c r="L573" s="20">
        <v>0.91699666666666679</v>
      </c>
      <c r="M573" s="21">
        <v>0</v>
      </c>
      <c r="N573" s="19">
        <v>0</v>
      </c>
      <c r="O573" s="23">
        <v>1800</v>
      </c>
      <c r="P573" s="24">
        <v>1080</v>
      </c>
      <c r="Q573" s="25">
        <v>0.6</v>
      </c>
      <c r="R573" s="24">
        <v>1080</v>
      </c>
      <c r="S573" s="25">
        <v>0.6</v>
      </c>
      <c r="T573" s="26">
        <v>0</v>
      </c>
      <c r="U573" s="24">
        <v>0</v>
      </c>
      <c r="V573" s="19">
        <v>10800</v>
      </c>
      <c r="W573" s="19">
        <v>9882.9699999999993</v>
      </c>
      <c r="X573" s="21">
        <v>0.91508981481481477</v>
      </c>
      <c r="Y573" s="19">
        <v>9332.9700000000012</v>
      </c>
      <c r="Z573" s="20">
        <v>0.86416388888888895</v>
      </c>
      <c r="AA573" s="30">
        <v>7.0499999999999993E-2</v>
      </c>
      <c r="AB573" s="27">
        <v>5.8899999999999994E-2</v>
      </c>
      <c r="AC573" s="27">
        <v>7.1800000000000003E-2</v>
      </c>
      <c r="AD573" s="11">
        <v>6.8743266761104524E-2</v>
      </c>
    </row>
    <row r="574" spans="1:30" x14ac:dyDescent="0.25">
      <c r="A574" s="13">
        <v>44459</v>
      </c>
      <c r="B574" s="46" t="s">
        <v>636</v>
      </c>
      <c r="C574" s="13">
        <v>44459</v>
      </c>
      <c r="D574" s="15" t="s">
        <v>627</v>
      </c>
      <c r="E574" s="15">
        <v>28</v>
      </c>
      <c r="F574" s="15">
        <v>30</v>
      </c>
      <c r="G574" s="13">
        <v>44487</v>
      </c>
      <c r="H574" s="17">
        <v>1700</v>
      </c>
      <c r="I574" s="19">
        <v>844.68000000000006</v>
      </c>
      <c r="J574" s="20">
        <v>0.49687058823529412</v>
      </c>
      <c r="K574" s="19">
        <v>844.68000000000006</v>
      </c>
      <c r="L574" s="20">
        <v>0.49687058823529417</v>
      </c>
      <c r="M574" s="21">
        <v>0</v>
      </c>
      <c r="N574" s="19">
        <v>0</v>
      </c>
      <c r="O574" s="23">
        <v>340</v>
      </c>
      <c r="P574" s="24">
        <v>10.3</v>
      </c>
      <c r="Q574" s="25">
        <v>3.0294117647058826E-2</v>
      </c>
      <c r="R574" s="24">
        <v>10.3</v>
      </c>
      <c r="S574" s="25">
        <v>3.0294117647058826E-2</v>
      </c>
      <c r="T574" s="26">
        <v>0</v>
      </c>
      <c r="U574" s="24">
        <v>0</v>
      </c>
      <c r="V574" s="19">
        <v>2040</v>
      </c>
      <c r="W574" s="19">
        <v>854.98</v>
      </c>
      <c r="X574" s="21">
        <v>0.41910784313725491</v>
      </c>
      <c r="Y574" s="19">
        <v>854.98</v>
      </c>
      <c r="Z574" s="20">
        <v>0.41910784313725491</v>
      </c>
      <c r="AA574" s="30">
        <v>5.1000000000000011E-2</v>
      </c>
      <c r="AB574" s="27">
        <v>4.3299999999999998E-2</v>
      </c>
      <c r="AC574" s="27">
        <v>5.0999999999999997E-2</v>
      </c>
      <c r="AD574" s="11">
        <v>4.8025033148648005E-2</v>
      </c>
    </row>
    <row r="575" spans="1:30" x14ac:dyDescent="0.25">
      <c r="A575" s="13">
        <v>44461</v>
      </c>
      <c r="B575" s="46" t="s">
        <v>636</v>
      </c>
      <c r="C575" s="13">
        <v>44461</v>
      </c>
      <c r="D575" s="15" t="s">
        <v>628</v>
      </c>
      <c r="E575" s="15">
        <v>91</v>
      </c>
      <c r="F575" s="15">
        <v>90</v>
      </c>
      <c r="G575" s="13">
        <v>44552</v>
      </c>
      <c r="H575" s="17">
        <v>2500</v>
      </c>
      <c r="I575" s="19">
        <v>2815.97</v>
      </c>
      <c r="J575" s="20">
        <v>1.1263880000000002</v>
      </c>
      <c r="K575" s="19">
        <v>2115.9699999999998</v>
      </c>
      <c r="L575" s="20">
        <v>0.84638799999999992</v>
      </c>
      <c r="M575" s="21">
        <v>0</v>
      </c>
      <c r="N575" s="19">
        <v>0</v>
      </c>
      <c r="O575" s="23">
        <v>500</v>
      </c>
      <c r="P575" s="24">
        <v>128</v>
      </c>
      <c r="Q575" s="25">
        <v>0.25600000000000001</v>
      </c>
      <c r="R575" s="24">
        <v>128</v>
      </c>
      <c r="S575" s="25">
        <v>0.25600000000000001</v>
      </c>
      <c r="T575" s="26">
        <v>0</v>
      </c>
      <c r="U575" s="24">
        <v>0</v>
      </c>
      <c r="V575" s="19">
        <v>3000</v>
      </c>
      <c r="W575" s="19">
        <v>2943.97</v>
      </c>
      <c r="X575" s="21">
        <v>0.98132333333333321</v>
      </c>
      <c r="Y575" s="19">
        <v>2243.9699999999998</v>
      </c>
      <c r="Z575" s="20">
        <v>0.74798999999999993</v>
      </c>
      <c r="AA575" s="30">
        <v>6.2400000000000004E-2</v>
      </c>
      <c r="AB575" s="27">
        <v>0.05</v>
      </c>
      <c r="AC575" s="27">
        <v>6.4699999999999994E-2</v>
      </c>
      <c r="AD575" s="11">
        <v>6.0527106467753569E-2</v>
      </c>
    </row>
    <row r="576" spans="1:30" x14ac:dyDescent="0.25">
      <c r="A576" s="13">
        <v>44462</v>
      </c>
      <c r="B576" s="46" t="s">
        <v>636</v>
      </c>
      <c r="C576" s="13">
        <v>44463</v>
      </c>
      <c r="D576" s="15" t="s">
        <v>629</v>
      </c>
      <c r="E576" s="15">
        <v>357</v>
      </c>
      <c r="F576" s="15">
        <v>360</v>
      </c>
      <c r="G576" s="13">
        <v>44820</v>
      </c>
      <c r="H576" s="17">
        <v>4500</v>
      </c>
      <c r="I576" s="19">
        <v>4473.67</v>
      </c>
      <c r="J576" s="20">
        <v>0.99414888888888875</v>
      </c>
      <c r="K576" s="19">
        <v>2543.67</v>
      </c>
      <c r="L576" s="20">
        <v>0.56525999999999998</v>
      </c>
      <c r="M576" s="21">
        <v>0</v>
      </c>
      <c r="N576" s="19">
        <v>0</v>
      </c>
      <c r="O576" s="23">
        <v>900</v>
      </c>
      <c r="P576" s="24">
        <v>800</v>
      </c>
      <c r="Q576" s="25">
        <v>0.88888888888888884</v>
      </c>
      <c r="R576" s="24">
        <v>508.73400000000004</v>
      </c>
      <c r="S576" s="25">
        <v>0.5652600000000001</v>
      </c>
      <c r="T576" s="26">
        <v>0.63591759999999997</v>
      </c>
      <c r="U576" s="24">
        <v>0</v>
      </c>
      <c r="V576" s="19">
        <v>5400</v>
      </c>
      <c r="W576" s="19">
        <v>5273.67</v>
      </c>
      <c r="X576" s="21">
        <v>0.97660555555555562</v>
      </c>
      <c r="Y576" s="19">
        <v>3052.404</v>
      </c>
      <c r="Z576" s="20">
        <v>0.56525999999999998</v>
      </c>
      <c r="AA576" s="30">
        <v>7.1899999999999978E-2</v>
      </c>
      <c r="AB576" s="27">
        <v>5.5E-2</v>
      </c>
      <c r="AC576" s="27">
        <v>0.08</v>
      </c>
      <c r="AD576" s="11">
        <v>7.1987551160456645E-2</v>
      </c>
    </row>
    <row r="577" spans="1:30" x14ac:dyDescent="0.25">
      <c r="A577" s="13">
        <v>44466</v>
      </c>
      <c r="B577" s="46" t="s">
        <v>636</v>
      </c>
      <c r="C577" s="13">
        <v>44466</v>
      </c>
      <c r="D577" s="15" t="s">
        <v>630</v>
      </c>
      <c r="E577" s="15">
        <v>35</v>
      </c>
      <c r="F577" s="15">
        <v>30</v>
      </c>
      <c r="G577" s="13">
        <v>44501</v>
      </c>
      <c r="H577" s="17">
        <v>1700</v>
      </c>
      <c r="I577" s="19">
        <v>1801.9099999999999</v>
      </c>
      <c r="J577" s="20">
        <v>1.0599470588235289</v>
      </c>
      <c r="K577" s="19">
        <v>1801.9099999999999</v>
      </c>
      <c r="L577" s="20">
        <v>1.0599470588235294</v>
      </c>
      <c r="M577" s="21">
        <v>0</v>
      </c>
      <c r="N577" s="19">
        <v>0</v>
      </c>
      <c r="O577" s="23">
        <v>340</v>
      </c>
      <c r="P577" s="24">
        <v>340</v>
      </c>
      <c r="Q577" s="25">
        <v>1</v>
      </c>
      <c r="R577" s="24">
        <v>340</v>
      </c>
      <c r="S577" s="25">
        <v>1</v>
      </c>
      <c r="T577" s="26">
        <v>0</v>
      </c>
      <c r="U577" s="24">
        <v>0</v>
      </c>
      <c r="V577" s="19">
        <v>2040</v>
      </c>
      <c r="W577" s="19">
        <v>2141.91</v>
      </c>
      <c r="X577" s="21">
        <v>1.0499558823529411</v>
      </c>
      <c r="Y577" s="19">
        <v>2141.91</v>
      </c>
      <c r="Z577" s="20">
        <v>1.0499558823529411</v>
      </c>
      <c r="AA577" s="30">
        <v>5.2000000000000039E-2</v>
      </c>
      <c r="AB577" s="27">
        <v>4.0999999999999995E-2</v>
      </c>
      <c r="AC577" s="27">
        <v>5.2000000000000005E-2</v>
      </c>
      <c r="AD577" s="11">
        <v>4.8040296685184058E-2</v>
      </c>
    </row>
    <row r="578" spans="1:30" x14ac:dyDescent="0.25">
      <c r="A578" s="13">
        <v>44467</v>
      </c>
      <c r="B578" s="46" t="s">
        <v>636</v>
      </c>
      <c r="C578" s="13">
        <v>44468</v>
      </c>
      <c r="D578" s="15" t="s">
        <v>631</v>
      </c>
      <c r="E578" s="15">
        <v>700</v>
      </c>
      <c r="F578" s="15">
        <v>720</v>
      </c>
      <c r="G578" s="13">
        <v>45168</v>
      </c>
      <c r="H578" s="17">
        <v>3500</v>
      </c>
      <c r="I578" s="19">
        <v>3145</v>
      </c>
      <c r="J578" s="20">
        <v>0.89857142857142835</v>
      </c>
      <c r="K578" s="19">
        <v>1470</v>
      </c>
      <c r="L578" s="20">
        <v>0.42</v>
      </c>
      <c r="M578" s="21">
        <v>0</v>
      </c>
      <c r="N578" s="19">
        <v>0</v>
      </c>
      <c r="O578" s="23">
        <v>700</v>
      </c>
      <c r="P578" s="24">
        <v>150</v>
      </c>
      <c r="Q578" s="25">
        <v>0.21428571428571427</v>
      </c>
      <c r="R578" s="24">
        <v>150</v>
      </c>
      <c r="S578" s="25">
        <v>0.21428571428571427</v>
      </c>
      <c r="T578" s="26">
        <v>0</v>
      </c>
      <c r="U578" s="24">
        <v>0</v>
      </c>
      <c r="V578" s="19">
        <v>4200</v>
      </c>
      <c r="W578" s="19">
        <v>3295</v>
      </c>
      <c r="X578" s="21">
        <v>0.78452380952380951</v>
      </c>
      <c r="Y578" s="19">
        <v>1620</v>
      </c>
      <c r="Z578" s="20">
        <v>0.38571428571428573</v>
      </c>
      <c r="AA578" s="30">
        <v>7.2899999999999979E-2</v>
      </c>
      <c r="AB578" s="27">
        <v>6.4899999999999999E-2</v>
      </c>
      <c r="AC578" s="27">
        <v>7.4900000000000008E-2</v>
      </c>
      <c r="AD578" s="11">
        <v>7.2827503974562807E-2</v>
      </c>
    </row>
    <row r="579" spans="1:30" x14ac:dyDescent="0.25">
      <c r="A579" s="13">
        <v>44468</v>
      </c>
      <c r="B579" s="46" t="s">
        <v>636</v>
      </c>
      <c r="C579" s="13">
        <v>44468</v>
      </c>
      <c r="D579" s="15" t="s">
        <v>632</v>
      </c>
      <c r="E579" s="15">
        <v>84</v>
      </c>
      <c r="F579" s="15">
        <v>90</v>
      </c>
      <c r="G579" s="13">
        <v>44552</v>
      </c>
      <c r="H579" s="17">
        <v>1700</v>
      </c>
      <c r="I579" s="19">
        <v>586.18000000000006</v>
      </c>
      <c r="J579" s="20">
        <v>0.34481176470588237</v>
      </c>
      <c r="K579" s="19">
        <v>186.10000000000002</v>
      </c>
      <c r="L579" s="20">
        <v>0.10947058823529413</v>
      </c>
      <c r="M579" s="21">
        <v>0</v>
      </c>
      <c r="N579" s="19">
        <v>0</v>
      </c>
      <c r="O579" s="23">
        <v>340</v>
      </c>
      <c r="P579" s="24">
        <v>0</v>
      </c>
      <c r="Q579" s="25">
        <v>0</v>
      </c>
      <c r="R579" s="24">
        <v>0</v>
      </c>
      <c r="S579" s="25">
        <v>0</v>
      </c>
      <c r="T579" s="26">
        <v>0</v>
      </c>
      <c r="U579" s="24">
        <v>0</v>
      </c>
      <c r="V579" s="19">
        <v>2040</v>
      </c>
      <c r="W579" s="19">
        <v>586.18000000000006</v>
      </c>
      <c r="X579" s="21">
        <v>0.28734313725490201</v>
      </c>
      <c r="Y579" s="19">
        <v>186.10000000000002</v>
      </c>
      <c r="Z579" s="20">
        <v>9.1225490196078438E-2</v>
      </c>
      <c r="AA579" s="30">
        <v>6.0999999999999957E-2</v>
      </c>
      <c r="AB579" s="27">
        <v>4.4999999999999998E-2</v>
      </c>
      <c r="AC579" s="27">
        <v>6.8000000000000005E-2</v>
      </c>
      <c r="AD579" s="11">
        <v>6.2230511105803674E-2</v>
      </c>
    </row>
    <row r="580" spans="1:30" x14ac:dyDescent="0.25">
      <c r="A580" s="13">
        <v>44470</v>
      </c>
      <c r="B580" s="46" t="s">
        <v>636</v>
      </c>
      <c r="C580" s="13">
        <v>44470</v>
      </c>
      <c r="D580" s="15" t="s">
        <v>633</v>
      </c>
      <c r="E580" s="15">
        <v>182</v>
      </c>
      <c r="F580" s="15">
        <v>180</v>
      </c>
      <c r="G580" s="13">
        <v>44652</v>
      </c>
      <c r="H580" s="17">
        <v>4000</v>
      </c>
      <c r="I580" s="19">
        <v>4340.3900000000003</v>
      </c>
      <c r="J580" s="20">
        <v>1.0850975</v>
      </c>
      <c r="K580" s="19">
        <v>3590.39</v>
      </c>
      <c r="L580" s="20">
        <v>0.89759749999999994</v>
      </c>
      <c r="M580" s="21">
        <v>0</v>
      </c>
      <c r="N580" s="19">
        <v>0</v>
      </c>
      <c r="O580" s="23">
        <v>800</v>
      </c>
      <c r="P580" s="24">
        <v>1370</v>
      </c>
      <c r="Q580" s="25">
        <v>1.7125000000000001</v>
      </c>
      <c r="R580" s="24">
        <v>718.07799999999997</v>
      </c>
      <c r="S580" s="25">
        <v>0.89759749999999994</v>
      </c>
      <c r="T580" s="26">
        <v>0.5241446296296296</v>
      </c>
      <c r="U580" s="24">
        <v>0</v>
      </c>
      <c r="V580" s="19">
        <v>4800</v>
      </c>
      <c r="W580" s="19">
        <v>5710.39</v>
      </c>
      <c r="X580" s="21">
        <v>1.1896645833333335</v>
      </c>
      <c r="Y580" s="19">
        <v>4308.4679999999998</v>
      </c>
      <c r="Z580" s="20">
        <v>0.89759749999999994</v>
      </c>
      <c r="AA580" s="30">
        <v>7.0899999999999977E-2</v>
      </c>
      <c r="AB580" s="27">
        <v>5.7999999999999996E-2</v>
      </c>
      <c r="AC580" s="27">
        <v>7.1500000000000008E-2</v>
      </c>
      <c r="AD580" s="11">
        <v>6.9938679473503532E-2</v>
      </c>
    </row>
    <row r="581" spans="1:30" x14ac:dyDescent="0.25">
      <c r="A581" s="13">
        <v>44473</v>
      </c>
      <c r="B581" s="46" t="s">
        <v>636</v>
      </c>
      <c r="C581" s="13">
        <v>44473</v>
      </c>
      <c r="D581" s="15" t="s">
        <v>634</v>
      </c>
      <c r="E581" s="15">
        <v>35</v>
      </c>
      <c r="F581" s="15">
        <v>30</v>
      </c>
      <c r="G581" s="13">
        <v>44508</v>
      </c>
      <c r="H581" s="17">
        <v>1700</v>
      </c>
      <c r="I581" s="19">
        <v>807.94999999999993</v>
      </c>
      <c r="J581" s="20">
        <v>0.47526470588235292</v>
      </c>
      <c r="K581" s="19">
        <v>805.94999999999993</v>
      </c>
      <c r="L581" s="20">
        <v>0.47408823529411759</v>
      </c>
      <c r="M581" s="21">
        <v>0</v>
      </c>
      <c r="N581" s="19">
        <v>0</v>
      </c>
      <c r="O581" s="23">
        <v>340</v>
      </c>
      <c r="P581" s="24">
        <v>370</v>
      </c>
      <c r="Q581" s="25">
        <v>1.088235294117647</v>
      </c>
      <c r="R581" s="24">
        <v>161.19</v>
      </c>
      <c r="S581" s="25">
        <v>0.47408823529411764</v>
      </c>
      <c r="T581" s="26">
        <v>0.43564999999999998</v>
      </c>
      <c r="U581" s="24">
        <v>0</v>
      </c>
      <c r="V581" s="19">
        <v>2040</v>
      </c>
      <c r="W581" s="19">
        <v>1177.9499999999998</v>
      </c>
      <c r="X581" s="21">
        <v>0.57742647058823515</v>
      </c>
      <c r="Y581" s="19">
        <v>967.13999999999987</v>
      </c>
      <c r="Z581" s="20">
        <v>0.47408823529411759</v>
      </c>
      <c r="AA581" s="30">
        <v>5.0000000000000024E-2</v>
      </c>
      <c r="AB581" s="27">
        <v>4.2999999999999997E-2</v>
      </c>
      <c r="AC581" s="27">
        <v>5.2499999999999998E-2</v>
      </c>
      <c r="AD581" s="11">
        <v>4.7907420013614713E-2</v>
      </c>
    </row>
    <row r="582" spans="1:30" x14ac:dyDescent="0.25">
      <c r="A582" s="13">
        <v>44475</v>
      </c>
      <c r="B582" s="46" t="s">
        <v>636</v>
      </c>
      <c r="C582" s="13">
        <v>44475</v>
      </c>
      <c r="D582" s="15" t="s">
        <v>635</v>
      </c>
      <c r="E582" s="15">
        <v>77</v>
      </c>
      <c r="F582" s="15">
        <v>90</v>
      </c>
      <c r="G582" s="13">
        <v>44552</v>
      </c>
      <c r="H582" s="17">
        <v>2500</v>
      </c>
      <c r="I582" s="19">
        <v>4209.1899999999996</v>
      </c>
      <c r="J582" s="20">
        <v>1.6836760000000008</v>
      </c>
      <c r="K582" s="19">
        <v>3479.1899999999996</v>
      </c>
      <c r="L582" s="20">
        <v>1.3916759999999999</v>
      </c>
      <c r="M582" s="21">
        <v>0</v>
      </c>
      <c r="N582" s="19">
        <v>0</v>
      </c>
      <c r="O582" s="23">
        <v>500</v>
      </c>
      <c r="P582" s="24">
        <v>30</v>
      </c>
      <c r="Q582" s="25">
        <v>0.06</v>
      </c>
      <c r="R582" s="24">
        <v>30</v>
      </c>
      <c r="S582" s="25">
        <v>0.06</v>
      </c>
      <c r="T582" s="26">
        <v>0</v>
      </c>
      <c r="U582" s="24">
        <v>0</v>
      </c>
      <c r="V582" s="19">
        <v>3000</v>
      </c>
      <c r="W582" s="19">
        <v>4239.1899999999996</v>
      </c>
      <c r="X582" s="21">
        <v>1.4130633333333331</v>
      </c>
      <c r="Y582" s="19">
        <v>3509.1899999999996</v>
      </c>
      <c r="Z582" s="20">
        <v>1.1697299999999999</v>
      </c>
      <c r="AA582" s="30">
        <v>6.4000000000000043E-2</v>
      </c>
      <c r="AB582" s="27">
        <v>0.05</v>
      </c>
      <c r="AC582" s="27">
        <v>6.6000000000000003E-2</v>
      </c>
      <c r="AD582" s="11">
        <v>6.1146035222928878E-2</v>
      </c>
    </row>
    <row r="583" spans="1:30" x14ac:dyDescent="0.25">
      <c r="A583" s="13">
        <v>44476</v>
      </c>
      <c r="B583" s="46" t="s">
        <v>636</v>
      </c>
      <c r="C583" s="13">
        <v>44477</v>
      </c>
      <c r="D583" s="15" t="s">
        <v>639</v>
      </c>
      <c r="E583" s="15">
        <v>364</v>
      </c>
      <c r="F583" s="15">
        <v>360</v>
      </c>
      <c r="G583" s="13">
        <v>44841</v>
      </c>
      <c r="H583" s="17">
        <v>5800</v>
      </c>
      <c r="I583" s="19">
        <v>9178.49</v>
      </c>
      <c r="J583" s="20">
        <v>1.5824982758620683</v>
      </c>
      <c r="K583" s="19">
        <v>4576.6900000000005</v>
      </c>
      <c r="L583" s="20">
        <v>0.78908448275862075</v>
      </c>
      <c r="M583" s="21">
        <v>0</v>
      </c>
      <c r="N583" s="19">
        <v>0</v>
      </c>
      <c r="O583" s="23">
        <v>1160</v>
      </c>
      <c r="P583" s="24">
        <v>0</v>
      </c>
      <c r="Q583" s="25">
        <v>0</v>
      </c>
      <c r="R583" s="24">
        <v>0</v>
      </c>
      <c r="S583" s="25">
        <v>0</v>
      </c>
      <c r="T583" s="26">
        <v>0</v>
      </c>
      <c r="U583" s="24">
        <v>0</v>
      </c>
      <c r="V583" s="19">
        <v>6960</v>
      </c>
      <c r="W583" s="19">
        <v>9178.49</v>
      </c>
      <c r="X583" s="21">
        <v>1.3187485632183908</v>
      </c>
      <c r="Y583" s="19">
        <v>4576.6900000000005</v>
      </c>
      <c r="Z583" s="20">
        <v>0.65757040229885066</v>
      </c>
      <c r="AA583" s="30">
        <v>7.1900000000000006E-2</v>
      </c>
      <c r="AB583" s="27">
        <v>5.5E-2</v>
      </c>
      <c r="AC583" s="27">
        <v>7.5899999999999995E-2</v>
      </c>
      <c r="AD583" s="11">
        <v>7.18981422870211E-2</v>
      </c>
    </row>
    <row r="584" spans="1:30" x14ac:dyDescent="0.25">
      <c r="A584" s="13">
        <v>44481</v>
      </c>
      <c r="B584" s="46" t="s">
        <v>636</v>
      </c>
      <c r="C584" s="13">
        <v>44481</v>
      </c>
      <c r="D584" s="15" t="s">
        <v>640</v>
      </c>
      <c r="E584" s="15">
        <v>34</v>
      </c>
      <c r="F584" s="15">
        <v>30</v>
      </c>
      <c r="G584" s="13">
        <v>44515</v>
      </c>
      <c r="H584" s="17">
        <v>2800</v>
      </c>
      <c r="I584" s="19">
        <v>3627.8799999999997</v>
      </c>
      <c r="J584" s="20">
        <v>1.2956714285714286</v>
      </c>
      <c r="K584" s="19">
        <v>3627.8799999999997</v>
      </c>
      <c r="L584" s="20">
        <v>1.2956714285714284</v>
      </c>
      <c r="M584" s="21">
        <v>0</v>
      </c>
      <c r="N584" s="19">
        <v>0</v>
      </c>
      <c r="O584" s="23">
        <v>560</v>
      </c>
      <c r="P584" s="24">
        <v>30</v>
      </c>
      <c r="Q584" s="25">
        <v>5.3571428571428568E-2</v>
      </c>
      <c r="R584" s="24">
        <v>30</v>
      </c>
      <c r="S584" s="25">
        <v>5.3571428571428568E-2</v>
      </c>
      <c r="T584" s="26">
        <v>0</v>
      </c>
      <c r="U584" s="24">
        <v>0</v>
      </c>
      <c r="V584" s="19">
        <v>3360</v>
      </c>
      <c r="W584" s="19">
        <v>3657.8799999999997</v>
      </c>
      <c r="X584" s="21">
        <v>1.0886547619047617</v>
      </c>
      <c r="Y584" s="19">
        <v>3657.8799999999997</v>
      </c>
      <c r="Z584" s="20">
        <v>1.0886547619047617</v>
      </c>
      <c r="AA584" s="30">
        <v>5.45E-2</v>
      </c>
      <c r="AB584" s="27">
        <v>0.04</v>
      </c>
      <c r="AC584" s="27">
        <v>5.45E-2</v>
      </c>
      <c r="AD584" s="11">
        <v>5.015006973769804E-2</v>
      </c>
    </row>
    <row r="585" spans="1:30" x14ac:dyDescent="0.25">
      <c r="A585" s="13">
        <v>44482</v>
      </c>
      <c r="B585" s="46" t="s">
        <v>636</v>
      </c>
      <c r="C585" s="13">
        <v>44482</v>
      </c>
      <c r="D585" s="15" t="s">
        <v>642</v>
      </c>
      <c r="E585" s="15">
        <v>98</v>
      </c>
      <c r="F585" s="15">
        <v>90</v>
      </c>
      <c r="G585" s="13">
        <v>44580</v>
      </c>
      <c r="H585" s="17">
        <v>2500</v>
      </c>
      <c r="I585" s="19">
        <v>2774.05</v>
      </c>
      <c r="J585" s="20">
        <v>1.1096200000000001</v>
      </c>
      <c r="K585" s="19">
        <v>2424.0500000000002</v>
      </c>
      <c r="L585" s="20">
        <v>0.96962000000000004</v>
      </c>
      <c r="M585" s="21">
        <v>0</v>
      </c>
      <c r="N585" s="19">
        <v>0</v>
      </c>
      <c r="O585" s="23">
        <v>500</v>
      </c>
      <c r="P585" s="24">
        <v>31.89</v>
      </c>
      <c r="Q585" s="25">
        <v>6.3780000000000003E-2</v>
      </c>
      <c r="R585" s="24">
        <v>31.89</v>
      </c>
      <c r="S585" s="25">
        <v>6.3780000000000003E-2</v>
      </c>
      <c r="T585" s="26">
        <v>0</v>
      </c>
      <c r="U585" s="24">
        <v>0</v>
      </c>
      <c r="V585" s="19">
        <v>3000</v>
      </c>
      <c r="W585" s="19">
        <v>2805.94</v>
      </c>
      <c r="X585" s="21">
        <v>0.93531333333333333</v>
      </c>
      <c r="Y585" s="19">
        <v>2455.94</v>
      </c>
      <c r="Z585" s="20">
        <v>0.81864666666666663</v>
      </c>
      <c r="AA585" s="30">
        <v>6.5900000000000028E-2</v>
      </c>
      <c r="AB585" s="27">
        <v>5.4000000000000006E-2</v>
      </c>
      <c r="AC585" s="27">
        <v>6.6699999999999995E-2</v>
      </c>
      <c r="AD585" s="11">
        <v>6.3961056938411351E-2</v>
      </c>
    </row>
    <row r="586" spans="1:30" x14ac:dyDescent="0.25">
      <c r="A586" s="13">
        <v>44484</v>
      </c>
      <c r="B586" s="46" t="s">
        <v>636</v>
      </c>
      <c r="C586" s="13">
        <v>44484</v>
      </c>
      <c r="D586" s="15" t="s">
        <v>643</v>
      </c>
      <c r="E586" s="15">
        <v>196</v>
      </c>
      <c r="F586" s="15">
        <v>180</v>
      </c>
      <c r="G586" s="13">
        <v>44680</v>
      </c>
      <c r="H586" s="17">
        <v>6000</v>
      </c>
      <c r="I586" s="19">
        <v>8473.23</v>
      </c>
      <c r="J586" s="20">
        <v>1.4122049999999993</v>
      </c>
      <c r="K586" s="19">
        <v>7148.2300000000005</v>
      </c>
      <c r="L586" s="20">
        <v>1.1913716666666667</v>
      </c>
      <c r="M586" s="21">
        <v>0</v>
      </c>
      <c r="N586" s="19">
        <v>0</v>
      </c>
      <c r="O586" s="23">
        <v>1200</v>
      </c>
      <c r="P586" s="24">
        <v>105</v>
      </c>
      <c r="Q586" s="25">
        <v>8.7499999999999994E-2</v>
      </c>
      <c r="R586" s="24">
        <v>105</v>
      </c>
      <c r="S586" s="25">
        <v>8.7499999999999994E-2</v>
      </c>
      <c r="T586" s="26">
        <v>0</v>
      </c>
      <c r="U586" s="24">
        <v>0</v>
      </c>
      <c r="V586" s="19">
        <v>7200</v>
      </c>
      <c r="W586" s="19">
        <v>8578.23</v>
      </c>
      <c r="X586" s="21">
        <v>1.1914208333333334</v>
      </c>
      <c r="Y586" s="19">
        <v>7253.2300000000005</v>
      </c>
      <c r="Z586" s="20">
        <v>1.0073930555555557</v>
      </c>
      <c r="AA586" s="30">
        <v>7.1399999999999977E-2</v>
      </c>
      <c r="AB586" s="27">
        <v>0.06</v>
      </c>
      <c r="AC586" s="27">
        <v>7.2800000000000004E-2</v>
      </c>
      <c r="AD586" s="11">
        <v>7.0311113943561099E-2</v>
      </c>
    </row>
    <row r="587" spans="1:30" x14ac:dyDescent="0.25">
      <c r="A587" s="13">
        <v>44487</v>
      </c>
      <c r="B587" s="46" t="s">
        <v>636</v>
      </c>
      <c r="C587" s="13">
        <v>44487</v>
      </c>
      <c r="D587" s="15" t="s">
        <v>644</v>
      </c>
      <c r="E587" s="15">
        <v>35</v>
      </c>
      <c r="F587" s="15">
        <v>30</v>
      </c>
      <c r="G587" s="13">
        <v>44522</v>
      </c>
      <c r="H587" s="17">
        <v>5000</v>
      </c>
      <c r="I587" s="19">
        <v>1068.9499999999998</v>
      </c>
      <c r="J587" s="20">
        <v>0.21379000000000001</v>
      </c>
      <c r="K587" s="19">
        <v>1068.9499999999998</v>
      </c>
      <c r="L587" s="20">
        <v>0.21378999999999995</v>
      </c>
      <c r="M587" s="21">
        <v>0</v>
      </c>
      <c r="N587" s="19">
        <v>0</v>
      </c>
      <c r="O587" s="23">
        <v>1000</v>
      </c>
      <c r="P587" s="24">
        <v>30.9</v>
      </c>
      <c r="Q587" s="25">
        <v>3.09E-2</v>
      </c>
      <c r="R587" s="24">
        <v>30.9</v>
      </c>
      <c r="S587" s="25">
        <v>3.0899999999999997E-2</v>
      </c>
      <c r="T587" s="26">
        <v>0</v>
      </c>
      <c r="U587" s="24">
        <v>0</v>
      </c>
      <c r="V587" s="19">
        <v>6000</v>
      </c>
      <c r="W587" s="19">
        <v>1099.8499999999999</v>
      </c>
      <c r="X587" s="21">
        <v>0.18330833333333332</v>
      </c>
      <c r="Y587" s="19">
        <v>1099.8499999999999</v>
      </c>
      <c r="Z587" s="20">
        <v>0.18330833333333332</v>
      </c>
      <c r="AA587" s="30">
        <v>5.4599999999999996E-2</v>
      </c>
      <c r="AB587" s="27">
        <v>4.4999999999999998E-2</v>
      </c>
      <c r="AC587" s="27">
        <v>5.4600000000000003E-2</v>
      </c>
      <c r="AD587" s="11">
        <v>4.850210019177699E-2</v>
      </c>
    </row>
    <row r="588" spans="1:30" x14ac:dyDescent="0.25">
      <c r="A588" s="13">
        <v>44489</v>
      </c>
      <c r="B588" s="46" t="s">
        <v>636</v>
      </c>
      <c r="C588" s="13">
        <v>44489</v>
      </c>
      <c r="D588" s="15" t="s">
        <v>645</v>
      </c>
      <c r="E588" s="15">
        <v>91</v>
      </c>
      <c r="F588" s="15">
        <v>90</v>
      </c>
      <c r="G588" s="13">
        <v>44580</v>
      </c>
      <c r="H588" s="17">
        <v>5000</v>
      </c>
      <c r="I588" s="19">
        <v>3802.7200000000003</v>
      </c>
      <c r="J588" s="20">
        <v>0.76054400000000033</v>
      </c>
      <c r="K588" s="19">
        <v>3242.7200000000003</v>
      </c>
      <c r="L588" s="20">
        <v>0.64854400000000001</v>
      </c>
      <c r="M588" s="21">
        <v>0</v>
      </c>
      <c r="N588" s="19">
        <v>0</v>
      </c>
      <c r="O588" s="23">
        <v>1000</v>
      </c>
      <c r="P588" s="24">
        <v>150</v>
      </c>
      <c r="Q588" s="25">
        <v>0.15</v>
      </c>
      <c r="R588" s="24">
        <v>150</v>
      </c>
      <c r="S588" s="25">
        <v>0.15</v>
      </c>
      <c r="T588" s="26">
        <v>0</v>
      </c>
      <c r="U588" s="24">
        <v>0</v>
      </c>
      <c r="V588" s="19">
        <v>6000</v>
      </c>
      <c r="W588" s="19">
        <v>3952.7200000000003</v>
      </c>
      <c r="X588" s="21">
        <v>0.65878666666666674</v>
      </c>
      <c r="Y588" s="19">
        <v>3392.7200000000003</v>
      </c>
      <c r="Z588" s="20">
        <v>0.56545333333333336</v>
      </c>
      <c r="AA588" s="30">
        <v>6.6899999999999973E-2</v>
      </c>
      <c r="AB588" s="27">
        <v>4.4999999999999998E-2</v>
      </c>
      <c r="AC588" s="27">
        <v>6.8499999999999991E-2</v>
      </c>
      <c r="AD588" s="11">
        <v>6.513722282997432E-2</v>
      </c>
    </row>
    <row r="589" spans="1:30" x14ac:dyDescent="0.25">
      <c r="A589" s="13">
        <v>44490</v>
      </c>
      <c r="B589" s="46" t="s">
        <v>636</v>
      </c>
      <c r="C589" s="13">
        <v>44491</v>
      </c>
      <c r="D589" s="15" t="s">
        <v>646</v>
      </c>
      <c r="E589" s="15">
        <v>350</v>
      </c>
      <c r="F589" s="15">
        <v>360</v>
      </c>
      <c r="G589" s="13">
        <v>44841</v>
      </c>
      <c r="H589" s="17">
        <v>5000</v>
      </c>
      <c r="I589" s="19">
        <v>5816.2800000000007</v>
      </c>
      <c r="J589" s="20">
        <v>1.1632560000000007</v>
      </c>
      <c r="K589" s="19">
        <v>5042.9800000000005</v>
      </c>
      <c r="L589" s="20">
        <v>1.008596</v>
      </c>
      <c r="M589" s="21">
        <v>0</v>
      </c>
      <c r="N589" s="19">
        <v>0</v>
      </c>
      <c r="O589" s="23">
        <v>1000</v>
      </c>
      <c r="P589" s="24">
        <v>0</v>
      </c>
      <c r="Q589" s="25">
        <v>0</v>
      </c>
      <c r="R589" s="24">
        <v>0</v>
      </c>
      <c r="S589" s="25">
        <v>0</v>
      </c>
      <c r="T589" s="26">
        <v>0</v>
      </c>
      <c r="U589" s="24">
        <v>0</v>
      </c>
      <c r="V589" s="19">
        <v>6000</v>
      </c>
      <c r="W589" s="19">
        <v>5816.2800000000007</v>
      </c>
      <c r="X589" s="21">
        <v>0.96938000000000013</v>
      </c>
      <c r="Y589" s="19">
        <v>5042.9800000000005</v>
      </c>
      <c r="Z589" s="20">
        <v>0.84049666666666678</v>
      </c>
      <c r="AA589" s="30">
        <v>7.2900000000000076E-2</v>
      </c>
      <c r="AB589" s="27">
        <v>5.9900000000000002E-2</v>
      </c>
      <c r="AC589" s="27">
        <v>7.4800000000000005E-2</v>
      </c>
      <c r="AD589" s="11">
        <v>7.163585143768865E-2</v>
      </c>
    </row>
    <row r="590" spans="1:30" x14ac:dyDescent="0.25">
      <c r="A590" s="13">
        <v>44494</v>
      </c>
      <c r="B590" s="46" t="s">
        <v>636</v>
      </c>
      <c r="C590" s="13">
        <v>44494</v>
      </c>
      <c r="D590" s="15" t="s">
        <v>647</v>
      </c>
      <c r="E590" s="15">
        <v>28</v>
      </c>
      <c r="F590" s="15">
        <v>30</v>
      </c>
      <c r="G590" s="13">
        <v>44522</v>
      </c>
      <c r="H590" s="17">
        <v>2500</v>
      </c>
      <c r="I590" s="19">
        <v>587.08999999999992</v>
      </c>
      <c r="J590" s="20">
        <v>0.23483599999999999</v>
      </c>
      <c r="K590" s="19">
        <v>587.08999999999992</v>
      </c>
      <c r="L590" s="20">
        <v>0.23483599999999996</v>
      </c>
      <c r="M590" s="21">
        <v>0</v>
      </c>
      <c r="N590" s="19">
        <v>0</v>
      </c>
      <c r="O590" s="23">
        <v>500</v>
      </c>
      <c r="P590" s="24">
        <v>30</v>
      </c>
      <c r="Q590" s="25">
        <v>0.06</v>
      </c>
      <c r="R590" s="24">
        <v>30</v>
      </c>
      <c r="S590" s="25">
        <v>0.06</v>
      </c>
      <c r="T590" s="26">
        <v>0</v>
      </c>
      <c r="U590" s="24">
        <v>0</v>
      </c>
      <c r="V590" s="19">
        <v>3000</v>
      </c>
      <c r="W590" s="19">
        <v>617.08999999999992</v>
      </c>
      <c r="X590" s="21">
        <v>0.20569666666666664</v>
      </c>
      <c r="Y590" s="19">
        <v>617.08999999999992</v>
      </c>
      <c r="Z590" s="20">
        <v>0.20569666666666664</v>
      </c>
      <c r="AA590" s="30">
        <v>5.5300000000000002E-2</v>
      </c>
      <c r="AB590" s="27">
        <v>4.4600000000000001E-2</v>
      </c>
      <c r="AC590" s="27">
        <v>5.5300000000000002E-2</v>
      </c>
      <c r="AD590" s="11">
        <v>5.0787783815087986E-2</v>
      </c>
    </row>
    <row r="591" spans="1:30" x14ac:dyDescent="0.25">
      <c r="A591" s="13">
        <v>44495</v>
      </c>
      <c r="B591" s="46" t="s">
        <v>636</v>
      </c>
      <c r="C591" s="13">
        <v>44496</v>
      </c>
      <c r="D591" s="15" t="s">
        <v>648</v>
      </c>
      <c r="E591" s="15">
        <v>672</v>
      </c>
      <c r="F591" s="15">
        <v>720</v>
      </c>
      <c r="G591" s="13">
        <v>45168</v>
      </c>
      <c r="H591" s="17">
        <v>2500</v>
      </c>
      <c r="I591" s="19">
        <v>2600</v>
      </c>
      <c r="J591" s="20">
        <v>1.0400000000000003</v>
      </c>
      <c r="K591" s="19">
        <v>2000</v>
      </c>
      <c r="L591" s="20">
        <v>0.8</v>
      </c>
      <c r="M591" s="21">
        <v>0</v>
      </c>
      <c r="N591" s="19">
        <v>0</v>
      </c>
      <c r="O591" s="23">
        <v>500</v>
      </c>
      <c r="P591" s="24">
        <v>0</v>
      </c>
      <c r="Q591" s="25">
        <v>0</v>
      </c>
      <c r="R591" s="24">
        <v>0</v>
      </c>
      <c r="S591" s="25">
        <v>0</v>
      </c>
      <c r="T591" s="26">
        <v>0</v>
      </c>
      <c r="U591" s="24">
        <v>0</v>
      </c>
      <c r="V591" s="19">
        <v>3000</v>
      </c>
      <c r="W591" s="19">
        <v>2600</v>
      </c>
      <c r="X591" s="21">
        <v>0.8666666666666667</v>
      </c>
      <c r="Y591" s="19">
        <v>2000</v>
      </c>
      <c r="Z591" s="20">
        <v>0.66666666666666663</v>
      </c>
      <c r="AA591" s="30">
        <v>7.3800000000000018E-2</v>
      </c>
      <c r="AB591" s="27">
        <v>6.4899999999999999E-2</v>
      </c>
      <c r="AC591" s="27">
        <v>7.4900000000000008E-2</v>
      </c>
      <c r="AD591" s="11">
        <v>7.305384615384615E-2</v>
      </c>
    </row>
    <row r="592" spans="1:30" x14ac:dyDescent="0.25">
      <c r="A592" s="13">
        <v>44496</v>
      </c>
      <c r="B592" s="46" t="s">
        <v>636</v>
      </c>
      <c r="C592" s="13">
        <v>44496</v>
      </c>
      <c r="D592" s="15" t="s">
        <v>649</v>
      </c>
      <c r="E592" s="15">
        <v>84</v>
      </c>
      <c r="F592" s="15">
        <v>90</v>
      </c>
      <c r="G592" s="13">
        <v>44580</v>
      </c>
      <c r="H592" s="17">
        <v>2500</v>
      </c>
      <c r="I592" s="19">
        <v>1457.2500000000002</v>
      </c>
      <c r="J592" s="20">
        <v>0.58290000000000008</v>
      </c>
      <c r="K592" s="19">
        <v>627.24999999999989</v>
      </c>
      <c r="L592" s="20">
        <v>0.25089999999999996</v>
      </c>
      <c r="M592" s="21">
        <v>0</v>
      </c>
      <c r="N592" s="19">
        <v>0</v>
      </c>
      <c r="O592" s="23">
        <v>500</v>
      </c>
      <c r="P592" s="24">
        <v>0</v>
      </c>
      <c r="Q592" s="25">
        <v>0</v>
      </c>
      <c r="R592" s="24">
        <v>0</v>
      </c>
      <c r="S592" s="25">
        <v>0</v>
      </c>
      <c r="T592" s="26">
        <v>0</v>
      </c>
      <c r="U592" s="24">
        <v>0</v>
      </c>
      <c r="V592" s="19">
        <v>3000</v>
      </c>
      <c r="W592" s="19">
        <v>1457.2500000000002</v>
      </c>
      <c r="X592" s="21">
        <v>0.48575000000000007</v>
      </c>
      <c r="Y592" s="19">
        <v>627.24999999999989</v>
      </c>
      <c r="Z592" s="20">
        <v>0.20908333333333329</v>
      </c>
      <c r="AA592" s="30">
        <v>6.7299999999999985E-2</v>
      </c>
      <c r="AB592" s="27">
        <v>4.4999999999999998E-2</v>
      </c>
      <c r="AC592" s="27">
        <v>7.7499999999999999E-2</v>
      </c>
      <c r="AD592" s="11">
        <v>6.9123468862583623E-2</v>
      </c>
    </row>
    <row r="593" spans="1:30" x14ac:dyDescent="0.25">
      <c r="A593" s="13">
        <v>44498</v>
      </c>
      <c r="B593" s="46" t="s">
        <v>636</v>
      </c>
      <c r="C593" s="13">
        <v>44498</v>
      </c>
      <c r="D593" s="15" t="s">
        <v>652</v>
      </c>
      <c r="E593" s="15">
        <v>182</v>
      </c>
      <c r="F593" s="15">
        <v>180</v>
      </c>
      <c r="G593" s="13">
        <v>44680</v>
      </c>
      <c r="H593" s="17">
        <v>3300</v>
      </c>
      <c r="I593" s="19">
        <v>3051.19</v>
      </c>
      <c r="J593" s="20">
        <v>0.92460303030303037</v>
      </c>
      <c r="K593" s="19">
        <v>2301.1900000000005</v>
      </c>
      <c r="L593" s="20">
        <v>0.69733030303030319</v>
      </c>
      <c r="M593" s="21">
        <v>0</v>
      </c>
      <c r="N593" s="19">
        <v>0</v>
      </c>
      <c r="O593" s="23">
        <v>660</v>
      </c>
      <c r="P593" s="24">
        <v>250</v>
      </c>
      <c r="Q593" s="25">
        <v>0.37878787878787878</v>
      </c>
      <c r="R593" s="24">
        <v>250</v>
      </c>
      <c r="S593" s="25">
        <v>0.37878787878787878</v>
      </c>
      <c r="T593" s="26">
        <v>0</v>
      </c>
      <c r="U593" s="24">
        <v>0</v>
      </c>
      <c r="V593" s="19">
        <v>3960</v>
      </c>
      <c r="W593" s="19">
        <v>3301.19</v>
      </c>
      <c r="X593" s="21">
        <v>0.83363383838383842</v>
      </c>
      <c r="Y593" s="19">
        <v>2551.1900000000005</v>
      </c>
      <c r="Z593" s="20">
        <v>0.64423989898989908</v>
      </c>
      <c r="AA593" s="30">
        <v>7.189999999999995E-2</v>
      </c>
      <c r="AB593" s="27">
        <v>0.06</v>
      </c>
      <c r="AC593" s="27">
        <v>7.3499999999999996E-2</v>
      </c>
      <c r="AD593" s="11">
        <v>7.0284524070936258E-2</v>
      </c>
    </row>
    <row r="594" spans="1:30" x14ac:dyDescent="0.25">
      <c r="A594" s="13">
        <v>44501</v>
      </c>
      <c r="B594" s="46" t="s">
        <v>636</v>
      </c>
      <c r="C594" s="13">
        <v>44501</v>
      </c>
      <c r="D594" s="15" t="s">
        <v>650</v>
      </c>
      <c r="E594" s="15">
        <v>35</v>
      </c>
      <c r="F594" s="15">
        <v>30</v>
      </c>
      <c r="G594" s="13">
        <v>44536</v>
      </c>
      <c r="H594" s="17">
        <v>3800</v>
      </c>
      <c r="I594" s="19">
        <v>1726.0899999999997</v>
      </c>
      <c r="J594" s="20">
        <v>0.45423421052631574</v>
      </c>
      <c r="K594" s="19">
        <v>1576.0899999999997</v>
      </c>
      <c r="L594" s="20">
        <v>0.41476052631578941</v>
      </c>
      <c r="M594" s="21">
        <v>0</v>
      </c>
      <c r="N594" s="19">
        <v>0</v>
      </c>
      <c r="O594" s="23">
        <v>760</v>
      </c>
      <c r="P594" s="24">
        <v>30</v>
      </c>
      <c r="Q594" s="25">
        <v>3.9473684210526314E-2</v>
      </c>
      <c r="R594" s="24">
        <v>30</v>
      </c>
      <c r="S594" s="25">
        <v>3.9473684210526314E-2</v>
      </c>
      <c r="T594" s="26">
        <v>0</v>
      </c>
      <c r="U594" s="24">
        <v>0</v>
      </c>
      <c r="V594" s="19">
        <v>4560</v>
      </c>
      <c r="W594" s="19">
        <v>1756.0899999999997</v>
      </c>
      <c r="X594" s="21">
        <v>0.3851074561403508</v>
      </c>
      <c r="Y594" s="19">
        <v>1606.0899999999997</v>
      </c>
      <c r="Z594" s="20">
        <v>0.35221271929824555</v>
      </c>
      <c r="AA594" s="30">
        <v>5.5600000000000011E-2</v>
      </c>
      <c r="AB594" s="27">
        <v>0.04</v>
      </c>
      <c r="AC594" s="27">
        <v>5.8799999999999998E-2</v>
      </c>
      <c r="AD594" s="11">
        <v>5.1491587924152295E-2</v>
      </c>
    </row>
    <row r="595" spans="1:30" x14ac:dyDescent="0.25">
      <c r="A595" s="13">
        <v>44503</v>
      </c>
      <c r="B595" s="46" t="s">
        <v>636</v>
      </c>
      <c r="C595" s="13">
        <v>44503</v>
      </c>
      <c r="D595" s="15" t="s">
        <v>651</v>
      </c>
      <c r="E595" s="15">
        <v>91</v>
      </c>
      <c r="F595" s="15">
        <v>90</v>
      </c>
      <c r="G595" s="13">
        <v>44594</v>
      </c>
      <c r="H595" s="17">
        <v>3800</v>
      </c>
      <c r="I595" s="19">
        <v>4803.829999999999</v>
      </c>
      <c r="J595" s="20">
        <v>1.2641657894736851</v>
      </c>
      <c r="K595" s="19">
        <v>2213.83</v>
      </c>
      <c r="L595" s="20">
        <v>0.58258684210526313</v>
      </c>
      <c r="M595" s="21">
        <v>0</v>
      </c>
      <c r="N595" s="19">
        <v>0</v>
      </c>
      <c r="O595" s="23">
        <v>760</v>
      </c>
      <c r="P595" s="24">
        <v>235</v>
      </c>
      <c r="Q595" s="25">
        <v>0.30921052631578944</v>
      </c>
      <c r="R595" s="24">
        <v>235</v>
      </c>
      <c r="S595" s="25">
        <v>0.30921052631578949</v>
      </c>
      <c r="T595" s="26">
        <v>0</v>
      </c>
      <c r="U595" s="24">
        <v>0</v>
      </c>
      <c r="V595" s="19">
        <v>4560</v>
      </c>
      <c r="W595" s="19">
        <v>5038.829999999999</v>
      </c>
      <c r="X595" s="21">
        <v>1.1050065789473682</v>
      </c>
      <c r="Y595" s="19">
        <v>2448.83</v>
      </c>
      <c r="Z595" s="20">
        <v>0.5370241228070175</v>
      </c>
      <c r="AA595" s="30">
        <v>6.8000000000000047E-2</v>
      </c>
      <c r="AB595" s="27">
        <v>0.04</v>
      </c>
      <c r="AC595" s="27">
        <v>7.0000000000000007E-2</v>
      </c>
      <c r="AD595" s="11">
        <v>6.6785288405293297E-2</v>
      </c>
    </row>
    <row r="596" spans="1:30" x14ac:dyDescent="0.25">
      <c r="A596" s="13">
        <v>44504</v>
      </c>
      <c r="B596" s="46" t="s">
        <v>636</v>
      </c>
      <c r="C596" s="13">
        <v>44505</v>
      </c>
      <c r="D596" s="15" t="s">
        <v>653</v>
      </c>
      <c r="E596" s="15">
        <v>371</v>
      </c>
      <c r="F596" s="15">
        <v>360</v>
      </c>
      <c r="G596" s="13">
        <v>44876</v>
      </c>
      <c r="H596" s="17">
        <v>3400</v>
      </c>
      <c r="I596" s="19">
        <v>4083.31</v>
      </c>
      <c r="J596" s="20">
        <v>1.2009735294117645</v>
      </c>
      <c r="K596" s="19">
        <v>3263.0099999999998</v>
      </c>
      <c r="L596" s="20">
        <v>0.95970882352941167</v>
      </c>
      <c r="M596" s="21">
        <v>0</v>
      </c>
      <c r="N596" s="19">
        <v>0</v>
      </c>
      <c r="O596" s="23">
        <v>680</v>
      </c>
      <c r="P596" s="24">
        <v>0</v>
      </c>
      <c r="Q596" s="25">
        <v>0</v>
      </c>
      <c r="R596" s="24">
        <v>0</v>
      </c>
      <c r="S596" s="25">
        <v>0</v>
      </c>
      <c r="T596" s="26">
        <v>0</v>
      </c>
      <c r="U596" s="24">
        <v>0</v>
      </c>
      <c r="V596" s="19">
        <v>4080</v>
      </c>
      <c r="W596" s="19">
        <v>4083.31</v>
      </c>
      <c r="X596" s="21">
        <v>1.0008112745098039</v>
      </c>
      <c r="Y596" s="19">
        <v>3263.0099999999998</v>
      </c>
      <c r="Z596" s="20">
        <v>0.79975735294117645</v>
      </c>
      <c r="AA596" s="30">
        <v>7.2900000000000034E-2</v>
      </c>
      <c r="AB596" s="27">
        <v>5.9900000000000002E-2</v>
      </c>
      <c r="AC596" s="27">
        <v>7.3899999999999993E-2</v>
      </c>
      <c r="AD596" s="11">
        <v>7.1725286593474394E-2</v>
      </c>
    </row>
    <row r="597" spans="1:30" x14ac:dyDescent="0.25">
      <c r="A597" s="13">
        <v>44508</v>
      </c>
      <c r="B597" s="46" t="s">
        <v>636</v>
      </c>
      <c r="C597" s="13">
        <v>44508</v>
      </c>
      <c r="D597" s="15" t="s">
        <v>654</v>
      </c>
      <c r="E597" s="15">
        <v>28</v>
      </c>
      <c r="F597" s="15">
        <v>30</v>
      </c>
      <c r="G597" s="13">
        <v>44536</v>
      </c>
      <c r="H597" s="17">
        <v>3000</v>
      </c>
      <c r="I597" s="19">
        <v>3140.0699999999997</v>
      </c>
      <c r="J597" s="20">
        <v>1.0466900000000001</v>
      </c>
      <c r="K597" s="19">
        <v>2340.0699999999997</v>
      </c>
      <c r="L597" s="20">
        <v>0.78002333333333329</v>
      </c>
      <c r="M597" s="21">
        <v>0</v>
      </c>
      <c r="N597" s="19">
        <v>0</v>
      </c>
      <c r="O597" s="23">
        <v>600</v>
      </c>
      <c r="P597" s="24">
        <v>30</v>
      </c>
      <c r="Q597" s="25">
        <v>0.05</v>
      </c>
      <c r="R597" s="24">
        <v>30</v>
      </c>
      <c r="S597" s="25">
        <v>0.05</v>
      </c>
      <c r="T597" s="26">
        <v>0</v>
      </c>
      <c r="U597" s="24">
        <v>0</v>
      </c>
      <c r="V597" s="19">
        <v>3600</v>
      </c>
      <c r="W597" s="19">
        <v>3170.0699999999997</v>
      </c>
      <c r="X597" s="21">
        <v>0.88057499999999989</v>
      </c>
      <c r="Y597" s="19">
        <v>2370.0699999999997</v>
      </c>
      <c r="Z597" s="20">
        <v>0.65835277777777768</v>
      </c>
      <c r="AA597" s="30">
        <v>5.7099999999999991E-2</v>
      </c>
      <c r="AB597" s="27">
        <v>4.5999999999999999E-2</v>
      </c>
      <c r="AC597" s="27">
        <v>6.2300000000000001E-2</v>
      </c>
      <c r="AD597" s="11">
        <v>5.5268229689147061E-2</v>
      </c>
    </row>
    <row r="598" spans="1:30" x14ac:dyDescent="0.25">
      <c r="A598" s="13">
        <v>44510</v>
      </c>
      <c r="B598" s="46" t="s">
        <v>636</v>
      </c>
      <c r="C598" s="13">
        <v>44510</v>
      </c>
      <c r="D598" s="15" t="s">
        <v>660</v>
      </c>
      <c r="E598" s="15">
        <v>84</v>
      </c>
      <c r="F598" s="15">
        <v>90</v>
      </c>
      <c r="G598" s="13">
        <v>44594</v>
      </c>
      <c r="H598" s="17">
        <v>3000</v>
      </c>
      <c r="I598" s="19">
        <v>6285.2</v>
      </c>
      <c r="J598" s="20">
        <v>2.0950666666666669</v>
      </c>
      <c r="K598" s="19">
        <v>3635.2</v>
      </c>
      <c r="L598" s="20">
        <v>1.2117333333333333</v>
      </c>
      <c r="M598" s="21">
        <v>0</v>
      </c>
      <c r="N598" s="19">
        <v>0</v>
      </c>
      <c r="O598" s="23">
        <v>600</v>
      </c>
      <c r="P598" s="24">
        <v>0</v>
      </c>
      <c r="Q598" s="25">
        <v>0</v>
      </c>
      <c r="R598" s="24">
        <v>0</v>
      </c>
      <c r="S598" s="25">
        <v>0</v>
      </c>
      <c r="T598" s="26">
        <v>0</v>
      </c>
      <c r="U598" s="24">
        <v>0</v>
      </c>
      <c r="V598" s="19">
        <v>3600</v>
      </c>
      <c r="W598" s="19">
        <v>6285.2</v>
      </c>
      <c r="X598" s="21">
        <v>1.7458888888888888</v>
      </c>
      <c r="Y598" s="19">
        <v>3635.2</v>
      </c>
      <c r="Z598" s="20">
        <v>1.0097777777777777</v>
      </c>
      <c r="AA598" s="30">
        <v>6.8400000000000002E-2</v>
      </c>
      <c r="AB598" s="27">
        <v>0.04</v>
      </c>
      <c r="AC598" s="27">
        <v>7.0400000000000004E-2</v>
      </c>
      <c r="AD598" s="11">
        <v>6.7485079233755504E-2</v>
      </c>
    </row>
    <row r="599" spans="1:30" x14ac:dyDescent="0.25">
      <c r="A599" s="13">
        <v>44512</v>
      </c>
      <c r="B599" s="46" t="s">
        <v>636</v>
      </c>
      <c r="C599" s="13">
        <v>44512</v>
      </c>
      <c r="D599" s="15" t="s">
        <v>661</v>
      </c>
      <c r="E599" s="15">
        <v>189</v>
      </c>
      <c r="F599" s="15">
        <v>180</v>
      </c>
      <c r="G599" s="13">
        <v>44701</v>
      </c>
      <c r="H599" s="17">
        <v>3000</v>
      </c>
      <c r="I599" s="19">
        <v>8536.2500000000018</v>
      </c>
      <c r="J599" s="20">
        <v>2.8454166666666687</v>
      </c>
      <c r="K599" s="19">
        <v>6000</v>
      </c>
      <c r="L599" s="20">
        <v>2</v>
      </c>
      <c r="M599" s="21">
        <v>0.72647099999999998</v>
      </c>
      <c r="N599" s="19">
        <v>0</v>
      </c>
      <c r="O599" s="23">
        <v>600</v>
      </c>
      <c r="P599" s="24">
        <v>170</v>
      </c>
      <c r="Q599" s="25">
        <v>0.28333333333333333</v>
      </c>
      <c r="R599" s="24">
        <v>170</v>
      </c>
      <c r="S599" s="25">
        <v>0.28333333333333333</v>
      </c>
      <c r="T599" s="26">
        <v>0</v>
      </c>
      <c r="U599" s="24">
        <v>0</v>
      </c>
      <c r="V599" s="19">
        <v>3600</v>
      </c>
      <c r="W599" s="19">
        <v>8706.2500000000018</v>
      </c>
      <c r="X599" s="21">
        <v>2.4184027777777781</v>
      </c>
      <c r="Y599" s="19">
        <v>6170</v>
      </c>
      <c r="Z599" s="20">
        <v>1.7138888888888888</v>
      </c>
      <c r="AA599" s="30">
        <v>7.279999999999999E-2</v>
      </c>
      <c r="AB599" s="27">
        <v>5.9900000000000002E-2</v>
      </c>
      <c r="AC599" s="27">
        <v>7.6999999999999999E-2</v>
      </c>
      <c r="AD599" s="11">
        <v>7.1911760784887965E-2</v>
      </c>
    </row>
    <row r="600" spans="1:30" x14ac:dyDescent="0.25">
      <c r="A600" s="13">
        <v>44515</v>
      </c>
      <c r="B600" s="46" t="s">
        <v>636</v>
      </c>
      <c r="C600" s="13">
        <v>44515</v>
      </c>
      <c r="D600" s="15" t="s">
        <v>662</v>
      </c>
      <c r="E600" s="15">
        <v>35</v>
      </c>
      <c r="F600" s="15">
        <v>30</v>
      </c>
      <c r="G600" s="13">
        <v>44550</v>
      </c>
      <c r="H600" s="17">
        <v>3000</v>
      </c>
      <c r="I600" s="19">
        <v>2658.06</v>
      </c>
      <c r="J600" s="20">
        <v>0.88601999999999992</v>
      </c>
      <c r="K600" s="19">
        <v>2658.06</v>
      </c>
      <c r="L600" s="20">
        <v>0.88602000000000003</v>
      </c>
      <c r="M600" s="21">
        <v>0</v>
      </c>
      <c r="N600" s="19">
        <v>0</v>
      </c>
      <c r="O600" s="23">
        <v>600</v>
      </c>
      <c r="P600" s="24">
        <v>225</v>
      </c>
      <c r="Q600" s="25">
        <v>0.375</v>
      </c>
      <c r="R600" s="24">
        <v>225</v>
      </c>
      <c r="S600" s="25">
        <v>0.375</v>
      </c>
      <c r="T600" s="26">
        <v>0</v>
      </c>
      <c r="U600" s="24">
        <v>0</v>
      </c>
      <c r="V600" s="19">
        <v>3600</v>
      </c>
      <c r="W600" s="19">
        <v>2883.06</v>
      </c>
      <c r="X600" s="21">
        <v>0.80084999999999995</v>
      </c>
      <c r="Y600" s="19">
        <v>2883.06</v>
      </c>
      <c r="Z600" s="20">
        <v>0.80084999999999995</v>
      </c>
      <c r="AA600" s="30">
        <v>6.6999999999999962E-2</v>
      </c>
      <c r="AB600" s="27">
        <v>4.7100000000000003E-2</v>
      </c>
      <c r="AC600" s="27">
        <v>6.7000000000000004E-2</v>
      </c>
      <c r="AD600" s="11">
        <v>5.6795811606961476E-2</v>
      </c>
    </row>
    <row r="601" spans="1:30" x14ac:dyDescent="0.25">
      <c r="A601" s="13">
        <v>44517</v>
      </c>
      <c r="B601" s="46" t="s">
        <v>636</v>
      </c>
      <c r="C601" s="13">
        <v>44517</v>
      </c>
      <c r="D601" s="15" t="s">
        <v>663</v>
      </c>
      <c r="E601" s="15">
        <v>98</v>
      </c>
      <c r="F601" s="15">
        <v>90</v>
      </c>
      <c r="G601" s="13">
        <v>44615</v>
      </c>
      <c r="H601" s="17">
        <v>3000</v>
      </c>
      <c r="I601" s="19">
        <v>6610.86</v>
      </c>
      <c r="J601" s="20">
        <v>2.2036199999999999</v>
      </c>
      <c r="K601" s="19">
        <v>4285.8599999999997</v>
      </c>
      <c r="L601" s="20">
        <v>1.42862</v>
      </c>
      <c r="M601" s="21">
        <v>0</v>
      </c>
      <c r="N601" s="19">
        <v>0</v>
      </c>
      <c r="O601" s="23">
        <v>600</v>
      </c>
      <c r="P601" s="24">
        <v>0.1</v>
      </c>
      <c r="Q601" s="25">
        <v>1.6666666666666669E-4</v>
      </c>
      <c r="R601" s="24">
        <v>0.1</v>
      </c>
      <c r="S601" s="25">
        <v>1.6666666666666669E-4</v>
      </c>
      <c r="T601" s="26">
        <v>0</v>
      </c>
      <c r="U601" s="24">
        <v>0</v>
      </c>
      <c r="V601" s="19">
        <v>3600</v>
      </c>
      <c r="W601" s="19">
        <v>6610.96</v>
      </c>
      <c r="X601" s="21">
        <v>1.8363777777777779</v>
      </c>
      <c r="Y601" s="19">
        <v>4285.96</v>
      </c>
      <c r="Z601" s="20">
        <v>1.1905444444444444</v>
      </c>
      <c r="AA601" s="30">
        <v>7.0899999999999977E-2</v>
      </c>
      <c r="AB601" s="27">
        <v>0.05</v>
      </c>
      <c r="AC601" s="27">
        <v>7.4700000000000003E-2</v>
      </c>
      <c r="AD601" s="11">
        <v>7.0408679959944695E-2</v>
      </c>
    </row>
    <row r="602" spans="1:30" x14ac:dyDescent="0.25">
      <c r="A602" s="13">
        <v>44518</v>
      </c>
      <c r="B602" s="46" t="s">
        <v>636</v>
      </c>
      <c r="C602" s="13">
        <v>44519</v>
      </c>
      <c r="D602" s="15" t="s">
        <v>664</v>
      </c>
      <c r="E602" s="15">
        <v>357</v>
      </c>
      <c r="F602" s="15">
        <v>360</v>
      </c>
      <c r="G602" s="13">
        <v>44876</v>
      </c>
      <c r="H602" s="17">
        <v>3500</v>
      </c>
      <c r="I602" s="19">
        <v>4376.91</v>
      </c>
      <c r="J602" s="20">
        <v>1.2505457142857133</v>
      </c>
      <c r="K602" s="19">
        <v>3129.91</v>
      </c>
      <c r="L602" s="20">
        <v>0.89425999999999994</v>
      </c>
      <c r="M602" s="21">
        <v>0</v>
      </c>
      <c r="N602" s="19">
        <v>0</v>
      </c>
      <c r="O602" s="23">
        <v>700</v>
      </c>
      <c r="P602" s="24">
        <v>0</v>
      </c>
      <c r="Q602" s="25">
        <v>0</v>
      </c>
      <c r="R602" s="24">
        <v>0</v>
      </c>
      <c r="S602" s="25">
        <v>0</v>
      </c>
      <c r="T602" s="26">
        <v>0</v>
      </c>
      <c r="U602" s="24">
        <v>0</v>
      </c>
      <c r="V602" s="19">
        <v>4200</v>
      </c>
      <c r="W602" s="19">
        <v>4376.91</v>
      </c>
      <c r="X602" s="21">
        <v>1.0421214285714286</v>
      </c>
      <c r="Y602" s="19">
        <v>3129.91</v>
      </c>
      <c r="Z602" s="20">
        <v>0.74521666666666664</v>
      </c>
      <c r="AA602" s="30">
        <v>7.5200000000000017E-2</v>
      </c>
      <c r="AB602" s="27">
        <v>6.2899999999999998E-2</v>
      </c>
      <c r="AC602" s="27">
        <v>8.3000000000000004E-2</v>
      </c>
      <c r="AD602" s="11">
        <v>7.4609797322768817E-2</v>
      </c>
    </row>
    <row r="603" spans="1:30" x14ac:dyDescent="0.25">
      <c r="A603" s="13">
        <v>44522</v>
      </c>
      <c r="B603" s="46" t="s">
        <v>636</v>
      </c>
      <c r="C603" s="13">
        <v>44522</v>
      </c>
      <c r="D603" s="15" t="s">
        <v>665</v>
      </c>
      <c r="E603" s="15">
        <v>28</v>
      </c>
      <c r="F603" s="15">
        <v>30</v>
      </c>
      <c r="G603" s="13">
        <v>44550</v>
      </c>
      <c r="H603" s="17">
        <v>3500</v>
      </c>
      <c r="I603" s="19">
        <v>4162.62</v>
      </c>
      <c r="J603" s="20">
        <v>1.1893199999999997</v>
      </c>
      <c r="K603" s="19">
        <v>3712.62</v>
      </c>
      <c r="L603" s="20">
        <v>1.0607485714285714</v>
      </c>
      <c r="M603" s="21">
        <v>0</v>
      </c>
      <c r="N603" s="19">
        <v>0</v>
      </c>
      <c r="O603" s="23">
        <v>700</v>
      </c>
      <c r="P603" s="24">
        <v>0</v>
      </c>
      <c r="Q603" s="25">
        <v>0</v>
      </c>
      <c r="R603" s="24">
        <v>0</v>
      </c>
      <c r="S603" s="25">
        <v>0</v>
      </c>
      <c r="T603" s="26">
        <v>0</v>
      </c>
      <c r="U603" s="24">
        <v>0</v>
      </c>
      <c r="V603" s="19">
        <v>4200</v>
      </c>
      <c r="W603" s="19">
        <v>4162.62</v>
      </c>
      <c r="X603" s="21">
        <v>0.99109999999999998</v>
      </c>
      <c r="Y603" s="19">
        <v>3712.62</v>
      </c>
      <c r="Z603" s="20">
        <v>0.88395714285714289</v>
      </c>
      <c r="AA603" s="30">
        <v>6.6999999999999976E-2</v>
      </c>
      <c r="AB603" s="27">
        <v>0.05</v>
      </c>
      <c r="AC603" s="27">
        <v>6.8400000000000002E-2</v>
      </c>
      <c r="AD603" s="11">
        <v>6.4181652420831098E-2</v>
      </c>
    </row>
    <row r="604" spans="1:30" x14ac:dyDescent="0.25">
      <c r="A604" s="13">
        <v>44524</v>
      </c>
      <c r="B604" s="46" t="s">
        <v>636</v>
      </c>
      <c r="C604" s="13">
        <v>44524</v>
      </c>
      <c r="D604" s="15" t="s">
        <v>666</v>
      </c>
      <c r="E604" s="15">
        <v>91</v>
      </c>
      <c r="F604" s="15">
        <v>90</v>
      </c>
      <c r="G604" s="13">
        <v>44615</v>
      </c>
      <c r="H604" s="17">
        <v>3500</v>
      </c>
      <c r="I604" s="19">
        <v>1408.93</v>
      </c>
      <c r="J604" s="20">
        <v>0.40255142857142862</v>
      </c>
      <c r="K604" s="19">
        <v>1108.93</v>
      </c>
      <c r="L604" s="20">
        <v>0.31683714285714287</v>
      </c>
      <c r="M604" s="21">
        <v>0</v>
      </c>
      <c r="N604" s="19">
        <v>0</v>
      </c>
      <c r="O604" s="23">
        <v>700</v>
      </c>
      <c r="P604" s="24">
        <v>39</v>
      </c>
      <c r="Q604" s="25">
        <v>5.5714285714285716E-2</v>
      </c>
      <c r="R604" s="24">
        <v>39</v>
      </c>
      <c r="S604" s="25">
        <v>5.5714285714285716E-2</v>
      </c>
      <c r="T604" s="26">
        <v>0</v>
      </c>
      <c r="U604" s="24">
        <v>0</v>
      </c>
      <c r="V604" s="19">
        <v>4200</v>
      </c>
      <c r="W604" s="19">
        <v>1447.93</v>
      </c>
      <c r="X604" s="21">
        <v>0.3447452380952381</v>
      </c>
      <c r="Y604" s="19">
        <v>1147.93</v>
      </c>
      <c r="Z604" s="20">
        <v>0.27331666666666671</v>
      </c>
      <c r="AA604" s="30">
        <v>7.1300000000000016E-2</v>
      </c>
      <c r="AB604" s="27">
        <v>0.06</v>
      </c>
      <c r="AC604" s="27">
        <v>7.2599999999999998E-2</v>
      </c>
      <c r="AD604" s="11">
        <v>7.0316702746055504E-2</v>
      </c>
    </row>
    <row r="605" spans="1:30" x14ac:dyDescent="0.25">
      <c r="A605" s="13">
        <v>44526</v>
      </c>
      <c r="B605" s="46" t="s">
        <v>636</v>
      </c>
      <c r="C605" s="13">
        <v>44526</v>
      </c>
      <c r="D605" s="15" t="s">
        <v>667</v>
      </c>
      <c r="E605" s="15">
        <v>175</v>
      </c>
      <c r="F605" s="15">
        <v>180</v>
      </c>
      <c r="G605" s="13">
        <v>44701</v>
      </c>
      <c r="H605" s="17">
        <v>3500</v>
      </c>
      <c r="I605" s="19">
        <v>1811.85</v>
      </c>
      <c r="J605" s="20">
        <v>0.51767142857142867</v>
      </c>
      <c r="K605" s="19">
        <v>1291.8499999999999</v>
      </c>
      <c r="L605" s="20">
        <v>0.36909999999999998</v>
      </c>
      <c r="M605" s="21">
        <v>0</v>
      </c>
      <c r="N605" s="19">
        <v>0</v>
      </c>
      <c r="O605" s="23">
        <v>700</v>
      </c>
      <c r="P605" s="24">
        <v>0</v>
      </c>
      <c r="Q605" s="25">
        <v>0</v>
      </c>
      <c r="R605" s="24">
        <v>0</v>
      </c>
      <c r="S605" s="25">
        <v>0</v>
      </c>
      <c r="T605" s="26">
        <v>0</v>
      </c>
      <c r="U605" s="24">
        <v>0</v>
      </c>
      <c r="V605" s="19">
        <v>4200</v>
      </c>
      <c r="W605" s="19">
        <v>1811.85</v>
      </c>
      <c r="X605" s="21">
        <v>0.43139285714285713</v>
      </c>
      <c r="Y605" s="19">
        <v>1291.8499999999999</v>
      </c>
      <c r="Z605" s="20">
        <v>0.30758333333333332</v>
      </c>
      <c r="AA605" s="30">
        <v>7.2999999999999968E-2</v>
      </c>
      <c r="AB605" s="27">
        <v>0.05</v>
      </c>
      <c r="AC605" s="27">
        <v>7.4900000000000008E-2</v>
      </c>
      <c r="AD605" s="11">
        <v>7.0168281038717334E-2</v>
      </c>
    </row>
    <row r="606" spans="1:30" x14ac:dyDescent="0.25">
      <c r="A606" s="13">
        <v>44529</v>
      </c>
      <c r="B606" s="46" t="s">
        <v>636</v>
      </c>
      <c r="C606" s="13">
        <v>44529</v>
      </c>
      <c r="D606" s="15" t="s">
        <v>668</v>
      </c>
      <c r="E606" s="15">
        <v>35</v>
      </c>
      <c r="F606" s="15">
        <v>30</v>
      </c>
      <c r="G606" s="13">
        <v>44564</v>
      </c>
      <c r="H606" s="17">
        <v>3000</v>
      </c>
      <c r="I606" s="19">
        <v>1231.95</v>
      </c>
      <c r="J606" s="20">
        <v>0.41065000000000002</v>
      </c>
      <c r="K606" s="19">
        <v>1231.95</v>
      </c>
      <c r="L606" s="20">
        <v>0.41065000000000002</v>
      </c>
      <c r="M606" s="21">
        <v>0</v>
      </c>
      <c r="N606" s="19">
        <v>0</v>
      </c>
      <c r="O606" s="23">
        <v>600</v>
      </c>
      <c r="P606" s="24">
        <v>0</v>
      </c>
      <c r="Q606" s="25">
        <v>0</v>
      </c>
      <c r="R606" s="24">
        <v>0</v>
      </c>
      <c r="S606" s="25">
        <v>0</v>
      </c>
      <c r="T606" s="26">
        <v>0</v>
      </c>
      <c r="U606" s="24">
        <v>0</v>
      </c>
      <c r="V606" s="19">
        <v>3600</v>
      </c>
      <c r="W606" s="19">
        <v>1231.95</v>
      </c>
      <c r="X606" s="21">
        <v>0.34220833333333334</v>
      </c>
      <c r="Y606" s="19">
        <v>1231.95</v>
      </c>
      <c r="Z606" s="20">
        <v>0.34220833333333334</v>
      </c>
      <c r="AA606" s="30">
        <v>6.6999999999999976E-2</v>
      </c>
      <c r="AB606" s="27">
        <v>0.04</v>
      </c>
      <c r="AC606" s="27">
        <v>6.7000000000000004E-2</v>
      </c>
      <c r="AD606" s="11">
        <v>6.2065830593774102E-2</v>
      </c>
    </row>
    <row r="607" spans="1:30" x14ac:dyDescent="0.25">
      <c r="A607" s="13">
        <v>44530</v>
      </c>
      <c r="B607" s="46" t="s">
        <v>636</v>
      </c>
      <c r="C607" s="13">
        <v>44531</v>
      </c>
      <c r="D607" s="15" t="s">
        <v>669</v>
      </c>
      <c r="E607" s="15">
        <v>756</v>
      </c>
      <c r="F607" s="15">
        <v>720</v>
      </c>
      <c r="G607" s="13">
        <v>45287</v>
      </c>
      <c r="H607" s="17">
        <v>3000</v>
      </c>
      <c r="I607" s="19">
        <v>1801</v>
      </c>
      <c r="J607" s="20">
        <v>0.60033333333333327</v>
      </c>
      <c r="K607" s="19">
        <v>1501</v>
      </c>
      <c r="L607" s="20">
        <v>0.5003333333333333</v>
      </c>
      <c r="M607" s="21">
        <v>0</v>
      </c>
      <c r="N607" s="19">
        <v>0</v>
      </c>
      <c r="O607" s="23">
        <v>600</v>
      </c>
      <c r="P607" s="24">
        <v>0</v>
      </c>
      <c r="Q607" s="25">
        <v>0</v>
      </c>
      <c r="R607" s="24">
        <v>0</v>
      </c>
      <c r="S607" s="25">
        <v>0</v>
      </c>
      <c r="T607" s="26">
        <v>0</v>
      </c>
      <c r="U607" s="24">
        <v>0</v>
      </c>
      <c r="V607" s="19">
        <v>3600</v>
      </c>
      <c r="W607" s="19">
        <v>1801</v>
      </c>
      <c r="X607" s="21">
        <v>0.50027777777777782</v>
      </c>
      <c r="Y607" s="19">
        <v>1501</v>
      </c>
      <c r="Z607" s="20">
        <v>0.41694444444444445</v>
      </c>
      <c r="AA607" s="30">
        <v>7.6100000000000015E-2</v>
      </c>
      <c r="AB607" s="27">
        <v>6.5000000000000002E-2</v>
      </c>
      <c r="AC607" s="27">
        <v>7.7199999999999991E-2</v>
      </c>
      <c r="AD607" s="11">
        <v>7.4305941143808993E-2</v>
      </c>
    </row>
    <row r="608" spans="1:30" x14ac:dyDescent="0.25">
      <c r="A608" s="13">
        <v>44531</v>
      </c>
      <c r="B608" s="46" t="s">
        <v>636</v>
      </c>
      <c r="C608" s="13">
        <v>44531</v>
      </c>
      <c r="D608" s="15" t="s">
        <v>670</v>
      </c>
      <c r="E608" s="15">
        <v>84</v>
      </c>
      <c r="F608" s="15">
        <v>90</v>
      </c>
      <c r="G608" s="13">
        <v>44615</v>
      </c>
      <c r="H608" s="17">
        <v>3000</v>
      </c>
      <c r="I608" s="19">
        <v>1803.09</v>
      </c>
      <c r="J608" s="20">
        <v>0.60103000000000006</v>
      </c>
      <c r="K608" s="19">
        <v>1023.09</v>
      </c>
      <c r="L608" s="20">
        <v>0.34103</v>
      </c>
      <c r="M608" s="21">
        <v>0</v>
      </c>
      <c r="N608" s="19">
        <v>0</v>
      </c>
      <c r="O608" s="23">
        <v>600</v>
      </c>
      <c r="P608" s="24">
        <v>618</v>
      </c>
      <c r="Q608" s="25">
        <v>1.03</v>
      </c>
      <c r="R608" s="24">
        <v>204.61799999999999</v>
      </c>
      <c r="S608" s="25">
        <v>0.34103</v>
      </c>
      <c r="T608" s="26">
        <v>0.33110000000000001</v>
      </c>
      <c r="U608" s="24">
        <v>0</v>
      </c>
      <c r="V608" s="19">
        <v>3600</v>
      </c>
      <c r="W608" s="19">
        <v>2421.09</v>
      </c>
      <c r="X608" s="21">
        <v>0.67252500000000004</v>
      </c>
      <c r="Y608" s="19">
        <v>1227.7080000000001</v>
      </c>
      <c r="Z608" s="20">
        <v>0.34103</v>
      </c>
      <c r="AA608" s="30">
        <v>7.0799999999999988E-2</v>
      </c>
      <c r="AB608" s="27">
        <v>0.06</v>
      </c>
      <c r="AC608" s="27">
        <v>7.2800000000000004E-2</v>
      </c>
      <c r="AD608" s="11">
        <v>7.0179752535924442E-2</v>
      </c>
    </row>
    <row r="609" spans="1:30" x14ac:dyDescent="0.25">
      <c r="A609" s="13">
        <v>44532</v>
      </c>
      <c r="B609" s="46" t="s">
        <v>636</v>
      </c>
      <c r="C609" s="13">
        <v>44533</v>
      </c>
      <c r="D609" s="15" t="s">
        <v>671</v>
      </c>
      <c r="E609" s="15">
        <v>343</v>
      </c>
      <c r="F609" s="15">
        <v>360</v>
      </c>
      <c r="G609" s="13">
        <v>44876</v>
      </c>
      <c r="H609" s="17">
        <v>3000</v>
      </c>
      <c r="I609" s="19">
        <v>2984.1400000000003</v>
      </c>
      <c r="J609" s="20">
        <v>0.99471333333333345</v>
      </c>
      <c r="K609" s="19">
        <v>2764.1400000000003</v>
      </c>
      <c r="L609" s="20">
        <v>0.92138000000000009</v>
      </c>
      <c r="M609" s="21">
        <v>0</v>
      </c>
      <c r="N609" s="19">
        <v>0</v>
      </c>
      <c r="O609" s="23">
        <v>600</v>
      </c>
      <c r="P609" s="24">
        <v>0</v>
      </c>
      <c r="Q609" s="25">
        <v>0</v>
      </c>
      <c r="R609" s="24">
        <v>0</v>
      </c>
      <c r="S609" s="25">
        <v>0</v>
      </c>
      <c r="T609" s="26">
        <v>0</v>
      </c>
      <c r="U609" s="24">
        <v>0</v>
      </c>
      <c r="V609" s="19">
        <v>3600</v>
      </c>
      <c r="W609" s="19">
        <v>2984.1400000000003</v>
      </c>
      <c r="X609" s="21">
        <v>0.82892777777777782</v>
      </c>
      <c r="Y609" s="19">
        <v>2764.1400000000003</v>
      </c>
      <c r="Z609" s="20">
        <v>0.7678166666666667</v>
      </c>
      <c r="AA609" s="30">
        <v>7.5900000000000023E-2</v>
      </c>
      <c r="AB609" s="27">
        <v>0.06</v>
      </c>
      <c r="AC609" s="27">
        <v>0.08</v>
      </c>
      <c r="AD609" s="11">
        <v>7.3239463966167803E-2</v>
      </c>
    </row>
    <row r="610" spans="1:30" x14ac:dyDescent="0.25">
      <c r="A610" s="13">
        <v>44536</v>
      </c>
      <c r="B610" s="46" t="s">
        <v>636</v>
      </c>
      <c r="C610" s="13">
        <v>44536</v>
      </c>
      <c r="D610" s="15" t="s">
        <v>672</v>
      </c>
      <c r="E610" s="15">
        <v>28</v>
      </c>
      <c r="F610" s="15">
        <v>30</v>
      </c>
      <c r="G610" s="13">
        <v>44564</v>
      </c>
      <c r="H610" s="17">
        <v>3200</v>
      </c>
      <c r="I610" s="19">
        <v>5915.130000000001</v>
      </c>
      <c r="J610" s="20">
        <v>1.8484781250000004</v>
      </c>
      <c r="K610" s="19">
        <v>4915.130000000001</v>
      </c>
      <c r="L610" s="20">
        <v>1.5359781250000004</v>
      </c>
      <c r="M610" s="21">
        <v>0</v>
      </c>
      <c r="N610" s="19">
        <v>0</v>
      </c>
      <c r="O610" s="23">
        <v>640</v>
      </c>
      <c r="P610" s="24">
        <v>38</v>
      </c>
      <c r="Q610" s="25">
        <v>5.9374999999999997E-2</v>
      </c>
      <c r="R610" s="24">
        <v>38</v>
      </c>
      <c r="S610" s="25">
        <v>5.9374999999999997E-2</v>
      </c>
      <c r="T610" s="26">
        <v>0</v>
      </c>
      <c r="U610" s="24">
        <v>0</v>
      </c>
      <c r="V610" s="19">
        <v>3840</v>
      </c>
      <c r="W610" s="19">
        <v>5953.130000000001</v>
      </c>
      <c r="X610" s="21">
        <v>1.5502942708333336</v>
      </c>
      <c r="Y610" s="19">
        <v>4953.130000000001</v>
      </c>
      <c r="Z610" s="20">
        <v>1.2898776041666669</v>
      </c>
      <c r="AA610" s="30">
        <v>6.7000000000000004E-2</v>
      </c>
      <c r="AB610" s="27">
        <v>5.4000000000000006E-2</v>
      </c>
      <c r="AC610" s="27">
        <v>6.83E-2</v>
      </c>
      <c r="AD610" s="11">
        <v>6.4160545076777667E-2</v>
      </c>
    </row>
    <row r="611" spans="1:30" x14ac:dyDescent="0.25">
      <c r="A611" s="13">
        <v>44538</v>
      </c>
      <c r="B611" s="46" t="s">
        <v>636</v>
      </c>
      <c r="C611" s="13">
        <v>44538</v>
      </c>
      <c r="D611" s="15" t="s">
        <v>673</v>
      </c>
      <c r="E611" s="15">
        <v>77</v>
      </c>
      <c r="F611" s="15">
        <v>90</v>
      </c>
      <c r="G611" s="13">
        <v>44615</v>
      </c>
      <c r="H611" s="17">
        <v>3200</v>
      </c>
      <c r="I611" s="19">
        <v>5197.4299999999994</v>
      </c>
      <c r="J611" s="20">
        <v>1.6241968749999995</v>
      </c>
      <c r="K611" s="19">
        <v>4847.43</v>
      </c>
      <c r="L611" s="20">
        <v>1.514821875</v>
      </c>
      <c r="M611" s="21">
        <v>0</v>
      </c>
      <c r="N611" s="19">
        <v>0</v>
      </c>
      <c r="O611" s="23">
        <v>640</v>
      </c>
      <c r="P611" s="24">
        <v>0</v>
      </c>
      <c r="Q611" s="25">
        <v>0</v>
      </c>
      <c r="R611" s="24">
        <v>0</v>
      </c>
      <c r="S611" s="25">
        <v>0</v>
      </c>
      <c r="T611" s="26">
        <v>0</v>
      </c>
      <c r="U611" s="24">
        <v>0</v>
      </c>
      <c r="V611" s="19">
        <v>3840</v>
      </c>
      <c r="W611" s="19">
        <v>5197.4299999999994</v>
      </c>
      <c r="X611" s="21">
        <v>1.3534973958333332</v>
      </c>
      <c r="Y611" s="19">
        <v>4847.43</v>
      </c>
      <c r="Z611" s="20">
        <v>1.2623515625000001</v>
      </c>
      <c r="AA611" s="30">
        <v>7.1400000000000033E-2</v>
      </c>
      <c r="AB611" s="27">
        <v>0.06</v>
      </c>
      <c r="AC611" s="27">
        <v>7.2099999999999997E-2</v>
      </c>
      <c r="AD611" s="11">
        <v>6.9620939579753849E-2</v>
      </c>
    </row>
    <row r="612" spans="1:30" x14ac:dyDescent="0.25">
      <c r="A612" s="13">
        <v>44540</v>
      </c>
      <c r="B612" s="46" t="s">
        <v>636</v>
      </c>
      <c r="C612" s="13">
        <v>44540</v>
      </c>
      <c r="D612" s="15" t="s">
        <v>674</v>
      </c>
      <c r="E612" s="15">
        <v>196</v>
      </c>
      <c r="F612" s="15">
        <v>180</v>
      </c>
      <c r="G612" s="13">
        <v>44736</v>
      </c>
      <c r="H612" s="17">
        <v>3200</v>
      </c>
      <c r="I612" s="19">
        <v>5324.07</v>
      </c>
      <c r="J612" s="20">
        <v>1.6637718750000003</v>
      </c>
      <c r="K612" s="19">
        <v>3744.0699999999997</v>
      </c>
      <c r="L612" s="20">
        <v>1.170021875</v>
      </c>
      <c r="M612" s="21">
        <v>0</v>
      </c>
      <c r="N612" s="19">
        <v>0</v>
      </c>
      <c r="O612" s="23">
        <v>640</v>
      </c>
      <c r="P612" s="24">
        <v>170</v>
      </c>
      <c r="Q612" s="25">
        <v>0.265625</v>
      </c>
      <c r="R612" s="24">
        <v>170</v>
      </c>
      <c r="S612" s="25">
        <v>0.265625</v>
      </c>
      <c r="T612" s="26">
        <v>0</v>
      </c>
      <c r="U612" s="24">
        <v>0</v>
      </c>
      <c r="V612" s="19">
        <v>3840</v>
      </c>
      <c r="W612" s="19">
        <v>5494.07</v>
      </c>
      <c r="X612" s="21">
        <v>1.4307473958333332</v>
      </c>
      <c r="Y612" s="19">
        <v>3914.0699999999997</v>
      </c>
      <c r="Z612" s="20">
        <v>1.0192890625</v>
      </c>
      <c r="AA612" s="30">
        <v>7.3599999999999915E-2</v>
      </c>
      <c r="AB612" s="27">
        <v>4.4999999999999998E-2</v>
      </c>
      <c r="AC612" s="27">
        <v>7.6399999999999996E-2</v>
      </c>
      <c r="AD612" s="11">
        <v>7.2367181498364949E-2</v>
      </c>
    </row>
    <row r="613" spans="1:30" x14ac:dyDescent="0.25">
      <c r="A613" s="13">
        <v>44543</v>
      </c>
      <c r="B613" s="46" t="s">
        <v>636</v>
      </c>
      <c r="C613" s="13">
        <v>44543</v>
      </c>
      <c r="D613" s="15" t="s">
        <v>675</v>
      </c>
      <c r="E613" s="15">
        <v>35</v>
      </c>
      <c r="F613" s="15">
        <v>30</v>
      </c>
      <c r="G613" s="13">
        <v>44578</v>
      </c>
      <c r="H613" s="17">
        <v>4000</v>
      </c>
      <c r="I613" s="19">
        <v>3730.9700000000003</v>
      </c>
      <c r="J613" s="20">
        <v>0.93274250000000014</v>
      </c>
      <c r="K613" s="19">
        <v>3580.9700000000003</v>
      </c>
      <c r="L613" s="20">
        <v>0.89524250000000005</v>
      </c>
      <c r="M613" s="21">
        <v>0</v>
      </c>
      <c r="N613" s="19">
        <v>0</v>
      </c>
      <c r="O613" s="23">
        <v>800</v>
      </c>
      <c r="P613" s="24">
        <v>0</v>
      </c>
      <c r="Q613" s="25">
        <v>0</v>
      </c>
      <c r="R613" s="24">
        <v>0</v>
      </c>
      <c r="S613" s="25">
        <v>0</v>
      </c>
      <c r="T613" s="26">
        <v>0</v>
      </c>
      <c r="U613" s="24">
        <v>0</v>
      </c>
      <c r="V613" s="19">
        <v>4800</v>
      </c>
      <c r="W613" s="19">
        <v>3730.9700000000003</v>
      </c>
      <c r="X613" s="21">
        <v>0.77728541666666673</v>
      </c>
      <c r="Y613" s="19">
        <v>3580.9700000000003</v>
      </c>
      <c r="Z613" s="20">
        <v>0.74603541666666673</v>
      </c>
      <c r="AA613" s="30">
        <v>6.6999999999999962E-2</v>
      </c>
      <c r="AB613" s="27">
        <v>0.05</v>
      </c>
      <c r="AC613" s="27">
        <v>6.9000000000000006E-2</v>
      </c>
      <c r="AD613" s="11">
        <v>6.4396417017558438E-2</v>
      </c>
    </row>
    <row r="614" spans="1:30" x14ac:dyDescent="0.25">
      <c r="A614" s="13">
        <v>44545</v>
      </c>
      <c r="B614" s="46" t="s">
        <v>636</v>
      </c>
      <c r="C614" s="13">
        <v>44545</v>
      </c>
      <c r="D614" s="15" t="s">
        <v>676</v>
      </c>
      <c r="E614" s="15">
        <v>98</v>
      </c>
      <c r="F614" s="15">
        <v>90</v>
      </c>
      <c r="G614" s="13">
        <v>44643</v>
      </c>
      <c r="H614" s="17">
        <v>3500</v>
      </c>
      <c r="I614" s="19">
        <v>4290.49</v>
      </c>
      <c r="J614" s="20">
        <v>1.2258542857142858</v>
      </c>
      <c r="K614" s="19">
        <v>3105.49</v>
      </c>
      <c r="L614" s="20">
        <v>0.88728285714285704</v>
      </c>
      <c r="M614" s="21">
        <v>0</v>
      </c>
      <c r="N614" s="19">
        <v>0</v>
      </c>
      <c r="O614" s="23">
        <v>700</v>
      </c>
      <c r="P614" s="24">
        <v>0</v>
      </c>
      <c r="Q614" s="25">
        <v>0</v>
      </c>
      <c r="R614" s="24">
        <v>0</v>
      </c>
      <c r="S614" s="25">
        <v>0</v>
      </c>
      <c r="T614" s="26">
        <v>0</v>
      </c>
      <c r="U614" s="24">
        <v>0</v>
      </c>
      <c r="V614" s="19">
        <v>4200</v>
      </c>
      <c r="W614" s="19">
        <v>4290.49</v>
      </c>
      <c r="X614" s="21">
        <v>1.0215452380952381</v>
      </c>
      <c r="Y614" s="19">
        <v>3105.49</v>
      </c>
      <c r="Z614" s="20">
        <v>0.73940238095238087</v>
      </c>
      <c r="AA614" s="30">
        <v>7.1399999999999991E-2</v>
      </c>
      <c r="AB614" s="27">
        <v>0.06</v>
      </c>
      <c r="AC614" s="27">
        <v>7.5800000000000006E-2</v>
      </c>
      <c r="AD614" s="11">
        <v>7.1046659006313975E-2</v>
      </c>
    </row>
    <row r="615" spans="1:30" x14ac:dyDescent="0.25">
      <c r="A615" s="13">
        <v>44546</v>
      </c>
      <c r="B615" s="46" t="s">
        <v>636</v>
      </c>
      <c r="C615" s="13">
        <v>44547</v>
      </c>
      <c r="D615" s="15" t="s">
        <v>677</v>
      </c>
      <c r="E615" s="15">
        <v>350</v>
      </c>
      <c r="F615" s="15">
        <v>360</v>
      </c>
      <c r="G615" s="13">
        <v>44897</v>
      </c>
      <c r="H615" s="17">
        <v>4200</v>
      </c>
      <c r="I615" s="19">
        <v>2353.83</v>
      </c>
      <c r="J615" s="20">
        <v>0.56043571428571437</v>
      </c>
      <c r="K615" s="19">
        <v>1628.83</v>
      </c>
      <c r="L615" s="20">
        <v>0.38781666666666664</v>
      </c>
      <c r="M615" s="21">
        <v>0</v>
      </c>
      <c r="N615" s="19">
        <v>0</v>
      </c>
      <c r="O615" s="23">
        <v>840</v>
      </c>
      <c r="P615" s="24">
        <v>0</v>
      </c>
      <c r="Q615" s="25">
        <v>0</v>
      </c>
      <c r="R615" s="24">
        <v>0</v>
      </c>
      <c r="S615" s="25">
        <v>0</v>
      </c>
      <c r="T615" s="26">
        <v>0</v>
      </c>
      <c r="U615" s="24">
        <v>0</v>
      </c>
      <c r="V615" s="19">
        <v>5040</v>
      </c>
      <c r="W615" s="19">
        <v>2353.83</v>
      </c>
      <c r="X615" s="21">
        <v>0.46702976190476186</v>
      </c>
      <c r="Y615" s="19">
        <v>1628.83</v>
      </c>
      <c r="Z615" s="20">
        <v>0.32318055555555553</v>
      </c>
      <c r="AA615" s="30">
        <v>7.5900000000000023E-2</v>
      </c>
      <c r="AB615" s="27">
        <v>6.8000000000000005E-2</v>
      </c>
      <c r="AC615" s="27">
        <v>7.7499999999999999E-2</v>
      </c>
      <c r="AD615" s="11">
        <v>7.5289122409009993E-2</v>
      </c>
    </row>
    <row r="616" spans="1:30" x14ac:dyDescent="0.25">
      <c r="A616" s="13">
        <v>44550</v>
      </c>
      <c r="B616" s="46" t="s">
        <v>636</v>
      </c>
      <c r="C616" s="13">
        <v>44550</v>
      </c>
      <c r="D616" s="15" t="s">
        <v>678</v>
      </c>
      <c r="E616" s="15">
        <v>28</v>
      </c>
      <c r="F616" s="15">
        <v>30</v>
      </c>
      <c r="G616" s="13">
        <v>44578</v>
      </c>
      <c r="H616" s="17">
        <v>4000</v>
      </c>
      <c r="I616" s="19">
        <v>4188.05</v>
      </c>
      <c r="J616" s="20">
        <v>1.0470124999999997</v>
      </c>
      <c r="K616" s="19">
        <v>3488.05</v>
      </c>
      <c r="L616" s="20">
        <v>0.87201250000000008</v>
      </c>
      <c r="M616" s="21">
        <v>0</v>
      </c>
      <c r="N616" s="19">
        <v>0</v>
      </c>
      <c r="O616" s="23">
        <v>800</v>
      </c>
      <c r="P616" s="24">
        <v>230</v>
      </c>
      <c r="Q616" s="25">
        <v>0.28749999999999998</v>
      </c>
      <c r="R616" s="24">
        <v>230</v>
      </c>
      <c r="S616" s="25">
        <v>0.28749999999999998</v>
      </c>
      <c r="T616" s="26">
        <v>0</v>
      </c>
      <c r="U616" s="24">
        <v>0</v>
      </c>
      <c r="V616" s="19">
        <v>4800</v>
      </c>
      <c r="W616" s="19">
        <v>4418.05</v>
      </c>
      <c r="X616" s="21">
        <v>0.92042708333333334</v>
      </c>
      <c r="Y616" s="19">
        <v>3718.05</v>
      </c>
      <c r="Z616" s="20">
        <v>0.77459375000000008</v>
      </c>
      <c r="AA616" s="30">
        <v>6.6999999999999962E-2</v>
      </c>
      <c r="AB616" s="27">
        <v>0.05</v>
      </c>
      <c r="AC616" s="27">
        <v>6.9000000000000006E-2</v>
      </c>
      <c r="AD616" s="11">
        <v>6.5675868244170904E-2</v>
      </c>
    </row>
    <row r="617" spans="1:30" x14ac:dyDescent="0.25">
      <c r="A617" s="13">
        <v>44552</v>
      </c>
      <c r="B617" s="46" t="s">
        <v>636</v>
      </c>
      <c r="C617" s="13">
        <v>44552</v>
      </c>
      <c r="D617" s="15" t="s">
        <v>679</v>
      </c>
      <c r="E617" s="15">
        <v>91</v>
      </c>
      <c r="F617" s="15">
        <v>90</v>
      </c>
      <c r="G617" s="13">
        <v>44643</v>
      </c>
      <c r="H617" s="17">
        <v>4000</v>
      </c>
      <c r="I617" s="19">
        <v>6879.42</v>
      </c>
      <c r="J617" s="20">
        <v>1.7198549999999997</v>
      </c>
      <c r="K617" s="19">
        <v>4255.42</v>
      </c>
      <c r="L617" s="20">
        <v>1.063855</v>
      </c>
      <c r="M617" s="21">
        <v>0</v>
      </c>
      <c r="N617" s="19">
        <v>0</v>
      </c>
      <c r="O617" s="23">
        <v>800</v>
      </c>
      <c r="P617" s="24">
        <v>552.1</v>
      </c>
      <c r="Q617" s="25">
        <v>0.69012499999999999</v>
      </c>
      <c r="R617" s="24">
        <v>552.1</v>
      </c>
      <c r="S617" s="25">
        <v>0.69012499999999999</v>
      </c>
      <c r="T617" s="26">
        <v>0</v>
      </c>
      <c r="U617" s="24">
        <v>0</v>
      </c>
      <c r="V617" s="19">
        <v>4800</v>
      </c>
      <c r="W617" s="19">
        <v>7431.52</v>
      </c>
      <c r="X617" s="21">
        <v>1.5482333333333334</v>
      </c>
      <c r="Y617" s="19">
        <v>4807.5200000000004</v>
      </c>
      <c r="Z617" s="20">
        <v>1.0015666666666667</v>
      </c>
      <c r="AA617" s="30">
        <v>7.1699999999999972E-2</v>
      </c>
      <c r="AB617" s="27">
        <v>5.5E-2</v>
      </c>
      <c r="AC617" s="27">
        <v>7.5800000000000006E-2</v>
      </c>
      <c r="AD617" s="11">
        <v>7.0746375857267049E-2</v>
      </c>
    </row>
    <row r="618" spans="1:30" x14ac:dyDescent="0.25">
      <c r="A618" s="13">
        <v>44553</v>
      </c>
      <c r="B618" s="46" t="s">
        <v>636</v>
      </c>
      <c r="C618" s="13">
        <v>44553</v>
      </c>
      <c r="D618" s="15" t="s">
        <v>680</v>
      </c>
      <c r="E618" s="15">
        <v>183</v>
      </c>
      <c r="F618" s="15">
        <v>180</v>
      </c>
      <c r="G618" s="13">
        <v>44736</v>
      </c>
      <c r="H618" s="17">
        <v>4000</v>
      </c>
      <c r="I618" s="19">
        <v>4908.78</v>
      </c>
      <c r="J618" s="20">
        <v>1.2271949999999998</v>
      </c>
      <c r="K618" s="19">
        <v>4168.78</v>
      </c>
      <c r="L618" s="20">
        <v>1.042195</v>
      </c>
      <c r="M618" s="21">
        <v>0</v>
      </c>
      <c r="N618" s="19">
        <v>0</v>
      </c>
      <c r="O618" s="23">
        <v>800</v>
      </c>
      <c r="P618" s="24">
        <v>1</v>
      </c>
      <c r="Q618" s="25">
        <v>1.25E-3</v>
      </c>
      <c r="R618" s="24">
        <v>1</v>
      </c>
      <c r="S618" s="25">
        <v>1.25E-3</v>
      </c>
      <c r="T618" s="26">
        <v>0</v>
      </c>
      <c r="U618" s="24">
        <v>0</v>
      </c>
      <c r="V618" s="19">
        <v>4800</v>
      </c>
      <c r="W618" s="19">
        <v>4909.78</v>
      </c>
      <c r="X618" s="21">
        <v>1.0228708333333332</v>
      </c>
      <c r="Y618" s="19">
        <v>4169.78</v>
      </c>
      <c r="Z618" s="20">
        <v>0.86870416666666661</v>
      </c>
      <c r="AA618" s="30">
        <v>7.3599999999999929E-2</v>
      </c>
      <c r="AB618" s="27">
        <v>5.7999999999999996E-2</v>
      </c>
      <c r="AC618" s="27">
        <v>7.6600000000000001E-2</v>
      </c>
      <c r="AD618" s="11">
        <v>7.1386255851759506E-2</v>
      </c>
    </row>
    <row r="619" spans="1:30" x14ac:dyDescent="0.25">
      <c r="A619" s="13">
        <v>44557</v>
      </c>
      <c r="B619" s="46" t="s">
        <v>636</v>
      </c>
      <c r="C619" s="13">
        <v>44557</v>
      </c>
      <c r="D619" s="15" t="s">
        <v>681</v>
      </c>
      <c r="E619" s="15">
        <v>35</v>
      </c>
      <c r="F619" s="15">
        <v>30</v>
      </c>
      <c r="G619" s="13">
        <v>44592</v>
      </c>
      <c r="H619" s="17">
        <v>4200</v>
      </c>
      <c r="I619" s="19">
        <v>6661.78</v>
      </c>
      <c r="J619" s="20">
        <v>1.5861380952380946</v>
      </c>
      <c r="K619" s="19">
        <v>5111.78</v>
      </c>
      <c r="L619" s="20">
        <v>1.2170904761904762</v>
      </c>
      <c r="M619" s="21">
        <v>0</v>
      </c>
      <c r="N619" s="19">
        <v>0</v>
      </c>
      <c r="O619" s="23">
        <v>840</v>
      </c>
      <c r="P619" s="24">
        <v>300</v>
      </c>
      <c r="Q619" s="25">
        <v>0.35714285714285715</v>
      </c>
      <c r="R619" s="24">
        <v>300</v>
      </c>
      <c r="S619" s="25">
        <v>0.35714285714285715</v>
      </c>
      <c r="T619" s="26">
        <v>0</v>
      </c>
      <c r="U619" s="24">
        <v>0</v>
      </c>
      <c r="V619" s="19">
        <v>5040</v>
      </c>
      <c r="W619" s="19">
        <v>6961.78</v>
      </c>
      <c r="X619" s="21">
        <v>1.3813055555555556</v>
      </c>
      <c r="Y619" s="19">
        <v>5411.78</v>
      </c>
      <c r="Z619" s="20">
        <v>1.073765873015873</v>
      </c>
      <c r="AA619" s="30">
        <v>6.6500000000000004E-2</v>
      </c>
      <c r="AB619" s="27">
        <v>5.2999999999999999E-2</v>
      </c>
      <c r="AC619" s="27">
        <v>6.8400000000000002E-2</v>
      </c>
      <c r="AD619" s="11">
        <v>6.3631647247432366E-2</v>
      </c>
    </row>
    <row r="620" spans="1:30" x14ac:dyDescent="0.25">
      <c r="A620" s="13">
        <v>44558</v>
      </c>
      <c r="B620" s="46" t="s">
        <v>636</v>
      </c>
      <c r="C620" s="13">
        <v>44559</v>
      </c>
      <c r="D620" s="52" t="s">
        <v>682</v>
      </c>
      <c r="E620" s="15">
        <v>728</v>
      </c>
      <c r="F620" s="15">
        <v>720</v>
      </c>
      <c r="G620" s="13">
        <v>45287</v>
      </c>
      <c r="H620" s="17">
        <v>2500</v>
      </c>
      <c r="I620" s="19">
        <v>2821.41</v>
      </c>
      <c r="J620" s="20">
        <v>1.1285640000000001</v>
      </c>
      <c r="K620" s="19">
        <v>2321.41</v>
      </c>
      <c r="L620" s="20">
        <v>0.92856399999999994</v>
      </c>
      <c r="M620" s="21">
        <v>0</v>
      </c>
      <c r="N620" s="19">
        <v>0</v>
      </c>
      <c r="O620" s="23">
        <v>500</v>
      </c>
      <c r="P620" s="24">
        <v>0</v>
      </c>
      <c r="Q620" s="25">
        <v>0</v>
      </c>
      <c r="R620" s="24">
        <v>0</v>
      </c>
      <c r="S620" s="25">
        <v>0</v>
      </c>
      <c r="T620" s="26">
        <v>0</v>
      </c>
      <c r="U620" s="24">
        <v>0</v>
      </c>
      <c r="V620" s="19">
        <v>3000</v>
      </c>
      <c r="W620" s="19">
        <v>2821.41</v>
      </c>
      <c r="X620" s="21">
        <v>0.94046999999999992</v>
      </c>
      <c r="Y620" s="19">
        <v>2321.41</v>
      </c>
      <c r="Z620" s="20">
        <v>0.77380333333333329</v>
      </c>
      <c r="AA620" s="30">
        <v>7.7499999999999999E-2</v>
      </c>
      <c r="AB620" s="27">
        <v>7.400000000000001E-2</v>
      </c>
      <c r="AC620" s="27">
        <v>7.980000000000001E-2</v>
      </c>
      <c r="AD620" s="11">
        <v>7.6247103398655286E-2</v>
      </c>
    </row>
    <row r="621" spans="1:30" x14ac:dyDescent="0.25">
      <c r="A621" s="13">
        <v>44559</v>
      </c>
      <c r="B621" s="46" t="s">
        <v>636</v>
      </c>
      <c r="C621" s="13">
        <v>44559</v>
      </c>
      <c r="D621" s="15" t="s">
        <v>683</v>
      </c>
      <c r="E621" s="15">
        <v>84</v>
      </c>
      <c r="F621" s="15">
        <v>90</v>
      </c>
      <c r="G621" s="13">
        <v>44643</v>
      </c>
      <c r="H621" s="17">
        <v>4200</v>
      </c>
      <c r="I621" s="19">
        <v>6246.2400000000007</v>
      </c>
      <c r="J621" s="20">
        <v>1.4871999999999996</v>
      </c>
      <c r="K621" s="19">
        <v>5676.2400000000007</v>
      </c>
      <c r="L621" s="20">
        <v>1.3514857142857144</v>
      </c>
      <c r="M621" s="21">
        <v>0</v>
      </c>
      <c r="N621" s="19">
        <v>0</v>
      </c>
      <c r="O621" s="23">
        <v>840</v>
      </c>
      <c r="P621" s="24">
        <v>580</v>
      </c>
      <c r="Q621" s="25">
        <v>0.69047619047619047</v>
      </c>
      <c r="R621" s="24">
        <v>580</v>
      </c>
      <c r="S621" s="25">
        <v>0.69047619047619047</v>
      </c>
      <c r="T621" s="26">
        <v>0</v>
      </c>
      <c r="U621" s="24">
        <v>0</v>
      </c>
      <c r="V621" s="19">
        <v>5040</v>
      </c>
      <c r="W621" s="19">
        <v>6826.2400000000007</v>
      </c>
      <c r="X621" s="21">
        <v>1.3544126984126985</v>
      </c>
      <c r="Y621" s="19">
        <v>6256.2400000000007</v>
      </c>
      <c r="Z621" s="20">
        <v>1.2413174603174604</v>
      </c>
      <c r="AA621" s="30">
        <v>7.1699999999999972E-2</v>
      </c>
      <c r="AB621" s="27">
        <v>0.05</v>
      </c>
      <c r="AC621" s="27">
        <v>7.5999999999999998E-2</v>
      </c>
      <c r="AD621" s="11">
        <v>6.9606745177899013E-2</v>
      </c>
    </row>
    <row r="622" spans="1:30" x14ac:dyDescent="0.25">
      <c r="A622" s="13">
        <v>44559</v>
      </c>
      <c r="B622" s="46" t="s">
        <v>637</v>
      </c>
      <c r="C622" s="13">
        <v>44560</v>
      </c>
      <c r="D622" s="15" t="s">
        <v>684</v>
      </c>
      <c r="E622" s="15">
        <v>358</v>
      </c>
      <c r="F622" s="15">
        <v>360</v>
      </c>
      <c r="G622" s="13">
        <v>44918</v>
      </c>
      <c r="H622" s="17">
        <v>4200</v>
      </c>
      <c r="I622" s="19">
        <v>1841.9099999999999</v>
      </c>
      <c r="J622" s="20">
        <v>0.43855</v>
      </c>
      <c r="K622" s="19">
        <v>1841.9099999999999</v>
      </c>
      <c r="L622" s="20">
        <v>0.43854999999999994</v>
      </c>
      <c r="M622" s="21">
        <v>0</v>
      </c>
      <c r="N622" s="19">
        <v>0</v>
      </c>
      <c r="O622" s="23">
        <v>840</v>
      </c>
      <c r="P622" s="24">
        <v>0</v>
      </c>
      <c r="Q622" s="25">
        <v>0</v>
      </c>
      <c r="R622" s="24">
        <v>0</v>
      </c>
      <c r="S622" s="25">
        <v>0</v>
      </c>
      <c r="T622" s="26">
        <v>0</v>
      </c>
      <c r="U622" s="24">
        <v>0</v>
      </c>
      <c r="V622" s="19">
        <v>5040</v>
      </c>
      <c r="W622" s="19">
        <v>1841.9099999999999</v>
      </c>
      <c r="X622" s="21">
        <v>0.36545833333333333</v>
      </c>
      <c r="Y622" s="19">
        <v>1841.9099999999999</v>
      </c>
      <c r="Z622" s="20">
        <v>0.36545833333333333</v>
      </c>
      <c r="AA622" s="30">
        <v>7.709999999999996E-2</v>
      </c>
      <c r="AB622" s="27">
        <v>6.5000000000000002E-2</v>
      </c>
      <c r="AC622" s="27">
        <v>7.7100000000000002E-2</v>
      </c>
      <c r="AD622" s="11">
        <v>7.559092463801162E-2</v>
      </c>
    </row>
    <row r="623" spans="1:30" x14ac:dyDescent="0.25">
      <c r="A623" s="13">
        <v>44564</v>
      </c>
      <c r="B623" s="46" t="s">
        <v>636</v>
      </c>
      <c r="C623" s="13">
        <v>44564</v>
      </c>
      <c r="D623" s="15" t="s">
        <v>685</v>
      </c>
      <c r="E623" s="15">
        <v>28</v>
      </c>
      <c r="F623" s="15">
        <v>30</v>
      </c>
      <c r="G623" s="13">
        <v>44592</v>
      </c>
      <c r="H623" s="17">
        <v>3400</v>
      </c>
      <c r="I623" s="19">
        <v>4775.04</v>
      </c>
      <c r="J623" s="20">
        <v>1.404423529411764</v>
      </c>
      <c r="K623" s="19">
        <v>3810.0399999999995</v>
      </c>
      <c r="L623" s="20">
        <v>1.1205999999999998</v>
      </c>
      <c r="M623" s="21">
        <v>0</v>
      </c>
      <c r="N623" s="19">
        <v>0</v>
      </c>
      <c r="O623" s="23">
        <v>680</v>
      </c>
      <c r="P623" s="24">
        <v>630</v>
      </c>
      <c r="Q623" s="25">
        <v>0.92647058823529405</v>
      </c>
      <c r="R623" s="24">
        <v>630</v>
      </c>
      <c r="S623" s="25">
        <v>0.92647058823529416</v>
      </c>
      <c r="T623" s="26">
        <v>0</v>
      </c>
      <c r="U623" s="24">
        <v>0</v>
      </c>
      <c r="V623" s="19">
        <v>4080</v>
      </c>
      <c r="W623" s="19">
        <v>5405.04</v>
      </c>
      <c r="X623" s="21">
        <v>1.3247647058823528</v>
      </c>
      <c r="Y623" s="19">
        <v>4440.0399999999991</v>
      </c>
      <c r="Z623" s="20">
        <v>1.0882450980392155</v>
      </c>
      <c r="AA623" s="30">
        <v>6.6600000000000006E-2</v>
      </c>
      <c r="AB623" s="27">
        <v>5.2999999999999999E-2</v>
      </c>
      <c r="AC623" s="27">
        <v>6.9199999999999998E-2</v>
      </c>
      <c r="AD623" s="11">
        <v>6.4784186101058808E-2</v>
      </c>
    </row>
    <row r="624" spans="1:30" x14ac:dyDescent="0.25">
      <c r="A624" s="13">
        <v>44566</v>
      </c>
      <c r="B624" s="46" t="s">
        <v>636</v>
      </c>
      <c r="C624" s="13">
        <v>44566</v>
      </c>
      <c r="D624" s="15" t="s">
        <v>686</v>
      </c>
      <c r="E624" s="15">
        <v>91</v>
      </c>
      <c r="F624" s="15">
        <v>90</v>
      </c>
      <c r="G624" s="13">
        <v>44657</v>
      </c>
      <c r="H624" s="17">
        <v>2500</v>
      </c>
      <c r="I624" s="19">
        <v>4177.25</v>
      </c>
      <c r="J624" s="20">
        <v>1.6708999999999998</v>
      </c>
      <c r="K624" s="19">
        <v>2439.25</v>
      </c>
      <c r="L624" s="20">
        <v>0.97570000000000001</v>
      </c>
      <c r="M624" s="21">
        <v>0</v>
      </c>
      <c r="N624" s="19">
        <v>0</v>
      </c>
      <c r="O624" s="23">
        <v>500</v>
      </c>
      <c r="P624" s="24">
        <v>0</v>
      </c>
      <c r="Q624" s="25">
        <v>0</v>
      </c>
      <c r="R624" s="24">
        <v>0</v>
      </c>
      <c r="S624" s="25">
        <v>0</v>
      </c>
      <c r="T624" s="26">
        <v>0</v>
      </c>
      <c r="U624" s="24">
        <v>0</v>
      </c>
      <c r="V624" s="19">
        <v>3000</v>
      </c>
      <c r="W624" s="19">
        <v>4177.25</v>
      </c>
      <c r="X624" s="21">
        <v>1.3924166666666666</v>
      </c>
      <c r="Y624" s="19">
        <v>2439.25</v>
      </c>
      <c r="Z624" s="20">
        <v>0.81308333333333338</v>
      </c>
      <c r="AA624" s="30">
        <v>7.2700000000000001E-2</v>
      </c>
      <c r="AB624" s="27">
        <v>6.1699999999999998E-2</v>
      </c>
      <c r="AC624" s="27">
        <v>7.5800000000000006E-2</v>
      </c>
      <c r="AD624" s="11">
        <v>7.2545574241426769E-2</v>
      </c>
    </row>
    <row r="625" spans="1:30" x14ac:dyDescent="0.25">
      <c r="A625" s="13">
        <v>44568</v>
      </c>
      <c r="B625" s="46" t="s">
        <v>636</v>
      </c>
      <c r="C625" s="13">
        <v>44568</v>
      </c>
      <c r="D625" s="15" t="s">
        <v>687</v>
      </c>
      <c r="E625" s="15">
        <v>189</v>
      </c>
      <c r="F625" s="15">
        <v>180</v>
      </c>
      <c r="G625" s="13">
        <v>44757</v>
      </c>
      <c r="H625" s="17">
        <v>4200</v>
      </c>
      <c r="I625" s="19">
        <v>5250.9900000000007</v>
      </c>
      <c r="J625" s="20">
        <v>1.2502357142857137</v>
      </c>
      <c r="K625" s="19">
        <v>5020.99</v>
      </c>
      <c r="L625" s="20">
        <v>1.1954738095238095</v>
      </c>
      <c r="M625" s="21">
        <v>0</v>
      </c>
      <c r="N625" s="19">
        <v>0</v>
      </c>
      <c r="O625" s="23">
        <v>840</v>
      </c>
      <c r="P625" s="24">
        <v>131.15</v>
      </c>
      <c r="Q625" s="25">
        <v>0.15613095238095237</v>
      </c>
      <c r="R625" s="24">
        <v>131.15</v>
      </c>
      <c r="S625" s="25">
        <v>0.1561309523809524</v>
      </c>
      <c r="T625" s="26">
        <v>0</v>
      </c>
      <c r="U625" s="24">
        <v>0</v>
      </c>
      <c r="V625" s="19">
        <v>5040</v>
      </c>
      <c r="W625" s="19">
        <v>5382.14</v>
      </c>
      <c r="X625" s="21">
        <v>1.0678849206349208</v>
      </c>
      <c r="Y625" s="19">
        <v>5152.1399999999994</v>
      </c>
      <c r="Z625" s="20">
        <v>1.0222499999999999</v>
      </c>
      <c r="AA625" s="30">
        <v>7.8899999999999984E-2</v>
      </c>
      <c r="AB625" s="27">
        <v>7.0000000000000007E-2</v>
      </c>
      <c r="AC625" s="27">
        <v>8.2400000000000001E-2</v>
      </c>
      <c r="AD625" s="11">
        <v>7.5605643888104881E-2</v>
      </c>
    </row>
    <row r="626" spans="1:30" x14ac:dyDescent="0.25">
      <c r="A626" s="13">
        <v>44571</v>
      </c>
      <c r="B626" s="46" t="s">
        <v>636</v>
      </c>
      <c r="C626" s="13">
        <v>44571</v>
      </c>
      <c r="D626" s="15" t="s">
        <v>689</v>
      </c>
      <c r="E626" s="15">
        <v>35</v>
      </c>
      <c r="F626" s="15">
        <v>30</v>
      </c>
      <c r="G626" s="13">
        <v>44606</v>
      </c>
      <c r="H626" s="17">
        <v>4200</v>
      </c>
      <c r="I626" s="19">
        <v>6903.25</v>
      </c>
      <c r="J626" s="20">
        <v>1.6436309523809525</v>
      </c>
      <c r="K626" s="19">
        <v>5053.25</v>
      </c>
      <c r="L626" s="20">
        <v>1.203154761904762</v>
      </c>
      <c r="M626" s="21">
        <v>0</v>
      </c>
      <c r="N626" s="19">
        <v>0</v>
      </c>
      <c r="O626" s="23">
        <v>840</v>
      </c>
      <c r="P626" s="24">
        <v>180</v>
      </c>
      <c r="Q626" s="25">
        <v>0.2142857142857143</v>
      </c>
      <c r="R626" s="24">
        <v>180</v>
      </c>
      <c r="S626" s="25">
        <v>0.21428571428571427</v>
      </c>
      <c r="T626" s="26">
        <v>0</v>
      </c>
      <c r="U626" s="24">
        <v>0</v>
      </c>
      <c r="V626" s="19">
        <v>5040</v>
      </c>
      <c r="W626" s="19">
        <v>7083.25</v>
      </c>
      <c r="X626" s="21">
        <v>1.4054067460317461</v>
      </c>
      <c r="Y626" s="19">
        <v>5233.25</v>
      </c>
      <c r="Z626" s="20">
        <v>1.038343253968254</v>
      </c>
      <c r="AA626" s="30">
        <v>7.1299999999999961E-2</v>
      </c>
      <c r="AB626" s="27">
        <v>0.05</v>
      </c>
      <c r="AC626" s="27">
        <v>7.3399999999999993E-2</v>
      </c>
      <c r="AD626" s="11">
        <v>6.917445985586497E-2</v>
      </c>
    </row>
    <row r="627" spans="1:30" x14ac:dyDescent="0.25">
      <c r="A627" s="13">
        <v>44573</v>
      </c>
      <c r="B627" s="46" t="s">
        <v>636</v>
      </c>
      <c r="C627" s="13">
        <v>44573</v>
      </c>
      <c r="D627" s="15" t="s">
        <v>690</v>
      </c>
      <c r="E627" s="15">
        <v>84</v>
      </c>
      <c r="F627" s="15">
        <v>90</v>
      </c>
      <c r="G627" s="13">
        <v>44657</v>
      </c>
      <c r="H627" s="17">
        <v>3800</v>
      </c>
      <c r="I627" s="19">
        <v>5120.6099999999997</v>
      </c>
      <c r="J627" s="20">
        <v>1.3475289473684215</v>
      </c>
      <c r="K627" s="19">
        <v>4390.6100000000006</v>
      </c>
      <c r="L627" s="20">
        <v>1.1554236842105265</v>
      </c>
      <c r="M627" s="21">
        <v>0</v>
      </c>
      <c r="N627" s="19">
        <v>0</v>
      </c>
      <c r="O627" s="23">
        <v>760</v>
      </c>
      <c r="P627" s="24">
        <v>320</v>
      </c>
      <c r="Q627" s="25">
        <v>0.4210526315789474</v>
      </c>
      <c r="R627" s="24">
        <v>320</v>
      </c>
      <c r="S627" s="25">
        <v>0.42105263157894735</v>
      </c>
      <c r="T627" s="26">
        <v>0</v>
      </c>
      <c r="U627" s="24">
        <v>0</v>
      </c>
      <c r="V627" s="19">
        <v>4560</v>
      </c>
      <c r="W627" s="19">
        <v>5440.61</v>
      </c>
      <c r="X627" s="21">
        <v>1.1931162280701755</v>
      </c>
      <c r="Y627" s="19">
        <v>4710.6100000000006</v>
      </c>
      <c r="Z627" s="20">
        <v>1.03302850877193</v>
      </c>
      <c r="AA627" s="30">
        <v>7.7700000000000075E-2</v>
      </c>
      <c r="AB627" s="27">
        <v>0.06</v>
      </c>
      <c r="AC627" s="27">
        <v>7.8799999999999995E-2</v>
      </c>
      <c r="AD627" s="11">
        <v>7.6145021784513947E-2</v>
      </c>
    </row>
    <row r="628" spans="1:30" x14ac:dyDescent="0.25">
      <c r="A628" s="13">
        <v>44574</v>
      </c>
      <c r="B628" s="46" t="s">
        <v>636</v>
      </c>
      <c r="C628" s="13">
        <v>44575</v>
      </c>
      <c r="D628" s="15" t="s">
        <v>691</v>
      </c>
      <c r="E628" s="15">
        <v>343</v>
      </c>
      <c r="F628" s="15">
        <v>360</v>
      </c>
      <c r="G628" s="13">
        <v>44918</v>
      </c>
      <c r="H628" s="17">
        <v>3800</v>
      </c>
      <c r="I628" s="19">
        <v>3556.13</v>
      </c>
      <c r="J628" s="20">
        <v>0.93582368421052631</v>
      </c>
      <c r="K628" s="19">
        <v>3056.13</v>
      </c>
      <c r="L628" s="20">
        <v>0.80424473684210529</v>
      </c>
      <c r="M628" s="21">
        <v>0</v>
      </c>
      <c r="N628" s="19">
        <v>0</v>
      </c>
      <c r="O628" s="23">
        <v>760</v>
      </c>
      <c r="P628" s="24">
        <v>0</v>
      </c>
      <c r="Q628" s="25">
        <v>0</v>
      </c>
      <c r="R628" s="24">
        <v>0</v>
      </c>
      <c r="S628" s="25">
        <v>0</v>
      </c>
      <c r="T628" s="26">
        <v>0</v>
      </c>
      <c r="U628" s="24">
        <v>0</v>
      </c>
      <c r="V628" s="19">
        <v>4560</v>
      </c>
      <c r="W628" s="19">
        <v>3556.13</v>
      </c>
      <c r="X628" s="21">
        <v>0.77985307017543859</v>
      </c>
      <c r="Y628" s="19">
        <v>3056.13</v>
      </c>
      <c r="Z628" s="20">
        <v>0.67020394736842104</v>
      </c>
      <c r="AA628" s="30">
        <v>8.3299999999999985E-2</v>
      </c>
      <c r="AB628" s="27">
        <v>6.7099999999999993E-2</v>
      </c>
      <c r="AC628" s="27">
        <v>8.4900000000000003E-2</v>
      </c>
      <c r="AD628" s="11">
        <v>8.1563089088419166E-2</v>
      </c>
    </row>
    <row r="629" spans="1:30" x14ac:dyDescent="0.25">
      <c r="A629" s="13">
        <v>44578</v>
      </c>
      <c r="B629" s="46" t="s">
        <v>636</v>
      </c>
      <c r="C629" s="13">
        <v>44578</v>
      </c>
      <c r="D629" s="15" t="s">
        <v>692</v>
      </c>
      <c r="E629" s="15">
        <v>28</v>
      </c>
      <c r="F629" s="15">
        <v>30</v>
      </c>
      <c r="G629" s="13">
        <v>44606</v>
      </c>
      <c r="H629" s="17">
        <v>4200</v>
      </c>
      <c r="I629" s="19">
        <v>5345.8099999999995</v>
      </c>
      <c r="J629" s="20">
        <v>1.2728119047619046</v>
      </c>
      <c r="K629" s="19">
        <v>4745.8099999999995</v>
      </c>
      <c r="L629" s="20">
        <v>1.1299547619047619</v>
      </c>
      <c r="M629" s="21">
        <v>0</v>
      </c>
      <c r="N629" s="19">
        <v>0</v>
      </c>
      <c r="O629" s="23">
        <v>840</v>
      </c>
      <c r="P629" s="24">
        <v>1155</v>
      </c>
      <c r="Q629" s="25">
        <v>1.375</v>
      </c>
      <c r="R629" s="24">
        <v>839.99999999999989</v>
      </c>
      <c r="S629" s="25">
        <v>0.99999999999999989</v>
      </c>
      <c r="T629" s="26">
        <v>0.72727333333333333</v>
      </c>
      <c r="U629" s="24">
        <v>0</v>
      </c>
      <c r="V629" s="19">
        <v>5040</v>
      </c>
      <c r="W629" s="19">
        <v>6500.8099999999995</v>
      </c>
      <c r="X629" s="21">
        <v>1.2898432539682538</v>
      </c>
      <c r="Y629" s="19">
        <v>5585.8099999999995</v>
      </c>
      <c r="Z629" s="20">
        <v>1.1082956349206348</v>
      </c>
      <c r="AA629" s="30">
        <v>7.200000000000005E-2</v>
      </c>
      <c r="AB629" s="27">
        <v>0.03</v>
      </c>
      <c r="AC629" s="27">
        <v>7.3200000000000001E-2</v>
      </c>
      <c r="AD629" s="11">
        <v>7.0388033805915268E-2</v>
      </c>
    </row>
    <row r="630" spans="1:30" x14ac:dyDescent="0.25">
      <c r="A630" s="13">
        <v>44580</v>
      </c>
      <c r="B630" s="46" t="s">
        <v>636</v>
      </c>
      <c r="C630" s="13">
        <v>44580</v>
      </c>
      <c r="D630" s="15" t="s">
        <v>693</v>
      </c>
      <c r="E630" s="15">
        <v>77</v>
      </c>
      <c r="F630" s="15">
        <v>90</v>
      </c>
      <c r="G630" s="13">
        <v>44657</v>
      </c>
      <c r="H630" s="17">
        <v>5000</v>
      </c>
      <c r="I630" s="19">
        <v>5416.4400000000005</v>
      </c>
      <c r="J630" s="20">
        <v>1.083288</v>
      </c>
      <c r="K630" s="19">
        <v>4116.4400000000005</v>
      </c>
      <c r="L630" s="20">
        <v>0.82328800000000013</v>
      </c>
      <c r="M630" s="21">
        <v>0</v>
      </c>
      <c r="N630" s="19">
        <v>0</v>
      </c>
      <c r="O630" s="23">
        <v>1000</v>
      </c>
      <c r="P630" s="24">
        <v>393</v>
      </c>
      <c r="Q630" s="25">
        <v>0.39300000000000002</v>
      </c>
      <c r="R630" s="24">
        <v>393</v>
      </c>
      <c r="S630" s="25">
        <v>0.39300000000000002</v>
      </c>
      <c r="T630" s="26">
        <v>0</v>
      </c>
      <c r="U630" s="24">
        <v>0</v>
      </c>
      <c r="V630" s="19">
        <v>6000</v>
      </c>
      <c r="W630" s="19">
        <v>5809.4400000000005</v>
      </c>
      <c r="X630" s="21">
        <v>0.9682400000000001</v>
      </c>
      <c r="Y630" s="19">
        <v>4509.4400000000005</v>
      </c>
      <c r="Z630" s="20">
        <v>0.75157333333333343</v>
      </c>
      <c r="AA630" s="30">
        <v>7.8899999999999984E-2</v>
      </c>
      <c r="AB630" s="27">
        <v>0.06</v>
      </c>
      <c r="AC630" s="27">
        <v>8.2299999999999998E-2</v>
      </c>
      <c r="AD630" s="11">
        <v>7.7311814586702693E-2</v>
      </c>
    </row>
    <row r="631" spans="1:30" x14ac:dyDescent="0.25">
      <c r="A631" s="13">
        <v>44582</v>
      </c>
      <c r="B631" s="46" t="s">
        <v>636</v>
      </c>
      <c r="C631" s="13">
        <v>44582</v>
      </c>
      <c r="D631" s="15" t="s">
        <v>694</v>
      </c>
      <c r="E631" s="15">
        <v>175</v>
      </c>
      <c r="F631" s="15">
        <v>180</v>
      </c>
      <c r="G631" s="13">
        <v>44757</v>
      </c>
      <c r="H631" s="17">
        <v>5000</v>
      </c>
      <c r="I631" s="19">
        <v>3356.27</v>
      </c>
      <c r="J631" s="20">
        <v>0.67125399999999991</v>
      </c>
      <c r="K631" s="19">
        <v>1161.27</v>
      </c>
      <c r="L631" s="20">
        <v>0.23225399999999999</v>
      </c>
      <c r="M631" s="21">
        <v>0</v>
      </c>
      <c r="N631" s="19">
        <v>0</v>
      </c>
      <c r="O631" s="23">
        <v>1000</v>
      </c>
      <c r="P631" s="24">
        <v>330</v>
      </c>
      <c r="Q631" s="25">
        <v>0.32999999999999996</v>
      </c>
      <c r="R631" s="24">
        <v>232.25399999999999</v>
      </c>
      <c r="S631" s="25">
        <v>0.23225399999999999</v>
      </c>
      <c r="T631" s="26">
        <v>0.70379999999999998</v>
      </c>
      <c r="U631" s="24">
        <v>0</v>
      </c>
      <c r="V631" s="19">
        <v>6000</v>
      </c>
      <c r="W631" s="19">
        <v>3686.27</v>
      </c>
      <c r="X631" s="21">
        <v>0.61437833333333336</v>
      </c>
      <c r="Y631" s="19">
        <v>1393.5239999999999</v>
      </c>
      <c r="Z631" s="20">
        <v>0.23225399999999999</v>
      </c>
      <c r="AA631" s="30">
        <v>8.0400000000000013E-2</v>
      </c>
      <c r="AB631" s="27">
        <v>6.8900000000000003E-2</v>
      </c>
      <c r="AC631" s="27">
        <v>8.4499999999999992E-2</v>
      </c>
      <c r="AD631" s="11">
        <v>8.0977865308810085E-2</v>
      </c>
    </row>
    <row r="632" spans="1:30" x14ac:dyDescent="0.25">
      <c r="A632" s="13">
        <v>44585</v>
      </c>
      <c r="B632" s="46" t="s">
        <v>636</v>
      </c>
      <c r="C632" s="13">
        <v>44585</v>
      </c>
      <c r="D632" s="15" t="s">
        <v>695</v>
      </c>
      <c r="E632" s="15">
        <v>37</v>
      </c>
      <c r="F632" s="15">
        <v>30</v>
      </c>
      <c r="G632" s="13">
        <v>44622</v>
      </c>
      <c r="H632" s="17">
        <v>3500</v>
      </c>
      <c r="I632" s="19">
        <v>2048.17</v>
      </c>
      <c r="J632" s="20">
        <v>0.58519142857142858</v>
      </c>
      <c r="K632" s="19">
        <v>1748.1699999999998</v>
      </c>
      <c r="L632" s="20">
        <v>0.49947714285714279</v>
      </c>
      <c r="M632" s="21">
        <v>0</v>
      </c>
      <c r="N632" s="19">
        <v>0</v>
      </c>
      <c r="O632" s="23">
        <v>700</v>
      </c>
      <c r="P632" s="24">
        <v>530</v>
      </c>
      <c r="Q632" s="25">
        <v>0.75714285714285712</v>
      </c>
      <c r="R632" s="24">
        <v>349.63400000000001</v>
      </c>
      <c r="S632" s="25">
        <v>0.4994771428571429</v>
      </c>
      <c r="T632" s="26">
        <v>0.65968700000000002</v>
      </c>
      <c r="U632" s="24">
        <v>0</v>
      </c>
      <c r="V632" s="19">
        <v>4200</v>
      </c>
      <c r="W632" s="19">
        <v>2578.17</v>
      </c>
      <c r="X632" s="21">
        <v>0.61385000000000001</v>
      </c>
      <c r="Y632" s="19">
        <v>2097.8040000000001</v>
      </c>
      <c r="Z632" s="20">
        <v>0.4994771428571429</v>
      </c>
      <c r="AA632" s="30">
        <v>7.2300000000000017E-2</v>
      </c>
      <c r="AB632" s="27">
        <v>0.05</v>
      </c>
      <c r="AC632" s="27">
        <v>7.6700000000000004E-2</v>
      </c>
      <c r="AD632" s="11">
        <v>7.0798581172461267E-2</v>
      </c>
    </row>
    <row r="633" spans="1:30" x14ac:dyDescent="0.25">
      <c r="A633" s="13">
        <v>44586</v>
      </c>
      <c r="B633" s="46" t="s">
        <v>636</v>
      </c>
      <c r="C633" s="13">
        <v>44587</v>
      </c>
      <c r="D633" s="52" t="s">
        <v>696</v>
      </c>
      <c r="E633" s="15">
        <v>700</v>
      </c>
      <c r="F633" s="15">
        <v>720</v>
      </c>
      <c r="G633" s="13">
        <v>45287</v>
      </c>
      <c r="H633" s="17">
        <v>3500</v>
      </c>
      <c r="I633" s="19">
        <v>2365.6800000000003</v>
      </c>
      <c r="J633" s="20">
        <v>0.67590857142857141</v>
      </c>
      <c r="K633" s="19">
        <v>2165.6800000000003</v>
      </c>
      <c r="L633" s="20">
        <v>0.61876571428571436</v>
      </c>
      <c r="M633" s="21">
        <v>0</v>
      </c>
      <c r="N633" s="19">
        <v>0</v>
      </c>
      <c r="O633" s="23">
        <v>700</v>
      </c>
      <c r="P633" s="24">
        <v>0</v>
      </c>
      <c r="Q633" s="25">
        <v>0</v>
      </c>
      <c r="R633" s="24">
        <v>0</v>
      </c>
      <c r="S633" s="25">
        <v>0</v>
      </c>
      <c r="T633" s="26">
        <v>0</v>
      </c>
      <c r="U633" s="24">
        <v>0</v>
      </c>
      <c r="V633" s="19">
        <v>4200</v>
      </c>
      <c r="W633" s="19">
        <v>2365.6800000000003</v>
      </c>
      <c r="X633" s="21">
        <v>0.5632571428571429</v>
      </c>
      <c r="Y633" s="19">
        <v>2165.6800000000003</v>
      </c>
      <c r="Z633" s="20">
        <v>0.51563809523809534</v>
      </c>
      <c r="AA633" s="30">
        <v>8.5500000000000007E-2</v>
      </c>
      <c r="AB633" s="27">
        <v>7.4999999999999997E-2</v>
      </c>
      <c r="AC633" s="27">
        <v>8.6999999999999994E-2</v>
      </c>
      <c r="AD633" s="11">
        <v>8.4543556186804619E-2</v>
      </c>
    </row>
    <row r="634" spans="1:30" x14ac:dyDescent="0.25">
      <c r="A634" s="13">
        <v>44587</v>
      </c>
      <c r="B634" s="46" t="s">
        <v>636</v>
      </c>
      <c r="C634" s="13">
        <v>44587</v>
      </c>
      <c r="D634" s="52" t="s">
        <v>697</v>
      </c>
      <c r="E634" s="15">
        <v>105</v>
      </c>
      <c r="F634" s="15">
        <v>90</v>
      </c>
      <c r="G634" s="13">
        <v>44692</v>
      </c>
      <c r="H634" s="17">
        <v>3500</v>
      </c>
      <c r="I634" s="19">
        <v>2011.46</v>
      </c>
      <c r="J634" s="20">
        <v>0.57470285714285707</v>
      </c>
      <c r="K634" s="19">
        <v>1411.46</v>
      </c>
      <c r="L634" s="20">
        <v>0.40327428571428575</v>
      </c>
      <c r="M634" s="21">
        <v>0</v>
      </c>
      <c r="N634" s="19">
        <v>0</v>
      </c>
      <c r="O634" s="23">
        <v>700</v>
      </c>
      <c r="P634" s="24">
        <v>0</v>
      </c>
      <c r="Q634" s="25">
        <v>0</v>
      </c>
      <c r="R634" s="24">
        <v>0</v>
      </c>
      <c r="S634" s="25">
        <v>0</v>
      </c>
      <c r="T634" s="26">
        <v>0</v>
      </c>
      <c r="U634" s="24">
        <v>0</v>
      </c>
      <c r="V634" s="19">
        <v>4200</v>
      </c>
      <c r="W634" s="19">
        <v>2011.46</v>
      </c>
      <c r="X634" s="21">
        <v>0.47891904761904763</v>
      </c>
      <c r="Y634" s="19">
        <v>1411.46</v>
      </c>
      <c r="Z634" s="20">
        <v>0.33606190476190478</v>
      </c>
      <c r="AA634" s="30">
        <v>7.8999999999999973E-2</v>
      </c>
      <c r="AB634" s="27">
        <v>6.5000000000000002E-2</v>
      </c>
      <c r="AC634" s="27">
        <v>8.0700000000000008E-2</v>
      </c>
      <c r="AD634" s="11">
        <v>7.8042303103218538E-2</v>
      </c>
    </row>
    <row r="635" spans="1:30" x14ac:dyDescent="0.25">
      <c r="A635" s="13">
        <v>44588</v>
      </c>
      <c r="B635" s="46" t="s">
        <v>636</v>
      </c>
      <c r="C635" s="13">
        <v>44589</v>
      </c>
      <c r="D635" s="52" t="s">
        <v>698</v>
      </c>
      <c r="E635" s="15">
        <v>329</v>
      </c>
      <c r="F635" s="15">
        <v>360</v>
      </c>
      <c r="G635" s="13">
        <v>44918</v>
      </c>
      <c r="H635" s="17">
        <v>3500</v>
      </c>
      <c r="I635" s="19">
        <v>3641.8199999999997</v>
      </c>
      <c r="J635" s="20">
        <v>1.0405200000000001</v>
      </c>
      <c r="K635" s="19">
        <v>2441.8199999999997</v>
      </c>
      <c r="L635" s="20">
        <v>0.69766285714285703</v>
      </c>
      <c r="M635" s="21">
        <v>0</v>
      </c>
      <c r="N635" s="19">
        <v>0</v>
      </c>
      <c r="O635" s="23">
        <v>700</v>
      </c>
      <c r="P635" s="24">
        <v>800</v>
      </c>
      <c r="Q635" s="25">
        <v>1.1428571428571428</v>
      </c>
      <c r="R635" s="24">
        <v>488.36399999999998</v>
      </c>
      <c r="S635" s="25">
        <v>0.69766285714285714</v>
      </c>
      <c r="T635" s="26">
        <v>0.61045499999999997</v>
      </c>
      <c r="U635" s="24">
        <v>0</v>
      </c>
      <c r="V635" s="19">
        <v>4200</v>
      </c>
      <c r="W635" s="19">
        <v>4441.82</v>
      </c>
      <c r="X635" s="21">
        <v>1.0575761904761904</v>
      </c>
      <c r="Y635" s="19">
        <v>2930.1839999999997</v>
      </c>
      <c r="Z635" s="20">
        <v>0.69766285714285703</v>
      </c>
      <c r="AA635" s="30">
        <v>8.4499999999999992E-2</v>
      </c>
      <c r="AB635" s="27">
        <v>7.0000000000000007E-2</v>
      </c>
      <c r="AC635" s="27">
        <v>8.7300000000000003E-2</v>
      </c>
      <c r="AD635" s="11">
        <v>8.4209434019254112E-2</v>
      </c>
    </row>
    <row r="636" spans="1:30" x14ac:dyDescent="0.25">
      <c r="A636" s="13">
        <v>44599</v>
      </c>
      <c r="B636" s="46" t="s">
        <v>636</v>
      </c>
      <c r="C636" s="13">
        <v>44599</v>
      </c>
      <c r="D636" s="15" t="s">
        <v>723</v>
      </c>
      <c r="E636" s="15">
        <v>28</v>
      </c>
      <c r="F636" s="15">
        <v>30</v>
      </c>
      <c r="G636" s="13">
        <v>44627</v>
      </c>
      <c r="H636" s="17">
        <v>2500</v>
      </c>
      <c r="I636" s="19">
        <v>7846.369999999999</v>
      </c>
      <c r="J636" s="20">
        <v>3.1385480000000001</v>
      </c>
      <c r="K636" s="19">
        <v>4996.37</v>
      </c>
      <c r="L636" s="20">
        <v>1.998548</v>
      </c>
      <c r="M636" s="21">
        <v>0</v>
      </c>
      <c r="N636" s="19">
        <v>0</v>
      </c>
      <c r="O636" s="23">
        <v>500</v>
      </c>
      <c r="P636" s="24">
        <v>20</v>
      </c>
      <c r="Q636" s="25">
        <v>0.04</v>
      </c>
      <c r="R636" s="24">
        <v>20</v>
      </c>
      <c r="S636" s="25">
        <v>0.04</v>
      </c>
      <c r="T636" s="26">
        <v>0</v>
      </c>
      <c r="U636" s="24">
        <v>0</v>
      </c>
      <c r="V636" s="19">
        <v>3000</v>
      </c>
      <c r="W636" s="19">
        <v>7866.369999999999</v>
      </c>
      <c r="X636" s="21">
        <v>2.6221233333333331</v>
      </c>
      <c r="Y636" s="19">
        <v>5016.37</v>
      </c>
      <c r="Z636" s="20">
        <v>1.6721233333333334</v>
      </c>
      <c r="AA636" s="30">
        <v>7.1499999999999939E-2</v>
      </c>
      <c r="AB636" s="27">
        <v>0.05</v>
      </c>
      <c r="AC636" s="27">
        <v>7.5800000000000006E-2</v>
      </c>
      <c r="AD636" s="11">
        <v>7.0472923147901517E-2</v>
      </c>
    </row>
    <row r="637" spans="1:30" x14ac:dyDescent="0.25">
      <c r="A637" s="13">
        <v>44601</v>
      </c>
      <c r="B637" s="46" t="s">
        <v>636</v>
      </c>
      <c r="C637" s="13">
        <v>44601</v>
      </c>
      <c r="D637" s="15" t="s">
        <v>724</v>
      </c>
      <c r="E637" s="15">
        <v>91</v>
      </c>
      <c r="F637" s="15">
        <v>90</v>
      </c>
      <c r="G637" s="13">
        <v>44692</v>
      </c>
      <c r="H637" s="17">
        <v>2500</v>
      </c>
      <c r="I637" s="19">
        <v>11165.429999999995</v>
      </c>
      <c r="J637" s="20">
        <v>4.4661719999999985</v>
      </c>
      <c r="K637" s="19">
        <v>4962.4399999999987</v>
      </c>
      <c r="L637" s="20">
        <v>1.9849759999999994</v>
      </c>
      <c r="M637" s="21">
        <v>0</v>
      </c>
      <c r="N637" s="19">
        <v>0</v>
      </c>
      <c r="O637" s="23">
        <v>500</v>
      </c>
      <c r="P637" s="24">
        <v>7.21</v>
      </c>
      <c r="Q637" s="25">
        <v>1.4420000000000001E-2</v>
      </c>
      <c r="R637" s="24">
        <v>7.21</v>
      </c>
      <c r="S637" s="25">
        <v>1.4420000000000001E-2</v>
      </c>
      <c r="T637" s="26">
        <v>0</v>
      </c>
      <c r="U637" s="24">
        <v>0</v>
      </c>
      <c r="V637" s="19">
        <v>3000</v>
      </c>
      <c r="W637" s="19">
        <v>11172.639999999994</v>
      </c>
      <c r="X637" s="21">
        <v>3.7242133333333314</v>
      </c>
      <c r="Y637" s="19">
        <v>4969.6499999999987</v>
      </c>
      <c r="Z637" s="20">
        <v>1.6565499999999995</v>
      </c>
      <c r="AA637" s="30">
        <v>7.6800000000000188E-2</v>
      </c>
      <c r="AB637" s="27">
        <v>0.06</v>
      </c>
      <c r="AC637" s="27">
        <v>8.1500000000000003E-2</v>
      </c>
      <c r="AD637" s="11">
        <v>7.5884208669079509E-2</v>
      </c>
    </row>
    <row r="638" spans="1:30" x14ac:dyDescent="0.25">
      <c r="A638" s="13">
        <v>44603</v>
      </c>
      <c r="B638" s="46" t="s">
        <v>636</v>
      </c>
      <c r="C638" s="13">
        <v>44603</v>
      </c>
      <c r="D638" s="15" t="s">
        <v>725</v>
      </c>
      <c r="E638" s="15">
        <v>189</v>
      </c>
      <c r="F638" s="15">
        <v>180</v>
      </c>
      <c r="G638" s="13">
        <v>44792</v>
      </c>
      <c r="H638" s="17">
        <v>2500</v>
      </c>
      <c r="I638" s="19">
        <v>5863.03</v>
      </c>
      <c r="J638" s="20">
        <v>2.345212000000001</v>
      </c>
      <c r="K638" s="19">
        <v>4563.03</v>
      </c>
      <c r="L638" s="20">
        <v>1.8252119999999998</v>
      </c>
      <c r="M638" s="21">
        <v>0</v>
      </c>
      <c r="N638" s="19">
        <v>0</v>
      </c>
      <c r="O638" s="23">
        <v>500</v>
      </c>
      <c r="P638" s="24">
        <v>210</v>
      </c>
      <c r="Q638" s="25">
        <v>0.42</v>
      </c>
      <c r="R638" s="24">
        <v>210</v>
      </c>
      <c r="S638" s="25">
        <v>0.42</v>
      </c>
      <c r="T638" s="26">
        <v>0</v>
      </c>
      <c r="U638" s="24">
        <v>0</v>
      </c>
      <c r="V638" s="19">
        <v>3000</v>
      </c>
      <c r="W638" s="19">
        <v>6073.03</v>
      </c>
      <c r="X638" s="21">
        <v>2.0243433333333334</v>
      </c>
      <c r="Y638" s="19">
        <v>4773.03</v>
      </c>
      <c r="Z638" s="20">
        <v>1.5910099999999998</v>
      </c>
      <c r="AA638" s="30">
        <v>8.1000000000000044E-2</v>
      </c>
      <c r="AB638" s="27">
        <v>0.05</v>
      </c>
      <c r="AC638" s="27">
        <v>8.5500000000000007E-2</v>
      </c>
      <c r="AD638" s="11">
        <v>7.9394239838445305E-2</v>
      </c>
    </row>
    <row r="639" spans="1:30" x14ac:dyDescent="0.25">
      <c r="A639" s="13">
        <v>44606</v>
      </c>
      <c r="B639" s="46" t="s">
        <v>727</v>
      </c>
      <c r="C639" s="13">
        <v>44606</v>
      </c>
      <c r="D639" s="15" t="s">
        <v>726</v>
      </c>
      <c r="E639" s="15">
        <v>35</v>
      </c>
      <c r="F639" s="15">
        <v>30</v>
      </c>
      <c r="G639" s="13">
        <v>44641</v>
      </c>
      <c r="H639" s="17">
        <v>3300</v>
      </c>
      <c r="I639" s="19">
        <v>7254.2800000000007</v>
      </c>
      <c r="J639" s="20">
        <v>2.198266666666667</v>
      </c>
      <c r="K639" s="19">
        <v>3854.2799999999997</v>
      </c>
      <c r="L639" s="20">
        <v>1.1679636363636363</v>
      </c>
      <c r="M639" s="21">
        <v>0</v>
      </c>
      <c r="N639" s="19">
        <v>0</v>
      </c>
      <c r="O639" s="23">
        <v>660</v>
      </c>
      <c r="P639" s="24">
        <v>20</v>
      </c>
      <c r="Q639" s="25">
        <v>3.0303030303030304E-2</v>
      </c>
      <c r="R639" s="24">
        <v>20</v>
      </c>
      <c r="S639" s="25">
        <v>3.0303030303030304E-2</v>
      </c>
      <c r="T639" s="26">
        <v>0</v>
      </c>
      <c r="U639" s="24">
        <v>0</v>
      </c>
      <c r="V639" s="19">
        <v>3960</v>
      </c>
      <c r="W639" s="19">
        <v>7274.2800000000007</v>
      </c>
      <c r="X639" s="21">
        <v>1.8369393939393941</v>
      </c>
      <c r="Y639" s="19">
        <v>3874.2799999999997</v>
      </c>
      <c r="Z639" s="20">
        <v>0.97835353535353531</v>
      </c>
      <c r="AA639" s="30">
        <v>7.3999999999999982E-2</v>
      </c>
      <c r="AB639" s="27">
        <v>0.05</v>
      </c>
      <c r="AC639" s="27">
        <v>0.08</v>
      </c>
      <c r="AD639" s="11">
        <v>7.3916191544853502E-2</v>
      </c>
    </row>
    <row r="640" spans="1:30" x14ac:dyDescent="0.25">
      <c r="A640" s="13">
        <v>44608</v>
      </c>
      <c r="B640" s="46" t="s">
        <v>636</v>
      </c>
      <c r="C640" s="13">
        <v>44608</v>
      </c>
      <c r="D640" s="15" t="s">
        <v>728</v>
      </c>
      <c r="E640" s="15">
        <v>84</v>
      </c>
      <c r="F640" s="15">
        <v>90</v>
      </c>
      <c r="G640" s="13">
        <v>44692</v>
      </c>
      <c r="H640" s="17">
        <v>3300</v>
      </c>
      <c r="I640" s="19">
        <v>6880.6299999999992</v>
      </c>
      <c r="J640" s="20">
        <v>2.0850393939393936</v>
      </c>
      <c r="K640" s="19">
        <v>3380.6300000000006</v>
      </c>
      <c r="L640" s="20">
        <v>1.0244333333333335</v>
      </c>
      <c r="M640" s="21">
        <v>0</v>
      </c>
      <c r="N640" s="19">
        <v>0</v>
      </c>
      <c r="O640" s="23">
        <v>660</v>
      </c>
      <c r="P640" s="24">
        <v>0</v>
      </c>
      <c r="Q640" s="25">
        <v>0</v>
      </c>
      <c r="R640" s="24">
        <v>0</v>
      </c>
      <c r="S640" s="25">
        <v>0</v>
      </c>
      <c r="T640" s="26">
        <v>0</v>
      </c>
      <c r="U640" s="24">
        <v>0</v>
      </c>
      <c r="V640" s="19">
        <v>3960</v>
      </c>
      <c r="W640" s="19">
        <v>6880.6299999999992</v>
      </c>
      <c r="X640" s="21">
        <v>1.7375328282828282</v>
      </c>
      <c r="Y640" s="19">
        <v>3380.6300000000006</v>
      </c>
      <c r="Z640" s="20">
        <v>0.85369444444444453</v>
      </c>
      <c r="AA640" s="30">
        <v>7.900000000000007E-2</v>
      </c>
      <c r="AB640" s="27">
        <v>0.04</v>
      </c>
      <c r="AC640" s="27">
        <v>8.5000000000000006E-2</v>
      </c>
      <c r="AD640" s="11">
        <v>7.8791886208094353E-2</v>
      </c>
    </row>
    <row r="641" spans="1:30" x14ac:dyDescent="0.25">
      <c r="A641" s="13">
        <v>44609</v>
      </c>
      <c r="B641" s="46" t="s">
        <v>636</v>
      </c>
      <c r="C641" s="13">
        <v>44610</v>
      </c>
      <c r="D641" s="15" t="s">
        <v>729</v>
      </c>
      <c r="E641" s="15">
        <v>378</v>
      </c>
      <c r="F641" s="15">
        <v>360</v>
      </c>
      <c r="G641" s="13">
        <v>44988</v>
      </c>
      <c r="H641" s="17">
        <v>3300</v>
      </c>
      <c r="I641" s="19">
        <v>2894.47</v>
      </c>
      <c r="J641" s="20">
        <v>0.87711212121212101</v>
      </c>
      <c r="K641" s="19">
        <v>2494.4699999999998</v>
      </c>
      <c r="L641" s="20">
        <v>0.75589999999999991</v>
      </c>
      <c r="M641" s="21">
        <v>0</v>
      </c>
      <c r="N641" s="19">
        <v>0</v>
      </c>
      <c r="O641" s="23">
        <v>660</v>
      </c>
      <c r="P641" s="24">
        <v>0</v>
      </c>
      <c r="Q641" s="25">
        <v>0</v>
      </c>
      <c r="R641" s="24">
        <v>0</v>
      </c>
      <c r="S641" s="25">
        <v>0</v>
      </c>
      <c r="T641" s="26">
        <v>0</v>
      </c>
      <c r="U641" s="24">
        <v>0</v>
      </c>
      <c r="V641" s="19">
        <v>3960</v>
      </c>
      <c r="W641" s="19">
        <v>2894.47</v>
      </c>
      <c r="X641" s="21">
        <v>0.73092676767676767</v>
      </c>
      <c r="Y641" s="19">
        <v>2494.4699999999998</v>
      </c>
      <c r="Z641" s="20">
        <v>0.62991666666666657</v>
      </c>
      <c r="AA641" s="30">
        <v>8.6899999999999991E-2</v>
      </c>
      <c r="AB641" s="27">
        <v>7.0000000000000007E-2</v>
      </c>
      <c r="AC641" s="27">
        <v>9.0999999999999998E-2</v>
      </c>
      <c r="AD641" s="11">
        <v>8.5408330367908444E-2</v>
      </c>
    </row>
    <row r="642" spans="1:30" x14ac:dyDescent="0.25">
      <c r="A642" s="13">
        <v>44613</v>
      </c>
      <c r="B642" s="46" t="s">
        <v>636</v>
      </c>
      <c r="C642" s="13">
        <v>44613</v>
      </c>
      <c r="D642" s="15" t="s">
        <v>730</v>
      </c>
      <c r="E642" s="15">
        <v>28</v>
      </c>
      <c r="F642" s="15">
        <v>30</v>
      </c>
      <c r="G642" s="13">
        <v>44641</v>
      </c>
      <c r="H642" s="17">
        <v>3000</v>
      </c>
      <c r="I642" s="19">
        <v>10605.869999999999</v>
      </c>
      <c r="J642" s="20">
        <v>3.5352899999999994</v>
      </c>
      <c r="K642" s="19">
        <v>5255.87</v>
      </c>
      <c r="L642" s="20">
        <v>1.7519566666666666</v>
      </c>
      <c r="M642" s="21">
        <v>0</v>
      </c>
      <c r="N642" s="19">
        <v>0</v>
      </c>
      <c r="O642" s="23">
        <v>600</v>
      </c>
      <c r="P642" s="24">
        <v>0</v>
      </c>
      <c r="Q642" s="25">
        <v>0</v>
      </c>
      <c r="R642" s="24">
        <v>0</v>
      </c>
      <c r="S642" s="25">
        <v>0</v>
      </c>
      <c r="T642" s="26">
        <v>0</v>
      </c>
      <c r="U642" s="24">
        <v>0</v>
      </c>
      <c r="V642" s="19">
        <v>3600</v>
      </c>
      <c r="W642" s="19">
        <v>10605.869999999999</v>
      </c>
      <c r="X642" s="21">
        <v>2.9460749999999996</v>
      </c>
      <c r="Y642" s="19">
        <v>5255.87</v>
      </c>
      <c r="Z642" s="20">
        <v>1.4599638888888888</v>
      </c>
      <c r="AA642" s="30">
        <v>7.589999999999994E-2</v>
      </c>
      <c r="AB642" s="27">
        <v>0.06</v>
      </c>
      <c r="AC642" s="27">
        <v>0.08</v>
      </c>
      <c r="AD642" s="11">
        <v>7.511196064066411E-2</v>
      </c>
    </row>
    <row r="643" spans="1:30" x14ac:dyDescent="0.25">
      <c r="A643" s="13">
        <v>44614</v>
      </c>
      <c r="B643" s="46" t="s">
        <v>636</v>
      </c>
      <c r="C643" s="13">
        <v>44615</v>
      </c>
      <c r="D643" s="52" t="s">
        <v>731</v>
      </c>
      <c r="E643" s="15">
        <v>672</v>
      </c>
      <c r="F643" s="15">
        <v>720</v>
      </c>
      <c r="G643" s="13">
        <v>45287</v>
      </c>
      <c r="H643" s="17">
        <v>3000</v>
      </c>
      <c r="I643" s="19">
        <v>4410.1000000000004</v>
      </c>
      <c r="J643" s="20">
        <v>1.4700333333333335</v>
      </c>
      <c r="K643" s="19">
        <v>3160.1</v>
      </c>
      <c r="L643" s="20">
        <v>1.0533666666666666</v>
      </c>
      <c r="M643" s="21">
        <v>0</v>
      </c>
      <c r="N643" s="19">
        <v>0</v>
      </c>
      <c r="O643" s="23">
        <v>600</v>
      </c>
      <c r="P643" s="24">
        <v>600</v>
      </c>
      <c r="Q643" s="25">
        <v>1</v>
      </c>
      <c r="R643" s="24">
        <v>600</v>
      </c>
      <c r="S643" s="25">
        <v>1</v>
      </c>
      <c r="T643" s="26">
        <v>0</v>
      </c>
      <c r="U643" s="24">
        <v>0</v>
      </c>
      <c r="V643" s="19">
        <v>3600</v>
      </c>
      <c r="W643" s="19">
        <v>5010.1000000000004</v>
      </c>
      <c r="X643" s="21">
        <v>1.3916944444444446</v>
      </c>
      <c r="Y643" s="19">
        <v>3760.1</v>
      </c>
      <c r="Z643" s="20">
        <v>1.0444722222222222</v>
      </c>
      <c r="AA643" s="30">
        <v>8.7699999999999931E-2</v>
      </c>
      <c r="AB643" s="27">
        <v>7.0000000000000007E-2</v>
      </c>
      <c r="AC643" s="27">
        <v>0.09</v>
      </c>
      <c r="AD643" s="11">
        <v>8.6794925285140948E-2</v>
      </c>
    </row>
    <row r="644" spans="1:30" x14ac:dyDescent="0.25">
      <c r="A644" s="13">
        <v>44615</v>
      </c>
      <c r="B644" s="46" t="s">
        <v>636</v>
      </c>
      <c r="C644" s="13">
        <v>44615</v>
      </c>
      <c r="D644" s="15" t="s">
        <v>732</v>
      </c>
      <c r="E644" s="15">
        <v>105</v>
      </c>
      <c r="F644" s="15">
        <v>90</v>
      </c>
      <c r="G644" s="13">
        <v>44720</v>
      </c>
      <c r="H644" s="17">
        <v>4000</v>
      </c>
      <c r="I644" s="19">
        <v>6481.53</v>
      </c>
      <c r="J644" s="20">
        <v>1.6203824999999994</v>
      </c>
      <c r="K644" s="19">
        <v>4866.53</v>
      </c>
      <c r="L644" s="20">
        <v>1.2166325</v>
      </c>
      <c r="M644" s="21">
        <v>0</v>
      </c>
      <c r="N644" s="19">
        <v>0</v>
      </c>
      <c r="O644" s="23">
        <v>800</v>
      </c>
      <c r="P644" s="24">
        <v>16.84</v>
      </c>
      <c r="Q644" s="25">
        <v>2.1049999999999999E-2</v>
      </c>
      <c r="R644" s="24">
        <v>16.84</v>
      </c>
      <c r="S644" s="25">
        <v>2.1049999999999999E-2</v>
      </c>
      <c r="T644" s="26">
        <v>0</v>
      </c>
      <c r="U644" s="24">
        <v>0</v>
      </c>
      <c r="V644" s="19">
        <v>4800</v>
      </c>
      <c r="W644" s="19">
        <v>6498.37</v>
      </c>
      <c r="X644" s="21">
        <v>1.3538270833333332</v>
      </c>
      <c r="Y644" s="19">
        <v>4883.37</v>
      </c>
      <c r="Z644" s="20">
        <v>1.0173687499999999</v>
      </c>
      <c r="AA644" s="30">
        <v>8.0899999999999986E-2</v>
      </c>
      <c r="AB644" s="27">
        <v>0.04</v>
      </c>
      <c r="AC644" s="27">
        <v>8.3000000000000004E-2</v>
      </c>
      <c r="AD644" s="11">
        <v>7.8675426172524071E-2</v>
      </c>
    </row>
    <row r="645" spans="1:30" x14ac:dyDescent="0.25">
      <c r="A645" s="13">
        <v>44617</v>
      </c>
      <c r="B645" s="46" t="s">
        <v>636</v>
      </c>
      <c r="C645" s="13">
        <v>44617</v>
      </c>
      <c r="D645" s="15" t="s">
        <v>733</v>
      </c>
      <c r="E645" s="15">
        <v>175</v>
      </c>
      <c r="F645" s="15">
        <v>180</v>
      </c>
      <c r="G645" s="13">
        <v>44792</v>
      </c>
      <c r="H645" s="17">
        <v>4000</v>
      </c>
      <c r="I645" s="19">
        <v>3264.8900000000003</v>
      </c>
      <c r="J645" s="20">
        <v>0.81622250000000041</v>
      </c>
      <c r="K645" s="19">
        <v>1964.89</v>
      </c>
      <c r="L645" s="20">
        <v>0.49122250000000001</v>
      </c>
      <c r="M645" s="21">
        <v>0</v>
      </c>
      <c r="N645" s="19">
        <v>0</v>
      </c>
      <c r="O645" s="23">
        <v>800</v>
      </c>
      <c r="P645" s="24">
        <v>460</v>
      </c>
      <c r="Q645" s="25">
        <v>0.57499999999999996</v>
      </c>
      <c r="R645" s="24">
        <v>392.97800000000001</v>
      </c>
      <c r="S645" s="25">
        <v>0.49122250000000001</v>
      </c>
      <c r="T645" s="26">
        <v>0.85430000000000006</v>
      </c>
      <c r="U645" s="24">
        <v>0</v>
      </c>
      <c r="V645" s="19">
        <v>4800</v>
      </c>
      <c r="W645" s="19">
        <v>3724.8900000000003</v>
      </c>
      <c r="X645" s="21">
        <v>0.77601875000000009</v>
      </c>
      <c r="Y645" s="19">
        <v>2357.8679999999999</v>
      </c>
      <c r="Z645" s="20">
        <v>0.49122250000000001</v>
      </c>
      <c r="AA645" s="30">
        <v>8.249999999999999E-2</v>
      </c>
      <c r="AB645" s="27">
        <v>0.05</v>
      </c>
      <c r="AC645" s="27">
        <v>8.900000000000001E-2</v>
      </c>
      <c r="AD645" s="11">
        <v>8.0684751400506585E-2</v>
      </c>
    </row>
    <row r="646" spans="1:30" x14ac:dyDescent="0.25">
      <c r="A646" s="13">
        <v>44622</v>
      </c>
      <c r="B646" s="46" t="s">
        <v>636</v>
      </c>
      <c r="C646" s="13">
        <v>44622</v>
      </c>
      <c r="D646" s="15" t="s">
        <v>734</v>
      </c>
      <c r="E646" s="15">
        <v>33</v>
      </c>
      <c r="F646" s="15">
        <v>30</v>
      </c>
      <c r="G646" s="13">
        <v>44655</v>
      </c>
      <c r="H646" s="17">
        <v>3300</v>
      </c>
      <c r="I646" s="19">
        <v>7699.5</v>
      </c>
      <c r="J646" s="20">
        <v>2.333181818181818</v>
      </c>
      <c r="K646" s="19">
        <v>4274.5</v>
      </c>
      <c r="L646" s="20">
        <v>1.2953030303030304</v>
      </c>
      <c r="M646" s="21">
        <v>0</v>
      </c>
      <c r="N646" s="19">
        <v>0</v>
      </c>
      <c r="O646" s="23">
        <v>660</v>
      </c>
      <c r="P646" s="24">
        <v>690</v>
      </c>
      <c r="Q646" s="25">
        <v>1.0454545454545454</v>
      </c>
      <c r="R646" s="24">
        <v>660</v>
      </c>
      <c r="S646" s="25">
        <v>1</v>
      </c>
      <c r="T646" s="26">
        <v>0.95652333333333328</v>
      </c>
      <c r="U646" s="24">
        <v>0</v>
      </c>
      <c r="V646" s="19">
        <v>3960</v>
      </c>
      <c r="W646" s="19">
        <v>8389.5</v>
      </c>
      <c r="X646" s="21">
        <v>2.1185606060606061</v>
      </c>
      <c r="Y646" s="19">
        <v>4934.5</v>
      </c>
      <c r="Z646" s="20">
        <v>1.2460858585858585</v>
      </c>
      <c r="AA646" s="30">
        <v>7.560000000000007E-2</v>
      </c>
      <c r="AB646" s="27">
        <v>5.5E-2</v>
      </c>
      <c r="AC646" s="27">
        <v>8.09E-2</v>
      </c>
      <c r="AD646" s="11">
        <v>7.5722834599649333E-2</v>
      </c>
    </row>
    <row r="647" spans="1:30" x14ac:dyDescent="0.25">
      <c r="A647" s="13">
        <v>44622</v>
      </c>
      <c r="B647" s="46" t="s">
        <v>637</v>
      </c>
      <c r="C647" s="13">
        <v>44622</v>
      </c>
      <c r="D647" s="15" t="s">
        <v>735</v>
      </c>
      <c r="E647" s="15">
        <v>98</v>
      </c>
      <c r="F647" s="15">
        <v>90</v>
      </c>
      <c r="G647" s="13">
        <v>44720</v>
      </c>
      <c r="H647" s="17">
        <v>3300</v>
      </c>
      <c r="I647" s="19">
        <v>4229.1899999999996</v>
      </c>
      <c r="J647" s="20">
        <v>1.2815727272727269</v>
      </c>
      <c r="K647" s="19">
        <v>3304.19</v>
      </c>
      <c r="L647" s="20">
        <v>1.001269696969697</v>
      </c>
      <c r="M647" s="21">
        <v>0</v>
      </c>
      <c r="N647" s="19">
        <v>0</v>
      </c>
      <c r="O647" s="23">
        <v>660</v>
      </c>
      <c r="P647" s="24">
        <v>20</v>
      </c>
      <c r="Q647" s="25">
        <v>3.0303030303030304E-2</v>
      </c>
      <c r="R647" s="24">
        <v>20</v>
      </c>
      <c r="S647" s="25">
        <v>3.0303030303030304E-2</v>
      </c>
      <c r="T647" s="26">
        <v>0</v>
      </c>
      <c r="U647" s="24">
        <v>0</v>
      </c>
      <c r="V647" s="19">
        <v>3960</v>
      </c>
      <c r="W647" s="19">
        <v>4249.1899999999996</v>
      </c>
      <c r="X647" s="21">
        <v>1.0730277777777777</v>
      </c>
      <c r="Y647" s="19">
        <v>3324.19</v>
      </c>
      <c r="Z647" s="20">
        <v>0.83944191919191924</v>
      </c>
      <c r="AA647" s="30">
        <v>8.0999999999999975E-2</v>
      </c>
      <c r="AB647" s="27">
        <v>0.06</v>
      </c>
      <c r="AC647" s="27">
        <v>8.48E-2</v>
      </c>
      <c r="AD647" s="11">
        <v>7.9272763815293246E-2</v>
      </c>
    </row>
    <row r="648" spans="1:30" x14ac:dyDescent="0.25">
      <c r="A648" s="13">
        <v>44623</v>
      </c>
      <c r="B648" s="46" t="s">
        <v>636</v>
      </c>
      <c r="C648" s="13">
        <v>44624</v>
      </c>
      <c r="D648" s="15" t="s">
        <v>736</v>
      </c>
      <c r="E648" s="15">
        <v>364</v>
      </c>
      <c r="F648" s="15">
        <v>360</v>
      </c>
      <c r="G648" s="13">
        <v>44988</v>
      </c>
      <c r="H648" s="17">
        <v>3300</v>
      </c>
      <c r="I648" s="19">
        <v>5094.1499999999996</v>
      </c>
      <c r="J648" s="20">
        <v>1.5436818181818182</v>
      </c>
      <c r="K648" s="19">
        <v>4294.1499999999996</v>
      </c>
      <c r="L648" s="20">
        <v>1.3012575757575757</v>
      </c>
      <c r="M648" s="21">
        <v>0</v>
      </c>
      <c r="N648" s="19">
        <v>0</v>
      </c>
      <c r="O648" s="23">
        <v>660</v>
      </c>
      <c r="P648" s="24">
        <v>660</v>
      </c>
      <c r="Q648" s="25">
        <v>1</v>
      </c>
      <c r="R648" s="24">
        <v>660</v>
      </c>
      <c r="S648" s="25">
        <v>1</v>
      </c>
      <c r="T648" s="26">
        <v>0</v>
      </c>
      <c r="U648" s="24">
        <v>0</v>
      </c>
      <c r="V648" s="19">
        <v>3960</v>
      </c>
      <c r="W648" s="19">
        <v>5754.15</v>
      </c>
      <c r="X648" s="21">
        <v>1.4530681818181816</v>
      </c>
      <c r="Y648" s="19">
        <v>4954.1499999999996</v>
      </c>
      <c r="Z648" s="20">
        <v>1.2510479797979797</v>
      </c>
      <c r="AA648" s="30">
        <v>8.7599999999999942E-2</v>
      </c>
      <c r="AB648" s="27">
        <v>7.9000000000000001E-2</v>
      </c>
      <c r="AC648" s="27">
        <v>8.8800000000000004E-2</v>
      </c>
      <c r="AD648" s="11">
        <v>8.6687352158848874E-2</v>
      </c>
    </row>
    <row r="649" spans="1:30" x14ac:dyDescent="0.25">
      <c r="A649" s="13">
        <v>44627</v>
      </c>
      <c r="B649" s="46" t="s">
        <v>636</v>
      </c>
      <c r="C649" s="13">
        <v>44627</v>
      </c>
      <c r="D649" s="15" t="s">
        <v>737</v>
      </c>
      <c r="E649" s="15">
        <v>28</v>
      </c>
      <c r="F649" s="15">
        <v>30</v>
      </c>
      <c r="G649" s="13">
        <v>44655</v>
      </c>
      <c r="H649" s="17">
        <v>3300</v>
      </c>
      <c r="I649" s="19">
        <v>9852.130000000001</v>
      </c>
      <c r="J649" s="20">
        <v>2.9854939393939386</v>
      </c>
      <c r="K649" s="19">
        <v>6477.13</v>
      </c>
      <c r="L649" s="20">
        <v>1.9627666666666668</v>
      </c>
      <c r="M649" s="21">
        <v>0</v>
      </c>
      <c r="N649" s="19">
        <v>0</v>
      </c>
      <c r="O649" s="23">
        <v>660</v>
      </c>
      <c r="P649" s="24">
        <v>141.1</v>
      </c>
      <c r="Q649" s="25">
        <v>0.21378787878787878</v>
      </c>
      <c r="R649" s="24">
        <v>141.1</v>
      </c>
      <c r="S649" s="25">
        <v>0.21378787878787878</v>
      </c>
      <c r="T649" s="26">
        <v>0</v>
      </c>
      <c r="U649" s="24">
        <v>0</v>
      </c>
      <c r="V649" s="19">
        <v>3960</v>
      </c>
      <c r="W649" s="19">
        <v>9993.2300000000014</v>
      </c>
      <c r="X649" s="21">
        <v>2.5235429292929297</v>
      </c>
      <c r="Y649" s="19">
        <v>6618.2300000000005</v>
      </c>
      <c r="Z649" s="20">
        <v>1.6712702020202022</v>
      </c>
      <c r="AA649" s="30">
        <v>7.5700000000000045E-2</v>
      </c>
      <c r="AB649" s="27">
        <v>0.06</v>
      </c>
      <c r="AC649" s="27">
        <v>7.8299999999999995E-2</v>
      </c>
      <c r="AD649" s="11">
        <v>7.4870329157248228E-2</v>
      </c>
    </row>
    <row r="650" spans="1:30" x14ac:dyDescent="0.25">
      <c r="A650" s="13">
        <v>44629</v>
      </c>
      <c r="B650" s="46" t="s">
        <v>636</v>
      </c>
      <c r="C650" s="13">
        <v>44629</v>
      </c>
      <c r="D650" s="15" t="s">
        <v>738</v>
      </c>
      <c r="E650" s="15">
        <v>98</v>
      </c>
      <c r="F650" s="15">
        <v>90</v>
      </c>
      <c r="G650" s="13">
        <v>44727</v>
      </c>
      <c r="H650" s="17">
        <v>3300</v>
      </c>
      <c r="I650" s="19">
        <v>6477.7399999999989</v>
      </c>
      <c r="J650" s="20">
        <v>1.9629515151515149</v>
      </c>
      <c r="K650" s="19">
        <v>5877.7399999999989</v>
      </c>
      <c r="L650" s="20">
        <v>1.781133333333333</v>
      </c>
      <c r="M650" s="21">
        <v>0</v>
      </c>
      <c r="N650" s="19">
        <v>0</v>
      </c>
      <c r="O650" s="23">
        <v>660</v>
      </c>
      <c r="P650" s="24">
        <v>31.33</v>
      </c>
      <c r="Q650" s="25">
        <v>4.7469696969696974E-2</v>
      </c>
      <c r="R650" s="24">
        <v>31.33</v>
      </c>
      <c r="S650" s="25">
        <v>4.7469696969696967E-2</v>
      </c>
      <c r="T650" s="26">
        <v>0</v>
      </c>
      <c r="U650" s="24">
        <v>0</v>
      </c>
      <c r="V650" s="19">
        <v>3960</v>
      </c>
      <c r="W650" s="19">
        <v>6509.0699999999988</v>
      </c>
      <c r="X650" s="21">
        <v>1.6437045454545451</v>
      </c>
      <c r="Y650" s="19">
        <v>5909.0699999999988</v>
      </c>
      <c r="Z650" s="20">
        <v>1.4921893939393935</v>
      </c>
      <c r="AA650" s="30">
        <v>8.239999999999989E-2</v>
      </c>
      <c r="AB650" s="27">
        <v>6.5000000000000002E-2</v>
      </c>
      <c r="AC650" s="27">
        <v>8.3100000000000007E-2</v>
      </c>
      <c r="AD650" s="11">
        <v>8.0470569982740908E-2</v>
      </c>
    </row>
    <row r="651" spans="1:30" x14ac:dyDescent="0.25">
      <c r="A651" s="13">
        <v>44631</v>
      </c>
      <c r="B651" s="46" t="s">
        <v>636</v>
      </c>
      <c r="C651" s="13">
        <v>44631</v>
      </c>
      <c r="D651" s="15" t="s">
        <v>739</v>
      </c>
      <c r="E651" s="15">
        <v>175</v>
      </c>
      <c r="F651" s="15">
        <v>180</v>
      </c>
      <c r="G651" s="13">
        <v>44806</v>
      </c>
      <c r="H651" s="17">
        <v>3300</v>
      </c>
      <c r="I651" s="19">
        <v>5125.6000000000004</v>
      </c>
      <c r="J651" s="20">
        <v>1.5532121212121206</v>
      </c>
      <c r="K651" s="19">
        <v>3305.6000000000004</v>
      </c>
      <c r="L651" s="20">
        <v>1.0016969696969698</v>
      </c>
      <c r="M651" s="21">
        <v>0</v>
      </c>
      <c r="N651" s="19">
        <v>0</v>
      </c>
      <c r="O651" s="23">
        <v>660</v>
      </c>
      <c r="P651" s="24">
        <v>2.63</v>
      </c>
      <c r="Q651" s="25">
        <v>3.9848484848484843E-3</v>
      </c>
      <c r="R651" s="24">
        <v>2.63</v>
      </c>
      <c r="S651" s="25">
        <v>3.9848484848484843E-3</v>
      </c>
      <c r="T651" s="26">
        <v>0</v>
      </c>
      <c r="U651" s="24">
        <v>0</v>
      </c>
      <c r="V651" s="19">
        <v>3960</v>
      </c>
      <c r="W651" s="19">
        <v>5128.2300000000005</v>
      </c>
      <c r="X651" s="21">
        <v>1.2950075757575759</v>
      </c>
      <c r="Y651" s="19">
        <v>3308.2300000000005</v>
      </c>
      <c r="Z651" s="20">
        <v>0.8354116161616163</v>
      </c>
      <c r="AA651" s="30">
        <v>8.3999999999999977E-2</v>
      </c>
      <c r="AB651" s="27">
        <v>0.05</v>
      </c>
      <c r="AC651" s="27">
        <v>8.9399999999999993E-2</v>
      </c>
      <c r="AD651" s="11">
        <v>8.1985402684563752E-2</v>
      </c>
    </row>
    <row r="652" spans="1:30" x14ac:dyDescent="0.25">
      <c r="A652" s="13">
        <v>44634</v>
      </c>
      <c r="B652" s="46" t="s">
        <v>636</v>
      </c>
      <c r="C652" s="13">
        <v>44634</v>
      </c>
      <c r="D652" s="15" t="s">
        <v>740</v>
      </c>
      <c r="E652" s="15">
        <v>36</v>
      </c>
      <c r="F652" s="15">
        <v>30</v>
      </c>
      <c r="G652" s="13">
        <v>44670</v>
      </c>
      <c r="H652" s="17">
        <v>3300</v>
      </c>
      <c r="I652" s="19">
        <v>4685.3500000000004</v>
      </c>
      <c r="J652" s="20">
        <v>1.41980303030303</v>
      </c>
      <c r="K652" s="19">
        <v>4265.3500000000004</v>
      </c>
      <c r="L652" s="20">
        <v>1.2925303030303033</v>
      </c>
      <c r="M652" s="21">
        <v>0</v>
      </c>
      <c r="N652" s="19">
        <v>0</v>
      </c>
      <c r="O652" s="23">
        <v>660</v>
      </c>
      <c r="P652" s="24">
        <v>170</v>
      </c>
      <c r="Q652" s="25">
        <v>0.25757575757575757</v>
      </c>
      <c r="R652" s="24">
        <v>170</v>
      </c>
      <c r="S652" s="25">
        <v>0.25757575757575757</v>
      </c>
      <c r="T652" s="26">
        <v>0</v>
      </c>
      <c r="U652" s="24">
        <v>0</v>
      </c>
      <c r="V652" s="19">
        <v>3960</v>
      </c>
      <c r="W652" s="19">
        <v>4855.3500000000004</v>
      </c>
      <c r="X652" s="21">
        <v>1.226098484848485</v>
      </c>
      <c r="Y652" s="19">
        <v>4435.3500000000004</v>
      </c>
      <c r="Z652" s="20">
        <v>1.1200378787878789</v>
      </c>
      <c r="AA652" s="30">
        <v>7.7499999999999986E-2</v>
      </c>
      <c r="AB652" s="27">
        <v>0.04</v>
      </c>
      <c r="AC652" s="27">
        <v>7.9000000000000001E-2</v>
      </c>
      <c r="AD652" s="11">
        <v>7.5575581333304859E-2</v>
      </c>
    </row>
    <row r="653" spans="1:30" x14ac:dyDescent="0.25">
      <c r="A653" s="13">
        <v>44636</v>
      </c>
      <c r="B653" s="46" t="s">
        <v>636</v>
      </c>
      <c r="C653" s="13">
        <v>44636</v>
      </c>
      <c r="D653" s="15" t="s">
        <v>741</v>
      </c>
      <c r="E653" s="15">
        <v>91</v>
      </c>
      <c r="F653" s="15">
        <v>90</v>
      </c>
      <c r="G653" s="13">
        <v>44727</v>
      </c>
      <c r="H653" s="17">
        <v>3300</v>
      </c>
      <c r="I653" s="19">
        <v>2102.4900000000002</v>
      </c>
      <c r="J653" s="20">
        <v>0.63711818181818181</v>
      </c>
      <c r="K653" s="19">
        <v>675.49</v>
      </c>
      <c r="L653" s="20">
        <v>0.2046939393939394</v>
      </c>
      <c r="M653" s="21">
        <v>0</v>
      </c>
      <c r="N653" s="19">
        <v>0</v>
      </c>
      <c r="O653" s="23">
        <v>660</v>
      </c>
      <c r="P653" s="24">
        <v>129.25</v>
      </c>
      <c r="Q653" s="25">
        <v>0.19583333333333333</v>
      </c>
      <c r="R653" s="24">
        <v>129.25</v>
      </c>
      <c r="S653" s="25">
        <v>0.19583333333333333</v>
      </c>
      <c r="T653" s="26">
        <v>0</v>
      </c>
      <c r="U653" s="24">
        <v>0</v>
      </c>
      <c r="V653" s="19">
        <v>3960</v>
      </c>
      <c r="W653" s="19">
        <v>2231.7400000000002</v>
      </c>
      <c r="X653" s="21">
        <v>0.56357070707070711</v>
      </c>
      <c r="Y653" s="19">
        <v>804.74</v>
      </c>
      <c r="Z653" s="20">
        <v>0.20321717171717171</v>
      </c>
      <c r="AA653" s="30">
        <v>8.2500000000000004E-2</v>
      </c>
      <c r="AB653" s="27">
        <v>0.06</v>
      </c>
      <c r="AC653" s="27">
        <v>8.8900000000000007E-2</v>
      </c>
      <c r="AD653" s="11">
        <v>8.3203097279891933E-2</v>
      </c>
    </row>
    <row r="654" spans="1:30" x14ac:dyDescent="0.25">
      <c r="A654" s="13">
        <v>44637</v>
      </c>
      <c r="B654" s="46" t="s">
        <v>636</v>
      </c>
      <c r="C654" s="13">
        <v>44638</v>
      </c>
      <c r="D654" s="15" t="s">
        <v>742</v>
      </c>
      <c r="E654" s="15">
        <v>378</v>
      </c>
      <c r="F654" s="15">
        <v>360</v>
      </c>
      <c r="G654" s="13">
        <v>45016</v>
      </c>
      <c r="H654" s="17">
        <v>3300</v>
      </c>
      <c r="I654" s="19">
        <v>2725.17</v>
      </c>
      <c r="J654" s="20">
        <v>0.82580909090909083</v>
      </c>
      <c r="K654" s="19">
        <v>1575.17</v>
      </c>
      <c r="L654" s="20">
        <v>0.47732424242424243</v>
      </c>
      <c r="M654" s="21">
        <v>0</v>
      </c>
      <c r="N654" s="19">
        <v>0</v>
      </c>
      <c r="O654" s="23">
        <v>660</v>
      </c>
      <c r="P654" s="24">
        <v>0</v>
      </c>
      <c r="Q654" s="25">
        <v>0</v>
      </c>
      <c r="R654" s="24">
        <v>0</v>
      </c>
      <c r="S654" s="25">
        <v>0</v>
      </c>
      <c r="T654" s="26">
        <v>0</v>
      </c>
      <c r="U654" s="24">
        <v>0</v>
      </c>
      <c r="V654" s="19">
        <v>3960</v>
      </c>
      <c r="W654" s="19">
        <v>2725.17</v>
      </c>
      <c r="X654" s="21">
        <v>0.68817424242424241</v>
      </c>
      <c r="Y654" s="19">
        <v>1575.17</v>
      </c>
      <c r="Z654" s="20">
        <v>0.39777020202020202</v>
      </c>
      <c r="AA654" s="30">
        <v>8.8300000000000003E-2</v>
      </c>
      <c r="AB654" s="27">
        <v>6.5000000000000002E-2</v>
      </c>
      <c r="AC654" s="27">
        <v>0.09</v>
      </c>
      <c r="AD654" s="11">
        <v>8.7609401982261664E-2</v>
      </c>
    </row>
    <row r="655" spans="1:30" x14ac:dyDescent="0.25">
      <c r="A655" s="13">
        <v>44641</v>
      </c>
      <c r="B655" s="46" t="s">
        <v>636</v>
      </c>
      <c r="C655" s="13">
        <v>44641</v>
      </c>
      <c r="D655" s="15" t="s">
        <v>743</v>
      </c>
      <c r="E655" s="15">
        <v>35</v>
      </c>
      <c r="F655" s="15">
        <v>30</v>
      </c>
      <c r="G655" s="13">
        <v>44676</v>
      </c>
      <c r="H655" s="17">
        <v>5800</v>
      </c>
      <c r="I655" s="19">
        <v>10076.119999999999</v>
      </c>
      <c r="J655" s="20">
        <v>1.7372620689655174</v>
      </c>
      <c r="K655" s="19">
        <v>7026.12</v>
      </c>
      <c r="L655" s="20">
        <v>1.2114</v>
      </c>
      <c r="M655" s="21">
        <v>0</v>
      </c>
      <c r="N655" s="19">
        <v>0</v>
      </c>
      <c r="O655" s="23">
        <v>1160</v>
      </c>
      <c r="P655" s="24">
        <v>100.11</v>
      </c>
      <c r="Q655" s="25">
        <v>8.6301724137931038E-2</v>
      </c>
      <c r="R655" s="24">
        <v>100.11</v>
      </c>
      <c r="S655" s="25">
        <v>8.6301724137931038E-2</v>
      </c>
      <c r="T655" s="26">
        <v>0</v>
      </c>
      <c r="U655" s="24">
        <v>0</v>
      </c>
      <c r="V655" s="19">
        <v>6960</v>
      </c>
      <c r="W655" s="19">
        <v>10176.23</v>
      </c>
      <c r="X655" s="21">
        <v>1.4621020114942529</v>
      </c>
      <c r="Y655" s="19">
        <v>7126.23</v>
      </c>
      <c r="Z655" s="20">
        <v>1.0238836206896551</v>
      </c>
      <c r="AA655" s="30">
        <v>7.8899999999999984E-2</v>
      </c>
      <c r="AB655" s="27">
        <v>6.7500000000000004E-2</v>
      </c>
      <c r="AC655" s="27">
        <v>8.43E-2</v>
      </c>
      <c r="AD655" s="11">
        <v>7.7877297511343674E-2</v>
      </c>
    </row>
    <row r="656" spans="1:30" x14ac:dyDescent="0.25">
      <c r="A656" s="13">
        <v>44643</v>
      </c>
      <c r="B656" s="46" t="s">
        <v>636</v>
      </c>
      <c r="C656" s="13">
        <v>44643</v>
      </c>
      <c r="D656" s="15" t="s">
        <v>744</v>
      </c>
      <c r="E656" s="15">
        <v>98</v>
      </c>
      <c r="F656" s="15">
        <v>90</v>
      </c>
      <c r="G656" s="13">
        <v>44741</v>
      </c>
      <c r="H656" s="17">
        <v>5800</v>
      </c>
      <c r="I656" s="19">
        <v>5549.67</v>
      </c>
      <c r="J656" s="20">
        <v>0.95683965517241387</v>
      </c>
      <c r="K656" s="19">
        <v>4904.67</v>
      </c>
      <c r="L656" s="20">
        <v>0.84563275862068965</v>
      </c>
      <c r="M656" s="21">
        <v>0</v>
      </c>
      <c r="N656" s="19">
        <v>0</v>
      </c>
      <c r="O656" s="23">
        <v>1160</v>
      </c>
      <c r="P656" s="24">
        <v>200</v>
      </c>
      <c r="Q656" s="25">
        <v>0.17241379310344829</v>
      </c>
      <c r="R656" s="24">
        <v>200</v>
      </c>
      <c r="S656" s="25">
        <v>0.17241379310344829</v>
      </c>
      <c r="T656" s="26">
        <v>0</v>
      </c>
      <c r="U656" s="24">
        <v>0</v>
      </c>
      <c r="V656" s="19">
        <v>6960</v>
      </c>
      <c r="W656" s="19">
        <v>5749.67</v>
      </c>
      <c r="X656" s="21">
        <v>0.82610201149425289</v>
      </c>
      <c r="Y656" s="19">
        <v>5104.67</v>
      </c>
      <c r="Z656" s="20">
        <v>0.73342959770114946</v>
      </c>
      <c r="AA656" s="30">
        <v>8.3899999999999933E-2</v>
      </c>
      <c r="AB656" s="27">
        <v>6.9000000000000006E-2</v>
      </c>
      <c r="AC656" s="27">
        <v>8.9900000000000008E-2</v>
      </c>
      <c r="AD656" s="11">
        <v>8.1135786452167402E-2</v>
      </c>
    </row>
    <row r="657" spans="1:30" x14ac:dyDescent="0.25">
      <c r="A657" s="13">
        <v>44645</v>
      </c>
      <c r="B657" s="46" t="s">
        <v>636</v>
      </c>
      <c r="C657" s="13">
        <v>44645</v>
      </c>
      <c r="D657" s="15" t="s">
        <v>745</v>
      </c>
      <c r="E657" s="15">
        <v>161</v>
      </c>
      <c r="F657" s="15">
        <v>180</v>
      </c>
      <c r="G657" s="13">
        <v>44806</v>
      </c>
      <c r="H657" s="17">
        <v>5800</v>
      </c>
      <c r="I657" s="19">
        <v>4038.05</v>
      </c>
      <c r="J657" s="20">
        <v>0.69621551724137942</v>
      </c>
      <c r="K657" s="19">
        <v>2238.0500000000002</v>
      </c>
      <c r="L657" s="20">
        <v>0.38587068965517246</v>
      </c>
      <c r="M657" s="21">
        <v>0</v>
      </c>
      <c r="N657" s="19">
        <v>0</v>
      </c>
      <c r="O657" s="23">
        <v>1160</v>
      </c>
      <c r="P657" s="24">
        <v>0</v>
      </c>
      <c r="Q657" s="25">
        <v>0</v>
      </c>
      <c r="R657" s="24">
        <v>0</v>
      </c>
      <c r="S657" s="25">
        <v>0</v>
      </c>
      <c r="T657" s="26">
        <v>0</v>
      </c>
      <c r="U657" s="24">
        <v>0</v>
      </c>
      <c r="V657" s="19">
        <v>6960</v>
      </c>
      <c r="W657" s="19">
        <v>4038.05</v>
      </c>
      <c r="X657" s="21">
        <v>0.58017959770114946</v>
      </c>
      <c r="Y657" s="19">
        <v>2238.0500000000002</v>
      </c>
      <c r="Z657" s="20">
        <v>0.32155890804597703</v>
      </c>
      <c r="AA657" s="30">
        <v>8.4499999999999922E-2</v>
      </c>
      <c r="AB657" s="27">
        <v>0.06</v>
      </c>
      <c r="AC657" s="27">
        <v>8.9399999999999993E-2</v>
      </c>
      <c r="AD657" s="11">
        <v>8.4263699062666383E-2</v>
      </c>
    </row>
    <row r="658" spans="1:30" x14ac:dyDescent="0.25">
      <c r="A658" s="13">
        <v>44648</v>
      </c>
      <c r="B658" s="46" t="s">
        <v>636</v>
      </c>
      <c r="C658" s="13">
        <v>44648</v>
      </c>
      <c r="D658" s="15" t="s">
        <v>746</v>
      </c>
      <c r="E658" s="15">
        <v>35</v>
      </c>
      <c r="F658" s="15">
        <v>30</v>
      </c>
      <c r="G658" s="13">
        <v>44683</v>
      </c>
      <c r="H658" s="17">
        <v>2500</v>
      </c>
      <c r="I658" s="19">
        <v>4258.8</v>
      </c>
      <c r="J658" s="20">
        <v>1.7035200000000004</v>
      </c>
      <c r="K658" s="19">
        <v>3308.8</v>
      </c>
      <c r="L658" s="20">
        <v>1.32352</v>
      </c>
      <c r="M658" s="21">
        <v>0</v>
      </c>
      <c r="N658" s="19">
        <v>0</v>
      </c>
      <c r="O658" s="23">
        <v>500</v>
      </c>
      <c r="P658" s="24">
        <v>0</v>
      </c>
      <c r="Q658" s="25">
        <v>0</v>
      </c>
      <c r="R658" s="24">
        <v>0</v>
      </c>
      <c r="S658" s="25">
        <v>0</v>
      </c>
      <c r="T658" s="26">
        <v>0</v>
      </c>
      <c r="U658" s="24">
        <v>0</v>
      </c>
      <c r="V658" s="19">
        <v>3000</v>
      </c>
      <c r="W658" s="19">
        <v>4258.8</v>
      </c>
      <c r="X658" s="21">
        <v>1.4196</v>
      </c>
      <c r="Y658" s="19">
        <v>3308.8</v>
      </c>
      <c r="Z658" s="20">
        <v>1.1029333333333333</v>
      </c>
      <c r="AA658" s="30">
        <v>7.8899999999999984E-2</v>
      </c>
      <c r="AB658" s="27">
        <v>6.5000000000000002E-2</v>
      </c>
      <c r="AC658" s="27">
        <v>8.3000000000000004E-2</v>
      </c>
      <c r="AD658" s="11">
        <v>7.5509220907297808E-2</v>
      </c>
    </row>
    <row r="659" spans="1:30" x14ac:dyDescent="0.25">
      <c r="A659" s="13">
        <v>44649</v>
      </c>
      <c r="B659" s="46" t="s">
        <v>636</v>
      </c>
      <c r="C659" s="13">
        <v>44650</v>
      </c>
      <c r="D659" s="15" t="s">
        <v>747</v>
      </c>
      <c r="E659" s="15">
        <v>756</v>
      </c>
      <c r="F659" s="15">
        <v>720</v>
      </c>
      <c r="G659" s="13">
        <v>45406</v>
      </c>
      <c r="H659" s="17">
        <v>3200</v>
      </c>
      <c r="I659" s="19">
        <v>2051.09</v>
      </c>
      <c r="J659" s="20">
        <v>0.64096562499999998</v>
      </c>
      <c r="K659" s="19">
        <v>1301.0899999999999</v>
      </c>
      <c r="L659" s="20">
        <v>0.40659062499999998</v>
      </c>
      <c r="M659" s="21">
        <v>0</v>
      </c>
      <c r="N659" s="19">
        <v>0</v>
      </c>
      <c r="O659" s="23">
        <v>640</v>
      </c>
      <c r="P659" s="24">
        <v>100</v>
      </c>
      <c r="Q659" s="25">
        <v>0.15625</v>
      </c>
      <c r="R659" s="24">
        <v>100</v>
      </c>
      <c r="S659" s="25">
        <v>0.15625</v>
      </c>
      <c r="T659" s="26">
        <v>0</v>
      </c>
      <c r="U659" s="24">
        <v>0</v>
      </c>
      <c r="V659" s="19">
        <v>3840</v>
      </c>
      <c r="W659" s="19">
        <v>2151.09</v>
      </c>
      <c r="X659" s="21">
        <v>0.56017968750000002</v>
      </c>
      <c r="Y659" s="19">
        <v>1401.09</v>
      </c>
      <c r="Z659" s="20">
        <v>0.36486718749999997</v>
      </c>
      <c r="AA659" s="30">
        <v>8.9400000000000007E-2</v>
      </c>
      <c r="AB659" s="27">
        <v>8.4000000000000005E-2</v>
      </c>
      <c r="AC659" s="27">
        <v>9.2399999999999996E-2</v>
      </c>
      <c r="AD659" s="11">
        <v>9.0135761960713545E-2</v>
      </c>
    </row>
    <row r="660" spans="1:30" x14ac:dyDescent="0.25">
      <c r="A660" s="13">
        <v>44650</v>
      </c>
      <c r="B660" s="46" t="s">
        <v>636</v>
      </c>
      <c r="C660" s="13">
        <v>44650</v>
      </c>
      <c r="D660" s="15" t="s">
        <v>748</v>
      </c>
      <c r="E660" s="15">
        <v>91</v>
      </c>
      <c r="F660" s="15">
        <v>90</v>
      </c>
      <c r="G660" s="13">
        <v>44741</v>
      </c>
      <c r="H660" s="17">
        <v>2500</v>
      </c>
      <c r="I660" s="19">
        <v>2304.8200000000002</v>
      </c>
      <c r="J660" s="20">
        <v>0.92192799999999997</v>
      </c>
      <c r="K660" s="19">
        <v>2054.8200000000006</v>
      </c>
      <c r="L660" s="20">
        <v>0.82192800000000021</v>
      </c>
      <c r="M660" s="21">
        <v>0</v>
      </c>
      <c r="N660" s="19">
        <v>0</v>
      </c>
      <c r="O660" s="23">
        <v>500</v>
      </c>
      <c r="P660" s="24">
        <v>220</v>
      </c>
      <c r="Q660" s="25">
        <v>0.44</v>
      </c>
      <c r="R660" s="24">
        <v>220</v>
      </c>
      <c r="S660" s="25">
        <v>0.44</v>
      </c>
      <c r="T660" s="26">
        <v>0</v>
      </c>
      <c r="U660" s="24">
        <v>0</v>
      </c>
      <c r="V660" s="19">
        <v>3000</v>
      </c>
      <c r="W660" s="19">
        <v>2524.8200000000002</v>
      </c>
      <c r="X660" s="21">
        <v>0.84160666666666673</v>
      </c>
      <c r="Y660" s="19">
        <v>2274.8200000000006</v>
      </c>
      <c r="Z660" s="20">
        <v>0.75827333333333358</v>
      </c>
      <c r="AA660" s="30">
        <v>8.4400000000000017E-2</v>
      </c>
      <c r="AB660" s="27">
        <v>6.5000000000000002E-2</v>
      </c>
      <c r="AC660" s="27">
        <v>8.7300000000000003E-2</v>
      </c>
      <c r="AD660" s="11">
        <v>8.0868125059657611E-2</v>
      </c>
    </row>
    <row r="661" spans="1:30" x14ac:dyDescent="0.25">
      <c r="A661" s="13">
        <v>44651</v>
      </c>
      <c r="B661" s="46" t="s">
        <v>636</v>
      </c>
      <c r="C661" s="13">
        <v>44652</v>
      </c>
      <c r="D661" s="15" t="s">
        <v>750</v>
      </c>
      <c r="E661" s="15">
        <v>364</v>
      </c>
      <c r="F661" s="15">
        <v>360</v>
      </c>
      <c r="G661" s="13">
        <v>45016</v>
      </c>
      <c r="H661" s="17">
        <v>2500</v>
      </c>
      <c r="I661" s="19">
        <v>3836.8900000000003</v>
      </c>
      <c r="J661" s="20">
        <v>1.5347560000000002</v>
      </c>
      <c r="K661" s="19">
        <v>2736.89</v>
      </c>
      <c r="L661" s="20">
        <v>1.0947559999999998</v>
      </c>
      <c r="M661" s="21">
        <v>0</v>
      </c>
      <c r="N661" s="19">
        <v>0</v>
      </c>
      <c r="O661" s="23">
        <v>500</v>
      </c>
      <c r="P661" s="24">
        <v>0</v>
      </c>
      <c r="Q661" s="25">
        <v>0</v>
      </c>
      <c r="R661" s="24">
        <v>0</v>
      </c>
      <c r="S661" s="25">
        <v>0</v>
      </c>
      <c r="T661" s="26">
        <v>0</v>
      </c>
      <c r="U661" s="24">
        <v>0</v>
      </c>
      <c r="V661" s="19">
        <v>3000</v>
      </c>
      <c r="W661" s="19">
        <v>3836.8900000000003</v>
      </c>
      <c r="X661" s="21">
        <v>1.2789633333333335</v>
      </c>
      <c r="Y661" s="19">
        <v>2736.89</v>
      </c>
      <c r="Z661" s="20">
        <v>0.91229666666666664</v>
      </c>
      <c r="AA661" s="30">
        <v>8.9300000000000018E-2</v>
      </c>
      <c r="AB661" s="27">
        <v>7.8299999999999995E-2</v>
      </c>
      <c r="AC661" s="27">
        <v>9.1899999999999996E-2</v>
      </c>
      <c r="AD661" s="11">
        <v>8.8113005845880388E-2</v>
      </c>
    </row>
    <row r="662" spans="1:30" x14ac:dyDescent="0.25">
      <c r="A662" s="13">
        <v>44655</v>
      </c>
      <c r="B662" s="46" t="s">
        <v>636</v>
      </c>
      <c r="C662" s="13">
        <v>44655</v>
      </c>
      <c r="D662" s="15" t="s">
        <v>749</v>
      </c>
      <c r="E662" s="15">
        <v>28</v>
      </c>
      <c r="F662" s="15">
        <v>30</v>
      </c>
      <c r="G662" s="13">
        <v>44683</v>
      </c>
      <c r="H662" s="17">
        <v>4600</v>
      </c>
      <c r="I662" s="19">
        <v>11714.77</v>
      </c>
      <c r="J662" s="20">
        <v>2.5466891304347827</v>
      </c>
      <c r="K662" s="19">
        <v>8914.77</v>
      </c>
      <c r="L662" s="20">
        <v>1.9379934782608697</v>
      </c>
      <c r="M662" s="21">
        <v>0</v>
      </c>
      <c r="N662" s="19">
        <v>0</v>
      </c>
      <c r="O662" s="23">
        <v>920</v>
      </c>
      <c r="P662" s="24">
        <v>130</v>
      </c>
      <c r="Q662" s="25">
        <v>0.14130434782608695</v>
      </c>
      <c r="R662" s="24">
        <v>130</v>
      </c>
      <c r="S662" s="25">
        <v>0.14130434782608695</v>
      </c>
      <c r="T662" s="26">
        <v>0</v>
      </c>
      <c r="U662" s="24">
        <v>0</v>
      </c>
      <c r="V662" s="19">
        <v>5520</v>
      </c>
      <c r="W662" s="19">
        <v>11844.77</v>
      </c>
      <c r="X662" s="21">
        <v>2.1457916666666668</v>
      </c>
      <c r="Y662" s="19">
        <v>9044.77</v>
      </c>
      <c r="Z662" s="20">
        <v>1.6385452898550725</v>
      </c>
      <c r="AA662" s="30">
        <v>8.0400000000000013E-2</v>
      </c>
      <c r="AB662" s="27">
        <v>0.05</v>
      </c>
      <c r="AC662" s="27">
        <v>8.5699999999999998E-2</v>
      </c>
      <c r="AD662" s="11">
        <v>7.8565830997962383E-2</v>
      </c>
    </row>
    <row r="663" spans="1:30" x14ac:dyDescent="0.25">
      <c r="A663" s="13">
        <v>44657</v>
      </c>
      <c r="B663" s="46" t="s">
        <v>636</v>
      </c>
      <c r="C663" s="13">
        <v>44657</v>
      </c>
      <c r="D663" s="15" t="s">
        <v>751</v>
      </c>
      <c r="E663" s="15">
        <v>91</v>
      </c>
      <c r="F663" s="15">
        <v>90</v>
      </c>
      <c r="G663" s="13">
        <v>44748</v>
      </c>
      <c r="H663" s="17">
        <v>4600</v>
      </c>
      <c r="I663" s="19">
        <v>7410.9599999999991</v>
      </c>
      <c r="J663" s="20">
        <v>1.611078260869566</v>
      </c>
      <c r="K663" s="19">
        <v>5790.9599999999991</v>
      </c>
      <c r="L663" s="20">
        <v>1.2589043478260868</v>
      </c>
      <c r="M663" s="21">
        <v>0</v>
      </c>
      <c r="N663" s="19">
        <v>0</v>
      </c>
      <c r="O663" s="23">
        <v>920</v>
      </c>
      <c r="P663" s="24">
        <v>708.1</v>
      </c>
      <c r="Q663" s="25">
        <v>0.76967391304347821</v>
      </c>
      <c r="R663" s="24">
        <v>708.1</v>
      </c>
      <c r="S663" s="25">
        <v>0.76967391304347832</v>
      </c>
      <c r="T663" s="26">
        <v>0</v>
      </c>
      <c r="U663" s="24">
        <v>0</v>
      </c>
      <c r="V663" s="19">
        <v>5520</v>
      </c>
      <c r="W663" s="19">
        <v>8119.0599999999995</v>
      </c>
      <c r="X663" s="21">
        <v>1.4708442028985507</v>
      </c>
      <c r="Y663" s="19">
        <v>6499.0599999999995</v>
      </c>
      <c r="Z663" s="20">
        <v>1.1773659420289855</v>
      </c>
      <c r="AA663" s="30">
        <v>8.49000000000001E-2</v>
      </c>
      <c r="AB663" s="27">
        <v>0.06</v>
      </c>
      <c r="AC663" s="27">
        <v>8.8399999999999992E-2</v>
      </c>
      <c r="AD663" s="11">
        <v>8.3532662435096147E-2</v>
      </c>
    </row>
    <row r="664" spans="1:30" x14ac:dyDescent="0.25">
      <c r="A664" s="13">
        <v>44659</v>
      </c>
      <c r="B664" s="46" t="s">
        <v>636</v>
      </c>
      <c r="C664" s="13">
        <v>44659</v>
      </c>
      <c r="D664" s="15" t="s">
        <v>752</v>
      </c>
      <c r="E664" s="15">
        <v>189</v>
      </c>
      <c r="F664" s="15">
        <v>180</v>
      </c>
      <c r="G664" s="13">
        <v>44848</v>
      </c>
      <c r="H664" s="17">
        <v>4600</v>
      </c>
      <c r="I664" s="19">
        <v>7164.19</v>
      </c>
      <c r="J664" s="20">
        <v>1.5574326086956529</v>
      </c>
      <c r="K664" s="19">
        <v>5029.1899999999996</v>
      </c>
      <c r="L664" s="20">
        <v>1.0933021739130433</v>
      </c>
      <c r="M664" s="21">
        <v>0</v>
      </c>
      <c r="N664" s="19">
        <v>0</v>
      </c>
      <c r="O664" s="23">
        <v>920</v>
      </c>
      <c r="P664" s="24">
        <v>0</v>
      </c>
      <c r="Q664" s="25">
        <v>0</v>
      </c>
      <c r="R664" s="24">
        <v>0</v>
      </c>
      <c r="S664" s="25">
        <v>0</v>
      </c>
      <c r="T664" s="26">
        <v>0</v>
      </c>
      <c r="U664" s="24">
        <v>0</v>
      </c>
      <c r="V664" s="19">
        <v>5520</v>
      </c>
      <c r="W664" s="19">
        <v>7164.19</v>
      </c>
      <c r="X664" s="21">
        <v>1.2978605072463767</v>
      </c>
      <c r="Y664" s="19">
        <v>5029.1899999999996</v>
      </c>
      <c r="Z664" s="20">
        <v>0.91108514492753612</v>
      </c>
      <c r="AA664" s="30">
        <v>9.1000000000000122E-2</v>
      </c>
      <c r="AB664" s="27">
        <v>6.8000000000000005E-2</v>
      </c>
      <c r="AC664" s="27">
        <v>0.109</v>
      </c>
      <c r="AD664" s="11">
        <v>8.9667224068596743E-2</v>
      </c>
    </row>
    <row r="665" spans="1:30" x14ac:dyDescent="0.25">
      <c r="A665" s="13">
        <v>44662</v>
      </c>
      <c r="B665" s="46" t="s">
        <v>636</v>
      </c>
      <c r="C665" s="13">
        <v>44662</v>
      </c>
      <c r="D665" s="15" t="s">
        <v>753</v>
      </c>
      <c r="E665" s="15">
        <v>28</v>
      </c>
      <c r="F665" s="15">
        <v>30</v>
      </c>
      <c r="G665" s="13">
        <v>44690</v>
      </c>
      <c r="H665" s="17">
        <v>4200</v>
      </c>
      <c r="I665" s="19">
        <v>13107.590000000002</v>
      </c>
      <c r="J665" s="20">
        <v>3.120854761904762</v>
      </c>
      <c r="K665" s="19">
        <v>4857.1900000000005</v>
      </c>
      <c r="L665" s="20">
        <v>1.1564738095238096</v>
      </c>
      <c r="M665" s="21">
        <v>0</v>
      </c>
      <c r="N665" s="19">
        <v>0</v>
      </c>
      <c r="O665" s="23">
        <v>840</v>
      </c>
      <c r="P665" s="24">
        <v>100.1</v>
      </c>
      <c r="Q665" s="25">
        <v>0.11916666666666666</v>
      </c>
      <c r="R665" s="24">
        <v>100.1</v>
      </c>
      <c r="S665" s="25">
        <v>0.11916666666666666</v>
      </c>
      <c r="T665" s="26">
        <v>0</v>
      </c>
      <c r="U665" s="24">
        <v>0</v>
      </c>
      <c r="V665" s="19">
        <v>5040</v>
      </c>
      <c r="W665" s="19">
        <v>13207.690000000002</v>
      </c>
      <c r="X665" s="21">
        <v>2.620573412698413</v>
      </c>
      <c r="Y665" s="19">
        <v>4957.2900000000009</v>
      </c>
      <c r="Z665" s="20">
        <v>0.98358928571428583</v>
      </c>
      <c r="AA665" s="30">
        <v>8.5399999999999948E-2</v>
      </c>
      <c r="AB665" s="27">
        <v>7.0000000000000007E-2</v>
      </c>
      <c r="AC665" s="27">
        <v>0.1</v>
      </c>
      <c r="AD665" s="11">
        <v>8.5531548591312359E-2</v>
      </c>
    </row>
    <row r="666" spans="1:30" x14ac:dyDescent="0.25">
      <c r="A666" s="13">
        <v>44663</v>
      </c>
      <c r="B666" s="46" t="s">
        <v>636</v>
      </c>
      <c r="C666" s="13">
        <v>44664</v>
      </c>
      <c r="D666" s="15" t="s">
        <v>754</v>
      </c>
      <c r="E666" s="15">
        <v>352</v>
      </c>
      <c r="F666" s="15">
        <v>360</v>
      </c>
      <c r="G666" s="13">
        <v>45016</v>
      </c>
      <c r="H666" s="17">
        <v>4200</v>
      </c>
      <c r="I666" s="19">
        <v>5849.98</v>
      </c>
      <c r="J666" s="20">
        <v>1.392852380952381</v>
      </c>
      <c r="K666" s="19">
        <v>5538.48</v>
      </c>
      <c r="L666" s="20">
        <v>1.3186857142857142</v>
      </c>
      <c r="M666" s="21">
        <v>0</v>
      </c>
      <c r="N666" s="19">
        <v>0</v>
      </c>
      <c r="O666" s="23">
        <v>840</v>
      </c>
      <c r="P666" s="24">
        <v>150</v>
      </c>
      <c r="Q666" s="25">
        <v>0.17857142857142858</v>
      </c>
      <c r="R666" s="24">
        <v>150</v>
      </c>
      <c r="S666" s="25">
        <v>0.17857142857142858</v>
      </c>
      <c r="T666" s="26">
        <v>0</v>
      </c>
      <c r="U666" s="24">
        <v>0</v>
      </c>
      <c r="V666" s="19">
        <v>5040</v>
      </c>
      <c r="W666" s="19">
        <v>5999.98</v>
      </c>
      <c r="X666" s="21">
        <v>1.1904722222222222</v>
      </c>
      <c r="Y666" s="19">
        <v>5688.48</v>
      </c>
      <c r="Z666" s="20">
        <v>1.1286666666666665</v>
      </c>
      <c r="AA666" s="30">
        <v>9.4899999999999998E-2</v>
      </c>
      <c r="AB666" s="27">
        <v>8.5000000000000006E-2</v>
      </c>
      <c r="AC666" s="27">
        <v>0.10150000000000001</v>
      </c>
      <c r="AD666" s="11">
        <v>9.2564225860601243E-2</v>
      </c>
    </row>
    <row r="667" spans="1:30" x14ac:dyDescent="0.25">
      <c r="A667" s="13">
        <v>44664</v>
      </c>
      <c r="B667" s="46" t="s">
        <v>636</v>
      </c>
      <c r="C667" s="13">
        <v>44664</v>
      </c>
      <c r="D667" s="15" t="s">
        <v>755</v>
      </c>
      <c r="E667" s="15">
        <v>84</v>
      </c>
      <c r="F667" s="15">
        <v>90</v>
      </c>
      <c r="G667" s="13">
        <v>44748</v>
      </c>
      <c r="H667" s="17">
        <v>4200</v>
      </c>
      <c r="I667" s="19">
        <v>6493.53</v>
      </c>
      <c r="J667" s="20">
        <v>1.5460785714285712</v>
      </c>
      <c r="K667" s="19">
        <v>4843.53</v>
      </c>
      <c r="L667" s="20">
        <v>1.1532214285714286</v>
      </c>
      <c r="M667" s="21">
        <v>0</v>
      </c>
      <c r="N667" s="19">
        <v>0</v>
      </c>
      <c r="O667" s="23">
        <v>840</v>
      </c>
      <c r="P667" s="24">
        <v>320</v>
      </c>
      <c r="Q667" s="25">
        <v>0.38095238095238093</v>
      </c>
      <c r="R667" s="24">
        <v>320</v>
      </c>
      <c r="S667" s="25">
        <v>0.38095238095238093</v>
      </c>
      <c r="T667" s="26">
        <v>0</v>
      </c>
      <c r="U667" s="24">
        <v>0</v>
      </c>
      <c r="V667" s="19">
        <v>5040</v>
      </c>
      <c r="W667" s="19">
        <v>6813.53</v>
      </c>
      <c r="X667" s="21">
        <v>1.351890873015873</v>
      </c>
      <c r="Y667" s="19">
        <v>5163.53</v>
      </c>
      <c r="Z667" s="20">
        <v>1.0245099206349206</v>
      </c>
      <c r="AA667" s="30">
        <v>9.0300000000000033E-2</v>
      </c>
      <c r="AB667" s="27">
        <v>7.4900000000000008E-2</v>
      </c>
      <c r="AC667" s="27">
        <v>9.2899999999999996E-2</v>
      </c>
      <c r="AD667" s="11">
        <v>8.9365035658570915E-2</v>
      </c>
    </row>
    <row r="668" spans="1:30" x14ac:dyDescent="0.25">
      <c r="A668" s="13">
        <v>44670</v>
      </c>
      <c r="B668" s="46" t="s">
        <v>636</v>
      </c>
      <c r="C668" s="13">
        <v>44670</v>
      </c>
      <c r="D668" s="15" t="s">
        <v>756</v>
      </c>
      <c r="E668" s="15">
        <v>34</v>
      </c>
      <c r="F668" s="15">
        <v>30</v>
      </c>
      <c r="G668" s="13">
        <v>44704</v>
      </c>
      <c r="H668" s="17">
        <v>4200</v>
      </c>
      <c r="I668" s="19">
        <v>9068.0500000000011</v>
      </c>
      <c r="J668" s="20">
        <v>2.1590595238095234</v>
      </c>
      <c r="K668" s="19">
        <v>6918.05</v>
      </c>
      <c r="L668" s="20">
        <v>1.647154761904762</v>
      </c>
      <c r="M668" s="21">
        <v>0</v>
      </c>
      <c r="N668" s="19">
        <v>0</v>
      </c>
      <c r="O668" s="23">
        <v>840</v>
      </c>
      <c r="P668" s="24">
        <v>138.76</v>
      </c>
      <c r="Q668" s="25">
        <v>0.16519047619047617</v>
      </c>
      <c r="R668" s="24">
        <v>138.76</v>
      </c>
      <c r="S668" s="25">
        <v>0.16519047619047619</v>
      </c>
      <c r="T668" s="26">
        <v>0</v>
      </c>
      <c r="U668" s="24">
        <v>0</v>
      </c>
      <c r="V668" s="19">
        <v>5040</v>
      </c>
      <c r="W668" s="19">
        <v>9206.8100000000013</v>
      </c>
      <c r="X668" s="21">
        <v>1.8267480158730161</v>
      </c>
      <c r="Y668" s="19">
        <v>7056.81</v>
      </c>
      <c r="Z668" s="20">
        <v>1.4001607142857144</v>
      </c>
      <c r="AA668" s="30">
        <v>8.6899999999999991E-2</v>
      </c>
      <c r="AB668" s="27">
        <v>7.4999999999999997E-2</v>
      </c>
      <c r="AC668" s="27">
        <v>9.0999999999999998E-2</v>
      </c>
      <c r="AD668" s="11">
        <v>8.6156455908381641E-2</v>
      </c>
    </row>
    <row r="669" spans="1:30" x14ac:dyDescent="0.25">
      <c r="A669" s="13">
        <v>44671</v>
      </c>
      <c r="B669" s="46" t="s">
        <v>636</v>
      </c>
      <c r="C669" s="13">
        <v>44671</v>
      </c>
      <c r="D669" s="15" t="s">
        <v>757</v>
      </c>
      <c r="E669" s="15">
        <v>105</v>
      </c>
      <c r="F669" s="15">
        <v>90</v>
      </c>
      <c r="G669" s="13">
        <v>44776</v>
      </c>
      <c r="H669" s="17">
        <v>4200</v>
      </c>
      <c r="I669" s="19">
        <v>3106.5800000000004</v>
      </c>
      <c r="J669" s="20">
        <v>0.73966190476190474</v>
      </c>
      <c r="K669" s="19">
        <v>2736.5800000000004</v>
      </c>
      <c r="L669" s="20">
        <v>0.65156666666666674</v>
      </c>
      <c r="M669" s="21">
        <v>0</v>
      </c>
      <c r="N669" s="19">
        <v>0</v>
      </c>
      <c r="O669" s="23">
        <v>840</v>
      </c>
      <c r="P669" s="24">
        <v>300</v>
      </c>
      <c r="Q669" s="25">
        <v>0.35714285714285715</v>
      </c>
      <c r="R669" s="24">
        <v>300</v>
      </c>
      <c r="S669" s="25">
        <v>0.35714285714285715</v>
      </c>
      <c r="T669" s="26">
        <v>0</v>
      </c>
      <c r="U669" s="24">
        <v>0</v>
      </c>
      <c r="V669" s="19">
        <v>5040</v>
      </c>
      <c r="W669" s="19">
        <v>3406.5800000000004</v>
      </c>
      <c r="X669" s="21">
        <v>0.67590873015873021</v>
      </c>
      <c r="Y669" s="19">
        <v>3036.5800000000004</v>
      </c>
      <c r="Z669" s="20">
        <v>0.60249603174603183</v>
      </c>
      <c r="AA669" s="30">
        <v>9.2299999999999979E-2</v>
      </c>
      <c r="AB669" s="27">
        <v>0.05</v>
      </c>
      <c r="AC669" s="27">
        <v>9.9000000000000005E-2</v>
      </c>
      <c r="AD669" s="11">
        <v>9.1136152939888873E-2</v>
      </c>
    </row>
    <row r="670" spans="1:30" x14ac:dyDescent="0.25">
      <c r="A670" s="13">
        <v>44673</v>
      </c>
      <c r="B670" s="46" t="s">
        <v>636</v>
      </c>
      <c r="C670" s="13">
        <v>44673</v>
      </c>
      <c r="D670" s="15" t="s">
        <v>758</v>
      </c>
      <c r="E670" s="15">
        <v>175</v>
      </c>
      <c r="F670" s="15">
        <v>180</v>
      </c>
      <c r="G670" s="13">
        <v>44848</v>
      </c>
      <c r="H670" s="17">
        <v>4200</v>
      </c>
      <c r="I670" s="19">
        <v>1826.27</v>
      </c>
      <c r="J670" s="20">
        <v>0.43482619047619042</v>
      </c>
      <c r="K670" s="19">
        <v>876.2700000000001</v>
      </c>
      <c r="L670" s="20">
        <v>0.20863571428571431</v>
      </c>
      <c r="M670" s="21">
        <v>0</v>
      </c>
      <c r="N670" s="19">
        <v>0</v>
      </c>
      <c r="O670" s="23">
        <v>840</v>
      </c>
      <c r="P670" s="24">
        <v>350</v>
      </c>
      <c r="Q670" s="25">
        <v>0.41666666666666663</v>
      </c>
      <c r="R670" s="24">
        <v>175.25399999999999</v>
      </c>
      <c r="S670" s="25">
        <v>0.20863571428571429</v>
      </c>
      <c r="T670" s="26">
        <v>0.500726</v>
      </c>
      <c r="U670" s="24">
        <v>0</v>
      </c>
      <c r="V670" s="19">
        <v>5040</v>
      </c>
      <c r="W670" s="19">
        <v>2176.27</v>
      </c>
      <c r="X670" s="21">
        <v>0.4317996031746032</v>
      </c>
      <c r="Y670" s="19">
        <v>1051.5240000000001</v>
      </c>
      <c r="Z670" s="20">
        <v>0.20863571428571431</v>
      </c>
      <c r="AA670" s="30">
        <v>9.4500000000000015E-2</v>
      </c>
      <c r="AB670" s="27">
        <v>7.8E-2</v>
      </c>
      <c r="AC670" s="27">
        <v>0.1099</v>
      </c>
      <c r="AD670" s="11">
        <v>9.6649359076149757E-2</v>
      </c>
    </row>
    <row r="671" spans="1:30" x14ac:dyDescent="0.25">
      <c r="A671" s="13">
        <v>44676</v>
      </c>
      <c r="B671" s="46" t="s">
        <v>636</v>
      </c>
      <c r="C671" s="13">
        <v>44676</v>
      </c>
      <c r="D671" s="15" t="s">
        <v>759</v>
      </c>
      <c r="E671" s="15">
        <v>35</v>
      </c>
      <c r="F671" s="15">
        <v>30</v>
      </c>
      <c r="G671" s="13">
        <v>44711</v>
      </c>
      <c r="H671" s="17">
        <v>3300</v>
      </c>
      <c r="I671" s="19">
        <v>5597.2100000000009</v>
      </c>
      <c r="J671" s="20">
        <v>1.696124242424242</v>
      </c>
      <c r="K671" s="19">
        <v>3797.2100000000005</v>
      </c>
      <c r="L671" s="20">
        <v>1.150669696969697</v>
      </c>
      <c r="M671" s="21">
        <v>0</v>
      </c>
      <c r="N671" s="19">
        <v>0</v>
      </c>
      <c r="O671" s="23">
        <v>660</v>
      </c>
      <c r="P671" s="24">
        <v>305.77999999999997</v>
      </c>
      <c r="Q671" s="25">
        <v>0.46330303030303027</v>
      </c>
      <c r="R671" s="24">
        <v>305.77999999999997</v>
      </c>
      <c r="S671" s="25">
        <v>0.46330303030303027</v>
      </c>
      <c r="T671" s="26">
        <v>0</v>
      </c>
      <c r="U671" s="24">
        <v>0</v>
      </c>
      <c r="V671" s="19">
        <v>3960</v>
      </c>
      <c r="W671" s="19">
        <v>5902.9900000000007</v>
      </c>
      <c r="X671" s="21">
        <v>1.4906540404040405</v>
      </c>
      <c r="Y671" s="19">
        <v>4102.9900000000007</v>
      </c>
      <c r="Z671" s="20">
        <v>1.0361085858585861</v>
      </c>
      <c r="AA671" s="30">
        <v>8.7400000000000047E-2</v>
      </c>
      <c r="AB671" s="27">
        <v>7.0000000000000007E-2</v>
      </c>
      <c r="AC671" s="27">
        <v>9.1400000000000009E-2</v>
      </c>
      <c r="AD671" s="11">
        <v>8.6152046287346726E-2</v>
      </c>
    </row>
    <row r="672" spans="1:30" x14ac:dyDescent="0.25">
      <c r="A672" s="13">
        <v>44677</v>
      </c>
      <c r="B672" s="46" t="s">
        <v>636</v>
      </c>
      <c r="C672" s="13">
        <v>44678</v>
      </c>
      <c r="D672" s="15" t="s">
        <v>760</v>
      </c>
      <c r="E672" s="15">
        <v>728</v>
      </c>
      <c r="F672" s="15">
        <v>720</v>
      </c>
      <c r="G672" s="13">
        <v>45406</v>
      </c>
      <c r="H672" s="17">
        <v>3300</v>
      </c>
      <c r="I672" s="19">
        <v>624.5</v>
      </c>
      <c r="J672" s="20">
        <v>0.18924242424242424</v>
      </c>
      <c r="K672" s="19">
        <v>624.5</v>
      </c>
      <c r="L672" s="20">
        <v>0.18924242424242424</v>
      </c>
      <c r="M672" s="21">
        <v>0</v>
      </c>
      <c r="N672" s="19">
        <v>0</v>
      </c>
      <c r="O672" s="23">
        <v>660</v>
      </c>
      <c r="P672" s="24">
        <v>0</v>
      </c>
      <c r="Q672" s="25">
        <v>0</v>
      </c>
      <c r="R672" s="24">
        <v>0</v>
      </c>
      <c r="S672" s="25">
        <v>0</v>
      </c>
      <c r="T672" s="26">
        <v>0</v>
      </c>
      <c r="U672" s="24">
        <v>0</v>
      </c>
      <c r="V672" s="19">
        <v>3960</v>
      </c>
      <c r="W672" s="19">
        <v>624.5</v>
      </c>
      <c r="X672" s="21">
        <v>0.1577020202020202</v>
      </c>
      <c r="Y672" s="19">
        <v>624.5</v>
      </c>
      <c r="Z672" s="20">
        <v>0.1577020202020202</v>
      </c>
      <c r="AA672" s="30">
        <v>9.8400000000000001E-2</v>
      </c>
      <c r="AB672" s="27">
        <v>9.5000000000000001E-2</v>
      </c>
      <c r="AC672" s="27">
        <v>9.8400000000000001E-2</v>
      </c>
      <c r="AD672" s="11">
        <v>9.7546036829463584E-2</v>
      </c>
    </row>
    <row r="673" spans="1:30" x14ac:dyDescent="0.25">
      <c r="A673" s="13">
        <v>44678</v>
      </c>
      <c r="B673" s="46" t="s">
        <v>636</v>
      </c>
      <c r="C673" s="13">
        <v>44678</v>
      </c>
      <c r="D673" s="15" t="s">
        <v>761</v>
      </c>
      <c r="E673" s="15">
        <v>98</v>
      </c>
      <c r="F673" s="15">
        <v>90</v>
      </c>
      <c r="G673" s="55">
        <v>44776</v>
      </c>
      <c r="H673" s="17">
        <v>3300</v>
      </c>
      <c r="I673" s="19">
        <v>2866.29</v>
      </c>
      <c r="J673" s="20">
        <v>0.86857272727272694</v>
      </c>
      <c r="K673" s="19">
        <v>2316.29</v>
      </c>
      <c r="L673" s="20">
        <v>0.70190606060606064</v>
      </c>
      <c r="M673" s="21">
        <v>0</v>
      </c>
      <c r="N673" s="19">
        <v>0</v>
      </c>
      <c r="O673" s="23">
        <v>660</v>
      </c>
      <c r="P673" s="24">
        <v>12.719999999999999</v>
      </c>
      <c r="Q673" s="25">
        <v>1.9272727272727271E-2</v>
      </c>
      <c r="R673" s="24">
        <v>12.719999999999999</v>
      </c>
      <c r="S673" s="25">
        <v>1.9272727272727271E-2</v>
      </c>
      <c r="T673" s="26">
        <v>0</v>
      </c>
      <c r="U673" s="24">
        <v>0</v>
      </c>
      <c r="V673" s="19">
        <v>3960</v>
      </c>
      <c r="W673" s="19">
        <v>2879.0099999999998</v>
      </c>
      <c r="X673" s="21">
        <v>0.72702272727272721</v>
      </c>
      <c r="Y673" s="19">
        <v>2329.0099999999998</v>
      </c>
      <c r="Z673" s="20">
        <v>0.58813383838383837</v>
      </c>
      <c r="AA673" s="30">
        <v>9.3500000000000041E-2</v>
      </c>
      <c r="AB673" s="27">
        <v>7.4999999999999997E-2</v>
      </c>
      <c r="AC673" s="27">
        <v>9.5000000000000001E-2</v>
      </c>
      <c r="AD673" s="11">
        <v>9.1845774502928884E-2</v>
      </c>
    </row>
    <row r="674" spans="1:30" x14ac:dyDescent="0.25">
      <c r="A674" s="13">
        <v>44679</v>
      </c>
      <c r="B674" s="46" t="s">
        <v>636</v>
      </c>
      <c r="C674" s="13">
        <v>44680</v>
      </c>
      <c r="D674" s="15" t="s">
        <v>762</v>
      </c>
      <c r="E674" s="15">
        <v>371</v>
      </c>
      <c r="F674" s="15">
        <v>360</v>
      </c>
      <c r="G674" s="13">
        <v>45051</v>
      </c>
      <c r="H674" s="17">
        <v>3300</v>
      </c>
      <c r="I674" s="19">
        <v>2468.7400000000007</v>
      </c>
      <c r="J674" s="20">
        <v>0.74810303030303038</v>
      </c>
      <c r="K674" s="19">
        <v>1618.74</v>
      </c>
      <c r="L674" s="20">
        <v>0.49052727272727276</v>
      </c>
      <c r="M674" s="21">
        <v>0</v>
      </c>
      <c r="N674" s="19">
        <v>0</v>
      </c>
      <c r="O674" s="23">
        <v>660</v>
      </c>
      <c r="P674" s="24">
        <v>0</v>
      </c>
      <c r="Q674" s="25">
        <v>0</v>
      </c>
      <c r="R674" s="24">
        <v>0</v>
      </c>
      <c r="S674" s="25">
        <v>0</v>
      </c>
      <c r="T674" s="26">
        <v>0</v>
      </c>
      <c r="U674" s="24">
        <v>0</v>
      </c>
      <c r="V674" s="19">
        <v>3960</v>
      </c>
      <c r="W674" s="19">
        <v>2468.7400000000007</v>
      </c>
      <c r="X674" s="21">
        <v>0.62341919191919204</v>
      </c>
      <c r="Y674" s="19">
        <v>1618.74</v>
      </c>
      <c r="Z674" s="20">
        <v>0.40877272727272729</v>
      </c>
      <c r="AA674" s="30">
        <v>9.5399999999999971E-2</v>
      </c>
      <c r="AB674" s="27">
        <v>0.08</v>
      </c>
      <c r="AC674" s="27">
        <v>0.10099999999999999</v>
      </c>
      <c r="AD674" s="11">
        <v>9.5696665910545403E-2</v>
      </c>
    </row>
    <row r="675" spans="1:30" x14ac:dyDescent="0.25">
      <c r="A675" s="13">
        <v>44683</v>
      </c>
      <c r="B675" s="46" t="s">
        <v>636</v>
      </c>
      <c r="C675" s="13">
        <v>44683</v>
      </c>
      <c r="D675" s="15" t="s">
        <v>763</v>
      </c>
      <c r="E675" s="15">
        <v>28</v>
      </c>
      <c r="F675" s="15">
        <v>30</v>
      </c>
      <c r="G675" s="13">
        <v>44711</v>
      </c>
      <c r="H675" s="17">
        <v>3800</v>
      </c>
      <c r="I675" s="19">
        <v>7997.7000000000007</v>
      </c>
      <c r="J675" s="20">
        <v>2.1046578947368415</v>
      </c>
      <c r="K675" s="19">
        <v>5117.7</v>
      </c>
      <c r="L675" s="20">
        <v>1.3467631578947368</v>
      </c>
      <c r="M675" s="21">
        <v>0</v>
      </c>
      <c r="N675" s="19">
        <v>0</v>
      </c>
      <c r="O675" s="23">
        <v>760</v>
      </c>
      <c r="P675" s="24">
        <v>130.19999999999999</v>
      </c>
      <c r="Q675" s="25">
        <v>0.1713157894736842</v>
      </c>
      <c r="R675" s="24">
        <v>130.19999999999999</v>
      </c>
      <c r="S675" s="25">
        <v>0.1713157894736842</v>
      </c>
      <c r="T675" s="26">
        <v>0</v>
      </c>
      <c r="U675" s="24">
        <v>0</v>
      </c>
      <c r="V675" s="19">
        <v>4560</v>
      </c>
      <c r="W675" s="19">
        <v>8127.9000000000005</v>
      </c>
      <c r="X675" s="21">
        <v>1.782434210526316</v>
      </c>
      <c r="Y675" s="19">
        <v>5247.9</v>
      </c>
      <c r="Z675" s="20">
        <v>1.1508552631578945</v>
      </c>
      <c r="AA675" s="30">
        <v>8.7800000000000003E-2</v>
      </c>
      <c r="AB675" s="27">
        <v>7.4999999999999997E-2</v>
      </c>
      <c r="AC675" s="27">
        <v>9.3000000000000013E-2</v>
      </c>
      <c r="AD675" s="11">
        <v>8.6125992472835949E-2</v>
      </c>
    </row>
    <row r="676" spans="1:30" x14ac:dyDescent="0.25">
      <c r="A676" s="13">
        <v>44685</v>
      </c>
      <c r="B676" s="46" t="s">
        <v>636</v>
      </c>
      <c r="C676" s="13">
        <v>44685</v>
      </c>
      <c r="D676" s="15" t="s">
        <v>764</v>
      </c>
      <c r="E676" s="15">
        <v>91</v>
      </c>
      <c r="F676" s="15">
        <v>90</v>
      </c>
      <c r="G676" s="13">
        <v>44776</v>
      </c>
      <c r="H676" s="17">
        <v>3800</v>
      </c>
      <c r="I676" s="19">
        <v>5712.4000000000015</v>
      </c>
      <c r="J676" s="20">
        <v>1.5032631578947369</v>
      </c>
      <c r="K676" s="19">
        <v>4802.4000000000015</v>
      </c>
      <c r="L676" s="20">
        <v>1.263789473684211</v>
      </c>
      <c r="M676" s="21">
        <v>0</v>
      </c>
      <c r="N676" s="19">
        <v>0</v>
      </c>
      <c r="O676" s="23">
        <v>760</v>
      </c>
      <c r="P676" s="24">
        <v>330</v>
      </c>
      <c r="Q676" s="25">
        <v>0.43421052631578949</v>
      </c>
      <c r="R676" s="24">
        <v>330</v>
      </c>
      <c r="S676" s="25">
        <v>0.43421052631578949</v>
      </c>
      <c r="T676" s="26">
        <v>0</v>
      </c>
      <c r="U676" s="24">
        <v>0</v>
      </c>
      <c r="V676" s="19">
        <v>4560</v>
      </c>
      <c r="W676" s="19">
        <v>6042.4000000000015</v>
      </c>
      <c r="X676" s="21">
        <v>1.325087719298246</v>
      </c>
      <c r="Y676" s="19">
        <v>5132.4000000000015</v>
      </c>
      <c r="Z676" s="20">
        <v>1.1255263157894739</v>
      </c>
      <c r="AA676" s="30">
        <v>9.3500000000000014E-2</v>
      </c>
      <c r="AB676" s="27">
        <v>7.4999999999999997E-2</v>
      </c>
      <c r="AC676" s="27">
        <v>9.69E-2</v>
      </c>
      <c r="AD676" s="11">
        <v>9.24071616133324E-2</v>
      </c>
    </row>
    <row r="677" spans="1:30" x14ac:dyDescent="0.25">
      <c r="A677" s="13">
        <v>44687</v>
      </c>
      <c r="B677" s="46" t="s">
        <v>636</v>
      </c>
      <c r="C677" s="13">
        <v>44687</v>
      </c>
      <c r="D677" s="15" t="s">
        <v>765</v>
      </c>
      <c r="E677" s="15">
        <v>182</v>
      </c>
      <c r="F677" s="15">
        <v>180</v>
      </c>
      <c r="G677" s="13">
        <v>44869</v>
      </c>
      <c r="H677" s="17">
        <v>3800</v>
      </c>
      <c r="I677" s="19">
        <v>7130.7099999999982</v>
      </c>
      <c r="J677" s="20">
        <v>1.8765026315789486</v>
      </c>
      <c r="K677" s="19">
        <v>6205.7099999999982</v>
      </c>
      <c r="L677" s="20">
        <v>1.6330815789473681</v>
      </c>
      <c r="M677" s="21">
        <v>0</v>
      </c>
      <c r="N677" s="19">
        <v>0</v>
      </c>
      <c r="O677" s="23">
        <v>760</v>
      </c>
      <c r="P677" s="24">
        <v>290</v>
      </c>
      <c r="Q677" s="25">
        <v>0.38157894736842102</v>
      </c>
      <c r="R677" s="24">
        <v>290</v>
      </c>
      <c r="S677" s="25">
        <v>0.38157894736842107</v>
      </c>
      <c r="T677" s="26">
        <v>0</v>
      </c>
      <c r="U677" s="24">
        <v>0</v>
      </c>
      <c r="V677" s="19">
        <v>4560</v>
      </c>
      <c r="W677" s="19">
        <v>7420.7099999999982</v>
      </c>
      <c r="X677" s="21">
        <v>1.627348684210526</v>
      </c>
      <c r="Y677" s="19">
        <v>6495.7099999999982</v>
      </c>
      <c r="Z677" s="20">
        <v>1.4244978070175434</v>
      </c>
      <c r="AA677" s="30">
        <v>9.5900000000000096E-2</v>
      </c>
      <c r="AB677" s="27">
        <v>7.4999999999999997E-2</v>
      </c>
      <c r="AC677" s="27">
        <v>0.1</v>
      </c>
      <c r="AD677" s="11">
        <v>9.3541698512490418E-2</v>
      </c>
    </row>
    <row r="678" spans="1:30" x14ac:dyDescent="0.25">
      <c r="A678" s="13">
        <v>44690</v>
      </c>
      <c r="B678" s="46" t="s">
        <v>636</v>
      </c>
      <c r="C678" s="13">
        <v>44690</v>
      </c>
      <c r="D678" s="15" t="s">
        <v>766</v>
      </c>
      <c r="E678" s="15">
        <v>35</v>
      </c>
      <c r="F678" s="15">
        <v>30</v>
      </c>
      <c r="G678" s="13">
        <v>44725</v>
      </c>
      <c r="H678" s="17">
        <v>5000</v>
      </c>
      <c r="I678" s="19">
        <v>9791.49</v>
      </c>
      <c r="J678" s="20">
        <v>1.9582980000000005</v>
      </c>
      <c r="K678" s="19">
        <v>8741.49</v>
      </c>
      <c r="L678" s="20">
        <v>1.7482979999999999</v>
      </c>
      <c r="M678" s="21">
        <v>0</v>
      </c>
      <c r="N678" s="19">
        <v>0</v>
      </c>
      <c r="O678" s="23">
        <v>1000</v>
      </c>
      <c r="P678" s="24">
        <v>170</v>
      </c>
      <c r="Q678" s="25">
        <v>0.16999999999999998</v>
      </c>
      <c r="R678" s="24">
        <v>170</v>
      </c>
      <c r="S678" s="25">
        <v>0.17</v>
      </c>
      <c r="T678" s="26">
        <v>0</v>
      </c>
      <c r="U678" s="24">
        <v>0</v>
      </c>
      <c r="V678" s="19">
        <v>6000</v>
      </c>
      <c r="W678" s="19">
        <v>9961.49</v>
      </c>
      <c r="X678" s="21">
        <v>1.6602483333333333</v>
      </c>
      <c r="Y678" s="19">
        <v>8911.49</v>
      </c>
      <c r="Z678" s="20">
        <v>1.4852483333333333</v>
      </c>
      <c r="AA678" s="30">
        <v>8.8900000000000076E-2</v>
      </c>
      <c r="AB678" s="27">
        <v>0.06</v>
      </c>
      <c r="AC678" s="27">
        <v>9.0999999999999998E-2</v>
      </c>
      <c r="AD678" s="11">
        <v>8.6358139568135192E-2</v>
      </c>
    </row>
    <row r="679" spans="1:30" x14ac:dyDescent="0.25">
      <c r="A679" s="13">
        <v>44692</v>
      </c>
      <c r="B679" s="46" t="s">
        <v>636</v>
      </c>
      <c r="C679" s="13">
        <v>44692</v>
      </c>
      <c r="D679" s="15" t="s">
        <v>767</v>
      </c>
      <c r="E679" s="15">
        <v>98</v>
      </c>
      <c r="F679" s="15">
        <v>90</v>
      </c>
      <c r="G679" s="13">
        <v>44790</v>
      </c>
      <c r="H679" s="17">
        <v>5000</v>
      </c>
      <c r="I679" s="19">
        <v>3443.2300000000005</v>
      </c>
      <c r="J679" s="20">
        <v>0.6886460000000002</v>
      </c>
      <c r="K679" s="19">
        <v>2140.86</v>
      </c>
      <c r="L679" s="20">
        <v>0.42817200000000005</v>
      </c>
      <c r="M679" s="21">
        <v>0</v>
      </c>
      <c r="N679" s="19">
        <v>0</v>
      </c>
      <c r="O679" s="23">
        <v>1000</v>
      </c>
      <c r="P679" s="24">
        <v>209.25</v>
      </c>
      <c r="Q679" s="25">
        <v>0.20925000000000002</v>
      </c>
      <c r="R679" s="24">
        <v>209.25</v>
      </c>
      <c r="S679" s="25">
        <v>0.20924999999999999</v>
      </c>
      <c r="T679" s="26">
        <v>0</v>
      </c>
      <c r="U679" s="24">
        <v>0</v>
      </c>
      <c r="V679" s="19">
        <v>6000</v>
      </c>
      <c r="W679" s="19">
        <v>3652.4800000000005</v>
      </c>
      <c r="X679" s="21">
        <v>0.60874666666666677</v>
      </c>
      <c r="Y679" s="19">
        <v>2350.11</v>
      </c>
      <c r="Z679" s="20">
        <v>0.39168500000000001</v>
      </c>
      <c r="AA679" s="30">
        <v>9.3799999999999953E-2</v>
      </c>
      <c r="AB679" s="27">
        <v>7.0000000000000007E-2</v>
      </c>
      <c r="AC679" s="27">
        <v>9.64E-2</v>
      </c>
      <c r="AD679" s="11">
        <v>9.2431848874457989E-2</v>
      </c>
    </row>
    <row r="680" spans="1:30" x14ac:dyDescent="0.25">
      <c r="A680" s="13">
        <v>44693</v>
      </c>
      <c r="B680" s="46" t="s">
        <v>636</v>
      </c>
      <c r="C680" s="13">
        <v>44694</v>
      </c>
      <c r="D680" s="15" t="s">
        <v>768</v>
      </c>
      <c r="E680" s="15">
        <v>357</v>
      </c>
      <c r="F680" s="15">
        <v>360</v>
      </c>
      <c r="G680" s="13">
        <v>45051</v>
      </c>
      <c r="H680" s="17">
        <v>5000</v>
      </c>
      <c r="I680" s="19">
        <v>4584.2299999999996</v>
      </c>
      <c r="J680" s="20">
        <v>0.91684600000000027</v>
      </c>
      <c r="K680" s="19">
        <v>2384.23</v>
      </c>
      <c r="L680" s="20">
        <v>0.47684599999999999</v>
      </c>
      <c r="M680" s="21">
        <v>0</v>
      </c>
      <c r="N680" s="19">
        <v>0</v>
      </c>
      <c r="O680" s="23">
        <v>1000</v>
      </c>
      <c r="P680" s="24">
        <v>0</v>
      </c>
      <c r="Q680" s="25">
        <v>0</v>
      </c>
      <c r="R680" s="24">
        <v>0</v>
      </c>
      <c r="S680" s="25">
        <v>0</v>
      </c>
      <c r="T680" s="26">
        <v>0</v>
      </c>
      <c r="U680" s="24">
        <v>0</v>
      </c>
      <c r="V680" s="19">
        <v>6000</v>
      </c>
      <c r="W680" s="19">
        <v>4584.2299999999996</v>
      </c>
      <c r="X680" s="21">
        <v>0.76403833333333326</v>
      </c>
      <c r="Y680" s="19">
        <v>2384.23</v>
      </c>
      <c r="Z680" s="20">
        <v>0.39737166666666668</v>
      </c>
      <c r="AA680" s="30">
        <v>9.6799999999999997E-2</v>
      </c>
      <c r="AB680" s="27">
        <v>8.5000000000000006E-2</v>
      </c>
      <c r="AC680" s="27">
        <v>0.105</v>
      </c>
      <c r="AD680" s="11">
        <v>9.9045458888406573E-2</v>
      </c>
    </row>
    <row r="681" spans="1:30" x14ac:dyDescent="0.25">
      <c r="A681" s="13">
        <v>44698</v>
      </c>
      <c r="B681" s="46" t="s">
        <v>636</v>
      </c>
      <c r="C681" s="13">
        <v>44698</v>
      </c>
      <c r="D681" s="15" t="s">
        <v>769</v>
      </c>
      <c r="E681" s="15">
        <v>27</v>
      </c>
      <c r="F681" s="15">
        <v>30</v>
      </c>
      <c r="G681" s="13">
        <v>44725</v>
      </c>
      <c r="H681" s="17">
        <v>5000</v>
      </c>
      <c r="I681" s="19">
        <v>6420.5700000000006</v>
      </c>
      <c r="J681" s="20">
        <v>1.284114</v>
      </c>
      <c r="K681" s="19">
        <v>4820.5700000000006</v>
      </c>
      <c r="L681" s="20">
        <v>0.96411400000000014</v>
      </c>
      <c r="M681" s="21">
        <v>0</v>
      </c>
      <c r="N681" s="19">
        <v>0</v>
      </c>
      <c r="O681" s="23">
        <v>1000</v>
      </c>
      <c r="P681" s="24">
        <v>1000</v>
      </c>
      <c r="Q681" s="25">
        <v>1</v>
      </c>
      <c r="R681" s="24">
        <v>964.11400000000003</v>
      </c>
      <c r="S681" s="25">
        <v>0.96411400000000003</v>
      </c>
      <c r="T681" s="26">
        <v>0.96411400000000003</v>
      </c>
      <c r="U681" s="24">
        <v>0</v>
      </c>
      <c r="V681" s="19">
        <v>6000</v>
      </c>
      <c r="W681" s="19">
        <v>7420.5700000000006</v>
      </c>
      <c r="X681" s="21">
        <v>1.2367616666666668</v>
      </c>
      <c r="Y681" s="19">
        <v>5784.6840000000011</v>
      </c>
      <c r="Z681" s="20">
        <v>0.96411400000000014</v>
      </c>
      <c r="AA681" s="30">
        <v>9.3399999999999955E-2</v>
      </c>
      <c r="AB681" s="27">
        <v>7.8899999999999998E-2</v>
      </c>
      <c r="AC681" s="27">
        <v>9.6500000000000002E-2</v>
      </c>
      <c r="AD681" s="11">
        <v>9.0550237751476872E-2</v>
      </c>
    </row>
    <row r="682" spans="1:30" x14ac:dyDescent="0.25">
      <c r="A682" s="13">
        <v>44699</v>
      </c>
      <c r="B682" s="46" t="s">
        <v>636</v>
      </c>
      <c r="C682" s="13">
        <v>44699</v>
      </c>
      <c r="D682" s="15" t="s">
        <v>770</v>
      </c>
      <c r="E682" s="15">
        <v>91</v>
      </c>
      <c r="F682" s="15">
        <v>90</v>
      </c>
      <c r="G682" s="13">
        <v>44790</v>
      </c>
      <c r="H682" s="17">
        <v>5000</v>
      </c>
      <c r="I682" s="19">
        <v>8829.5699999999979</v>
      </c>
      <c r="J682" s="20">
        <v>1.7659140000000011</v>
      </c>
      <c r="K682" s="19">
        <v>5429.5699999999988</v>
      </c>
      <c r="L682" s="20">
        <v>1.0859139999999998</v>
      </c>
      <c r="M682" s="21">
        <v>0</v>
      </c>
      <c r="N682" s="19">
        <v>0</v>
      </c>
      <c r="O682" s="23">
        <v>1000</v>
      </c>
      <c r="P682" s="24">
        <v>1304.71</v>
      </c>
      <c r="Q682" s="25">
        <v>1.30471</v>
      </c>
      <c r="R682" s="24">
        <v>1000</v>
      </c>
      <c r="S682" s="25">
        <v>1</v>
      </c>
      <c r="T682" s="26">
        <v>0.76645435244161353</v>
      </c>
      <c r="U682" s="24">
        <v>0</v>
      </c>
      <c r="V682" s="19">
        <v>6000</v>
      </c>
      <c r="W682" s="19">
        <v>10134.279999999999</v>
      </c>
      <c r="X682" s="21">
        <v>1.6890466666666664</v>
      </c>
      <c r="Y682" s="19">
        <v>6429.5699999999988</v>
      </c>
      <c r="Z682" s="20">
        <v>1.0715949999999999</v>
      </c>
      <c r="AA682" s="30">
        <v>9.7800000000000123E-2</v>
      </c>
      <c r="AB682" s="27">
        <v>0.04</v>
      </c>
      <c r="AC682" s="27">
        <v>0.10619999999999999</v>
      </c>
      <c r="AD682" s="11">
        <v>9.7155705770496203E-2</v>
      </c>
    </row>
    <row r="683" spans="1:30" x14ac:dyDescent="0.25">
      <c r="A683" s="13">
        <v>44701</v>
      </c>
      <c r="B683" s="46" t="s">
        <v>636</v>
      </c>
      <c r="C683" s="13">
        <v>44701</v>
      </c>
      <c r="D683" s="15" t="s">
        <v>771</v>
      </c>
      <c r="E683" s="15">
        <v>168</v>
      </c>
      <c r="F683" s="15">
        <v>180</v>
      </c>
      <c r="G683" s="13">
        <v>44869</v>
      </c>
      <c r="H683" s="17">
        <v>5000</v>
      </c>
      <c r="I683" s="19">
        <v>6086.08</v>
      </c>
      <c r="J683" s="20">
        <v>1.2172160000000003</v>
      </c>
      <c r="K683" s="19">
        <v>4086.08</v>
      </c>
      <c r="L683" s="20">
        <v>0.81721599999999994</v>
      </c>
      <c r="M683" s="21">
        <v>0</v>
      </c>
      <c r="N683" s="19">
        <v>0</v>
      </c>
      <c r="O683" s="23">
        <v>1000</v>
      </c>
      <c r="P683" s="24">
        <v>0</v>
      </c>
      <c r="Q683" s="25">
        <v>0</v>
      </c>
      <c r="R683" s="24">
        <v>0</v>
      </c>
      <c r="S683" s="25">
        <v>0</v>
      </c>
      <c r="T683" s="26">
        <v>0</v>
      </c>
      <c r="U683" s="24">
        <v>0</v>
      </c>
      <c r="V683" s="19">
        <v>6000</v>
      </c>
      <c r="W683" s="19">
        <v>6086.08</v>
      </c>
      <c r="X683" s="21">
        <v>1.0143466666666667</v>
      </c>
      <c r="Y683" s="19">
        <v>4086.08</v>
      </c>
      <c r="Z683" s="20">
        <v>0.68101333333333336</v>
      </c>
      <c r="AA683" s="30">
        <v>0.10149999999999997</v>
      </c>
      <c r="AB683" s="27">
        <v>0.08</v>
      </c>
      <c r="AC683" s="27">
        <v>0.1099</v>
      </c>
      <c r="AD683" s="11">
        <v>0.1003524289854882</v>
      </c>
    </row>
    <row r="684" spans="1:30" x14ac:dyDescent="0.25">
      <c r="A684" s="13">
        <v>44704</v>
      </c>
      <c r="B684" s="46" t="s">
        <v>636</v>
      </c>
      <c r="C684" s="13">
        <v>44704</v>
      </c>
      <c r="D684" s="15" t="s">
        <v>772</v>
      </c>
      <c r="E684" s="15">
        <v>28</v>
      </c>
      <c r="F684" s="15">
        <v>30</v>
      </c>
      <c r="G684" s="13">
        <v>44732</v>
      </c>
      <c r="H684" s="17">
        <v>3300</v>
      </c>
      <c r="I684" s="19">
        <v>6086.42</v>
      </c>
      <c r="J684" s="20">
        <v>1.8443696969696965</v>
      </c>
      <c r="K684" s="19">
        <v>4486.42</v>
      </c>
      <c r="L684" s="20">
        <v>1.3595212121212121</v>
      </c>
      <c r="M684" s="21">
        <v>0</v>
      </c>
      <c r="N684" s="19">
        <v>0</v>
      </c>
      <c r="O684" s="23">
        <v>660</v>
      </c>
      <c r="P684" s="24">
        <v>680</v>
      </c>
      <c r="Q684" s="25">
        <v>1.0303030303030303</v>
      </c>
      <c r="R684" s="24">
        <v>660</v>
      </c>
      <c r="S684" s="25">
        <v>1</v>
      </c>
      <c r="T684" s="26">
        <v>0.97058999999999995</v>
      </c>
      <c r="U684" s="24">
        <v>0</v>
      </c>
      <c r="V684" s="19">
        <v>3960</v>
      </c>
      <c r="W684" s="19">
        <v>6766.42</v>
      </c>
      <c r="X684" s="21">
        <v>1.7086919191919192</v>
      </c>
      <c r="Y684" s="19">
        <v>5146.42</v>
      </c>
      <c r="Z684" s="20">
        <v>1.29960101010101</v>
      </c>
      <c r="AA684" s="30">
        <v>9.3900000000000053E-2</v>
      </c>
      <c r="AB684" s="27">
        <v>7.0000000000000007E-2</v>
      </c>
      <c r="AC684" s="27">
        <v>9.820000000000001E-2</v>
      </c>
      <c r="AD684" s="11">
        <v>9.2950070813384522E-2</v>
      </c>
    </row>
    <row r="685" spans="1:30" x14ac:dyDescent="0.25">
      <c r="A685" s="13">
        <v>44706</v>
      </c>
      <c r="B685" s="46" t="s">
        <v>636</v>
      </c>
      <c r="C685" s="13">
        <v>44706</v>
      </c>
      <c r="D685" s="15" t="s">
        <v>773</v>
      </c>
      <c r="E685" s="15">
        <v>98</v>
      </c>
      <c r="F685" s="15">
        <v>90</v>
      </c>
      <c r="G685" s="13">
        <v>44804</v>
      </c>
      <c r="H685" s="17">
        <v>3300</v>
      </c>
      <c r="I685" s="19">
        <v>3956.9100000000003</v>
      </c>
      <c r="J685" s="20">
        <v>1.1990636363636367</v>
      </c>
      <c r="K685" s="19">
        <v>3656.9100000000003</v>
      </c>
      <c r="L685" s="20">
        <v>1.1081545454545456</v>
      </c>
      <c r="M685" s="21">
        <v>0</v>
      </c>
      <c r="N685" s="19">
        <v>0</v>
      </c>
      <c r="O685" s="23">
        <v>660</v>
      </c>
      <c r="P685" s="24">
        <v>191.89</v>
      </c>
      <c r="Q685" s="25">
        <v>0.29074242424242425</v>
      </c>
      <c r="R685" s="24">
        <v>191.89</v>
      </c>
      <c r="S685" s="25">
        <v>0.29074242424242425</v>
      </c>
      <c r="T685" s="26">
        <v>0</v>
      </c>
      <c r="U685" s="24">
        <v>0</v>
      </c>
      <c r="V685" s="19">
        <v>3960</v>
      </c>
      <c r="W685" s="19">
        <v>4148.8</v>
      </c>
      <c r="X685" s="21">
        <v>1.0476767676767678</v>
      </c>
      <c r="Y685" s="19">
        <v>3848.8</v>
      </c>
      <c r="Z685" s="20">
        <v>0.97191919191919196</v>
      </c>
      <c r="AA685" s="30">
        <v>9.9000000000000088E-2</v>
      </c>
      <c r="AB685" s="27">
        <v>0.08</v>
      </c>
      <c r="AC685" s="27">
        <v>0.1</v>
      </c>
      <c r="AD685" s="11">
        <v>9.7044682845958061E-2</v>
      </c>
    </row>
    <row r="686" spans="1:30" x14ac:dyDescent="0.25">
      <c r="A686" s="13">
        <v>44707</v>
      </c>
      <c r="B686" s="46" t="s">
        <v>636</v>
      </c>
      <c r="C686" s="13">
        <v>44708</v>
      </c>
      <c r="D686" s="15" t="s">
        <v>774</v>
      </c>
      <c r="E686" s="15">
        <v>343</v>
      </c>
      <c r="F686" s="15">
        <v>360</v>
      </c>
      <c r="G686" s="13">
        <v>45051</v>
      </c>
      <c r="H686" s="17">
        <v>3300</v>
      </c>
      <c r="I686" s="19">
        <v>4076.3900000000003</v>
      </c>
      <c r="J686" s="20">
        <v>1.2352696969696966</v>
      </c>
      <c r="K686" s="19">
        <v>3176.39</v>
      </c>
      <c r="L686" s="20">
        <v>0.9625424242424242</v>
      </c>
      <c r="M686" s="21">
        <v>0</v>
      </c>
      <c r="N686" s="19">
        <v>0</v>
      </c>
      <c r="O686" s="23">
        <v>660</v>
      </c>
      <c r="P686" s="24">
        <v>0</v>
      </c>
      <c r="Q686" s="25">
        <v>0</v>
      </c>
      <c r="R686" s="24">
        <v>0</v>
      </c>
      <c r="S686" s="25">
        <v>0</v>
      </c>
      <c r="T686" s="26">
        <v>0</v>
      </c>
      <c r="U686" s="24">
        <v>0</v>
      </c>
      <c r="V686" s="19">
        <v>3960</v>
      </c>
      <c r="W686" s="19">
        <v>4076.3900000000003</v>
      </c>
      <c r="X686" s="21">
        <v>1.0293914141414142</v>
      </c>
      <c r="Y686" s="19">
        <v>3176.39</v>
      </c>
      <c r="Z686" s="20">
        <v>0.80211868686868681</v>
      </c>
      <c r="AA686" s="30">
        <v>0.10550000000000007</v>
      </c>
      <c r="AB686" s="27">
        <v>0.09</v>
      </c>
      <c r="AC686" s="27">
        <v>0.1108</v>
      </c>
      <c r="AD686" s="11">
        <v>0.10443377105723449</v>
      </c>
    </row>
    <row r="687" spans="1:30" x14ac:dyDescent="0.25">
      <c r="A687" s="13">
        <v>44711</v>
      </c>
      <c r="B687" s="46" t="s">
        <v>636</v>
      </c>
      <c r="C687" s="13">
        <v>44711</v>
      </c>
      <c r="D687" s="15" t="s">
        <v>775</v>
      </c>
      <c r="E687" s="15">
        <v>35</v>
      </c>
      <c r="F687" s="15">
        <v>30</v>
      </c>
      <c r="G687" s="13">
        <v>44746</v>
      </c>
      <c r="H687" s="17">
        <v>3300</v>
      </c>
      <c r="I687" s="19">
        <v>7661.1100000000006</v>
      </c>
      <c r="J687" s="20">
        <v>2.3215484848484849</v>
      </c>
      <c r="K687" s="19">
        <v>6600</v>
      </c>
      <c r="L687" s="20">
        <v>2</v>
      </c>
      <c r="M687" s="21">
        <v>0.77778000000000003</v>
      </c>
      <c r="N687" s="19">
        <v>0</v>
      </c>
      <c r="O687" s="23">
        <v>660</v>
      </c>
      <c r="P687" s="24">
        <v>142.84</v>
      </c>
      <c r="Q687" s="25">
        <v>0.21642424242424244</v>
      </c>
      <c r="R687" s="24">
        <v>142.84</v>
      </c>
      <c r="S687" s="25">
        <v>0.21642424242424244</v>
      </c>
      <c r="T687" s="26">
        <v>0</v>
      </c>
      <c r="U687" s="24">
        <v>0</v>
      </c>
      <c r="V687" s="19">
        <v>3960</v>
      </c>
      <c r="W687" s="19">
        <v>7803.9500000000007</v>
      </c>
      <c r="X687" s="21">
        <v>1.9706944444444445</v>
      </c>
      <c r="Y687" s="19">
        <v>6742.84</v>
      </c>
      <c r="Z687" s="20">
        <v>1.7027373737373739</v>
      </c>
      <c r="AA687" s="30">
        <v>9.4599999999999879E-2</v>
      </c>
      <c r="AB687" s="27">
        <v>7.400000000000001E-2</v>
      </c>
      <c r="AC687" s="27">
        <v>9.7500000000000003E-2</v>
      </c>
      <c r="AD687" s="11">
        <v>9.1742893001144771E-2</v>
      </c>
    </row>
    <row r="688" spans="1:30" x14ac:dyDescent="0.25">
      <c r="A688" s="13">
        <v>44712</v>
      </c>
      <c r="B688" s="46" t="s">
        <v>636</v>
      </c>
      <c r="C688" s="13">
        <v>44713</v>
      </c>
      <c r="D688" s="15" t="s">
        <v>776</v>
      </c>
      <c r="E688" s="15">
        <v>693</v>
      </c>
      <c r="F688" s="15">
        <v>720</v>
      </c>
      <c r="G688" s="13">
        <v>45406</v>
      </c>
      <c r="H688" s="17">
        <v>1700</v>
      </c>
      <c r="I688" s="19">
        <v>2209.36</v>
      </c>
      <c r="J688" s="20">
        <v>1.2996235294117646</v>
      </c>
      <c r="K688" s="19">
        <v>1784.3600000000001</v>
      </c>
      <c r="L688" s="20">
        <v>1.0496235294117648</v>
      </c>
      <c r="M688" s="21">
        <v>0</v>
      </c>
      <c r="N688" s="19">
        <v>0</v>
      </c>
      <c r="O688" s="23">
        <v>340</v>
      </c>
      <c r="P688" s="24">
        <v>340</v>
      </c>
      <c r="Q688" s="25">
        <v>1</v>
      </c>
      <c r="R688" s="24">
        <v>340</v>
      </c>
      <c r="S688" s="25">
        <v>1</v>
      </c>
      <c r="T688" s="26">
        <v>0</v>
      </c>
      <c r="U688" s="24">
        <v>0</v>
      </c>
      <c r="V688" s="19">
        <v>2040</v>
      </c>
      <c r="W688" s="19">
        <v>2549.36</v>
      </c>
      <c r="X688" s="21">
        <v>1.2496862745098041</v>
      </c>
      <c r="Y688" s="19">
        <v>2124.36</v>
      </c>
      <c r="Z688" s="20">
        <v>1.0413529411764706</v>
      </c>
      <c r="AA688" s="30">
        <v>0.1069</v>
      </c>
      <c r="AB688" s="27">
        <v>9.4499999999999987E-2</v>
      </c>
      <c r="AC688" s="27">
        <v>0.1125</v>
      </c>
      <c r="AD688" s="11">
        <v>0.1064667460259985</v>
      </c>
    </row>
    <row r="689" spans="1:30" x14ac:dyDescent="0.25">
      <c r="A689" s="13">
        <v>44713</v>
      </c>
      <c r="B689" s="46" t="s">
        <v>636</v>
      </c>
      <c r="C689" s="13">
        <v>44713</v>
      </c>
      <c r="D689" s="15" t="s">
        <v>777</v>
      </c>
      <c r="E689" s="15">
        <v>91</v>
      </c>
      <c r="F689" s="15">
        <v>90</v>
      </c>
      <c r="G689" s="13">
        <v>44804</v>
      </c>
      <c r="H689" s="17">
        <v>3300</v>
      </c>
      <c r="I689" s="19">
        <v>4196.6899999999996</v>
      </c>
      <c r="J689" s="20">
        <v>1.2717242424242421</v>
      </c>
      <c r="K689" s="19">
        <v>2796.6899999999991</v>
      </c>
      <c r="L689" s="20">
        <v>0.84748181818181789</v>
      </c>
      <c r="M689" s="21">
        <v>0</v>
      </c>
      <c r="N689" s="19">
        <v>0</v>
      </c>
      <c r="O689" s="23">
        <v>660</v>
      </c>
      <c r="P689" s="24">
        <v>230.71</v>
      </c>
      <c r="Q689" s="25">
        <v>0.34956060606060607</v>
      </c>
      <c r="R689" s="24">
        <v>230.71</v>
      </c>
      <c r="S689" s="25">
        <v>0.34956060606060607</v>
      </c>
      <c r="T689" s="26">
        <v>0</v>
      </c>
      <c r="U689" s="24">
        <v>0</v>
      </c>
      <c r="V689" s="19">
        <v>3960</v>
      </c>
      <c r="W689" s="19">
        <v>4427.3999999999996</v>
      </c>
      <c r="X689" s="21">
        <v>1.1180303030303029</v>
      </c>
      <c r="Y689" s="19">
        <v>3027.3999999999992</v>
      </c>
      <c r="Z689" s="20">
        <v>0.76449494949494934</v>
      </c>
      <c r="AA689" s="30">
        <v>0.10069999999999989</v>
      </c>
      <c r="AB689" s="27">
        <v>8.900000000000001E-2</v>
      </c>
      <c r="AC689" s="27">
        <v>0.10300000000000001</v>
      </c>
      <c r="AD689" s="11">
        <v>9.984306918071148E-2</v>
      </c>
    </row>
    <row r="690" spans="1:30" x14ac:dyDescent="0.25">
      <c r="A690" s="13">
        <v>44715</v>
      </c>
      <c r="B690" s="46" t="s">
        <v>636</v>
      </c>
      <c r="C690" s="13">
        <v>44715</v>
      </c>
      <c r="D690" s="15" t="s">
        <v>778</v>
      </c>
      <c r="E690" s="15">
        <v>182</v>
      </c>
      <c r="F690" s="15">
        <v>180</v>
      </c>
      <c r="G690" s="13">
        <v>44897</v>
      </c>
      <c r="H690" s="17">
        <v>3300</v>
      </c>
      <c r="I690" s="19">
        <v>5236.22</v>
      </c>
      <c r="J690" s="20">
        <v>1.5867333333333324</v>
      </c>
      <c r="K690" s="19">
        <v>3246.22</v>
      </c>
      <c r="L690" s="20">
        <v>0.98370303030303019</v>
      </c>
      <c r="M690" s="21">
        <v>0</v>
      </c>
      <c r="N690" s="19">
        <v>0</v>
      </c>
      <c r="O690" s="23">
        <v>660</v>
      </c>
      <c r="P690" s="24">
        <v>30</v>
      </c>
      <c r="Q690" s="25">
        <v>4.5454545454545456E-2</v>
      </c>
      <c r="R690" s="24">
        <v>30</v>
      </c>
      <c r="S690" s="25">
        <v>4.5454545454545456E-2</v>
      </c>
      <c r="T690" s="26">
        <v>0</v>
      </c>
      <c r="U690" s="24">
        <v>0</v>
      </c>
      <c r="V690" s="19">
        <v>3960</v>
      </c>
      <c r="W690" s="19">
        <v>5266.22</v>
      </c>
      <c r="X690" s="21">
        <v>1.3298535353535355</v>
      </c>
      <c r="Y690" s="19">
        <v>3276.22</v>
      </c>
      <c r="Z690" s="20">
        <v>0.82732828282828275</v>
      </c>
      <c r="AA690" s="30">
        <v>0.10430000000000009</v>
      </c>
      <c r="AB690" s="27">
        <v>0.08</v>
      </c>
      <c r="AC690" s="27">
        <v>0.11</v>
      </c>
      <c r="AD690" s="11">
        <v>0.10350434282745952</v>
      </c>
    </row>
    <row r="691" spans="1:30" x14ac:dyDescent="0.25">
      <c r="A691" s="13">
        <v>44718</v>
      </c>
      <c r="B691" s="46" t="s">
        <v>636</v>
      </c>
      <c r="C691" s="13">
        <v>44718</v>
      </c>
      <c r="D691" s="15" t="s">
        <v>779</v>
      </c>
      <c r="E691" s="15">
        <v>35</v>
      </c>
      <c r="F691" s="15">
        <v>30</v>
      </c>
      <c r="G691" s="13">
        <v>44753</v>
      </c>
      <c r="H691" s="17">
        <v>5000</v>
      </c>
      <c r="I691" s="19">
        <v>4801.1799999999994</v>
      </c>
      <c r="J691" s="20">
        <v>0.96023600000000009</v>
      </c>
      <c r="K691" s="19">
        <v>3051.1800000000003</v>
      </c>
      <c r="L691" s="20">
        <v>0.61023600000000011</v>
      </c>
      <c r="M691" s="21">
        <v>0</v>
      </c>
      <c r="N691" s="19">
        <v>0</v>
      </c>
      <c r="O691" s="23">
        <v>1000</v>
      </c>
      <c r="P691" s="24">
        <v>27.1</v>
      </c>
      <c r="Q691" s="25">
        <v>2.7099999999999999E-2</v>
      </c>
      <c r="R691" s="24">
        <v>27.1</v>
      </c>
      <c r="S691" s="25">
        <v>2.7100000000000003E-2</v>
      </c>
      <c r="T691" s="26">
        <v>0</v>
      </c>
      <c r="U691" s="24">
        <v>0</v>
      </c>
      <c r="V691" s="19">
        <v>6000</v>
      </c>
      <c r="W691" s="19">
        <v>4828.28</v>
      </c>
      <c r="X691" s="21">
        <v>0.80471333333333328</v>
      </c>
      <c r="Y691" s="19">
        <v>3078.28</v>
      </c>
      <c r="Z691" s="20">
        <v>0.51304666666666665</v>
      </c>
      <c r="AA691" s="30">
        <v>9.5200000000000048E-2</v>
      </c>
      <c r="AB691" s="27">
        <v>0.08</v>
      </c>
      <c r="AC691" s="27">
        <v>9.7500000000000003E-2</v>
      </c>
      <c r="AD691" s="11">
        <v>9.4106719181534584E-2</v>
      </c>
    </row>
    <row r="692" spans="1:30" x14ac:dyDescent="0.25">
      <c r="A692" s="13">
        <v>44720</v>
      </c>
      <c r="B692" s="46" t="s">
        <v>636</v>
      </c>
      <c r="C692" s="13">
        <v>44720</v>
      </c>
      <c r="D692" s="15" t="s">
        <v>780</v>
      </c>
      <c r="E692" s="15">
        <v>91</v>
      </c>
      <c r="F692" s="15">
        <v>90</v>
      </c>
      <c r="G692" s="13">
        <v>44811</v>
      </c>
      <c r="H692" s="17">
        <v>5000</v>
      </c>
      <c r="I692" s="19">
        <v>6361.0099999999993</v>
      </c>
      <c r="J692" s="20">
        <v>1.2722020000000001</v>
      </c>
      <c r="K692" s="19">
        <v>5011.0099999999993</v>
      </c>
      <c r="L692" s="20">
        <v>1.0022019999999998</v>
      </c>
      <c r="M692" s="21">
        <v>0</v>
      </c>
      <c r="N692" s="19">
        <v>0</v>
      </c>
      <c r="O692" s="23">
        <v>1000</v>
      </c>
      <c r="P692" s="24">
        <v>40.6</v>
      </c>
      <c r="Q692" s="25">
        <v>4.0599999999999997E-2</v>
      </c>
      <c r="R692" s="24">
        <v>40.6</v>
      </c>
      <c r="S692" s="25">
        <v>4.0600000000000004E-2</v>
      </c>
      <c r="T692" s="26">
        <v>0</v>
      </c>
      <c r="U692" s="24">
        <v>0</v>
      </c>
      <c r="V692" s="19">
        <v>6000</v>
      </c>
      <c r="W692" s="19">
        <v>6401.61</v>
      </c>
      <c r="X692" s="21">
        <v>1.066935</v>
      </c>
      <c r="Y692" s="19">
        <v>5051.6099999999997</v>
      </c>
      <c r="Z692" s="20">
        <v>0.84193499999999999</v>
      </c>
      <c r="AA692" s="30">
        <v>0.10149999999999997</v>
      </c>
      <c r="AB692" s="27">
        <v>0.09</v>
      </c>
      <c r="AC692" s="27">
        <v>0.1045</v>
      </c>
      <c r="AD692" s="11">
        <v>9.989642556763785E-2</v>
      </c>
    </row>
    <row r="693" spans="1:30" x14ac:dyDescent="0.25">
      <c r="A693" s="13">
        <v>44721</v>
      </c>
      <c r="B693" s="46" t="s">
        <v>636</v>
      </c>
      <c r="C693" s="13">
        <v>44722</v>
      </c>
      <c r="D693" s="15" t="s">
        <v>781</v>
      </c>
      <c r="E693" s="15">
        <v>364</v>
      </c>
      <c r="F693" s="15">
        <v>360</v>
      </c>
      <c r="G693" s="13">
        <v>45086</v>
      </c>
      <c r="H693" s="17">
        <v>5000</v>
      </c>
      <c r="I693" s="19">
        <v>5756.9600000000009</v>
      </c>
      <c r="J693" s="20">
        <v>1.1513920000000004</v>
      </c>
      <c r="K693" s="19">
        <v>2735.96</v>
      </c>
      <c r="L693" s="20">
        <v>0.54719200000000001</v>
      </c>
      <c r="M693" s="21">
        <v>0</v>
      </c>
      <c r="N693" s="19">
        <v>0</v>
      </c>
      <c r="O693" s="23">
        <v>1000</v>
      </c>
      <c r="P693" s="24">
        <v>1000</v>
      </c>
      <c r="Q693" s="25">
        <v>1</v>
      </c>
      <c r="R693" s="24">
        <v>547.19200000000001</v>
      </c>
      <c r="S693" s="25">
        <v>0.54719200000000001</v>
      </c>
      <c r="T693" s="26">
        <v>0.54719200000000001</v>
      </c>
      <c r="U693" s="24">
        <v>0</v>
      </c>
      <c r="V693" s="19">
        <v>6000</v>
      </c>
      <c r="W693" s="19">
        <v>6756.9600000000009</v>
      </c>
      <c r="X693" s="21">
        <v>1.12616</v>
      </c>
      <c r="Y693" s="19">
        <v>3283.152</v>
      </c>
      <c r="Z693" s="20">
        <v>0.54719200000000001</v>
      </c>
      <c r="AA693" s="30">
        <v>0.10649999999999994</v>
      </c>
      <c r="AB693" s="27">
        <v>0.09</v>
      </c>
      <c r="AC693" s="27">
        <v>0.1125</v>
      </c>
      <c r="AD693" s="11">
        <v>0.10749194540173979</v>
      </c>
    </row>
    <row r="694" spans="1:30" x14ac:dyDescent="0.25">
      <c r="A694" s="13">
        <v>44725</v>
      </c>
      <c r="B694" s="46" t="s">
        <v>636</v>
      </c>
      <c r="C694" s="13">
        <v>44725</v>
      </c>
      <c r="D694" s="15" t="s">
        <v>782</v>
      </c>
      <c r="E694" s="15">
        <v>36</v>
      </c>
      <c r="F694" s="15">
        <v>30</v>
      </c>
      <c r="G694" s="13">
        <v>44761</v>
      </c>
      <c r="H694" s="17">
        <v>5000</v>
      </c>
      <c r="I694" s="19">
        <v>8623.24</v>
      </c>
      <c r="J694" s="20">
        <v>1.7246480000000002</v>
      </c>
      <c r="K694" s="19">
        <v>5769.6799999999994</v>
      </c>
      <c r="L694" s="20">
        <v>1.1539359999999999</v>
      </c>
      <c r="M694" s="21">
        <v>0</v>
      </c>
      <c r="N694" s="19">
        <v>0</v>
      </c>
      <c r="O694" s="23">
        <v>1000</v>
      </c>
      <c r="P694" s="24">
        <v>1035.2</v>
      </c>
      <c r="Q694" s="25">
        <v>1.0351999999999999</v>
      </c>
      <c r="R694" s="24">
        <v>1000</v>
      </c>
      <c r="S694" s="25">
        <v>1</v>
      </c>
      <c r="T694" s="26">
        <v>0.96599999999999997</v>
      </c>
      <c r="U694" s="24">
        <v>0</v>
      </c>
      <c r="V694" s="19">
        <v>6000</v>
      </c>
      <c r="W694" s="19">
        <v>9658.44</v>
      </c>
      <c r="X694" s="21">
        <v>1.6097400000000002</v>
      </c>
      <c r="Y694" s="19">
        <v>6769.6799999999994</v>
      </c>
      <c r="Z694" s="20">
        <v>1.1282799999999999</v>
      </c>
      <c r="AA694" s="30">
        <v>9.5400000000000026E-2</v>
      </c>
      <c r="AB694" s="27">
        <v>0.04</v>
      </c>
      <c r="AC694" s="27">
        <v>9.9499999999999991E-2</v>
      </c>
      <c r="AD694" s="11">
        <v>9.445904207699192E-2</v>
      </c>
    </row>
    <row r="695" spans="1:30" x14ac:dyDescent="0.25">
      <c r="A695" s="13">
        <v>44727</v>
      </c>
      <c r="B695" s="46" t="s">
        <v>636</v>
      </c>
      <c r="C695" s="13">
        <v>44727</v>
      </c>
      <c r="D695" s="15" t="s">
        <v>783</v>
      </c>
      <c r="E695" s="15">
        <v>84</v>
      </c>
      <c r="F695" s="15">
        <v>90</v>
      </c>
      <c r="G695" s="13">
        <v>44811</v>
      </c>
      <c r="H695" s="17">
        <v>5000</v>
      </c>
      <c r="I695" s="19">
        <v>8746.2899999999991</v>
      </c>
      <c r="J695" s="20">
        <v>1.7492580000000002</v>
      </c>
      <c r="K695" s="19">
        <v>6396.29</v>
      </c>
      <c r="L695" s="20">
        <v>1.279258</v>
      </c>
      <c r="M695" s="21">
        <v>0</v>
      </c>
      <c r="N695" s="19">
        <v>0</v>
      </c>
      <c r="O695" s="23">
        <v>1000</v>
      </c>
      <c r="P695" s="24">
        <v>1214.5999999999999</v>
      </c>
      <c r="Q695" s="25">
        <v>1.2145999999999999</v>
      </c>
      <c r="R695" s="24">
        <v>1000</v>
      </c>
      <c r="S695" s="25">
        <v>1</v>
      </c>
      <c r="T695" s="26">
        <v>0.82332142857142854</v>
      </c>
      <c r="U695" s="24">
        <v>0</v>
      </c>
      <c r="V695" s="19">
        <v>6000</v>
      </c>
      <c r="W695" s="19">
        <v>9960.89</v>
      </c>
      <c r="X695" s="21">
        <v>1.6601483333333333</v>
      </c>
      <c r="Y695" s="19">
        <v>7396.29</v>
      </c>
      <c r="Z695" s="20">
        <v>1.232715</v>
      </c>
      <c r="AA695" s="30">
        <v>0.10189999999999987</v>
      </c>
      <c r="AB695" s="27">
        <v>0.08</v>
      </c>
      <c r="AC695" s="27">
        <v>0.1036</v>
      </c>
      <c r="AD695" s="11">
        <v>0.10065743017896733</v>
      </c>
    </row>
    <row r="696" spans="1:30" x14ac:dyDescent="0.25">
      <c r="A696" s="13">
        <v>44729</v>
      </c>
      <c r="B696" s="46" t="s">
        <v>636</v>
      </c>
      <c r="C696" s="13">
        <v>44729</v>
      </c>
      <c r="D696" s="15" t="s">
        <v>784</v>
      </c>
      <c r="E696" s="15">
        <v>168</v>
      </c>
      <c r="F696" s="15">
        <v>180</v>
      </c>
      <c r="G696" s="13">
        <v>44897</v>
      </c>
      <c r="H696" s="17">
        <v>5000</v>
      </c>
      <c r="I696" s="19">
        <v>6333.96</v>
      </c>
      <c r="J696" s="20">
        <v>1.2667920000000004</v>
      </c>
      <c r="K696" s="19">
        <v>5183.96</v>
      </c>
      <c r="L696" s="20">
        <v>1.0367919999999999</v>
      </c>
      <c r="M696" s="21">
        <v>0</v>
      </c>
      <c r="N696" s="19">
        <v>0</v>
      </c>
      <c r="O696" s="23">
        <v>1000</v>
      </c>
      <c r="P696" s="24">
        <v>30</v>
      </c>
      <c r="Q696" s="25">
        <v>0.03</v>
      </c>
      <c r="R696" s="24">
        <v>30</v>
      </c>
      <c r="S696" s="25">
        <v>0.03</v>
      </c>
      <c r="T696" s="26">
        <v>0</v>
      </c>
      <c r="U696" s="24">
        <v>0</v>
      </c>
      <c r="V696" s="19">
        <v>6000</v>
      </c>
      <c r="W696" s="19">
        <v>6363.96</v>
      </c>
      <c r="X696" s="21">
        <v>1.0606599999999999</v>
      </c>
      <c r="Y696" s="19">
        <v>5213.96</v>
      </c>
      <c r="Z696" s="20">
        <v>0.86899333333333328</v>
      </c>
      <c r="AA696" s="30">
        <v>0.10500000000000018</v>
      </c>
      <c r="AB696" s="27">
        <v>0.09</v>
      </c>
      <c r="AC696" s="27">
        <v>0.1094</v>
      </c>
      <c r="AD696" s="11">
        <v>0.10374881811694421</v>
      </c>
    </row>
    <row r="697" spans="1:30" x14ac:dyDescent="0.25">
      <c r="A697" s="13">
        <v>44732</v>
      </c>
      <c r="B697" s="46" t="s">
        <v>636</v>
      </c>
      <c r="C697" s="13">
        <v>44732</v>
      </c>
      <c r="D697" s="15" t="s">
        <v>785</v>
      </c>
      <c r="E697" s="15">
        <v>35</v>
      </c>
      <c r="F697" s="15">
        <v>30</v>
      </c>
      <c r="G697" s="13">
        <v>44767</v>
      </c>
      <c r="H697" s="17">
        <v>5000</v>
      </c>
      <c r="I697" s="19">
        <v>7219</v>
      </c>
      <c r="J697" s="20">
        <v>1.4438000000000006</v>
      </c>
      <c r="K697" s="19">
        <v>5419</v>
      </c>
      <c r="L697" s="20">
        <v>1.0838000000000001</v>
      </c>
      <c r="M697" s="21">
        <v>0</v>
      </c>
      <c r="N697" s="19">
        <v>0</v>
      </c>
      <c r="O697" s="23">
        <v>1000</v>
      </c>
      <c r="P697" s="24">
        <v>592.1</v>
      </c>
      <c r="Q697" s="25">
        <v>0.59210000000000007</v>
      </c>
      <c r="R697" s="24">
        <v>592.1</v>
      </c>
      <c r="S697" s="25">
        <v>0.59210000000000007</v>
      </c>
      <c r="T697" s="26">
        <v>0</v>
      </c>
      <c r="U697" s="24">
        <v>0</v>
      </c>
      <c r="V697" s="19">
        <v>6000</v>
      </c>
      <c r="W697" s="19">
        <v>7811.1</v>
      </c>
      <c r="X697" s="21">
        <v>1.30185</v>
      </c>
      <c r="Y697" s="19">
        <v>6011.1</v>
      </c>
      <c r="Z697" s="20">
        <v>1.0018500000000001</v>
      </c>
      <c r="AA697" s="30">
        <v>9.6299999999999941E-2</v>
      </c>
      <c r="AB697" s="27">
        <v>8.539999999999999E-2</v>
      </c>
      <c r="AC697" s="27">
        <v>0.10050000000000001</v>
      </c>
      <c r="AD697" s="11">
        <v>9.4842943343953434E-2</v>
      </c>
    </row>
    <row r="698" spans="1:30" x14ac:dyDescent="0.25">
      <c r="A698" s="13">
        <v>44734</v>
      </c>
      <c r="B698" s="46" t="s">
        <v>636</v>
      </c>
      <c r="C698" s="13">
        <v>44734</v>
      </c>
      <c r="D698" s="15" t="s">
        <v>786</v>
      </c>
      <c r="E698" s="15">
        <v>91</v>
      </c>
      <c r="F698" s="15">
        <v>90</v>
      </c>
      <c r="G698" s="13">
        <v>44825</v>
      </c>
      <c r="H698" s="17">
        <v>5800</v>
      </c>
      <c r="I698" s="19">
        <v>5518.079999999999</v>
      </c>
      <c r="J698" s="20">
        <v>0.95139310344827621</v>
      </c>
      <c r="K698" s="19">
        <v>5018.079999999999</v>
      </c>
      <c r="L698" s="20">
        <v>0.86518620689655157</v>
      </c>
      <c r="M698" s="21">
        <v>0</v>
      </c>
      <c r="N698" s="19">
        <v>0</v>
      </c>
      <c r="O698" s="23">
        <v>1160</v>
      </c>
      <c r="P698" s="24">
        <v>525.1</v>
      </c>
      <c r="Q698" s="25">
        <v>0.45267241379310341</v>
      </c>
      <c r="R698" s="24">
        <v>525.1</v>
      </c>
      <c r="S698" s="25">
        <v>0.45267241379310347</v>
      </c>
      <c r="T698" s="26">
        <v>0</v>
      </c>
      <c r="U698" s="24">
        <v>0</v>
      </c>
      <c r="V698" s="19">
        <v>6960</v>
      </c>
      <c r="W698" s="19">
        <v>6043.1799999999994</v>
      </c>
      <c r="X698" s="21">
        <v>0.86827298850574708</v>
      </c>
      <c r="Y698" s="19">
        <v>5543.1799999999994</v>
      </c>
      <c r="Z698" s="20">
        <v>0.79643390804597691</v>
      </c>
      <c r="AA698" s="30">
        <v>0.10269999999999989</v>
      </c>
      <c r="AB698" s="27">
        <v>0.09</v>
      </c>
      <c r="AC698" s="27">
        <v>0.1075</v>
      </c>
      <c r="AD698" s="11">
        <v>0.10132932143064251</v>
      </c>
    </row>
    <row r="699" spans="1:30" x14ac:dyDescent="0.25">
      <c r="A699" s="13">
        <v>44735</v>
      </c>
      <c r="B699" s="46" t="s">
        <v>636</v>
      </c>
      <c r="C699" s="13">
        <v>44736</v>
      </c>
      <c r="D699" s="15" t="s">
        <v>787</v>
      </c>
      <c r="E699" s="15">
        <v>350</v>
      </c>
      <c r="F699" s="15">
        <v>360</v>
      </c>
      <c r="G699" s="13">
        <v>45086</v>
      </c>
      <c r="H699" s="17">
        <v>6800</v>
      </c>
      <c r="I699" s="19">
        <v>5024.68</v>
      </c>
      <c r="J699" s="20">
        <v>0.73892352941176453</v>
      </c>
      <c r="K699" s="19">
        <v>3094.6800000000003</v>
      </c>
      <c r="L699" s="20">
        <v>0.45510000000000006</v>
      </c>
      <c r="M699" s="21">
        <v>0</v>
      </c>
      <c r="N699" s="19">
        <v>0</v>
      </c>
      <c r="O699" s="23">
        <v>1360</v>
      </c>
      <c r="P699" s="24">
        <v>500</v>
      </c>
      <c r="Q699" s="25">
        <v>0.36764705882352944</v>
      </c>
      <c r="R699" s="24">
        <v>500</v>
      </c>
      <c r="S699" s="25">
        <v>0.36764705882352944</v>
      </c>
      <c r="T699" s="26">
        <v>0</v>
      </c>
      <c r="U699" s="24">
        <v>0</v>
      </c>
      <c r="V699" s="19">
        <v>8160</v>
      </c>
      <c r="W699" s="19">
        <v>5524.68</v>
      </c>
      <c r="X699" s="21">
        <v>0.67704411764705885</v>
      </c>
      <c r="Y699" s="19">
        <v>3594.6800000000003</v>
      </c>
      <c r="Z699" s="20">
        <v>0.4405245098039216</v>
      </c>
      <c r="AA699" s="30">
        <v>0.10849999999999999</v>
      </c>
      <c r="AB699" s="27">
        <v>9.6500000000000002E-2</v>
      </c>
      <c r="AC699" s="27">
        <v>0.115</v>
      </c>
      <c r="AD699" s="11">
        <v>0.10800170657633919</v>
      </c>
    </row>
    <row r="700" spans="1:30" x14ac:dyDescent="0.25">
      <c r="A700" s="13">
        <v>44739</v>
      </c>
      <c r="B700" s="46" t="s">
        <v>636</v>
      </c>
      <c r="C700" s="13">
        <v>44739</v>
      </c>
      <c r="D700" s="15" t="s">
        <v>788</v>
      </c>
      <c r="E700" s="15">
        <v>35</v>
      </c>
      <c r="F700" s="15">
        <v>30</v>
      </c>
      <c r="G700" s="13">
        <v>44774</v>
      </c>
      <c r="H700" s="17">
        <v>3300</v>
      </c>
      <c r="I700" s="19">
        <v>5211.8099999999995</v>
      </c>
      <c r="J700" s="20">
        <v>1.5793363636363631</v>
      </c>
      <c r="K700" s="19">
        <v>4011.8100000000004</v>
      </c>
      <c r="L700" s="20">
        <v>1.2157000000000002</v>
      </c>
      <c r="M700" s="21">
        <v>0</v>
      </c>
      <c r="N700" s="19">
        <v>0</v>
      </c>
      <c r="O700" s="23">
        <v>660</v>
      </c>
      <c r="P700" s="24">
        <v>20</v>
      </c>
      <c r="Q700" s="25">
        <v>3.0303030303030304E-2</v>
      </c>
      <c r="R700" s="24">
        <v>20</v>
      </c>
      <c r="S700" s="25">
        <v>3.0303030303030304E-2</v>
      </c>
      <c r="T700" s="26">
        <v>0</v>
      </c>
      <c r="U700" s="24">
        <v>0</v>
      </c>
      <c r="V700" s="19">
        <v>3960</v>
      </c>
      <c r="W700" s="19">
        <v>5231.8099999999995</v>
      </c>
      <c r="X700" s="21">
        <v>1.3211641414141413</v>
      </c>
      <c r="Y700" s="19">
        <v>4031.8100000000004</v>
      </c>
      <c r="Z700" s="20">
        <v>1.0181338383838385</v>
      </c>
      <c r="AA700" s="30">
        <v>9.7699999999999995E-2</v>
      </c>
      <c r="AB700" s="27">
        <v>8.6300000000000002E-2</v>
      </c>
      <c r="AC700" s="27">
        <v>0.1</v>
      </c>
      <c r="AD700" s="11">
        <v>9.5858953991031892E-2</v>
      </c>
    </row>
    <row r="701" spans="1:30" x14ac:dyDescent="0.25">
      <c r="A701" s="13">
        <v>44740</v>
      </c>
      <c r="B701" s="46" t="s">
        <v>636</v>
      </c>
      <c r="C701" s="13">
        <v>44741</v>
      </c>
      <c r="D701" s="15" t="s">
        <v>789</v>
      </c>
      <c r="E701" s="15">
        <v>735</v>
      </c>
      <c r="F701" s="15">
        <v>720</v>
      </c>
      <c r="G701" s="13">
        <v>45476</v>
      </c>
      <c r="H701" s="17">
        <v>1700</v>
      </c>
      <c r="I701" s="19">
        <v>1900.57</v>
      </c>
      <c r="J701" s="20">
        <v>1.1179823529411765</v>
      </c>
      <c r="K701" s="19">
        <v>1825.57</v>
      </c>
      <c r="L701" s="20">
        <v>1.0738647058823529</v>
      </c>
      <c r="M701" s="21">
        <v>0</v>
      </c>
      <c r="N701" s="19">
        <v>0</v>
      </c>
      <c r="O701" s="23">
        <v>340</v>
      </c>
      <c r="P701" s="24">
        <v>340</v>
      </c>
      <c r="Q701" s="25">
        <v>1</v>
      </c>
      <c r="R701" s="24">
        <v>340</v>
      </c>
      <c r="S701" s="25">
        <v>1</v>
      </c>
      <c r="T701" s="26">
        <v>0</v>
      </c>
      <c r="U701" s="24">
        <v>0</v>
      </c>
      <c r="V701" s="19">
        <v>2040</v>
      </c>
      <c r="W701" s="19">
        <v>2240.5699999999997</v>
      </c>
      <c r="X701" s="21">
        <v>1.0983186274509802</v>
      </c>
      <c r="Y701" s="19">
        <v>2165.5699999999997</v>
      </c>
      <c r="Z701" s="20">
        <v>1.0615539215686274</v>
      </c>
      <c r="AA701" s="30">
        <v>0.11000000000000003</v>
      </c>
      <c r="AB701" s="27">
        <v>0.1</v>
      </c>
      <c r="AC701" s="27">
        <v>0.1109</v>
      </c>
      <c r="AD701" s="11">
        <v>0.10950783607023158</v>
      </c>
    </row>
    <row r="702" spans="1:30" x14ac:dyDescent="0.25">
      <c r="A702" s="13">
        <v>44741</v>
      </c>
      <c r="B702" s="46" t="s">
        <v>636</v>
      </c>
      <c r="C702" s="13">
        <v>44741</v>
      </c>
      <c r="D702" s="15" t="s">
        <v>790</v>
      </c>
      <c r="E702" s="15">
        <v>84</v>
      </c>
      <c r="F702" s="15">
        <v>90</v>
      </c>
      <c r="G702" s="13">
        <v>44825</v>
      </c>
      <c r="H702" s="17">
        <v>3300</v>
      </c>
      <c r="I702" s="19">
        <v>6262.7399999999989</v>
      </c>
      <c r="J702" s="20">
        <v>1.8977999999999993</v>
      </c>
      <c r="K702" s="19">
        <v>5712.7399999999989</v>
      </c>
      <c r="L702" s="20">
        <v>1.731133333333333</v>
      </c>
      <c r="M702" s="21">
        <v>0</v>
      </c>
      <c r="N702" s="19">
        <v>0</v>
      </c>
      <c r="O702" s="23">
        <v>660</v>
      </c>
      <c r="P702" s="24">
        <v>35.700000000000003</v>
      </c>
      <c r="Q702" s="25">
        <v>5.4090909090909092E-2</v>
      </c>
      <c r="R702" s="24">
        <v>35.700000000000003</v>
      </c>
      <c r="S702" s="25">
        <v>5.4090909090909092E-2</v>
      </c>
      <c r="T702" s="26">
        <v>0</v>
      </c>
      <c r="U702" s="24">
        <v>0</v>
      </c>
      <c r="V702" s="19">
        <v>3960</v>
      </c>
      <c r="W702" s="19">
        <v>6298.4399999999987</v>
      </c>
      <c r="X702" s="21">
        <v>1.5905151515151512</v>
      </c>
      <c r="Y702" s="19">
        <v>5748.4399999999987</v>
      </c>
      <c r="Z702" s="20">
        <v>1.4516262626262624</v>
      </c>
      <c r="AA702" s="30">
        <v>0.10320000000000011</v>
      </c>
      <c r="AB702" s="27">
        <v>8.5000000000000006E-2</v>
      </c>
      <c r="AC702" s="27">
        <v>0.10439999999999999</v>
      </c>
      <c r="AD702" s="11">
        <v>0.10016763381523106</v>
      </c>
    </row>
    <row r="703" spans="1:30" x14ac:dyDescent="0.25">
      <c r="A703" s="13">
        <v>44743</v>
      </c>
      <c r="B703" s="46" t="s">
        <v>636</v>
      </c>
      <c r="C703" s="13">
        <v>44743</v>
      </c>
      <c r="D703" s="15" t="s">
        <v>791</v>
      </c>
      <c r="E703" s="15">
        <v>175</v>
      </c>
      <c r="F703" s="15">
        <v>180</v>
      </c>
      <c r="G703" s="13">
        <v>44918</v>
      </c>
      <c r="H703" s="17">
        <v>3300</v>
      </c>
      <c r="I703" s="19">
        <v>5659.369999999999</v>
      </c>
      <c r="J703" s="20">
        <v>1.7149606060606057</v>
      </c>
      <c r="K703" s="19">
        <v>3844.3699999999994</v>
      </c>
      <c r="L703" s="20">
        <v>1.1649606060606059</v>
      </c>
      <c r="M703" s="21">
        <v>0</v>
      </c>
      <c r="N703" s="19">
        <v>0</v>
      </c>
      <c r="O703" s="23">
        <v>660</v>
      </c>
      <c r="P703" s="24">
        <v>890</v>
      </c>
      <c r="Q703" s="25">
        <v>1.3484848484848484</v>
      </c>
      <c r="R703" s="24">
        <v>660</v>
      </c>
      <c r="S703" s="25">
        <v>1</v>
      </c>
      <c r="T703" s="26">
        <v>0.74157333333333331</v>
      </c>
      <c r="U703" s="24">
        <v>0</v>
      </c>
      <c r="V703" s="19">
        <v>3960</v>
      </c>
      <c r="W703" s="19">
        <v>6549.369999999999</v>
      </c>
      <c r="X703" s="21">
        <v>1.6538813131313128</v>
      </c>
      <c r="Y703" s="19">
        <v>4504.369999999999</v>
      </c>
      <c r="Z703" s="20">
        <v>1.1374671717171714</v>
      </c>
      <c r="AA703" s="30">
        <v>0.10590000000000008</v>
      </c>
      <c r="AB703" s="27">
        <v>0.09</v>
      </c>
      <c r="AC703" s="27">
        <v>0.11070000000000001</v>
      </c>
      <c r="AD703" s="11">
        <v>0.10486713185389893</v>
      </c>
    </row>
    <row r="704" spans="1:30" x14ac:dyDescent="0.25">
      <c r="A704" s="13">
        <v>44746</v>
      </c>
      <c r="B704" s="46" t="s">
        <v>636</v>
      </c>
      <c r="C704" s="13">
        <v>44746</v>
      </c>
      <c r="D704" s="15" t="s">
        <v>792</v>
      </c>
      <c r="E704" s="15">
        <v>35</v>
      </c>
      <c r="F704" s="15">
        <v>30</v>
      </c>
      <c r="G704" s="13">
        <v>44781</v>
      </c>
      <c r="H704" s="17">
        <v>5000</v>
      </c>
      <c r="I704" s="19">
        <v>10444.779999999999</v>
      </c>
      <c r="J704" s="20">
        <v>2.0889560000000005</v>
      </c>
      <c r="K704" s="19">
        <v>9044.7799999999988</v>
      </c>
      <c r="L704" s="20">
        <v>1.8089559999999998</v>
      </c>
      <c r="M704" s="21">
        <v>0</v>
      </c>
      <c r="N704" s="19">
        <v>0</v>
      </c>
      <c r="O704" s="23">
        <v>1000</v>
      </c>
      <c r="P704" s="24">
        <v>955.3</v>
      </c>
      <c r="Q704" s="25">
        <v>0.95530000000000004</v>
      </c>
      <c r="R704" s="24">
        <v>955.3</v>
      </c>
      <c r="S704" s="25">
        <v>0.95529999999999993</v>
      </c>
      <c r="T704" s="26">
        <v>0</v>
      </c>
      <c r="U704" s="24">
        <v>0</v>
      </c>
      <c r="V704" s="19">
        <v>6000</v>
      </c>
      <c r="W704" s="19">
        <v>11400.079999999998</v>
      </c>
      <c r="X704" s="21">
        <v>1.9000133333333331</v>
      </c>
      <c r="Y704" s="19">
        <v>10000.079999999998</v>
      </c>
      <c r="Z704" s="20">
        <v>1.6666799999999997</v>
      </c>
      <c r="AA704" s="30">
        <v>9.8399999999999904E-2</v>
      </c>
      <c r="AB704" s="27">
        <v>0.08</v>
      </c>
      <c r="AC704" s="27">
        <v>0.1</v>
      </c>
      <c r="AD704" s="11">
        <v>9.6107278181062725E-2</v>
      </c>
    </row>
    <row r="705" spans="1:30" x14ac:dyDescent="0.25">
      <c r="A705" s="13">
        <v>44748</v>
      </c>
      <c r="B705" s="46" t="s">
        <v>636</v>
      </c>
      <c r="C705" s="13">
        <v>44748</v>
      </c>
      <c r="D705" s="15" t="s">
        <v>793</v>
      </c>
      <c r="E705" s="15">
        <v>91</v>
      </c>
      <c r="F705" s="15">
        <v>90</v>
      </c>
      <c r="G705" s="13">
        <v>44839</v>
      </c>
      <c r="H705" s="17">
        <v>5000</v>
      </c>
      <c r="I705" s="19">
        <v>8846.8299999999981</v>
      </c>
      <c r="J705" s="20">
        <v>1.7693660000000004</v>
      </c>
      <c r="K705" s="19">
        <v>7796.83</v>
      </c>
      <c r="L705" s="20">
        <v>1.559366</v>
      </c>
      <c r="M705" s="21">
        <v>0</v>
      </c>
      <c r="N705" s="19">
        <v>0</v>
      </c>
      <c r="O705" s="23">
        <v>1000</v>
      </c>
      <c r="P705" s="24">
        <v>28.700000000000003</v>
      </c>
      <c r="Q705" s="25">
        <v>2.87E-2</v>
      </c>
      <c r="R705" s="24">
        <v>28.700000000000003</v>
      </c>
      <c r="S705" s="25">
        <v>2.8700000000000003E-2</v>
      </c>
      <c r="T705" s="26">
        <v>0</v>
      </c>
      <c r="U705" s="24">
        <v>0</v>
      </c>
      <c r="V705" s="19">
        <v>6000</v>
      </c>
      <c r="W705" s="19">
        <v>8875.5299999999988</v>
      </c>
      <c r="X705" s="21">
        <v>1.4792549999999998</v>
      </c>
      <c r="Y705" s="19">
        <v>7825.53</v>
      </c>
      <c r="Z705" s="20">
        <v>1.3042549999999999</v>
      </c>
      <c r="AA705" s="30">
        <v>0.10360000000000008</v>
      </c>
      <c r="AB705" s="27">
        <v>7.4999999999999997E-2</v>
      </c>
      <c r="AC705" s="27">
        <v>0.10640000000000001</v>
      </c>
      <c r="AD705" s="11">
        <v>0.10232760796805183</v>
      </c>
    </row>
    <row r="706" spans="1:30" x14ac:dyDescent="0.25">
      <c r="A706" s="13">
        <v>44749</v>
      </c>
      <c r="B706" s="46" t="s">
        <v>636</v>
      </c>
      <c r="C706" s="13">
        <v>44750</v>
      </c>
      <c r="D706" s="15" t="s">
        <v>794</v>
      </c>
      <c r="E706" s="15">
        <v>371</v>
      </c>
      <c r="F706" s="15">
        <v>360</v>
      </c>
      <c r="G706" s="13">
        <v>45121</v>
      </c>
      <c r="H706" s="17">
        <v>5000</v>
      </c>
      <c r="I706" s="19">
        <v>4147.05</v>
      </c>
      <c r="J706" s="20">
        <v>0.8294100000000002</v>
      </c>
      <c r="K706" s="19">
        <v>2397.0500000000002</v>
      </c>
      <c r="L706" s="20">
        <v>0.47941000000000006</v>
      </c>
      <c r="M706" s="21">
        <v>0</v>
      </c>
      <c r="N706" s="19">
        <v>0</v>
      </c>
      <c r="O706" s="23">
        <v>1000</v>
      </c>
      <c r="P706" s="24">
        <v>0</v>
      </c>
      <c r="Q706" s="25">
        <v>0</v>
      </c>
      <c r="R706" s="24">
        <v>0</v>
      </c>
      <c r="S706" s="25">
        <v>0</v>
      </c>
      <c r="T706" s="26">
        <v>0</v>
      </c>
      <c r="U706" s="24">
        <v>0</v>
      </c>
      <c r="V706" s="19">
        <v>6000</v>
      </c>
      <c r="W706" s="19">
        <v>4147.05</v>
      </c>
      <c r="X706" s="21">
        <v>0.69117499999999998</v>
      </c>
      <c r="Y706" s="19">
        <v>2397.0500000000002</v>
      </c>
      <c r="Z706" s="20">
        <v>0.39950833333333335</v>
      </c>
      <c r="AA706" s="30">
        <v>0.10910000000000002</v>
      </c>
      <c r="AB706" s="27">
        <v>0.09</v>
      </c>
      <c r="AC706" s="27">
        <v>0.115</v>
      </c>
      <c r="AD706" s="11">
        <v>0.10956334382271732</v>
      </c>
    </row>
    <row r="707" spans="1:30" x14ac:dyDescent="0.25">
      <c r="A707" s="13">
        <v>44753</v>
      </c>
      <c r="B707" s="46" t="s">
        <v>636</v>
      </c>
      <c r="C707" s="13">
        <v>44753</v>
      </c>
      <c r="D707" s="15" t="s">
        <v>795</v>
      </c>
      <c r="E707" s="15">
        <v>35</v>
      </c>
      <c r="F707" s="15">
        <v>30</v>
      </c>
      <c r="G707" s="13">
        <v>44788</v>
      </c>
      <c r="H707" s="17">
        <v>5800</v>
      </c>
      <c r="I707" s="19">
        <v>7667.2500000000009</v>
      </c>
      <c r="J707" s="20">
        <v>1.3219396551724136</v>
      </c>
      <c r="K707" s="19">
        <v>6667.2500000000009</v>
      </c>
      <c r="L707" s="20">
        <v>1.1495258620689657</v>
      </c>
      <c r="M707" s="21">
        <v>0</v>
      </c>
      <c r="N707" s="19">
        <v>0</v>
      </c>
      <c r="O707" s="23">
        <v>1160</v>
      </c>
      <c r="P707" s="24">
        <v>427.56</v>
      </c>
      <c r="Q707" s="25">
        <v>0.36858620689655175</v>
      </c>
      <c r="R707" s="24">
        <v>427.56</v>
      </c>
      <c r="S707" s="25">
        <v>0.36858620689655175</v>
      </c>
      <c r="T707" s="26">
        <v>0</v>
      </c>
      <c r="U707" s="24">
        <v>0</v>
      </c>
      <c r="V707" s="19">
        <v>6960</v>
      </c>
      <c r="W707" s="19">
        <v>8094.8100000000013</v>
      </c>
      <c r="X707" s="21">
        <v>1.1630474137931037</v>
      </c>
      <c r="Y707" s="19">
        <v>7094.8100000000013</v>
      </c>
      <c r="Z707" s="20">
        <v>1.0193692528735634</v>
      </c>
      <c r="AA707" s="30">
        <v>9.9899999999999975E-2</v>
      </c>
      <c r="AB707" s="27">
        <v>0.08</v>
      </c>
      <c r="AC707" s="27">
        <v>0.10150000000000001</v>
      </c>
      <c r="AD707" s="11">
        <v>9.819869444716163E-2</v>
      </c>
    </row>
    <row r="708" spans="1:30" x14ac:dyDescent="0.25">
      <c r="A708" s="13">
        <v>44755</v>
      </c>
      <c r="B708" s="46" t="s">
        <v>636</v>
      </c>
      <c r="C708" s="13">
        <v>44755</v>
      </c>
      <c r="D708" s="15" t="s">
        <v>796</v>
      </c>
      <c r="E708" s="15">
        <v>84</v>
      </c>
      <c r="F708" s="15">
        <v>90</v>
      </c>
      <c r="G708" s="13">
        <v>44839</v>
      </c>
      <c r="H708" s="17">
        <v>5800</v>
      </c>
      <c r="I708" s="19">
        <v>6663.920000000001</v>
      </c>
      <c r="J708" s="20">
        <v>1.148951724137931</v>
      </c>
      <c r="K708" s="19">
        <v>6113.920000000001</v>
      </c>
      <c r="L708" s="20">
        <v>1.0541241379310347</v>
      </c>
      <c r="M708" s="21">
        <v>0</v>
      </c>
      <c r="N708" s="19">
        <v>0</v>
      </c>
      <c r="O708" s="23">
        <v>1160</v>
      </c>
      <c r="P708" s="24">
        <v>240.1</v>
      </c>
      <c r="Q708" s="25">
        <v>0.20698275862068966</v>
      </c>
      <c r="R708" s="24">
        <v>240.1</v>
      </c>
      <c r="S708" s="25">
        <v>0.20698275862068966</v>
      </c>
      <c r="T708" s="26">
        <v>0</v>
      </c>
      <c r="U708" s="24">
        <v>0</v>
      </c>
      <c r="V708" s="19">
        <v>6960</v>
      </c>
      <c r="W708" s="19">
        <v>6904.0200000000013</v>
      </c>
      <c r="X708" s="21">
        <v>0.99195689655172437</v>
      </c>
      <c r="Y708" s="19">
        <v>6354.0200000000013</v>
      </c>
      <c r="Z708" s="20">
        <v>0.91293390804597718</v>
      </c>
      <c r="AA708" s="30">
        <v>0.10440000000000003</v>
      </c>
      <c r="AB708" s="27">
        <v>0.09</v>
      </c>
      <c r="AC708" s="27">
        <v>0.106</v>
      </c>
      <c r="AD708" s="11">
        <v>0.1033492255309187</v>
      </c>
    </row>
    <row r="709" spans="1:30" x14ac:dyDescent="0.25">
      <c r="A709" s="13">
        <v>44757</v>
      </c>
      <c r="B709" s="46" t="s">
        <v>636</v>
      </c>
      <c r="C709" s="13">
        <v>44757</v>
      </c>
      <c r="D709" s="15" t="s">
        <v>797</v>
      </c>
      <c r="E709" s="15">
        <v>189</v>
      </c>
      <c r="F709" s="15">
        <v>180</v>
      </c>
      <c r="G709" s="13">
        <v>44946</v>
      </c>
      <c r="H709" s="17">
        <v>5800</v>
      </c>
      <c r="I709" s="19">
        <v>5262.88</v>
      </c>
      <c r="J709" s="20">
        <v>0.9073931034482754</v>
      </c>
      <c r="K709" s="19">
        <v>3962.8799999999997</v>
      </c>
      <c r="L709" s="20">
        <v>0.68325517241379308</v>
      </c>
      <c r="M709" s="21">
        <v>0</v>
      </c>
      <c r="N709" s="19">
        <v>0</v>
      </c>
      <c r="O709" s="23">
        <v>1160</v>
      </c>
      <c r="P709" s="24">
        <v>290.52</v>
      </c>
      <c r="Q709" s="25">
        <v>0.25044827586206897</v>
      </c>
      <c r="R709" s="24">
        <v>290.52</v>
      </c>
      <c r="S709" s="25">
        <v>0.25044827586206897</v>
      </c>
      <c r="T709" s="26">
        <v>0</v>
      </c>
      <c r="U709" s="24">
        <v>0</v>
      </c>
      <c r="V709" s="19">
        <v>6960</v>
      </c>
      <c r="W709" s="19">
        <v>5553.4</v>
      </c>
      <c r="X709" s="21">
        <v>0.79790229885057462</v>
      </c>
      <c r="Y709" s="19">
        <v>4253.3999999999996</v>
      </c>
      <c r="Z709" s="20">
        <v>0.61112068965517241</v>
      </c>
      <c r="AA709" s="30">
        <v>0.10749999999999994</v>
      </c>
      <c r="AB709" s="27">
        <v>0.09</v>
      </c>
      <c r="AC709" s="27">
        <v>0.115</v>
      </c>
      <c r="AD709" s="11">
        <v>0.10643756992369201</v>
      </c>
    </row>
    <row r="710" spans="1:30" x14ac:dyDescent="0.25">
      <c r="A710" s="13">
        <v>44761</v>
      </c>
      <c r="B710" s="46" t="s">
        <v>636</v>
      </c>
      <c r="C710" s="13">
        <v>44761</v>
      </c>
      <c r="D710" s="15" t="s">
        <v>798</v>
      </c>
      <c r="E710" s="15">
        <v>34</v>
      </c>
      <c r="F710" s="15">
        <v>30</v>
      </c>
      <c r="G710" s="13">
        <v>44795</v>
      </c>
      <c r="H710" s="17">
        <v>6600</v>
      </c>
      <c r="I710" s="19">
        <v>7595.7400000000007</v>
      </c>
      <c r="J710" s="20">
        <v>1.150869696969697</v>
      </c>
      <c r="K710" s="19">
        <v>6695.74</v>
      </c>
      <c r="L710" s="20">
        <v>1.0145060606060605</v>
      </c>
      <c r="M710" s="21">
        <v>0</v>
      </c>
      <c r="N710" s="19">
        <v>0</v>
      </c>
      <c r="O710" s="23">
        <v>1320</v>
      </c>
      <c r="P710" s="24">
        <v>1350.63</v>
      </c>
      <c r="Q710" s="25">
        <v>1.0232045454545455</v>
      </c>
      <c r="R710" s="24">
        <v>1319.9999999999998</v>
      </c>
      <c r="S710" s="25">
        <v>0.99999999999999978</v>
      </c>
      <c r="T710" s="26">
        <v>0.9773217424242423</v>
      </c>
      <c r="U710" s="24">
        <v>0</v>
      </c>
      <c r="V710" s="19">
        <v>7920</v>
      </c>
      <c r="W710" s="19">
        <v>8946.3700000000008</v>
      </c>
      <c r="X710" s="21">
        <v>1.1295921717171717</v>
      </c>
      <c r="Y710" s="19">
        <v>8015.74</v>
      </c>
      <c r="Z710" s="20">
        <v>1.0120883838383838</v>
      </c>
      <c r="AA710" s="30">
        <v>0.1008</v>
      </c>
      <c r="AB710" s="27">
        <v>0.08</v>
      </c>
      <c r="AC710" s="27">
        <v>0.10349999999999999</v>
      </c>
      <c r="AD710" s="11">
        <v>9.932622759599459E-2</v>
      </c>
    </row>
    <row r="711" spans="1:30" x14ac:dyDescent="0.25">
      <c r="A711" s="13">
        <v>44762</v>
      </c>
      <c r="B711" s="46" t="s">
        <v>636</v>
      </c>
      <c r="C711" s="13">
        <v>44762</v>
      </c>
      <c r="D711" s="15" t="s">
        <v>799</v>
      </c>
      <c r="E711" s="15">
        <v>98</v>
      </c>
      <c r="F711" s="15">
        <v>90</v>
      </c>
      <c r="G711" s="13">
        <v>44860</v>
      </c>
      <c r="H711" s="17">
        <v>6600</v>
      </c>
      <c r="I711" s="19">
        <v>4743.2499999999991</v>
      </c>
      <c r="J711" s="20">
        <v>0.71867424242424216</v>
      </c>
      <c r="K711" s="19">
        <v>4493.25</v>
      </c>
      <c r="L711" s="20">
        <v>0.68079545454545454</v>
      </c>
      <c r="M711" s="21">
        <v>0</v>
      </c>
      <c r="N711" s="19">
        <v>0</v>
      </c>
      <c r="O711" s="23">
        <v>1320</v>
      </c>
      <c r="P711" s="24">
        <v>22.05</v>
      </c>
      <c r="Q711" s="25">
        <v>1.6704545454545455E-2</v>
      </c>
      <c r="R711" s="24">
        <v>22.05</v>
      </c>
      <c r="S711" s="25">
        <v>1.6704545454545455E-2</v>
      </c>
      <c r="T711" s="26">
        <v>0</v>
      </c>
      <c r="U711" s="24">
        <v>0</v>
      </c>
      <c r="V711" s="19">
        <v>7920</v>
      </c>
      <c r="W711" s="19">
        <v>4765.2999999999993</v>
      </c>
      <c r="X711" s="21">
        <v>0.60167929292929279</v>
      </c>
      <c r="Y711" s="19">
        <v>4515.3</v>
      </c>
      <c r="Z711" s="20">
        <v>0.57011363636363643</v>
      </c>
      <c r="AA711" s="30">
        <v>0.10590000000000006</v>
      </c>
      <c r="AB711" s="27">
        <v>9.4399999999999998E-2</v>
      </c>
      <c r="AC711" s="27">
        <v>0.1072</v>
      </c>
      <c r="AD711" s="11">
        <v>0.10454714573341063</v>
      </c>
    </row>
    <row r="712" spans="1:30" x14ac:dyDescent="0.25">
      <c r="A712" s="13">
        <v>44763</v>
      </c>
      <c r="B712" s="46" t="s">
        <v>636</v>
      </c>
      <c r="C712" s="13">
        <v>44764</v>
      </c>
      <c r="D712" s="15" t="s">
        <v>800</v>
      </c>
      <c r="E712" s="15">
        <v>357</v>
      </c>
      <c r="F712" s="15">
        <v>360</v>
      </c>
      <c r="G712" s="13">
        <v>45121</v>
      </c>
      <c r="H712" s="17">
        <v>6600</v>
      </c>
      <c r="I712" s="19">
        <v>5099.4099999999989</v>
      </c>
      <c r="J712" s="20">
        <v>0.7726378787878786</v>
      </c>
      <c r="K712" s="19">
        <v>4299.41</v>
      </c>
      <c r="L712" s="20">
        <v>0.6514257575757576</v>
      </c>
      <c r="M712" s="21">
        <v>0</v>
      </c>
      <c r="N712" s="19">
        <v>0</v>
      </c>
      <c r="O712" s="23">
        <v>1320</v>
      </c>
      <c r="P712" s="24">
        <v>250</v>
      </c>
      <c r="Q712" s="25">
        <v>0.18939393939393939</v>
      </c>
      <c r="R712" s="24">
        <v>250</v>
      </c>
      <c r="S712" s="25">
        <v>0.18939393939393939</v>
      </c>
      <c r="T712" s="26">
        <v>0</v>
      </c>
      <c r="U712" s="24">
        <v>0</v>
      </c>
      <c r="V712" s="19">
        <v>7920</v>
      </c>
      <c r="W712" s="19">
        <v>5349.4099999999989</v>
      </c>
      <c r="X712" s="21">
        <v>0.67543055555555542</v>
      </c>
      <c r="Y712" s="19">
        <v>4549.41</v>
      </c>
      <c r="Z712" s="20">
        <v>0.57442045454545454</v>
      </c>
      <c r="AA712" s="30">
        <v>0.11139999999999997</v>
      </c>
      <c r="AB712" s="27">
        <v>0.09</v>
      </c>
      <c r="AC712" s="27">
        <v>0.12</v>
      </c>
      <c r="AD712" s="11">
        <v>0.11032720942226655</v>
      </c>
    </row>
    <row r="713" spans="1:30" x14ac:dyDescent="0.25">
      <c r="A713" s="13">
        <v>44767</v>
      </c>
      <c r="B713" s="46" t="s">
        <v>636</v>
      </c>
      <c r="C713" s="13">
        <v>44767</v>
      </c>
      <c r="D713" s="15" t="s">
        <v>801</v>
      </c>
      <c r="E713" s="15">
        <v>35</v>
      </c>
      <c r="F713" s="15">
        <v>30</v>
      </c>
      <c r="G713" s="13">
        <v>44802</v>
      </c>
      <c r="H713" s="17">
        <v>3750</v>
      </c>
      <c r="I713" s="19">
        <v>3637.93</v>
      </c>
      <c r="J713" s="20">
        <v>0.97011466666666646</v>
      </c>
      <c r="K713" s="19">
        <v>3587.93</v>
      </c>
      <c r="L713" s="20">
        <v>0.95678133333333326</v>
      </c>
      <c r="M713" s="21">
        <v>0</v>
      </c>
      <c r="N713" s="19">
        <v>0</v>
      </c>
      <c r="O713" s="23">
        <v>750</v>
      </c>
      <c r="P713" s="24">
        <v>102.5</v>
      </c>
      <c r="Q713" s="25">
        <v>0.13666666666666666</v>
      </c>
      <c r="R713" s="24">
        <v>102.5</v>
      </c>
      <c r="S713" s="25">
        <v>0.13666666666666666</v>
      </c>
      <c r="T713" s="26">
        <v>0</v>
      </c>
      <c r="U713" s="24">
        <v>0</v>
      </c>
      <c r="V713" s="19">
        <v>4500</v>
      </c>
      <c r="W713" s="19">
        <v>3740.43</v>
      </c>
      <c r="X713" s="21">
        <v>0.83120666666666665</v>
      </c>
      <c r="Y713" s="19">
        <v>3690.43</v>
      </c>
      <c r="Z713" s="20">
        <v>0.82009555555555547</v>
      </c>
      <c r="AA713" s="30">
        <v>0.10250000000000002</v>
      </c>
      <c r="AB713" s="27">
        <v>0.09</v>
      </c>
      <c r="AC713" s="27">
        <v>0.10279999999999999</v>
      </c>
      <c r="AD713" s="11">
        <v>9.8616129227335328E-2</v>
      </c>
    </row>
    <row r="714" spans="1:30" x14ac:dyDescent="0.25">
      <c r="A714" s="13">
        <v>44768</v>
      </c>
      <c r="B714" s="46" t="s">
        <v>636</v>
      </c>
      <c r="C714" s="13">
        <v>44769</v>
      </c>
      <c r="D714" s="15" t="s">
        <v>802</v>
      </c>
      <c r="E714" s="15">
        <v>707</v>
      </c>
      <c r="F714" s="15">
        <v>720</v>
      </c>
      <c r="G714" s="13">
        <v>45476</v>
      </c>
      <c r="H714" s="17">
        <v>1200</v>
      </c>
      <c r="I714" s="19">
        <v>2877.53</v>
      </c>
      <c r="J714" s="20">
        <v>2.3979416666666666</v>
      </c>
      <c r="K714" s="19">
        <v>2377.5300000000002</v>
      </c>
      <c r="L714" s="20">
        <v>1.9812750000000001</v>
      </c>
      <c r="M714" s="21">
        <v>0</v>
      </c>
      <c r="N714" s="19">
        <v>0</v>
      </c>
      <c r="O714" s="23">
        <v>240</v>
      </c>
      <c r="P714" s="24">
        <v>240.1</v>
      </c>
      <c r="Q714" s="25">
        <v>1.0004166666666667</v>
      </c>
      <c r="R714" s="24">
        <v>240</v>
      </c>
      <c r="S714" s="25">
        <v>1</v>
      </c>
      <c r="T714" s="26">
        <v>0.99958333333333338</v>
      </c>
      <c r="U714" s="24">
        <v>0</v>
      </c>
      <c r="V714" s="19">
        <v>1440</v>
      </c>
      <c r="W714" s="19">
        <v>3117.63</v>
      </c>
      <c r="X714" s="21">
        <v>2.1650208333333336</v>
      </c>
      <c r="Y714" s="19">
        <v>2617.5300000000002</v>
      </c>
      <c r="Z714" s="20">
        <v>1.8177291666666668</v>
      </c>
      <c r="AA714" s="30">
        <v>0.11249999999999999</v>
      </c>
      <c r="AB714" s="27">
        <v>0.09</v>
      </c>
      <c r="AC714" s="27">
        <v>0.1144</v>
      </c>
      <c r="AD714" s="11">
        <v>0.11208694609613104</v>
      </c>
    </row>
    <row r="715" spans="1:30" x14ac:dyDescent="0.25">
      <c r="A715" s="13">
        <v>44769</v>
      </c>
      <c r="B715" s="46" t="s">
        <v>636</v>
      </c>
      <c r="C715" s="13">
        <v>44769</v>
      </c>
      <c r="D715" s="15" t="s">
        <v>803</v>
      </c>
      <c r="E715" s="15">
        <v>97</v>
      </c>
      <c r="F715" s="15">
        <v>90</v>
      </c>
      <c r="G715" s="13">
        <v>44866</v>
      </c>
      <c r="H715" s="17">
        <v>3750</v>
      </c>
      <c r="I715" s="19">
        <v>3290.08</v>
      </c>
      <c r="J715" s="20">
        <v>0.87735466666666651</v>
      </c>
      <c r="K715" s="19">
        <v>2790.08</v>
      </c>
      <c r="L715" s="20">
        <v>0.74402133333333331</v>
      </c>
      <c r="M715" s="21">
        <v>0</v>
      </c>
      <c r="N715" s="19">
        <v>0</v>
      </c>
      <c r="O715" s="23">
        <v>750</v>
      </c>
      <c r="P715" s="24">
        <v>0</v>
      </c>
      <c r="Q715" s="25">
        <v>0</v>
      </c>
      <c r="R715" s="24">
        <v>0</v>
      </c>
      <c r="S715" s="25">
        <v>0</v>
      </c>
      <c r="T715" s="26">
        <v>0</v>
      </c>
      <c r="U715" s="24">
        <v>0</v>
      </c>
      <c r="V715" s="19">
        <v>4500</v>
      </c>
      <c r="W715" s="19">
        <v>3290.08</v>
      </c>
      <c r="X715" s="21">
        <v>0.73112888888888883</v>
      </c>
      <c r="Y715" s="19">
        <v>2790.08</v>
      </c>
      <c r="Z715" s="20">
        <v>0.62001777777777778</v>
      </c>
      <c r="AA715" s="30">
        <v>0.1069</v>
      </c>
      <c r="AB715" s="27">
        <v>9.5899999999999999E-2</v>
      </c>
      <c r="AC715" s="27">
        <v>0.11</v>
      </c>
      <c r="AD715" s="11">
        <v>0.10533176700870496</v>
      </c>
    </row>
    <row r="716" spans="1:30" x14ac:dyDescent="0.25">
      <c r="A716" s="13">
        <v>44771</v>
      </c>
      <c r="B716" s="46" t="s">
        <v>636</v>
      </c>
      <c r="C716" s="13">
        <v>44771</v>
      </c>
      <c r="D716" s="15" t="s">
        <v>804</v>
      </c>
      <c r="E716" s="15">
        <v>175</v>
      </c>
      <c r="F716" s="15">
        <v>180</v>
      </c>
      <c r="G716" s="13">
        <v>44946</v>
      </c>
      <c r="H716" s="17">
        <v>3750</v>
      </c>
      <c r="I716" s="19">
        <v>2599.4100000000003</v>
      </c>
      <c r="J716" s="20">
        <v>0.69317599999999979</v>
      </c>
      <c r="K716" s="19">
        <v>2599.4100000000003</v>
      </c>
      <c r="L716" s="20">
        <v>0.69317600000000013</v>
      </c>
      <c r="M716" s="21">
        <v>0</v>
      </c>
      <c r="N716" s="19">
        <v>0</v>
      </c>
      <c r="O716" s="23">
        <v>750</v>
      </c>
      <c r="P716" s="24">
        <v>0</v>
      </c>
      <c r="Q716" s="25">
        <v>0</v>
      </c>
      <c r="R716" s="24">
        <v>0</v>
      </c>
      <c r="S716" s="25">
        <v>0</v>
      </c>
      <c r="T716" s="26">
        <v>0</v>
      </c>
      <c r="U716" s="24">
        <v>0</v>
      </c>
      <c r="V716" s="19">
        <v>4500</v>
      </c>
      <c r="W716" s="19">
        <v>2599.4100000000003</v>
      </c>
      <c r="X716" s="21">
        <v>0.57764666666666675</v>
      </c>
      <c r="Y716" s="19">
        <v>2599.4100000000003</v>
      </c>
      <c r="Z716" s="20">
        <v>0.57764666666666675</v>
      </c>
      <c r="AA716" s="30">
        <v>0.10999999999999997</v>
      </c>
      <c r="AB716" s="27">
        <v>9.5000000000000001E-2</v>
      </c>
      <c r="AC716" s="27">
        <v>0.11</v>
      </c>
      <c r="AD716" s="11">
        <v>0.10584607160855732</v>
      </c>
    </row>
    <row r="717" spans="1:30" x14ac:dyDescent="0.25">
      <c r="A717" s="13">
        <v>44774</v>
      </c>
      <c r="B717" s="46" t="s">
        <v>636</v>
      </c>
      <c r="C717" s="13">
        <v>44774</v>
      </c>
      <c r="D717" s="15" t="s">
        <v>805</v>
      </c>
      <c r="E717" s="15">
        <v>35</v>
      </c>
      <c r="F717" s="15">
        <v>30</v>
      </c>
      <c r="G717" s="13">
        <v>44809</v>
      </c>
      <c r="H717" s="17">
        <v>4000</v>
      </c>
      <c r="I717" s="19">
        <v>7975.1200000000008</v>
      </c>
      <c r="J717" s="20">
        <v>1.9937799999999999</v>
      </c>
      <c r="K717" s="19">
        <v>7275.12</v>
      </c>
      <c r="L717" s="20">
        <v>1.8187800000000001</v>
      </c>
      <c r="M717" s="21">
        <v>0</v>
      </c>
      <c r="N717" s="19">
        <v>0</v>
      </c>
      <c r="O717" s="23">
        <v>800</v>
      </c>
      <c r="P717" s="24">
        <v>830</v>
      </c>
      <c r="Q717" s="25">
        <v>1.0375000000000001</v>
      </c>
      <c r="R717" s="24">
        <v>800</v>
      </c>
      <c r="S717" s="25">
        <v>1</v>
      </c>
      <c r="T717" s="26">
        <v>0.96385666666666669</v>
      </c>
      <c r="U717" s="24">
        <v>0</v>
      </c>
      <c r="V717" s="19">
        <v>4800</v>
      </c>
      <c r="W717" s="19">
        <v>8805.1200000000008</v>
      </c>
      <c r="X717" s="21">
        <v>1.8344000000000003</v>
      </c>
      <c r="Y717" s="19">
        <v>8075.12</v>
      </c>
      <c r="Z717" s="20">
        <v>1.6823166666666667</v>
      </c>
      <c r="AA717" s="30">
        <v>0.10320000000000008</v>
      </c>
      <c r="AB717" s="27">
        <v>0.04</v>
      </c>
      <c r="AC717" s="27">
        <v>0.1045</v>
      </c>
      <c r="AD717" s="11">
        <v>0.10211966026843482</v>
      </c>
    </row>
    <row r="718" spans="1:30" x14ac:dyDescent="0.25">
      <c r="A718" s="13">
        <v>44776</v>
      </c>
      <c r="B718" s="46" t="s">
        <v>636</v>
      </c>
      <c r="C718" s="13">
        <v>44776</v>
      </c>
      <c r="D718" s="15" t="s">
        <v>806</v>
      </c>
      <c r="E718" s="15">
        <v>90</v>
      </c>
      <c r="F718" s="15">
        <v>90</v>
      </c>
      <c r="G718" s="13">
        <v>44866</v>
      </c>
      <c r="H718" s="17">
        <v>4000</v>
      </c>
      <c r="I718" s="19">
        <v>8293.2999999999993</v>
      </c>
      <c r="J718" s="20">
        <v>2.0733249999999988</v>
      </c>
      <c r="K718" s="19">
        <v>6793.2999999999993</v>
      </c>
      <c r="L718" s="20">
        <v>1.6983249999999999</v>
      </c>
      <c r="M718" s="21">
        <v>0</v>
      </c>
      <c r="N718" s="19">
        <v>0</v>
      </c>
      <c r="O718" s="23">
        <v>800</v>
      </c>
      <c r="P718" s="24">
        <v>342</v>
      </c>
      <c r="Q718" s="25">
        <v>0.42749999999999999</v>
      </c>
      <c r="R718" s="24">
        <v>342</v>
      </c>
      <c r="S718" s="25">
        <v>0.42749999999999999</v>
      </c>
      <c r="T718" s="26">
        <v>0</v>
      </c>
      <c r="U718" s="24">
        <v>0</v>
      </c>
      <c r="V718" s="19">
        <v>4800</v>
      </c>
      <c r="W718" s="19">
        <v>8635.2999999999993</v>
      </c>
      <c r="X718" s="21">
        <v>1.7990208333333333</v>
      </c>
      <c r="Y718" s="19">
        <v>7135.2999999999993</v>
      </c>
      <c r="Z718" s="20">
        <v>1.4865208333333333</v>
      </c>
      <c r="AA718" s="30">
        <v>0.10780000000000006</v>
      </c>
      <c r="AB718" s="27">
        <v>9.5000000000000001E-2</v>
      </c>
      <c r="AC718" s="27">
        <v>0.11199999999999999</v>
      </c>
      <c r="AD718" s="11">
        <v>0.10641311215077234</v>
      </c>
    </row>
    <row r="719" spans="1:30" x14ac:dyDescent="0.25">
      <c r="A719" s="13">
        <v>44777</v>
      </c>
      <c r="B719" s="46" t="s">
        <v>636</v>
      </c>
      <c r="C719" s="13">
        <v>44778</v>
      </c>
      <c r="D719" s="15" t="s">
        <v>807</v>
      </c>
      <c r="E719" s="15">
        <v>343</v>
      </c>
      <c r="F719" s="15">
        <v>360</v>
      </c>
      <c r="G719" s="13">
        <v>45121</v>
      </c>
      <c r="H719" s="17">
        <v>4000</v>
      </c>
      <c r="I719" s="19">
        <v>3737.0299999999997</v>
      </c>
      <c r="J719" s="20">
        <v>0.93425749999999996</v>
      </c>
      <c r="K719" s="19">
        <v>1657.0300000000002</v>
      </c>
      <c r="L719" s="20">
        <v>0.41425750000000006</v>
      </c>
      <c r="M719" s="21">
        <v>0</v>
      </c>
      <c r="N719" s="19">
        <v>0</v>
      </c>
      <c r="O719" s="23">
        <v>800</v>
      </c>
      <c r="P719" s="24">
        <v>800</v>
      </c>
      <c r="Q719" s="25">
        <v>1</v>
      </c>
      <c r="R719" s="24">
        <v>331.40600000000001</v>
      </c>
      <c r="S719" s="25">
        <v>0.4142575</v>
      </c>
      <c r="T719" s="26">
        <v>0.4142575</v>
      </c>
      <c r="U719" s="24">
        <v>0</v>
      </c>
      <c r="V719" s="19">
        <v>4800</v>
      </c>
      <c r="W719" s="19">
        <v>4537.03</v>
      </c>
      <c r="X719" s="21">
        <v>0.9452145833333333</v>
      </c>
      <c r="Y719" s="19">
        <v>1988.4360000000001</v>
      </c>
      <c r="Z719" s="20">
        <v>0.41425750000000006</v>
      </c>
      <c r="AA719" s="30">
        <v>0.11240000000000004</v>
      </c>
      <c r="AB719" s="27">
        <v>0.1</v>
      </c>
      <c r="AC719" s="27">
        <v>0.11609999999999999</v>
      </c>
      <c r="AD719" s="11">
        <v>0.11303734516447554</v>
      </c>
    </row>
    <row r="720" spans="1:30" x14ac:dyDescent="0.25">
      <c r="A720" s="13">
        <v>44781</v>
      </c>
      <c r="B720" s="46" t="s">
        <v>636</v>
      </c>
      <c r="C720" s="13">
        <v>44781</v>
      </c>
      <c r="D720" s="15" t="s">
        <v>808</v>
      </c>
      <c r="E720" s="15">
        <v>35</v>
      </c>
      <c r="F720" s="15">
        <v>30</v>
      </c>
      <c r="G720" s="13">
        <v>44816</v>
      </c>
      <c r="H720" s="17">
        <v>5800</v>
      </c>
      <c r="I720" s="19">
        <v>10218.089999999998</v>
      </c>
      <c r="J720" s="20">
        <v>1.761739655172414</v>
      </c>
      <c r="K720" s="19">
        <v>9018.0899999999983</v>
      </c>
      <c r="L720" s="20">
        <v>1.5548431034482755</v>
      </c>
      <c r="M720" s="21">
        <v>0</v>
      </c>
      <c r="N720" s="19">
        <v>0</v>
      </c>
      <c r="O720" s="23">
        <v>1160</v>
      </c>
      <c r="P720" s="24">
        <v>1220.5</v>
      </c>
      <c r="Q720" s="25">
        <v>1.0521551724137932</v>
      </c>
      <c r="R720" s="24">
        <v>1160</v>
      </c>
      <c r="S720" s="25">
        <v>1</v>
      </c>
      <c r="T720" s="26">
        <v>0.95043017241379313</v>
      </c>
      <c r="U720" s="24">
        <v>0</v>
      </c>
      <c r="V720" s="19">
        <v>6960</v>
      </c>
      <c r="W720" s="19">
        <v>11438.589999999998</v>
      </c>
      <c r="X720" s="21">
        <v>1.6434755747126435</v>
      </c>
      <c r="Y720" s="19">
        <v>10178.089999999998</v>
      </c>
      <c r="Z720" s="20">
        <v>1.462369252873563</v>
      </c>
      <c r="AA720" s="30">
        <v>0.10390000000000012</v>
      </c>
      <c r="AB720" s="27">
        <v>0.09</v>
      </c>
      <c r="AC720" s="27">
        <v>0.105</v>
      </c>
      <c r="AD720" s="11">
        <v>0.10239129915669168</v>
      </c>
    </row>
    <row r="721" spans="1:30" x14ac:dyDescent="0.25">
      <c r="A721" s="13">
        <v>44783</v>
      </c>
      <c r="B721" s="46" t="s">
        <v>636</v>
      </c>
      <c r="C721" s="13">
        <v>44783</v>
      </c>
      <c r="D721" s="15" t="s">
        <v>809</v>
      </c>
      <c r="E721" s="15">
        <v>91</v>
      </c>
      <c r="F721" s="15">
        <v>90</v>
      </c>
      <c r="G721" s="13">
        <v>44874</v>
      </c>
      <c r="H721" s="17">
        <v>4000</v>
      </c>
      <c r="I721" s="19">
        <v>6492.5400000000009</v>
      </c>
      <c r="J721" s="20">
        <v>1.6231349999999993</v>
      </c>
      <c r="K721" s="19">
        <v>5942.5400000000009</v>
      </c>
      <c r="L721" s="20">
        <v>1.4856350000000003</v>
      </c>
      <c r="M721" s="21">
        <v>0</v>
      </c>
      <c r="N721" s="19">
        <v>0</v>
      </c>
      <c r="O721" s="23">
        <v>800</v>
      </c>
      <c r="P721" s="24">
        <v>20</v>
      </c>
      <c r="Q721" s="25">
        <v>2.5000000000000001E-2</v>
      </c>
      <c r="R721" s="24">
        <v>20</v>
      </c>
      <c r="S721" s="25">
        <v>2.5000000000000001E-2</v>
      </c>
      <c r="T721" s="26">
        <v>0</v>
      </c>
      <c r="U721" s="24">
        <v>0</v>
      </c>
      <c r="V721" s="19">
        <v>4800</v>
      </c>
      <c r="W721" s="19">
        <v>6512.5400000000009</v>
      </c>
      <c r="X721" s="21">
        <v>1.3567791666666669</v>
      </c>
      <c r="Y721" s="19">
        <v>5962.5400000000009</v>
      </c>
      <c r="Z721" s="20">
        <v>1.2421958333333336</v>
      </c>
      <c r="AA721" s="30">
        <v>0.10949999999999996</v>
      </c>
      <c r="AB721" s="27">
        <v>0.05</v>
      </c>
      <c r="AC721" s="27">
        <v>0.1115</v>
      </c>
      <c r="AD721" s="11">
        <v>0.10787720275885862</v>
      </c>
    </row>
    <row r="722" spans="1:30" x14ac:dyDescent="0.25">
      <c r="A722" s="13">
        <v>44785</v>
      </c>
      <c r="B722" s="46" t="s">
        <v>636</v>
      </c>
      <c r="C722" s="13">
        <v>44785</v>
      </c>
      <c r="D722" s="15" t="s">
        <v>810</v>
      </c>
      <c r="E722" s="15">
        <v>189</v>
      </c>
      <c r="F722" s="15">
        <v>180</v>
      </c>
      <c r="G722" s="13">
        <v>44974</v>
      </c>
      <c r="H722" s="17">
        <v>6600</v>
      </c>
      <c r="I722" s="19">
        <v>4701.24</v>
      </c>
      <c r="J722" s="20">
        <v>0.71230909090909067</v>
      </c>
      <c r="K722" s="19">
        <v>3831.2400000000002</v>
      </c>
      <c r="L722" s="20">
        <v>0.58049090909090917</v>
      </c>
      <c r="M722" s="21">
        <v>0</v>
      </c>
      <c r="N722" s="19">
        <v>0</v>
      </c>
      <c r="O722" s="23">
        <v>1320</v>
      </c>
      <c r="P722" s="24">
        <v>0.14000000000000001</v>
      </c>
      <c r="Q722" s="25">
        <v>1.0606060606060608E-4</v>
      </c>
      <c r="R722" s="24">
        <v>0.14000000000000001</v>
      </c>
      <c r="S722" s="25">
        <v>1.0606060606060608E-4</v>
      </c>
      <c r="T722" s="26">
        <v>0</v>
      </c>
      <c r="U722" s="24">
        <v>0</v>
      </c>
      <c r="V722" s="19">
        <v>7920</v>
      </c>
      <c r="W722" s="19">
        <v>4701.38</v>
      </c>
      <c r="X722" s="21">
        <v>0.59360858585858589</v>
      </c>
      <c r="Y722" s="19">
        <v>3831.38</v>
      </c>
      <c r="Z722" s="20">
        <v>0.48376010101010103</v>
      </c>
      <c r="AA722" s="30">
        <v>0.11120000000000012</v>
      </c>
      <c r="AB722" s="27">
        <v>0.09</v>
      </c>
      <c r="AC722" s="27">
        <v>0.11509999999999999</v>
      </c>
      <c r="AD722" s="11">
        <v>0.1092997953731356</v>
      </c>
    </row>
    <row r="723" spans="1:30" x14ac:dyDescent="0.25">
      <c r="A723" s="13">
        <v>44788</v>
      </c>
      <c r="B723" s="46" t="s">
        <v>636</v>
      </c>
      <c r="C723" s="13">
        <v>44788</v>
      </c>
      <c r="D723" s="15" t="s">
        <v>811</v>
      </c>
      <c r="E723" s="15">
        <v>35</v>
      </c>
      <c r="F723" s="15">
        <v>30</v>
      </c>
      <c r="G723" s="13">
        <v>44823</v>
      </c>
      <c r="H723" s="17">
        <v>7500</v>
      </c>
      <c r="I723" s="19">
        <v>6822.78</v>
      </c>
      <c r="J723" s="20">
        <v>0.9097040000000004</v>
      </c>
      <c r="K723" s="19">
        <v>6052.78</v>
      </c>
      <c r="L723" s="20">
        <v>0.80703733333333327</v>
      </c>
      <c r="M723" s="21">
        <v>0</v>
      </c>
      <c r="N723" s="19">
        <v>0</v>
      </c>
      <c r="O723" s="23">
        <v>1500</v>
      </c>
      <c r="P723" s="24">
        <v>27.3</v>
      </c>
      <c r="Q723" s="25">
        <v>1.8200000000000001E-2</v>
      </c>
      <c r="R723" s="24">
        <v>27.3</v>
      </c>
      <c r="S723" s="25">
        <v>1.8200000000000001E-2</v>
      </c>
      <c r="T723" s="26">
        <v>0</v>
      </c>
      <c r="U723" s="24">
        <v>0</v>
      </c>
      <c r="V723" s="19">
        <v>9000</v>
      </c>
      <c r="W723" s="19">
        <v>6850.08</v>
      </c>
      <c r="X723" s="21">
        <v>0.76112000000000002</v>
      </c>
      <c r="Y723" s="19">
        <v>6080.08</v>
      </c>
      <c r="Z723" s="20">
        <v>0.67556444444444441</v>
      </c>
      <c r="AA723" s="30">
        <v>0.1051000000000001</v>
      </c>
      <c r="AB723" s="27">
        <v>0.06</v>
      </c>
      <c r="AC723" s="27">
        <v>0.10769999999999999</v>
      </c>
      <c r="AD723" s="11">
        <v>0.10366033933381993</v>
      </c>
    </row>
    <row r="724" spans="1:30" x14ac:dyDescent="0.25">
      <c r="A724" s="13">
        <v>44790</v>
      </c>
      <c r="B724" s="46" t="s">
        <v>636</v>
      </c>
      <c r="C724" s="13">
        <v>44790</v>
      </c>
      <c r="D724" s="15" t="s">
        <v>812</v>
      </c>
      <c r="E724" s="15">
        <v>91</v>
      </c>
      <c r="F724" s="15">
        <v>90</v>
      </c>
      <c r="G724" s="13">
        <v>44881</v>
      </c>
      <c r="H724" s="17">
        <v>7500</v>
      </c>
      <c r="I724" s="19">
        <v>8530.2199999999993</v>
      </c>
      <c r="J724" s="20">
        <v>1.1373626666666667</v>
      </c>
      <c r="K724" s="19">
        <v>7570.2199999999993</v>
      </c>
      <c r="L724" s="20">
        <v>1.0093626666666666</v>
      </c>
      <c r="M724" s="21">
        <v>0</v>
      </c>
      <c r="N724" s="19">
        <v>0</v>
      </c>
      <c r="O724" s="23">
        <v>1500</v>
      </c>
      <c r="P724" s="24">
        <v>100.52</v>
      </c>
      <c r="Q724" s="25">
        <v>6.7013333333333341E-2</v>
      </c>
      <c r="R724" s="24">
        <v>100.52</v>
      </c>
      <c r="S724" s="25">
        <v>6.7013333333333328E-2</v>
      </c>
      <c r="T724" s="26">
        <v>0</v>
      </c>
      <c r="U724" s="24">
        <v>0</v>
      </c>
      <c r="V724" s="19">
        <v>9000</v>
      </c>
      <c r="W724" s="19">
        <v>8630.74</v>
      </c>
      <c r="X724" s="21">
        <v>0.95897111111111111</v>
      </c>
      <c r="Y724" s="19">
        <v>7670.74</v>
      </c>
      <c r="Z724" s="20">
        <v>0.85230444444444442</v>
      </c>
      <c r="AA724" s="30">
        <v>0.1109000000000001</v>
      </c>
      <c r="AB724" s="27">
        <v>0.05</v>
      </c>
      <c r="AC724" s="27">
        <v>0.1119</v>
      </c>
      <c r="AD724" s="11">
        <v>0.10893705906764425</v>
      </c>
    </row>
    <row r="725" spans="1:30" x14ac:dyDescent="0.25">
      <c r="A725" s="13">
        <v>44791</v>
      </c>
      <c r="B725" s="46" t="s">
        <v>636</v>
      </c>
      <c r="C725" s="13">
        <v>44792</v>
      </c>
      <c r="D725" s="15" t="s">
        <v>813</v>
      </c>
      <c r="E725" s="15">
        <v>364</v>
      </c>
      <c r="F725" s="15">
        <v>360</v>
      </c>
      <c r="G725" s="13">
        <v>45156</v>
      </c>
      <c r="H725" s="17">
        <v>7500</v>
      </c>
      <c r="I725" s="19">
        <v>6197.9399999999987</v>
      </c>
      <c r="J725" s="20">
        <v>0.82639199999999968</v>
      </c>
      <c r="K725" s="19">
        <v>5147.9399999999987</v>
      </c>
      <c r="L725" s="20">
        <v>0.68639199999999978</v>
      </c>
      <c r="M725" s="21">
        <v>0</v>
      </c>
      <c r="N725" s="19">
        <v>0</v>
      </c>
      <c r="O725" s="23">
        <v>1500</v>
      </c>
      <c r="P725" s="24">
        <v>1500</v>
      </c>
      <c r="Q725" s="25">
        <v>1</v>
      </c>
      <c r="R725" s="24">
        <v>1029.588</v>
      </c>
      <c r="S725" s="25">
        <v>0.686392</v>
      </c>
      <c r="T725" s="26">
        <v>0.686392</v>
      </c>
      <c r="U725" s="24">
        <v>0</v>
      </c>
      <c r="V725" s="19">
        <v>9000</v>
      </c>
      <c r="W725" s="19">
        <v>7697.9399999999987</v>
      </c>
      <c r="X725" s="21">
        <v>0.85532666666666657</v>
      </c>
      <c r="Y725" s="19">
        <v>6177.5279999999984</v>
      </c>
      <c r="Z725" s="20">
        <v>0.68639199999999978</v>
      </c>
      <c r="AA725" s="30">
        <v>0.11479999999999986</v>
      </c>
      <c r="AB725" s="27">
        <v>0.10249999999999999</v>
      </c>
      <c r="AC725" s="27">
        <v>0.1162</v>
      </c>
      <c r="AD725" s="11">
        <v>0.11317536955827262</v>
      </c>
    </row>
    <row r="726" spans="1:30" x14ac:dyDescent="0.25">
      <c r="A726" s="13">
        <v>44795</v>
      </c>
      <c r="B726" s="46" t="s">
        <v>636</v>
      </c>
      <c r="C726" s="13">
        <v>44795</v>
      </c>
      <c r="D726" s="15" t="s">
        <v>814</v>
      </c>
      <c r="E726" s="15">
        <v>35</v>
      </c>
      <c r="F726" s="15">
        <v>30</v>
      </c>
      <c r="G726" s="13">
        <v>44830</v>
      </c>
      <c r="H726" s="17">
        <v>5800</v>
      </c>
      <c r="I726" s="19">
        <v>5447.8300000000008</v>
      </c>
      <c r="J726" s="20">
        <v>0.9392810344827589</v>
      </c>
      <c r="K726" s="19">
        <v>5047.8300000000008</v>
      </c>
      <c r="L726" s="20">
        <v>0.87031551724137945</v>
      </c>
      <c r="M726" s="21">
        <v>0</v>
      </c>
      <c r="N726" s="19">
        <v>0</v>
      </c>
      <c r="O726" s="23">
        <v>1160</v>
      </c>
      <c r="P726" s="24">
        <v>32.19</v>
      </c>
      <c r="Q726" s="25">
        <v>2.7749999999999997E-2</v>
      </c>
      <c r="R726" s="24">
        <v>32.19</v>
      </c>
      <c r="S726" s="25">
        <v>2.7749999999999997E-2</v>
      </c>
      <c r="T726" s="26">
        <v>0</v>
      </c>
      <c r="U726" s="24">
        <v>0</v>
      </c>
      <c r="V726" s="19">
        <v>6960</v>
      </c>
      <c r="W726" s="19">
        <v>5480.02</v>
      </c>
      <c r="X726" s="21">
        <v>0.78735919540229893</v>
      </c>
      <c r="Y726" s="19">
        <v>5080.0200000000004</v>
      </c>
      <c r="Z726" s="20">
        <v>0.7298879310344828</v>
      </c>
      <c r="AA726" s="30">
        <v>0.10579999999999995</v>
      </c>
      <c r="AB726" s="27">
        <v>0.09</v>
      </c>
      <c r="AC726" s="27">
        <v>0.1069</v>
      </c>
      <c r="AD726" s="11">
        <v>0.10412901136782902</v>
      </c>
    </row>
    <row r="727" spans="1:30" x14ac:dyDescent="0.25">
      <c r="A727" s="13">
        <v>44797</v>
      </c>
      <c r="B727" s="46" t="s">
        <v>636</v>
      </c>
      <c r="C727" s="13">
        <v>44797</v>
      </c>
      <c r="D727" s="15" t="s">
        <v>815</v>
      </c>
      <c r="E727" s="15">
        <v>91</v>
      </c>
      <c r="F727" s="15">
        <v>90</v>
      </c>
      <c r="G727" s="13">
        <v>44888</v>
      </c>
      <c r="H727" s="17">
        <v>3300</v>
      </c>
      <c r="I727" s="19">
        <v>4950.4100000000008</v>
      </c>
      <c r="J727" s="20">
        <v>1.5001242424242425</v>
      </c>
      <c r="K727" s="19">
        <v>3650.4099999999994</v>
      </c>
      <c r="L727" s="20">
        <v>1.1061848484848482</v>
      </c>
      <c r="M727" s="21">
        <v>0</v>
      </c>
      <c r="N727" s="19">
        <v>0</v>
      </c>
      <c r="O727" s="23">
        <v>660</v>
      </c>
      <c r="P727" s="24">
        <v>747.72</v>
      </c>
      <c r="Q727" s="25">
        <v>1.1329090909090909</v>
      </c>
      <c r="R727" s="24">
        <v>660</v>
      </c>
      <c r="S727" s="25">
        <v>1</v>
      </c>
      <c r="T727" s="26">
        <v>0.88269067796610168</v>
      </c>
      <c r="U727" s="24">
        <v>0</v>
      </c>
      <c r="V727" s="19">
        <v>3960</v>
      </c>
      <c r="W727" s="19">
        <v>5698.130000000001</v>
      </c>
      <c r="X727" s="21">
        <v>1.4389217171717175</v>
      </c>
      <c r="Y727" s="19">
        <v>4310.41</v>
      </c>
      <c r="Z727" s="20">
        <v>1.0884873737373737</v>
      </c>
      <c r="AA727" s="30">
        <v>0.11150000000000007</v>
      </c>
      <c r="AB727" s="27">
        <v>0.09</v>
      </c>
      <c r="AC727" s="27">
        <v>0.11349999999999999</v>
      </c>
      <c r="AD727" s="11">
        <v>0.11067530689377242</v>
      </c>
    </row>
    <row r="728" spans="1:30" x14ac:dyDescent="0.25">
      <c r="A728" s="13">
        <v>44799</v>
      </c>
      <c r="B728" s="46" t="s">
        <v>636</v>
      </c>
      <c r="C728" s="13">
        <v>44799</v>
      </c>
      <c r="D728" s="15" t="s">
        <v>816</v>
      </c>
      <c r="E728" s="15">
        <v>175</v>
      </c>
      <c r="F728" s="15">
        <v>180</v>
      </c>
      <c r="G728" s="13">
        <v>44974</v>
      </c>
      <c r="H728" s="17">
        <v>3300</v>
      </c>
      <c r="I728" s="19">
        <v>3745.64</v>
      </c>
      <c r="J728" s="20">
        <v>1.1350424242424242</v>
      </c>
      <c r="K728" s="19">
        <v>3545.64</v>
      </c>
      <c r="L728" s="20">
        <v>1.0744363636363636</v>
      </c>
      <c r="M728" s="21">
        <v>0</v>
      </c>
      <c r="N728" s="19">
        <v>0</v>
      </c>
      <c r="O728" s="23">
        <v>660</v>
      </c>
      <c r="P728" s="24">
        <v>100</v>
      </c>
      <c r="Q728" s="25">
        <v>0.15151515151515152</v>
      </c>
      <c r="R728" s="24">
        <v>100</v>
      </c>
      <c r="S728" s="25">
        <v>0.15151515151515152</v>
      </c>
      <c r="T728" s="26">
        <v>0</v>
      </c>
      <c r="U728" s="24">
        <v>0</v>
      </c>
      <c r="V728" s="19">
        <v>3960</v>
      </c>
      <c r="W728" s="19">
        <v>3845.64</v>
      </c>
      <c r="X728" s="21">
        <v>0.97112121212121205</v>
      </c>
      <c r="Y728" s="19">
        <v>3645.64</v>
      </c>
      <c r="Z728" s="20">
        <v>0.92061616161616155</v>
      </c>
      <c r="AA728" s="30">
        <v>0.1128</v>
      </c>
      <c r="AB728" s="27">
        <v>0.09</v>
      </c>
      <c r="AC728" s="27">
        <v>0.1143</v>
      </c>
      <c r="AD728" s="11">
        <v>0.11028778393011605</v>
      </c>
    </row>
    <row r="729" spans="1:30" x14ac:dyDescent="0.25">
      <c r="A729" s="13">
        <v>44802</v>
      </c>
      <c r="B729" s="46" t="s">
        <v>636</v>
      </c>
      <c r="C729" s="13">
        <v>44802</v>
      </c>
      <c r="D729" s="15" t="s">
        <v>817</v>
      </c>
      <c r="E729" s="15">
        <v>35</v>
      </c>
      <c r="F729" s="15">
        <v>30</v>
      </c>
      <c r="G729" s="13">
        <v>44837</v>
      </c>
      <c r="H729" s="17">
        <v>3300</v>
      </c>
      <c r="I729" s="19">
        <v>5022.6900000000014</v>
      </c>
      <c r="J729" s="20">
        <v>1.5220272727272719</v>
      </c>
      <c r="K729" s="19">
        <v>4122.6899999999996</v>
      </c>
      <c r="L729" s="20">
        <v>1.2492999999999999</v>
      </c>
      <c r="M729" s="21">
        <v>0</v>
      </c>
      <c r="N729" s="19">
        <v>0</v>
      </c>
      <c r="O729" s="23">
        <v>660</v>
      </c>
      <c r="P729" s="24">
        <v>2.5499999999999998</v>
      </c>
      <c r="Q729" s="25">
        <v>3.8636363636363634E-3</v>
      </c>
      <c r="R729" s="24">
        <v>2.5499999999999998</v>
      </c>
      <c r="S729" s="25">
        <v>3.8636363636363634E-3</v>
      </c>
      <c r="T729" s="26">
        <v>0</v>
      </c>
      <c r="U729" s="24">
        <v>0</v>
      </c>
      <c r="V729" s="19">
        <v>3960</v>
      </c>
      <c r="W729" s="19">
        <v>5025.2400000000016</v>
      </c>
      <c r="X729" s="21">
        <v>1.2690000000000003</v>
      </c>
      <c r="Y729" s="19">
        <v>4125.24</v>
      </c>
      <c r="Z729" s="20">
        <v>1.0417272727272726</v>
      </c>
      <c r="AA729" s="30">
        <v>0.10599999999999997</v>
      </c>
      <c r="AB729" s="27">
        <v>9.5000000000000001E-2</v>
      </c>
      <c r="AC729" s="27">
        <v>0.1075</v>
      </c>
      <c r="AD729" s="11">
        <v>0.10428168172831688</v>
      </c>
    </row>
    <row r="730" spans="1:30" x14ac:dyDescent="0.25">
      <c r="A730" s="13">
        <v>44803</v>
      </c>
      <c r="B730" s="46" t="s">
        <v>636</v>
      </c>
      <c r="C730" s="13">
        <v>44804</v>
      </c>
      <c r="D730" s="15" t="s">
        <v>818</v>
      </c>
      <c r="E730" s="15">
        <v>756</v>
      </c>
      <c r="F730" s="15">
        <v>720</v>
      </c>
      <c r="G730" s="13">
        <v>45560</v>
      </c>
      <c r="H730" s="17">
        <v>1600</v>
      </c>
      <c r="I730" s="19">
        <v>1467.69</v>
      </c>
      <c r="J730" s="20">
        <v>0.91730624999999999</v>
      </c>
      <c r="K730" s="19">
        <v>1467.69</v>
      </c>
      <c r="L730" s="20">
        <v>0.91730624999999999</v>
      </c>
      <c r="M730" s="21">
        <v>0</v>
      </c>
      <c r="N730" s="19">
        <v>0</v>
      </c>
      <c r="O730" s="23">
        <v>320</v>
      </c>
      <c r="P730" s="24">
        <v>520</v>
      </c>
      <c r="Q730" s="25">
        <v>1.625</v>
      </c>
      <c r="R730" s="24">
        <v>293.53800000000001</v>
      </c>
      <c r="S730" s="25">
        <v>0.91730624999999999</v>
      </c>
      <c r="T730" s="26">
        <v>0.56449625000000003</v>
      </c>
      <c r="U730" s="24">
        <v>0</v>
      </c>
      <c r="V730" s="19">
        <v>1920</v>
      </c>
      <c r="W730" s="19">
        <v>1987.69</v>
      </c>
      <c r="X730" s="21">
        <v>1.0352552083333333</v>
      </c>
      <c r="Y730" s="19">
        <v>1761.2280000000001</v>
      </c>
      <c r="Z730" s="20">
        <v>0.91730624999999999</v>
      </c>
      <c r="AA730" s="30">
        <v>0.1178</v>
      </c>
      <c r="AB730" s="27">
        <v>0.11</v>
      </c>
      <c r="AC730" s="27">
        <v>0.11779999999999999</v>
      </c>
      <c r="AD730" s="11">
        <v>0.11662605863636055</v>
      </c>
    </row>
    <row r="731" spans="1:30" x14ac:dyDescent="0.25">
      <c r="A731" s="13">
        <v>44804</v>
      </c>
      <c r="B731" s="46" t="s">
        <v>636</v>
      </c>
      <c r="C731" s="13">
        <v>44804</v>
      </c>
      <c r="D731" s="15" t="s">
        <v>819</v>
      </c>
      <c r="E731" s="15">
        <v>84</v>
      </c>
      <c r="F731" s="15">
        <v>90</v>
      </c>
      <c r="G731" s="13">
        <v>44888</v>
      </c>
      <c r="H731" s="17">
        <v>3300</v>
      </c>
      <c r="I731" s="19">
        <v>5364.7300000000005</v>
      </c>
      <c r="J731" s="20">
        <v>1.625675757575757</v>
      </c>
      <c r="K731" s="19">
        <v>4064.73</v>
      </c>
      <c r="L731" s="20">
        <v>1.2317363636363636</v>
      </c>
      <c r="M731" s="21">
        <v>0</v>
      </c>
      <c r="N731" s="19">
        <v>0</v>
      </c>
      <c r="O731" s="23">
        <v>660</v>
      </c>
      <c r="P731" s="24">
        <v>20.55</v>
      </c>
      <c r="Q731" s="25">
        <v>3.1136363636363636E-2</v>
      </c>
      <c r="R731" s="24">
        <v>20.55</v>
      </c>
      <c r="S731" s="25">
        <v>3.1136363636363639E-2</v>
      </c>
      <c r="T731" s="26">
        <v>0</v>
      </c>
      <c r="U731" s="24">
        <v>0</v>
      </c>
      <c r="V731" s="19">
        <v>3960</v>
      </c>
      <c r="W731" s="19">
        <v>5385.2800000000007</v>
      </c>
      <c r="X731" s="21">
        <v>1.3599191919191922</v>
      </c>
      <c r="Y731" s="19">
        <v>4085.28</v>
      </c>
      <c r="Z731" s="20">
        <v>1.0316363636363637</v>
      </c>
      <c r="AA731" s="30">
        <v>0.11179999999999989</v>
      </c>
      <c r="AB731" s="27">
        <v>0.09</v>
      </c>
      <c r="AC731" s="27">
        <v>0.1128</v>
      </c>
      <c r="AD731" s="11">
        <v>0.11072347536595502</v>
      </c>
    </row>
    <row r="732" spans="1:30" x14ac:dyDescent="0.25">
      <c r="A732" s="13">
        <v>44805</v>
      </c>
      <c r="B732" s="46" t="s">
        <v>636</v>
      </c>
      <c r="C732" s="13">
        <v>44806</v>
      </c>
      <c r="D732" s="15" t="s">
        <v>820</v>
      </c>
      <c r="E732" s="15">
        <v>350</v>
      </c>
      <c r="F732" s="15">
        <v>360</v>
      </c>
      <c r="G732" s="13">
        <v>45156</v>
      </c>
      <c r="H732" s="17">
        <v>5000</v>
      </c>
      <c r="I732" s="19">
        <v>5488.0199999999995</v>
      </c>
      <c r="J732" s="20">
        <v>1.0976040000000002</v>
      </c>
      <c r="K732" s="19">
        <v>4126.42</v>
      </c>
      <c r="L732" s="20">
        <v>0.82528400000000002</v>
      </c>
      <c r="M732" s="21">
        <v>0</v>
      </c>
      <c r="N732" s="19">
        <v>0</v>
      </c>
      <c r="O732" s="23">
        <v>1000</v>
      </c>
      <c r="P732" s="24">
        <v>600</v>
      </c>
      <c r="Q732" s="25">
        <v>0.6</v>
      </c>
      <c r="R732" s="24">
        <v>600</v>
      </c>
      <c r="S732" s="25">
        <v>0.6</v>
      </c>
      <c r="T732" s="26">
        <v>0</v>
      </c>
      <c r="U732" s="24">
        <v>0</v>
      </c>
      <c r="V732" s="19">
        <v>6000</v>
      </c>
      <c r="W732" s="19">
        <v>6088.0199999999995</v>
      </c>
      <c r="X732" s="21">
        <v>1.01467</v>
      </c>
      <c r="Y732" s="19">
        <v>4726.42</v>
      </c>
      <c r="Z732" s="20">
        <v>0.78773666666666664</v>
      </c>
      <c r="AA732" s="30">
        <v>0.11639999999999996</v>
      </c>
      <c r="AB732" s="27">
        <v>0.1</v>
      </c>
      <c r="AC732" s="27">
        <v>0.11990000000000001</v>
      </c>
      <c r="AD732" s="11">
        <v>0.11490354007456242</v>
      </c>
    </row>
    <row r="733" spans="1:30" x14ac:dyDescent="0.25">
      <c r="A733" s="13">
        <v>44809</v>
      </c>
      <c r="B733" s="46" t="s">
        <v>636</v>
      </c>
      <c r="C733" s="13">
        <v>44809</v>
      </c>
      <c r="D733" s="15" t="s">
        <v>821</v>
      </c>
      <c r="E733" s="15">
        <v>36</v>
      </c>
      <c r="F733" s="15">
        <v>30</v>
      </c>
      <c r="G733" s="13">
        <v>44845</v>
      </c>
      <c r="H733" s="17">
        <v>5800</v>
      </c>
      <c r="I733" s="19">
        <v>6717.6399999999994</v>
      </c>
      <c r="J733" s="20">
        <v>1.1582137931034482</v>
      </c>
      <c r="K733" s="19">
        <v>6017.6399999999994</v>
      </c>
      <c r="L733" s="20">
        <v>1.0375241379310345</v>
      </c>
      <c r="M733" s="21">
        <v>0</v>
      </c>
      <c r="N733" s="19">
        <v>0</v>
      </c>
      <c r="O733" s="23">
        <v>1160</v>
      </c>
      <c r="P733" s="24">
        <v>430</v>
      </c>
      <c r="Q733" s="25">
        <v>0.37068965517241381</v>
      </c>
      <c r="R733" s="24">
        <v>430</v>
      </c>
      <c r="S733" s="25">
        <v>0.37068965517241381</v>
      </c>
      <c r="T733" s="26">
        <v>0</v>
      </c>
      <c r="U733" s="24">
        <v>0</v>
      </c>
      <c r="V733" s="19">
        <v>6960</v>
      </c>
      <c r="W733" s="19">
        <v>7147.6399999999994</v>
      </c>
      <c r="X733" s="21">
        <v>1.0269597701149424</v>
      </c>
      <c r="Y733" s="19">
        <v>6447.6399999999994</v>
      </c>
      <c r="Z733" s="20">
        <v>0.92638505747126432</v>
      </c>
      <c r="AA733" s="30">
        <v>0.10689999999999993</v>
      </c>
      <c r="AB733" s="27">
        <v>0.09</v>
      </c>
      <c r="AC733" s="27">
        <v>0.1168</v>
      </c>
      <c r="AD733" s="11">
        <v>0.10567177386701282</v>
      </c>
    </row>
    <row r="734" spans="1:30" x14ac:dyDescent="0.25">
      <c r="A734" s="13">
        <v>44811</v>
      </c>
      <c r="B734" s="46" t="s">
        <v>636</v>
      </c>
      <c r="C734" s="13">
        <v>44811</v>
      </c>
      <c r="D734" s="15" t="s">
        <v>822</v>
      </c>
      <c r="E734" s="15">
        <v>98</v>
      </c>
      <c r="F734" s="15">
        <v>90</v>
      </c>
      <c r="G734" s="13">
        <v>44909</v>
      </c>
      <c r="H734" s="17">
        <v>5800</v>
      </c>
      <c r="I734" s="19">
        <v>13124.65</v>
      </c>
      <c r="J734" s="20">
        <v>2.262870689655172</v>
      </c>
      <c r="K734" s="19">
        <v>10674.650000000001</v>
      </c>
      <c r="L734" s="20">
        <v>1.8404568965517243</v>
      </c>
      <c r="M734" s="21">
        <v>0</v>
      </c>
      <c r="N734" s="19">
        <v>0</v>
      </c>
      <c r="O734" s="23">
        <v>1160</v>
      </c>
      <c r="P734" s="24">
        <v>1137.3600000000001</v>
      </c>
      <c r="Q734" s="25">
        <v>0.98048275862068968</v>
      </c>
      <c r="R734" s="24">
        <v>1137.3600000000001</v>
      </c>
      <c r="S734" s="25">
        <v>0.98048275862068979</v>
      </c>
      <c r="T734" s="26">
        <v>0</v>
      </c>
      <c r="U734" s="24">
        <v>0</v>
      </c>
      <c r="V734" s="19">
        <v>6960</v>
      </c>
      <c r="W734" s="19">
        <v>14262.01</v>
      </c>
      <c r="X734" s="21">
        <v>2.0491393678160921</v>
      </c>
      <c r="Y734" s="19">
        <v>11812.010000000002</v>
      </c>
      <c r="Z734" s="20">
        <v>1.6971278735632187</v>
      </c>
      <c r="AA734" s="30">
        <v>0.11229999999999994</v>
      </c>
      <c r="AB734" s="27">
        <v>0.05</v>
      </c>
      <c r="AC734" s="27">
        <v>0.11349999999999999</v>
      </c>
      <c r="AD734" s="11">
        <v>0.11098369221274471</v>
      </c>
    </row>
    <row r="735" spans="1:30" x14ac:dyDescent="0.25">
      <c r="A735" s="13">
        <v>44813</v>
      </c>
      <c r="B735" s="46" t="s">
        <v>636</v>
      </c>
      <c r="C735" s="13">
        <v>44813</v>
      </c>
      <c r="D735" s="15" t="s">
        <v>823</v>
      </c>
      <c r="E735" s="15">
        <v>189</v>
      </c>
      <c r="F735" s="15">
        <v>180</v>
      </c>
      <c r="G735" s="13">
        <v>45002</v>
      </c>
      <c r="H735" s="17">
        <v>5000</v>
      </c>
      <c r="I735" s="19">
        <v>6498.1</v>
      </c>
      <c r="J735" s="20">
        <v>1.2996200000000004</v>
      </c>
      <c r="K735" s="19">
        <v>4698.1000000000004</v>
      </c>
      <c r="L735" s="20">
        <v>0.93962000000000012</v>
      </c>
      <c r="M735" s="21">
        <v>0</v>
      </c>
      <c r="N735" s="19">
        <v>0</v>
      </c>
      <c r="O735" s="23">
        <v>1000</v>
      </c>
      <c r="P735" s="24">
        <v>420</v>
      </c>
      <c r="Q735" s="25">
        <v>0.42000000000000004</v>
      </c>
      <c r="R735" s="24">
        <v>420</v>
      </c>
      <c r="S735" s="25">
        <v>0.42</v>
      </c>
      <c r="T735" s="26">
        <v>0</v>
      </c>
      <c r="U735" s="24">
        <v>0</v>
      </c>
      <c r="V735" s="19">
        <v>6000</v>
      </c>
      <c r="W735" s="19">
        <v>6918.1</v>
      </c>
      <c r="X735" s="21">
        <v>1.1530166666666668</v>
      </c>
      <c r="Y735" s="19">
        <v>5118.1000000000004</v>
      </c>
      <c r="Z735" s="20">
        <v>0.85301666666666676</v>
      </c>
      <c r="AA735" s="30">
        <v>0.11439999999999988</v>
      </c>
      <c r="AB735" s="27">
        <v>0.05</v>
      </c>
      <c r="AC735" s="27">
        <v>0.122</v>
      </c>
      <c r="AD735" s="11">
        <v>0.11129107277511886</v>
      </c>
    </row>
    <row r="736" spans="1:30" x14ac:dyDescent="0.25">
      <c r="A736" s="13">
        <v>44816</v>
      </c>
      <c r="B736" s="46" t="s">
        <v>636</v>
      </c>
      <c r="C736" s="13">
        <v>44816</v>
      </c>
      <c r="D736" s="15" t="s">
        <v>824</v>
      </c>
      <c r="E736" s="15">
        <v>35</v>
      </c>
      <c r="F736" s="15">
        <v>30</v>
      </c>
      <c r="G736" s="13">
        <v>44851</v>
      </c>
      <c r="H736" s="17">
        <v>8400</v>
      </c>
      <c r="I736" s="19">
        <v>13295.99</v>
      </c>
      <c r="J736" s="20">
        <v>1.5828559523809518</v>
      </c>
      <c r="K736" s="19">
        <v>11545.99</v>
      </c>
      <c r="L736" s="20">
        <v>1.374522619047619</v>
      </c>
      <c r="M736" s="21">
        <v>0</v>
      </c>
      <c r="N736" s="19">
        <v>0</v>
      </c>
      <c r="O736" s="23">
        <v>1680</v>
      </c>
      <c r="P736" s="24">
        <v>569.35</v>
      </c>
      <c r="Q736" s="25">
        <v>0.33889880952380957</v>
      </c>
      <c r="R736" s="24">
        <v>569.35</v>
      </c>
      <c r="S736" s="25">
        <v>0.33889880952380952</v>
      </c>
      <c r="T736" s="26">
        <v>0</v>
      </c>
      <c r="U736" s="24">
        <v>0</v>
      </c>
      <c r="V736" s="19">
        <v>10080</v>
      </c>
      <c r="W736" s="19">
        <v>13865.34</v>
      </c>
      <c r="X736" s="21">
        <v>1.3755297619047619</v>
      </c>
      <c r="Y736" s="19">
        <v>12115.34</v>
      </c>
      <c r="Z736" s="20">
        <v>1.2019186507936508</v>
      </c>
      <c r="AA736" s="30">
        <v>0.1077000000000001</v>
      </c>
      <c r="AB736" s="27">
        <v>8.5000000000000006E-2</v>
      </c>
      <c r="AC736" s="27">
        <v>0.109</v>
      </c>
      <c r="AD736" s="11">
        <v>0.10629400473375808</v>
      </c>
    </row>
    <row r="737" spans="1:30" x14ac:dyDescent="0.25">
      <c r="A737" s="13">
        <v>44818</v>
      </c>
      <c r="B737" s="46" t="s">
        <v>636</v>
      </c>
      <c r="C737" s="13">
        <v>44818</v>
      </c>
      <c r="D737" s="15" t="s">
        <v>825</v>
      </c>
      <c r="E737" s="15">
        <v>98</v>
      </c>
      <c r="F737" s="15">
        <v>90</v>
      </c>
      <c r="G737" s="13">
        <v>44916</v>
      </c>
      <c r="H737" s="17">
        <v>5800</v>
      </c>
      <c r="I737" s="19">
        <v>5289.8199999999988</v>
      </c>
      <c r="J737" s="20">
        <v>0.91203793103448272</v>
      </c>
      <c r="K737" s="19">
        <v>4189.82</v>
      </c>
      <c r="L737" s="20">
        <v>0.72238275862068957</v>
      </c>
      <c r="M737" s="21">
        <v>0</v>
      </c>
      <c r="N737" s="19">
        <v>0</v>
      </c>
      <c r="O737" s="23">
        <v>1160</v>
      </c>
      <c r="P737" s="24">
        <v>0</v>
      </c>
      <c r="Q737" s="25">
        <v>0</v>
      </c>
      <c r="R737" s="24">
        <v>0</v>
      </c>
      <c r="S737" s="25">
        <v>0</v>
      </c>
      <c r="T737" s="26">
        <v>0</v>
      </c>
      <c r="U737" s="24">
        <v>0</v>
      </c>
      <c r="V737" s="19">
        <v>6960</v>
      </c>
      <c r="W737" s="19">
        <v>5289.8199999999988</v>
      </c>
      <c r="X737" s="21">
        <v>0.76003160919540214</v>
      </c>
      <c r="Y737" s="19">
        <v>4189.82</v>
      </c>
      <c r="Z737" s="20">
        <v>0.60198563218390799</v>
      </c>
      <c r="AA737" s="30">
        <v>0.11289999999999985</v>
      </c>
      <c r="AB737" s="27">
        <v>0.09</v>
      </c>
      <c r="AC737" s="27">
        <v>0.11699999999999999</v>
      </c>
      <c r="AD737" s="11">
        <v>0.11245536180815228</v>
      </c>
    </row>
    <row r="738" spans="1:30" x14ac:dyDescent="0.25">
      <c r="A738" s="13">
        <v>44819</v>
      </c>
      <c r="B738" s="46" t="s">
        <v>636</v>
      </c>
      <c r="C738" s="13">
        <v>44820</v>
      </c>
      <c r="D738" s="15" t="s">
        <v>826</v>
      </c>
      <c r="E738" s="15">
        <v>364</v>
      </c>
      <c r="F738" s="15">
        <v>360</v>
      </c>
      <c r="G738" s="13">
        <v>45184</v>
      </c>
      <c r="H738" s="17">
        <v>5800</v>
      </c>
      <c r="I738" s="19">
        <v>2447.3000000000002</v>
      </c>
      <c r="J738" s="20">
        <v>0.42194827586206901</v>
      </c>
      <c r="K738" s="19">
        <v>2197.3000000000002</v>
      </c>
      <c r="L738" s="20">
        <v>0.37884482758620691</v>
      </c>
      <c r="M738" s="21">
        <v>0</v>
      </c>
      <c r="N738" s="19">
        <v>0</v>
      </c>
      <c r="O738" s="23">
        <v>1160</v>
      </c>
      <c r="P738" s="24">
        <v>700</v>
      </c>
      <c r="Q738" s="25">
        <v>0.60344827586206895</v>
      </c>
      <c r="R738" s="24">
        <v>439.46000000000004</v>
      </c>
      <c r="S738" s="25">
        <v>0.37884482758620691</v>
      </c>
      <c r="T738" s="26">
        <v>0.62780000000000002</v>
      </c>
      <c r="U738" s="24">
        <v>0</v>
      </c>
      <c r="V738" s="19">
        <v>6960</v>
      </c>
      <c r="W738" s="19">
        <v>3147.3</v>
      </c>
      <c r="X738" s="21">
        <v>0.45219827586206901</v>
      </c>
      <c r="Y738" s="19">
        <v>2636.76</v>
      </c>
      <c r="Z738" s="20">
        <v>0.37884482758620691</v>
      </c>
      <c r="AA738" s="30">
        <v>0.11649999999999998</v>
      </c>
      <c r="AB738" s="27">
        <v>0.10640000000000001</v>
      </c>
      <c r="AC738" s="27">
        <v>0.11990000000000001</v>
      </c>
      <c r="AD738" s="11">
        <v>0.11516107710538144</v>
      </c>
    </row>
    <row r="739" spans="1:30" x14ac:dyDescent="0.25">
      <c r="A739" s="13">
        <v>44823</v>
      </c>
      <c r="B739" s="46" t="s">
        <v>636</v>
      </c>
      <c r="C739" s="13">
        <v>44823</v>
      </c>
      <c r="D739" s="15" t="s">
        <v>827</v>
      </c>
      <c r="E739" s="15">
        <v>35</v>
      </c>
      <c r="F739" s="15">
        <v>30</v>
      </c>
      <c r="G739" s="13">
        <v>44858</v>
      </c>
      <c r="H739" s="17">
        <v>5800</v>
      </c>
      <c r="I739" s="19">
        <v>8619.010000000002</v>
      </c>
      <c r="J739" s="20">
        <v>1.4860362068965522</v>
      </c>
      <c r="K739" s="19">
        <v>8169.01</v>
      </c>
      <c r="L739" s="20">
        <v>1.40845</v>
      </c>
      <c r="M739" s="21">
        <v>0</v>
      </c>
      <c r="N739" s="19">
        <v>0</v>
      </c>
      <c r="O739" s="23">
        <v>1160</v>
      </c>
      <c r="P739" s="24">
        <v>122.35</v>
      </c>
      <c r="Q739" s="25">
        <v>0.10547413793103447</v>
      </c>
      <c r="R739" s="24">
        <v>122.35</v>
      </c>
      <c r="S739" s="25">
        <v>0.10547413793103448</v>
      </c>
      <c r="T739" s="26">
        <v>0</v>
      </c>
      <c r="U739" s="24">
        <v>0</v>
      </c>
      <c r="V739" s="19">
        <v>6960</v>
      </c>
      <c r="W739" s="19">
        <v>8741.3600000000024</v>
      </c>
      <c r="X739" s="21">
        <v>1.2559425287356325</v>
      </c>
      <c r="Y739" s="19">
        <v>8291.36</v>
      </c>
      <c r="Z739" s="20">
        <v>1.1912873563218391</v>
      </c>
      <c r="AA739" s="30">
        <v>0.108</v>
      </c>
      <c r="AB739" s="27">
        <v>0.09</v>
      </c>
      <c r="AC739" s="27">
        <v>0.10880000000000001</v>
      </c>
      <c r="AD739" s="11">
        <v>0.10643839605708774</v>
      </c>
    </row>
    <row r="740" spans="1:30" x14ac:dyDescent="0.25">
      <c r="A740" s="13">
        <v>44825</v>
      </c>
      <c r="B740" s="46" t="s">
        <v>636</v>
      </c>
      <c r="C740" s="13">
        <v>44825</v>
      </c>
      <c r="D740" s="15" t="s">
        <v>828</v>
      </c>
      <c r="E740" s="15">
        <v>98</v>
      </c>
      <c r="F740" s="15">
        <v>90</v>
      </c>
      <c r="G740" s="13">
        <v>44923</v>
      </c>
      <c r="H740" s="17">
        <v>5800</v>
      </c>
      <c r="I740" s="19">
        <v>8713.9699999999993</v>
      </c>
      <c r="J740" s="20">
        <v>1.5024086206896554</v>
      </c>
      <c r="K740" s="19">
        <v>6803.9699999999993</v>
      </c>
      <c r="L740" s="20">
        <v>1.1730982758620689</v>
      </c>
      <c r="M740" s="21">
        <v>0</v>
      </c>
      <c r="N740" s="19">
        <v>0</v>
      </c>
      <c r="O740" s="23">
        <v>1160</v>
      </c>
      <c r="P740" s="24">
        <v>930.53</v>
      </c>
      <c r="Q740" s="25">
        <v>0.80218103448275857</v>
      </c>
      <c r="R740" s="24">
        <v>930.53</v>
      </c>
      <c r="S740" s="25">
        <v>0.80218103448275857</v>
      </c>
      <c r="T740" s="26">
        <v>0</v>
      </c>
      <c r="U740" s="24">
        <v>0</v>
      </c>
      <c r="V740" s="19">
        <v>6960</v>
      </c>
      <c r="W740" s="19">
        <v>9644.5</v>
      </c>
      <c r="X740" s="21">
        <v>1.3857040229885058</v>
      </c>
      <c r="Y740" s="19">
        <v>7734.4999999999991</v>
      </c>
      <c r="Z740" s="20">
        <v>1.1112787356321838</v>
      </c>
      <c r="AA740" s="30">
        <v>0.11329999999999996</v>
      </c>
      <c r="AB740" s="27">
        <v>0.1</v>
      </c>
      <c r="AC740" s="27">
        <v>0.1148</v>
      </c>
      <c r="AD740" s="11">
        <v>0.11165684389549198</v>
      </c>
    </row>
    <row r="741" spans="1:30" x14ac:dyDescent="0.25">
      <c r="A741" s="13">
        <v>44827</v>
      </c>
      <c r="B741" s="46" t="s">
        <v>636</v>
      </c>
      <c r="C741" s="13">
        <v>44827</v>
      </c>
      <c r="D741" s="15" t="s">
        <v>829</v>
      </c>
      <c r="E741" s="15">
        <v>175</v>
      </c>
      <c r="F741" s="15">
        <v>180</v>
      </c>
      <c r="G741" s="13">
        <v>45002</v>
      </c>
      <c r="H741" s="17">
        <v>5000</v>
      </c>
      <c r="I741" s="19">
        <v>3082.41</v>
      </c>
      <c r="J741" s="20">
        <v>0.61648199999999997</v>
      </c>
      <c r="K741" s="19">
        <v>3082.41</v>
      </c>
      <c r="L741" s="20">
        <v>0.61648199999999997</v>
      </c>
      <c r="M741" s="21">
        <v>0</v>
      </c>
      <c r="N741" s="19">
        <v>0</v>
      </c>
      <c r="O741" s="23">
        <v>1000</v>
      </c>
      <c r="P741" s="24">
        <v>60</v>
      </c>
      <c r="Q741" s="25">
        <v>0.06</v>
      </c>
      <c r="R741" s="24">
        <v>60</v>
      </c>
      <c r="S741" s="25">
        <v>0.06</v>
      </c>
      <c r="T741" s="26">
        <v>0</v>
      </c>
      <c r="U741" s="24">
        <v>0</v>
      </c>
      <c r="V741" s="19">
        <v>6000</v>
      </c>
      <c r="W741" s="19">
        <v>3142.41</v>
      </c>
      <c r="X741" s="21">
        <v>0.52373499999999995</v>
      </c>
      <c r="Y741" s="19">
        <v>3142.41</v>
      </c>
      <c r="Z741" s="20">
        <v>0.52373499999999995</v>
      </c>
      <c r="AA741" s="30">
        <v>0.11689999999999995</v>
      </c>
      <c r="AB741" s="27">
        <v>0.1</v>
      </c>
      <c r="AC741" s="27">
        <v>0.11689999999999999</v>
      </c>
      <c r="AD741" s="11">
        <v>0.1134243744342901</v>
      </c>
    </row>
    <row r="742" spans="1:30" x14ac:dyDescent="0.25">
      <c r="A742" s="13">
        <v>44830</v>
      </c>
      <c r="B742" s="46" t="s">
        <v>636</v>
      </c>
      <c r="C742" s="13">
        <v>44830</v>
      </c>
      <c r="D742" s="15" t="s">
        <v>830</v>
      </c>
      <c r="E742" s="15">
        <v>35</v>
      </c>
      <c r="F742" s="15">
        <v>30</v>
      </c>
      <c r="G742" s="13">
        <v>44865</v>
      </c>
      <c r="H742" s="17">
        <v>5800</v>
      </c>
      <c r="I742" s="19">
        <v>6335.48</v>
      </c>
      <c r="J742" s="20">
        <v>1.0923241379310344</v>
      </c>
      <c r="K742" s="19">
        <v>6335.48</v>
      </c>
      <c r="L742" s="20">
        <v>1.0923241379310344</v>
      </c>
      <c r="M742" s="21">
        <v>0</v>
      </c>
      <c r="N742" s="19">
        <v>0</v>
      </c>
      <c r="O742" s="23">
        <v>1160</v>
      </c>
      <c r="P742" s="24">
        <v>63.88</v>
      </c>
      <c r="Q742" s="25">
        <v>5.5068965517241386E-2</v>
      </c>
      <c r="R742" s="24">
        <v>63.88</v>
      </c>
      <c r="S742" s="25">
        <v>5.5068965517241379E-2</v>
      </c>
      <c r="T742" s="26">
        <v>0</v>
      </c>
      <c r="U742" s="24">
        <v>0</v>
      </c>
      <c r="V742" s="19">
        <v>6960</v>
      </c>
      <c r="W742" s="19">
        <v>6399.36</v>
      </c>
      <c r="X742" s="21">
        <v>0.9194482758620689</v>
      </c>
      <c r="Y742" s="19">
        <v>6399.36</v>
      </c>
      <c r="Z742" s="20">
        <v>0.9194482758620689</v>
      </c>
      <c r="AA742" s="30">
        <v>0.10910000000000009</v>
      </c>
      <c r="AB742" s="27">
        <v>0.06</v>
      </c>
      <c r="AC742" s="27">
        <v>0.1091</v>
      </c>
      <c r="AD742" s="11">
        <v>0.10687623053028344</v>
      </c>
    </row>
    <row r="743" spans="1:30" x14ac:dyDescent="0.25">
      <c r="A743" s="13">
        <v>44831</v>
      </c>
      <c r="B743" s="46" t="s">
        <v>636</v>
      </c>
      <c r="C743" s="13">
        <v>44832</v>
      </c>
      <c r="D743" s="15" t="s">
        <v>831</v>
      </c>
      <c r="E743" s="15">
        <v>728</v>
      </c>
      <c r="F743" s="15">
        <v>720</v>
      </c>
      <c r="G743" s="13">
        <v>45560</v>
      </c>
      <c r="H743" s="17">
        <v>2400</v>
      </c>
      <c r="I743" s="19">
        <v>3831.7999999999997</v>
      </c>
      <c r="J743" s="20">
        <v>1.5965833333333332</v>
      </c>
      <c r="K743" s="19">
        <v>2761.8</v>
      </c>
      <c r="L743" s="20">
        <v>1.1507500000000002</v>
      </c>
      <c r="M743" s="21">
        <v>0</v>
      </c>
      <c r="N743" s="19">
        <v>0</v>
      </c>
      <c r="O743" s="23">
        <v>480</v>
      </c>
      <c r="P743" s="24">
        <v>480</v>
      </c>
      <c r="Q743" s="25">
        <v>1</v>
      </c>
      <c r="R743" s="24">
        <v>480</v>
      </c>
      <c r="S743" s="25">
        <v>1</v>
      </c>
      <c r="T743" s="26">
        <v>0</v>
      </c>
      <c r="U743" s="24">
        <v>0</v>
      </c>
      <c r="V743" s="19">
        <v>2880</v>
      </c>
      <c r="W743" s="19">
        <v>4311.7999999999993</v>
      </c>
      <c r="X743" s="21">
        <v>1.4971527777777776</v>
      </c>
      <c r="Y743" s="19">
        <v>3241.8</v>
      </c>
      <c r="Z743" s="20">
        <v>1.1256250000000001</v>
      </c>
      <c r="AA743" s="30">
        <v>0.11949999999999997</v>
      </c>
      <c r="AB743" s="27">
        <v>0.113</v>
      </c>
      <c r="AC743" s="27">
        <v>0.1215</v>
      </c>
      <c r="AD743" s="11">
        <v>0.1190179654470484</v>
      </c>
    </row>
    <row r="744" spans="1:30" x14ac:dyDescent="0.25">
      <c r="A744" s="13">
        <v>44832</v>
      </c>
      <c r="B744" s="46" t="s">
        <v>636</v>
      </c>
      <c r="C744" s="13">
        <v>44832</v>
      </c>
      <c r="D744" s="15" t="s">
        <v>832</v>
      </c>
      <c r="E744" s="15">
        <v>98</v>
      </c>
      <c r="F744" s="15">
        <v>90</v>
      </c>
      <c r="G744" s="13">
        <v>44930</v>
      </c>
      <c r="H744" s="17">
        <v>3400</v>
      </c>
      <c r="I744" s="19">
        <v>4034.4899999999989</v>
      </c>
      <c r="J744" s="20">
        <v>1.1866147058823528</v>
      </c>
      <c r="K744" s="19">
        <v>3834.4899999999989</v>
      </c>
      <c r="L744" s="20">
        <v>1.1277911764705879</v>
      </c>
      <c r="M744" s="21">
        <v>0</v>
      </c>
      <c r="N744" s="19">
        <v>0</v>
      </c>
      <c r="O744" s="23">
        <v>680</v>
      </c>
      <c r="P744" s="24">
        <v>745.07</v>
      </c>
      <c r="Q744" s="25">
        <v>1.0956911764705881</v>
      </c>
      <c r="R744" s="24">
        <v>680</v>
      </c>
      <c r="S744" s="25">
        <v>1</v>
      </c>
      <c r="T744" s="26">
        <v>0.91266696250277335</v>
      </c>
      <c r="U744" s="24">
        <v>0</v>
      </c>
      <c r="V744" s="19">
        <v>4080</v>
      </c>
      <c r="W744" s="19">
        <v>4779.5599999999986</v>
      </c>
      <c r="X744" s="21">
        <v>1.1714607843137252</v>
      </c>
      <c r="Y744" s="19">
        <v>4514.4899999999989</v>
      </c>
      <c r="Z744" s="20">
        <v>1.1064926470588232</v>
      </c>
      <c r="AA744" s="30">
        <v>0.11470000000000001</v>
      </c>
      <c r="AB744" s="27">
        <v>0.1</v>
      </c>
      <c r="AC744" s="27">
        <v>0.11539999999999999</v>
      </c>
      <c r="AD744" s="11">
        <v>0.11340933376957191</v>
      </c>
    </row>
    <row r="745" spans="1:30" x14ac:dyDescent="0.25">
      <c r="A745" s="13">
        <v>44833</v>
      </c>
      <c r="B745" s="46" t="s">
        <v>636</v>
      </c>
      <c r="C745" s="13">
        <v>44834</v>
      </c>
      <c r="D745" s="15" t="s">
        <v>833</v>
      </c>
      <c r="E745" s="15">
        <v>350</v>
      </c>
      <c r="F745" s="15">
        <v>360</v>
      </c>
      <c r="G745" s="13">
        <v>45184</v>
      </c>
      <c r="H745" s="17">
        <v>3400</v>
      </c>
      <c r="I745" s="19">
        <v>2452.6400000000008</v>
      </c>
      <c r="J745" s="20">
        <v>0.7213647058823528</v>
      </c>
      <c r="K745" s="19">
        <v>2352.6400000000003</v>
      </c>
      <c r="L745" s="20">
        <v>0.69195294117647066</v>
      </c>
      <c r="M745" s="21">
        <v>0</v>
      </c>
      <c r="N745" s="19">
        <v>0</v>
      </c>
      <c r="O745" s="23">
        <v>680</v>
      </c>
      <c r="P745" s="24">
        <v>682.93</v>
      </c>
      <c r="Q745" s="25">
        <v>1.0043088235294118</v>
      </c>
      <c r="R745" s="24">
        <v>470.52800000000002</v>
      </c>
      <c r="S745" s="25">
        <v>0.69195294117647066</v>
      </c>
      <c r="T745" s="26">
        <v>0.68898426470588237</v>
      </c>
      <c r="U745" s="24">
        <v>0</v>
      </c>
      <c r="V745" s="19">
        <v>4080</v>
      </c>
      <c r="W745" s="19">
        <v>3135.5700000000006</v>
      </c>
      <c r="X745" s="21">
        <v>0.76852205882352953</v>
      </c>
      <c r="Y745" s="19">
        <v>2823.1680000000006</v>
      </c>
      <c r="Z745" s="20">
        <v>0.69195294117647077</v>
      </c>
      <c r="AA745" s="30">
        <v>0.11890000000000001</v>
      </c>
      <c r="AB745" s="27">
        <v>0.1</v>
      </c>
      <c r="AC745" s="27">
        <v>0.11939999999999999</v>
      </c>
      <c r="AD745" s="11">
        <v>0.1169846899667297</v>
      </c>
    </row>
    <row r="746" spans="1:30" x14ac:dyDescent="0.25">
      <c r="A746" s="13">
        <v>44837</v>
      </c>
      <c r="B746" s="46" t="s">
        <v>636</v>
      </c>
      <c r="C746" s="13">
        <v>44837</v>
      </c>
      <c r="D746" s="15" t="s">
        <v>834</v>
      </c>
      <c r="E746" s="15">
        <v>35</v>
      </c>
      <c r="F746" s="15">
        <v>30</v>
      </c>
      <c r="G746" s="13">
        <v>44872</v>
      </c>
      <c r="H746" s="17">
        <v>5000</v>
      </c>
      <c r="I746" s="19">
        <v>4912.84</v>
      </c>
      <c r="J746" s="20">
        <v>0.982568</v>
      </c>
      <c r="K746" s="19">
        <v>4912.84</v>
      </c>
      <c r="L746" s="20">
        <v>0.982568</v>
      </c>
      <c r="M746" s="21">
        <v>0</v>
      </c>
      <c r="N746" s="19">
        <v>0</v>
      </c>
      <c r="O746" s="23">
        <v>1000</v>
      </c>
      <c r="P746" s="24">
        <v>420</v>
      </c>
      <c r="Q746" s="25">
        <v>0.42000000000000004</v>
      </c>
      <c r="R746" s="24">
        <v>420</v>
      </c>
      <c r="S746" s="25">
        <v>0.42</v>
      </c>
      <c r="T746" s="26">
        <v>0</v>
      </c>
      <c r="U746" s="24">
        <v>0</v>
      </c>
      <c r="V746" s="19">
        <v>6000</v>
      </c>
      <c r="W746" s="19">
        <v>5332.84</v>
      </c>
      <c r="X746" s="21">
        <v>0.88880666666666674</v>
      </c>
      <c r="Y746" s="19">
        <v>5332.84</v>
      </c>
      <c r="Z746" s="20">
        <v>0.88880666666666674</v>
      </c>
      <c r="AA746" s="30">
        <v>0.11079999999999991</v>
      </c>
      <c r="AB746" s="27">
        <v>0.09</v>
      </c>
      <c r="AC746" s="27">
        <v>0.1108</v>
      </c>
      <c r="AD746" s="11">
        <v>0.10793594947118164</v>
      </c>
    </row>
    <row r="747" spans="1:30" x14ac:dyDescent="0.25">
      <c r="A747" s="13">
        <v>44839</v>
      </c>
      <c r="B747" s="46" t="s">
        <v>636</v>
      </c>
      <c r="C747" s="13">
        <v>44839</v>
      </c>
      <c r="D747" s="15" t="s">
        <v>835</v>
      </c>
      <c r="E747" s="15">
        <v>91</v>
      </c>
      <c r="F747" s="15">
        <v>90</v>
      </c>
      <c r="G747" s="13">
        <v>44930</v>
      </c>
      <c r="H747" s="17">
        <v>7500</v>
      </c>
      <c r="I747" s="19">
        <v>6251.3499999999985</v>
      </c>
      <c r="J747" s="20">
        <v>0.83351333333333333</v>
      </c>
      <c r="K747" s="19">
        <v>5551.3499999999985</v>
      </c>
      <c r="L747" s="20">
        <v>0.74017999999999984</v>
      </c>
      <c r="M747" s="21">
        <v>0</v>
      </c>
      <c r="N747" s="19">
        <v>0</v>
      </c>
      <c r="O747" s="23">
        <v>1500</v>
      </c>
      <c r="P747" s="24">
        <v>370.37</v>
      </c>
      <c r="Q747" s="25">
        <v>0.24691333333333335</v>
      </c>
      <c r="R747" s="24">
        <v>370.37</v>
      </c>
      <c r="S747" s="25">
        <v>0.24691333333333335</v>
      </c>
      <c r="T747" s="26">
        <v>0</v>
      </c>
      <c r="U747" s="24">
        <v>0</v>
      </c>
      <c r="V747" s="19">
        <v>9000</v>
      </c>
      <c r="W747" s="19">
        <v>6621.7199999999984</v>
      </c>
      <c r="X747" s="21">
        <v>0.73574666666666644</v>
      </c>
      <c r="Y747" s="19">
        <v>5921.7199999999984</v>
      </c>
      <c r="Z747" s="20">
        <v>0.65796888888888871</v>
      </c>
      <c r="AA747" s="30">
        <v>0.11589999999999991</v>
      </c>
      <c r="AB747" s="27">
        <v>0.05</v>
      </c>
      <c r="AC747" s="27">
        <v>0.1174</v>
      </c>
      <c r="AD747" s="11">
        <v>0.11414204851752026</v>
      </c>
    </row>
    <row r="748" spans="1:30" x14ac:dyDescent="0.25">
      <c r="A748" s="13">
        <v>44841</v>
      </c>
      <c r="B748" s="46" t="s">
        <v>636</v>
      </c>
      <c r="C748" s="13">
        <v>44841</v>
      </c>
      <c r="D748" s="15" t="s">
        <v>836</v>
      </c>
      <c r="E748" s="15">
        <v>189</v>
      </c>
      <c r="F748" s="15">
        <v>180</v>
      </c>
      <c r="G748" s="13">
        <v>45030</v>
      </c>
      <c r="H748" s="17">
        <v>5800</v>
      </c>
      <c r="I748" s="19">
        <v>4352.87</v>
      </c>
      <c r="J748" s="20">
        <v>0.750494827586207</v>
      </c>
      <c r="K748" s="19">
        <v>3202.87</v>
      </c>
      <c r="L748" s="20">
        <v>0.55221896551724137</v>
      </c>
      <c r="M748" s="21">
        <v>0</v>
      </c>
      <c r="N748" s="19">
        <v>0</v>
      </c>
      <c r="O748" s="23">
        <v>1160</v>
      </c>
      <c r="P748" s="24">
        <v>20</v>
      </c>
      <c r="Q748" s="25">
        <v>1.7241379310344827E-2</v>
      </c>
      <c r="R748" s="24">
        <v>20</v>
      </c>
      <c r="S748" s="25">
        <v>1.7241379310344827E-2</v>
      </c>
      <c r="T748" s="26">
        <v>0</v>
      </c>
      <c r="U748" s="24">
        <v>0</v>
      </c>
      <c r="V748" s="19">
        <v>6960</v>
      </c>
      <c r="W748" s="19">
        <v>4372.87</v>
      </c>
      <c r="X748" s="21">
        <v>0.62828591954022983</v>
      </c>
      <c r="Y748" s="19">
        <v>3222.87</v>
      </c>
      <c r="Z748" s="20">
        <v>0.46305603448275862</v>
      </c>
      <c r="AA748" s="30">
        <v>0.11890000000000001</v>
      </c>
      <c r="AB748" s="27">
        <v>0.1</v>
      </c>
      <c r="AC748" s="27">
        <v>0.12390000000000001</v>
      </c>
      <c r="AD748" s="11">
        <v>0.117224374263417</v>
      </c>
    </row>
    <row r="749" spans="1:30" x14ac:dyDescent="0.25">
      <c r="A749" s="13">
        <v>44845</v>
      </c>
      <c r="B749" s="46" t="s">
        <v>636</v>
      </c>
      <c r="C749" s="13">
        <v>44845</v>
      </c>
      <c r="D749" s="15" t="s">
        <v>837</v>
      </c>
      <c r="E749" s="15">
        <v>34</v>
      </c>
      <c r="F749" s="15">
        <v>30</v>
      </c>
      <c r="G749" s="13">
        <v>44879</v>
      </c>
      <c r="H749" s="17">
        <v>5800</v>
      </c>
      <c r="I749" s="19">
        <v>10010.900000000001</v>
      </c>
      <c r="J749" s="20">
        <v>1.72601724137931</v>
      </c>
      <c r="K749" s="19">
        <v>8735.9000000000015</v>
      </c>
      <c r="L749" s="20">
        <v>1.5061896551724141</v>
      </c>
      <c r="M749" s="21">
        <v>0</v>
      </c>
      <c r="N749" s="19">
        <v>0</v>
      </c>
      <c r="O749" s="23">
        <v>1160</v>
      </c>
      <c r="P749" s="24">
        <v>388.15</v>
      </c>
      <c r="Q749" s="25">
        <v>0.33461206896551721</v>
      </c>
      <c r="R749" s="24">
        <v>388.15</v>
      </c>
      <c r="S749" s="25">
        <v>0.33461206896551721</v>
      </c>
      <c r="T749" s="26">
        <v>0</v>
      </c>
      <c r="U749" s="24">
        <v>0</v>
      </c>
      <c r="V749" s="19">
        <v>6960</v>
      </c>
      <c r="W749" s="19">
        <v>10399.050000000001</v>
      </c>
      <c r="X749" s="21">
        <v>1.4941163793103449</v>
      </c>
      <c r="Y749" s="19">
        <v>9124.0500000000011</v>
      </c>
      <c r="Z749" s="20">
        <v>1.3109267241379312</v>
      </c>
      <c r="AA749" s="30">
        <v>0.11169999999999992</v>
      </c>
      <c r="AB749" s="27">
        <v>0.09</v>
      </c>
      <c r="AC749" s="27">
        <v>0.11289999999999999</v>
      </c>
      <c r="AD749" s="11">
        <v>0.11065451158237521</v>
      </c>
    </row>
    <row r="750" spans="1:30" x14ac:dyDescent="0.25">
      <c r="A750" s="13">
        <v>44846</v>
      </c>
      <c r="B750" s="46" t="s">
        <v>636</v>
      </c>
      <c r="C750" s="13">
        <v>44846</v>
      </c>
      <c r="D750" s="15" t="s">
        <v>838</v>
      </c>
      <c r="E750" s="15">
        <v>91</v>
      </c>
      <c r="F750" s="15">
        <v>90</v>
      </c>
      <c r="G750" s="13">
        <v>44937</v>
      </c>
      <c r="H750" s="17">
        <v>5000</v>
      </c>
      <c r="I750" s="19">
        <v>9137.3100000000049</v>
      </c>
      <c r="J750" s="20">
        <v>1.8274620000000006</v>
      </c>
      <c r="K750" s="19">
        <v>7407.3099999999995</v>
      </c>
      <c r="L750" s="20">
        <v>1.4814619999999998</v>
      </c>
      <c r="M750" s="21">
        <v>0</v>
      </c>
      <c r="N750" s="19">
        <v>0</v>
      </c>
      <c r="O750" s="23">
        <v>1000</v>
      </c>
      <c r="P750" s="24">
        <v>390</v>
      </c>
      <c r="Q750" s="25">
        <v>0.39</v>
      </c>
      <c r="R750" s="24">
        <v>390</v>
      </c>
      <c r="S750" s="25">
        <v>0.39</v>
      </c>
      <c r="T750" s="26">
        <v>0</v>
      </c>
      <c r="U750" s="24">
        <v>0</v>
      </c>
      <c r="V750" s="19">
        <v>6000</v>
      </c>
      <c r="W750" s="19">
        <v>9527.3100000000049</v>
      </c>
      <c r="X750" s="21">
        <v>1.5878850000000009</v>
      </c>
      <c r="Y750" s="19">
        <v>7797.3099999999995</v>
      </c>
      <c r="Z750" s="20">
        <v>1.2995516666666667</v>
      </c>
      <c r="AA750" s="30">
        <v>0.11639999999999989</v>
      </c>
      <c r="AB750" s="27">
        <v>0.1</v>
      </c>
      <c r="AC750" s="27">
        <v>0.11699999999999999</v>
      </c>
      <c r="AD750" s="11">
        <v>0.11575001887864148</v>
      </c>
    </row>
    <row r="751" spans="1:30" x14ac:dyDescent="0.25">
      <c r="A751" s="13">
        <v>44847</v>
      </c>
      <c r="B751" s="46" t="s">
        <v>636</v>
      </c>
      <c r="C751" s="13">
        <v>44848</v>
      </c>
      <c r="D751" s="15" t="s">
        <v>839</v>
      </c>
      <c r="E751" s="15">
        <v>377</v>
      </c>
      <c r="F751" s="15">
        <v>360</v>
      </c>
      <c r="G751" s="13">
        <v>45225</v>
      </c>
      <c r="H751" s="17">
        <v>4200</v>
      </c>
      <c r="I751" s="19">
        <v>5007.7900000000009</v>
      </c>
      <c r="J751" s="20">
        <v>1.1923309523809522</v>
      </c>
      <c r="K751" s="19">
        <v>4497.7900000000009</v>
      </c>
      <c r="L751" s="20">
        <v>1.0709023809523812</v>
      </c>
      <c r="M751" s="21">
        <v>0</v>
      </c>
      <c r="N751" s="19">
        <v>0</v>
      </c>
      <c r="O751" s="23">
        <v>840</v>
      </c>
      <c r="P751" s="24">
        <v>0.17</v>
      </c>
      <c r="Q751" s="25">
        <v>2.0238095238095239E-4</v>
      </c>
      <c r="R751" s="24">
        <v>0.17</v>
      </c>
      <c r="S751" s="25">
        <v>2.0238095238095239E-4</v>
      </c>
      <c r="T751" s="26">
        <v>0</v>
      </c>
      <c r="U751" s="24">
        <v>0</v>
      </c>
      <c r="V751" s="19">
        <v>5040</v>
      </c>
      <c r="W751" s="19">
        <v>5007.9600000000009</v>
      </c>
      <c r="X751" s="21">
        <v>0.99364285714285738</v>
      </c>
      <c r="Y751" s="19">
        <v>4497.9600000000009</v>
      </c>
      <c r="Z751" s="20">
        <v>0.89245238095238111</v>
      </c>
      <c r="AA751" s="30">
        <v>0.12069999999999995</v>
      </c>
      <c r="AB751" s="27">
        <v>0.109</v>
      </c>
      <c r="AC751" s="27">
        <v>0.1244</v>
      </c>
      <c r="AD751" s="11">
        <v>0.11934518220612286</v>
      </c>
    </row>
    <row r="752" spans="1:30" x14ac:dyDescent="0.25">
      <c r="A752" s="13">
        <v>44851</v>
      </c>
      <c r="B752" s="46" t="s">
        <v>636</v>
      </c>
      <c r="C752" s="13">
        <v>44851</v>
      </c>
      <c r="D752" s="15" t="s">
        <v>840</v>
      </c>
      <c r="E752" s="15">
        <v>35</v>
      </c>
      <c r="F752" s="15">
        <v>30</v>
      </c>
      <c r="G752" s="13">
        <v>44886</v>
      </c>
      <c r="H752" s="17">
        <v>6600</v>
      </c>
      <c r="I752" s="19">
        <v>11544.329999999998</v>
      </c>
      <c r="J752" s="20">
        <v>1.7491409090909085</v>
      </c>
      <c r="K752" s="19">
        <v>10294.329999999996</v>
      </c>
      <c r="L752" s="20">
        <v>1.5597469696969692</v>
      </c>
      <c r="M752" s="21">
        <v>0</v>
      </c>
      <c r="N752" s="19">
        <v>0</v>
      </c>
      <c r="O752" s="23">
        <v>1320</v>
      </c>
      <c r="P752" s="24">
        <v>598.63</v>
      </c>
      <c r="Q752" s="25">
        <v>0.45350757575757572</v>
      </c>
      <c r="R752" s="24">
        <v>598.63</v>
      </c>
      <c r="S752" s="25">
        <v>0.45350757575757578</v>
      </c>
      <c r="T752" s="26">
        <v>0</v>
      </c>
      <c r="U752" s="24">
        <v>0</v>
      </c>
      <c r="V752" s="19">
        <v>7920</v>
      </c>
      <c r="W752" s="19">
        <v>12142.959999999997</v>
      </c>
      <c r="X752" s="21">
        <v>1.5332020202020198</v>
      </c>
      <c r="Y752" s="19">
        <v>10892.959999999995</v>
      </c>
      <c r="Z752" s="20">
        <v>1.3753737373737367</v>
      </c>
      <c r="AA752" s="30">
        <v>0.11209999999999994</v>
      </c>
      <c r="AB752" s="27">
        <v>9.6999999999999989E-2</v>
      </c>
      <c r="AC752" s="27">
        <v>0.11349999999999999</v>
      </c>
      <c r="AD752" s="11">
        <v>0.11064780112834616</v>
      </c>
    </row>
    <row r="753" spans="1:30" x14ac:dyDescent="0.25">
      <c r="A753" s="13">
        <v>44853</v>
      </c>
      <c r="B753" s="46" t="s">
        <v>636</v>
      </c>
      <c r="C753" s="13">
        <v>44853</v>
      </c>
      <c r="D753" s="15" t="s">
        <v>841</v>
      </c>
      <c r="E753" s="15">
        <v>98</v>
      </c>
      <c r="F753" s="15">
        <v>90</v>
      </c>
      <c r="G753" s="13">
        <v>44951</v>
      </c>
      <c r="H753" s="17">
        <v>4200</v>
      </c>
      <c r="I753" s="19">
        <v>6431.3500000000013</v>
      </c>
      <c r="J753" s="20">
        <v>1.5312738095238101</v>
      </c>
      <c r="K753" s="19">
        <v>5641.35</v>
      </c>
      <c r="L753" s="20">
        <v>1.3431785714285716</v>
      </c>
      <c r="M753" s="21">
        <v>0</v>
      </c>
      <c r="N753" s="19">
        <v>0</v>
      </c>
      <c r="O753" s="23">
        <v>840</v>
      </c>
      <c r="P753" s="24">
        <v>303.10000000000002</v>
      </c>
      <c r="Q753" s="25">
        <v>0.36083333333333334</v>
      </c>
      <c r="R753" s="24">
        <v>303.10000000000002</v>
      </c>
      <c r="S753" s="25">
        <v>0.36083333333333334</v>
      </c>
      <c r="T753" s="26">
        <v>0</v>
      </c>
      <c r="U753" s="24">
        <v>0</v>
      </c>
      <c r="V753" s="19">
        <v>5040</v>
      </c>
      <c r="W753" s="19">
        <v>6734.4500000000016</v>
      </c>
      <c r="X753" s="21">
        <v>1.336200396825397</v>
      </c>
      <c r="Y753" s="19">
        <v>5944.4500000000007</v>
      </c>
      <c r="Z753" s="20">
        <v>1.1794543650793652</v>
      </c>
      <c r="AA753" s="30">
        <v>0.11699999999999999</v>
      </c>
      <c r="AB753" s="27">
        <v>9.5000000000000001E-2</v>
      </c>
      <c r="AC753" s="27">
        <v>0.11800000000000001</v>
      </c>
      <c r="AD753" s="11">
        <v>0.11637154765329204</v>
      </c>
    </row>
    <row r="754" spans="1:30" x14ac:dyDescent="0.25">
      <c r="A754" s="13">
        <v>44855</v>
      </c>
      <c r="B754" s="46" t="s">
        <v>636</v>
      </c>
      <c r="C754" s="13">
        <v>44855</v>
      </c>
      <c r="D754" s="15" t="s">
        <v>842</v>
      </c>
      <c r="E754" s="15">
        <v>175</v>
      </c>
      <c r="F754" s="15">
        <v>180</v>
      </c>
      <c r="G754" s="13">
        <v>45030</v>
      </c>
      <c r="H754" s="17">
        <v>4200</v>
      </c>
      <c r="I754" s="19">
        <v>5248.3099999999995</v>
      </c>
      <c r="J754" s="20">
        <v>1.249597619047619</v>
      </c>
      <c r="K754" s="19">
        <v>5148.3099999999995</v>
      </c>
      <c r="L754" s="20">
        <v>1.2257880952380951</v>
      </c>
      <c r="M754" s="21">
        <v>0</v>
      </c>
      <c r="N754" s="19">
        <v>0</v>
      </c>
      <c r="O754" s="23">
        <v>840</v>
      </c>
      <c r="P754" s="24">
        <v>0</v>
      </c>
      <c r="Q754" s="25">
        <v>0</v>
      </c>
      <c r="R754" s="24">
        <v>0</v>
      </c>
      <c r="S754" s="25">
        <v>0</v>
      </c>
      <c r="T754" s="26">
        <v>0</v>
      </c>
      <c r="U754" s="24">
        <v>0</v>
      </c>
      <c r="V754" s="19">
        <v>5040</v>
      </c>
      <c r="W754" s="19">
        <v>5248.3099999999995</v>
      </c>
      <c r="X754" s="21">
        <v>1.0413313492063492</v>
      </c>
      <c r="Y754" s="19">
        <v>5148.3099999999995</v>
      </c>
      <c r="Z754" s="20">
        <v>1.0214900793650792</v>
      </c>
      <c r="AA754" s="30">
        <v>0.12040000000000005</v>
      </c>
      <c r="AB754" s="27">
        <v>0.1</v>
      </c>
      <c r="AC754" s="27">
        <v>0.12179999999999999</v>
      </c>
      <c r="AD754" s="11">
        <v>0.11802281401060528</v>
      </c>
    </row>
    <row r="755" spans="1:30" x14ac:dyDescent="0.25">
      <c r="A755" s="13">
        <v>44858</v>
      </c>
      <c r="B755" s="46" t="s">
        <v>636</v>
      </c>
      <c r="C755" s="13">
        <v>44858</v>
      </c>
      <c r="D755" s="15" t="s">
        <v>843</v>
      </c>
      <c r="E755" s="15">
        <v>35</v>
      </c>
      <c r="F755" s="15">
        <v>30</v>
      </c>
      <c r="G755" s="13">
        <v>44893</v>
      </c>
      <c r="H755" s="17">
        <v>5000</v>
      </c>
      <c r="I755" s="19">
        <v>6655.5899999999992</v>
      </c>
      <c r="J755" s="20">
        <v>1.3311180000000007</v>
      </c>
      <c r="K755" s="19">
        <v>6555.5899999999992</v>
      </c>
      <c r="L755" s="20">
        <v>1.3111179999999998</v>
      </c>
      <c r="M755" s="21">
        <v>0</v>
      </c>
      <c r="N755" s="19">
        <v>0</v>
      </c>
      <c r="O755" s="23">
        <v>1000</v>
      </c>
      <c r="P755" s="24">
        <v>577.4</v>
      </c>
      <c r="Q755" s="25">
        <v>0.57740000000000002</v>
      </c>
      <c r="R755" s="24">
        <v>577.4</v>
      </c>
      <c r="S755" s="25">
        <v>0.57740000000000002</v>
      </c>
      <c r="T755" s="26">
        <v>0</v>
      </c>
      <c r="U755" s="24">
        <v>0</v>
      </c>
      <c r="V755" s="19">
        <v>6000</v>
      </c>
      <c r="W755" s="19">
        <v>7232.9899999999989</v>
      </c>
      <c r="X755" s="21">
        <v>1.2054983333333331</v>
      </c>
      <c r="Y755" s="19">
        <v>7132.9899999999989</v>
      </c>
      <c r="Z755" s="20">
        <v>1.1888316666666665</v>
      </c>
      <c r="AA755" s="30">
        <v>0.11289999999999985</v>
      </c>
      <c r="AB755" s="27">
        <v>0.09</v>
      </c>
      <c r="AC755" s="27">
        <v>0.11349999999999999</v>
      </c>
      <c r="AD755" s="11">
        <v>0.1112226459262064</v>
      </c>
    </row>
    <row r="756" spans="1:30" x14ac:dyDescent="0.25">
      <c r="A756" s="13">
        <v>44859</v>
      </c>
      <c r="B756" s="46" t="s">
        <v>636</v>
      </c>
      <c r="C756" s="13">
        <v>44860</v>
      </c>
      <c r="D756" s="15" t="s">
        <v>844</v>
      </c>
      <c r="E756" s="15">
        <v>700</v>
      </c>
      <c r="F756" s="15">
        <v>720</v>
      </c>
      <c r="G756" s="13">
        <v>45560</v>
      </c>
      <c r="H756" s="17">
        <v>2500</v>
      </c>
      <c r="I756" s="19">
        <v>1976.02</v>
      </c>
      <c r="J756" s="20">
        <v>0.790408</v>
      </c>
      <c r="K756" s="19">
        <v>1106.02</v>
      </c>
      <c r="L756" s="20">
        <v>0.44240799999999997</v>
      </c>
      <c r="M756" s="21">
        <v>0</v>
      </c>
      <c r="N756" s="19">
        <v>0</v>
      </c>
      <c r="O756" s="23">
        <v>500</v>
      </c>
      <c r="P756" s="24">
        <v>500</v>
      </c>
      <c r="Q756" s="25">
        <v>1</v>
      </c>
      <c r="R756" s="24">
        <v>221.20400000000001</v>
      </c>
      <c r="S756" s="25">
        <v>0.44240800000000002</v>
      </c>
      <c r="T756" s="26">
        <v>0.44240800000000002</v>
      </c>
      <c r="U756" s="24">
        <v>0</v>
      </c>
      <c r="V756" s="19">
        <v>3000</v>
      </c>
      <c r="W756" s="19">
        <v>2476.02</v>
      </c>
      <c r="X756" s="21">
        <v>0.82533999999999996</v>
      </c>
      <c r="Y756" s="19">
        <v>1327.2239999999999</v>
      </c>
      <c r="Z756" s="20">
        <v>0.44240799999999997</v>
      </c>
      <c r="AA756" s="30">
        <v>0.12139999999999997</v>
      </c>
      <c r="AB756" s="27">
        <v>0.11</v>
      </c>
      <c r="AC756" s="27">
        <v>0.1249</v>
      </c>
      <c r="AD756" s="11">
        <v>0.12182242082570012</v>
      </c>
    </row>
    <row r="757" spans="1:30" x14ac:dyDescent="0.25">
      <c r="A757" s="13">
        <v>44860</v>
      </c>
      <c r="B757" s="46" t="s">
        <v>636</v>
      </c>
      <c r="C757" s="13">
        <v>44860</v>
      </c>
      <c r="D757" s="15" t="s">
        <v>845</v>
      </c>
      <c r="E757" s="15">
        <v>91</v>
      </c>
      <c r="F757" s="15">
        <v>90</v>
      </c>
      <c r="G757" s="13">
        <v>44951</v>
      </c>
      <c r="H757" s="17">
        <v>4200</v>
      </c>
      <c r="I757" s="19">
        <v>4757.2899999999991</v>
      </c>
      <c r="J757" s="20">
        <v>1.1326880952380949</v>
      </c>
      <c r="K757" s="19">
        <v>4657.29</v>
      </c>
      <c r="L757" s="20">
        <v>1.1088785714285714</v>
      </c>
      <c r="M757" s="21">
        <v>0</v>
      </c>
      <c r="N757" s="19">
        <v>0</v>
      </c>
      <c r="O757" s="23">
        <v>840</v>
      </c>
      <c r="P757" s="24">
        <v>40.1</v>
      </c>
      <c r="Q757" s="25">
        <v>4.7738095238095232E-2</v>
      </c>
      <c r="R757" s="24">
        <v>40.1</v>
      </c>
      <c r="S757" s="25">
        <v>4.7738095238095239E-2</v>
      </c>
      <c r="T757" s="26">
        <v>0</v>
      </c>
      <c r="U757" s="24">
        <v>0</v>
      </c>
      <c r="V757" s="19">
        <v>5040</v>
      </c>
      <c r="W757" s="19">
        <v>4797.3899999999994</v>
      </c>
      <c r="X757" s="21">
        <v>0.95186309523809509</v>
      </c>
      <c r="Y757" s="19">
        <v>4697.3900000000003</v>
      </c>
      <c r="Z757" s="20">
        <v>0.93202182539682543</v>
      </c>
      <c r="AA757" s="30">
        <v>0.11789999999999994</v>
      </c>
      <c r="AB757" s="27">
        <v>0.1</v>
      </c>
      <c r="AC757" s="27">
        <v>0.1183</v>
      </c>
      <c r="AD757" s="11">
        <v>0.11633495960935744</v>
      </c>
    </row>
    <row r="758" spans="1:30" x14ac:dyDescent="0.25">
      <c r="A758" s="13">
        <v>44861</v>
      </c>
      <c r="B758" s="46" t="s">
        <v>636</v>
      </c>
      <c r="C758" s="13">
        <v>44862</v>
      </c>
      <c r="D758" s="15" t="s">
        <v>846</v>
      </c>
      <c r="E758" s="15">
        <v>363</v>
      </c>
      <c r="F758" s="15">
        <v>360</v>
      </c>
      <c r="G758" s="13">
        <v>45225</v>
      </c>
      <c r="H758" s="17">
        <v>3300</v>
      </c>
      <c r="I758" s="19">
        <v>1692.6799999999998</v>
      </c>
      <c r="J758" s="20">
        <v>0.51293333333333335</v>
      </c>
      <c r="K758" s="19">
        <v>1692.6799999999998</v>
      </c>
      <c r="L758" s="20">
        <v>0.51293333333333324</v>
      </c>
      <c r="M758" s="21">
        <v>0</v>
      </c>
      <c r="N758" s="19">
        <v>0</v>
      </c>
      <c r="O758" s="23">
        <v>660</v>
      </c>
      <c r="P758" s="24">
        <v>0</v>
      </c>
      <c r="Q758" s="25">
        <v>0</v>
      </c>
      <c r="R758" s="24">
        <v>0</v>
      </c>
      <c r="S758" s="25">
        <v>0</v>
      </c>
      <c r="T758" s="26">
        <v>0</v>
      </c>
      <c r="U758" s="24">
        <v>0</v>
      </c>
      <c r="V758" s="19">
        <v>3960</v>
      </c>
      <c r="W758" s="19">
        <v>1692.6799999999998</v>
      </c>
      <c r="X758" s="21">
        <v>0.4274444444444444</v>
      </c>
      <c r="Y758" s="19">
        <v>1692.6799999999998</v>
      </c>
      <c r="Z758" s="20">
        <v>0.4274444444444444</v>
      </c>
      <c r="AA758" s="30">
        <v>0.12139999999999998</v>
      </c>
      <c r="AB758" s="27">
        <v>0.1</v>
      </c>
      <c r="AC758" s="27">
        <v>0.12140000000000001</v>
      </c>
      <c r="AD758" s="11">
        <v>0.11993417834440062</v>
      </c>
    </row>
    <row r="759" spans="1:30" x14ac:dyDescent="0.25">
      <c r="A759" s="13">
        <v>44865</v>
      </c>
      <c r="B759" s="46" t="s">
        <v>636</v>
      </c>
      <c r="C759" s="13">
        <v>44865</v>
      </c>
      <c r="D759" s="15" t="s">
        <v>847</v>
      </c>
      <c r="E759" s="15">
        <v>35</v>
      </c>
      <c r="F759" s="15">
        <v>30</v>
      </c>
      <c r="G759" s="13">
        <v>44900</v>
      </c>
      <c r="H759" s="17">
        <v>5000</v>
      </c>
      <c r="I759" s="19">
        <v>3600.4</v>
      </c>
      <c r="J759" s="20">
        <v>0.72008000000000005</v>
      </c>
      <c r="K759" s="19">
        <v>3050.4</v>
      </c>
      <c r="L759" s="20">
        <v>0.61008000000000007</v>
      </c>
      <c r="M759" s="21">
        <v>0</v>
      </c>
      <c r="N759" s="19">
        <v>0</v>
      </c>
      <c r="O759" s="23">
        <v>1000</v>
      </c>
      <c r="P759" s="24">
        <v>326.47000000000003</v>
      </c>
      <c r="Q759" s="25">
        <v>0.32646999999999998</v>
      </c>
      <c r="R759" s="24">
        <v>326.47000000000003</v>
      </c>
      <c r="S759" s="25">
        <v>0.32647000000000004</v>
      </c>
      <c r="T759" s="26">
        <v>0</v>
      </c>
      <c r="U759" s="24">
        <v>0</v>
      </c>
      <c r="V759" s="19">
        <v>6000</v>
      </c>
      <c r="W759" s="19">
        <v>3926.87</v>
      </c>
      <c r="X759" s="21">
        <v>0.65447833333333327</v>
      </c>
      <c r="Y759" s="19">
        <v>3376.87</v>
      </c>
      <c r="Z759" s="20">
        <v>0.5628116666666666</v>
      </c>
      <c r="AA759" s="30">
        <v>0.11359999999999995</v>
      </c>
      <c r="AB759" s="27">
        <v>0.1</v>
      </c>
      <c r="AC759" s="27">
        <v>0.1149</v>
      </c>
      <c r="AD759" s="11">
        <v>0.11168813881790918</v>
      </c>
    </row>
    <row r="760" spans="1:30" x14ac:dyDescent="0.25">
      <c r="A760" s="13">
        <v>44866</v>
      </c>
      <c r="B760" s="46" t="s">
        <v>636</v>
      </c>
      <c r="C760" s="13">
        <v>44866</v>
      </c>
      <c r="D760" s="15" t="s">
        <v>848</v>
      </c>
      <c r="E760" s="15">
        <v>92</v>
      </c>
      <c r="F760" s="15">
        <v>90</v>
      </c>
      <c r="G760" s="13">
        <v>44958</v>
      </c>
      <c r="H760" s="17">
        <v>5800</v>
      </c>
      <c r="I760" s="19">
        <v>5070.0500000000011</v>
      </c>
      <c r="J760" s="20">
        <v>0.87414655172413791</v>
      </c>
      <c r="K760" s="19">
        <v>4795.0500000000011</v>
      </c>
      <c r="L760" s="20">
        <v>0.82673275862068984</v>
      </c>
      <c r="M760" s="21">
        <v>0</v>
      </c>
      <c r="N760" s="19">
        <v>0</v>
      </c>
      <c r="O760" s="23">
        <v>1160</v>
      </c>
      <c r="P760" s="24">
        <v>41.21</v>
      </c>
      <c r="Q760" s="25">
        <v>3.5525862068965519E-2</v>
      </c>
      <c r="R760" s="24">
        <v>41.21</v>
      </c>
      <c r="S760" s="25">
        <v>3.5525862068965519E-2</v>
      </c>
      <c r="T760" s="26">
        <v>0</v>
      </c>
      <c r="U760" s="24">
        <v>0</v>
      </c>
      <c r="V760" s="19">
        <v>6960</v>
      </c>
      <c r="W760" s="19">
        <v>5111.2600000000011</v>
      </c>
      <c r="X760" s="21">
        <v>0.73437643678160935</v>
      </c>
      <c r="Y760" s="19">
        <v>4836.2600000000011</v>
      </c>
      <c r="Z760" s="20">
        <v>0.69486494252873576</v>
      </c>
      <c r="AA760" s="30">
        <v>0.11850000000000004</v>
      </c>
      <c r="AB760" s="27">
        <v>0.09</v>
      </c>
      <c r="AC760" s="27">
        <v>0.11890000000000001</v>
      </c>
      <c r="AD760" s="11">
        <v>0.1166182727980986</v>
      </c>
    </row>
    <row r="761" spans="1:30" x14ac:dyDescent="0.25">
      <c r="A761" s="13">
        <v>44869</v>
      </c>
      <c r="B761" s="46" t="s">
        <v>636</v>
      </c>
      <c r="C761" s="13">
        <v>44869</v>
      </c>
      <c r="D761" s="15" t="s">
        <v>849</v>
      </c>
      <c r="E761" s="15">
        <v>189</v>
      </c>
      <c r="F761" s="15">
        <v>180</v>
      </c>
      <c r="G761" s="13">
        <v>45058</v>
      </c>
      <c r="H761" s="17">
        <v>5000</v>
      </c>
      <c r="I761" s="19">
        <v>7039.3999999999987</v>
      </c>
      <c r="J761" s="20">
        <v>1.4078800000000005</v>
      </c>
      <c r="K761" s="19">
        <v>6839.3999999999987</v>
      </c>
      <c r="L761" s="20">
        <v>1.3678799999999998</v>
      </c>
      <c r="M761" s="21">
        <v>0</v>
      </c>
      <c r="N761" s="19">
        <v>0</v>
      </c>
      <c r="O761" s="23">
        <v>1000</v>
      </c>
      <c r="P761" s="24">
        <v>501.03</v>
      </c>
      <c r="Q761" s="25">
        <v>0.50103000000000009</v>
      </c>
      <c r="R761" s="24">
        <v>501.03</v>
      </c>
      <c r="S761" s="25">
        <v>0.50102999999999998</v>
      </c>
      <c r="T761" s="26">
        <v>0</v>
      </c>
      <c r="U761" s="24">
        <v>0</v>
      </c>
      <c r="V761" s="19">
        <v>6000</v>
      </c>
      <c r="W761" s="19">
        <v>7540.4299999999985</v>
      </c>
      <c r="X761" s="21">
        <v>1.2567383333333331</v>
      </c>
      <c r="Y761" s="19">
        <v>7340.4299999999985</v>
      </c>
      <c r="Z761" s="20">
        <v>1.2234049999999999</v>
      </c>
      <c r="AA761" s="30">
        <v>0.12129999999999991</v>
      </c>
      <c r="AB761" s="27">
        <v>0.08</v>
      </c>
      <c r="AC761" s="27">
        <v>0.12380000000000001</v>
      </c>
      <c r="AD761" s="11">
        <v>0.11870868937693556</v>
      </c>
    </row>
    <row r="762" spans="1:30" x14ac:dyDescent="0.25">
      <c r="A762" s="13">
        <v>44872</v>
      </c>
      <c r="B762" s="46" t="s">
        <v>636</v>
      </c>
      <c r="C762" s="13">
        <v>44872</v>
      </c>
      <c r="D762" s="15" t="s">
        <v>850</v>
      </c>
      <c r="E762" s="15">
        <v>35</v>
      </c>
      <c r="F762" s="15">
        <v>30</v>
      </c>
      <c r="G762" s="13">
        <v>44907</v>
      </c>
      <c r="H762" s="17">
        <v>6600</v>
      </c>
      <c r="I762" s="19">
        <v>8238.43</v>
      </c>
      <c r="J762" s="20">
        <v>1.2482469696969689</v>
      </c>
      <c r="K762" s="19">
        <v>7598.4300000000012</v>
      </c>
      <c r="L762" s="20">
        <v>1.1512772727272729</v>
      </c>
      <c r="M762" s="21">
        <v>0</v>
      </c>
      <c r="N762" s="19">
        <v>0</v>
      </c>
      <c r="O762" s="23">
        <v>1320</v>
      </c>
      <c r="P762" s="24">
        <v>1170</v>
      </c>
      <c r="Q762" s="25">
        <v>0.88636363636363646</v>
      </c>
      <c r="R762" s="24">
        <v>1170</v>
      </c>
      <c r="S762" s="25">
        <v>0.88636363636363635</v>
      </c>
      <c r="T762" s="26">
        <v>0</v>
      </c>
      <c r="U762" s="24">
        <v>0</v>
      </c>
      <c r="V762" s="19">
        <v>7920</v>
      </c>
      <c r="W762" s="19">
        <v>9408.43</v>
      </c>
      <c r="X762" s="21">
        <v>1.1879330808080808</v>
      </c>
      <c r="Y762" s="19">
        <v>8768.43</v>
      </c>
      <c r="Z762" s="20">
        <v>1.1071250000000001</v>
      </c>
      <c r="AA762" s="30">
        <v>0.11420000000000007</v>
      </c>
      <c r="AB762" s="27">
        <v>0.08</v>
      </c>
      <c r="AC762" s="27">
        <v>0.1153</v>
      </c>
      <c r="AD762" s="11">
        <v>0.11259112840674741</v>
      </c>
    </row>
    <row r="763" spans="1:30" x14ac:dyDescent="0.25">
      <c r="A763" s="13">
        <v>44874</v>
      </c>
      <c r="B763" s="46" t="s">
        <v>636</v>
      </c>
      <c r="C763" s="13">
        <v>44874</v>
      </c>
      <c r="D763" s="15" t="s">
        <v>851</v>
      </c>
      <c r="E763" s="15">
        <v>91</v>
      </c>
      <c r="F763" s="15">
        <v>90</v>
      </c>
      <c r="G763" s="13">
        <v>44965</v>
      </c>
      <c r="H763" s="17">
        <v>5800</v>
      </c>
      <c r="I763" s="19">
        <v>7618.8199999999979</v>
      </c>
      <c r="J763" s="20">
        <v>1.3135896551724144</v>
      </c>
      <c r="K763" s="19">
        <v>5881.8199999999988</v>
      </c>
      <c r="L763" s="20">
        <v>1.0141068965517239</v>
      </c>
      <c r="M763" s="21">
        <v>0</v>
      </c>
      <c r="N763" s="19">
        <v>0</v>
      </c>
      <c r="O763" s="23">
        <v>1160</v>
      </c>
      <c r="P763" s="24">
        <v>430</v>
      </c>
      <c r="Q763" s="25">
        <v>0.37068965517241381</v>
      </c>
      <c r="R763" s="24">
        <v>430</v>
      </c>
      <c r="S763" s="25">
        <v>0.37068965517241381</v>
      </c>
      <c r="T763" s="26">
        <v>0</v>
      </c>
      <c r="U763" s="24">
        <v>0</v>
      </c>
      <c r="V763" s="19">
        <v>6960</v>
      </c>
      <c r="W763" s="19">
        <v>8048.8199999999979</v>
      </c>
      <c r="X763" s="21">
        <v>1.1564396551724134</v>
      </c>
      <c r="Y763" s="19">
        <v>6311.8199999999988</v>
      </c>
      <c r="Z763" s="20">
        <v>0.90687068965517226</v>
      </c>
      <c r="AA763" s="30">
        <v>0.11890000000000001</v>
      </c>
      <c r="AB763" s="27">
        <v>0.1</v>
      </c>
      <c r="AC763" s="27">
        <v>0.121</v>
      </c>
      <c r="AD763" s="11">
        <v>0.11821897288556503</v>
      </c>
    </row>
    <row r="764" spans="1:30" x14ac:dyDescent="0.25">
      <c r="A764" s="13">
        <v>44875</v>
      </c>
      <c r="B764" s="46" t="s">
        <v>636</v>
      </c>
      <c r="C764" s="13">
        <v>44876</v>
      </c>
      <c r="D764" s="15" t="s">
        <v>852</v>
      </c>
      <c r="E764" s="15">
        <v>349</v>
      </c>
      <c r="F764" s="15">
        <v>360</v>
      </c>
      <c r="G764" s="13">
        <v>45225</v>
      </c>
      <c r="H764" s="17">
        <v>4200</v>
      </c>
      <c r="I764" s="19">
        <v>7578.45</v>
      </c>
      <c r="J764" s="20">
        <v>1.8043928571428569</v>
      </c>
      <c r="K764" s="19">
        <v>6178.45</v>
      </c>
      <c r="L764" s="20">
        <v>1.4710595238095239</v>
      </c>
      <c r="M764" s="21">
        <v>0</v>
      </c>
      <c r="N764" s="19">
        <v>0</v>
      </c>
      <c r="O764" s="23">
        <v>840</v>
      </c>
      <c r="P764" s="24">
        <v>0</v>
      </c>
      <c r="Q764" s="25">
        <v>0</v>
      </c>
      <c r="R764" s="24">
        <v>0</v>
      </c>
      <c r="S764" s="25">
        <v>0</v>
      </c>
      <c r="T764" s="26">
        <v>0</v>
      </c>
      <c r="U764" s="24">
        <v>0</v>
      </c>
      <c r="V764" s="19">
        <v>5040</v>
      </c>
      <c r="W764" s="19">
        <v>7578.45</v>
      </c>
      <c r="X764" s="21">
        <v>1.5036607142857144</v>
      </c>
      <c r="Y764" s="19">
        <v>6178.45</v>
      </c>
      <c r="Z764" s="20">
        <v>1.2258829365079364</v>
      </c>
      <c r="AA764" s="30">
        <v>0.12159999999999996</v>
      </c>
      <c r="AB764" s="27">
        <v>0.11</v>
      </c>
      <c r="AC764" s="27">
        <v>0.1275</v>
      </c>
      <c r="AD764" s="11">
        <v>0.12128679901562986</v>
      </c>
    </row>
    <row r="765" spans="1:30" x14ac:dyDescent="0.25">
      <c r="A765" s="13">
        <v>44879</v>
      </c>
      <c r="B765" s="46" t="s">
        <v>636</v>
      </c>
      <c r="C765" s="13">
        <v>44879</v>
      </c>
      <c r="D765" s="15" t="s">
        <v>853</v>
      </c>
      <c r="E765" s="15">
        <v>35</v>
      </c>
      <c r="F765" s="15">
        <v>30</v>
      </c>
      <c r="G765" s="13">
        <v>44914</v>
      </c>
      <c r="H765" s="17">
        <v>6600</v>
      </c>
      <c r="I765" s="19">
        <v>13394.18</v>
      </c>
      <c r="J765" s="20">
        <v>2.0294212121212118</v>
      </c>
      <c r="K765" s="19">
        <v>12294.18</v>
      </c>
      <c r="L765" s="20">
        <v>1.8627545454545456</v>
      </c>
      <c r="M765" s="21">
        <v>0</v>
      </c>
      <c r="N765" s="19">
        <v>0</v>
      </c>
      <c r="O765" s="23">
        <v>1320</v>
      </c>
      <c r="P765" s="24">
        <v>463.3</v>
      </c>
      <c r="Q765" s="25">
        <v>0.35098484848484846</v>
      </c>
      <c r="R765" s="24">
        <v>463.3</v>
      </c>
      <c r="S765" s="25">
        <v>0.35098484848484851</v>
      </c>
      <c r="T765" s="26">
        <v>0</v>
      </c>
      <c r="U765" s="24">
        <v>0</v>
      </c>
      <c r="V765" s="19">
        <v>7920</v>
      </c>
      <c r="W765" s="19">
        <v>13857.48</v>
      </c>
      <c r="X765" s="21">
        <v>1.7496818181818181</v>
      </c>
      <c r="Y765" s="19">
        <v>12757.48</v>
      </c>
      <c r="Z765" s="20">
        <v>1.6107929292929293</v>
      </c>
      <c r="AA765" s="30">
        <v>0.11530000000000012</v>
      </c>
      <c r="AB765" s="27">
        <v>0.09</v>
      </c>
      <c r="AC765" s="27">
        <v>0.11630000000000001</v>
      </c>
      <c r="AD765" s="11">
        <v>0.1141761115648737</v>
      </c>
    </row>
    <row r="766" spans="1:30" x14ac:dyDescent="0.25">
      <c r="A766" s="13">
        <v>44881</v>
      </c>
      <c r="B766" s="46" t="s">
        <v>636</v>
      </c>
      <c r="C766" s="13">
        <v>44881</v>
      </c>
      <c r="D766" s="15" t="s">
        <v>854</v>
      </c>
      <c r="E766" s="15">
        <v>98</v>
      </c>
      <c r="F766" s="15">
        <v>90</v>
      </c>
      <c r="G766" s="13">
        <v>44979</v>
      </c>
      <c r="H766" s="17">
        <v>5800</v>
      </c>
      <c r="I766" s="19">
        <v>5272.03</v>
      </c>
      <c r="J766" s="20">
        <v>0.90897068965517225</v>
      </c>
      <c r="K766" s="19">
        <v>3281.5299999999997</v>
      </c>
      <c r="L766" s="20">
        <v>0.56578103448275863</v>
      </c>
      <c r="M766" s="21">
        <v>0</v>
      </c>
      <c r="N766" s="19">
        <v>0</v>
      </c>
      <c r="O766" s="23">
        <v>1160</v>
      </c>
      <c r="P766" s="24">
        <v>2.09</v>
      </c>
      <c r="Q766" s="25">
        <v>1.8017241379310344E-3</v>
      </c>
      <c r="R766" s="24">
        <v>2.09</v>
      </c>
      <c r="S766" s="25">
        <v>1.8017241379310344E-3</v>
      </c>
      <c r="T766" s="26">
        <v>0</v>
      </c>
      <c r="U766" s="24">
        <v>0</v>
      </c>
      <c r="V766" s="19">
        <v>6960</v>
      </c>
      <c r="W766" s="19">
        <v>5274.12</v>
      </c>
      <c r="X766" s="21">
        <v>0.75777586206896552</v>
      </c>
      <c r="Y766" s="19">
        <v>3283.62</v>
      </c>
      <c r="Z766" s="20">
        <v>0.47178448275862067</v>
      </c>
      <c r="AA766" s="30">
        <v>0.11890000000000001</v>
      </c>
      <c r="AB766" s="27">
        <v>0.04</v>
      </c>
      <c r="AC766" s="27">
        <v>0.1231</v>
      </c>
      <c r="AD766" s="11">
        <v>0.11808804862643039</v>
      </c>
    </row>
    <row r="767" spans="1:30" x14ac:dyDescent="0.25">
      <c r="A767" s="13">
        <v>44883</v>
      </c>
      <c r="B767" s="46" t="s">
        <v>636</v>
      </c>
      <c r="C767" s="13">
        <v>44883</v>
      </c>
      <c r="D767" s="15" t="s">
        <v>855</v>
      </c>
      <c r="E767" s="15">
        <v>175</v>
      </c>
      <c r="F767" s="15">
        <v>180</v>
      </c>
      <c r="G767" s="13">
        <v>45058</v>
      </c>
      <c r="H767" s="17">
        <v>4200</v>
      </c>
      <c r="I767" s="19">
        <v>2347.56</v>
      </c>
      <c r="J767" s="20">
        <v>0.55894285714285707</v>
      </c>
      <c r="K767" s="19">
        <v>2047.56</v>
      </c>
      <c r="L767" s="20">
        <v>0.48751428571428568</v>
      </c>
      <c r="M767" s="21">
        <v>0</v>
      </c>
      <c r="N767" s="19">
        <v>0</v>
      </c>
      <c r="O767" s="23">
        <v>840</v>
      </c>
      <c r="P767" s="24">
        <v>200</v>
      </c>
      <c r="Q767" s="25">
        <v>0.23809523809523808</v>
      </c>
      <c r="R767" s="24">
        <v>200</v>
      </c>
      <c r="S767" s="25">
        <v>0.23809523809523808</v>
      </c>
      <c r="T767" s="26">
        <v>0</v>
      </c>
      <c r="U767" s="24">
        <v>0</v>
      </c>
      <c r="V767" s="19">
        <v>5040</v>
      </c>
      <c r="W767" s="19">
        <v>2547.56</v>
      </c>
      <c r="X767" s="21">
        <v>0.50546825396825401</v>
      </c>
      <c r="Y767" s="19">
        <v>2247.56</v>
      </c>
      <c r="Z767" s="20">
        <v>0.44594444444444442</v>
      </c>
      <c r="AA767" s="30">
        <v>0.12150000000000008</v>
      </c>
      <c r="AB767" s="27">
        <v>0.11130000000000001</v>
      </c>
      <c r="AC767" s="27">
        <v>0.12300000000000001</v>
      </c>
      <c r="AD767" s="11">
        <v>0.12015664093782484</v>
      </c>
    </row>
    <row r="768" spans="1:30" x14ac:dyDescent="0.25">
      <c r="A768" s="13">
        <v>44886</v>
      </c>
      <c r="B768" s="46" t="s">
        <v>636</v>
      </c>
      <c r="C768" s="13">
        <v>44886</v>
      </c>
      <c r="D768" s="15" t="s">
        <v>856</v>
      </c>
      <c r="E768" s="15">
        <v>35</v>
      </c>
      <c r="F768" s="15">
        <v>30</v>
      </c>
      <c r="G768" s="13">
        <v>44921</v>
      </c>
      <c r="H768" s="17">
        <v>5000</v>
      </c>
      <c r="I768" s="19">
        <v>4514.9500000000007</v>
      </c>
      <c r="J768" s="20">
        <v>0.90299000000000029</v>
      </c>
      <c r="K768" s="19">
        <v>3614.9500000000003</v>
      </c>
      <c r="L768" s="20">
        <v>0.72299000000000002</v>
      </c>
      <c r="M768" s="21">
        <v>0</v>
      </c>
      <c r="N768" s="19">
        <v>0</v>
      </c>
      <c r="O768" s="23">
        <v>1000</v>
      </c>
      <c r="P768" s="24">
        <v>667.5</v>
      </c>
      <c r="Q768" s="25">
        <v>0.66749999999999998</v>
      </c>
      <c r="R768" s="24">
        <v>667.5</v>
      </c>
      <c r="S768" s="25">
        <v>0.66749999999999998</v>
      </c>
      <c r="T768" s="26">
        <v>0</v>
      </c>
      <c r="U768" s="24">
        <v>0</v>
      </c>
      <c r="V768" s="19">
        <v>6000</v>
      </c>
      <c r="W768" s="19">
        <v>5182.4500000000007</v>
      </c>
      <c r="X768" s="21">
        <v>0.86374166666666674</v>
      </c>
      <c r="Y768" s="19">
        <v>4282.4500000000007</v>
      </c>
      <c r="Z768" s="20">
        <v>0.71374166666666683</v>
      </c>
      <c r="AA768" s="30">
        <v>0.11540000000000007</v>
      </c>
      <c r="AB768" s="27">
        <v>0.1</v>
      </c>
      <c r="AC768" s="27">
        <v>0.1167</v>
      </c>
      <c r="AD768" s="11">
        <v>0.11422954008350036</v>
      </c>
    </row>
    <row r="769" spans="1:30" x14ac:dyDescent="0.25">
      <c r="A769" s="13">
        <v>44888</v>
      </c>
      <c r="B769" s="46" t="s">
        <v>636</v>
      </c>
      <c r="C769" s="13">
        <v>44888</v>
      </c>
      <c r="D769" s="15" t="s">
        <v>857</v>
      </c>
      <c r="E769" s="15">
        <v>98</v>
      </c>
      <c r="F769" s="15">
        <v>90</v>
      </c>
      <c r="G769" s="13">
        <v>44986</v>
      </c>
      <c r="H769" s="17">
        <v>5000</v>
      </c>
      <c r="I769" s="19">
        <v>5132.4199999999983</v>
      </c>
      <c r="J769" s="20">
        <v>1.0264840000000002</v>
      </c>
      <c r="K769" s="19">
        <v>4180.7100000000009</v>
      </c>
      <c r="L769" s="20">
        <v>0.83614200000000016</v>
      </c>
      <c r="M769" s="21">
        <v>0</v>
      </c>
      <c r="N769" s="19">
        <v>0</v>
      </c>
      <c r="O769" s="23">
        <v>1000</v>
      </c>
      <c r="P769" s="24">
        <v>14.85</v>
      </c>
      <c r="Q769" s="25">
        <v>1.4849999999999999E-2</v>
      </c>
      <c r="R769" s="24">
        <v>14.85</v>
      </c>
      <c r="S769" s="25">
        <v>1.485E-2</v>
      </c>
      <c r="T769" s="26">
        <v>0</v>
      </c>
      <c r="U769" s="24">
        <v>0</v>
      </c>
      <c r="V769" s="19">
        <v>6000</v>
      </c>
      <c r="W769" s="19">
        <v>5147.2699999999986</v>
      </c>
      <c r="X769" s="21">
        <v>0.85787833333333308</v>
      </c>
      <c r="Y769" s="19">
        <v>4195.5600000000013</v>
      </c>
      <c r="Z769" s="20">
        <v>0.69926000000000021</v>
      </c>
      <c r="AA769" s="30">
        <v>0.11939999999999992</v>
      </c>
      <c r="AB769" s="27">
        <v>0.1</v>
      </c>
      <c r="AC769" s="27">
        <v>0.12039999999999999</v>
      </c>
      <c r="AD769" s="11">
        <v>0.11819993589768572</v>
      </c>
    </row>
    <row r="770" spans="1:30" x14ac:dyDescent="0.25">
      <c r="A770" s="13">
        <v>44889</v>
      </c>
      <c r="B770" s="46" t="s">
        <v>636</v>
      </c>
      <c r="C770" s="13">
        <v>44890</v>
      </c>
      <c r="D770" s="15" t="s">
        <v>858</v>
      </c>
      <c r="E770" s="15">
        <v>378</v>
      </c>
      <c r="F770" s="15">
        <v>360</v>
      </c>
      <c r="G770" s="13">
        <v>45268</v>
      </c>
      <c r="H770" s="17">
        <v>4200</v>
      </c>
      <c r="I770" s="19">
        <v>8854.06</v>
      </c>
      <c r="J770" s="20">
        <v>2.108109523809524</v>
      </c>
      <c r="K770" s="19">
        <v>7614.06</v>
      </c>
      <c r="L770" s="20">
        <v>1.8128714285714287</v>
      </c>
      <c r="M770" s="21">
        <v>0</v>
      </c>
      <c r="N770" s="19">
        <v>0</v>
      </c>
      <c r="O770" s="23">
        <v>840</v>
      </c>
      <c r="P770" s="24">
        <v>400</v>
      </c>
      <c r="Q770" s="25">
        <v>0.47619047619047616</v>
      </c>
      <c r="R770" s="24">
        <v>400</v>
      </c>
      <c r="S770" s="25">
        <v>0.47619047619047616</v>
      </c>
      <c r="T770" s="26">
        <v>0</v>
      </c>
      <c r="U770" s="24">
        <v>0</v>
      </c>
      <c r="V770" s="19">
        <v>5040</v>
      </c>
      <c r="W770" s="19">
        <v>9254.06</v>
      </c>
      <c r="X770" s="21">
        <v>1.8361230158730157</v>
      </c>
      <c r="Y770" s="19">
        <v>8014.06</v>
      </c>
      <c r="Z770" s="20">
        <v>1.5900912698412699</v>
      </c>
      <c r="AA770" s="30">
        <v>0.12150000000000011</v>
      </c>
      <c r="AB770" s="27">
        <v>0.1</v>
      </c>
      <c r="AC770" s="27">
        <v>0.12429999999999999</v>
      </c>
      <c r="AD770" s="11">
        <v>0.12104021149619502</v>
      </c>
    </row>
    <row r="771" spans="1:30" x14ac:dyDescent="0.25">
      <c r="A771" s="13">
        <v>44893</v>
      </c>
      <c r="B771" s="46" t="s">
        <v>860</v>
      </c>
      <c r="C771" s="13">
        <v>44893</v>
      </c>
      <c r="D771" s="15" t="s">
        <v>859</v>
      </c>
      <c r="E771" s="15">
        <v>28</v>
      </c>
      <c r="F771" s="15">
        <v>30</v>
      </c>
      <c r="G771" s="13">
        <v>44921</v>
      </c>
      <c r="H771" s="17">
        <v>4200</v>
      </c>
      <c r="I771" s="19">
        <v>4959.0599999999995</v>
      </c>
      <c r="J771" s="20">
        <v>1.1807285714285713</v>
      </c>
      <c r="K771" s="19">
        <v>4009.06</v>
      </c>
      <c r="L771" s="20">
        <v>0.95453809523809519</v>
      </c>
      <c r="M771" s="21">
        <v>0</v>
      </c>
      <c r="N771" s="19">
        <v>0</v>
      </c>
      <c r="O771" s="23">
        <v>840</v>
      </c>
      <c r="P771" s="24">
        <v>110</v>
      </c>
      <c r="Q771" s="25">
        <v>0.13095238095238093</v>
      </c>
      <c r="R771" s="24">
        <v>110</v>
      </c>
      <c r="S771" s="25">
        <v>0.13095238095238096</v>
      </c>
      <c r="T771" s="26">
        <v>0</v>
      </c>
      <c r="U771" s="24">
        <v>0</v>
      </c>
      <c r="V771" s="19">
        <v>5040</v>
      </c>
      <c r="W771" s="19">
        <v>5069.0599999999995</v>
      </c>
      <c r="X771" s="21">
        <v>1.0057658730158729</v>
      </c>
      <c r="Y771" s="19">
        <v>4119.0599999999995</v>
      </c>
      <c r="Z771" s="20">
        <v>0.81727380952380946</v>
      </c>
      <c r="AA771" s="30">
        <v>0.11569999999999994</v>
      </c>
      <c r="AB771" s="27">
        <v>0.1</v>
      </c>
      <c r="AC771" s="27">
        <v>0.11749999999999999</v>
      </c>
      <c r="AD771" s="11">
        <v>0.11400302678330167</v>
      </c>
    </row>
    <row r="772" spans="1:30" x14ac:dyDescent="0.25">
      <c r="A772" s="13">
        <v>44894</v>
      </c>
      <c r="B772" s="46" t="s">
        <v>636</v>
      </c>
      <c r="C772" s="13">
        <v>44895</v>
      </c>
      <c r="D772" s="15" t="s">
        <v>861</v>
      </c>
      <c r="E772" s="15">
        <v>665</v>
      </c>
      <c r="F772" s="15">
        <v>720</v>
      </c>
      <c r="G772" s="13">
        <v>45560</v>
      </c>
      <c r="H772" s="17">
        <v>2000</v>
      </c>
      <c r="I772" s="19">
        <v>9033.9400000000023</v>
      </c>
      <c r="J772" s="20">
        <v>4.516969999999997</v>
      </c>
      <c r="K772" s="19">
        <v>3882.24</v>
      </c>
      <c r="L772" s="20">
        <v>1.94112</v>
      </c>
      <c r="M772" s="21">
        <v>0</v>
      </c>
      <c r="N772" s="19">
        <v>0</v>
      </c>
      <c r="O772" s="23">
        <v>400</v>
      </c>
      <c r="P772" s="24">
        <v>400</v>
      </c>
      <c r="Q772" s="25">
        <v>1</v>
      </c>
      <c r="R772" s="24">
        <v>400</v>
      </c>
      <c r="S772" s="25">
        <v>1</v>
      </c>
      <c r="T772" s="26">
        <v>0</v>
      </c>
      <c r="U772" s="24">
        <v>0</v>
      </c>
      <c r="V772" s="19">
        <v>2400</v>
      </c>
      <c r="W772" s="19">
        <v>9433.9400000000023</v>
      </c>
      <c r="X772" s="21">
        <v>3.9308083333333341</v>
      </c>
      <c r="Y772" s="19">
        <v>4282.24</v>
      </c>
      <c r="Z772" s="20">
        <v>1.7842666666666667</v>
      </c>
      <c r="AA772" s="30">
        <v>0.12110000000000014</v>
      </c>
      <c r="AB772" s="27">
        <v>0.11</v>
      </c>
      <c r="AC772" s="27">
        <v>0.124</v>
      </c>
      <c r="AD772" s="11">
        <v>0.12091178378426243</v>
      </c>
    </row>
    <row r="773" spans="1:30" x14ac:dyDescent="0.25">
      <c r="A773" s="13">
        <v>44895</v>
      </c>
      <c r="B773" s="46" t="s">
        <v>636</v>
      </c>
      <c r="C773" s="13">
        <v>44895</v>
      </c>
      <c r="D773" s="15" t="s">
        <v>862</v>
      </c>
      <c r="E773" s="15">
        <v>91</v>
      </c>
      <c r="F773" s="15">
        <v>90</v>
      </c>
      <c r="G773" s="13">
        <v>44986</v>
      </c>
      <c r="H773" s="17">
        <v>3300</v>
      </c>
      <c r="I773" s="19">
        <v>2932.05</v>
      </c>
      <c r="J773" s="20">
        <v>0.88849999999999996</v>
      </c>
      <c r="K773" s="19">
        <v>2382.0500000000002</v>
      </c>
      <c r="L773" s="20">
        <v>0.72183333333333344</v>
      </c>
      <c r="M773" s="21">
        <v>0</v>
      </c>
      <c r="N773" s="19">
        <v>0</v>
      </c>
      <c r="O773" s="23">
        <v>660</v>
      </c>
      <c r="P773" s="24">
        <v>0</v>
      </c>
      <c r="Q773" s="25">
        <v>0</v>
      </c>
      <c r="R773" s="24">
        <v>0</v>
      </c>
      <c r="S773" s="25">
        <v>0</v>
      </c>
      <c r="T773" s="26">
        <v>0</v>
      </c>
      <c r="U773" s="24">
        <v>0</v>
      </c>
      <c r="V773" s="19">
        <v>3960</v>
      </c>
      <c r="W773" s="19">
        <v>2932.05</v>
      </c>
      <c r="X773" s="21">
        <v>0.74041666666666672</v>
      </c>
      <c r="Y773" s="19">
        <v>2382.0500000000002</v>
      </c>
      <c r="Z773" s="20">
        <v>0.60152777777777777</v>
      </c>
      <c r="AA773" s="30">
        <v>0.11940000000000001</v>
      </c>
      <c r="AB773" s="27">
        <v>0.04</v>
      </c>
      <c r="AC773" s="27">
        <v>0.12039999999999999</v>
      </c>
      <c r="AD773" s="11">
        <v>0.11875913234767484</v>
      </c>
    </row>
    <row r="774" spans="1:30" x14ac:dyDescent="0.25">
      <c r="A774" s="13">
        <v>44897</v>
      </c>
      <c r="B774" s="46" t="s">
        <v>636</v>
      </c>
      <c r="C774" s="13">
        <v>44897</v>
      </c>
      <c r="D774" s="15" t="s">
        <v>863</v>
      </c>
      <c r="E774" s="15">
        <v>182</v>
      </c>
      <c r="F774" s="15">
        <v>180</v>
      </c>
      <c r="G774" s="13">
        <v>45079</v>
      </c>
      <c r="H774" s="17">
        <v>3300</v>
      </c>
      <c r="I774" s="19">
        <v>4539.07</v>
      </c>
      <c r="J774" s="20">
        <v>1.3754757575757568</v>
      </c>
      <c r="K774" s="19">
        <v>4539.07</v>
      </c>
      <c r="L774" s="20">
        <v>1.3754757575757575</v>
      </c>
      <c r="M774" s="21">
        <v>0</v>
      </c>
      <c r="N774" s="19">
        <v>0</v>
      </c>
      <c r="O774" s="23">
        <v>660</v>
      </c>
      <c r="P774" s="24">
        <v>0</v>
      </c>
      <c r="Q774" s="25">
        <v>0</v>
      </c>
      <c r="R774" s="24">
        <v>0</v>
      </c>
      <c r="S774" s="25">
        <v>0</v>
      </c>
      <c r="T774" s="26">
        <v>0</v>
      </c>
      <c r="U774" s="24">
        <v>0</v>
      </c>
      <c r="V774" s="19">
        <v>3960</v>
      </c>
      <c r="W774" s="19">
        <v>4539.07</v>
      </c>
      <c r="X774" s="21">
        <v>1.146229797979798</v>
      </c>
      <c r="Y774" s="19">
        <v>4539.07</v>
      </c>
      <c r="Z774" s="20">
        <v>1.146229797979798</v>
      </c>
      <c r="AA774" s="30">
        <v>0.12140000000000017</v>
      </c>
      <c r="AB774" s="27">
        <v>0.1</v>
      </c>
      <c r="AC774" s="27">
        <v>0.12140000000000001</v>
      </c>
      <c r="AD774" s="11">
        <v>0.11872818220472481</v>
      </c>
    </row>
    <row r="775" spans="1:30" x14ac:dyDescent="0.25">
      <c r="A775" s="13">
        <v>44900</v>
      </c>
      <c r="B775" s="46" t="s">
        <v>636</v>
      </c>
      <c r="C775" s="13">
        <v>44900</v>
      </c>
      <c r="D775" s="15" t="s">
        <v>864</v>
      </c>
      <c r="E775" s="15">
        <v>35</v>
      </c>
      <c r="F775" s="15">
        <v>30</v>
      </c>
      <c r="G775" s="13">
        <v>44935</v>
      </c>
      <c r="H775" s="17">
        <v>4200</v>
      </c>
      <c r="I775" s="19">
        <v>6338.36</v>
      </c>
      <c r="J775" s="20">
        <v>1.5091333333333325</v>
      </c>
      <c r="K775" s="19">
        <v>6078.36</v>
      </c>
      <c r="L775" s="20">
        <v>1.4472285714285713</v>
      </c>
      <c r="M775" s="21">
        <v>0</v>
      </c>
      <c r="N775" s="19">
        <v>0</v>
      </c>
      <c r="O775" s="23">
        <v>840</v>
      </c>
      <c r="P775" s="24">
        <v>345.5</v>
      </c>
      <c r="Q775" s="25">
        <v>0.41130952380952379</v>
      </c>
      <c r="R775" s="24">
        <v>345.5</v>
      </c>
      <c r="S775" s="25">
        <v>0.41130952380952379</v>
      </c>
      <c r="T775" s="26">
        <v>0</v>
      </c>
      <c r="U775" s="24">
        <v>0</v>
      </c>
      <c r="V775" s="19">
        <v>5040</v>
      </c>
      <c r="W775" s="19">
        <v>6683.86</v>
      </c>
      <c r="X775" s="21">
        <v>1.3261626984126984</v>
      </c>
      <c r="Y775" s="19">
        <v>6423.86</v>
      </c>
      <c r="Z775" s="20">
        <v>1.2745753968253968</v>
      </c>
      <c r="AA775" s="30">
        <v>0.11629999999999993</v>
      </c>
      <c r="AB775" s="27">
        <v>9.5000000000000001E-2</v>
      </c>
      <c r="AC775" s="27">
        <v>0.11689999999999999</v>
      </c>
      <c r="AD775" s="11">
        <v>0.11502345401649637</v>
      </c>
    </row>
    <row r="776" spans="1:30" x14ac:dyDescent="0.25">
      <c r="A776" s="13">
        <v>44902</v>
      </c>
      <c r="B776" s="46" t="s">
        <v>636</v>
      </c>
      <c r="C776" s="13">
        <v>44902</v>
      </c>
      <c r="D776" s="15" t="s">
        <v>865</v>
      </c>
      <c r="E776" s="15">
        <v>91</v>
      </c>
      <c r="F776" s="15">
        <v>90</v>
      </c>
      <c r="G776" s="13">
        <v>44993</v>
      </c>
      <c r="H776" s="17">
        <v>4200</v>
      </c>
      <c r="I776" s="19">
        <v>4897.28</v>
      </c>
      <c r="J776" s="20">
        <v>1.1660190476190473</v>
      </c>
      <c r="K776" s="19">
        <v>3867.2799999999997</v>
      </c>
      <c r="L776" s="20">
        <v>0.92078095238095237</v>
      </c>
      <c r="M776" s="21">
        <v>0</v>
      </c>
      <c r="N776" s="19">
        <v>0</v>
      </c>
      <c r="O776" s="23">
        <v>840</v>
      </c>
      <c r="P776" s="24">
        <v>300</v>
      </c>
      <c r="Q776" s="25">
        <v>0.35714285714285715</v>
      </c>
      <c r="R776" s="24">
        <v>300</v>
      </c>
      <c r="S776" s="25">
        <v>0.35714285714285715</v>
      </c>
      <c r="T776" s="26">
        <v>0</v>
      </c>
      <c r="U776" s="24">
        <v>0</v>
      </c>
      <c r="V776" s="19">
        <v>5040</v>
      </c>
      <c r="W776" s="19">
        <v>5197.28</v>
      </c>
      <c r="X776" s="21">
        <v>1.0312063492063492</v>
      </c>
      <c r="Y776" s="19">
        <v>4167.28</v>
      </c>
      <c r="Z776" s="20">
        <v>0.82684126984126982</v>
      </c>
      <c r="AA776" s="30">
        <v>0.11950000000000012</v>
      </c>
      <c r="AB776" s="27">
        <v>0.09</v>
      </c>
      <c r="AC776" s="27">
        <v>0.12029999999999999</v>
      </c>
      <c r="AD776" s="11">
        <v>0.11873967079685052</v>
      </c>
    </row>
    <row r="777" spans="1:30" x14ac:dyDescent="0.25">
      <c r="A777" s="13">
        <v>44903</v>
      </c>
      <c r="B777" s="46" t="s">
        <v>636</v>
      </c>
      <c r="C777" s="13">
        <v>44904</v>
      </c>
      <c r="D777" s="15" t="s">
        <v>866</v>
      </c>
      <c r="E777" s="15">
        <v>364</v>
      </c>
      <c r="F777" s="15">
        <v>360</v>
      </c>
      <c r="G777" s="13">
        <v>45268</v>
      </c>
      <c r="H777" s="17">
        <v>3300</v>
      </c>
      <c r="I777" s="19">
        <v>11391.87</v>
      </c>
      <c r="J777" s="20">
        <v>3.4520818181818167</v>
      </c>
      <c r="K777" s="19">
        <v>6600</v>
      </c>
      <c r="L777" s="20">
        <v>2</v>
      </c>
      <c r="M777" s="21">
        <v>0.23781150000000001</v>
      </c>
      <c r="N777" s="19">
        <v>0</v>
      </c>
      <c r="O777" s="23">
        <v>660</v>
      </c>
      <c r="P777" s="24">
        <v>1320</v>
      </c>
      <c r="Q777" s="25">
        <v>2</v>
      </c>
      <c r="R777" s="24">
        <v>660</v>
      </c>
      <c r="S777" s="25">
        <v>1</v>
      </c>
      <c r="T777" s="26">
        <v>0.5</v>
      </c>
      <c r="U777" s="24">
        <v>0</v>
      </c>
      <c r="V777" s="19">
        <v>3960</v>
      </c>
      <c r="W777" s="19">
        <v>12711.87</v>
      </c>
      <c r="X777" s="21">
        <v>3.210068181818182</v>
      </c>
      <c r="Y777" s="19">
        <v>7260</v>
      </c>
      <c r="Z777" s="20">
        <v>1.8333333333333333</v>
      </c>
      <c r="AA777" s="30">
        <v>0.11999999999999991</v>
      </c>
      <c r="AB777" s="27">
        <v>0.1</v>
      </c>
      <c r="AC777" s="27">
        <v>0.12189999999999999</v>
      </c>
      <c r="AD777" s="11">
        <v>0.11958135670438658</v>
      </c>
    </row>
    <row r="778" spans="1:30" x14ac:dyDescent="0.25">
      <c r="A778" s="13">
        <v>44907</v>
      </c>
      <c r="B778" s="46" t="s">
        <v>636</v>
      </c>
      <c r="C778" s="13">
        <v>44907</v>
      </c>
      <c r="D778" s="15" t="s">
        <v>867</v>
      </c>
      <c r="E778" s="15">
        <v>28</v>
      </c>
      <c r="F778" s="15">
        <v>30</v>
      </c>
      <c r="G778" s="13">
        <v>44935</v>
      </c>
      <c r="H778" s="17">
        <v>5000</v>
      </c>
      <c r="I778" s="19">
        <v>4000.099999999999</v>
      </c>
      <c r="J778" s="20">
        <v>0.80002000000000006</v>
      </c>
      <c r="K778" s="19">
        <v>3350.0999999999995</v>
      </c>
      <c r="L778" s="20">
        <v>0.67001999999999984</v>
      </c>
      <c r="M778" s="21">
        <v>0</v>
      </c>
      <c r="N778" s="19">
        <v>0</v>
      </c>
      <c r="O778" s="23">
        <v>1000</v>
      </c>
      <c r="P778" s="24">
        <v>30</v>
      </c>
      <c r="Q778" s="25">
        <v>0.03</v>
      </c>
      <c r="R778" s="24">
        <v>30</v>
      </c>
      <c r="S778" s="25">
        <v>0.03</v>
      </c>
      <c r="T778" s="26">
        <v>0</v>
      </c>
      <c r="U778" s="24">
        <v>0</v>
      </c>
      <c r="V778" s="19">
        <v>6000</v>
      </c>
      <c r="W778" s="19">
        <v>4030.099999999999</v>
      </c>
      <c r="X778" s="21">
        <v>0.67168333333333319</v>
      </c>
      <c r="Y778" s="19">
        <v>3380.0999999999995</v>
      </c>
      <c r="Z778" s="20">
        <v>0.56334999999999991</v>
      </c>
      <c r="AA778" s="30">
        <v>0.11640000000000002</v>
      </c>
      <c r="AB778" s="27">
        <v>0.1</v>
      </c>
      <c r="AC778" s="27">
        <v>0.11800000000000001</v>
      </c>
      <c r="AD778" s="11">
        <v>0.11456170595735107</v>
      </c>
    </row>
    <row r="779" spans="1:30" x14ac:dyDescent="0.25">
      <c r="A779" s="13">
        <v>44909</v>
      </c>
      <c r="B779" s="46" t="s">
        <v>636</v>
      </c>
      <c r="C779" s="13">
        <v>44909</v>
      </c>
      <c r="D779" s="15" t="s">
        <v>868</v>
      </c>
      <c r="E779" s="15">
        <v>84</v>
      </c>
      <c r="F779" s="15">
        <v>90</v>
      </c>
      <c r="G779" s="13">
        <v>44993</v>
      </c>
      <c r="H779" s="17">
        <v>5000</v>
      </c>
      <c r="I779" s="19">
        <v>6262.2700000000013</v>
      </c>
      <c r="J779" s="20">
        <v>1.2524540000000004</v>
      </c>
      <c r="K779" s="19">
        <v>5432.27</v>
      </c>
      <c r="L779" s="20">
        <v>1.086454</v>
      </c>
      <c r="M779" s="21">
        <v>0</v>
      </c>
      <c r="N779" s="19">
        <v>0</v>
      </c>
      <c r="O779" s="23">
        <v>1000</v>
      </c>
      <c r="P779" s="24">
        <v>540.39</v>
      </c>
      <c r="Q779" s="25">
        <v>0.54039000000000004</v>
      </c>
      <c r="R779" s="24">
        <v>540.39</v>
      </c>
      <c r="S779" s="25">
        <v>0.54039000000000004</v>
      </c>
      <c r="T779" s="26">
        <v>0</v>
      </c>
      <c r="U779" s="24">
        <v>0</v>
      </c>
      <c r="V779" s="19">
        <v>6000</v>
      </c>
      <c r="W779" s="19">
        <v>6802.6600000000017</v>
      </c>
      <c r="X779" s="21">
        <v>1.1337766666666669</v>
      </c>
      <c r="Y779" s="19">
        <v>5972.6600000000008</v>
      </c>
      <c r="Z779" s="20">
        <v>0.99544333333333346</v>
      </c>
      <c r="AA779" s="30">
        <v>0.11950000000000012</v>
      </c>
      <c r="AB779" s="27">
        <v>0.1</v>
      </c>
      <c r="AC779" s="27">
        <v>0.12029999999999999</v>
      </c>
      <c r="AD779" s="11">
        <v>0.11828468798055659</v>
      </c>
    </row>
    <row r="780" spans="1:30" x14ac:dyDescent="0.25">
      <c r="A780" s="13">
        <v>44911</v>
      </c>
      <c r="B780" s="46" t="s">
        <v>636</v>
      </c>
      <c r="C780" s="13">
        <v>44911</v>
      </c>
      <c r="D780" s="15" t="s">
        <v>869</v>
      </c>
      <c r="E780" s="15">
        <v>168</v>
      </c>
      <c r="F780" s="15">
        <v>180</v>
      </c>
      <c r="G780" s="13">
        <v>45079</v>
      </c>
      <c r="H780" s="17">
        <v>4000</v>
      </c>
      <c r="I780" s="19">
        <v>5738.7499999999991</v>
      </c>
      <c r="J780" s="20">
        <v>1.4346875000000003</v>
      </c>
      <c r="K780" s="19">
        <v>4658.7499999999991</v>
      </c>
      <c r="L780" s="20">
        <v>1.1646874999999999</v>
      </c>
      <c r="M780" s="21">
        <v>0</v>
      </c>
      <c r="N780" s="19">
        <v>0</v>
      </c>
      <c r="O780" s="23">
        <v>800</v>
      </c>
      <c r="P780" s="24">
        <v>230</v>
      </c>
      <c r="Q780" s="25">
        <v>0.28749999999999998</v>
      </c>
      <c r="R780" s="24">
        <v>230</v>
      </c>
      <c r="S780" s="25">
        <v>0.28749999999999998</v>
      </c>
      <c r="T780" s="26">
        <v>0</v>
      </c>
      <c r="U780" s="24">
        <v>0</v>
      </c>
      <c r="V780" s="19">
        <v>4800</v>
      </c>
      <c r="W780" s="19">
        <v>5968.7499999999991</v>
      </c>
      <c r="X780" s="21">
        <v>1.243489583333333</v>
      </c>
      <c r="Y780" s="19">
        <v>4888.7499999999991</v>
      </c>
      <c r="Z780" s="20">
        <v>1.0184895833333332</v>
      </c>
      <c r="AA780" s="30">
        <v>0.12049999999999987</v>
      </c>
      <c r="AB780" s="27">
        <v>0.105</v>
      </c>
      <c r="AC780" s="27">
        <v>0.12230000000000001</v>
      </c>
      <c r="AD780" s="11">
        <v>0.11908661938575475</v>
      </c>
    </row>
    <row r="781" spans="1:30" x14ac:dyDescent="0.25">
      <c r="A781" s="13">
        <v>44914</v>
      </c>
      <c r="B781" s="46" t="s">
        <v>636</v>
      </c>
      <c r="C781" s="13">
        <v>44914</v>
      </c>
      <c r="D781" s="15" t="s">
        <v>870</v>
      </c>
      <c r="E781" s="15">
        <v>28</v>
      </c>
      <c r="F781" s="15">
        <v>30</v>
      </c>
      <c r="G781" s="13">
        <v>44942</v>
      </c>
      <c r="H781" s="17">
        <v>5800</v>
      </c>
      <c r="I781" s="19">
        <v>7710.5300000000016</v>
      </c>
      <c r="J781" s="20">
        <v>1.3294017241379312</v>
      </c>
      <c r="K781" s="19">
        <v>7160.5300000000016</v>
      </c>
      <c r="L781" s="20">
        <v>1.2345741379310347</v>
      </c>
      <c r="M781" s="21">
        <v>0</v>
      </c>
      <c r="N781" s="19">
        <v>0</v>
      </c>
      <c r="O781" s="23">
        <v>1160</v>
      </c>
      <c r="P781" s="24">
        <v>357</v>
      </c>
      <c r="Q781" s="25">
        <v>0.3077586206896552</v>
      </c>
      <c r="R781" s="24">
        <v>357</v>
      </c>
      <c r="S781" s="25">
        <v>0.30775862068965515</v>
      </c>
      <c r="T781" s="26">
        <v>0</v>
      </c>
      <c r="U781" s="24">
        <v>0</v>
      </c>
      <c r="V781" s="19">
        <v>6960</v>
      </c>
      <c r="W781" s="19">
        <v>8067.5300000000016</v>
      </c>
      <c r="X781" s="21">
        <v>1.1591278735632187</v>
      </c>
      <c r="Y781" s="19">
        <v>7517.5300000000016</v>
      </c>
      <c r="Z781" s="20">
        <v>1.0801048850574715</v>
      </c>
      <c r="AA781" s="30">
        <v>0.11669999999999987</v>
      </c>
      <c r="AB781" s="27">
        <v>0.08</v>
      </c>
      <c r="AC781" s="27">
        <v>0.11779999999999999</v>
      </c>
      <c r="AD781" s="11">
        <v>0.11507088708558298</v>
      </c>
    </row>
    <row r="782" spans="1:30" x14ac:dyDescent="0.25">
      <c r="A782" s="13">
        <v>44916</v>
      </c>
      <c r="B782" s="46" t="s">
        <v>636</v>
      </c>
      <c r="C782" s="13">
        <v>44916</v>
      </c>
      <c r="D782" s="15" t="s">
        <v>871</v>
      </c>
      <c r="E782" s="15">
        <v>98</v>
      </c>
      <c r="F782" s="15">
        <v>90</v>
      </c>
      <c r="G782" s="13">
        <v>45014</v>
      </c>
      <c r="H782" s="17">
        <v>3300</v>
      </c>
      <c r="I782" s="19">
        <v>6185.23</v>
      </c>
      <c r="J782" s="20">
        <v>1.874312121212121</v>
      </c>
      <c r="K782" s="19">
        <v>5116.93</v>
      </c>
      <c r="L782" s="20">
        <v>1.5505848484848486</v>
      </c>
      <c r="M782" s="21">
        <v>0</v>
      </c>
      <c r="N782" s="19">
        <v>0</v>
      </c>
      <c r="O782" s="23">
        <v>660</v>
      </c>
      <c r="P782" s="24">
        <v>540.86</v>
      </c>
      <c r="Q782" s="25">
        <v>0.81948484848484848</v>
      </c>
      <c r="R782" s="24">
        <v>540.86</v>
      </c>
      <c r="S782" s="25">
        <v>0.81948484848484848</v>
      </c>
      <c r="T782" s="26">
        <v>0</v>
      </c>
      <c r="U782" s="24">
        <v>0</v>
      </c>
      <c r="V782" s="19">
        <v>3960</v>
      </c>
      <c r="W782" s="19">
        <v>6726.0899999999992</v>
      </c>
      <c r="X782" s="21">
        <v>1.6985075757575756</v>
      </c>
      <c r="Y782" s="19">
        <v>5657.79</v>
      </c>
      <c r="Z782" s="20">
        <v>1.4287348484848486</v>
      </c>
      <c r="AA782" s="30">
        <v>0.1196000000000001</v>
      </c>
      <c r="AB782" s="27">
        <v>0.05</v>
      </c>
      <c r="AC782" s="27">
        <v>0.12140000000000001</v>
      </c>
      <c r="AD782" s="11">
        <v>0.1173441488837117</v>
      </c>
    </row>
    <row r="783" spans="1:30" x14ac:dyDescent="0.25">
      <c r="A783" s="13">
        <v>44917</v>
      </c>
      <c r="B783" s="46" t="s">
        <v>636</v>
      </c>
      <c r="C783" s="13">
        <v>44918</v>
      </c>
      <c r="D783" s="15" t="s">
        <v>872</v>
      </c>
      <c r="E783" s="15">
        <v>371</v>
      </c>
      <c r="F783" s="15">
        <v>360</v>
      </c>
      <c r="G783" s="13">
        <v>45289</v>
      </c>
      <c r="H783" s="17">
        <v>6600</v>
      </c>
      <c r="I783" s="19">
        <v>13293.019999999999</v>
      </c>
      <c r="J783" s="20">
        <v>2.0140939393939385</v>
      </c>
      <c r="K783" s="19">
        <v>10783.019999999999</v>
      </c>
      <c r="L783" s="20">
        <v>1.6337909090909088</v>
      </c>
      <c r="M783" s="21">
        <v>0</v>
      </c>
      <c r="N783" s="19">
        <v>0</v>
      </c>
      <c r="O783" s="23">
        <v>1320</v>
      </c>
      <c r="P783" s="24">
        <v>1820.5</v>
      </c>
      <c r="Q783" s="25">
        <v>1.3791666666666669</v>
      </c>
      <c r="R783" s="24">
        <v>1320</v>
      </c>
      <c r="S783" s="25">
        <v>1</v>
      </c>
      <c r="T783" s="26">
        <v>0.72507560000000004</v>
      </c>
      <c r="U783" s="24">
        <v>0</v>
      </c>
      <c r="V783" s="19">
        <v>7920</v>
      </c>
      <c r="W783" s="19">
        <v>15113.519999999999</v>
      </c>
      <c r="X783" s="21">
        <v>1.9082727272727271</v>
      </c>
      <c r="Y783" s="19">
        <v>12103.019999999999</v>
      </c>
      <c r="Z783" s="20">
        <v>1.5281590909090907</v>
      </c>
      <c r="AA783" s="30">
        <v>0.11999999999999983</v>
      </c>
      <c r="AB783" s="27">
        <v>0.1</v>
      </c>
      <c r="AC783" s="27">
        <v>0.12230000000000001</v>
      </c>
      <c r="AD783" s="11">
        <v>0.11924064689588974</v>
      </c>
    </row>
    <row r="784" spans="1:30" x14ac:dyDescent="0.25">
      <c r="A784" s="13">
        <v>44921</v>
      </c>
      <c r="B784" s="46" t="s">
        <v>636</v>
      </c>
      <c r="C784" s="13">
        <v>44921</v>
      </c>
      <c r="D784" s="15" t="s">
        <v>873</v>
      </c>
      <c r="E784" s="15">
        <v>35</v>
      </c>
      <c r="F784" s="15">
        <v>30</v>
      </c>
      <c r="G784" s="13">
        <v>44956</v>
      </c>
      <c r="H784" s="17">
        <v>5800</v>
      </c>
      <c r="I784" s="19">
        <v>7991.79</v>
      </c>
      <c r="J784" s="20">
        <v>1.3778948275862066</v>
      </c>
      <c r="K784" s="19">
        <v>7016.79</v>
      </c>
      <c r="L784" s="20">
        <v>1.2097913793103447</v>
      </c>
      <c r="M784" s="21">
        <v>0</v>
      </c>
      <c r="N784" s="19">
        <v>0</v>
      </c>
      <c r="O784" s="23">
        <v>1160</v>
      </c>
      <c r="P784" s="24">
        <v>1341.3500000000001</v>
      </c>
      <c r="Q784" s="25">
        <v>1.1563362068965515</v>
      </c>
      <c r="R784" s="24">
        <v>1160.0000000000002</v>
      </c>
      <c r="S784" s="25">
        <v>1.0000000000000002</v>
      </c>
      <c r="T784" s="26">
        <v>0.86480097680097678</v>
      </c>
      <c r="U784" s="24">
        <v>0</v>
      </c>
      <c r="V784" s="19">
        <v>6960</v>
      </c>
      <c r="W784" s="19">
        <v>9333.14</v>
      </c>
      <c r="X784" s="21">
        <v>1.3409683908045975</v>
      </c>
      <c r="Y784" s="19">
        <v>8176.79</v>
      </c>
      <c r="Z784" s="20">
        <v>1.1748261494252874</v>
      </c>
      <c r="AA784" s="30">
        <v>0.11689999999999996</v>
      </c>
      <c r="AB784" s="27">
        <v>0.1</v>
      </c>
      <c r="AC784" s="27">
        <v>0.11849999999999999</v>
      </c>
      <c r="AD784" s="11">
        <v>0.11520329112751965</v>
      </c>
    </row>
    <row r="785" spans="1:30" x14ac:dyDescent="0.25">
      <c r="A785" s="13">
        <v>44922</v>
      </c>
      <c r="B785" s="46" t="s">
        <v>636</v>
      </c>
      <c r="C785" s="13">
        <v>44923</v>
      </c>
      <c r="D785" s="15" t="s">
        <v>874</v>
      </c>
      <c r="E785" s="15">
        <v>763</v>
      </c>
      <c r="F785" s="15">
        <v>720</v>
      </c>
      <c r="G785" s="13">
        <v>45686</v>
      </c>
      <c r="H785" s="17">
        <v>2500</v>
      </c>
      <c r="I785" s="19">
        <v>8934.7199999999993</v>
      </c>
      <c r="J785" s="20">
        <v>3.5738880000000015</v>
      </c>
      <c r="K785" s="19">
        <v>4939.7199999999993</v>
      </c>
      <c r="L785" s="20">
        <v>1.9758879999999996</v>
      </c>
      <c r="M785" s="21">
        <v>0</v>
      </c>
      <c r="N785" s="19">
        <v>0</v>
      </c>
      <c r="O785" s="23">
        <v>500</v>
      </c>
      <c r="P785" s="24">
        <v>1000</v>
      </c>
      <c r="Q785" s="25">
        <v>2</v>
      </c>
      <c r="R785" s="24">
        <v>500</v>
      </c>
      <c r="S785" s="25">
        <v>1</v>
      </c>
      <c r="T785" s="26">
        <v>0.5</v>
      </c>
      <c r="U785" s="24">
        <v>0</v>
      </c>
      <c r="V785" s="19">
        <v>3000</v>
      </c>
      <c r="W785" s="19">
        <v>9934.7199999999993</v>
      </c>
      <c r="X785" s="21">
        <v>3.311573333333333</v>
      </c>
      <c r="Y785" s="19">
        <v>5439.7199999999993</v>
      </c>
      <c r="Z785" s="20">
        <v>1.8132399999999997</v>
      </c>
      <c r="AA785" s="30">
        <v>0.11939999999999998</v>
      </c>
      <c r="AB785" s="27">
        <v>0.11</v>
      </c>
      <c r="AC785" s="27">
        <v>0.1207</v>
      </c>
      <c r="AD785" s="11">
        <v>0.11891161468966011</v>
      </c>
    </row>
    <row r="786" spans="1:30" x14ac:dyDescent="0.25">
      <c r="A786" s="13">
        <v>44923</v>
      </c>
      <c r="B786" s="46" t="s">
        <v>636</v>
      </c>
      <c r="C786" s="13">
        <v>44923</v>
      </c>
      <c r="D786" s="15" t="s">
        <v>875</v>
      </c>
      <c r="E786" s="15">
        <v>91</v>
      </c>
      <c r="F786" s="15">
        <v>90</v>
      </c>
      <c r="G786" s="13">
        <v>45014</v>
      </c>
      <c r="H786" s="17">
        <v>4200</v>
      </c>
      <c r="I786" s="19">
        <v>8526.0999999999985</v>
      </c>
      <c r="J786" s="20">
        <v>2.0300238095238092</v>
      </c>
      <c r="K786" s="19">
        <v>8400</v>
      </c>
      <c r="L786" s="20">
        <v>2</v>
      </c>
      <c r="M786" s="21">
        <v>0.89912000000000003</v>
      </c>
      <c r="N786" s="19">
        <v>0</v>
      </c>
      <c r="O786" s="23">
        <v>840</v>
      </c>
      <c r="P786" s="24">
        <v>1541.8</v>
      </c>
      <c r="Q786" s="25">
        <v>1.8354761904761907</v>
      </c>
      <c r="R786" s="24">
        <v>840</v>
      </c>
      <c r="S786" s="25">
        <v>1</v>
      </c>
      <c r="T786" s="26">
        <v>0.54483333333333328</v>
      </c>
      <c r="U786" s="24">
        <v>0</v>
      </c>
      <c r="V786" s="19">
        <v>5040</v>
      </c>
      <c r="W786" s="19">
        <v>10067.899999999998</v>
      </c>
      <c r="X786" s="21">
        <v>1.9975992063492058</v>
      </c>
      <c r="Y786" s="19">
        <v>9240</v>
      </c>
      <c r="Z786" s="20">
        <v>1.8333333333333333</v>
      </c>
      <c r="AA786" s="30">
        <v>0.11969999999999993</v>
      </c>
      <c r="AB786" s="27">
        <v>0.1</v>
      </c>
      <c r="AC786" s="27">
        <v>0.1197</v>
      </c>
      <c r="AD786" s="11">
        <v>0.11718846412779584</v>
      </c>
    </row>
    <row r="787" spans="1:30" x14ac:dyDescent="0.25">
      <c r="A787" s="13">
        <v>44925</v>
      </c>
      <c r="B787" s="46" t="s">
        <v>636</v>
      </c>
      <c r="C787" s="13">
        <v>44925</v>
      </c>
      <c r="D787" s="15" t="s">
        <v>876</v>
      </c>
      <c r="E787" s="15">
        <v>182</v>
      </c>
      <c r="F787" s="15">
        <v>180</v>
      </c>
      <c r="G787" s="13">
        <v>45107</v>
      </c>
      <c r="H787" s="17">
        <v>4200</v>
      </c>
      <c r="I787" s="19">
        <v>5987.48</v>
      </c>
      <c r="J787" s="20">
        <v>1.4255904761904763</v>
      </c>
      <c r="K787" s="19">
        <v>5287.48</v>
      </c>
      <c r="L787" s="20">
        <v>1.2589238095238093</v>
      </c>
      <c r="M787" s="21">
        <v>0</v>
      </c>
      <c r="N787" s="19">
        <v>0</v>
      </c>
      <c r="O787" s="23">
        <v>840</v>
      </c>
      <c r="P787" s="24">
        <v>740</v>
      </c>
      <c r="Q787" s="25">
        <v>0.88095238095238093</v>
      </c>
      <c r="R787" s="24">
        <v>740</v>
      </c>
      <c r="S787" s="25">
        <v>0.88095238095238093</v>
      </c>
      <c r="T787" s="26">
        <v>0</v>
      </c>
      <c r="U787" s="24">
        <v>0</v>
      </c>
      <c r="V787" s="19">
        <v>5040</v>
      </c>
      <c r="W787" s="19">
        <v>6727.48</v>
      </c>
      <c r="X787" s="21">
        <v>1.3348174603174603</v>
      </c>
      <c r="Y787" s="19">
        <v>6027.48</v>
      </c>
      <c r="Z787" s="20">
        <v>1.1959285714285715</v>
      </c>
      <c r="AA787" s="30">
        <v>0.12000000000000009</v>
      </c>
      <c r="AB787" s="27">
        <v>0.1</v>
      </c>
      <c r="AC787" s="27">
        <v>0.12189999999999999</v>
      </c>
      <c r="AD787" s="11">
        <v>0.11778075467475468</v>
      </c>
    </row>
    <row r="788" spans="1:30" x14ac:dyDescent="0.25">
      <c r="A788" s="13">
        <v>44928</v>
      </c>
      <c r="B788" s="46" t="s">
        <v>636</v>
      </c>
      <c r="C788" s="13">
        <v>44928</v>
      </c>
      <c r="D788" s="15" t="s">
        <v>877</v>
      </c>
      <c r="E788" s="15">
        <v>28</v>
      </c>
      <c r="F788" s="15">
        <v>30</v>
      </c>
      <c r="G788" s="13">
        <v>44956</v>
      </c>
      <c r="H788" s="17">
        <v>3400</v>
      </c>
      <c r="I788" s="19">
        <v>4218.5</v>
      </c>
      <c r="J788" s="20">
        <v>1.240735294117647</v>
      </c>
      <c r="K788" s="19">
        <v>3318.5000000000005</v>
      </c>
      <c r="L788" s="20">
        <v>0.97602941176470603</v>
      </c>
      <c r="M788" s="21">
        <v>0</v>
      </c>
      <c r="N788" s="19">
        <v>0</v>
      </c>
      <c r="O788" s="23">
        <v>680</v>
      </c>
      <c r="P788" s="24">
        <v>725.5</v>
      </c>
      <c r="Q788" s="25">
        <v>1.0669117647058823</v>
      </c>
      <c r="R788" s="24">
        <v>663.7</v>
      </c>
      <c r="S788" s="25">
        <v>0.97602941176470592</v>
      </c>
      <c r="T788" s="26">
        <v>0.91481818181818186</v>
      </c>
      <c r="U788" s="24">
        <v>0</v>
      </c>
      <c r="V788" s="19">
        <v>4080</v>
      </c>
      <c r="W788" s="19">
        <v>4944</v>
      </c>
      <c r="X788" s="21">
        <v>1.2117647058823529</v>
      </c>
      <c r="Y788" s="19">
        <v>3982.2000000000007</v>
      </c>
      <c r="Z788" s="20">
        <v>0.97602941176470603</v>
      </c>
      <c r="AA788" s="30">
        <v>0.11689999999999993</v>
      </c>
      <c r="AB788" s="27">
        <v>0.03</v>
      </c>
      <c r="AC788" s="27">
        <v>0.1183</v>
      </c>
      <c r="AD788" s="11">
        <v>0.11507512765200902</v>
      </c>
    </row>
    <row r="789" spans="1:30" x14ac:dyDescent="0.25">
      <c r="A789" s="13">
        <v>44929</v>
      </c>
      <c r="B789" s="46" t="s">
        <v>636</v>
      </c>
      <c r="C789" s="13">
        <v>44929</v>
      </c>
      <c r="D789" s="15" t="s">
        <v>878</v>
      </c>
      <c r="E789" s="15">
        <v>106</v>
      </c>
      <c r="F789" s="15">
        <v>90</v>
      </c>
      <c r="G789" s="13">
        <v>45035</v>
      </c>
      <c r="H789" s="17">
        <v>3400</v>
      </c>
      <c r="I789" s="19">
        <v>1915.7799999999997</v>
      </c>
      <c r="J789" s="20">
        <v>0.56346470588235287</v>
      </c>
      <c r="K789" s="19">
        <v>1465.7799999999997</v>
      </c>
      <c r="L789" s="20">
        <v>0.43111176470588231</v>
      </c>
      <c r="M789" s="21">
        <v>0</v>
      </c>
      <c r="N789" s="19">
        <v>0</v>
      </c>
      <c r="O789" s="23">
        <v>680</v>
      </c>
      <c r="P789" s="24">
        <v>30</v>
      </c>
      <c r="Q789" s="25">
        <v>4.4117647058823532E-2</v>
      </c>
      <c r="R789" s="24">
        <v>30</v>
      </c>
      <c r="S789" s="25">
        <v>4.4117647058823532E-2</v>
      </c>
      <c r="T789" s="26">
        <v>0</v>
      </c>
      <c r="U789" s="24">
        <v>0</v>
      </c>
      <c r="V789" s="19">
        <v>4080</v>
      </c>
      <c r="W789" s="19">
        <v>1945.7799999999997</v>
      </c>
      <c r="X789" s="21">
        <v>0.47690686274509797</v>
      </c>
      <c r="Y789" s="19">
        <v>1495.7799999999997</v>
      </c>
      <c r="Z789" s="20">
        <v>0.36661274509803915</v>
      </c>
      <c r="AA789" s="30">
        <v>0.11949999999999995</v>
      </c>
      <c r="AB789" s="27">
        <v>0.1</v>
      </c>
      <c r="AC789" s="27">
        <v>0.1206</v>
      </c>
      <c r="AD789" s="11">
        <v>0.11823618265145266</v>
      </c>
    </row>
    <row r="790" spans="1:30" x14ac:dyDescent="0.25">
      <c r="A790" s="13">
        <v>44930</v>
      </c>
      <c r="B790" s="46" t="s">
        <v>636</v>
      </c>
      <c r="C790" s="13">
        <v>44931</v>
      </c>
      <c r="D790" s="15" t="s">
        <v>879</v>
      </c>
      <c r="E790" s="15">
        <v>365</v>
      </c>
      <c r="F790" s="15">
        <v>360</v>
      </c>
      <c r="G790" s="13">
        <v>45296</v>
      </c>
      <c r="H790" s="17">
        <v>5000</v>
      </c>
      <c r="I790" s="19">
        <v>10338.07</v>
      </c>
      <c r="J790" s="20">
        <v>2.0676140000000007</v>
      </c>
      <c r="K790" s="19">
        <v>10000</v>
      </c>
      <c r="L790" s="20">
        <v>2</v>
      </c>
      <c r="M790" s="21">
        <v>0.85404191616766467</v>
      </c>
      <c r="N790" s="19">
        <v>0</v>
      </c>
      <c r="O790" s="23">
        <v>1000</v>
      </c>
      <c r="P790" s="24">
        <v>2300</v>
      </c>
      <c r="Q790" s="25">
        <v>2.2999999999999998</v>
      </c>
      <c r="R790" s="24">
        <v>1000</v>
      </c>
      <c r="S790" s="25">
        <v>1</v>
      </c>
      <c r="T790" s="26">
        <v>0.43478266666666665</v>
      </c>
      <c r="U790" s="24">
        <v>0</v>
      </c>
      <c r="V790" s="19">
        <v>6000</v>
      </c>
      <c r="W790" s="19">
        <v>12638.07</v>
      </c>
      <c r="X790" s="21">
        <v>2.1063450000000001</v>
      </c>
      <c r="Y790" s="19">
        <v>11000</v>
      </c>
      <c r="Z790" s="20">
        <v>1.8333333333333333</v>
      </c>
      <c r="AA790" s="30">
        <v>0.12000000000000009</v>
      </c>
      <c r="AB790" s="27">
        <v>0.11</v>
      </c>
      <c r="AC790" s="27">
        <v>0.12089999999999999</v>
      </c>
      <c r="AD790" s="11">
        <v>0.11892076393369365</v>
      </c>
    </row>
    <row r="791" spans="1:30" x14ac:dyDescent="0.25">
      <c r="A791" s="13">
        <v>44935</v>
      </c>
      <c r="B791" s="46" t="s">
        <v>636</v>
      </c>
      <c r="C791" s="13">
        <v>44935</v>
      </c>
      <c r="D791" s="15" t="s">
        <v>880</v>
      </c>
      <c r="E791" s="15">
        <v>28</v>
      </c>
      <c r="F791" s="15">
        <v>30</v>
      </c>
      <c r="G791" s="13">
        <v>44963</v>
      </c>
      <c r="H791" s="17">
        <v>5000</v>
      </c>
      <c r="I791" s="19">
        <v>7513.51</v>
      </c>
      <c r="J791" s="20">
        <v>1.502702</v>
      </c>
      <c r="K791" s="19">
        <v>6588.51</v>
      </c>
      <c r="L791" s="20">
        <v>1.3177020000000002</v>
      </c>
      <c r="M791" s="21">
        <v>0</v>
      </c>
      <c r="N791" s="19">
        <v>0</v>
      </c>
      <c r="O791" s="23">
        <v>1000</v>
      </c>
      <c r="P791" s="24">
        <v>553.5</v>
      </c>
      <c r="Q791" s="25">
        <v>0.55349999999999999</v>
      </c>
      <c r="R791" s="24">
        <v>553.5</v>
      </c>
      <c r="S791" s="25">
        <v>0.55349999999999999</v>
      </c>
      <c r="T791" s="26">
        <v>0</v>
      </c>
      <c r="U791" s="24">
        <v>0</v>
      </c>
      <c r="V791" s="19">
        <v>6000</v>
      </c>
      <c r="W791" s="19">
        <v>8067.01</v>
      </c>
      <c r="X791" s="21">
        <v>1.3445016666666667</v>
      </c>
      <c r="Y791" s="19">
        <v>7142.01</v>
      </c>
      <c r="Z791" s="20">
        <v>1.1903350000000001</v>
      </c>
      <c r="AA791" s="30">
        <v>0.11710000000000001</v>
      </c>
      <c r="AB791" s="27">
        <v>0.1</v>
      </c>
      <c r="AC791" s="27">
        <v>0.1192</v>
      </c>
      <c r="AD791" s="11">
        <v>0.11530901469486299</v>
      </c>
    </row>
    <row r="792" spans="1:30" x14ac:dyDescent="0.25">
      <c r="A792" s="13">
        <v>44937</v>
      </c>
      <c r="B792" s="46" t="s">
        <v>636</v>
      </c>
      <c r="C792" s="13">
        <v>44937</v>
      </c>
      <c r="D792" s="15" t="s">
        <v>881</v>
      </c>
      <c r="E792" s="15">
        <v>98</v>
      </c>
      <c r="F792" s="15">
        <v>90</v>
      </c>
      <c r="G792" s="13">
        <v>45035</v>
      </c>
      <c r="H792" s="17">
        <v>5000</v>
      </c>
      <c r="I792" s="19">
        <v>4872.9400000000014</v>
      </c>
      <c r="J792" s="20">
        <v>0.97458800000000012</v>
      </c>
      <c r="K792" s="19">
        <v>4522.9400000000014</v>
      </c>
      <c r="L792" s="20">
        <v>0.90458800000000028</v>
      </c>
      <c r="M792" s="21">
        <v>0</v>
      </c>
      <c r="N792" s="19">
        <v>0</v>
      </c>
      <c r="O792" s="23">
        <v>1000</v>
      </c>
      <c r="P792" s="24">
        <v>1001.02</v>
      </c>
      <c r="Q792" s="25">
        <v>1.00102</v>
      </c>
      <c r="R792" s="24">
        <v>904.58799999999997</v>
      </c>
      <c r="S792" s="25">
        <v>0.90458799999999995</v>
      </c>
      <c r="T792" s="26">
        <v>0.90366630000000003</v>
      </c>
      <c r="U792" s="24">
        <v>0</v>
      </c>
      <c r="V792" s="19">
        <v>6000</v>
      </c>
      <c r="W792" s="19">
        <v>5873.9600000000009</v>
      </c>
      <c r="X792" s="21">
        <v>0.97899333333333349</v>
      </c>
      <c r="Y792" s="19">
        <v>5427.5280000000012</v>
      </c>
      <c r="Z792" s="20">
        <v>0.90458800000000017</v>
      </c>
      <c r="AA792" s="30">
        <v>0.11950000000000018</v>
      </c>
      <c r="AB792" s="27">
        <v>0.1</v>
      </c>
      <c r="AC792" s="27">
        <v>0.1207</v>
      </c>
      <c r="AD792" s="11">
        <v>0.11749751341079508</v>
      </c>
    </row>
    <row r="793" spans="1:30" x14ac:dyDescent="0.25">
      <c r="A793" s="13">
        <v>44939</v>
      </c>
      <c r="B793" s="46" t="s">
        <v>636</v>
      </c>
      <c r="C793" s="13">
        <v>44939</v>
      </c>
      <c r="D793" s="15" t="s">
        <v>882</v>
      </c>
      <c r="E793" s="15">
        <v>168</v>
      </c>
      <c r="F793" s="15">
        <v>180</v>
      </c>
      <c r="G793" s="13">
        <v>45107</v>
      </c>
      <c r="H793" s="17">
        <v>4200</v>
      </c>
      <c r="I793" s="19">
        <v>4580.8999999999996</v>
      </c>
      <c r="J793" s="20">
        <v>1.0906904761904759</v>
      </c>
      <c r="K793" s="19">
        <v>4530.1200000000008</v>
      </c>
      <c r="L793" s="20">
        <v>1.0786000000000002</v>
      </c>
      <c r="M793" s="21">
        <v>0</v>
      </c>
      <c r="N793" s="19">
        <v>0</v>
      </c>
      <c r="O793" s="23">
        <v>840</v>
      </c>
      <c r="P793" s="24">
        <v>0</v>
      </c>
      <c r="Q793" s="25">
        <v>0</v>
      </c>
      <c r="R793" s="24">
        <v>0</v>
      </c>
      <c r="S793" s="25">
        <v>0</v>
      </c>
      <c r="T793" s="26">
        <v>0</v>
      </c>
      <c r="U793" s="24">
        <v>0</v>
      </c>
      <c r="V793" s="19">
        <v>5040</v>
      </c>
      <c r="W793" s="19">
        <v>4580.8999999999996</v>
      </c>
      <c r="X793" s="21">
        <v>0.90890873015873008</v>
      </c>
      <c r="Y793" s="19">
        <v>4530.1200000000008</v>
      </c>
      <c r="Z793" s="20">
        <v>0.89883333333333348</v>
      </c>
      <c r="AA793" s="30">
        <v>0.11990000000000005</v>
      </c>
      <c r="AB793" s="27">
        <v>0.1</v>
      </c>
      <c r="AC793" s="27">
        <v>0.1206</v>
      </c>
      <c r="AD793" s="11">
        <v>0.11837994608046455</v>
      </c>
    </row>
    <row r="794" spans="1:30" x14ac:dyDescent="0.25">
      <c r="A794" s="13">
        <v>44942</v>
      </c>
      <c r="B794" s="46" t="s">
        <v>636</v>
      </c>
      <c r="C794" s="13">
        <v>44942</v>
      </c>
      <c r="D794" s="15" t="s">
        <v>883</v>
      </c>
      <c r="E794" s="15">
        <v>28</v>
      </c>
      <c r="F794" s="15">
        <v>30</v>
      </c>
      <c r="G794" s="13">
        <v>44970</v>
      </c>
      <c r="H794" s="17">
        <v>5000</v>
      </c>
      <c r="I794" s="19">
        <v>6122.8099999999995</v>
      </c>
      <c r="J794" s="20">
        <v>1.2245620000000002</v>
      </c>
      <c r="K794" s="19">
        <v>5582.8099999999995</v>
      </c>
      <c r="L794" s="20">
        <v>1.1165619999999998</v>
      </c>
      <c r="M794" s="21">
        <v>0</v>
      </c>
      <c r="N794" s="19">
        <v>0</v>
      </c>
      <c r="O794" s="23">
        <v>1000</v>
      </c>
      <c r="P794" s="24">
        <v>558.79999999999995</v>
      </c>
      <c r="Q794" s="25">
        <v>0.55879999999999996</v>
      </c>
      <c r="R794" s="24">
        <v>558.79999999999995</v>
      </c>
      <c r="S794" s="25">
        <v>0.55879999999999996</v>
      </c>
      <c r="T794" s="26">
        <v>0</v>
      </c>
      <c r="U794" s="24">
        <v>0</v>
      </c>
      <c r="V794" s="19">
        <v>6000</v>
      </c>
      <c r="W794" s="19">
        <v>6681.61</v>
      </c>
      <c r="X794" s="21">
        <v>1.1136016666666666</v>
      </c>
      <c r="Y794" s="19">
        <v>6141.61</v>
      </c>
      <c r="Z794" s="20">
        <v>1.0236016666666665</v>
      </c>
      <c r="AA794" s="30">
        <v>0.11720000000000004</v>
      </c>
      <c r="AB794" s="27">
        <v>0.09</v>
      </c>
      <c r="AC794" s="27">
        <v>0.11849999999999999</v>
      </c>
      <c r="AD794" s="11">
        <v>0.11573364321283859</v>
      </c>
    </row>
    <row r="795" spans="1:30" x14ac:dyDescent="0.25">
      <c r="A795" s="13">
        <v>44944</v>
      </c>
      <c r="B795" s="46" t="s">
        <v>636</v>
      </c>
      <c r="C795" s="13">
        <v>44944</v>
      </c>
      <c r="D795" s="15" t="s">
        <v>884</v>
      </c>
      <c r="E795" s="15">
        <v>91</v>
      </c>
      <c r="F795" s="15">
        <v>90</v>
      </c>
      <c r="G795" s="13">
        <v>45035</v>
      </c>
      <c r="H795" s="17">
        <v>3300</v>
      </c>
      <c r="I795" s="19">
        <v>3236.4700000000003</v>
      </c>
      <c r="J795" s="20">
        <v>0.98074848484848465</v>
      </c>
      <c r="K795" s="19">
        <v>3236.4700000000003</v>
      </c>
      <c r="L795" s="20">
        <v>0.98074848484848498</v>
      </c>
      <c r="M795" s="21">
        <v>0</v>
      </c>
      <c r="N795" s="19">
        <v>0</v>
      </c>
      <c r="O795" s="23">
        <v>660</v>
      </c>
      <c r="P795" s="24">
        <v>660.1</v>
      </c>
      <c r="Q795" s="25">
        <v>1.0001515151515152</v>
      </c>
      <c r="R795" s="24">
        <v>647.2940000000001</v>
      </c>
      <c r="S795" s="25">
        <v>0.98074848484848498</v>
      </c>
      <c r="T795" s="26">
        <v>0.98099999999999998</v>
      </c>
      <c r="U795" s="24">
        <v>0</v>
      </c>
      <c r="V795" s="19">
        <v>3960</v>
      </c>
      <c r="W795" s="19">
        <v>3896.57</v>
      </c>
      <c r="X795" s="21">
        <v>0.98398232323232326</v>
      </c>
      <c r="Y795" s="19">
        <v>3883.7640000000001</v>
      </c>
      <c r="Z795" s="20">
        <v>0.98074848484848487</v>
      </c>
      <c r="AA795" s="30">
        <v>0.11979999999999996</v>
      </c>
      <c r="AB795" s="27">
        <v>0.1</v>
      </c>
      <c r="AC795" s="27">
        <v>0.1198</v>
      </c>
      <c r="AD795" s="11">
        <v>0.11818373320315034</v>
      </c>
    </row>
    <row r="796" spans="1:30" x14ac:dyDescent="0.25">
      <c r="A796" s="13">
        <v>44945</v>
      </c>
      <c r="B796" s="46" t="s">
        <v>636</v>
      </c>
      <c r="C796" s="13">
        <v>44946</v>
      </c>
      <c r="D796" s="15" t="s">
        <v>885</v>
      </c>
      <c r="E796" s="15">
        <v>364</v>
      </c>
      <c r="F796" s="15">
        <v>360</v>
      </c>
      <c r="G796" s="13">
        <v>45310</v>
      </c>
      <c r="H796" s="17">
        <v>7500</v>
      </c>
      <c r="I796" s="19">
        <v>9561.1800000000021</v>
      </c>
      <c r="J796" s="20">
        <v>1.2748240000000004</v>
      </c>
      <c r="K796" s="19">
        <v>7626.1799999999994</v>
      </c>
      <c r="L796" s="20">
        <v>1.016824</v>
      </c>
      <c r="M796" s="21">
        <v>0</v>
      </c>
      <c r="N796" s="19">
        <v>0</v>
      </c>
      <c r="O796" s="23">
        <v>1500</v>
      </c>
      <c r="P796" s="24">
        <v>3000</v>
      </c>
      <c r="Q796" s="25">
        <v>2</v>
      </c>
      <c r="R796" s="24">
        <v>1500</v>
      </c>
      <c r="S796" s="25">
        <v>1</v>
      </c>
      <c r="T796" s="26">
        <v>0.5</v>
      </c>
      <c r="U796" s="24">
        <v>0</v>
      </c>
      <c r="V796" s="19">
        <v>9000</v>
      </c>
      <c r="W796" s="19">
        <v>12561.180000000002</v>
      </c>
      <c r="X796" s="21">
        <v>1.395686666666667</v>
      </c>
      <c r="Y796" s="19">
        <v>9126.18</v>
      </c>
      <c r="Z796" s="20">
        <v>1.0140199999999999</v>
      </c>
      <c r="AA796" s="30">
        <v>0.11950000000000018</v>
      </c>
      <c r="AB796" s="27">
        <v>0.1</v>
      </c>
      <c r="AC796" s="27">
        <v>0.12</v>
      </c>
      <c r="AD796" s="11">
        <v>0.11841367540408188</v>
      </c>
    </row>
    <row r="797" spans="1:30" x14ac:dyDescent="0.25">
      <c r="A797" s="13">
        <v>44949</v>
      </c>
      <c r="B797" s="46" t="s">
        <v>636</v>
      </c>
      <c r="C797" s="13">
        <v>44949</v>
      </c>
      <c r="D797" s="15" t="s">
        <v>886</v>
      </c>
      <c r="E797" s="15">
        <v>30</v>
      </c>
      <c r="F797" s="15">
        <v>30</v>
      </c>
      <c r="G797" s="13">
        <v>44979</v>
      </c>
      <c r="H797" s="17">
        <v>3300</v>
      </c>
      <c r="I797" s="19">
        <v>4163.0500000000011</v>
      </c>
      <c r="J797" s="20">
        <v>1.2615303030303029</v>
      </c>
      <c r="K797" s="19">
        <v>3763.05</v>
      </c>
      <c r="L797" s="20">
        <v>1.1403181818181818</v>
      </c>
      <c r="M797" s="21">
        <v>0</v>
      </c>
      <c r="N797" s="19">
        <v>0</v>
      </c>
      <c r="O797" s="23">
        <v>660</v>
      </c>
      <c r="P797" s="24">
        <v>3.05</v>
      </c>
      <c r="Q797" s="25">
        <v>4.6212121212121206E-3</v>
      </c>
      <c r="R797" s="24">
        <v>3.05</v>
      </c>
      <c r="S797" s="25">
        <v>4.6212121212121206E-3</v>
      </c>
      <c r="T797" s="26">
        <v>0</v>
      </c>
      <c r="U797" s="24">
        <v>0</v>
      </c>
      <c r="V797" s="19">
        <v>3960</v>
      </c>
      <c r="W797" s="19">
        <v>4166.1000000000013</v>
      </c>
      <c r="X797" s="21">
        <v>1.0520454545454549</v>
      </c>
      <c r="Y797" s="19">
        <v>3766.1000000000004</v>
      </c>
      <c r="Z797" s="20">
        <v>0.95103535353535362</v>
      </c>
      <c r="AA797" s="30">
        <v>0.11730000000000004</v>
      </c>
      <c r="AB797" s="27">
        <v>0.1</v>
      </c>
      <c r="AC797" s="27">
        <v>0.11900000000000001</v>
      </c>
      <c r="AD797" s="11">
        <v>0.11582410492307317</v>
      </c>
    </row>
    <row r="798" spans="1:30" x14ac:dyDescent="0.25">
      <c r="A798" s="13">
        <v>44951</v>
      </c>
      <c r="B798" s="46" t="s">
        <v>636</v>
      </c>
      <c r="C798" s="13">
        <v>44951</v>
      </c>
      <c r="D798" s="15" t="s">
        <v>887</v>
      </c>
      <c r="E798" s="15">
        <v>91</v>
      </c>
      <c r="F798" s="15">
        <v>90</v>
      </c>
      <c r="G798" s="13">
        <v>45042</v>
      </c>
      <c r="H798" s="17">
        <v>5000</v>
      </c>
      <c r="I798" s="19">
        <v>2339.04</v>
      </c>
      <c r="J798" s="20">
        <v>0.46780800000000017</v>
      </c>
      <c r="K798" s="19">
        <v>2339.04</v>
      </c>
      <c r="L798" s="20">
        <v>0.467808</v>
      </c>
      <c r="M798" s="21">
        <v>0</v>
      </c>
      <c r="N798" s="19">
        <v>0</v>
      </c>
      <c r="O798" s="23">
        <v>1000</v>
      </c>
      <c r="P798" s="24">
        <v>84.17</v>
      </c>
      <c r="Q798" s="25">
        <v>8.4169999999999995E-2</v>
      </c>
      <c r="R798" s="24">
        <v>84.17</v>
      </c>
      <c r="S798" s="25">
        <v>8.4169999999999995E-2</v>
      </c>
      <c r="T798" s="26">
        <v>0</v>
      </c>
      <c r="U798" s="24">
        <v>0</v>
      </c>
      <c r="V798" s="19">
        <v>6000</v>
      </c>
      <c r="W798" s="19">
        <v>2423.21</v>
      </c>
      <c r="X798" s="21">
        <v>0.40386833333333333</v>
      </c>
      <c r="Y798" s="19">
        <v>2423.21</v>
      </c>
      <c r="Z798" s="20">
        <v>0.40386833333333333</v>
      </c>
      <c r="AA798" s="30">
        <v>0.12029999999999995</v>
      </c>
      <c r="AB798" s="27">
        <v>0.1</v>
      </c>
      <c r="AC798" s="27">
        <v>0.12029999999999999</v>
      </c>
      <c r="AD798" s="11">
        <v>0.11672062384568026</v>
      </c>
    </row>
    <row r="799" spans="1:30" x14ac:dyDescent="0.25">
      <c r="A799" s="13">
        <v>44953</v>
      </c>
      <c r="B799" s="46" t="s">
        <v>636</v>
      </c>
      <c r="C799" s="13">
        <v>44953</v>
      </c>
      <c r="D799" s="15" t="s">
        <v>888</v>
      </c>
      <c r="E799" s="15">
        <v>189</v>
      </c>
      <c r="F799" s="15">
        <v>180</v>
      </c>
      <c r="G799" s="13">
        <v>45142</v>
      </c>
      <c r="H799" s="17">
        <v>4200</v>
      </c>
      <c r="I799" s="19">
        <v>6826.9000000000005</v>
      </c>
      <c r="J799" s="20">
        <v>1.62545238095238</v>
      </c>
      <c r="K799" s="19">
        <v>4510.4900000000007</v>
      </c>
      <c r="L799" s="20">
        <v>1.0739261904761905</v>
      </c>
      <c r="M799" s="21">
        <v>0</v>
      </c>
      <c r="N799" s="19">
        <v>0</v>
      </c>
      <c r="O799" s="23">
        <v>840</v>
      </c>
      <c r="P799" s="24">
        <v>6.35</v>
      </c>
      <c r="Q799" s="25">
        <v>7.5595238095238094E-3</v>
      </c>
      <c r="R799" s="24">
        <v>6.35</v>
      </c>
      <c r="S799" s="25">
        <v>7.5595238095238094E-3</v>
      </c>
      <c r="T799" s="26">
        <v>0</v>
      </c>
      <c r="U799" s="24">
        <v>0</v>
      </c>
      <c r="V799" s="19">
        <v>5040</v>
      </c>
      <c r="W799" s="19">
        <v>6833.2500000000009</v>
      </c>
      <c r="X799" s="21">
        <v>1.3558035714285717</v>
      </c>
      <c r="Y799" s="19">
        <v>4516.8400000000011</v>
      </c>
      <c r="Z799" s="20">
        <v>0.89619841269841294</v>
      </c>
      <c r="AA799" s="30">
        <v>0.11939999999999994</v>
      </c>
      <c r="AB799" s="27">
        <v>0.09</v>
      </c>
      <c r="AC799" s="27">
        <v>0.121</v>
      </c>
      <c r="AD799" s="11">
        <v>0.11842896688101481</v>
      </c>
    </row>
    <row r="800" spans="1:30" x14ac:dyDescent="0.25">
      <c r="A800" s="13">
        <v>44956</v>
      </c>
      <c r="B800" s="46" t="s">
        <v>636</v>
      </c>
      <c r="C800" s="13">
        <v>44956</v>
      </c>
      <c r="D800" s="15" t="s">
        <v>889</v>
      </c>
      <c r="E800" s="15">
        <v>28</v>
      </c>
      <c r="F800" s="15">
        <v>30</v>
      </c>
      <c r="G800" s="13">
        <v>44984</v>
      </c>
      <c r="H800" s="17">
        <v>4200</v>
      </c>
      <c r="I800" s="19">
        <v>6471.84</v>
      </c>
      <c r="J800" s="20">
        <v>1.5409142857142855</v>
      </c>
      <c r="K800" s="19">
        <v>4791.84</v>
      </c>
      <c r="L800" s="20">
        <v>1.1409142857142858</v>
      </c>
      <c r="M800" s="21">
        <v>0</v>
      </c>
      <c r="N800" s="19">
        <v>0</v>
      </c>
      <c r="O800" s="23">
        <v>840</v>
      </c>
      <c r="P800" s="24">
        <v>395.53999999999996</v>
      </c>
      <c r="Q800" s="25">
        <v>0.4708809523809524</v>
      </c>
      <c r="R800" s="24">
        <v>395.53999999999996</v>
      </c>
      <c r="S800" s="25">
        <v>0.47088095238095234</v>
      </c>
      <c r="T800" s="26">
        <v>0</v>
      </c>
      <c r="U800" s="24">
        <v>0</v>
      </c>
      <c r="V800" s="19">
        <v>5040</v>
      </c>
      <c r="W800" s="19">
        <v>6867.38</v>
      </c>
      <c r="X800" s="21">
        <v>1.3625753968253969</v>
      </c>
      <c r="Y800" s="19">
        <v>5187.38</v>
      </c>
      <c r="Z800" s="20">
        <v>1.0292420634920636</v>
      </c>
      <c r="AA800" s="30">
        <v>0.11679999999999992</v>
      </c>
      <c r="AB800" s="27">
        <v>0.1</v>
      </c>
      <c r="AC800" s="27">
        <v>0.1193</v>
      </c>
      <c r="AD800" s="11">
        <v>0.11534139811861849</v>
      </c>
    </row>
    <row r="801" spans="1:30" x14ac:dyDescent="0.25">
      <c r="A801" s="13">
        <v>44957</v>
      </c>
      <c r="B801" s="46" t="s">
        <v>636</v>
      </c>
      <c r="C801" s="13">
        <v>44958</v>
      </c>
      <c r="D801" s="15" t="s">
        <v>890</v>
      </c>
      <c r="E801" s="15">
        <v>728</v>
      </c>
      <c r="F801" s="15">
        <v>720</v>
      </c>
      <c r="G801" s="13">
        <v>45686</v>
      </c>
      <c r="H801" s="17">
        <v>2500</v>
      </c>
      <c r="I801" s="19">
        <v>10485.36</v>
      </c>
      <c r="J801" s="20">
        <v>4.1941440000000023</v>
      </c>
      <c r="K801" s="19">
        <v>2483.46</v>
      </c>
      <c r="L801" s="20">
        <v>0.99338400000000004</v>
      </c>
      <c r="M801" s="21">
        <v>0</v>
      </c>
      <c r="N801" s="19">
        <v>0</v>
      </c>
      <c r="O801" s="23">
        <v>500</v>
      </c>
      <c r="P801" s="24">
        <v>1327</v>
      </c>
      <c r="Q801" s="25">
        <v>2.6539999999999999</v>
      </c>
      <c r="R801" s="24">
        <v>496.69200000000006</v>
      </c>
      <c r="S801" s="25">
        <v>0.99338400000000016</v>
      </c>
      <c r="T801" s="26">
        <v>0.37429700000000005</v>
      </c>
      <c r="U801" s="24">
        <v>0</v>
      </c>
      <c r="V801" s="19">
        <v>3000</v>
      </c>
      <c r="W801" s="19">
        <v>11812.36</v>
      </c>
      <c r="X801" s="21">
        <v>3.9374533333333335</v>
      </c>
      <c r="Y801" s="19">
        <v>2980.152</v>
      </c>
      <c r="Z801" s="20">
        <v>0.99338400000000004</v>
      </c>
      <c r="AA801" s="30">
        <v>0.11580000000000006</v>
      </c>
      <c r="AB801" s="27">
        <v>0.1</v>
      </c>
      <c r="AC801" s="27">
        <v>0.12050000000000001</v>
      </c>
      <c r="AD801" s="11">
        <v>0.11690485400596638</v>
      </c>
    </row>
    <row r="802" spans="1:30" x14ac:dyDescent="0.25">
      <c r="A802" s="13">
        <v>44958</v>
      </c>
      <c r="B802" s="46" t="s">
        <v>636</v>
      </c>
      <c r="C802" s="13">
        <v>44958</v>
      </c>
      <c r="D802" s="15" t="s">
        <v>891</v>
      </c>
      <c r="E802" s="15">
        <v>84</v>
      </c>
      <c r="F802" s="15">
        <v>90</v>
      </c>
      <c r="G802" s="13">
        <v>45042</v>
      </c>
      <c r="H802" s="17">
        <v>1700</v>
      </c>
      <c r="I802" s="19">
        <v>4288.2200000000021</v>
      </c>
      <c r="J802" s="20">
        <v>2.5224823529411755</v>
      </c>
      <c r="K802" s="19">
        <v>2112.9299999999994</v>
      </c>
      <c r="L802" s="20">
        <v>1.2428999999999997</v>
      </c>
      <c r="M802" s="21">
        <v>0</v>
      </c>
      <c r="N802" s="19">
        <v>0</v>
      </c>
      <c r="O802" s="23">
        <v>340</v>
      </c>
      <c r="P802" s="24">
        <v>83.49</v>
      </c>
      <c r="Q802" s="25">
        <v>0.24555882352941177</v>
      </c>
      <c r="R802" s="24">
        <v>83.49</v>
      </c>
      <c r="S802" s="25">
        <v>0.24555882352941175</v>
      </c>
      <c r="T802" s="26">
        <v>0</v>
      </c>
      <c r="U802" s="24">
        <v>0</v>
      </c>
      <c r="V802" s="19">
        <v>2040</v>
      </c>
      <c r="W802" s="19">
        <v>4371.7100000000019</v>
      </c>
      <c r="X802" s="21">
        <v>2.1429950980392167</v>
      </c>
      <c r="Y802" s="19">
        <v>2196.4199999999992</v>
      </c>
      <c r="Z802" s="20">
        <v>1.0766764705882348</v>
      </c>
      <c r="AA802" s="30">
        <v>0.11599999999999994</v>
      </c>
      <c r="AB802" s="27">
        <v>0.1</v>
      </c>
      <c r="AC802" s="27">
        <v>0.12039999999999999</v>
      </c>
      <c r="AD802" s="11">
        <v>0.11662509526097067</v>
      </c>
    </row>
    <row r="803" spans="1:30" x14ac:dyDescent="0.25">
      <c r="A803" s="13">
        <v>44959</v>
      </c>
      <c r="B803" s="46" t="s">
        <v>636</v>
      </c>
      <c r="C803" s="13">
        <v>44960</v>
      </c>
      <c r="D803" s="15" t="s">
        <v>892</v>
      </c>
      <c r="E803" s="15">
        <v>364</v>
      </c>
      <c r="F803" s="15">
        <v>360</v>
      </c>
      <c r="G803" s="13">
        <v>45324</v>
      </c>
      <c r="H803" s="17">
        <v>2500</v>
      </c>
      <c r="I803" s="19">
        <v>10616.58</v>
      </c>
      <c r="J803" s="20">
        <v>4.2466320000000026</v>
      </c>
      <c r="K803" s="19">
        <v>5000.0000000000009</v>
      </c>
      <c r="L803" s="20">
        <v>2.0000000000000004</v>
      </c>
      <c r="M803" s="21">
        <v>0.45854557377049182</v>
      </c>
      <c r="N803" s="19">
        <v>0</v>
      </c>
      <c r="O803" s="23">
        <v>500</v>
      </c>
      <c r="P803" s="24">
        <v>1000.2</v>
      </c>
      <c r="Q803" s="25">
        <v>2.0004</v>
      </c>
      <c r="R803" s="24">
        <v>500</v>
      </c>
      <c r="S803" s="25">
        <v>1</v>
      </c>
      <c r="T803" s="26">
        <v>0.5</v>
      </c>
      <c r="U803" s="24">
        <v>0</v>
      </c>
      <c r="V803" s="19">
        <v>3000</v>
      </c>
      <c r="W803" s="19">
        <v>11616.78</v>
      </c>
      <c r="X803" s="21">
        <v>3.8722600000000003</v>
      </c>
      <c r="Y803" s="19">
        <v>5500.0000000000009</v>
      </c>
      <c r="Z803" s="20">
        <v>1.8333333333333337</v>
      </c>
      <c r="AA803" s="30">
        <v>0.11399999999999993</v>
      </c>
      <c r="AB803" s="27">
        <v>0.105</v>
      </c>
      <c r="AC803" s="27">
        <v>0.12029999999999999</v>
      </c>
      <c r="AD803" s="11">
        <v>0.11426556329816191</v>
      </c>
    </row>
    <row r="804" spans="1:30" x14ac:dyDescent="0.25">
      <c r="A804" s="13">
        <v>44970</v>
      </c>
      <c r="B804" s="46" t="s">
        <v>636</v>
      </c>
      <c r="C804" s="13">
        <v>44970</v>
      </c>
      <c r="D804" s="15" t="s">
        <v>893</v>
      </c>
      <c r="E804" s="15">
        <v>28</v>
      </c>
      <c r="F804" s="15">
        <v>30</v>
      </c>
      <c r="G804" s="13">
        <v>44998</v>
      </c>
      <c r="H804" s="17">
        <v>5400</v>
      </c>
      <c r="I804" s="19">
        <v>10755.08</v>
      </c>
      <c r="J804" s="20">
        <v>1.9916814814814814</v>
      </c>
      <c r="K804" s="19">
        <v>8800.08</v>
      </c>
      <c r="L804" s="20">
        <v>1.6296444444444445</v>
      </c>
      <c r="M804" s="21">
        <v>0</v>
      </c>
      <c r="N804" s="19">
        <v>0</v>
      </c>
      <c r="O804" s="23">
        <v>1080</v>
      </c>
      <c r="P804" s="24">
        <v>450.5</v>
      </c>
      <c r="Q804" s="25">
        <v>0.41712962962962963</v>
      </c>
      <c r="R804" s="24">
        <v>450.5</v>
      </c>
      <c r="S804" s="25">
        <v>0.41712962962962963</v>
      </c>
      <c r="T804" s="26">
        <v>0</v>
      </c>
      <c r="U804" s="24">
        <v>0</v>
      </c>
      <c r="V804" s="19">
        <v>6480</v>
      </c>
      <c r="W804" s="19">
        <v>11205.58</v>
      </c>
      <c r="X804" s="21">
        <v>1.7292561728395062</v>
      </c>
      <c r="Y804" s="19">
        <v>9250.58</v>
      </c>
      <c r="Z804" s="20">
        <v>1.4275586419753086</v>
      </c>
      <c r="AA804" s="30">
        <v>0.11540000000000011</v>
      </c>
      <c r="AB804" s="27">
        <v>9.5000000000000001E-2</v>
      </c>
      <c r="AC804" s="27">
        <v>0.1174</v>
      </c>
      <c r="AD804" s="11">
        <v>0.11074036948121256</v>
      </c>
    </row>
    <row r="805" spans="1:30" x14ac:dyDescent="0.25">
      <c r="A805" s="13">
        <v>44972</v>
      </c>
      <c r="B805" s="46" t="s">
        <v>636</v>
      </c>
      <c r="C805" s="13">
        <v>44972</v>
      </c>
      <c r="D805" s="15" t="s">
        <v>894</v>
      </c>
      <c r="E805" s="15">
        <v>105</v>
      </c>
      <c r="F805" s="15">
        <v>90</v>
      </c>
      <c r="G805" s="13">
        <v>45077</v>
      </c>
      <c r="H805" s="17">
        <v>5400</v>
      </c>
      <c r="I805" s="19">
        <v>7129.6499999999987</v>
      </c>
      <c r="J805" s="20">
        <v>1.320305555555555</v>
      </c>
      <c r="K805" s="19">
        <v>6329.6499999999987</v>
      </c>
      <c r="L805" s="20">
        <v>1.1721574074074073</v>
      </c>
      <c r="M805" s="21">
        <v>0</v>
      </c>
      <c r="N805" s="19">
        <v>0</v>
      </c>
      <c r="O805" s="23">
        <v>1080</v>
      </c>
      <c r="P805" s="24">
        <v>0</v>
      </c>
      <c r="Q805" s="25">
        <v>0</v>
      </c>
      <c r="R805" s="24">
        <v>0</v>
      </c>
      <c r="S805" s="25">
        <v>0</v>
      </c>
      <c r="T805" s="26">
        <v>0</v>
      </c>
      <c r="U805" s="24">
        <v>0</v>
      </c>
      <c r="V805" s="19">
        <v>6480</v>
      </c>
      <c r="W805" s="19">
        <v>7129.6499999999987</v>
      </c>
      <c r="X805" s="21">
        <v>1.1002546296296294</v>
      </c>
      <c r="Y805" s="19">
        <v>6329.6499999999987</v>
      </c>
      <c r="Z805" s="20">
        <v>0.9767978395061726</v>
      </c>
      <c r="AA805" s="30">
        <v>0.11580000000000007</v>
      </c>
      <c r="AB805" s="27">
        <v>0.09</v>
      </c>
      <c r="AC805" s="27">
        <v>0.1174</v>
      </c>
      <c r="AD805" s="11">
        <v>0.11332880562159434</v>
      </c>
    </row>
    <row r="806" spans="1:30" x14ac:dyDescent="0.25">
      <c r="A806" s="13">
        <v>44974</v>
      </c>
      <c r="B806" s="46" t="s">
        <v>636</v>
      </c>
      <c r="C806" s="13">
        <v>44974</v>
      </c>
      <c r="D806" s="15" t="s">
        <v>895</v>
      </c>
      <c r="E806" s="15">
        <v>168</v>
      </c>
      <c r="F806" s="15">
        <v>180</v>
      </c>
      <c r="G806" s="13">
        <v>45142</v>
      </c>
      <c r="H806" s="17">
        <v>5000</v>
      </c>
      <c r="I806" s="19">
        <v>8299.5499999999993</v>
      </c>
      <c r="J806" s="20">
        <v>1.6599100000000007</v>
      </c>
      <c r="K806" s="19">
        <v>6580.6</v>
      </c>
      <c r="L806" s="20">
        <v>1.3161200000000002</v>
      </c>
      <c r="M806" s="21">
        <v>0</v>
      </c>
      <c r="N806" s="19">
        <v>0</v>
      </c>
      <c r="O806" s="23">
        <v>1000</v>
      </c>
      <c r="P806" s="24">
        <v>0</v>
      </c>
      <c r="Q806" s="25">
        <v>0</v>
      </c>
      <c r="R806" s="24">
        <v>0</v>
      </c>
      <c r="S806" s="25">
        <v>0</v>
      </c>
      <c r="T806" s="26">
        <v>0</v>
      </c>
      <c r="U806" s="24">
        <v>0</v>
      </c>
      <c r="V806" s="19">
        <v>6000</v>
      </c>
      <c r="W806" s="19">
        <v>8299.5499999999993</v>
      </c>
      <c r="X806" s="21">
        <v>1.3832583333333333</v>
      </c>
      <c r="Y806" s="19">
        <v>6580.6</v>
      </c>
      <c r="Z806" s="20">
        <v>1.0967666666666667</v>
      </c>
      <c r="AA806" s="30">
        <v>0.11550000000000003</v>
      </c>
      <c r="AB806" s="27">
        <v>0.1</v>
      </c>
      <c r="AC806" s="27">
        <v>0.11849999999999999</v>
      </c>
      <c r="AD806" s="11">
        <v>0.1137392277894585</v>
      </c>
    </row>
    <row r="807" spans="1:30" x14ac:dyDescent="0.25">
      <c r="A807" s="13">
        <v>44979</v>
      </c>
      <c r="B807" s="46" t="s">
        <v>636</v>
      </c>
      <c r="C807" s="13">
        <v>44979</v>
      </c>
      <c r="D807" s="15" t="s">
        <v>896</v>
      </c>
      <c r="E807" s="15">
        <v>26</v>
      </c>
      <c r="F807" s="15">
        <v>30</v>
      </c>
      <c r="G807" s="13">
        <v>45005</v>
      </c>
      <c r="H807" s="17">
        <v>5800</v>
      </c>
      <c r="I807" s="19">
        <v>6490.2000000000007</v>
      </c>
      <c r="J807" s="20">
        <v>1.119</v>
      </c>
      <c r="K807" s="19">
        <v>6490.2000000000007</v>
      </c>
      <c r="L807" s="20">
        <v>1.1190000000000002</v>
      </c>
      <c r="M807" s="21">
        <v>0</v>
      </c>
      <c r="N807" s="19">
        <v>0</v>
      </c>
      <c r="O807" s="23">
        <v>1160</v>
      </c>
      <c r="P807" s="24">
        <v>33.15</v>
      </c>
      <c r="Q807" s="25">
        <v>2.8577586206896551E-2</v>
      </c>
      <c r="R807" s="24">
        <v>33.15</v>
      </c>
      <c r="S807" s="25">
        <v>2.8577586206896551E-2</v>
      </c>
      <c r="T807" s="26">
        <v>0</v>
      </c>
      <c r="U807" s="24">
        <v>0</v>
      </c>
      <c r="V807" s="19">
        <v>6960</v>
      </c>
      <c r="W807" s="19">
        <v>6523.35</v>
      </c>
      <c r="X807" s="21">
        <v>0.93726293103448277</v>
      </c>
      <c r="Y807" s="19">
        <v>6523.35</v>
      </c>
      <c r="Z807" s="20">
        <v>0.93726293103448277</v>
      </c>
      <c r="AA807" s="30">
        <v>0.11640000000000005</v>
      </c>
      <c r="AB807" s="27">
        <v>0.09</v>
      </c>
      <c r="AC807" s="27">
        <v>0.1164</v>
      </c>
      <c r="AD807" s="11">
        <v>0.11404269652707157</v>
      </c>
    </row>
    <row r="808" spans="1:30" x14ac:dyDescent="0.25">
      <c r="A808" s="13">
        <v>44979</v>
      </c>
      <c r="B808" s="46" t="s">
        <v>637</v>
      </c>
      <c r="C808" s="13">
        <v>44979</v>
      </c>
      <c r="D808" s="15" t="s">
        <v>897</v>
      </c>
      <c r="E808" s="15">
        <v>98</v>
      </c>
      <c r="F808" s="15">
        <v>90</v>
      </c>
      <c r="G808" s="13">
        <v>45077</v>
      </c>
      <c r="H808" s="17">
        <v>5000</v>
      </c>
      <c r="I808" s="19">
        <v>1913.6200000000001</v>
      </c>
      <c r="J808" s="20">
        <v>0.38272400000000001</v>
      </c>
      <c r="K808" s="19">
        <v>1413.6200000000001</v>
      </c>
      <c r="L808" s="20">
        <v>0.28272400000000003</v>
      </c>
      <c r="M808" s="21">
        <v>0</v>
      </c>
      <c r="N808" s="19">
        <v>0</v>
      </c>
      <c r="O808" s="23">
        <v>1000</v>
      </c>
      <c r="P808" s="24">
        <v>30</v>
      </c>
      <c r="Q808" s="25">
        <v>0.03</v>
      </c>
      <c r="R808" s="24">
        <v>30</v>
      </c>
      <c r="S808" s="25">
        <v>0.03</v>
      </c>
      <c r="T808" s="26">
        <v>0</v>
      </c>
      <c r="U808" s="24">
        <v>0</v>
      </c>
      <c r="V808" s="19">
        <v>6000</v>
      </c>
      <c r="W808" s="19">
        <v>1943.6200000000001</v>
      </c>
      <c r="X808" s="21">
        <v>0.32393666666666671</v>
      </c>
      <c r="Y808" s="19">
        <v>1443.6200000000001</v>
      </c>
      <c r="Z808" s="20">
        <v>0.24060333333333336</v>
      </c>
      <c r="AA808" s="30">
        <v>0.11689999999999989</v>
      </c>
      <c r="AB808" s="27">
        <v>0.1</v>
      </c>
      <c r="AC808" s="27">
        <v>0.11800000000000001</v>
      </c>
      <c r="AD808" s="11">
        <v>0.11528109917329459</v>
      </c>
    </row>
    <row r="809" spans="1:30" x14ac:dyDescent="0.25">
      <c r="A809" s="13">
        <v>44980</v>
      </c>
      <c r="B809" s="46" t="s">
        <v>636</v>
      </c>
      <c r="C809" s="13">
        <v>44981</v>
      </c>
      <c r="D809" s="15" t="s">
        <v>916</v>
      </c>
      <c r="E809" s="15">
        <v>343</v>
      </c>
      <c r="F809" s="15">
        <v>360</v>
      </c>
      <c r="G809" s="13">
        <v>45324</v>
      </c>
      <c r="H809" s="17">
        <v>5000</v>
      </c>
      <c r="I809" s="19">
        <v>9294.65</v>
      </c>
      <c r="J809" s="20">
        <v>1.8589300000000009</v>
      </c>
      <c r="K809" s="19">
        <v>5058.5199999999995</v>
      </c>
      <c r="L809" s="20">
        <v>1.0117039999999999</v>
      </c>
      <c r="M809" s="21">
        <v>0</v>
      </c>
      <c r="N809" s="19">
        <v>0</v>
      </c>
      <c r="O809" s="23">
        <v>1000</v>
      </c>
      <c r="P809" s="24">
        <v>1000</v>
      </c>
      <c r="Q809" s="25">
        <v>1</v>
      </c>
      <c r="R809" s="24">
        <v>1000</v>
      </c>
      <c r="S809" s="25">
        <v>1</v>
      </c>
      <c r="T809" s="26">
        <v>0</v>
      </c>
      <c r="U809" s="24">
        <v>0</v>
      </c>
      <c r="V809" s="19">
        <v>6000</v>
      </c>
      <c r="W809" s="19">
        <v>10294.65</v>
      </c>
      <c r="X809" s="21">
        <v>1.7157750000000001</v>
      </c>
      <c r="Y809" s="19">
        <v>6058.5199999999995</v>
      </c>
      <c r="Z809" s="20">
        <v>1.0097533333333333</v>
      </c>
      <c r="AA809" s="30">
        <v>0.1139000000000001</v>
      </c>
      <c r="AB809" s="27">
        <v>0.1</v>
      </c>
      <c r="AC809" s="27">
        <v>0.11960000000000001</v>
      </c>
      <c r="AD809" s="11">
        <v>0.11382037795936373</v>
      </c>
    </row>
    <row r="810" spans="1:30" x14ac:dyDescent="0.25">
      <c r="A810" s="13">
        <v>44984</v>
      </c>
      <c r="B810" s="46" t="s">
        <v>636</v>
      </c>
      <c r="C810" s="13">
        <v>44984</v>
      </c>
      <c r="D810" s="15" t="s">
        <v>917</v>
      </c>
      <c r="E810" s="15">
        <v>35</v>
      </c>
      <c r="F810" s="15">
        <v>30</v>
      </c>
      <c r="G810" s="13">
        <v>45019</v>
      </c>
      <c r="H810" s="17">
        <v>3300</v>
      </c>
      <c r="I810" s="19">
        <v>5079.8999999999987</v>
      </c>
      <c r="J810" s="20">
        <v>1.5393636363636365</v>
      </c>
      <c r="K810" s="19">
        <v>4456.8999999999996</v>
      </c>
      <c r="L810" s="20">
        <v>1.3505757575757575</v>
      </c>
      <c r="M810" s="21">
        <v>0</v>
      </c>
      <c r="N810" s="19">
        <v>0</v>
      </c>
      <c r="O810" s="23">
        <v>660</v>
      </c>
      <c r="P810" s="24">
        <v>160.1</v>
      </c>
      <c r="Q810" s="25">
        <v>0.24257575757575758</v>
      </c>
      <c r="R810" s="24">
        <v>160.1</v>
      </c>
      <c r="S810" s="25">
        <v>0.24257575757575756</v>
      </c>
      <c r="T810" s="26">
        <v>0</v>
      </c>
      <c r="U810" s="24">
        <v>0</v>
      </c>
      <c r="V810" s="19">
        <v>3960</v>
      </c>
      <c r="W810" s="19">
        <v>5239.9999999999991</v>
      </c>
      <c r="X810" s="21">
        <v>1.3232323232323231</v>
      </c>
      <c r="Y810" s="19">
        <v>4617</v>
      </c>
      <c r="Z810" s="20">
        <v>1.165909090909091</v>
      </c>
      <c r="AA810" s="30">
        <v>0.11620000000000007</v>
      </c>
      <c r="AB810" s="27">
        <v>0.1</v>
      </c>
      <c r="AC810" s="27">
        <v>0.1174</v>
      </c>
      <c r="AD810" s="11">
        <v>0.1136125656016851</v>
      </c>
    </row>
    <row r="811" spans="1:30" x14ac:dyDescent="0.25">
      <c r="A811" s="13">
        <v>44985</v>
      </c>
      <c r="B811" s="46" t="s">
        <v>636</v>
      </c>
      <c r="C811" s="13">
        <v>44986</v>
      </c>
      <c r="D811" s="15" t="s">
        <v>918</v>
      </c>
      <c r="E811" s="15">
        <v>700</v>
      </c>
      <c r="F811" s="15">
        <v>720</v>
      </c>
      <c r="G811" s="13">
        <v>45686</v>
      </c>
      <c r="H811" s="17">
        <v>3300</v>
      </c>
      <c r="I811" s="19">
        <v>7908.48</v>
      </c>
      <c r="J811" s="20">
        <v>2.3965090909090905</v>
      </c>
      <c r="K811" s="19">
        <v>6600.0000000000009</v>
      </c>
      <c r="L811" s="20">
        <v>2.0000000000000004</v>
      </c>
      <c r="M811" s="21">
        <v>0.38304000000000005</v>
      </c>
      <c r="N811" s="19">
        <v>0</v>
      </c>
      <c r="O811" s="23">
        <v>660</v>
      </c>
      <c r="P811" s="24">
        <v>1196.5</v>
      </c>
      <c r="Q811" s="25">
        <v>1.812878787878788</v>
      </c>
      <c r="R811" s="24">
        <v>659.99999999999989</v>
      </c>
      <c r="S811" s="25">
        <v>0.99999999999999978</v>
      </c>
      <c r="T811" s="26">
        <v>0.5516089393939394</v>
      </c>
      <c r="U811" s="24">
        <v>0</v>
      </c>
      <c r="V811" s="19">
        <v>3960</v>
      </c>
      <c r="W811" s="19">
        <v>9104.98</v>
      </c>
      <c r="X811" s="21">
        <v>2.2992373737373737</v>
      </c>
      <c r="Y811" s="19">
        <v>7260.0000000000009</v>
      </c>
      <c r="Z811" s="20">
        <v>1.8333333333333335</v>
      </c>
      <c r="AA811" s="30">
        <v>0.11369999999999997</v>
      </c>
      <c r="AB811" s="27">
        <v>0.10249999999999999</v>
      </c>
      <c r="AC811" s="27">
        <v>0.1158</v>
      </c>
      <c r="AD811" s="11">
        <v>0.11114224541251926</v>
      </c>
    </row>
    <row r="812" spans="1:30" x14ac:dyDescent="0.25">
      <c r="A812" s="13">
        <v>44986</v>
      </c>
      <c r="B812" s="46" t="s">
        <v>636</v>
      </c>
      <c r="C812" s="13">
        <v>44986</v>
      </c>
      <c r="D812" s="15" t="s">
        <v>919</v>
      </c>
      <c r="E812" s="15">
        <v>105</v>
      </c>
      <c r="F812" s="15">
        <v>90</v>
      </c>
      <c r="G812" s="13">
        <v>45091</v>
      </c>
      <c r="H812" s="17">
        <v>2500</v>
      </c>
      <c r="I812" s="19">
        <v>5778.7099999999991</v>
      </c>
      <c r="J812" s="20">
        <v>2.3114840000000014</v>
      </c>
      <c r="K812" s="19">
        <v>4478.7099999999991</v>
      </c>
      <c r="L812" s="20">
        <v>1.7914839999999996</v>
      </c>
      <c r="M812" s="21">
        <v>0</v>
      </c>
      <c r="N812" s="19">
        <v>0</v>
      </c>
      <c r="O812" s="23">
        <v>500</v>
      </c>
      <c r="P812" s="24">
        <v>93.32</v>
      </c>
      <c r="Q812" s="25">
        <v>0.18664</v>
      </c>
      <c r="R812" s="24">
        <v>93.32</v>
      </c>
      <c r="S812" s="25">
        <v>0.18663999999999997</v>
      </c>
      <c r="T812" s="26">
        <v>0</v>
      </c>
      <c r="U812" s="24">
        <v>0</v>
      </c>
      <c r="V812" s="19">
        <v>3000</v>
      </c>
      <c r="W812" s="19">
        <v>5872.0299999999988</v>
      </c>
      <c r="X812" s="21">
        <v>1.957343333333333</v>
      </c>
      <c r="Y812" s="19">
        <v>4572.0299999999988</v>
      </c>
      <c r="Z812" s="20">
        <v>1.5240099999999996</v>
      </c>
      <c r="AA812" s="30">
        <v>0.11679999999999982</v>
      </c>
      <c r="AB812" s="27">
        <v>0.05</v>
      </c>
      <c r="AC812" s="27">
        <v>0.1183</v>
      </c>
      <c r="AD812" s="11">
        <v>0.11521311174985426</v>
      </c>
    </row>
    <row r="813" spans="1:30" x14ac:dyDescent="0.25">
      <c r="A813" s="13">
        <v>44988</v>
      </c>
      <c r="B813" s="46" t="s">
        <v>636</v>
      </c>
      <c r="C813" s="13">
        <v>44988</v>
      </c>
      <c r="D813" s="15" t="s">
        <v>920</v>
      </c>
      <c r="E813" s="15">
        <v>189</v>
      </c>
      <c r="F813" s="15">
        <v>180</v>
      </c>
      <c r="G813" s="13">
        <v>45177</v>
      </c>
      <c r="H813" s="17">
        <v>2500</v>
      </c>
      <c r="I813" s="19">
        <v>7735.2400000000007</v>
      </c>
      <c r="J813" s="20">
        <v>3.094096</v>
      </c>
      <c r="K813" s="19">
        <v>4925.24</v>
      </c>
      <c r="L813" s="20">
        <v>1.9700959999999998</v>
      </c>
      <c r="M813" s="21">
        <v>0</v>
      </c>
      <c r="N813" s="19">
        <v>0</v>
      </c>
      <c r="O813" s="23">
        <v>500</v>
      </c>
      <c r="P813" s="24">
        <v>200.3</v>
      </c>
      <c r="Q813" s="25">
        <v>0.40060000000000001</v>
      </c>
      <c r="R813" s="24">
        <v>200.3</v>
      </c>
      <c r="S813" s="25">
        <v>0.40060000000000001</v>
      </c>
      <c r="T813" s="26">
        <v>0</v>
      </c>
      <c r="U813" s="24">
        <v>0</v>
      </c>
      <c r="V813" s="19">
        <v>3000</v>
      </c>
      <c r="W813" s="19">
        <v>7935.5400000000009</v>
      </c>
      <c r="X813" s="21">
        <v>2.6451800000000003</v>
      </c>
      <c r="Y813" s="19">
        <v>5125.54</v>
      </c>
      <c r="Z813" s="20">
        <v>1.7085133333333333</v>
      </c>
      <c r="AA813" s="30">
        <v>0.11490000000000017</v>
      </c>
      <c r="AB813" s="27">
        <v>0.1</v>
      </c>
      <c r="AC813" s="27">
        <v>0.1174</v>
      </c>
      <c r="AD813" s="11">
        <v>0.11375076442359899</v>
      </c>
    </row>
    <row r="814" spans="1:30" x14ac:dyDescent="0.25">
      <c r="A814" s="13">
        <v>44991</v>
      </c>
      <c r="B814" s="46" t="s">
        <v>636</v>
      </c>
      <c r="C814" s="13">
        <v>44991</v>
      </c>
      <c r="D814" s="15" t="s">
        <v>921</v>
      </c>
      <c r="E814" s="15">
        <v>28</v>
      </c>
      <c r="F814" s="15">
        <v>30</v>
      </c>
      <c r="G814" s="13">
        <v>45019</v>
      </c>
      <c r="H814" s="17">
        <v>3300</v>
      </c>
      <c r="I814" s="19">
        <v>7656.33</v>
      </c>
      <c r="J814" s="20">
        <v>2.3200999999999992</v>
      </c>
      <c r="K814" s="19">
        <v>6600</v>
      </c>
      <c r="L814" s="20">
        <v>2</v>
      </c>
      <c r="M814" s="21">
        <v>0.90141199999999999</v>
      </c>
      <c r="N814" s="19">
        <v>0</v>
      </c>
      <c r="O814" s="23">
        <v>660</v>
      </c>
      <c r="P814" s="24">
        <v>0</v>
      </c>
      <c r="Q814" s="25">
        <v>0</v>
      </c>
      <c r="R814" s="24">
        <v>0</v>
      </c>
      <c r="S814" s="25">
        <v>0</v>
      </c>
      <c r="T814" s="26">
        <v>0</v>
      </c>
      <c r="U814" s="24">
        <v>0</v>
      </c>
      <c r="V814" s="19">
        <v>3960</v>
      </c>
      <c r="W814" s="19">
        <v>7656.33</v>
      </c>
      <c r="X814" s="21">
        <v>1.9334166666666666</v>
      </c>
      <c r="Y814" s="19">
        <v>6600</v>
      </c>
      <c r="Z814" s="20">
        <v>1.6666666666666667</v>
      </c>
      <c r="AA814" s="30">
        <v>0.11609999999999997</v>
      </c>
      <c r="AB814" s="27">
        <v>0.09</v>
      </c>
      <c r="AC814" s="27">
        <v>0.1168</v>
      </c>
      <c r="AD814" s="11">
        <v>0.11467807043322324</v>
      </c>
    </row>
    <row r="815" spans="1:30" x14ac:dyDescent="0.25">
      <c r="A815" s="13">
        <v>44993</v>
      </c>
      <c r="B815" s="46" t="s">
        <v>636</v>
      </c>
      <c r="C815" s="13">
        <v>44993</v>
      </c>
      <c r="D815" s="15" t="s">
        <v>922</v>
      </c>
      <c r="E815" s="15">
        <v>98</v>
      </c>
      <c r="F815" s="15">
        <v>90</v>
      </c>
      <c r="G815" s="13">
        <v>45091</v>
      </c>
      <c r="H815" s="17">
        <v>1700</v>
      </c>
      <c r="I815" s="19">
        <v>7628.25</v>
      </c>
      <c r="J815" s="20">
        <v>4.4872058823529395</v>
      </c>
      <c r="K815" s="19">
        <v>3400.0000000000005</v>
      </c>
      <c r="L815" s="20">
        <v>2.0000000000000004</v>
      </c>
      <c r="M815" s="21">
        <v>0.81992952380952389</v>
      </c>
      <c r="N815" s="19">
        <v>0</v>
      </c>
      <c r="O815" s="23">
        <v>340</v>
      </c>
      <c r="P815" s="24">
        <v>408.09</v>
      </c>
      <c r="Q815" s="25">
        <v>1.200264705882353</v>
      </c>
      <c r="R815" s="24">
        <v>340</v>
      </c>
      <c r="S815" s="25">
        <v>1</v>
      </c>
      <c r="T815" s="26">
        <v>0.83315203955500616</v>
      </c>
      <c r="U815" s="24">
        <v>0</v>
      </c>
      <c r="V815" s="19">
        <v>2040</v>
      </c>
      <c r="W815" s="19">
        <v>8036.34</v>
      </c>
      <c r="X815" s="21">
        <v>3.9393823529411764</v>
      </c>
      <c r="Y815" s="19">
        <v>3740.0000000000005</v>
      </c>
      <c r="Z815" s="20">
        <v>1.8333333333333335</v>
      </c>
      <c r="AA815" s="30">
        <v>0.11599999999999987</v>
      </c>
      <c r="AB815" s="27">
        <v>0.05</v>
      </c>
      <c r="AC815" s="27">
        <v>0.1183</v>
      </c>
      <c r="AD815" s="11">
        <v>0.11516189571657978</v>
      </c>
    </row>
    <row r="816" spans="1:30" x14ac:dyDescent="0.25">
      <c r="A816" s="13">
        <v>44994</v>
      </c>
      <c r="B816" s="46" t="s">
        <v>636</v>
      </c>
      <c r="C816" s="13">
        <v>44995</v>
      </c>
      <c r="D816" s="15" t="s">
        <v>923</v>
      </c>
      <c r="E816" s="15">
        <v>357</v>
      </c>
      <c r="F816" s="15">
        <v>360</v>
      </c>
      <c r="G816" s="13">
        <v>45352</v>
      </c>
      <c r="H816" s="17">
        <v>5000</v>
      </c>
      <c r="I816" s="19">
        <v>9760.4500000000007</v>
      </c>
      <c r="J816" s="20">
        <v>1.9520900000000008</v>
      </c>
      <c r="K816" s="19">
        <v>6841.4500000000007</v>
      </c>
      <c r="L816" s="20">
        <v>1.3682900000000002</v>
      </c>
      <c r="M816" s="21">
        <v>0</v>
      </c>
      <c r="N816" s="19">
        <v>0</v>
      </c>
      <c r="O816" s="23">
        <v>1000</v>
      </c>
      <c r="P816" s="24">
        <v>1000</v>
      </c>
      <c r="Q816" s="25">
        <v>1</v>
      </c>
      <c r="R816" s="24">
        <v>1000</v>
      </c>
      <c r="S816" s="25">
        <v>1</v>
      </c>
      <c r="T816" s="26">
        <v>0</v>
      </c>
      <c r="U816" s="24">
        <v>0</v>
      </c>
      <c r="V816" s="19">
        <v>6000</v>
      </c>
      <c r="W816" s="19">
        <v>10760.45</v>
      </c>
      <c r="X816" s="21">
        <v>1.7934083333333335</v>
      </c>
      <c r="Y816" s="19">
        <v>7841.4500000000007</v>
      </c>
      <c r="Z816" s="20">
        <v>1.3069083333333336</v>
      </c>
      <c r="AA816" s="30">
        <v>0.11399999999999993</v>
      </c>
      <c r="AB816" s="27">
        <v>0.1</v>
      </c>
      <c r="AC816" s="27">
        <v>0.11800000000000001</v>
      </c>
      <c r="AD816" s="11">
        <v>0.11289657515790769</v>
      </c>
    </row>
    <row r="817" spans="1:30" x14ac:dyDescent="0.25">
      <c r="A817" s="13">
        <v>44998</v>
      </c>
      <c r="B817" s="46" t="s">
        <v>636</v>
      </c>
      <c r="C817" s="13">
        <v>44998</v>
      </c>
      <c r="D817" s="15" t="s">
        <v>924</v>
      </c>
      <c r="E817" s="15">
        <v>28</v>
      </c>
      <c r="F817" s="15">
        <v>30</v>
      </c>
      <c r="G817" s="13">
        <v>45026</v>
      </c>
      <c r="H817" s="17">
        <v>5000</v>
      </c>
      <c r="I817" s="19">
        <v>8189.68</v>
      </c>
      <c r="J817" s="20">
        <v>1.6379359999999996</v>
      </c>
      <c r="K817" s="19">
        <v>7789.6799999999994</v>
      </c>
      <c r="L817" s="20">
        <v>1.5579359999999998</v>
      </c>
      <c r="M817" s="21">
        <v>0</v>
      </c>
      <c r="N817" s="19">
        <v>0</v>
      </c>
      <c r="O817" s="23">
        <v>1000</v>
      </c>
      <c r="P817" s="24">
        <v>145</v>
      </c>
      <c r="Q817" s="25">
        <v>0.14500000000000002</v>
      </c>
      <c r="R817" s="24">
        <v>145</v>
      </c>
      <c r="S817" s="25">
        <v>0.14499999999999999</v>
      </c>
      <c r="T817" s="26">
        <v>0</v>
      </c>
      <c r="U817" s="24">
        <v>0</v>
      </c>
      <c r="V817" s="19">
        <v>6000</v>
      </c>
      <c r="W817" s="19">
        <v>8334.68</v>
      </c>
      <c r="X817" s="21">
        <v>1.3891133333333334</v>
      </c>
      <c r="Y817" s="19">
        <v>7934.6799999999994</v>
      </c>
      <c r="Z817" s="20">
        <v>1.3224466666666665</v>
      </c>
      <c r="AA817" s="30">
        <v>0.11610000000000005</v>
      </c>
      <c r="AB817" s="27">
        <v>0.1</v>
      </c>
      <c r="AC817" s="27">
        <v>0.1173</v>
      </c>
      <c r="AD817" s="11">
        <v>0.11343397165701222</v>
      </c>
    </row>
    <row r="818" spans="1:30" x14ac:dyDescent="0.25">
      <c r="A818" s="13">
        <v>45000</v>
      </c>
      <c r="B818" s="46" t="s">
        <v>636</v>
      </c>
      <c r="C818" s="13">
        <v>45000</v>
      </c>
      <c r="D818" s="15" t="s">
        <v>925</v>
      </c>
      <c r="E818" s="15">
        <v>91</v>
      </c>
      <c r="F818" s="15">
        <v>90</v>
      </c>
      <c r="G818" s="13">
        <v>45091</v>
      </c>
      <c r="H818" s="17">
        <v>3300</v>
      </c>
      <c r="I818" s="19">
        <v>1808.38</v>
      </c>
      <c r="J818" s="20">
        <v>0.54799393939393937</v>
      </c>
      <c r="K818" s="19">
        <v>1808.38</v>
      </c>
      <c r="L818" s="20">
        <v>0.54799393939393948</v>
      </c>
      <c r="M818" s="21">
        <v>0</v>
      </c>
      <c r="N818" s="19">
        <v>0</v>
      </c>
      <c r="O818" s="23">
        <v>660</v>
      </c>
      <c r="P818" s="24">
        <v>0.84</v>
      </c>
      <c r="Q818" s="25">
        <v>1.2727272727272726E-3</v>
      </c>
      <c r="R818" s="24">
        <v>0.84</v>
      </c>
      <c r="S818" s="25">
        <v>1.2727272727272726E-3</v>
      </c>
      <c r="T818" s="26">
        <v>0</v>
      </c>
      <c r="U818" s="24">
        <v>0</v>
      </c>
      <c r="V818" s="19">
        <v>3960</v>
      </c>
      <c r="W818" s="19">
        <v>1809.22</v>
      </c>
      <c r="X818" s="21">
        <v>0.45687373737373738</v>
      </c>
      <c r="Y818" s="19">
        <v>1809.22</v>
      </c>
      <c r="Z818" s="20">
        <v>0.45687373737373738</v>
      </c>
      <c r="AA818" s="30">
        <v>0.11640000000000005</v>
      </c>
      <c r="AB818" s="27">
        <v>0.1</v>
      </c>
      <c r="AC818" s="27">
        <v>0.1164</v>
      </c>
      <c r="AD818" s="11">
        <v>0.11553044824649687</v>
      </c>
    </row>
    <row r="819" spans="1:30" x14ac:dyDescent="0.25">
      <c r="A819" s="13">
        <v>45002</v>
      </c>
      <c r="B819" s="46" t="s">
        <v>636</v>
      </c>
      <c r="C819" s="13">
        <v>45002</v>
      </c>
      <c r="D819" s="15" t="s">
        <v>926</v>
      </c>
      <c r="E819" s="15">
        <v>175</v>
      </c>
      <c r="F819" s="15">
        <v>180</v>
      </c>
      <c r="G819" s="13">
        <v>45177</v>
      </c>
      <c r="H819" s="17">
        <v>4000</v>
      </c>
      <c r="I819" s="19">
        <v>4090.7400000000002</v>
      </c>
      <c r="J819" s="20">
        <v>1.0226849999999998</v>
      </c>
      <c r="K819" s="19">
        <v>4042.34</v>
      </c>
      <c r="L819" s="20">
        <v>1.0105850000000001</v>
      </c>
      <c r="M819" s="21">
        <v>0</v>
      </c>
      <c r="N819" s="19">
        <v>0</v>
      </c>
      <c r="O819" s="23">
        <v>800</v>
      </c>
      <c r="P819" s="24">
        <v>75.099999999999994</v>
      </c>
      <c r="Q819" s="25">
        <v>9.3875E-2</v>
      </c>
      <c r="R819" s="24">
        <v>75.099999999999994</v>
      </c>
      <c r="S819" s="25">
        <v>9.3874999999999986E-2</v>
      </c>
      <c r="T819" s="26">
        <v>0</v>
      </c>
      <c r="U819" s="24">
        <v>0</v>
      </c>
      <c r="V819" s="19">
        <v>4800</v>
      </c>
      <c r="W819" s="19">
        <v>4165.84</v>
      </c>
      <c r="X819" s="21">
        <v>0.86788333333333334</v>
      </c>
      <c r="Y819" s="19">
        <v>4117.4400000000005</v>
      </c>
      <c r="Z819" s="20">
        <v>0.85780000000000012</v>
      </c>
      <c r="AA819" s="30">
        <v>0.11589999999999991</v>
      </c>
      <c r="AB819" s="27">
        <v>0.1</v>
      </c>
      <c r="AC819" s="27">
        <v>0.11630000000000001</v>
      </c>
      <c r="AD819" s="11">
        <v>0.11274347770818972</v>
      </c>
    </row>
    <row r="820" spans="1:30" x14ac:dyDescent="0.25">
      <c r="A820" s="13">
        <v>45005</v>
      </c>
      <c r="B820" s="46" t="s">
        <v>636</v>
      </c>
      <c r="C820" s="13">
        <v>45005</v>
      </c>
      <c r="D820" s="15" t="s">
        <v>927</v>
      </c>
      <c r="E820" s="15">
        <v>35</v>
      </c>
      <c r="F820" s="15">
        <v>30</v>
      </c>
      <c r="G820" s="13">
        <v>45040</v>
      </c>
      <c r="H820" s="17">
        <v>3300</v>
      </c>
      <c r="I820" s="19">
        <v>6559.7400000000007</v>
      </c>
      <c r="J820" s="20">
        <v>1.9877999999999996</v>
      </c>
      <c r="K820" s="19">
        <v>6209.7400000000007</v>
      </c>
      <c r="L820" s="20">
        <v>1.881739393939394</v>
      </c>
      <c r="M820" s="21">
        <v>0</v>
      </c>
      <c r="N820" s="19">
        <v>0</v>
      </c>
      <c r="O820" s="23">
        <v>660</v>
      </c>
      <c r="P820" s="24">
        <v>50.15</v>
      </c>
      <c r="Q820" s="25">
        <v>7.5984848484848488E-2</v>
      </c>
      <c r="R820" s="24">
        <v>50.15</v>
      </c>
      <c r="S820" s="25">
        <v>7.5984848484848488E-2</v>
      </c>
      <c r="T820" s="26">
        <v>0</v>
      </c>
      <c r="U820" s="24">
        <v>0</v>
      </c>
      <c r="V820" s="19">
        <v>3960</v>
      </c>
      <c r="W820" s="19">
        <v>6609.89</v>
      </c>
      <c r="X820" s="21">
        <v>1.6691641414141416</v>
      </c>
      <c r="Y820" s="19">
        <v>6259.89</v>
      </c>
      <c r="Z820" s="20">
        <v>1.5807803030303031</v>
      </c>
      <c r="AA820" s="30">
        <v>0.11620000000000005</v>
      </c>
      <c r="AB820" s="27">
        <v>0.1</v>
      </c>
      <c r="AC820" s="27">
        <v>0.11650000000000001</v>
      </c>
      <c r="AD820" s="11">
        <v>0.11485099180760214</v>
      </c>
    </row>
    <row r="821" spans="1:30" x14ac:dyDescent="0.25">
      <c r="A821" s="13">
        <v>45007</v>
      </c>
      <c r="B821" s="46" t="s">
        <v>636</v>
      </c>
      <c r="C821" s="13">
        <v>45007</v>
      </c>
      <c r="D821" s="15" t="s">
        <v>928</v>
      </c>
      <c r="E821" s="15">
        <v>105</v>
      </c>
      <c r="F821" s="15">
        <v>90</v>
      </c>
      <c r="G821" s="13">
        <v>45112</v>
      </c>
      <c r="H821" s="17">
        <v>2500</v>
      </c>
      <c r="I821" s="19">
        <v>3756.4999999999991</v>
      </c>
      <c r="J821" s="20">
        <v>1.5026000000000002</v>
      </c>
      <c r="K821" s="19">
        <v>3056.5000000000005</v>
      </c>
      <c r="L821" s="20">
        <v>1.2226000000000001</v>
      </c>
      <c r="M821" s="21">
        <v>0</v>
      </c>
      <c r="N821" s="19">
        <v>0</v>
      </c>
      <c r="O821" s="23">
        <v>500</v>
      </c>
      <c r="P821" s="24">
        <v>0</v>
      </c>
      <c r="Q821" s="25">
        <v>0</v>
      </c>
      <c r="R821" s="24">
        <v>0</v>
      </c>
      <c r="S821" s="25">
        <v>0</v>
      </c>
      <c r="T821" s="26">
        <v>0</v>
      </c>
      <c r="U821" s="24">
        <v>0</v>
      </c>
      <c r="V821" s="19">
        <v>3000</v>
      </c>
      <c r="W821" s="19">
        <v>3756.4999999999991</v>
      </c>
      <c r="X821" s="21">
        <v>1.2521666666666664</v>
      </c>
      <c r="Y821" s="19">
        <v>3056.5000000000005</v>
      </c>
      <c r="Z821" s="20">
        <v>1.0188333333333335</v>
      </c>
      <c r="AA821" s="30">
        <v>0.11660000000000002</v>
      </c>
      <c r="AB821" s="27">
        <v>0.05</v>
      </c>
      <c r="AC821" s="27">
        <v>0.11749999999999999</v>
      </c>
      <c r="AD821" s="11">
        <v>0.11544593983761484</v>
      </c>
    </row>
    <row r="822" spans="1:30" x14ac:dyDescent="0.25">
      <c r="A822" s="13">
        <v>45008</v>
      </c>
      <c r="B822" s="46" t="s">
        <v>636</v>
      </c>
      <c r="C822" s="13">
        <v>45009</v>
      </c>
      <c r="D822" s="15" t="s">
        <v>929</v>
      </c>
      <c r="E822" s="15">
        <v>343</v>
      </c>
      <c r="F822" s="15">
        <v>360</v>
      </c>
      <c r="G822" s="13">
        <v>45352</v>
      </c>
      <c r="H822" s="17">
        <v>2500</v>
      </c>
      <c r="I822" s="19">
        <v>6396.7899999999991</v>
      </c>
      <c r="J822" s="20">
        <v>2.558716</v>
      </c>
      <c r="K822" s="19">
        <v>4845.79</v>
      </c>
      <c r="L822" s="20">
        <v>1.9383159999999999</v>
      </c>
      <c r="M822" s="21">
        <v>0</v>
      </c>
      <c r="N822" s="19">
        <v>0</v>
      </c>
      <c r="O822" s="23">
        <v>500</v>
      </c>
      <c r="P822" s="24">
        <v>528</v>
      </c>
      <c r="Q822" s="25">
        <v>1.056</v>
      </c>
      <c r="R822" s="24">
        <v>500</v>
      </c>
      <c r="S822" s="25">
        <v>1</v>
      </c>
      <c r="T822" s="26">
        <v>0.94697142857142858</v>
      </c>
      <c r="U822" s="24">
        <v>0</v>
      </c>
      <c r="V822" s="19">
        <v>3000</v>
      </c>
      <c r="W822" s="19">
        <v>6924.7899999999991</v>
      </c>
      <c r="X822" s="21">
        <v>2.3082633333333331</v>
      </c>
      <c r="Y822" s="19">
        <v>5345.79</v>
      </c>
      <c r="Z822" s="20">
        <v>1.78193</v>
      </c>
      <c r="AA822" s="30">
        <v>0.11350000000000007</v>
      </c>
      <c r="AB822" s="27">
        <v>0.1</v>
      </c>
      <c r="AC822" s="27">
        <v>0.11599999999999999</v>
      </c>
      <c r="AD822" s="11">
        <v>0.11215029850909597</v>
      </c>
    </row>
    <row r="823" spans="1:30" x14ac:dyDescent="0.25">
      <c r="A823" s="13">
        <v>45012</v>
      </c>
      <c r="B823" s="46" t="s">
        <v>636</v>
      </c>
      <c r="C823" s="13">
        <v>45012</v>
      </c>
      <c r="D823" s="15" t="s">
        <v>930</v>
      </c>
      <c r="E823" s="15">
        <v>28</v>
      </c>
      <c r="F823" s="15">
        <v>30</v>
      </c>
      <c r="G823" s="13">
        <v>45040</v>
      </c>
      <c r="H823" s="17">
        <v>2500</v>
      </c>
      <c r="I823" s="19">
        <v>3562.1800000000003</v>
      </c>
      <c r="J823" s="20">
        <v>1.4248720000000004</v>
      </c>
      <c r="K823" s="19">
        <v>3412.1800000000003</v>
      </c>
      <c r="L823" s="20">
        <v>1.3648720000000001</v>
      </c>
      <c r="M823" s="21">
        <v>0</v>
      </c>
      <c r="N823" s="19">
        <v>0</v>
      </c>
      <c r="O823" s="23">
        <v>500</v>
      </c>
      <c r="P823" s="24">
        <v>181</v>
      </c>
      <c r="Q823" s="25">
        <v>0.36199999999999999</v>
      </c>
      <c r="R823" s="24">
        <v>181</v>
      </c>
      <c r="S823" s="25">
        <v>0.36199999999999999</v>
      </c>
      <c r="T823" s="26">
        <v>0</v>
      </c>
      <c r="U823" s="24">
        <v>0</v>
      </c>
      <c r="V823" s="19">
        <v>3000</v>
      </c>
      <c r="W823" s="19">
        <v>3743.1800000000003</v>
      </c>
      <c r="X823" s="21">
        <v>1.2477266666666669</v>
      </c>
      <c r="Y823" s="19">
        <v>3593.1800000000003</v>
      </c>
      <c r="Z823" s="20">
        <v>1.1977266666666668</v>
      </c>
      <c r="AA823" s="30">
        <v>0.11640000000000003</v>
      </c>
      <c r="AB823" s="27">
        <v>0.1</v>
      </c>
      <c r="AC823" s="27">
        <v>0.11689999999999999</v>
      </c>
      <c r="AD823" s="11">
        <v>0.11548418833410999</v>
      </c>
    </row>
    <row r="824" spans="1:30" x14ac:dyDescent="0.25">
      <c r="A824" s="13">
        <v>45013</v>
      </c>
      <c r="B824" s="46" t="s">
        <v>636</v>
      </c>
      <c r="C824" s="13">
        <v>45014</v>
      </c>
      <c r="D824" s="15" t="s">
        <v>931</v>
      </c>
      <c r="E824" s="15">
        <v>763</v>
      </c>
      <c r="F824" s="15">
        <v>720</v>
      </c>
      <c r="G824" s="13">
        <v>45777</v>
      </c>
      <c r="H824" s="17">
        <v>2500</v>
      </c>
      <c r="I824" s="19">
        <v>4693.25</v>
      </c>
      <c r="J824" s="20">
        <v>1.8773000000000004</v>
      </c>
      <c r="K824" s="19">
        <v>2643.25</v>
      </c>
      <c r="L824" s="20">
        <v>1.0572999999999999</v>
      </c>
      <c r="M824" s="21">
        <v>0</v>
      </c>
      <c r="N824" s="19">
        <v>0</v>
      </c>
      <c r="O824" s="23">
        <v>500</v>
      </c>
      <c r="P824" s="24">
        <v>504</v>
      </c>
      <c r="Q824" s="25">
        <v>1.008</v>
      </c>
      <c r="R824" s="24">
        <v>500</v>
      </c>
      <c r="S824" s="25">
        <v>1</v>
      </c>
      <c r="T824" s="26">
        <v>0.99207500000000004</v>
      </c>
      <c r="U824" s="24">
        <v>0</v>
      </c>
      <c r="V824" s="19">
        <v>3000</v>
      </c>
      <c r="W824" s="19">
        <v>5197.25</v>
      </c>
      <c r="X824" s="21">
        <v>1.7324166666666667</v>
      </c>
      <c r="Y824" s="19">
        <v>3143.25</v>
      </c>
      <c r="Z824" s="20">
        <v>1.04775</v>
      </c>
      <c r="AA824" s="30">
        <v>0.1109</v>
      </c>
      <c r="AB824" s="27">
        <v>0.1</v>
      </c>
      <c r="AC824" s="27">
        <v>0.11749999999999999</v>
      </c>
      <c r="AD824" s="11">
        <v>0.11126263271720024</v>
      </c>
    </row>
    <row r="825" spans="1:30" x14ac:dyDescent="0.25">
      <c r="A825" s="13">
        <v>45014</v>
      </c>
      <c r="B825" s="46" t="s">
        <v>636</v>
      </c>
      <c r="C825" s="13">
        <v>45014</v>
      </c>
      <c r="D825" s="15" t="s">
        <v>932</v>
      </c>
      <c r="E825" s="15">
        <v>98</v>
      </c>
      <c r="F825" s="15">
        <v>90</v>
      </c>
      <c r="G825" s="13">
        <v>45112</v>
      </c>
      <c r="H825" s="17">
        <v>2500</v>
      </c>
      <c r="I825" s="19">
        <v>4288.92</v>
      </c>
      <c r="J825" s="20">
        <v>1.7155680000000004</v>
      </c>
      <c r="K825" s="19">
        <v>2867.4799999999996</v>
      </c>
      <c r="L825" s="20">
        <v>1.1469919999999998</v>
      </c>
      <c r="M825" s="21">
        <v>0</v>
      </c>
      <c r="N825" s="19">
        <v>0</v>
      </c>
      <c r="O825" s="23">
        <v>500</v>
      </c>
      <c r="P825" s="24">
        <v>180</v>
      </c>
      <c r="Q825" s="25">
        <v>0.36</v>
      </c>
      <c r="R825" s="24">
        <v>180</v>
      </c>
      <c r="S825" s="25">
        <v>0.36</v>
      </c>
      <c r="T825" s="26">
        <v>0</v>
      </c>
      <c r="U825" s="24">
        <v>0</v>
      </c>
      <c r="V825" s="19">
        <v>3000</v>
      </c>
      <c r="W825" s="19">
        <v>4468.92</v>
      </c>
      <c r="X825" s="21">
        <v>1.4896400000000001</v>
      </c>
      <c r="Y825" s="19">
        <v>3047.4799999999996</v>
      </c>
      <c r="Z825" s="20">
        <v>1.0158266666666664</v>
      </c>
      <c r="AA825" s="30">
        <v>0.11399999999999995</v>
      </c>
      <c r="AB825" s="27">
        <v>0.1</v>
      </c>
      <c r="AC825" s="27">
        <v>0.1164</v>
      </c>
      <c r="AD825" s="11">
        <v>0.11290839045727132</v>
      </c>
    </row>
    <row r="826" spans="1:30" x14ac:dyDescent="0.25">
      <c r="A826" s="13">
        <v>45016</v>
      </c>
      <c r="B826" s="46" t="s">
        <v>636</v>
      </c>
      <c r="C826" s="13">
        <v>45016</v>
      </c>
      <c r="D826" s="15" t="s">
        <v>933</v>
      </c>
      <c r="E826" s="15">
        <v>189</v>
      </c>
      <c r="F826" s="15">
        <v>180</v>
      </c>
      <c r="G826" s="13">
        <v>45205</v>
      </c>
      <c r="H826" s="17">
        <v>2500</v>
      </c>
      <c r="I826" s="19">
        <v>4205.4800000000005</v>
      </c>
      <c r="J826" s="20">
        <v>1.6821920000000004</v>
      </c>
      <c r="K826" s="19">
        <v>3145.48</v>
      </c>
      <c r="L826" s="20">
        <v>1.258192</v>
      </c>
      <c r="M826" s="21">
        <v>0</v>
      </c>
      <c r="N826" s="19">
        <v>0</v>
      </c>
      <c r="O826" s="23">
        <v>500</v>
      </c>
      <c r="P826" s="24">
        <v>0</v>
      </c>
      <c r="Q826" s="25">
        <v>0</v>
      </c>
      <c r="R826" s="24">
        <v>0</v>
      </c>
      <c r="S826" s="25">
        <v>0</v>
      </c>
      <c r="T826" s="26">
        <v>0</v>
      </c>
      <c r="U826" s="24">
        <v>0</v>
      </c>
      <c r="V826" s="19">
        <v>3000</v>
      </c>
      <c r="W826" s="19">
        <v>4205.4800000000005</v>
      </c>
      <c r="X826" s="21">
        <v>1.4018266666666668</v>
      </c>
      <c r="Y826" s="19">
        <v>3145.48</v>
      </c>
      <c r="Z826" s="20">
        <v>1.0484933333333333</v>
      </c>
      <c r="AA826" s="30">
        <v>0.11329999999999998</v>
      </c>
      <c r="AB826" s="27">
        <v>0.1</v>
      </c>
      <c r="AC826" s="27">
        <v>0.11630000000000001</v>
      </c>
      <c r="AD826" s="11">
        <v>0.11210236976516351</v>
      </c>
    </row>
    <row r="827" spans="1:30" x14ac:dyDescent="0.25">
      <c r="A827" s="13">
        <v>45019</v>
      </c>
      <c r="B827" s="46" t="s">
        <v>636</v>
      </c>
      <c r="C827" s="13">
        <v>45019</v>
      </c>
      <c r="D827" s="15" t="s">
        <v>934</v>
      </c>
      <c r="E827" s="15">
        <v>35</v>
      </c>
      <c r="F827" s="15">
        <v>30</v>
      </c>
      <c r="G827" s="13">
        <v>45054</v>
      </c>
      <c r="H827" s="17">
        <v>4200</v>
      </c>
      <c r="I827" s="19">
        <v>6272.58</v>
      </c>
      <c r="J827" s="20">
        <v>1.4934714285714281</v>
      </c>
      <c r="K827" s="19">
        <v>6072.58</v>
      </c>
      <c r="L827" s="20">
        <v>1.4458523809523809</v>
      </c>
      <c r="M827" s="21">
        <v>0</v>
      </c>
      <c r="N827" s="19">
        <v>0</v>
      </c>
      <c r="O827" s="23">
        <v>840</v>
      </c>
      <c r="P827" s="24">
        <v>292.32</v>
      </c>
      <c r="Q827" s="25">
        <v>0.34799999999999998</v>
      </c>
      <c r="R827" s="24">
        <v>292.32</v>
      </c>
      <c r="S827" s="25">
        <v>0.34799999999999998</v>
      </c>
      <c r="T827" s="26">
        <v>0</v>
      </c>
      <c r="U827" s="24">
        <v>0</v>
      </c>
      <c r="V827" s="19">
        <v>5040</v>
      </c>
      <c r="W827" s="19">
        <v>6564.9</v>
      </c>
      <c r="X827" s="21">
        <v>1.3025595238095238</v>
      </c>
      <c r="Y827" s="19">
        <v>6364.9</v>
      </c>
      <c r="Z827" s="20">
        <v>1.262876984126984</v>
      </c>
      <c r="AA827" s="30">
        <v>0.11620000000000007</v>
      </c>
      <c r="AB827" s="27">
        <v>0.09</v>
      </c>
      <c r="AC827" s="27">
        <v>0.1173</v>
      </c>
      <c r="AD827" s="11">
        <v>0.11282767138880651</v>
      </c>
    </row>
    <row r="828" spans="1:30" x14ac:dyDescent="0.25">
      <c r="A828" s="13">
        <v>45020</v>
      </c>
      <c r="B828" s="46" t="s">
        <v>636</v>
      </c>
      <c r="C828" s="13">
        <v>45020</v>
      </c>
      <c r="D828" s="15" t="s">
        <v>935</v>
      </c>
      <c r="E828" s="15">
        <v>92</v>
      </c>
      <c r="F828" s="15">
        <v>90</v>
      </c>
      <c r="G828" s="13">
        <v>45112</v>
      </c>
      <c r="H828" s="17">
        <v>3300</v>
      </c>
      <c r="I828" s="19">
        <v>2373.0100000000002</v>
      </c>
      <c r="J828" s="20">
        <v>0.71909393939393929</v>
      </c>
      <c r="K828" s="19">
        <v>2183.0100000000002</v>
      </c>
      <c r="L828" s="20">
        <v>0.66151818181818189</v>
      </c>
      <c r="M828" s="21">
        <v>0</v>
      </c>
      <c r="N828" s="19">
        <v>0</v>
      </c>
      <c r="O828" s="23">
        <v>660</v>
      </c>
      <c r="P828" s="24">
        <v>40</v>
      </c>
      <c r="Q828" s="25">
        <v>6.0606060606060608E-2</v>
      </c>
      <c r="R828" s="24">
        <v>40</v>
      </c>
      <c r="S828" s="25">
        <v>6.0606060606060608E-2</v>
      </c>
      <c r="T828" s="26">
        <v>0</v>
      </c>
      <c r="U828" s="24">
        <v>0</v>
      </c>
      <c r="V828" s="19">
        <v>3960</v>
      </c>
      <c r="W828" s="19">
        <v>2413.0100000000002</v>
      </c>
      <c r="X828" s="21">
        <v>0.60934595959595961</v>
      </c>
      <c r="Y828" s="19">
        <v>2223.0100000000002</v>
      </c>
      <c r="Z828" s="20">
        <v>0.56136616161616171</v>
      </c>
      <c r="AA828" s="30">
        <v>0.11410000000000006</v>
      </c>
      <c r="AB828" s="27">
        <v>0.1</v>
      </c>
      <c r="AC828" s="27">
        <v>0.1167</v>
      </c>
      <c r="AD828" s="11">
        <v>0.11259896334191598</v>
      </c>
    </row>
    <row r="829" spans="1:30" x14ac:dyDescent="0.25">
      <c r="A829" s="13">
        <v>45020</v>
      </c>
      <c r="B829" s="46" t="s">
        <v>637</v>
      </c>
      <c r="C829" s="13">
        <v>45021</v>
      </c>
      <c r="D829" s="15" t="s">
        <v>936</v>
      </c>
      <c r="E829" s="15">
        <v>331</v>
      </c>
      <c r="F829" s="15">
        <v>360</v>
      </c>
      <c r="G829" s="13">
        <v>45352</v>
      </c>
      <c r="H829" s="17">
        <v>4200</v>
      </c>
      <c r="I829" s="19">
        <v>5222.1600000000008</v>
      </c>
      <c r="J829" s="20">
        <v>1.2433714285714288</v>
      </c>
      <c r="K829" s="19">
        <v>4892.1600000000008</v>
      </c>
      <c r="L829" s="20">
        <v>1.1648000000000003</v>
      </c>
      <c r="M829" s="21">
        <v>0</v>
      </c>
      <c r="N829" s="19">
        <v>0</v>
      </c>
      <c r="O829" s="23">
        <v>840</v>
      </c>
      <c r="P829" s="24">
        <v>840</v>
      </c>
      <c r="Q829" s="25">
        <v>1</v>
      </c>
      <c r="R829" s="24">
        <v>840</v>
      </c>
      <c r="S829" s="25">
        <v>1</v>
      </c>
      <c r="T829" s="26">
        <v>0</v>
      </c>
      <c r="U829" s="24">
        <v>0</v>
      </c>
      <c r="V829" s="19">
        <v>5040</v>
      </c>
      <c r="W829" s="19">
        <v>6062.1600000000008</v>
      </c>
      <c r="X829" s="21">
        <v>1.202809523809524</v>
      </c>
      <c r="Y829" s="19">
        <v>5732.1600000000008</v>
      </c>
      <c r="Z829" s="20">
        <v>1.1373333333333335</v>
      </c>
      <c r="AA829" s="30">
        <v>0.11369999999999998</v>
      </c>
      <c r="AB829" s="27">
        <v>0.1</v>
      </c>
      <c r="AC829" s="27">
        <v>0.1148</v>
      </c>
      <c r="AD829" s="11">
        <v>0.11203885365442651</v>
      </c>
    </row>
    <row r="830" spans="1:30" x14ac:dyDescent="0.25">
      <c r="A830" s="13">
        <v>45026</v>
      </c>
      <c r="B830" s="46" t="s">
        <v>636</v>
      </c>
      <c r="C830" s="13">
        <v>45026</v>
      </c>
      <c r="D830" s="15" t="s">
        <v>937</v>
      </c>
      <c r="E830" s="15">
        <v>28</v>
      </c>
      <c r="F830" s="15">
        <v>30</v>
      </c>
      <c r="G830" s="13">
        <v>45054</v>
      </c>
      <c r="H830" s="17">
        <v>4200</v>
      </c>
      <c r="I830" s="19">
        <v>6132.4400000000005</v>
      </c>
      <c r="J830" s="20">
        <v>1.460104761904762</v>
      </c>
      <c r="K830" s="19">
        <v>5182.4399999999987</v>
      </c>
      <c r="L830" s="20">
        <v>1.2339142857142853</v>
      </c>
      <c r="M830" s="21">
        <v>0</v>
      </c>
      <c r="N830" s="19">
        <v>0</v>
      </c>
      <c r="O830" s="23">
        <v>840</v>
      </c>
      <c r="P830" s="24">
        <v>43.82</v>
      </c>
      <c r="Q830" s="25">
        <v>5.2166666666666667E-2</v>
      </c>
      <c r="R830" s="24">
        <v>43.82</v>
      </c>
      <c r="S830" s="25">
        <v>5.2166666666666667E-2</v>
      </c>
      <c r="T830" s="26">
        <v>0</v>
      </c>
      <c r="U830" s="24">
        <v>0</v>
      </c>
      <c r="V830" s="19">
        <v>5040</v>
      </c>
      <c r="W830" s="19">
        <v>6176.26</v>
      </c>
      <c r="X830" s="21">
        <v>1.2254484126984126</v>
      </c>
      <c r="Y830" s="19">
        <v>5226.2599999999984</v>
      </c>
      <c r="Z830" s="20">
        <v>1.0369563492063489</v>
      </c>
      <c r="AA830" s="30">
        <v>0.11620000000000005</v>
      </c>
      <c r="AB830" s="27">
        <v>0.09</v>
      </c>
      <c r="AC830" s="27">
        <v>0.1174</v>
      </c>
      <c r="AD830" s="11">
        <v>0.1131623401125816</v>
      </c>
    </row>
    <row r="831" spans="1:30" x14ac:dyDescent="0.25">
      <c r="A831" s="13">
        <v>45028</v>
      </c>
      <c r="B831" s="46" t="s">
        <v>636</v>
      </c>
      <c r="C831" s="13">
        <v>45028</v>
      </c>
      <c r="D831" s="15" t="s">
        <v>938</v>
      </c>
      <c r="E831" s="15">
        <v>98</v>
      </c>
      <c r="F831" s="15">
        <v>90</v>
      </c>
      <c r="G831" s="13">
        <v>45126</v>
      </c>
      <c r="H831" s="17">
        <v>4200</v>
      </c>
      <c r="I831" s="19">
        <v>3042.1600000000003</v>
      </c>
      <c r="J831" s="20">
        <v>0.72432380952380959</v>
      </c>
      <c r="K831" s="19">
        <v>2392.1600000000003</v>
      </c>
      <c r="L831" s="20">
        <v>0.56956190476190482</v>
      </c>
      <c r="M831" s="21">
        <v>0</v>
      </c>
      <c r="N831" s="19">
        <v>0</v>
      </c>
      <c r="O831" s="23">
        <v>840</v>
      </c>
      <c r="P831" s="24">
        <v>0</v>
      </c>
      <c r="Q831" s="25">
        <v>0</v>
      </c>
      <c r="R831" s="24">
        <v>0</v>
      </c>
      <c r="S831" s="25">
        <v>0</v>
      </c>
      <c r="T831" s="26">
        <v>0</v>
      </c>
      <c r="U831" s="24">
        <v>0</v>
      </c>
      <c r="V831" s="19">
        <v>5040</v>
      </c>
      <c r="W831" s="19">
        <v>3042.1600000000003</v>
      </c>
      <c r="X831" s="21">
        <v>0.6036031746031747</v>
      </c>
      <c r="Y831" s="19">
        <v>2392.1600000000003</v>
      </c>
      <c r="Z831" s="20">
        <v>0.47463492063492069</v>
      </c>
      <c r="AA831" s="30">
        <v>0.11410000000000006</v>
      </c>
      <c r="AB831" s="27">
        <v>0.1</v>
      </c>
      <c r="AC831" s="27">
        <v>0.1158</v>
      </c>
      <c r="AD831" s="11">
        <v>0.11307589443027322</v>
      </c>
    </row>
    <row r="832" spans="1:30" x14ac:dyDescent="0.25">
      <c r="A832" s="13">
        <v>45030</v>
      </c>
      <c r="B832" s="46" t="s">
        <v>636</v>
      </c>
      <c r="C832" s="13">
        <v>45030</v>
      </c>
      <c r="D832" s="15" t="s">
        <v>939</v>
      </c>
      <c r="E832" s="15">
        <v>175</v>
      </c>
      <c r="F832" s="15">
        <v>180</v>
      </c>
      <c r="G832" s="13">
        <v>45205</v>
      </c>
      <c r="H832" s="17">
        <v>3300</v>
      </c>
      <c r="I832" s="19">
        <v>5551.6</v>
      </c>
      <c r="J832" s="20">
        <v>1.6823030303030297</v>
      </c>
      <c r="K832" s="19">
        <v>3801.6</v>
      </c>
      <c r="L832" s="20">
        <v>1.1519999999999999</v>
      </c>
      <c r="M832" s="21">
        <v>0</v>
      </c>
      <c r="N832" s="19">
        <v>0</v>
      </c>
      <c r="O832" s="23">
        <v>660</v>
      </c>
      <c r="P832" s="24">
        <v>220.43</v>
      </c>
      <c r="Q832" s="25">
        <v>0.3339848484848485</v>
      </c>
      <c r="R832" s="24">
        <v>220.43</v>
      </c>
      <c r="S832" s="25">
        <v>0.3339848484848485</v>
      </c>
      <c r="T832" s="26">
        <v>0</v>
      </c>
      <c r="U832" s="24">
        <v>0</v>
      </c>
      <c r="V832" s="19">
        <v>3960</v>
      </c>
      <c r="W832" s="19">
        <v>5772.0300000000007</v>
      </c>
      <c r="X832" s="21">
        <v>1.4575833333333335</v>
      </c>
      <c r="Y832" s="19">
        <v>4022.0299999999997</v>
      </c>
      <c r="Z832" s="20">
        <v>1.0156641414141414</v>
      </c>
      <c r="AA832" s="30">
        <v>0.11300000000000014</v>
      </c>
      <c r="AB832" s="27">
        <v>0.09</v>
      </c>
      <c r="AC832" s="27">
        <v>0.11539999999999999</v>
      </c>
      <c r="AD832" s="11">
        <v>0.1122860171842352</v>
      </c>
    </row>
    <row r="833" spans="1:30" x14ac:dyDescent="0.25">
      <c r="A833" s="13">
        <v>45034</v>
      </c>
      <c r="B833" s="46" t="s">
        <v>636</v>
      </c>
      <c r="C833" s="13">
        <v>45034</v>
      </c>
      <c r="D833" s="15" t="s">
        <v>940</v>
      </c>
      <c r="E833" s="15">
        <v>27</v>
      </c>
      <c r="F833" s="15">
        <v>30</v>
      </c>
      <c r="G833" s="13">
        <v>45061</v>
      </c>
      <c r="H833" s="17">
        <v>4200</v>
      </c>
      <c r="I833" s="19">
        <v>6619.2599999999993</v>
      </c>
      <c r="J833" s="20">
        <v>1.5760142857142851</v>
      </c>
      <c r="K833" s="19">
        <v>5989.2599999999993</v>
      </c>
      <c r="L833" s="20">
        <v>1.4260142857142855</v>
      </c>
      <c r="M833" s="21">
        <v>0</v>
      </c>
      <c r="N833" s="19">
        <v>0</v>
      </c>
      <c r="O833" s="23">
        <v>840</v>
      </c>
      <c r="P833" s="24">
        <v>880</v>
      </c>
      <c r="Q833" s="25">
        <v>1.0476190476190477</v>
      </c>
      <c r="R833" s="24">
        <v>840</v>
      </c>
      <c r="S833" s="25">
        <v>1</v>
      </c>
      <c r="T833" s="26">
        <v>0.95454547619047625</v>
      </c>
      <c r="U833" s="24">
        <v>0</v>
      </c>
      <c r="V833" s="19">
        <v>5040</v>
      </c>
      <c r="W833" s="19">
        <v>7499.2599999999993</v>
      </c>
      <c r="X833" s="21">
        <v>1.4879484126984126</v>
      </c>
      <c r="Y833" s="19">
        <v>6829.2599999999993</v>
      </c>
      <c r="Z833" s="20">
        <v>1.3550119047619047</v>
      </c>
      <c r="AA833" s="30">
        <v>0.11629999999999993</v>
      </c>
      <c r="AB833" s="27">
        <v>0.1</v>
      </c>
      <c r="AC833" s="27">
        <v>0.11749999999999999</v>
      </c>
      <c r="AD833" s="11">
        <v>0.11444915534364868</v>
      </c>
    </row>
    <row r="834" spans="1:30" x14ac:dyDescent="0.25">
      <c r="A834" s="13">
        <v>45035</v>
      </c>
      <c r="B834" s="46" t="s">
        <v>636</v>
      </c>
      <c r="C834" s="13">
        <v>45035</v>
      </c>
      <c r="D834" s="15" t="s">
        <v>941</v>
      </c>
      <c r="E834" s="15">
        <v>91</v>
      </c>
      <c r="F834" s="15">
        <v>90</v>
      </c>
      <c r="G834" s="13">
        <v>45126</v>
      </c>
      <c r="H834" s="17">
        <v>4200</v>
      </c>
      <c r="I834" s="19">
        <v>6207.2599999999993</v>
      </c>
      <c r="J834" s="20">
        <v>1.4779190476190469</v>
      </c>
      <c r="K834" s="19">
        <v>4799.26</v>
      </c>
      <c r="L834" s="20">
        <v>1.1426809523809525</v>
      </c>
      <c r="M834" s="21">
        <v>0</v>
      </c>
      <c r="N834" s="19">
        <v>0</v>
      </c>
      <c r="O834" s="23">
        <v>840</v>
      </c>
      <c r="P834" s="24">
        <v>521.48</v>
      </c>
      <c r="Q834" s="25">
        <v>0.62080952380952381</v>
      </c>
      <c r="R834" s="24">
        <v>521.48</v>
      </c>
      <c r="S834" s="25">
        <v>0.62080952380952381</v>
      </c>
      <c r="T834" s="26">
        <v>0</v>
      </c>
      <c r="U834" s="24">
        <v>0</v>
      </c>
      <c r="V834" s="19">
        <v>5040</v>
      </c>
      <c r="W834" s="19">
        <v>6728.74</v>
      </c>
      <c r="X834" s="21">
        <v>1.3350674603174604</v>
      </c>
      <c r="Y834" s="19">
        <v>5320.74</v>
      </c>
      <c r="Z834" s="20">
        <v>1.0557023809523809</v>
      </c>
      <c r="AA834" s="30">
        <v>0.11439999999999989</v>
      </c>
      <c r="AB834" s="27">
        <v>9.5000000000000001E-2</v>
      </c>
      <c r="AC834" s="27">
        <v>0.11749999999999999</v>
      </c>
      <c r="AD834" s="11">
        <v>0.11234424158163192</v>
      </c>
    </row>
    <row r="835" spans="1:30" x14ac:dyDescent="0.25">
      <c r="A835" s="13">
        <v>45036</v>
      </c>
      <c r="B835" s="46" t="s">
        <v>636</v>
      </c>
      <c r="C835" s="13">
        <v>45037</v>
      </c>
      <c r="D835" s="15" t="s">
        <v>942</v>
      </c>
      <c r="E835" s="15">
        <v>378</v>
      </c>
      <c r="F835" s="15">
        <v>360</v>
      </c>
      <c r="G835" s="13">
        <v>45415</v>
      </c>
      <c r="H835" s="17">
        <v>3300</v>
      </c>
      <c r="I835" s="19">
        <v>10761.880000000001</v>
      </c>
      <c r="J835" s="20">
        <v>3.2611757575757565</v>
      </c>
      <c r="K835" s="19">
        <v>6464.5800000000008</v>
      </c>
      <c r="L835" s="20">
        <v>1.9589636363636367</v>
      </c>
      <c r="M835" s="21">
        <v>0</v>
      </c>
      <c r="N835" s="19">
        <v>0</v>
      </c>
      <c r="O835" s="23">
        <v>660</v>
      </c>
      <c r="P835" s="24">
        <v>1320</v>
      </c>
      <c r="Q835" s="25">
        <v>2</v>
      </c>
      <c r="R835" s="24">
        <v>660</v>
      </c>
      <c r="S835" s="25">
        <v>1</v>
      </c>
      <c r="T835" s="26">
        <v>0.5</v>
      </c>
      <c r="U835" s="24">
        <v>0</v>
      </c>
      <c r="V835" s="19">
        <v>3960</v>
      </c>
      <c r="W835" s="19">
        <v>12081.880000000001</v>
      </c>
      <c r="X835" s="21">
        <v>3.0509797979797981</v>
      </c>
      <c r="Y835" s="19">
        <v>7124.5800000000008</v>
      </c>
      <c r="Z835" s="20">
        <v>1.7991363636363638</v>
      </c>
      <c r="AA835" s="30">
        <v>0.11139999999999993</v>
      </c>
      <c r="AB835" s="27">
        <v>0.1</v>
      </c>
      <c r="AC835" s="27">
        <v>0.115</v>
      </c>
      <c r="AD835" s="11">
        <v>0.11022038352035143</v>
      </c>
    </row>
    <row r="836" spans="1:30" x14ac:dyDescent="0.25">
      <c r="A836" s="13">
        <v>45040</v>
      </c>
      <c r="B836" s="46" t="s">
        <v>636</v>
      </c>
      <c r="C836" s="13">
        <v>45040</v>
      </c>
      <c r="D836" s="15" t="s">
        <v>943</v>
      </c>
      <c r="E836" s="15">
        <v>29</v>
      </c>
      <c r="F836" s="15">
        <v>30</v>
      </c>
      <c r="G836" s="13">
        <v>45069</v>
      </c>
      <c r="H836" s="17">
        <v>3300</v>
      </c>
      <c r="I836" s="19">
        <v>5324.9400000000005</v>
      </c>
      <c r="J836" s="20">
        <v>1.6136181818181821</v>
      </c>
      <c r="K836" s="19">
        <v>3442.44</v>
      </c>
      <c r="L836" s="20">
        <v>1.0431636363636363</v>
      </c>
      <c r="M836" s="21">
        <v>0</v>
      </c>
      <c r="N836" s="19">
        <v>0</v>
      </c>
      <c r="O836" s="23">
        <v>660</v>
      </c>
      <c r="P836" s="24">
        <v>1048.2</v>
      </c>
      <c r="Q836" s="25">
        <v>1.5881818181818181</v>
      </c>
      <c r="R836" s="24">
        <v>660</v>
      </c>
      <c r="S836" s="25">
        <v>1</v>
      </c>
      <c r="T836" s="26">
        <v>0.62965624999999992</v>
      </c>
      <c r="U836" s="24">
        <v>0</v>
      </c>
      <c r="V836" s="19">
        <v>3960</v>
      </c>
      <c r="W836" s="19">
        <v>6373.14</v>
      </c>
      <c r="X836" s="21">
        <v>1.609378787878788</v>
      </c>
      <c r="Y836" s="19">
        <v>4102.4400000000005</v>
      </c>
      <c r="Z836" s="20">
        <v>1.0359696969696972</v>
      </c>
      <c r="AA836" s="30">
        <v>0.1132</v>
      </c>
      <c r="AB836" s="27">
        <v>9.5000000000000001E-2</v>
      </c>
      <c r="AC836" s="27">
        <v>0.1158</v>
      </c>
      <c r="AD836" s="11">
        <v>0.11039094506229179</v>
      </c>
    </row>
    <row r="837" spans="1:30" x14ac:dyDescent="0.25">
      <c r="A837" s="13">
        <v>45041</v>
      </c>
      <c r="B837" s="46" t="s">
        <v>636</v>
      </c>
      <c r="C837" s="13">
        <v>45042</v>
      </c>
      <c r="D837" s="15" t="s">
        <v>944</v>
      </c>
      <c r="E837" s="15">
        <v>735</v>
      </c>
      <c r="F837" s="15">
        <v>720</v>
      </c>
      <c r="G837" s="13">
        <v>45777</v>
      </c>
      <c r="H837" s="17">
        <v>2500</v>
      </c>
      <c r="I837" s="19">
        <v>4194.6000000000004</v>
      </c>
      <c r="J837" s="20">
        <v>1.6778400000000002</v>
      </c>
      <c r="K837" s="19">
        <v>3394.6</v>
      </c>
      <c r="L837" s="20">
        <v>1.3578399999999999</v>
      </c>
      <c r="M837" s="21">
        <v>0</v>
      </c>
      <c r="N837" s="19">
        <v>0</v>
      </c>
      <c r="O837" s="23">
        <v>500</v>
      </c>
      <c r="P837" s="24">
        <v>500</v>
      </c>
      <c r="Q837" s="25">
        <v>1</v>
      </c>
      <c r="R837" s="24">
        <v>500</v>
      </c>
      <c r="S837" s="25">
        <v>1</v>
      </c>
      <c r="T837" s="26">
        <v>0</v>
      </c>
      <c r="U837" s="24">
        <v>0</v>
      </c>
      <c r="V837" s="19">
        <v>3000</v>
      </c>
      <c r="W837" s="19">
        <v>4694.6000000000004</v>
      </c>
      <c r="X837" s="21">
        <v>1.5648666666666669</v>
      </c>
      <c r="Y837" s="19">
        <v>3894.6</v>
      </c>
      <c r="Z837" s="20">
        <v>1.2982</v>
      </c>
      <c r="AA837" s="30">
        <v>0.109</v>
      </c>
      <c r="AB837" s="27">
        <v>0.1002</v>
      </c>
      <c r="AC837" s="27">
        <v>0.10980000000000001</v>
      </c>
      <c r="AD837" s="11">
        <v>0.10749035140418629</v>
      </c>
    </row>
    <row r="838" spans="1:30" x14ac:dyDescent="0.25">
      <c r="A838" s="13">
        <v>45042</v>
      </c>
      <c r="B838" s="46" t="s">
        <v>636</v>
      </c>
      <c r="C838" s="13">
        <v>45042</v>
      </c>
      <c r="D838" s="15" t="s">
        <v>945</v>
      </c>
      <c r="E838" s="15">
        <v>91</v>
      </c>
      <c r="F838" s="15">
        <v>90</v>
      </c>
      <c r="G838" s="13">
        <v>45133</v>
      </c>
      <c r="H838" s="17">
        <v>2500</v>
      </c>
      <c r="I838" s="19">
        <v>3694.28</v>
      </c>
      <c r="J838" s="20">
        <v>1.4777120000000006</v>
      </c>
      <c r="K838" s="19">
        <v>3454.28</v>
      </c>
      <c r="L838" s="20">
        <v>1.3817120000000001</v>
      </c>
      <c r="M838" s="21">
        <v>0</v>
      </c>
      <c r="N838" s="19">
        <v>0</v>
      </c>
      <c r="O838" s="23">
        <v>500</v>
      </c>
      <c r="P838" s="24">
        <v>458.13</v>
      </c>
      <c r="Q838" s="25">
        <v>0.91625999999999996</v>
      </c>
      <c r="R838" s="24">
        <v>458.13</v>
      </c>
      <c r="S838" s="25">
        <v>0.91625999999999996</v>
      </c>
      <c r="T838" s="26">
        <v>0</v>
      </c>
      <c r="U838" s="24">
        <v>0</v>
      </c>
      <c r="V838" s="19">
        <v>3000</v>
      </c>
      <c r="W838" s="19">
        <v>4152.41</v>
      </c>
      <c r="X838" s="21">
        <v>1.3841366666666666</v>
      </c>
      <c r="Y838" s="19">
        <v>3912.4100000000003</v>
      </c>
      <c r="Z838" s="20">
        <v>1.3041366666666667</v>
      </c>
      <c r="AA838" s="30">
        <v>0.11380000000000007</v>
      </c>
      <c r="AB838" s="27">
        <v>0.08</v>
      </c>
      <c r="AC838" s="27">
        <v>0.1144</v>
      </c>
      <c r="AD838" s="11">
        <v>0.11053493048713146</v>
      </c>
    </row>
    <row r="839" spans="1:30" x14ac:dyDescent="0.25">
      <c r="A839" s="13">
        <v>45044</v>
      </c>
      <c r="B839" s="46" t="s">
        <v>636</v>
      </c>
      <c r="C839" s="13">
        <v>45044</v>
      </c>
      <c r="D839" s="15" t="s">
        <v>946</v>
      </c>
      <c r="E839" s="15">
        <v>189</v>
      </c>
      <c r="F839" s="15">
        <v>180</v>
      </c>
      <c r="G839" s="13">
        <v>45233</v>
      </c>
      <c r="H839" s="17">
        <v>2500</v>
      </c>
      <c r="I839" s="19">
        <v>5792.04</v>
      </c>
      <c r="J839" s="20">
        <v>2.3168160000000007</v>
      </c>
      <c r="K839" s="19">
        <v>4398.4400000000005</v>
      </c>
      <c r="L839" s="20">
        <v>1.7593760000000003</v>
      </c>
      <c r="M839" s="21">
        <v>0</v>
      </c>
      <c r="N839" s="19">
        <v>0</v>
      </c>
      <c r="O839" s="23">
        <v>500</v>
      </c>
      <c r="P839" s="24">
        <v>457.7</v>
      </c>
      <c r="Q839" s="25">
        <v>0.91539999999999999</v>
      </c>
      <c r="R839" s="24">
        <v>457.7</v>
      </c>
      <c r="S839" s="25">
        <v>0.91539999999999999</v>
      </c>
      <c r="T839" s="26">
        <v>0</v>
      </c>
      <c r="U839" s="24">
        <v>0</v>
      </c>
      <c r="V839" s="19">
        <v>3000</v>
      </c>
      <c r="W839" s="19">
        <v>6249.74</v>
      </c>
      <c r="X839" s="21">
        <v>2.0832466666666667</v>
      </c>
      <c r="Y839" s="19">
        <v>4856.1400000000003</v>
      </c>
      <c r="Z839" s="20">
        <v>1.6187133333333334</v>
      </c>
      <c r="AA839" s="30">
        <v>0.1109</v>
      </c>
      <c r="AB839" s="27">
        <v>0.09</v>
      </c>
      <c r="AC839" s="27">
        <v>0.11560000000000001</v>
      </c>
      <c r="AD839" s="11">
        <v>0.11046123680085082</v>
      </c>
    </row>
    <row r="840" spans="1:30" x14ac:dyDescent="0.25">
      <c r="A840" s="13">
        <v>45048</v>
      </c>
      <c r="B840" s="46" t="s">
        <v>636</v>
      </c>
      <c r="C840" s="13">
        <v>45048</v>
      </c>
      <c r="D840" s="15" t="s">
        <v>947</v>
      </c>
      <c r="E840" s="15">
        <v>27</v>
      </c>
      <c r="F840" s="15">
        <v>30</v>
      </c>
      <c r="G840" s="13">
        <v>45075</v>
      </c>
      <c r="H840" s="17">
        <v>3300</v>
      </c>
      <c r="I840" s="19">
        <v>3451.15</v>
      </c>
      <c r="J840" s="20">
        <v>1.0458030303030301</v>
      </c>
      <c r="K840" s="19">
        <v>3451.15</v>
      </c>
      <c r="L840" s="20">
        <v>1.0458030303030303</v>
      </c>
      <c r="M840" s="21">
        <v>0</v>
      </c>
      <c r="N840" s="19">
        <v>0</v>
      </c>
      <c r="O840" s="23">
        <v>660</v>
      </c>
      <c r="P840" s="24">
        <v>398.9</v>
      </c>
      <c r="Q840" s="25">
        <v>0.60439393939393937</v>
      </c>
      <c r="R840" s="24">
        <v>398.9</v>
      </c>
      <c r="S840" s="25">
        <v>0.60439393939393937</v>
      </c>
      <c r="T840" s="26">
        <v>0</v>
      </c>
      <c r="U840" s="24">
        <v>0</v>
      </c>
      <c r="V840" s="19">
        <v>3960</v>
      </c>
      <c r="W840" s="19">
        <v>3850.05</v>
      </c>
      <c r="X840" s="21">
        <v>0.97223484848484854</v>
      </c>
      <c r="Y840" s="19">
        <v>3850.05</v>
      </c>
      <c r="Z840" s="20">
        <v>0.97223484848484854</v>
      </c>
      <c r="AA840" s="30">
        <v>0.11279999999999998</v>
      </c>
      <c r="AB840" s="27">
        <v>0.1</v>
      </c>
      <c r="AC840" s="27">
        <v>0.1128</v>
      </c>
      <c r="AD840" s="11">
        <v>0.10957585413557799</v>
      </c>
    </row>
    <row r="841" spans="1:30" x14ac:dyDescent="0.25">
      <c r="A841" s="13">
        <v>45049</v>
      </c>
      <c r="B841" s="46" t="s">
        <v>636</v>
      </c>
      <c r="C841" s="13">
        <v>45049</v>
      </c>
      <c r="D841" s="15" t="s">
        <v>948</v>
      </c>
      <c r="E841" s="15">
        <v>84</v>
      </c>
      <c r="F841" s="15">
        <v>90</v>
      </c>
      <c r="G841" s="13">
        <v>45133</v>
      </c>
      <c r="H841" s="17">
        <v>2500</v>
      </c>
      <c r="I841" s="19">
        <v>3250.52</v>
      </c>
      <c r="J841" s="20">
        <v>1.300208</v>
      </c>
      <c r="K841" s="19">
        <v>2515.52</v>
      </c>
      <c r="L841" s="20">
        <v>1.006208</v>
      </c>
      <c r="M841" s="21">
        <v>0</v>
      </c>
      <c r="N841" s="19">
        <v>0</v>
      </c>
      <c r="O841" s="23">
        <v>500</v>
      </c>
      <c r="P841" s="24">
        <v>30</v>
      </c>
      <c r="Q841" s="25">
        <v>0.06</v>
      </c>
      <c r="R841" s="24">
        <v>30</v>
      </c>
      <c r="S841" s="25">
        <v>0.06</v>
      </c>
      <c r="T841" s="26">
        <v>0</v>
      </c>
      <c r="U841" s="24">
        <v>0</v>
      </c>
      <c r="V841" s="19">
        <v>3000</v>
      </c>
      <c r="W841" s="19">
        <v>3280.52</v>
      </c>
      <c r="X841" s="21">
        <v>1.0935066666666666</v>
      </c>
      <c r="Y841" s="19">
        <v>2545.52</v>
      </c>
      <c r="Z841" s="20">
        <v>0.84850666666666663</v>
      </c>
      <c r="AA841" s="30">
        <v>0.11379999999999993</v>
      </c>
      <c r="AB841" s="27">
        <v>0.1</v>
      </c>
      <c r="AC841" s="27">
        <v>0.11689999999999999</v>
      </c>
      <c r="AD841" s="11">
        <v>0.11284513031761073</v>
      </c>
    </row>
    <row r="842" spans="1:30" x14ac:dyDescent="0.25">
      <c r="A842" s="13">
        <v>45050</v>
      </c>
      <c r="B842" s="46" t="s">
        <v>636</v>
      </c>
      <c r="C842" s="13">
        <v>45051</v>
      </c>
      <c r="D842" s="15" t="s">
        <v>949</v>
      </c>
      <c r="E842" s="15">
        <v>378</v>
      </c>
      <c r="F842" s="15">
        <v>360</v>
      </c>
      <c r="G842" s="13">
        <v>45429</v>
      </c>
      <c r="H842" s="17">
        <v>5000</v>
      </c>
      <c r="I842" s="19">
        <v>5422.7000000000007</v>
      </c>
      <c r="J842" s="20">
        <v>1.0845400000000003</v>
      </c>
      <c r="K842" s="19">
        <v>5422.7000000000007</v>
      </c>
      <c r="L842" s="20">
        <v>1.0845400000000001</v>
      </c>
      <c r="M842" s="21">
        <v>0</v>
      </c>
      <c r="N842" s="19">
        <v>0</v>
      </c>
      <c r="O842" s="23">
        <v>1000</v>
      </c>
      <c r="P842" s="24">
        <v>1024.2</v>
      </c>
      <c r="Q842" s="25">
        <v>1.0242</v>
      </c>
      <c r="R842" s="24">
        <v>1000</v>
      </c>
      <c r="S842" s="25">
        <v>1</v>
      </c>
      <c r="T842" s="26">
        <v>0.97637391304347831</v>
      </c>
      <c r="U842" s="24">
        <v>0</v>
      </c>
      <c r="V842" s="19">
        <v>6000</v>
      </c>
      <c r="W842" s="19">
        <v>6446.9000000000005</v>
      </c>
      <c r="X842" s="21">
        <v>1.0744833333333335</v>
      </c>
      <c r="Y842" s="19">
        <v>6422.7000000000007</v>
      </c>
      <c r="Z842" s="20">
        <v>1.0704500000000001</v>
      </c>
      <c r="AA842" s="30">
        <v>0.11140000000000005</v>
      </c>
      <c r="AB842" s="27">
        <v>0.09</v>
      </c>
      <c r="AC842" s="27">
        <v>0.1114</v>
      </c>
      <c r="AD842" s="11">
        <v>0.10946350858428457</v>
      </c>
    </row>
    <row r="843" spans="1:30" x14ac:dyDescent="0.25">
      <c r="A843" s="13">
        <v>45054</v>
      </c>
      <c r="B843" s="46" t="s">
        <v>636</v>
      </c>
      <c r="C843" s="13">
        <v>45054</v>
      </c>
      <c r="D843" s="15" t="s">
        <v>950</v>
      </c>
      <c r="E843" s="15">
        <v>35</v>
      </c>
      <c r="F843" s="15">
        <v>30</v>
      </c>
      <c r="G843" s="13">
        <v>45089</v>
      </c>
      <c r="H843" s="17">
        <v>4200</v>
      </c>
      <c r="I843" s="19">
        <v>5628.3899999999994</v>
      </c>
      <c r="J843" s="20">
        <v>1.3400928571428572</v>
      </c>
      <c r="K843" s="19">
        <v>4466.3899999999994</v>
      </c>
      <c r="L843" s="20">
        <v>1.0634261904761904</v>
      </c>
      <c r="M843" s="21">
        <v>0</v>
      </c>
      <c r="N843" s="19">
        <v>0</v>
      </c>
      <c r="O843" s="23">
        <v>840</v>
      </c>
      <c r="P843" s="24">
        <v>583</v>
      </c>
      <c r="Q843" s="25">
        <v>0.69404761904761902</v>
      </c>
      <c r="R843" s="24">
        <v>583</v>
      </c>
      <c r="S843" s="25">
        <v>0.69404761904761902</v>
      </c>
      <c r="T843" s="26">
        <v>0</v>
      </c>
      <c r="U843" s="24">
        <v>0</v>
      </c>
      <c r="V843" s="19">
        <v>5040</v>
      </c>
      <c r="W843" s="19">
        <v>6211.3899999999994</v>
      </c>
      <c r="X843" s="21">
        <v>1.2324186507936508</v>
      </c>
      <c r="Y843" s="19">
        <v>5049.3899999999994</v>
      </c>
      <c r="Z843" s="20">
        <v>1.0018630952380951</v>
      </c>
      <c r="AA843" s="30">
        <v>0.11319999999999998</v>
      </c>
      <c r="AB843" s="27">
        <v>0.09</v>
      </c>
      <c r="AC843" s="27">
        <v>0.11840000000000001</v>
      </c>
      <c r="AD843" s="11">
        <v>0.11126421338961946</v>
      </c>
    </row>
    <row r="844" spans="1:30" x14ac:dyDescent="0.25">
      <c r="A844" s="13">
        <v>45056</v>
      </c>
      <c r="B844" s="46" t="s">
        <v>636</v>
      </c>
      <c r="C844" s="13">
        <v>45056</v>
      </c>
      <c r="D844" s="15" t="s">
        <v>951</v>
      </c>
      <c r="E844" s="15">
        <v>91</v>
      </c>
      <c r="F844" s="15">
        <v>90</v>
      </c>
      <c r="G844" s="13">
        <v>45147</v>
      </c>
      <c r="H844" s="17">
        <v>3300</v>
      </c>
      <c r="I844" s="19">
        <v>3408.9199999999996</v>
      </c>
      <c r="J844" s="20">
        <v>1.0330060606060607</v>
      </c>
      <c r="K844" s="19">
        <v>2458.9199999999996</v>
      </c>
      <c r="L844" s="20">
        <v>0.74512727272727264</v>
      </c>
      <c r="M844" s="21">
        <v>0</v>
      </c>
      <c r="N844" s="19">
        <v>0</v>
      </c>
      <c r="O844" s="23">
        <v>660</v>
      </c>
      <c r="P844" s="24">
        <v>0</v>
      </c>
      <c r="Q844" s="25">
        <v>0</v>
      </c>
      <c r="R844" s="24">
        <v>0</v>
      </c>
      <c r="S844" s="25">
        <v>0</v>
      </c>
      <c r="T844" s="26">
        <v>0</v>
      </c>
      <c r="U844" s="24">
        <v>0</v>
      </c>
      <c r="V844" s="19">
        <v>3960</v>
      </c>
      <c r="W844" s="19">
        <v>3408.9199999999996</v>
      </c>
      <c r="X844" s="21">
        <v>0.86083838383838374</v>
      </c>
      <c r="Y844" s="19">
        <v>2458.9199999999996</v>
      </c>
      <c r="Z844" s="20">
        <v>0.62093939393939379</v>
      </c>
      <c r="AA844" s="30">
        <v>0.11359999999999995</v>
      </c>
      <c r="AB844" s="27">
        <v>0.09</v>
      </c>
      <c r="AC844" s="27">
        <v>0.1174</v>
      </c>
      <c r="AD844" s="11">
        <v>0.11231392288466732</v>
      </c>
    </row>
    <row r="845" spans="1:30" x14ac:dyDescent="0.25">
      <c r="A845" s="13">
        <v>45058</v>
      </c>
      <c r="B845" s="46" t="s">
        <v>636</v>
      </c>
      <c r="C845" s="13">
        <v>45058</v>
      </c>
      <c r="D845" s="15" t="s">
        <v>952</v>
      </c>
      <c r="E845" s="15">
        <v>175</v>
      </c>
      <c r="F845" s="15">
        <v>180</v>
      </c>
      <c r="G845" s="13">
        <v>45233</v>
      </c>
      <c r="H845" s="17">
        <v>5000</v>
      </c>
      <c r="I845" s="19">
        <v>4644.5400000000009</v>
      </c>
      <c r="J845" s="20">
        <v>0.92890800000000018</v>
      </c>
      <c r="K845" s="19">
        <v>3844.54</v>
      </c>
      <c r="L845" s="20">
        <v>0.76890800000000004</v>
      </c>
      <c r="M845" s="21">
        <v>0</v>
      </c>
      <c r="N845" s="19">
        <v>0</v>
      </c>
      <c r="O845" s="23">
        <v>1000</v>
      </c>
      <c r="P845" s="24">
        <v>20.21</v>
      </c>
      <c r="Q845" s="25">
        <v>2.0209999999999999E-2</v>
      </c>
      <c r="R845" s="24">
        <v>20.21</v>
      </c>
      <c r="S845" s="25">
        <v>2.0210000000000002E-2</v>
      </c>
      <c r="T845" s="26">
        <v>0</v>
      </c>
      <c r="U845" s="24">
        <v>0</v>
      </c>
      <c r="V845" s="19">
        <v>6000</v>
      </c>
      <c r="W845" s="19">
        <v>4664.7500000000009</v>
      </c>
      <c r="X845" s="21">
        <v>0.77745833333333347</v>
      </c>
      <c r="Y845" s="19">
        <v>3864.75</v>
      </c>
      <c r="Z845" s="20">
        <v>0.64412499999999995</v>
      </c>
      <c r="AA845" s="30">
        <v>0.11069999999999988</v>
      </c>
      <c r="AB845" s="27">
        <v>0.09</v>
      </c>
      <c r="AC845" s="27">
        <v>0.115</v>
      </c>
      <c r="AD845" s="11">
        <v>0.10865162448810861</v>
      </c>
    </row>
    <row r="846" spans="1:30" x14ac:dyDescent="0.25">
      <c r="A846" s="13">
        <v>45061</v>
      </c>
      <c r="B846" s="46" t="s">
        <v>636</v>
      </c>
      <c r="C846" s="13">
        <v>45061</v>
      </c>
      <c r="D846" s="15" t="s">
        <v>953</v>
      </c>
      <c r="E846" s="15">
        <v>36</v>
      </c>
      <c r="F846" s="15">
        <v>30</v>
      </c>
      <c r="G846" s="13">
        <v>45097</v>
      </c>
      <c r="H846" s="17">
        <v>3300</v>
      </c>
      <c r="I846" s="19">
        <v>6291.1500000000005</v>
      </c>
      <c r="J846" s="20">
        <v>1.9064090909090903</v>
      </c>
      <c r="K846" s="19">
        <v>3791.1499999999996</v>
      </c>
      <c r="L846" s="20">
        <v>1.1488333333333332</v>
      </c>
      <c r="M846" s="21">
        <v>0</v>
      </c>
      <c r="N846" s="19">
        <v>0</v>
      </c>
      <c r="O846" s="23">
        <v>660</v>
      </c>
      <c r="P846" s="24">
        <v>1519</v>
      </c>
      <c r="Q846" s="25">
        <v>2.3015151515151517</v>
      </c>
      <c r="R846" s="24">
        <v>660</v>
      </c>
      <c r="S846" s="25">
        <v>1</v>
      </c>
      <c r="T846" s="26">
        <v>0.4345</v>
      </c>
      <c r="U846" s="24">
        <v>0</v>
      </c>
      <c r="V846" s="19">
        <v>3960</v>
      </c>
      <c r="W846" s="19">
        <v>7810.1500000000005</v>
      </c>
      <c r="X846" s="21">
        <v>1.9722601010101011</v>
      </c>
      <c r="Y846" s="19">
        <v>4451.1499999999996</v>
      </c>
      <c r="Z846" s="20">
        <v>1.1240277777777776</v>
      </c>
      <c r="AA846" s="30">
        <v>0.11200000000000009</v>
      </c>
      <c r="AB846" s="27">
        <v>0.1</v>
      </c>
      <c r="AC846" s="27">
        <v>0.1144</v>
      </c>
      <c r="AD846" s="11">
        <v>0.11130668812538246</v>
      </c>
    </row>
    <row r="847" spans="1:30" x14ac:dyDescent="0.25">
      <c r="A847" s="13">
        <v>45063</v>
      </c>
      <c r="B847" s="46" t="s">
        <v>636</v>
      </c>
      <c r="C847" s="13">
        <v>45063</v>
      </c>
      <c r="D847" s="15" t="s">
        <v>954</v>
      </c>
      <c r="E847" s="15">
        <v>84</v>
      </c>
      <c r="F847" s="15">
        <v>90</v>
      </c>
      <c r="G847" s="13">
        <v>45147</v>
      </c>
      <c r="H847" s="17">
        <v>2500</v>
      </c>
      <c r="I847" s="19">
        <v>3884.54</v>
      </c>
      <c r="J847" s="20">
        <v>1.5538160000000008</v>
      </c>
      <c r="K847" s="19">
        <v>2912.54</v>
      </c>
      <c r="L847" s="20">
        <v>1.1650160000000001</v>
      </c>
      <c r="M847" s="21">
        <v>0</v>
      </c>
      <c r="N847" s="19">
        <v>0</v>
      </c>
      <c r="O847" s="23">
        <v>500</v>
      </c>
      <c r="P847" s="24">
        <v>315</v>
      </c>
      <c r="Q847" s="25">
        <v>0.63</v>
      </c>
      <c r="R847" s="24">
        <v>315</v>
      </c>
      <c r="S847" s="25">
        <v>0.63</v>
      </c>
      <c r="T847" s="26">
        <v>0</v>
      </c>
      <c r="U847" s="24">
        <v>0</v>
      </c>
      <c r="V847" s="19">
        <v>3000</v>
      </c>
      <c r="W847" s="19">
        <v>4199.54</v>
      </c>
      <c r="X847" s="21">
        <v>1.3998466666666667</v>
      </c>
      <c r="Y847" s="19">
        <v>3227.54</v>
      </c>
      <c r="Z847" s="20">
        <v>1.0758466666666666</v>
      </c>
      <c r="AA847" s="30">
        <v>0.11350000000000009</v>
      </c>
      <c r="AB847" s="27">
        <v>0.1</v>
      </c>
      <c r="AC847" s="27">
        <v>0.11699999999999999</v>
      </c>
      <c r="AD847" s="11">
        <v>0.11155178193557022</v>
      </c>
    </row>
    <row r="848" spans="1:30" x14ac:dyDescent="0.25">
      <c r="A848" s="13">
        <v>45064</v>
      </c>
      <c r="B848" s="46" t="s">
        <v>636</v>
      </c>
      <c r="C848" s="13">
        <v>45065</v>
      </c>
      <c r="D848" s="15" t="s">
        <v>955</v>
      </c>
      <c r="E848" s="15">
        <v>364</v>
      </c>
      <c r="F848" s="15">
        <v>360</v>
      </c>
      <c r="G848" s="13">
        <v>45429</v>
      </c>
      <c r="H848" s="17">
        <v>3300</v>
      </c>
      <c r="I848" s="19">
        <v>5827.02</v>
      </c>
      <c r="J848" s="20">
        <v>1.7657636363636362</v>
      </c>
      <c r="K848" s="19">
        <v>4177.0200000000004</v>
      </c>
      <c r="L848" s="20">
        <v>1.2657636363636364</v>
      </c>
      <c r="M848" s="21">
        <v>0</v>
      </c>
      <c r="N848" s="19">
        <v>0</v>
      </c>
      <c r="O848" s="23">
        <v>660</v>
      </c>
      <c r="P848" s="24">
        <v>1320</v>
      </c>
      <c r="Q848" s="25">
        <v>2</v>
      </c>
      <c r="R848" s="24">
        <v>660</v>
      </c>
      <c r="S848" s="25">
        <v>1</v>
      </c>
      <c r="T848" s="26">
        <v>0.5</v>
      </c>
      <c r="U848" s="24">
        <v>0</v>
      </c>
      <c r="V848" s="19">
        <v>3960</v>
      </c>
      <c r="W848" s="19">
        <v>7147.02</v>
      </c>
      <c r="X848" s="21">
        <v>1.8048030303030305</v>
      </c>
      <c r="Y848" s="19">
        <v>4837.0200000000004</v>
      </c>
      <c r="Z848" s="20">
        <v>1.221469696969697</v>
      </c>
      <c r="AA848" s="30">
        <v>0.11140000000000003</v>
      </c>
      <c r="AB848" s="27">
        <v>0.1</v>
      </c>
      <c r="AC848" s="27">
        <v>0.11779999999999999</v>
      </c>
      <c r="AD848" s="11">
        <v>0.11120683625592502</v>
      </c>
    </row>
    <row r="849" spans="1:30" x14ac:dyDescent="0.25">
      <c r="A849" s="13">
        <v>45069</v>
      </c>
      <c r="B849" s="46" t="s">
        <v>636</v>
      </c>
      <c r="C849" s="13">
        <v>45069</v>
      </c>
      <c r="D849" s="15" t="s">
        <v>956</v>
      </c>
      <c r="E849" s="15">
        <v>28</v>
      </c>
      <c r="F849" s="15">
        <v>30</v>
      </c>
      <c r="G849" s="13">
        <v>45097</v>
      </c>
      <c r="H849" s="17">
        <v>3300</v>
      </c>
      <c r="I849" s="19">
        <v>5135.7299999999996</v>
      </c>
      <c r="J849" s="20">
        <v>1.5562818181818181</v>
      </c>
      <c r="K849" s="19">
        <v>4035.73</v>
      </c>
      <c r="L849" s="20">
        <v>1.2229484848484848</v>
      </c>
      <c r="M849" s="21">
        <v>0</v>
      </c>
      <c r="N849" s="19">
        <v>0</v>
      </c>
      <c r="O849" s="23">
        <v>660</v>
      </c>
      <c r="P849" s="24">
        <v>460.96</v>
      </c>
      <c r="Q849" s="25">
        <v>0.6984242424242425</v>
      </c>
      <c r="R849" s="24">
        <v>460.96</v>
      </c>
      <c r="S849" s="25">
        <v>0.69842424242424239</v>
      </c>
      <c r="T849" s="26">
        <v>0</v>
      </c>
      <c r="U849" s="24">
        <v>0</v>
      </c>
      <c r="V849" s="19">
        <v>3960</v>
      </c>
      <c r="W849" s="19">
        <v>5596.69</v>
      </c>
      <c r="X849" s="21">
        <v>1.4133055555555554</v>
      </c>
      <c r="Y849" s="19">
        <v>4496.6899999999996</v>
      </c>
      <c r="Z849" s="20">
        <v>1.1355277777777777</v>
      </c>
      <c r="AA849" s="30">
        <v>0.11229999999999997</v>
      </c>
      <c r="AB849" s="27">
        <v>0.1</v>
      </c>
      <c r="AC849" s="27">
        <v>0.11380000000000001</v>
      </c>
      <c r="AD849" s="11">
        <v>0.11088951268855649</v>
      </c>
    </row>
    <row r="850" spans="1:30" x14ac:dyDescent="0.25">
      <c r="A850" s="13">
        <v>45070</v>
      </c>
      <c r="B850" s="46" t="s">
        <v>636</v>
      </c>
      <c r="C850" s="13">
        <v>45070</v>
      </c>
      <c r="D850" s="15" t="s">
        <v>957</v>
      </c>
      <c r="E850" s="15">
        <v>77</v>
      </c>
      <c r="F850" s="15">
        <v>90</v>
      </c>
      <c r="G850" s="13">
        <v>45147</v>
      </c>
      <c r="H850" s="17">
        <v>3300</v>
      </c>
      <c r="I850" s="19">
        <v>1758.82</v>
      </c>
      <c r="J850" s="20">
        <v>0.53297575757575755</v>
      </c>
      <c r="K850" s="19">
        <v>1758.82</v>
      </c>
      <c r="L850" s="20">
        <v>0.53297575757575755</v>
      </c>
      <c r="M850" s="21">
        <v>0</v>
      </c>
      <c r="N850" s="19">
        <v>0</v>
      </c>
      <c r="O850" s="23">
        <v>660</v>
      </c>
      <c r="P850" s="24">
        <v>15</v>
      </c>
      <c r="Q850" s="25">
        <v>2.2727272727272728E-2</v>
      </c>
      <c r="R850" s="24">
        <v>15</v>
      </c>
      <c r="S850" s="25">
        <v>2.2727272727272728E-2</v>
      </c>
      <c r="T850" s="26">
        <v>0</v>
      </c>
      <c r="U850" s="24">
        <v>0</v>
      </c>
      <c r="V850" s="19">
        <v>3960</v>
      </c>
      <c r="W850" s="19">
        <v>1773.82</v>
      </c>
      <c r="X850" s="21">
        <v>0.44793434343434341</v>
      </c>
      <c r="Y850" s="19">
        <v>1773.82</v>
      </c>
      <c r="Z850" s="20">
        <v>0.44793434343434341</v>
      </c>
      <c r="AA850" s="30">
        <v>0.11379999999999994</v>
      </c>
      <c r="AB850" s="27">
        <v>0.1</v>
      </c>
      <c r="AC850" s="27">
        <v>0.11380000000000001</v>
      </c>
      <c r="AD850" s="11">
        <v>0.11169305102284488</v>
      </c>
    </row>
    <row r="851" spans="1:30" x14ac:dyDescent="0.25">
      <c r="A851" s="13">
        <v>45072</v>
      </c>
      <c r="B851" s="46" t="s">
        <v>636</v>
      </c>
      <c r="C851" s="13">
        <v>45072</v>
      </c>
      <c r="D851" s="15" t="s">
        <v>958</v>
      </c>
      <c r="E851" s="15">
        <v>189</v>
      </c>
      <c r="F851" s="15">
        <v>180</v>
      </c>
      <c r="G851" s="13">
        <v>45261</v>
      </c>
      <c r="H851" s="17">
        <v>4200</v>
      </c>
      <c r="I851" s="19">
        <v>2489.2200000000003</v>
      </c>
      <c r="J851" s="20">
        <v>0.5926714285714284</v>
      </c>
      <c r="K851" s="19">
        <v>2389.2200000000003</v>
      </c>
      <c r="L851" s="20">
        <v>0.56886190476190479</v>
      </c>
      <c r="M851" s="21">
        <v>0</v>
      </c>
      <c r="N851" s="19">
        <v>0</v>
      </c>
      <c r="O851" s="23">
        <v>840</v>
      </c>
      <c r="P851" s="24">
        <v>6.3100000000000005</v>
      </c>
      <c r="Q851" s="25">
        <v>7.5119047619047613E-3</v>
      </c>
      <c r="R851" s="24">
        <v>6.3100000000000005</v>
      </c>
      <c r="S851" s="25">
        <v>7.5119047619047622E-3</v>
      </c>
      <c r="T851" s="26">
        <v>0</v>
      </c>
      <c r="U851" s="24">
        <v>0</v>
      </c>
      <c r="V851" s="19">
        <v>5040</v>
      </c>
      <c r="W851" s="19">
        <v>2495.5300000000002</v>
      </c>
      <c r="X851" s="21">
        <v>0.49514484126984132</v>
      </c>
      <c r="Y851" s="19">
        <v>2395.5300000000002</v>
      </c>
      <c r="Z851" s="20">
        <v>0.47530357142857149</v>
      </c>
      <c r="AA851" s="30">
        <v>0.1109</v>
      </c>
      <c r="AB851" s="27">
        <v>0.1</v>
      </c>
      <c r="AC851" s="27">
        <v>0.1124</v>
      </c>
      <c r="AD851" s="11">
        <v>0.10844603972328679</v>
      </c>
    </row>
    <row r="852" spans="1:30" x14ac:dyDescent="0.25">
      <c r="A852" s="13">
        <v>45075</v>
      </c>
      <c r="B852" s="46" t="s">
        <v>636</v>
      </c>
      <c r="C852" s="13">
        <v>45075</v>
      </c>
      <c r="D852" s="15" t="s">
        <v>959</v>
      </c>
      <c r="E852" s="15">
        <v>35</v>
      </c>
      <c r="F852" s="15">
        <v>30</v>
      </c>
      <c r="G852" s="13">
        <v>45110</v>
      </c>
      <c r="H852" s="17">
        <v>2900</v>
      </c>
      <c r="I852" s="19">
        <v>5830.6200000000017</v>
      </c>
      <c r="J852" s="20">
        <v>2.0105586206896553</v>
      </c>
      <c r="K852" s="19">
        <v>4080.62</v>
      </c>
      <c r="L852" s="20">
        <v>1.4071103448275861</v>
      </c>
      <c r="M852" s="21">
        <v>0</v>
      </c>
      <c r="N852" s="19">
        <v>0</v>
      </c>
      <c r="O852" s="23">
        <v>580</v>
      </c>
      <c r="P852" s="24">
        <v>590.4</v>
      </c>
      <c r="Q852" s="25">
        <v>1.0179310344827586</v>
      </c>
      <c r="R852" s="24">
        <v>580</v>
      </c>
      <c r="S852" s="25">
        <v>1</v>
      </c>
      <c r="T852" s="26">
        <v>0.98238749999999997</v>
      </c>
      <c r="U852" s="24">
        <v>0</v>
      </c>
      <c r="V852" s="19">
        <v>3480</v>
      </c>
      <c r="W852" s="19">
        <v>6421.0200000000013</v>
      </c>
      <c r="X852" s="21">
        <v>1.8451206896551728</v>
      </c>
      <c r="Y852" s="19">
        <v>4660.62</v>
      </c>
      <c r="Z852" s="20">
        <v>1.3392586206896551</v>
      </c>
      <c r="AA852" s="30">
        <v>0.11240000000000004</v>
      </c>
      <c r="AB852" s="27">
        <v>9.5000000000000001E-2</v>
      </c>
      <c r="AC852" s="27">
        <v>0.11630000000000001</v>
      </c>
      <c r="AD852" s="11">
        <v>0.11084011082869404</v>
      </c>
    </row>
    <row r="853" spans="1:30" x14ac:dyDescent="0.25">
      <c r="A853" s="13">
        <v>45076</v>
      </c>
      <c r="B853" s="46" t="s">
        <v>636</v>
      </c>
      <c r="C853" s="13">
        <v>45077</v>
      </c>
      <c r="D853" s="15" t="s">
        <v>960</v>
      </c>
      <c r="E853" s="15">
        <v>700</v>
      </c>
      <c r="F853" s="15">
        <v>720</v>
      </c>
      <c r="G853" s="13">
        <v>45777</v>
      </c>
      <c r="H853" s="17">
        <v>2900</v>
      </c>
      <c r="I853" s="19">
        <v>4738.9799999999996</v>
      </c>
      <c r="J853" s="20">
        <v>1.6341310344827584</v>
      </c>
      <c r="K853" s="19">
        <v>3162.6800000000003</v>
      </c>
      <c r="L853" s="20">
        <v>1.0905793103448276</v>
      </c>
      <c r="M853" s="21">
        <v>0</v>
      </c>
      <c r="N853" s="19">
        <v>0</v>
      </c>
      <c r="O853" s="23">
        <v>580</v>
      </c>
      <c r="P853" s="24">
        <v>1160</v>
      </c>
      <c r="Q853" s="25">
        <v>2</v>
      </c>
      <c r="R853" s="24">
        <v>580</v>
      </c>
      <c r="S853" s="25">
        <v>1</v>
      </c>
      <c r="T853" s="26">
        <v>0.5</v>
      </c>
      <c r="U853" s="24">
        <v>0</v>
      </c>
      <c r="V853" s="19">
        <v>3480</v>
      </c>
      <c r="W853" s="19">
        <v>5898.98</v>
      </c>
      <c r="X853" s="21">
        <v>1.6951091954022988</v>
      </c>
      <c r="Y853" s="19">
        <v>3742.6800000000003</v>
      </c>
      <c r="Z853" s="20">
        <v>1.0754827586206896</v>
      </c>
      <c r="AA853" s="30">
        <v>0.10869999999999996</v>
      </c>
      <c r="AB853" s="27">
        <v>0.1</v>
      </c>
      <c r="AC853" s="27">
        <v>0.11</v>
      </c>
      <c r="AD853" s="11">
        <v>0.1084983625168285</v>
      </c>
    </row>
    <row r="854" spans="1:30" x14ac:dyDescent="0.25">
      <c r="A854" s="13">
        <v>45077</v>
      </c>
      <c r="B854" s="46" t="s">
        <v>636</v>
      </c>
      <c r="C854" s="13">
        <v>45077</v>
      </c>
      <c r="D854" s="15" t="s">
        <v>961</v>
      </c>
      <c r="E854" s="15">
        <v>98</v>
      </c>
      <c r="F854" s="15">
        <v>90</v>
      </c>
      <c r="G854" s="13">
        <v>45175</v>
      </c>
      <c r="H854" s="17">
        <v>2500</v>
      </c>
      <c r="I854" s="19">
        <v>3533.6700000000005</v>
      </c>
      <c r="J854" s="20">
        <v>1.4134680000000004</v>
      </c>
      <c r="K854" s="19">
        <v>2977.67</v>
      </c>
      <c r="L854" s="20">
        <v>1.191068</v>
      </c>
      <c r="M854" s="21">
        <v>0</v>
      </c>
      <c r="N854" s="19">
        <v>0</v>
      </c>
      <c r="O854" s="23">
        <v>500</v>
      </c>
      <c r="P854" s="24">
        <v>0</v>
      </c>
      <c r="Q854" s="25">
        <v>0</v>
      </c>
      <c r="R854" s="24">
        <v>0</v>
      </c>
      <c r="S854" s="25">
        <v>0</v>
      </c>
      <c r="T854" s="26">
        <v>0</v>
      </c>
      <c r="U854" s="24">
        <v>0</v>
      </c>
      <c r="V854" s="19">
        <v>3000</v>
      </c>
      <c r="W854" s="19">
        <v>3533.6700000000005</v>
      </c>
      <c r="X854" s="21">
        <v>1.1778900000000001</v>
      </c>
      <c r="Y854" s="19">
        <v>2977.67</v>
      </c>
      <c r="Z854" s="20">
        <v>0.99255666666666664</v>
      </c>
      <c r="AA854" s="30">
        <v>0.11300000000000017</v>
      </c>
      <c r="AB854" s="27">
        <v>0.1</v>
      </c>
      <c r="AC854" s="27">
        <v>0.114</v>
      </c>
      <c r="AD854" s="11">
        <v>0.11021632806685397</v>
      </c>
    </row>
    <row r="855" spans="1:30" x14ac:dyDescent="0.25">
      <c r="A855" s="13">
        <v>45078</v>
      </c>
      <c r="B855" s="46" t="s">
        <v>636</v>
      </c>
      <c r="C855" s="13">
        <v>45079</v>
      </c>
      <c r="D855" s="15" t="s">
        <v>962</v>
      </c>
      <c r="E855" s="15">
        <v>364</v>
      </c>
      <c r="F855" s="15">
        <v>360</v>
      </c>
      <c r="G855" s="13">
        <v>45443</v>
      </c>
      <c r="H855" s="17">
        <v>6300</v>
      </c>
      <c r="I855" s="19">
        <v>5640.64</v>
      </c>
      <c r="J855" s="20">
        <v>0.8953396825396821</v>
      </c>
      <c r="K855" s="19">
        <v>5640.64</v>
      </c>
      <c r="L855" s="20">
        <v>0.89533968253968255</v>
      </c>
      <c r="M855" s="21">
        <v>0</v>
      </c>
      <c r="N855" s="19">
        <v>0</v>
      </c>
      <c r="O855" s="23">
        <v>1260</v>
      </c>
      <c r="P855" s="24">
        <v>1482.5</v>
      </c>
      <c r="Q855" s="25">
        <v>1.1765873015873016</v>
      </c>
      <c r="R855" s="24">
        <v>1128.1279999999999</v>
      </c>
      <c r="S855" s="25">
        <v>0.89533968253968244</v>
      </c>
      <c r="T855" s="26">
        <v>0.760965</v>
      </c>
      <c r="U855" s="24">
        <v>0</v>
      </c>
      <c r="V855" s="19">
        <v>7560</v>
      </c>
      <c r="W855" s="19">
        <v>7123.14</v>
      </c>
      <c r="X855" s="21">
        <v>0.94221428571428578</v>
      </c>
      <c r="Y855" s="19">
        <v>6768.768</v>
      </c>
      <c r="Z855" s="20">
        <v>0.89533968253968255</v>
      </c>
      <c r="AA855" s="30">
        <v>0.11140000000000007</v>
      </c>
      <c r="AB855" s="27">
        <v>0.1</v>
      </c>
      <c r="AC855" s="27">
        <v>0.1114</v>
      </c>
      <c r="AD855" s="11">
        <v>0.10944535673256935</v>
      </c>
    </row>
    <row r="856" spans="1:30" x14ac:dyDescent="0.25">
      <c r="A856" s="13">
        <v>45082</v>
      </c>
      <c r="B856" s="46" t="s">
        <v>636</v>
      </c>
      <c r="C856" s="13">
        <v>45082</v>
      </c>
      <c r="D856" s="15" t="s">
        <v>963</v>
      </c>
      <c r="E856" s="15">
        <v>28</v>
      </c>
      <c r="F856" s="15">
        <v>30</v>
      </c>
      <c r="G856" s="13">
        <v>45110</v>
      </c>
      <c r="H856" s="17">
        <v>4000</v>
      </c>
      <c r="I856" s="19">
        <v>7526.5</v>
      </c>
      <c r="J856" s="20">
        <v>1.8816249999999997</v>
      </c>
      <c r="K856" s="19">
        <v>4976.5</v>
      </c>
      <c r="L856" s="20">
        <v>1.2441249999999999</v>
      </c>
      <c r="M856" s="21">
        <v>0</v>
      </c>
      <c r="N856" s="19">
        <v>0</v>
      </c>
      <c r="O856" s="23">
        <v>800</v>
      </c>
      <c r="P856" s="24">
        <v>653.97</v>
      </c>
      <c r="Q856" s="25">
        <v>0.81746249999999998</v>
      </c>
      <c r="R856" s="24">
        <v>653.97</v>
      </c>
      <c r="S856" s="25">
        <v>0.81746249999999998</v>
      </c>
      <c r="T856" s="26">
        <v>0</v>
      </c>
      <c r="U856" s="24">
        <v>0</v>
      </c>
      <c r="V856" s="19">
        <v>4800</v>
      </c>
      <c r="W856" s="19">
        <v>8180.47</v>
      </c>
      <c r="X856" s="21">
        <v>1.7042645833333334</v>
      </c>
      <c r="Y856" s="19">
        <v>5630.47</v>
      </c>
      <c r="Z856" s="20">
        <v>1.1730145833333334</v>
      </c>
      <c r="AA856" s="30">
        <v>0.11220000000000005</v>
      </c>
      <c r="AB856" s="27">
        <v>0.1</v>
      </c>
      <c r="AC856" s="27">
        <v>0.115</v>
      </c>
      <c r="AD856" s="11">
        <v>0.1111608496645187</v>
      </c>
    </row>
    <row r="857" spans="1:30" x14ac:dyDescent="0.25">
      <c r="A857" s="13">
        <v>45084</v>
      </c>
      <c r="B857" s="46" t="s">
        <v>636</v>
      </c>
      <c r="C857" s="13">
        <v>45084</v>
      </c>
      <c r="D857" s="15" t="s">
        <v>964</v>
      </c>
      <c r="E857" s="15">
        <v>91</v>
      </c>
      <c r="F857" s="15">
        <v>90</v>
      </c>
      <c r="G857" s="13">
        <v>45175</v>
      </c>
      <c r="H857" s="17">
        <v>3000</v>
      </c>
      <c r="I857" s="19">
        <v>6455.65</v>
      </c>
      <c r="J857" s="20">
        <v>2.1518833333333336</v>
      </c>
      <c r="K857" s="19">
        <v>3000</v>
      </c>
      <c r="L857" s="20">
        <v>1</v>
      </c>
      <c r="M857" s="21">
        <v>0.62175000000000002</v>
      </c>
      <c r="N857" s="19">
        <v>0</v>
      </c>
      <c r="O857" s="23">
        <v>600</v>
      </c>
      <c r="P857" s="24">
        <v>527.91</v>
      </c>
      <c r="Q857" s="25">
        <v>0.87984999999999991</v>
      </c>
      <c r="R857" s="24">
        <v>527.91</v>
      </c>
      <c r="S857" s="25">
        <v>0.87984999999999991</v>
      </c>
      <c r="T857" s="26">
        <v>0</v>
      </c>
      <c r="U857" s="24">
        <v>0</v>
      </c>
      <c r="V857" s="19">
        <v>3600</v>
      </c>
      <c r="W857" s="19">
        <v>6983.5599999999995</v>
      </c>
      <c r="X857" s="21">
        <v>1.9398777777777776</v>
      </c>
      <c r="Y857" s="19">
        <v>3527.91</v>
      </c>
      <c r="Z857" s="20">
        <v>0.97997499999999993</v>
      </c>
      <c r="AA857" s="30">
        <v>0.11209999999999996</v>
      </c>
      <c r="AB857" s="27">
        <v>0.105</v>
      </c>
      <c r="AC857" s="27">
        <v>0.114</v>
      </c>
      <c r="AD857" s="11">
        <v>0.11134068327743918</v>
      </c>
    </row>
    <row r="858" spans="1:30" x14ac:dyDescent="0.25">
      <c r="A858" s="13">
        <v>45086</v>
      </c>
      <c r="B858" s="46" t="s">
        <v>636</v>
      </c>
      <c r="C858" s="13">
        <v>45086</v>
      </c>
      <c r="D858" s="15" t="s">
        <v>965</v>
      </c>
      <c r="E858" s="15">
        <v>175</v>
      </c>
      <c r="F858" s="15">
        <v>180</v>
      </c>
      <c r="G858" s="13">
        <v>45261</v>
      </c>
      <c r="H858" s="17">
        <v>5000</v>
      </c>
      <c r="I858" s="19">
        <v>7889.7</v>
      </c>
      <c r="J858" s="20">
        <v>1.5779400000000001</v>
      </c>
      <c r="K858" s="19">
        <v>6089.7000000000007</v>
      </c>
      <c r="L858" s="20">
        <v>1.2179400000000002</v>
      </c>
      <c r="M858" s="21">
        <v>0</v>
      </c>
      <c r="N858" s="19">
        <v>0</v>
      </c>
      <c r="O858" s="23">
        <v>1000</v>
      </c>
      <c r="P858" s="24">
        <v>1103.6400000000001</v>
      </c>
      <c r="Q858" s="25">
        <v>1.10364</v>
      </c>
      <c r="R858" s="24">
        <v>1000</v>
      </c>
      <c r="S858" s="25">
        <v>1</v>
      </c>
      <c r="T858" s="26">
        <v>0.90609259999999991</v>
      </c>
      <c r="U858" s="24">
        <v>0</v>
      </c>
      <c r="V858" s="19">
        <v>6000</v>
      </c>
      <c r="W858" s="19">
        <v>8993.34</v>
      </c>
      <c r="X858" s="21">
        <v>1.4988900000000001</v>
      </c>
      <c r="Y858" s="19">
        <v>7089.7000000000007</v>
      </c>
      <c r="Z858" s="20">
        <v>1.1816166666666668</v>
      </c>
      <c r="AA858" s="30">
        <v>0.11000000000000007</v>
      </c>
      <c r="AB858" s="27">
        <v>0.1</v>
      </c>
      <c r="AC858" s="27">
        <v>0.11230000000000001</v>
      </c>
      <c r="AD858" s="11">
        <v>0.10908395908589681</v>
      </c>
    </row>
    <row r="859" spans="1:30" x14ac:dyDescent="0.25">
      <c r="A859" s="13">
        <v>45089</v>
      </c>
      <c r="B859" s="46" t="s">
        <v>636</v>
      </c>
      <c r="C859" s="13">
        <v>45089</v>
      </c>
      <c r="D859" s="15" t="s">
        <v>966</v>
      </c>
      <c r="E859" s="15">
        <v>28</v>
      </c>
      <c r="F859" s="15">
        <v>30</v>
      </c>
      <c r="G859" s="13">
        <v>45117</v>
      </c>
      <c r="H859" s="17">
        <v>5800</v>
      </c>
      <c r="I859" s="19">
        <v>9608.4599999999991</v>
      </c>
      <c r="J859" s="20">
        <v>1.6566310344827584</v>
      </c>
      <c r="K859" s="19">
        <v>7358.46</v>
      </c>
      <c r="L859" s="20">
        <v>1.2686999999999999</v>
      </c>
      <c r="M859" s="21">
        <v>0</v>
      </c>
      <c r="N859" s="19">
        <v>0</v>
      </c>
      <c r="O859" s="23">
        <v>1160</v>
      </c>
      <c r="P859" s="24">
        <v>1445</v>
      </c>
      <c r="Q859" s="25">
        <v>1.2456896551724137</v>
      </c>
      <c r="R859" s="24">
        <v>1160</v>
      </c>
      <c r="S859" s="25">
        <v>1</v>
      </c>
      <c r="T859" s="26">
        <v>0.80276859504132236</v>
      </c>
      <c r="U859" s="24">
        <v>0</v>
      </c>
      <c r="V859" s="19">
        <v>6960</v>
      </c>
      <c r="W859" s="19">
        <v>11053.46</v>
      </c>
      <c r="X859" s="21">
        <v>1.588140804597701</v>
      </c>
      <c r="Y859" s="19">
        <v>8518.4599999999991</v>
      </c>
      <c r="Z859" s="20">
        <v>1.2239166666666665</v>
      </c>
      <c r="AA859" s="30">
        <v>0.11160000000000006</v>
      </c>
      <c r="AB859" s="27">
        <v>0.1</v>
      </c>
      <c r="AC859" s="27">
        <v>0.1144</v>
      </c>
      <c r="AD859" s="11">
        <v>0.11015968989827718</v>
      </c>
    </row>
    <row r="860" spans="1:30" x14ac:dyDescent="0.25">
      <c r="A860" s="13">
        <v>45091</v>
      </c>
      <c r="B860" s="46" t="s">
        <v>636</v>
      </c>
      <c r="C860" s="13">
        <v>45091</v>
      </c>
      <c r="D860" s="15" t="s">
        <v>967</v>
      </c>
      <c r="E860" s="15">
        <v>84</v>
      </c>
      <c r="F860" s="15">
        <v>90</v>
      </c>
      <c r="G860" s="13">
        <v>45175</v>
      </c>
      <c r="H860" s="17">
        <v>4000</v>
      </c>
      <c r="I860" s="19">
        <v>7079.63</v>
      </c>
      <c r="J860" s="20">
        <v>1.7699074999999995</v>
      </c>
      <c r="K860" s="19">
        <v>5479.630000000001</v>
      </c>
      <c r="L860" s="20">
        <v>1.3699075000000003</v>
      </c>
      <c r="M860" s="21">
        <v>0</v>
      </c>
      <c r="N860" s="19">
        <v>0</v>
      </c>
      <c r="O860" s="23">
        <v>800</v>
      </c>
      <c r="P860" s="24">
        <v>617.64</v>
      </c>
      <c r="Q860" s="25">
        <v>0.7720499999999999</v>
      </c>
      <c r="R860" s="24">
        <v>617.64</v>
      </c>
      <c r="S860" s="25">
        <v>0.77205000000000001</v>
      </c>
      <c r="T860" s="26">
        <v>0</v>
      </c>
      <c r="U860" s="24">
        <v>0</v>
      </c>
      <c r="V860" s="19">
        <v>4800</v>
      </c>
      <c r="W860" s="19">
        <v>7697.27</v>
      </c>
      <c r="X860" s="21">
        <v>1.6035979166666667</v>
      </c>
      <c r="Y860" s="19">
        <v>6097.2700000000013</v>
      </c>
      <c r="Z860" s="20">
        <v>1.2702645833333337</v>
      </c>
      <c r="AA860" s="30">
        <v>0.11150000000000004</v>
      </c>
      <c r="AB860" s="27">
        <v>4.7500000000000001E-2</v>
      </c>
      <c r="AC860" s="27">
        <v>0.1148</v>
      </c>
      <c r="AD860" s="11">
        <v>0.10912518408447899</v>
      </c>
    </row>
    <row r="861" spans="1:30" x14ac:dyDescent="0.25">
      <c r="A861" s="13">
        <v>45092</v>
      </c>
      <c r="B861" s="46" t="s">
        <v>636</v>
      </c>
      <c r="C861" s="13">
        <v>45093</v>
      </c>
      <c r="D861" s="15" t="s">
        <v>968</v>
      </c>
      <c r="E861" s="15">
        <v>350</v>
      </c>
      <c r="F861" s="15">
        <v>360</v>
      </c>
      <c r="G861" s="13">
        <v>45443</v>
      </c>
      <c r="H861" s="17">
        <v>5800</v>
      </c>
      <c r="I861" s="19">
        <v>13380.939999999999</v>
      </c>
      <c r="J861" s="20">
        <v>2.3070586206896553</v>
      </c>
      <c r="K861" s="19">
        <v>6015.06</v>
      </c>
      <c r="L861" s="20">
        <v>1.0370793103448277</v>
      </c>
      <c r="M861" s="21">
        <v>0</v>
      </c>
      <c r="N861" s="19">
        <v>0</v>
      </c>
      <c r="O861" s="23">
        <v>1160</v>
      </c>
      <c r="P861" s="24">
        <v>1662.12</v>
      </c>
      <c r="Q861" s="25">
        <v>1.4328620689655174</v>
      </c>
      <c r="R861" s="24">
        <v>1160</v>
      </c>
      <c r="S861" s="25">
        <v>1</v>
      </c>
      <c r="T861" s="26">
        <v>0.69790388751692822</v>
      </c>
      <c r="U861" s="24">
        <v>0</v>
      </c>
      <c r="V861" s="19">
        <v>6960</v>
      </c>
      <c r="W861" s="19">
        <v>15043.059999999998</v>
      </c>
      <c r="X861" s="21">
        <v>2.1613591954022984</v>
      </c>
      <c r="Y861" s="19">
        <v>7175.06</v>
      </c>
      <c r="Z861" s="20">
        <v>1.0308994252873565</v>
      </c>
      <c r="AA861" s="30">
        <v>0.10839999999999989</v>
      </c>
      <c r="AB861" s="27">
        <v>0.1</v>
      </c>
      <c r="AC861" s="27">
        <v>0.1149</v>
      </c>
      <c r="AD861" s="11">
        <v>0.10842845607259284</v>
      </c>
    </row>
    <row r="862" spans="1:30" x14ac:dyDescent="0.25">
      <c r="A862" s="13">
        <v>45097</v>
      </c>
      <c r="B862" s="46" t="s">
        <v>636</v>
      </c>
      <c r="C862" s="13">
        <v>45097</v>
      </c>
      <c r="D862" s="15" t="s">
        <v>969</v>
      </c>
      <c r="E862" s="15">
        <v>29</v>
      </c>
      <c r="F862" s="15">
        <v>30</v>
      </c>
      <c r="G862" s="13">
        <v>45126</v>
      </c>
      <c r="H862" s="17">
        <v>5800</v>
      </c>
      <c r="I862" s="19">
        <v>8869.09</v>
      </c>
      <c r="J862" s="20">
        <v>1.5291534482758622</v>
      </c>
      <c r="K862" s="19">
        <v>6669.09</v>
      </c>
      <c r="L862" s="20">
        <v>1.1498431034482759</v>
      </c>
      <c r="M862" s="21">
        <v>0</v>
      </c>
      <c r="N862" s="19">
        <v>0</v>
      </c>
      <c r="O862" s="23">
        <v>1160</v>
      </c>
      <c r="P862" s="24">
        <v>1540.03</v>
      </c>
      <c r="Q862" s="25">
        <v>1.3276120689655173</v>
      </c>
      <c r="R862" s="24">
        <v>1160</v>
      </c>
      <c r="S862" s="25">
        <v>1</v>
      </c>
      <c r="T862" s="26">
        <v>0.75323224489795915</v>
      </c>
      <c r="U862" s="24">
        <v>0</v>
      </c>
      <c r="V862" s="19">
        <v>6960</v>
      </c>
      <c r="W862" s="19">
        <v>10409.120000000001</v>
      </c>
      <c r="X862" s="21">
        <v>1.4955632183908047</v>
      </c>
      <c r="Y862" s="19">
        <v>7829.09</v>
      </c>
      <c r="Z862" s="20">
        <v>1.1248692528735633</v>
      </c>
      <c r="AA862" s="30">
        <v>0.11140000000000007</v>
      </c>
      <c r="AB862" s="27">
        <v>0.1</v>
      </c>
      <c r="AC862" s="27">
        <v>0.1148</v>
      </c>
      <c r="AD862" s="11">
        <v>0.11058533130230949</v>
      </c>
    </row>
    <row r="863" spans="1:30" x14ac:dyDescent="0.25">
      <c r="A863" s="13">
        <v>45098</v>
      </c>
      <c r="B863" s="46" t="s">
        <v>636</v>
      </c>
      <c r="C863" s="13">
        <v>45098</v>
      </c>
      <c r="D863" s="15" t="s">
        <v>970</v>
      </c>
      <c r="E863" s="15">
        <v>86</v>
      </c>
      <c r="F863" s="15">
        <v>90</v>
      </c>
      <c r="G863" s="13">
        <v>45184</v>
      </c>
      <c r="H863" s="17">
        <v>4200</v>
      </c>
      <c r="I863" s="19">
        <v>2470.19</v>
      </c>
      <c r="J863" s="20">
        <v>0.58814047619047605</v>
      </c>
      <c r="K863" s="19">
        <v>1830.19</v>
      </c>
      <c r="L863" s="20">
        <v>0.43575952380952382</v>
      </c>
      <c r="M863" s="21">
        <v>0</v>
      </c>
      <c r="N863" s="19">
        <v>0</v>
      </c>
      <c r="O863" s="23">
        <v>840</v>
      </c>
      <c r="P863" s="24">
        <v>106.73</v>
      </c>
      <c r="Q863" s="25">
        <v>0.12705952380952382</v>
      </c>
      <c r="R863" s="24">
        <v>106.73</v>
      </c>
      <c r="S863" s="25">
        <v>0.12705952380952382</v>
      </c>
      <c r="T863" s="26">
        <v>0</v>
      </c>
      <c r="U863" s="24">
        <v>0</v>
      </c>
      <c r="V863" s="19">
        <v>5040</v>
      </c>
      <c r="W863" s="19">
        <v>2576.92</v>
      </c>
      <c r="X863" s="21">
        <v>0.51129365079365086</v>
      </c>
      <c r="Y863" s="19">
        <v>1936.92</v>
      </c>
      <c r="Z863" s="20">
        <v>0.38430952380952382</v>
      </c>
      <c r="AA863" s="30">
        <v>0.11050000000000003</v>
      </c>
      <c r="AB863" s="27">
        <v>0.1</v>
      </c>
      <c r="AC863" s="27">
        <v>0.11289999999999999</v>
      </c>
      <c r="AD863" s="11">
        <v>0.10778123423704249</v>
      </c>
    </row>
    <row r="864" spans="1:30" x14ac:dyDescent="0.25">
      <c r="A864" s="13">
        <v>45100</v>
      </c>
      <c r="B864" s="46" t="s">
        <v>636</v>
      </c>
      <c r="C864" s="13">
        <v>45100</v>
      </c>
      <c r="D864" s="15" t="s">
        <v>971</v>
      </c>
      <c r="E864" s="15">
        <v>182</v>
      </c>
      <c r="F864" s="15">
        <v>180</v>
      </c>
      <c r="G864" s="13">
        <v>45282</v>
      </c>
      <c r="H864" s="17">
        <v>4200</v>
      </c>
      <c r="I864" s="19">
        <v>4120.1499999999996</v>
      </c>
      <c r="J864" s="20">
        <v>0.98098809523809538</v>
      </c>
      <c r="K864" s="19">
        <v>1846.1</v>
      </c>
      <c r="L864" s="20">
        <v>0.43954761904761902</v>
      </c>
      <c r="M864" s="21">
        <v>0</v>
      </c>
      <c r="N864" s="19">
        <v>0</v>
      </c>
      <c r="O864" s="23">
        <v>840</v>
      </c>
      <c r="P864" s="24">
        <v>86.22</v>
      </c>
      <c r="Q864" s="25">
        <v>0.10264285714285715</v>
      </c>
      <c r="R864" s="24">
        <v>86.22</v>
      </c>
      <c r="S864" s="25">
        <v>0.10264285714285715</v>
      </c>
      <c r="T864" s="26">
        <v>0</v>
      </c>
      <c r="U864" s="24">
        <v>0</v>
      </c>
      <c r="V864" s="19">
        <v>5040</v>
      </c>
      <c r="W864" s="19">
        <v>4206.37</v>
      </c>
      <c r="X864" s="21">
        <v>0.83459722222222221</v>
      </c>
      <c r="Y864" s="19">
        <v>1932.32</v>
      </c>
      <c r="Z864" s="20">
        <v>0.3833968253968254</v>
      </c>
      <c r="AA864" s="30">
        <v>0.10840000000000002</v>
      </c>
      <c r="AB864" s="27">
        <v>9.9900000000000003E-2</v>
      </c>
      <c r="AC864" s="27">
        <v>0.114</v>
      </c>
      <c r="AD864" s="11">
        <v>0.10836644539640546</v>
      </c>
    </row>
    <row r="865" spans="1:30" x14ac:dyDescent="0.25">
      <c r="A865" s="13">
        <v>45103</v>
      </c>
      <c r="B865" s="46" t="s">
        <v>636</v>
      </c>
      <c r="C865" s="13">
        <v>45103</v>
      </c>
      <c r="D865" s="15" t="s">
        <v>972</v>
      </c>
      <c r="E865" s="15">
        <v>35</v>
      </c>
      <c r="F865" s="15">
        <v>30</v>
      </c>
      <c r="G865" s="13">
        <v>45138</v>
      </c>
      <c r="H865" s="17">
        <v>4200</v>
      </c>
      <c r="I865" s="19">
        <v>4239.21</v>
      </c>
      <c r="J865" s="20">
        <v>1.0093357142857142</v>
      </c>
      <c r="K865" s="19">
        <v>4177.21</v>
      </c>
      <c r="L865" s="20">
        <v>0.99457380952380958</v>
      </c>
      <c r="M865" s="21">
        <v>0</v>
      </c>
      <c r="N865" s="19">
        <v>0</v>
      </c>
      <c r="O865" s="23">
        <v>840</v>
      </c>
      <c r="P865" s="24">
        <v>313.41999999999996</v>
      </c>
      <c r="Q865" s="25">
        <v>0.37311904761904763</v>
      </c>
      <c r="R865" s="24">
        <v>313.41999999999996</v>
      </c>
      <c r="S865" s="25">
        <v>0.37311904761904757</v>
      </c>
      <c r="T865" s="26">
        <v>0</v>
      </c>
      <c r="U865" s="24">
        <v>0</v>
      </c>
      <c r="V865" s="19">
        <v>5040</v>
      </c>
      <c r="W865" s="19">
        <v>4552.63</v>
      </c>
      <c r="X865" s="21">
        <v>0.90329960317460323</v>
      </c>
      <c r="Y865" s="19">
        <v>4490.63</v>
      </c>
      <c r="Z865" s="20">
        <v>0.89099801587301586</v>
      </c>
      <c r="AA865" s="30">
        <v>0.11079999999999998</v>
      </c>
      <c r="AB865" s="27">
        <v>9.5000000000000001E-2</v>
      </c>
      <c r="AC865" s="27">
        <v>0.11119999999999999</v>
      </c>
      <c r="AD865" s="11">
        <v>0.10890249386088446</v>
      </c>
    </row>
    <row r="866" spans="1:30" x14ac:dyDescent="0.25">
      <c r="A866" s="13">
        <v>45104</v>
      </c>
      <c r="B866" s="46" t="s">
        <v>636</v>
      </c>
      <c r="C866" s="13">
        <v>45105</v>
      </c>
      <c r="D866" s="15" t="s">
        <v>973</v>
      </c>
      <c r="E866" s="15">
        <v>728</v>
      </c>
      <c r="F866" s="15">
        <v>720</v>
      </c>
      <c r="G866" s="13">
        <v>45833</v>
      </c>
      <c r="H866" s="17">
        <v>3000</v>
      </c>
      <c r="I866" s="19">
        <v>5777.38</v>
      </c>
      <c r="J866" s="20">
        <v>1.9257933333333339</v>
      </c>
      <c r="K866" s="19">
        <v>3018.9800000000005</v>
      </c>
      <c r="L866" s="20">
        <v>1.0063266666666668</v>
      </c>
      <c r="M866" s="21">
        <v>0</v>
      </c>
      <c r="N866" s="19">
        <v>0</v>
      </c>
      <c r="O866" s="23">
        <v>600</v>
      </c>
      <c r="P866" s="24">
        <v>655.29999999999995</v>
      </c>
      <c r="Q866" s="25">
        <v>1.0921666666666667</v>
      </c>
      <c r="R866" s="24">
        <v>600</v>
      </c>
      <c r="S866" s="25">
        <v>1</v>
      </c>
      <c r="T866" s="26">
        <v>0.91561121157323688</v>
      </c>
      <c r="U866" s="24">
        <v>0</v>
      </c>
      <c r="V866" s="19">
        <v>3600</v>
      </c>
      <c r="W866" s="19">
        <v>6432.68</v>
      </c>
      <c r="X866" s="21">
        <v>1.7868555555555556</v>
      </c>
      <c r="Y866" s="19">
        <v>3618.9800000000005</v>
      </c>
      <c r="Z866" s="20">
        <v>1.0052722222222223</v>
      </c>
      <c r="AA866" s="30">
        <v>0.10559999999999994</v>
      </c>
      <c r="AB866" s="27">
        <v>0.09</v>
      </c>
      <c r="AC866" s="27">
        <v>0.10859999999999999</v>
      </c>
      <c r="AD866" s="11">
        <v>0.10578145387701694</v>
      </c>
    </row>
    <row r="867" spans="1:30" x14ac:dyDescent="0.25">
      <c r="A867" s="13">
        <v>45105</v>
      </c>
      <c r="B867" s="46" t="s">
        <v>636</v>
      </c>
      <c r="C867" s="13">
        <v>45105</v>
      </c>
      <c r="D867" s="15" t="s">
        <v>974</v>
      </c>
      <c r="E867" s="15">
        <v>91</v>
      </c>
      <c r="F867" s="15">
        <v>90</v>
      </c>
      <c r="G867" s="13">
        <v>45196</v>
      </c>
      <c r="H867" s="17">
        <v>3300</v>
      </c>
      <c r="I867" s="19">
        <v>987.20999999999992</v>
      </c>
      <c r="J867" s="20">
        <v>0.29915454545454545</v>
      </c>
      <c r="K867" s="19">
        <v>987.20999999999992</v>
      </c>
      <c r="L867" s="20">
        <v>0.29915454545454545</v>
      </c>
      <c r="M867" s="21">
        <v>0</v>
      </c>
      <c r="N867" s="19">
        <v>0</v>
      </c>
      <c r="O867" s="23">
        <v>660</v>
      </c>
      <c r="P867" s="24">
        <v>126.53</v>
      </c>
      <c r="Q867" s="25">
        <v>0.19171212121212122</v>
      </c>
      <c r="R867" s="24">
        <v>126.53</v>
      </c>
      <c r="S867" s="25">
        <v>0.19171212121212122</v>
      </c>
      <c r="T867" s="26">
        <v>0</v>
      </c>
      <c r="U867" s="24">
        <v>0</v>
      </c>
      <c r="V867" s="19">
        <v>3960</v>
      </c>
      <c r="W867" s="19">
        <v>1113.74</v>
      </c>
      <c r="X867" s="21">
        <v>0.28124747474747475</v>
      </c>
      <c r="Y867" s="19">
        <v>1113.74</v>
      </c>
      <c r="Z867" s="20">
        <v>0.28124747474747475</v>
      </c>
      <c r="AA867" s="30">
        <v>0.11040000000000004</v>
      </c>
      <c r="AB867" s="27">
        <v>9.5000000000000001E-2</v>
      </c>
      <c r="AC867" s="27">
        <v>0.1104</v>
      </c>
      <c r="AD867" s="11">
        <v>0.10760537271705108</v>
      </c>
    </row>
    <row r="868" spans="1:30" x14ac:dyDescent="0.25">
      <c r="A868" s="13">
        <v>45106</v>
      </c>
      <c r="B868" s="46" t="s">
        <v>636</v>
      </c>
      <c r="C868" s="13">
        <v>45107</v>
      </c>
      <c r="D868" s="15" t="s">
        <v>975</v>
      </c>
      <c r="E868" s="15">
        <v>371</v>
      </c>
      <c r="F868" s="15">
        <v>360</v>
      </c>
      <c r="G868" s="13">
        <v>45478</v>
      </c>
      <c r="H868" s="17">
        <v>7000</v>
      </c>
      <c r="I868" s="19">
        <v>7378.26</v>
      </c>
      <c r="J868" s="20">
        <v>1.0540371428571429</v>
      </c>
      <c r="K868" s="19">
        <v>6971.3899999999994</v>
      </c>
      <c r="L868" s="20">
        <v>0.99591285714285704</v>
      </c>
      <c r="M868" s="21">
        <v>0</v>
      </c>
      <c r="N868" s="19">
        <v>0</v>
      </c>
      <c r="O868" s="23">
        <v>1400</v>
      </c>
      <c r="P868" s="24">
        <v>1434.08</v>
      </c>
      <c r="Q868" s="25">
        <v>1.0243428571428572</v>
      </c>
      <c r="R868" s="24">
        <v>1394.278</v>
      </c>
      <c r="S868" s="25">
        <v>0.99591285714285716</v>
      </c>
      <c r="T868" s="26">
        <v>0.97224564285714288</v>
      </c>
      <c r="U868" s="24">
        <v>0</v>
      </c>
      <c r="V868" s="19">
        <v>8400</v>
      </c>
      <c r="W868" s="19">
        <v>8812.34</v>
      </c>
      <c r="X868" s="21">
        <v>1.0490880952380952</v>
      </c>
      <c r="Y868" s="19">
        <v>8365.6679999999997</v>
      </c>
      <c r="Z868" s="20">
        <v>0.99591285714285716</v>
      </c>
      <c r="AA868" s="30">
        <v>0.10820000000000005</v>
      </c>
      <c r="AB868" s="27">
        <v>9.8000000000000004E-2</v>
      </c>
      <c r="AC868" s="27">
        <v>0.11</v>
      </c>
      <c r="AD868" s="11">
        <v>0.10538027502419268</v>
      </c>
    </row>
    <row r="869" spans="1:30" x14ac:dyDescent="0.25">
      <c r="A869" s="13">
        <v>45110</v>
      </c>
      <c r="B869" s="46" t="s">
        <v>636</v>
      </c>
      <c r="C869" s="13">
        <v>45110</v>
      </c>
      <c r="D869" s="15" t="s">
        <v>976</v>
      </c>
      <c r="E869" s="15">
        <v>28</v>
      </c>
      <c r="F869" s="15">
        <v>30</v>
      </c>
      <c r="G869" s="13">
        <v>45138</v>
      </c>
      <c r="H869" s="17">
        <v>5800</v>
      </c>
      <c r="I869" s="19">
        <v>6444.91</v>
      </c>
      <c r="J869" s="20">
        <v>1.111191379310345</v>
      </c>
      <c r="K869" s="19">
        <v>5784.91</v>
      </c>
      <c r="L869" s="20">
        <v>0.99739827586206897</v>
      </c>
      <c r="M869" s="21">
        <v>0</v>
      </c>
      <c r="N869" s="19">
        <v>0</v>
      </c>
      <c r="O869" s="23">
        <v>1160</v>
      </c>
      <c r="P869" s="24">
        <v>738.03</v>
      </c>
      <c r="Q869" s="25">
        <v>0.63623275862068973</v>
      </c>
      <c r="R869" s="24">
        <v>738.03</v>
      </c>
      <c r="S869" s="25">
        <v>0.63623275862068962</v>
      </c>
      <c r="T869" s="26">
        <v>0</v>
      </c>
      <c r="U869" s="24">
        <v>0</v>
      </c>
      <c r="V869" s="19">
        <v>6960</v>
      </c>
      <c r="W869" s="19">
        <v>7182.94</v>
      </c>
      <c r="X869" s="21">
        <v>1.0320316091954023</v>
      </c>
      <c r="Y869" s="19">
        <v>6522.94</v>
      </c>
      <c r="Z869" s="20">
        <v>0.93720402298850569</v>
      </c>
      <c r="AA869" s="30">
        <v>0.11039999999999998</v>
      </c>
      <c r="AB869" s="27">
        <v>0.1</v>
      </c>
      <c r="AC869" s="27">
        <v>0.113</v>
      </c>
      <c r="AD869" s="11">
        <v>0.10816820653818283</v>
      </c>
    </row>
    <row r="870" spans="1:30" x14ac:dyDescent="0.25">
      <c r="A870" s="13">
        <v>45112</v>
      </c>
      <c r="B870" s="46" t="s">
        <v>636</v>
      </c>
      <c r="C870" s="13">
        <v>45112</v>
      </c>
      <c r="D870" s="15" t="s">
        <v>977</v>
      </c>
      <c r="E870" s="15">
        <v>84</v>
      </c>
      <c r="F870" s="15">
        <v>90</v>
      </c>
      <c r="G870" s="13">
        <v>45196</v>
      </c>
      <c r="H870" s="17">
        <v>2500</v>
      </c>
      <c r="I870" s="19">
        <v>5751.6699999999992</v>
      </c>
      <c r="J870" s="20">
        <v>2.3006680000000004</v>
      </c>
      <c r="K870" s="19">
        <v>3019.8000000000006</v>
      </c>
      <c r="L870" s="20">
        <v>1.2079200000000003</v>
      </c>
      <c r="M870" s="21">
        <v>0</v>
      </c>
      <c r="N870" s="19">
        <v>0</v>
      </c>
      <c r="O870" s="23">
        <v>500</v>
      </c>
      <c r="P870" s="24">
        <v>121.41</v>
      </c>
      <c r="Q870" s="25">
        <v>0.24281999999999998</v>
      </c>
      <c r="R870" s="24">
        <v>121.41</v>
      </c>
      <c r="S870" s="25">
        <v>0.24281999999999998</v>
      </c>
      <c r="T870" s="26">
        <v>0</v>
      </c>
      <c r="U870" s="24">
        <v>0</v>
      </c>
      <c r="V870" s="19">
        <v>3000</v>
      </c>
      <c r="W870" s="19">
        <v>5873.079999999999</v>
      </c>
      <c r="X870" s="21">
        <v>1.9576933333333331</v>
      </c>
      <c r="Y870" s="19">
        <v>3141.2100000000005</v>
      </c>
      <c r="Z870" s="20">
        <v>1.0470700000000002</v>
      </c>
      <c r="AA870" s="30">
        <v>0.10949999999999996</v>
      </c>
      <c r="AB870" s="27">
        <v>9.5000000000000001E-2</v>
      </c>
      <c r="AC870" s="27">
        <v>0.11359999999999999</v>
      </c>
      <c r="AD870" s="11">
        <v>0.10819298864503701</v>
      </c>
    </row>
    <row r="871" spans="1:30" x14ac:dyDescent="0.25">
      <c r="A871" s="13">
        <v>45114</v>
      </c>
      <c r="B871" s="46" t="s">
        <v>636</v>
      </c>
      <c r="C871" s="13">
        <v>45114</v>
      </c>
      <c r="D871" s="15" t="s">
        <v>978</v>
      </c>
      <c r="E871" s="15">
        <v>168</v>
      </c>
      <c r="F871" s="15">
        <v>180</v>
      </c>
      <c r="G871" s="13">
        <v>45282</v>
      </c>
      <c r="H871" s="17">
        <v>3300</v>
      </c>
      <c r="I871" s="19">
        <v>5276.8000000000011</v>
      </c>
      <c r="J871" s="20">
        <v>1.5990303030303028</v>
      </c>
      <c r="K871" s="19">
        <v>4075.5000000000005</v>
      </c>
      <c r="L871" s="20">
        <v>1.2350000000000001</v>
      </c>
      <c r="M871" s="21">
        <v>0</v>
      </c>
      <c r="N871" s="19">
        <v>0</v>
      </c>
      <c r="O871" s="23">
        <v>660</v>
      </c>
      <c r="P871" s="24">
        <v>394.84000000000003</v>
      </c>
      <c r="Q871" s="25">
        <v>0.59824242424242424</v>
      </c>
      <c r="R871" s="24">
        <v>394.84000000000003</v>
      </c>
      <c r="S871" s="25">
        <v>0.59824242424242424</v>
      </c>
      <c r="T871" s="26">
        <v>0</v>
      </c>
      <c r="U871" s="24">
        <v>0</v>
      </c>
      <c r="V871" s="19">
        <v>3960</v>
      </c>
      <c r="W871" s="19">
        <v>5671.6400000000012</v>
      </c>
      <c r="X871" s="21">
        <v>1.4322323232323235</v>
      </c>
      <c r="Y871" s="19">
        <v>4470.34</v>
      </c>
      <c r="Z871" s="20">
        <v>1.1288737373737374</v>
      </c>
      <c r="AA871" s="30">
        <v>0.10679999999999988</v>
      </c>
      <c r="AB871" s="27">
        <v>9.2499999999999999E-2</v>
      </c>
      <c r="AC871" s="27">
        <v>0.11</v>
      </c>
      <c r="AD871" s="11">
        <v>0.10468123351273496</v>
      </c>
    </row>
    <row r="872" spans="1:30" x14ac:dyDescent="0.25">
      <c r="A872" s="13">
        <v>45117</v>
      </c>
      <c r="B872" s="46" t="s">
        <v>636</v>
      </c>
      <c r="C872" s="13">
        <v>45117</v>
      </c>
      <c r="D872" s="15" t="s">
        <v>979</v>
      </c>
      <c r="E872" s="15">
        <v>28</v>
      </c>
      <c r="F872" s="15">
        <v>30</v>
      </c>
      <c r="G872" s="13">
        <v>45145</v>
      </c>
      <c r="H872" s="17">
        <v>5000</v>
      </c>
      <c r="I872" s="19">
        <v>9448.5899999999983</v>
      </c>
      <c r="J872" s="20">
        <v>1.8897180000000002</v>
      </c>
      <c r="K872" s="19">
        <v>5982.9800000000005</v>
      </c>
      <c r="L872" s="20">
        <v>1.196596</v>
      </c>
      <c r="M872" s="21">
        <v>0</v>
      </c>
      <c r="N872" s="19">
        <v>0</v>
      </c>
      <c r="O872" s="23">
        <v>1000</v>
      </c>
      <c r="P872" s="24">
        <v>63.379999999999995</v>
      </c>
      <c r="Q872" s="25">
        <v>6.3380000000000006E-2</v>
      </c>
      <c r="R872" s="24">
        <v>63.379999999999995</v>
      </c>
      <c r="S872" s="25">
        <v>6.3379999999999992E-2</v>
      </c>
      <c r="T872" s="26">
        <v>0</v>
      </c>
      <c r="U872" s="24">
        <v>0</v>
      </c>
      <c r="V872" s="19">
        <v>6000</v>
      </c>
      <c r="W872" s="19">
        <v>9511.9699999999975</v>
      </c>
      <c r="X872" s="21">
        <v>1.585328333333333</v>
      </c>
      <c r="Y872" s="19">
        <v>6046.3600000000006</v>
      </c>
      <c r="Z872" s="20">
        <v>1.0077266666666667</v>
      </c>
      <c r="AA872" s="30">
        <v>0.10749999999999994</v>
      </c>
      <c r="AB872" s="27">
        <v>9.5000000000000001E-2</v>
      </c>
      <c r="AC872" s="27">
        <v>0.11</v>
      </c>
      <c r="AD872" s="11">
        <v>0.10598565457914888</v>
      </c>
    </row>
    <row r="873" spans="1:30" x14ac:dyDescent="0.25">
      <c r="A873" s="13">
        <v>45119</v>
      </c>
      <c r="B873" s="46" t="s">
        <v>636</v>
      </c>
      <c r="C873" s="13">
        <v>45119</v>
      </c>
      <c r="D873" s="15" t="s">
        <v>980</v>
      </c>
      <c r="E873" s="15">
        <v>77</v>
      </c>
      <c r="F873" s="15">
        <v>90</v>
      </c>
      <c r="G873" s="13">
        <v>45196</v>
      </c>
      <c r="H873" s="17">
        <v>3300</v>
      </c>
      <c r="I873" s="19">
        <v>4650.49</v>
      </c>
      <c r="J873" s="20">
        <v>1.4092393939393939</v>
      </c>
      <c r="K873" s="19">
        <v>4050.49</v>
      </c>
      <c r="L873" s="20">
        <v>1.227421212121212</v>
      </c>
      <c r="M873" s="21">
        <v>0</v>
      </c>
      <c r="N873" s="19">
        <v>0</v>
      </c>
      <c r="O873" s="23">
        <v>660</v>
      </c>
      <c r="P873" s="24">
        <v>293.03999999999996</v>
      </c>
      <c r="Q873" s="25">
        <v>0.44400000000000001</v>
      </c>
      <c r="R873" s="24">
        <v>293.03999999999996</v>
      </c>
      <c r="S873" s="25">
        <v>0.44399999999999995</v>
      </c>
      <c r="T873" s="26">
        <v>0</v>
      </c>
      <c r="U873" s="24">
        <v>0</v>
      </c>
      <c r="V873" s="19">
        <v>3960</v>
      </c>
      <c r="W873" s="19">
        <v>4943.53</v>
      </c>
      <c r="X873" s="21">
        <v>1.2483661616161617</v>
      </c>
      <c r="Y873" s="19">
        <v>4343.53</v>
      </c>
      <c r="Z873" s="20">
        <v>1.09685101010101</v>
      </c>
      <c r="AA873" s="30">
        <v>0.10800000000000007</v>
      </c>
      <c r="AB873" s="27">
        <v>9.5000000000000001E-2</v>
      </c>
      <c r="AC873" s="27">
        <v>0.11</v>
      </c>
      <c r="AD873" s="11">
        <v>0.10672408649411136</v>
      </c>
    </row>
    <row r="874" spans="1:30" x14ac:dyDescent="0.25">
      <c r="A874" s="13">
        <v>45120</v>
      </c>
      <c r="B874" s="46" t="s">
        <v>636</v>
      </c>
      <c r="C874" s="13">
        <v>45121</v>
      </c>
      <c r="D874" s="15" t="s">
        <v>981</v>
      </c>
      <c r="E874" s="15">
        <v>371</v>
      </c>
      <c r="F874" s="15">
        <v>360</v>
      </c>
      <c r="G874" s="13">
        <v>45492</v>
      </c>
      <c r="H874" s="17">
        <v>4200</v>
      </c>
      <c r="I874" s="19">
        <v>9677.1899999999987</v>
      </c>
      <c r="J874" s="20">
        <v>2.3040928571428569</v>
      </c>
      <c r="K874" s="19">
        <v>4329.4699999999993</v>
      </c>
      <c r="L874" s="20">
        <v>1.0308261904761904</v>
      </c>
      <c r="M874" s="21">
        <v>0</v>
      </c>
      <c r="N874" s="19">
        <v>0</v>
      </c>
      <c r="O874" s="23">
        <v>840</v>
      </c>
      <c r="P874" s="24">
        <v>841.49</v>
      </c>
      <c r="Q874" s="25">
        <v>1.0017738095238096</v>
      </c>
      <c r="R874" s="24">
        <v>840</v>
      </c>
      <c r="S874" s="25">
        <v>1</v>
      </c>
      <c r="T874" s="26">
        <v>0.99825503355704703</v>
      </c>
      <c r="U874" s="24">
        <v>0</v>
      </c>
      <c r="V874" s="19">
        <v>5040</v>
      </c>
      <c r="W874" s="19">
        <v>10518.679999999998</v>
      </c>
      <c r="X874" s="21">
        <v>2.0870396825396824</v>
      </c>
      <c r="Y874" s="19">
        <v>5169.4699999999993</v>
      </c>
      <c r="Z874" s="20">
        <v>1.0256884920634919</v>
      </c>
      <c r="AA874" s="30">
        <v>0.10469999999999999</v>
      </c>
      <c r="AB874" s="27">
        <v>9.5000000000000001E-2</v>
      </c>
      <c r="AC874" s="27">
        <v>0.109</v>
      </c>
      <c r="AD874" s="11">
        <v>0.10443352099111415</v>
      </c>
    </row>
    <row r="875" spans="1:30" x14ac:dyDescent="0.25">
      <c r="A875" s="13">
        <v>45124</v>
      </c>
      <c r="B875" s="46" t="s">
        <v>636</v>
      </c>
      <c r="C875" s="13">
        <v>45124</v>
      </c>
      <c r="D875" s="15" t="s">
        <v>982</v>
      </c>
      <c r="E875" s="15">
        <v>35</v>
      </c>
      <c r="F875" s="15">
        <v>30</v>
      </c>
      <c r="G875" s="13">
        <v>45159</v>
      </c>
      <c r="H875" s="17">
        <v>5000</v>
      </c>
      <c r="I875" s="19">
        <v>9383.0499999999993</v>
      </c>
      <c r="J875" s="20">
        <v>1.8766100000000006</v>
      </c>
      <c r="K875" s="19">
        <v>8383.0499999999993</v>
      </c>
      <c r="L875" s="20">
        <v>1.6766099999999999</v>
      </c>
      <c r="M875" s="21">
        <v>0</v>
      </c>
      <c r="N875" s="19">
        <v>0</v>
      </c>
      <c r="O875" s="23">
        <v>1000</v>
      </c>
      <c r="P875" s="24">
        <v>32.69</v>
      </c>
      <c r="Q875" s="25">
        <v>3.2689999999999997E-2</v>
      </c>
      <c r="R875" s="24">
        <v>32.69</v>
      </c>
      <c r="S875" s="25">
        <v>3.2689999999999997E-2</v>
      </c>
      <c r="T875" s="26">
        <v>0</v>
      </c>
      <c r="U875" s="24">
        <v>0</v>
      </c>
      <c r="V875" s="19">
        <v>6000</v>
      </c>
      <c r="W875" s="19">
        <v>9415.74</v>
      </c>
      <c r="X875" s="21">
        <v>1.5692900000000001</v>
      </c>
      <c r="Y875" s="19">
        <v>8415.74</v>
      </c>
      <c r="Z875" s="20">
        <v>1.4026233333333333</v>
      </c>
      <c r="AA875" s="30">
        <v>0.10700000000000011</v>
      </c>
      <c r="AB875" s="27">
        <v>9.5000000000000001E-2</v>
      </c>
      <c r="AC875" s="27">
        <v>0.11</v>
      </c>
      <c r="AD875" s="11">
        <v>0.10422095587255745</v>
      </c>
    </row>
    <row r="876" spans="1:30" x14ac:dyDescent="0.25">
      <c r="A876" s="13">
        <v>45126</v>
      </c>
      <c r="B876" s="46" t="s">
        <v>636</v>
      </c>
      <c r="C876" s="13">
        <v>45126</v>
      </c>
      <c r="D876" s="15" t="s">
        <v>983</v>
      </c>
      <c r="E876" s="15">
        <v>84</v>
      </c>
      <c r="F876" s="15">
        <v>90</v>
      </c>
      <c r="G876" s="13">
        <v>45210</v>
      </c>
      <c r="H876" s="17">
        <v>4200</v>
      </c>
      <c r="I876" s="19">
        <v>8135.5400000000009</v>
      </c>
      <c r="J876" s="20">
        <v>1.9370333333333332</v>
      </c>
      <c r="K876" s="19">
        <v>5035.5399999999991</v>
      </c>
      <c r="L876" s="20">
        <v>1.198938095238095</v>
      </c>
      <c r="M876" s="21">
        <v>0</v>
      </c>
      <c r="N876" s="19">
        <v>0</v>
      </c>
      <c r="O876" s="23">
        <v>840</v>
      </c>
      <c r="P876" s="24">
        <v>205.07999999999998</v>
      </c>
      <c r="Q876" s="25">
        <v>0.24414285714285713</v>
      </c>
      <c r="R876" s="24">
        <v>205.07999999999998</v>
      </c>
      <c r="S876" s="25">
        <v>0.24414285714285713</v>
      </c>
      <c r="T876" s="26">
        <v>0</v>
      </c>
      <c r="U876" s="24">
        <v>0</v>
      </c>
      <c r="V876" s="19">
        <v>5040</v>
      </c>
      <c r="W876" s="19">
        <v>8340.6200000000008</v>
      </c>
      <c r="X876" s="21">
        <v>1.6548849206349208</v>
      </c>
      <c r="Y876" s="19">
        <v>5240.619999999999</v>
      </c>
      <c r="Z876" s="20">
        <v>1.0398055555555554</v>
      </c>
      <c r="AA876" s="30">
        <v>0.10559999999999993</v>
      </c>
      <c r="AB876" s="27">
        <v>9.5000000000000001E-2</v>
      </c>
      <c r="AC876" s="27">
        <v>0.10830000000000001</v>
      </c>
      <c r="AD876" s="11">
        <v>0.10524808887916473</v>
      </c>
    </row>
    <row r="877" spans="1:30" x14ac:dyDescent="0.25">
      <c r="A877" s="13">
        <v>45128</v>
      </c>
      <c r="B877" s="46" t="s">
        <v>636</v>
      </c>
      <c r="C877" s="13">
        <v>45128</v>
      </c>
      <c r="D877" s="15" t="s">
        <v>984</v>
      </c>
      <c r="E877" s="15">
        <v>175</v>
      </c>
      <c r="F877" s="15">
        <v>180</v>
      </c>
      <c r="G877" s="13">
        <v>45303</v>
      </c>
      <c r="H877" s="17">
        <v>4200</v>
      </c>
      <c r="I877" s="19">
        <v>7204.1600000000008</v>
      </c>
      <c r="J877" s="20">
        <v>1.7152761904761904</v>
      </c>
      <c r="K877" s="19">
        <v>4896.41</v>
      </c>
      <c r="L877" s="20">
        <v>1.1658119047619047</v>
      </c>
      <c r="M877" s="21">
        <v>0</v>
      </c>
      <c r="N877" s="19">
        <v>0</v>
      </c>
      <c r="O877" s="23">
        <v>840</v>
      </c>
      <c r="P877" s="24">
        <v>385.21000000000004</v>
      </c>
      <c r="Q877" s="25">
        <v>0.45858333333333334</v>
      </c>
      <c r="R877" s="24">
        <v>385.21000000000004</v>
      </c>
      <c r="S877" s="25">
        <v>0.4585833333333334</v>
      </c>
      <c r="T877" s="26">
        <v>0</v>
      </c>
      <c r="U877" s="24">
        <v>0</v>
      </c>
      <c r="V877" s="19">
        <v>5040</v>
      </c>
      <c r="W877" s="19">
        <v>7589.3700000000008</v>
      </c>
      <c r="X877" s="21">
        <v>1.505827380952381</v>
      </c>
      <c r="Y877" s="19">
        <v>5281.62</v>
      </c>
      <c r="Z877" s="20">
        <v>1.0479404761904763</v>
      </c>
      <c r="AA877" s="30">
        <v>0.10320000000000008</v>
      </c>
      <c r="AB877" s="27">
        <v>9.5000000000000001E-2</v>
      </c>
      <c r="AC877" s="27">
        <v>0.1075</v>
      </c>
      <c r="AD877" s="11">
        <v>0.103021287145205</v>
      </c>
    </row>
    <row r="878" spans="1:30" x14ac:dyDescent="0.25">
      <c r="A878" s="13">
        <v>45131</v>
      </c>
      <c r="B878" s="46" t="s">
        <v>636</v>
      </c>
      <c r="C878" s="13">
        <v>45131</v>
      </c>
      <c r="D878" s="15" t="s">
        <v>985</v>
      </c>
      <c r="E878" s="15">
        <v>28</v>
      </c>
      <c r="F878" s="15">
        <v>30</v>
      </c>
      <c r="G878" s="13">
        <v>45159</v>
      </c>
      <c r="H878" s="17">
        <v>5000</v>
      </c>
      <c r="I878" s="19">
        <v>4580.88</v>
      </c>
      <c r="J878" s="20">
        <v>0.9161760000000001</v>
      </c>
      <c r="K878" s="19">
        <v>4580.88</v>
      </c>
      <c r="L878" s="20">
        <v>0.91617599999999999</v>
      </c>
      <c r="M878" s="21">
        <v>0</v>
      </c>
      <c r="N878" s="19">
        <v>0</v>
      </c>
      <c r="O878" s="23">
        <v>1000</v>
      </c>
      <c r="P878" s="24">
        <v>773.95</v>
      </c>
      <c r="Q878" s="25">
        <v>0.77394999999999992</v>
      </c>
      <c r="R878" s="24">
        <v>773.95</v>
      </c>
      <c r="S878" s="25">
        <v>0.77395000000000003</v>
      </c>
      <c r="T878" s="26">
        <v>0</v>
      </c>
      <c r="U878" s="24">
        <v>0</v>
      </c>
      <c r="V878" s="19">
        <v>6000</v>
      </c>
      <c r="W878" s="19">
        <v>5354.83</v>
      </c>
      <c r="X878" s="21">
        <v>0.89247166666666666</v>
      </c>
      <c r="Y878" s="19">
        <v>5354.83</v>
      </c>
      <c r="Z878" s="20">
        <v>0.89247166666666666</v>
      </c>
      <c r="AA878" s="30">
        <v>0.10880000000000001</v>
      </c>
      <c r="AB878" s="27">
        <v>0.09</v>
      </c>
      <c r="AC878" s="27">
        <v>0.10880000000000001</v>
      </c>
      <c r="AD878" s="11">
        <v>0.10399497476467401</v>
      </c>
    </row>
    <row r="879" spans="1:30" x14ac:dyDescent="0.25">
      <c r="A879" s="13">
        <v>45132</v>
      </c>
      <c r="B879" s="46" t="s">
        <v>636</v>
      </c>
      <c r="C879" s="13">
        <v>45133</v>
      </c>
      <c r="D879" s="15" t="s">
        <v>986</v>
      </c>
      <c r="E879" s="15">
        <v>700</v>
      </c>
      <c r="F879" s="15">
        <v>720</v>
      </c>
      <c r="G879" s="13">
        <v>45833</v>
      </c>
      <c r="H879" s="17">
        <v>3400</v>
      </c>
      <c r="I879" s="19">
        <v>10048.31</v>
      </c>
      <c r="J879" s="20">
        <v>2.9553852941176446</v>
      </c>
      <c r="K879" s="19">
        <v>4438.3100000000004</v>
      </c>
      <c r="L879" s="20">
        <v>1.3053852941176471</v>
      </c>
      <c r="M879" s="21">
        <v>0</v>
      </c>
      <c r="N879" s="19">
        <v>0</v>
      </c>
      <c r="O879" s="23">
        <v>680</v>
      </c>
      <c r="P879" s="24">
        <v>1158</v>
      </c>
      <c r="Q879" s="25">
        <v>1.7029411764705882</v>
      </c>
      <c r="R879" s="24">
        <v>680</v>
      </c>
      <c r="S879" s="25">
        <v>1</v>
      </c>
      <c r="T879" s="26">
        <v>0.58721942857142861</v>
      </c>
      <c r="U879" s="24">
        <v>0</v>
      </c>
      <c r="V879" s="19">
        <v>4080</v>
      </c>
      <c r="W879" s="19">
        <v>11206.31</v>
      </c>
      <c r="X879" s="21">
        <v>2.746644607843137</v>
      </c>
      <c r="Y879" s="19">
        <v>5118.3100000000004</v>
      </c>
      <c r="Z879" s="20">
        <v>1.2544877450980394</v>
      </c>
      <c r="AA879" s="30">
        <v>0.10039999999999993</v>
      </c>
      <c r="AB879" s="27">
        <v>8.5000000000000006E-2</v>
      </c>
      <c r="AC879" s="27">
        <v>0.11</v>
      </c>
      <c r="AD879" s="11">
        <v>0.10122150889054977</v>
      </c>
    </row>
    <row r="880" spans="1:30" x14ac:dyDescent="0.25">
      <c r="A880" s="13">
        <v>45133</v>
      </c>
      <c r="B880" s="46" t="s">
        <v>636</v>
      </c>
      <c r="C880" s="13">
        <v>45133</v>
      </c>
      <c r="D880" s="15" t="s">
        <v>987</v>
      </c>
      <c r="E880" s="15">
        <v>84</v>
      </c>
      <c r="F880" s="15">
        <v>90</v>
      </c>
      <c r="G880" s="13">
        <v>45217</v>
      </c>
      <c r="H880" s="17">
        <v>3400</v>
      </c>
      <c r="I880" s="19">
        <v>6871.6799999999994</v>
      </c>
      <c r="J880" s="20">
        <v>2.0210823529411757</v>
      </c>
      <c r="K880" s="19">
        <v>3921.68</v>
      </c>
      <c r="L880" s="20">
        <v>1.1534352941176471</v>
      </c>
      <c r="M880" s="21">
        <v>0</v>
      </c>
      <c r="N880" s="19">
        <v>0</v>
      </c>
      <c r="O880" s="23">
        <v>680</v>
      </c>
      <c r="P880" s="24">
        <v>16.16</v>
      </c>
      <c r="Q880" s="25">
        <v>2.3764705882352941E-2</v>
      </c>
      <c r="R880" s="24">
        <v>16.16</v>
      </c>
      <c r="S880" s="25">
        <v>2.3764705882352941E-2</v>
      </c>
      <c r="T880" s="26">
        <v>0</v>
      </c>
      <c r="U880" s="24">
        <v>0</v>
      </c>
      <c r="V880" s="19">
        <v>4080</v>
      </c>
      <c r="W880" s="19">
        <v>6887.8399999999992</v>
      </c>
      <c r="X880" s="21">
        <v>1.6881960784313723</v>
      </c>
      <c r="Y880" s="19">
        <v>3937.8399999999997</v>
      </c>
      <c r="Z880" s="20">
        <v>0.96515686274509793</v>
      </c>
      <c r="AA880" s="30">
        <v>0.10519999999999997</v>
      </c>
      <c r="AB880" s="27">
        <v>9.5000000000000001E-2</v>
      </c>
      <c r="AC880" s="27">
        <v>0.10949999999999999</v>
      </c>
      <c r="AD880" s="11">
        <v>0.10425932959625596</v>
      </c>
    </row>
    <row r="881" spans="1:30" x14ac:dyDescent="0.25">
      <c r="A881" s="13">
        <v>45134</v>
      </c>
      <c r="B881" s="46" t="s">
        <v>636</v>
      </c>
      <c r="C881" s="13">
        <v>45135</v>
      </c>
      <c r="D881" s="15" t="s">
        <v>988</v>
      </c>
      <c r="E881" s="15">
        <v>357</v>
      </c>
      <c r="F881" s="15">
        <v>360</v>
      </c>
      <c r="G881" s="13">
        <v>45492</v>
      </c>
      <c r="H881" s="17">
        <v>3400</v>
      </c>
      <c r="I881" s="19">
        <v>10714.490000000002</v>
      </c>
      <c r="J881" s="20">
        <v>3.1513205882352917</v>
      </c>
      <c r="K881" s="19">
        <v>4805.29</v>
      </c>
      <c r="L881" s="20">
        <v>1.4133205882352942</v>
      </c>
      <c r="M881" s="21">
        <v>0</v>
      </c>
      <c r="N881" s="19">
        <v>0</v>
      </c>
      <c r="O881" s="23">
        <v>680</v>
      </c>
      <c r="P881" s="24">
        <v>793</v>
      </c>
      <c r="Q881" s="25">
        <v>1.1661764705882351</v>
      </c>
      <c r="R881" s="24">
        <v>680.00000000000011</v>
      </c>
      <c r="S881" s="25">
        <v>1.0000000000000002</v>
      </c>
      <c r="T881" s="26">
        <v>0.85750323529411765</v>
      </c>
      <c r="U881" s="24">
        <v>0</v>
      </c>
      <c r="V881" s="19">
        <v>4080</v>
      </c>
      <c r="W881" s="19">
        <v>11507.490000000002</v>
      </c>
      <c r="X881" s="21">
        <v>2.8204632352941181</v>
      </c>
      <c r="Y881" s="19">
        <v>5485.29</v>
      </c>
      <c r="Z881" s="20">
        <v>1.3444338235294118</v>
      </c>
      <c r="AA881" s="30">
        <v>0.10090000000000013</v>
      </c>
      <c r="AB881" s="27">
        <v>9.5000000000000001E-2</v>
      </c>
      <c r="AC881" s="27">
        <v>0.10929999999999999</v>
      </c>
      <c r="AD881" s="11">
        <v>0.10183296171819656</v>
      </c>
    </row>
    <row r="882" spans="1:30" x14ac:dyDescent="0.25">
      <c r="A882" s="13">
        <v>45138</v>
      </c>
      <c r="B882" s="46" t="s">
        <v>636</v>
      </c>
      <c r="C882" s="13">
        <v>45138</v>
      </c>
      <c r="D882" s="15" t="s">
        <v>989</v>
      </c>
      <c r="E882" s="15">
        <v>35</v>
      </c>
      <c r="F882" s="15">
        <v>30</v>
      </c>
      <c r="G882" s="13">
        <v>45173</v>
      </c>
      <c r="H882" s="17">
        <v>4200</v>
      </c>
      <c r="I882" s="19">
        <v>10572.560000000001</v>
      </c>
      <c r="J882" s="20">
        <v>2.5172761904761907</v>
      </c>
      <c r="K882" s="19">
        <v>5219.5600000000004</v>
      </c>
      <c r="L882" s="20">
        <v>1.2427523809523811</v>
      </c>
      <c r="M882" s="21">
        <v>0</v>
      </c>
      <c r="N882" s="19">
        <v>0</v>
      </c>
      <c r="O882" s="23">
        <v>840</v>
      </c>
      <c r="P882" s="24">
        <v>981.08999999999992</v>
      </c>
      <c r="Q882" s="25">
        <v>1.1679642857142856</v>
      </c>
      <c r="R882" s="24">
        <v>840</v>
      </c>
      <c r="S882" s="25">
        <v>1</v>
      </c>
      <c r="T882" s="26">
        <v>0.8561917098445595</v>
      </c>
      <c r="U882" s="24">
        <v>0</v>
      </c>
      <c r="V882" s="19">
        <v>5040</v>
      </c>
      <c r="W882" s="19">
        <v>11553.650000000001</v>
      </c>
      <c r="X882" s="21">
        <v>2.2923908730158735</v>
      </c>
      <c r="Y882" s="19">
        <v>6059.56</v>
      </c>
      <c r="Z882" s="20">
        <v>1.2022936507936508</v>
      </c>
      <c r="AA882" s="30">
        <v>0.10400000000000008</v>
      </c>
      <c r="AB882" s="27">
        <v>9.5000000000000001E-2</v>
      </c>
      <c r="AC882" s="27">
        <v>0.1085</v>
      </c>
      <c r="AD882" s="11">
        <v>0.10432757203553343</v>
      </c>
    </row>
    <row r="883" spans="1:30" x14ac:dyDescent="0.25">
      <c r="A883" s="13">
        <v>45140</v>
      </c>
      <c r="B883" s="46" t="s">
        <v>636</v>
      </c>
      <c r="C883" s="13">
        <v>45140</v>
      </c>
      <c r="D883" s="15" t="s">
        <v>990</v>
      </c>
      <c r="E883" s="15">
        <v>77</v>
      </c>
      <c r="F883" s="15">
        <v>90</v>
      </c>
      <c r="G883" s="13">
        <v>45217</v>
      </c>
      <c r="H883" s="17">
        <v>4200</v>
      </c>
      <c r="I883" s="19">
        <v>4906.32</v>
      </c>
      <c r="J883" s="20">
        <v>1.1681714285714289</v>
      </c>
      <c r="K883" s="19">
        <v>3456.32</v>
      </c>
      <c r="L883" s="20">
        <v>0.82293333333333341</v>
      </c>
      <c r="M883" s="21">
        <v>0</v>
      </c>
      <c r="N883" s="19">
        <v>0</v>
      </c>
      <c r="O883" s="23">
        <v>840</v>
      </c>
      <c r="P883" s="24">
        <v>245.61</v>
      </c>
      <c r="Q883" s="25">
        <v>0.29239285714285712</v>
      </c>
      <c r="R883" s="24">
        <v>245.61</v>
      </c>
      <c r="S883" s="25">
        <v>0.29239285714285718</v>
      </c>
      <c r="T883" s="26">
        <v>0</v>
      </c>
      <c r="U883" s="24">
        <v>0</v>
      </c>
      <c r="V883" s="19">
        <v>5040</v>
      </c>
      <c r="W883" s="19">
        <v>5151.9299999999994</v>
      </c>
      <c r="X883" s="21">
        <v>1.0222083333333332</v>
      </c>
      <c r="Y883" s="19">
        <v>3701.9300000000003</v>
      </c>
      <c r="Z883" s="20">
        <v>0.73450992063492071</v>
      </c>
      <c r="AA883" s="30">
        <v>0.10500000000000004</v>
      </c>
      <c r="AB883" s="27">
        <v>8.7499999999999994E-2</v>
      </c>
      <c r="AC883" s="27">
        <v>0.109</v>
      </c>
      <c r="AD883" s="11">
        <v>0.10321501084315741</v>
      </c>
    </row>
    <row r="884" spans="1:30" x14ac:dyDescent="0.25">
      <c r="A884" s="13">
        <v>45142</v>
      </c>
      <c r="B884" s="46" t="s">
        <v>636</v>
      </c>
      <c r="C884" s="13">
        <v>45142</v>
      </c>
      <c r="D884" s="15" t="s">
        <v>991</v>
      </c>
      <c r="E884" s="15">
        <v>161</v>
      </c>
      <c r="F884" s="15">
        <v>180</v>
      </c>
      <c r="G884" s="13">
        <v>45303</v>
      </c>
      <c r="H884" s="17">
        <v>4200</v>
      </c>
      <c r="I884" s="19">
        <v>7792.3600000000006</v>
      </c>
      <c r="J884" s="20">
        <v>1.8553238095238089</v>
      </c>
      <c r="K884" s="19">
        <v>4286.5600000000004</v>
      </c>
      <c r="L884" s="20">
        <v>1.0206095238095239</v>
      </c>
      <c r="M884" s="21">
        <v>0</v>
      </c>
      <c r="N884" s="19">
        <v>0</v>
      </c>
      <c r="O884" s="23">
        <v>840</v>
      </c>
      <c r="P884" s="24">
        <v>540.99</v>
      </c>
      <c r="Q884" s="25">
        <v>0.64403571428571427</v>
      </c>
      <c r="R884" s="24">
        <v>540.99</v>
      </c>
      <c r="S884" s="25">
        <v>0.64403571428571427</v>
      </c>
      <c r="T884" s="26">
        <v>0</v>
      </c>
      <c r="U884" s="24">
        <v>0</v>
      </c>
      <c r="V884" s="19">
        <v>5040</v>
      </c>
      <c r="W884" s="19">
        <v>8333.35</v>
      </c>
      <c r="X884" s="21">
        <v>1.6534424603174604</v>
      </c>
      <c r="Y884" s="19">
        <v>4827.55</v>
      </c>
      <c r="Z884" s="20">
        <v>0.95784722222222229</v>
      </c>
      <c r="AA884" s="30">
        <v>0.10069999999999986</v>
      </c>
      <c r="AB884" s="27">
        <v>0.04</v>
      </c>
      <c r="AC884" s="27">
        <v>0.1116</v>
      </c>
      <c r="AD884" s="11">
        <v>9.9112285751684986E-2</v>
      </c>
    </row>
    <row r="885" spans="1:30" x14ac:dyDescent="0.25">
      <c r="A885" s="13">
        <v>45145</v>
      </c>
      <c r="B885" s="46" t="s">
        <v>636</v>
      </c>
      <c r="C885" s="13">
        <v>45145</v>
      </c>
      <c r="D885" s="15" t="s">
        <v>992</v>
      </c>
      <c r="E885" s="15">
        <v>35</v>
      </c>
      <c r="F885" s="15">
        <v>30</v>
      </c>
      <c r="G885" s="13">
        <v>45180</v>
      </c>
      <c r="H885" s="17">
        <v>4200</v>
      </c>
      <c r="I885" s="19">
        <v>11710.71</v>
      </c>
      <c r="J885" s="20">
        <v>2.7882642857142859</v>
      </c>
      <c r="K885" s="19">
        <v>7149.7100000000009</v>
      </c>
      <c r="L885" s="20">
        <v>1.7023119047619051</v>
      </c>
      <c r="M885" s="21">
        <v>0</v>
      </c>
      <c r="N885" s="19">
        <v>0</v>
      </c>
      <c r="O885" s="23">
        <v>840</v>
      </c>
      <c r="P885" s="24">
        <v>940.29</v>
      </c>
      <c r="Q885" s="25">
        <v>1.1193928571428573</v>
      </c>
      <c r="R885" s="24">
        <v>840</v>
      </c>
      <c r="S885" s="25">
        <v>1</v>
      </c>
      <c r="T885" s="26">
        <v>0.89334181818181824</v>
      </c>
      <c r="U885" s="24">
        <v>0</v>
      </c>
      <c r="V885" s="19">
        <v>5040</v>
      </c>
      <c r="W885" s="19">
        <v>12651</v>
      </c>
      <c r="X885" s="21">
        <v>2.5101190476190478</v>
      </c>
      <c r="Y885" s="19">
        <v>7989.7100000000009</v>
      </c>
      <c r="Z885" s="20">
        <v>1.5852599206349207</v>
      </c>
      <c r="AA885" s="30">
        <v>0.10250000000000002</v>
      </c>
      <c r="AB885" s="27">
        <v>0.03</v>
      </c>
      <c r="AC885" s="27">
        <v>0.10880000000000001</v>
      </c>
      <c r="AD885" s="11">
        <v>9.929306489529674E-2</v>
      </c>
    </row>
    <row r="886" spans="1:30" x14ac:dyDescent="0.25">
      <c r="A886" s="13">
        <v>45147</v>
      </c>
      <c r="B886" s="46" t="s">
        <v>636</v>
      </c>
      <c r="C886" s="13">
        <v>45147</v>
      </c>
      <c r="D886" s="15" t="s">
        <v>993</v>
      </c>
      <c r="E886" s="15">
        <v>84</v>
      </c>
      <c r="F886" s="15">
        <v>90</v>
      </c>
      <c r="G886" s="13">
        <v>45231</v>
      </c>
      <c r="H886" s="17">
        <v>3400</v>
      </c>
      <c r="I886" s="19">
        <v>7662.38</v>
      </c>
      <c r="J886" s="20">
        <v>2.2536411764705879</v>
      </c>
      <c r="K886" s="19">
        <v>3558.65</v>
      </c>
      <c r="L886" s="20">
        <v>1.0466617647058825</v>
      </c>
      <c r="M886" s="21">
        <v>0</v>
      </c>
      <c r="N886" s="19">
        <v>0</v>
      </c>
      <c r="O886" s="23">
        <v>680</v>
      </c>
      <c r="P886" s="24">
        <v>1211.25</v>
      </c>
      <c r="Q886" s="25">
        <v>1.78125</v>
      </c>
      <c r="R886" s="24">
        <v>680</v>
      </c>
      <c r="S886" s="25">
        <v>1</v>
      </c>
      <c r="T886" s="26">
        <v>0.56140790742526525</v>
      </c>
      <c r="U886" s="24">
        <v>0</v>
      </c>
      <c r="V886" s="19">
        <v>4080</v>
      </c>
      <c r="W886" s="19">
        <v>8873.630000000001</v>
      </c>
      <c r="X886" s="21">
        <v>2.1749093137254905</v>
      </c>
      <c r="Y886" s="19">
        <v>4238.6499999999996</v>
      </c>
      <c r="Z886" s="20">
        <v>1.0388848039215686</v>
      </c>
      <c r="AA886" s="30">
        <v>9.9999999999999964E-2</v>
      </c>
      <c r="AB886" s="27">
        <v>0.02</v>
      </c>
      <c r="AC886" s="27">
        <v>0.1075</v>
      </c>
      <c r="AD886" s="11">
        <v>9.6239677228224116E-2</v>
      </c>
    </row>
    <row r="887" spans="1:30" x14ac:dyDescent="0.25">
      <c r="A887" s="13">
        <v>45148</v>
      </c>
      <c r="B887" s="46" t="s">
        <v>636</v>
      </c>
      <c r="C887" s="13">
        <v>45149</v>
      </c>
      <c r="D887" s="15" t="s">
        <v>994</v>
      </c>
      <c r="E887" s="15">
        <v>364</v>
      </c>
      <c r="F887" s="15">
        <v>360</v>
      </c>
      <c r="G887" s="13">
        <v>45513</v>
      </c>
      <c r="H887" s="17">
        <v>5000</v>
      </c>
      <c r="I887" s="19">
        <v>9264.77</v>
      </c>
      <c r="J887" s="20">
        <v>1.8529540000000004</v>
      </c>
      <c r="K887" s="19">
        <v>5042.72</v>
      </c>
      <c r="L887" s="20">
        <v>1.0085440000000001</v>
      </c>
      <c r="M887" s="21">
        <v>0</v>
      </c>
      <c r="N887" s="19">
        <v>0</v>
      </c>
      <c r="O887" s="23">
        <v>1000</v>
      </c>
      <c r="P887" s="24">
        <v>1300.19</v>
      </c>
      <c r="Q887" s="25">
        <v>1.30019</v>
      </c>
      <c r="R887" s="24">
        <v>1000</v>
      </c>
      <c r="S887" s="25">
        <v>1</v>
      </c>
      <c r="T887" s="26">
        <v>0.76911839999999998</v>
      </c>
      <c r="U887" s="24">
        <v>0</v>
      </c>
      <c r="V887" s="19">
        <v>6000</v>
      </c>
      <c r="W887" s="19">
        <v>10564.960000000001</v>
      </c>
      <c r="X887" s="21">
        <v>1.7608266666666668</v>
      </c>
      <c r="Y887" s="19">
        <v>6042.72</v>
      </c>
      <c r="Z887" s="20">
        <v>1.00712</v>
      </c>
      <c r="AA887" s="30">
        <v>9.6499999999999878E-2</v>
      </c>
      <c r="AB887" s="27">
        <v>8.8900000000000007E-2</v>
      </c>
      <c r="AC887" s="27">
        <v>0.10050000000000001</v>
      </c>
      <c r="AD887" s="11">
        <v>9.5702372751832993E-2</v>
      </c>
    </row>
    <row r="888" spans="1:30" x14ac:dyDescent="0.25">
      <c r="A888" s="13">
        <v>45152</v>
      </c>
      <c r="B888" s="46" t="s">
        <v>636</v>
      </c>
      <c r="C888" s="13">
        <v>45152</v>
      </c>
      <c r="D888" s="15" t="s">
        <v>995</v>
      </c>
      <c r="E888" s="15">
        <v>28</v>
      </c>
      <c r="F888" s="15">
        <v>30</v>
      </c>
      <c r="G888" s="13">
        <v>45180</v>
      </c>
      <c r="H888" s="17">
        <v>4200</v>
      </c>
      <c r="I888" s="19">
        <v>4644.3499999999995</v>
      </c>
      <c r="J888" s="20">
        <v>1.1057976190476189</v>
      </c>
      <c r="K888" s="19">
        <v>4244.3499999999995</v>
      </c>
      <c r="L888" s="20">
        <v>1.0105595238095237</v>
      </c>
      <c r="M888" s="21">
        <v>0</v>
      </c>
      <c r="N888" s="19">
        <v>0</v>
      </c>
      <c r="O888" s="23">
        <v>840</v>
      </c>
      <c r="P888" s="24">
        <v>727.18</v>
      </c>
      <c r="Q888" s="25">
        <v>0.86569047619047623</v>
      </c>
      <c r="R888" s="24">
        <v>727.18</v>
      </c>
      <c r="S888" s="25">
        <v>0.86569047619047612</v>
      </c>
      <c r="T888" s="26">
        <v>0</v>
      </c>
      <c r="U888" s="24">
        <v>0</v>
      </c>
      <c r="V888" s="19">
        <v>5040</v>
      </c>
      <c r="W888" s="19">
        <v>5371.53</v>
      </c>
      <c r="X888" s="21">
        <v>1.0657797619047618</v>
      </c>
      <c r="Y888" s="19">
        <v>4971.53</v>
      </c>
      <c r="Z888" s="20">
        <v>0.98641468253968245</v>
      </c>
      <c r="AA888" s="30">
        <v>0.10630000000000005</v>
      </c>
      <c r="AB888" s="27">
        <v>0.01</v>
      </c>
      <c r="AC888" s="27">
        <v>0.10800000000000001</v>
      </c>
      <c r="AD888" s="11">
        <v>9.7533637645741592E-2</v>
      </c>
    </row>
    <row r="889" spans="1:30" x14ac:dyDescent="0.25">
      <c r="A889" s="13">
        <v>45154</v>
      </c>
      <c r="B889" s="46" t="s">
        <v>636</v>
      </c>
      <c r="C889" s="13">
        <v>45154</v>
      </c>
      <c r="D889" s="15" t="s">
        <v>996</v>
      </c>
      <c r="E889" s="15">
        <v>77</v>
      </c>
      <c r="F889" s="15">
        <v>90</v>
      </c>
      <c r="G889" s="13">
        <v>45231</v>
      </c>
      <c r="H889" s="17">
        <v>2500</v>
      </c>
      <c r="I889" s="19">
        <v>5744.15</v>
      </c>
      <c r="J889" s="20">
        <v>2.2976600000000005</v>
      </c>
      <c r="K889" s="19">
        <v>2944.15</v>
      </c>
      <c r="L889" s="20">
        <v>1.1776599999999999</v>
      </c>
      <c r="M889" s="21">
        <v>0</v>
      </c>
      <c r="N889" s="19">
        <v>0</v>
      </c>
      <c r="O889" s="23">
        <v>500</v>
      </c>
      <c r="P889" s="24">
        <v>558.92999999999995</v>
      </c>
      <c r="Q889" s="25">
        <v>1.1178600000000001</v>
      </c>
      <c r="R889" s="24">
        <v>500.00000000000006</v>
      </c>
      <c r="S889" s="25">
        <v>1.0000000000000002</v>
      </c>
      <c r="T889" s="26">
        <v>0.89465116279069767</v>
      </c>
      <c r="U889" s="24">
        <v>0</v>
      </c>
      <c r="V889" s="19">
        <v>3000</v>
      </c>
      <c r="W889" s="19">
        <v>6303.08</v>
      </c>
      <c r="X889" s="21">
        <v>2.1010266666666668</v>
      </c>
      <c r="Y889" s="19">
        <v>3444.15</v>
      </c>
      <c r="Z889" s="20">
        <v>1.14805</v>
      </c>
      <c r="AA889" s="30">
        <v>9.9800000000000069E-2</v>
      </c>
      <c r="AB889" s="27">
        <v>0.01</v>
      </c>
      <c r="AC889" s="27">
        <v>0.1056</v>
      </c>
      <c r="AD889" s="11">
        <v>9.8127463071124535E-2</v>
      </c>
    </row>
    <row r="890" spans="1:30" x14ac:dyDescent="0.25">
      <c r="A890" s="13">
        <v>45156</v>
      </c>
      <c r="B890" s="46" t="s">
        <v>636</v>
      </c>
      <c r="C890" s="13">
        <v>45156</v>
      </c>
      <c r="D890" s="15" t="s">
        <v>997</v>
      </c>
      <c r="E890" s="15">
        <v>182</v>
      </c>
      <c r="F890" s="15">
        <v>180</v>
      </c>
      <c r="G890" s="13">
        <v>45338</v>
      </c>
      <c r="H890" s="17">
        <v>3300</v>
      </c>
      <c r="I890" s="19">
        <v>5442.4700000000012</v>
      </c>
      <c r="J890" s="20">
        <v>1.6492333333333336</v>
      </c>
      <c r="K890" s="19">
        <v>3783.0700000000006</v>
      </c>
      <c r="L890" s="20">
        <v>1.1463848484848487</v>
      </c>
      <c r="M890" s="21">
        <v>0</v>
      </c>
      <c r="N890" s="19">
        <v>0</v>
      </c>
      <c r="O890" s="23">
        <v>660</v>
      </c>
      <c r="P890" s="24">
        <v>1027.19</v>
      </c>
      <c r="Q890" s="25">
        <v>1.556348484848485</v>
      </c>
      <c r="R890" s="24">
        <v>660</v>
      </c>
      <c r="S890" s="25">
        <v>1</v>
      </c>
      <c r="T890" s="26">
        <v>0.64255555555555555</v>
      </c>
      <c r="U890" s="24">
        <v>0</v>
      </c>
      <c r="V890" s="19">
        <v>3960</v>
      </c>
      <c r="W890" s="19">
        <v>6469.6600000000017</v>
      </c>
      <c r="X890" s="21">
        <v>1.6337525252525256</v>
      </c>
      <c r="Y890" s="19">
        <v>4443.0700000000006</v>
      </c>
      <c r="Z890" s="20">
        <v>1.1219873737373738</v>
      </c>
      <c r="AA890" s="30">
        <v>9.7699999999999967E-2</v>
      </c>
      <c r="AB890" s="27">
        <v>0.01</v>
      </c>
      <c r="AC890" s="27">
        <v>0.1007</v>
      </c>
      <c r="AD890" s="11">
        <v>9.2305708070049078E-2</v>
      </c>
    </row>
    <row r="891" spans="1:30" x14ac:dyDescent="0.25">
      <c r="A891" s="13">
        <v>45159</v>
      </c>
      <c r="B891" s="46" t="s">
        <v>636</v>
      </c>
      <c r="C891" s="13">
        <v>45159</v>
      </c>
      <c r="D891" s="15" t="s">
        <v>998</v>
      </c>
      <c r="E891" s="15">
        <v>35</v>
      </c>
      <c r="F891" s="15">
        <v>30</v>
      </c>
      <c r="G891" s="13">
        <v>45194</v>
      </c>
      <c r="H891" s="17">
        <v>4600</v>
      </c>
      <c r="I891" s="19">
        <v>8946.7799999999988</v>
      </c>
      <c r="J891" s="20">
        <v>1.944952173913044</v>
      </c>
      <c r="K891" s="19">
        <v>4585.17</v>
      </c>
      <c r="L891" s="20">
        <v>0.99677608695652176</v>
      </c>
      <c r="M891" s="21">
        <v>0</v>
      </c>
      <c r="N891" s="19">
        <v>0</v>
      </c>
      <c r="O891" s="23">
        <v>920</v>
      </c>
      <c r="P891" s="24">
        <v>1548.21</v>
      </c>
      <c r="Q891" s="25">
        <v>1.6828369565217391</v>
      </c>
      <c r="R891" s="24">
        <v>917.03400000000011</v>
      </c>
      <c r="S891" s="25">
        <v>0.99677608695652187</v>
      </c>
      <c r="T891" s="26">
        <v>0.59232121212121214</v>
      </c>
      <c r="U891" s="24">
        <v>0</v>
      </c>
      <c r="V891" s="19">
        <v>5520</v>
      </c>
      <c r="W891" s="19">
        <v>10494.989999999998</v>
      </c>
      <c r="X891" s="21">
        <v>1.9012663043478257</v>
      </c>
      <c r="Y891" s="19">
        <v>5502.2039999999997</v>
      </c>
      <c r="Z891" s="20">
        <v>0.99677608695652165</v>
      </c>
      <c r="AA891" s="30">
        <v>9.9499999999999936E-2</v>
      </c>
      <c r="AB891" s="27">
        <v>0.01</v>
      </c>
      <c r="AC891" s="27">
        <v>0.10550000000000001</v>
      </c>
      <c r="AD891" s="11">
        <v>9.7652507159000229E-2</v>
      </c>
    </row>
    <row r="892" spans="1:30" x14ac:dyDescent="0.25">
      <c r="A892" s="13">
        <v>45160</v>
      </c>
      <c r="B892" s="46" t="s">
        <v>636</v>
      </c>
      <c r="C892" s="13">
        <v>45160</v>
      </c>
      <c r="D892" s="15" t="s">
        <v>999</v>
      </c>
      <c r="E892" s="15">
        <v>92</v>
      </c>
      <c r="F892" s="15">
        <v>90</v>
      </c>
      <c r="G892" s="13">
        <v>45252</v>
      </c>
      <c r="H892" s="17">
        <v>2900</v>
      </c>
      <c r="I892" s="19">
        <v>2987.08</v>
      </c>
      <c r="J892" s="20">
        <v>1.0300275862068966</v>
      </c>
      <c r="K892" s="19">
        <v>2027.0800000000002</v>
      </c>
      <c r="L892" s="20">
        <v>0.69899310344827592</v>
      </c>
      <c r="M892" s="21">
        <v>0</v>
      </c>
      <c r="N892" s="19">
        <v>0</v>
      </c>
      <c r="O892" s="23">
        <v>580</v>
      </c>
      <c r="P892" s="24">
        <v>582.6</v>
      </c>
      <c r="Q892" s="25">
        <v>1.0044827586206897</v>
      </c>
      <c r="R892" s="24">
        <v>405.416</v>
      </c>
      <c r="S892" s="25">
        <v>0.69899310344827581</v>
      </c>
      <c r="T892" s="26">
        <v>0.69588461538461532</v>
      </c>
      <c r="U892" s="24">
        <v>0</v>
      </c>
      <c r="V892" s="19">
        <v>3480</v>
      </c>
      <c r="W892" s="19">
        <v>3569.68</v>
      </c>
      <c r="X892" s="21">
        <v>1.0257701149425287</v>
      </c>
      <c r="Y892" s="19">
        <v>2432.4960000000001</v>
      </c>
      <c r="Z892" s="20">
        <v>0.69899310344827592</v>
      </c>
      <c r="AA892" s="30">
        <v>9.9800000000000055E-2</v>
      </c>
      <c r="AB892" s="27">
        <v>0.01</v>
      </c>
      <c r="AC892" s="27">
        <v>0.107</v>
      </c>
      <c r="AD892" s="11">
        <v>9.7128366163611285E-2</v>
      </c>
    </row>
    <row r="893" spans="1:30" x14ac:dyDescent="0.25">
      <c r="A893" s="13">
        <v>45161</v>
      </c>
      <c r="B893" s="46" t="s">
        <v>636</v>
      </c>
      <c r="C893" s="13">
        <v>45162</v>
      </c>
      <c r="D893" s="15" t="s">
        <v>1000</v>
      </c>
      <c r="E893" s="15">
        <v>351</v>
      </c>
      <c r="F893" s="15">
        <v>360</v>
      </c>
      <c r="G893" s="13">
        <v>45513</v>
      </c>
      <c r="H893" s="17">
        <v>5800</v>
      </c>
      <c r="I893" s="19">
        <v>6844.17</v>
      </c>
      <c r="J893" s="20">
        <v>1.1800293103448274</v>
      </c>
      <c r="K893" s="19">
        <v>5644.17</v>
      </c>
      <c r="L893" s="20">
        <v>0.97313275862068971</v>
      </c>
      <c r="M893" s="21">
        <v>0</v>
      </c>
      <c r="N893" s="19">
        <v>0</v>
      </c>
      <c r="O893" s="23">
        <v>1160</v>
      </c>
      <c r="P893" s="24">
        <v>1319.17</v>
      </c>
      <c r="Q893" s="25">
        <v>1.1372155172413794</v>
      </c>
      <c r="R893" s="24">
        <v>1128.8340000000001</v>
      </c>
      <c r="S893" s="25">
        <v>0.97313275862068971</v>
      </c>
      <c r="T893" s="26">
        <v>0.85571827057182714</v>
      </c>
      <c r="U893" s="24">
        <v>0</v>
      </c>
      <c r="V893" s="19">
        <v>6960</v>
      </c>
      <c r="W893" s="19">
        <v>8163.34</v>
      </c>
      <c r="X893" s="21">
        <v>1.1728936781609196</v>
      </c>
      <c r="Y893" s="19">
        <v>6773.0039999999999</v>
      </c>
      <c r="Z893" s="20">
        <v>0.9731327586206896</v>
      </c>
      <c r="AA893" s="30">
        <v>9.6200000000000035E-2</v>
      </c>
      <c r="AB893" s="27">
        <v>0.06</v>
      </c>
      <c r="AC893" s="27">
        <v>9.9900000000000003E-2</v>
      </c>
      <c r="AD893" s="11">
        <v>9.4766193563280865E-2</v>
      </c>
    </row>
    <row r="894" spans="1:30" x14ac:dyDescent="0.25">
      <c r="A894" s="13">
        <v>45166</v>
      </c>
      <c r="B894" s="46" t="s">
        <v>636</v>
      </c>
      <c r="C894" s="13">
        <v>45166</v>
      </c>
      <c r="D894" s="15" t="s">
        <v>1001</v>
      </c>
      <c r="E894" s="15">
        <v>35</v>
      </c>
      <c r="F894" s="15">
        <v>30</v>
      </c>
      <c r="G894" s="13">
        <v>45201</v>
      </c>
      <c r="H894" s="17">
        <v>3800</v>
      </c>
      <c r="I894" s="19">
        <v>5002.38</v>
      </c>
      <c r="J894" s="20">
        <v>1.3164157894736852</v>
      </c>
      <c r="K894" s="19">
        <v>3677.3800000000006</v>
      </c>
      <c r="L894" s="20">
        <v>0.96773157894736861</v>
      </c>
      <c r="M894" s="21">
        <v>0</v>
      </c>
      <c r="N894" s="19">
        <v>0</v>
      </c>
      <c r="O894" s="23">
        <v>760</v>
      </c>
      <c r="P894" s="24">
        <v>850.74</v>
      </c>
      <c r="Q894" s="25">
        <v>1.1193947368421051</v>
      </c>
      <c r="R894" s="24">
        <v>735.47599999999989</v>
      </c>
      <c r="S894" s="25">
        <v>0.96773157894736828</v>
      </c>
      <c r="T894" s="26">
        <v>0.8645205479452055</v>
      </c>
      <c r="U894" s="24">
        <v>0</v>
      </c>
      <c r="V894" s="19">
        <v>4560</v>
      </c>
      <c r="W894" s="19">
        <v>5853.12</v>
      </c>
      <c r="X894" s="21">
        <v>1.2835789473684209</v>
      </c>
      <c r="Y894" s="19">
        <v>4412.8560000000007</v>
      </c>
      <c r="Z894" s="20">
        <v>0.96773157894736861</v>
      </c>
      <c r="AA894" s="30">
        <v>9.7999999999999976E-2</v>
      </c>
      <c r="AB894" s="27">
        <v>1.3000000000000001E-2</v>
      </c>
      <c r="AC894" s="27">
        <v>0.1048</v>
      </c>
      <c r="AD894" s="11">
        <v>9.6417991635981221E-2</v>
      </c>
    </row>
    <row r="895" spans="1:30" x14ac:dyDescent="0.25">
      <c r="A895" s="13">
        <v>45167</v>
      </c>
      <c r="B895" s="46" t="s">
        <v>636</v>
      </c>
      <c r="C895" s="13">
        <v>45168</v>
      </c>
      <c r="D895" s="15" t="s">
        <v>1002</v>
      </c>
      <c r="E895" s="15">
        <v>763</v>
      </c>
      <c r="F895" s="15">
        <v>720</v>
      </c>
      <c r="G895" s="13">
        <v>45931</v>
      </c>
      <c r="H895" s="17">
        <v>3800</v>
      </c>
      <c r="I895" s="19">
        <v>5665.0199999999995</v>
      </c>
      <c r="J895" s="20">
        <v>1.4907947368421051</v>
      </c>
      <c r="K895" s="19">
        <v>3965.0199999999995</v>
      </c>
      <c r="L895" s="20">
        <v>1.0434263157894736</v>
      </c>
      <c r="M895" s="21">
        <v>0</v>
      </c>
      <c r="N895" s="19">
        <v>0</v>
      </c>
      <c r="O895" s="23">
        <v>760</v>
      </c>
      <c r="P895" s="24">
        <v>960</v>
      </c>
      <c r="Q895" s="25">
        <v>1.263157894736842</v>
      </c>
      <c r="R895" s="24">
        <v>760</v>
      </c>
      <c r="S895" s="25">
        <v>1</v>
      </c>
      <c r="T895" s="26">
        <v>0.79166671052631576</v>
      </c>
      <c r="U895" s="24">
        <v>0</v>
      </c>
      <c r="V895" s="19">
        <v>4560</v>
      </c>
      <c r="W895" s="19">
        <v>6625.0199999999995</v>
      </c>
      <c r="X895" s="21">
        <v>1.4528552631578946</v>
      </c>
      <c r="Y895" s="19">
        <v>4725.0199999999995</v>
      </c>
      <c r="Z895" s="20">
        <v>1.0361885964912281</v>
      </c>
      <c r="AA895" s="30">
        <v>9.3900000000000053E-2</v>
      </c>
      <c r="AB895" s="27">
        <v>0.08</v>
      </c>
      <c r="AC895" s="27">
        <v>9.7200000000000009E-2</v>
      </c>
      <c r="AD895" s="11">
        <v>9.3078652855594496E-2</v>
      </c>
    </row>
    <row r="896" spans="1:30" x14ac:dyDescent="0.25">
      <c r="A896" s="13">
        <v>45168</v>
      </c>
      <c r="B896" s="46" t="s">
        <v>636</v>
      </c>
      <c r="C896" s="13">
        <v>45168</v>
      </c>
      <c r="D896" s="15" t="s">
        <v>1003</v>
      </c>
      <c r="E896" s="15">
        <v>84</v>
      </c>
      <c r="F896" s="15">
        <v>90</v>
      </c>
      <c r="G896" s="13">
        <v>45252</v>
      </c>
      <c r="H896" s="17">
        <v>2800</v>
      </c>
      <c r="I896" s="19">
        <v>2379.52</v>
      </c>
      <c r="J896" s="20">
        <v>0.84982857142857138</v>
      </c>
      <c r="K896" s="19">
        <v>2099.52</v>
      </c>
      <c r="L896" s="20">
        <v>0.7498285714285714</v>
      </c>
      <c r="M896" s="21">
        <v>0</v>
      </c>
      <c r="N896" s="19">
        <v>0</v>
      </c>
      <c r="O896" s="23">
        <v>560</v>
      </c>
      <c r="P896" s="24">
        <v>1065.24</v>
      </c>
      <c r="Q896" s="25">
        <v>1.9022142857142856</v>
      </c>
      <c r="R896" s="24">
        <v>419.90400000000005</v>
      </c>
      <c r="S896" s="25">
        <v>0.74982857142857151</v>
      </c>
      <c r="T896" s="26">
        <v>0.39418733333333333</v>
      </c>
      <c r="U896" s="24">
        <v>0</v>
      </c>
      <c r="V896" s="19">
        <v>3360</v>
      </c>
      <c r="W896" s="19">
        <v>3444.76</v>
      </c>
      <c r="X896" s="21">
        <v>1.0252261904761906</v>
      </c>
      <c r="Y896" s="19">
        <v>2519.424</v>
      </c>
      <c r="Z896" s="20">
        <v>0.7498285714285714</v>
      </c>
      <c r="AA896" s="30">
        <v>9.9800000000000069E-2</v>
      </c>
      <c r="AB896" s="27">
        <v>0.01</v>
      </c>
      <c r="AC896" s="27">
        <v>0.10199999999999999</v>
      </c>
      <c r="AD896" s="11">
        <v>9.4140934726331366E-2</v>
      </c>
    </row>
    <row r="897" spans="1:30" x14ac:dyDescent="0.25">
      <c r="A897" s="13">
        <v>45170</v>
      </c>
      <c r="B897" s="46" t="s">
        <v>636</v>
      </c>
      <c r="C897" s="13">
        <v>45170</v>
      </c>
      <c r="D897" s="15" t="s">
        <v>1004</v>
      </c>
      <c r="E897" s="15">
        <v>168</v>
      </c>
      <c r="F897" s="15">
        <v>180</v>
      </c>
      <c r="G897" s="13">
        <v>45338</v>
      </c>
      <c r="H897" s="17">
        <v>3000</v>
      </c>
      <c r="I897" s="19">
        <v>3395.56</v>
      </c>
      <c r="J897" s="20">
        <v>1.1318533333333334</v>
      </c>
      <c r="K897" s="19">
        <v>2395.56</v>
      </c>
      <c r="L897" s="20">
        <v>0.79852000000000001</v>
      </c>
      <c r="M897" s="21">
        <v>0</v>
      </c>
      <c r="N897" s="19">
        <v>0</v>
      </c>
      <c r="O897" s="23">
        <v>600</v>
      </c>
      <c r="P897" s="24">
        <v>219.8</v>
      </c>
      <c r="Q897" s="25">
        <v>0.36633333333333334</v>
      </c>
      <c r="R897" s="24">
        <v>219.8</v>
      </c>
      <c r="S897" s="25">
        <v>0.36633333333333334</v>
      </c>
      <c r="T897" s="26">
        <v>0</v>
      </c>
      <c r="U897" s="24">
        <v>0</v>
      </c>
      <c r="V897" s="19">
        <v>3600</v>
      </c>
      <c r="W897" s="19">
        <v>3615.36</v>
      </c>
      <c r="X897" s="21">
        <v>1.0042666666666666</v>
      </c>
      <c r="Y897" s="19">
        <v>2615.36</v>
      </c>
      <c r="Z897" s="20">
        <v>0.72648888888888896</v>
      </c>
      <c r="AA897" s="30">
        <v>9.9399999999999988E-2</v>
      </c>
      <c r="AB897" s="27">
        <v>0.01</v>
      </c>
      <c r="AC897" s="27">
        <v>0.10199999999999999</v>
      </c>
      <c r="AD897" s="11">
        <v>9.4652019696309306E-2</v>
      </c>
    </row>
    <row r="898" spans="1:30" ht="15.75" customHeight="1" x14ac:dyDescent="0.25">
      <c r="A898" s="13">
        <v>45173</v>
      </c>
      <c r="B898" s="46" t="s">
        <v>636</v>
      </c>
      <c r="C898" s="13">
        <v>45173</v>
      </c>
      <c r="D898" s="15" t="s">
        <v>1005</v>
      </c>
      <c r="E898" s="15">
        <v>28</v>
      </c>
      <c r="F898" s="15">
        <v>30</v>
      </c>
      <c r="G898" s="13">
        <v>45201</v>
      </c>
      <c r="H898" s="17">
        <v>5000</v>
      </c>
      <c r="I898" s="19">
        <v>7136.52</v>
      </c>
      <c r="J898" s="20">
        <v>1.4273040000000004</v>
      </c>
      <c r="K898" s="19">
        <v>5186.5200000000004</v>
      </c>
      <c r="L898" s="20">
        <v>1.037304</v>
      </c>
      <c r="M898" s="21">
        <v>0</v>
      </c>
      <c r="N898" s="19">
        <v>0</v>
      </c>
      <c r="O898" s="23">
        <v>1000</v>
      </c>
      <c r="P898" s="24">
        <v>1041.1999999999998</v>
      </c>
      <c r="Q898" s="25">
        <v>1.0411999999999999</v>
      </c>
      <c r="R898" s="24">
        <v>1000</v>
      </c>
      <c r="S898" s="25">
        <v>1</v>
      </c>
      <c r="T898" s="26">
        <v>0.96043150684931511</v>
      </c>
      <c r="U898" s="24">
        <v>0</v>
      </c>
      <c r="V898" s="19">
        <v>6000</v>
      </c>
      <c r="W898" s="19">
        <v>8177.72</v>
      </c>
      <c r="X898" s="21">
        <v>1.3629533333333335</v>
      </c>
      <c r="Y898" s="19">
        <v>6186.52</v>
      </c>
      <c r="Z898" s="20">
        <v>1.0310866666666667</v>
      </c>
      <c r="AA898" s="30">
        <v>9.7900000000000056E-2</v>
      </c>
      <c r="AB898" s="27">
        <v>0.01</v>
      </c>
      <c r="AC898" s="27">
        <v>0.1023</v>
      </c>
      <c r="AD898" s="11">
        <v>9.237597386401214E-2</v>
      </c>
    </row>
    <row r="899" spans="1:30" x14ac:dyDescent="0.25">
      <c r="A899" s="13">
        <v>45175</v>
      </c>
      <c r="B899" s="46" t="s">
        <v>636</v>
      </c>
      <c r="C899" s="13">
        <v>45175</v>
      </c>
      <c r="D899" s="15" t="s">
        <v>1006</v>
      </c>
      <c r="E899" s="15">
        <v>77</v>
      </c>
      <c r="F899" s="15">
        <v>90</v>
      </c>
      <c r="G899" s="13">
        <v>45252</v>
      </c>
      <c r="H899" s="17">
        <v>3300</v>
      </c>
      <c r="I899" s="19">
        <v>8959.4599999999991</v>
      </c>
      <c r="J899" s="20">
        <v>2.7149878787878787</v>
      </c>
      <c r="K899" s="19">
        <v>3317.3499999999995</v>
      </c>
      <c r="L899" s="20">
        <v>1.0052575757575757</v>
      </c>
      <c r="M899" s="21">
        <v>0</v>
      </c>
      <c r="N899" s="19">
        <v>0</v>
      </c>
      <c r="O899" s="23">
        <v>660</v>
      </c>
      <c r="P899" s="24">
        <v>796.81000000000006</v>
      </c>
      <c r="Q899" s="25">
        <v>1.2072878787878789</v>
      </c>
      <c r="R899" s="24">
        <v>660</v>
      </c>
      <c r="S899" s="25">
        <v>1</v>
      </c>
      <c r="T899" s="26">
        <v>0.82830499999999996</v>
      </c>
      <c r="U899" s="24">
        <v>0</v>
      </c>
      <c r="V899" s="19">
        <v>3960</v>
      </c>
      <c r="W899" s="19">
        <v>9756.2699999999986</v>
      </c>
      <c r="X899" s="21">
        <v>2.463704545454545</v>
      </c>
      <c r="Y899" s="19">
        <v>3977.3499999999995</v>
      </c>
      <c r="Z899" s="20">
        <v>1.0043813131313131</v>
      </c>
      <c r="AA899" s="30">
        <v>9.400000000000007E-2</v>
      </c>
      <c r="AB899" s="27">
        <v>0.01</v>
      </c>
      <c r="AC899" s="27">
        <v>0.1017</v>
      </c>
      <c r="AD899" s="11">
        <v>9.1950953182446282E-2</v>
      </c>
    </row>
    <row r="900" spans="1:30" x14ac:dyDescent="0.25">
      <c r="A900" s="13">
        <v>45176</v>
      </c>
      <c r="B900" s="46" t="s">
        <v>636</v>
      </c>
      <c r="C900" s="13">
        <v>45177</v>
      </c>
      <c r="D900" s="15" t="s">
        <v>1007</v>
      </c>
      <c r="E900" s="15">
        <v>364</v>
      </c>
      <c r="F900" s="15">
        <v>360</v>
      </c>
      <c r="G900" s="13">
        <v>45541</v>
      </c>
      <c r="H900" s="17">
        <v>4200</v>
      </c>
      <c r="I900" s="19">
        <v>7073.4100000000008</v>
      </c>
      <c r="J900" s="20">
        <v>1.684145238095238</v>
      </c>
      <c r="K900" s="19">
        <v>4505.7999999999993</v>
      </c>
      <c r="L900" s="20">
        <v>1.0728095238095237</v>
      </c>
      <c r="M900" s="21">
        <v>0</v>
      </c>
      <c r="N900" s="19">
        <v>0</v>
      </c>
      <c r="O900" s="23">
        <v>840</v>
      </c>
      <c r="P900" s="24">
        <v>801.6</v>
      </c>
      <c r="Q900" s="25">
        <v>0.95428571428571418</v>
      </c>
      <c r="R900" s="24">
        <v>801.6</v>
      </c>
      <c r="S900" s="25">
        <v>0.95428571428571429</v>
      </c>
      <c r="T900" s="26">
        <v>0</v>
      </c>
      <c r="U900" s="24">
        <v>0</v>
      </c>
      <c r="V900" s="19">
        <v>5040</v>
      </c>
      <c r="W900" s="19">
        <v>7875.0100000000011</v>
      </c>
      <c r="X900" s="21">
        <v>1.5625019841269843</v>
      </c>
      <c r="Y900" s="19">
        <v>5307.4</v>
      </c>
      <c r="Z900" s="20">
        <v>1.0530555555555554</v>
      </c>
      <c r="AA900" s="30">
        <v>9.2200000000000046E-2</v>
      </c>
      <c r="AB900" s="27">
        <v>0.01</v>
      </c>
      <c r="AC900" s="27">
        <v>9.9399999999999988E-2</v>
      </c>
      <c r="AD900" s="11">
        <v>8.8721516354912253E-2</v>
      </c>
    </row>
    <row r="901" spans="1:30" x14ac:dyDescent="0.25">
      <c r="A901" s="13">
        <v>45180</v>
      </c>
      <c r="B901" s="46" t="s">
        <v>636</v>
      </c>
      <c r="C901" s="13">
        <v>45180</v>
      </c>
      <c r="D901" s="15" t="s">
        <v>1008</v>
      </c>
      <c r="E901" s="15">
        <v>28</v>
      </c>
      <c r="F901" s="15">
        <v>30</v>
      </c>
      <c r="G901" s="13">
        <v>45208</v>
      </c>
      <c r="H901" s="17">
        <v>5000</v>
      </c>
      <c r="I901" s="19">
        <v>9020.32</v>
      </c>
      <c r="J901" s="20">
        <v>1.8040639999999999</v>
      </c>
      <c r="K901" s="19">
        <v>5120.32</v>
      </c>
      <c r="L901" s="20">
        <v>1.0240639999999999</v>
      </c>
      <c r="M901" s="21">
        <v>0</v>
      </c>
      <c r="N901" s="19">
        <v>0</v>
      </c>
      <c r="O901" s="23">
        <v>1000</v>
      </c>
      <c r="P901" s="24">
        <v>1278.54</v>
      </c>
      <c r="Q901" s="25">
        <v>1.27854</v>
      </c>
      <c r="R901" s="24">
        <v>1000</v>
      </c>
      <c r="S901" s="25">
        <v>1</v>
      </c>
      <c r="T901" s="26">
        <v>0.78214333333333341</v>
      </c>
      <c r="U901" s="24">
        <v>0</v>
      </c>
      <c r="V901" s="19">
        <v>6000</v>
      </c>
      <c r="W901" s="19">
        <v>10298.86</v>
      </c>
      <c r="X901" s="21">
        <v>1.7164766666666669</v>
      </c>
      <c r="Y901" s="19">
        <v>6120.32</v>
      </c>
      <c r="Z901" s="20">
        <v>1.0200533333333333</v>
      </c>
      <c r="AA901" s="30">
        <v>9.5899999999999958E-2</v>
      </c>
      <c r="AB901" s="27">
        <v>0.01</v>
      </c>
      <c r="AC901" s="27">
        <v>0.1012</v>
      </c>
      <c r="AD901" s="11">
        <v>9.1797993973606232E-2</v>
      </c>
    </row>
    <row r="902" spans="1:30" x14ac:dyDescent="0.25">
      <c r="A902" s="13">
        <v>45182</v>
      </c>
      <c r="B902" s="46" t="s">
        <v>636</v>
      </c>
      <c r="C902" s="13">
        <v>45182</v>
      </c>
      <c r="D902" s="15" t="s">
        <v>1009</v>
      </c>
      <c r="E902" s="15">
        <v>98</v>
      </c>
      <c r="F902" s="15">
        <v>90</v>
      </c>
      <c r="G902" s="13">
        <v>45280</v>
      </c>
      <c r="H902" s="17">
        <v>3300</v>
      </c>
      <c r="I902" s="19">
        <v>4006.31</v>
      </c>
      <c r="J902" s="20">
        <v>1.2140333333333331</v>
      </c>
      <c r="K902" s="19">
        <v>3556.31</v>
      </c>
      <c r="L902" s="20">
        <v>1.0776696969696971</v>
      </c>
      <c r="M902" s="21">
        <v>0</v>
      </c>
      <c r="N902" s="19">
        <v>0</v>
      </c>
      <c r="O902" s="23">
        <v>660</v>
      </c>
      <c r="P902" s="24">
        <v>552.91</v>
      </c>
      <c r="Q902" s="25">
        <v>0.83774242424242418</v>
      </c>
      <c r="R902" s="24">
        <v>552.91</v>
      </c>
      <c r="S902" s="25">
        <v>0.83774242424242418</v>
      </c>
      <c r="T902" s="26">
        <v>0</v>
      </c>
      <c r="U902" s="24">
        <v>0</v>
      </c>
      <c r="V902" s="19">
        <v>3960</v>
      </c>
      <c r="W902" s="19">
        <v>4559.22</v>
      </c>
      <c r="X902" s="21">
        <v>1.1513181818181819</v>
      </c>
      <c r="Y902" s="19">
        <v>4109.22</v>
      </c>
      <c r="Z902" s="20">
        <v>1.0376818181818181</v>
      </c>
      <c r="AA902" s="30">
        <v>9.540000000000004E-2</v>
      </c>
      <c r="AB902" s="27">
        <v>0.01</v>
      </c>
      <c r="AC902" s="27">
        <v>9.9700000000000011E-2</v>
      </c>
      <c r="AD902" s="11">
        <v>8.5113246104270526E-2</v>
      </c>
    </row>
    <row r="903" spans="1:30" x14ac:dyDescent="0.25">
      <c r="A903" s="13">
        <v>45184</v>
      </c>
      <c r="B903" s="46" t="s">
        <v>636</v>
      </c>
      <c r="C903" s="13">
        <v>45184</v>
      </c>
      <c r="D903" s="15" t="s">
        <v>1010</v>
      </c>
      <c r="E903" s="15">
        <v>189</v>
      </c>
      <c r="F903" s="15">
        <v>180</v>
      </c>
      <c r="G903" s="55">
        <v>45373</v>
      </c>
      <c r="H903" s="17">
        <v>4200</v>
      </c>
      <c r="I903" s="19">
        <v>8598.26</v>
      </c>
      <c r="J903" s="20">
        <v>2.0472047619047604</v>
      </c>
      <c r="K903" s="19">
        <v>4579.8</v>
      </c>
      <c r="L903" s="20">
        <v>1.0904285714285715</v>
      </c>
      <c r="M903" s="21">
        <v>0</v>
      </c>
      <c r="N903" s="19">
        <v>0</v>
      </c>
      <c r="O903" s="23">
        <v>840</v>
      </c>
      <c r="P903" s="24">
        <v>567.20999999999992</v>
      </c>
      <c r="Q903" s="25">
        <v>0.67525000000000013</v>
      </c>
      <c r="R903" s="24">
        <v>567.20999999999992</v>
      </c>
      <c r="S903" s="25">
        <v>0.67524999999999991</v>
      </c>
      <c r="T903" s="26">
        <v>0</v>
      </c>
      <c r="U903" s="24">
        <v>0</v>
      </c>
      <c r="V903" s="19">
        <v>5040</v>
      </c>
      <c r="W903" s="19">
        <v>9165.4699999999993</v>
      </c>
      <c r="X903" s="21">
        <v>1.8185456349206348</v>
      </c>
      <c r="Y903" s="19">
        <v>5147.01</v>
      </c>
      <c r="Z903" s="20">
        <v>1.0212321428571429</v>
      </c>
      <c r="AA903" s="30">
        <v>9.2999999999999985E-2</v>
      </c>
      <c r="AB903" s="27">
        <v>0.01</v>
      </c>
      <c r="AC903" s="27">
        <v>9.9399999999999988E-2</v>
      </c>
      <c r="AD903" s="11">
        <v>8.9464385817595637E-2</v>
      </c>
    </row>
    <row r="904" spans="1:30" x14ac:dyDescent="0.25">
      <c r="A904" s="13">
        <v>45187</v>
      </c>
      <c r="B904" s="46" t="s">
        <v>636</v>
      </c>
      <c r="C904" s="13">
        <v>45187</v>
      </c>
      <c r="D904" s="15" t="s">
        <v>1011</v>
      </c>
      <c r="E904" s="15">
        <v>35</v>
      </c>
      <c r="F904" s="15">
        <v>30</v>
      </c>
      <c r="G904" s="55">
        <v>45222</v>
      </c>
      <c r="H904" s="17">
        <v>5000</v>
      </c>
      <c r="I904" s="19">
        <v>5655.72</v>
      </c>
      <c r="J904" s="20">
        <v>1.1311440000000001</v>
      </c>
      <c r="K904" s="19">
        <v>4955.72</v>
      </c>
      <c r="L904" s="20">
        <v>0.99114400000000002</v>
      </c>
      <c r="M904" s="21">
        <v>0</v>
      </c>
      <c r="N904" s="19">
        <v>0</v>
      </c>
      <c r="O904" s="23">
        <v>1000</v>
      </c>
      <c r="P904" s="24">
        <v>534.95000000000005</v>
      </c>
      <c r="Q904" s="25">
        <v>0.53495000000000004</v>
      </c>
      <c r="R904" s="24">
        <v>534.95000000000005</v>
      </c>
      <c r="S904" s="25">
        <v>0.53495000000000004</v>
      </c>
      <c r="T904" s="26">
        <v>0</v>
      </c>
      <c r="U904" s="24">
        <v>0</v>
      </c>
      <c r="V904" s="19">
        <v>6000</v>
      </c>
      <c r="W904" s="19">
        <v>6190.67</v>
      </c>
      <c r="X904" s="21">
        <v>1.0317783333333332</v>
      </c>
      <c r="Y904" s="19">
        <v>5490.67</v>
      </c>
      <c r="Z904" s="20">
        <v>0.91511166666666666</v>
      </c>
      <c r="AA904" s="30">
        <v>9.8800000000000096E-2</v>
      </c>
      <c r="AB904" s="27">
        <v>0.03</v>
      </c>
      <c r="AC904" s="27">
        <v>0.1023</v>
      </c>
      <c r="AD904" s="11">
        <v>9.3081421109955959E-2</v>
      </c>
    </row>
    <row r="905" spans="1:30" x14ac:dyDescent="0.25">
      <c r="A905" s="13">
        <v>45189</v>
      </c>
      <c r="B905" s="46" t="s">
        <v>636</v>
      </c>
      <c r="C905" s="13">
        <v>45189</v>
      </c>
      <c r="D905" s="15" t="s">
        <v>1013</v>
      </c>
      <c r="E905" s="15">
        <v>91</v>
      </c>
      <c r="F905" s="15">
        <v>90</v>
      </c>
      <c r="G905" s="55">
        <v>45280</v>
      </c>
      <c r="H905" s="17">
        <v>4200</v>
      </c>
      <c r="I905" s="19">
        <v>4331.22</v>
      </c>
      <c r="J905" s="20">
        <v>1.0312428571428571</v>
      </c>
      <c r="K905" s="19">
        <v>3331.2200000000003</v>
      </c>
      <c r="L905" s="20">
        <v>0.7931476190476191</v>
      </c>
      <c r="M905" s="21">
        <v>0</v>
      </c>
      <c r="N905" s="19">
        <v>0</v>
      </c>
      <c r="O905" s="23">
        <v>840</v>
      </c>
      <c r="P905" s="24">
        <v>605.56999999999994</v>
      </c>
      <c r="Q905" s="25">
        <v>0.72091666666666665</v>
      </c>
      <c r="R905" s="24">
        <v>605.56999999999994</v>
      </c>
      <c r="S905" s="25">
        <v>0.72091666666666654</v>
      </c>
      <c r="T905" s="26">
        <v>0</v>
      </c>
      <c r="U905" s="24">
        <v>0</v>
      </c>
      <c r="V905" s="19">
        <v>5040</v>
      </c>
      <c r="W905" s="19">
        <v>4936.79</v>
      </c>
      <c r="X905" s="21">
        <v>0.97952182539682542</v>
      </c>
      <c r="Y905" s="19">
        <v>3936.79</v>
      </c>
      <c r="Z905" s="20">
        <v>0.78110912698412693</v>
      </c>
      <c r="AA905" s="30">
        <v>9.6799999999999997E-2</v>
      </c>
      <c r="AB905" s="27">
        <v>0.01</v>
      </c>
      <c r="AC905" s="27">
        <v>0.1</v>
      </c>
      <c r="AD905" s="11">
        <v>9.1321349411943975E-2</v>
      </c>
    </row>
    <row r="906" spans="1:30" x14ac:dyDescent="0.25">
      <c r="A906" s="13">
        <v>45190</v>
      </c>
      <c r="B906" s="46" t="s">
        <v>636</v>
      </c>
      <c r="C906" s="13">
        <v>45191</v>
      </c>
      <c r="D906" s="15" t="s">
        <v>1014</v>
      </c>
      <c r="E906" s="15">
        <v>350</v>
      </c>
      <c r="F906" s="15">
        <v>360</v>
      </c>
      <c r="G906" s="55">
        <v>45541</v>
      </c>
      <c r="H906" s="17">
        <v>5000</v>
      </c>
      <c r="I906" s="19">
        <v>5976.17</v>
      </c>
      <c r="J906" s="20">
        <v>1.1952340000000004</v>
      </c>
      <c r="K906" s="19">
        <v>5326.17</v>
      </c>
      <c r="L906" s="20">
        <v>1.065234</v>
      </c>
      <c r="M906" s="21">
        <v>0</v>
      </c>
      <c r="N906" s="19">
        <v>0</v>
      </c>
      <c r="O906" s="23">
        <v>1000</v>
      </c>
      <c r="P906" s="24">
        <v>101.21</v>
      </c>
      <c r="Q906" s="25">
        <v>0.10120999999999999</v>
      </c>
      <c r="R906" s="24">
        <v>101.21</v>
      </c>
      <c r="S906" s="25">
        <v>0.10120999999999999</v>
      </c>
      <c r="T906" s="26">
        <v>0</v>
      </c>
      <c r="U906" s="24">
        <v>0</v>
      </c>
      <c r="V906" s="19">
        <v>6000</v>
      </c>
      <c r="W906" s="19">
        <v>6077.38</v>
      </c>
      <c r="X906" s="21">
        <v>1.0128966666666668</v>
      </c>
      <c r="Y906" s="19">
        <v>5427.38</v>
      </c>
      <c r="Z906" s="20">
        <v>0.90456333333333339</v>
      </c>
      <c r="AA906" s="30">
        <v>9.5499999999999974E-2</v>
      </c>
      <c r="AB906" s="27">
        <v>0.04</v>
      </c>
      <c r="AC906" s="27">
        <v>9.8299999999999998E-2</v>
      </c>
      <c r="AD906" s="11">
        <v>9.1538703048942724E-2</v>
      </c>
    </row>
    <row r="907" spans="1:30" x14ac:dyDescent="0.25">
      <c r="A907" s="13">
        <v>45194</v>
      </c>
      <c r="B907" s="46" t="s">
        <v>636</v>
      </c>
      <c r="C907" s="13">
        <v>45194</v>
      </c>
      <c r="D907" s="15" t="s">
        <v>1015</v>
      </c>
      <c r="E907" s="15">
        <v>28</v>
      </c>
      <c r="F907" s="15">
        <v>30</v>
      </c>
      <c r="G907" s="13">
        <v>45222</v>
      </c>
      <c r="H907" s="17">
        <v>4200</v>
      </c>
      <c r="I907" s="19">
        <v>4455.21</v>
      </c>
      <c r="J907" s="20">
        <v>1.0607642857142858</v>
      </c>
      <c r="K907" s="19">
        <v>3805.21</v>
      </c>
      <c r="L907" s="20">
        <v>0.90600238095238095</v>
      </c>
      <c r="M907" s="21">
        <v>0</v>
      </c>
      <c r="N907" s="19">
        <v>0</v>
      </c>
      <c r="O907" s="23">
        <v>840</v>
      </c>
      <c r="P907" s="24">
        <v>615.87</v>
      </c>
      <c r="Q907" s="25">
        <v>0.73317857142857135</v>
      </c>
      <c r="R907" s="24">
        <v>615.87</v>
      </c>
      <c r="S907" s="25">
        <v>0.73317857142857146</v>
      </c>
      <c r="T907" s="26">
        <v>0</v>
      </c>
      <c r="U907" s="24">
        <v>0</v>
      </c>
      <c r="V907" s="19">
        <v>5040</v>
      </c>
      <c r="W907" s="19">
        <v>5071.08</v>
      </c>
      <c r="X907" s="21">
        <v>1.0061666666666667</v>
      </c>
      <c r="Y907" s="19">
        <v>4421.08</v>
      </c>
      <c r="Z907" s="20">
        <v>0.8771984126984127</v>
      </c>
      <c r="AA907" s="30">
        <v>9.8800000000000096E-2</v>
      </c>
      <c r="AB907" s="27">
        <v>0.01</v>
      </c>
      <c r="AC907" s="27">
        <v>0.1</v>
      </c>
      <c r="AD907" s="11">
        <v>9.0980826493027259E-2</v>
      </c>
    </row>
    <row r="908" spans="1:30" x14ac:dyDescent="0.25">
      <c r="A908" s="13">
        <v>45195</v>
      </c>
      <c r="B908" s="46" t="s">
        <v>636</v>
      </c>
      <c r="C908" s="13">
        <v>45196</v>
      </c>
      <c r="D908" s="15" t="s">
        <v>1016</v>
      </c>
      <c r="E908" s="15">
        <v>735</v>
      </c>
      <c r="F908" s="15">
        <v>720</v>
      </c>
      <c r="G908" s="13">
        <v>45931</v>
      </c>
      <c r="H908" s="17">
        <v>3300</v>
      </c>
      <c r="I908" s="19">
        <v>4256.2299999999996</v>
      </c>
      <c r="J908" s="20">
        <v>1.2897666666666665</v>
      </c>
      <c r="K908" s="19">
        <v>3256.2299999999996</v>
      </c>
      <c r="L908" s="20">
        <v>0.98673636363636352</v>
      </c>
      <c r="M908" s="21">
        <v>0</v>
      </c>
      <c r="N908" s="19">
        <v>0</v>
      </c>
      <c r="O908" s="23">
        <v>660</v>
      </c>
      <c r="P908" s="24">
        <v>0</v>
      </c>
      <c r="Q908" s="25">
        <v>0</v>
      </c>
      <c r="R908" s="24">
        <v>0</v>
      </c>
      <c r="S908" s="25">
        <v>0</v>
      </c>
      <c r="T908" s="26">
        <v>0</v>
      </c>
      <c r="U908" s="24">
        <v>0</v>
      </c>
      <c r="V908" s="19">
        <v>3960</v>
      </c>
      <c r="W908" s="19">
        <v>4256.2299999999996</v>
      </c>
      <c r="X908" s="21">
        <v>1.0748055555555553</v>
      </c>
      <c r="Y908" s="19">
        <v>3256.2299999999996</v>
      </c>
      <c r="Z908" s="20">
        <v>0.82228030303030297</v>
      </c>
      <c r="AA908" s="30">
        <v>9.600000000000003E-2</v>
      </c>
      <c r="AB908" s="27">
        <v>0.08</v>
      </c>
      <c r="AC908" s="27">
        <v>9.74E-2</v>
      </c>
      <c r="AD908" s="11">
        <v>9.4509576550139432E-2</v>
      </c>
    </row>
    <row r="909" spans="1:30" x14ac:dyDescent="0.25">
      <c r="A909" s="13">
        <v>45196</v>
      </c>
      <c r="B909" s="46" t="s">
        <v>636</v>
      </c>
      <c r="C909" s="13">
        <v>45196</v>
      </c>
      <c r="D909" s="15" t="s">
        <v>1017</v>
      </c>
      <c r="E909" s="15">
        <v>98</v>
      </c>
      <c r="F909" s="15">
        <v>90</v>
      </c>
      <c r="G909" s="13">
        <v>45294</v>
      </c>
      <c r="H909" s="17">
        <v>2900</v>
      </c>
      <c r="I909" s="19">
        <v>5327.670000000001</v>
      </c>
      <c r="J909" s="20">
        <v>1.8371275862068956</v>
      </c>
      <c r="K909" s="19">
        <v>3466.62</v>
      </c>
      <c r="L909" s="20">
        <v>1.1953862068965517</v>
      </c>
      <c r="M909" s="21">
        <v>0</v>
      </c>
      <c r="N909" s="19">
        <v>0</v>
      </c>
      <c r="O909" s="23">
        <v>580</v>
      </c>
      <c r="P909" s="24">
        <v>55.54</v>
      </c>
      <c r="Q909" s="25">
        <v>9.5758620689655155E-2</v>
      </c>
      <c r="R909" s="24">
        <v>55.54</v>
      </c>
      <c r="S909" s="25">
        <v>9.5758620689655169E-2</v>
      </c>
      <c r="T909" s="26">
        <v>0</v>
      </c>
      <c r="U909" s="24">
        <v>0</v>
      </c>
      <c r="V909" s="19">
        <v>3480</v>
      </c>
      <c r="W909" s="19">
        <v>5383.2100000000009</v>
      </c>
      <c r="X909" s="21">
        <v>1.5468994252873567</v>
      </c>
      <c r="Y909" s="19">
        <v>3522.16</v>
      </c>
      <c r="Z909" s="20">
        <v>1.0121149425287357</v>
      </c>
      <c r="AA909" s="30">
        <v>9.4800000000000134E-2</v>
      </c>
      <c r="AB909" s="27">
        <v>0.01</v>
      </c>
      <c r="AC909" s="27">
        <v>9.9000000000000005E-2</v>
      </c>
      <c r="AD909" s="11">
        <v>8.5607127318321138E-2</v>
      </c>
    </row>
    <row r="910" spans="1:30" x14ac:dyDescent="0.25">
      <c r="A910" s="13">
        <v>45198</v>
      </c>
      <c r="B910" s="46" t="s">
        <v>636</v>
      </c>
      <c r="C910" s="13">
        <v>45198</v>
      </c>
      <c r="D910" s="15" t="s">
        <v>1018</v>
      </c>
      <c r="E910" s="15">
        <v>175</v>
      </c>
      <c r="F910" s="15">
        <v>180</v>
      </c>
      <c r="G910" s="13">
        <v>45373</v>
      </c>
      <c r="H910" s="17">
        <v>2900</v>
      </c>
      <c r="I910" s="19">
        <v>3042.2</v>
      </c>
      <c r="J910" s="20">
        <v>1.0490344827586209</v>
      </c>
      <c r="K910" s="19">
        <v>2842.2</v>
      </c>
      <c r="L910" s="20">
        <v>0.98006896551724132</v>
      </c>
      <c r="M910" s="21">
        <v>0</v>
      </c>
      <c r="N910" s="19">
        <v>0</v>
      </c>
      <c r="O910" s="23">
        <v>580</v>
      </c>
      <c r="P910" s="24">
        <v>285.44</v>
      </c>
      <c r="Q910" s="25">
        <v>0.49213793103448272</v>
      </c>
      <c r="R910" s="24">
        <v>285.44</v>
      </c>
      <c r="S910" s="25">
        <v>0.49213793103448278</v>
      </c>
      <c r="T910" s="26">
        <v>0</v>
      </c>
      <c r="U910" s="24">
        <v>0</v>
      </c>
      <c r="V910" s="19">
        <v>3480</v>
      </c>
      <c r="W910" s="19">
        <v>3327.64</v>
      </c>
      <c r="X910" s="21">
        <v>0.9562183908045977</v>
      </c>
      <c r="Y910" s="19">
        <v>3127.64</v>
      </c>
      <c r="Z910" s="20">
        <v>0.89874712643678156</v>
      </c>
      <c r="AA910" s="30">
        <v>9.7199999999999967E-2</v>
      </c>
      <c r="AB910" s="27">
        <v>0.01</v>
      </c>
      <c r="AC910" s="27">
        <v>9.9499999999999991E-2</v>
      </c>
      <c r="AD910" s="11">
        <v>8.7512719084872778E-2</v>
      </c>
    </row>
    <row r="911" spans="1:30" x14ac:dyDescent="0.25">
      <c r="A911" s="13">
        <v>45201</v>
      </c>
      <c r="B911" s="46" t="s">
        <v>636</v>
      </c>
      <c r="C911" s="13">
        <v>45201</v>
      </c>
      <c r="D911" s="15" t="s">
        <v>1019</v>
      </c>
      <c r="E911" s="15">
        <v>35</v>
      </c>
      <c r="F911" s="15">
        <v>30</v>
      </c>
      <c r="G911" s="13">
        <v>45236</v>
      </c>
      <c r="H911" s="17">
        <v>5000</v>
      </c>
      <c r="I911" s="19">
        <v>7169.7399999999989</v>
      </c>
      <c r="J911" s="20">
        <v>1.433948</v>
      </c>
      <c r="K911" s="19">
        <v>5569.74</v>
      </c>
      <c r="L911" s="20">
        <v>1.1139479999999999</v>
      </c>
      <c r="M911" s="21">
        <v>0</v>
      </c>
      <c r="N911" s="19">
        <v>0</v>
      </c>
      <c r="O911" s="23">
        <v>1000</v>
      </c>
      <c r="P911" s="24">
        <v>866.08</v>
      </c>
      <c r="Q911" s="25">
        <v>0.86608000000000007</v>
      </c>
      <c r="R911" s="24">
        <v>866.08</v>
      </c>
      <c r="S911" s="25">
        <v>0.86608000000000007</v>
      </c>
      <c r="T911" s="26">
        <v>0</v>
      </c>
      <c r="U911" s="24">
        <v>0</v>
      </c>
      <c r="V911" s="19">
        <v>6000</v>
      </c>
      <c r="W911" s="19">
        <v>8035.8199999999988</v>
      </c>
      <c r="X911" s="21">
        <v>1.3393033333333331</v>
      </c>
      <c r="Y911" s="19">
        <v>6435.82</v>
      </c>
      <c r="Z911" s="20">
        <v>1.0726366666666667</v>
      </c>
      <c r="AA911" s="30">
        <v>9.6799999999999997E-2</v>
      </c>
      <c r="AB911" s="27">
        <v>0.02</v>
      </c>
      <c r="AC911" s="27">
        <v>0.1003</v>
      </c>
      <c r="AD911" s="11">
        <v>9.1141205120408852E-2</v>
      </c>
    </row>
    <row r="912" spans="1:30" x14ac:dyDescent="0.25">
      <c r="A912" s="13">
        <v>45203</v>
      </c>
      <c r="B912" s="46" t="s">
        <v>636</v>
      </c>
      <c r="C912" s="13">
        <v>45203</v>
      </c>
      <c r="D912" s="15" t="s">
        <v>1020</v>
      </c>
      <c r="E912" s="15">
        <v>91</v>
      </c>
      <c r="F912" s="15">
        <v>90</v>
      </c>
      <c r="G912" s="13">
        <v>45294</v>
      </c>
      <c r="H912" s="17">
        <v>3300</v>
      </c>
      <c r="I912" s="19">
        <v>3988.4600000000009</v>
      </c>
      <c r="J912" s="20">
        <v>1.2086242424242422</v>
      </c>
      <c r="K912" s="19">
        <v>3438.4600000000009</v>
      </c>
      <c r="L912" s="20">
        <v>1.0419575757575761</v>
      </c>
      <c r="M912" s="21">
        <v>0</v>
      </c>
      <c r="N912" s="19">
        <v>0</v>
      </c>
      <c r="O912" s="23">
        <v>660</v>
      </c>
      <c r="P912" s="24">
        <v>485.62</v>
      </c>
      <c r="Q912" s="25">
        <v>0.73578787878787877</v>
      </c>
      <c r="R912" s="24">
        <v>485.62</v>
      </c>
      <c r="S912" s="25">
        <v>0.73578787878787877</v>
      </c>
      <c r="T912" s="26">
        <v>0</v>
      </c>
      <c r="U912" s="24">
        <v>0</v>
      </c>
      <c r="V912" s="19">
        <v>3960</v>
      </c>
      <c r="W912" s="19">
        <v>4474.0800000000008</v>
      </c>
      <c r="X912" s="21">
        <v>1.1298181818181821</v>
      </c>
      <c r="Y912" s="19">
        <v>3924.0800000000008</v>
      </c>
      <c r="Z912" s="20">
        <v>0.9909292929292931</v>
      </c>
      <c r="AA912" s="30">
        <v>9.7300000000000053E-2</v>
      </c>
      <c r="AB912" s="27">
        <v>0.01</v>
      </c>
      <c r="AC912" s="27">
        <v>9.9900000000000003E-2</v>
      </c>
      <c r="AD912" s="11">
        <v>9.1844210798152637E-2</v>
      </c>
    </row>
    <row r="913" spans="1:30" x14ac:dyDescent="0.25">
      <c r="A913" s="13">
        <v>45204</v>
      </c>
      <c r="B913" s="46" t="s">
        <v>636</v>
      </c>
      <c r="C913" s="13">
        <v>45205</v>
      </c>
      <c r="D913" s="15" t="s">
        <v>1021</v>
      </c>
      <c r="E913" s="15">
        <v>378</v>
      </c>
      <c r="F913" s="15">
        <v>360</v>
      </c>
      <c r="G913" s="13">
        <v>45583</v>
      </c>
      <c r="H913" s="17">
        <v>4200</v>
      </c>
      <c r="I913" s="19">
        <v>3243.59</v>
      </c>
      <c r="J913" s="20">
        <v>0.77228333333333332</v>
      </c>
      <c r="K913" s="19">
        <v>3243.59</v>
      </c>
      <c r="L913" s="20">
        <v>0.77228333333333332</v>
      </c>
      <c r="M913" s="21">
        <v>0</v>
      </c>
      <c r="N913" s="19">
        <v>0</v>
      </c>
      <c r="O913" s="23">
        <v>840</v>
      </c>
      <c r="P913" s="24">
        <v>351.54</v>
      </c>
      <c r="Q913" s="25">
        <v>0.41850000000000004</v>
      </c>
      <c r="R913" s="24">
        <v>351.54</v>
      </c>
      <c r="S913" s="25">
        <v>0.41850000000000004</v>
      </c>
      <c r="T913" s="26">
        <v>0</v>
      </c>
      <c r="U913" s="24">
        <v>0</v>
      </c>
      <c r="V913" s="19">
        <v>5040</v>
      </c>
      <c r="W913" s="19">
        <v>3595.13</v>
      </c>
      <c r="X913" s="21">
        <v>0.71331944444444451</v>
      </c>
      <c r="Y913" s="19">
        <v>3595.13</v>
      </c>
      <c r="Z913" s="20">
        <v>0.71331944444444451</v>
      </c>
      <c r="AA913" s="30">
        <v>9.6299999999999997E-2</v>
      </c>
      <c r="AB913" s="27">
        <v>0.08</v>
      </c>
      <c r="AC913" s="27">
        <v>9.6300000000000011E-2</v>
      </c>
      <c r="AD913" s="11">
        <v>9.3499882845859042E-2</v>
      </c>
    </row>
    <row r="914" spans="1:30" x14ac:dyDescent="0.25">
      <c r="A914" s="13">
        <v>45208</v>
      </c>
      <c r="B914" s="46" t="s">
        <v>636</v>
      </c>
      <c r="C914" s="13">
        <v>45208</v>
      </c>
      <c r="D914" s="15" t="s">
        <v>1022</v>
      </c>
      <c r="E914" s="15">
        <v>28</v>
      </c>
      <c r="F914" s="15">
        <v>30</v>
      </c>
      <c r="G914" s="13">
        <v>45236</v>
      </c>
      <c r="H914" s="17">
        <v>5000</v>
      </c>
      <c r="I914" s="19">
        <v>7257.6999999999989</v>
      </c>
      <c r="J914" s="20">
        <v>1.4515400000000003</v>
      </c>
      <c r="K914" s="19">
        <v>5257.6999999999989</v>
      </c>
      <c r="L914" s="20">
        <v>1.0515399999999997</v>
      </c>
      <c r="M914" s="21">
        <v>0</v>
      </c>
      <c r="N914" s="19">
        <v>0</v>
      </c>
      <c r="O914" s="23">
        <v>1000</v>
      </c>
      <c r="P914" s="24">
        <v>1054.45</v>
      </c>
      <c r="Q914" s="25">
        <v>1.0544500000000001</v>
      </c>
      <c r="R914" s="24">
        <v>1000.0000000000001</v>
      </c>
      <c r="S914" s="25">
        <v>1.0000000000000002</v>
      </c>
      <c r="T914" s="26">
        <v>0.94836333333333334</v>
      </c>
      <c r="U914" s="24">
        <v>0</v>
      </c>
      <c r="V914" s="19">
        <v>6000</v>
      </c>
      <c r="W914" s="19">
        <v>8312.15</v>
      </c>
      <c r="X914" s="21">
        <v>1.3853583333333332</v>
      </c>
      <c r="Y914" s="19">
        <v>6257.6999999999989</v>
      </c>
      <c r="Z914" s="20">
        <v>1.0429499999999998</v>
      </c>
      <c r="AA914" s="30">
        <v>9.5299999999999954E-2</v>
      </c>
      <c r="AB914" s="27">
        <v>0.01</v>
      </c>
      <c r="AC914" s="27">
        <v>9.9000000000000005E-2</v>
      </c>
      <c r="AD914" s="11">
        <v>8.7834844234399329E-2</v>
      </c>
    </row>
    <row r="915" spans="1:30" x14ac:dyDescent="0.25">
      <c r="A915" s="13">
        <v>45210</v>
      </c>
      <c r="B915" s="46" t="s">
        <v>636</v>
      </c>
      <c r="C915" s="13">
        <v>45210</v>
      </c>
      <c r="D915" s="15" t="s">
        <v>1023</v>
      </c>
      <c r="E915" s="15">
        <v>98</v>
      </c>
      <c r="F915" s="15">
        <v>90</v>
      </c>
      <c r="G915" s="13">
        <v>45308</v>
      </c>
      <c r="H915" s="17">
        <v>4200</v>
      </c>
      <c r="I915" s="19">
        <v>6082.5199999999995</v>
      </c>
      <c r="J915" s="20">
        <v>1.4482190476190471</v>
      </c>
      <c r="K915" s="19">
        <v>4382.5199999999995</v>
      </c>
      <c r="L915" s="20">
        <v>1.0434571428571426</v>
      </c>
      <c r="M915" s="21">
        <v>0</v>
      </c>
      <c r="N915" s="19">
        <v>0</v>
      </c>
      <c r="O915" s="23">
        <v>840</v>
      </c>
      <c r="P915" s="24">
        <v>459.85</v>
      </c>
      <c r="Q915" s="25">
        <v>0.54744047619047609</v>
      </c>
      <c r="R915" s="24">
        <v>459.85</v>
      </c>
      <c r="S915" s="25">
        <v>0.5474404761904762</v>
      </c>
      <c r="T915" s="26">
        <v>0</v>
      </c>
      <c r="U915" s="24">
        <v>0</v>
      </c>
      <c r="V915" s="19">
        <v>5040</v>
      </c>
      <c r="W915" s="19">
        <v>6542.37</v>
      </c>
      <c r="X915" s="21">
        <v>1.2980892857142856</v>
      </c>
      <c r="Y915" s="19">
        <v>4842.37</v>
      </c>
      <c r="Z915" s="20">
        <v>0.9607876984126984</v>
      </c>
      <c r="AA915" s="30">
        <v>9.6400000000000027E-2</v>
      </c>
      <c r="AB915" s="27">
        <v>0.01</v>
      </c>
      <c r="AC915" s="27">
        <v>0.1</v>
      </c>
      <c r="AD915" s="11">
        <v>9.1784206381565536E-2</v>
      </c>
    </row>
    <row r="916" spans="1:30" x14ac:dyDescent="0.25">
      <c r="A916" s="13">
        <v>45212</v>
      </c>
      <c r="B916" s="46" t="s">
        <v>636</v>
      </c>
      <c r="C916" s="13">
        <v>45212</v>
      </c>
      <c r="D916" s="15" t="s">
        <v>1024</v>
      </c>
      <c r="E916" s="15">
        <v>182</v>
      </c>
      <c r="F916" s="15">
        <v>180</v>
      </c>
      <c r="G916" s="13">
        <v>45394</v>
      </c>
      <c r="H916" s="17">
        <v>3300</v>
      </c>
      <c r="I916" s="19">
        <v>5828.7099999999991</v>
      </c>
      <c r="J916" s="20">
        <v>1.7662757575757573</v>
      </c>
      <c r="K916" s="19">
        <v>3576.9100000000003</v>
      </c>
      <c r="L916" s="20">
        <v>1.0839121212121212</v>
      </c>
      <c r="M916" s="21">
        <v>0</v>
      </c>
      <c r="N916" s="19">
        <v>0</v>
      </c>
      <c r="O916" s="23">
        <v>660</v>
      </c>
      <c r="P916" s="24">
        <v>350.76</v>
      </c>
      <c r="Q916" s="25">
        <v>0.5314545454545454</v>
      </c>
      <c r="R916" s="24">
        <v>350.76</v>
      </c>
      <c r="S916" s="25">
        <v>0.5314545454545454</v>
      </c>
      <c r="T916" s="26">
        <v>0</v>
      </c>
      <c r="U916" s="24">
        <v>0</v>
      </c>
      <c r="V916" s="19">
        <v>3960</v>
      </c>
      <c r="W916" s="19">
        <v>6179.4699999999993</v>
      </c>
      <c r="X916" s="21">
        <v>1.560472222222222</v>
      </c>
      <c r="Y916" s="19">
        <v>3927.67</v>
      </c>
      <c r="Z916" s="20">
        <v>0.99183585858585865</v>
      </c>
      <c r="AA916" s="30">
        <v>9.3799999999999953E-2</v>
      </c>
      <c r="AB916" s="27">
        <v>0.01</v>
      </c>
      <c r="AC916" s="27">
        <v>9.7500000000000003E-2</v>
      </c>
      <c r="AD916" s="11">
        <v>9.0444253702791882E-2</v>
      </c>
    </row>
    <row r="917" spans="1:30" x14ac:dyDescent="0.25">
      <c r="A917" s="13">
        <v>45216</v>
      </c>
      <c r="B917" s="46" t="s">
        <v>636</v>
      </c>
      <c r="C917" s="13">
        <v>45216</v>
      </c>
      <c r="D917" s="15" t="s">
        <v>1025</v>
      </c>
      <c r="E917" s="15">
        <v>27</v>
      </c>
      <c r="F917" s="15">
        <v>30</v>
      </c>
      <c r="G917" s="13">
        <v>45243</v>
      </c>
      <c r="H917" s="17">
        <v>5000</v>
      </c>
      <c r="I917" s="19">
        <v>2715.6400000000003</v>
      </c>
      <c r="J917" s="20">
        <v>0.54312800000000006</v>
      </c>
      <c r="K917" s="19">
        <v>2415.6400000000003</v>
      </c>
      <c r="L917" s="20">
        <v>0.48312800000000006</v>
      </c>
      <c r="M917" s="21">
        <v>0</v>
      </c>
      <c r="N917" s="19">
        <v>0</v>
      </c>
      <c r="O917" s="23">
        <v>1000</v>
      </c>
      <c r="P917" s="24">
        <v>807.92</v>
      </c>
      <c r="Q917" s="25">
        <v>0.80791999999999997</v>
      </c>
      <c r="R917" s="24">
        <v>483.12800000000004</v>
      </c>
      <c r="S917" s="25">
        <v>0.48312800000000006</v>
      </c>
      <c r="T917" s="26">
        <v>0.59799242424242416</v>
      </c>
      <c r="U917" s="24">
        <v>0</v>
      </c>
      <c r="V917" s="19">
        <v>6000</v>
      </c>
      <c r="W917" s="19">
        <v>3523.5600000000004</v>
      </c>
      <c r="X917" s="21">
        <v>0.58726000000000012</v>
      </c>
      <c r="Y917" s="19">
        <v>2898.7680000000005</v>
      </c>
      <c r="Z917" s="20">
        <v>0.48312800000000006</v>
      </c>
      <c r="AA917" s="30">
        <v>9.6299999999999983E-2</v>
      </c>
      <c r="AB917" s="27">
        <v>0.01</v>
      </c>
      <c r="AC917" s="27">
        <v>9.7500000000000003E-2</v>
      </c>
      <c r="AD917" s="11">
        <v>8.6221807014184498E-2</v>
      </c>
    </row>
    <row r="918" spans="1:30" x14ac:dyDescent="0.25">
      <c r="A918" s="13">
        <v>45217</v>
      </c>
      <c r="B918" s="46" t="s">
        <v>636</v>
      </c>
      <c r="C918" s="13">
        <v>45217</v>
      </c>
      <c r="D918" s="15" t="s">
        <v>1026</v>
      </c>
      <c r="E918" s="15">
        <v>91</v>
      </c>
      <c r="F918" s="15">
        <v>90</v>
      </c>
      <c r="G918" s="13">
        <v>45308</v>
      </c>
      <c r="H918" s="17">
        <v>5000</v>
      </c>
      <c r="I918" s="19">
        <v>3778.0699999999997</v>
      </c>
      <c r="J918" s="20">
        <v>0.75561400000000001</v>
      </c>
      <c r="K918" s="19">
        <v>3328.0699999999997</v>
      </c>
      <c r="L918" s="20">
        <v>0.66561399999999993</v>
      </c>
      <c r="M918" s="21">
        <v>0</v>
      </c>
      <c r="N918" s="19">
        <v>0</v>
      </c>
      <c r="O918" s="23">
        <v>1000</v>
      </c>
      <c r="P918" s="24">
        <v>260.64</v>
      </c>
      <c r="Q918" s="25">
        <v>0.26064000000000004</v>
      </c>
      <c r="R918" s="24">
        <v>260.64</v>
      </c>
      <c r="S918" s="25">
        <v>0.26063999999999998</v>
      </c>
      <c r="T918" s="26">
        <v>0</v>
      </c>
      <c r="U918" s="24">
        <v>0</v>
      </c>
      <c r="V918" s="19">
        <v>6000</v>
      </c>
      <c r="W918" s="19">
        <v>4038.7099999999996</v>
      </c>
      <c r="X918" s="21">
        <v>0.67311833333333326</v>
      </c>
      <c r="Y918" s="19">
        <v>3588.7099999999996</v>
      </c>
      <c r="Z918" s="20">
        <v>0.59811833333333331</v>
      </c>
      <c r="AA918" s="30">
        <v>9.7199999999999967E-2</v>
      </c>
      <c r="AB918" s="27">
        <v>0.01</v>
      </c>
      <c r="AC918" s="27">
        <v>9.8400000000000001E-2</v>
      </c>
      <c r="AD918" s="11">
        <v>9.0215207500125738E-2</v>
      </c>
    </row>
    <row r="919" spans="1:30" x14ac:dyDescent="0.25">
      <c r="A919" s="13">
        <v>45218</v>
      </c>
      <c r="B919" s="46" t="s">
        <v>636</v>
      </c>
      <c r="C919" s="13">
        <v>45219</v>
      </c>
      <c r="D919" s="15" t="s">
        <v>1027</v>
      </c>
      <c r="E919" s="15">
        <v>364</v>
      </c>
      <c r="F919" s="15">
        <v>360</v>
      </c>
      <c r="G919" s="13">
        <v>45583</v>
      </c>
      <c r="H919" s="17">
        <v>4200</v>
      </c>
      <c r="I919" s="19">
        <v>3590.43</v>
      </c>
      <c r="J919" s="20">
        <v>0.85486428571428574</v>
      </c>
      <c r="K919" s="19">
        <v>2990.43</v>
      </c>
      <c r="L919" s="20">
        <v>0.71200714285714284</v>
      </c>
      <c r="M919" s="21">
        <v>0</v>
      </c>
      <c r="N919" s="19">
        <v>0</v>
      </c>
      <c r="O919" s="23">
        <v>840</v>
      </c>
      <c r="P919" s="24">
        <v>251.18</v>
      </c>
      <c r="Q919" s="25">
        <v>0.29902380952380953</v>
      </c>
      <c r="R919" s="24">
        <v>251.18</v>
      </c>
      <c r="S919" s="25">
        <v>0.29902380952380953</v>
      </c>
      <c r="T919" s="26">
        <v>0</v>
      </c>
      <c r="U919" s="24">
        <v>0</v>
      </c>
      <c r="V919" s="19">
        <v>5040</v>
      </c>
      <c r="W919" s="19">
        <v>3841.6099999999997</v>
      </c>
      <c r="X919" s="21">
        <v>0.76222420634920629</v>
      </c>
      <c r="Y919" s="19">
        <v>3241.6099999999997</v>
      </c>
      <c r="Z919" s="20">
        <v>0.64317658730158722</v>
      </c>
      <c r="AA919" s="30">
        <v>9.7199999999999967E-2</v>
      </c>
      <c r="AB919" s="27">
        <v>0.01</v>
      </c>
      <c r="AC919" s="27">
        <v>0.10199999999999999</v>
      </c>
      <c r="AD919" s="11">
        <v>9.5026241982158144E-2</v>
      </c>
    </row>
    <row r="920" spans="1:30" x14ac:dyDescent="0.25">
      <c r="A920" s="13">
        <v>45222</v>
      </c>
      <c r="B920" s="46" t="s">
        <v>636</v>
      </c>
      <c r="C920" s="13">
        <v>45222</v>
      </c>
      <c r="D920" s="15" t="s">
        <v>1028</v>
      </c>
      <c r="E920" s="15">
        <v>28</v>
      </c>
      <c r="F920" s="15">
        <v>30</v>
      </c>
      <c r="G920" s="13">
        <v>45250</v>
      </c>
      <c r="H920" s="17">
        <v>5800</v>
      </c>
      <c r="I920" s="19">
        <v>6130.54</v>
      </c>
      <c r="J920" s="20">
        <v>1.0569896551724136</v>
      </c>
      <c r="K920" s="19">
        <v>5730.54</v>
      </c>
      <c r="L920" s="20">
        <v>0.9880241379310345</v>
      </c>
      <c r="M920" s="21">
        <v>0</v>
      </c>
      <c r="N920" s="19">
        <v>0</v>
      </c>
      <c r="O920" s="23">
        <v>1160</v>
      </c>
      <c r="P920" s="24">
        <v>473.69000000000005</v>
      </c>
      <c r="Q920" s="25">
        <v>0.40835344827586212</v>
      </c>
      <c r="R920" s="24">
        <v>473.69000000000005</v>
      </c>
      <c r="S920" s="25">
        <v>0.40835344827586212</v>
      </c>
      <c r="T920" s="26">
        <v>0</v>
      </c>
      <c r="U920" s="24">
        <v>0</v>
      </c>
      <c r="V920" s="19">
        <v>6960</v>
      </c>
      <c r="W920" s="19">
        <v>6604.23</v>
      </c>
      <c r="X920" s="21">
        <v>0.94888362068965515</v>
      </c>
      <c r="Y920" s="19">
        <v>6204.23</v>
      </c>
      <c r="Z920" s="20">
        <v>0.89141235632183902</v>
      </c>
      <c r="AA920" s="30">
        <v>9.7399999999999959E-2</v>
      </c>
      <c r="AB920" s="27">
        <v>0.01</v>
      </c>
      <c r="AC920" s="27">
        <v>9.9399999999999988E-2</v>
      </c>
      <c r="AD920" s="11">
        <v>9.1316639154136556E-2</v>
      </c>
    </row>
    <row r="921" spans="1:30" x14ac:dyDescent="0.25">
      <c r="A921" s="13">
        <v>45224</v>
      </c>
      <c r="B921" s="46" t="s">
        <v>636</v>
      </c>
      <c r="C921" s="13">
        <v>45224</v>
      </c>
      <c r="D921" s="15" t="s">
        <v>1029</v>
      </c>
      <c r="E921" s="15">
        <v>91</v>
      </c>
      <c r="F921" s="15">
        <v>90</v>
      </c>
      <c r="G921" s="13">
        <v>45315</v>
      </c>
      <c r="H921" s="17">
        <v>4500</v>
      </c>
      <c r="I921" s="19">
        <v>2721.2799999999997</v>
      </c>
      <c r="J921" s="20">
        <v>0.60472888888888887</v>
      </c>
      <c r="K921" s="19">
        <v>2721.2799999999997</v>
      </c>
      <c r="L921" s="20">
        <v>0.60472888888888887</v>
      </c>
      <c r="M921" s="21">
        <v>0</v>
      </c>
      <c r="N921" s="19">
        <v>0</v>
      </c>
      <c r="O921" s="23">
        <v>900</v>
      </c>
      <c r="P921" s="24">
        <v>114.17</v>
      </c>
      <c r="Q921" s="25">
        <v>0.12685555555555555</v>
      </c>
      <c r="R921" s="24">
        <v>114.17</v>
      </c>
      <c r="S921" s="25">
        <v>0.12685555555555555</v>
      </c>
      <c r="T921" s="26">
        <v>0</v>
      </c>
      <c r="U921" s="24">
        <v>0</v>
      </c>
      <c r="V921" s="19">
        <v>5400</v>
      </c>
      <c r="W921" s="19">
        <v>2835.45</v>
      </c>
      <c r="X921" s="21">
        <v>0.52508333333333335</v>
      </c>
      <c r="Y921" s="19">
        <v>2835.45</v>
      </c>
      <c r="Z921" s="20">
        <v>0.52508333333333335</v>
      </c>
      <c r="AA921" s="30">
        <v>9.8399999999999974E-2</v>
      </c>
      <c r="AB921" s="27">
        <v>0.01</v>
      </c>
      <c r="AC921" s="27">
        <v>9.8400000000000001E-2</v>
      </c>
      <c r="AD921" s="11">
        <v>9.2090102819261541E-2</v>
      </c>
    </row>
    <row r="922" spans="1:30" x14ac:dyDescent="0.25">
      <c r="A922" s="13">
        <v>45226</v>
      </c>
      <c r="B922" s="46" t="s">
        <v>636</v>
      </c>
      <c r="C922" s="13">
        <v>45226</v>
      </c>
      <c r="D922" s="15" t="s">
        <v>1030</v>
      </c>
      <c r="E922" s="15">
        <v>168</v>
      </c>
      <c r="F922" s="15">
        <v>180</v>
      </c>
      <c r="G922" s="13">
        <v>45394</v>
      </c>
      <c r="H922" s="17">
        <v>4500</v>
      </c>
      <c r="I922" s="19">
        <v>5036.28</v>
      </c>
      <c r="J922" s="20">
        <v>1.1191733333333336</v>
      </c>
      <c r="K922" s="19">
        <v>4626.28</v>
      </c>
      <c r="L922" s="20">
        <v>1.0280622222222222</v>
      </c>
      <c r="M922" s="21">
        <v>0</v>
      </c>
      <c r="N922" s="19">
        <v>0</v>
      </c>
      <c r="O922" s="23">
        <v>900</v>
      </c>
      <c r="P922" s="24">
        <v>352.42</v>
      </c>
      <c r="Q922" s="25">
        <v>0.39157777777777775</v>
      </c>
      <c r="R922" s="24">
        <v>352.42</v>
      </c>
      <c r="S922" s="25">
        <v>0.3915777777777778</v>
      </c>
      <c r="T922" s="26">
        <v>0</v>
      </c>
      <c r="U922" s="24">
        <v>0</v>
      </c>
      <c r="V922" s="19">
        <v>5400</v>
      </c>
      <c r="W922" s="19">
        <v>5388.7</v>
      </c>
      <c r="X922" s="21">
        <v>0.99790740740740735</v>
      </c>
      <c r="Y922" s="19">
        <v>4978.7</v>
      </c>
      <c r="Z922" s="20">
        <v>0.9219814814814814</v>
      </c>
      <c r="AA922" s="30">
        <v>9.7999999999999948E-2</v>
      </c>
      <c r="AB922" s="27">
        <v>0.01</v>
      </c>
      <c r="AC922" s="27">
        <v>9.9299999999999999E-2</v>
      </c>
      <c r="AD922" s="11">
        <v>9.0737698459974425E-2</v>
      </c>
    </row>
    <row r="923" spans="1:30" x14ac:dyDescent="0.25">
      <c r="A923" s="13">
        <v>45229</v>
      </c>
      <c r="B923" s="46" t="s">
        <v>636</v>
      </c>
      <c r="C923" s="13">
        <v>45229</v>
      </c>
      <c r="D923" s="15" t="s">
        <v>1031</v>
      </c>
      <c r="E923" s="15">
        <v>28</v>
      </c>
      <c r="F923" s="15">
        <v>30</v>
      </c>
      <c r="G923" s="13">
        <v>45257</v>
      </c>
      <c r="H923" s="17">
        <v>4500</v>
      </c>
      <c r="I923" s="19">
        <v>3889.1200000000003</v>
      </c>
      <c r="J923" s="20">
        <v>0.86424888888888851</v>
      </c>
      <c r="K923" s="19">
        <v>3889.1200000000003</v>
      </c>
      <c r="L923" s="20">
        <v>0.86424888888888896</v>
      </c>
      <c r="M923" s="21">
        <v>0</v>
      </c>
      <c r="N923" s="19">
        <v>0</v>
      </c>
      <c r="O923" s="23">
        <v>900</v>
      </c>
      <c r="P923" s="24">
        <v>1000.25</v>
      </c>
      <c r="Q923" s="25">
        <v>1.111388888888889</v>
      </c>
      <c r="R923" s="24">
        <v>777.82399999999996</v>
      </c>
      <c r="S923" s="25">
        <v>0.86424888888888884</v>
      </c>
      <c r="T923" s="26">
        <v>0.77762966666666666</v>
      </c>
      <c r="U923" s="24">
        <v>0</v>
      </c>
      <c r="V923" s="19">
        <v>5400</v>
      </c>
      <c r="W923" s="19">
        <v>4889.3700000000008</v>
      </c>
      <c r="X923" s="21">
        <v>0.90543888888888902</v>
      </c>
      <c r="Y923" s="19">
        <v>4666.9440000000004</v>
      </c>
      <c r="Z923" s="20">
        <v>0.86424888888888896</v>
      </c>
      <c r="AA923" s="30">
        <v>9.8199999999999968E-2</v>
      </c>
      <c r="AB923" s="27">
        <v>0.01</v>
      </c>
      <c r="AC923" s="27">
        <v>9.820000000000001E-2</v>
      </c>
      <c r="AD923" s="11">
        <v>9.1430385537088085E-2</v>
      </c>
    </row>
    <row r="924" spans="1:30" x14ac:dyDescent="0.25">
      <c r="A924" s="13">
        <v>45230</v>
      </c>
      <c r="B924" s="46" t="s">
        <v>636</v>
      </c>
      <c r="C924" s="13">
        <v>45231</v>
      </c>
      <c r="D924" s="15" t="s">
        <v>1032</v>
      </c>
      <c r="E924" s="15">
        <v>352</v>
      </c>
      <c r="F924" s="15">
        <v>360</v>
      </c>
      <c r="G924" s="13">
        <v>45583</v>
      </c>
      <c r="H924" s="17">
        <v>2000</v>
      </c>
      <c r="I924" s="19">
        <v>4281.7800000000007</v>
      </c>
      <c r="J924" s="20">
        <v>2.1408900000000002</v>
      </c>
      <c r="K924" s="19">
        <v>2331.7800000000002</v>
      </c>
      <c r="L924" s="20">
        <v>1.1658900000000001</v>
      </c>
      <c r="M924" s="21">
        <v>0</v>
      </c>
      <c r="N924" s="19">
        <v>0</v>
      </c>
      <c r="O924" s="23">
        <v>400</v>
      </c>
      <c r="P924" s="24">
        <v>303.13</v>
      </c>
      <c r="Q924" s="25">
        <v>0.75782499999999997</v>
      </c>
      <c r="R924" s="24">
        <v>303.13</v>
      </c>
      <c r="S924" s="25">
        <v>0.75782499999999997</v>
      </c>
      <c r="T924" s="26">
        <v>0</v>
      </c>
      <c r="U924" s="24">
        <v>0</v>
      </c>
      <c r="V924" s="19">
        <v>2400</v>
      </c>
      <c r="W924" s="19">
        <v>4584.9100000000008</v>
      </c>
      <c r="X924" s="21">
        <v>1.910379166666667</v>
      </c>
      <c r="Y924" s="19">
        <v>2634.9100000000003</v>
      </c>
      <c r="Z924" s="20">
        <v>1.0978791666666667</v>
      </c>
      <c r="AA924" s="30">
        <v>9.6200000000000035E-2</v>
      </c>
      <c r="AB924" s="27">
        <v>8.5000000000000006E-2</v>
      </c>
      <c r="AC924" s="27">
        <v>9.9499999999999991E-2</v>
      </c>
      <c r="AD924" s="11">
        <v>9.6137217232085695E-2</v>
      </c>
    </row>
    <row r="925" spans="1:30" x14ac:dyDescent="0.25">
      <c r="A925" s="13">
        <v>45230</v>
      </c>
      <c r="B925" s="46" t="s">
        <v>637</v>
      </c>
      <c r="C925" s="13">
        <v>45231</v>
      </c>
      <c r="D925" s="15" t="s">
        <v>1033</v>
      </c>
      <c r="E925" s="15">
        <v>700</v>
      </c>
      <c r="F925" s="15">
        <v>720</v>
      </c>
      <c r="G925" s="13">
        <v>45931</v>
      </c>
      <c r="H925" s="17">
        <v>800</v>
      </c>
      <c r="I925" s="19">
        <v>721.72</v>
      </c>
      <c r="J925" s="20">
        <v>0.90215000000000001</v>
      </c>
      <c r="K925" s="19">
        <v>721.72</v>
      </c>
      <c r="L925" s="20">
        <v>0.90215000000000001</v>
      </c>
      <c r="M925" s="21">
        <v>0</v>
      </c>
      <c r="N925" s="19">
        <v>0</v>
      </c>
      <c r="O925" s="23">
        <v>160</v>
      </c>
      <c r="P925" s="24">
        <v>0</v>
      </c>
      <c r="Q925" s="25">
        <v>0</v>
      </c>
      <c r="R925" s="24">
        <v>0</v>
      </c>
      <c r="S925" s="25">
        <v>0</v>
      </c>
      <c r="T925" s="26">
        <v>0</v>
      </c>
      <c r="U925" s="24">
        <v>0</v>
      </c>
      <c r="V925" s="19">
        <v>960</v>
      </c>
      <c r="W925" s="19">
        <v>721.72</v>
      </c>
      <c r="X925" s="21">
        <v>0.75179166666666675</v>
      </c>
      <c r="Y925" s="19">
        <v>721.72</v>
      </c>
      <c r="Z925" s="20">
        <v>0.75179166666666675</v>
      </c>
      <c r="AA925" s="30">
        <v>9.8699999999999996E-2</v>
      </c>
      <c r="AB925" s="27">
        <v>0.08</v>
      </c>
      <c r="AC925" s="27">
        <v>9.8699999999999996E-2</v>
      </c>
      <c r="AD925" s="11">
        <v>9.7327536994956498E-2</v>
      </c>
    </row>
    <row r="926" spans="1:30" x14ac:dyDescent="0.25">
      <c r="A926" s="13">
        <v>45231</v>
      </c>
      <c r="B926" s="46" t="s">
        <v>636</v>
      </c>
      <c r="C926" s="13">
        <v>45231</v>
      </c>
      <c r="D926" s="15" t="s">
        <v>1034</v>
      </c>
      <c r="E926" s="15">
        <v>84</v>
      </c>
      <c r="F926" s="15">
        <v>90</v>
      </c>
      <c r="G926" s="13">
        <v>45315</v>
      </c>
      <c r="H926" s="17">
        <v>4200</v>
      </c>
      <c r="I926" s="19">
        <v>2748.12</v>
      </c>
      <c r="J926" s="20">
        <v>0.65431428571428563</v>
      </c>
      <c r="K926" s="19">
        <v>2398.12</v>
      </c>
      <c r="L926" s="20">
        <v>0.57098095238095237</v>
      </c>
      <c r="M926" s="21">
        <v>0</v>
      </c>
      <c r="N926" s="19">
        <v>0</v>
      </c>
      <c r="O926" s="23">
        <v>840</v>
      </c>
      <c r="P926" s="24">
        <v>429.03999999999996</v>
      </c>
      <c r="Q926" s="25">
        <v>0.51076190476190475</v>
      </c>
      <c r="R926" s="24">
        <v>429.03999999999996</v>
      </c>
      <c r="S926" s="25">
        <v>0.51076190476190475</v>
      </c>
      <c r="T926" s="26">
        <v>0</v>
      </c>
      <c r="U926" s="24">
        <v>0</v>
      </c>
      <c r="V926" s="19">
        <v>5040</v>
      </c>
      <c r="W926" s="19">
        <v>3177.16</v>
      </c>
      <c r="X926" s="21">
        <v>0.63038888888888889</v>
      </c>
      <c r="Y926" s="19">
        <v>2827.16</v>
      </c>
      <c r="Z926" s="20">
        <v>0.56094444444444447</v>
      </c>
      <c r="AA926" s="30">
        <v>9.7999999999999976E-2</v>
      </c>
      <c r="AB926" s="27">
        <v>0.01</v>
      </c>
      <c r="AC926" s="27">
        <v>9.9399999999999988E-2</v>
      </c>
      <c r="AD926" s="11">
        <v>8.6661718556686043E-2</v>
      </c>
    </row>
    <row r="927" spans="1:30" x14ac:dyDescent="0.25">
      <c r="A927" s="13">
        <v>45236</v>
      </c>
      <c r="B927" s="46" t="s">
        <v>636</v>
      </c>
      <c r="C927" s="13">
        <v>45236</v>
      </c>
      <c r="D927" s="15" t="s">
        <v>1035</v>
      </c>
      <c r="E927" s="15">
        <v>35</v>
      </c>
      <c r="F927" s="15">
        <v>30</v>
      </c>
      <c r="G927" s="13">
        <v>45271</v>
      </c>
      <c r="H927" s="17">
        <v>7500</v>
      </c>
      <c r="I927" s="19">
        <v>10175.330000000002</v>
      </c>
      <c r="J927" s="20">
        <v>1.3567106666666664</v>
      </c>
      <c r="K927" s="19">
        <v>7975.329999999999</v>
      </c>
      <c r="L927" s="20">
        <v>1.0633773333333332</v>
      </c>
      <c r="M927" s="21">
        <v>0</v>
      </c>
      <c r="N927" s="19">
        <v>0</v>
      </c>
      <c r="O927" s="23">
        <v>1500</v>
      </c>
      <c r="P927" s="24">
        <v>1570.56</v>
      </c>
      <c r="Q927" s="25">
        <v>1.0470399999999997</v>
      </c>
      <c r="R927" s="24">
        <v>1500</v>
      </c>
      <c r="S927" s="25">
        <v>1</v>
      </c>
      <c r="T927" s="26">
        <v>0.95507575757575747</v>
      </c>
      <c r="U927" s="24">
        <v>0</v>
      </c>
      <c r="V927" s="19">
        <v>9000</v>
      </c>
      <c r="W927" s="19">
        <v>11745.890000000001</v>
      </c>
      <c r="X927" s="21">
        <v>1.305098888888889</v>
      </c>
      <c r="Y927" s="19">
        <v>9475.3299999999981</v>
      </c>
      <c r="Z927" s="20">
        <v>1.0528144444444443</v>
      </c>
      <c r="AA927" s="30">
        <v>9.7100000000000103E-2</v>
      </c>
      <c r="AB927" s="27">
        <v>0.01</v>
      </c>
      <c r="AC927" s="27">
        <v>9.98E-2</v>
      </c>
      <c r="AD927" s="11">
        <v>8.9474181967562738E-2</v>
      </c>
    </row>
    <row r="928" spans="1:30" x14ac:dyDescent="0.25">
      <c r="A928" s="13">
        <v>45238</v>
      </c>
      <c r="B928" s="46" t="s">
        <v>636</v>
      </c>
      <c r="C928" s="13">
        <v>45238</v>
      </c>
      <c r="D928" s="15" t="s">
        <v>1036</v>
      </c>
      <c r="E928" s="15">
        <v>91</v>
      </c>
      <c r="F928" s="15">
        <v>90</v>
      </c>
      <c r="G928" s="13">
        <v>45329</v>
      </c>
      <c r="H928" s="17">
        <v>4500</v>
      </c>
      <c r="I928" s="19">
        <v>5836.83</v>
      </c>
      <c r="J928" s="20">
        <v>1.2970733333333333</v>
      </c>
      <c r="K928" s="19">
        <v>5136.829999999999</v>
      </c>
      <c r="L928" s="20">
        <v>1.1415177777777776</v>
      </c>
      <c r="M928" s="21">
        <v>0</v>
      </c>
      <c r="N928" s="19">
        <v>0</v>
      </c>
      <c r="O928" s="23">
        <v>900</v>
      </c>
      <c r="P928" s="24">
        <v>487.37</v>
      </c>
      <c r="Q928" s="25">
        <v>0.54152222222222224</v>
      </c>
      <c r="R928" s="24">
        <v>487.37</v>
      </c>
      <c r="S928" s="25">
        <v>0.54152222222222224</v>
      </c>
      <c r="T928" s="26">
        <v>0</v>
      </c>
      <c r="U928" s="24">
        <v>0</v>
      </c>
      <c r="V928" s="19">
        <v>5400</v>
      </c>
      <c r="W928" s="19">
        <v>6324.2</v>
      </c>
      <c r="X928" s="21">
        <v>1.171148148148148</v>
      </c>
      <c r="Y928" s="19">
        <v>5624.1999999999989</v>
      </c>
      <c r="Z928" s="20">
        <v>1.0415185185185183</v>
      </c>
      <c r="AA928" s="30">
        <v>9.7999999999999948E-2</v>
      </c>
      <c r="AB928" s="27">
        <v>0.01</v>
      </c>
      <c r="AC928" s="27">
        <v>9.9000000000000005E-2</v>
      </c>
      <c r="AD928" s="11">
        <v>9.2247321405626012E-2</v>
      </c>
    </row>
    <row r="929" spans="1:30" x14ac:dyDescent="0.25">
      <c r="A929" s="13">
        <v>45240</v>
      </c>
      <c r="B929" s="46" t="s">
        <v>636</v>
      </c>
      <c r="C929" s="13">
        <v>45240</v>
      </c>
      <c r="D929" s="15" t="s">
        <v>1037</v>
      </c>
      <c r="E929" s="15">
        <v>182</v>
      </c>
      <c r="F929" s="15">
        <v>180</v>
      </c>
      <c r="G929" s="13">
        <v>45422</v>
      </c>
      <c r="H929" s="17">
        <v>3800</v>
      </c>
      <c r="I929" s="19">
        <v>7251.6</v>
      </c>
      <c r="J929" s="20">
        <v>1.9083157894736833</v>
      </c>
      <c r="K929" s="19">
        <v>4651.5999999999995</v>
      </c>
      <c r="L929" s="20">
        <v>1.2241052631578946</v>
      </c>
      <c r="M929" s="21">
        <v>0</v>
      </c>
      <c r="N929" s="19">
        <v>0</v>
      </c>
      <c r="O929" s="23">
        <v>760</v>
      </c>
      <c r="P929" s="24">
        <v>279.65999999999997</v>
      </c>
      <c r="Q929" s="25">
        <v>0.36797368421052629</v>
      </c>
      <c r="R929" s="24">
        <v>279.65999999999997</v>
      </c>
      <c r="S929" s="25">
        <v>0.36797368421052629</v>
      </c>
      <c r="T929" s="26">
        <v>0</v>
      </c>
      <c r="U929" s="24">
        <v>0</v>
      </c>
      <c r="V929" s="19">
        <v>4560</v>
      </c>
      <c r="W929" s="19">
        <v>7531.26</v>
      </c>
      <c r="X929" s="21">
        <v>1.6515921052631579</v>
      </c>
      <c r="Y929" s="19">
        <v>4931.2599999999993</v>
      </c>
      <c r="Z929" s="20">
        <v>1.0814166666666665</v>
      </c>
      <c r="AA929" s="30">
        <v>9.6400000000000027E-2</v>
      </c>
      <c r="AB929" s="27">
        <v>0.01</v>
      </c>
      <c r="AC929" s="27">
        <v>9.9000000000000005E-2</v>
      </c>
      <c r="AD929" s="11">
        <v>8.9556709553753652E-2</v>
      </c>
    </row>
    <row r="930" spans="1:30" x14ac:dyDescent="0.25">
      <c r="A930" s="13">
        <v>45243</v>
      </c>
      <c r="B930" s="46" t="s">
        <v>636</v>
      </c>
      <c r="C930" s="13">
        <v>45243</v>
      </c>
      <c r="D930" s="15" t="s">
        <v>1038</v>
      </c>
      <c r="E930" s="15">
        <v>35</v>
      </c>
      <c r="F930" s="15">
        <v>30</v>
      </c>
      <c r="G930" s="13">
        <v>45278</v>
      </c>
      <c r="H930" s="17">
        <v>5000</v>
      </c>
      <c r="I930" s="19">
        <v>7008.99</v>
      </c>
      <c r="J930" s="20">
        <v>1.4017980000000003</v>
      </c>
      <c r="K930" s="19">
        <v>5658.9900000000007</v>
      </c>
      <c r="L930" s="20">
        <v>1.1317980000000001</v>
      </c>
      <c r="M930" s="21">
        <v>0</v>
      </c>
      <c r="N930" s="19">
        <v>0</v>
      </c>
      <c r="O930" s="23">
        <v>1000</v>
      </c>
      <c r="P930" s="24">
        <v>855.37</v>
      </c>
      <c r="Q930" s="25">
        <v>0.85536999999999996</v>
      </c>
      <c r="R930" s="24">
        <v>855.37</v>
      </c>
      <c r="S930" s="25">
        <v>0.85536999999999996</v>
      </c>
      <c r="T930" s="26">
        <v>0</v>
      </c>
      <c r="U930" s="24">
        <v>0</v>
      </c>
      <c r="V930" s="19">
        <v>6000</v>
      </c>
      <c r="W930" s="19">
        <v>7864.36</v>
      </c>
      <c r="X930" s="21">
        <v>1.3107266666666666</v>
      </c>
      <c r="Y930" s="19">
        <v>6514.3600000000006</v>
      </c>
      <c r="Z930" s="20">
        <v>1.0857266666666667</v>
      </c>
      <c r="AA930" s="30">
        <v>9.6799999999999997E-2</v>
      </c>
      <c r="AB930" s="27">
        <v>8.5000000000000006E-2</v>
      </c>
      <c r="AC930" s="27">
        <v>9.8900000000000002E-2</v>
      </c>
      <c r="AD930" s="11">
        <v>9.4980959025480136E-2</v>
      </c>
    </row>
    <row r="931" spans="1:30" x14ac:dyDescent="0.25">
      <c r="A931" s="13">
        <v>45245</v>
      </c>
      <c r="B931" s="46" t="s">
        <v>636</v>
      </c>
      <c r="C931" s="13">
        <v>45245</v>
      </c>
      <c r="D931" s="15" t="s">
        <v>1039</v>
      </c>
      <c r="E931" s="15">
        <v>84</v>
      </c>
      <c r="F931" s="15">
        <v>90</v>
      </c>
      <c r="G931" s="13">
        <v>45329</v>
      </c>
      <c r="H931" s="17">
        <v>4200</v>
      </c>
      <c r="I931" s="19">
        <v>5152.9599999999991</v>
      </c>
      <c r="J931" s="20">
        <v>1.2268952380952378</v>
      </c>
      <c r="K931" s="19">
        <v>4802.96</v>
      </c>
      <c r="L931" s="20">
        <v>1.1435619047619048</v>
      </c>
      <c r="M931" s="21">
        <v>0</v>
      </c>
      <c r="N931" s="19">
        <v>0</v>
      </c>
      <c r="O931" s="23">
        <v>840</v>
      </c>
      <c r="P931" s="24">
        <v>213.63</v>
      </c>
      <c r="Q931" s="25">
        <v>0.25432142857142859</v>
      </c>
      <c r="R931" s="24">
        <v>213.63</v>
      </c>
      <c r="S931" s="25">
        <v>0.25432142857142859</v>
      </c>
      <c r="T931" s="26">
        <v>0</v>
      </c>
      <c r="U931" s="24">
        <v>0</v>
      </c>
      <c r="V931" s="19">
        <v>5040</v>
      </c>
      <c r="W931" s="19">
        <v>5366.5899999999992</v>
      </c>
      <c r="X931" s="21">
        <v>1.064799603174603</v>
      </c>
      <c r="Y931" s="19">
        <v>5016.59</v>
      </c>
      <c r="Z931" s="20">
        <v>0.99535515873015878</v>
      </c>
      <c r="AA931" s="30">
        <v>9.8400000000000001E-2</v>
      </c>
      <c r="AB931" s="27">
        <v>8.5000000000000006E-2</v>
      </c>
      <c r="AC931" s="27">
        <v>9.8900000000000002E-2</v>
      </c>
      <c r="AD931" s="11">
        <v>9.6826035909457875E-2</v>
      </c>
    </row>
    <row r="932" spans="1:30" x14ac:dyDescent="0.25">
      <c r="A932" s="13">
        <v>45246</v>
      </c>
      <c r="B932" s="46" t="s">
        <v>636</v>
      </c>
      <c r="C932" s="13">
        <v>45247</v>
      </c>
      <c r="D932" s="15" t="s">
        <v>1040</v>
      </c>
      <c r="E932" s="15">
        <v>364</v>
      </c>
      <c r="F932" s="15">
        <v>360</v>
      </c>
      <c r="G932" s="13">
        <v>45611</v>
      </c>
      <c r="H932" s="17">
        <v>4200</v>
      </c>
      <c r="I932" s="19">
        <v>5218.5899999999992</v>
      </c>
      <c r="J932" s="20">
        <v>1.2425214285714286</v>
      </c>
      <c r="K932" s="19">
        <v>4218.59</v>
      </c>
      <c r="L932" s="20">
        <v>1.0044261904761904</v>
      </c>
      <c r="M932" s="21">
        <v>0</v>
      </c>
      <c r="N932" s="19">
        <v>0</v>
      </c>
      <c r="O932" s="23">
        <v>840</v>
      </c>
      <c r="P932" s="24">
        <v>353.74</v>
      </c>
      <c r="Q932" s="25">
        <v>0.42111904761904762</v>
      </c>
      <c r="R932" s="24">
        <v>353.74</v>
      </c>
      <c r="S932" s="25">
        <v>0.42111904761904762</v>
      </c>
      <c r="T932" s="26">
        <v>0</v>
      </c>
      <c r="U932" s="24">
        <v>0</v>
      </c>
      <c r="V932" s="19">
        <v>5040</v>
      </c>
      <c r="W932" s="19">
        <v>5572.329999999999</v>
      </c>
      <c r="X932" s="21">
        <v>1.1056210317460315</v>
      </c>
      <c r="Y932" s="19">
        <v>4572.33</v>
      </c>
      <c r="Z932" s="20">
        <v>0.90720833333333328</v>
      </c>
      <c r="AA932" s="30">
        <v>9.6499999999999933E-2</v>
      </c>
      <c r="AB932" s="27">
        <v>8.5000000000000006E-2</v>
      </c>
      <c r="AC932" s="27">
        <v>9.820000000000001E-2</v>
      </c>
      <c r="AD932" s="11">
        <v>9.526149630455738E-2</v>
      </c>
    </row>
    <row r="933" spans="1:30" x14ac:dyDescent="0.25">
      <c r="A933" s="13">
        <v>45250</v>
      </c>
      <c r="B933" s="46" t="s">
        <v>636</v>
      </c>
      <c r="C933" s="13">
        <v>45250</v>
      </c>
      <c r="D933" s="15" t="s">
        <v>1041</v>
      </c>
      <c r="E933" s="15">
        <v>28</v>
      </c>
      <c r="F933" s="15">
        <v>30</v>
      </c>
      <c r="G933" s="13">
        <v>45278</v>
      </c>
      <c r="H933" s="17">
        <v>5000</v>
      </c>
      <c r="I933" s="19">
        <v>4978.4100000000008</v>
      </c>
      <c r="J933" s="20">
        <v>0.99568200000000007</v>
      </c>
      <c r="K933" s="19">
        <v>4928.4100000000008</v>
      </c>
      <c r="L933" s="20">
        <v>0.98568200000000017</v>
      </c>
      <c r="M933" s="21">
        <v>0</v>
      </c>
      <c r="N933" s="19">
        <v>0</v>
      </c>
      <c r="O933" s="23">
        <v>1000</v>
      </c>
      <c r="P933" s="24">
        <v>455.71000000000004</v>
      </c>
      <c r="Q933" s="25">
        <v>0.45571</v>
      </c>
      <c r="R933" s="24">
        <v>455.71000000000004</v>
      </c>
      <c r="S933" s="25">
        <v>0.45571000000000006</v>
      </c>
      <c r="T933" s="26">
        <v>0</v>
      </c>
      <c r="U933" s="24">
        <v>0</v>
      </c>
      <c r="V933" s="19">
        <v>6000</v>
      </c>
      <c r="W933" s="19">
        <v>5434.1200000000008</v>
      </c>
      <c r="X933" s="21">
        <v>0.90568666666666675</v>
      </c>
      <c r="Y933" s="19">
        <v>5384.1200000000008</v>
      </c>
      <c r="Z933" s="20">
        <v>0.89735333333333345</v>
      </c>
      <c r="AA933" s="30">
        <v>9.6400000000000027E-2</v>
      </c>
      <c r="AB933" s="27">
        <v>0.01</v>
      </c>
      <c r="AC933" s="27">
        <v>9.8000000000000004E-2</v>
      </c>
      <c r="AD933" s="11">
        <v>8.9656218752573583E-2</v>
      </c>
    </row>
    <row r="934" spans="1:30" x14ac:dyDescent="0.25">
      <c r="A934" s="13">
        <v>45252</v>
      </c>
      <c r="B934" s="46" t="s">
        <v>636</v>
      </c>
      <c r="C934" s="13">
        <v>45252</v>
      </c>
      <c r="D934" s="15" t="s">
        <v>1042</v>
      </c>
      <c r="E934" s="15">
        <v>91</v>
      </c>
      <c r="F934" s="15">
        <v>90</v>
      </c>
      <c r="G934" s="13">
        <v>45343</v>
      </c>
      <c r="H934" s="17">
        <v>3300</v>
      </c>
      <c r="I934" s="19">
        <v>4140.7599999999984</v>
      </c>
      <c r="J934" s="20">
        <v>1.2547757575757572</v>
      </c>
      <c r="K934" s="19">
        <v>3390.7599999999993</v>
      </c>
      <c r="L934" s="20">
        <v>1.0275030303030301</v>
      </c>
      <c r="M934" s="21">
        <v>0</v>
      </c>
      <c r="N934" s="19">
        <v>0</v>
      </c>
      <c r="O934" s="23">
        <v>660</v>
      </c>
      <c r="P934" s="24">
        <v>862.67000000000007</v>
      </c>
      <c r="Q934" s="25">
        <v>1.3070757575757574</v>
      </c>
      <c r="R934" s="24">
        <v>660</v>
      </c>
      <c r="S934" s="25">
        <v>1</v>
      </c>
      <c r="T934" s="26">
        <v>0.76506799999999997</v>
      </c>
      <c r="U934" s="24">
        <v>0</v>
      </c>
      <c r="V934" s="19">
        <v>3960</v>
      </c>
      <c r="W934" s="19">
        <v>5003.4299999999985</v>
      </c>
      <c r="X934" s="21">
        <v>1.2634924242424239</v>
      </c>
      <c r="Y934" s="19">
        <v>4050.7599999999993</v>
      </c>
      <c r="Z934" s="20">
        <v>1.0229191919191918</v>
      </c>
      <c r="AA934" s="30">
        <v>9.6499999999999905E-2</v>
      </c>
      <c r="AB934" s="27">
        <v>0.01</v>
      </c>
      <c r="AC934" s="27">
        <v>9.8599999999999993E-2</v>
      </c>
      <c r="AD934" s="11">
        <v>8.3578248195983376E-2</v>
      </c>
    </row>
    <row r="935" spans="1:30" x14ac:dyDescent="0.25">
      <c r="A935" s="13">
        <v>45254</v>
      </c>
      <c r="B935" s="46" t="s">
        <v>636</v>
      </c>
      <c r="C935" s="13">
        <v>45254</v>
      </c>
      <c r="D935" s="15" t="s">
        <v>1043</v>
      </c>
      <c r="E935" s="15">
        <v>168</v>
      </c>
      <c r="F935" s="15">
        <v>180</v>
      </c>
      <c r="G935" s="13">
        <v>45422</v>
      </c>
      <c r="H935" s="17">
        <v>4200</v>
      </c>
      <c r="I935" s="19">
        <v>2644.3900000000003</v>
      </c>
      <c r="J935" s="20">
        <v>0.6296166666666666</v>
      </c>
      <c r="K935" s="19">
        <v>2644.3900000000003</v>
      </c>
      <c r="L935" s="20">
        <v>0.62961666666666671</v>
      </c>
      <c r="M935" s="21">
        <v>0</v>
      </c>
      <c r="N935" s="19">
        <v>0</v>
      </c>
      <c r="O935" s="23">
        <v>840</v>
      </c>
      <c r="P935" s="24">
        <v>6.68</v>
      </c>
      <c r="Q935" s="25">
        <v>7.9523809523809538E-3</v>
      </c>
      <c r="R935" s="24">
        <v>6.68</v>
      </c>
      <c r="S935" s="25">
        <v>7.9523809523809521E-3</v>
      </c>
      <c r="T935" s="26">
        <v>0</v>
      </c>
      <c r="U935" s="24">
        <v>0</v>
      </c>
      <c r="V935" s="19">
        <v>5040</v>
      </c>
      <c r="W935" s="19">
        <v>2651.07</v>
      </c>
      <c r="X935" s="21">
        <v>0.52600595238095238</v>
      </c>
      <c r="Y935" s="19">
        <v>2651.07</v>
      </c>
      <c r="Z935" s="20">
        <v>0.52600595238095238</v>
      </c>
      <c r="AA935" s="30">
        <v>9.8399999999999987E-2</v>
      </c>
      <c r="AB935" s="27">
        <v>0.01</v>
      </c>
      <c r="AC935" s="27">
        <v>9.8400000000000001E-2</v>
      </c>
      <c r="AD935" s="11">
        <v>9.002887471212638E-2</v>
      </c>
    </row>
    <row r="936" spans="1:30" x14ac:dyDescent="0.25">
      <c r="A936" s="13">
        <v>45257</v>
      </c>
      <c r="B936" s="46" t="s">
        <v>636</v>
      </c>
      <c r="C936" s="13">
        <v>45257</v>
      </c>
      <c r="D936" s="15" t="s">
        <v>1044</v>
      </c>
      <c r="E936" s="15">
        <v>36</v>
      </c>
      <c r="F936" s="15">
        <v>30</v>
      </c>
      <c r="G936" s="13">
        <v>45293</v>
      </c>
      <c r="H936" s="17">
        <v>3700</v>
      </c>
      <c r="I936" s="19">
        <v>2867.22</v>
      </c>
      <c r="J936" s="20">
        <v>0.77492432432432445</v>
      </c>
      <c r="K936" s="19">
        <v>1799.22</v>
      </c>
      <c r="L936" s="20">
        <v>0.4862756756756757</v>
      </c>
      <c r="M936" s="21">
        <v>0</v>
      </c>
      <c r="N936" s="19">
        <v>0</v>
      </c>
      <c r="O936" s="23">
        <v>740</v>
      </c>
      <c r="P936" s="24">
        <v>517.61</v>
      </c>
      <c r="Q936" s="25">
        <v>0.69947297297297295</v>
      </c>
      <c r="R936" s="24">
        <v>359.84399999999999</v>
      </c>
      <c r="S936" s="25">
        <v>0.48627567567567564</v>
      </c>
      <c r="T936" s="26">
        <v>0.69521072796934869</v>
      </c>
      <c r="U936" s="24">
        <v>0</v>
      </c>
      <c r="V936" s="19">
        <v>4440</v>
      </c>
      <c r="W936" s="19">
        <v>3384.83</v>
      </c>
      <c r="X936" s="21">
        <v>0.76234909909909909</v>
      </c>
      <c r="Y936" s="19">
        <v>2159.0639999999999</v>
      </c>
      <c r="Z936" s="20">
        <v>0.48627567567567564</v>
      </c>
      <c r="AA936" s="30">
        <v>9.4999999999999987E-2</v>
      </c>
      <c r="AB936" s="27">
        <v>8.5000000000000006E-2</v>
      </c>
      <c r="AC936" s="27">
        <v>9.849999999999999E-2</v>
      </c>
      <c r="AD936" s="11">
        <v>9.327202760862438E-2</v>
      </c>
    </row>
    <row r="937" spans="1:30" x14ac:dyDescent="0.25">
      <c r="A937" s="13">
        <v>45258</v>
      </c>
      <c r="B937" s="46" t="s">
        <v>636</v>
      </c>
      <c r="C937" s="13">
        <v>45259</v>
      </c>
      <c r="D937" s="15" t="s">
        <v>1045</v>
      </c>
      <c r="E937" s="15">
        <v>762</v>
      </c>
      <c r="F937" s="15">
        <v>720</v>
      </c>
      <c r="G937" s="13">
        <v>46021</v>
      </c>
      <c r="H937" s="17">
        <v>800</v>
      </c>
      <c r="I937" s="19">
        <v>1347.2</v>
      </c>
      <c r="J937" s="20">
        <v>1.6839999999999999</v>
      </c>
      <c r="K937" s="19">
        <v>1347.2</v>
      </c>
      <c r="L937" s="20">
        <v>1.6840000000000002</v>
      </c>
      <c r="M937" s="21">
        <v>0</v>
      </c>
      <c r="N937" s="19">
        <v>0</v>
      </c>
      <c r="O937" s="23">
        <v>160</v>
      </c>
      <c r="P937" s="24">
        <v>0</v>
      </c>
      <c r="Q937" s="25">
        <v>0</v>
      </c>
      <c r="R937" s="24">
        <v>0</v>
      </c>
      <c r="S937" s="25">
        <v>0</v>
      </c>
      <c r="T937" s="26">
        <v>0</v>
      </c>
      <c r="U937" s="24">
        <v>0</v>
      </c>
      <c r="V937" s="19">
        <v>960</v>
      </c>
      <c r="W937" s="19">
        <v>1347.2</v>
      </c>
      <c r="X937" s="21">
        <v>1.4033333333333333</v>
      </c>
      <c r="Y937" s="19">
        <v>1347.2</v>
      </c>
      <c r="Z937" s="20">
        <v>1.4033333333333333</v>
      </c>
      <c r="AA937" s="30">
        <v>9.7799999999999998E-2</v>
      </c>
      <c r="AB937" s="27">
        <v>0.01</v>
      </c>
      <c r="AC937" s="27">
        <v>9.7799999999999998E-2</v>
      </c>
      <c r="AD937" s="11">
        <v>9.5640216745843221E-2</v>
      </c>
    </row>
    <row r="938" spans="1:30" x14ac:dyDescent="0.25">
      <c r="A938" s="13">
        <v>45259</v>
      </c>
      <c r="B938" s="46" t="s">
        <v>636</v>
      </c>
      <c r="C938" s="13">
        <v>45259</v>
      </c>
      <c r="D938" s="15" t="s">
        <v>1046</v>
      </c>
      <c r="E938" s="15">
        <v>84</v>
      </c>
      <c r="F938" s="15">
        <v>90</v>
      </c>
      <c r="G938" s="13">
        <v>45343</v>
      </c>
      <c r="H938" s="17">
        <v>3000</v>
      </c>
      <c r="I938" s="19">
        <v>2510.5099999999998</v>
      </c>
      <c r="J938" s="20">
        <v>0.8368366666666669</v>
      </c>
      <c r="K938" s="19">
        <v>2510.5099999999998</v>
      </c>
      <c r="L938" s="20">
        <v>0.83683666666666656</v>
      </c>
      <c r="M938" s="21">
        <v>0</v>
      </c>
      <c r="N938" s="19">
        <v>0</v>
      </c>
      <c r="O938" s="23">
        <v>600</v>
      </c>
      <c r="P938" s="24">
        <v>407.37</v>
      </c>
      <c r="Q938" s="25">
        <v>0.67894999999999994</v>
      </c>
      <c r="R938" s="24">
        <v>407.37</v>
      </c>
      <c r="S938" s="25">
        <v>0.67895000000000005</v>
      </c>
      <c r="T938" s="26">
        <v>0</v>
      </c>
      <c r="U938" s="24">
        <v>0</v>
      </c>
      <c r="V938" s="19">
        <v>3600</v>
      </c>
      <c r="W938" s="19">
        <v>2917.8799999999997</v>
      </c>
      <c r="X938" s="21">
        <v>0.81052222222222214</v>
      </c>
      <c r="Y938" s="19">
        <v>2917.8799999999997</v>
      </c>
      <c r="Z938" s="20">
        <v>0.81052222222222214</v>
      </c>
      <c r="AA938" s="30">
        <v>9.830000000000004E-2</v>
      </c>
      <c r="AB938" s="27">
        <v>8.5000000000000006E-2</v>
      </c>
      <c r="AC938" s="27">
        <v>9.8299999999999998E-2</v>
      </c>
      <c r="AD938" s="11">
        <v>9.4245976315569358E-2</v>
      </c>
    </row>
    <row r="939" spans="1:30" x14ac:dyDescent="0.25">
      <c r="A939" s="13">
        <v>45260</v>
      </c>
      <c r="B939" s="46" t="s">
        <v>636</v>
      </c>
      <c r="C939" s="13">
        <v>45261</v>
      </c>
      <c r="D939" s="15" t="s">
        <v>1047</v>
      </c>
      <c r="E939" s="15">
        <v>350</v>
      </c>
      <c r="F939" s="15">
        <v>360</v>
      </c>
      <c r="G939" s="13">
        <v>45611</v>
      </c>
      <c r="H939" s="17">
        <v>2500</v>
      </c>
      <c r="I939" s="19">
        <v>2375.98</v>
      </c>
      <c r="J939" s="20">
        <v>0.95039200000000013</v>
      </c>
      <c r="K939" s="19">
        <v>1875.98</v>
      </c>
      <c r="L939" s="20">
        <v>0.75039200000000006</v>
      </c>
      <c r="M939" s="21">
        <v>0</v>
      </c>
      <c r="N939" s="19">
        <v>0</v>
      </c>
      <c r="O939" s="23">
        <v>500</v>
      </c>
      <c r="P939" s="24">
        <v>25</v>
      </c>
      <c r="Q939" s="25">
        <v>0.05</v>
      </c>
      <c r="R939" s="24">
        <v>25</v>
      </c>
      <c r="S939" s="25">
        <v>0.05</v>
      </c>
      <c r="T939" s="26">
        <v>0</v>
      </c>
      <c r="U939" s="24">
        <v>0</v>
      </c>
      <c r="V939" s="19">
        <v>3000</v>
      </c>
      <c r="W939" s="19">
        <v>2400.98</v>
      </c>
      <c r="X939" s="21">
        <v>0.80032666666666663</v>
      </c>
      <c r="Y939" s="19">
        <v>1900.98</v>
      </c>
      <c r="Z939" s="20">
        <v>0.63366</v>
      </c>
      <c r="AA939" s="30">
        <v>9.779999999999997E-2</v>
      </c>
      <c r="AB939" s="27">
        <v>8.5000000000000006E-2</v>
      </c>
      <c r="AC939" s="27">
        <v>9.9600000000000008E-2</v>
      </c>
      <c r="AD939" s="11">
        <v>9.4595773112568296E-2</v>
      </c>
    </row>
    <row r="940" spans="1:30" x14ac:dyDescent="0.25">
      <c r="A940" s="13">
        <v>45264</v>
      </c>
      <c r="B940" s="46" t="s">
        <v>636</v>
      </c>
      <c r="C940" s="13">
        <v>45264</v>
      </c>
      <c r="D940" s="15" t="s">
        <v>1048</v>
      </c>
      <c r="E940" s="15">
        <v>35</v>
      </c>
      <c r="F940" s="15">
        <v>30</v>
      </c>
      <c r="G940" s="13">
        <v>45299</v>
      </c>
      <c r="H940" s="17">
        <v>4200</v>
      </c>
      <c r="I940" s="19">
        <v>2236.4299999999998</v>
      </c>
      <c r="J940" s="20">
        <v>0.53248333333333331</v>
      </c>
      <c r="K940" s="19">
        <v>1886.4299999999998</v>
      </c>
      <c r="L940" s="20">
        <v>0.44914999999999994</v>
      </c>
      <c r="M940" s="21">
        <v>0</v>
      </c>
      <c r="N940" s="19">
        <v>0</v>
      </c>
      <c r="O940" s="23">
        <v>840</v>
      </c>
      <c r="P940" s="24">
        <v>53</v>
      </c>
      <c r="Q940" s="25">
        <v>6.3095238095238093E-2</v>
      </c>
      <c r="R940" s="24">
        <v>53</v>
      </c>
      <c r="S940" s="25">
        <v>6.3095238095238093E-2</v>
      </c>
      <c r="T940" s="26">
        <v>0</v>
      </c>
      <c r="U940" s="24">
        <v>0</v>
      </c>
      <c r="V940" s="19">
        <v>5040</v>
      </c>
      <c r="W940" s="19">
        <v>2289.4299999999998</v>
      </c>
      <c r="X940" s="21">
        <v>0.45425198412698409</v>
      </c>
      <c r="Y940" s="19">
        <v>1939.4299999999998</v>
      </c>
      <c r="Z940" s="20">
        <v>0.38480753968253967</v>
      </c>
      <c r="AA940" s="30">
        <v>9.600000000000003E-2</v>
      </c>
      <c r="AB940" s="27">
        <v>0.08</v>
      </c>
      <c r="AC940" s="27">
        <v>9.74E-2</v>
      </c>
      <c r="AD940" s="11">
        <v>9.314607700665796E-2</v>
      </c>
    </row>
    <row r="941" spans="1:30" x14ac:dyDescent="0.25">
      <c r="A941" s="13">
        <v>45266</v>
      </c>
      <c r="B941" s="46" t="s">
        <v>636</v>
      </c>
      <c r="C941" s="13">
        <v>45266</v>
      </c>
      <c r="D941" s="15" t="s">
        <v>1049</v>
      </c>
      <c r="E941" s="15">
        <v>77</v>
      </c>
      <c r="F941" s="15">
        <v>90</v>
      </c>
      <c r="G941" s="13">
        <v>45343</v>
      </c>
      <c r="H941" s="17">
        <v>3300</v>
      </c>
      <c r="I941" s="19">
        <v>2872.29</v>
      </c>
      <c r="J941" s="20">
        <v>0.87039090909090888</v>
      </c>
      <c r="K941" s="19">
        <v>2772.29</v>
      </c>
      <c r="L941" s="20">
        <v>0.84008787878787883</v>
      </c>
      <c r="M941" s="21">
        <v>0</v>
      </c>
      <c r="N941" s="19">
        <v>0</v>
      </c>
      <c r="O941" s="23">
        <v>660</v>
      </c>
      <c r="P941" s="24">
        <v>160.15</v>
      </c>
      <c r="Q941" s="25">
        <v>0.24265151515151517</v>
      </c>
      <c r="R941" s="24">
        <v>160.15</v>
      </c>
      <c r="S941" s="25">
        <v>0.24265151515151517</v>
      </c>
      <c r="T941" s="26">
        <v>0</v>
      </c>
      <c r="U941" s="24">
        <v>0</v>
      </c>
      <c r="V941" s="19">
        <v>3960</v>
      </c>
      <c r="W941" s="19">
        <v>3032.44</v>
      </c>
      <c r="X941" s="21">
        <v>0.76576767676767676</v>
      </c>
      <c r="Y941" s="19">
        <v>2932.44</v>
      </c>
      <c r="Z941" s="20">
        <v>0.74051515151515157</v>
      </c>
      <c r="AA941" s="30">
        <v>9.8900000000000002E-2</v>
      </c>
      <c r="AB941" s="27">
        <v>0.01</v>
      </c>
      <c r="AC941" s="27">
        <v>9.9700000000000011E-2</v>
      </c>
      <c r="AD941" s="11">
        <v>9.3205400568884059E-2</v>
      </c>
    </row>
    <row r="942" spans="1:30" x14ac:dyDescent="0.25">
      <c r="A942" s="13">
        <v>45268</v>
      </c>
      <c r="B942" s="46" t="s">
        <v>636</v>
      </c>
      <c r="C942" s="13">
        <v>45268</v>
      </c>
      <c r="D942" s="15" t="s">
        <v>1050</v>
      </c>
      <c r="E942" s="15">
        <v>196</v>
      </c>
      <c r="F942" s="15">
        <v>180</v>
      </c>
      <c r="G942" s="13">
        <v>45464</v>
      </c>
      <c r="H942" s="17">
        <v>5000</v>
      </c>
      <c r="I942" s="19">
        <v>4935.670000000001</v>
      </c>
      <c r="J942" s="20">
        <v>0.9871340000000004</v>
      </c>
      <c r="K942" s="19">
        <v>4835.670000000001</v>
      </c>
      <c r="L942" s="20">
        <v>0.96713400000000016</v>
      </c>
      <c r="M942" s="21">
        <v>0</v>
      </c>
      <c r="N942" s="19">
        <v>0</v>
      </c>
      <c r="O942" s="23">
        <v>1000</v>
      </c>
      <c r="P942" s="24">
        <v>17.62</v>
      </c>
      <c r="Q942" s="25">
        <v>1.762E-2</v>
      </c>
      <c r="R942" s="24">
        <v>17.62</v>
      </c>
      <c r="S942" s="25">
        <v>1.762E-2</v>
      </c>
      <c r="T942" s="26">
        <v>0</v>
      </c>
      <c r="U942" s="24">
        <v>0</v>
      </c>
      <c r="V942" s="19">
        <v>6000</v>
      </c>
      <c r="W942" s="19">
        <v>4953.2900000000009</v>
      </c>
      <c r="X942" s="21">
        <v>0.82554833333333344</v>
      </c>
      <c r="Y942" s="19">
        <v>4853.2900000000009</v>
      </c>
      <c r="Z942" s="20">
        <v>0.80888166666666683</v>
      </c>
      <c r="AA942" s="30">
        <v>9.8399999999999904E-2</v>
      </c>
      <c r="AB942" s="27">
        <v>0.08</v>
      </c>
      <c r="AC942" s="27">
        <v>9.9299999999999999E-2</v>
      </c>
      <c r="AD942" s="11">
        <v>9.4637046034276973E-2</v>
      </c>
    </row>
    <row r="943" spans="1:30" x14ac:dyDescent="0.25">
      <c r="A943" s="13">
        <v>45271</v>
      </c>
      <c r="B943" s="46" t="s">
        <v>636</v>
      </c>
      <c r="C943" s="13">
        <v>45271</v>
      </c>
      <c r="D943" s="15" t="s">
        <v>1051</v>
      </c>
      <c r="E943" s="15">
        <v>28</v>
      </c>
      <c r="F943" s="15">
        <v>30</v>
      </c>
      <c r="G943" s="13">
        <v>45299</v>
      </c>
      <c r="H943" s="17">
        <v>3300</v>
      </c>
      <c r="I943" s="19">
        <v>6728.9299999999994</v>
      </c>
      <c r="J943" s="20">
        <v>2.0390696969696966</v>
      </c>
      <c r="K943" s="19">
        <v>4810.4900000000007</v>
      </c>
      <c r="L943" s="20">
        <v>1.4577242424242427</v>
      </c>
      <c r="M943" s="21">
        <v>0</v>
      </c>
      <c r="N943" s="19">
        <v>0</v>
      </c>
      <c r="O943" s="23">
        <v>660</v>
      </c>
      <c r="P943" s="24">
        <v>427.05</v>
      </c>
      <c r="Q943" s="25">
        <v>0.64704545454545459</v>
      </c>
      <c r="R943" s="24">
        <v>427.05</v>
      </c>
      <c r="S943" s="25">
        <v>0.64704545454545459</v>
      </c>
      <c r="T943" s="26">
        <v>0</v>
      </c>
      <c r="U943" s="24">
        <v>0</v>
      </c>
      <c r="V943" s="19">
        <v>3960</v>
      </c>
      <c r="W943" s="19">
        <v>7155.98</v>
      </c>
      <c r="X943" s="21">
        <v>1.8070656565656564</v>
      </c>
      <c r="Y943" s="19">
        <v>5237.5400000000009</v>
      </c>
      <c r="Z943" s="20">
        <v>1.3226111111111114</v>
      </c>
      <c r="AA943" s="30">
        <v>9.3999999999999972E-2</v>
      </c>
      <c r="AB943" s="27">
        <v>0.08</v>
      </c>
      <c r="AC943" s="27">
        <v>9.8100000000000007E-2</v>
      </c>
      <c r="AD943" s="11">
        <v>9.2684959124259003E-2</v>
      </c>
    </row>
    <row r="944" spans="1:30" x14ac:dyDescent="0.25">
      <c r="A944" s="13">
        <v>45273</v>
      </c>
      <c r="B944" s="46" t="s">
        <v>636</v>
      </c>
      <c r="C944" s="13">
        <v>45273</v>
      </c>
      <c r="D944" s="15" t="s">
        <v>1052</v>
      </c>
      <c r="E944" s="15">
        <v>98</v>
      </c>
      <c r="F944" s="15">
        <v>90</v>
      </c>
      <c r="G944" s="13">
        <v>45371</v>
      </c>
      <c r="H944" s="17">
        <v>2500</v>
      </c>
      <c r="I944" s="19">
        <v>4737.41</v>
      </c>
      <c r="J944" s="20">
        <v>1.8949640000000005</v>
      </c>
      <c r="K944" s="19">
        <v>2611.41</v>
      </c>
      <c r="L944" s="20">
        <v>1.044564</v>
      </c>
      <c r="M944" s="21">
        <v>0</v>
      </c>
      <c r="N944" s="19">
        <v>0</v>
      </c>
      <c r="O944" s="23">
        <v>500</v>
      </c>
      <c r="P944" s="24">
        <v>401.65</v>
      </c>
      <c r="Q944" s="25">
        <v>0.80330000000000001</v>
      </c>
      <c r="R944" s="24">
        <v>401.65</v>
      </c>
      <c r="S944" s="25">
        <v>0.8032999999999999</v>
      </c>
      <c r="T944" s="26">
        <v>0</v>
      </c>
      <c r="U944" s="24">
        <v>0</v>
      </c>
      <c r="V944" s="19">
        <v>3000</v>
      </c>
      <c r="W944" s="19">
        <v>5139.0599999999995</v>
      </c>
      <c r="X944" s="21">
        <v>1.7130199999999998</v>
      </c>
      <c r="Y944" s="19">
        <v>3013.06</v>
      </c>
      <c r="Z944" s="20">
        <v>1.0043533333333332</v>
      </c>
      <c r="AA944" s="30">
        <v>9.6299999999999941E-2</v>
      </c>
      <c r="AB944" s="27">
        <v>0.08</v>
      </c>
      <c r="AC944" s="27">
        <v>9.9399999999999988E-2</v>
      </c>
      <c r="AD944" s="11">
        <v>9.5798376116907766E-2</v>
      </c>
    </row>
    <row r="945" spans="1:30" x14ac:dyDescent="0.25">
      <c r="A945" s="13">
        <v>45274</v>
      </c>
      <c r="B945" s="46" t="s">
        <v>636</v>
      </c>
      <c r="C945" s="13">
        <v>45275</v>
      </c>
      <c r="D945" s="15" t="s">
        <v>1053</v>
      </c>
      <c r="E945" s="15">
        <v>378</v>
      </c>
      <c r="F945" s="15">
        <v>360</v>
      </c>
      <c r="G945" s="13">
        <v>45653</v>
      </c>
      <c r="H945" s="17">
        <v>2500</v>
      </c>
      <c r="I945" s="19">
        <v>6194.3499999999995</v>
      </c>
      <c r="J945" s="20">
        <v>2.4777400000000007</v>
      </c>
      <c r="K945" s="19">
        <v>4315.0599999999995</v>
      </c>
      <c r="L945" s="20">
        <v>1.7260239999999998</v>
      </c>
      <c r="M945" s="21">
        <v>0</v>
      </c>
      <c r="N945" s="19">
        <v>0</v>
      </c>
      <c r="O945" s="23">
        <v>500</v>
      </c>
      <c r="P945" s="24">
        <v>200</v>
      </c>
      <c r="Q945" s="25">
        <v>0.4</v>
      </c>
      <c r="R945" s="24">
        <v>200</v>
      </c>
      <c r="S945" s="25">
        <v>0.4</v>
      </c>
      <c r="T945" s="26">
        <v>0</v>
      </c>
      <c r="U945" s="24">
        <v>0</v>
      </c>
      <c r="V945" s="19">
        <v>3000</v>
      </c>
      <c r="W945" s="19">
        <v>6394.3499999999995</v>
      </c>
      <c r="X945" s="21">
        <v>2.1314499999999996</v>
      </c>
      <c r="Y945" s="19">
        <v>4515.0599999999995</v>
      </c>
      <c r="Z945" s="20">
        <v>1.5050199999999998</v>
      </c>
      <c r="AA945" s="30">
        <v>9.560000000000006E-2</v>
      </c>
      <c r="AB945" s="27">
        <v>7.0000000000000007E-2</v>
      </c>
      <c r="AC945" s="27">
        <v>9.9499999999999991E-2</v>
      </c>
      <c r="AD945" s="11">
        <v>9.4573978867839262E-2</v>
      </c>
    </row>
    <row r="946" spans="1:30" x14ac:dyDescent="0.25">
      <c r="A946" s="13">
        <v>45278</v>
      </c>
      <c r="B946" s="46" t="s">
        <v>636</v>
      </c>
      <c r="C946" s="13">
        <v>45278</v>
      </c>
      <c r="D946" s="15" t="s">
        <v>1054</v>
      </c>
      <c r="E946" s="15">
        <v>35</v>
      </c>
      <c r="F946" s="15">
        <v>30</v>
      </c>
      <c r="G946" s="13">
        <v>45313</v>
      </c>
      <c r="H946" s="17">
        <v>3300</v>
      </c>
      <c r="I946" s="19">
        <v>9178.07</v>
      </c>
      <c r="J946" s="20">
        <v>2.7812333333333328</v>
      </c>
      <c r="K946" s="19">
        <v>6600</v>
      </c>
      <c r="L946" s="20">
        <v>2</v>
      </c>
      <c r="M946" s="21">
        <v>0.23164428571428572</v>
      </c>
      <c r="N946" s="19">
        <v>0</v>
      </c>
      <c r="O946" s="23">
        <v>660</v>
      </c>
      <c r="P946" s="24">
        <v>1508.5500000000002</v>
      </c>
      <c r="Q946" s="25">
        <v>2.2856818181818186</v>
      </c>
      <c r="R946" s="24">
        <v>659.99999999999989</v>
      </c>
      <c r="S946" s="25">
        <v>0.99999999999999978</v>
      </c>
      <c r="T946" s="26">
        <v>0.43750664136622386</v>
      </c>
      <c r="U946" s="24">
        <v>0</v>
      </c>
      <c r="V946" s="19">
        <v>3960</v>
      </c>
      <c r="W946" s="19">
        <v>10686.619999999999</v>
      </c>
      <c r="X946" s="21">
        <v>2.6986414141414139</v>
      </c>
      <c r="Y946" s="19">
        <v>7260</v>
      </c>
      <c r="Z946" s="20">
        <v>1.8333333333333333</v>
      </c>
      <c r="AA946" s="30">
        <v>9.2499999999999971E-2</v>
      </c>
      <c r="AB946" s="27">
        <v>7.4999999999999997E-2</v>
      </c>
      <c r="AC946" s="27">
        <v>9.6000000000000002E-2</v>
      </c>
      <c r="AD946" s="11">
        <v>9.0876136813077268E-2</v>
      </c>
    </row>
    <row r="947" spans="1:30" x14ac:dyDescent="0.25">
      <c r="A947" s="13">
        <v>45280</v>
      </c>
      <c r="B947" s="46" t="s">
        <v>636</v>
      </c>
      <c r="C947" s="13">
        <v>45280</v>
      </c>
      <c r="D947" s="15" t="s">
        <v>1055</v>
      </c>
      <c r="E947" s="15">
        <v>91</v>
      </c>
      <c r="F947" s="15">
        <v>90</v>
      </c>
      <c r="G947" s="13">
        <v>45371</v>
      </c>
      <c r="H947" s="17">
        <v>2500</v>
      </c>
      <c r="I947" s="19">
        <v>6754.8300000000008</v>
      </c>
      <c r="J947" s="20">
        <v>2.7019320000000007</v>
      </c>
      <c r="K947" s="19">
        <v>4954.83</v>
      </c>
      <c r="L947" s="20">
        <v>1.981932</v>
      </c>
      <c r="M947" s="21">
        <v>0</v>
      </c>
      <c r="N947" s="19">
        <v>0</v>
      </c>
      <c r="O947" s="23">
        <v>500</v>
      </c>
      <c r="P947" s="24">
        <v>700.79</v>
      </c>
      <c r="Q947" s="25">
        <v>1.4015799999999998</v>
      </c>
      <c r="R947" s="24">
        <v>500</v>
      </c>
      <c r="S947" s="25">
        <v>1</v>
      </c>
      <c r="T947" s="26">
        <v>0.71348060000000002</v>
      </c>
      <c r="U947" s="24">
        <v>0</v>
      </c>
      <c r="V947" s="19">
        <v>3000</v>
      </c>
      <c r="W947" s="19">
        <v>7455.6200000000008</v>
      </c>
      <c r="X947" s="21">
        <v>2.485206666666667</v>
      </c>
      <c r="Y947" s="19">
        <v>5454.83</v>
      </c>
      <c r="Z947" s="20">
        <v>1.8182766666666665</v>
      </c>
      <c r="AA947" s="30">
        <v>9.4699999999999895E-2</v>
      </c>
      <c r="AB947" s="27">
        <v>0.05</v>
      </c>
      <c r="AC947" s="27">
        <v>9.8000000000000004E-2</v>
      </c>
      <c r="AD947" s="11">
        <v>9.1107514770912071E-2</v>
      </c>
    </row>
    <row r="948" spans="1:30" x14ac:dyDescent="0.25">
      <c r="A948" s="13">
        <v>45282</v>
      </c>
      <c r="B948" s="46" t="s">
        <v>636</v>
      </c>
      <c r="C948" s="13">
        <v>45282</v>
      </c>
      <c r="D948" s="15" t="s">
        <v>1056</v>
      </c>
      <c r="E948" s="15">
        <v>182</v>
      </c>
      <c r="F948" s="15">
        <v>180</v>
      </c>
      <c r="G948" s="13">
        <v>45464</v>
      </c>
      <c r="H948" s="17">
        <v>2500</v>
      </c>
      <c r="I948" s="19">
        <v>7270.0900000000011</v>
      </c>
      <c r="J948" s="20">
        <v>2.9080360000000014</v>
      </c>
      <c r="K948" s="19">
        <v>4965.09</v>
      </c>
      <c r="L948" s="20">
        <v>1.9860360000000001</v>
      </c>
      <c r="M948" s="21">
        <v>0</v>
      </c>
      <c r="N948" s="19">
        <v>0</v>
      </c>
      <c r="O948" s="23">
        <v>500</v>
      </c>
      <c r="P948" s="24">
        <v>20</v>
      </c>
      <c r="Q948" s="25">
        <v>0.04</v>
      </c>
      <c r="R948" s="24">
        <v>20</v>
      </c>
      <c r="S948" s="25">
        <v>0.04</v>
      </c>
      <c r="T948" s="26">
        <v>0</v>
      </c>
      <c r="U948" s="24">
        <v>0</v>
      </c>
      <c r="V948" s="19">
        <v>3000</v>
      </c>
      <c r="W948" s="19">
        <v>7290.0900000000011</v>
      </c>
      <c r="X948" s="21">
        <v>2.4300300000000004</v>
      </c>
      <c r="Y948" s="19">
        <v>4985.09</v>
      </c>
      <c r="Z948" s="20">
        <v>1.6616966666666668</v>
      </c>
      <c r="AA948" s="30">
        <v>9.4000000000000056E-2</v>
      </c>
      <c r="AB948" s="27">
        <v>0.04</v>
      </c>
      <c r="AC948" s="27">
        <v>9.8000000000000004E-2</v>
      </c>
      <c r="AD948" s="11">
        <v>8.9368068895983407E-2</v>
      </c>
    </row>
    <row r="949" spans="1:30" x14ac:dyDescent="0.25">
      <c r="A949" s="13">
        <v>45286</v>
      </c>
      <c r="B949" s="46" t="s">
        <v>636</v>
      </c>
      <c r="C949" s="13">
        <v>45286</v>
      </c>
      <c r="D949" s="15" t="s">
        <v>1057</v>
      </c>
      <c r="E949" s="15">
        <v>34</v>
      </c>
      <c r="F949" s="15">
        <v>30</v>
      </c>
      <c r="G949" s="13">
        <v>45320</v>
      </c>
      <c r="H949" s="17">
        <v>4200</v>
      </c>
      <c r="I949" s="19">
        <v>6410.0599999999995</v>
      </c>
      <c r="J949" s="20">
        <v>1.5262047619047621</v>
      </c>
      <c r="K949" s="19">
        <v>5359.8099999999995</v>
      </c>
      <c r="L949" s="20">
        <v>1.2761452380952381</v>
      </c>
      <c r="M949" s="21">
        <v>0</v>
      </c>
      <c r="N949" s="19">
        <v>0</v>
      </c>
      <c r="O949" s="23">
        <v>840</v>
      </c>
      <c r="P949" s="24">
        <v>215</v>
      </c>
      <c r="Q949" s="25">
        <v>0.25595238095238093</v>
      </c>
      <c r="R949" s="24">
        <v>215</v>
      </c>
      <c r="S949" s="25">
        <v>0.25595238095238093</v>
      </c>
      <c r="T949" s="26">
        <v>0</v>
      </c>
      <c r="U949" s="24">
        <v>0</v>
      </c>
      <c r="V949" s="19">
        <v>5040</v>
      </c>
      <c r="W949" s="19">
        <v>6625.0599999999995</v>
      </c>
      <c r="X949" s="21">
        <v>1.3144960317460317</v>
      </c>
      <c r="Y949" s="19">
        <v>5574.8099999999995</v>
      </c>
      <c r="Z949" s="20">
        <v>1.1061130952380951</v>
      </c>
      <c r="AA949" s="30">
        <v>9.2499999999999916E-2</v>
      </c>
      <c r="AB949" s="27">
        <v>0.06</v>
      </c>
      <c r="AC949" s="27">
        <v>9.6300000000000011E-2</v>
      </c>
      <c r="AD949" s="11">
        <v>8.9493093668390006E-2</v>
      </c>
    </row>
    <row r="950" spans="1:30" x14ac:dyDescent="0.25">
      <c r="A950" s="13">
        <v>45286</v>
      </c>
      <c r="B950" s="46" t="s">
        <v>637</v>
      </c>
      <c r="C950" s="13">
        <v>45287</v>
      </c>
      <c r="D950" s="15" t="s">
        <v>1058</v>
      </c>
      <c r="E950" s="15">
        <v>734</v>
      </c>
      <c r="F950" s="15">
        <v>720</v>
      </c>
      <c r="G950" s="13">
        <v>46021</v>
      </c>
      <c r="H950" s="17">
        <v>1700</v>
      </c>
      <c r="I950" s="19">
        <v>2931.0499999999997</v>
      </c>
      <c r="J950" s="20">
        <v>1.7241470588235295</v>
      </c>
      <c r="K950" s="19">
        <v>2281.0499999999997</v>
      </c>
      <c r="L950" s="20">
        <v>1.3417941176470587</v>
      </c>
      <c r="M950" s="21">
        <v>0</v>
      </c>
      <c r="N950" s="19">
        <v>0</v>
      </c>
      <c r="O950" s="23">
        <v>340</v>
      </c>
      <c r="P950" s="24">
        <v>0</v>
      </c>
      <c r="Q950" s="25">
        <v>0</v>
      </c>
      <c r="R950" s="24">
        <v>0</v>
      </c>
      <c r="S950" s="25">
        <v>0</v>
      </c>
      <c r="T950" s="26">
        <v>0</v>
      </c>
      <c r="U950" s="24">
        <v>0</v>
      </c>
      <c r="V950" s="19">
        <v>2040</v>
      </c>
      <c r="W950" s="19">
        <v>2931.0499999999997</v>
      </c>
      <c r="X950" s="21">
        <v>1.4367892156862743</v>
      </c>
      <c r="Y950" s="19">
        <v>2281.0499999999997</v>
      </c>
      <c r="Z950" s="20">
        <v>1.1181617647058821</v>
      </c>
      <c r="AA950" s="30">
        <v>9.5099999999999976E-2</v>
      </c>
      <c r="AB950" s="27">
        <v>0.08</v>
      </c>
      <c r="AC950" s="27">
        <v>9.8000000000000004E-2</v>
      </c>
      <c r="AD950" s="11">
        <v>9.4591127752853082E-2</v>
      </c>
    </row>
    <row r="951" spans="1:30" x14ac:dyDescent="0.25">
      <c r="A951" s="13">
        <v>45287</v>
      </c>
      <c r="B951" s="46" t="s">
        <v>636</v>
      </c>
      <c r="C951" s="13">
        <v>45287</v>
      </c>
      <c r="D951" s="15" t="s">
        <v>1059</v>
      </c>
      <c r="E951" s="15">
        <v>84</v>
      </c>
      <c r="F951" s="15">
        <v>90</v>
      </c>
      <c r="G951" s="13">
        <v>45371</v>
      </c>
      <c r="H951" s="17">
        <v>3300</v>
      </c>
      <c r="I951" s="19">
        <v>6416.9500000000007</v>
      </c>
      <c r="J951" s="20">
        <v>1.9445303030303025</v>
      </c>
      <c r="K951" s="19">
        <v>6016.9500000000007</v>
      </c>
      <c r="L951" s="20">
        <v>1.8233181818181821</v>
      </c>
      <c r="M951" s="21">
        <v>0</v>
      </c>
      <c r="N951" s="19">
        <v>0</v>
      </c>
      <c r="O951" s="23">
        <v>660</v>
      </c>
      <c r="P951" s="24">
        <v>760.64</v>
      </c>
      <c r="Q951" s="25">
        <v>1.1524848484848484</v>
      </c>
      <c r="R951" s="24">
        <v>660</v>
      </c>
      <c r="S951" s="25">
        <v>1</v>
      </c>
      <c r="T951" s="26">
        <v>0.86769045454545457</v>
      </c>
      <c r="U951" s="24">
        <v>0</v>
      </c>
      <c r="V951" s="19">
        <v>3960</v>
      </c>
      <c r="W951" s="19">
        <v>7177.5900000000011</v>
      </c>
      <c r="X951" s="21">
        <v>1.8125227272727276</v>
      </c>
      <c r="Y951" s="19">
        <v>6676.9500000000007</v>
      </c>
      <c r="Z951" s="20">
        <v>1.686098484848485</v>
      </c>
      <c r="AA951" s="30">
        <v>9.4000000000000014E-2</v>
      </c>
      <c r="AB951" s="27">
        <v>0.08</v>
      </c>
      <c r="AC951" s="27">
        <v>9.6000000000000002E-2</v>
      </c>
      <c r="AD951" s="11">
        <v>9.1742124997078012E-2</v>
      </c>
    </row>
    <row r="952" spans="1:30" x14ac:dyDescent="0.25">
      <c r="A952" s="13">
        <v>45288</v>
      </c>
      <c r="B952" s="46" t="s">
        <v>636</v>
      </c>
      <c r="C952" s="13">
        <v>45289</v>
      </c>
      <c r="D952" s="15" t="s">
        <v>1060</v>
      </c>
      <c r="E952" s="15">
        <v>364</v>
      </c>
      <c r="F952" s="15">
        <v>360</v>
      </c>
      <c r="G952" s="13">
        <v>45653</v>
      </c>
      <c r="H952" s="17">
        <v>3300</v>
      </c>
      <c r="I952" s="19">
        <v>6952.55</v>
      </c>
      <c r="J952" s="20">
        <v>2.1068333333333333</v>
      </c>
      <c r="K952" s="19">
        <v>4350.58</v>
      </c>
      <c r="L952" s="20">
        <v>1.3183575757575758</v>
      </c>
      <c r="M952" s="21">
        <v>0</v>
      </c>
      <c r="N952" s="19">
        <v>0</v>
      </c>
      <c r="O952" s="23">
        <v>660</v>
      </c>
      <c r="P952" s="24">
        <v>23</v>
      </c>
      <c r="Q952" s="25">
        <v>3.4848484848484851E-2</v>
      </c>
      <c r="R952" s="24">
        <v>23</v>
      </c>
      <c r="S952" s="25">
        <v>3.4848484848484851E-2</v>
      </c>
      <c r="T952" s="26">
        <v>0</v>
      </c>
      <c r="U952" s="24">
        <v>0</v>
      </c>
      <c r="V952" s="19">
        <v>3960</v>
      </c>
      <c r="W952" s="19">
        <v>6975.55</v>
      </c>
      <c r="X952" s="21">
        <v>1.7615025252525254</v>
      </c>
      <c r="Y952" s="19">
        <v>4373.58</v>
      </c>
      <c r="Z952" s="20">
        <v>1.1044393939393939</v>
      </c>
      <c r="AA952" s="30">
        <v>9.4500000000000015E-2</v>
      </c>
      <c r="AB952" s="27">
        <v>7.0000000000000007E-2</v>
      </c>
      <c r="AC952" s="27">
        <v>9.7500000000000003E-2</v>
      </c>
      <c r="AD952" s="11">
        <v>9.3919503347692584E-2</v>
      </c>
    </row>
    <row r="953" spans="1:30" x14ac:dyDescent="0.25">
      <c r="A953" s="13">
        <v>45293</v>
      </c>
      <c r="B953" s="46" t="s">
        <v>636</v>
      </c>
      <c r="C953" s="13">
        <v>45293</v>
      </c>
      <c r="D953" s="15" t="s">
        <v>1061</v>
      </c>
      <c r="E953" s="15">
        <v>27</v>
      </c>
      <c r="F953" s="15">
        <v>30</v>
      </c>
      <c r="G953" s="13">
        <v>45320</v>
      </c>
      <c r="H953" s="17">
        <v>4200</v>
      </c>
      <c r="I953" s="19">
        <v>7333.2100000000009</v>
      </c>
      <c r="J953" s="20">
        <v>1.7460023809523801</v>
      </c>
      <c r="K953" s="19">
        <v>6483.2100000000009</v>
      </c>
      <c r="L953" s="20">
        <v>1.5436214285714287</v>
      </c>
      <c r="M953" s="21">
        <v>0</v>
      </c>
      <c r="N953" s="19">
        <v>0</v>
      </c>
      <c r="O953" s="23">
        <v>840</v>
      </c>
      <c r="P953" s="24">
        <v>1210</v>
      </c>
      <c r="Q953" s="25">
        <v>1.4404761904761907</v>
      </c>
      <c r="R953" s="24">
        <v>840</v>
      </c>
      <c r="S953" s="25">
        <v>1</v>
      </c>
      <c r="T953" s="26">
        <v>0.69421500000000003</v>
      </c>
      <c r="U953" s="24">
        <v>0</v>
      </c>
      <c r="V953" s="19">
        <v>5040</v>
      </c>
      <c r="W953" s="19">
        <v>8543.2100000000009</v>
      </c>
      <c r="X953" s="21">
        <v>1.6950813492063495</v>
      </c>
      <c r="Y953" s="19">
        <v>7323.2100000000009</v>
      </c>
      <c r="Z953" s="20">
        <v>1.4530178571428574</v>
      </c>
      <c r="AA953" s="30">
        <v>9.2299999999999938E-2</v>
      </c>
      <c r="AB953" s="27">
        <v>7.0000000000000007E-2</v>
      </c>
      <c r="AC953" s="27">
        <v>9.5000000000000001E-2</v>
      </c>
      <c r="AD953" s="11">
        <v>8.9885119067911579E-2</v>
      </c>
    </row>
    <row r="954" spans="1:30" x14ac:dyDescent="0.25">
      <c r="A954" s="13">
        <v>45294</v>
      </c>
      <c r="B954" s="46" t="s">
        <v>636</v>
      </c>
      <c r="C954" s="13">
        <v>45294</v>
      </c>
      <c r="D954" s="15" t="s">
        <v>1062</v>
      </c>
      <c r="E954" s="15">
        <v>91</v>
      </c>
      <c r="F954" s="15">
        <v>90</v>
      </c>
      <c r="G954" s="13">
        <v>45385</v>
      </c>
      <c r="H954" s="17">
        <v>4200</v>
      </c>
      <c r="I954" s="19">
        <v>10518.989999999998</v>
      </c>
      <c r="J954" s="20">
        <v>2.5045214285714286</v>
      </c>
      <c r="K954" s="19">
        <v>7918.989999999998</v>
      </c>
      <c r="L954" s="20">
        <v>1.8854738095238091</v>
      </c>
      <c r="M954" s="21">
        <v>0</v>
      </c>
      <c r="N954" s="19">
        <v>0</v>
      </c>
      <c r="O954" s="23">
        <v>840</v>
      </c>
      <c r="P954" s="24">
        <v>2420</v>
      </c>
      <c r="Q954" s="25">
        <v>2.8809523809523809</v>
      </c>
      <c r="R954" s="24">
        <v>840</v>
      </c>
      <c r="S954" s="25">
        <v>1</v>
      </c>
      <c r="T954" s="26">
        <v>0.34710750000000001</v>
      </c>
      <c r="U954" s="24">
        <v>0</v>
      </c>
      <c r="V954" s="19">
        <v>5040</v>
      </c>
      <c r="W954" s="19">
        <v>12938.989999999998</v>
      </c>
      <c r="X954" s="21">
        <v>2.5672599206349203</v>
      </c>
      <c r="Y954" s="19">
        <v>8758.989999999998</v>
      </c>
      <c r="Z954" s="20">
        <v>1.737894841269841</v>
      </c>
      <c r="AA954" s="30">
        <v>9.2999999999999985E-2</v>
      </c>
      <c r="AB954" s="27">
        <v>0.08</v>
      </c>
      <c r="AC954" s="27">
        <v>9.8800000000000013E-2</v>
      </c>
      <c r="AD954" s="11">
        <v>9.181395124436853E-2</v>
      </c>
    </row>
    <row r="955" spans="1:30" x14ac:dyDescent="0.25">
      <c r="A955" s="13">
        <v>45296</v>
      </c>
      <c r="B955" s="46" t="s">
        <v>636</v>
      </c>
      <c r="C955" s="13">
        <v>45296</v>
      </c>
      <c r="D955" s="15" t="s">
        <v>1063</v>
      </c>
      <c r="E955" s="15">
        <v>189</v>
      </c>
      <c r="F955" s="15">
        <v>180</v>
      </c>
      <c r="G955" s="13">
        <v>45485</v>
      </c>
      <c r="H955" s="17">
        <v>6500</v>
      </c>
      <c r="I955" s="19">
        <v>12508.660000000002</v>
      </c>
      <c r="J955" s="20">
        <v>1.9244092307692302</v>
      </c>
      <c r="K955" s="19">
        <v>10607.760000000004</v>
      </c>
      <c r="L955" s="20">
        <v>1.6319630769230775</v>
      </c>
      <c r="M955" s="21">
        <v>0</v>
      </c>
      <c r="N955" s="19">
        <v>0</v>
      </c>
      <c r="O955" s="23">
        <v>1300</v>
      </c>
      <c r="P955" s="24">
        <v>1200</v>
      </c>
      <c r="Q955" s="25">
        <v>0.92307692307692313</v>
      </c>
      <c r="R955" s="24">
        <v>1200</v>
      </c>
      <c r="S955" s="25">
        <v>0.92307692307692313</v>
      </c>
      <c r="T955" s="26">
        <v>0</v>
      </c>
      <c r="U955" s="24">
        <v>0</v>
      </c>
      <c r="V955" s="19">
        <v>7800</v>
      </c>
      <c r="W955" s="19">
        <v>13708.660000000002</v>
      </c>
      <c r="X955" s="21">
        <v>1.7575205128205131</v>
      </c>
      <c r="Y955" s="19">
        <v>11807.760000000004</v>
      </c>
      <c r="Z955" s="20">
        <v>1.513815384615385</v>
      </c>
      <c r="AA955" s="30">
        <v>9.3399999999999941E-2</v>
      </c>
      <c r="AB955" s="27">
        <v>0.08</v>
      </c>
      <c r="AC955" s="27">
        <v>9.5000000000000001E-2</v>
      </c>
      <c r="AD955" s="11">
        <v>9.1948776527621665E-2</v>
      </c>
    </row>
    <row r="956" spans="1:30" x14ac:dyDescent="0.25">
      <c r="A956" s="13">
        <v>45299</v>
      </c>
      <c r="B956" s="46" t="s">
        <v>636</v>
      </c>
      <c r="C956" s="13">
        <v>45299</v>
      </c>
      <c r="D956" s="15" t="s">
        <v>1064</v>
      </c>
      <c r="E956" s="15">
        <v>28</v>
      </c>
      <c r="F956" s="15">
        <v>30</v>
      </c>
      <c r="G956" s="13">
        <v>45327</v>
      </c>
      <c r="H956" s="17">
        <v>5800</v>
      </c>
      <c r="I956" s="19">
        <v>8787.19</v>
      </c>
      <c r="J956" s="20">
        <v>1.51503275862069</v>
      </c>
      <c r="K956" s="19">
        <v>8187.1900000000005</v>
      </c>
      <c r="L956" s="20">
        <v>1.4115844827586208</v>
      </c>
      <c r="M956" s="21">
        <v>0</v>
      </c>
      <c r="N956" s="19">
        <v>0</v>
      </c>
      <c r="O956" s="23">
        <v>1160</v>
      </c>
      <c r="P956" s="24">
        <v>2172.1</v>
      </c>
      <c r="Q956" s="25">
        <v>1.8725000000000001</v>
      </c>
      <c r="R956" s="24">
        <v>1160</v>
      </c>
      <c r="S956" s="25">
        <v>1</v>
      </c>
      <c r="T956" s="26">
        <v>0.53404549999999995</v>
      </c>
      <c r="U956" s="24">
        <v>0</v>
      </c>
      <c r="V956" s="19">
        <v>6960</v>
      </c>
      <c r="W956" s="19">
        <v>10959.29</v>
      </c>
      <c r="X956" s="21">
        <v>1.5746106321839082</v>
      </c>
      <c r="Y956" s="19">
        <v>9347.19</v>
      </c>
      <c r="Z956" s="20">
        <v>1.3429870689655172</v>
      </c>
      <c r="AA956" s="30">
        <v>9.2099999999999946E-2</v>
      </c>
      <c r="AB956" s="27">
        <v>7.5399999999999995E-2</v>
      </c>
      <c r="AC956" s="27">
        <v>9.35E-2</v>
      </c>
      <c r="AD956" s="11">
        <v>8.7947985192080719E-2</v>
      </c>
    </row>
    <row r="957" spans="1:30" x14ac:dyDescent="0.25">
      <c r="A957" s="13">
        <v>45301</v>
      </c>
      <c r="B957" s="46" t="s">
        <v>636</v>
      </c>
      <c r="C957" s="13">
        <v>45301</v>
      </c>
      <c r="D957" s="15" t="s">
        <v>1065</v>
      </c>
      <c r="E957" s="15">
        <v>84</v>
      </c>
      <c r="F957" s="15">
        <v>90</v>
      </c>
      <c r="G957" s="13">
        <v>45385</v>
      </c>
      <c r="H957" s="17">
        <v>5000</v>
      </c>
      <c r="I957" s="19">
        <v>7489.2000000000007</v>
      </c>
      <c r="J957" s="20">
        <v>1.4978400000000001</v>
      </c>
      <c r="K957" s="19">
        <v>6214.2000000000007</v>
      </c>
      <c r="L957" s="20">
        <v>1.2428400000000002</v>
      </c>
      <c r="M957" s="21">
        <v>0</v>
      </c>
      <c r="N957" s="19">
        <v>0</v>
      </c>
      <c r="O957" s="23">
        <v>1000</v>
      </c>
      <c r="P957" s="24">
        <v>2250</v>
      </c>
      <c r="Q957" s="25">
        <v>2.25</v>
      </c>
      <c r="R957" s="24">
        <v>1000</v>
      </c>
      <c r="S957" s="25">
        <v>1</v>
      </c>
      <c r="T957" s="26">
        <v>0.44444450000000002</v>
      </c>
      <c r="U957" s="24">
        <v>0</v>
      </c>
      <c r="V957" s="19">
        <v>6000</v>
      </c>
      <c r="W957" s="19">
        <v>9739.2000000000007</v>
      </c>
      <c r="X957" s="21">
        <v>1.6232000000000002</v>
      </c>
      <c r="Y957" s="19">
        <v>7214.2000000000007</v>
      </c>
      <c r="Z957" s="20">
        <v>1.2023666666666668</v>
      </c>
      <c r="AA957" s="30">
        <v>9.2299999999999924E-2</v>
      </c>
      <c r="AB957" s="27">
        <v>0.08</v>
      </c>
      <c r="AC957" s="27">
        <v>9.4E-2</v>
      </c>
      <c r="AD957" s="11">
        <v>9.0637693612134793E-2</v>
      </c>
    </row>
    <row r="958" spans="1:30" x14ac:dyDescent="0.25">
      <c r="A958" s="13">
        <v>45302</v>
      </c>
      <c r="B958" s="46" t="s">
        <v>636</v>
      </c>
      <c r="C958" s="13">
        <v>45303</v>
      </c>
      <c r="D958" s="15" t="s">
        <v>1066</v>
      </c>
      <c r="E958" s="15">
        <v>371</v>
      </c>
      <c r="F958" s="15">
        <v>360</v>
      </c>
      <c r="G958" s="13">
        <v>45674</v>
      </c>
      <c r="H958" s="17">
        <v>5000</v>
      </c>
      <c r="I958" s="19">
        <v>6100.8899999999994</v>
      </c>
      <c r="J958" s="20">
        <v>1.2201780000000004</v>
      </c>
      <c r="K958" s="19">
        <v>5599.1799999999994</v>
      </c>
      <c r="L958" s="20">
        <v>1.1198359999999998</v>
      </c>
      <c r="M958" s="21">
        <v>0</v>
      </c>
      <c r="N958" s="19">
        <v>0</v>
      </c>
      <c r="O958" s="23">
        <v>1000</v>
      </c>
      <c r="P958" s="24">
        <v>1200</v>
      </c>
      <c r="Q958" s="25">
        <v>1.2</v>
      </c>
      <c r="R958" s="24">
        <v>1000</v>
      </c>
      <c r="S958" s="25">
        <v>1</v>
      </c>
      <c r="T958" s="26">
        <v>0.83333349999999995</v>
      </c>
      <c r="U958" s="24">
        <v>0</v>
      </c>
      <c r="V958" s="19">
        <v>6000</v>
      </c>
      <c r="W958" s="19">
        <v>7300.8899999999994</v>
      </c>
      <c r="X958" s="21">
        <v>1.216815</v>
      </c>
      <c r="Y958" s="19">
        <v>6599.1799999999994</v>
      </c>
      <c r="Z958" s="20">
        <v>1.0998633333333332</v>
      </c>
      <c r="AA958" s="30">
        <v>9.3900000000000025E-2</v>
      </c>
      <c r="AB958" s="27">
        <v>0.08</v>
      </c>
      <c r="AC958" s="27">
        <v>9.4499999999999987E-2</v>
      </c>
      <c r="AD958" s="11">
        <v>9.182561904902399E-2</v>
      </c>
    </row>
    <row r="959" spans="1:30" x14ac:dyDescent="0.25">
      <c r="A959" s="13">
        <v>45306</v>
      </c>
      <c r="B959" s="46" t="s">
        <v>636</v>
      </c>
      <c r="C959" s="13">
        <v>45306</v>
      </c>
      <c r="D959" s="15" t="s">
        <v>1067</v>
      </c>
      <c r="E959" s="15">
        <v>35</v>
      </c>
      <c r="F959" s="15">
        <v>30</v>
      </c>
      <c r="G959" s="13">
        <v>45341</v>
      </c>
      <c r="H959" s="17">
        <v>5800</v>
      </c>
      <c r="I959" s="19">
        <v>5748.0000000000009</v>
      </c>
      <c r="J959" s="20">
        <v>0.99103448275862072</v>
      </c>
      <c r="K959" s="19">
        <v>5748.0000000000009</v>
      </c>
      <c r="L959" s="20">
        <v>0.99103448275862083</v>
      </c>
      <c r="M959" s="21">
        <v>0</v>
      </c>
      <c r="N959" s="19">
        <v>0</v>
      </c>
      <c r="O959" s="23">
        <v>1160</v>
      </c>
      <c r="P959" s="24">
        <v>1102</v>
      </c>
      <c r="Q959" s="25">
        <v>0.95000000000000007</v>
      </c>
      <c r="R959" s="24">
        <v>1102</v>
      </c>
      <c r="S959" s="25">
        <v>0.95</v>
      </c>
      <c r="T959" s="26">
        <v>0</v>
      </c>
      <c r="U959" s="24">
        <v>0</v>
      </c>
      <c r="V959" s="19">
        <v>6960</v>
      </c>
      <c r="W959" s="19">
        <v>6850.0000000000009</v>
      </c>
      <c r="X959" s="21">
        <v>0.98419540229885072</v>
      </c>
      <c r="Y959" s="19">
        <v>6850.0000000000009</v>
      </c>
      <c r="Z959" s="20">
        <v>0.98419540229885072</v>
      </c>
      <c r="AA959" s="30">
        <v>9.310000000000003E-2</v>
      </c>
      <c r="AB959" s="27">
        <v>7.0000000000000007E-2</v>
      </c>
      <c r="AC959" s="27">
        <v>9.3100000000000002E-2</v>
      </c>
      <c r="AD959" s="11">
        <v>9.0848291579679885E-2</v>
      </c>
    </row>
    <row r="960" spans="1:30" x14ac:dyDescent="0.25">
      <c r="A960" s="13">
        <v>45308</v>
      </c>
      <c r="B960" s="46" t="s">
        <v>636</v>
      </c>
      <c r="C960" s="13">
        <v>45308</v>
      </c>
      <c r="D960" s="15" t="s">
        <v>1068</v>
      </c>
      <c r="E960" s="15">
        <v>98</v>
      </c>
      <c r="F960" s="15">
        <v>90</v>
      </c>
      <c r="G960" s="13">
        <v>45406</v>
      </c>
      <c r="H960" s="17">
        <v>4200</v>
      </c>
      <c r="I960" s="19">
        <v>7249.28</v>
      </c>
      <c r="J960" s="20">
        <v>1.7260190476190473</v>
      </c>
      <c r="K960" s="19">
        <v>5514.28</v>
      </c>
      <c r="L960" s="20">
        <v>1.3129238095238094</v>
      </c>
      <c r="M960" s="21">
        <v>0</v>
      </c>
      <c r="N960" s="19">
        <v>0</v>
      </c>
      <c r="O960" s="23">
        <v>840</v>
      </c>
      <c r="P960" s="24">
        <v>1944.09</v>
      </c>
      <c r="Q960" s="25">
        <v>2.3143928571428574</v>
      </c>
      <c r="R960" s="24">
        <v>840</v>
      </c>
      <c r="S960" s="25">
        <v>1</v>
      </c>
      <c r="T960" s="26">
        <v>0.4320788095238095</v>
      </c>
      <c r="U960" s="24">
        <v>0</v>
      </c>
      <c r="V960" s="19">
        <v>5040</v>
      </c>
      <c r="W960" s="19">
        <v>9193.369999999999</v>
      </c>
      <c r="X960" s="21">
        <v>1.824081349206349</v>
      </c>
      <c r="Y960" s="19">
        <v>6354.28</v>
      </c>
      <c r="Z960" s="20">
        <v>1.2607698412698412</v>
      </c>
      <c r="AA960" s="30">
        <v>9.1999999999999971E-2</v>
      </c>
      <c r="AB960" s="27">
        <v>7.0000000000000007E-2</v>
      </c>
      <c r="AC960" s="27">
        <v>9.3299999999999994E-2</v>
      </c>
      <c r="AD960" s="11">
        <v>9.0422858270062703E-2</v>
      </c>
    </row>
    <row r="961" spans="1:30" x14ac:dyDescent="0.25">
      <c r="A961" s="13">
        <v>45310</v>
      </c>
      <c r="B961" s="46" t="s">
        <v>636</v>
      </c>
      <c r="C961" s="13">
        <v>45310</v>
      </c>
      <c r="D961" s="15" t="s">
        <v>1069</v>
      </c>
      <c r="E961" s="15">
        <v>189</v>
      </c>
      <c r="F961" s="15">
        <v>180</v>
      </c>
      <c r="G961" s="13">
        <v>45499</v>
      </c>
      <c r="H961" s="17">
        <v>5000</v>
      </c>
      <c r="I961" s="19">
        <v>8509.16</v>
      </c>
      <c r="J961" s="20">
        <v>1.7018320000000007</v>
      </c>
      <c r="K961" s="19">
        <v>7959.16</v>
      </c>
      <c r="L961" s="20">
        <v>1.5918319999999999</v>
      </c>
      <c r="M961" s="21">
        <v>0</v>
      </c>
      <c r="N961" s="19">
        <v>0</v>
      </c>
      <c r="O961" s="23">
        <v>1000</v>
      </c>
      <c r="P961" s="24">
        <v>1750.3200000000002</v>
      </c>
      <c r="Q961" s="25">
        <v>1.7503199999999999</v>
      </c>
      <c r="R961" s="24">
        <v>1000</v>
      </c>
      <c r="S961" s="25">
        <v>1</v>
      </c>
      <c r="T961" s="26">
        <v>0.57132416666666674</v>
      </c>
      <c r="U961" s="24">
        <v>0</v>
      </c>
      <c r="V961" s="19">
        <v>6000</v>
      </c>
      <c r="W961" s="19">
        <v>10259.48</v>
      </c>
      <c r="X961" s="21">
        <v>1.7099133333333332</v>
      </c>
      <c r="Y961" s="19">
        <v>8959.16</v>
      </c>
      <c r="Z961" s="20">
        <v>1.4931933333333334</v>
      </c>
      <c r="AA961" s="30">
        <v>9.2699999999999866E-2</v>
      </c>
      <c r="AB961" s="27">
        <v>7.0000000000000007E-2</v>
      </c>
      <c r="AC961" s="27">
        <v>9.3399999999999997E-2</v>
      </c>
      <c r="AD961" s="11">
        <v>9.1067410884270603E-2</v>
      </c>
    </row>
    <row r="962" spans="1:30" x14ac:dyDescent="0.25">
      <c r="A962" s="13">
        <v>45313</v>
      </c>
      <c r="B962" s="46" t="s">
        <v>636</v>
      </c>
      <c r="C962" s="13">
        <v>45313</v>
      </c>
      <c r="D962" s="15" t="s">
        <v>1070</v>
      </c>
      <c r="E962" s="15">
        <v>35</v>
      </c>
      <c r="F962" s="15">
        <v>30</v>
      </c>
      <c r="G962" s="13">
        <v>45348</v>
      </c>
      <c r="H962" s="17">
        <v>5000</v>
      </c>
      <c r="I962" s="19">
        <v>10013.42</v>
      </c>
      <c r="J962" s="20">
        <v>2.0026839999999995</v>
      </c>
      <c r="K962" s="19">
        <v>5832.98</v>
      </c>
      <c r="L962" s="20">
        <v>1.166596</v>
      </c>
      <c r="M962" s="21">
        <v>0</v>
      </c>
      <c r="N962" s="19">
        <v>0</v>
      </c>
      <c r="O962" s="23">
        <v>1000</v>
      </c>
      <c r="P962" s="24">
        <v>1314.8</v>
      </c>
      <c r="Q962" s="25">
        <v>1.3148000000000002</v>
      </c>
      <c r="R962" s="24">
        <v>1000</v>
      </c>
      <c r="S962" s="25">
        <v>1</v>
      </c>
      <c r="T962" s="26">
        <v>0.76057200000000003</v>
      </c>
      <c r="U962" s="24">
        <v>0</v>
      </c>
      <c r="V962" s="19">
        <v>6000</v>
      </c>
      <c r="W962" s="19">
        <v>11328.22</v>
      </c>
      <c r="X962" s="21">
        <v>1.8880366666666666</v>
      </c>
      <c r="Y962" s="19">
        <v>6832.98</v>
      </c>
      <c r="Z962" s="20">
        <v>1.13883</v>
      </c>
      <c r="AA962" s="30">
        <v>9.0500000000000011E-2</v>
      </c>
      <c r="AB962" s="27">
        <v>0.08</v>
      </c>
      <c r="AC962" s="27">
        <v>9.3299999999999994E-2</v>
      </c>
      <c r="AD962" s="11">
        <v>9.0251647888533584E-2</v>
      </c>
    </row>
    <row r="963" spans="1:30" x14ac:dyDescent="0.25">
      <c r="A963" s="13">
        <v>45315</v>
      </c>
      <c r="B963" s="46" t="s">
        <v>636</v>
      </c>
      <c r="C963" s="13">
        <v>45315</v>
      </c>
      <c r="D963" s="15" t="s">
        <v>1071</v>
      </c>
      <c r="E963" s="15">
        <v>105</v>
      </c>
      <c r="F963" s="15">
        <v>90</v>
      </c>
      <c r="G963" s="13">
        <v>45420</v>
      </c>
      <c r="H963" s="17">
        <v>5800</v>
      </c>
      <c r="I963" s="19">
        <v>6964.7800000000007</v>
      </c>
      <c r="J963" s="20">
        <v>1.2008241379310345</v>
      </c>
      <c r="K963" s="19">
        <v>6264.7800000000007</v>
      </c>
      <c r="L963" s="20">
        <v>1.0801344827586208</v>
      </c>
      <c r="M963" s="21">
        <v>0</v>
      </c>
      <c r="N963" s="19">
        <v>0</v>
      </c>
      <c r="O963" s="23">
        <v>1160</v>
      </c>
      <c r="P963" s="24">
        <v>1740.45</v>
      </c>
      <c r="Q963" s="25">
        <v>1.500387931034483</v>
      </c>
      <c r="R963" s="24">
        <v>1160</v>
      </c>
      <c r="S963" s="25">
        <v>1</v>
      </c>
      <c r="T963" s="26">
        <v>0.66649449999999999</v>
      </c>
      <c r="U963" s="24">
        <v>0</v>
      </c>
      <c r="V963" s="19">
        <v>6960</v>
      </c>
      <c r="W963" s="19">
        <v>8705.2300000000014</v>
      </c>
      <c r="X963" s="21">
        <v>1.2507514367816095</v>
      </c>
      <c r="Y963" s="19">
        <v>7424.7800000000007</v>
      </c>
      <c r="Z963" s="20">
        <v>1.0667787356321841</v>
      </c>
      <c r="AA963" s="30">
        <v>9.269999999999988E-2</v>
      </c>
      <c r="AB963" s="27">
        <v>7.0000000000000007E-2</v>
      </c>
      <c r="AC963" s="27">
        <v>9.35E-2</v>
      </c>
      <c r="AD963" s="11">
        <v>9.0517928060900713E-2</v>
      </c>
    </row>
    <row r="964" spans="1:30" x14ac:dyDescent="0.25">
      <c r="A964" s="13">
        <v>45316</v>
      </c>
      <c r="B964" s="46" t="s">
        <v>636</v>
      </c>
      <c r="C964" s="13">
        <v>45317</v>
      </c>
      <c r="D964" s="15" t="s">
        <v>1080</v>
      </c>
      <c r="E964" s="15">
        <v>357</v>
      </c>
      <c r="F964" s="15">
        <v>360</v>
      </c>
      <c r="G964" s="13">
        <v>45674</v>
      </c>
      <c r="H964" s="17">
        <v>3300</v>
      </c>
      <c r="I964" s="19">
        <v>7533.29</v>
      </c>
      <c r="J964" s="20">
        <v>2.2828151515151509</v>
      </c>
      <c r="K964" s="19">
        <v>4475.07</v>
      </c>
      <c r="L964" s="20">
        <v>1.3560818181818182</v>
      </c>
      <c r="M964" s="21">
        <v>0</v>
      </c>
      <c r="N964" s="19">
        <v>0</v>
      </c>
      <c r="O964" s="23">
        <v>660</v>
      </c>
      <c r="P964" s="24">
        <v>660</v>
      </c>
      <c r="Q964" s="25">
        <v>1</v>
      </c>
      <c r="R964" s="24">
        <v>660</v>
      </c>
      <c r="S964" s="25">
        <v>1</v>
      </c>
      <c r="T964" s="26">
        <v>0</v>
      </c>
      <c r="U964" s="24">
        <v>0</v>
      </c>
      <c r="V964" s="19">
        <v>3960</v>
      </c>
      <c r="W964" s="19">
        <v>8193.2900000000009</v>
      </c>
      <c r="X964" s="21">
        <v>2.0690126262626265</v>
      </c>
      <c r="Y964" s="19">
        <v>5135.07</v>
      </c>
      <c r="Z964" s="20">
        <v>1.2967348484848484</v>
      </c>
      <c r="AA964" s="30">
        <v>9.1499999999999942E-2</v>
      </c>
      <c r="AB964" s="27">
        <v>7.0000000000000007E-2</v>
      </c>
      <c r="AC964" s="27">
        <v>9.5000000000000001E-2</v>
      </c>
      <c r="AD964" s="11">
        <v>9.0467345210392805E-2</v>
      </c>
    </row>
    <row r="965" spans="1:30" x14ac:dyDescent="0.25">
      <c r="A965" s="13">
        <v>45320</v>
      </c>
      <c r="B965" s="46" t="s">
        <v>636</v>
      </c>
      <c r="C965" s="13">
        <v>45320</v>
      </c>
      <c r="D965" s="15" t="s">
        <v>1081</v>
      </c>
      <c r="E965" s="15">
        <v>35</v>
      </c>
      <c r="F965" s="15">
        <v>30</v>
      </c>
      <c r="G965" s="13">
        <v>45355</v>
      </c>
      <c r="H965" s="17">
        <v>6600</v>
      </c>
      <c r="I965" s="19">
        <v>7990.9200000000019</v>
      </c>
      <c r="J965" s="20">
        <v>1.2107454545454543</v>
      </c>
      <c r="K965" s="19">
        <v>6840.9200000000019</v>
      </c>
      <c r="L965" s="20">
        <v>1.0365030303030305</v>
      </c>
      <c r="M965" s="21">
        <v>0</v>
      </c>
      <c r="N965" s="19">
        <v>0</v>
      </c>
      <c r="O965" s="23">
        <v>1320</v>
      </c>
      <c r="P965" s="24">
        <v>2718.6</v>
      </c>
      <c r="Q965" s="25">
        <v>2.0595454545454546</v>
      </c>
      <c r="R965" s="24">
        <v>1320</v>
      </c>
      <c r="S965" s="25">
        <v>1</v>
      </c>
      <c r="T965" s="26">
        <v>0.485545</v>
      </c>
      <c r="U965" s="24">
        <v>0</v>
      </c>
      <c r="V965" s="19">
        <v>7920</v>
      </c>
      <c r="W965" s="19">
        <v>10709.520000000002</v>
      </c>
      <c r="X965" s="21">
        <v>1.3522121212121214</v>
      </c>
      <c r="Y965" s="19">
        <v>8160.9200000000019</v>
      </c>
      <c r="Z965" s="20">
        <v>1.0304191919191921</v>
      </c>
      <c r="AA965" s="30">
        <v>9.1000000000000081E-2</v>
      </c>
      <c r="AB965" s="27">
        <v>7.0000000000000007E-2</v>
      </c>
      <c r="AC965" s="27">
        <v>9.35E-2</v>
      </c>
      <c r="AD965" s="11">
        <v>8.8626642739509334E-2</v>
      </c>
    </row>
    <row r="966" spans="1:30" x14ac:dyDescent="0.25">
      <c r="A966" s="13">
        <v>45322</v>
      </c>
      <c r="B966" s="46" t="s">
        <v>636</v>
      </c>
      <c r="C966" s="13">
        <v>45322</v>
      </c>
      <c r="D966" s="15" t="s">
        <v>1082</v>
      </c>
      <c r="E966" s="15">
        <v>98</v>
      </c>
      <c r="F966" s="15">
        <v>90</v>
      </c>
      <c r="G966" s="13">
        <v>45420</v>
      </c>
      <c r="H966" s="17">
        <v>5800</v>
      </c>
      <c r="I966" s="19">
        <v>6271.2300000000005</v>
      </c>
      <c r="J966" s="20">
        <v>1.0812465517241376</v>
      </c>
      <c r="K966" s="19">
        <v>6071.2300000000005</v>
      </c>
      <c r="L966" s="20">
        <v>1.0467637931034484</v>
      </c>
      <c r="M966" s="21">
        <v>0</v>
      </c>
      <c r="N966" s="19">
        <v>0</v>
      </c>
      <c r="O966" s="23">
        <v>1160</v>
      </c>
      <c r="P966" s="24">
        <v>973.45</v>
      </c>
      <c r="Q966" s="25">
        <v>0.83918103448275871</v>
      </c>
      <c r="R966" s="24">
        <v>973.45</v>
      </c>
      <c r="S966" s="25">
        <v>0.83918103448275871</v>
      </c>
      <c r="T966" s="26">
        <v>0</v>
      </c>
      <c r="U966" s="24">
        <v>0</v>
      </c>
      <c r="V966" s="19">
        <v>6960</v>
      </c>
      <c r="W966" s="19">
        <v>7244.68</v>
      </c>
      <c r="X966" s="21">
        <v>1.0409022988505747</v>
      </c>
      <c r="Y966" s="19">
        <v>7044.68</v>
      </c>
      <c r="Z966" s="20">
        <v>1.0121666666666667</v>
      </c>
      <c r="AA966" s="30">
        <v>9.3199999999999963E-2</v>
      </c>
      <c r="AB966" s="27">
        <v>7.0000000000000007E-2</v>
      </c>
      <c r="AC966" s="27">
        <v>9.3399999999999997E-2</v>
      </c>
      <c r="AD966" s="11">
        <v>9.0662495555098449E-2</v>
      </c>
    </row>
    <row r="967" spans="1:30" x14ac:dyDescent="0.25">
      <c r="A967" s="13">
        <v>45324</v>
      </c>
      <c r="B967" s="46" t="s">
        <v>636</v>
      </c>
      <c r="C967" s="13">
        <v>45324</v>
      </c>
      <c r="D967" s="15" t="s">
        <v>1083</v>
      </c>
      <c r="E967" s="15">
        <v>182</v>
      </c>
      <c r="F967" s="15">
        <v>180</v>
      </c>
      <c r="G967" s="13">
        <v>45506</v>
      </c>
      <c r="H967" s="17">
        <v>3300</v>
      </c>
      <c r="I967" s="19">
        <v>6100.17</v>
      </c>
      <c r="J967" s="20">
        <v>1.848536363636363</v>
      </c>
      <c r="K967" s="19">
        <v>4038.6699999999996</v>
      </c>
      <c r="L967" s="20">
        <v>1.2238393939393939</v>
      </c>
      <c r="M967" s="21">
        <v>0</v>
      </c>
      <c r="N967" s="19">
        <v>0</v>
      </c>
      <c r="O967" s="23">
        <v>660</v>
      </c>
      <c r="P967" s="24">
        <v>0</v>
      </c>
      <c r="Q967" s="25">
        <v>0</v>
      </c>
      <c r="R967" s="24">
        <v>0</v>
      </c>
      <c r="S967" s="25">
        <v>0</v>
      </c>
      <c r="T967" s="26">
        <v>0</v>
      </c>
      <c r="U967" s="24">
        <v>0</v>
      </c>
      <c r="V967" s="19">
        <v>3960</v>
      </c>
      <c r="W967" s="19">
        <v>6100.17</v>
      </c>
      <c r="X967" s="21">
        <v>1.5404469696969698</v>
      </c>
      <c r="Y967" s="19">
        <v>4038.6699999999996</v>
      </c>
      <c r="Z967" s="20">
        <v>1.0198661616161615</v>
      </c>
      <c r="AA967" s="30">
        <v>9.2000000000000054E-2</v>
      </c>
      <c r="AB967" s="27">
        <v>7.0000000000000007E-2</v>
      </c>
      <c r="AC967" s="27">
        <v>9.4700000000000006E-2</v>
      </c>
      <c r="AD967" s="11">
        <v>9.0723875236263907E-2</v>
      </c>
    </row>
    <row r="968" spans="1:30" x14ac:dyDescent="0.25">
      <c r="A968" s="13">
        <v>45327</v>
      </c>
      <c r="B968" s="46" t="s">
        <v>636</v>
      </c>
      <c r="C968" s="13">
        <v>45327</v>
      </c>
      <c r="D968" s="15" t="s">
        <v>1084</v>
      </c>
      <c r="E968" s="15">
        <v>35</v>
      </c>
      <c r="F968" s="15">
        <v>30</v>
      </c>
      <c r="G968" s="13">
        <v>45362</v>
      </c>
      <c r="H968" s="17">
        <v>5800</v>
      </c>
      <c r="I968" s="19">
        <v>8438.08</v>
      </c>
      <c r="J968" s="20">
        <v>1.4548413793103452</v>
      </c>
      <c r="K968" s="19">
        <v>6988.0800000000008</v>
      </c>
      <c r="L968" s="20">
        <v>1.204841379310345</v>
      </c>
      <c r="M968" s="21">
        <v>0</v>
      </c>
      <c r="N968" s="19">
        <v>0</v>
      </c>
      <c r="O968" s="23">
        <v>1160</v>
      </c>
      <c r="P968" s="24">
        <v>244.1</v>
      </c>
      <c r="Q968" s="25">
        <v>0.2104310344827586</v>
      </c>
      <c r="R968" s="24">
        <v>244.1</v>
      </c>
      <c r="S968" s="25">
        <v>0.21043103448275863</v>
      </c>
      <c r="T968" s="26">
        <v>0</v>
      </c>
      <c r="U968" s="24">
        <v>0</v>
      </c>
      <c r="V968" s="19">
        <v>6960</v>
      </c>
      <c r="W968" s="19">
        <v>8682.18</v>
      </c>
      <c r="X968" s="21">
        <v>1.2474396551724138</v>
      </c>
      <c r="Y968" s="19">
        <v>7232.1800000000012</v>
      </c>
      <c r="Z968" s="20">
        <v>1.0391063218390806</v>
      </c>
      <c r="AA968" s="30">
        <v>9.1000000000000095E-2</v>
      </c>
      <c r="AB968" s="27">
        <v>7.0000000000000007E-2</v>
      </c>
      <c r="AC968" s="27">
        <v>9.3000000000000013E-2</v>
      </c>
      <c r="AD968" s="11">
        <v>8.9190598572187044E-2</v>
      </c>
    </row>
    <row r="969" spans="1:30" x14ac:dyDescent="0.25">
      <c r="A969" s="13">
        <v>45329</v>
      </c>
      <c r="B969" s="46" t="s">
        <v>636</v>
      </c>
      <c r="C969" s="13">
        <v>45329</v>
      </c>
      <c r="D969" s="15" t="s">
        <v>1085</v>
      </c>
      <c r="E969" s="15">
        <v>98</v>
      </c>
      <c r="F969" s="15">
        <v>90</v>
      </c>
      <c r="G969" s="13">
        <v>45427</v>
      </c>
      <c r="H969" s="17">
        <v>4200</v>
      </c>
      <c r="I969" s="19">
        <v>11912.579999999998</v>
      </c>
      <c r="J969" s="20">
        <v>2.8363285714285702</v>
      </c>
      <c r="K969" s="19">
        <v>6212.5800000000008</v>
      </c>
      <c r="L969" s="20">
        <v>1.4791857142857145</v>
      </c>
      <c r="M969" s="21">
        <v>0</v>
      </c>
      <c r="N969" s="19">
        <v>0</v>
      </c>
      <c r="O969" s="23">
        <v>840</v>
      </c>
      <c r="P969" s="24">
        <v>1785</v>
      </c>
      <c r="Q969" s="25">
        <v>2.125</v>
      </c>
      <c r="R969" s="24">
        <v>840</v>
      </c>
      <c r="S969" s="25">
        <v>1</v>
      </c>
      <c r="T969" s="26">
        <v>0.47058831460674155</v>
      </c>
      <c r="U969" s="24">
        <v>0</v>
      </c>
      <c r="V969" s="19">
        <v>5040</v>
      </c>
      <c r="W969" s="19">
        <v>13697.579999999998</v>
      </c>
      <c r="X969" s="21">
        <v>2.7177738095238091</v>
      </c>
      <c r="Y969" s="19">
        <v>7052.5800000000008</v>
      </c>
      <c r="Z969" s="20">
        <v>1.3993214285714288</v>
      </c>
      <c r="AA969" s="30">
        <v>9.1499999999999942E-2</v>
      </c>
      <c r="AB969" s="27">
        <v>7.0000000000000007E-2</v>
      </c>
      <c r="AC969" s="27">
        <v>9.3699999999999992E-2</v>
      </c>
      <c r="AD969" s="11">
        <v>9.1444105223217803E-2</v>
      </c>
    </row>
    <row r="970" spans="1:30" x14ac:dyDescent="0.25">
      <c r="A970" s="13">
        <v>45330</v>
      </c>
      <c r="B970" s="46" t="s">
        <v>636</v>
      </c>
      <c r="C970" s="13">
        <v>45331</v>
      </c>
      <c r="D970" s="15" t="s">
        <v>1086</v>
      </c>
      <c r="E970" s="15">
        <v>364</v>
      </c>
      <c r="F970" s="15">
        <v>360</v>
      </c>
      <c r="G970" s="13">
        <v>45695</v>
      </c>
      <c r="H970" s="17">
        <v>4200</v>
      </c>
      <c r="I970" s="19">
        <v>8694.8200000000015</v>
      </c>
      <c r="J970" s="20">
        <v>2.0701952380952386</v>
      </c>
      <c r="K970" s="19">
        <v>5669.8200000000006</v>
      </c>
      <c r="L970" s="20">
        <v>1.3499571428571431</v>
      </c>
      <c r="M970" s="21">
        <v>0</v>
      </c>
      <c r="N970" s="19">
        <v>0</v>
      </c>
      <c r="O970" s="23">
        <v>840</v>
      </c>
      <c r="P970" s="24">
        <v>500</v>
      </c>
      <c r="Q970" s="25">
        <v>0.59523809523809523</v>
      </c>
      <c r="R970" s="24">
        <v>500</v>
      </c>
      <c r="S970" s="25">
        <v>0.59523809523809523</v>
      </c>
      <c r="T970" s="26">
        <v>0</v>
      </c>
      <c r="U970" s="24">
        <v>0</v>
      </c>
      <c r="V970" s="19">
        <v>5040</v>
      </c>
      <c r="W970" s="19">
        <v>9194.8200000000015</v>
      </c>
      <c r="X970" s="21">
        <v>1.8243690476190479</v>
      </c>
      <c r="Y970" s="19">
        <v>6169.8200000000006</v>
      </c>
      <c r="Z970" s="20">
        <v>1.2241706349206349</v>
      </c>
      <c r="AA970" s="30">
        <v>9.1000000000000122E-2</v>
      </c>
      <c r="AB970" s="27">
        <v>7.0000000000000007E-2</v>
      </c>
      <c r="AC970" s="27">
        <v>9.4E-2</v>
      </c>
      <c r="AD970" s="11">
        <v>9.0352156571383888E-2</v>
      </c>
    </row>
    <row r="971" spans="1:30" x14ac:dyDescent="0.25">
      <c r="A971" s="13">
        <v>45336</v>
      </c>
      <c r="B971" s="46" t="s">
        <v>636</v>
      </c>
      <c r="C971" s="13">
        <v>45336</v>
      </c>
      <c r="D971" s="15" t="s">
        <v>1087</v>
      </c>
      <c r="E971" s="15">
        <v>26</v>
      </c>
      <c r="F971" s="15">
        <v>30</v>
      </c>
      <c r="G971" s="13">
        <v>45362</v>
      </c>
      <c r="H971" s="17">
        <v>5000</v>
      </c>
      <c r="I971" s="19">
        <v>5221.6499999999996</v>
      </c>
      <c r="J971" s="20">
        <v>1.0443300000000002</v>
      </c>
      <c r="K971" s="19">
        <v>5171.6499999999996</v>
      </c>
      <c r="L971" s="20">
        <v>1.03433</v>
      </c>
      <c r="M971" s="21">
        <v>0</v>
      </c>
      <c r="N971" s="19">
        <v>0</v>
      </c>
      <c r="O971" s="23">
        <v>1000</v>
      </c>
      <c r="P971" s="24">
        <v>0</v>
      </c>
      <c r="Q971" s="25">
        <v>0</v>
      </c>
      <c r="R971" s="24">
        <v>0</v>
      </c>
      <c r="S971" s="25">
        <v>0</v>
      </c>
      <c r="T971" s="26">
        <v>0</v>
      </c>
      <c r="U971" s="24">
        <v>0</v>
      </c>
      <c r="V971" s="19">
        <v>6000</v>
      </c>
      <c r="W971" s="19">
        <v>5221.6499999999996</v>
      </c>
      <c r="X971" s="21">
        <v>0.87027499999999991</v>
      </c>
      <c r="Y971" s="19">
        <v>5171.6499999999996</v>
      </c>
      <c r="Z971" s="20">
        <v>0.86194166666666661</v>
      </c>
      <c r="AA971" s="30">
        <v>9.149999999999997E-2</v>
      </c>
      <c r="AB971" s="27">
        <v>7.0000000000000007E-2</v>
      </c>
      <c r="AC971" s="27">
        <v>9.2100000000000015E-2</v>
      </c>
      <c r="AD971" s="11">
        <v>8.9398408549021868E-2</v>
      </c>
    </row>
    <row r="972" spans="1:30" x14ac:dyDescent="0.25">
      <c r="A972" s="13">
        <v>45337</v>
      </c>
      <c r="B972" s="46" t="s">
        <v>636</v>
      </c>
      <c r="C972" s="13">
        <v>45337</v>
      </c>
      <c r="D972" s="15" t="s">
        <v>1088</v>
      </c>
      <c r="E972" s="15">
        <v>90</v>
      </c>
      <c r="F972" s="15">
        <v>90</v>
      </c>
      <c r="G972" s="13">
        <v>45427</v>
      </c>
      <c r="H972" s="17">
        <v>4200</v>
      </c>
      <c r="I972" s="19">
        <v>6010.6000000000013</v>
      </c>
      <c r="J972" s="20">
        <v>1.4310952380952371</v>
      </c>
      <c r="K972" s="19">
        <v>5060.5999999999995</v>
      </c>
      <c r="L972" s="20">
        <v>1.2049047619047617</v>
      </c>
      <c r="M972" s="21">
        <v>0</v>
      </c>
      <c r="N972" s="19">
        <v>0</v>
      </c>
      <c r="O972" s="23">
        <v>840</v>
      </c>
      <c r="P972" s="24">
        <v>840</v>
      </c>
      <c r="Q972" s="25">
        <v>1</v>
      </c>
      <c r="R972" s="24">
        <v>840</v>
      </c>
      <c r="S972" s="25">
        <v>1</v>
      </c>
      <c r="T972" s="26">
        <v>0</v>
      </c>
      <c r="U972" s="24">
        <v>0</v>
      </c>
      <c r="V972" s="19">
        <v>5040</v>
      </c>
      <c r="W972" s="19">
        <v>6850.6000000000013</v>
      </c>
      <c r="X972" s="21">
        <v>1.359246031746032</v>
      </c>
      <c r="Y972" s="19">
        <v>5900.5999999999995</v>
      </c>
      <c r="Z972" s="20">
        <v>1.170753968253968</v>
      </c>
      <c r="AA972" s="30">
        <v>9.1699999999999976E-2</v>
      </c>
      <c r="AB972" s="27">
        <v>7.0000000000000007E-2</v>
      </c>
      <c r="AC972" s="27">
        <v>9.3299999999999994E-2</v>
      </c>
      <c r="AD972" s="11">
        <v>9.071968455728209E-2</v>
      </c>
    </row>
    <row r="973" spans="1:30" x14ac:dyDescent="0.25">
      <c r="A973" s="13">
        <v>45338</v>
      </c>
      <c r="B973" s="46" t="s">
        <v>636</v>
      </c>
      <c r="C973" s="13">
        <v>45338</v>
      </c>
      <c r="D973" s="15" t="s">
        <v>1089</v>
      </c>
      <c r="E973" s="15">
        <v>168</v>
      </c>
      <c r="F973" s="15">
        <v>180</v>
      </c>
      <c r="G973" s="13">
        <v>45506</v>
      </c>
      <c r="H973" s="17">
        <v>4200</v>
      </c>
      <c r="I973" s="19">
        <v>6424.0199999999995</v>
      </c>
      <c r="J973" s="20">
        <v>1.5295285714285716</v>
      </c>
      <c r="K973" s="19">
        <v>4524.0199999999995</v>
      </c>
      <c r="L973" s="20">
        <v>1.077147619047619</v>
      </c>
      <c r="M973" s="21">
        <v>0</v>
      </c>
      <c r="N973" s="19">
        <v>0</v>
      </c>
      <c r="O973" s="23">
        <v>840</v>
      </c>
      <c r="P973" s="24">
        <v>200</v>
      </c>
      <c r="Q973" s="25">
        <v>0.23809523809523808</v>
      </c>
      <c r="R973" s="24">
        <v>200</v>
      </c>
      <c r="S973" s="25">
        <v>0.23809523809523808</v>
      </c>
      <c r="T973" s="26">
        <v>0</v>
      </c>
      <c r="U973" s="24">
        <v>0</v>
      </c>
      <c r="V973" s="19">
        <v>5040</v>
      </c>
      <c r="W973" s="19">
        <v>6624.0199999999995</v>
      </c>
      <c r="X973" s="21">
        <v>1.3142896825396824</v>
      </c>
      <c r="Y973" s="19">
        <v>4724.0199999999995</v>
      </c>
      <c r="Z973" s="20">
        <v>0.9373055555555555</v>
      </c>
      <c r="AA973" s="30">
        <v>9.0800000000000103E-2</v>
      </c>
      <c r="AB973" s="27">
        <v>0.08</v>
      </c>
      <c r="AC973" s="27">
        <v>9.2600000000000002E-2</v>
      </c>
      <c r="AD973" s="11">
        <v>8.9756554307116113E-2</v>
      </c>
    </row>
    <row r="974" spans="1:30" ht="13.9" customHeight="1" x14ac:dyDescent="0.25">
      <c r="A974" s="13">
        <v>45341</v>
      </c>
      <c r="B974" s="46" t="s">
        <v>636</v>
      </c>
      <c r="C974" s="13">
        <v>45341</v>
      </c>
      <c r="D974" s="15" t="s">
        <v>1090</v>
      </c>
      <c r="E974" s="15">
        <v>35</v>
      </c>
      <c r="F974" s="15">
        <v>30</v>
      </c>
      <c r="G974" s="13">
        <v>45376</v>
      </c>
      <c r="H974" s="17">
        <v>5000</v>
      </c>
      <c r="I974" s="19">
        <v>5853.4</v>
      </c>
      <c r="J974" s="20">
        <v>1.1706799999999999</v>
      </c>
      <c r="K974" s="19">
        <v>5453.4</v>
      </c>
      <c r="L974" s="20">
        <v>1.0906799999999999</v>
      </c>
      <c r="M974" s="21">
        <v>0</v>
      </c>
      <c r="N974" s="19">
        <v>0</v>
      </c>
      <c r="O974" s="23">
        <v>1000</v>
      </c>
      <c r="P974" s="24">
        <v>660.1</v>
      </c>
      <c r="Q974" s="25">
        <v>0.66010000000000002</v>
      </c>
      <c r="R974" s="24">
        <v>660.1</v>
      </c>
      <c r="S974" s="25">
        <v>0.66010000000000002</v>
      </c>
      <c r="T974" s="26">
        <v>0</v>
      </c>
      <c r="U974" s="24">
        <v>0</v>
      </c>
      <c r="V974" s="19">
        <v>6000</v>
      </c>
      <c r="W974" s="19">
        <v>6513.5</v>
      </c>
      <c r="X974" s="21">
        <v>1.0855833333333333</v>
      </c>
      <c r="Y974" s="19">
        <v>6113.5</v>
      </c>
      <c r="Z974" s="20">
        <v>1.0189166666666667</v>
      </c>
      <c r="AA974" s="30">
        <v>9.1600000000000029E-2</v>
      </c>
      <c r="AB974" s="27">
        <v>7.0000000000000007E-2</v>
      </c>
      <c r="AC974" s="27">
        <v>9.1999999999999998E-2</v>
      </c>
      <c r="AD974" s="11">
        <v>8.969430860696348E-2</v>
      </c>
    </row>
    <row r="975" spans="1:30" x14ac:dyDescent="0.25">
      <c r="A975" s="13">
        <v>45343</v>
      </c>
      <c r="B975" s="46" t="s">
        <v>636</v>
      </c>
      <c r="C975" s="13">
        <v>45343</v>
      </c>
      <c r="D975" s="15" t="s">
        <v>1091</v>
      </c>
      <c r="E975" s="15">
        <v>105</v>
      </c>
      <c r="F975" s="15">
        <v>90</v>
      </c>
      <c r="G975" s="13">
        <v>45448</v>
      </c>
      <c r="H975" s="17">
        <v>4200</v>
      </c>
      <c r="I975" s="19">
        <v>7922.6100000000006</v>
      </c>
      <c r="J975" s="20">
        <v>1.8863357142857144</v>
      </c>
      <c r="K975" s="19">
        <v>4964.6100000000015</v>
      </c>
      <c r="L975" s="20">
        <v>1.1820500000000003</v>
      </c>
      <c r="M975" s="21">
        <v>0</v>
      </c>
      <c r="N975" s="19">
        <v>0</v>
      </c>
      <c r="O975" s="23">
        <v>840</v>
      </c>
      <c r="P975" s="24">
        <v>524.44000000000005</v>
      </c>
      <c r="Q975" s="25">
        <v>0.62433333333333341</v>
      </c>
      <c r="R975" s="24">
        <v>524.44000000000005</v>
      </c>
      <c r="S975" s="25">
        <v>0.62433333333333341</v>
      </c>
      <c r="T975" s="26">
        <v>0</v>
      </c>
      <c r="U975" s="24">
        <v>0</v>
      </c>
      <c r="V975" s="19">
        <v>5040</v>
      </c>
      <c r="W975" s="19">
        <v>8447.0500000000011</v>
      </c>
      <c r="X975" s="21">
        <v>1.6760019841269844</v>
      </c>
      <c r="Y975" s="19">
        <v>5489.0500000000011</v>
      </c>
      <c r="Z975" s="20">
        <v>1.0890972222222224</v>
      </c>
      <c r="AA975" s="30">
        <v>9.0499999999999872E-2</v>
      </c>
      <c r="AB975" s="27">
        <v>7.0000000000000007E-2</v>
      </c>
      <c r="AC975" s="27">
        <v>9.2200000000000004E-2</v>
      </c>
      <c r="AD975" s="11">
        <v>8.8819230278910602E-2</v>
      </c>
    </row>
    <row r="976" spans="1:30" x14ac:dyDescent="0.25">
      <c r="A976" s="13">
        <v>45344</v>
      </c>
      <c r="B976" s="46" t="s">
        <v>636</v>
      </c>
      <c r="C976" s="13">
        <v>45345</v>
      </c>
      <c r="D976" s="15" t="s">
        <v>1092</v>
      </c>
      <c r="E976" s="15">
        <v>350</v>
      </c>
      <c r="F976" s="15">
        <v>360</v>
      </c>
      <c r="G976" s="13">
        <v>45695</v>
      </c>
      <c r="H976" s="17">
        <v>4200</v>
      </c>
      <c r="I976" s="19">
        <v>3525.7799999999997</v>
      </c>
      <c r="J976" s="20">
        <v>0.83947142857142887</v>
      </c>
      <c r="K976" s="19">
        <v>3525.7799999999997</v>
      </c>
      <c r="L976" s="20">
        <v>0.83947142857142854</v>
      </c>
      <c r="M976" s="21">
        <v>0</v>
      </c>
      <c r="N976" s="19">
        <v>0</v>
      </c>
      <c r="O976" s="23">
        <v>840</v>
      </c>
      <c r="P976" s="24">
        <v>846</v>
      </c>
      <c r="Q976" s="25">
        <v>1.0071428571428571</v>
      </c>
      <c r="R976" s="24">
        <v>705.15599999999995</v>
      </c>
      <c r="S976" s="25">
        <v>0.83947142857142854</v>
      </c>
      <c r="T976" s="26">
        <v>0.8335177380952381</v>
      </c>
      <c r="U976" s="24">
        <v>0</v>
      </c>
      <c r="V976" s="19">
        <v>5040</v>
      </c>
      <c r="W976" s="19">
        <v>4371.78</v>
      </c>
      <c r="X976" s="21">
        <v>0.86741666666666661</v>
      </c>
      <c r="Y976" s="19">
        <v>4230.9359999999997</v>
      </c>
      <c r="Z976" s="20">
        <v>0.83947142857142854</v>
      </c>
      <c r="AA976" s="30">
        <v>9.200000000000004E-2</v>
      </c>
      <c r="AB976" s="27">
        <v>7.0000000000000007E-2</v>
      </c>
      <c r="AC976" s="27">
        <v>9.1999999999999998E-2</v>
      </c>
      <c r="AD976" s="11">
        <v>8.9317183715376475E-2</v>
      </c>
    </row>
    <row r="977" spans="1:30" x14ac:dyDescent="0.25">
      <c r="A977" s="13">
        <v>45348</v>
      </c>
      <c r="B977" s="46" t="s">
        <v>636</v>
      </c>
      <c r="C977" s="13">
        <v>45348</v>
      </c>
      <c r="D977" s="15" t="s">
        <v>1103</v>
      </c>
      <c r="E977" s="15">
        <v>28</v>
      </c>
      <c r="F977" s="15">
        <v>30</v>
      </c>
      <c r="G977" s="13">
        <v>45376</v>
      </c>
      <c r="H977" s="17">
        <v>5000</v>
      </c>
      <c r="I977" s="19">
        <v>8202.1500000000015</v>
      </c>
      <c r="J977" s="20">
        <v>1.6404299999999998</v>
      </c>
      <c r="K977" s="19">
        <v>5152.1499999999996</v>
      </c>
      <c r="L977" s="20">
        <v>1.03043</v>
      </c>
      <c r="M977" s="21">
        <v>0</v>
      </c>
      <c r="N977" s="19">
        <v>0</v>
      </c>
      <c r="O977" s="23">
        <v>1000</v>
      </c>
      <c r="P977" s="24">
        <v>1638.9</v>
      </c>
      <c r="Q977" s="25">
        <v>1.6389</v>
      </c>
      <c r="R977" s="24">
        <v>1000</v>
      </c>
      <c r="S977" s="25">
        <v>1</v>
      </c>
      <c r="T977" s="26">
        <v>0.6101685393258427</v>
      </c>
      <c r="U977" s="24">
        <v>0</v>
      </c>
      <c r="V977" s="19">
        <v>6000</v>
      </c>
      <c r="W977" s="19">
        <v>9841.0500000000011</v>
      </c>
      <c r="X977" s="21">
        <v>1.6401750000000002</v>
      </c>
      <c r="Y977" s="19">
        <v>6152.15</v>
      </c>
      <c r="Z977" s="20">
        <v>1.0253583333333334</v>
      </c>
      <c r="AA977" s="30">
        <v>9.0899999999999995E-2</v>
      </c>
      <c r="AB977" s="27">
        <v>7.0000000000000007E-2</v>
      </c>
      <c r="AC977" s="27">
        <v>9.2499999999999999E-2</v>
      </c>
      <c r="AD977" s="11">
        <v>8.9959798589394208E-2</v>
      </c>
    </row>
    <row r="978" spans="1:30" x14ac:dyDescent="0.25">
      <c r="A978" s="13">
        <v>45350</v>
      </c>
      <c r="B978" s="46" t="s">
        <v>636</v>
      </c>
      <c r="C978" s="13">
        <v>45350</v>
      </c>
      <c r="D978" s="15" t="s">
        <v>1104</v>
      </c>
      <c r="E978" s="15">
        <v>98</v>
      </c>
      <c r="F978" s="15">
        <v>90</v>
      </c>
      <c r="G978" s="13">
        <v>45448</v>
      </c>
      <c r="H978" s="17">
        <v>4200</v>
      </c>
      <c r="I978" s="19">
        <v>3932.48</v>
      </c>
      <c r="J978" s="20">
        <v>0.93630476190476175</v>
      </c>
      <c r="K978" s="19">
        <v>3932.48</v>
      </c>
      <c r="L978" s="20">
        <v>0.93630476190476186</v>
      </c>
      <c r="M978" s="21">
        <v>0</v>
      </c>
      <c r="N978" s="19">
        <v>0</v>
      </c>
      <c r="O978" s="23">
        <v>840</v>
      </c>
      <c r="P978" s="24">
        <v>1360.36</v>
      </c>
      <c r="Q978" s="25">
        <v>1.6194761904761905</v>
      </c>
      <c r="R978" s="24">
        <v>786.49599999999987</v>
      </c>
      <c r="S978" s="25">
        <v>0.93630476190476175</v>
      </c>
      <c r="T978" s="26">
        <v>0.57815499999999997</v>
      </c>
      <c r="U978" s="24">
        <v>0</v>
      </c>
      <c r="V978" s="19">
        <v>5040</v>
      </c>
      <c r="W978" s="19">
        <v>5292.84</v>
      </c>
      <c r="X978" s="21">
        <v>1.0501666666666667</v>
      </c>
      <c r="Y978" s="19">
        <v>4718.9759999999997</v>
      </c>
      <c r="Z978" s="20">
        <v>0.93630476190476186</v>
      </c>
      <c r="AA978" s="30">
        <v>9.1800000000000062E-2</v>
      </c>
      <c r="AB978" s="27">
        <v>7.0000000000000007E-2</v>
      </c>
      <c r="AC978" s="27">
        <v>9.1799999999999993E-2</v>
      </c>
      <c r="AD978" s="11">
        <v>8.9797910733176001E-2</v>
      </c>
    </row>
    <row r="979" spans="1:30" x14ac:dyDescent="0.25">
      <c r="A979" s="13">
        <v>45352</v>
      </c>
      <c r="B979" s="46" t="s">
        <v>636</v>
      </c>
      <c r="C979" s="13">
        <v>45352</v>
      </c>
      <c r="D979" s="15" t="s">
        <v>1105</v>
      </c>
      <c r="E979" s="15">
        <v>182</v>
      </c>
      <c r="F979" s="15">
        <v>180</v>
      </c>
      <c r="G979" s="13">
        <v>45534</v>
      </c>
      <c r="H979" s="17">
        <v>4200</v>
      </c>
      <c r="I979" s="19">
        <v>7811.5999999999995</v>
      </c>
      <c r="J979" s="20">
        <v>1.8599047619047619</v>
      </c>
      <c r="K979" s="19">
        <v>4369.6000000000004</v>
      </c>
      <c r="L979" s="20">
        <v>1.0403809523809524</v>
      </c>
      <c r="M979" s="21">
        <v>0</v>
      </c>
      <c r="N979" s="19">
        <v>0</v>
      </c>
      <c r="O979" s="23">
        <v>840</v>
      </c>
      <c r="P979" s="24">
        <v>1240</v>
      </c>
      <c r="Q979" s="25">
        <v>1.4761904761904763</v>
      </c>
      <c r="R979" s="24">
        <v>840</v>
      </c>
      <c r="S979" s="25">
        <v>1</v>
      </c>
      <c r="T979" s="26">
        <v>0.67741940476190476</v>
      </c>
      <c r="U979" s="24">
        <v>0</v>
      </c>
      <c r="V979" s="19">
        <v>5040</v>
      </c>
      <c r="W979" s="19">
        <v>9051.5999999999985</v>
      </c>
      <c r="X979" s="21">
        <v>1.7959523809523807</v>
      </c>
      <c r="Y979" s="19">
        <v>5209.6000000000004</v>
      </c>
      <c r="Z979" s="20">
        <v>1.0336507936507937</v>
      </c>
      <c r="AA979" s="30">
        <v>9.0200000000000002E-2</v>
      </c>
      <c r="AB979" s="27">
        <v>7.0000000000000007E-2</v>
      </c>
      <c r="AC979" s="27">
        <v>9.2499999999999999E-2</v>
      </c>
      <c r="AD979" s="11">
        <v>8.9670634313072886E-2</v>
      </c>
    </row>
    <row r="980" spans="1:30" x14ac:dyDescent="0.25">
      <c r="A980" s="13">
        <v>45355</v>
      </c>
      <c r="B980" s="46" t="s">
        <v>636</v>
      </c>
      <c r="C980" s="13">
        <v>45355</v>
      </c>
      <c r="D980" s="15" t="s">
        <v>1106</v>
      </c>
      <c r="E980" s="15">
        <v>35</v>
      </c>
      <c r="F980" s="15">
        <v>30</v>
      </c>
      <c r="G980" s="13">
        <v>45390</v>
      </c>
      <c r="H980" s="17">
        <v>5000</v>
      </c>
      <c r="I980" s="19">
        <v>10305.829999999998</v>
      </c>
      <c r="J980" s="20">
        <v>2.0611660000000009</v>
      </c>
      <c r="K980" s="19">
        <v>7405.829999999999</v>
      </c>
      <c r="L980" s="20">
        <v>1.4811659999999998</v>
      </c>
      <c r="M980" s="21">
        <v>0</v>
      </c>
      <c r="N980" s="19">
        <v>0</v>
      </c>
      <c r="O980" s="23">
        <v>1000</v>
      </c>
      <c r="P980" s="24">
        <v>2902.3</v>
      </c>
      <c r="Q980" s="25">
        <v>2.9023000000000003</v>
      </c>
      <c r="R980" s="24">
        <v>1000</v>
      </c>
      <c r="S980" s="25">
        <v>1</v>
      </c>
      <c r="T980" s="26">
        <v>0.344555</v>
      </c>
      <c r="U980" s="24">
        <v>0</v>
      </c>
      <c r="V980" s="19">
        <v>6000</v>
      </c>
      <c r="W980" s="19">
        <v>13208.129999999997</v>
      </c>
      <c r="X980" s="21">
        <v>2.2013549999999995</v>
      </c>
      <c r="Y980" s="19">
        <v>8405.8299999999981</v>
      </c>
      <c r="Z980" s="20">
        <v>1.4009716666666663</v>
      </c>
      <c r="AA980" s="30">
        <v>8.9999999999999969E-2</v>
      </c>
      <c r="AB980" s="27">
        <v>7.0000000000000007E-2</v>
      </c>
      <c r="AC980" s="27">
        <v>9.2499999999999999E-2</v>
      </c>
      <c r="AD980" s="11">
        <v>8.8976187555975625E-2</v>
      </c>
    </row>
    <row r="981" spans="1:30" x14ac:dyDescent="0.25">
      <c r="A981" s="13">
        <v>45357</v>
      </c>
      <c r="B981" s="46" t="s">
        <v>636</v>
      </c>
      <c r="C981" s="13">
        <v>45357</v>
      </c>
      <c r="D981" s="15" t="s">
        <v>1107</v>
      </c>
      <c r="E981" s="15">
        <v>98</v>
      </c>
      <c r="F981" s="15">
        <v>90</v>
      </c>
      <c r="G981" s="13">
        <v>45455</v>
      </c>
      <c r="H981" s="19">
        <v>5000</v>
      </c>
      <c r="I981" s="19">
        <v>6306.9</v>
      </c>
      <c r="J981" s="20">
        <v>1.2613800000000004</v>
      </c>
      <c r="K981" s="19">
        <v>5156.8999999999996</v>
      </c>
      <c r="L981" s="20">
        <v>1.03138</v>
      </c>
      <c r="M981" s="21">
        <v>0</v>
      </c>
      <c r="N981" s="19">
        <v>0</v>
      </c>
      <c r="O981" s="23">
        <v>1000</v>
      </c>
      <c r="P981" s="24">
        <v>1820.15</v>
      </c>
      <c r="Q981" s="25">
        <v>1.8201500000000002</v>
      </c>
      <c r="R981" s="24">
        <v>1000</v>
      </c>
      <c r="S981" s="25">
        <v>1</v>
      </c>
      <c r="T981" s="26">
        <v>0.5494053333333333</v>
      </c>
      <c r="U981" s="24">
        <v>0</v>
      </c>
      <c r="V981" s="19">
        <v>6000</v>
      </c>
      <c r="W981" s="19">
        <v>8127.0499999999993</v>
      </c>
      <c r="X981" s="21">
        <v>1.3545083333333332</v>
      </c>
      <c r="Y981" s="19">
        <v>6156.9</v>
      </c>
      <c r="Z981" s="20">
        <v>1.0261499999999999</v>
      </c>
      <c r="AA981" s="30">
        <v>9.0899999999999995E-2</v>
      </c>
      <c r="AB981" s="27">
        <v>7.0000000000000007E-2</v>
      </c>
      <c r="AC981" s="27">
        <v>9.2300000000000007E-2</v>
      </c>
      <c r="AD981" s="11">
        <v>8.9116981401322376E-2</v>
      </c>
    </row>
    <row r="982" spans="1:30" x14ac:dyDescent="0.25">
      <c r="A982" s="13">
        <v>45358</v>
      </c>
      <c r="B982" s="46" t="s">
        <v>636</v>
      </c>
      <c r="C982" s="13">
        <v>45359</v>
      </c>
      <c r="D982" s="15" t="s">
        <v>1112</v>
      </c>
      <c r="E982" s="15">
        <v>364</v>
      </c>
      <c r="F982" s="15">
        <v>360</v>
      </c>
      <c r="G982" s="13">
        <v>45723</v>
      </c>
      <c r="H982" s="17">
        <v>3300</v>
      </c>
      <c r="I982" s="19">
        <v>11250.140000000001</v>
      </c>
      <c r="J982" s="20">
        <v>3.4091333333333314</v>
      </c>
      <c r="K982" s="19">
        <v>6600.0000000000009</v>
      </c>
      <c r="L982" s="20">
        <v>2.0000000000000004</v>
      </c>
      <c r="M982" s="21">
        <v>0.49008700000000005</v>
      </c>
      <c r="N982" s="19">
        <v>0</v>
      </c>
      <c r="O982" s="23">
        <v>660</v>
      </c>
      <c r="P982" s="24">
        <v>694</v>
      </c>
      <c r="Q982" s="25">
        <v>1.0515151515151515</v>
      </c>
      <c r="R982" s="24">
        <v>660</v>
      </c>
      <c r="S982" s="25">
        <v>1</v>
      </c>
      <c r="T982" s="26">
        <v>0.95100909090909092</v>
      </c>
      <c r="U982" s="24">
        <v>0</v>
      </c>
      <c r="V982" s="19">
        <v>3960</v>
      </c>
      <c r="W982" s="19">
        <v>11944.140000000001</v>
      </c>
      <c r="X982" s="21">
        <v>3.0161969696969702</v>
      </c>
      <c r="Y982" s="19">
        <v>7260.0000000000009</v>
      </c>
      <c r="Z982" s="20">
        <v>1.8333333333333335</v>
      </c>
      <c r="AA982" s="30">
        <v>9.0300000000000033E-2</v>
      </c>
      <c r="AB982" s="27">
        <v>7.0000000000000007E-2</v>
      </c>
      <c r="AC982" s="27">
        <v>9.1799999999999993E-2</v>
      </c>
      <c r="AD982" s="11">
        <v>8.9864349865868345E-2</v>
      </c>
    </row>
    <row r="983" spans="1:30" x14ac:dyDescent="0.25">
      <c r="A983" s="13">
        <v>45362</v>
      </c>
      <c r="B983" s="46" t="s">
        <v>636</v>
      </c>
      <c r="C983" s="13">
        <v>45362</v>
      </c>
      <c r="D983" s="15" t="s">
        <v>1113</v>
      </c>
      <c r="E983" s="15">
        <v>35</v>
      </c>
      <c r="F983" s="15">
        <v>30</v>
      </c>
      <c r="G983" s="13">
        <v>45397</v>
      </c>
      <c r="H983" s="17">
        <v>5800</v>
      </c>
      <c r="I983" s="19">
        <v>9296.57</v>
      </c>
      <c r="J983" s="20">
        <v>1.6028568965517238</v>
      </c>
      <c r="K983" s="19">
        <v>7096.57</v>
      </c>
      <c r="L983" s="20">
        <v>1.223546551724138</v>
      </c>
      <c r="M983" s="21">
        <v>0</v>
      </c>
      <c r="N983" s="19">
        <v>0</v>
      </c>
      <c r="O983" s="23">
        <v>1160</v>
      </c>
      <c r="P983" s="24">
        <v>1941.1</v>
      </c>
      <c r="Q983" s="25">
        <v>1.6733620689655173</v>
      </c>
      <c r="R983" s="24">
        <v>1160.0000000000002</v>
      </c>
      <c r="S983" s="25">
        <v>1.0000000000000002</v>
      </c>
      <c r="T983" s="26">
        <v>0.59760000000000002</v>
      </c>
      <c r="U983" s="24">
        <v>0</v>
      </c>
      <c r="V983" s="19">
        <v>6960</v>
      </c>
      <c r="W983" s="19">
        <v>11237.67</v>
      </c>
      <c r="X983" s="21">
        <v>1.6146077586206897</v>
      </c>
      <c r="Y983" s="19">
        <v>8256.57</v>
      </c>
      <c r="Z983" s="20">
        <v>1.1862887931034483</v>
      </c>
      <c r="AA983" s="30">
        <v>8.9500000000000038E-2</v>
      </c>
      <c r="AB983" s="27">
        <v>7.0000000000000007E-2</v>
      </c>
      <c r="AC983" s="27">
        <v>9.1999999999999998E-2</v>
      </c>
      <c r="AD983" s="11">
        <v>8.7939523071412354E-2</v>
      </c>
    </row>
    <row r="984" spans="1:30" x14ac:dyDescent="0.25">
      <c r="A984" s="13">
        <v>45364</v>
      </c>
      <c r="B984" s="46" t="s">
        <v>636</v>
      </c>
      <c r="C984" s="13">
        <v>45364</v>
      </c>
      <c r="D984" s="15" t="s">
        <v>1114</v>
      </c>
      <c r="E984" s="15">
        <v>91</v>
      </c>
      <c r="F984" s="15">
        <v>90</v>
      </c>
      <c r="G984" s="13">
        <v>45455</v>
      </c>
      <c r="H984" s="19">
        <v>4200</v>
      </c>
      <c r="I984" s="19">
        <v>6665.5499999999993</v>
      </c>
      <c r="J984" s="20">
        <v>1.5870357142857141</v>
      </c>
      <c r="K984" s="19">
        <v>5565.5499999999993</v>
      </c>
      <c r="L984" s="20">
        <v>1.3251309523809522</v>
      </c>
      <c r="M984" s="21">
        <v>0</v>
      </c>
      <c r="N984" s="19">
        <v>0</v>
      </c>
      <c r="O984" s="23">
        <v>840</v>
      </c>
      <c r="P984" s="24">
        <v>1740</v>
      </c>
      <c r="Q984" s="25">
        <v>2.0714285714285712</v>
      </c>
      <c r="R984" s="24">
        <v>840</v>
      </c>
      <c r="S984" s="25">
        <v>1</v>
      </c>
      <c r="T984" s="26">
        <v>0.48275875000000001</v>
      </c>
      <c r="U984" s="24">
        <v>0</v>
      </c>
      <c r="V984" s="19">
        <v>5040</v>
      </c>
      <c r="W984" s="19">
        <v>8405.5499999999993</v>
      </c>
      <c r="X984" s="21">
        <v>1.6677678571428569</v>
      </c>
      <c r="Y984" s="19">
        <v>6405.5499999999993</v>
      </c>
      <c r="Z984" s="20">
        <v>1.2709424603174602</v>
      </c>
      <c r="AA984" s="30">
        <v>9.0500000000000011E-2</v>
      </c>
      <c r="AB984" s="27">
        <v>7.0000000000000007E-2</v>
      </c>
      <c r="AC984" s="27">
        <v>9.1700000000000004E-2</v>
      </c>
      <c r="AD984" s="11">
        <v>8.8484926825243199E-2</v>
      </c>
    </row>
    <row r="985" spans="1:30" x14ac:dyDescent="0.25">
      <c r="A985" s="13">
        <v>45366</v>
      </c>
      <c r="B985" s="46" t="s">
        <v>636</v>
      </c>
      <c r="C985" s="13">
        <v>45366</v>
      </c>
      <c r="D985" s="15" t="s">
        <v>1115</v>
      </c>
      <c r="E985" s="15">
        <v>168</v>
      </c>
      <c r="F985" s="15">
        <v>180</v>
      </c>
      <c r="G985" s="13">
        <v>45534</v>
      </c>
      <c r="H985" s="19">
        <v>4200</v>
      </c>
      <c r="I985" s="19">
        <v>3779.2700000000009</v>
      </c>
      <c r="J985" s="20">
        <v>0.89982619047619028</v>
      </c>
      <c r="K985" s="19">
        <v>3179.2700000000009</v>
      </c>
      <c r="L985" s="20">
        <v>0.75696904761904782</v>
      </c>
      <c r="M985" s="21">
        <v>0</v>
      </c>
      <c r="N985" s="19">
        <v>0</v>
      </c>
      <c r="O985" s="23">
        <v>840</v>
      </c>
      <c r="P985" s="24">
        <v>1646</v>
      </c>
      <c r="Q985" s="25">
        <v>1.9595238095238094</v>
      </c>
      <c r="R985" s="24">
        <v>635.85400000000004</v>
      </c>
      <c r="S985" s="25">
        <v>0.75696904761904771</v>
      </c>
      <c r="T985" s="26">
        <v>0.38630266666666668</v>
      </c>
      <c r="U985" s="24">
        <v>0</v>
      </c>
      <c r="V985" s="19">
        <v>5040</v>
      </c>
      <c r="W985" s="19">
        <v>5425.27</v>
      </c>
      <c r="X985" s="21">
        <v>1.0764424603174605</v>
      </c>
      <c r="Y985" s="19">
        <v>3815.1240000000007</v>
      </c>
      <c r="Z985" s="20">
        <v>0.75696904761904771</v>
      </c>
      <c r="AA985" s="30">
        <v>9.1499999999999956E-2</v>
      </c>
      <c r="AB985" s="27">
        <v>0.08</v>
      </c>
      <c r="AC985" s="27">
        <v>9.2399999999999996E-2</v>
      </c>
      <c r="AD985" s="11">
        <v>8.9038664874433418E-2</v>
      </c>
    </row>
    <row r="986" spans="1:30" x14ac:dyDescent="0.25">
      <c r="A986" s="13">
        <v>45369</v>
      </c>
      <c r="B986" s="46" t="s">
        <v>636</v>
      </c>
      <c r="C986" s="13">
        <v>45369</v>
      </c>
      <c r="D986" s="15" t="s">
        <v>1116</v>
      </c>
      <c r="E986" s="15">
        <v>36</v>
      </c>
      <c r="F986" s="15">
        <v>30</v>
      </c>
      <c r="G986" s="13">
        <v>45405</v>
      </c>
      <c r="H986" s="19">
        <v>5800</v>
      </c>
      <c r="I986" s="19">
        <v>3838.9700000000003</v>
      </c>
      <c r="J986" s="20">
        <v>0.6618913793103447</v>
      </c>
      <c r="K986" s="19">
        <v>1988.97</v>
      </c>
      <c r="L986" s="20">
        <v>0.34292586206896553</v>
      </c>
      <c r="M986" s="21">
        <v>0</v>
      </c>
      <c r="N986" s="19">
        <v>0</v>
      </c>
      <c r="O986" s="23">
        <v>1160</v>
      </c>
      <c r="P986" s="24">
        <v>12</v>
      </c>
      <c r="Q986" s="25">
        <v>1.0344827586206896E-2</v>
      </c>
      <c r="R986" s="24">
        <v>12</v>
      </c>
      <c r="S986" s="25">
        <v>1.0344827586206896E-2</v>
      </c>
      <c r="T986" s="26">
        <v>0</v>
      </c>
      <c r="U986" s="24">
        <v>0</v>
      </c>
      <c r="V986" s="19">
        <v>6960</v>
      </c>
      <c r="W986" s="19">
        <v>3850.9700000000003</v>
      </c>
      <c r="X986" s="21">
        <v>0.55330028735632186</v>
      </c>
      <c r="Y986" s="19">
        <v>2000.97</v>
      </c>
      <c r="Z986" s="20">
        <v>0.28749568965517242</v>
      </c>
      <c r="AA986" s="30">
        <v>9.0400000000000008E-2</v>
      </c>
      <c r="AB986" s="27">
        <v>7.0000000000000007E-2</v>
      </c>
      <c r="AC986" s="27">
        <v>9.2399999999999996E-2</v>
      </c>
      <c r="AD986" s="11">
        <v>8.9939692157010864E-2</v>
      </c>
    </row>
    <row r="987" spans="1:30" x14ac:dyDescent="0.25">
      <c r="A987" s="13">
        <v>45371</v>
      </c>
      <c r="B987" s="46" t="s">
        <v>636</v>
      </c>
      <c r="C987" s="13">
        <v>45371</v>
      </c>
      <c r="D987" s="15" t="s">
        <v>1117</v>
      </c>
      <c r="E987" s="15">
        <v>98</v>
      </c>
      <c r="F987" s="15">
        <v>90</v>
      </c>
      <c r="G987" s="13">
        <v>45469</v>
      </c>
      <c r="H987" s="19">
        <v>5000</v>
      </c>
      <c r="I987" s="19">
        <v>5401.49</v>
      </c>
      <c r="J987" s="20">
        <v>1.080298</v>
      </c>
      <c r="K987" s="19">
        <v>4801.4900000000007</v>
      </c>
      <c r="L987" s="20">
        <v>0.9602980000000001</v>
      </c>
      <c r="M987" s="21">
        <v>0</v>
      </c>
      <c r="N987" s="19">
        <v>0</v>
      </c>
      <c r="O987" s="23">
        <v>1000</v>
      </c>
      <c r="P987" s="24">
        <v>1520.37</v>
      </c>
      <c r="Q987" s="25">
        <v>1.52037</v>
      </c>
      <c r="R987" s="24">
        <v>960.298</v>
      </c>
      <c r="S987" s="25">
        <v>0.96029799999999998</v>
      </c>
      <c r="T987" s="26">
        <v>0.63162162162162161</v>
      </c>
      <c r="U987" s="24">
        <v>0</v>
      </c>
      <c r="V987" s="19">
        <v>6000</v>
      </c>
      <c r="W987" s="19">
        <v>6921.86</v>
      </c>
      <c r="X987" s="21">
        <v>1.1536433333333334</v>
      </c>
      <c r="Y987" s="19">
        <v>5761.7880000000005</v>
      </c>
      <c r="Z987" s="20">
        <v>0.9602980000000001</v>
      </c>
      <c r="AA987" s="30">
        <v>9.1400000000000065E-2</v>
      </c>
      <c r="AB987" s="27">
        <v>7.0000000000000007E-2</v>
      </c>
      <c r="AC987" s="27">
        <v>9.2300000000000007E-2</v>
      </c>
      <c r="AD987" s="11">
        <v>8.8903595119124545E-2</v>
      </c>
    </row>
    <row r="988" spans="1:30" x14ac:dyDescent="0.25">
      <c r="A988" s="13">
        <v>45372</v>
      </c>
      <c r="B988" s="46" t="s">
        <v>636</v>
      </c>
      <c r="C988" s="13">
        <v>45373</v>
      </c>
      <c r="D988" s="15" t="s">
        <v>1119</v>
      </c>
      <c r="E988" s="15">
        <v>350</v>
      </c>
      <c r="F988" s="15">
        <v>360</v>
      </c>
      <c r="G988" s="13">
        <v>45723</v>
      </c>
      <c r="H988" s="19">
        <v>5800</v>
      </c>
      <c r="I988" s="19">
        <v>11962.380000000001</v>
      </c>
      <c r="J988" s="20">
        <v>2.0624793103448278</v>
      </c>
      <c r="K988" s="19">
        <v>8912.3799999999992</v>
      </c>
      <c r="L988" s="20">
        <v>1.5366172413793102</v>
      </c>
      <c r="M988" s="21">
        <v>0</v>
      </c>
      <c r="N988" s="19">
        <v>0</v>
      </c>
      <c r="O988" s="23">
        <v>1160</v>
      </c>
      <c r="P988" s="24">
        <v>1161.5</v>
      </c>
      <c r="Q988" s="25">
        <v>1.0012931034482759</v>
      </c>
      <c r="R988" s="24">
        <v>1160</v>
      </c>
      <c r="S988" s="25">
        <v>1</v>
      </c>
      <c r="T988" s="26">
        <v>0.99873333333333336</v>
      </c>
      <c r="U988" s="24">
        <v>0</v>
      </c>
      <c r="V988" s="19">
        <v>6960</v>
      </c>
      <c r="W988" s="19">
        <v>13123.880000000001</v>
      </c>
      <c r="X988" s="21">
        <v>1.8856149425287358</v>
      </c>
      <c r="Y988" s="19">
        <v>10072.379999999999</v>
      </c>
      <c r="Z988" s="20">
        <v>1.4471810344827585</v>
      </c>
      <c r="AA988" s="30">
        <v>9.0499999999999914E-2</v>
      </c>
      <c r="AB988" s="27">
        <v>0.06</v>
      </c>
      <c r="AC988" s="27">
        <v>9.2499999999999999E-2</v>
      </c>
      <c r="AD988" s="11">
        <v>8.9642111352423184E-2</v>
      </c>
    </row>
    <row r="989" spans="1:30" x14ac:dyDescent="0.25">
      <c r="A989" s="13">
        <v>45376</v>
      </c>
      <c r="B989" s="46" t="s">
        <v>636</v>
      </c>
      <c r="C989" s="13">
        <v>45376</v>
      </c>
      <c r="D989" s="15" t="s">
        <v>1120</v>
      </c>
      <c r="E989" s="15">
        <v>35</v>
      </c>
      <c r="F989" s="15">
        <v>30</v>
      </c>
      <c r="G989" s="13">
        <v>45411</v>
      </c>
      <c r="H989" s="19">
        <v>5000</v>
      </c>
      <c r="I989" s="19">
        <v>9610.279999999997</v>
      </c>
      <c r="J989" s="20">
        <v>1.9220560000000002</v>
      </c>
      <c r="K989" s="19">
        <v>5060.28</v>
      </c>
      <c r="L989" s="20">
        <v>1.0120559999999998</v>
      </c>
      <c r="M989" s="21">
        <v>0</v>
      </c>
      <c r="N989" s="19">
        <v>0</v>
      </c>
      <c r="O989" s="23">
        <v>1000</v>
      </c>
      <c r="P989" s="24">
        <v>1635.7</v>
      </c>
      <c r="Q989" s="25">
        <v>1.6356999999999999</v>
      </c>
      <c r="R989" s="24">
        <v>1000</v>
      </c>
      <c r="S989" s="25">
        <v>1</v>
      </c>
      <c r="T989" s="26">
        <v>0.61136000000000001</v>
      </c>
      <c r="U989" s="24">
        <v>0</v>
      </c>
      <c r="V989" s="19">
        <v>6000</v>
      </c>
      <c r="W989" s="19">
        <v>11245.979999999998</v>
      </c>
      <c r="X989" s="21">
        <v>1.8743299999999996</v>
      </c>
      <c r="Y989" s="19">
        <v>6060.28</v>
      </c>
      <c r="Z989" s="20">
        <v>1.0100466666666665</v>
      </c>
      <c r="AA989" s="30">
        <v>9.0100000000000013E-2</v>
      </c>
      <c r="AB989" s="27">
        <v>0.06</v>
      </c>
      <c r="AC989" s="27">
        <v>9.2100000000000015E-2</v>
      </c>
      <c r="AD989" s="11">
        <v>8.8944502345405171E-2</v>
      </c>
    </row>
    <row r="990" spans="1:30" x14ac:dyDescent="0.25">
      <c r="A990" s="13">
        <v>45377</v>
      </c>
      <c r="B990" s="46" t="s">
        <v>636</v>
      </c>
      <c r="C990" s="13">
        <v>45377</v>
      </c>
      <c r="D990" s="15" t="s">
        <v>1121</v>
      </c>
      <c r="E990" s="15">
        <v>92</v>
      </c>
      <c r="F990" s="15">
        <v>90</v>
      </c>
      <c r="G990" s="13">
        <v>45469</v>
      </c>
      <c r="H990" s="19">
        <v>4200</v>
      </c>
      <c r="I990" s="19">
        <v>2989.6699999999992</v>
      </c>
      <c r="J990" s="20">
        <v>0.71182619047619033</v>
      </c>
      <c r="K990" s="19">
        <v>2839.6699999999992</v>
      </c>
      <c r="L990" s="20">
        <v>0.67611190476190453</v>
      </c>
      <c r="M990" s="21">
        <v>0</v>
      </c>
      <c r="N990" s="19">
        <v>0</v>
      </c>
      <c r="O990" s="23">
        <v>840</v>
      </c>
      <c r="P990" s="24">
        <v>960</v>
      </c>
      <c r="Q990" s="25">
        <v>1.1428571428571428</v>
      </c>
      <c r="R990" s="24">
        <v>567.93399999999997</v>
      </c>
      <c r="S990" s="25">
        <v>0.67611190476190475</v>
      </c>
      <c r="T990" s="26">
        <v>0.59160000000000001</v>
      </c>
      <c r="U990" s="24">
        <v>0</v>
      </c>
      <c r="V990" s="19">
        <v>5040</v>
      </c>
      <c r="W990" s="19">
        <v>3949.6699999999992</v>
      </c>
      <c r="X990" s="21">
        <v>0.78366468253968236</v>
      </c>
      <c r="Y990" s="19">
        <v>3407.6039999999994</v>
      </c>
      <c r="Z990" s="20">
        <v>0.67611190476190464</v>
      </c>
      <c r="AA990" s="30">
        <v>9.1400000000000051E-2</v>
      </c>
      <c r="AB990" s="27">
        <v>0.08</v>
      </c>
      <c r="AC990" s="27">
        <v>9.3100000000000002E-2</v>
      </c>
      <c r="AD990" s="11">
        <v>8.7634658674703242E-2</v>
      </c>
    </row>
    <row r="991" spans="1:30" x14ac:dyDescent="0.25">
      <c r="A991" s="13">
        <v>45378</v>
      </c>
      <c r="B991" s="46" t="s">
        <v>636</v>
      </c>
      <c r="C991" s="13">
        <v>45378</v>
      </c>
      <c r="D991" s="15" t="s">
        <v>1122</v>
      </c>
      <c r="E991" s="15">
        <v>191</v>
      </c>
      <c r="F991" s="15">
        <v>180</v>
      </c>
      <c r="G991" s="13">
        <v>45569</v>
      </c>
      <c r="H991" s="19">
        <v>4200</v>
      </c>
      <c r="I991" s="19">
        <v>5067.1600000000008</v>
      </c>
      <c r="J991" s="20">
        <v>1.206466666666667</v>
      </c>
      <c r="K991" s="19">
        <v>4867.1600000000008</v>
      </c>
      <c r="L991" s="20">
        <v>1.1588476190476191</v>
      </c>
      <c r="M991" s="21">
        <v>0</v>
      </c>
      <c r="N991" s="19">
        <v>0</v>
      </c>
      <c r="O991" s="23">
        <v>840</v>
      </c>
      <c r="P991" s="24">
        <v>80.44</v>
      </c>
      <c r="Q991" s="25">
        <v>9.5761904761904756E-2</v>
      </c>
      <c r="R991" s="24">
        <v>80.44</v>
      </c>
      <c r="S991" s="25">
        <v>9.5761904761904756E-2</v>
      </c>
      <c r="T991" s="26">
        <v>0</v>
      </c>
      <c r="U991" s="24">
        <v>0</v>
      </c>
      <c r="V991" s="19">
        <v>5040</v>
      </c>
      <c r="W991" s="19">
        <v>5147.6000000000004</v>
      </c>
      <c r="X991" s="21">
        <v>1.0213492063492065</v>
      </c>
      <c r="Y991" s="19">
        <v>4947.6000000000004</v>
      </c>
      <c r="Z991" s="20">
        <v>0.98166666666666669</v>
      </c>
      <c r="AA991" s="30">
        <v>9.1499999999999942E-2</v>
      </c>
      <c r="AB991" s="27">
        <v>0.06</v>
      </c>
      <c r="AC991" s="27">
        <v>9.4299999999999995E-2</v>
      </c>
      <c r="AD991" s="11">
        <v>8.892764329525811E-2</v>
      </c>
    </row>
    <row r="992" spans="1:30" x14ac:dyDescent="0.25">
      <c r="A992" s="13">
        <v>45383</v>
      </c>
      <c r="B992" s="46" t="s">
        <v>636</v>
      </c>
      <c r="C992" s="13">
        <v>45383</v>
      </c>
      <c r="D992" s="15" t="s">
        <v>1123</v>
      </c>
      <c r="E992" s="15">
        <v>28</v>
      </c>
      <c r="F992" s="15">
        <v>30</v>
      </c>
      <c r="G992" s="13">
        <v>45411</v>
      </c>
      <c r="H992" s="19">
        <v>4200</v>
      </c>
      <c r="I992" s="19">
        <v>6159.3600000000006</v>
      </c>
      <c r="J992" s="20">
        <v>1.4665142857142857</v>
      </c>
      <c r="K992" s="19">
        <v>4709.3600000000006</v>
      </c>
      <c r="L992" s="20">
        <v>1.1212761904761905</v>
      </c>
      <c r="M992" s="21">
        <v>0</v>
      </c>
      <c r="N992" s="19">
        <v>0</v>
      </c>
      <c r="O992" s="23">
        <v>840</v>
      </c>
      <c r="P992" s="24">
        <v>680</v>
      </c>
      <c r="Q992" s="25">
        <v>0.80952380952380953</v>
      </c>
      <c r="R992" s="24">
        <v>680</v>
      </c>
      <c r="S992" s="25">
        <v>0.80952380952380953</v>
      </c>
      <c r="T992" s="26">
        <v>0</v>
      </c>
      <c r="U992" s="24">
        <v>0</v>
      </c>
      <c r="V992" s="19">
        <v>5040</v>
      </c>
      <c r="W992" s="19">
        <v>6839.3600000000006</v>
      </c>
      <c r="X992" s="21">
        <v>1.3570158730158732</v>
      </c>
      <c r="Y992" s="19">
        <v>5389.3600000000006</v>
      </c>
      <c r="Z992" s="20">
        <v>1.0693174603174604</v>
      </c>
      <c r="AA992" s="30">
        <v>9.0000000000000024E-2</v>
      </c>
      <c r="AB992" s="27">
        <v>7.0000000000000007E-2</v>
      </c>
      <c r="AC992" s="27">
        <v>9.1799999999999993E-2</v>
      </c>
      <c r="AD992" s="11">
        <v>8.8833458346321684E-2</v>
      </c>
    </row>
    <row r="993" spans="1:30" x14ac:dyDescent="0.25">
      <c r="A993" s="13">
        <v>45385</v>
      </c>
      <c r="B993" s="46" t="s">
        <v>636</v>
      </c>
      <c r="C993" s="13">
        <v>45385</v>
      </c>
      <c r="D993" s="15" t="s">
        <v>1124</v>
      </c>
      <c r="E993" s="15">
        <v>91</v>
      </c>
      <c r="F993" s="15">
        <v>90</v>
      </c>
      <c r="G993" s="13">
        <v>45476</v>
      </c>
      <c r="H993" s="19">
        <v>4200</v>
      </c>
      <c r="I993" s="19">
        <v>7172.560000000004</v>
      </c>
      <c r="J993" s="20">
        <v>1.7077523809523805</v>
      </c>
      <c r="K993" s="19">
        <v>4202.5600000000013</v>
      </c>
      <c r="L993" s="20">
        <v>1.0006095238095241</v>
      </c>
      <c r="M993" s="21">
        <v>0</v>
      </c>
      <c r="N993" s="19">
        <v>0</v>
      </c>
      <c r="O993" s="23">
        <v>840</v>
      </c>
      <c r="P993" s="24">
        <v>2301.23</v>
      </c>
      <c r="Q993" s="25">
        <v>2.7395595238095236</v>
      </c>
      <c r="R993" s="24">
        <v>840</v>
      </c>
      <c r="S993" s="25">
        <v>1</v>
      </c>
      <c r="T993" s="26">
        <v>0.36504065040650407</v>
      </c>
      <c r="U993" s="24">
        <v>0</v>
      </c>
      <c r="V993" s="19">
        <v>5040</v>
      </c>
      <c r="W993" s="19">
        <v>9473.7900000000045</v>
      </c>
      <c r="X993" s="21">
        <v>1.8797202380952389</v>
      </c>
      <c r="Y993" s="19">
        <v>5042.5600000000013</v>
      </c>
      <c r="Z993" s="20">
        <v>1.0005079365079368</v>
      </c>
      <c r="AA993" s="30">
        <v>9.0200000000000016E-2</v>
      </c>
      <c r="AB993" s="27">
        <v>7.0000000000000007E-2</v>
      </c>
      <c r="AC993" s="27">
        <v>9.2899999999999996E-2</v>
      </c>
      <c r="AD993" s="11">
        <v>8.9066174977971591E-2</v>
      </c>
    </row>
    <row r="994" spans="1:30" x14ac:dyDescent="0.25">
      <c r="A994" s="13">
        <v>45386</v>
      </c>
      <c r="B994" s="46" t="s">
        <v>636</v>
      </c>
      <c r="C994" s="13">
        <v>45387</v>
      </c>
      <c r="D994" s="15" t="s">
        <v>1125</v>
      </c>
      <c r="E994" s="15">
        <v>385</v>
      </c>
      <c r="F994" s="15">
        <v>360</v>
      </c>
      <c r="G994" s="13">
        <v>45772</v>
      </c>
      <c r="H994" s="19">
        <v>4200</v>
      </c>
      <c r="I994" s="19">
        <v>9171.0500000000011</v>
      </c>
      <c r="J994" s="20">
        <v>2.1835833333333334</v>
      </c>
      <c r="K994" s="19">
        <v>5750.14</v>
      </c>
      <c r="L994" s="20">
        <v>1.3690809523809524</v>
      </c>
      <c r="M994" s="21">
        <v>0</v>
      </c>
      <c r="N994" s="19">
        <v>0</v>
      </c>
      <c r="O994" s="23">
        <v>840</v>
      </c>
      <c r="P994" s="24">
        <v>1540.1799999999998</v>
      </c>
      <c r="Q994" s="25">
        <v>1.8335476190476192</v>
      </c>
      <c r="R994" s="24">
        <v>840</v>
      </c>
      <c r="S994" s="25">
        <v>1</v>
      </c>
      <c r="T994" s="26">
        <v>0.54555555555555557</v>
      </c>
      <c r="U994" s="24">
        <v>0</v>
      </c>
      <c r="V994" s="19">
        <v>5040</v>
      </c>
      <c r="W994" s="19">
        <v>10711.230000000001</v>
      </c>
      <c r="X994" s="21">
        <v>2.1252440476190477</v>
      </c>
      <c r="Y994" s="19">
        <v>6590.14</v>
      </c>
      <c r="Z994" s="20">
        <v>1.3075674603174603</v>
      </c>
      <c r="AA994" s="30">
        <v>8.9500000000000038E-2</v>
      </c>
      <c r="AB994" s="27">
        <v>0.08</v>
      </c>
      <c r="AC994" s="27">
        <v>9.1499999999999998E-2</v>
      </c>
      <c r="AD994" s="11">
        <v>8.8940461452069283E-2</v>
      </c>
    </row>
    <row r="995" spans="1:30" x14ac:dyDescent="0.25">
      <c r="A995" s="13">
        <v>45390</v>
      </c>
      <c r="B995" s="46" t="s">
        <v>636</v>
      </c>
      <c r="C995" s="13">
        <v>45390</v>
      </c>
      <c r="D995" s="15" t="s">
        <v>1126</v>
      </c>
      <c r="E995" s="15">
        <v>35</v>
      </c>
      <c r="F995" s="15">
        <v>30</v>
      </c>
      <c r="G995" s="13">
        <v>45425</v>
      </c>
      <c r="H995" s="19">
        <v>4200</v>
      </c>
      <c r="I995" s="19">
        <v>6752.48</v>
      </c>
      <c r="J995" s="20">
        <v>1.6077333333333332</v>
      </c>
      <c r="K995" s="19">
        <v>4296.4800000000005</v>
      </c>
      <c r="L995" s="20">
        <v>1.0229714285714286</v>
      </c>
      <c r="M995" s="21">
        <v>0</v>
      </c>
      <c r="N995" s="19">
        <v>0</v>
      </c>
      <c r="O995" s="23">
        <v>840</v>
      </c>
      <c r="P995" s="24">
        <v>1185.3999999999999</v>
      </c>
      <c r="Q995" s="25">
        <v>1.4111904761904761</v>
      </c>
      <c r="R995" s="24">
        <v>839.99999999999989</v>
      </c>
      <c r="S995" s="25">
        <v>0.99999999999999989</v>
      </c>
      <c r="T995" s="26">
        <v>0.70862499999999995</v>
      </c>
      <c r="U995" s="24">
        <v>0</v>
      </c>
      <c r="V995" s="19">
        <v>5040</v>
      </c>
      <c r="W995" s="19">
        <v>7937.8799999999992</v>
      </c>
      <c r="X995" s="21">
        <v>1.5749761904761903</v>
      </c>
      <c r="Y995" s="19">
        <v>5136.4800000000005</v>
      </c>
      <c r="Z995" s="20">
        <v>1.0191428571428571</v>
      </c>
      <c r="AA995" s="30">
        <v>8.7800000000000059E-2</v>
      </c>
      <c r="AB995" s="27">
        <v>7.0000000000000007E-2</v>
      </c>
      <c r="AC995" s="27">
        <v>9.3100000000000002E-2</v>
      </c>
      <c r="AD995" s="11">
        <v>8.6894998282112654E-2</v>
      </c>
    </row>
    <row r="996" spans="1:30" x14ac:dyDescent="0.25">
      <c r="A996" s="13">
        <v>45392</v>
      </c>
      <c r="B996" s="46" t="s">
        <v>636</v>
      </c>
      <c r="C996" s="13">
        <v>45392</v>
      </c>
      <c r="D996" s="15" t="s">
        <v>1127</v>
      </c>
      <c r="E996" s="15">
        <v>91</v>
      </c>
      <c r="F996" s="15">
        <v>90</v>
      </c>
      <c r="G996" s="13">
        <v>45483</v>
      </c>
      <c r="H996" s="19">
        <v>4200</v>
      </c>
      <c r="I996" s="19">
        <v>4442.16</v>
      </c>
      <c r="J996" s="20">
        <v>1.0576571428571426</v>
      </c>
      <c r="K996" s="19">
        <v>4142.16</v>
      </c>
      <c r="L996" s="20">
        <v>0.98622857142857134</v>
      </c>
      <c r="M996" s="21">
        <v>0</v>
      </c>
      <c r="N996" s="19">
        <v>0</v>
      </c>
      <c r="O996" s="23">
        <v>840</v>
      </c>
      <c r="P996" s="24">
        <v>2397.94</v>
      </c>
      <c r="Q996" s="25">
        <v>2.8546904761904761</v>
      </c>
      <c r="R996" s="24">
        <v>828.43200000000002</v>
      </c>
      <c r="S996" s="25">
        <v>0.98622857142857145</v>
      </c>
      <c r="T996" s="26">
        <v>0.34547660000000002</v>
      </c>
      <c r="U996" s="24">
        <v>0</v>
      </c>
      <c r="V996" s="19">
        <v>5040</v>
      </c>
      <c r="W996" s="19">
        <v>6840.1</v>
      </c>
      <c r="X996" s="21">
        <v>1.3571626984126985</v>
      </c>
      <c r="Y996" s="19">
        <v>4970.5919999999996</v>
      </c>
      <c r="Z996" s="20">
        <v>0.98622857142857134</v>
      </c>
      <c r="AA996" s="30">
        <v>9.0899999999999995E-2</v>
      </c>
      <c r="AB996" s="27">
        <v>7.0000000000000007E-2</v>
      </c>
      <c r="AC996" s="27">
        <v>9.2699999999999991E-2</v>
      </c>
      <c r="AD996" s="11">
        <v>8.75544003367731E-2</v>
      </c>
    </row>
    <row r="997" spans="1:30" x14ac:dyDescent="0.25">
      <c r="A997" s="13">
        <v>45394</v>
      </c>
      <c r="B997" s="46" t="s">
        <v>636</v>
      </c>
      <c r="C997" s="13">
        <v>45394</v>
      </c>
      <c r="D997" s="15" t="s">
        <v>1128</v>
      </c>
      <c r="E997" s="15">
        <v>175</v>
      </c>
      <c r="F997" s="15">
        <v>180</v>
      </c>
      <c r="G997" s="13">
        <v>45569</v>
      </c>
      <c r="H997" s="19">
        <v>4200</v>
      </c>
      <c r="I997" s="19">
        <v>10014.549999999999</v>
      </c>
      <c r="J997" s="20">
        <v>2.3844166666666649</v>
      </c>
      <c r="K997" s="19">
        <v>5245</v>
      </c>
      <c r="L997" s="20">
        <v>1.2488095238095238</v>
      </c>
      <c r="M997" s="21">
        <v>0</v>
      </c>
      <c r="N997" s="19">
        <v>0</v>
      </c>
      <c r="O997" s="23">
        <v>840</v>
      </c>
      <c r="P997" s="24">
        <v>1841</v>
      </c>
      <c r="Q997" s="25">
        <v>2.1916666666666664</v>
      </c>
      <c r="R997" s="24">
        <v>840</v>
      </c>
      <c r="S997" s="25">
        <v>1</v>
      </c>
      <c r="T997" s="26">
        <v>0.45629999999999998</v>
      </c>
      <c r="U997" s="24">
        <v>0</v>
      </c>
      <c r="V997" s="19">
        <v>5040</v>
      </c>
      <c r="W997" s="19">
        <v>11855.55</v>
      </c>
      <c r="X997" s="21">
        <v>2.3522916666666664</v>
      </c>
      <c r="Y997" s="19">
        <v>6085</v>
      </c>
      <c r="Z997" s="20">
        <v>1.2073412698412698</v>
      </c>
      <c r="AA997" s="30">
        <v>8.6500000000000007E-2</v>
      </c>
      <c r="AB997" s="27">
        <v>7.0000000000000007E-2</v>
      </c>
      <c r="AC997" s="27">
        <v>9.0800000000000006E-2</v>
      </c>
      <c r="AD997" s="11">
        <v>8.6071961296313865E-2</v>
      </c>
    </row>
    <row r="998" spans="1:30" x14ac:dyDescent="0.25">
      <c r="A998" s="13">
        <v>45397</v>
      </c>
      <c r="B998" s="46" t="s">
        <v>636</v>
      </c>
      <c r="C998" s="13">
        <v>45397</v>
      </c>
      <c r="D998" s="15" t="s">
        <v>1129</v>
      </c>
      <c r="E998" s="15">
        <v>35</v>
      </c>
      <c r="F998" s="15">
        <v>30</v>
      </c>
      <c r="G998" s="13">
        <v>45432</v>
      </c>
      <c r="H998" s="19">
        <v>5000</v>
      </c>
      <c r="I998" s="19">
        <v>7727.130000000001</v>
      </c>
      <c r="J998" s="20">
        <v>1.5454260000000004</v>
      </c>
      <c r="K998" s="19">
        <v>5777.130000000001</v>
      </c>
      <c r="L998" s="20">
        <v>1.1554260000000003</v>
      </c>
      <c r="M998" s="21">
        <v>0</v>
      </c>
      <c r="N998" s="19">
        <v>0</v>
      </c>
      <c r="O998" s="23">
        <v>1000</v>
      </c>
      <c r="P998" s="24">
        <v>1493.75</v>
      </c>
      <c r="Q998" s="25">
        <v>1.4937499999999999</v>
      </c>
      <c r="R998" s="24">
        <v>1000</v>
      </c>
      <c r="S998" s="25">
        <v>1</v>
      </c>
      <c r="T998" s="26">
        <v>0.66946000000000006</v>
      </c>
      <c r="U998" s="24">
        <v>0</v>
      </c>
      <c r="V998" s="19">
        <v>6000</v>
      </c>
      <c r="W998" s="19">
        <v>9220.880000000001</v>
      </c>
      <c r="X998" s="21">
        <v>1.5368133333333336</v>
      </c>
      <c r="Y998" s="19">
        <v>6777.130000000001</v>
      </c>
      <c r="Z998" s="20">
        <v>1.1295216666666668</v>
      </c>
      <c r="AA998" s="30">
        <v>8.5700000000000068E-2</v>
      </c>
      <c r="AB998" s="27">
        <v>7.0000000000000007E-2</v>
      </c>
      <c r="AC998" s="27">
        <v>0.09</v>
      </c>
      <c r="AD998" s="11">
        <v>8.4439855418505946E-2</v>
      </c>
    </row>
    <row r="999" spans="1:30" x14ac:dyDescent="0.25">
      <c r="A999" s="13">
        <v>45399</v>
      </c>
      <c r="B999" s="46" t="s">
        <v>636</v>
      </c>
      <c r="C999" s="13">
        <v>45399</v>
      </c>
      <c r="D999" s="15" t="s">
        <v>1130</v>
      </c>
      <c r="E999" s="15">
        <v>84</v>
      </c>
      <c r="F999" s="15">
        <v>90</v>
      </c>
      <c r="G999" s="13">
        <v>45483</v>
      </c>
      <c r="H999" s="19">
        <v>5000</v>
      </c>
      <c r="I999" s="19">
        <v>4053.8300000000004</v>
      </c>
      <c r="J999" s="20">
        <v>0.81076600000000021</v>
      </c>
      <c r="K999" s="19">
        <v>3148.9</v>
      </c>
      <c r="L999" s="20">
        <v>0.62978000000000001</v>
      </c>
      <c r="M999" s="21">
        <v>0</v>
      </c>
      <c r="N999" s="19">
        <v>0</v>
      </c>
      <c r="O999" s="23">
        <v>1000</v>
      </c>
      <c r="P999" s="24">
        <v>1430.48</v>
      </c>
      <c r="Q999" s="25">
        <v>1.4304800000000002</v>
      </c>
      <c r="R999" s="24">
        <v>629.78000000000009</v>
      </c>
      <c r="S999" s="25">
        <v>0.62978000000000012</v>
      </c>
      <c r="T999" s="26">
        <v>0.44026000000000004</v>
      </c>
      <c r="U999" s="24">
        <v>0</v>
      </c>
      <c r="V999" s="19">
        <v>6000</v>
      </c>
      <c r="W999" s="19">
        <v>5484.31</v>
      </c>
      <c r="X999" s="21">
        <v>0.91405166666666671</v>
      </c>
      <c r="Y999" s="19">
        <v>3778.6800000000003</v>
      </c>
      <c r="Z999" s="20">
        <v>0.62978000000000001</v>
      </c>
      <c r="AA999" s="30">
        <v>8.6899999999999991E-2</v>
      </c>
      <c r="AB999" s="27">
        <v>7.0000000000000007E-2</v>
      </c>
      <c r="AC999" s="27">
        <v>0.09</v>
      </c>
      <c r="AD999" s="11">
        <v>8.4342954687295704E-2</v>
      </c>
    </row>
    <row r="1000" spans="1:30" x14ac:dyDescent="0.25">
      <c r="A1000" s="13">
        <v>45400</v>
      </c>
      <c r="B1000" s="46" t="s">
        <v>636</v>
      </c>
      <c r="C1000" s="13">
        <v>45401</v>
      </c>
      <c r="D1000" s="15" t="s">
        <v>1131</v>
      </c>
      <c r="E1000" s="15">
        <v>371</v>
      </c>
      <c r="F1000" s="15">
        <v>360</v>
      </c>
      <c r="G1000" s="13">
        <v>45772</v>
      </c>
      <c r="H1000" s="19">
        <v>5800</v>
      </c>
      <c r="I1000" s="19">
        <v>7739.4899999999989</v>
      </c>
      <c r="J1000" s="20">
        <v>1.334394827586207</v>
      </c>
      <c r="K1000" s="19">
        <v>7439.4899999999989</v>
      </c>
      <c r="L1000" s="20">
        <v>1.2826706896551723</v>
      </c>
      <c r="M1000" s="21">
        <v>0</v>
      </c>
      <c r="N1000" s="19">
        <v>0</v>
      </c>
      <c r="O1000" s="23">
        <v>1160</v>
      </c>
      <c r="P1000" s="24">
        <v>1</v>
      </c>
      <c r="Q1000" s="25">
        <v>8.6206896551724137E-4</v>
      </c>
      <c r="R1000" s="24">
        <v>1</v>
      </c>
      <c r="S1000" s="25">
        <v>8.6206896551724137E-4</v>
      </c>
      <c r="T1000" s="26">
        <v>0</v>
      </c>
      <c r="U1000" s="24">
        <v>0</v>
      </c>
      <c r="V1000" s="19">
        <v>6960</v>
      </c>
      <c r="W1000" s="19">
        <v>7740.4899999999989</v>
      </c>
      <c r="X1000" s="21">
        <v>1.1121393678160918</v>
      </c>
      <c r="Y1000" s="19">
        <v>7440.4899999999989</v>
      </c>
      <c r="Z1000" s="20">
        <v>1.0690359195402297</v>
      </c>
      <c r="AA1000" s="30">
        <v>8.8699999999999959E-2</v>
      </c>
      <c r="AB1000" s="27">
        <v>7.0000000000000007E-2</v>
      </c>
      <c r="AC1000" s="27">
        <v>9.06E-2</v>
      </c>
      <c r="AD1000" s="11">
        <v>8.5672629591872329E-2</v>
      </c>
    </row>
    <row r="1001" spans="1:30" x14ac:dyDescent="0.25">
      <c r="A1001" s="13">
        <v>45405</v>
      </c>
      <c r="B1001" s="46" t="s">
        <v>636</v>
      </c>
      <c r="C1001" s="13">
        <v>45405</v>
      </c>
      <c r="D1001" s="15" t="s">
        <v>1132</v>
      </c>
      <c r="E1001" s="15">
        <v>27</v>
      </c>
      <c r="F1001" s="15">
        <v>30</v>
      </c>
      <c r="G1001" s="13">
        <v>45432</v>
      </c>
      <c r="H1001" s="19">
        <v>5000</v>
      </c>
      <c r="I1001" s="19">
        <v>5471.39</v>
      </c>
      <c r="J1001" s="20">
        <v>1.0942780000000003</v>
      </c>
      <c r="K1001" s="19">
        <v>4271.3900000000003</v>
      </c>
      <c r="L1001" s="20">
        <v>0.85427800000000009</v>
      </c>
      <c r="M1001" s="21">
        <v>0</v>
      </c>
      <c r="N1001" s="19">
        <v>0</v>
      </c>
      <c r="O1001" s="23">
        <v>1000</v>
      </c>
      <c r="P1001" s="24">
        <v>2042.25</v>
      </c>
      <c r="Q1001" s="25">
        <v>2.0422500000000001</v>
      </c>
      <c r="R1001" s="24">
        <v>854.27800000000002</v>
      </c>
      <c r="S1001" s="25">
        <v>0.85427799999999998</v>
      </c>
      <c r="T1001" s="26">
        <v>0.41839999999999999</v>
      </c>
      <c r="U1001" s="24">
        <v>0</v>
      </c>
      <c r="V1001" s="19">
        <v>6000</v>
      </c>
      <c r="W1001" s="19">
        <v>7513.64</v>
      </c>
      <c r="X1001" s="21">
        <v>1.2522733333333333</v>
      </c>
      <c r="Y1001" s="19">
        <v>5125.6680000000006</v>
      </c>
      <c r="Z1001" s="20">
        <v>0.85427800000000009</v>
      </c>
      <c r="AA1001" s="30">
        <v>8.5800000000000029E-2</v>
      </c>
      <c r="AB1001" s="27">
        <v>7.4999999999999997E-2</v>
      </c>
      <c r="AC1001" s="27">
        <v>8.9499999999999996E-2</v>
      </c>
      <c r="AD1001" s="11">
        <v>8.4887181502323897E-2</v>
      </c>
    </row>
    <row r="1002" spans="1:30" x14ac:dyDescent="0.25">
      <c r="A1002" s="13">
        <v>45406</v>
      </c>
      <c r="B1002" s="46" t="s">
        <v>636</v>
      </c>
      <c r="C1002" s="13">
        <v>45406</v>
      </c>
      <c r="D1002" s="15" t="s">
        <v>1133</v>
      </c>
      <c r="E1002" s="15">
        <v>98</v>
      </c>
      <c r="F1002" s="15">
        <v>90</v>
      </c>
      <c r="G1002" s="13">
        <v>45504</v>
      </c>
      <c r="H1002" s="19">
        <v>3300</v>
      </c>
      <c r="I1002" s="19">
        <v>5302.49</v>
      </c>
      <c r="J1002" s="20">
        <v>1.606815151515151</v>
      </c>
      <c r="K1002" s="19">
        <v>3952.4900000000007</v>
      </c>
      <c r="L1002" s="20">
        <v>1.1977242424242427</v>
      </c>
      <c r="M1002" s="21">
        <v>0</v>
      </c>
      <c r="N1002" s="19">
        <v>0</v>
      </c>
      <c r="O1002" s="23">
        <v>660</v>
      </c>
      <c r="P1002" s="24">
        <v>690</v>
      </c>
      <c r="Q1002" s="25">
        <v>1.0454545454545454</v>
      </c>
      <c r="R1002" s="24">
        <v>660</v>
      </c>
      <c r="S1002" s="25">
        <v>1</v>
      </c>
      <c r="T1002" s="26">
        <v>0.95652333333333328</v>
      </c>
      <c r="U1002" s="24">
        <v>0</v>
      </c>
      <c r="V1002" s="19">
        <v>3960</v>
      </c>
      <c r="W1002" s="19">
        <v>5992.49</v>
      </c>
      <c r="X1002" s="21">
        <v>1.5132550505050504</v>
      </c>
      <c r="Y1002" s="19">
        <v>4612.4900000000007</v>
      </c>
      <c r="Z1002" s="20">
        <v>1.1647702020202022</v>
      </c>
      <c r="AA1002" s="30">
        <v>8.6699999999999985E-2</v>
      </c>
      <c r="AB1002" s="27">
        <v>7.0000000000000007E-2</v>
      </c>
      <c r="AC1002" s="27">
        <v>0.09</v>
      </c>
      <c r="AD1002" s="11">
        <v>8.5677786662492553E-2</v>
      </c>
    </row>
    <row r="1003" spans="1:30" x14ac:dyDescent="0.25">
      <c r="A1003" s="13">
        <v>45408</v>
      </c>
      <c r="B1003" s="46" t="s">
        <v>636</v>
      </c>
      <c r="C1003" s="13">
        <v>45408</v>
      </c>
      <c r="D1003" s="15" t="s">
        <v>1134</v>
      </c>
      <c r="E1003" s="15">
        <v>189</v>
      </c>
      <c r="F1003" s="15">
        <v>180</v>
      </c>
      <c r="G1003" s="13">
        <v>45597</v>
      </c>
      <c r="H1003" s="19">
        <v>3300</v>
      </c>
      <c r="I1003" s="19">
        <v>4738.4399999999996</v>
      </c>
      <c r="J1003" s="20">
        <v>1.4358909090909087</v>
      </c>
      <c r="K1003" s="19">
        <v>4038.4399999999996</v>
      </c>
      <c r="L1003" s="20">
        <v>1.223769696969697</v>
      </c>
      <c r="M1003" s="21">
        <v>0</v>
      </c>
      <c r="N1003" s="19">
        <v>0</v>
      </c>
      <c r="O1003" s="23">
        <v>660</v>
      </c>
      <c r="P1003" s="24">
        <v>0</v>
      </c>
      <c r="Q1003" s="25">
        <v>0</v>
      </c>
      <c r="R1003" s="24">
        <v>0</v>
      </c>
      <c r="S1003" s="25">
        <v>0</v>
      </c>
      <c r="T1003" s="26">
        <v>0</v>
      </c>
      <c r="U1003" s="24">
        <v>0</v>
      </c>
      <c r="V1003" s="19">
        <v>3960</v>
      </c>
      <c r="W1003" s="19">
        <v>4738.4399999999996</v>
      </c>
      <c r="X1003" s="21">
        <v>1.1965757575757574</v>
      </c>
      <c r="Y1003" s="19">
        <v>4038.4399999999996</v>
      </c>
      <c r="Z1003" s="20">
        <v>1.0198080808080807</v>
      </c>
      <c r="AA1003" s="30">
        <v>8.7299999999999975E-2</v>
      </c>
      <c r="AB1003" s="27">
        <v>7.0000000000000007E-2</v>
      </c>
      <c r="AC1003" s="27">
        <v>8.900000000000001E-2</v>
      </c>
      <c r="AD1003" s="11">
        <v>8.536221076978924E-2</v>
      </c>
    </row>
    <row r="1004" spans="1:30" x14ac:dyDescent="0.25">
      <c r="A1004" s="13">
        <v>45411</v>
      </c>
      <c r="B1004" s="46" t="s">
        <v>636</v>
      </c>
      <c r="C1004" s="13">
        <v>45411</v>
      </c>
      <c r="D1004" s="15" t="s">
        <v>1135</v>
      </c>
      <c r="E1004" s="15">
        <v>35</v>
      </c>
      <c r="F1004" s="15">
        <v>30</v>
      </c>
      <c r="G1004" s="13">
        <v>45446</v>
      </c>
      <c r="H1004" s="19">
        <v>5000</v>
      </c>
      <c r="I1004" s="19">
        <v>5689.08</v>
      </c>
      <c r="J1004" s="20">
        <v>1.1378159999999999</v>
      </c>
      <c r="K1004" s="19">
        <v>5189.08</v>
      </c>
      <c r="L1004" s="20">
        <v>1.0378160000000001</v>
      </c>
      <c r="M1004" s="21">
        <v>0</v>
      </c>
      <c r="N1004" s="19">
        <v>0</v>
      </c>
      <c r="O1004" s="23">
        <v>1000</v>
      </c>
      <c r="P1004" s="24">
        <v>819.7</v>
      </c>
      <c r="Q1004" s="25">
        <v>0.8197000000000001</v>
      </c>
      <c r="R1004" s="24">
        <v>819.7</v>
      </c>
      <c r="S1004" s="25">
        <v>0.8197000000000001</v>
      </c>
      <c r="T1004" s="26">
        <v>0</v>
      </c>
      <c r="U1004" s="24">
        <v>0</v>
      </c>
      <c r="V1004" s="19">
        <v>6000</v>
      </c>
      <c r="W1004" s="19">
        <v>6508.78</v>
      </c>
      <c r="X1004" s="21">
        <v>1.0847966666666666</v>
      </c>
      <c r="Y1004" s="19">
        <v>6008.78</v>
      </c>
      <c r="Z1004" s="20">
        <v>1.0014633333333334</v>
      </c>
      <c r="AA1004" s="30">
        <v>8.6500000000000007E-2</v>
      </c>
      <c r="AB1004" s="27">
        <v>7.0000000000000007E-2</v>
      </c>
      <c r="AC1004" s="27">
        <v>8.8499999999999995E-2</v>
      </c>
      <c r="AD1004" s="11">
        <v>8.3239401977121083E-2</v>
      </c>
    </row>
    <row r="1005" spans="1:30" x14ac:dyDescent="0.25">
      <c r="A1005" s="13">
        <v>45412</v>
      </c>
      <c r="B1005" s="46" t="s">
        <v>636</v>
      </c>
      <c r="C1005" s="13">
        <v>45412</v>
      </c>
      <c r="D1005" s="15" t="s">
        <v>1136</v>
      </c>
      <c r="E1005" s="15">
        <v>92</v>
      </c>
      <c r="F1005" s="15">
        <v>90</v>
      </c>
      <c r="G1005" s="13">
        <v>45504</v>
      </c>
      <c r="H1005" s="19">
        <v>3300</v>
      </c>
      <c r="I1005" s="19">
        <v>2357.81</v>
      </c>
      <c r="J1005" s="20">
        <v>0.71448787878787867</v>
      </c>
      <c r="K1005" s="19">
        <v>1557.81</v>
      </c>
      <c r="L1005" s="20">
        <v>0.47206363636363635</v>
      </c>
      <c r="M1005" s="21">
        <v>0</v>
      </c>
      <c r="N1005" s="19">
        <v>0</v>
      </c>
      <c r="O1005" s="23">
        <v>660</v>
      </c>
      <c r="P1005" s="24">
        <v>30</v>
      </c>
      <c r="Q1005" s="25">
        <v>4.5454545454545456E-2</v>
      </c>
      <c r="R1005" s="24">
        <v>30</v>
      </c>
      <c r="S1005" s="25">
        <v>4.5454545454545456E-2</v>
      </c>
      <c r="T1005" s="26">
        <v>0</v>
      </c>
      <c r="U1005" s="24">
        <v>0</v>
      </c>
      <c r="V1005" s="19">
        <v>3960</v>
      </c>
      <c r="W1005" s="19">
        <v>2387.81</v>
      </c>
      <c r="X1005" s="21">
        <v>0.60298232323232326</v>
      </c>
      <c r="Y1005" s="19">
        <v>1587.81</v>
      </c>
      <c r="Z1005" s="20">
        <v>0.40096212121212121</v>
      </c>
      <c r="AA1005" s="30">
        <v>8.6699999999999999E-2</v>
      </c>
      <c r="AB1005" s="27">
        <v>7.0000000000000007E-2</v>
      </c>
      <c r="AC1005" s="27">
        <v>0.09</v>
      </c>
      <c r="AD1005" s="11">
        <v>8.6386533266039248E-2</v>
      </c>
    </row>
    <row r="1006" spans="1:30" x14ac:dyDescent="0.25">
      <c r="A1006" s="13">
        <v>45414</v>
      </c>
      <c r="B1006" s="46" t="s">
        <v>636</v>
      </c>
      <c r="C1006" s="13">
        <v>45415</v>
      </c>
      <c r="D1006" s="15" t="s">
        <v>1137</v>
      </c>
      <c r="E1006" s="15">
        <v>364</v>
      </c>
      <c r="F1006" s="15">
        <v>360</v>
      </c>
      <c r="G1006" s="13">
        <v>45779</v>
      </c>
      <c r="H1006" s="19">
        <v>4200</v>
      </c>
      <c r="I1006" s="19">
        <v>5522.2599999999993</v>
      </c>
      <c r="J1006" s="20">
        <v>1.3148238095238092</v>
      </c>
      <c r="K1006" s="19">
        <v>4122.26</v>
      </c>
      <c r="L1006" s="20">
        <v>0.98149047619047625</v>
      </c>
      <c r="M1006" s="21">
        <v>0</v>
      </c>
      <c r="N1006" s="19">
        <v>0</v>
      </c>
      <c r="O1006" s="23">
        <v>840</v>
      </c>
      <c r="P1006" s="24">
        <v>1040</v>
      </c>
      <c r="Q1006" s="25">
        <v>1.2380952380952381</v>
      </c>
      <c r="R1006" s="24">
        <v>824.452</v>
      </c>
      <c r="S1006" s="25">
        <v>0.98149047619047614</v>
      </c>
      <c r="T1006" s="26">
        <v>0.79274249999999991</v>
      </c>
      <c r="U1006" s="24">
        <v>0</v>
      </c>
      <c r="V1006" s="19">
        <v>5040</v>
      </c>
      <c r="W1006" s="19">
        <v>6562.2599999999993</v>
      </c>
      <c r="X1006" s="21">
        <v>1.3020357142857142</v>
      </c>
      <c r="Y1006" s="19">
        <v>4946.7120000000004</v>
      </c>
      <c r="Z1006" s="20">
        <v>0.98149047619047625</v>
      </c>
      <c r="AA1006" s="30">
        <v>8.7899999999999978E-2</v>
      </c>
      <c r="AB1006" s="27">
        <v>0.08</v>
      </c>
      <c r="AC1006" s="27">
        <v>8.9700000000000002E-2</v>
      </c>
      <c r="AD1006" s="11">
        <v>8.6735722693245157E-2</v>
      </c>
    </row>
    <row r="1007" spans="1:30" x14ac:dyDescent="0.25">
      <c r="A1007" s="13">
        <v>45418</v>
      </c>
      <c r="B1007" s="46" t="s">
        <v>636</v>
      </c>
      <c r="C1007" s="13">
        <v>45418</v>
      </c>
      <c r="D1007" s="15" t="s">
        <v>1138</v>
      </c>
      <c r="E1007" s="15">
        <v>28</v>
      </c>
      <c r="F1007" s="15">
        <v>30</v>
      </c>
      <c r="G1007" s="13">
        <v>45446</v>
      </c>
      <c r="H1007" s="19">
        <v>5000</v>
      </c>
      <c r="I1007" s="19">
        <v>4865.16</v>
      </c>
      <c r="J1007" s="20">
        <v>0.97303200000000023</v>
      </c>
      <c r="K1007" s="19">
        <v>3865.16</v>
      </c>
      <c r="L1007" s="20">
        <v>0.77303199999999994</v>
      </c>
      <c r="M1007" s="21">
        <v>0</v>
      </c>
      <c r="N1007" s="19">
        <v>0</v>
      </c>
      <c r="O1007" s="23">
        <v>1000</v>
      </c>
      <c r="P1007" s="24">
        <v>1101</v>
      </c>
      <c r="Q1007" s="25">
        <v>1.101</v>
      </c>
      <c r="R1007" s="24">
        <v>773.03200000000004</v>
      </c>
      <c r="S1007" s="25">
        <v>0.77303200000000005</v>
      </c>
      <c r="T1007" s="26">
        <v>0.70211810000000008</v>
      </c>
      <c r="U1007" s="24">
        <v>0</v>
      </c>
      <c r="V1007" s="19">
        <v>6000</v>
      </c>
      <c r="W1007" s="19">
        <v>5966.16</v>
      </c>
      <c r="X1007" s="21">
        <v>0.99436000000000002</v>
      </c>
      <c r="Y1007" s="19">
        <v>4638.192</v>
      </c>
      <c r="Z1007" s="20">
        <v>0.77303200000000005</v>
      </c>
      <c r="AA1007" s="30">
        <v>8.6200000000000027E-2</v>
      </c>
      <c r="AB1007" s="27">
        <v>7.0000000000000007E-2</v>
      </c>
      <c r="AC1007" s="27">
        <v>8.8000000000000009E-2</v>
      </c>
      <c r="AD1007" s="11">
        <v>8.5281861233751824E-2</v>
      </c>
    </row>
    <row r="1008" spans="1:30" x14ac:dyDescent="0.25">
      <c r="A1008" s="13">
        <v>45420</v>
      </c>
      <c r="B1008" s="46" t="s">
        <v>636</v>
      </c>
      <c r="C1008" s="13">
        <v>45420</v>
      </c>
      <c r="D1008" s="15" t="s">
        <v>1139</v>
      </c>
      <c r="E1008" s="15">
        <v>98</v>
      </c>
      <c r="F1008" s="15">
        <v>90</v>
      </c>
      <c r="G1008" s="13">
        <v>45518</v>
      </c>
      <c r="H1008" s="19">
        <v>5000</v>
      </c>
      <c r="I1008" s="19">
        <v>8250.74</v>
      </c>
      <c r="J1008" s="20">
        <v>1.6501480000000002</v>
      </c>
      <c r="K1008" s="19">
        <v>6289.3099999999995</v>
      </c>
      <c r="L1008" s="20">
        <v>1.2578619999999998</v>
      </c>
      <c r="M1008" s="21">
        <v>0</v>
      </c>
      <c r="N1008" s="19">
        <v>0</v>
      </c>
      <c r="O1008" s="23">
        <v>1000</v>
      </c>
      <c r="P1008" s="24">
        <v>1844.7</v>
      </c>
      <c r="Q1008" s="25">
        <v>1.8447</v>
      </c>
      <c r="R1008" s="24">
        <v>1000</v>
      </c>
      <c r="S1008" s="25">
        <v>1</v>
      </c>
      <c r="T1008" s="26">
        <v>0.54209428571428564</v>
      </c>
      <c r="U1008" s="24">
        <v>0</v>
      </c>
      <c r="V1008" s="19">
        <v>6000</v>
      </c>
      <c r="W1008" s="19">
        <v>10095.44</v>
      </c>
      <c r="X1008" s="21">
        <v>1.6825733333333335</v>
      </c>
      <c r="Y1008" s="19">
        <v>7289.3099999999995</v>
      </c>
      <c r="Z1008" s="20">
        <v>1.214885</v>
      </c>
      <c r="AA1008" s="30">
        <v>8.6500000000000007E-2</v>
      </c>
      <c r="AB1008" s="27">
        <v>7.0000000000000007E-2</v>
      </c>
      <c r="AC1008" s="27">
        <v>8.8900000000000007E-2</v>
      </c>
      <c r="AD1008" s="11">
        <v>8.5366095525977057E-2</v>
      </c>
    </row>
    <row r="1009" spans="1:30" x14ac:dyDescent="0.25">
      <c r="A1009" s="13">
        <v>45422</v>
      </c>
      <c r="B1009" s="46" t="s">
        <v>636</v>
      </c>
      <c r="C1009" s="13">
        <v>45422</v>
      </c>
      <c r="D1009" s="15" t="s">
        <v>1140</v>
      </c>
      <c r="E1009" s="15">
        <v>175</v>
      </c>
      <c r="F1009" s="15">
        <v>180</v>
      </c>
      <c r="G1009" s="13">
        <v>45597</v>
      </c>
      <c r="H1009" s="19">
        <v>4200</v>
      </c>
      <c r="I1009" s="19">
        <v>9415.4399999999987</v>
      </c>
      <c r="J1009" s="20">
        <v>2.2417714285714285</v>
      </c>
      <c r="K1009" s="19">
        <v>6381.1499999999987</v>
      </c>
      <c r="L1009" s="20">
        <v>1.5193214285714283</v>
      </c>
      <c r="M1009" s="21">
        <v>0</v>
      </c>
      <c r="N1009" s="19">
        <v>0</v>
      </c>
      <c r="O1009" s="23">
        <v>840</v>
      </c>
      <c r="P1009" s="24">
        <v>1381.5</v>
      </c>
      <c r="Q1009" s="25">
        <v>1.6446428571428571</v>
      </c>
      <c r="R1009" s="24">
        <v>840</v>
      </c>
      <c r="S1009" s="25">
        <v>1</v>
      </c>
      <c r="T1009" s="26">
        <v>0.60803499999999999</v>
      </c>
      <c r="U1009" s="24">
        <v>0</v>
      </c>
      <c r="V1009" s="19">
        <v>5040</v>
      </c>
      <c r="W1009" s="19">
        <v>10796.939999999999</v>
      </c>
      <c r="X1009" s="21">
        <v>2.1422499999999998</v>
      </c>
      <c r="Y1009" s="19">
        <v>7221.1499999999987</v>
      </c>
      <c r="Z1009" s="20">
        <v>1.4327678571428568</v>
      </c>
      <c r="AA1009" s="30">
        <v>8.5599999999999996E-2</v>
      </c>
      <c r="AB1009" s="27">
        <v>7.0000000000000007E-2</v>
      </c>
      <c r="AC1009" s="27">
        <v>8.8100000000000012E-2</v>
      </c>
      <c r="AD1009" s="11">
        <v>8.3966966811959934E-2</v>
      </c>
    </row>
    <row r="1010" spans="1:30" x14ac:dyDescent="0.25">
      <c r="A1010" s="13">
        <v>45425</v>
      </c>
      <c r="B1010" s="46" t="s">
        <v>636</v>
      </c>
      <c r="C1010" s="13">
        <v>45425</v>
      </c>
      <c r="D1010" s="15" t="s">
        <v>1141</v>
      </c>
      <c r="E1010" s="15">
        <v>35</v>
      </c>
      <c r="F1010" s="15">
        <v>30</v>
      </c>
      <c r="G1010" s="13">
        <v>45460</v>
      </c>
      <c r="H1010" s="19">
        <v>6600</v>
      </c>
      <c r="I1010" s="19">
        <v>9469.1200000000008</v>
      </c>
      <c r="J1010" s="20">
        <v>1.4347151515151519</v>
      </c>
      <c r="K1010" s="19">
        <v>7584.1200000000008</v>
      </c>
      <c r="L1010" s="20">
        <v>1.1491090909090911</v>
      </c>
      <c r="M1010" s="21">
        <v>0</v>
      </c>
      <c r="N1010" s="19">
        <v>0</v>
      </c>
      <c r="O1010" s="23">
        <v>1320</v>
      </c>
      <c r="P1010" s="24">
        <v>1697.5</v>
      </c>
      <c r="Q1010" s="25">
        <v>1.2859848484848484</v>
      </c>
      <c r="R1010" s="24">
        <v>1320.0000000000002</v>
      </c>
      <c r="S1010" s="25">
        <v>1.0000000000000002</v>
      </c>
      <c r="T1010" s="26">
        <v>0.77761500000000006</v>
      </c>
      <c r="U1010" s="24">
        <v>0</v>
      </c>
      <c r="V1010" s="19">
        <v>7920</v>
      </c>
      <c r="W1010" s="19">
        <v>11166.62</v>
      </c>
      <c r="X1010" s="21">
        <v>1.4099267676767677</v>
      </c>
      <c r="Y1010" s="19">
        <v>8904.1200000000008</v>
      </c>
      <c r="Z1010" s="20">
        <v>1.1242575757575759</v>
      </c>
      <c r="AA1010" s="30">
        <v>8.5300000000000042E-2</v>
      </c>
      <c r="AB1010" s="27">
        <v>7.0000000000000007E-2</v>
      </c>
      <c r="AC1010" s="27">
        <v>8.8900000000000007E-2</v>
      </c>
      <c r="AD1010" s="11">
        <v>8.3857106996215069E-2</v>
      </c>
    </row>
    <row r="1011" spans="1:30" x14ac:dyDescent="0.25">
      <c r="A1011" s="13">
        <v>45427</v>
      </c>
      <c r="B1011" s="46" t="s">
        <v>636</v>
      </c>
      <c r="C1011" s="13">
        <v>45427</v>
      </c>
      <c r="D1011" s="15" t="s">
        <v>1142</v>
      </c>
      <c r="E1011" s="15">
        <v>98</v>
      </c>
      <c r="F1011" s="15">
        <v>90</v>
      </c>
      <c r="G1011" s="13">
        <v>45525</v>
      </c>
      <c r="H1011" s="19">
        <v>6600</v>
      </c>
      <c r="I1011" s="19">
        <v>8739.58</v>
      </c>
      <c r="J1011" s="20">
        <v>1.3241787878787874</v>
      </c>
      <c r="K1011" s="19">
        <v>7779.58</v>
      </c>
      <c r="L1011" s="20">
        <v>1.1787242424242423</v>
      </c>
      <c r="M1011" s="21">
        <v>0</v>
      </c>
      <c r="N1011" s="19">
        <v>0</v>
      </c>
      <c r="O1011" s="23">
        <v>1320</v>
      </c>
      <c r="P1011" s="24">
        <v>1923.48</v>
      </c>
      <c r="Q1011" s="25">
        <v>1.4571818181818181</v>
      </c>
      <c r="R1011" s="24">
        <v>1320</v>
      </c>
      <c r="S1011" s="25">
        <v>1</v>
      </c>
      <c r="T1011" s="26">
        <v>0.6862643678160919</v>
      </c>
      <c r="U1011" s="24">
        <v>0</v>
      </c>
      <c r="V1011" s="19">
        <v>7920</v>
      </c>
      <c r="W1011" s="19">
        <v>10663.06</v>
      </c>
      <c r="X1011" s="21">
        <v>1.3463459595959595</v>
      </c>
      <c r="Y1011" s="19">
        <v>9099.58</v>
      </c>
      <c r="Z1011" s="20">
        <v>1.1489368686868686</v>
      </c>
      <c r="AA1011" s="30">
        <v>8.6299999999999905E-2</v>
      </c>
      <c r="AB1011" s="27">
        <v>7.0000000000000007E-2</v>
      </c>
      <c r="AC1011" s="27">
        <v>8.8399999999999992E-2</v>
      </c>
      <c r="AD1011" s="11">
        <v>8.4012589277745617E-2</v>
      </c>
    </row>
    <row r="1012" spans="1:30" x14ac:dyDescent="0.25">
      <c r="A1012" s="13">
        <v>45428</v>
      </c>
      <c r="B1012" s="46" t="s">
        <v>636</v>
      </c>
      <c r="C1012" s="13">
        <v>45429</v>
      </c>
      <c r="D1012" s="15" t="s">
        <v>1143</v>
      </c>
      <c r="E1012" s="15">
        <v>350</v>
      </c>
      <c r="F1012" s="15">
        <v>360</v>
      </c>
      <c r="G1012" s="13">
        <v>45779</v>
      </c>
      <c r="H1012" s="19">
        <v>6600</v>
      </c>
      <c r="I1012" s="19">
        <v>8143.3499999999995</v>
      </c>
      <c r="J1012" s="20">
        <v>1.2338409090909088</v>
      </c>
      <c r="K1012" s="19">
        <v>7393.35</v>
      </c>
      <c r="L1012" s="20">
        <v>1.1202045454545455</v>
      </c>
      <c r="M1012" s="21">
        <v>0</v>
      </c>
      <c r="N1012" s="19">
        <v>0</v>
      </c>
      <c r="O1012" s="23">
        <v>1320</v>
      </c>
      <c r="P1012" s="24">
        <v>1620</v>
      </c>
      <c r="Q1012" s="25">
        <v>1.2272727272727273</v>
      </c>
      <c r="R1012" s="24">
        <v>1320</v>
      </c>
      <c r="S1012" s="25">
        <v>1</v>
      </c>
      <c r="T1012" s="26">
        <v>0.81481484848484842</v>
      </c>
      <c r="U1012" s="24">
        <v>0</v>
      </c>
      <c r="V1012" s="19">
        <v>7920</v>
      </c>
      <c r="W1012" s="19">
        <v>9763.3499999999985</v>
      </c>
      <c r="X1012" s="21">
        <v>1.232746212121212</v>
      </c>
      <c r="Y1012" s="19">
        <v>8713.35</v>
      </c>
      <c r="Z1012" s="20">
        <v>1.1001704545454547</v>
      </c>
      <c r="AA1012" s="30">
        <v>8.7399999999999964E-2</v>
      </c>
      <c r="AB1012" s="27">
        <v>7.0000000000000007E-2</v>
      </c>
      <c r="AC1012" s="27">
        <v>8.9600000000000013E-2</v>
      </c>
      <c r="AD1012" s="11">
        <v>8.5836778598488386E-2</v>
      </c>
    </row>
    <row r="1013" spans="1:30" x14ac:dyDescent="0.25">
      <c r="A1013" s="13">
        <v>45432</v>
      </c>
      <c r="B1013" s="46" t="s">
        <v>636</v>
      </c>
      <c r="C1013" s="13">
        <v>45432</v>
      </c>
      <c r="D1013" s="15" t="s">
        <v>1168</v>
      </c>
      <c r="E1013" s="15">
        <v>35</v>
      </c>
      <c r="F1013" s="15">
        <v>30</v>
      </c>
      <c r="G1013" s="13">
        <v>45467</v>
      </c>
      <c r="H1013" s="19">
        <v>7500</v>
      </c>
      <c r="I1013" s="19">
        <v>9603.3499999999985</v>
      </c>
      <c r="J1013" s="20">
        <v>1.280446666666667</v>
      </c>
      <c r="K1013" s="19">
        <v>8223.3499999999985</v>
      </c>
      <c r="L1013" s="20">
        <v>1.0964466666666666</v>
      </c>
      <c r="M1013" s="21">
        <v>0</v>
      </c>
      <c r="N1013" s="19">
        <v>0</v>
      </c>
      <c r="O1013" s="23">
        <v>1500</v>
      </c>
      <c r="P1013" s="24">
        <v>4336.7</v>
      </c>
      <c r="Q1013" s="25">
        <v>2.8911333333333333</v>
      </c>
      <c r="R1013" s="24">
        <v>1500</v>
      </c>
      <c r="S1013" s="25">
        <v>1</v>
      </c>
      <c r="T1013" s="26">
        <v>0.34588888888888891</v>
      </c>
      <c r="U1013" s="24">
        <v>0</v>
      </c>
      <c r="V1013" s="19">
        <v>9000</v>
      </c>
      <c r="W1013" s="19">
        <v>13940.05</v>
      </c>
      <c r="X1013" s="21">
        <v>1.5488944444444444</v>
      </c>
      <c r="Y1013" s="19">
        <v>9723.3499999999985</v>
      </c>
      <c r="Z1013" s="20">
        <v>1.0803722222222221</v>
      </c>
      <c r="AA1013" s="30">
        <v>8.5599999999999968E-2</v>
      </c>
      <c r="AB1013" s="27">
        <v>7.0000000000000007E-2</v>
      </c>
      <c r="AC1013" s="27">
        <v>8.6800000000000002E-2</v>
      </c>
      <c r="AD1013" s="11">
        <v>8.3752832605288818E-2</v>
      </c>
    </row>
    <row r="1014" spans="1:30" x14ac:dyDescent="0.25">
      <c r="A1014" s="13">
        <v>45434</v>
      </c>
      <c r="B1014" s="46" t="s">
        <v>636</v>
      </c>
      <c r="C1014" s="13">
        <v>45434</v>
      </c>
      <c r="D1014" s="15" t="s">
        <v>1169</v>
      </c>
      <c r="E1014" s="15">
        <v>91</v>
      </c>
      <c r="F1014" s="15">
        <v>90</v>
      </c>
      <c r="G1014" s="13">
        <v>45525</v>
      </c>
      <c r="H1014" s="19">
        <v>5800</v>
      </c>
      <c r="I1014" s="19">
        <v>7263.55</v>
      </c>
      <c r="J1014" s="20">
        <v>1.2523362068965516</v>
      </c>
      <c r="K1014" s="19">
        <v>5913.55</v>
      </c>
      <c r="L1014" s="20">
        <v>1.0195775862068965</v>
      </c>
      <c r="M1014" s="21">
        <v>0</v>
      </c>
      <c r="N1014" s="19">
        <v>0</v>
      </c>
      <c r="O1014" s="23">
        <v>1160</v>
      </c>
      <c r="P1014" s="24">
        <v>2336.5700000000002</v>
      </c>
      <c r="Q1014" s="25">
        <v>2.014284482758621</v>
      </c>
      <c r="R1014" s="24">
        <v>1160</v>
      </c>
      <c r="S1014" s="25">
        <v>1</v>
      </c>
      <c r="T1014" s="26">
        <v>0.496454224137931</v>
      </c>
      <c r="U1014" s="24">
        <v>0</v>
      </c>
      <c r="V1014" s="19">
        <v>6960</v>
      </c>
      <c r="W1014" s="19">
        <v>9600.1200000000008</v>
      </c>
      <c r="X1014" s="21">
        <v>1.3793275862068968</v>
      </c>
      <c r="Y1014" s="19">
        <v>7073.55</v>
      </c>
      <c r="Z1014" s="20">
        <v>1.0163146551724138</v>
      </c>
      <c r="AA1014" s="30">
        <v>8.6399999999999949E-2</v>
      </c>
      <c r="AB1014" s="27">
        <v>7.0000000000000007E-2</v>
      </c>
      <c r="AC1014" s="27">
        <v>8.7799999999999989E-2</v>
      </c>
      <c r="AD1014" s="11">
        <v>8.5561767317633944E-2</v>
      </c>
    </row>
    <row r="1015" spans="1:30" x14ac:dyDescent="0.25">
      <c r="A1015" s="13">
        <v>45436</v>
      </c>
      <c r="B1015" s="46" t="s">
        <v>636</v>
      </c>
      <c r="C1015" s="13">
        <v>45436</v>
      </c>
      <c r="D1015" s="15" t="s">
        <v>1170</v>
      </c>
      <c r="E1015" s="15">
        <v>196</v>
      </c>
      <c r="F1015" s="15">
        <v>180</v>
      </c>
      <c r="G1015" s="13">
        <v>45632</v>
      </c>
      <c r="H1015" s="19">
        <v>5800</v>
      </c>
      <c r="I1015" s="19">
        <v>6887.2</v>
      </c>
      <c r="J1015" s="20">
        <v>1.1874482758620686</v>
      </c>
      <c r="K1015" s="19">
        <v>5737.2</v>
      </c>
      <c r="L1015" s="20">
        <v>0.98917241379310339</v>
      </c>
      <c r="M1015" s="21">
        <v>0</v>
      </c>
      <c r="N1015" s="19">
        <v>0</v>
      </c>
      <c r="O1015" s="23">
        <v>1160</v>
      </c>
      <c r="P1015" s="24">
        <v>185</v>
      </c>
      <c r="Q1015" s="25">
        <v>0.15948275862068967</v>
      </c>
      <c r="R1015" s="24">
        <v>185</v>
      </c>
      <c r="S1015" s="25">
        <v>0.15948275862068967</v>
      </c>
      <c r="T1015" s="26">
        <v>0</v>
      </c>
      <c r="U1015" s="24">
        <v>0</v>
      </c>
      <c r="V1015" s="19">
        <v>6960</v>
      </c>
      <c r="W1015" s="19">
        <v>7072.2</v>
      </c>
      <c r="X1015" s="21">
        <v>1.0161206896551724</v>
      </c>
      <c r="Y1015" s="19">
        <v>5922.2</v>
      </c>
      <c r="Z1015" s="20">
        <v>0.85089080459770117</v>
      </c>
      <c r="AA1015" s="30">
        <v>8.700000000000005E-2</v>
      </c>
      <c r="AB1015" s="27">
        <v>7.0000000000000007E-2</v>
      </c>
      <c r="AC1015" s="27">
        <v>0.09</v>
      </c>
      <c r="AD1015" s="11">
        <v>8.5571288767568851E-2</v>
      </c>
    </row>
    <row r="1016" spans="1:30" x14ac:dyDescent="0.25">
      <c r="A1016" s="13">
        <v>45439</v>
      </c>
      <c r="B1016" s="46" t="s">
        <v>636</v>
      </c>
      <c r="C1016" s="13">
        <v>45439</v>
      </c>
      <c r="D1016" s="15" t="s">
        <v>1171</v>
      </c>
      <c r="E1016" s="15">
        <v>35</v>
      </c>
      <c r="F1016" s="15">
        <v>30</v>
      </c>
      <c r="G1016" s="13">
        <v>45474</v>
      </c>
      <c r="H1016" s="19">
        <v>4200</v>
      </c>
      <c r="I1016" s="19">
        <v>5724.3300000000008</v>
      </c>
      <c r="J1016" s="20">
        <v>1.3629357142857141</v>
      </c>
      <c r="K1016" s="19">
        <v>4778.33</v>
      </c>
      <c r="L1016" s="20">
        <v>1.1376976190476191</v>
      </c>
      <c r="M1016" s="21">
        <v>0</v>
      </c>
      <c r="N1016" s="19">
        <v>0</v>
      </c>
      <c r="O1016" s="23">
        <v>840</v>
      </c>
      <c r="P1016" s="24">
        <v>1680</v>
      </c>
      <c r="Q1016" s="25">
        <v>2</v>
      </c>
      <c r="R1016" s="24">
        <v>840</v>
      </c>
      <c r="S1016" s="25">
        <v>1</v>
      </c>
      <c r="T1016" s="26">
        <v>0.5</v>
      </c>
      <c r="U1016" s="24">
        <v>0</v>
      </c>
      <c r="V1016" s="19">
        <v>5040</v>
      </c>
      <c r="W1016" s="19">
        <v>7404.3300000000008</v>
      </c>
      <c r="X1016" s="21">
        <v>1.4691130952380953</v>
      </c>
      <c r="Y1016" s="19">
        <v>5618.33</v>
      </c>
      <c r="Z1016" s="20">
        <v>1.1147480158730159</v>
      </c>
      <c r="AA1016" s="30">
        <v>8.5399999999999962E-2</v>
      </c>
      <c r="AB1016" s="27">
        <v>7.0000000000000007E-2</v>
      </c>
      <c r="AC1016" s="27">
        <v>8.900000000000001E-2</v>
      </c>
      <c r="AD1016" s="11">
        <v>8.4889043783289916E-2</v>
      </c>
    </row>
    <row r="1017" spans="1:30" x14ac:dyDescent="0.25">
      <c r="A1017" s="13">
        <v>45441</v>
      </c>
      <c r="B1017" s="46" t="s">
        <v>636</v>
      </c>
      <c r="C1017" s="13">
        <v>45441</v>
      </c>
      <c r="D1017" s="15" t="s">
        <v>1172</v>
      </c>
      <c r="E1017" s="15">
        <v>105</v>
      </c>
      <c r="F1017" s="15">
        <v>90</v>
      </c>
      <c r="G1017" s="13">
        <v>45546</v>
      </c>
      <c r="H1017" s="19">
        <v>3300</v>
      </c>
      <c r="I1017" s="19">
        <v>3655.3799999999992</v>
      </c>
      <c r="J1017" s="20">
        <v>1.1076909090909088</v>
      </c>
      <c r="K1017" s="19">
        <v>3255.3799999999992</v>
      </c>
      <c r="L1017" s="20">
        <v>0.98647878787878762</v>
      </c>
      <c r="M1017" s="21">
        <v>0</v>
      </c>
      <c r="N1017" s="19">
        <v>0</v>
      </c>
      <c r="O1017" s="23">
        <v>660</v>
      </c>
      <c r="P1017" s="24">
        <v>350.9</v>
      </c>
      <c r="Q1017" s="25">
        <v>0.53166666666666662</v>
      </c>
      <c r="R1017" s="24">
        <v>350.9</v>
      </c>
      <c r="S1017" s="25">
        <v>0.53166666666666662</v>
      </c>
      <c r="T1017" s="26">
        <v>0</v>
      </c>
      <c r="U1017" s="24">
        <v>0</v>
      </c>
      <c r="V1017" s="19">
        <v>3960</v>
      </c>
      <c r="W1017" s="19">
        <v>4006.2799999999993</v>
      </c>
      <c r="X1017" s="21">
        <v>1.0116868686868685</v>
      </c>
      <c r="Y1017" s="19">
        <v>3606.2799999999993</v>
      </c>
      <c r="Z1017" s="20">
        <v>0.91067676767676753</v>
      </c>
      <c r="AA1017" s="30">
        <v>8.7400000000000019E-2</v>
      </c>
      <c r="AB1017" s="27">
        <v>7.6399999999999996E-2</v>
      </c>
      <c r="AC1017" s="27">
        <v>8.8399999999999992E-2</v>
      </c>
      <c r="AD1017" s="11">
        <v>8.5772384266478457E-2</v>
      </c>
    </row>
    <row r="1018" spans="1:30" x14ac:dyDescent="0.25">
      <c r="A1018" s="13">
        <v>45442</v>
      </c>
      <c r="B1018" s="46" t="s">
        <v>636</v>
      </c>
      <c r="C1018" s="13">
        <v>45443</v>
      </c>
      <c r="D1018" s="15" t="s">
        <v>1173</v>
      </c>
      <c r="E1018" s="15">
        <v>385</v>
      </c>
      <c r="F1018" s="15">
        <v>360</v>
      </c>
      <c r="G1018" s="13">
        <v>45828</v>
      </c>
      <c r="H1018" s="19">
        <v>5000</v>
      </c>
      <c r="I1018" s="19">
        <v>5230.2400000000007</v>
      </c>
      <c r="J1018" s="20">
        <v>1.0460480000000001</v>
      </c>
      <c r="K1018" s="19">
        <v>4030.2400000000002</v>
      </c>
      <c r="L1018" s="20">
        <v>0.8060480000000001</v>
      </c>
      <c r="M1018" s="21">
        <v>0</v>
      </c>
      <c r="N1018" s="19">
        <v>0</v>
      </c>
      <c r="O1018" s="23">
        <v>1000</v>
      </c>
      <c r="P1018" s="24">
        <v>235.15</v>
      </c>
      <c r="Q1018" s="25">
        <v>0.23515000000000003</v>
      </c>
      <c r="R1018" s="24">
        <v>235.15</v>
      </c>
      <c r="S1018" s="25">
        <v>0.23515</v>
      </c>
      <c r="T1018" s="26">
        <v>0</v>
      </c>
      <c r="U1018" s="24">
        <v>0</v>
      </c>
      <c r="V1018" s="19">
        <v>6000</v>
      </c>
      <c r="W1018" s="19">
        <v>5465.39</v>
      </c>
      <c r="X1018" s="21">
        <v>0.91089833333333337</v>
      </c>
      <c r="Y1018" s="19">
        <v>4265.3900000000003</v>
      </c>
      <c r="Z1018" s="20">
        <v>0.71089833333333341</v>
      </c>
      <c r="AA1018" s="30">
        <v>8.7800000000000072E-2</v>
      </c>
      <c r="AB1018" s="27">
        <v>0.08</v>
      </c>
      <c r="AC1018" s="27">
        <v>9.7699999999999995E-2</v>
      </c>
      <c r="AD1018" s="11">
        <v>8.5546481614610398E-2</v>
      </c>
    </row>
    <row r="1019" spans="1:30" x14ac:dyDescent="0.25">
      <c r="A1019" s="13">
        <v>45446</v>
      </c>
      <c r="B1019" s="46" t="s">
        <v>636</v>
      </c>
      <c r="C1019" s="13">
        <v>45446</v>
      </c>
      <c r="D1019" s="15" t="s">
        <v>1175</v>
      </c>
      <c r="E1019" s="15">
        <v>28</v>
      </c>
      <c r="F1019" s="15">
        <v>30</v>
      </c>
      <c r="G1019" s="13">
        <v>45474</v>
      </c>
      <c r="H1019" s="19">
        <v>5000</v>
      </c>
      <c r="I1019" s="19">
        <v>8020.79</v>
      </c>
      <c r="J1019" s="20">
        <v>1.6041580000000006</v>
      </c>
      <c r="K1019" s="19">
        <v>6220.79</v>
      </c>
      <c r="L1019" s="20">
        <v>1.2441580000000001</v>
      </c>
      <c r="M1019" s="21">
        <v>0</v>
      </c>
      <c r="N1019" s="19">
        <v>0</v>
      </c>
      <c r="O1019" s="23">
        <v>1000</v>
      </c>
      <c r="P1019" s="24">
        <v>1256.7</v>
      </c>
      <c r="Q1019" s="25">
        <v>1.2566999999999999</v>
      </c>
      <c r="R1019" s="24">
        <v>999.99999999999989</v>
      </c>
      <c r="S1019" s="25">
        <v>0.99999999999999989</v>
      </c>
      <c r="T1019" s="26">
        <v>0.79573499999999997</v>
      </c>
      <c r="U1019" s="24">
        <v>0</v>
      </c>
      <c r="V1019" s="19">
        <v>6000</v>
      </c>
      <c r="W1019" s="19">
        <v>9277.49</v>
      </c>
      <c r="X1019" s="21">
        <v>1.5462483333333332</v>
      </c>
      <c r="Y1019" s="19">
        <v>7220.79</v>
      </c>
      <c r="Z1019" s="20">
        <v>1.203465</v>
      </c>
      <c r="AA1019" s="30">
        <v>8.5500000000000048E-2</v>
      </c>
      <c r="AB1019" s="27">
        <v>7.0000000000000007E-2</v>
      </c>
      <c r="AC1019" s="27">
        <v>8.7499999999999994E-2</v>
      </c>
      <c r="AD1019" s="11">
        <v>8.3441937016179218E-2</v>
      </c>
    </row>
    <row r="1020" spans="1:30" x14ac:dyDescent="0.25">
      <c r="A1020" s="13">
        <v>45448</v>
      </c>
      <c r="B1020" s="46" t="s">
        <v>636</v>
      </c>
      <c r="C1020" s="13">
        <v>45448</v>
      </c>
      <c r="D1020" s="15" t="s">
        <v>1176</v>
      </c>
      <c r="E1020" s="15">
        <v>98</v>
      </c>
      <c r="F1020" s="15">
        <v>90</v>
      </c>
      <c r="G1020" s="13">
        <v>45546</v>
      </c>
      <c r="H1020" s="19">
        <v>3300</v>
      </c>
      <c r="I1020" s="19">
        <v>7713.19</v>
      </c>
      <c r="J1020" s="20">
        <v>2.3373303030303023</v>
      </c>
      <c r="K1020" s="19">
        <v>3309.4399999999996</v>
      </c>
      <c r="L1020" s="20">
        <v>1.002860606060606</v>
      </c>
      <c r="M1020" s="21">
        <v>0</v>
      </c>
      <c r="N1020" s="19">
        <v>0</v>
      </c>
      <c r="O1020" s="23">
        <v>660</v>
      </c>
      <c r="P1020" s="24">
        <v>1164.75</v>
      </c>
      <c r="Q1020" s="25">
        <v>1.7647727272727272</v>
      </c>
      <c r="R1020" s="24">
        <v>660</v>
      </c>
      <c r="S1020" s="25">
        <v>1</v>
      </c>
      <c r="T1020" s="26">
        <v>0.56665263157894741</v>
      </c>
      <c r="U1020" s="24">
        <v>0</v>
      </c>
      <c r="V1020" s="19">
        <v>3960</v>
      </c>
      <c r="W1020" s="19">
        <v>8877.9399999999987</v>
      </c>
      <c r="X1020" s="21">
        <v>2.24190404040404</v>
      </c>
      <c r="Y1020" s="19">
        <v>3969.4399999999996</v>
      </c>
      <c r="Z1020" s="20">
        <v>1.0023838383838384</v>
      </c>
      <c r="AA1020" s="30">
        <v>8.4999999999999978E-2</v>
      </c>
      <c r="AB1020" s="27">
        <v>0.06</v>
      </c>
      <c r="AC1020" s="27">
        <v>8.7799999999999989E-2</v>
      </c>
      <c r="AD1020" s="11">
        <v>8.4643888585656538E-2</v>
      </c>
    </row>
    <row r="1021" spans="1:30" x14ac:dyDescent="0.25">
      <c r="A1021" s="13">
        <v>45450</v>
      </c>
      <c r="B1021" s="46" t="s">
        <v>636</v>
      </c>
      <c r="C1021" s="13">
        <v>45450</v>
      </c>
      <c r="D1021" s="15" t="s">
        <v>1177</v>
      </c>
      <c r="E1021" s="15">
        <v>182</v>
      </c>
      <c r="F1021" s="15">
        <v>180</v>
      </c>
      <c r="G1021" s="13">
        <v>45632</v>
      </c>
      <c r="H1021" s="19">
        <v>4200</v>
      </c>
      <c r="I1021" s="19">
        <v>7877.8599999999988</v>
      </c>
      <c r="J1021" s="20">
        <v>1.8756809523809528</v>
      </c>
      <c r="K1021" s="19">
        <v>5497.86</v>
      </c>
      <c r="L1021" s="20">
        <v>1.3090142857142857</v>
      </c>
      <c r="M1021" s="21">
        <v>0</v>
      </c>
      <c r="N1021" s="19">
        <v>0</v>
      </c>
      <c r="O1021" s="23">
        <v>840</v>
      </c>
      <c r="P1021" s="24">
        <v>700</v>
      </c>
      <c r="Q1021" s="25">
        <v>0.83333333333333337</v>
      </c>
      <c r="R1021" s="24">
        <v>700</v>
      </c>
      <c r="S1021" s="25">
        <v>0.83333333333333337</v>
      </c>
      <c r="T1021" s="26">
        <v>0</v>
      </c>
      <c r="U1021" s="24">
        <v>0</v>
      </c>
      <c r="V1021" s="19">
        <v>5040</v>
      </c>
      <c r="W1021" s="19">
        <v>8577.8599999999988</v>
      </c>
      <c r="X1021" s="21">
        <v>1.701956349206349</v>
      </c>
      <c r="Y1021" s="19">
        <v>6197.86</v>
      </c>
      <c r="Z1021" s="20">
        <v>1.2297341269841269</v>
      </c>
      <c r="AA1021" s="30">
        <v>8.6699999999999999E-2</v>
      </c>
      <c r="AB1021" s="27">
        <v>7.0000000000000007E-2</v>
      </c>
      <c r="AC1021" s="27">
        <v>8.8000000000000009E-2</v>
      </c>
      <c r="AD1021" s="11">
        <v>8.5326408186994968E-2</v>
      </c>
    </row>
    <row r="1022" spans="1:30" x14ac:dyDescent="0.25">
      <c r="A1022" s="13">
        <v>45453</v>
      </c>
      <c r="B1022" s="46" t="s">
        <v>636</v>
      </c>
      <c r="C1022" s="13">
        <v>45453</v>
      </c>
      <c r="D1022" s="15" t="s">
        <v>1178</v>
      </c>
      <c r="E1022" s="15">
        <v>35</v>
      </c>
      <c r="F1022" s="15">
        <v>30</v>
      </c>
      <c r="G1022" s="13">
        <v>45488</v>
      </c>
      <c r="H1022" s="19">
        <v>5800</v>
      </c>
      <c r="I1022" s="19">
        <v>4299.4799999999996</v>
      </c>
      <c r="J1022" s="20">
        <v>0.74128965517241363</v>
      </c>
      <c r="K1022" s="19">
        <v>3649.48</v>
      </c>
      <c r="L1022" s="20">
        <v>0.62922068965517242</v>
      </c>
      <c r="M1022" s="21">
        <v>0</v>
      </c>
      <c r="N1022" s="19">
        <v>0</v>
      </c>
      <c r="O1022" s="23">
        <v>1160</v>
      </c>
      <c r="P1022" s="24">
        <v>2327.4</v>
      </c>
      <c r="Q1022" s="25">
        <v>2.0063793103448275</v>
      </c>
      <c r="R1022" s="24">
        <v>729.89599999999996</v>
      </c>
      <c r="S1022" s="25">
        <v>0.62922068965517242</v>
      </c>
      <c r="T1022" s="26">
        <v>0.31374999999999997</v>
      </c>
      <c r="U1022" s="24">
        <v>0</v>
      </c>
      <c r="V1022" s="19">
        <v>6960</v>
      </c>
      <c r="W1022" s="19">
        <v>6626.8799999999992</v>
      </c>
      <c r="X1022" s="21">
        <v>0.95213793103448263</v>
      </c>
      <c r="Y1022" s="19">
        <v>4379.3760000000002</v>
      </c>
      <c r="Z1022" s="20">
        <v>0.62922068965517242</v>
      </c>
      <c r="AA1022" s="30">
        <v>8.6100000000000024E-2</v>
      </c>
      <c r="AB1022" s="27">
        <v>7.0000000000000007E-2</v>
      </c>
      <c r="AC1022" s="27">
        <v>8.7400000000000005E-2</v>
      </c>
      <c r="AD1022" s="11">
        <v>8.4779929200740567E-2</v>
      </c>
    </row>
    <row r="1023" spans="1:30" x14ac:dyDescent="0.25">
      <c r="A1023" s="13">
        <v>45455</v>
      </c>
      <c r="B1023" s="46" t="s">
        <v>636</v>
      </c>
      <c r="C1023" s="13">
        <v>45455</v>
      </c>
      <c r="D1023" s="15" t="s">
        <v>1179</v>
      </c>
      <c r="E1023" s="15">
        <v>98</v>
      </c>
      <c r="F1023" s="15">
        <v>90</v>
      </c>
      <c r="G1023" s="13">
        <v>45553</v>
      </c>
      <c r="H1023" s="19">
        <v>5000</v>
      </c>
      <c r="I1023" s="19">
        <v>8217.1699999999983</v>
      </c>
      <c r="J1023" s="20">
        <v>1.6434340000000005</v>
      </c>
      <c r="K1023" s="19">
        <v>6192.17</v>
      </c>
      <c r="L1023" s="20">
        <v>1.238434</v>
      </c>
      <c r="M1023" s="21">
        <v>0</v>
      </c>
      <c r="N1023" s="19">
        <v>0</v>
      </c>
      <c r="O1023" s="23">
        <v>1000</v>
      </c>
      <c r="P1023" s="24">
        <v>353.17</v>
      </c>
      <c r="Q1023" s="25">
        <v>0.35316999999999998</v>
      </c>
      <c r="R1023" s="24">
        <v>353.17</v>
      </c>
      <c r="S1023" s="25">
        <v>0.35317000000000004</v>
      </c>
      <c r="T1023" s="26">
        <v>0</v>
      </c>
      <c r="U1023" s="24">
        <v>0</v>
      </c>
      <c r="V1023" s="19">
        <v>6000</v>
      </c>
      <c r="W1023" s="19">
        <v>8570.3399999999983</v>
      </c>
      <c r="X1023" s="21">
        <v>1.4283899999999998</v>
      </c>
      <c r="Y1023" s="19">
        <v>6545.34</v>
      </c>
      <c r="Z1023" s="20">
        <v>1.0908899999999999</v>
      </c>
      <c r="AA1023" s="30">
        <v>8.5500000000000007E-2</v>
      </c>
      <c r="AB1023" s="27">
        <v>7.0000000000000007E-2</v>
      </c>
      <c r="AC1023" s="27">
        <v>8.7300000000000003E-2</v>
      </c>
      <c r="AD1023" s="11">
        <v>8.4673769071346966E-2</v>
      </c>
    </row>
    <row r="1024" spans="1:30" x14ac:dyDescent="0.25">
      <c r="A1024" s="13">
        <v>45456</v>
      </c>
      <c r="B1024" s="46" t="s">
        <v>636</v>
      </c>
      <c r="C1024" s="13">
        <v>45457</v>
      </c>
      <c r="D1024" s="15" t="s">
        <v>1180</v>
      </c>
      <c r="E1024" s="15">
        <v>371</v>
      </c>
      <c r="F1024" s="15">
        <v>360</v>
      </c>
      <c r="G1024" s="13">
        <v>45828</v>
      </c>
      <c r="H1024" s="19">
        <v>5000</v>
      </c>
      <c r="I1024" s="19">
        <v>7146.28</v>
      </c>
      <c r="J1024" s="20">
        <v>1.4292560000000003</v>
      </c>
      <c r="K1024" s="19">
        <v>5996.28</v>
      </c>
      <c r="L1024" s="20">
        <v>1.1992559999999999</v>
      </c>
      <c r="M1024" s="21">
        <v>0</v>
      </c>
      <c r="N1024" s="19">
        <v>0</v>
      </c>
      <c r="O1024" s="23">
        <v>1000</v>
      </c>
      <c r="P1024" s="24">
        <v>0</v>
      </c>
      <c r="Q1024" s="25">
        <v>0</v>
      </c>
      <c r="R1024" s="24">
        <v>0</v>
      </c>
      <c r="S1024" s="25">
        <v>0</v>
      </c>
      <c r="T1024" s="26">
        <v>0</v>
      </c>
      <c r="U1024" s="24">
        <v>0</v>
      </c>
      <c r="V1024" s="19">
        <v>6000</v>
      </c>
      <c r="W1024" s="19">
        <v>7146.28</v>
      </c>
      <c r="X1024" s="21">
        <v>1.1910466666666666</v>
      </c>
      <c r="Y1024" s="19">
        <v>5996.28</v>
      </c>
      <c r="Z1024" s="20">
        <v>0.99937999999999994</v>
      </c>
      <c r="AA1024" s="30">
        <v>8.7600000000000039E-2</v>
      </c>
      <c r="AB1024" s="27">
        <v>7.0000000000000007E-2</v>
      </c>
      <c r="AC1024" s="27">
        <v>8.8499999999999995E-2</v>
      </c>
      <c r="AD1024" s="11">
        <v>8.6316818540555354E-2</v>
      </c>
    </row>
    <row r="1025" spans="1:30" x14ac:dyDescent="0.25">
      <c r="A1025" s="13">
        <v>45460</v>
      </c>
      <c r="B1025" s="46" t="s">
        <v>636</v>
      </c>
      <c r="C1025" s="13">
        <v>45460</v>
      </c>
      <c r="D1025" s="15" t="s">
        <v>1181</v>
      </c>
      <c r="E1025" s="15">
        <v>35</v>
      </c>
      <c r="F1025" s="15">
        <v>30</v>
      </c>
      <c r="G1025" s="13">
        <v>45495</v>
      </c>
      <c r="H1025" s="19">
        <v>8300</v>
      </c>
      <c r="I1025" s="19">
        <v>9839.89</v>
      </c>
      <c r="J1025" s="20">
        <v>1.1855289156626507</v>
      </c>
      <c r="K1025" s="19">
        <v>9322.89</v>
      </c>
      <c r="L1025" s="20">
        <v>1.1232397590361445</v>
      </c>
      <c r="M1025" s="21">
        <v>0</v>
      </c>
      <c r="N1025" s="19">
        <v>0</v>
      </c>
      <c r="O1025" s="23">
        <v>1660</v>
      </c>
      <c r="P1025" s="24">
        <v>3130</v>
      </c>
      <c r="Q1025" s="25">
        <v>1.8855421686746991</v>
      </c>
      <c r="R1025" s="24">
        <v>1660</v>
      </c>
      <c r="S1025" s="25">
        <v>1</v>
      </c>
      <c r="T1025" s="26">
        <v>0.53035159999999992</v>
      </c>
      <c r="U1025" s="24">
        <v>0</v>
      </c>
      <c r="V1025" s="19">
        <v>9960</v>
      </c>
      <c r="W1025" s="19">
        <v>12969.89</v>
      </c>
      <c r="X1025" s="21">
        <v>1.3021977911646585</v>
      </c>
      <c r="Y1025" s="19">
        <v>10982.89</v>
      </c>
      <c r="Z1025" s="20">
        <v>1.1026997991967871</v>
      </c>
      <c r="AA1025" s="30">
        <v>8.6399999999999921E-2</v>
      </c>
      <c r="AB1025" s="27">
        <v>7.0000000000000007E-2</v>
      </c>
      <c r="AC1025" s="27">
        <v>8.6899999999999991E-2</v>
      </c>
      <c r="AD1025" s="11">
        <v>8.4420649011320237E-2</v>
      </c>
    </row>
    <row r="1026" spans="1:30" x14ac:dyDescent="0.25">
      <c r="A1026" s="13">
        <v>45461</v>
      </c>
      <c r="B1026" s="46" t="s">
        <v>636</v>
      </c>
      <c r="C1026" s="13">
        <v>45461</v>
      </c>
      <c r="D1026" s="15" t="s">
        <v>1182</v>
      </c>
      <c r="E1026" s="15">
        <v>92</v>
      </c>
      <c r="F1026" s="15">
        <v>90</v>
      </c>
      <c r="G1026" s="13">
        <v>45553</v>
      </c>
      <c r="H1026" s="19">
        <v>5000</v>
      </c>
      <c r="I1026" s="19">
        <v>7147.1900000000005</v>
      </c>
      <c r="J1026" s="20">
        <v>1.4294380000000004</v>
      </c>
      <c r="K1026" s="19">
        <v>6647.1900000000005</v>
      </c>
      <c r="L1026" s="20">
        <v>1.3294380000000001</v>
      </c>
      <c r="M1026" s="21">
        <v>0</v>
      </c>
      <c r="N1026" s="19">
        <v>0</v>
      </c>
      <c r="O1026" s="23">
        <v>1000</v>
      </c>
      <c r="P1026" s="24">
        <v>0.6</v>
      </c>
      <c r="Q1026" s="25">
        <v>5.9999999999999995E-4</v>
      </c>
      <c r="R1026" s="24">
        <v>0.6</v>
      </c>
      <c r="S1026" s="25">
        <v>5.9999999999999995E-4</v>
      </c>
      <c r="T1026" s="26">
        <v>0</v>
      </c>
      <c r="U1026" s="24">
        <v>0</v>
      </c>
      <c r="V1026" s="19">
        <v>6000</v>
      </c>
      <c r="W1026" s="19">
        <v>7147.7900000000009</v>
      </c>
      <c r="X1026" s="21">
        <v>1.1912983333333336</v>
      </c>
      <c r="Y1026" s="19">
        <v>6647.7900000000009</v>
      </c>
      <c r="Z1026" s="20">
        <v>1.1079650000000001</v>
      </c>
      <c r="AA1026" s="30">
        <v>8.6599999999999913E-2</v>
      </c>
      <c r="AB1026" s="27">
        <v>7.0000000000000007E-2</v>
      </c>
      <c r="AC1026" s="27">
        <v>8.6899999999999991E-2</v>
      </c>
      <c r="AD1026" s="11">
        <v>8.5058185104915363E-2</v>
      </c>
    </row>
    <row r="1027" spans="1:30" x14ac:dyDescent="0.25">
      <c r="A1027" s="13">
        <v>45464</v>
      </c>
      <c r="B1027" s="46" t="s">
        <v>636</v>
      </c>
      <c r="C1027" s="13">
        <v>45464</v>
      </c>
      <c r="D1027" s="15" t="s">
        <v>1183</v>
      </c>
      <c r="E1027" s="15">
        <v>182</v>
      </c>
      <c r="F1027" s="15">
        <v>180</v>
      </c>
      <c r="G1027" s="13">
        <v>45646</v>
      </c>
      <c r="H1027" s="19">
        <v>6700</v>
      </c>
      <c r="I1027" s="19">
        <v>7749.4800000000023</v>
      </c>
      <c r="J1027" s="20">
        <v>1.1566388059701487</v>
      </c>
      <c r="K1027" s="19">
        <v>6939.4800000000023</v>
      </c>
      <c r="L1027" s="20">
        <v>1.0357432835820899</v>
      </c>
      <c r="M1027" s="21">
        <v>0</v>
      </c>
      <c r="N1027" s="19">
        <v>0</v>
      </c>
      <c r="O1027" s="23">
        <v>1340</v>
      </c>
      <c r="P1027" s="24">
        <v>609.9</v>
      </c>
      <c r="Q1027" s="25">
        <v>0.4551492537313433</v>
      </c>
      <c r="R1027" s="24">
        <v>609.9</v>
      </c>
      <c r="S1027" s="25">
        <v>0.45514925373134324</v>
      </c>
      <c r="T1027" s="26">
        <v>0</v>
      </c>
      <c r="U1027" s="24">
        <v>0</v>
      </c>
      <c r="V1027" s="19">
        <v>8040</v>
      </c>
      <c r="W1027" s="19">
        <v>8359.3800000000028</v>
      </c>
      <c r="X1027" s="21">
        <v>1.0397238805970153</v>
      </c>
      <c r="Y1027" s="19">
        <v>7549.3800000000019</v>
      </c>
      <c r="Z1027" s="20">
        <v>0.93897761194029872</v>
      </c>
      <c r="AA1027" s="30">
        <v>8.739999999999995E-2</v>
      </c>
      <c r="AB1027" s="27">
        <v>7.0000000000000007E-2</v>
      </c>
      <c r="AC1027" s="27">
        <v>0.09</v>
      </c>
      <c r="AD1027" s="11">
        <v>8.446686835761881E-2</v>
      </c>
    </row>
    <row r="1028" spans="1:30" x14ac:dyDescent="0.25">
      <c r="A1028" s="13">
        <v>45467</v>
      </c>
      <c r="B1028" s="46" t="s">
        <v>636</v>
      </c>
      <c r="C1028" s="13">
        <v>45467</v>
      </c>
      <c r="D1028" s="15" t="s">
        <v>1184</v>
      </c>
      <c r="E1028" s="15">
        <v>35</v>
      </c>
      <c r="F1028" s="15">
        <v>30</v>
      </c>
      <c r="G1028" s="13">
        <v>45502</v>
      </c>
      <c r="H1028" s="19">
        <v>8300</v>
      </c>
      <c r="I1028" s="19">
        <v>7387.85</v>
      </c>
      <c r="J1028" s="20">
        <v>0.89010240963855425</v>
      </c>
      <c r="K1028" s="19">
        <v>6587.85</v>
      </c>
      <c r="L1028" s="20">
        <v>0.79371686746987957</v>
      </c>
      <c r="M1028" s="21">
        <v>0</v>
      </c>
      <c r="N1028" s="19">
        <v>0</v>
      </c>
      <c r="O1028" s="23">
        <v>1660</v>
      </c>
      <c r="P1028" s="24">
        <v>2464.1</v>
      </c>
      <c r="Q1028" s="25">
        <v>1.4843975903614457</v>
      </c>
      <c r="R1028" s="24">
        <v>1317.5700000000002</v>
      </c>
      <c r="S1028" s="25">
        <v>0.79371686746987957</v>
      </c>
      <c r="T1028" s="26">
        <v>0.53470731707317076</v>
      </c>
      <c r="U1028" s="24">
        <v>0</v>
      </c>
      <c r="V1028" s="19">
        <v>9960</v>
      </c>
      <c r="W1028" s="19">
        <v>9851.9500000000007</v>
      </c>
      <c r="X1028" s="21">
        <v>0.98915160642570288</v>
      </c>
      <c r="Y1028" s="19">
        <v>7905.42</v>
      </c>
      <c r="Z1028" s="20">
        <v>0.79371686746987957</v>
      </c>
      <c r="AA1028" s="30">
        <v>8.6500000000000007E-2</v>
      </c>
      <c r="AB1028" s="27">
        <v>7.0000000000000007E-2</v>
      </c>
      <c r="AC1028" s="27">
        <v>8.7400000000000005E-2</v>
      </c>
      <c r="AD1028" s="11">
        <v>8.4562924396136899E-2</v>
      </c>
    </row>
    <row r="1029" spans="1:30" x14ac:dyDescent="0.25">
      <c r="A1029" s="13">
        <v>45469</v>
      </c>
      <c r="B1029" s="46" t="s">
        <v>636</v>
      </c>
      <c r="C1029" s="13">
        <v>45469</v>
      </c>
      <c r="D1029" s="15" t="s">
        <v>1185</v>
      </c>
      <c r="E1029" s="15">
        <v>98</v>
      </c>
      <c r="F1029" s="15">
        <v>90</v>
      </c>
      <c r="G1029" s="13">
        <v>45567</v>
      </c>
      <c r="H1029" s="19">
        <v>6700</v>
      </c>
      <c r="I1029" s="19">
        <v>9138.2400000000016</v>
      </c>
      <c r="J1029" s="20">
        <v>1.3639164179104482</v>
      </c>
      <c r="K1029" s="19">
        <v>7088.2400000000007</v>
      </c>
      <c r="L1029" s="20">
        <v>1.0579462686567165</v>
      </c>
      <c r="M1029" s="21">
        <v>0</v>
      </c>
      <c r="N1029" s="19">
        <v>0</v>
      </c>
      <c r="O1029" s="23">
        <v>1340</v>
      </c>
      <c r="P1029" s="24">
        <v>2933.92</v>
      </c>
      <c r="Q1029" s="25">
        <v>2.1894925373134329</v>
      </c>
      <c r="R1029" s="24">
        <v>1340</v>
      </c>
      <c r="S1029" s="25">
        <v>1</v>
      </c>
      <c r="T1029" s="26">
        <v>0.456734693877551</v>
      </c>
      <c r="U1029" s="24">
        <v>0</v>
      </c>
      <c r="V1029" s="19">
        <v>8040</v>
      </c>
      <c r="W1029" s="19">
        <v>12072.160000000002</v>
      </c>
      <c r="X1029" s="21">
        <v>1.5015124378109455</v>
      </c>
      <c r="Y1029" s="19">
        <v>8428.2400000000016</v>
      </c>
      <c r="Z1029" s="20">
        <v>1.0482885572139304</v>
      </c>
      <c r="AA1029" s="30">
        <v>8.6700000000000013E-2</v>
      </c>
      <c r="AB1029" s="27">
        <v>7.0000000000000007E-2</v>
      </c>
      <c r="AC1029" s="27">
        <v>8.8000000000000009E-2</v>
      </c>
      <c r="AD1029" s="11">
        <v>8.4402326049655058E-2</v>
      </c>
    </row>
    <row r="1030" spans="1:30" x14ac:dyDescent="0.25">
      <c r="A1030" s="13">
        <v>45470</v>
      </c>
      <c r="B1030" s="46" t="s">
        <v>636</v>
      </c>
      <c r="C1030" s="70">
        <v>45471</v>
      </c>
      <c r="D1030" s="15" t="s">
        <v>1186</v>
      </c>
      <c r="E1030" s="15">
        <v>371</v>
      </c>
      <c r="F1030" s="15">
        <v>360</v>
      </c>
      <c r="G1030" s="13">
        <v>45842</v>
      </c>
      <c r="H1030" s="19">
        <v>5000</v>
      </c>
      <c r="I1030" s="19">
        <v>5529.87</v>
      </c>
      <c r="J1030" s="20">
        <v>1.105974</v>
      </c>
      <c r="K1030" s="19">
        <v>4979.87</v>
      </c>
      <c r="L1030" s="20">
        <v>0.99597400000000003</v>
      </c>
      <c r="M1030" s="21">
        <v>0</v>
      </c>
      <c r="N1030" s="19">
        <v>0</v>
      </c>
      <c r="O1030" s="23">
        <v>1000</v>
      </c>
      <c r="P1030" s="24">
        <v>40</v>
      </c>
      <c r="Q1030" s="25">
        <v>0.04</v>
      </c>
      <c r="R1030" s="24">
        <v>40</v>
      </c>
      <c r="S1030" s="25">
        <v>0.04</v>
      </c>
      <c r="T1030" s="26">
        <v>0</v>
      </c>
      <c r="U1030" s="24">
        <v>0</v>
      </c>
      <c r="V1030" s="19">
        <v>6000</v>
      </c>
      <c r="W1030" s="19">
        <v>5569.87</v>
      </c>
      <c r="X1030" s="21">
        <v>0.92831166666666665</v>
      </c>
      <c r="Y1030" s="19">
        <v>5019.87</v>
      </c>
      <c r="Z1030" s="20">
        <v>0.83664499999999997</v>
      </c>
      <c r="AA1030" s="30">
        <v>8.7899999999999978E-2</v>
      </c>
      <c r="AB1030" s="27">
        <v>7.0000000000000007E-2</v>
      </c>
      <c r="AC1030" s="27">
        <v>8.8499999999999995E-2</v>
      </c>
      <c r="AD1030" s="11">
        <v>8.6316183743921665E-2</v>
      </c>
    </row>
    <row r="1031" spans="1:30" x14ac:dyDescent="0.25">
      <c r="A1031" s="13">
        <v>45474</v>
      </c>
      <c r="B1031" s="46" t="s">
        <v>636</v>
      </c>
      <c r="C1031" s="70">
        <v>45474</v>
      </c>
      <c r="D1031" s="15" t="s">
        <v>1187</v>
      </c>
      <c r="E1031" s="15">
        <v>35</v>
      </c>
      <c r="F1031" s="15">
        <v>30</v>
      </c>
      <c r="G1031" s="13">
        <v>45509</v>
      </c>
      <c r="H1031" s="19">
        <v>7500</v>
      </c>
      <c r="I1031" s="19">
        <v>10843.82</v>
      </c>
      <c r="J1031" s="20">
        <v>1.4458426666666666</v>
      </c>
      <c r="K1031" s="19">
        <v>8793.82</v>
      </c>
      <c r="L1031" s="20">
        <v>1.1725093333333334</v>
      </c>
      <c r="M1031" s="21">
        <v>0</v>
      </c>
      <c r="N1031" s="19">
        <v>0</v>
      </c>
      <c r="O1031" s="23">
        <v>1500</v>
      </c>
      <c r="P1031" s="24">
        <v>1571.25</v>
      </c>
      <c r="Q1031" s="25">
        <v>1.0475000000000001</v>
      </c>
      <c r="R1031" s="24">
        <v>1500</v>
      </c>
      <c r="S1031" s="25">
        <v>1</v>
      </c>
      <c r="T1031" s="26">
        <v>0.95465411764705888</v>
      </c>
      <c r="U1031" s="24">
        <v>0</v>
      </c>
      <c r="V1031" s="19">
        <v>9000</v>
      </c>
      <c r="W1031" s="19">
        <v>12415.07</v>
      </c>
      <c r="X1031" s="21">
        <v>1.3794522222222221</v>
      </c>
      <c r="Y1031" s="19">
        <v>10293.82</v>
      </c>
      <c r="Z1031" s="20">
        <v>1.1437577777777777</v>
      </c>
      <c r="AA1031" s="30">
        <v>8.5999999999999951E-2</v>
      </c>
      <c r="AB1031" s="27">
        <v>7.0000000000000007E-2</v>
      </c>
      <c r="AC1031" s="27">
        <v>8.7400000000000005E-2</v>
      </c>
      <c r="AD1031" s="11">
        <v>8.4532867015498225E-2</v>
      </c>
    </row>
    <row r="1032" spans="1:30" x14ac:dyDescent="0.25">
      <c r="A1032" s="13">
        <v>45476</v>
      </c>
      <c r="B1032" s="46" t="s">
        <v>636</v>
      </c>
      <c r="C1032" s="70">
        <v>45476</v>
      </c>
      <c r="D1032" s="15" t="s">
        <v>1188</v>
      </c>
      <c r="E1032" s="15">
        <v>91</v>
      </c>
      <c r="F1032" s="15">
        <v>90</v>
      </c>
      <c r="G1032" s="13">
        <v>45567</v>
      </c>
      <c r="H1032" s="19">
        <v>6700</v>
      </c>
      <c r="I1032" s="19">
        <v>9764.8599999999988</v>
      </c>
      <c r="J1032" s="20">
        <v>1.4574417910447761</v>
      </c>
      <c r="K1032" s="19">
        <v>7114.86</v>
      </c>
      <c r="L1032" s="20">
        <v>1.0619194029850745</v>
      </c>
      <c r="M1032" s="21">
        <v>0</v>
      </c>
      <c r="N1032" s="19">
        <v>0</v>
      </c>
      <c r="O1032" s="23">
        <v>1340</v>
      </c>
      <c r="P1032" s="24">
        <v>1570.58</v>
      </c>
      <c r="Q1032" s="25">
        <v>1.1720746268656717</v>
      </c>
      <c r="R1032" s="24">
        <v>1340</v>
      </c>
      <c r="S1032" s="25">
        <v>1</v>
      </c>
      <c r="T1032" s="26">
        <v>0.85327586206896555</v>
      </c>
      <c r="U1032" s="24">
        <v>0</v>
      </c>
      <c r="V1032" s="19">
        <v>8040</v>
      </c>
      <c r="W1032" s="19">
        <v>11335.439999999999</v>
      </c>
      <c r="X1032" s="21">
        <v>1.4098805970149253</v>
      </c>
      <c r="Y1032" s="19">
        <v>8454.86</v>
      </c>
      <c r="Z1032" s="20">
        <v>1.0515995024875622</v>
      </c>
      <c r="AA1032" s="30">
        <v>8.6500000000000007E-2</v>
      </c>
      <c r="AB1032" s="27">
        <v>7.0000000000000007E-2</v>
      </c>
      <c r="AC1032" s="27">
        <v>8.77E-2</v>
      </c>
      <c r="AD1032" s="11">
        <v>8.5399367425646647E-2</v>
      </c>
    </row>
    <row r="1033" spans="1:30" x14ac:dyDescent="0.25">
      <c r="A1033" s="13">
        <v>45478</v>
      </c>
      <c r="B1033" s="46" t="s">
        <v>636</v>
      </c>
      <c r="C1033" s="13">
        <v>45478</v>
      </c>
      <c r="D1033" s="15" t="s">
        <v>1190</v>
      </c>
      <c r="E1033" s="15">
        <v>168</v>
      </c>
      <c r="F1033" s="15">
        <v>180</v>
      </c>
      <c r="G1033" s="13">
        <v>45646</v>
      </c>
      <c r="H1033" s="19">
        <v>5800</v>
      </c>
      <c r="I1033" s="19">
        <v>8183.51</v>
      </c>
      <c r="J1033" s="20">
        <v>1.4109500000000004</v>
      </c>
      <c r="K1033" s="19">
        <v>5983.51</v>
      </c>
      <c r="L1033" s="20">
        <v>1.0316396551724138</v>
      </c>
      <c r="M1033" s="21">
        <v>0</v>
      </c>
      <c r="N1033" s="19">
        <v>0</v>
      </c>
      <c r="O1033" s="23">
        <v>1160</v>
      </c>
      <c r="P1033" s="24">
        <v>1165</v>
      </c>
      <c r="Q1033" s="25">
        <v>1.0043103448275863</v>
      </c>
      <c r="R1033" s="24">
        <v>1160</v>
      </c>
      <c r="S1033" s="25">
        <v>1</v>
      </c>
      <c r="T1033" s="26">
        <v>0.99570818965517249</v>
      </c>
      <c r="U1033" s="24">
        <v>0</v>
      </c>
      <c r="V1033" s="19">
        <v>6960</v>
      </c>
      <c r="W1033" s="19">
        <v>9348.51</v>
      </c>
      <c r="X1033" s="21">
        <v>1.3431767241379311</v>
      </c>
      <c r="Y1033" s="19">
        <v>7143.51</v>
      </c>
      <c r="Z1033" s="20">
        <v>1.0263663793103448</v>
      </c>
      <c r="AA1033" s="30">
        <v>8.7299999999999961E-2</v>
      </c>
      <c r="AB1033" s="27">
        <v>7.0000000000000007E-2</v>
      </c>
      <c r="AC1033" s="27">
        <v>8.8499999999999995E-2</v>
      </c>
      <c r="AD1033" s="11">
        <v>8.551582951569682E-2</v>
      </c>
    </row>
    <row r="1034" spans="1:30" x14ac:dyDescent="0.25">
      <c r="A1034" s="13">
        <v>45481</v>
      </c>
      <c r="B1034" s="46" t="s">
        <v>636</v>
      </c>
      <c r="C1034" s="13">
        <v>45481</v>
      </c>
      <c r="D1034" s="15" t="s">
        <v>1191</v>
      </c>
      <c r="E1034" s="15">
        <v>35</v>
      </c>
      <c r="F1034" s="15">
        <v>30</v>
      </c>
      <c r="G1034" s="13">
        <v>45516</v>
      </c>
      <c r="H1034" s="19">
        <v>7500</v>
      </c>
      <c r="I1034" s="19">
        <v>7789.7</v>
      </c>
      <c r="J1034" s="20">
        <v>1.0386266666666666</v>
      </c>
      <c r="K1034" s="19">
        <v>6189.7</v>
      </c>
      <c r="L1034" s="20">
        <v>0.82529333333333332</v>
      </c>
      <c r="M1034" s="21">
        <v>0</v>
      </c>
      <c r="N1034" s="19">
        <v>0</v>
      </c>
      <c r="O1034" s="23">
        <v>1500</v>
      </c>
      <c r="P1034" s="24">
        <v>2420</v>
      </c>
      <c r="Q1034" s="25">
        <v>1.6133333333333335</v>
      </c>
      <c r="R1034" s="24">
        <v>1237.94</v>
      </c>
      <c r="S1034" s="25">
        <v>0.82529333333333332</v>
      </c>
      <c r="T1034" s="26">
        <v>0.51154549999999999</v>
      </c>
      <c r="U1034" s="24">
        <v>0</v>
      </c>
      <c r="V1034" s="19">
        <v>9000</v>
      </c>
      <c r="W1034" s="19">
        <v>10209.700000000001</v>
      </c>
      <c r="X1034" s="21">
        <v>1.1344111111111113</v>
      </c>
      <c r="Y1034" s="19">
        <v>7427.6399999999994</v>
      </c>
      <c r="Z1034" s="20">
        <v>0.82529333333333332</v>
      </c>
      <c r="AA1034" s="30">
        <v>8.6300000000000029E-2</v>
      </c>
      <c r="AB1034" s="27">
        <v>0.06</v>
      </c>
      <c r="AC1034" s="27">
        <v>8.7300000000000003E-2</v>
      </c>
      <c r="AD1034" s="11">
        <v>8.4930239932218196E-2</v>
      </c>
    </row>
    <row r="1035" spans="1:30" x14ac:dyDescent="0.25">
      <c r="A1035" s="13">
        <v>45483</v>
      </c>
      <c r="B1035" s="46" t="s">
        <v>636</v>
      </c>
      <c r="C1035" s="13">
        <v>45483</v>
      </c>
      <c r="D1035" s="15" t="s">
        <v>1192</v>
      </c>
      <c r="E1035" s="15">
        <v>91</v>
      </c>
      <c r="F1035" s="15">
        <v>90</v>
      </c>
      <c r="G1035" s="13">
        <v>45574</v>
      </c>
      <c r="H1035" s="19">
        <v>5800</v>
      </c>
      <c r="I1035" s="19">
        <v>7266.61</v>
      </c>
      <c r="J1035" s="20">
        <v>1.2528637931034483</v>
      </c>
      <c r="K1035" s="19">
        <v>5966.61</v>
      </c>
      <c r="L1035" s="20">
        <v>1.0287258620689654</v>
      </c>
      <c r="M1035" s="21">
        <v>0</v>
      </c>
      <c r="N1035" s="19">
        <v>0</v>
      </c>
      <c r="O1035" s="23">
        <v>1160</v>
      </c>
      <c r="P1035" s="24">
        <v>1580</v>
      </c>
      <c r="Q1035" s="25">
        <v>1.3620689655172415</v>
      </c>
      <c r="R1035" s="24">
        <v>1160</v>
      </c>
      <c r="S1035" s="25">
        <v>1</v>
      </c>
      <c r="T1035" s="26">
        <v>0.73418000000000005</v>
      </c>
      <c r="U1035" s="24">
        <v>0</v>
      </c>
      <c r="V1035" s="19">
        <v>6960</v>
      </c>
      <c r="W1035" s="19">
        <v>8846.61</v>
      </c>
      <c r="X1035" s="21">
        <v>1.2710646551724138</v>
      </c>
      <c r="Y1035" s="19">
        <v>7126.61</v>
      </c>
      <c r="Z1035" s="20">
        <v>1.0239382183908046</v>
      </c>
      <c r="AA1035" s="30">
        <v>8.6599999999999899E-2</v>
      </c>
      <c r="AB1035" s="27">
        <v>7.0000000000000007E-2</v>
      </c>
      <c r="AC1035" s="27">
        <v>8.7300000000000003E-2</v>
      </c>
      <c r="AD1035" s="11">
        <v>8.548849683690192E-2</v>
      </c>
    </row>
    <row r="1036" spans="1:30" x14ac:dyDescent="0.25">
      <c r="A1036" s="13">
        <v>45484</v>
      </c>
      <c r="B1036" s="46" t="s">
        <v>636</v>
      </c>
      <c r="C1036" s="13">
        <v>45485</v>
      </c>
      <c r="D1036" s="15" t="s">
        <v>1193</v>
      </c>
      <c r="E1036" s="15">
        <v>357</v>
      </c>
      <c r="F1036" s="15">
        <v>360</v>
      </c>
      <c r="G1036" s="13">
        <v>45842</v>
      </c>
      <c r="H1036" s="19">
        <v>4200</v>
      </c>
      <c r="I1036" s="19">
        <v>5223.71</v>
      </c>
      <c r="J1036" s="20">
        <v>1.243740476190476</v>
      </c>
      <c r="K1036" s="19">
        <v>4623.7100000000009</v>
      </c>
      <c r="L1036" s="20">
        <v>1.1008833333333337</v>
      </c>
      <c r="M1036" s="21">
        <v>0</v>
      </c>
      <c r="N1036" s="19">
        <v>0</v>
      </c>
      <c r="O1036" s="23">
        <v>840</v>
      </c>
      <c r="P1036" s="24">
        <v>30</v>
      </c>
      <c r="Q1036" s="25">
        <v>3.5714285714285712E-2</v>
      </c>
      <c r="R1036" s="24">
        <v>30</v>
      </c>
      <c r="S1036" s="25">
        <v>3.5714285714285712E-2</v>
      </c>
      <c r="T1036" s="26">
        <v>0</v>
      </c>
      <c r="U1036" s="24">
        <v>0</v>
      </c>
      <c r="V1036" s="19">
        <v>5040</v>
      </c>
      <c r="W1036" s="19">
        <v>5253.71</v>
      </c>
      <c r="X1036" s="21">
        <v>1.0424027777777778</v>
      </c>
      <c r="Y1036" s="19">
        <v>4653.7100000000009</v>
      </c>
      <c r="Z1036" s="20">
        <v>0.92335515873015894</v>
      </c>
      <c r="AA1036" s="30">
        <v>8.8299999999999934E-2</v>
      </c>
      <c r="AB1036" s="27">
        <v>7.0000000000000007E-2</v>
      </c>
      <c r="AC1036" s="27">
        <v>8.900000000000001E-2</v>
      </c>
      <c r="AD1036" s="11">
        <v>8.6769018379657364E-2</v>
      </c>
    </row>
    <row r="1037" spans="1:30" x14ac:dyDescent="0.25">
      <c r="A1037" s="13">
        <v>45488</v>
      </c>
      <c r="B1037" s="46" t="s">
        <v>636</v>
      </c>
      <c r="C1037" s="13">
        <v>45488</v>
      </c>
      <c r="D1037" s="15" t="s">
        <v>1194</v>
      </c>
      <c r="E1037" s="15">
        <v>35</v>
      </c>
      <c r="F1037" s="15">
        <v>30</v>
      </c>
      <c r="G1037" s="13">
        <v>45523</v>
      </c>
      <c r="H1037" s="19">
        <v>8200</v>
      </c>
      <c r="I1037" s="19">
        <v>9287.33</v>
      </c>
      <c r="J1037" s="20">
        <v>1.1326012195121957</v>
      </c>
      <c r="K1037" s="19">
        <v>8787.33</v>
      </c>
      <c r="L1037" s="20">
        <v>1.0716256097560974</v>
      </c>
      <c r="M1037" s="21">
        <v>0</v>
      </c>
      <c r="N1037" s="19">
        <v>0</v>
      </c>
      <c r="O1037" s="23">
        <v>1640</v>
      </c>
      <c r="P1037" s="24">
        <v>2680</v>
      </c>
      <c r="Q1037" s="25">
        <v>1.6341463414634148</v>
      </c>
      <c r="R1037" s="24">
        <v>1639.9999999999998</v>
      </c>
      <c r="S1037" s="25">
        <v>0.99999999999999989</v>
      </c>
      <c r="T1037" s="26">
        <v>0.61194030487804874</v>
      </c>
      <c r="U1037" s="24">
        <v>0</v>
      </c>
      <c r="V1037" s="19">
        <v>9840</v>
      </c>
      <c r="W1037" s="19">
        <v>11967.33</v>
      </c>
      <c r="X1037" s="21">
        <v>1.2161920731707316</v>
      </c>
      <c r="Y1037" s="19">
        <v>10427.33</v>
      </c>
      <c r="Z1037" s="20">
        <v>1.0596880081300812</v>
      </c>
      <c r="AA1037" s="30">
        <v>8.6500000000000007E-2</v>
      </c>
      <c r="AB1037" s="27">
        <v>7.0000000000000007E-2</v>
      </c>
      <c r="AC1037" s="27">
        <v>8.6999999999999994E-2</v>
      </c>
      <c r="AD1037" s="11">
        <v>8.5232669238629419E-2</v>
      </c>
    </row>
    <row r="1038" spans="1:30" x14ac:dyDescent="0.25">
      <c r="A1038" s="13">
        <v>45490</v>
      </c>
      <c r="B1038" s="46" t="s">
        <v>636</v>
      </c>
      <c r="C1038" s="13">
        <v>45490</v>
      </c>
      <c r="D1038" s="15" t="s">
        <v>1195</v>
      </c>
      <c r="E1038" s="15">
        <v>84</v>
      </c>
      <c r="F1038" s="15">
        <v>90</v>
      </c>
      <c r="G1038" s="13">
        <v>45574</v>
      </c>
      <c r="H1038" s="19">
        <v>6800</v>
      </c>
      <c r="I1038" s="19">
        <v>5543.329999999999</v>
      </c>
      <c r="J1038" s="20">
        <v>0.81519558823529426</v>
      </c>
      <c r="K1038" s="19">
        <v>5193.329999999999</v>
      </c>
      <c r="L1038" s="20">
        <v>0.76372499999999988</v>
      </c>
      <c r="M1038" s="21">
        <v>0</v>
      </c>
      <c r="N1038" s="19">
        <v>0</v>
      </c>
      <c r="O1038" s="23">
        <v>1360</v>
      </c>
      <c r="P1038" s="24">
        <v>2720.9</v>
      </c>
      <c r="Q1038" s="25">
        <v>2.0006617647058826</v>
      </c>
      <c r="R1038" s="24">
        <v>1038.6660000000002</v>
      </c>
      <c r="S1038" s="25">
        <v>0.7637250000000001</v>
      </c>
      <c r="T1038" s="26">
        <v>0.38177777777777777</v>
      </c>
      <c r="U1038" s="24">
        <v>0</v>
      </c>
      <c r="V1038" s="19">
        <v>8160</v>
      </c>
      <c r="W1038" s="19">
        <v>8264.23</v>
      </c>
      <c r="X1038" s="21">
        <v>1.0127732843137254</v>
      </c>
      <c r="Y1038" s="19">
        <v>6231.9959999999992</v>
      </c>
      <c r="Z1038" s="20">
        <v>0.76372499999999988</v>
      </c>
      <c r="AA1038" s="30">
        <v>8.700000000000005E-2</v>
      </c>
      <c r="AB1038" s="27">
        <v>7.0000000000000007E-2</v>
      </c>
      <c r="AC1038" s="27">
        <v>8.7400000000000005E-2</v>
      </c>
      <c r="AD1038" s="11">
        <v>8.5978977798543507E-2</v>
      </c>
    </row>
    <row r="1039" spans="1:30" x14ac:dyDescent="0.25">
      <c r="A1039" s="13">
        <v>45492</v>
      </c>
      <c r="B1039" s="46" t="s">
        <v>636</v>
      </c>
      <c r="C1039" s="13">
        <v>45492</v>
      </c>
      <c r="D1039" s="15" t="s">
        <v>1196</v>
      </c>
      <c r="E1039" s="15">
        <v>189</v>
      </c>
      <c r="F1039" s="15">
        <v>180</v>
      </c>
      <c r="G1039" s="13">
        <v>45681</v>
      </c>
      <c r="H1039" s="19">
        <v>5800</v>
      </c>
      <c r="I1039" s="19">
        <v>5329.6599999999989</v>
      </c>
      <c r="J1039" s="20">
        <v>0.91890689655172431</v>
      </c>
      <c r="K1039" s="19">
        <v>4918.7599999999993</v>
      </c>
      <c r="L1039" s="20">
        <v>0.84806206896551717</v>
      </c>
      <c r="M1039" s="21">
        <v>0</v>
      </c>
      <c r="N1039" s="19">
        <v>0</v>
      </c>
      <c r="O1039" s="23">
        <v>1160</v>
      </c>
      <c r="P1039" s="24">
        <v>1160</v>
      </c>
      <c r="Q1039" s="25">
        <v>1</v>
      </c>
      <c r="R1039" s="24">
        <v>983.75199999999995</v>
      </c>
      <c r="S1039" s="25">
        <v>0.84806206896551717</v>
      </c>
      <c r="T1039" s="26">
        <v>0.84806206896551717</v>
      </c>
      <c r="U1039" s="24">
        <v>0</v>
      </c>
      <c r="V1039" s="19">
        <v>6960</v>
      </c>
      <c r="W1039" s="19">
        <v>6489.6599999999989</v>
      </c>
      <c r="X1039" s="21">
        <v>0.93242241379310331</v>
      </c>
      <c r="Y1039" s="19">
        <v>5902.5119999999988</v>
      </c>
      <c r="Z1039" s="20">
        <v>0.84806206896551706</v>
      </c>
      <c r="AA1039" s="30">
        <v>8.7499999999999953E-2</v>
      </c>
      <c r="AB1039" s="27">
        <v>7.0000000000000007E-2</v>
      </c>
      <c r="AC1039" s="27">
        <v>0.09</v>
      </c>
      <c r="AD1039" s="11">
        <v>8.5651198200260431E-2</v>
      </c>
    </row>
    <row r="1040" spans="1:30" x14ac:dyDescent="0.25">
      <c r="A1040" s="13">
        <v>45495</v>
      </c>
      <c r="B1040" s="46" t="s">
        <v>636</v>
      </c>
      <c r="C1040" s="13">
        <v>45495</v>
      </c>
      <c r="D1040" s="15" t="s">
        <v>1197</v>
      </c>
      <c r="E1040" s="15">
        <v>35</v>
      </c>
      <c r="F1040" s="15">
        <v>30</v>
      </c>
      <c r="G1040" s="13">
        <v>45530</v>
      </c>
      <c r="H1040" s="19">
        <v>7500</v>
      </c>
      <c r="I1040" s="19">
        <v>10314.790000000001</v>
      </c>
      <c r="J1040" s="20">
        <v>1.3753053333333332</v>
      </c>
      <c r="K1040" s="19">
        <v>9814.7900000000009</v>
      </c>
      <c r="L1040" s="20">
        <v>1.3086386666666667</v>
      </c>
      <c r="M1040" s="21">
        <v>0</v>
      </c>
      <c r="N1040" s="19">
        <v>0</v>
      </c>
      <c r="O1040" s="23">
        <v>1500</v>
      </c>
      <c r="P1040" s="24">
        <v>3515.3</v>
      </c>
      <c r="Q1040" s="25">
        <v>2.3435333333333332</v>
      </c>
      <c r="R1040" s="24">
        <v>1500</v>
      </c>
      <c r="S1040" s="25">
        <v>1</v>
      </c>
      <c r="T1040" s="26">
        <v>0.42671000000000003</v>
      </c>
      <c r="U1040" s="24">
        <v>0</v>
      </c>
      <c r="V1040" s="19">
        <v>9000</v>
      </c>
      <c r="W1040" s="19">
        <v>13830.09</v>
      </c>
      <c r="X1040" s="21">
        <v>1.5366766666666667</v>
      </c>
      <c r="Y1040" s="19">
        <v>11314.79</v>
      </c>
      <c r="Z1040" s="20">
        <v>1.257198888888889</v>
      </c>
      <c r="AA1040" s="30">
        <v>8.6399999999999921E-2</v>
      </c>
      <c r="AB1040" s="27">
        <v>7.0000000000000007E-2</v>
      </c>
      <c r="AC1040" s="27">
        <v>8.7499999999999994E-2</v>
      </c>
      <c r="AD1040" s="11">
        <v>8.501132781181199E-2</v>
      </c>
    </row>
    <row r="1041" spans="1:30" x14ac:dyDescent="0.25">
      <c r="A1041" s="13">
        <v>45497</v>
      </c>
      <c r="B1041" s="46" t="s">
        <v>636</v>
      </c>
      <c r="C1041" s="13">
        <v>45497</v>
      </c>
      <c r="D1041" s="15" t="s">
        <v>1198</v>
      </c>
      <c r="E1041" s="15">
        <v>91</v>
      </c>
      <c r="F1041" s="15">
        <v>90</v>
      </c>
      <c r="G1041" s="13">
        <v>45588</v>
      </c>
      <c r="H1041" s="19">
        <v>5000</v>
      </c>
      <c r="I1041" s="19">
        <v>4367.5300000000007</v>
      </c>
      <c r="J1041" s="20">
        <v>0.87350600000000012</v>
      </c>
      <c r="K1041" s="19">
        <v>4367.5300000000007</v>
      </c>
      <c r="L1041" s="20">
        <v>0.87350600000000012</v>
      </c>
      <c r="M1041" s="21">
        <v>0</v>
      </c>
      <c r="N1041" s="19">
        <v>0</v>
      </c>
      <c r="O1041" s="23">
        <v>1000</v>
      </c>
      <c r="P1041" s="24">
        <v>1120.97</v>
      </c>
      <c r="Q1041" s="25">
        <v>1.1209699999999998</v>
      </c>
      <c r="R1041" s="24">
        <v>873.50600000000009</v>
      </c>
      <c r="S1041" s="25">
        <v>0.87350600000000012</v>
      </c>
      <c r="T1041" s="26">
        <v>0.7792783505154639</v>
      </c>
      <c r="U1041" s="24">
        <v>0</v>
      </c>
      <c r="V1041" s="19">
        <v>6000</v>
      </c>
      <c r="W1041" s="19">
        <v>5488.5000000000009</v>
      </c>
      <c r="X1041" s="21">
        <v>0.91475000000000017</v>
      </c>
      <c r="Y1041" s="19">
        <v>5241.036000000001</v>
      </c>
      <c r="Z1041" s="20">
        <v>0.87350600000000012</v>
      </c>
      <c r="AA1041" s="30">
        <v>8.7499999999999953E-2</v>
      </c>
      <c r="AB1041" s="27">
        <v>7.0000000000000007E-2</v>
      </c>
      <c r="AC1041" s="27">
        <v>8.7499999999999994E-2</v>
      </c>
      <c r="AD1041" s="11">
        <v>8.6059743150018422E-2</v>
      </c>
    </row>
    <row r="1042" spans="1:30" x14ac:dyDescent="0.25">
      <c r="A1042" s="13">
        <v>45498</v>
      </c>
      <c r="B1042" s="46" t="s">
        <v>636</v>
      </c>
      <c r="C1042" s="13">
        <v>45499</v>
      </c>
      <c r="D1042" s="15" t="s">
        <v>1199</v>
      </c>
      <c r="E1042" s="15">
        <v>364</v>
      </c>
      <c r="F1042" s="15">
        <v>360</v>
      </c>
      <c r="G1042" s="13">
        <v>45863</v>
      </c>
      <c r="H1042" s="19">
        <v>4200</v>
      </c>
      <c r="I1042" s="19">
        <v>5701.43</v>
      </c>
      <c r="J1042" s="20">
        <v>1.3574833333333329</v>
      </c>
      <c r="K1042" s="19">
        <v>5151.43</v>
      </c>
      <c r="L1042" s="20">
        <v>1.2265309523809524</v>
      </c>
      <c r="M1042" s="21">
        <v>0</v>
      </c>
      <c r="N1042" s="19">
        <v>0</v>
      </c>
      <c r="O1042" s="23">
        <v>840</v>
      </c>
      <c r="P1042" s="24">
        <v>1240</v>
      </c>
      <c r="Q1042" s="25">
        <v>1.4761904761904763</v>
      </c>
      <c r="R1042" s="24">
        <v>840</v>
      </c>
      <c r="S1042" s="25">
        <v>1</v>
      </c>
      <c r="T1042" s="26">
        <v>0.67741940476190476</v>
      </c>
      <c r="U1042" s="24">
        <v>0</v>
      </c>
      <c r="V1042" s="19">
        <v>5040</v>
      </c>
      <c r="W1042" s="19">
        <v>6941.43</v>
      </c>
      <c r="X1042" s="21">
        <v>1.3772678571428572</v>
      </c>
      <c r="Y1042" s="19">
        <v>5991.43</v>
      </c>
      <c r="Z1042" s="20">
        <v>1.1887757936507937</v>
      </c>
      <c r="AA1042" s="30">
        <v>8.8499999999999912E-2</v>
      </c>
      <c r="AB1042" s="27">
        <v>0.08</v>
      </c>
      <c r="AC1042" s="27">
        <v>9.1499999999999998E-2</v>
      </c>
      <c r="AD1042" s="11">
        <v>8.7453274529372474E-2</v>
      </c>
    </row>
    <row r="1043" spans="1:30" x14ac:dyDescent="0.25">
      <c r="A1043" s="13">
        <v>45502</v>
      </c>
      <c r="B1043" s="46" t="s">
        <v>636</v>
      </c>
      <c r="C1043" s="13">
        <v>45502</v>
      </c>
      <c r="D1043" s="15" t="s">
        <v>1200</v>
      </c>
      <c r="E1043" s="15">
        <v>35</v>
      </c>
      <c r="F1043" s="15">
        <v>30</v>
      </c>
      <c r="G1043" s="13">
        <v>45537</v>
      </c>
      <c r="H1043" s="19">
        <v>8300</v>
      </c>
      <c r="I1043" s="19">
        <v>7232.9900000000007</v>
      </c>
      <c r="J1043" s="20">
        <v>0.87144457831325306</v>
      </c>
      <c r="K1043" s="19">
        <v>7232.9900000000007</v>
      </c>
      <c r="L1043" s="20">
        <v>0.87144457831325306</v>
      </c>
      <c r="M1043" s="21">
        <v>0</v>
      </c>
      <c r="N1043" s="19">
        <v>0</v>
      </c>
      <c r="O1043" s="23">
        <v>1660</v>
      </c>
      <c r="P1043" s="24">
        <v>2789.4</v>
      </c>
      <c r="Q1043" s="25">
        <v>1.6803614457831324</v>
      </c>
      <c r="R1043" s="24">
        <v>1446.598</v>
      </c>
      <c r="S1043" s="25">
        <v>0.87144457831325295</v>
      </c>
      <c r="T1043" s="26">
        <v>0.51860666666666666</v>
      </c>
      <c r="U1043" s="24">
        <v>0</v>
      </c>
      <c r="V1043" s="19">
        <v>9960</v>
      </c>
      <c r="W1043" s="19">
        <v>10022.390000000001</v>
      </c>
      <c r="X1043" s="21">
        <v>1.0062640562248997</v>
      </c>
      <c r="Y1043" s="19">
        <v>8679.5879999999997</v>
      </c>
      <c r="Z1043" s="20">
        <v>0.87144457831325295</v>
      </c>
      <c r="AA1043" s="30">
        <v>8.6699999999999999E-2</v>
      </c>
      <c r="AB1043" s="27">
        <v>7.0000000000000007E-2</v>
      </c>
      <c r="AC1043" s="27">
        <v>8.6699999999999999E-2</v>
      </c>
      <c r="AD1043" s="11">
        <v>8.4586141277673513E-2</v>
      </c>
    </row>
    <row r="1044" spans="1:30" x14ac:dyDescent="0.25">
      <c r="A1044" s="13">
        <v>45504</v>
      </c>
      <c r="B1044" s="46" t="s">
        <v>636</v>
      </c>
      <c r="C1044" s="13">
        <v>45504</v>
      </c>
      <c r="D1044" s="15" t="s">
        <v>1201</v>
      </c>
      <c r="E1044" s="15">
        <v>84</v>
      </c>
      <c r="F1044" s="15">
        <v>90</v>
      </c>
      <c r="G1044" s="13">
        <v>45588</v>
      </c>
      <c r="H1044" s="19">
        <v>6700</v>
      </c>
      <c r="I1044" s="19">
        <v>6455.8699999999981</v>
      </c>
      <c r="J1044" s="20">
        <v>0.96356268656716415</v>
      </c>
      <c r="K1044" s="19">
        <v>5955.8699999999981</v>
      </c>
      <c r="L1044" s="20">
        <v>0.88893582089552214</v>
      </c>
      <c r="M1044" s="21">
        <v>0</v>
      </c>
      <c r="N1044" s="19">
        <v>0</v>
      </c>
      <c r="O1044" s="23">
        <v>1340</v>
      </c>
      <c r="P1044" s="24">
        <v>1441.89</v>
      </c>
      <c r="Q1044" s="25">
        <v>1.0760373134328358</v>
      </c>
      <c r="R1044" s="24">
        <v>1191.1740000000002</v>
      </c>
      <c r="S1044" s="25">
        <v>0.88893582089552259</v>
      </c>
      <c r="T1044" s="26">
        <v>0.82613756613756617</v>
      </c>
      <c r="U1044" s="24">
        <v>0</v>
      </c>
      <c r="V1044" s="19">
        <v>8040</v>
      </c>
      <c r="W1044" s="19">
        <v>7897.7599999999984</v>
      </c>
      <c r="X1044" s="21">
        <v>0.9823084577114426</v>
      </c>
      <c r="Y1044" s="19">
        <v>7147.0439999999981</v>
      </c>
      <c r="Z1044" s="20">
        <v>0.88893582089552214</v>
      </c>
      <c r="AA1044" s="30">
        <v>8.7899999999999964E-2</v>
      </c>
      <c r="AB1044" s="27">
        <v>7.0000000000000007E-2</v>
      </c>
      <c r="AC1044" s="27">
        <v>8.8399999999999992E-2</v>
      </c>
      <c r="AD1044" s="11">
        <v>8.6175125893179397E-2</v>
      </c>
    </row>
    <row r="1045" spans="1:30" x14ac:dyDescent="0.25">
      <c r="A1045" s="13">
        <v>45506</v>
      </c>
      <c r="B1045" s="46" t="s">
        <v>636</v>
      </c>
      <c r="C1045" s="13">
        <v>45506</v>
      </c>
      <c r="D1045" s="15" t="s">
        <v>1202</v>
      </c>
      <c r="E1045" s="15">
        <v>175</v>
      </c>
      <c r="F1045" s="15">
        <v>180</v>
      </c>
      <c r="G1045" s="13">
        <v>45681</v>
      </c>
      <c r="H1045" s="19">
        <v>5800</v>
      </c>
      <c r="I1045" s="19">
        <v>6344.84</v>
      </c>
      <c r="J1045" s="20">
        <v>1.0939379310344828</v>
      </c>
      <c r="K1045" s="19">
        <v>5894.84</v>
      </c>
      <c r="L1045" s="20">
        <v>1.016351724137931</v>
      </c>
      <c r="M1045" s="21">
        <v>0</v>
      </c>
      <c r="N1045" s="19">
        <v>0</v>
      </c>
      <c r="O1045" s="23">
        <v>1160</v>
      </c>
      <c r="P1045" s="24">
        <v>620</v>
      </c>
      <c r="Q1045" s="25">
        <v>0.53448275862068972</v>
      </c>
      <c r="R1045" s="24">
        <v>620</v>
      </c>
      <c r="S1045" s="25">
        <v>0.53448275862068961</v>
      </c>
      <c r="T1045" s="26">
        <v>0</v>
      </c>
      <c r="U1045" s="24">
        <v>0</v>
      </c>
      <c r="V1045" s="19">
        <v>6960</v>
      </c>
      <c r="W1045" s="19">
        <v>6964.84</v>
      </c>
      <c r="X1045" s="21">
        <v>1.0006954022988506</v>
      </c>
      <c r="Y1045" s="19">
        <v>6514.84</v>
      </c>
      <c r="Z1045" s="20">
        <v>0.93604022988505753</v>
      </c>
      <c r="AA1045" s="30">
        <v>8.8199999999999987E-2</v>
      </c>
      <c r="AB1045" s="27">
        <v>7.0000000000000007E-2</v>
      </c>
      <c r="AC1045" s="27">
        <v>8.9499999999999996E-2</v>
      </c>
      <c r="AD1045" s="11">
        <v>8.6275077228109759E-2</v>
      </c>
    </row>
    <row r="1046" spans="1:30" x14ac:dyDescent="0.25">
      <c r="A1046" s="13">
        <v>45509</v>
      </c>
      <c r="B1046" s="46" t="s">
        <v>636</v>
      </c>
      <c r="C1046" s="13">
        <v>45509</v>
      </c>
      <c r="D1046" s="15" t="s">
        <v>1206</v>
      </c>
      <c r="E1046" s="15">
        <v>35</v>
      </c>
      <c r="F1046" s="15">
        <v>30</v>
      </c>
      <c r="G1046" s="13">
        <v>45544</v>
      </c>
      <c r="H1046" s="19">
        <v>8300</v>
      </c>
      <c r="I1046" s="19">
        <v>10408.499999999998</v>
      </c>
      <c r="J1046" s="20">
        <v>1.254036144578313</v>
      </c>
      <c r="K1046" s="19">
        <v>8708.4999999999982</v>
      </c>
      <c r="L1046" s="20">
        <v>1.0492168674698792</v>
      </c>
      <c r="M1046" s="21">
        <v>0</v>
      </c>
      <c r="N1046" s="19">
        <v>0</v>
      </c>
      <c r="O1046" s="23">
        <v>1660</v>
      </c>
      <c r="P1046" s="24">
        <v>1880.9</v>
      </c>
      <c r="Q1046" s="25">
        <v>1.1330722891566265</v>
      </c>
      <c r="R1046" s="24">
        <v>1660</v>
      </c>
      <c r="S1046" s="25">
        <v>1</v>
      </c>
      <c r="T1046" s="26">
        <v>0.88257142857142867</v>
      </c>
      <c r="U1046" s="24">
        <v>0</v>
      </c>
      <c r="V1046" s="19">
        <v>9960</v>
      </c>
      <c r="W1046" s="19">
        <v>12289.399999999998</v>
      </c>
      <c r="X1046" s="21">
        <v>1.2338755020080319</v>
      </c>
      <c r="Y1046" s="19">
        <v>10368.499999999998</v>
      </c>
      <c r="Z1046" s="20">
        <v>1.0410140562248995</v>
      </c>
      <c r="AA1046" s="30">
        <v>8.6800000000000099E-2</v>
      </c>
      <c r="AB1046" s="27">
        <v>7.0000000000000007E-2</v>
      </c>
      <c r="AC1046" s="27">
        <v>9.0999999999999998E-2</v>
      </c>
      <c r="AD1046" s="11">
        <v>8.5411414132680066E-2</v>
      </c>
    </row>
    <row r="1047" spans="1:30" x14ac:dyDescent="0.25">
      <c r="A1047" s="13">
        <v>45511</v>
      </c>
      <c r="B1047" s="46" t="s">
        <v>636</v>
      </c>
      <c r="C1047" s="13">
        <v>45511</v>
      </c>
      <c r="D1047" s="15" t="s">
        <v>1207</v>
      </c>
      <c r="E1047" s="15">
        <v>105</v>
      </c>
      <c r="F1047" s="15">
        <v>90</v>
      </c>
      <c r="G1047" s="13">
        <v>45616</v>
      </c>
      <c r="H1047" s="19">
        <v>5000</v>
      </c>
      <c r="I1047" s="19">
        <v>6166.2600000000011</v>
      </c>
      <c r="J1047" s="20">
        <v>1.2332520000000005</v>
      </c>
      <c r="K1047" s="19">
        <v>5341.2600000000011</v>
      </c>
      <c r="L1047" s="20">
        <v>1.0682520000000002</v>
      </c>
      <c r="M1047" s="21">
        <v>0</v>
      </c>
      <c r="N1047" s="19">
        <v>0</v>
      </c>
      <c r="O1047" s="23">
        <v>1000</v>
      </c>
      <c r="P1047" s="24">
        <v>400.32</v>
      </c>
      <c r="Q1047" s="25">
        <v>0.40032000000000001</v>
      </c>
      <c r="R1047" s="24">
        <v>400.32</v>
      </c>
      <c r="S1047" s="25">
        <v>0.40032000000000001</v>
      </c>
      <c r="T1047" s="26">
        <v>0</v>
      </c>
      <c r="U1047" s="24">
        <v>0</v>
      </c>
      <c r="V1047" s="19">
        <v>6000</v>
      </c>
      <c r="W1047" s="19">
        <v>6566.5800000000008</v>
      </c>
      <c r="X1047" s="21">
        <v>1.0944300000000002</v>
      </c>
      <c r="Y1047" s="19">
        <v>5741.5800000000008</v>
      </c>
      <c r="Z1047" s="20">
        <v>0.95693000000000017</v>
      </c>
      <c r="AA1047" s="30">
        <v>8.7899999999999964E-2</v>
      </c>
      <c r="AB1047" s="27">
        <v>6.4899999999999999E-2</v>
      </c>
      <c r="AC1047" s="27">
        <v>0.09</v>
      </c>
      <c r="AD1047" s="11">
        <v>8.5720443996847334E-2</v>
      </c>
    </row>
    <row r="1048" spans="1:30" x14ac:dyDescent="0.25">
      <c r="A1048" s="13">
        <v>45512</v>
      </c>
      <c r="B1048" s="46" t="s">
        <v>636</v>
      </c>
      <c r="C1048" s="13">
        <v>45513</v>
      </c>
      <c r="D1048" s="15" t="s">
        <v>1208</v>
      </c>
      <c r="E1048" s="15">
        <v>350</v>
      </c>
      <c r="F1048" s="15">
        <v>360</v>
      </c>
      <c r="G1048" s="13">
        <v>45863</v>
      </c>
      <c r="H1048" s="19">
        <v>5000</v>
      </c>
      <c r="I1048" s="19">
        <v>6308.05</v>
      </c>
      <c r="J1048" s="20">
        <v>1.2616100000000003</v>
      </c>
      <c r="K1048" s="19">
        <v>5508.0500000000011</v>
      </c>
      <c r="L1048" s="20">
        <v>1.1016100000000002</v>
      </c>
      <c r="M1048" s="21">
        <v>0</v>
      </c>
      <c r="N1048" s="19">
        <v>0</v>
      </c>
      <c r="O1048" s="23">
        <v>1000</v>
      </c>
      <c r="P1048" s="24">
        <v>1300</v>
      </c>
      <c r="Q1048" s="25">
        <v>1.3</v>
      </c>
      <c r="R1048" s="24">
        <v>1000</v>
      </c>
      <c r="S1048" s="25">
        <v>1</v>
      </c>
      <c r="T1048" s="26">
        <v>0.76923079999999999</v>
      </c>
      <c r="U1048" s="24">
        <v>0</v>
      </c>
      <c r="V1048" s="19">
        <v>6000</v>
      </c>
      <c r="W1048" s="19">
        <v>7608.05</v>
      </c>
      <c r="X1048" s="21">
        <v>1.2680083333333334</v>
      </c>
      <c r="Y1048" s="19">
        <v>6508.0500000000011</v>
      </c>
      <c r="Z1048" s="20">
        <v>1.0846750000000003</v>
      </c>
      <c r="AA1048" s="30">
        <v>8.869999999999989E-2</v>
      </c>
      <c r="AB1048" s="27">
        <v>7.9899999999999999E-2</v>
      </c>
      <c r="AC1048" s="27">
        <v>8.9900000000000008E-2</v>
      </c>
      <c r="AD1048" s="11">
        <v>8.7869646245670188E-2</v>
      </c>
    </row>
    <row r="1049" spans="1:30" x14ac:dyDescent="0.25">
      <c r="A1049" s="13">
        <v>45516</v>
      </c>
      <c r="B1049" s="46" t="s">
        <v>636</v>
      </c>
      <c r="C1049" s="13">
        <v>45516</v>
      </c>
      <c r="D1049" s="15" t="s">
        <v>1209</v>
      </c>
      <c r="E1049" s="15">
        <v>35</v>
      </c>
      <c r="F1049" s="15">
        <v>30</v>
      </c>
      <c r="G1049" s="13">
        <v>45551</v>
      </c>
      <c r="H1049" s="19">
        <v>8300</v>
      </c>
      <c r="I1049" s="19">
        <v>8435.34</v>
      </c>
      <c r="J1049" s="20">
        <v>1.0163060240963857</v>
      </c>
      <c r="K1049" s="19">
        <v>7835.34</v>
      </c>
      <c r="L1049" s="20">
        <v>0.94401686746987956</v>
      </c>
      <c r="M1049" s="21">
        <v>0</v>
      </c>
      <c r="N1049" s="19">
        <v>0</v>
      </c>
      <c r="O1049" s="23">
        <v>1660</v>
      </c>
      <c r="P1049" s="24">
        <v>1030.1500000000001</v>
      </c>
      <c r="Q1049" s="25">
        <v>0.62057228915662654</v>
      </c>
      <c r="R1049" s="24">
        <v>1030.1500000000001</v>
      </c>
      <c r="S1049" s="25">
        <v>0.62057228915662654</v>
      </c>
      <c r="T1049" s="26">
        <v>0</v>
      </c>
      <c r="U1049" s="24">
        <v>0</v>
      </c>
      <c r="V1049" s="19">
        <v>9960</v>
      </c>
      <c r="W1049" s="19">
        <v>9465.49</v>
      </c>
      <c r="X1049" s="21">
        <v>0.9503504016064257</v>
      </c>
      <c r="Y1049" s="19">
        <v>8865.49</v>
      </c>
      <c r="Z1049" s="20">
        <v>0.89010943775100404</v>
      </c>
      <c r="AA1049" s="30">
        <v>8.6899999999999991E-2</v>
      </c>
      <c r="AB1049" s="27">
        <v>6.4899999999999999E-2</v>
      </c>
      <c r="AC1049" s="27">
        <v>0.09</v>
      </c>
      <c r="AD1049" s="11">
        <v>8.5160528206331951E-2</v>
      </c>
    </row>
    <row r="1050" spans="1:30" x14ac:dyDescent="0.25">
      <c r="A1050" s="13">
        <v>45518</v>
      </c>
      <c r="B1050" s="46" t="s">
        <v>636</v>
      </c>
      <c r="C1050" s="13">
        <v>45518</v>
      </c>
      <c r="D1050" s="15" t="s">
        <v>1210</v>
      </c>
      <c r="E1050" s="15">
        <v>98</v>
      </c>
      <c r="F1050" s="15">
        <v>90</v>
      </c>
      <c r="G1050" s="13">
        <v>45616</v>
      </c>
      <c r="H1050" s="19">
        <v>6700</v>
      </c>
      <c r="I1050" s="19">
        <v>3964.39</v>
      </c>
      <c r="J1050" s="20">
        <v>0.5917</v>
      </c>
      <c r="K1050" s="19">
        <v>3414.39</v>
      </c>
      <c r="L1050" s="20">
        <v>0.50961044776119402</v>
      </c>
      <c r="M1050" s="21">
        <v>0</v>
      </c>
      <c r="N1050" s="19">
        <v>0</v>
      </c>
      <c r="O1050" s="23">
        <v>1340</v>
      </c>
      <c r="P1050" s="24">
        <v>2880.32</v>
      </c>
      <c r="Q1050" s="25">
        <v>2.1494925373134328</v>
      </c>
      <c r="R1050" s="24">
        <v>682.87800000000004</v>
      </c>
      <c r="S1050" s="25">
        <v>0.50961044776119402</v>
      </c>
      <c r="T1050" s="26">
        <v>0.23718749999999997</v>
      </c>
      <c r="U1050" s="24">
        <v>0</v>
      </c>
      <c r="V1050" s="19">
        <v>8040</v>
      </c>
      <c r="W1050" s="19">
        <v>6844.71</v>
      </c>
      <c r="X1050" s="21">
        <v>0.85133208955223882</v>
      </c>
      <c r="Y1050" s="19">
        <v>4097.268</v>
      </c>
      <c r="Z1050" s="20">
        <v>0.50961044776119402</v>
      </c>
      <c r="AA1050" s="30">
        <v>8.7899999999999978E-2</v>
      </c>
      <c r="AB1050" s="27">
        <v>7.0000000000000007E-2</v>
      </c>
      <c r="AC1050" s="27">
        <v>9.0999999999999998E-2</v>
      </c>
      <c r="AD1050" s="11">
        <v>8.6348859975935777E-2</v>
      </c>
    </row>
    <row r="1051" spans="1:30" x14ac:dyDescent="0.25">
      <c r="A1051" s="13">
        <v>45520</v>
      </c>
      <c r="B1051" s="46" t="s">
        <v>636</v>
      </c>
      <c r="C1051" s="13">
        <v>45520</v>
      </c>
      <c r="D1051" s="15" t="s">
        <v>1212</v>
      </c>
      <c r="E1051" s="15">
        <v>189</v>
      </c>
      <c r="F1051" s="15">
        <v>180</v>
      </c>
      <c r="G1051" s="13">
        <v>45709</v>
      </c>
      <c r="H1051" s="19">
        <v>4200</v>
      </c>
      <c r="I1051" s="19">
        <v>6302.3600000000006</v>
      </c>
      <c r="J1051" s="20">
        <v>1.5005619047619045</v>
      </c>
      <c r="K1051" s="19">
        <v>4702.3600000000015</v>
      </c>
      <c r="L1051" s="20">
        <v>1.1196095238095241</v>
      </c>
      <c r="M1051" s="21">
        <v>0</v>
      </c>
      <c r="N1051" s="19">
        <v>0</v>
      </c>
      <c r="O1051" s="23">
        <v>840</v>
      </c>
      <c r="P1051" s="24">
        <v>872</v>
      </c>
      <c r="Q1051" s="25">
        <v>1.0380952380952382</v>
      </c>
      <c r="R1051" s="24">
        <v>840</v>
      </c>
      <c r="S1051" s="25">
        <v>1</v>
      </c>
      <c r="T1051" s="26">
        <v>0.96330312500000004</v>
      </c>
      <c r="U1051" s="24">
        <v>0</v>
      </c>
      <c r="V1051" s="19">
        <v>5040</v>
      </c>
      <c r="W1051" s="19">
        <v>7174.3600000000006</v>
      </c>
      <c r="X1051" s="21">
        <v>1.4234841269841272</v>
      </c>
      <c r="Y1051" s="19">
        <v>5542.3600000000015</v>
      </c>
      <c r="Z1051" s="20">
        <v>1.0996746031746034</v>
      </c>
      <c r="AA1051" s="30">
        <v>8.8200000000000014E-2</v>
      </c>
      <c r="AB1051" s="27">
        <v>7.0000000000000007E-2</v>
      </c>
      <c r="AC1051" s="27">
        <v>9.0999999999999998E-2</v>
      </c>
      <c r="AD1051" s="11">
        <v>8.737814929645403E-2</v>
      </c>
    </row>
    <row r="1052" spans="1:30" x14ac:dyDescent="0.25">
      <c r="A1052" s="13">
        <v>45523</v>
      </c>
      <c r="B1052" s="46" t="s">
        <v>636</v>
      </c>
      <c r="C1052" s="13">
        <v>45523</v>
      </c>
      <c r="D1052" s="15" t="s">
        <v>1213</v>
      </c>
      <c r="E1052" s="15">
        <v>35</v>
      </c>
      <c r="F1052" s="15">
        <v>30</v>
      </c>
      <c r="G1052" s="13">
        <v>45558</v>
      </c>
      <c r="H1052" s="19">
        <v>10000</v>
      </c>
      <c r="I1052" s="19">
        <v>4595.2</v>
      </c>
      <c r="J1052" s="20">
        <v>0.45952000000000015</v>
      </c>
      <c r="K1052" s="19">
        <v>3595.2</v>
      </c>
      <c r="L1052" s="20">
        <v>0.35952000000000001</v>
      </c>
      <c r="M1052" s="21">
        <v>0</v>
      </c>
      <c r="N1052" s="19">
        <v>0</v>
      </c>
      <c r="O1052" s="23">
        <v>2000</v>
      </c>
      <c r="P1052" s="24">
        <v>4247</v>
      </c>
      <c r="Q1052" s="25">
        <v>2.1234999999999999</v>
      </c>
      <c r="R1052" s="24">
        <v>719.04</v>
      </c>
      <c r="S1052" s="25">
        <v>0.35952000000000001</v>
      </c>
      <c r="T1052" s="26">
        <v>0.16930546875000002</v>
      </c>
      <c r="U1052" s="24">
        <v>0</v>
      </c>
      <c r="V1052" s="19">
        <v>12000</v>
      </c>
      <c r="W1052" s="19">
        <v>8842.2000000000007</v>
      </c>
      <c r="X1052" s="21">
        <v>0.73685000000000012</v>
      </c>
      <c r="Y1052" s="19">
        <v>4314.24</v>
      </c>
      <c r="Z1052" s="20">
        <v>0.35952000000000001</v>
      </c>
      <c r="AA1052" s="30">
        <v>8.7299999999999975E-2</v>
      </c>
      <c r="AB1052" s="27">
        <v>7.0000000000000007E-2</v>
      </c>
      <c r="AC1052" s="27">
        <v>0.09</v>
      </c>
      <c r="AD1052" s="11">
        <v>8.5724255962743759E-2</v>
      </c>
    </row>
    <row r="1053" spans="1:30" x14ac:dyDescent="0.25">
      <c r="A1053" s="13">
        <v>45525</v>
      </c>
      <c r="B1053" s="46" t="s">
        <v>636</v>
      </c>
      <c r="C1053" s="13">
        <v>45525</v>
      </c>
      <c r="D1053" s="15" t="s">
        <v>1214</v>
      </c>
      <c r="E1053" s="15">
        <v>98</v>
      </c>
      <c r="F1053" s="15">
        <v>90</v>
      </c>
      <c r="G1053" s="13">
        <v>45623</v>
      </c>
      <c r="H1053" s="19">
        <v>5000</v>
      </c>
      <c r="I1053" s="19">
        <v>10363.57</v>
      </c>
      <c r="J1053" s="20">
        <v>2.0727140000000013</v>
      </c>
      <c r="K1053" s="19">
        <v>8613.57</v>
      </c>
      <c r="L1053" s="20">
        <v>1.7227139999999999</v>
      </c>
      <c r="M1053" s="21">
        <v>0</v>
      </c>
      <c r="N1053" s="19">
        <v>0</v>
      </c>
      <c r="O1053" s="23">
        <v>1000</v>
      </c>
      <c r="P1053" s="24">
        <v>2953.3</v>
      </c>
      <c r="Q1053" s="25">
        <v>2.9533</v>
      </c>
      <c r="R1053" s="24">
        <v>1000.0000000000001</v>
      </c>
      <c r="S1053" s="25">
        <v>1.0000000000000002</v>
      </c>
      <c r="T1053" s="26">
        <v>0.33860606060606063</v>
      </c>
      <c r="U1053" s="24">
        <v>0</v>
      </c>
      <c r="V1053" s="19">
        <v>6000</v>
      </c>
      <c r="W1053" s="19">
        <v>13316.869999999999</v>
      </c>
      <c r="X1053" s="21">
        <v>2.219478333333333</v>
      </c>
      <c r="Y1053" s="19">
        <v>9613.57</v>
      </c>
      <c r="Z1053" s="20">
        <v>1.6022616666666667</v>
      </c>
      <c r="AA1053" s="30">
        <v>8.8300000000000003E-2</v>
      </c>
      <c r="AB1053" s="27">
        <v>7.0000000000000007E-2</v>
      </c>
      <c r="AC1053" s="27">
        <v>9.1499999999999998E-2</v>
      </c>
      <c r="AD1053" s="11">
        <v>8.7266607645820865E-2</v>
      </c>
    </row>
    <row r="1054" spans="1:30" x14ac:dyDescent="0.25">
      <c r="A1054" s="13">
        <v>45526</v>
      </c>
      <c r="B1054" s="46" t="s">
        <v>636</v>
      </c>
      <c r="C1054" s="13">
        <v>45527</v>
      </c>
      <c r="D1054" s="15" t="s">
        <v>1215</v>
      </c>
      <c r="E1054" s="15">
        <v>364</v>
      </c>
      <c r="F1054" s="15">
        <v>360</v>
      </c>
      <c r="G1054" s="13">
        <v>45891</v>
      </c>
      <c r="H1054" s="19">
        <v>5000</v>
      </c>
      <c r="I1054" s="19">
        <v>7760.5700000000006</v>
      </c>
      <c r="J1054" s="20">
        <v>1.5521140000000004</v>
      </c>
      <c r="K1054" s="19">
        <v>7110.57</v>
      </c>
      <c r="L1054" s="20">
        <v>1.4221139999999999</v>
      </c>
      <c r="M1054" s="21">
        <v>0</v>
      </c>
      <c r="N1054" s="19">
        <v>0</v>
      </c>
      <c r="O1054" s="23">
        <v>1000</v>
      </c>
      <c r="P1054" s="24">
        <v>1000</v>
      </c>
      <c r="Q1054" s="25">
        <v>1</v>
      </c>
      <c r="R1054" s="24">
        <v>1000</v>
      </c>
      <c r="S1054" s="25">
        <v>1</v>
      </c>
      <c r="T1054" s="26">
        <v>0</v>
      </c>
      <c r="U1054" s="24">
        <v>0</v>
      </c>
      <c r="V1054" s="19">
        <v>6000</v>
      </c>
      <c r="W1054" s="19">
        <v>8760.57</v>
      </c>
      <c r="X1054" s="21">
        <v>1.4600949999999999</v>
      </c>
      <c r="Y1054" s="19">
        <v>8110.57</v>
      </c>
      <c r="Z1054" s="20">
        <v>1.3517616666666665</v>
      </c>
      <c r="AA1054" s="30">
        <v>8.8900000000000076E-2</v>
      </c>
      <c r="AB1054" s="27">
        <v>7.0000000000000007E-2</v>
      </c>
      <c r="AC1054" s="27">
        <v>9.2499999999999999E-2</v>
      </c>
      <c r="AD1054" s="11">
        <v>8.7785141813036913E-2</v>
      </c>
    </row>
    <row r="1055" spans="1:30" x14ac:dyDescent="0.25">
      <c r="A1055" s="13">
        <v>45530</v>
      </c>
      <c r="B1055" s="46" t="s">
        <v>636</v>
      </c>
      <c r="C1055" s="13">
        <v>45530</v>
      </c>
      <c r="D1055" s="15" t="s">
        <v>1216</v>
      </c>
      <c r="E1055" s="15">
        <v>35</v>
      </c>
      <c r="F1055" s="15">
        <v>30</v>
      </c>
      <c r="G1055" s="13">
        <v>45565</v>
      </c>
      <c r="H1055" s="19">
        <v>8300</v>
      </c>
      <c r="I1055" s="19">
        <v>7892.3799999999992</v>
      </c>
      <c r="J1055" s="20">
        <v>0.95088915662650586</v>
      </c>
      <c r="K1055" s="19">
        <v>7242.3799999999992</v>
      </c>
      <c r="L1055" s="20">
        <v>0.87257590361445769</v>
      </c>
      <c r="M1055" s="21">
        <v>0</v>
      </c>
      <c r="N1055" s="19">
        <v>0</v>
      </c>
      <c r="O1055" s="23">
        <v>1660</v>
      </c>
      <c r="P1055" s="24">
        <v>1987.6000000000001</v>
      </c>
      <c r="Q1055" s="25">
        <v>1.1973493975903615</v>
      </c>
      <c r="R1055" s="24">
        <v>1448.4760000000001</v>
      </c>
      <c r="S1055" s="25">
        <v>0.87257590361445792</v>
      </c>
      <c r="T1055" s="26">
        <v>0.72876388888888888</v>
      </c>
      <c r="U1055" s="24">
        <v>0</v>
      </c>
      <c r="V1055" s="19">
        <v>9960</v>
      </c>
      <c r="W1055" s="19">
        <v>9879.98</v>
      </c>
      <c r="X1055" s="21">
        <v>0.99196586345381521</v>
      </c>
      <c r="Y1055" s="19">
        <v>8690.8559999999998</v>
      </c>
      <c r="Z1055" s="20">
        <v>0.8725759036144578</v>
      </c>
      <c r="AA1055" s="30">
        <v>8.7299999999999975E-2</v>
      </c>
      <c r="AB1055" s="27">
        <v>7.0000000000000007E-2</v>
      </c>
      <c r="AC1055" s="27">
        <v>0.09</v>
      </c>
      <c r="AD1055" s="11">
        <v>8.5520195935826701E-2</v>
      </c>
    </row>
    <row r="1056" spans="1:30" x14ac:dyDescent="0.25">
      <c r="A1056" s="13">
        <v>45532</v>
      </c>
      <c r="B1056" s="46" t="s">
        <v>636</v>
      </c>
      <c r="C1056" s="13">
        <v>45532</v>
      </c>
      <c r="D1056" s="15" t="s">
        <v>1217</v>
      </c>
      <c r="E1056" s="15">
        <v>91</v>
      </c>
      <c r="F1056" s="15">
        <v>90</v>
      </c>
      <c r="G1056" s="13">
        <v>45623</v>
      </c>
      <c r="H1056" s="19">
        <v>4200</v>
      </c>
      <c r="I1056" s="19">
        <v>5272.2399999999989</v>
      </c>
      <c r="J1056" s="20">
        <v>1.2552952380952376</v>
      </c>
      <c r="K1056" s="19">
        <v>4822.24</v>
      </c>
      <c r="L1056" s="20">
        <v>1.1481523809523808</v>
      </c>
      <c r="M1056" s="21">
        <v>0</v>
      </c>
      <c r="N1056" s="19">
        <v>0</v>
      </c>
      <c r="O1056" s="23">
        <v>840</v>
      </c>
      <c r="P1056" s="24">
        <v>842.66</v>
      </c>
      <c r="Q1056" s="25">
        <v>1.0031666666666668</v>
      </c>
      <c r="R1056" s="24">
        <v>840</v>
      </c>
      <c r="S1056" s="25">
        <v>1</v>
      </c>
      <c r="T1056" s="26">
        <v>0.9968433333333333</v>
      </c>
      <c r="U1056" s="24">
        <v>0</v>
      </c>
      <c r="V1056" s="19">
        <v>5040</v>
      </c>
      <c r="W1056" s="19">
        <v>6114.8999999999987</v>
      </c>
      <c r="X1056" s="21">
        <v>1.2132738095238094</v>
      </c>
      <c r="Y1056" s="19">
        <v>5662.24</v>
      </c>
      <c r="Z1056" s="20">
        <v>1.1234603174603175</v>
      </c>
      <c r="AA1056" s="30">
        <v>8.8299999999999976E-2</v>
      </c>
      <c r="AB1056" s="27">
        <v>7.0000000000000007E-2</v>
      </c>
      <c r="AC1056" s="27">
        <v>0.09</v>
      </c>
      <c r="AD1056" s="11">
        <v>8.7145541553495298E-2</v>
      </c>
    </row>
    <row r="1057" spans="1:30" x14ac:dyDescent="0.25">
      <c r="A1057" s="13">
        <v>45534</v>
      </c>
      <c r="B1057" s="46" t="s">
        <v>636</v>
      </c>
      <c r="C1057" s="13">
        <v>45534</v>
      </c>
      <c r="D1057" s="15" t="s">
        <v>1218</v>
      </c>
      <c r="E1057" s="15">
        <v>175</v>
      </c>
      <c r="F1057" s="15">
        <v>180</v>
      </c>
      <c r="G1057" s="13">
        <v>45709</v>
      </c>
      <c r="H1057" s="19">
        <v>5800</v>
      </c>
      <c r="I1057" s="19">
        <v>3434.5700000000011</v>
      </c>
      <c r="J1057" s="20">
        <v>0.59216724137930998</v>
      </c>
      <c r="K1057" s="19">
        <v>3234.5700000000011</v>
      </c>
      <c r="L1057" s="20">
        <v>0.55768448275862093</v>
      </c>
      <c r="M1057" s="21">
        <v>0</v>
      </c>
      <c r="N1057" s="19">
        <v>0</v>
      </c>
      <c r="O1057" s="23">
        <v>1160</v>
      </c>
      <c r="P1057" s="24">
        <v>1160</v>
      </c>
      <c r="Q1057" s="25">
        <v>1</v>
      </c>
      <c r="R1057" s="24">
        <v>646.91399999999999</v>
      </c>
      <c r="S1057" s="25">
        <v>0.5576844827586207</v>
      </c>
      <c r="T1057" s="26">
        <v>0.5576844827586207</v>
      </c>
      <c r="U1057" s="24">
        <v>0</v>
      </c>
      <c r="V1057" s="19">
        <v>6960</v>
      </c>
      <c r="W1057" s="19">
        <v>4594.5700000000015</v>
      </c>
      <c r="X1057" s="21">
        <v>0.66013936781609217</v>
      </c>
      <c r="Y1057" s="19">
        <v>3881.4840000000013</v>
      </c>
      <c r="Z1057" s="20">
        <v>0.55768448275862093</v>
      </c>
      <c r="AA1057" s="30">
        <v>8.8999999999999996E-2</v>
      </c>
      <c r="AB1057" s="27">
        <v>0.06</v>
      </c>
      <c r="AC1057" s="27">
        <v>9.1499999999999998E-2</v>
      </c>
      <c r="AD1057" s="11">
        <v>8.7425128909878039E-2</v>
      </c>
    </row>
    <row r="1058" spans="1:30" x14ac:dyDescent="0.25">
      <c r="A1058" s="13">
        <v>45537</v>
      </c>
      <c r="B1058" s="46" t="s">
        <v>636</v>
      </c>
      <c r="C1058" s="13">
        <v>45537</v>
      </c>
      <c r="D1058" s="15" t="s">
        <v>1219</v>
      </c>
      <c r="E1058" s="15">
        <v>35</v>
      </c>
      <c r="F1058" s="15">
        <v>30</v>
      </c>
      <c r="G1058" s="13">
        <v>45572</v>
      </c>
      <c r="H1058" s="19">
        <v>7500</v>
      </c>
      <c r="I1058" s="19">
        <v>8758.010000000002</v>
      </c>
      <c r="J1058" s="20">
        <v>1.1677346666666666</v>
      </c>
      <c r="K1058" s="19">
        <v>8558.01</v>
      </c>
      <c r="L1058" s="20">
        <v>1.141068</v>
      </c>
      <c r="M1058" s="21">
        <v>0</v>
      </c>
      <c r="N1058" s="19">
        <v>0</v>
      </c>
      <c r="O1058" s="23">
        <v>1500</v>
      </c>
      <c r="P1058" s="24">
        <v>3504.9</v>
      </c>
      <c r="Q1058" s="25">
        <v>2.3365999999999998</v>
      </c>
      <c r="R1058" s="24">
        <v>1500</v>
      </c>
      <c r="S1058" s="25">
        <v>1</v>
      </c>
      <c r="T1058" s="26">
        <v>0.42797959183673467</v>
      </c>
      <c r="U1058" s="24">
        <v>0</v>
      </c>
      <c r="V1058" s="19">
        <v>9000</v>
      </c>
      <c r="W1058" s="19">
        <v>12262.910000000002</v>
      </c>
      <c r="X1058" s="21">
        <v>1.3625455555555557</v>
      </c>
      <c r="Y1058" s="19">
        <v>10058.01</v>
      </c>
      <c r="Z1058" s="20">
        <v>1.1175566666666668</v>
      </c>
      <c r="AA1058" s="30">
        <v>8.7899999999999964E-2</v>
      </c>
      <c r="AB1058" s="27">
        <v>7.0000000000000007E-2</v>
      </c>
      <c r="AC1058" s="27">
        <v>8.8300000000000003E-2</v>
      </c>
      <c r="AD1058" s="11">
        <v>8.6119228569047038E-2</v>
      </c>
    </row>
    <row r="1059" spans="1:30" x14ac:dyDescent="0.25">
      <c r="A1059" s="13">
        <v>45539</v>
      </c>
      <c r="B1059" s="46" t="s">
        <v>636</v>
      </c>
      <c r="C1059" s="13">
        <v>45539</v>
      </c>
      <c r="D1059" s="15" t="s">
        <v>1220</v>
      </c>
      <c r="E1059" s="15">
        <v>98</v>
      </c>
      <c r="F1059" s="15">
        <v>90</v>
      </c>
      <c r="G1059" s="13">
        <v>45637</v>
      </c>
      <c r="H1059" s="19">
        <v>5000</v>
      </c>
      <c r="I1059" s="19">
        <v>6007.4500000000007</v>
      </c>
      <c r="J1059" s="20">
        <v>1.2014900000000004</v>
      </c>
      <c r="K1059" s="19">
        <v>5507.4500000000007</v>
      </c>
      <c r="L1059" s="20">
        <v>1.1014900000000001</v>
      </c>
      <c r="M1059" s="21">
        <v>0</v>
      </c>
      <c r="N1059" s="19">
        <v>0</v>
      </c>
      <c r="O1059" s="23">
        <v>1000</v>
      </c>
      <c r="P1059" s="24">
        <v>560</v>
      </c>
      <c r="Q1059" s="25">
        <v>0.56000000000000005</v>
      </c>
      <c r="R1059" s="24">
        <v>560</v>
      </c>
      <c r="S1059" s="25">
        <v>0.56000000000000005</v>
      </c>
      <c r="T1059" s="26">
        <v>0</v>
      </c>
      <c r="U1059" s="24">
        <v>0</v>
      </c>
      <c r="V1059" s="19">
        <v>6000</v>
      </c>
      <c r="W1059" s="19">
        <v>6567.4500000000007</v>
      </c>
      <c r="X1059" s="21">
        <v>1.0945750000000001</v>
      </c>
      <c r="Y1059" s="19">
        <v>6067.4500000000007</v>
      </c>
      <c r="Z1059" s="20">
        <v>1.0112416666666668</v>
      </c>
      <c r="AA1059" s="30">
        <v>8.8599999999999998E-2</v>
      </c>
      <c r="AB1059" s="27">
        <v>7.0000000000000007E-2</v>
      </c>
      <c r="AC1059" s="27">
        <v>8.8900000000000007E-2</v>
      </c>
      <c r="AD1059" s="11">
        <v>8.7547628361451163E-2</v>
      </c>
    </row>
    <row r="1060" spans="1:30" x14ac:dyDescent="0.25">
      <c r="A1060" s="13">
        <v>45540</v>
      </c>
      <c r="B1060" s="46" t="s">
        <v>636</v>
      </c>
      <c r="C1060" s="13">
        <v>45541</v>
      </c>
      <c r="D1060" s="15" t="s">
        <v>1221</v>
      </c>
      <c r="E1060" s="15">
        <v>350</v>
      </c>
      <c r="F1060" s="15">
        <v>360</v>
      </c>
      <c r="G1060" s="13">
        <v>45891</v>
      </c>
      <c r="H1060" s="19">
        <v>3000</v>
      </c>
      <c r="I1060" s="19">
        <v>4848.5700000000006</v>
      </c>
      <c r="J1060" s="20">
        <v>1.61619</v>
      </c>
      <c r="K1060" s="19">
        <v>4348.5700000000006</v>
      </c>
      <c r="L1060" s="20">
        <v>1.4495233333333335</v>
      </c>
      <c r="M1060" s="21">
        <v>0</v>
      </c>
      <c r="N1060" s="19">
        <v>0</v>
      </c>
      <c r="O1060" s="23">
        <v>600</v>
      </c>
      <c r="P1060" s="24">
        <v>800</v>
      </c>
      <c r="Q1060" s="25">
        <v>1.3333333333333333</v>
      </c>
      <c r="R1060" s="24">
        <v>600</v>
      </c>
      <c r="S1060" s="25">
        <v>1</v>
      </c>
      <c r="T1060" s="26">
        <v>0.75</v>
      </c>
      <c r="U1060" s="24">
        <v>0</v>
      </c>
      <c r="V1060" s="19">
        <v>3600</v>
      </c>
      <c r="W1060" s="19">
        <v>5648.5700000000006</v>
      </c>
      <c r="X1060" s="21">
        <v>1.5690472222222225</v>
      </c>
      <c r="Y1060" s="19">
        <v>4948.5700000000006</v>
      </c>
      <c r="Z1060" s="20">
        <v>1.3746027777777778</v>
      </c>
      <c r="AA1060" s="30">
        <v>8.919999999999996E-2</v>
      </c>
      <c r="AB1060" s="27">
        <v>7.0000000000000007E-2</v>
      </c>
      <c r="AC1060" s="27">
        <v>8.9800000000000005E-2</v>
      </c>
      <c r="AD1060" s="11">
        <v>8.8821721456016939E-2</v>
      </c>
    </row>
    <row r="1061" spans="1:30" x14ac:dyDescent="0.25">
      <c r="A1061" s="13">
        <v>45544</v>
      </c>
      <c r="B1061" s="46" t="s">
        <v>636</v>
      </c>
      <c r="C1061" s="13">
        <v>45544</v>
      </c>
      <c r="D1061" s="15" t="s">
        <v>1222</v>
      </c>
      <c r="E1061" s="15">
        <v>35</v>
      </c>
      <c r="F1061" s="15">
        <v>30</v>
      </c>
      <c r="G1061" s="13">
        <v>45579</v>
      </c>
      <c r="H1061" s="19">
        <v>7100</v>
      </c>
      <c r="I1061" s="19">
        <v>7345.670000000001</v>
      </c>
      <c r="J1061" s="20">
        <v>1.0346014084507043</v>
      </c>
      <c r="K1061" s="19">
        <v>6395.670000000001</v>
      </c>
      <c r="L1061" s="20">
        <v>0.90079859154929587</v>
      </c>
      <c r="M1061" s="21">
        <v>0</v>
      </c>
      <c r="N1061" s="19">
        <v>0</v>
      </c>
      <c r="O1061" s="23">
        <v>1420</v>
      </c>
      <c r="P1061" s="24">
        <v>2467.8000000000002</v>
      </c>
      <c r="Q1061" s="25">
        <v>1.7378873239436621</v>
      </c>
      <c r="R1061" s="24">
        <v>1279.134</v>
      </c>
      <c r="S1061" s="25">
        <v>0.90079859154929576</v>
      </c>
      <c r="T1061" s="26">
        <v>0.51833146067415725</v>
      </c>
      <c r="U1061" s="24">
        <v>0</v>
      </c>
      <c r="V1061" s="19">
        <v>8520</v>
      </c>
      <c r="W1061" s="19">
        <v>9813.4700000000012</v>
      </c>
      <c r="X1061" s="21">
        <v>1.1518157276995307</v>
      </c>
      <c r="Y1061" s="19">
        <v>7674.804000000001</v>
      </c>
      <c r="Z1061" s="20">
        <v>0.90079859154929587</v>
      </c>
      <c r="AA1061" s="30">
        <v>8.8000000000000037E-2</v>
      </c>
      <c r="AB1061" s="27">
        <v>7.0000000000000007E-2</v>
      </c>
      <c r="AC1061" s="27">
        <v>9.0500000000000011E-2</v>
      </c>
      <c r="AD1061" s="11">
        <v>8.6270428701534368E-2</v>
      </c>
    </row>
    <row r="1062" spans="1:30" x14ac:dyDescent="0.25">
      <c r="A1062" s="13">
        <v>45546</v>
      </c>
      <c r="B1062" s="46" t="s">
        <v>636</v>
      </c>
      <c r="C1062" s="13">
        <v>45546</v>
      </c>
      <c r="D1062" s="15" t="s">
        <v>1223</v>
      </c>
      <c r="E1062" s="15">
        <v>91</v>
      </c>
      <c r="F1062" s="15">
        <v>90</v>
      </c>
      <c r="G1062" s="13">
        <v>45637</v>
      </c>
      <c r="H1062" s="19">
        <v>5400</v>
      </c>
      <c r="I1062" s="19">
        <v>8654.6500000000033</v>
      </c>
      <c r="J1062" s="20">
        <v>1.6027129629629633</v>
      </c>
      <c r="K1062" s="19">
        <v>6754.6500000000005</v>
      </c>
      <c r="L1062" s="20">
        <v>1.2508611111111112</v>
      </c>
      <c r="M1062" s="21">
        <v>0</v>
      </c>
      <c r="N1062" s="19">
        <v>0</v>
      </c>
      <c r="O1062" s="23">
        <v>1080</v>
      </c>
      <c r="P1062" s="24">
        <v>3.62</v>
      </c>
      <c r="Q1062" s="25">
        <v>3.351851851851852E-3</v>
      </c>
      <c r="R1062" s="24">
        <v>3.62</v>
      </c>
      <c r="S1062" s="25">
        <v>3.351851851851852E-3</v>
      </c>
      <c r="T1062" s="26">
        <v>0</v>
      </c>
      <c r="U1062" s="24">
        <v>0</v>
      </c>
      <c r="V1062" s="19">
        <v>6480</v>
      </c>
      <c r="W1062" s="19">
        <v>8658.2700000000041</v>
      </c>
      <c r="X1062" s="21">
        <v>1.3361527777777784</v>
      </c>
      <c r="Y1062" s="19">
        <v>6758.27</v>
      </c>
      <c r="Z1062" s="20">
        <v>1.0429429012345679</v>
      </c>
      <c r="AA1062" s="30">
        <v>8.859999999999997E-2</v>
      </c>
      <c r="AB1062" s="27">
        <v>7.0000000000000007E-2</v>
      </c>
      <c r="AC1062" s="27">
        <v>9.0800000000000006E-2</v>
      </c>
      <c r="AD1062" s="11">
        <v>8.6723941464992765E-2</v>
      </c>
    </row>
    <row r="1063" spans="1:30" x14ac:dyDescent="0.25">
      <c r="A1063" s="13">
        <v>45548</v>
      </c>
      <c r="B1063" s="46" t="s">
        <v>636</v>
      </c>
      <c r="C1063" s="13">
        <v>45548</v>
      </c>
      <c r="D1063" s="15" t="s">
        <v>1224</v>
      </c>
      <c r="E1063" s="15">
        <v>182</v>
      </c>
      <c r="F1063" s="15">
        <v>180</v>
      </c>
      <c r="G1063" s="13">
        <v>45730</v>
      </c>
      <c r="H1063" s="19">
        <v>3400</v>
      </c>
      <c r="I1063" s="19">
        <v>4813.76</v>
      </c>
      <c r="J1063" s="20">
        <v>1.4158117647058825</v>
      </c>
      <c r="K1063" s="19">
        <v>3713.76</v>
      </c>
      <c r="L1063" s="20">
        <v>1.0922823529411765</v>
      </c>
      <c r="M1063" s="21">
        <v>0</v>
      </c>
      <c r="N1063" s="19">
        <v>0</v>
      </c>
      <c r="O1063" s="23">
        <v>680</v>
      </c>
      <c r="P1063" s="24">
        <v>460</v>
      </c>
      <c r="Q1063" s="25">
        <v>0.67647058823529416</v>
      </c>
      <c r="R1063" s="24">
        <v>460</v>
      </c>
      <c r="S1063" s="25">
        <v>0.67647058823529416</v>
      </c>
      <c r="T1063" s="26">
        <v>0</v>
      </c>
      <c r="U1063" s="24">
        <v>0</v>
      </c>
      <c r="V1063" s="19">
        <v>4080</v>
      </c>
      <c r="W1063" s="19">
        <v>5273.76</v>
      </c>
      <c r="X1063" s="21">
        <v>1.2925882352941176</v>
      </c>
      <c r="Y1063" s="19">
        <v>4173.76</v>
      </c>
      <c r="Z1063" s="20">
        <v>1.0229803921568628</v>
      </c>
      <c r="AA1063" s="30">
        <v>8.8999999999999982E-2</v>
      </c>
      <c r="AB1063" s="27">
        <v>7.0000000000000007E-2</v>
      </c>
      <c r="AC1063" s="27">
        <v>8.9399999999999993E-2</v>
      </c>
      <c r="AD1063" s="11">
        <v>8.7412087224955123E-2</v>
      </c>
    </row>
    <row r="1064" spans="1:30" x14ac:dyDescent="0.25">
      <c r="A1064" s="13">
        <v>45551</v>
      </c>
      <c r="B1064" s="46" t="s">
        <v>636</v>
      </c>
      <c r="C1064" s="13">
        <v>45551</v>
      </c>
      <c r="D1064" s="15" t="s">
        <v>1228</v>
      </c>
      <c r="E1064" s="15">
        <v>35</v>
      </c>
      <c r="F1064" s="15">
        <v>30</v>
      </c>
      <c r="G1064" s="13">
        <v>45586</v>
      </c>
      <c r="H1064" s="19">
        <v>8300</v>
      </c>
      <c r="I1064" s="19">
        <v>4466.6899999999996</v>
      </c>
      <c r="J1064" s="20">
        <v>0.53815542168674702</v>
      </c>
      <c r="K1064" s="19">
        <v>3966.69</v>
      </c>
      <c r="L1064" s="20">
        <v>0.4779144578313253</v>
      </c>
      <c r="M1064" s="21">
        <v>0</v>
      </c>
      <c r="N1064" s="19">
        <v>0</v>
      </c>
      <c r="O1064" s="23">
        <v>1660</v>
      </c>
      <c r="P1064" s="24">
        <v>1660</v>
      </c>
      <c r="Q1064" s="25">
        <v>1</v>
      </c>
      <c r="R1064" s="24">
        <v>793.33799999999997</v>
      </c>
      <c r="S1064" s="25">
        <v>0.4779144578313253</v>
      </c>
      <c r="T1064" s="26">
        <v>0.4779144578313253</v>
      </c>
      <c r="U1064" s="24">
        <v>0</v>
      </c>
      <c r="V1064" s="19">
        <v>9960</v>
      </c>
      <c r="W1064" s="19">
        <v>6126.69</v>
      </c>
      <c r="X1064" s="21">
        <v>0.61512951807228911</v>
      </c>
      <c r="Y1064" s="19">
        <v>4760.0280000000002</v>
      </c>
      <c r="Z1064" s="20">
        <v>0.4779144578313253</v>
      </c>
      <c r="AA1064" s="30">
        <v>8.8499999999999995E-2</v>
      </c>
      <c r="AB1064" s="27">
        <v>7.0000000000000007E-2</v>
      </c>
      <c r="AC1064" s="27">
        <v>8.900000000000001E-2</v>
      </c>
      <c r="AD1064" s="11">
        <v>8.6483210162334997E-2</v>
      </c>
    </row>
    <row r="1065" spans="1:30" x14ac:dyDescent="0.25">
      <c r="A1065" s="13">
        <v>45553</v>
      </c>
      <c r="B1065" s="46" t="s">
        <v>636</v>
      </c>
      <c r="C1065" s="13">
        <v>45553</v>
      </c>
      <c r="D1065" s="15" t="s">
        <v>1229</v>
      </c>
      <c r="E1065" s="15">
        <v>91</v>
      </c>
      <c r="F1065" s="15">
        <v>90</v>
      </c>
      <c r="G1065" s="13">
        <v>45644</v>
      </c>
      <c r="H1065" s="19">
        <v>6700</v>
      </c>
      <c r="I1065" s="19">
        <v>3559.630000000001</v>
      </c>
      <c r="J1065" s="20">
        <v>0.53128805970149262</v>
      </c>
      <c r="K1065" s="19">
        <v>2859.63</v>
      </c>
      <c r="L1065" s="20">
        <v>0.42681044776119403</v>
      </c>
      <c r="M1065" s="21">
        <v>0</v>
      </c>
      <c r="N1065" s="19">
        <v>0</v>
      </c>
      <c r="O1065" s="23">
        <v>1340</v>
      </c>
      <c r="P1065" s="24">
        <v>242.86</v>
      </c>
      <c r="Q1065" s="25">
        <v>0.18123880597014924</v>
      </c>
      <c r="R1065" s="24">
        <v>242.86</v>
      </c>
      <c r="S1065" s="25">
        <v>0.18123880597014927</v>
      </c>
      <c r="T1065" s="26">
        <v>0</v>
      </c>
      <c r="U1065" s="24">
        <v>0</v>
      </c>
      <c r="V1065" s="19">
        <v>8040</v>
      </c>
      <c r="W1065" s="19">
        <v>3802.4900000000011</v>
      </c>
      <c r="X1065" s="21">
        <v>0.47294651741293547</v>
      </c>
      <c r="Y1065" s="19">
        <v>3102.4900000000002</v>
      </c>
      <c r="Z1065" s="20">
        <v>0.38588184079601995</v>
      </c>
      <c r="AA1065" s="30">
        <v>8.8999999999999982E-2</v>
      </c>
      <c r="AB1065" s="27">
        <v>7.4999999999999997E-2</v>
      </c>
      <c r="AC1065" s="27">
        <v>9.2300000000000007E-2</v>
      </c>
      <c r="AD1065" s="11">
        <v>8.639875942162524E-2</v>
      </c>
    </row>
    <row r="1066" spans="1:30" x14ac:dyDescent="0.25">
      <c r="A1066" s="13">
        <v>45554</v>
      </c>
      <c r="B1066" s="46" t="s">
        <v>636</v>
      </c>
      <c r="C1066" s="13">
        <v>45555</v>
      </c>
      <c r="D1066" s="15" t="s">
        <v>1230</v>
      </c>
      <c r="E1066" s="15">
        <v>385</v>
      </c>
      <c r="F1066" s="15">
        <v>360</v>
      </c>
      <c r="G1066" s="13">
        <v>45940</v>
      </c>
      <c r="H1066" s="19">
        <v>5000</v>
      </c>
      <c r="I1066" s="19">
        <v>3845.2599999999998</v>
      </c>
      <c r="J1066" s="20">
        <v>0.76905200000000007</v>
      </c>
      <c r="K1066" s="19">
        <v>1520.2599999999998</v>
      </c>
      <c r="L1066" s="20">
        <v>0.30405199999999993</v>
      </c>
      <c r="M1066" s="21">
        <v>0</v>
      </c>
      <c r="N1066" s="19">
        <v>0</v>
      </c>
      <c r="O1066" s="23">
        <v>1000</v>
      </c>
      <c r="P1066" s="24">
        <v>0</v>
      </c>
      <c r="Q1066" s="25">
        <v>0</v>
      </c>
      <c r="R1066" s="24">
        <v>0</v>
      </c>
      <c r="S1066" s="25">
        <v>0</v>
      </c>
      <c r="T1066" s="26">
        <v>0</v>
      </c>
      <c r="U1066" s="24">
        <v>0</v>
      </c>
      <c r="V1066" s="19">
        <v>6000</v>
      </c>
      <c r="W1066" s="19">
        <v>3845.2599999999998</v>
      </c>
      <c r="X1066" s="21">
        <v>0.64087666666666665</v>
      </c>
      <c r="Y1066" s="19">
        <v>1520.2599999999998</v>
      </c>
      <c r="Z1066" s="20">
        <v>0.25337666666666664</v>
      </c>
      <c r="AA1066" s="30">
        <v>8.9499999999999982E-2</v>
      </c>
      <c r="AB1066" s="27">
        <v>0.08</v>
      </c>
      <c r="AC1066" s="27">
        <v>9.4E-2</v>
      </c>
      <c r="AD1066" s="11">
        <v>8.999980365436927E-2</v>
      </c>
    </row>
    <row r="1067" spans="1:30" x14ac:dyDescent="0.25">
      <c r="A1067" s="13">
        <v>45558</v>
      </c>
      <c r="B1067" s="46" t="s">
        <v>636</v>
      </c>
      <c r="C1067" s="13">
        <v>45558</v>
      </c>
      <c r="D1067" s="15" t="s">
        <v>1231</v>
      </c>
      <c r="E1067" s="15">
        <v>35</v>
      </c>
      <c r="F1067" s="15">
        <v>30</v>
      </c>
      <c r="G1067" s="13">
        <v>45593</v>
      </c>
      <c r="H1067" s="19">
        <v>5000</v>
      </c>
      <c r="I1067" s="19">
        <v>5629.920000000001</v>
      </c>
      <c r="J1067" s="20">
        <v>1.1259840000000001</v>
      </c>
      <c r="K1067" s="19">
        <v>5029.920000000001</v>
      </c>
      <c r="L1067" s="20">
        <v>1.0059840000000002</v>
      </c>
      <c r="M1067" s="21">
        <v>0</v>
      </c>
      <c r="N1067" s="19">
        <v>0</v>
      </c>
      <c r="O1067" s="23">
        <v>1000</v>
      </c>
      <c r="P1067" s="24">
        <v>1110.2</v>
      </c>
      <c r="Q1067" s="25">
        <v>1.1102000000000001</v>
      </c>
      <c r="R1067" s="24">
        <v>1000</v>
      </c>
      <c r="S1067" s="25">
        <v>1</v>
      </c>
      <c r="T1067" s="26">
        <v>0.9007400000000001</v>
      </c>
      <c r="U1067" s="24">
        <v>0</v>
      </c>
      <c r="V1067" s="19">
        <v>6000</v>
      </c>
      <c r="W1067" s="19">
        <v>6740.1200000000008</v>
      </c>
      <c r="X1067" s="21">
        <v>1.1233533333333334</v>
      </c>
      <c r="Y1067" s="19">
        <v>6029.920000000001</v>
      </c>
      <c r="Z1067" s="20">
        <v>1.0049866666666669</v>
      </c>
      <c r="AA1067" s="30">
        <v>8.9300000000000032E-2</v>
      </c>
      <c r="AB1067" s="27">
        <v>7.0000000000000007E-2</v>
      </c>
      <c r="AC1067" s="27">
        <v>9.0500000000000011E-2</v>
      </c>
      <c r="AD1067" s="11">
        <v>8.7389062544405594E-2</v>
      </c>
    </row>
    <row r="1068" spans="1:30" x14ac:dyDescent="0.25">
      <c r="A1068" s="13">
        <v>45560</v>
      </c>
      <c r="B1068" s="46" t="s">
        <v>636</v>
      </c>
      <c r="C1068" s="13">
        <v>45560</v>
      </c>
      <c r="D1068" s="15" t="s">
        <v>1232</v>
      </c>
      <c r="E1068" s="15">
        <v>84</v>
      </c>
      <c r="F1068" s="15">
        <v>90</v>
      </c>
      <c r="G1068" s="13">
        <v>45644</v>
      </c>
      <c r="H1068" s="19">
        <v>3400</v>
      </c>
      <c r="I1068" s="19">
        <v>3475.0099999999998</v>
      </c>
      <c r="J1068" s="20">
        <v>1.0220617647058821</v>
      </c>
      <c r="K1068" s="19">
        <v>2925.0099999999998</v>
      </c>
      <c r="L1068" s="20">
        <v>0.86029705882352936</v>
      </c>
      <c r="M1068" s="21">
        <v>0</v>
      </c>
      <c r="N1068" s="19">
        <v>0</v>
      </c>
      <c r="O1068" s="23">
        <v>680</v>
      </c>
      <c r="P1068" s="24">
        <v>712.16</v>
      </c>
      <c r="Q1068" s="25">
        <v>1.0472941176470589</v>
      </c>
      <c r="R1068" s="24">
        <v>585.00200000000007</v>
      </c>
      <c r="S1068" s="25">
        <v>0.86029705882352947</v>
      </c>
      <c r="T1068" s="26">
        <v>0.8214475</v>
      </c>
      <c r="U1068" s="24">
        <v>0</v>
      </c>
      <c r="V1068" s="19">
        <v>4080</v>
      </c>
      <c r="W1068" s="19">
        <v>4187.17</v>
      </c>
      <c r="X1068" s="21">
        <v>1.0262671568627451</v>
      </c>
      <c r="Y1068" s="19">
        <v>3510.0119999999997</v>
      </c>
      <c r="Z1068" s="20">
        <v>0.86029705882352936</v>
      </c>
      <c r="AA1068" s="30">
        <v>8.9499999999999996E-2</v>
      </c>
      <c r="AB1068" s="27">
        <v>7.0000000000000007E-2</v>
      </c>
      <c r="AC1068" s="27">
        <v>9.1999999999999998E-2</v>
      </c>
      <c r="AD1068" s="11">
        <v>8.7639869525555303E-2</v>
      </c>
    </row>
    <row r="1069" spans="1:30" x14ac:dyDescent="0.25">
      <c r="A1069" s="13">
        <v>45562</v>
      </c>
      <c r="B1069" s="46" t="s">
        <v>636</v>
      </c>
      <c r="C1069" s="13">
        <v>45562</v>
      </c>
      <c r="D1069" s="15" t="s">
        <v>1233</v>
      </c>
      <c r="E1069" s="15">
        <v>168</v>
      </c>
      <c r="F1069" s="15">
        <v>180</v>
      </c>
      <c r="G1069" s="13">
        <v>45730</v>
      </c>
      <c r="H1069" s="19">
        <v>3400</v>
      </c>
      <c r="I1069" s="19">
        <v>3606.9800000000005</v>
      </c>
      <c r="J1069" s="20">
        <v>1.0608764705882352</v>
      </c>
      <c r="K1069" s="19">
        <v>2906.98</v>
      </c>
      <c r="L1069" s="20">
        <v>0.85499411764705879</v>
      </c>
      <c r="M1069" s="21">
        <v>0</v>
      </c>
      <c r="N1069" s="19">
        <v>0</v>
      </c>
      <c r="O1069" s="23">
        <v>680</v>
      </c>
      <c r="P1069" s="24">
        <v>280</v>
      </c>
      <c r="Q1069" s="25">
        <v>0.41176470588235298</v>
      </c>
      <c r="R1069" s="24">
        <v>280</v>
      </c>
      <c r="S1069" s="25">
        <v>0.41176470588235292</v>
      </c>
      <c r="T1069" s="26">
        <v>0</v>
      </c>
      <c r="U1069" s="24">
        <v>0</v>
      </c>
      <c r="V1069" s="19">
        <v>4080</v>
      </c>
      <c r="W1069" s="19">
        <v>3886.9800000000005</v>
      </c>
      <c r="X1069" s="21">
        <v>0.95269117647058832</v>
      </c>
      <c r="Y1069" s="19">
        <v>3186.98</v>
      </c>
      <c r="Z1069" s="20">
        <v>0.78112254901960787</v>
      </c>
      <c r="AA1069" s="30">
        <v>8.9800000000000019E-2</v>
      </c>
      <c r="AB1069" s="27">
        <v>7.0000000000000007E-2</v>
      </c>
      <c r="AC1069" s="27">
        <v>9.1999999999999998E-2</v>
      </c>
      <c r="AD1069" s="11">
        <v>8.8580105517635246E-2</v>
      </c>
    </row>
    <row r="1070" spans="1:30" x14ac:dyDescent="0.25">
      <c r="A1070" s="13">
        <v>45565</v>
      </c>
      <c r="B1070" s="46" t="s">
        <v>636</v>
      </c>
      <c r="C1070" s="13">
        <v>45565</v>
      </c>
      <c r="D1070" s="15" t="s">
        <v>1234</v>
      </c>
      <c r="E1070" s="15">
        <v>35</v>
      </c>
      <c r="F1070" s="15">
        <v>30</v>
      </c>
      <c r="G1070" s="13">
        <v>45600</v>
      </c>
      <c r="H1070" s="19">
        <v>5800</v>
      </c>
      <c r="I1070" s="19">
        <v>8573.2199999999975</v>
      </c>
      <c r="J1070" s="20">
        <v>1.4781413793103453</v>
      </c>
      <c r="K1070" s="19">
        <v>6573.2199999999975</v>
      </c>
      <c r="L1070" s="20">
        <v>1.1333137931034478</v>
      </c>
      <c r="M1070" s="21">
        <v>0</v>
      </c>
      <c r="N1070" s="19">
        <v>0</v>
      </c>
      <c r="O1070" s="23">
        <v>1160</v>
      </c>
      <c r="P1070" s="24">
        <v>1500</v>
      </c>
      <c r="Q1070" s="25">
        <v>1.2931034482758621</v>
      </c>
      <c r="R1070" s="24">
        <v>1160</v>
      </c>
      <c r="S1070" s="25">
        <v>1</v>
      </c>
      <c r="T1070" s="26">
        <v>0.77333336206896552</v>
      </c>
      <c r="U1070" s="24">
        <v>0</v>
      </c>
      <c r="V1070" s="19">
        <v>6960</v>
      </c>
      <c r="W1070" s="19">
        <v>10073.219999999998</v>
      </c>
      <c r="X1070" s="21">
        <v>1.4473017241379307</v>
      </c>
      <c r="Y1070" s="19">
        <v>7733.2199999999975</v>
      </c>
      <c r="Z1070" s="20">
        <v>1.1110948275862065</v>
      </c>
      <c r="AA1070" s="30">
        <v>8.8999999999999982E-2</v>
      </c>
      <c r="AB1070" s="27">
        <v>7.0000000000000007E-2</v>
      </c>
      <c r="AC1070" s="27">
        <v>9.0500000000000011E-2</v>
      </c>
      <c r="AD1070" s="11">
        <v>8.7300393551081185E-2</v>
      </c>
    </row>
    <row r="1071" spans="1:30" x14ac:dyDescent="0.25">
      <c r="A1071" s="13">
        <v>45567</v>
      </c>
      <c r="B1071" s="46" t="s">
        <v>636</v>
      </c>
      <c r="C1071" s="13">
        <v>45567</v>
      </c>
      <c r="D1071" s="15" t="s">
        <v>1235</v>
      </c>
      <c r="E1071" s="15">
        <v>98</v>
      </c>
      <c r="F1071" s="15">
        <v>90</v>
      </c>
      <c r="G1071" s="13">
        <v>45665</v>
      </c>
      <c r="H1071" s="19">
        <v>4200</v>
      </c>
      <c r="I1071" s="19">
        <v>10870.180000000002</v>
      </c>
      <c r="J1071" s="20">
        <v>2.5881380952380959</v>
      </c>
      <c r="K1071" s="19">
        <v>8400</v>
      </c>
      <c r="L1071" s="20">
        <v>2</v>
      </c>
      <c r="M1071" s="21">
        <v>0.26606666666666662</v>
      </c>
      <c r="N1071" s="19">
        <v>0</v>
      </c>
      <c r="O1071" s="23">
        <v>840</v>
      </c>
      <c r="P1071" s="24">
        <v>1040</v>
      </c>
      <c r="Q1071" s="25">
        <v>1.2380952380952381</v>
      </c>
      <c r="R1071" s="24">
        <v>840</v>
      </c>
      <c r="S1071" s="25">
        <v>1</v>
      </c>
      <c r="T1071" s="26">
        <v>0.80769250000000004</v>
      </c>
      <c r="U1071" s="24">
        <v>0</v>
      </c>
      <c r="V1071" s="19">
        <v>5040</v>
      </c>
      <c r="W1071" s="19">
        <v>11910.180000000002</v>
      </c>
      <c r="X1071" s="21">
        <v>2.3631309523809527</v>
      </c>
      <c r="Y1071" s="19">
        <v>9240</v>
      </c>
      <c r="Z1071" s="20">
        <v>1.8333333333333333</v>
      </c>
      <c r="AA1071" s="30">
        <v>8.919999999999996E-2</v>
      </c>
      <c r="AB1071" s="27">
        <v>7.0000000000000007E-2</v>
      </c>
      <c r="AC1071" s="27">
        <v>8.9499999999999996E-2</v>
      </c>
      <c r="AD1071" s="11">
        <v>8.7124939973395085E-2</v>
      </c>
    </row>
    <row r="1072" spans="1:30" x14ac:dyDescent="0.25">
      <c r="A1072" s="13">
        <v>45568</v>
      </c>
      <c r="B1072" s="46" t="s">
        <v>636</v>
      </c>
      <c r="C1072" s="13">
        <v>45569</v>
      </c>
      <c r="D1072" s="15" t="s">
        <v>1236</v>
      </c>
      <c r="E1072" s="15">
        <v>371</v>
      </c>
      <c r="F1072" s="15">
        <v>360</v>
      </c>
      <c r="G1072" s="13">
        <v>45940</v>
      </c>
      <c r="H1072" s="19">
        <v>2500</v>
      </c>
      <c r="I1072" s="19">
        <v>7016.65</v>
      </c>
      <c r="J1072" s="20">
        <v>2.8066600000000004</v>
      </c>
      <c r="K1072" s="19">
        <v>5000</v>
      </c>
      <c r="L1072" s="20">
        <v>2</v>
      </c>
      <c r="M1072" s="21">
        <v>0.33335719999999996</v>
      </c>
      <c r="N1072" s="19">
        <v>0</v>
      </c>
      <c r="O1072" s="23">
        <v>500</v>
      </c>
      <c r="P1072" s="24">
        <v>500</v>
      </c>
      <c r="Q1072" s="25">
        <v>1</v>
      </c>
      <c r="R1072" s="24">
        <v>500</v>
      </c>
      <c r="S1072" s="25">
        <v>1</v>
      </c>
      <c r="T1072" s="26">
        <v>0</v>
      </c>
      <c r="U1072" s="24">
        <v>0</v>
      </c>
      <c r="V1072" s="19">
        <v>3000</v>
      </c>
      <c r="W1072" s="19">
        <v>7516.65</v>
      </c>
      <c r="X1072" s="21">
        <v>2.5055499999999999</v>
      </c>
      <c r="Y1072" s="19">
        <v>5500</v>
      </c>
      <c r="Z1072" s="20">
        <v>1.8333333333333333</v>
      </c>
      <c r="AA1072" s="30">
        <v>8.9900000000000049E-2</v>
      </c>
      <c r="AB1072" s="27">
        <v>0.08</v>
      </c>
      <c r="AC1072" s="27">
        <v>9.0899999999999995E-2</v>
      </c>
      <c r="AD1072" s="11">
        <v>8.9097149921971305E-2</v>
      </c>
    </row>
    <row r="1073" spans="1:30" x14ac:dyDescent="0.25">
      <c r="A1073" s="13">
        <v>45572</v>
      </c>
      <c r="B1073" s="46" t="s">
        <v>636</v>
      </c>
      <c r="C1073" s="13">
        <v>45572</v>
      </c>
      <c r="D1073" s="15" t="s">
        <v>1237</v>
      </c>
      <c r="E1073" s="15">
        <v>28</v>
      </c>
      <c r="F1073" s="15">
        <v>30</v>
      </c>
      <c r="G1073" s="13">
        <v>45600</v>
      </c>
      <c r="H1073" s="19">
        <v>6600</v>
      </c>
      <c r="I1073" s="19">
        <v>9372.11</v>
      </c>
      <c r="J1073" s="20">
        <v>1.4200166666666665</v>
      </c>
      <c r="K1073" s="19">
        <v>8622.11</v>
      </c>
      <c r="L1073" s="20">
        <v>1.3063803030303032</v>
      </c>
      <c r="M1073" s="21">
        <v>0</v>
      </c>
      <c r="N1073" s="19">
        <v>0</v>
      </c>
      <c r="O1073" s="23">
        <v>1320</v>
      </c>
      <c r="P1073" s="24">
        <v>2716.02</v>
      </c>
      <c r="Q1073" s="25">
        <v>2.0575909090909086</v>
      </c>
      <c r="R1073" s="24">
        <v>1320</v>
      </c>
      <c r="S1073" s="25">
        <v>1</v>
      </c>
      <c r="T1073" s="26">
        <v>0.48600571428571432</v>
      </c>
      <c r="U1073" s="24">
        <v>0</v>
      </c>
      <c r="V1073" s="19">
        <v>7920</v>
      </c>
      <c r="W1073" s="19">
        <v>12088.130000000001</v>
      </c>
      <c r="X1073" s="21">
        <v>1.5262790404040405</v>
      </c>
      <c r="Y1073" s="19">
        <v>9942.11</v>
      </c>
      <c r="Z1073" s="20">
        <v>1.2553169191919193</v>
      </c>
      <c r="AA1073" s="30">
        <v>8.8999999999999982E-2</v>
      </c>
      <c r="AB1073" s="27">
        <v>7.0000000000000007E-2</v>
      </c>
      <c r="AC1073" s="27">
        <v>8.9499999999999996E-2</v>
      </c>
      <c r="AD1073" s="11">
        <v>8.7177509867041675E-2</v>
      </c>
    </row>
    <row r="1074" spans="1:30" x14ac:dyDescent="0.25">
      <c r="A1074" s="13">
        <v>45574</v>
      </c>
      <c r="B1074" s="46" t="s">
        <v>636</v>
      </c>
      <c r="C1074" s="13">
        <v>45574</v>
      </c>
      <c r="D1074" s="15" t="s">
        <v>1238</v>
      </c>
      <c r="E1074" s="15">
        <v>91</v>
      </c>
      <c r="F1074" s="15">
        <v>90</v>
      </c>
      <c r="G1074" s="13">
        <v>45665</v>
      </c>
      <c r="H1074" s="19">
        <v>3300</v>
      </c>
      <c r="I1074" s="19">
        <v>9795.3799999999992</v>
      </c>
      <c r="J1074" s="20">
        <v>2.9682969696969699</v>
      </c>
      <c r="K1074" s="19">
        <v>6600</v>
      </c>
      <c r="L1074" s="20">
        <v>2</v>
      </c>
      <c r="M1074" s="21">
        <v>0.79231449999999992</v>
      </c>
      <c r="N1074" s="19">
        <v>0</v>
      </c>
      <c r="O1074" s="23">
        <v>660</v>
      </c>
      <c r="P1074" s="24">
        <v>990</v>
      </c>
      <c r="Q1074" s="25">
        <v>1.5</v>
      </c>
      <c r="R1074" s="24">
        <v>660</v>
      </c>
      <c r="S1074" s="25">
        <v>1</v>
      </c>
      <c r="T1074" s="26">
        <v>0.66666666666666663</v>
      </c>
      <c r="U1074" s="24">
        <v>0</v>
      </c>
      <c r="V1074" s="19">
        <v>3960</v>
      </c>
      <c r="W1074" s="19">
        <v>10785.38</v>
      </c>
      <c r="X1074" s="21">
        <v>2.7235808080808077</v>
      </c>
      <c r="Y1074" s="19">
        <v>7260</v>
      </c>
      <c r="Z1074" s="20">
        <v>1.8333333333333333</v>
      </c>
      <c r="AA1074" s="30">
        <v>8.8900000000000062E-2</v>
      </c>
      <c r="AB1074" s="27">
        <v>7.0000000000000007E-2</v>
      </c>
      <c r="AC1074" s="27">
        <v>8.929999999999999E-2</v>
      </c>
      <c r="AD1074" s="11">
        <v>8.7754287531468925E-2</v>
      </c>
    </row>
    <row r="1075" spans="1:30" x14ac:dyDescent="0.25">
      <c r="A1075" s="13">
        <v>45576</v>
      </c>
      <c r="B1075" s="46" t="s">
        <v>636</v>
      </c>
      <c r="C1075" s="13">
        <v>45576</v>
      </c>
      <c r="D1075" s="15" t="s">
        <v>1239</v>
      </c>
      <c r="E1075" s="15">
        <v>182</v>
      </c>
      <c r="F1075" s="15">
        <v>180</v>
      </c>
      <c r="G1075" s="13">
        <v>45758</v>
      </c>
      <c r="H1075" s="19">
        <v>3300</v>
      </c>
      <c r="I1075" s="19">
        <v>8167.9000000000005</v>
      </c>
      <c r="J1075" s="20">
        <v>2.4751212121212105</v>
      </c>
      <c r="K1075" s="19">
        <v>6599.9999999999991</v>
      </c>
      <c r="L1075" s="20">
        <v>1.9999999999999998</v>
      </c>
      <c r="M1075" s="21">
        <v>0.17083340000000002</v>
      </c>
      <c r="N1075" s="19">
        <v>0</v>
      </c>
      <c r="O1075" s="23">
        <v>660</v>
      </c>
      <c r="P1075" s="24">
        <v>660</v>
      </c>
      <c r="Q1075" s="25">
        <v>1</v>
      </c>
      <c r="R1075" s="24">
        <v>660</v>
      </c>
      <c r="S1075" s="25">
        <v>1</v>
      </c>
      <c r="T1075" s="26">
        <v>0</v>
      </c>
      <c r="U1075" s="24">
        <v>0</v>
      </c>
      <c r="V1075" s="19">
        <v>3960</v>
      </c>
      <c r="W1075" s="19">
        <v>8827.9000000000015</v>
      </c>
      <c r="X1075" s="21">
        <v>2.2292676767676771</v>
      </c>
      <c r="Y1075" s="19">
        <v>7259.9999999999991</v>
      </c>
      <c r="Z1075" s="20">
        <v>1.833333333333333</v>
      </c>
      <c r="AA1075" s="30">
        <v>8.9000000000000051E-2</v>
      </c>
      <c r="AB1075" s="27">
        <v>7.0000000000000007E-2</v>
      </c>
      <c r="AC1075" s="27">
        <v>8.9499999999999996E-2</v>
      </c>
      <c r="AD1075" s="11">
        <v>8.6723660794084168E-2</v>
      </c>
    </row>
    <row r="1076" spans="1:30" x14ac:dyDescent="0.25">
      <c r="A1076" s="13">
        <v>45579</v>
      </c>
      <c r="B1076" s="46" t="s">
        <v>636</v>
      </c>
      <c r="C1076" s="13">
        <v>45579</v>
      </c>
      <c r="D1076" s="15" t="s">
        <v>1240</v>
      </c>
      <c r="E1076" s="15">
        <v>35</v>
      </c>
      <c r="F1076" s="15">
        <v>30</v>
      </c>
      <c r="G1076" s="13">
        <v>45614</v>
      </c>
      <c r="H1076" s="19">
        <v>7500</v>
      </c>
      <c r="I1076" s="19">
        <v>8813.66</v>
      </c>
      <c r="J1076" s="20">
        <v>1.1751546666666668</v>
      </c>
      <c r="K1076" s="19">
        <v>8813.66</v>
      </c>
      <c r="L1076" s="20">
        <v>1.1751546666666666</v>
      </c>
      <c r="M1076" s="21">
        <v>0</v>
      </c>
      <c r="N1076" s="19">
        <v>0</v>
      </c>
      <c r="O1076" s="23">
        <v>1500</v>
      </c>
      <c r="P1076" s="24">
        <v>1753.2</v>
      </c>
      <c r="Q1076" s="25">
        <v>1.1687999999999998</v>
      </c>
      <c r="R1076" s="24">
        <v>1500</v>
      </c>
      <c r="S1076" s="25">
        <v>1</v>
      </c>
      <c r="T1076" s="26">
        <v>0.85557850000000002</v>
      </c>
      <c r="U1076" s="24">
        <v>0</v>
      </c>
      <c r="V1076" s="19">
        <v>9000</v>
      </c>
      <c r="W1076" s="19">
        <v>10566.86</v>
      </c>
      <c r="X1076" s="21">
        <v>1.1740955555555557</v>
      </c>
      <c r="Y1076" s="19">
        <v>10313.66</v>
      </c>
      <c r="Z1076" s="20">
        <v>1.1459622222222221</v>
      </c>
      <c r="AA1076" s="30">
        <v>8.8999999999999982E-2</v>
      </c>
      <c r="AB1076" s="27">
        <v>7.0000000000000007E-2</v>
      </c>
      <c r="AC1076" s="27">
        <v>8.900000000000001E-2</v>
      </c>
      <c r="AD1076" s="11">
        <v>8.6197894064440894E-2</v>
      </c>
    </row>
    <row r="1077" spans="1:30" x14ac:dyDescent="0.25">
      <c r="A1077" s="13">
        <v>45581</v>
      </c>
      <c r="B1077" s="46" t="s">
        <v>636</v>
      </c>
      <c r="C1077" s="13">
        <v>45581</v>
      </c>
      <c r="D1077" s="15" t="s">
        <v>1241</v>
      </c>
      <c r="E1077" s="15">
        <v>91</v>
      </c>
      <c r="F1077" s="15">
        <v>90</v>
      </c>
      <c r="G1077" s="13">
        <v>45672</v>
      </c>
      <c r="H1077" s="19">
        <v>5000</v>
      </c>
      <c r="I1077" s="19">
        <v>4531.2600000000011</v>
      </c>
      <c r="J1077" s="20">
        <v>0.90625200000000006</v>
      </c>
      <c r="K1077" s="19">
        <v>4531.2600000000011</v>
      </c>
      <c r="L1077" s="20">
        <v>0.90625200000000028</v>
      </c>
      <c r="M1077" s="21">
        <v>0</v>
      </c>
      <c r="N1077" s="19">
        <v>0</v>
      </c>
      <c r="O1077" s="23">
        <v>1000</v>
      </c>
      <c r="P1077" s="24">
        <v>1300</v>
      </c>
      <c r="Q1077" s="25">
        <v>1.3</v>
      </c>
      <c r="R1077" s="24">
        <v>906.25199999999995</v>
      </c>
      <c r="S1077" s="25">
        <v>0.90625199999999995</v>
      </c>
      <c r="T1077" s="26">
        <v>0.69711699999999999</v>
      </c>
      <c r="U1077" s="24">
        <v>0</v>
      </c>
      <c r="V1077" s="19">
        <v>6000</v>
      </c>
      <c r="W1077" s="19">
        <v>5831.2600000000011</v>
      </c>
      <c r="X1077" s="21">
        <v>0.97187666666666683</v>
      </c>
      <c r="Y1077" s="19">
        <v>5437.5120000000006</v>
      </c>
      <c r="Z1077" s="20">
        <v>0.90625200000000006</v>
      </c>
      <c r="AA1077" s="30">
        <v>8.9300000000000004E-2</v>
      </c>
      <c r="AB1077" s="27">
        <v>7.0000000000000007E-2</v>
      </c>
      <c r="AC1077" s="27">
        <v>8.929999999999999E-2</v>
      </c>
      <c r="AD1077" s="11">
        <v>8.776535157991372E-2</v>
      </c>
    </row>
    <row r="1078" spans="1:30" x14ac:dyDescent="0.25">
      <c r="A1078" s="13">
        <v>45582</v>
      </c>
      <c r="B1078" s="46" t="s">
        <v>636</v>
      </c>
      <c r="C1078" s="13">
        <v>45583</v>
      </c>
      <c r="D1078" s="15" t="s">
        <v>1242</v>
      </c>
      <c r="E1078" s="15">
        <v>378</v>
      </c>
      <c r="F1078" s="15">
        <v>360</v>
      </c>
      <c r="G1078" s="13">
        <v>45961</v>
      </c>
      <c r="H1078" s="19">
        <v>5800</v>
      </c>
      <c r="I1078" s="19">
        <v>8620.64</v>
      </c>
      <c r="J1078" s="20">
        <v>1.4863172413793098</v>
      </c>
      <c r="K1078" s="19">
        <v>8220.64</v>
      </c>
      <c r="L1078" s="20">
        <v>1.417351724137931</v>
      </c>
      <c r="M1078" s="21">
        <v>0</v>
      </c>
      <c r="N1078" s="19">
        <v>0</v>
      </c>
      <c r="O1078" s="23">
        <v>1160</v>
      </c>
      <c r="P1078" s="24">
        <v>1000</v>
      </c>
      <c r="Q1078" s="25">
        <v>0.86206896551724133</v>
      </c>
      <c r="R1078" s="24">
        <v>1000</v>
      </c>
      <c r="S1078" s="25">
        <v>0.86206896551724133</v>
      </c>
      <c r="T1078" s="26">
        <v>0</v>
      </c>
      <c r="U1078" s="24">
        <v>0</v>
      </c>
      <c r="V1078" s="19">
        <v>6960</v>
      </c>
      <c r="W1078" s="19">
        <v>9620.64</v>
      </c>
      <c r="X1078" s="21">
        <v>1.3822758620689655</v>
      </c>
      <c r="Y1078" s="19">
        <v>9220.64</v>
      </c>
      <c r="Z1078" s="20">
        <v>1.3248045977011493</v>
      </c>
      <c r="AA1078" s="30">
        <v>8.9900000000000049E-2</v>
      </c>
      <c r="AB1078" s="27">
        <v>0.08</v>
      </c>
      <c r="AC1078" s="27">
        <v>9.0500000000000011E-2</v>
      </c>
      <c r="AD1078" s="11">
        <v>8.8388570338165162E-2</v>
      </c>
    </row>
    <row r="1079" spans="1:30" x14ac:dyDescent="0.25">
      <c r="A1079" s="13">
        <v>45586</v>
      </c>
      <c r="B1079" s="46" t="s">
        <v>636</v>
      </c>
      <c r="C1079" s="13">
        <v>45586</v>
      </c>
      <c r="D1079" s="15" t="s">
        <v>1243</v>
      </c>
      <c r="E1079" s="15">
        <v>35</v>
      </c>
      <c r="F1079" s="15">
        <v>30</v>
      </c>
      <c r="G1079" s="13">
        <v>45621</v>
      </c>
      <c r="H1079" s="19">
        <v>6600</v>
      </c>
      <c r="I1079" s="19">
        <v>5594.69</v>
      </c>
      <c r="J1079" s="20">
        <v>0.84768030303030262</v>
      </c>
      <c r="K1079" s="19">
        <v>5594.69</v>
      </c>
      <c r="L1079" s="20">
        <v>0.84768030303030295</v>
      </c>
      <c r="M1079" s="21">
        <v>0</v>
      </c>
      <c r="N1079" s="19">
        <v>0</v>
      </c>
      <c r="O1079" s="23">
        <v>1320</v>
      </c>
      <c r="P1079" s="24">
        <v>1320</v>
      </c>
      <c r="Q1079" s="25">
        <v>1</v>
      </c>
      <c r="R1079" s="24">
        <v>1118.9380000000001</v>
      </c>
      <c r="S1079" s="25">
        <v>0.84768030303030306</v>
      </c>
      <c r="T1079" s="26">
        <v>0.84768030303030306</v>
      </c>
      <c r="U1079" s="24">
        <v>0</v>
      </c>
      <c r="V1079" s="19">
        <v>7920</v>
      </c>
      <c r="W1079" s="19">
        <v>6914.69</v>
      </c>
      <c r="X1079" s="21">
        <v>0.87306691919191914</v>
      </c>
      <c r="Y1079" s="19">
        <v>6713.6279999999997</v>
      </c>
      <c r="Z1079" s="20">
        <v>0.84768030303030295</v>
      </c>
      <c r="AA1079" s="30">
        <v>8.8999999999999982E-2</v>
      </c>
      <c r="AB1079" s="27">
        <v>7.0000000000000007E-2</v>
      </c>
      <c r="AC1079" s="27">
        <v>8.900000000000001E-2</v>
      </c>
      <c r="AD1079" s="11">
        <v>8.6721955103857398E-2</v>
      </c>
    </row>
    <row r="1080" spans="1:30" x14ac:dyDescent="0.25">
      <c r="A1080" s="13">
        <v>45588</v>
      </c>
      <c r="B1080" s="46" t="s">
        <v>636</v>
      </c>
      <c r="C1080" s="13">
        <v>45588</v>
      </c>
      <c r="D1080" s="15" t="s">
        <v>1244</v>
      </c>
      <c r="E1080" s="15">
        <v>84</v>
      </c>
      <c r="F1080" s="15">
        <v>90</v>
      </c>
      <c r="G1080" s="13">
        <v>45672</v>
      </c>
      <c r="H1080" s="19">
        <v>5800</v>
      </c>
      <c r="I1080" s="19">
        <v>5636.98</v>
      </c>
      <c r="J1080" s="20">
        <v>0.97189310344827606</v>
      </c>
      <c r="K1080" s="19">
        <v>5636.98</v>
      </c>
      <c r="L1080" s="20">
        <v>0.97189310344827584</v>
      </c>
      <c r="M1080" s="21">
        <v>0</v>
      </c>
      <c r="N1080" s="19">
        <v>0</v>
      </c>
      <c r="O1080" s="23">
        <v>1160</v>
      </c>
      <c r="P1080" s="24">
        <v>1.59</v>
      </c>
      <c r="Q1080" s="25">
        <v>1.370689655172414E-3</v>
      </c>
      <c r="R1080" s="24">
        <v>1.59</v>
      </c>
      <c r="S1080" s="25">
        <v>1.370689655172414E-3</v>
      </c>
      <c r="T1080" s="26">
        <v>0</v>
      </c>
      <c r="U1080" s="24">
        <v>0</v>
      </c>
      <c r="V1080" s="19">
        <v>6960</v>
      </c>
      <c r="W1080" s="19">
        <v>5638.57</v>
      </c>
      <c r="X1080" s="21">
        <v>0.81013936781609186</v>
      </c>
      <c r="Y1080" s="19">
        <v>5638.57</v>
      </c>
      <c r="Z1080" s="20">
        <v>0.81013936781609186</v>
      </c>
      <c r="AA1080" s="30">
        <v>8.9500000000000024E-2</v>
      </c>
      <c r="AB1080" s="27">
        <v>7.0000000000000007E-2</v>
      </c>
      <c r="AC1080" s="27">
        <v>8.9499999999999996E-2</v>
      </c>
      <c r="AD1080" s="11">
        <v>8.8369821784004932E-2</v>
      </c>
    </row>
    <row r="1081" spans="1:30" x14ac:dyDescent="0.25">
      <c r="A1081" s="13">
        <v>45590</v>
      </c>
      <c r="B1081" s="46" t="s">
        <v>636</v>
      </c>
      <c r="C1081" s="13">
        <v>45590</v>
      </c>
      <c r="D1081" s="15" t="s">
        <v>1250</v>
      </c>
      <c r="E1081" s="15">
        <v>168</v>
      </c>
      <c r="F1081" s="15">
        <v>180</v>
      </c>
      <c r="G1081" s="13">
        <v>45758</v>
      </c>
      <c r="H1081" s="19">
        <v>3400</v>
      </c>
      <c r="I1081" s="19">
        <v>4271.4700000000012</v>
      </c>
      <c r="J1081" s="20">
        <v>1.2563147058823532</v>
      </c>
      <c r="K1081" s="19">
        <v>4271.4700000000012</v>
      </c>
      <c r="L1081" s="20">
        <v>1.2563147058823534</v>
      </c>
      <c r="M1081" s="21">
        <v>0</v>
      </c>
      <c r="N1081" s="19">
        <v>0</v>
      </c>
      <c r="O1081" s="23">
        <v>680</v>
      </c>
      <c r="P1081" s="24">
        <v>680</v>
      </c>
      <c r="Q1081" s="25">
        <v>1</v>
      </c>
      <c r="R1081" s="24">
        <v>680</v>
      </c>
      <c r="S1081" s="25">
        <v>1</v>
      </c>
      <c r="T1081" s="26">
        <v>0</v>
      </c>
      <c r="U1081" s="24">
        <v>0</v>
      </c>
      <c r="V1081" s="19">
        <v>4080</v>
      </c>
      <c r="W1081" s="19">
        <v>4951.4700000000012</v>
      </c>
      <c r="X1081" s="21">
        <v>1.2135955882352945</v>
      </c>
      <c r="Y1081" s="19">
        <v>4951.4700000000012</v>
      </c>
      <c r="Z1081" s="20">
        <v>1.2135955882352945</v>
      </c>
      <c r="AA1081" s="30">
        <v>8.9499999999999996E-2</v>
      </c>
      <c r="AB1081" s="27">
        <v>0.08</v>
      </c>
      <c r="AC1081" s="27">
        <v>8.9499999999999996E-2</v>
      </c>
      <c r="AD1081" s="11">
        <v>8.7941981800176511E-2</v>
      </c>
    </row>
    <row r="1082" spans="1:30" x14ac:dyDescent="0.25">
      <c r="A1082" s="13">
        <v>45593</v>
      </c>
      <c r="B1082" s="46" t="s">
        <v>636</v>
      </c>
      <c r="C1082" s="13">
        <v>45593</v>
      </c>
      <c r="D1082" s="15" t="s">
        <v>1251</v>
      </c>
      <c r="E1082" s="15">
        <v>35</v>
      </c>
      <c r="F1082" s="15">
        <v>30</v>
      </c>
      <c r="G1082" s="13">
        <v>45628</v>
      </c>
      <c r="H1082" s="19">
        <v>8400</v>
      </c>
      <c r="I1082" s="19">
        <v>6985.17</v>
      </c>
      <c r="J1082" s="20">
        <v>0.83156785714285697</v>
      </c>
      <c r="K1082" s="19">
        <v>5985.17</v>
      </c>
      <c r="L1082" s="20">
        <v>0.71252023809523812</v>
      </c>
      <c r="M1082" s="21">
        <v>0</v>
      </c>
      <c r="N1082" s="19">
        <v>0</v>
      </c>
      <c r="O1082" s="23">
        <v>1680</v>
      </c>
      <c r="P1082" s="24">
        <v>3427.2</v>
      </c>
      <c r="Q1082" s="25">
        <v>2.04</v>
      </c>
      <c r="R1082" s="24">
        <v>1197.0339999999999</v>
      </c>
      <c r="S1082" s="25">
        <v>0.71252023809523801</v>
      </c>
      <c r="T1082" s="26">
        <v>0.349275</v>
      </c>
      <c r="U1082" s="24">
        <v>0</v>
      </c>
      <c r="V1082" s="19">
        <v>10080</v>
      </c>
      <c r="W1082" s="19">
        <v>10412.369999999999</v>
      </c>
      <c r="X1082" s="21">
        <v>1.0329732142857142</v>
      </c>
      <c r="Y1082" s="19">
        <v>7182.2039999999997</v>
      </c>
      <c r="Z1082" s="20">
        <v>0.71252023809523812</v>
      </c>
      <c r="AA1082" s="30">
        <v>8.910000000000004E-2</v>
      </c>
      <c r="AB1082" s="27">
        <v>7.4999999999999997E-2</v>
      </c>
      <c r="AC1082" s="27">
        <v>8.9900000000000008E-2</v>
      </c>
      <c r="AD1082" s="11">
        <v>8.6521833827952657E-2</v>
      </c>
    </row>
    <row r="1083" spans="1:30" x14ac:dyDescent="0.25">
      <c r="A1083" s="13">
        <v>45595</v>
      </c>
      <c r="B1083" s="46" t="s">
        <v>636</v>
      </c>
      <c r="C1083" s="13">
        <v>45595</v>
      </c>
      <c r="D1083" s="15" t="s">
        <v>1252</v>
      </c>
      <c r="E1083" s="15">
        <v>98</v>
      </c>
      <c r="F1083" s="15">
        <v>90</v>
      </c>
      <c r="G1083" s="13">
        <v>45693</v>
      </c>
      <c r="H1083" s="19">
        <v>5800</v>
      </c>
      <c r="I1083" s="19">
        <v>5514.38</v>
      </c>
      <c r="J1083" s="20">
        <v>0.95075517241379326</v>
      </c>
      <c r="K1083" s="19">
        <v>5014.38</v>
      </c>
      <c r="L1083" s="20">
        <v>0.86454827586206895</v>
      </c>
      <c r="M1083" s="21">
        <v>0</v>
      </c>
      <c r="N1083" s="19">
        <v>0</v>
      </c>
      <c r="O1083" s="23">
        <v>1160</v>
      </c>
      <c r="P1083" s="24">
        <v>2330</v>
      </c>
      <c r="Q1083" s="25">
        <v>2.0086206896551726</v>
      </c>
      <c r="R1083" s="24">
        <v>1002.876</v>
      </c>
      <c r="S1083" s="25">
        <v>0.86454827586206895</v>
      </c>
      <c r="T1083" s="26">
        <v>0.43041999999999997</v>
      </c>
      <c r="U1083" s="24">
        <v>0</v>
      </c>
      <c r="V1083" s="19">
        <v>6960</v>
      </c>
      <c r="W1083" s="19">
        <v>7844.38</v>
      </c>
      <c r="X1083" s="21">
        <v>1.127066091954023</v>
      </c>
      <c r="Y1083" s="19">
        <v>6017.2560000000003</v>
      </c>
      <c r="Z1083" s="20">
        <v>0.86454827586206906</v>
      </c>
      <c r="AA1083" s="30">
        <v>8.9399999999999979E-2</v>
      </c>
      <c r="AB1083" s="27">
        <v>0.06</v>
      </c>
      <c r="AC1083" s="27">
        <v>8.9800000000000005E-2</v>
      </c>
      <c r="AD1083" s="11">
        <v>8.7672501713701265E-2</v>
      </c>
    </row>
    <row r="1084" spans="1:30" x14ac:dyDescent="0.25">
      <c r="A1084" s="13">
        <v>45596</v>
      </c>
      <c r="B1084" s="46" t="s">
        <v>636</v>
      </c>
      <c r="C1084" s="13">
        <v>45597</v>
      </c>
      <c r="D1084" s="15" t="s">
        <v>1253</v>
      </c>
      <c r="E1084" s="15">
        <v>371</v>
      </c>
      <c r="F1084" s="15">
        <v>360</v>
      </c>
      <c r="G1084" s="13">
        <v>45968</v>
      </c>
      <c r="H1084" s="19">
        <v>5800</v>
      </c>
      <c r="I1084" s="19">
        <v>5461.01</v>
      </c>
      <c r="J1084" s="20">
        <v>0.94155344827586196</v>
      </c>
      <c r="K1084" s="19">
        <v>5261.01</v>
      </c>
      <c r="L1084" s="20">
        <v>0.90707068965517246</v>
      </c>
      <c r="M1084" s="21">
        <v>0</v>
      </c>
      <c r="N1084" s="19">
        <v>0</v>
      </c>
      <c r="O1084" s="23">
        <v>1160</v>
      </c>
      <c r="P1084" s="24">
        <v>1167</v>
      </c>
      <c r="Q1084" s="25">
        <v>1.0060344827586207</v>
      </c>
      <c r="R1084" s="24">
        <v>1052.202</v>
      </c>
      <c r="S1084" s="25">
        <v>0.90707068965517246</v>
      </c>
      <c r="T1084" s="26">
        <v>0.9016298275862068</v>
      </c>
      <c r="U1084" s="24">
        <v>0</v>
      </c>
      <c r="V1084" s="19">
        <v>6960</v>
      </c>
      <c r="W1084" s="19">
        <v>6628.01</v>
      </c>
      <c r="X1084" s="21">
        <v>0.95230028735632188</v>
      </c>
      <c r="Y1084" s="19">
        <v>6313.2120000000004</v>
      </c>
      <c r="Z1084" s="20">
        <v>0.90707068965517246</v>
      </c>
      <c r="AA1084" s="30">
        <v>8.9900000000000049E-2</v>
      </c>
      <c r="AB1084" s="27">
        <v>0.08</v>
      </c>
      <c r="AC1084" s="27">
        <v>0.09</v>
      </c>
      <c r="AD1084" s="11">
        <v>8.8558533494719843E-2</v>
      </c>
    </row>
    <row r="1085" spans="1:30" x14ac:dyDescent="0.25">
      <c r="A1085" s="13">
        <v>45600</v>
      </c>
      <c r="B1085" s="46" t="s">
        <v>636</v>
      </c>
      <c r="C1085" s="13">
        <v>45600</v>
      </c>
      <c r="D1085" s="15" t="s">
        <v>1254</v>
      </c>
      <c r="E1085" s="15">
        <v>35</v>
      </c>
      <c r="F1085" s="15">
        <v>30</v>
      </c>
      <c r="G1085" s="13">
        <v>45635</v>
      </c>
      <c r="H1085" s="19">
        <v>7500</v>
      </c>
      <c r="I1085" s="19">
        <v>12894.619999999999</v>
      </c>
      <c r="J1085" s="20">
        <v>1.7192826666666665</v>
      </c>
      <c r="K1085" s="19">
        <v>10594.619999999999</v>
      </c>
      <c r="L1085" s="20">
        <v>1.4126159999999999</v>
      </c>
      <c r="M1085" s="21">
        <v>0</v>
      </c>
      <c r="N1085" s="19">
        <v>0</v>
      </c>
      <c r="O1085" s="23">
        <v>1500</v>
      </c>
      <c r="P1085" s="24">
        <v>1562.5</v>
      </c>
      <c r="Q1085" s="25">
        <v>1.0416666666666667</v>
      </c>
      <c r="R1085" s="24">
        <v>1500</v>
      </c>
      <c r="S1085" s="25">
        <v>1</v>
      </c>
      <c r="T1085" s="26">
        <v>0.96</v>
      </c>
      <c r="U1085" s="24">
        <v>0</v>
      </c>
      <c r="V1085" s="19">
        <v>9000</v>
      </c>
      <c r="W1085" s="19">
        <v>14457.119999999999</v>
      </c>
      <c r="X1085" s="21">
        <v>1.6063466666666666</v>
      </c>
      <c r="Y1085" s="19">
        <v>12094.619999999999</v>
      </c>
      <c r="Z1085" s="20">
        <v>1.3438466666666666</v>
      </c>
      <c r="AA1085" s="30">
        <v>8.869999999999989E-2</v>
      </c>
      <c r="AB1085" s="27">
        <v>7.0000000000000007E-2</v>
      </c>
      <c r="AC1085" s="27">
        <v>8.9099999999999999E-2</v>
      </c>
      <c r="AD1085" s="11">
        <v>8.6437677651609743E-2</v>
      </c>
    </row>
    <row r="1086" spans="1:30" x14ac:dyDescent="0.25">
      <c r="A1086" s="13">
        <v>45602</v>
      </c>
      <c r="B1086" s="46" t="s">
        <v>636</v>
      </c>
      <c r="C1086" s="13">
        <v>45602</v>
      </c>
      <c r="D1086" s="15" t="s">
        <v>1255</v>
      </c>
      <c r="E1086" s="15">
        <v>98</v>
      </c>
      <c r="F1086" s="15">
        <v>90</v>
      </c>
      <c r="G1086" s="13">
        <v>45700</v>
      </c>
      <c r="H1086" s="19">
        <v>5000</v>
      </c>
      <c r="I1086" s="19">
        <v>4607.2</v>
      </c>
      <c r="J1086" s="20">
        <v>0.92144000000000015</v>
      </c>
      <c r="K1086" s="19">
        <v>4607.2</v>
      </c>
      <c r="L1086" s="20">
        <v>0.92143999999999993</v>
      </c>
      <c r="M1086" s="21">
        <v>0</v>
      </c>
      <c r="N1086" s="19">
        <v>0</v>
      </c>
      <c r="O1086" s="23">
        <v>1000</v>
      </c>
      <c r="P1086" s="24">
        <v>1000.1</v>
      </c>
      <c r="Q1086" s="25">
        <v>1.0001</v>
      </c>
      <c r="R1086" s="24">
        <v>921.43999999999994</v>
      </c>
      <c r="S1086" s="25">
        <v>0.92143999999999993</v>
      </c>
      <c r="T1086" s="26">
        <v>0.9213479</v>
      </c>
      <c r="U1086" s="24">
        <v>0</v>
      </c>
      <c r="V1086" s="19">
        <v>6000</v>
      </c>
      <c r="W1086" s="19">
        <v>5607.3</v>
      </c>
      <c r="X1086" s="21">
        <v>0.93454999999999999</v>
      </c>
      <c r="Y1086" s="19">
        <v>5528.6399999999994</v>
      </c>
      <c r="Z1086" s="20">
        <v>0.92143999999999993</v>
      </c>
      <c r="AA1086" s="30">
        <v>8.9700000000000071E-2</v>
      </c>
      <c r="AB1086" s="27">
        <v>0.06</v>
      </c>
      <c r="AC1086" s="27">
        <v>8.9700000000000002E-2</v>
      </c>
      <c r="AD1086" s="11">
        <v>8.7929390302135785E-2</v>
      </c>
    </row>
    <row r="1087" spans="1:30" x14ac:dyDescent="0.25">
      <c r="A1087" s="13">
        <v>45604</v>
      </c>
      <c r="B1087" s="46" t="s">
        <v>636</v>
      </c>
      <c r="C1087" s="13">
        <v>45604</v>
      </c>
      <c r="D1087" s="15" t="s">
        <v>1256</v>
      </c>
      <c r="E1087" s="15">
        <v>189</v>
      </c>
      <c r="F1087" s="15">
        <v>180</v>
      </c>
      <c r="G1087" s="13">
        <v>45793</v>
      </c>
      <c r="H1087" s="19">
        <v>5000</v>
      </c>
      <c r="I1087" s="19">
        <v>6522.17</v>
      </c>
      <c r="J1087" s="20">
        <v>1.3044340000000003</v>
      </c>
      <c r="K1087" s="19">
        <v>5222.17</v>
      </c>
      <c r="L1087" s="20">
        <v>1.0444340000000001</v>
      </c>
      <c r="M1087" s="21">
        <v>0</v>
      </c>
      <c r="N1087" s="19">
        <v>0</v>
      </c>
      <c r="O1087" s="23">
        <v>1000</v>
      </c>
      <c r="P1087" s="24">
        <v>800</v>
      </c>
      <c r="Q1087" s="25">
        <v>0.8</v>
      </c>
      <c r="R1087" s="24">
        <v>800</v>
      </c>
      <c r="S1087" s="25">
        <v>0.8</v>
      </c>
      <c r="T1087" s="26">
        <v>0</v>
      </c>
      <c r="U1087" s="24">
        <v>0</v>
      </c>
      <c r="V1087" s="19">
        <v>6000</v>
      </c>
      <c r="W1087" s="19">
        <v>7322.17</v>
      </c>
      <c r="X1087" s="21">
        <v>1.2203616666666668</v>
      </c>
      <c r="Y1087" s="19">
        <v>6022.17</v>
      </c>
      <c r="Z1087" s="20">
        <v>1.003695</v>
      </c>
      <c r="AA1087" s="30">
        <v>8.9500000000000052E-2</v>
      </c>
      <c r="AB1087" s="27">
        <v>7.0000000000000007E-2</v>
      </c>
      <c r="AC1087" s="27">
        <v>0.09</v>
      </c>
      <c r="AD1087" s="11">
        <v>8.7860594556719643E-2</v>
      </c>
    </row>
    <row r="1088" spans="1:30" x14ac:dyDescent="0.25">
      <c r="A1088" s="13">
        <v>45607</v>
      </c>
      <c r="B1088" s="46" t="s">
        <v>636</v>
      </c>
      <c r="C1088" s="13">
        <v>45607</v>
      </c>
      <c r="D1088" s="15" t="s">
        <v>1257</v>
      </c>
      <c r="E1088" s="15">
        <v>35</v>
      </c>
      <c r="F1088" s="15">
        <v>30</v>
      </c>
      <c r="G1088" s="13">
        <v>45642</v>
      </c>
      <c r="H1088" s="19">
        <v>5000</v>
      </c>
      <c r="I1088" s="19">
        <v>4451.7199999999993</v>
      </c>
      <c r="J1088" s="20">
        <v>0.89034400000000002</v>
      </c>
      <c r="K1088" s="19">
        <v>3751.72</v>
      </c>
      <c r="L1088" s="20">
        <v>0.75034400000000001</v>
      </c>
      <c r="M1088" s="21">
        <v>0</v>
      </c>
      <c r="N1088" s="19">
        <v>0</v>
      </c>
      <c r="O1088" s="23">
        <v>1000</v>
      </c>
      <c r="P1088" s="24">
        <v>2007.7</v>
      </c>
      <c r="Q1088" s="25">
        <v>2.0076999999999998</v>
      </c>
      <c r="R1088" s="24">
        <v>750.34399999999994</v>
      </c>
      <c r="S1088" s="25">
        <v>0.7503439999999999</v>
      </c>
      <c r="T1088" s="26">
        <v>0.37375999999999998</v>
      </c>
      <c r="U1088" s="24">
        <v>0</v>
      </c>
      <c r="V1088" s="19">
        <v>6000</v>
      </c>
      <c r="W1088" s="19">
        <v>6459.4199999999992</v>
      </c>
      <c r="X1088" s="21">
        <v>1.0765699999999998</v>
      </c>
      <c r="Y1088" s="19">
        <v>4502.0639999999994</v>
      </c>
      <c r="Z1088" s="20">
        <v>0.7503439999999999</v>
      </c>
      <c r="AA1088" s="30">
        <v>8.9100000000000026E-2</v>
      </c>
      <c r="AB1088" s="27">
        <v>7.0000000000000007E-2</v>
      </c>
      <c r="AC1088" s="27">
        <v>8.9900000000000008E-2</v>
      </c>
      <c r="AD1088" s="11">
        <v>8.7991777335501814E-2</v>
      </c>
    </row>
    <row r="1089" spans="1:30" x14ac:dyDescent="0.25">
      <c r="A1089" s="13">
        <v>45609</v>
      </c>
      <c r="B1089" s="46" t="s">
        <v>636</v>
      </c>
      <c r="C1089" s="13">
        <v>45609</v>
      </c>
      <c r="D1089" s="15" t="s">
        <v>1258</v>
      </c>
      <c r="E1089" s="15">
        <v>91</v>
      </c>
      <c r="F1089" s="15">
        <v>90</v>
      </c>
      <c r="G1089" s="13">
        <v>45700</v>
      </c>
      <c r="H1089" s="19">
        <v>4200</v>
      </c>
      <c r="I1089" s="19">
        <v>5149.6500000000005</v>
      </c>
      <c r="J1089" s="20">
        <v>1.2261071428571424</v>
      </c>
      <c r="K1089" s="19">
        <v>4949.0400000000009</v>
      </c>
      <c r="L1089" s="20">
        <v>1.1783428571428574</v>
      </c>
      <c r="M1089" s="21">
        <v>0</v>
      </c>
      <c r="N1089" s="19">
        <v>0</v>
      </c>
      <c r="O1089" s="23">
        <v>840</v>
      </c>
      <c r="P1089" s="24">
        <v>1440</v>
      </c>
      <c r="Q1089" s="25">
        <v>1.7142857142857142</v>
      </c>
      <c r="R1089" s="24">
        <v>840</v>
      </c>
      <c r="S1089" s="25">
        <v>1</v>
      </c>
      <c r="T1089" s="26">
        <v>0.58333350000000006</v>
      </c>
      <c r="U1089" s="24">
        <v>0</v>
      </c>
      <c r="V1089" s="19">
        <v>5040</v>
      </c>
      <c r="W1089" s="19">
        <v>6589.6500000000005</v>
      </c>
      <c r="X1089" s="21">
        <v>1.3074702380952381</v>
      </c>
      <c r="Y1089" s="19">
        <v>5789.0400000000009</v>
      </c>
      <c r="Z1089" s="20">
        <v>1.1486190476190479</v>
      </c>
      <c r="AA1089" s="30">
        <v>8.9799999999999991E-2</v>
      </c>
      <c r="AB1089" s="27">
        <v>7.9699999999999993E-2</v>
      </c>
      <c r="AC1089" s="27">
        <v>9.7799999999999998E-2</v>
      </c>
      <c r="AD1089" s="11">
        <v>8.9156663656753343E-2</v>
      </c>
    </row>
    <row r="1090" spans="1:30" x14ac:dyDescent="0.25">
      <c r="A1090" s="13">
        <v>45610</v>
      </c>
      <c r="B1090" s="46" t="s">
        <v>636</v>
      </c>
      <c r="C1090" s="13">
        <v>45611</v>
      </c>
      <c r="D1090" s="15" t="s">
        <v>1259</v>
      </c>
      <c r="E1090" s="15">
        <v>357</v>
      </c>
      <c r="F1090" s="15">
        <v>360</v>
      </c>
      <c r="G1090" s="13">
        <v>45968</v>
      </c>
      <c r="H1090" s="19">
        <v>5000</v>
      </c>
      <c r="I1090" s="19">
        <v>3742.3500000000004</v>
      </c>
      <c r="J1090" s="20">
        <v>0.74847000000000008</v>
      </c>
      <c r="K1090" s="19">
        <v>3592.3500000000004</v>
      </c>
      <c r="L1090" s="20">
        <v>0.71847000000000005</v>
      </c>
      <c r="M1090" s="21">
        <v>0</v>
      </c>
      <c r="N1090" s="19">
        <v>0</v>
      </c>
      <c r="O1090" s="23">
        <v>1000</v>
      </c>
      <c r="P1090" s="24">
        <v>200</v>
      </c>
      <c r="Q1090" s="25">
        <v>0.2</v>
      </c>
      <c r="R1090" s="24">
        <v>200</v>
      </c>
      <c r="S1090" s="25">
        <v>0.2</v>
      </c>
      <c r="T1090" s="26">
        <v>0</v>
      </c>
      <c r="U1090" s="24">
        <v>0</v>
      </c>
      <c r="V1090" s="19">
        <v>6000</v>
      </c>
      <c r="W1090" s="19">
        <v>3942.3500000000004</v>
      </c>
      <c r="X1090" s="21">
        <v>0.65705833333333341</v>
      </c>
      <c r="Y1090" s="19">
        <v>3792.3500000000004</v>
      </c>
      <c r="Z1090" s="20">
        <v>0.63205833333333339</v>
      </c>
      <c r="AA1090" s="30">
        <v>8.9900000000000035E-2</v>
      </c>
      <c r="AB1090" s="27">
        <v>7.9899999999999999E-2</v>
      </c>
      <c r="AC1090" s="27">
        <v>9.0500000000000011E-2</v>
      </c>
      <c r="AD1090" s="11">
        <v>8.9049459564177591E-2</v>
      </c>
    </row>
    <row r="1091" spans="1:30" x14ac:dyDescent="0.25">
      <c r="A1091" s="13">
        <v>45614</v>
      </c>
      <c r="B1091" s="46" t="s">
        <v>636</v>
      </c>
      <c r="C1091" s="13">
        <v>45614</v>
      </c>
      <c r="D1091" s="15" t="s">
        <v>1260</v>
      </c>
      <c r="E1091" s="15">
        <v>35</v>
      </c>
      <c r="F1091" s="15">
        <v>30</v>
      </c>
      <c r="G1091" s="13">
        <v>45649</v>
      </c>
      <c r="H1091" s="19">
        <v>8300</v>
      </c>
      <c r="I1091" s="19">
        <v>8640.4800000000014</v>
      </c>
      <c r="J1091" s="20">
        <v>1.0410216867469881</v>
      </c>
      <c r="K1091" s="19">
        <v>7410.4800000000005</v>
      </c>
      <c r="L1091" s="20">
        <v>0.89282891566265066</v>
      </c>
      <c r="M1091" s="21">
        <v>0</v>
      </c>
      <c r="N1091" s="19">
        <v>0</v>
      </c>
      <c r="O1091" s="23">
        <v>1660</v>
      </c>
      <c r="P1091" s="24">
        <v>3476.3</v>
      </c>
      <c r="Q1091" s="25">
        <v>2.0941566265060239</v>
      </c>
      <c r="R1091" s="24">
        <v>1482.096</v>
      </c>
      <c r="S1091" s="25">
        <v>0.89282891566265066</v>
      </c>
      <c r="T1091" s="26">
        <v>0.42634513274336283</v>
      </c>
      <c r="U1091" s="24">
        <v>0</v>
      </c>
      <c r="V1091" s="19">
        <v>9960</v>
      </c>
      <c r="W1091" s="19">
        <v>12116.780000000002</v>
      </c>
      <c r="X1091" s="21">
        <v>1.2165441767068275</v>
      </c>
      <c r="Y1091" s="19">
        <v>8892.5760000000009</v>
      </c>
      <c r="Z1091" s="20">
        <v>0.89282891566265066</v>
      </c>
      <c r="AA1091" s="30">
        <v>8.8999999999999982E-2</v>
      </c>
      <c r="AB1091" s="27">
        <v>7.0000000000000007E-2</v>
      </c>
      <c r="AC1091" s="27">
        <v>9.01E-2</v>
      </c>
      <c r="AD1091" s="11">
        <v>8.7795046918689695E-2</v>
      </c>
    </row>
    <row r="1092" spans="1:30" x14ac:dyDescent="0.25">
      <c r="A1092" s="13">
        <v>45616</v>
      </c>
      <c r="B1092" s="46" t="s">
        <v>636</v>
      </c>
      <c r="C1092" s="13">
        <v>45616</v>
      </c>
      <c r="D1092" s="15" t="s">
        <v>1261</v>
      </c>
      <c r="E1092" s="15">
        <v>98</v>
      </c>
      <c r="F1092" s="15">
        <v>90</v>
      </c>
      <c r="G1092" s="13">
        <v>45714</v>
      </c>
      <c r="H1092" s="19">
        <v>5800</v>
      </c>
      <c r="I1092" s="19">
        <v>7967.170000000001</v>
      </c>
      <c r="J1092" s="20">
        <v>1.37365</v>
      </c>
      <c r="K1092" s="19">
        <v>7967.170000000001</v>
      </c>
      <c r="L1092" s="20">
        <v>1.3736500000000003</v>
      </c>
      <c r="M1092" s="21">
        <v>0</v>
      </c>
      <c r="N1092" s="19">
        <v>0</v>
      </c>
      <c r="O1092" s="23">
        <v>1160</v>
      </c>
      <c r="P1092" s="24">
        <v>1592</v>
      </c>
      <c r="Q1092" s="25">
        <v>1.3724137931034481</v>
      </c>
      <c r="R1092" s="24">
        <v>1160</v>
      </c>
      <c r="S1092" s="25">
        <v>1</v>
      </c>
      <c r="T1092" s="26">
        <v>0.72865000000000002</v>
      </c>
      <c r="U1092" s="24">
        <v>0</v>
      </c>
      <c r="V1092" s="19">
        <v>6960</v>
      </c>
      <c r="W1092" s="19">
        <v>9559.1700000000019</v>
      </c>
      <c r="X1092" s="21">
        <v>1.3734439655172417</v>
      </c>
      <c r="Y1092" s="19">
        <v>9127.1700000000019</v>
      </c>
      <c r="Z1092" s="20">
        <v>1.3113750000000002</v>
      </c>
      <c r="AA1092" s="30">
        <v>8.9799999999999977E-2</v>
      </c>
      <c r="AB1092" s="27">
        <v>7.0000000000000007E-2</v>
      </c>
      <c r="AC1092" s="27">
        <v>8.9800000000000005E-2</v>
      </c>
      <c r="AD1092" s="11">
        <v>8.8181675802072743E-2</v>
      </c>
    </row>
    <row r="1093" spans="1:30" x14ac:dyDescent="0.25">
      <c r="A1093" s="13">
        <v>45618</v>
      </c>
      <c r="B1093" s="46" t="s">
        <v>636</v>
      </c>
      <c r="C1093" s="13">
        <v>45618</v>
      </c>
      <c r="D1093" s="15" t="s">
        <v>1263</v>
      </c>
      <c r="E1093" s="15">
        <v>175</v>
      </c>
      <c r="F1093" s="15">
        <v>180</v>
      </c>
      <c r="G1093" s="13">
        <v>45793</v>
      </c>
      <c r="H1093" s="19">
        <v>3300</v>
      </c>
      <c r="I1093" s="19">
        <v>2756.8199999999997</v>
      </c>
      <c r="J1093" s="20">
        <v>0.8353999999999997</v>
      </c>
      <c r="K1093" s="19">
        <v>2756.8199999999997</v>
      </c>
      <c r="L1093" s="20">
        <v>0.83539999999999992</v>
      </c>
      <c r="M1093" s="21">
        <v>0</v>
      </c>
      <c r="N1093" s="19">
        <v>0</v>
      </c>
      <c r="O1093" s="23">
        <v>660</v>
      </c>
      <c r="P1093" s="24">
        <v>680</v>
      </c>
      <c r="Q1093" s="25">
        <v>1.0303030303030303</v>
      </c>
      <c r="R1093" s="24">
        <v>551.36399999999992</v>
      </c>
      <c r="S1093" s="25">
        <v>0.83539999999999992</v>
      </c>
      <c r="T1093" s="26">
        <v>0.81082999999999994</v>
      </c>
      <c r="U1093" s="24">
        <v>0</v>
      </c>
      <c r="V1093" s="19">
        <v>3960</v>
      </c>
      <c r="W1093" s="19">
        <v>3436.8199999999997</v>
      </c>
      <c r="X1093" s="21">
        <v>0.86788383838383831</v>
      </c>
      <c r="Y1093" s="19">
        <v>3308.1839999999997</v>
      </c>
      <c r="Z1093" s="20">
        <v>0.83539999999999992</v>
      </c>
      <c r="AA1093" s="30">
        <v>8.9800000000000046E-2</v>
      </c>
      <c r="AB1093" s="27">
        <v>0.08</v>
      </c>
      <c r="AC1093" s="27">
        <v>8.9800000000000005E-2</v>
      </c>
      <c r="AD1093" s="11">
        <v>8.8067419708214509E-2</v>
      </c>
    </row>
    <row r="1094" spans="1:30" x14ac:dyDescent="0.25">
      <c r="A1094" s="13">
        <v>45621</v>
      </c>
      <c r="B1094" s="46" t="s">
        <v>636</v>
      </c>
      <c r="C1094" s="13">
        <v>45621</v>
      </c>
      <c r="D1094" s="15" t="s">
        <v>1264</v>
      </c>
      <c r="E1094" s="15">
        <v>35</v>
      </c>
      <c r="F1094" s="15">
        <v>30</v>
      </c>
      <c r="G1094" s="13">
        <v>45656</v>
      </c>
      <c r="H1094" s="19">
        <v>6600</v>
      </c>
      <c r="I1094" s="19">
        <v>5207.04</v>
      </c>
      <c r="J1094" s="20">
        <v>0.78894545454545451</v>
      </c>
      <c r="K1094" s="19">
        <v>4732.04</v>
      </c>
      <c r="L1094" s="20">
        <v>0.7169757575757576</v>
      </c>
      <c r="M1094" s="21">
        <v>0</v>
      </c>
      <c r="N1094" s="19">
        <v>0</v>
      </c>
      <c r="O1094" s="23">
        <v>1320</v>
      </c>
      <c r="P1094" s="24">
        <v>2035</v>
      </c>
      <c r="Q1094" s="25">
        <v>1.5416666666666667</v>
      </c>
      <c r="R1094" s="24">
        <v>946.40800000000002</v>
      </c>
      <c r="S1094" s="25">
        <v>0.7169757575757576</v>
      </c>
      <c r="T1094" s="26">
        <v>0.46506666666666668</v>
      </c>
      <c r="U1094" s="24">
        <v>0</v>
      </c>
      <c r="V1094" s="19">
        <v>7920</v>
      </c>
      <c r="W1094" s="19">
        <v>7242.04</v>
      </c>
      <c r="X1094" s="21">
        <v>0.91439898989898993</v>
      </c>
      <c r="Y1094" s="19">
        <v>5678.4480000000003</v>
      </c>
      <c r="Z1094" s="20">
        <v>0.7169757575757576</v>
      </c>
      <c r="AA1094" s="30">
        <v>8.8999999999999982E-2</v>
      </c>
      <c r="AB1094" s="27">
        <v>7.0000000000000007E-2</v>
      </c>
      <c r="AC1094" s="27">
        <v>8.9900000000000008E-2</v>
      </c>
      <c r="AD1094" s="11">
        <v>8.7729683466998512E-2</v>
      </c>
    </row>
    <row r="1095" spans="1:30" x14ac:dyDescent="0.25">
      <c r="A1095" s="13">
        <v>45623</v>
      </c>
      <c r="B1095" s="46" t="s">
        <v>636</v>
      </c>
      <c r="C1095" s="13">
        <v>45623</v>
      </c>
      <c r="D1095" s="15" t="s">
        <v>1265</v>
      </c>
      <c r="E1095" s="15">
        <v>98</v>
      </c>
      <c r="F1095" s="15">
        <v>90</v>
      </c>
      <c r="G1095" s="13">
        <v>45721</v>
      </c>
      <c r="H1095" s="19">
        <v>6600</v>
      </c>
      <c r="I1095" s="19">
        <v>8504.7699999999986</v>
      </c>
      <c r="J1095" s="20">
        <v>1.2886015151515149</v>
      </c>
      <c r="K1095" s="19">
        <v>8504.7699999999986</v>
      </c>
      <c r="L1095" s="20">
        <v>1.2886015151515149</v>
      </c>
      <c r="M1095" s="21">
        <v>0</v>
      </c>
      <c r="N1095" s="19">
        <v>0</v>
      </c>
      <c r="O1095" s="23">
        <v>1320</v>
      </c>
      <c r="P1095" s="24">
        <v>2943.9</v>
      </c>
      <c r="Q1095" s="25">
        <v>2.2302272727272725</v>
      </c>
      <c r="R1095" s="24">
        <v>1320</v>
      </c>
      <c r="S1095" s="25">
        <v>1</v>
      </c>
      <c r="T1095" s="26">
        <v>0.44838500000000003</v>
      </c>
      <c r="U1095" s="24">
        <v>0</v>
      </c>
      <c r="V1095" s="19">
        <v>7920</v>
      </c>
      <c r="W1095" s="19">
        <v>11448.669999999998</v>
      </c>
      <c r="X1095" s="21">
        <v>1.4455391414141412</v>
      </c>
      <c r="Y1095" s="19">
        <v>9824.7699999999986</v>
      </c>
      <c r="Z1095" s="20">
        <v>1.2405012626262624</v>
      </c>
      <c r="AA1095" s="30">
        <v>8.9900000000000049E-2</v>
      </c>
      <c r="AB1095" s="27">
        <v>7.0000000000000007E-2</v>
      </c>
      <c r="AC1095" s="27">
        <v>8.9900000000000008E-2</v>
      </c>
      <c r="AD1095" s="11">
        <v>8.8208045132319862E-2</v>
      </c>
    </row>
    <row r="1096" spans="1:30" x14ac:dyDescent="0.25">
      <c r="A1096" s="13">
        <v>45624</v>
      </c>
      <c r="B1096" s="46" t="s">
        <v>636</v>
      </c>
      <c r="C1096" s="13">
        <v>45625</v>
      </c>
      <c r="D1096" s="15" t="s">
        <v>1266</v>
      </c>
      <c r="E1096" s="15">
        <v>371</v>
      </c>
      <c r="F1096" s="15">
        <v>360</v>
      </c>
      <c r="G1096" s="13">
        <v>45996</v>
      </c>
      <c r="H1096" s="19">
        <v>5000</v>
      </c>
      <c r="I1096" s="19">
        <v>2794.04</v>
      </c>
      <c r="J1096" s="20">
        <v>0.55880799999999997</v>
      </c>
      <c r="K1096" s="19">
        <v>2794.04</v>
      </c>
      <c r="L1096" s="20">
        <v>0.55880799999999997</v>
      </c>
      <c r="M1096" s="21">
        <v>0</v>
      </c>
      <c r="N1096" s="19">
        <v>0</v>
      </c>
      <c r="O1096" s="23">
        <v>1000</v>
      </c>
      <c r="P1096" s="24">
        <v>1250</v>
      </c>
      <c r="Q1096" s="25">
        <v>1.25</v>
      </c>
      <c r="R1096" s="24">
        <v>558.80799999999999</v>
      </c>
      <c r="S1096" s="25">
        <v>0.55880799999999997</v>
      </c>
      <c r="T1096" s="26">
        <v>0.44704640000000001</v>
      </c>
      <c r="U1096" s="24">
        <v>0</v>
      </c>
      <c r="V1096" s="19">
        <v>6000</v>
      </c>
      <c r="W1096" s="19">
        <v>4044.04</v>
      </c>
      <c r="X1096" s="21">
        <v>0.67400666666666664</v>
      </c>
      <c r="Y1096" s="19">
        <v>3352.848</v>
      </c>
      <c r="Z1096" s="20">
        <v>0.55880799999999997</v>
      </c>
      <c r="AA1096" s="30">
        <v>9.0400000000000022E-2</v>
      </c>
      <c r="AB1096" s="27">
        <v>7.4999999999999997E-2</v>
      </c>
      <c r="AC1096" s="27">
        <v>9.0399999999999994E-2</v>
      </c>
      <c r="AD1096" s="11">
        <v>8.916951797397317E-2</v>
      </c>
    </row>
    <row r="1097" spans="1:30" x14ac:dyDescent="0.25">
      <c r="A1097" s="13">
        <v>45628</v>
      </c>
      <c r="B1097" s="46" t="s">
        <v>636</v>
      </c>
      <c r="C1097" s="13">
        <v>45628</v>
      </c>
      <c r="D1097" s="15" t="s">
        <v>1267</v>
      </c>
      <c r="E1097" s="15">
        <v>36</v>
      </c>
      <c r="F1097" s="15">
        <v>30</v>
      </c>
      <c r="G1097" s="13">
        <v>45664</v>
      </c>
      <c r="H1097" s="19">
        <v>6600</v>
      </c>
      <c r="I1097" s="19">
        <v>5354.67</v>
      </c>
      <c r="J1097" s="20">
        <v>0.8113136363636364</v>
      </c>
      <c r="K1097" s="19">
        <v>5104.67</v>
      </c>
      <c r="L1097" s="20">
        <v>0.77343484848484845</v>
      </c>
      <c r="M1097" s="21">
        <v>0</v>
      </c>
      <c r="N1097" s="19">
        <v>0</v>
      </c>
      <c r="O1097" s="23">
        <v>1320</v>
      </c>
      <c r="P1097" s="24">
        <v>2629.69</v>
      </c>
      <c r="Q1097" s="25">
        <v>1.9921893939393938</v>
      </c>
      <c r="R1097" s="24">
        <v>1020.9340000000001</v>
      </c>
      <c r="S1097" s="25">
        <v>0.77343484848484856</v>
      </c>
      <c r="T1097" s="26">
        <v>0.38842105263157894</v>
      </c>
      <c r="U1097" s="24">
        <v>0</v>
      </c>
      <c r="V1097" s="19">
        <v>7920</v>
      </c>
      <c r="W1097" s="19">
        <v>7984.3600000000006</v>
      </c>
      <c r="X1097" s="21">
        <v>1.0081262626262626</v>
      </c>
      <c r="Y1097" s="19">
        <v>6125.6040000000003</v>
      </c>
      <c r="Z1097" s="20">
        <v>0.77343484848484856</v>
      </c>
      <c r="AA1097" s="30">
        <v>8.8999999999999982E-2</v>
      </c>
      <c r="AB1097" s="27">
        <v>7.0000000000000007E-2</v>
      </c>
      <c r="AC1097" s="27">
        <v>8.9600000000000013E-2</v>
      </c>
      <c r="AD1097" s="11">
        <v>8.7609720300223917E-2</v>
      </c>
    </row>
    <row r="1098" spans="1:30" x14ac:dyDescent="0.25">
      <c r="A1098" s="13">
        <v>45630</v>
      </c>
      <c r="B1098" s="46" t="s">
        <v>636</v>
      </c>
      <c r="C1098" s="13">
        <v>45630</v>
      </c>
      <c r="D1098" s="15" t="s">
        <v>1268</v>
      </c>
      <c r="E1098" s="15">
        <v>91</v>
      </c>
      <c r="F1098" s="15">
        <v>90</v>
      </c>
      <c r="G1098" s="13">
        <v>45721</v>
      </c>
      <c r="H1098" s="19">
        <v>5000</v>
      </c>
      <c r="I1098" s="19">
        <v>5449.8599999999988</v>
      </c>
      <c r="J1098" s="20">
        <v>1.0899719999999999</v>
      </c>
      <c r="K1098" s="19">
        <v>4949.8599999999997</v>
      </c>
      <c r="L1098" s="20">
        <v>0.98997199999999996</v>
      </c>
      <c r="M1098" s="21">
        <v>0</v>
      </c>
      <c r="N1098" s="19">
        <v>0</v>
      </c>
      <c r="O1098" s="23">
        <v>1000</v>
      </c>
      <c r="P1098" s="24">
        <v>2203.1799999999998</v>
      </c>
      <c r="Q1098" s="25">
        <v>2.2031799999999997</v>
      </c>
      <c r="R1098" s="24">
        <v>989.97199999999998</v>
      </c>
      <c r="S1098" s="25">
        <v>0.98997199999999996</v>
      </c>
      <c r="T1098" s="26">
        <v>0.44933962264150945</v>
      </c>
      <c r="U1098" s="24">
        <v>0</v>
      </c>
      <c r="V1098" s="19">
        <v>6000</v>
      </c>
      <c r="W1098" s="19">
        <v>7653.0399999999991</v>
      </c>
      <c r="X1098" s="21">
        <v>1.2755066666666666</v>
      </c>
      <c r="Y1098" s="19">
        <v>5939.8319999999994</v>
      </c>
      <c r="Z1098" s="20">
        <v>0.98997199999999985</v>
      </c>
      <c r="AA1098" s="30">
        <v>8.9900000000000049E-2</v>
      </c>
      <c r="AB1098" s="27">
        <v>4.6100000000000002E-2</v>
      </c>
      <c r="AC1098" s="27">
        <v>9.0399999999999994E-2</v>
      </c>
      <c r="AD1098" s="11">
        <v>8.876562535551373E-2</v>
      </c>
    </row>
    <row r="1099" spans="1:30" x14ac:dyDescent="0.25">
      <c r="A1099" s="13">
        <v>45632</v>
      </c>
      <c r="B1099" s="46" t="s">
        <v>636</v>
      </c>
      <c r="C1099" s="13">
        <v>45632</v>
      </c>
      <c r="D1099" s="15" t="s">
        <v>1270</v>
      </c>
      <c r="E1099" s="15">
        <v>189</v>
      </c>
      <c r="F1099" s="15">
        <v>180</v>
      </c>
      <c r="G1099" s="13">
        <v>45821</v>
      </c>
      <c r="H1099" s="19">
        <v>4200</v>
      </c>
      <c r="I1099" s="19">
        <v>5028.9699999999993</v>
      </c>
      <c r="J1099" s="20">
        <v>1.1973738095238096</v>
      </c>
      <c r="K1099" s="19">
        <v>4528.97</v>
      </c>
      <c r="L1099" s="20">
        <v>1.0783261904761905</v>
      </c>
      <c r="M1099" s="21">
        <v>0</v>
      </c>
      <c r="N1099" s="19">
        <v>0</v>
      </c>
      <c r="O1099" s="23">
        <v>840</v>
      </c>
      <c r="P1099" s="24">
        <v>0.31</v>
      </c>
      <c r="Q1099" s="25">
        <v>3.6904761904761905E-4</v>
      </c>
      <c r="R1099" s="24">
        <v>0.31</v>
      </c>
      <c r="S1099" s="25">
        <v>3.6904761904761905E-4</v>
      </c>
      <c r="T1099" s="26">
        <v>0</v>
      </c>
      <c r="U1099" s="24">
        <v>0</v>
      </c>
      <c r="V1099" s="19">
        <v>5040</v>
      </c>
      <c r="W1099" s="19">
        <v>5029.28</v>
      </c>
      <c r="X1099" s="21">
        <v>0.9978730158730158</v>
      </c>
      <c r="Y1099" s="19">
        <v>4529.2800000000007</v>
      </c>
      <c r="Z1099" s="20">
        <v>0.89866666666666684</v>
      </c>
      <c r="AA1099" s="30">
        <v>8.9900000000000049E-2</v>
      </c>
      <c r="AB1099" s="27">
        <v>7.0000000000000007E-2</v>
      </c>
      <c r="AC1099" s="27">
        <v>9.0500000000000011E-2</v>
      </c>
      <c r="AD1099" s="11">
        <v>8.8205969214371946E-2</v>
      </c>
    </row>
    <row r="1100" spans="1:30" x14ac:dyDescent="0.25">
      <c r="A1100" s="13">
        <v>45635</v>
      </c>
      <c r="B1100" s="46" t="s">
        <v>636</v>
      </c>
      <c r="C1100" s="13">
        <v>45635</v>
      </c>
      <c r="D1100" s="15" t="s">
        <v>1271</v>
      </c>
      <c r="E1100" s="15">
        <v>35</v>
      </c>
      <c r="F1100" s="15">
        <v>30</v>
      </c>
      <c r="G1100" s="13">
        <v>45670</v>
      </c>
      <c r="H1100" s="19">
        <v>8300</v>
      </c>
      <c r="I1100" s="19">
        <v>8180.81</v>
      </c>
      <c r="J1100" s="20">
        <v>0.98563975903614476</v>
      </c>
      <c r="K1100" s="19">
        <v>7880.81</v>
      </c>
      <c r="L1100" s="20">
        <v>0.94949518072289163</v>
      </c>
      <c r="M1100" s="21">
        <v>0</v>
      </c>
      <c r="N1100" s="19">
        <v>0</v>
      </c>
      <c r="O1100" s="23">
        <v>1660</v>
      </c>
      <c r="P1100" s="24">
        <v>3358.42</v>
      </c>
      <c r="Q1100" s="25">
        <v>2.0231445783132531</v>
      </c>
      <c r="R1100" s="24">
        <v>1576.162</v>
      </c>
      <c r="S1100" s="25">
        <v>0.94949518072289163</v>
      </c>
      <c r="T1100" s="26">
        <v>0.46931869795609382</v>
      </c>
      <c r="U1100" s="24">
        <v>0</v>
      </c>
      <c r="V1100" s="19">
        <v>9960</v>
      </c>
      <c r="W1100" s="19">
        <v>11539.23</v>
      </c>
      <c r="X1100" s="21">
        <v>1.1585572289156627</v>
      </c>
      <c r="Y1100" s="19">
        <v>9456.9719999999998</v>
      </c>
      <c r="Z1100" s="20">
        <v>0.94949518072289152</v>
      </c>
      <c r="AA1100" s="30">
        <v>8.9500000000000038E-2</v>
      </c>
      <c r="AB1100" s="27">
        <v>7.0000000000000007E-2</v>
      </c>
      <c r="AC1100" s="27">
        <v>8.9900000000000008E-2</v>
      </c>
      <c r="AD1100" s="11">
        <v>8.7142542242149637E-2</v>
      </c>
    </row>
    <row r="1101" spans="1:30" x14ac:dyDescent="0.25">
      <c r="A1101" s="13">
        <v>45637</v>
      </c>
      <c r="B1101" s="46" t="s">
        <v>636</v>
      </c>
      <c r="C1101" s="13">
        <v>45637</v>
      </c>
      <c r="D1101" s="15" t="s">
        <v>1272</v>
      </c>
      <c r="E1101" s="15">
        <v>98</v>
      </c>
      <c r="F1101" s="15">
        <v>90</v>
      </c>
      <c r="G1101" s="13">
        <v>45735</v>
      </c>
      <c r="H1101" s="19">
        <v>7500</v>
      </c>
      <c r="I1101" s="19">
        <v>8595.68</v>
      </c>
      <c r="J1101" s="20">
        <v>1.1460906666666666</v>
      </c>
      <c r="K1101" s="19">
        <v>8195.68</v>
      </c>
      <c r="L1101" s="20">
        <v>1.0927573333333334</v>
      </c>
      <c r="M1101" s="21">
        <v>0</v>
      </c>
      <c r="N1101" s="19">
        <v>0</v>
      </c>
      <c r="O1101" s="23">
        <v>1500</v>
      </c>
      <c r="P1101" s="24">
        <v>2325</v>
      </c>
      <c r="Q1101" s="25">
        <v>1.55</v>
      </c>
      <c r="R1101" s="24">
        <v>1500</v>
      </c>
      <c r="S1101" s="25">
        <v>1</v>
      </c>
      <c r="T1101" s="26">
        <v>0.6451614</v>
      </c>
      <c r="U1101" s="24">
        <v>0</v>
      </c>
      <c r="V1101" s="19">
        <v>9000</v>
      </c>
      <c r="W1101" s="19">
        <v>10920.68</v>
      </c>
      <c r="X1101" s="21">
        <v>1.213408888888889</v>
      </c>
      <c r="Y1101" s="19">
        <v>9695.68</v>
      </c>
      <c r="Z1101" s="20">
        <v>1.0772977777777779</v>
      </c>
      <c r="AA1101" s="30">
        <v>9.0300000000000033E-2</v>
      </c>
      <c r="AB1101" s="27">
        <v>0.08</v>
      </c>
      <c r="AC1101" s="27">
        <v>9.0500000000000011E-2</v>
      </c>
      <c r="AD1101" s="11">
        <v>8.8711913309941728E-2</v>
      </c>
    </row>
    <row r="1102" spans="1:30" x14ac:dyDescent="0.25">
      <c r="A1102" s="13">
        <v>45638</v>
      </c>
      <c r="B1102" s="46" t="s">
        <v>636</v>
      </c>
      <c r="C1102" s="13">
        <v>45639</v>
      </c>
      <c r="D1102" s="15" t="s">
        <v>1275</v>
      </c>
      <c r="E1102" s="15">
        <v>357</v>
      </c>
      <c r="F1102" s="15">
        <v>360</v>
      </c>
      <c r="G1102" s="13">
        <v>45996</v>
      </c>
      <c r="H1102" s="19">
        <v>3300</v>
      </c>
      <c r="I1102" s="19">
        <v>2254.21</v>
      </c>
      <c r="J1102" s="20">
        <v>0.68309393939393925</v>
      </c>
      <c r="K1102" s="19">
        <v>2154.21</v>
      </c>
      <c r="L1102" s="20">
        <v>0.65279090909090909</v>
      </c>
      <c r="M1102" s="21">
        <v>0</v>
      </c>
      <c r="N1102" s="19">
        <v>0</v>
      </c>
      <c r="O1102" s="23">
        <v>660</v>
      </c>
      <c r="P1102" s="24">
        <v>10</v>
      </c>
      <c r="Q1102" s="25">
        <v>1.5151515151515152E-2</v>
      </c>
      <c r="R1102" s="24">
        <v>10</v>
      </c>
      <c r="S1102" s="25">
        <v>1.5151515151515152E-2</v>
      </c>
      <c r="T1102" s="26">
        <v>0</v>
      </c>
      <c r="U1102" s="24">
        <v>0</v>
      </c>
      <c r="V1102" s="19">
        <v>3960</v>
      </c>
      <c r="W1102" s="19">
        <v>2264.21</v>
      </c>
      <c r="X1102" s="21">
        <v>0.57177020202020201</v>
      </c>
      <c r="Y1102" s="19">
        <v>2164.21</v>
      </c>
      <c r="Z1102" s="20">
        <v>0.54651767676767682</v>
      </c>
      <c r="AA1102" s="30">
        <v>9.06E-2</v>
      </c>
      <c r="AB1102" s="27">
        <v>0.08</v>
      </c>
      <c r="AC1102" s="27">
        <v>9.1499999999999998E-2</v>
      </c>
      <c r="AD1102" s="11">
        <v>8.8839311333016882E-2</v>
      </c>
    </row>
    <row r="1103" spans="1:30" x14ac:dyDescent="0.25">
      <c r="A1103" s="13">
        <v>45642</v>
      </c>
      <c r="B1103" s="46" t="s">
        <v>636</v>
      </c>
      <c r="C1103" s="13">
        <v>45642</v>
      </c>
      <c r="D1103" s="15" t="s">
        <v>1276</v>
      </c>
      <c r="E1103" s="15">
        <v>35</v>
      </c>
      <c r="F1103" s="15">
        <v>30</v>
      </c>
      <c r="G1103" s="13">
        <v>45677</v>
      </c>
      <c r="H1103" s="19">
        <v>8300</v>
      </c>
      <c r="I1103" s="19">
        <v>6921.95</v>
      </c>
      <c r="J1103" s="20">
        <v>0.83396987951807222</v>
      </c>
      <c r="K1103" s="19">
        <v>6821.95</v>
      </c>
      <c r="L1103" s="20">
        <v>0.82192168674698796</v>
      </c>
      <c r="M1103" s="21">
        <v>0</v>
      </c>
      <c r="N1103" s="19">
        <v>0</v>
      </c>
      <c r="O1103" s="23">
        <v>1660</v>
      </c>
      <c r="P1103" s="24">
        <v>3168.1800000000003</v>
      </c>
      <c r="Q1103" s="25">
        <v>1.9085421686746988</v>
      </c>
      <c r="R1103" s="24">
        <v>1364.3899999999999</v>
      </c>
      <c r="S1103" s="25">
        <v>0.82192168674698785</v>
      </c>
      <c r="T1103" s="26">
        <v>0.43065421686746985</v>
      </c>
      <c r="U1103" s="24">
        <v>0</v>
      </c>
      <c r="V1103" s="19">
        <v>9960</v>
      </c>
      <c r="W1103" s="19">
        <v>10090.130000000001</v>
      </c>
      <c r="X1103" s="21">
        <v>1.0130652610441768</v>
      </c>
      <c r="Y1103" s="19">
        <v>8186.34</v>
      </c>
      <c r="Z1103" s="20">
        <v>0.82192168674698796</v>
      </c>
      <c r="AA1103" s="30">
        <v>9.0500000000000011E-2</v>
      </c>
      <c r="AB1103" s="27">
        <v>0.08</v>
      </c>
      <c r="AC1103" s="27">
        <v>9.0999999999999998E-2</v>
      </c>
      <c r="AD1103" s="11">
        <v>8.8893933934801633E-2</v>
      </c>
    </row>
    <row r="1104" spans="1:30" x14ac:dyDescent="0.25">
      <c r="A1104" s="13">
        <v>45644</v>
      </c>
      <c r="B1104" s="46" t="s">
        <v>636</v>
      </c>
      <c r="C1104" s="13">
        <v>45644</v>
      </c>
      <c r="D1104" s="15" t="s">
        <v>1277</v>
      </c>
      <c r="E1104" s="15">
        <v>91</v>
      </c>
      <c r="F1104" s="15">
        <v>90</v>
      </c>
      <c r="G1104" s="13">
        <v>45735</v>
      </c>
      <c r="H1104" s="19">
        <v>7500</v>
      </c>
      <c r="I1104" s="19">
        <v>5490.12</v>
      </c>
      <c r="J1104" s="20">
        <v>0.73201599999999989</v>
      </c>
      <c r="K1104" s="19">
        <v>4390.12</v>
      </c>
      <c r="L1104" s="20">
        <v>0.58534933333333328</v>
      </c>
      <c r="M1104" s="21">
        <v>0</v>
      </c>
      <c r="N1104" s="19">
        <v>0</v>
      </c>
      <c r="O1104" s="23">
        <v>1500</v>
      </c>
      <c r="P1104" s="24">
        <v>1464.52</v>
      </c>
      <c r="Q1104" s="25">
        <v>0.97634666666666658</v>
      </c>
      <c r="R1104" s="24">
        <v>878.02399999999989</v>
      </c>
      <c r="S1104" s="25">
        <v>0.58534933333333328</v>
      </c>
      <c r="T1104" s="26">
        <v>0.59953539823008861</v>
      </c>
      <c r="U1104" s="24">
        <v>0</v>
      </c>
      <c r="V1104" s="19">
        <v>9000</v>
      </c>
      <c r="W1104" s="19">
        <v>6954.6399999999994</v>
      </c>
      <c r="X1104" s="21">
        <v>0.77273777777777775</v>
      </c>
      <c r="Y1104" s="19">
        <v>5268.1440000000002</v>
      </c>
      <c r="Z1104" s="20">
        <v>0.58534933333333339</v>
      </c>
      <c r="AA1104" s="30">
        <v>9.1000000000000081E-2</v>
      </c>
      <c r="AB1104" s="27">
        <v>7.4999999999999997E-2</v>
      </c>
      <c r="AC1104" s="27">
        <v>9.2600000000000002E-2</v>
      </c>
      <c r="AD1104" s="11">
        <v>8.9293281203325248E-2</v>
      </c>
    </row>
    <row r="1105" spans="1:30" x14ac:dyDescent="0.25">
      <c r="A1105" s="13">
        <v>45646</v>
      </c>
      <c r="B1105" s="46" t="s">
        <v>636</v>
      </c>
      <c r="C1105" s="13">
        <v>45646</v>
      </c>
      <c r="D1105" s="15" t="s">
        <v>1278</v>
      </c>
      <c r="E1105" s="15">
        <v>175</v>
      </c>
      <c r="F1105" s="15">
        <v>180</v>
      </c>
      <c r="G1105" s="13">
        <v>45821</v>
      </c>
      <c r="H1105" s="19">
        <v>5000</v>
      </c>
      <c r="I1105" s="19">
        <v>7096.0200000000013</v>
      </c>
      <c r="J1105" s="20">
        <v>1.4192040000000004</v>
      </c>
      <c r="K1105" s="19">
        <v>7096.0200000000013</v>
      </c>
      <c r="L1105" s="20">
        <v>1.4192040000000004</v>
      </c>
      <c r="M1105" s="21">
        <v>0</v>
      </c>
      <c r="N1105" s="19">
        <v>0</v>
      </c>
      <c r="O1105" s="23">
        <v>1000</v>
      </c>
      <c r="P1105" s="24">
        <v>1300</v>
      </c>
      <c r="Q1105" s="25">
        <v>1.3</v>
      </c>
      <c r="R1105" s="24">
        <v>1000</v>
      </c>
      <c r="S1105" s="25">
        <v>1</v>
      </c>
      <c r="T1105" s="26">
        <v>0.76923079999999999</v>
      </c>
      <c r="U1105" s="24">
        <v>0</v>
      </c>
      <c r="V1105" s="19">
        <v>6000</v>
      </c>
      <c r="W1105" s="19">
        <v>8396.02</v>
      </c>
      <c r="X1105" s="21">
        <v>1.3993366666666667</v>
      </c>
      <c r="Y1105" s="19">
        <v>8096.0200000000013</v>
      </c>
      <c r="Z1105" s="20">
        <v>1.3493366666666669</v>
      </c>
      <c r="AA1105" s="30">
        <v>9.1400000000000051E-2</v>
      </c>
      <c r="AB1105" s="27">
        <v>7.4999999999999997E-2</v>
      </c>
      <c r="AC1105" s="27">
        <v>9.1400000000000009E-2</v>
      </c>
      <c r="AD1105" s="11">
        <v>8.7894719152426276E-2</v>
      </c>
    </row>
    <row r="1106" spans="1:30" x14ac:dyDescent="0.25">
      <c r="A1106" s="13">
        <v>45649</v>
      </c>
      <c r="B1106" s="46" t="s">
        <v>636</v>
      </c>
      <c r="C1106" s="13">
        <v>45649</v>
      </c>
      <c r="D1106" s="15" t="s">
        <v>1279</v>
      </c>
      <c r="E1106" s="15">
        <v>35</v>
      </c>
      <c r="F1106" s="15">
        <v>30</v>
      </c>
      <c r="G1106" s="13">
        <v>45684</v>
      </c>
      <c r="H1106" s="19">
        <v>7500</v>
      </c>
      <c r="I1106" s="19">
        <v>6717.2800000000007</v>
      </c>
      <c r="J1106" s="20">
        <v>0.89563733333333329</v>
      </c>
      <c r="K1106" s="19">
        <v>5167.28</v>
      </c>
      <c r="L1106" s="20">
        <v>0.68897066666666662</v>
      </c>
      <c r="M1106" s="21">
        <v>0</v>
      </c>
      <c r="N1106" s="19">
        <v>0</v>
      </c>
      <c r="O1106" s="23">
        <v>1500</v>
      </c>
      <c r="P1106" s="24">
        <v>1575</v>
      </c>
      <c r="Q1106" s="25">
        <v>1.05</v>
      </c>
      <c r="R1106" s="24">
        <v>1033.4559999999999</v>
      </c>
      <c r="S1106" s="25">
        <v>0.68897066666666662</v>
      </c>
      <c r="T1106" s="26">
        <v>0.65616326530612235</v>
      </c>
      <c r="U1106" s="24">
        <v>0</v>
      </c>
      <c r="V1106" s="19">
        <v>9000</v>
      </c>
      <c r="W1106" s="19">
        <v>8292.2800000000007</v>
      </c>
      <c r="X1106" s="21">
        <v>0.92136444444444454</v>
      </c>
      <c r="Y1106" s="19">
        <v>6200.7359999999999</v>
      </c>
      <c r="Z1106" s="20">
        <v>0.68897066666666662</v>
      </c>
      <c r="AA1106" s="30">
        <v>9.1000000000000095E-2</v>
      </c>
      <c r="AB1106" s="27">
        <v>7.0000000000000007E-2</v>
      </c>
      <c r="AC1106" s="27">
        <v>9.5000000000000001E-2</v>
      </c>
      <c r="AD1106" s="11">
        <v>8.9683126950194092E-2</v>
      </c>
    </row>
    <row r="1107" spans="1:30" x14ac:dyDescent="0.25">
      <c r="A1107" s="13">
        <v>45652</v>
      </c>
      <c r="B1107" s="46" t="s">
        <v>636</v>
      </c>
      <c r="C1107" s="13">
        <v>45652</v>
      </c>
      <c r="D1107" s="15" t="s">
        <v>1280</v>
      </c>
      <c r="E1107" s="15">
        <v>97</v>
      </c>
      <c r="F1107" s="15">
        <v>90</v>
      </c>
      <c r="G1107" s="13">
        <v>45749</v>
      </c>
      <c r="H1107" s="19">
        <v>6600</v>
      </c>
      <c r="I1107" s="19">
        <v>5286.9299999999985</v>
      </c>
      <c r="J1107" s="20">
        <v>0.80105000000000015</v>
      </c>
      <c r="K1107" s="19">
        <v>5286.9299999999985</v>
      </c>
      <c r="L1107" s="20">
        <v>0.80104999999999982</v>
      </c>
      <c r="M1107" s="21">
        <v>0</v>
      </c>
      <c r="N1107" s="19">
        <v>0</v>
      </c>
      <c r="O1107" s="23">
        <v>1320</v>
      </c>
      <c r="P1107" s="24">
        <v>500</v>
      </c>
      <c r="Q1107" s="25">
        <v>0.37878787878787878</v>
      </c>
      <c r="R1107" s="24">
        <v>500</v>
      </c>
      <c r="S1107" s="25">
        <v>0.37878787878787878</v>
      </c>
      <c r="T1107" s="26">
        <v>0</v>
      </c>
      <c r="U1107" s="24">
        <v>0</v>
      </c>
      <c r="V1107" s="19">
        <v>7920</v>
      </c>
      <c r="W1107" s="19">
        <v>5786.9299999999985</v>
      </c>
      <c r="X1107" s="21">
        <v>0.73067297979797963</v>
      </c>
      <c r="Y1107" s="19">
        <v>5786.9299999999985</v>
      </c>
      <c r="Z1107" s="20">
        <v>0.73067297979797963</v>
      </c>
      <c r="AA1107" s="30">
        <v>9.3700000000000006E-2</v>
      </c>
      <c r="AB1107" s="27">
        <v>0.08</v>
      </c>
      <c r="AC1107" s="27">
        <v>9.3699999999999992E-2</v>
      </c>
      <c r="AD1107" s="11">
        <v>9.0376926117803735E-2</v>
      </c>
    </row>
    <row r="1108" spans="1:30" x14ac:dyDescent="0.25">
      <c r="A1108" s="13">
        <v>45652</v>
      </c>
      <c r="B1108" s="46" t="s">
        <v>637</v>
      </c>
      <c r="C1108" s="13">
        <v>45653</v>
      </c>
      <c r="D1108" s="15" t="s">
        <v>1281</v>
      </c>
      <c r="E1108" s="15">
        <v>378</v>
      </c>
      <c r="F1108" s="15">
        <v>360</v>
      </c>
      <c r="G1108" s="13">
        <v>46031</v>
      </c>
      <c r="H1108" s="19">
        <v>3300</v>
      </c>
      <c r="I1108" s="19">
        <v>3010.11</v>
      </c>
      <c r="J1108" s="20">
        <v>0.91215454545454522</v>
      </c>
      <c r="K1108" s="19">
        <v>2410.11</v>
      </c>
      <c r="L1108" s="20">
        <v>0.73033636363636367</v>
      </c>
      <c r="M1108" s="21">
        <v>0</v>
      </c>
      <c r="N1108" s="19">
        <v>0</v>
      </c>
      <c r="O1108" s="23">
        <v>660</v>
      </c>
      <c r="P1108" s="24">
        <v>0</v>
      </c>
      <c r="Q1108" s="25">
        <v>0</v>
      </c>
      <c r="R1108" s="24">
        <v>0</v>
      </c>
      <c r="S1108" s="25">
        <v>0</v>
      </c>
      <c r="T1108" s="26">
        <v>0</v>
      </c>
      <c r="U1108" s="24">
        <v>0</v>
      </c>
      <c r="V1108" s="19">
        <v>3960</v>
      </c>
      <c r="W1108" s="19">
        <v>3010.11</v>
      </c>
      <c r="X1108" s="21">
        <v>0.7601287878787879</v>
      </c>
      <c r="Y1108" s="19">
        <v>2410.11</v>
      </c>
      <c r="Z1108" s="20">
        <v>0.60861363636363641</v>
      </c>
      <c r="AA1108" s="30">
        <v>9.4199999999999978E-2</v>
      </c>
      <c r="AB1108" s="27">
        <v>8.5000000000000006E-2</v>
      </c>
      <c r="AC1108" s="27">
        <v>9.6999999999999989E-2</v>
      </c>
      <c r="AD1108" s="11">
        <v>9.0977960606090827E-2</v>
      </c>
    </row>
    <row r="1109" spans="1:30" x14ac:dyDescent="0.25">
      <c r="A1109" s="13">
        <v>45656</v>
      </c>
      <c r="B1109" s="46" t="s">
        <v>636</v>
      </c>
      <c r="C1109" s="13">
        <v>45656</v>
      </c>
      <c r="D1109" s="15" t="s">
        <v>1282</v>
      </c>
      <c r="E1109" s="15">
        <v>35</v>
      </c>
      <c r="F1109" s="15">
        <v>30</v>
      </c>
      <c r="G1109" s="13">
        <v>45691</v>
      </c>
      <c r="H1109" s="19">
        <v>5800</v>
      </c>
      <c r="I1109" s="19">
        <v>9657.91</v>
      </c>
      <c r="J1109" s="20">
        <v>1.6651568965517241</v>
      </c>
      <c r="K1109" s="19">
        <v>8157.9100000000017</v>
      </c>
      <c r="L1109" s="20">
        <v>1.4065362068965521</v>
      </c>
      <c r="M1109" s="21">
        <v>0</v>
      </c>
      <c r="N1109" s="19">
        <v>0</v>
      </c>
      <c r="O1109" s="23">
        <v>1160</v>
      </c>
      <c r="P1109" s="24">
        <v>2080</v>
      </c>
      <c r="Q1109" s="25">
        <v>1.7931034482758621</v>
      </c>
      <c r="R1109" s="24">
        <v>1160</v>
      </c>
      <c r="S1109" s="25">
        <v>1</v>
      </c>
      <c r="T1109" s="26">
        <v>0.55769233333333335</v>
      </c>
      <c r="U1109" s="24">
        <v>0</v>
      </c>
      <c r="V1109" s="19">
        <v>6960</v>
      </c>
      <c r="W1109" s="19">
        <v>11737.91</v>
      </c>
      <c r="X1109" s="21">
        <v>1.6864813218390804</v>
      </c>
      <c r="Y1109" s="19">
        <v>9317.9100000000017</v>
      </c>
      <c r="Z1109" s="20">
        <v>1.3387801724137933</v>
      </c>
      <c r="AA1109" s="30">
        <v>9.1499999999999942E-2</v>
      </c>
      <c r="AB1109" s="27">
        <v>7.4999999999999997E-2</v>
      </c>
      <c r="AC1109" s="27">
        <v>9.3000000000000013E-2</v>
      </c>
      <c r="AD1109" s="11">
        <v>8.9990184522324185E-2</v>
      </c>
    </row>
    <row r="1110" spans="1:30" x14ac:dyDescent="0.25">
      <c r="A1110" s="13">
        <v>45659</v>
      </c>
      <c r="B1110" s="46" t="s">
        <v>636</v>
      </c>
      <c r="C1110" s="13">
        <v>45659</v>
      </c>
      <c r="D1110" s="15" t="s">
        <v>1283</v>
      </c>
      <c r="E1110" s="15">
        <v>90</v>
      </c>
      <c r="F1110" s="15">
        <v>90</v>
      </c>
      <c r="G1110" s="13">
        <v>45749</v>
      </c>
      <c r="H1110" s="19">
        <v>3300</v>
      </c>
      <c r="I1110" s="19">
        <v>3494.28</v>
      </c>
      <c r="J1110" s="20">
        <v>1.0588727272727272</v>
      </c>
      <c r="K1110" s="19">
        <v>2894.28</v>
      </c>
      <c r="L1110" s="20">
        <v>0.87705454545454553</v>
      </c>
      <c r="M1110" s="21">
        <v>0</v>
      </c>
      <c r="N1110" s="19">
        <v>0</v>
      </c>
      <c r="O1110" s="23">
        <v>660</v>
      </c>
      <c r="P1110" s="24">
        <v>0</v>
      </c>
      <c r="Q1110" s="25">
        <v>0</v>
      </c>
      <c r="R1110" s="24">
        <v>0</v>
      </c>
      <c r="S1110" s="25">
        <v>0</v>
      </c>
      <c r="T1110" s="26">
        <v>0</v>
      </c>
      <c r="U1110" s="24">
        <v>0</v>
      </c>
      <c r="V1110" s="19">
        <v>3960</v>
      </c>
      <c r="W1110" s="19">
        <v>3494.28</v>
      </c>
      <c r="X1110" s="21">
        <v>0.8823939393939394</v>
      </c>
      <c r="Y1110" s="19">
        <v>2894.28</v>
      </c>
      <c r="Z1110" s="20">
        <v>0.73087878787878791</v>
      </c>
      <c r="AA1110" s="30">
        <v>9.3700000000000006E-2</v>
      </c>
      <c r="AB1110" s="27">
        <v>0.08</v>
      </c>
      <c r="AC1110" s="27">
        <v>9.5299999999999996E-2</v>
      </c>
      <c r="AD1110" s="11">
        <v>9.2551912554231494E-2</v>
      </c>
    </row>
    <row r="1111" spans="1:30" x14ac:dyDescent="0.25">
      <c r="A1111" s="13">
        <v>45660</v>
      </c>
      <c r="B1111" s="46" t="s">
        <v>636</v>
      </c>
      <c r="C1111" s="13">
        <v>45660</v>
      </c>
      <c r="D1111" s="15" t="s">
        <v>1284</v>
      </c>
      <c r="E1111" s="15">
        <v>189</v>
      </c>
      <c r="F1111" s="15">
        <v>180</v>
      </c>
      <c r="G1111" s="13">
        <v>45849</v>
      </c>
      <c r="H1111" s="19">
        <v>3300</v>
      </c>
      <c r="I1111" s="19">
        <v>3395.67</v>
      </c>
      <c r="J1111" s="20">
        <v>1.0289909090909091</v>
      </c>
      <c r="K1111" s="19">
        <v>2995.67</v>
      </c>
      <c r="L1111" s="20">
        <v>0.90777878787878785</v>
      </c>
      <c r="M1111" s="21">
        <v>0</v>
      </c>
      <c r="N1111" s="19">
        <v>0</v>
      </c>
      <c r="O1111" s="23">
        <v>660</v>
      </c>
      <c r="P1111" s="24">
        <v>300</v>
      </c>
      <c r="Q1111" s="25">
        <v>0.45454545454545453</v>
      </c>
      <c r="R1111" s="24">
        <v>300</v>
      </c>
      <c r="S1111" s="25">
        <v>0.45454545454545453</v>
      </c>
      <c r="T1111" s="26">
        <v>0</v>
      </c>
      <c r="U1111" s="24">
        <v>0</v>
      </c>
      <c r="V1111" s="19">
        <v>3960</v>
      </c>
      <c r="W1111" s="19">
        <v>3695.67</v>
      </c>
      <c r="X1111" s="21">
        <v>0.93325000000000002</v>
      </c>
      <c r="Y1111" s="19">
        <v>3295.67</v>
      </c>
      <c r="Z1111" s="20">
        <v>0.83223989898989903</v>
      </c>
      <c r="AA1111" s="30">
        <v>9.4200000000000006E-2</v>
      </c>
      <c r="AB1111" s="27">
        <v>8.5000000000000006E-2</v>
      </c>
      <c r="AC1111" s="27">
        <v>9.5199999999999993E-2</v>
      </c>
      <c r="AD1111" s="11">
        <v>9.3409493855409947E-2</v>
      </c>
    </row>
    <row r="1112" spans="1:30" x14ac:dyDescent="0.25">
      <c r="A1112" s="13">
        <v>45664</v>
      </c>
      <c r="B1112" s="46" t="s">
        <v>636</v>
      </c>
      <c r="C1112" s="13">
        <v>45664</v>
      </c>
      <c r="D1112" s="15" t="s">
        <v>1285</v>
      </c>
      <c r="E1112" s="15">
        <v>34</v>
      </c>
      <c r="F1112" s="15">
        <v>30</v>
      </c>
      <c r="G1112" s="13">
        <v>45698</v>
      </c>
      <c r="H1112" s="19">
        <v>6600</v>
      </c>
      <c r="I1112" s="19">
        <v>9487.39</v>
      </c>
      <c r="J1112" s="20">
        <v>1.437483333333333</v>
      </c>
      <c r="K1112" s="19">
        <v>7626.5900000000011</v>
      </c>
      <c r="L1112" s="20">
        <v>1.1555439393939395</v>
      </c>
      <c r="M1112" s="21">
        <v>0</v>
      </c>
      <c r="N1112" s="19">
        <v>0</v>
      </c>
      <c r="O1112" s="23">
        <v>1320</v>
      </c>
      <c r="P1112" s="24">
        <v>1833.7</v>
      </c>
      <c r="Q1112" s="25">
        <v>1.3891666666666669</v>
      </c>
      <c r="R1112" s="24">
        <v>1320</v>
      </c>
      <c r="S1112" s="25">
        <v>1</v>
      </c>
      <c r="T1112" s="26">
        <v>0.71985606060606067</v>
      </c>
      <c r="U1112" s="24">
        <v>0</v>
      </c>
      <c r="V1112" s="19">
        <v>7920</v>
      </c>
      <c r="W1112" s="19">
        <v>11321.09</v>
      </c>
      <c r="X1112" s="21">
        <v>1.4294305555555555</v>
      </c>
      <c r="Y1112" s="19">
        <v>8946.59</v>
      </c>
      <c r="Z1112" s="20">
        <v>1.1296199494949495</v>
      </c>
      <c r="AA1112" s="30">
        <v>9.1499999999999956E-2</v>
      </c>
      <c r="AB1112" s="27">
        <v>0.08</v>
      </c>
      <c r="AC1112" s="27">
        <v>9.4800000000000009E-2</v>
      </c>
      <c r="AD1112" s="11">
        <v>9.0802178154371249E-2</v>
      </c>
    </row>
    <row r="1113" spans="1:30" x14ac:dyDescent="0.25">
      <c r="A1113" s="13">
        <v>45665</v>
      </c>
      <c r="B1113" s="46" t="s">
        <v>636</v>
      </c>
      <c r="C1113" s="13">
        <v>45665</v>
      </c>
      <c r="D1113" s="15" t="s">
        <v>1286</v>
      </c>
      <c r="E1113" s="15">
        <v>98</v>
      </c>
      <c r="F1113" s="15">
        <v>90</v>
      </c>
      <c r="G1113" s="13">
        <v>45763</v>
      </c>
      <c r="H1113" s="19">
        <v>6600</v>
      </c>
      <c r="I1113" s="19">
        <v>7219.4700000000012</v>
      </c>
      <c r="J1113" s="20">
        <v>1.0938590909090908</v>
      </c>
      <c r="K1113" s="19">
        <v>6719.4700000000012</v>
      </c>
      <c r="L1113" s="20">
        <v>1.0181015151515154</v>
      </c>
      <c r="M1113" s="21">
        <v>0</v>
      </c>
      <c r="N1113" s="19">
        <v>0</v>
      </c>
      <c r="O1113" s="23">
        <v>1320</v>
      </c>
      <c r="P1113" s="24">
        <v>2923.9</v>
      </c>
      <c r="Q1113" s="25">
        <v>2.2150757575757574</v>
      </c>
      <c r="R1113" s="24">
        <v>1320</v>
      </c>
      <c r="S1113" s="25">
        <v>1</v>
      </c>
      <c r="T1113" s="26">
        <v>0.45146153846153847</v>
      </c>
      <c r="U1113" s="24">
        <v>0</v>
      </c>
      <c r="V1113" s="19">
        <v>7920</v>
      </c>
      <c r="W1113" s="19">
        <v>10143.370000000001</v>
      </c>
      <c r="X1113" s="21">
        <v>1.2807285353535354</v>
      </c>
      <c r="Y1113" s="19">
        <v>8039.4700000000012</v>
      </c>
      <c r="Z1113" s="20">
        <v>1.0150845959595962</v>
      </c>
      <c r="AA1113" s="30">
        <v>9.4100000000000059E-2</v>
      </c>
      <c r="AB1113" s="27">
        <v>0.08</v>
      </c>
      <c r="AC1113" s="27">
        <v>9.5299999999999996E-2</v>
      </c>
      <c r="AD1113" s="11">
        <v>9.1056630611388384E-2</v>
      </c>
    </row>
    <row r="1114" spans="1:30" x14ac:dyDescent="0.25">
      <c r="A1114" s="13">
        <v>45666</v>
      </c>
      <c r="B1114" s="46" t="s">
        <v>636</v>
      </c>
      <c r="C1114" s="13">
        <v>45667</v>
      </c>
      <c r="D1114" s="15" t="s">
        <v>1287</v>
      </c>
      <c r="E1114" s="15">
        <v>364</v>
      </c>
      <c r="F1114" s="15">
        <v>360</v>
      </c>
      <c r="G1114" s="13">
        <v>46031</v>
      </c>
      <c r="H1114" s="19">
        <v>3300</v>
      </c>
      <c r="I1114" s="19">
        <v>4293.08</v>
      </c>
      <c r="J1114" s="20">
        <v>1.3009333333333331</v>
      </c>
      <c r="K1114" s="19">
        <v>3693.08</v>
      </c>
      <c r="L1114" s="20">
        <v>1.1191151515151514</v>
      </c>
      <c r="M1114" s="21">
        <v>0</v>
      </c>
      <c r="N1114" s="19">
        <v>0</v>
      </c>
      <c r="O1114" s="23">
        <v>660</v>
      </c>
      <c r="P1114" s="24">
        <v>1133</v>
      </c>
      <c r="Q1114" s="25">
        <v>1.7166666666666666</v>
      </c>
      <c r="R1114" s="24">
        <v>660</v>
      </c>
      <c r="S1114" s="25">
        <v>1</v>
      </c>
      <c r="T1114" s="26">
        <v>0.58252465753424654</v>
      </c>
      <c r="U1114" s="24">
        <v>0</v>
      </c>
      <c r="V1114" s="19">
        <v>3960</v>
      </c>
      <c r="W1114" s="19">
        <v>5426.08</v>
      </c>
      <c r="X1114" s="21">
        <v>1.3702222222222222</v>
      </c>
      <c r="Y1114" s="19">
        <v>4353.08</v>
      </c>
      <c r="Z1114" s="20">
        <v>1.0992626262626262</v>
      </c>
      <c r="AA1114" s="30">
        <v>9.5200000000000048E-2</v>
      </c>
      <c r="AB1114" s="27">
        <v>8.4000000000000005E-2</v>
      </c>
      <c r="AC1114" s="27">
        <v>9.7599999999999992E-2</v>
      </c>
      <c r="AD1114" s="11">
        <v>9.4624632198794356E-2</v>
      </c>
    </row>
    <row r="1115" spans="1:30" x14ac:dyDescent="0.25">
      <c r="A1115" s="13">
        <v>45670</v>
      </c>
      <c r="B1115" s="46" t="s">
        <v>636</v>
      </c>
      <c r="C1115" s="13">
        <v>45670</v>
      </c>
      <c r="D1115" s="15" t="s">
        <v>1288</v>
      </c>
      <c r="E1115" s="15">
        <v>35</v>
      </c>
      <c r="F1115" s="15">
        <v>30</v>
      </c>
      <c r="G1115" s="13">
        <v>45705</v>
      </c>
      <c r="H1115" s="19">
        <v>8200</v>
      </c>
      <c r="I1115" s="19">
        <v>8928.02</v>
      </c>
      <c r="J1115" s="20">
        <v>1.0887829268292686</v>
      </c>
      <c r="K1115" s="19">
        <v>7578.0199999999995</v>
      </c>
      <c r="L1115" s="20">
        <v>0.9241487804878048</v>
      </c>
      <c r="M1115" s="21">
        <v>0</v>
      </c>
      <c r="N1115" s="19">
        <v>0</v>
      </c>
      <c r="O1115" s="23">
        <v>1640</v>
      </c>
      <c r="P1115" s="24">
        <v>3335.6</v>
      </c>
      <c r="Q1115" s="25">
        <v>2.0339024390243901</v>
      </c>
      <c r="R1115" s="24">
        <v>1515.6039999999998</v>
      </c>
      <c r="S1115" s="25">
        <v>0.9241487804878048</v>
      </c>
      <c r="T1115" s="26">
        <v>0.45437250000000001</v>
      </c>
      <c r="U1115" s="24">
        <v>0</v>
      </c>
      <c r="V1115" s="19">
        <v>9840</v>
      </c>
      <c r="W1115" s="19">
        <v>12263.62</v>
      </c>
      <c r="X1115" s="21">
        <v>1.2463028455284553</v>
      </c>
      <c r="Y1115" s="19">
        <v>9093.6239999999998</v>
      </c>
      <c r="Z1115" s="20">
        <v>0.92414878048780491</v>
      </c>
      <c r="AA1115" s="30">
        <v>9.1800000000000076E-2</v>
      </c>
      <c r="AB1115" s="27">
        <v>0.08</v>
      </c>
      <c r="AC1115" s="27">
        <v>9.4200000000000006E-2</v>
      </c>
      <c r="AD1115" s="11">
        <v>8.9811107165978551E-2</v>
      </c>
    </row>
    <row r="1116" spans="1:30" x14ac:dyDescent="0.25">
      <c r="A1116" s="13">
        <v>45672</v>
      </c>
      <c r="B1116" s="46" t="s">
        <v>636</v>
      </c>
      <c r="C1116" s="13">
        <v>45672</v>
      </c>
      <c r="D1116" s="15" t="s">
        <v>1289</v>
      </c>
      <c r="E1116" s="15">
        <v>91</v>
      </c>
      <c r="F1116" s="15">
        <v>90</v>
      </c>
      <c r="G1116" s="13">
        <v>45763</v>
      </c>
      <c r="H1116" s="19">
        <v>8200</v>
      </c>
      <c r="I1116" s="19">
        <v>11331.690000000002</v>
      </c>
      <c r="J1116" s="20">
        <v>1.3819134146341461</v>
      </c>
      <c r="K1116" s="19">
        <v>9781.6900000000023</v>
      </c>
      <c r="L1116" s="20">
        <v>1.1928890243902441</v>
      </c>
      <c r="M1116" s="21">
        <v>0</v>
      </c>
      <c r="N1116" s="19">
        <v>0</v>
      </c>
      <c r="O1116" s="23">
        <v>1640</v>
      </c>
      <c r="P1116" s="24">
        <v>3310.23</v>
      </c>
      <c r="Q1116" s="25">
        <v>2.0184329268292682</v>
      </c>
      <c r="R1116" s="24">
        <v>1640</v>
      </c>
      <c r="S1116" s="25">
        <v>1</v>
      </c>
      <c r="T1116" s="25">
        <v>0.49546012269938655</v>
      </c>
      <c r="U1116" s="24">
        <v>0</v>
      </c>
      <c r="V1116" s="19">
        <v>9840</v>
      </c>
      <c r="W1116" s="19">
        <v>14641.920000000002</v>
      </c>
      <c r="X1116" s="21">
        <v>1.4880000000000002</v>
      </c>
      <c r="Y1116" s="19">
        <v>11421.690000000002</v>
      </c>
      <c r="Z1116" s="20">
        <v>1.1607408536585369</v>
      </c>
      <c r="AA1116" s="30">
        <v>9.4199999999999909E-2</v>
      </c>
      <c r="AB1116" s="27">
        <v>7.4999999999999997E-2</v>
      </c>
      <c r="AC1116" s="27">
        <v>9.6199999999999994E-2</v>
      </c>
      <c r="AD1116" s="11">
        <v>9.2248947509153509E-2</v>
      </c>
    </row>
    <row r="1117" spans="1:30" x14ac:dyDescent="0.25">
      <c r="A1117" s="13">
        <v>45674</v>
      </c>
      <c r="B1117" s="46" t="s">
        <v>636</v>
      </c>
      <c r="C1117" s="13">
        <v>45674</v>
      </c>
      <c r="D1117" s="15" t="s">
        <v>1291</v>
      </c>
      <c r="E1117" s="15">
        <v>175</v>
      </c>
      <c r="F1117" s="15">
        <v>180</v>
      </c>
      <c r="G1117" s="13">
        <v>45849</v>
      </c>
      <c r="H1117" s="19">
        <v>5800</v>
      </c>
      <c r="I1117" s="19">
        <v>7642.46</v>
      </c>
      <c r="J1117" s="20">
        <v>1.3176655172413789</v>
      </c>
      <c r="K1117" s="19">
        <v>6262.46</v>
      </c>
      <c r="L1117" s="20">
        <v>1.0797344827586206</v>
      </c>
      <c r="M1117" s="21">
        <v>0</v>
      </c>
      <c r="N1117" s="19">
        <v>0</v>
      </c>
      <c r="O1117" s="23">
        <v>1160</v>
      </c>
      <c r="P1117" s="24">
        <v>2.2599999999999998</v>
      </c>
      <c r="Q1117" s="25">
        <v>1.9482758620689654E-3</v>
      </c>
      <c r="R1117" s="24">
        <v>2.2599999999999998</v>
      </c>
      <c r="S1117" s="25">
        <v>1.9482758620689654E-3</v>
      </c>
      <c r="T1117" s="25">
        <v>0</v>
      </c>
      <c r="U1117" s="24">
        <v>0</v>
      </c>
      <c r="V1117" s="19">
        <v>6960</v>
      </c>
      <c r="W1117" s="19">
        <v>7644.72</v>
      </c>
      <c r="X1117" s="21">
        <v>1.0983793103448276</v>
      </c>
      <c r="Y1117" s="19">
        <v>6264.72</v>
      </c>
      <c r="Z1117" s="20">
        <v>0.90010344827586208</v>
      </c>
      <c r="AA1117" s="30">
        <v>9.4500000000000015E-2</v>
      </c>
      <c r="AB1117" s="27">
        <v>0.08</v>
      </c>
      <c r="AC1117" s="27">
        <v>9.7299999999999998E-2</v>
      </c>
      <c r="AD1117" s="11">
        <v>9.2029429267539528E-2</v>
      </c>
    </row>
    <row r="1118" spans="1:30" x14ac:dyDescent="0.25">
      <c r="A1118" s="13">
        <v>45677</v>
      </c>
      <c r="B1118" s="46" t="s">
        <v>636</v>
      </c>
      <c r="C1118" s="13">
        <v>45677</v>
      </c>
      <c r="D1118" s="15" t="s">
        <v>1292</v>
      </c>
      <c r="E1118" s="15">
        <v>35</v>
      </c>
      <c r="F1118" s="15">
        <v>30</v>
      </c>
      <c r="G1118" s="13">
        <v>45712</v>
      </c>
      <c r="H1118" s="19">
        <v>7500</v>
      </c>
      <c r="I1118" s="19">
        <v>10060.390000000001</v>
      </c>
      <c r="J1118" s="20">
        <v>1.3413853333333337</v>
      </c>
      <c r="K1118" s="19">
        <v>7910.39</v>
      </c>
      <c r="L1118" s="20">
        <v>1.0547186666666668</v>
      </c>
      <c r="M1118" s="21">
        <v>0</v>
      </c>
      <c r="N1118" s="19">
        <v>0</v>
      </c>
      <c r="O1118" s="23">
        <v>1500</v>
      </c>
      <c r="P1118" s="24">
        <v>3314</v>
      </c>
      <c r="Q1118" s="25">
        <v>2.2093333333333334</v>
      </c>
      <c r="R1118" s="24">
        <v>1500</v>
      </c>
      <c r="S1118" s="25">
        <v>1</v>
      </c>
      <c r="T1118" s="25">
        <v>0.45262962962962966</v>
      </c>
      <c r="U1118" s="24">
        <v>0</v>
      </c>
      <c r="V1118" s="19">
        <v>9000</v>
      </c>
      <c r="W1118" s="19">
        <v>13374.390000000001</v>
      </c>
      <c r="X1118" s="21">
        <v>1.4860433333333334</v>
      </c>
      <c r="Y1118" s="19">
        <v>9410.39</v>
      </c>
      <c r="Z1118" s="20">
        <v>1.0455988888888887</v>
      </c>
      <c r="AA1118" s="30">
        <v>9.1800000000000076E-2</v>
      </c>
      <c r="AB1118" s="27">
        <v>0.06</v>
      </c>
      <c r="AC1118" s="27">
        <v>9.3000000000000013E-2</v>
      </c>
      <c r="AD1118" s="11">
        <v>9.0948105789139394E-2</v>
      </c>
    </row>
    <row r="1119" spans="1:30" x14ac:dyDescent="0.25">
      <c r="A1119" s="13">
        <v>45679</v>
      </c>
      <c r="B1119" s="46" t="s">
        <v>636</v>
      </c>
      <c r="C1119" s="13">
        <v>45679</v>
      </c>
      <c r="D1119" s="15" t="s">
        <v>1293</v>
      </c>
      <c r="E1119" s="15">
        <v>105</v>
      </c>
      <c r="F1119" s="15">
        <v>90</v>
      </c>
      <c r="G1119" s="13">
        <v>45784</v>
      </c>
      <c r="H1119" s="19">
        <v>3400</v>
      </c>
      <c r="I1119" s="19">
        <v>9833.9299999999985</v>
      </c>
      <c r="J1119" s="20">
        <v>2.8923323529411742</v>
      </c>
      <c r="K1119" s="19">
        <v>6800.0000000000009</v>
      </c>
      <c r="L1119" s="20">
        <v>2.0000000000000004</v>
      </c>
      <c r="M1119" s="21">
        <v>0.36180000000000001</v>
      </c>
      <c r="N1119" s="19">
        <v>0</v>
      </c>
      <c r="O1119" s="23">
        <v>680</v>
      </c>
      <c r="P1119" s="24">
        <v>680</v>
      </c>
      <c r="Q1119" s="25">
        <v>1</v>
      </c>
      <c r="R1119" s="24">
        <v>680</v>
      </c>
      <c r="S1119" s="25">
        <v>1</v>
      </c>
      <c r="T1119" s="25">
        <v>0</v>
      </c>
      <c r="U1119" s="24">
        <v>0</v>
      </c>
      <c r="V1119" s="19">
        <v>4080</v>
      </c>
      <c r="W1119" s="19">
        <v>10513.929999999998</v>
      </c>
      <c r="X1119" s="21">
        <v>2.57694362745098</v>
      </c>
      <c r="Y1119" s="19">
        <v>7480.0000000000009</v>
      </c>
      <c r="Z1119" s="20">
        <v>1.8333333333333335</v>
      </c>
      <c r="AA1119" s="30">
        <v>9.4199999999999937E-2</v>
      </c>
      <c r="AB1119" s="27">
        <v>0.08</v>
      </c>
      <c r="AC1119" s="27">
        <v>9.5500000000000002E-2</v>
      </c>
      <c r="AD1119" s="11">
        <v>9.3117070489621173E-2</v>
      </c>
    </row>
    <row r="1120" spans="1:30" x14ac:dyDescent="0.25">
      <c r="A1120" s="13">
        <v>45680</v>
      </c>
      <c r="B1120" s="46" t="s">
        <v>636</v>
      </c>
      <c r="C1120" s="13">
        <v>45681</v>
      </c>
      <c r="D1120" s="15" t="s">
        <v>1301</v>
      </c>
      <c r="E1120" s="15">
        <v>350</v>
      </c>
      <c r="F1120" s="15">
        <v>360</v>
      </c>
      <c r="G1120" s="13">
        <v>46031</v>
      </c>
      <c r="H1120" s="19">
        <v>7500</v>
      </c>
      <c r="I1120" s="19">
        <v>4399.18</v>
      </c>
      <c r="J1120" s="20">
        <v>0.58655733333333337</v>
      </c>
      <c r="K1120" s="19">
        <v>4399.18</v>
      </c>
      <c r="L1120" s="20">
        <v>0.58655733333333337</v>
      </c>
      <c r="M1120" s="21">
        <v>0</v>
      </c>
      <c r="N1120" s="19">
        <v>0</v>
      </c>
      <c r="O1120" s="23">
        <v>1500</v>
      </c>
      <c r="P1120" s="24">
        <v>1500</v>
      </c>
      <c r="Q1120" s="25">
        <v>1</v>
      </c>
      <c r="R1120" s="24">
        <v>879.83600000000001</v>
      </c>
      <c r="S1120" s="25">
        <v>0.58655733333333337</v>
      </c>
      <c r="T1120" s="25">
        <v>0.58655733333333337</v>
      </c>
      <c r="U1120" s="24">
        <v>0</v>
      </c>
      <c r="V1120" s="19">
        <v>9000</v>
      </c>
      <c r="W1120" s="19">
        <v>5899.18</v>
      </c>
      <c r="X1120" s="21">
        <v>0.65546444444444452</v>
      </c>
      <c r="Y1120" s="19">
        <v>5279.0160000000005</v>
      </c>
      <c r="Z1120" s="20">
        <v>0.58655733333333337</v>
      </c>
      <c r="AA1120" s="30">
        <v>9.549999999999996E-2</v>
      </c>
      <c r="AB1120" s="27">
        <v>0.08</v>
      </c>
      <c r="AC1120" s="27">
        <v>9.5500000000000002E-2</v>
      </c>
      <c r="AD1120" s="11">
        <v>9.3649986588409673E-2</v>
      </c>
    </row>
    <row r="1121" spans="1:30" x14ac:dyDescent="0.25">
      <c r="A1121" s="13">
        <v>45684</v>
      </c>
      <c r="B1121" s="46" t="s">
        <v>636</v>
      </c>
      <c r="C1121" s="13">
        <v>45684</v>
      </c>
      <c r="D1121" s="15" t="s">
        <v>1302</v>
      </c>
      <c r="E1121" s="15">
        <v>28</v>
      </c>
      <c r="F1121" s="15">
        <v>30</v>
      </c>
      <c r="G1121" s="13">
        <v>45712</v>
      </c>
      <c r="H1121" s="19">
        <v>8200</v>
      </c>
      <c r="I1121" s="19">
        <v>6918.67</v>
      </c>
      <c r="J1121" s="20">
        <v>0.84374024390243951</v>
      </c>
      <c r="K1121" s="19">
        <v>5818.67</v>
      </c>
      <c r="L1121" s="20">
        <v>0.70959390243902443</v>
      </c>
      <c r="M1121" s="21">
        <v>0</v>
      </c>
      <c r="N1121" s="19">
        <v>0</v>
      </c>
      <c r="O1121" s="23">
        <v>1640</v>
      </c>
      <c r="P1121" s="24">
        <v>3291.2</v>
      </c>
      <c r="Q1121" s="25">
        <v>2.0068292682926829</v>
      </c>
      <c r="R1121" s="24">
        <v>1163.7339999999999</v>
      </c>
      <c r="S1121" s="25">
        <v>0.70959390243902432</v>
      </c>
      <c r="T1121" s="25">
        <v>0.3535895731707317</v>
      </c>
      <c r="U1121" s="24">
        <v>0</v>
      </c>
      <c r="V1121" s="19">
        <v>9840</v>
      </c>
      <c r="W1121" s="19">
        <v>10209.869999999999</v>
      </c>
      <c r="X1121" s="21">
        <v>1.0375884146341463</v>
      </c>
      <c r="Y1121" s="19">
        <v>6982.4040000000005</v>
      </c>
      <c r="Z1121" s="20">
        <v>0.70959390243902443</v>
      </c>
      <c r="AA1121" s="30">
        <v>9.1800000000000062E-2</v>
      </c>
      <c r="AB1121" s="27">
        <v>7.0000000000000007E-2</v>
      </c>
      <c r="AC1121" s="27">
        <v>9.2499999999999999E-2</v>
      </c>
      <c r="AD1121" s="11">
        <v>9.0810140532790282E-2</v>
      </c>
    </row>
    <row r="1122" spans="1:30" x14ac:dyDescent="0.25">
      <c r="A1122" s="13">
        <v>45686</v>
      </c>
      <c r="B1122" s="46" t="s">
        <v>636</v>
      </c>
      <c r="C1122" s="13">
        <v>45686</v>
      </c>
      <c r="D1122" s="15" t="s">
        <v>1303</v>
      </c>
      <c r="E1122" s="15">
        <v>98</v>
      </c>
      <c r="F1122" s="15">
        <v>90</v>
      </c>
      <c r="G1122" s="13">
        <v>45784</v>
      </c>
      <c r="H1122" s="19">
        <v>6600</v>
      </c>
      <c r="I1122" s="19">
        <v>12605.18</v>
      </c>
      <c r="J1122" s="20">
        <v>1.9098757575757568</v>
      </c>
      <c r="K1122" s="19">
        <v>8555.18</v>
      </c>
      <c r="L1122" s="20">
        <v>1.2962393939393939</v>
      </c>
      <c r="M1122" s="21">
        <v>0</v>
      </c>
      <c r="N1122" s="19">
        <v>0</v>
      </c>
      <c r="O1122" s="23">
        <v>1320</v>
      </c>
      <c r="P1122" s="24">
        <v>2760.82</v>
      </c>
      <c r="Q1122" s="25">
        <v>2.0915303030303027</v>
      </c>
      <c r="R1122" s="24">
        <v>1320</v>
      </c>
      <c r="S1122" s="25">
        <v>1</v>
      </c>
      <c r="T1122" s="25">
        <v>0.47817073170731711</v>
      </c>
      <c r="U1122" s="24">
        <v>0</v>
      </c>
      <c r="V1122" s="19">
        <v>7920</v>
      </c>
      <c r="W1122" s="19">
        <v>15366</v>
      </c>
      <c r="X1122" s="21">
        <v>1.9401515151515152</v>
      </c>
      <c r="Y1122" s="19">
        <v>9875.18</v>
      </c>
      <c r="Z1122" s="20">
        <v>1.2468661616161616</v>
      </c>
      <c r="AA1122" s="30">
        <v>9.4100000000000059E-2</v>
      </c>
      <c r="AB1122" s="27">
        <v>0.08</v>
      </c>
      <c r="AC1122" s="27">
        <v>9.5000000000000001E-2</v>
      </c>
      <c r="AD1122" s="11">
        <v>9.350141949579463E-2</v>
      </c>
    </row>
    <row r="1123" spans="1:30" x14ac:dyDescent="0.25">
      <c r="A1123" s="13">
        <v>45688</v>
      </c>
      <c r="B1123" s="46" t="s">
        <v>636</v>
      </c>
      <c r="C1123" s="13">
        <v>45688</v>
      </c>
      <c r="D1123" s="15" t="s">
        <v>1305</v>
      </c>
      <c r="E1123" s="15">
        <v>182</v>
      </c>
      <c r="F1123" s="15">
        <v>180</v>
      </c>
      <c r="G1123" s="13">
        <v>45870</v>
      </c>
      <c r="H1123" s="19">
        <v>5000</v>
      </c>
      <c r="I1123" s="19">
        <v>8160.4500000000007</v>
      </c>
      <c r="J1123" s="20">
        <v>1.6320900000000007</v>
      </c>
      <c r="K1123" s="19">
        <v>6510.4500000000016</v>
      </c>
      <c r="L1123" s="20">
        <v>1.3020900000000004</v>
      </c>
      <c r="M1123" s="21">
        <v>0</v>
      </c>
      <c r="N1123" s="19">
        <v>0</v>
      </c>
      <c r="O1123" s="23">
        <v>1000</v>
      </c>
      <c r="P1123" s="24">
        <v>1020</v>
      </c>
      <c r="Q1123" s="25">
        <v>1.02</v>
      </c>
      <c r="R1123" s="24">
        <v>1000</v>
      </c>
      <c r="S1123" s="25">
        <v>1</v>
      </c>
      <c r="T1123" s="25">
        <v>0.98039220000000005</v>
      </c>
      <c r="U1123" s="24">
        <v>0</v>
      </c>
      <c r="V1123" s="19">
        <v>6000</v>
      </c>
      <c r="W1123" s="19">
        <v>9180.4500000000007</v>
      </c>
      <c r="X1123" s="21">
        <v>1.5300750000000001</v>
      </c>
      <c r="Y1123" s="19">
        <v>7510.4500000000016</v>
      </c>
      <c r="Z1123" s="20">
        <v>1.251741666666667</v>
      </c>
      <c r="AA1123" s="30">
        <v>9.4500000000000015E-2</v>
      </c>
      <c r="AB1123" s="27">
        <v>7.0000000000000007E-2</v>
      </c>
      <c r="AC1123" s="27">
        <v>9.5500000000000002E-2</v>
      </c>
      <c r="AD1123" s="11">
        <v>9.3172394904692771E-2</v>
      </c>
    </row>
    <row r="1124" spans="1:30" x14ac:dyDescent="0.25">
      <c r="A1124" s="13">
        <v>45691</v>
      </c>
      <c r="B1124" s="46" t="s">
        <v>636</v>
      </c>
      <c r="C1124" s="13">
        <v>45691</v>
      </c>
      <c r="D1124" s="15" t="s">
        <v>1306</v>
      </c>
      <c r="E1124" s="15">
        <v>35</v>
      </c>
      <c r="F1124" s="15">
        <v>30</v>
      </c>
      <c r="G1124" s="13">
        <v>45726</v>
      </c>
      <c r="H1124" s="19">
        <v>7500</v>
      </c>
      <c r="I1124" s="19">
        <v>5591.18</v>
      </c>
      <c r="J1124" s="20">
        <v>0.74549066666666663</v>
      </c>
      <c r="K1124" s="19">
        <v>4641.18</v>
      </c>
      <c r="L1124" s="20">
        <v>0.61882400000000004</v>
      </c>
      <c r="M1124" s="21">
        <v>0</v>
      </c>
      <c r="N1124" s="19">
        <v>0</v>
      </c>
      <c r="O1124" s="23">
        <v>1500</v>
      </c>
      <c r="P1124" s="24">
        <v>2500</v>
      </c>
      <c r="Q1124" s="25">
        <v>1.6666666666666665</v>
      </c>
      <c r="R1124" s="24">
        <v>928.23599999999999</v>
      </c>
      <c r="S1124" s="25">
        <v>0.61882400000000004</v>
      </c>
      <c r="T1124" s="25">
        <v>0.37129439999999997</v>
      </c>
      <c r="U1124" s="24">
        <v>0</v>
      </c>
      <c r="V1124" s="19">
        <v>9000</v>
      </c>
      <c r="W1124" s="19">
        <v>8091.18</v>
      </c>
      <c r="X1124" s="21">
        <v>0.89902000000000004</v>
      </c>
      <c r="Y1124" s="19">
        <v>5569.4160000000002</v>
      </c>
      <c r="Z1124" s="20">
        <v>0.61882400000000004</v>
      </c>
      <c r="AA1124" s="30">
        <v>9.1899999999999982E-2</v>
      </c>
      <c r="AB1124" s="27">
        <v>0.08</v>
      </c>
      <c r="AC1124" s="27">
        <v>9.3000000000000013E-2</v>
      </c>
      <c r="AD1124" s="11">
        <v>9.0672240743456659E-2</v>
      </c>
    </row>
    <row r="1125" spans="1:30" x14ac:dyDescent="0.25">
      <c r="A1125" s="13">
        <v>45693</v>
      </c>
      <c r="B1125" s="46" t="s">
        <v>636</v>
      </c>
      <c r="C1125" s="13">
        <v>45693</v>
      </c>
      <c r="D1125" s="15" t="s">
        <v>1307</v>
      </c>
      <c r="E1125" s="15">
        <v>105</v>
      </c>
      <c r="F1125" s="15">
        <v>90</v>
      </c>
      <c r="G1125" s="13">
        <v>45798</v>
      </c>
      <c r="H1125" s="19">
        <v>7500</v>
      </c>
      <c r="I1125" s="19">
        <v>9795.92</v>
      </c>
      <c r="J1125" s="20">
        <v>1.3061226666666663</v>
      </c>
      <c r="K1125" s="19">
        <v>7895.92</v>
      </c>
      <c r="L1125" s="20">
        <v>1.0527893333333334</v>
      </c>
      <c r="M1125" s="21">
        <v>0</v>
      </c>
      <c r="N1125" s="19">
        <v>0</v>
      </c>
      <c r="O1125" s="23">
        <v>1500</v>
      </c>
      <c r="P1125" s="24">
        <v>1820</v>
      </c>
      <c r="Q1125" s="25">
        <v>1.2133333333333334</v>
      </c>
      <c r="R1125" s="24">
        <v>1500</v>
      </c>
      <c r="S1125" s="25">
        <v>1</v>
      </c>
      <c r="T1125" s="25">
        <v>0.82417593750000007</v>
      </c>
      <c r="U1125" s="24">
        <v>0</v>
      </c>
      <c r="V1125" s="19">
        <v>9000</v>
      </c>
      <c r="W1125" s="19">
        <v>11615.92</v>
      </c>
      <c r="X1125" s="21">
        <v>1.2906577777777777</v>
      </c>
      <c r="Y1125" s="19">
        <v>9395.92</v>
      </c>
      <c r="Z1125" s="20">
        <v>1.0439911111111111</v>
      </c>
      <c r="AA1125" s="30">
        <v>9.4199999999999937E-2</v>
      </c>
      <c r="AB1125" s="27">
        <v>7.0000000000000007E-2</v>
      </c>
      <c r="AC1125" s="27">
        <v>9.6000000000000002E-2</v>
      </c>
      <c r="AD1125" s="11">
        <v>9.3330633671977734E-2</v>
      </c>
    </row>
    <row r="1126" spans="1:30" x14ac:dyDescent="0.25">
      <c r="A1126" s="13">
        <v>45694</v>
      </c>
      <c r="B1126" s="46" t="s">
        <v>636</v>
      </c>
      <c r="C1126" s="13">
        <v>45695</v>
      </c>
      <c r="D1126" s="15" t="s">
        <v>1308</v>
      </c>
      <c r="E1126" s="15">
        <v>364</v>
      </c>
      <c r="F1126" s="15">
        <v>360</v>
      </c>
      <c r="G1126" s="13">
        <v>46059</v>
      </c>
      <c r="H1126" s="19">
        <v>4200</v>
      </c>
      <c r="I1126" s="19">
        <v>7417.5</v>
      </c>
      <c r="J1126" s="20">
        <v>1.7660714285714281</v>
      </c>
      <c r="K1126" s="19">
        <v>6067.5</v>
      </c>
      <c r="L1126" s="20">
        <v>1.4446428571428571</v>
      </c>
      <c r="M1126" s="21">
        <v>0</v>
      </c>
      <c r="N1126" s="19">
        <v>0</v>
      </c>
      <c r="O1126" s="23">
        <v>840</v>
      </c>
      <c r="P1126" s="24">
        <v>6</v>
      </c>
      <c r="Q1126" s="25">
        <v>7.1428571428571426E-3</v>
      </c>
      <c r="R1126" s="24">
        <v>6</v>
      </c>
      <c r="S1126" s="25">
        <v>7.1428571428571426E-3</v>
      </c>
      <c r="T1126" s="25">
        <v>0</v>
      </c>
      <c r="U1126" s="24">
        <v>0</v>
      </c>
      <c r="V1126" s="19">
        <v>5040</v>
      </c>
      <c r="W1126" s="19">
        <v>7423.5</v>
      </c>
      <c r="X1126" s="21">
        <v>1.4729166666666667</v>
      </c>
      <c r="Y1126" s="19">
        <v>6073.5</v>
      </c>
      <c r="Z1126" s="20">
        <v>1.2050595238095239</v>
      </c>
      <c r="AA1126" s="30">
        <v>9.5499999999999988E-2</v>
      </c>
      <c r="AB1126" s="27">
        <v>8.5000000000000006E-2</v>
      </c>
      <c r="AC1126" s="27">
        <v>9.8000000000000004E-2</v>
      </c>
      <c r="AD1126" s="11">
        <v>9.4862458105830771E-2</v>
      </c>
    </row>
    <row r="1127" spans="1:30" x14ac:dyDescent="0.25">
      <c r="A1127" s="13">
        <v>45698</v>
      </c>
      <c r="B1127" s="46" t="s">
        <v>636</v>
      </c>
      <c r="C1127" s="13">
        <v>45698</v>
      </c>
      <c r="D1127" s="15" t="s">
        <v>1309</v>
      </c>
      <c r="E1127" s="15">
        <v>35</v>
      </c>
      <c r="F1127" s="15">
        <v>30</v>
      </c>
      <c r="G1127" s="13">
        <v>45733</v>
      </c>
      <c r="H1127" s="19">
        <v>9200</v>
      </c>
      <c r="I1127" s="19">
        <v>10328.32</v>
      </c>
      <c r="J1127" s="20">
        <v>1.1226434782608699</v>
      </c>
      <c r="K1127" s="19">
        <v>9328.32</v>
      </c>
      <c r="L1127" s="20">
        <v>1.0139478260869565</v>
      </c>
      <c r="M1127" s="21">
        <v>0</v>
      </c>
      <c r="N1127" s="19">
        <v>0</v>
      </c>
      <c r="O1127" s="23">
        <v>1840</v>
      </c>
      <c r="P1127" s="24">
        <v>2157</v>
      </c>
      <c r="Q1127" s="25">
        <v>1.1722826086956522</v>
      </c>
      <c r="R1127" s="24">
        <v>1840</v>
      </c>
      <c r="S1127" s="25">
        <v>1</v>
      </c>
      <c r="T1127" s="25">
        <v>0.85303666666666667</v>
      </c>
      <c r="U1127" s="24">
        <v>0</v>
      </c>
      <c r="V1127" s="19">
        <v>11040</v>
      </c>
      <c r="W1127" s="19">
        <v>12485.32</v>
      </c>
      <c r="X1127" s="21">
        <v>1.1309166666666666</v>
      </c>
      <c r="Y1127" s="19">
        <v>11168.32</v>
      </c>
      <c r="Z1127" s="20">
        <v>1.0116231884057971</v>
      </c>
      <c r="AA1127" s="30">
        <v>9.1999999999999971E-2</v>
      </c>
      <c r="AB1127" s="27">
        <v>0.08</v>
      </c>
      <c r="AC1127" s="27">
        <v>9.35E-2</v>
      </c>
      <c r="AD1127" s="11">
        <v>9.1189482122939661E-2</v>
      </c>
    </row>
    <row r="1128" spans="1:30" x14ac:dyDescent="0.25">
      <c r="A1128" s="13">
        <v>45700</v>
      </c>
      <c r="B1128" s="46" t="s">
        <v>636</v>
      </c>
      <c r="C1128" s="13">
        <v>45700</v>
      </c>
      <c r="D1128" s="15" t="s">
        <v>1310</v>
      </c>
      <c r="E1128" s="15">
        <v>105</v>
      </c>
      <c r="F1128" s="15">
        <v>90</v>
      </c>
      <c r="G1128" s="13">
        <v>45805</v>
      </c>
      <c r="H1128" s="19">
        <v>7500</v>
      </c>
      <c r="I1128" s="19">
        <v>11383.82</v>
      </c>
      <c r="J1128" s="20">
        <v>1.5178426666666662</v>
      </c>
      <c r="K1128" s="19">
        <v>7433.8200000000015</v>
      </c>
      <c r="L1128" s="20">
        <v>0.99117600000000017</v>
      </c>
      <c r="M1128" s="21">
        <v>0</v>
      </c>
      <c r="N1128" s="19">
        <v>0</v>
      </c>
      <c r="O1128" s="23">
        <v>1500</v>
      </c>
      <c r="P1128" s="24">
        <v>1610</v>
      </c>
      <c r="Q1128" s="25">
        <v>1.0733333333333333</v>
      </c>
      <c r="R1128" s="24">
        <v>1486.7639999999999</v>
      </c>
      <c r="S1128" s="25">
        <v>0.99117599999999995</v>
      </c>
      <c r="T1128" s="25">
        <v>0.92345593333333331</v>
      </c>
      <c r="U1128" s="24">
        <v>0</v>
      </c>
      <c r="V1128" s="19">
        <v>9000</v>
      </c>
      <c r="W1128" s="19">
        <v>12993.82</v>
      </c>
      <c r="X1128" s="21">
        <v>1.4437577777777777</v>
      </c>
      <c r="Y1128" s="19">
        <v>8920.5840000000007</v>
      </c>
      <c r="Z1128" s="20">
        <v>0.99117600000000006</v>
      </c>
      <c r="AA1128" s="30">
        <v>9.4500000000000015E-2</v>
      </c>
      <c r="AB1128" s="27">
        <v>0.08</v>
      </c>
      <c r="AC1128" s="27">
        <v>9.6500000000000002E-2</v>
      </c>
      <c r="AD1128" s="11">
        <v>9.3902919143134769E-2</v>
      </c>
    </row>
    <row r="1129" spans="1:30" x14ac:dyDescent="0.25">
      <c r="A1129" s="13">
        <v>45702</v>
      </c>
      <c r="B1129" s="46" t="s">
        <v>636</v>
      </c>
      <c r="C1129" s="13">
        <v>45702</v>
      </c>
      <c r="D1129" s="15" t="s">
        <v>1314</v>
      </c>
      <c r="E1129" s="15">
        <v>168</v>
      </c>
      <c r="F1129" s="15">
        <v>180</v>
      </c>
      <c r="G1129" s="13">
        <v>45870</v>
      </c>
      <c r="H1129" s="19">
        <v>5000</v>
      </c>
      <c r="I1129" s="19">
        <v>5381.079999999999</v>
      </c>
      <c r="J1129" s="20">
        <v>1.0762160000000001</v>
      </c>
      <c r="K1129" s="19">
        <v>5081.079999999999</v>
      </c>
      <c r="L1129" s="20">
        <v>1.0162159999999998</v>
      </c>
      <c r="M1129" s="21">
        <v>0</v>
      </c>
      <c r="N1129" s="19">
        <v>0</v>
      </c>
      <c r="O1129" s="23">
        <v>1000</v>
      </c>
      <c r="P1129" s="24">
        <v>0</v>
      </c>
      <c r="Q1129" s="25">
        <v>0</v>
      </c>
      <c r="R1129" s="24">
        <v>0</v>
      </c>
      <c r="S1129" s="25">
        <v>0</v>
      </c>
      <c r="T1129" s="25">
        <v>0</v>
      </c>
      <c r="U1129" s="24">
        <v>0</v>
      </c>
      <c r="V1129" s="19">
        <v>6000</v>
      </c>
      <c r="W1129" s="19">
        <v>5381.079999999999</v>
      </c>
      <c r="X1129" s="21">
        <v>0.89684666666666646</v>
      </c>
      <c r="Y1129" s="19">
        <v>5081.079999999999</v>
      </c>
      <c r="Z1129" s="20">
        <v>0.84684666666666653</v>
      </c>
      <c r="AA1129" s="30">
        <v>9.5299999999999954E-2</v>
      </c>
      <c r="AB1129" s="27">
        <v>0.08</v>
      </c>
      <c r="AC1129" s="27">
        <v>9.6500000000000002E-2</v>
      </c>
      <c r="AD1129" s="11">
        <v>9.3733916054026353E-2</v>
      </c>
    </row>
    <row r="1130" spans="1:30" x14ac:dyDescent="0.25">
      <c r="A1130" s="13">
        <v>45705</v>
      </c>
      <c r="B1130" s="46" t="s">
        <v>636</v>
      </c>
      <c r="C1130" s="13">
        <v>45705</v>
      </c>
      <c r="D1130" s="15" t="s">
        <v>1315</v>
      </c>
      <c r="E1130" s="15">
        <v>35</v>
      </c>
      <c r="F1130" s="15">
        <v>30</v>
      </c>
      <c r="G1130" s="13">
        <v>45740</v>
      </c>
      <c r="H1130" s="19">
        <v>8300</v>
      </c>
      <c r="I1130" s="19">
        <v>8418.31</v>
      </c>
      <c r="J1130" s="20">
        <v>1.0142542168674695</v>
      </c>
      <c r="K1130" s="19">
        <v>8318.31</v>
      </c>
      <c r="L1130" s="20">
        <v>1.0022060240963855</v>
      </c>
      <c r="M1130" s="21">
        <v>0</v>
      </c>
      <c r="N1130" s="19">
        <v>0</v>
      </c>
      <c r="O1130" s="23">
        <v>1660</v>
      </c>
      <c r="P1130" s="24">
        <v>3335</v>
      </c>
      <c r="Q1130" s="25">
        <v>2.0090361445783129</v>
      </c>
      <c r="R1130" s="24">
        <v>1660</v>
      </c>
      <c r="S1130" s="25">
        <v>1</v>
      </c>
      <c r="T1130" s="25">
        <v>0.49775333333333338</v>
      </c>
      <c r="U1130" s="24">
        <v>0</v>
      </c>
      <c r="V1130" s="19">
        <v>9960</v>
      </c>
      <c r="W1130" s="19">
        <v>11753.31</v>
      </c>
      <c r="X1130" s="21">
        <v>1.1800512048192771</v>
      </c>
      <c r="Y1130" s="19">
        <v>9978.31</v>
      </c>
      <c r="Z1130" s="20">
        <v>1.0018383534136546</v>
      </c>
      <c r="AA1130" s="30">
        <v>9.2999999999999985E-2</v>
      </c>
      <c r="AB1130" s="27">
        <v>7.0000000000000007E-2</v>
      </c>
      <c r="AC1130" s="27">
        <v>9.35E-2</v>
      </c>
      <c r="AD1130" s="11">
        <v>9.1248959589276243E-2</v>
      </c>
    </row>
    <row r="1131" spans="1:30" x14ac:dyDescent="0.25">
      <c r="A1131" s="13">
        <v>45707</v>
      </c>
      <c r="B1131" s="46" t="s">
        <v>636</v>
      </c>
      <c r="C1131" s="13">
        <v>45707</v>
      </c>
      <c r="D1131" s="15" t="s">
        <v>1316</v>
      </c>
      <c r="E1131" s="15">
        <v>105</v>
      </c>
      <c r="F1131" s="15">
        <v>90</v>
      </c>
      <c r="G1131" s="13">
        <v>45812</v>
      </c>
      <c r="H1131" s="19">
        <v>6700</v>
      </c>
      <c r="I1131" s="19">
        <v>7878.11</v>
      </c>
      <c r="J1131" s="20">
        <v>1.1758373134328357</v>
      </c>
      <c r="K1131" s="19">
        <v>7278.1100000000006</v>
      </c>
      <c r="L1131" s="20">
        <v>1.0862850746268657</v>
      </c>
      <c r="M1131" s="21">
        <v>0</v>
      </c>
      <c r="N1131" s="19">
        <v>0</v>
      </c>
      <c r="O1131" s="23">
        <v>1340</v>
      </c>
      <c r="P1131" s="24">
        <v>1377.7</v>
      </c>
      <c r="Q1131" s="25">
        <v>1.0281343283582089</v>
      </c>
      <c r="R1131" s="24">
        <v>1340</v>
      </c>
      <c r="S1131" s="25">
        <v>1</v>
      </c>
      <c r="T1131" s="25">
        <v>0.97263666666666659</v>
      </c>
      <c r="U1131" s="24">
        <v>0</v>
      </c>
      <c r="V1131" s="19">
        <v>8040</v>
      </c>
      <c r="W1131" s="19">
        <v>9255.81</v>
      </c>
      <c r="X1131" s="21">
        <v>1.1512201492537313</v>
      </c>
      <c r="Y1131" s="19">
        <v>8618.11</v>
      </c>
      <c r="Z1131" s="20">
        <v>1.0719042288557215</v>
      </c>
      <c r="AA1131" s="30">
        <v>9.549999999999996E-2</v>
      </c>
      <c r="AB1131" s="27">
        <v>8.5000000000000006E-2</v>
      </c>
      <c r="AC1131" s="27">
        <v>9.6500000000000002E-2</v>
      </c>
      <c r="AD1131" s="11">
        <v>9.4052987074310979E-2</v>
      </c>
    </row>
    <row r="1132" spans="1:30" x14ac:dyDescent="0.25">
      <c r="A1132" s="13">
        <v>45708</v>
      </c>
      <c r="B1132" s="46" t="s">
        <v>636</v>
      </c>
      <c r="C1132" s="13">
        <v>45709</v>
      </c>
      <c r="D1132" s="15" t="s">
        <v>1321</v>
      </c>
      <c r="E1132" s="15">
        <v>350</v>
      </c>
      <c r="F1132" s="15">
        <v>360</v>
      </c>
      <c r="G1132" s="13">
        <v>46059</v>
      </c>
      <c r="H1132" s="19">
        <v>5000</v>
      </c>
      <c r="I1132" s="19">
        <v>6239.5300000000007</v>
      </c>
      <c r="J1132" s="20">
        <v>1.247906</v>
      </c>
      <c r="K1132" s="19">
        <v>5689.5300000000007</v>
      </c>
      <c r="L1132" s="20">
        <v>1.1379060000000001</v>
      </c>
      <c r="M1132" s="21">
        <v>0</v>
      </c>
      <c r="N1132" s="19">
        <v>0</v>
      </c>
      <c r="O1132" s="23">
        <v>1000</v>
      </c>
      <c r="P1132" s="24">
        <v>1300</v>
      </c>
      <c r="Q1132" s="25">
        <v>1.3</v>
      </c>
      <c r="R1132" s="24">
        <v>1000</v>
      </c>
      <c r="S1132" s="25">
        <v>1</v>
      </c>
      <c r="T1132" s="25">
        <v>0.76923079999999999</v>
      </c>
      <c r="U1132" s="24">
        <v>0</v>
      </c>
      <c r="V1132" s="19">
        <v>6000</v>
      </c>
      <c r="W1132" s="19">
        <v>7539.5300000000007</v>
      </c>
      <c r="X1132" s="21">
        <v>1.2565883333333334</v>
      </c>
      <c r="Y1132" s="19">
        <v>6689.5300000000007</v>
      </c>
      <c r="Z1132" s="20">
        <v>1.1149216666666668</v>
      </c>
      <c r="AA1132" s="30">
        <v>9.549999999999996E-2</v>
      </c>
      <c r="AB1132" s="27">
        <v>7.0000000000000007E-2</v>
      </c>
      <c r="AC1132" s="27">
        <v>9.7200000000000009E-2</v>
      </c>
      <c r="AD1132" s="11">
        <v>9.4695310544223685E-2</v>
      </c>
    </row>
    <row r="1133" spans="1:30" x14ac:dyDescent="0.25">
      <c r="A1133" s="13">
        <v>45712</v>
      </c>
      <c r="B1133" s="46" t="s">
        <v>636</v>
      </c>
      <c r="C1133" s="13">
        <v>45712</v>
      </c>
      <c r="D1133" s="15" t="s">
        <v>1322</v>
      </c>
      <c r="E1133" s="15">
        <v>35</v>
      </c>
      <c r="F1133" s="15">
        <v>30</v>
      </c>
      <c r="G1133" s="13">
        <v>45747</v>
      </c>
      <c r="H1133" s="19">
        <v>10800</v>
      </c>
      <c r="I1133" s="19">
        <v>9945.14</v>
      </c>
      <c r="J1133" s="20">
        <v>0.92084629629629633</v>
      </c>
      <c r="K1133" s="19">
        <v>9145.14</v>
      </c>
      <c r="L1133" s="20">
        <v>0.84677222222222215</v>
      </c>
      <c r="M1133" s="21">
        <v>0</v>
      </c>
      <c r="N1133" s="19">
        <v>0</v>
      </c>
      <c r="O1133" s="23">
        <v>2160</v>
      </c>
      <c r="P1133" s="24">
        <v>3191.25</v>
      </c>
      <c r="Q1133" s="25">
        <v>1.4774305555555558</v>
      </c>
      <c r="R1133" s="24">
        <v>1829.028</v>
      </c>
      <c r="S1133" s="25">
        <v>0.84677222222222226</v>
      </c>
      <c r="T1133" s="25">
        <v>0.57314285714285718</v>
      </c>
      <c r="U1133" s="24">
        <v>0</v>
      </c>
      <c r="V1133" s="19">
        <v>12960</v>
      </c>
      <c r="W1133" s="19">
        <v>13136.39</v>
      </c>
      <c r="X1133" s="21">
        <v>1.0136103395061729</v>
      </c>
      <c r="Y1133" s="19">
        <v>10974.168</v>
      </c>
      <c r="Z1133" s="20">
        <v>0.84677222222222215</v>
      </c>
      <c r="AA1133" s="30">
        <v>9.3500000000000055E-2</v>
      </c>
      <c r="AB1133" s="27">
        <v>7.0000000000000007E-2</v>
      </c>
      <c r="AC1133" s="27">
        <v>9.4299999999999995E-2</v>
      </c>
      <c r="AD1133" s="11">
        <v>9.1174377736261136E-2</v>
      </c>
    </row>
    <row r="1134" spans="1:30" x14ac:dyDescent="0.25">
      <c r="A1134" s="13">
        <v>45714</v>
      </c>
      <c r="B1134" s="46" t="s">
        <v>636</v>
      </c>
      <c r="C1134" s="13">
        <v>45714</v>
      </c>
      <c r="D1134" s="15" t="s">
        <v>1324</v>
      </c>
      <c r="E1134" s="15">
        <v>98</v>
      </c>
      <c r="F1134" s="15">
        <v>90</v>
      </c>
      <c r="G1134" s="13">
        <v>45812</v>
      </c>
      <c r="H1134" s="19">
        <v>9200</v>
      </c>
      <c r="I1134" s="19">
        <v>10982.869999999999</v>
      </c>
      <c r="J1134" s="20">
        <v>1.1937902173913042</v>
      </c>
      <c r="K1134" s="19">
        <v>9882.869999999999</v>
      </c>
      <c r="L1134" s="20">
        <v>1.074225</v>
      </c>
      <c r="M1134" s="21">
        <v>0</v>
      </c>
      <c r="N1134" s="19">
        <v>0</v>
      </c>
      <c r="O1134" s="23">
        <v>1840</v>
      </c>
      <c r="P1134" s="24">
        <v>1630</v>
      </c>
      <c r="Q1134" s="25">
        <v>0.88586956521739135</v>
      </c>
      <c r="R1134" s="24">
        <v>1630</v>
      </c>
      <c r="S1134" s="25">
        <v>0.88586956521739135</v>
      </c>
      <c r="T1134" s="25">
        <v>0</v>
      </c>
      <c r="U1134" s="24">
        <v>0</v>
      </c>
      <c r="V1134" s="19">
        <v>11040</v>
      </c>
      <c r="W1134" s="19">
        <v>12612.869999999999</v>
      </c>
      <c r="X1134" s="21">
        <v>1.1424701086956521</v>
      </c>
      <c r="Y1134" s="19">
        <v>11512.869999999999</v>
      </c>
      <c r="Z1134" s="20">
        <v>1.0428324275362317</v>
      </c>
      <c r="AA1134" s="30">
        <v>9.5799999999999969E-2</v>
      </c>
      <c r="AB1134" s="27">
        <v>7.0000000000000007E-2</v>
      </c>
      <c r="AC1134" s="27">
        <v>0.1</v>
      </c>
      <c r="AD1134" s="11">
        <v>9.446469483841656E-2</v>
      </c>
    </row>
    <row r="1135" spans="1:30" x14ac:dyDescent="0.25">
      <c r="A1135" s="13">
        <v>45716</v>
      </c>
      <c r="B1135" s="46" t="s">
        <v>636</v>
      </c>
      <c r="C1135" s="13">
        <v>45716</v>
      </c>
      <c r="D1135" s="15" t="s">
        <v>1325</v>
      </c>
      <c r="E1135" s="15">
        <v>189</v>
      </c>
      <c r="F1135" s="15">
        <v>180</v>
      </c>
      <c r="G1135" s="13">
        <v>45905</v>
      </c>
      <c r="H1135" s="19">
        <v>4200</v>
      </c>
      <c r="I1135" s="19">
        <v>4761.18</v>
      </c>
      <c r="J1135" s="20">
        <v>1.1336142857142855</v>
      </c>
      <c r="K1135" s="19">
        <v>4361.18</v>
      </c>
      <c r="L1135" s="20">
        <v>1.0383761904761906</v>
      </c>
      <c r="M1135" s="21">
        <v>0</v>
      </c>
      <c r="N1135" s="19">
        <v>0</v>
      </c>
      <c r="O1135" s="23">
        <v>840</v>
      </c>
      <c r="P1135" s="24">
        <v>850</v>
      </c>
      <c r="Q1135" s="25">
        <v>1.0119047619047619</v>
      </c>
      <c r="R1135" s="24">
        <v>840</v>
      </c>
      <c r="S1135" s="25">
        <v>1</v>
      </c>
      <c r="T1135" s="25">
        <v>0.98823533333333335</v>
      </c>
      <c r="U1135" s="24">
        <v>0</v>
      </c>
      <c r="V1135" s="19">
        <v>5040</v>
      </c>
      <c r="W1135" s="19">
        <v>5611.18</v>
      </c>
      <c r="X1135" s="21">
        <v>1.1133293650793652</v>
      </c>
      <c r="Y1135" s="19">
        <v>5201.18</v>
      </c>
      <c r="Z1135" s="20">
        <v>1.0319801587301587</v>
      </c>
      <c r="AA1135" s="30">
        <v>9.6000000000000058E-2</v>
      </c>
      <c r="AB1135" s="27">
        <v>7.0000000000000007E-2</v>
      </c>
      <c r="AC1135" s="27">
        <v>0.1</v>
      </c>
      <c r="AD1135" s="11">
        <v>9.4360296187079681E-2</v>
      </c>
    </row>
    <row r="1136" spans="1:30" x14ac:dyDescent="0.25">
      <c r="A1136" s="13">
        <v>45721</v>
      </c>
      <c r="B1136" s="46" t="s">
        <v>636</v>
      </c>
      <c r="C1136" s="13">
        <v>45721</v>
      </c>
      <c r="D1136" s="15" t="s">
        <v>1326</v>
      </c>
      <c r="E1136" s="15">
        <v>33</v>
      </c>
      <c r="F1136" s="15">
        <v>30</v>
      </c>
      <c r="G1136" s="13">
        <v>45754</v>
      </c>
      <c r="H1136" s="19">
        <v>6600</v>
      </c>
      <c r="I1136" s="19">
        <v>9380.33</v>
      </c>
      <c r="J1136" s="20">
        <v>1.4212621212121208</v>
      </c>
      <c r="K1136" s="19">
        <v>7930.3300000000008</v>
      </c>
      <c r="L1136" s="20">
        <v>1.2015651515151518</v>
      </c>
      <c r="M1136" s="21">
        <v>0</v>
      </c>
      <c r="N1136" s="19">
        <v>0</v>
      </c>
      <c r="O1136" s="23">
        <v>1320</v>
      </c>
      <c r="P1136" s="24">
        <v>150</v>
      </c>
      <c r="Q1136" s="25">
        <v>0.11363636363636365</v>
      </c>
      <c r="R1136" s="24">
        <v>150</v>
      </c>
      <c r="S1136" s="25">
        <v>0.11363636363636363</v>
      </c>
      <c r="T1136" s="25">
        <v>0</v>
      </c>
      <c r="U1136" s="24">
        <v>0</v>
      </c>
      <c r="V1136" s="19">
        <v>7920</v>
      </c>
      <c r="W1136" s="19">
        <v>9530.33</v>
      </c>
      <c r="X1136" s="21">
        <v>1.203324494949495</v>
      </c>
      <c r="Y1136" s="19">
        <v>8080.3300000000008</v>
      </c>
      <c r="Z1136" s="20">
        <v>1.020243686868687</v>
      </c>
      <c r="AA1136" s="30">
        <v>9.3500000000000055E-2</v>
      </c>
      <c r="AB1136" s="27">
        <v>7.0000000000000007E-2</v>
      </c>
      <c r="AC1136" s="27">
        <v>9.5000000000000001E-2</v>
      </c>
      <c r="AD1136" s="11">
        <v>9.2379970107661469E-2</v>
      </c>
    </row>
    <row r="1137" spans="1:30" x14ac:dyDescent="0.25">
      <c r="A1137" s="13">
        <v>45722</v>
      </c>
      <c r="B1137" s="46" t="s">
        <v>636</v>
      </c>
      <c r="C1137" s="13">
        <v>45722</v>
      </c>
      <c r="D1137" s="15" t="s">
        <v>1327</v>
      </c>
      <c r="E1137" s="15">
        <v>97</v>
      </c>
      <c r="F1137" s="15">
        <v>90</v>
      </c>
      <c r="G1137" s="13">
        <v>45819</v>
      </c>
      <c r="H1137" s="19">
        <v>6300</v>
      </c>
      <c r="I1137" s="19">
        <v>8126.7099999999991</v>
      </c>
      <c r="J1137" s="20">
        <v>1.2899539682539678</v>
      </c>
      <c r="K1137" s="19">
        <v>7276.7099999999991</v>
      </c>
      <c r="L1137" s="20">
        <v>1.1550333333333331</v>
      </c>
      <c r="M1137" s="21">
        <v>0</v>
      </c>
      <c r="N1137" s="19">
        <v>0</v>
      </c>
      <c r="O1137" s="23">
        <v>1260</v>
      </c>
      <c r="P1137" s="24">
        <v>1660</v>
      </c>
      <c r="Q1137" s="25">
        <v>1.3174603174603174</v>
      </c>
      <c r="R1137" s="24">
        <v>1260</v>
      </c>
      <c r="S1137" s="25">
        <v>1</v>
      </c>
      <c r="T1137" s="25">
        <v>0.75903625000000008</v>
      </c>
      <c r="U1137" s="24">
        <v>0</v>
      </c>
      <c r="V1137" s="19">
        <v>7560</v>
      </c>
      <c r="W1137" s="19">
        <v>9786.7099999999991</v>
      </c>
      <c r="X1137" s="21">
        <v>1.2945383597883597</v>
      </c>
      <c r="Y1137" s="19">
        <v>8536.7099999999991</v>
      </c>
      <c r="Z1137" s="20">
        <v>1.1291944444444444</v>
      </c>
      <c r="AA1137" s="30">
        <v>9.5699999999999938E-2</v>
      </c>
      <c r="AB1137" s="27">
        <v>7.0000000000000007E-2</v>
      </c>
      <c r="AC1137" s="27">
        <v>9.6699999999999994E-2</v>
      </c>
      <c r="AD1137" s="11">
        <v>9.456959999803119E-2</v>
      </c>
    </row>
    <row r="1138" spans="1:30" x14ac:dyDescent="0.25">
      <c r="A1138" s="13">
        <v>45722</v>
      </c>
      <c r="B1138" s="46" t="s">
        <v>637</v>
      </c>
      <c r="C1138" s="13">
        <v>45723</v>
      </c>
      <c r="D1138" s="15" t="s">
        <v>1328</v>
      </c>
      <c r="E1138" s="15">
        <v>364</v>
      </c>
      <c r="F1138" s="15">
        <v>360</v>
      </c>
      <c r="G1138" s="13">
        <v>46087</v>
      </c>
      <c r="H1138" s="19">
        <v>3800</v>
      </c>
      <c r="I1138" s="19">
        <v>6366.4499999999989</v>
      </c>
      <c r="J1138" s="20">
        <v>1.6753815789473687</v>
      </c>
      <c r="K1138" s="19">
        <v>6366.4499999999989</v>
      </c>
      <c r="L1138" s="20">
        <v>1.6753815789473681</v>
      </c>
      <c r="M1138" s="21">
        <v>0</v>
      </c>
      <c r="N1138" s="19">
        <v>0</v>
      </c>
      <c r="O1138" s="23">
        <v>760</v>
      </c>
      <c r="P1138" s="24">
        <v>1060</v>
      </c>
      <c r="Q1138" s="25">
        <v>1.3947368421052633</v>
      </c>
      <c r="R1138" s="24">
        <v>760</v>
      </c>
      <c r="S1138" s="25">
        <v>1</v>
      </c>
      <c r="T1138" s="25">
        <v>0.71698118421052637</v>
      </c>
      <c r="U1138" s="24">
        <v>0</v>
      </c>
      <c r="V1138" s="19">
        <v>4560</v>
      </c>
      <c r="W1138" s="19">
        <v>7426.4499999999989</v>
      </c>
      <c r="X1138" s="21">
        <v>1.6286074561403507</v>
      </c>
      <c r="Y1138" s="19">
        <v>7126.4499999999989</v>
      </c>
      <c r="Z1138" s="20">
        <v>1.5628179824561401</v>
      </c>
      <c r="AA1138" s="30">
        <v>9.6200000000000035E-2</v>
      </c>
      <c r="AB1138" s="27">
        <v>7.0000000000000007E-2</v>
      </c>
      <c r="AC1138" s="27">
        <v>9.6199999999999994E-2</v>
      </c>
      <c r="AD1138" s="11">
        <v>9.5156499304950182E-2</v>
      </c>
    </row>
    <row r="1139" spans="1:30" x14ac:dyDescent="0.25">
      <c r="A1139" s="13">
        <v>45726</v>
      </c>
      <c r="B1139" s="46" t="s">
        <v>636</v>
      </c>
      <c r="C1139" s="13">
        <v>45726</v>
      </c>
      <c r="D1139" s="15" t="s">
        <v>1329</v>
      </c>
      <c r="E1139" s="15">
        <v>28</v>
      </c>
      <c r="F1139" s="15">
        <v>30</v>
      </c>
      <c r="G1139" s="13">
        <v>45754</v>
      </c>
      <c r="H1139" s="19">
        <v>6600</v>
      </c>
      <c r="I1139" s="19">
        <v>8774.43</v>
      </c>
      <c r="J1139" s="20">
        <v>1.3294590909090904</v>
      </c>
      <c r="K1139" s="19">
        <v>8524.43</v>
      </c>
      <c r="L1139" s="20">
        <v>1.291580303030303</v>
      </c>
      <c r="M1139" s="21">
        <v>0</v>
      </c>
      <c r="N1139" s="19">
        <v>0</v>
      </c>
      <c r="O1139" s="23">
        <v>1320</v>
      </c>
      <c r="P1139" s="24">
        <v>30</v>
      </c>
      <c r="Q1139" s="25">
        <v>2.2727272727272728E-2</v>
      </c>
      <c r="R1139" s="24">
        <v>30</v>
      </c>
      <c r="S1139" s="25">
        <v>2.2727272727272728E-2</v>
      </c>
      <c r="T1139" s="25">
        <v>0</v>
      </c>
      <c r="U1139" s="24">
        <v>0</v>
      </c>
      <c r="V1139" s="19">
        <v>7920</v>
      </c>
      <c r="W1139" s="19">
        <v>8804.43</v>
      </c>
      <c r="X1139" s="21">
        <v>1.1116704545454545</v>
      </c>
      <c r="Y1139" s="19">
        <v>8554.43</v>
      </c>
      <c r="Z1139" s="20">
        <v>1.080104797979798</v>
      </c>
      <c r="AA1139" s="30">
        <v>9.3999999999999945E-2</v>
      </c>
      <c r="AB1139" s="27">
        <v>0.08</v>
      </c>
      <c r="AC1139" s="27">
        <v>9.4600000000000004E-2</v>
      </c>
      <c r="AD1139" s="11">
        <v>9.2641455798268352E-2</v>
      </c>
    </row>
    <row r="1140" spans="1:30" x14ac:dyDescent="0.25">
      <c r="A1140" s="13">
        <v>45728</v>
      </c>
      <c r="B1140" s="46" t="s">
        <v>636</v>
      </c>
      <c r="C1140" s="13">
        <v>45728</v>
      </c>
      <c r="D1140" s="15" t="s">
        <v>1330</v>
      </c>
      <c r="E1140" s="15">
        <v>98</v>
      </c>
      <c r="F1140" s="15">
        <v>90</v>
      </c>
      <c r="G1140" s="13">
        <v>45826</v>
      </c>
      <c r="H1140" s="19">
        <v>6600</v>
      </c>
      <c r="I1140" s="19">
        <v>8686.58</v>
      </c>
      <c r="J1140" s="20">
        <v>1.3161484848484846</v>
      </c>
      <c r="K1140" s="19">
        <v>8086.58</v>
      </c>
      <c r="L1140" s="20">
        <v>1.225239393939394</v>
      </c>
      <c r="M1140" s="21">
        <v>0</v>
      </c>
      <c r="N1140" s="19">
        <v>0</v>
      </c>
      <c r="O1140" s="23">
        <v>1320</v>
      </c>
      <c r="P1140" s="24">
        <v>1540</v>
      </c>
      <c r="Q1140" s="25">
        <v>1.1666666666666667</v>
      </c>
      <c r="R1140" s="24">
        <v>1320</v>
      </c>
      <c r="S1140" s="25">
        <v>1</v>
      </c>
      <c r="T1140" s="25">
        <v>0.85714299999999999</v>
      </c>
      <c r="U1140" s="24">
        <v>0</v>
      </c>
      <c r="V1140" s="19">
        <v>7920</v>
      </c>
      <c r="W1140" s="19">
        <v>10226.58</v>
      </c>
      <c r="X1140" s="21">
        <v>1.2912348484848484</v>
      </c>
      <c r="Y1140" s="19">
        <v>9406.58</v>
      </c>
      <c r="Z1140" s="20">
        <v>1.187699494949495</v>
      </c>
      <c r="AA1140" s="30">
        <v>9.6000000000000044E-2</v>
      </c>
      <c r="AB1140" s="27">
        <v>8.5699999999999998E-2</v>
      </c>
      <c r="AC1140" s="27">
        <v>9.6500000000000002E-2</v>
      </c>
      <c r="AD1140" s="11">
        <v>9.4893184429315117E-2</v>
      </c>
    </row>
    <row r="1141" spans="1:30" x14ac:dyDescent="0.25">
      <c r="A1141" s="13">
        <v>45730</v>
      </c>
      <c r="B1141" s="46" t="s">
        <v>636</v>
      </c>
      <c r="C1141" s="13">
        <v>45730</v>
      </c>
      <c r="D1141" s="15" t="s">
        <v>1331</v>
      </c>
      <c r="E1141" s="15">
        <v>175</v>
      </c>
      <c r="F1141" s="15">
        <v>180</v>
      </c>
      <c r="G1141" s="13">
        <v>45905</v>
      </c>
      <c r="H1141" s="19">
        <v>3500</v>
      </c>
      <c r="I1141" s="19">
        <v>9694.74</v>
      </c>
      <c r="J1141" s="20">
        <v>2.7699257142857125</v>
      </c>
      <c r="K1141" s="19">
        <v>6993.0899999999992</v>
      </c>
      <c r="L1141" s="20">
        <v>1.9980257142857141</v>
      </c>
      <c r="M1141" s="21">
        <v>0</v>
      </c>
      <c r="N1141" s="19">
        <v>0</v>
      </c>
      <c r="O1141" s="23">
        <v>700</v>
      </c>
      <c r="P1141" s="24">
        <v>985</v>
      </c>
      <c r="Q1141" s="25">
        <v>1.407142857142857</v>
      </c>
      <c r="R1141" s="24">
        <v>700</v>
      </c>
      <c r="S1141" s="25">
        <v>1</v>
      </c>
      <c r="T1141" s="25">
        <v>0.71066000000000007</v>
      </c>
      <c r="U1141" s="24">
        <v>0</v>
      </c>
      <c r="V1141" s="19">
        <v>4200</v>
      </c>
      <c r="W1141" s="19">
        <v>10679.74</v>
      </c>
      <c r="X1141" s="21">
        <v>2.5427952380952381</v>
      </c>
      <c r="Y1141" s="19">
        <v>7693.0899999999992</v>
      </c>
      <c r="Z1141" s="20">
        <v>1.8316880952380949</v>
      </c>
      <c r="AA1141" s="30">
        <v>9.5900000000000069E-2</v>
      </c>
      <c r="AB1141" s="27">
        <v>0.08</v>
      </c>
      <c r="AC1141" s="27">
        <v>9.6500000000000002E-2</v>
      </c>
      <c r="AD1141" s="11">
        <v>9.488321007061562E-2</v>
      </c>
    </row>
    <row r="1142" spans="1:30" x14ac:dyDescent="0.25">
      <c r="A1142" s="13">
        <v>45733</v>
      </c>
      <c r="B1142" s="46" t="s">
        <v>636</v>
      </c>
      <c r="C1142" s="13">
        <v>45733</v>
      </c>
      <c r="D1142" s="15" t="s">
        <v>1332</v>
      </c>
      <c r="E1142" s="15">
        <v>35</v>
      </c>
      <c r="F1142" s="15">
        <v>30</v>
      </c>
      <c r="G1142" s="13">
        <v>45768</v>
      </c>
      <c r="H1142" s="19">
        <v>7500</v>
      </c>
      <c r="I1142" s="19">
        <v>9915.7599999999984</v>
      </c>
      <c r="J1142" s="20">
        <v>1.3221013333333336</v>
      </c>
      <c r="K1142" s="19">
        <v>8715.7599999999984</v>
      </c>
      <c r="L1142" s="20">
        <v>1.1621013333333332</v>
      </c>
      <c r="M1142" s="21">
        <v>0</v>
      </c>
      <c r="N1142" s="19">
        <v>0</v>
      </c>
      <c r="O1142" s="23">
        <v>1500</v>
      </c>
      <c r="P1142" s="24">
        <v>36.299999999999997</v>
      </c>
      <c r="Q1142" s="25">
        <v>2.4199999999999999E-2</v>
      </c>
      <c r="R1142" s="24">
        <v>36.299999999999997</v>
      </c>
      <c r="S1142" s="25">
        <v>2.4199999999999999E-2</v>
      </c>
      <c r="T1142" s="25">
        <v>0</v>
      </c>
      <c r="U1142" s="24">
        <v>0</v>
      </c>
      <c r="V1142" s="19">
        <v>9000</v>
      </c>
      <c r="W1142" s="19">
        <v>9952.0599999999977</v>
      </c>
      <c r="X1142" s="21">
        <v>1.1057844444444442</v>
      </c>
      <c r="Y1142" s="19">
        <v>8752.0599999999977</v>
      </c>
      <c r="Z1142" s="20">
        <v>0.97245111111111082</v>
      </c>
      <c r="AA1142" s="30">
        <v>9.4199999999999923E-2</v>
      </c>
      <c r="AB1142" s="27">
        <v>8.8000000000000009E-2</v>
      </c>
      <c r="AC1142" s="27">
        <v>9.5000000000000001E-2</v>
      </c>
      <c r="AD1142" s="11">
        <v>9.3169609490346722E-2</v>
      </c>
    </row>
    <row r="1143" spans="1:30" x14ac:dyDescent="0.25">
      <c r="A1143" s="13">
        <v>45735</v>
      </c>
      <c r="B1143" s="46" t="s">
        <v>636</v>
      </c>
      <c r="C1143" s="13">
        <v>45735</v>
      </c>
      <c r="D1143" s="15" t="s">
        <v>1333</v>
      </c>
      <c r="E1143" s="15">
        <v>91</v>
      </c>
      <c r="F1143" s="15">
        <v>90</v>
      </c>
      <c r="G1143" s="13">
        <v>45826</v>
      </c>
      <c r="H1143" s="19">
        <v>7500</v>
      </c>
      <c r="I1143" s="19">
        <v>10139.189999999999</v>
      </c>
      <c r="J1143" s="20">
        <v>1.3518919999999999</v>
      </c>
      <c r="K1143" s="19">
        <v>8894.19</v>
      </c>
      <c r="L1143" s="20">
        <v>1.1858920000000002</v>
      </c>
      <c r="M1143" s="21">
        <v>0</v>
      </c>
      <c r="N1143" s="19">
        <v>0</v>
      </c>
      <c r="O1143" s="23">
        <v>1500</v>
      </c>
      <c r="P1143" s="24">
        <v>315</v>
      </c>
      <c r="Q1143" s="25">
        <v>0.21000000000000002</v>
      </c>
      <c r="R1143" s="24">
        <v>315</v>
      </c>
      <c r="S1143" s="25">
        <v>0.21</v>
      </c>
      <c r="T1143" s="25">
        <v>0</v>
      </c>
      <c r="U1143" s="24">
        <v>0</v>
      </c>
      <c r="V1143" s="19">
        <v>9000</v>
      </c>
      <c r="W1143" s="19">
        <v>10454.189999999999</v>
      </c>
      <c r="X1143" s="21">
        <v>1.1615766666666665</v>
      </c>
      <c r="Y1143" s="19">
        <v>9209.19</v>
      </c>
      <c r="Z1143" s="20">
        <v>1.0232433333333333</v>
      </c>
      <c r="AA1143" s="30">
        <v>9.6000000000000058E-2</v>
      </c>
      <c r="AB1143" s="27">
        <v>7.0000000000000007E-2</v>
      </c>
      <c r="AC1143" s="27">
        <v>9.7799999999999998E-2</v>
      </c>
      <c r="AD1143" s="11">
        <v>9.450418810575599E-2</v>
      </c>
    </row>
    <row r="1144" spans="1:30" x14ac:dyDescent="0.25">
      <c r="A1144" s="13">
        <v>45736</v>
      </c>
      <c r="B1144" s="46" t="s">
        <v>636</v>
      </c>
      <c r="C1144" s="13">
        <v>45737</v>
      </c>
      <c r="D1144" s="15" t="s">
        <v>1337</v>
      </c>
      <c r="E1144" s="15">
        <v>350</v>
      </c>
      <c r="F1144" s="15">
        <v>360</v>
      </c>
      <c r="G1144" s="13">
        <v>46087</v>
      </c>
      <c r="H1144" s="19">
        <v>3300</v>
      </c>
      <c r="I1144" s="19">
        <v>8756.4500000000007</v>
      </c>
      <c r="J1144" s="20">
        <v>2.653469696969696</v>
      </c>
      <c r="K1144" s="19">
        <v>6600</v>
      </c>
      <c r="L1144" s="20">
        <v>2</v>
      </c>
      <c r="M1144" s="21">
        <v>0.55420000000000003</v>
      </c>
      <c r="N1144" s="19">
        <v>0</v>
      </c>
      <c r="O1144" s="23">
        <v>660</v>
      </c>
      <c r="P1144" s="24">
        <v>669</v>
      </c>
      <c r="Q1144" s="25">
        <v>1.0136363636363637</v>
      </c>
      <c r="R1144" s="24">
        <v>660</v>
      </c>
      <c r="S1144" s="25">
        <v>1</v>
      </c>
      <c r="T1144" s="25">
        <v>0.98654712121212118</v>
      </c>
      <c r="U1144" s="24">
        <v>0</v>
      </c>
      <c r="V1144" s="19">
        <v>3960</v>
      </c>
      <c r="W1144" s="19">
        <v>9425.4500000000007</v>
      </c>
      <c r="X1144" s="21">
        <v>2.3801641414141415</v>
      </c>
      <c r="Y1144" s="19">
        <v>7260</v>
      </c>
      <c r="Z1144" s="20">
        <v>1.8333333333333333</v>
      </c>
      <c r="AA1144" s="30">
        <v>9.5899999999999985E-2</v>
      </c>
      <c r="AB1144" s="27">
        <v>8.6199999999999999E-2</v>
      </c>
      <c r="AC1144" s="27">
        <v>9.6500000000000002E-2</v>
      </c>
      <c r="AD1144" s="11">
        <v>9.5532036841414023E-2</v>
      </c>
    </row>
    <row r="1145" spans="1:30" x14ac:dyDescent="0.25">
      <c r="A1145" s="13">
        <v>45740</v>
      </c>
      <c r="B1145" s="46" t="s">
        <v>636</v>
      </c>
      <c r="C1145" s="13">
        <v>45740</v>
      </c>
      <c r="D1145" s="15" t="s">
        <v>1338</v>
      </c>
      <c r="E1145" s="15">
        <v>35</v>
      </c>
      <c r="F1145" s="15">
        <v>30</v>
      </c>
      <c r="G1145" s="13">
        <v>45775</v>
      </c>
      <c r="H1145" s="19">
        <v>6600</v>
      </c>
      <c r="I1145" s="19">
        <v>7049.17</v>
      </c>
      <c r="J1145" s="20">
        <v>1.0680560606060605</v>
      </c>
      <c r="K1145" s="19">
        <v>6149.17</v>
      </c>
      <c r="L1145" s="20">
        <v>0.93169242424242427</v>
      </c>
      <c r="M1145" s="21">
        <v>0</v>
      </c>
      <c r="N1145" s="19">
        <v>0</v>
      </c>
      <c r="O1145" s="23">
        <v>1320</v>
      </c>
      <c r="P1145" s="24">
        <v>667.5</v>
      </c>
      <c r="Q1145" s="25">
        <v>0.50568181818181812</v>
      </c>
      <c r="R1145" s="24">
        <v>667.5</v>
      </c>
      <c r="S1145" s="25">
        <v>0.50568181818181823</v>
      </c>
      <c r="T1145" s="25">
        <v>0</v>
      </c>
      <c r="U1145" s="24">
        <v>0</v>
      </c>
      <c r="V1145" s="19">
        <v>7920</v>
      </c>
      <c r="W1145" s="19">
        <v>7716.67</v>
      </c>
      <c r="X1145" s="21">
        <v>0.97432702020202022</v>
      </c>
      <c r="Y1145" s="19">
        <v>6816.67</v>
      </c>
      <c r="Z1145" s="20">
        <v>0.86069065656565658</v>
      </c>
      <c r="AA1145" s="30">
        <v>9.4399999999999928E-2</v>
      </c>
      <c r="AB1145" s="27">
        <v>8.6999999999999994E-2</v>
      </c>
      <c r="AC1145" s="27">
        <v>9.5000000000000001E-2</v>
      </c>
      <c r="AD1145" s="11">
        <v>9.2808171316623084E-2</v>
      </c>
    </row>
    <row r="1146" spans="1:30" x14ac:dyDescent="0.25">
      <c r="A1146" s="13">
        <v>45742</v>
      </c>
      <c r="B1146" s="46" t="s">
        <v>636</v>
      </c>
      <c r="C1146" s="13">
        <v>45742</v>
      </c>
      <c r="D1146" s="15" t="s">
        <v>1339</v>
      </c>
      <c r="E1146" s="15">
        <v>98</v>
      </c>
      <c r="F1146" s="15">
        <v>90</v>
      </c>
      <c r="G1146" s="13">
        <v>45840</v>
      </c>
      <c r="H1146" s="19">
        <v>6300</v>
      </c>
      <c r="I1146" s="19">
        <v>5823.8600000000006</v>
      </c>
      <c r="J1146" s="20">
        <v>0.92442222222222203</v>
      </c>
      <c r="K1146" s="19">
        <v>5023.8600000000006</v>
      </c>
      <c r="L1146" s="20">
        <v>0.79743809523809528</v>
      </c>
      <c r="M1146" s="21">
        <v>0</v>
      </c>
      <c r="N1146" s="19">
        <v>0</v>
      </c>
      <c r="O1146" s="23">
        <v>1260</v>
      </c>
      <c r="P1146" s="24">
        <v>1000</v>
      </c>
      <c r="Q1146" s="25">
        <v>0.79365079365079361</v>
      </c>
      <c r="R1146" s="24">
        <v>1000</v>
      </c>
      <c r="S1146" s="25">
        <v>0.79365079365079361</v>
      </c>
      <c r="T1146" s="25">
        <v>0</v>
      </c>
      <c r="U1146" s="24">
        <v>0</v>
      </c>
      <c r="V1146" s="19">
        <v>7560</v>
      </c>
      <c r="W1146" s="19">
        <v>6823.8600000000006</v>
      </c>
      <c r="X1146" s="21">
        <v>0.90262698412698417</v>
      </c>
      <c r="Y1146" s="19">
        <v>6023.8600000000006</v>
      </c>
      <c r="Z1146" s="20">
        <v>0.79680687830687835</v>
      </c>
      <c r="AA1146" s="30">
        <v>9.6200000000000035E-2</v>
      </c>
      <c r="AB1146" s="27">
        <v>0.09</v>
      </c>
      <c r="AC1146" s="27">
        <v>9.6999999999999989E-2</v>
      </c>
      <c r="AD1146" s="11">
        <v>9.5493851843965985E-2</v>
      </c>
    </row>
    <row r="1147" spans="1:30" x14ac:dyDescent="0.25">
      <c r="A1147" s="13">
        <v>45744</v>
      </c>
      <c r="B1147" s="46" t="s">
        <v>636</v>
      </c>
      <c r="C1147" s="13">
        <v>45744</v>
      </c>
      <c r="D1147" s="15" t="s">
        <v>1345</v>
      </c>
      <c r="E1147" s="15">
        <v>182</v>
      </c>
      <c r="F1147" s="15">
        <v>180</v>
      </c>
      <c r="G1147" s="13">
        <v>45926</v>
      </c>
      <c r="H1147" s="19">
        <v>3800</v>
      </c>
      <c r="I1147" s="19">
        <v>7961.72</v>
      </c>
      <c r="J1147" s="20">
        <v>2.09518947368421</v>
      </c>
      <c r="K1147" s="19">
        <v>6961.72</v>
      </c>
      <c r="L1147" s="20">
        <v>1.8320315789473685</v>
      </c>
      <c r="M1147" s="21">
        <v>0</v>
      </c>
      <c r="N1147" s="19">
        <v>0</v>
      </c>
      <c r="O1147" s="23">
        <v>760</v>
      </c>
      <c r="P1147" s="24">
        <v>20</v>
      </c>
      <c r="Q1147" s="25">
        <v>2.6315789473684209E-2</v>
      </c>
      <c r="R1147" s="24">
        <v>20</v>
      </c>
      <c r="S1147" s="25">
        <v>2.6315789473684209E-2</v>
      </c>
      <c r="T1147" s="25">
        <v>0</v>
      </c>
      <c r="U1147" s="24">
        <v>0</v>
      </c>
      <c r="V1147" s="19">
        <v>4560</v>
      </c>
      <c r="W1147" s="19">
        <v>7981.72</v>
      </c>
      <c r="X1147" s="21">
        <v>1.7503771929824561</v>
      </c>
      <c r="Y1147" s="19">
        <v>6981.72</v>
      </c>
      <c r="Z1147" s="20">
        <v>1.5310789473684212</v>
      </c>
      <c r="AA1147" s="30">
        <v>9.5899999999999985E-2</v>
      </c>
      <c r="AB1147" s="27">
        <v>0.09</v>
      </c>
      <c r="AC1147" s="27">
        <v>9.849999999999999E-2</v>
      </c>
      <c r="AD1147" s="11">
        <v>9.5686845304783399E-2</v>
      </c>
    </row>
    <row r="1148" spans="1:30" x14ac:dyDescent="0.25">
      <c r="A1148" s="13">
        <v>45747</v>
      </c>
      <c r="B1148" s="46" t="s">
        <v>636</v>
      </c>
      <c r="C1148" s="13">
        <v>45747</v>
      </c>
      <c r="D1148" s="15" t="s">
        <v>1346</v>
      </c>
      <c r="E1148" s="15">
        <v>35</v>
      </c>
      <c r="F1148" s="15">
        <v>30</v>
      </c>
      <c r="G1148" s="13">
        <v>45782</v>
      </c>
      <c r="H1148" s="19">
        <v>5800</v>
      </c>
      <c r="I1148" s="19">
        <v>8013.6900000000014</v>
      </c>
      <c r="J1148" s="20">
        <v>1.3816706896551725</v>
      </c>
      <c r="K1148" s="19">
        <v>6751.6900000000005</v>
      </c>
      <c r="L1148" s="20">
        <v>1.1640844827586208</v>
      </c>
      <c r="M1148" s="21">
        <v>0</v>
      </c>
      <c r="N1148" s="19">
        <v>0</v>
      </c>
      <c r="O1148" s="23">
        <v>1160</v>
      </c>
      <c r="P1148" s="24">
        <v>46.2</v>
      </c>
      <c r="Q1148" s="25">
        <v>3.9827586206896554E-2</v>
      </c>
      <c r="R1148" s="24">
        <v>46.2</v>
      </c>
      <c r="S1148" s="25">
        <v>3.9827586206896554E-2</v>
      </c>
      <c r="T1148" s="25">
        <v>0</v>
      </c>
      <c r="U1148" s="24">
        <v>0</v>
      </c>
      <c r="V1148" s="19">
        <v>6960</v>
      </c>
      <c r="W1148" s="19">
        <v>8059.8900000000012</v>
      </c>
      <c r="X1148" s="21">
        <v>1.1580301724137934</v>
      </c>
      <c r="Y1148" s="19">
        <v>6797.89</v>
      </c>
      <c r="Z1148" s="20">
        <v>0.9767083333333334</v>
      </c>
      <c r="AA1148" s="30">
        <v>9.3999999999999959E-2</v>
      </c>
      <c r="AB1148" s="27">
        <v>0.08</v>
      </c>
      <c r="AC1148" s="27">
        <v>9.5299999999999996E-2</v>
      </c>
      <c r="AD1148" s="11">
        <v>9.3116989801202671E-2</v>
      </c>
    </row>
    <row r="1149" spans="1:30" x14ac:dyDescent="0.25">
      <c r="A1149" s="13">
        <v>45749</v>
      </c>
      <c r="B1149" s="46" t="s">
        <v>636</v>
      </c>
      <c r="C1149" s="13">
        <v>45749</v>
      </c>
      <c r="D1149" s="15" t="s">
        <v>1347</v>
      </c>
      <c r="E1149" s="15">
        <v>91</v>
      </c>
      <c r="F1149" s="15">
        <v>90</v>
      </c>
      <c r="G1149" s="13">
        <v>45840</v>
      </c>
      <c r="H1149" s="19">
        <v>5000</v>
      </c>
      <c r="I1149" s="19">
        <v>7662.2800000000016</v>
      </c>
      <c r="J1149" s="20">
        <v>1.5324560000000005</v>
      </c>
      <c r="K1149" s="19">
        <v>6712.2800000000016</v>
      </c>
      <c r="L1149" s="20">
        <v>1.3424560000000003</v>
      </c>
      <c r="M1149" s="21">
        <v>0</v>
      </c>
      <c r="N1149" s="19">
        <v>0</v>
      </c>
      <c r="O1149" s="23">
        <v>1000</v>
      </c>
      <c r="P1149" s="24">
        <v>0</v>
      </c>
      <c r="Q1149" s="25">
        <v>0</v>
      </c>
      <c r="R1149" s="24">
        <v>0</v>
      </c>
      <c r="S1149" s="25">
        <v>0</v>
      </c>
      <c r="T1149" s="25">
        <v>0</v>
      </c>
      <c r="U1149" s="24">
        <v>0</v>
      </c>
      <c r="V1149" s="19">
        <v>6000</v>
      </c>
      <c r="W1149" s="19">
        <v>7662.2800000000016</v>
      </c>
      <c r="X1149" s="21">
        <v>1.2770466666666669</v>
      </c>
      <c r="Y1149" s="19">
        <v>6712.2800000000016</v>
      </c>
      <c r="Z1149" s="20">
        <v>1.1187133333333337</v>
      </c>
      <c r="AA1149" s="30">
        <v>9.6200000000000035E-2</v>
      </c>
      <c r="AB1149" s="27">
        <v>0.08</v>
      </c>
      <c r="AC1149" s="27">
        <v>9.7500000000000003E-2</v>
      </c>
      <c r="AD1149" s="11">
        <v>9.5324217465297512E-2</v>
      </c>
    </row>
    <row r="1150" spans="1:30" x14ac:dyDescent="0.25">
      <c r="A1150" s="13">
        <v>45750</v>
      </c>
      <c r="B1150" s="46" t="s">
        <v>636</v>
      </c>
      <c r="C1150" s="13">
        <v>45751</v>
      </c>
      <c r="D1150" s="15" t="s">
        <v>1348</v>
      </c>
      <c r="E1150" s="15">
        <v>371</v>
      </c>
      <c r="F1150" s="15">
        <v>360</v>
      </c>
      <c r="G1150" s="13">
        <v>46122</v>
      </c>
      <c r="H1150" s="19">
        <v>4200</v>
      </c>
      <c r="I1150" s="19">
        <v>5150.0399999999991</v>
      </c>
      <c r="J1150" s="20">
        <v>1.2262000000000002</v>
      </c>
      <c r="K1150" s="19">
        <v>4050.04</v>
      </c>
      <c r="L1150" s="20">
        <v>0.96429523809523809</v>
      </c>
      <c r="M1150" s="21">
        <v>0</v>
      </c>
      <c r="N1150" s="19">
        <v>0</v>
      </c>
      <c r="O1150" s="23">
        <v>840</v>
      </c>
      <c r="P1150" s="24">
        <v>500</v>
      </c>
      <c r="Q1150" s="25">
        <v>0.59523809523809523</v>
      </c>
      <c r="R1150" s="24">
        <v>500</v>
      </c>
      <c r="S1150" s="25">
        <v>0.59523809523809523</v>
      </c>
      <c r="T1150" s="25">
        <v>0</v>
      </c>
      <c r="U1150" s="24">
        <v>0</v>
      </c>
      <c r="V1150" s="19">
        <v>5040</v>
      </c>
      <c r="W1150" s="19">
        <v>5650.0399999999991</v>
      </c>
      <c r="X1150" s="21">
        <v>1.1210396825396824</v>
      </c>
      <c r="Y1150" s="19">
        <v>4550.04</v>
      </c>
      <c r="Z1150" s="20">
        <v>0.9027857142857143</v>
      </c>
      <c r="AA1150" s="30">
        <v>9.6200000000000035E-2</v>
      </c>
      <c r="AB1150" s="27">
        <v>0.09</v>
      </c>
      <c r="AC1150" s="27">
        <v>0.10249999999999999</v>
      </c>
      <c r="AD1150" s="11">
        <v>9.6266044147229946E-2</v>
      </c>
    </row>
    <row r="1151" spans="1:30" x14ac:dyDescent="0.25">
      <c r="A1151" s="13">
        <v>45754</v>
      </c>
      <c r="B1151" s="46" t="s">
        <v>636</v>
      </c>
      <c r="C1151" s="13">
        <v>45754</v>
      </c>
      <c r="D1151" s="15" t="s">
        <v>1349</v>
      </c>
      <c r="E1151" s="15">
        <v>35</v>
      </c>
      <c r="F1151" s="15">
        <v>30</v>
      </c>
      <c r="G1151" s="13">
        <v>45789</v>
      </c>
      <c r="H1151" s="19">
        <v>8300</v>
      </c>
      <c r="I1151" s="19">
        <v>11150.02</v>
      </c>
      <c r="J1151" s="20">
        <v>1.3433759036144577</v>
      </c>
      <c r="K1151" s="19">
        <v>9150.02</v>
      </c>
      <c r="L1151" s="20">
        <v>1.1024120481927711</v>
      </c>
      <c r="M1151" s="21">
        <v>0</v>
      </c>
      <c r="N1151" s="19">
        <v>0</v>
      </c>
      <c r="O1151" s="23">
        <v>1660</v>
      </c>
      <c r="P1151" s="24">
        <v>11</v>
      </c>
      <c r="Q1151" s="25">
        <v>6.6265060240963862E-3</v>
      </c>
      <c r="R1151" s="24">
        <v>11</v>
      </c>
      <c r="S1151" s="25">
        <v>6.6265060240963854E-3</v>
      </c>
      <c r="T1151" s="25">
        <v>0</v>
      </c>
      <c r="U1151" s="24">
        <v>0</v>
      </c>
      <c r="V1151" s="19">
        <v>9960</v>
      </c>
      <c r="W1151" s="19">
        <v>11161.02</v>
      </c>
      <c r="X1151" s="21">
        <v>1.1205843373493976</v>
      </c>
      <c r="Y1151" s="19">
        <v>9161.02</v>
      </c>
      <c r="Z1151" s="20">
        <v>0.91978112449799199</v>
      </c>
      <c r="AA1151" s="30">
        <v>9.439999999999997E-2</v>
      </c>
      <c r="AB1151" s="27">
        <v>8.9800000000000005E-2</v>
      </c>
      <c r="AC1151" s="27">
        <v>0.1</v>
      </c>
      <c r="AD1151" s="11">
        <v>9.3903686092042887E-2</v>
      </c>
    </row>
    <row r="1152" spans="1:30" x14ac:dyDescent="0.25">
      <c r="A1152" s="13">
        <v>45756</v>
      </c>
      <c r="B1152" s="46" t="s">
        <v>636</v>
      </c>
      <c r="C1152" s="13">
        <v>45756</v>
      </c>
      <c r="D1152" s="15" t="s">
        <v>1350</v>
      </c>
      <c r="E1152" s="15">
        <v>98</v>
      </c>
      <c r="F1152" s="15">
        <v>90</v>
      </c>
      <c r="G1152" s="13">
        <v>45854</v>
      </c>
      <c r="H1152" s="19">
        <v>6600</v>
      </c>
      <c r="I1152" s="19">
        <v>4697.18</v>
      </c>
      <c r="J1152" s="20">
        <v>0.71169393939393932</v>
      </c>
      <c r="K1152" s="19">
        <v>4597.18</v>
      </c>
      <c r="L1152" s="20">
        <v>0.6965424242424243</v>
      </c>
      <c r="M1152" s="21">
        <v>0</v>
      </c>
      <c r="N1152" s="19">
        <v>0</v>
      </c>
      <c r="O1152" s="23">
        <v>1320</v>
      </c>
      <c r="P1152" s="24">
        <v>0</v>
      </c>
      <c r="Q1152" s="25">
        <v>0</v>
      </c>
      <c r="R1152" s="24">
        <v>0</v>
      </c>
      <c r="S1152" s="25">
        <v>0</v>
      </c>
      <c r="T1152" s="25">
        <v>0</v>
      </c>
      <c r="U1152" s="24">
        <v>0</v>
      </c>
      <c r="V1152" s="19">
        <v>7920</v>
      </c>
      <c r="W1152" s="19">
        <v>4697.18</v>
      </c>
      <c r="X1152" s="21">
        <v>0.5930782828282829</v>
      </c>
      <c r="Y1152" s="19">
        <v>4597.18</v>
      </c>
      <c r="Z1152" s="20">
        <v>0.58045202020202025</v>
      </c>
      <c r="AA1152" s="30">
        <v>9.7599999999999951E-2</v>
      </c>
      <c r="AB1152" s="27">
        <v>0.09</v>
      </c>
      <c r="AC1152" s="27">
        <v>9.9000000000000005E-2</v>
      </c>
      <c r="AD1152" s="11">
        <v>9.5935331411612923E-2</v>
      </c>
    </row>
    <row r="1153" spans="1:30" x14ac:dyDescent="0.25">
      <c r="A1153" s="13">
        <v>45758</v>
      </c>
      <c r="B1153" s="46" t="s">
        <v>636</v>
      </c>
      <c r="C1153" s="13">
        <v>45758</v>
      </c>
      <c r="D1153" s="15" t="s">
        <v>1351</v>
      </c>
      <c r="E1153" s="15">
        <v>168</v>
      </c>
      <c r="F1153" s="15">
        <v>180</v>
      </c>
      <c r="G1153" s="13">
        <v>45926</v>
      </c>
      <c r="H1153" s="19">
        <v>4200</v>
      </c>
      <c r="I1153" s="19">
        <v>6986.3200000000015</v>
      </c>
      <c r="J1153" s="20">
        <v>1.6634095238095234</v>
      </c>
      <c r="K1153" s="19">
        <v>4946.3200000000015</v>
      </c>
      <c r="L1153" s="20">
        <v>1.1776952380952384</v>
      </c>
      <c r="M1153" s="21">
        <v>0</v>
      </c>
      <c r="N1153" s="19">
        <v>0</v>
      </c>
      <c r="O1153" s="23">
        <v>840</v>
      </c>
      <c r="P1153" s="24">
        <v>350</v>
      </c>
      <c r="Q1153" s="25">
        <v>0.41666666666666669</v>
      </c>
      <c r="R1153" s="24">
        <v>350</v>
      </c>
      <c r="S1153" s="25">
        <v>0.41666666666666669</v>
      </c>
      <c r="T1153" s="25">
        <v>0</v>
      </c>
      <c r="U1153" s="24">
        <v>0</v>
      </c>
      <c r="V1153" s="19">
        <v>5040</v>
      </c>
      <c r="W1153" s="19">
        <v>7336.3200000000015</v>
      </c>
      <c r="X1153" s="21">
        <v>1.4556190476190478</v>
      </c>
      <c r="Y1153" s="19">
        <v>5296.3200000000015</v>
      </c>
      <c r="Z1153" s="20">
        <v>1.0508571428571432</v>
      </c>
      <c r="AA1153" s="30">
        <v>9.7199999999999967E-2</v>
      </c>
      <c r="AB1153" s="27">
        <v>7.4999999999999997E-2</v>
      </c>
      <c r="AC1153" s="27">
        <v>9.8900000000000002E-2</v>
      </c>
      <c r="AD1153" s="11">
        <v>9.5915627397542599E-2</v>
      </c>
    </row>
    <row r="1154" spans="1:30" x14ac:dyDescent="0.25">
      <c r="A1154" s="13">
        <v>45761</v>
      </c>
      <c r="B1154" s="46" t="s">
        <v>636</v>
      </c>
      <c r="C1154" s="13">
        <v>45761</v>
      </c>
      <c r="D1154" s="15" t="s">
        <v>1352</v>
      </c>
      <c r="E1154" s="15">
        <v>35</v>
      </c>
      <c r="F1154" s="15">
        <v>30</v>
      </c>
      <c r="G1154" s="13">
        <v>45796</v>
      </c>
      <c r="H1154" s="19">
        <v>5800</v>
      </c>
      <c r="I1154" s="19">
        <v>4920.9699999999993</v>
      </c>
      <c r="J1154" s="20">
        <v>0.84844310344827578</v>
      </c>
      <c r="K1154" s="19">
        <v>4720.9699999999993</v>
      </c>
      <c r="L1154" s="20">
        <v>0.81396034482758606</v>
      </c>
      <c r="M1154" s="21">
        <v>0</v>
      </c>
      <c r="N1154" s="19">
        <v>0</v>
      </c>
      <c r="O1154" s="23">
        <v>1160</v>
      </c>
      <c r="P1154" s="24">
        <v>1160</v>
      </c>
      <c r="Q1154" s="25">
        <v>1</v>
      </c>
      <c r="R1154" s="24">
        <v>944.19399999999996</v>
      </c>
      <c r="S1154" s="25">
        <v>0.81396034482758617</v>
      </c>
      <c r="T1154" s="25">
        <v>0.81396034482758617</v>
      </c>
      <c r="U1154" s="24">
        <v>0</v>
      </c>
      <c r="V1154" s="19">
        <v>6960</v>
      </c>
      <c r="W1154" s="19">
        <v>6080.9699999999993</v>
      </c>
      <c r="X1154" s="21">
        <v>0.87370258620689645</v>
      </c>
      <c r="Y1154" s="19">
        <v>5665.1639999999989</v>
      </c>
      <c r="Z1154" s="20">
        <v>0.81396034482758606</v>
      </c>
      <c r="AA1154" s="30">
        <v>9.6400000000000027E-2</v>
      </c>
      <c r="AB1154" s="27">
        <v>8.4000000000000005E-2</v>
      </c>
      <c r="AC1154" s="27">
        <v>9.8000000000000004E-2</v>
      </c>
      <c r="AD1154" s="11">
        <v>9.4757180799720397E-2</v>
      </c>
    </row>
    <row r="1155" spans="1:30" x14ac:dyDescent="0.25">
      <c r="A1155" s="13">
        <v>45762</v>
      </c>
      <c r="B1155" s="46" t="s">
        <v>636</v>
      </c>
      <c r="C1155" s="13">
        <v>45763</v>
      </c>
      <c r="D1155" s="15" t="s">
        <v>1353</v>
      </c>
      <c r="E1155" s="15">
        <v>359</v>
      </c>
      <c r="F1155" s="15">
        <v>360</v>
      </c>
      <c r="G1155" s="13">
        <v>46122</v>
      </c>
      <c r="H1155" s="19">
        <v>4200</v>
      </c>
      <c r="I1155" s="19">
        <v>3524.8399999999992</v>
      </c>
      <c r="J1155" s="20">
        <v>0.83924761904761924</v>
      </c>
      <c r="K1155" s="19">
        <v>2924.84</v>
      </c>
      <c r="L1155" s="20">
        <v>0.69639047619047623</v>
      </c>
      <c r="M1155" s="21">
        <v>0</v>
      </c>
      <c r="N1155" s="19">
        <v>0</v>
      </c>
      <c r="O1155" s="23">
        <v>840</v>
      </c>
      <c r="P1155" s="24">
        <v>990</v>
      </c>
      <c r="Q1155" s="25">
        <v>1.1785714285714286</v>
      </c>
      <c r="R1155" s="24">
        <v>584.96799999999996</v>
      </c>
      <c r="S1155" s="25">
        <v>0.69639047619047612</v>
      </c>
      <c r="T1155" s="25">
        <v>0.5908767857142857</v>
      </c>
      <c r="U1155" s="24">
        <v>0</v>
      </c>
      <c r="V1155" s="19">
        <v>5040</v>
      </c>
      <c r="W1155" s="19">
        <v>4514.8399999999992</v>
      </c>
      <c r="X1155" s="21">
        <v>0.8958015873015871</v>
      </c>
      <c r="Y1155" s="19">
        <v>3509.808</v>
      </c>
      <c r="Z1155" s="20">
        <v>0.69639047619047623</v>
      </c>
      <c r="AA1155" s="30">
        <v>9.7999999999999948E-2</v>
      </c>
      <c r="AB1155" s="27">
        <v>8.5999999999999993E-2</v>
      </c>
      <c r="AC1155" s="27">
        <v>9.98E-2</v>
      </c>
      <c r="AD1155" s="11">
        <v>9.6866805018100147E-2</v>
      </c>
    </row>
    <row r="1156" spans="1:30" x14ac:dyDescent="0.25">
      <c r="A1156" s="13">
        <v>45763</v>
      </c>
      <c r="B1156" s="46" t="s">
        <v>636</v>
      </c>
      <c r="C1156" s="13">
        <v>45763</v>
      </c>
      <c r="D1156" s="15" t="s">
        <v>1354</v>
      </c>
      <c r="E1156" s="15">
        <v>91</v>
      </c>
      <c r="F1156" s="15">
        <v>90</v>
      </c>
      <c r="G1156" s="13">
        <v>45854</v>
      </c>
      <c r="H1156" s="19">
        <v>4200</v>
      </c>
      <c r="I1156" s="19">
        <v>9519.6400000000049</v>
      </c>
      <c r="J1156" s="20">
        <v>2.2665809523809521</v>
      </c>
      <c r="K1156" s="19">
        <v>8219.64</v>
      </c>
      <c r="L1156" s="20">
        <v>1.9570571428571428</v>
      </c>
      <c r="M1156" s="21">
        <v>0</v>
      </c>
      <c r="N1156" s="19">
        <v>0</v>
      </c>
      <c r="O1156" s="23">
        <v>840</v>
      </c>
      <c r="P1156" s="24">
        <v>80</v>
      </c>
      <c r="Q1156" s="25">
        <v>9.5238095238095233E-2</v>
      </c>
      <c r="R1156" s="24">
        <v>80</v>
      </c>
      <c r="S1156" s="25">
        <v>9.5238095238095233E-2</v>
      </c>
      <c r="T1156" s="25">
        <v>0</v>
      </c>
      <c r="U1156" s="24">
        <v>0</v>
      </c>
      <c r="V1156" s="19">
        <v>5040</v>
      </c>
      <c r="W1156" s="19">
        <v>9599.6400000000049</v>
      </c>
      <c r="X1156" s="21">
        <v>1.9046904761904773</v>
      </c>
      <c r="Y1156" s="19">
        <v>8299.64</v>
      </c>
      <c r="Z1156" s="20">
        <v>1.6467539682539682</v>
      </c>
      <c r="AA1156" s="30">
        <v>9.790000000000007E-2</v>
      </c>
      <c r="AB1156" s="27">
        <v>8.4399999999999989E-2</v>
      </c>
      <c r="AC1156" s="27">
        <v>0.1</v>
      </c>
      <c r="AD1156" s="11">
        <v>9.5459471576656268E-2</v>
      </c>
    </row>
    <row r="1157" spans="1:30" x14ac:dyDescent="0.25">
      <c r="A1157" s="13">
        <v>45768</v>
      </c>
      <c r="B1157" s="46" t="s">
        <v>636</v>
      </c>
      <c r="C1157" s="13">
        <v>45768</v>
      </c>
      <c r="D1157" s="15" t="s">
        <v>1355</v>
      </c>
      <c r="E1157" s="15">
        <v>35</v>
      </c>
      <c r="F1157" s="15">
        <v>30</v>
      </c>
      <c r="G1157" s="13">
        <v>45803</v>
      </c>
      <c r="H1157" s="19">
        <v>6600</v>
      </c>
      <c r="I1157" s="19">
        <v>6389.3200000000006</v>
      </c>
      <c r="J1157" s="20">
        <v>0.96807878787878787</v>
      </c>
      <c r="K1157" s="19">
        <v>5789.3200000000006</v>
      </c>
      <c r="L1157" s="20">
        <v>0.87716969696969704</v>
      </c>
      <c r="M1157" s="21">
        <v>0</v>
      </c>
      <c r="N1157" s="19">
        <v>0</v>
      </c>
      <c r="O1157" s="23">
        <v>1320</v>
      </c>
      <c r="P1157" s="24">
        <v>1930</v>
      </c>
      <c r="Q1157" s="25">
        <v>1.4621212121212122</v>
      </c>
      <c r="R1157" s="24">
        <v>1157.864</v>
      </c>
      <c r="S1157" s="25">
        <v>0.87716969696969704</v>
      </c>
      <c r="T1157" s="25">
        <v>0.59992999999999996</v>
      </c>
      <c r="U1157" s="24">
        <v>0</v>
      </c>
      <c r="V1157" s="19">
        <v>7920</v>
      </c>
      <c r="W1157" s="19">
        <v>8319.32</v>
      </c>
      <c r="X1157" s="21">
        <v>1.0504191919191919</v>
      </c>
      <c r="Y1157" s="19">
        <v>6947.1840000000011</v>
      </c>
      <c r="Z1157" s="20">
        <v>0.87716969696969715</v>
      </c>
      <c r="AA1157" s="30">
        <v>9.6499999999999933E-2</v>
      </c>
      <c r="AB1157" s="27">
        <v>8.900000000000001E-2</v>
      </c>
      <c r="AC1157" s="27">
        <v>9.7799999999999998E-2</v>
      </c>
      <c r="AD1157" s="11">
        <v>9.5453405996256249E-2</v>
      </c>
    </row>
    <row r="1158" spans="1:30" x14ac:dyDescent="0.25">
      <c r="A1158" s="13">
        <v>45770</v>
      </c>
      <c r="B1158" s="46" t="s">
        <v>636</v>
      </c>
      <c r="C1158" s="13">
        <v>45770</v>
      </c>
      <c r="D1158" s="15" t="s">
        <v>1356</v>
      </c>
      <c r="E1158" s="15">
        <v>105</v>
      </c>
      <c r="F1158" s="15">
        <v>90</v>
      </c>
      <c r="G1158" s="13">
        <v>45875</v>
      </c>
      <c r="H1158" s="19">
        <v>6600</v>
      </c>
      <c r="I1158" s="19">
        <v>8975.76</v>
      </c>
      <c r="J1158" s="20">
        <v>1.3599636363636356</v>
      </c>
      <c r="K1158" s="19">
        <v>8375.76</v>
      </c>
      <c r="L1158" s="20">
        <v>1.2690545454545454</v>
      </c>
      <c r="M1158" s="21">
        <v>0</v>
      </c>
      <c r="N1158" s="19">
        <v>0</v>
      </c>
      <c r="O1158" s="23">
        <v>1320</v>
      </c>
      <c r="P1158" s="24">
        <v>1520</v>
      </c>
      <c r="Q1158" s="25">
        <v>1.1515151515151516</v>
      </c>
      <c r="R1158" s="24">
        <v>1320</v>
      </c>
      <c r="S1158" s="25">
        <v>1</v>
      </c>
      <c r="T1158" s="25">
        <v>0.86842106060606061</v>
      </c>
      <c r="U1158" s="24">
        <v>0</v>
      </c>
      <c r="V1158" s="19">
        <v>7920</v>
      </c>
      <c r="W1158" s="19">
        <v>10495.76</v>
      </c>
      <c r="X1158" s="21">
        <v>1.3252222222222223</v>
      </c>
      <c r="Y1158" s="19">
        <v>9695.76</v>
      </c>
      <c r="Z1158" s="20">
        <v>1.2242121212121213</v>
      </c>
      <c r="AA1158" s="30">
        <v>9.7999999999999921E-2</v>
      </c>
      <c r="AB1158" s="27">
        <v>7.0000000000000007E-2</v>
      </c>
      <c r="AC1158" s="27">
        <v>9.9000000000000005E-2</v>
      </c>
      <c r="AD1158" s="11">
        <v>9.6959393299286073E-2</v>
      </c>
    </row>
    <row r="1159" spans="1:30" x14ac:dyDescent="0.25">
      <c r="A1159" s="13">
        <v>45772</v>
      </c>
      <c r="B1159" s="46" t="s">
        <v>636</v>
      </c>
      <c r="C1159" s="13">
        <v>45772</v>
      </c>
      <c r="D1159" s="15" t="s">
        <v>1361</v>
      </c>
      <c r="E1159" s="15">
        <v>182</v>
      </c>
      <c r="F1159" s="15">
        <v>180</v>
      </c>
      <c r="G1159" s="13">
        <v>45954</v>
      </c>
      <c r="H1159" s="19">
        <v>4200</v>
      </c>
      <c r="I1159" s="19">
        <v>3681.0899999999992</v>
      </c>
      <c r="J1159" s="20">
        <v>0.87645000000000006</v>
      </c>
      <c r="K1159" s="19">
        <v>2531.09</v>
      </c>
      <c r="L1159" s="20">
        <v>0.60264047619047623</v>
      </c>
      <c r="M1159" s="21">
        <v>0</v>
      </c>
      <c r="N1159" s="19">
        <v>0</v>
      </c>
      <c r="O1159" s="23">
        <v>840</v>
      </c>
      <c r="P1159" s="24">
        <v>200</v>
      </c>
      <c r="Q1159" s="25">
        <v>0.23809523809523808</v>
      </c>
      <c r="R1159" s="24">
        <v>200</v>
      </c>
      <c r="S1159" s="25">
        <v>0.23809523809523808</v>
      </c>
      <c r="T1159" s="25">
        <v>0</v>
      </c>
      <c r="U1159" s="24">
        <v>0</v>
      </c>
      <c r="V1159" s="19">
        <v>5040</v>
      </c>
      <c r="W1159" s="19">
        <v>3881.0899999999992</v>
      </c>
      <c r="X1159" s="21">
        <v>0.77005753968253954</v>
      </c>
      <c r="Y1159" s="19">
        <v>2731.09</v>
      </c>
      <c r="Z1159" s="20">
        <v>0.54188293650793651</v>
      </c>
      <c r="AA1159" s="30">
        <v>9.7999999999999948E-2</v>
      </c>
      <c r="AB1159" s="27">
        <v>8.72E-2</v>
      </c>
      <c r="AC1159" s="27">
        <v>9.9000000000000005E-2</v>
      </c>
      <c r="AD1159" s="11">
        <v>9.7084032175252466E-2</v>
      </c>
    </row>
    <row r="1160" spans="1:30" x14ac:dyDescent="0.25">
      <c r="A1160" s="13">
        <v>45775</v>
      </c>
      <c r="B1160" s="46" t="s">
        <v>636</v>
      </c>
      <c r="C1160" s="13">
        <v>45775</v>
      </c>
      <c r="D1160" s="15" t="s">
        <v>1362</v>
      </c>
      <c r="E1160" s="15">
        <v>35</v>
      </c>
      <c r="F1160" s="15">
        <v>30</v>
      </c>
      <c r="G1160" s="13">
        <v>45810</v>
      </c>
      <c r="H1160" s="19">
        <v>6600</v>
      </c>
      <c r="I1160" s="19">
        <v>10774.6</v>
      </c>
      <c r="J1160" s="20">
        <v>1.6325151515151508</v>
      </c>
      <c r="K1160" s="19">
        <v>9374.6</v>
      </c>
      <c r="L1160" s="20">
        <v>1.4203939393939395</v>
      </c>
      <c r="M1160" s="21">
        <v>0</v>
      </c>
      <c r="N1160" s="19">
        <v>0</v>
      </c>
      <c r="O1160" s="23">
        <v>1320</v>
      </c>
      <c r="P1160" s="24">
        <v>682.5</v>
      </c>
      <c r="Q1160" s="25">
        <v>0.51704545454545459</v>
      </c>
      <c r="R1160" s="24">
        <v>682.5</v>
      </c>
      <c r="S1160" s="25">
        <v>0.51704545454545459</v>
      </c>
      <c r="T1160" s="25">
        <v>0</v>
      </c>
      <c r="U1160" s="24">
        <v>0</v>
      </c>
      <c r="V1160" s="19">
        <v>7920</v>
      </c>
      <c r="W1160" s="19">
        <v>11457.1</v>
      </c>
      <c r="X1160" s="21">
        <v>1.4466035353535354</v>
      </c>
      <c r="Y1160" s="19">
        <v>10057.1</v>
      </c>
      <c r="Z1160" s="20">
        <v>1.2698358585858587</v>
      </c>
      <c r="AA1160" s="30">
        <v>9.659999999999988E-2</v>
      </c>
      <c r="AB1160" s="27">
        <v>8.5000000000000006E-2</v>
      </c>
      <c r="AC1160" s="27">
        <v>9.8000000000000004E-2</v>
      </c>
      <c r="AD1160" s="11">
        <v>9.544457455497192E-2</v>
      </c>
    </row>
    <row r="1161" spans="1:30" x14ac:dyDescent="0.25">
      <c r="A1161" s="13">
        <v>45776</v>
      </c>
      <c r="B1161" s="46" t="s">
        <v>636</v>
      </c>
      <c r="C1161" s="13">
        <v>45777</v>
      </c>
      <c r="D1161" s="15" t="s">
        <v>1363</v>
      </c>
      <c r="E1161" s="15">
        <v>373</v>
      </c>
      <c r="F1161" s="15">
        <v>360</v>
      </c>
      <c r="G1161" s="13">
        <v>46150</v>
      </c>
      <c r="H1161" s="19">
        <v>5800</v>
      </c>
      <c r="I1161" s="19">
        <v>8956.82</v>
      </c>
      <c r="J1161" s="20">
        <v>1.5442793103448273</v>
      </c>
      <c r="K1161" s="19">
        <v>7106.8200000000006</v>
      </c>
      <c r="L1161" s="20">
        <v>1.2253137931034483</v>
      </c>
      <c r="M1161" s="21">
        <v>0</v>
      </c>
      <c r="N1161" s="19">
        <v>0</v>
      </c>
      <c r="O1161" s="23">
        <v>1160</v>
      </c>
      <c r="P1161" s="24">
        <v>1190</v>
      </c>
      <c r="Q1161" s="25">
        <v>1.0258620689655173</v>
      </c>
      <c r="R1161" s="24">
        <v>1160</v>
      </c>
      <c r="S1161" s="25">
        <v>1</v>
      </c>
      <c r="T1161" s="25">
        <v>0.97479000000000005</v>
      </c>
      <c r="U1161" s="24">
        <v>0</v>
      </c>
      <c r="V1161" s="19">
        <v>6960</v>
      </c>
      <c r="W1161" s="19">
        <v>10146.82</v>
      </c>
      <c r="X1161" s="21">
        <v>1.4578764367816091</v>
      </c>
      <c r="Y1161" s="19">
        <v>8266.82</v>
      </c>
      <c r="Z1161" s="20">
        <v>1.1877614942528736</v>
      </c>
      <c r="AA1161" s="30">
        <v>9.7999999999999948E-2</v>
      </c>
      <c r="AB1161" s="27">
        <v>8.8000000000000009E-2</v>
      </c>
      <c r="AC1161" s="27">
        <v>9.9199999999999997E-2</v>
      </c>
      <c r="AD1161" s="11">
        <v>9.7763092258189868E-2</v>
      </c>
    </row>
    <row r="1162" spans="1:30" x14ac:dyDescent="0.25">
      <c r="A1162" s="13">
        <v>45777</v>
      </c>
      <c r="B1162" s="46" t="s">
        <v>636</v>
      </c>
      <c r="C1162" s="13">
        <v>45777</v>
      </c>
      <c r="D1162" s="15" t="s">
        <v>1364</v>
      </c>
      <c r="E1162" s="15">
        <v>98</v>
      </c>
      <c r="F1162" s="15">
        <v>90</v>
      </c>
      <c r="G1162" s="13">
        <v>45875</v>
      </c>
      <c r="H1162" s="19">
        <v>6600</v>
      </c>
      <c r="I1162" s="19">
        <v>6413.6900000000005</v>
      </c>
      <c r="J1162" s="20">
        <v>0.97177121212121176</v>
      </c>
      <c r="K1162" s="19">
        <v>5613.6900000000005</v>
      </c>
      <c r="L1162" s="20">
        <v>0.85055909090909099</v>
      </c>
      <c r="M1162" s="21">
        <v>0</v>
      </c>
      <c r="N1162" s="19">
        <v>0</v>
      </c>
      <c r="O1162" s="23">
        <v>1320</v>
      </c>
      <c r="P1162" s="24">
        <v>50</v>
      </c>
      <c r="Q1162" s="25">
        <v>3.787878787878788E-2</v>
      </c>
      <c r="R1162" s="24">
        <v>50</v>
      </c>
      <c r="S1162" s="25">
        <v>3.787878787878788E-2</v>
      </c>
      <c r="T1162" s="25">
        <v>0</v>
      </c>
      <c r="U1162" s="24">
        <v>0</v>
      </c>
      <c r="V1162" s="19">
        <v>7920</v>
      </c>
      <c r="W1162" s="19">
        <v>6463.6900000000005</v>
      </c>
      <c r="X1162" s="21">
        <v>0.81612247474747479</v>
      </c>
      <c r="Y1162" s="19">
        <v>5663.6900000000005</v>
      </c>
      <c r="Z1162" s="20">
        <v>0.7151123737373738</v>
      </c>
      <c r="AA1162" s="30">
        <v>9.7999999999999934E-2</v>
      </c>
      <c r="AB1162" s="27">
        <v>8.5000000000000006E-2</v>
      </c>
      <c r="AC1162" s="27">
        <v>9.9000000000000005E-2</v>
      </c>
      <c r="AD1162" s="11">
        <v>9.6735868899182842E-2</v>
      </c>
    </row>
    <row r="1163" spans="1:30" x14ac:dyDescent="0.25">
      <c r="A1163" s="13">
        <v>45782</v>
      </c>
      <c r="B1163" s="46" t="s">
        <v>636</v>
      </c>
      <c r="C1163" s="13">
        <v>45782</v>
      </c>
      <c r="D1163" s="15" t="s">
        <v>1365</v>
      </c>
      <c r="E1163" s="15">
        <v>35</v>
      </c>
      <c r="F1163" s="15">
        <v>30</v>
      </c>
      <c r="G1163" s="13">
        <v>45817</v>
      </c>
      <c r="H1163" s="19">
        <v>6600</v>
      </c>
      <c r="I1163" s="19">
        <v>11490.410000000003</v>
      </c>
      <c r="J1163" s="20">
        <v>1.7409712121212118</v>
      </c>
      <c r="K1163" s="19">
        <v>9990.4100000000035</v>
      </c>
      <c r="L1163" s="20">
        <v>1.5136984848484853</v>
      </c>
      <c r="M1163" s="21">
        <v>0</v>
      </c>
      <c r="N1163" s="19">
        <v>0</v>
      </c>
      <c r="O1163" s="23">
        <v>1320</v>
      </c>
      <c r="P1163" s="24">
        <v>64.5</v>
      </c>
      <c r="Q1163" s="25">
        <v>4.8863636363636366E-2</v>
      </c>
      <c r="R1163" s="24">
        <v>14.5</v>
      </c>
      <c r="S1163" s="25">
        <v>1.0984848484848484E-2</v>
      </c>
      <c r="T1163" s="25">
        <v>0</v>
      </c>
      <c r="U1163" s="24">
        <v>0</v>
      </c>
      <c r="V1163" s="19">
        <v>7920</v>
      </c>
      <c r="W1163" s="19">
        <v>11554.910000000003</v>
      </c>
      <c r="X1163" s="21">
        <v>1.4589532828282832</v>
      </c>
      <c r="Y1163" s="19">
        <v>10004.910000000003</v>
      </c>
      <c r="Z1163" s="20">
        <v>1.2632462121212125</v>
      </c>
      <c r="AA1163" s="30">
        <v>9.6699999999999953E-2</v>
      </c>
      <c r="AB1163" s="27">
        <v>8.5000000000000006E-2</v>
      </c>
      <c r="AC1163" s="27">
        <v>9.8000000000000004E-2</v>
      </c>
      <c r="AD1163" s="11">
        <v>9.5506463476934228E-2</v>
      </c>
    </row>
    <row r="1164" spans="1:30" x14ac:dyDescent="0.25">
      <c r="A1164" s="13">
        <v>45784</v>
      </c>
      <c r="B1164" s="46" t="s">
        <v>636</v>
      </c>
      <c r="C1164" s="13">
        <v>45784</v>
      </c>
      <c r="D1164" s="15" t="s">
        <v>1366</v>
      </c>
      <c r="E1164" s="15">
        <v>98</v>
      </c>
      <c r="F1164" s="15">
        <v>90</v>
      </c>
      <c r="G1164" s="13">
        <v>45882</v>
      </c>
      <c r="H1164" s="19">
        <v>6600</v>
      </c>
      <c r="I1164" s="19">
        <v>8909.8199999999979</v>
      </c>
      <c r="J1164" s="20">
        <v>1.3499727272727267</v>
      </c>
      <c r="K1164" s="19">
        <v>7859.8199999999988</v>
      </c>
      <c r="L1164" s="20">
        <v>1.1908818181818179</v>
      </c>
      <c r="M1164" s="21">
        <v>0</v>
      </c>
      <c r="N1164" s="19">
        <v>0</v>
      </c>
      <c r="O1164" s="23">
        <v>1320</v>
      </c>
      <c r="P1164" s="24">
        <v>4190</v>
      </c>
      <c r="Q1164" s="25">
        <v>3.1742424242424243</v>
      </c>
      <c r="R1164" s="24">
        <v>1320</v>
      </c>
      <c r="S1164" s="25">
        <v>1</v>
      </c>
      <c r="T1164" s="25">
        <v>0.31503583333333335</v>
      </c>
      <c r="U1164" s="24">
        <v>0</v>
      </c>
      <c r="V1164" s="19">
        <v>7920</v>
      </c>
      <c r="W1164" s="19">
        <v>13099.819999999998</v>
      </c>
      <c r="X1164" s="21">
        <v>1.6540176767676764</v>
      </c>
      <c r="Y1164" s="19">
        <v>9179.82</v>
      </c>
      <c r="Z1164" s="20">
        <v>1.1590681818181818</v>
      </c>
      <c r="AA1164" s="30">
        <v>9.7999999999999921E-2</v>
      </c>
      <c r="AB1164" s="27">
        <v>8.8000000000000009E-2</v>
      </c>
      <c r="AC1164" s="27">
        <v>9.9700000000000011E-2</v>
      </c>
      <c r="AD1164" s="11">
        <v>9.6557168719457867E-2</v>
      </c>
    </row>
    <row r="1165" spans="1:30" x14ac:dyDescent="0.25">
      <c r="A1165" s="13">
        <v>45786</v>
      </c>
      <c r="B1165" s="46" t="s">
        <v>636</v>
      </c>
      <c r="C1165" s="13">
        <v>45786</v>
      </c>
      <c r="D1165" s="15" t="s">
        <v>1367</v>
      </c>
      <c r="E1165" s="15">
        <v>189</v>
      </c>
      <c r="F1165" s="15">
        <v>180</v>
      </c>
      <c r="G1165" s="13">
        <v>45975</v>
      </c>
      <c r="H1165" s="19">
        <v>4200</v>
      </c>
      <c r="I1165" s="19">
        <v>10151.990000000002</v>
      </c>
      <c r="J1165" s="20">
        <v>2.4171404761904749</v>
      </c>
      <c r="K1165" s="19">
        <v>8400.0000000000018</v>
      </c>
      <c r="L1165" s="20">
        <v>2.0000000000000004</v>
      </c>
      <c r="M1165" s="21">
        <v>0.72077524999999998</v>
      </c>
      <c r="N1165" s="19">
        <v>0</v>
      </c>
      <c r="O1165" s="23">
        <v>840</v>
      </c>
      <c r="P1165" s="24">
        <v>1880</v>
      </c>
      <c r="Q1165" s="25">
        <v>2.2380952380952381</v>
      </c>
      <c r="R1165" s="24">
        <v>840</v>
      </c>
      <c r="S1165" s="25">
        <v>1</v>
      </c>
      <c r="T1165" s="25">
        <v>0.44680857142857144</v>
      </c>
      <c r="U1165" s="24">
        <v>0</v>
      </c>
      <c r="V1165" s="19">
        <v>5040</v>
      </c>
      <c r="W1165" s="19">
        <v>12031.990000000002</v>
      </c>
      <c r="X1165" s="21">
        <v>2.3872996031746037</v>
      </c>
      <c r="Y1165" s="19">
        <v>9240.0000000000018</v>
      </c>
      <c r="Z1165" s="20">
        <v>1.8333333333333337</v>
      </c>
      <c r="AA1165" s="30">
        <v>9.7999999999999921E-2</v>
      </c>
      <c r="AB1165" s="27">
        <v>0.09</v>
      </c>
      <c r="AC1165" s="27">
        <v>9.9100000000000008E-2</v>
      </c>
      <c r="AD1165" s="11">
        <v>9.716476365717458E-2</v>
      </c>
    </row>
    <row r="1166" spans="1:30" x14ac:dyDescent="0.25">
      <c r="A1166" s="13">
        <v>45789</v>
      </c>
      <c r="B1166" s="46" t="s">
        <v>636</v>
      </c>
      <c r="C1166" s="13">
        <v>45789</v>
      </c>
      <c r="D1166" s="15" t="s">
        <v>1368</v>
      </c>
      <c r="E1166" s="15">
        <v>35</v>
      </c>
      <c r="F1166" s="15">
        <v>30</v>
      </c>
      <c r="G1166" s="13">
        <v>45824</v>
      </c>
      <c r="H1166" s="19">
        <v>6600</v>
      </c>
      <c r="I1166" s="19">
        <v>10053.23</v>
      </c>
      <c r="J1166" s="20">
        <v>1.5232166666666662</v>
      </c>
      <c r="K1166" s="19">
        <v>8553.23</v>
      </c>
      <c r="L1166" s="20">
        <v>1.2959439393939394</v>
      </c>
      <c r="M1166" s="21">
        <v>0</v>
      </c>
      <c r="N1166" s="19">
        <v>0</v>
      </c>
      <c r="O1166" s="23">
        <v>1320</v>
      </c>
      <c r="P1166" s="24">
        <v>2655.21</v>
      </c>
      <c r="Q1166" s="25">
        <v>2.0115227272727272</v>
      </c>
      <c r="R1166" s="24">
        <v>1320</v>
      </c>
      <c r="S1166" s="25">
        <v>1</v>
      </c>
      <c r="T1166" s="25">
        <v>0.49714285714285722</v>
      </c>
      <c r="U1166" s="24">
        <v>0</v>
      </c>
      <c r="V1166" s="19">
        <v>7920</v>
      </c>
      <c r="W1166" s="19">
        <v>12708.439999999999</v>
      </c>
      <c r="X1166" s="21">
        <v>1.60460101010101</v>
      </c>
      <c r="Y1166" s="19">
        <v>9873.23</v>
      </c>
      <c r="Z1166" s="20">
        <v>1.2466199494949495</v>
      </c>
      <c r="AA1166" s="30">
        <v>9.6699999999999967E-2</v>
      </c>
      <c r="AB1166" s="27">
        <v>0.09</v>
      </c>
      <c r="AC1166" s="27">
        <v>9.8900000000000002E-2</v>
      </c>
      <c r="AD1166" s="11">
        <v>9.5704977803153846E-2</v>
      </c>
    </row>
    <row r="1167" spans="1:30" x14ac:dyDescent="0.25">
      <c r="A1167" s="13">
        <v>45791</v>
      </c>
      <c r="B1167" s="46" t="s">
        <v>636</v>
      </c>
      <c r="C1167" s="13">
        <v>45791</v>
      </c>
      <c r="D1167" s="15" t="s">
        <v>1369</v>
      </c>
      <c r="E1167" s="15">
        <v>91</v>
      </c>
      <c r="F1167" s="15">
        <v>90</v>
      </c>
      <c r="G1167" s="13">
        <v>45882</v>
      </c>
      <c r="H1167" s="19">
        <v>6600</v>
      </c>
      <c r="I1167" s="19">
        <v>7387.0399999999991</v>
      </c>
      <c r="J1167" s="20">
        <v>1.1192484848484843</v>
      </c>
      <c r="K1167" s="19">
        <v>6537.0399999999991</v>
      </c>
      <c r="L1167" s="20">
        <v>0.99046060606060593</v>
      </c>
      <c r="M1167" s="21">
        <v>0</v>
      </c>
      <c r="N1167" s="19">
        <v>0</v>
      </c>
      <c r="O1167" s="23">
        <v>1320</v>
      </c>
      <c r="P1167" s="24">
        <v>1720</v>
      </c>
      <c r="Q1167" s="25">
        <v>1.303030303030303</v>
      </c>
      <c r="R1167" s="24">
        <v>1307.4079999999999</v>
      </c>
      <c r="S1167" s="25">
        <v>0.99046060606060604</v>
      </c>
      <c r="T1167" s="25">
        <v>0.76012100000000005</v>
      </c>
      <c r="U1167" s="24">
        <v>0</v>
      </c>
      <c r="V1167" s="19">
        <v>7920</v>
      </c>
      <c r="W1167" s="19">
        <v>9107.0399999999991</v>
      </c>
      <c r="X1167" s="21">
        <v>1.1498787878787877</v>
      </c>
      <c r="Y1167" s="19">
        <v>7844.4479999999985</v>
      </c>
      <c r="Z1167" s="20">
        <v>0.99046060606060582</v>
      </c>
      <c r="AA1167" s="30">
        <v>9.8399999999999904E-2</v>
      </c>
      <c r="AB1167" s="27">
        <v>8.8000000000000009E-2</v>
      </c>
      <c r="AC1167" s="27">
        <v>9.9499999999999991E-2</v>
      </c>
      <c r="AD1167" s="11">
        <v>9.7025993090601906E-2</v>
      </c>
    </row>
    <row r="1168" spans="1:30" x14ac:dyDescent="0.25">
      <c r="A1168" s="13">
        <v>45792</v>
      </c>
      <c r="B1168" s="46" t="s">
        <v>636</v>
      </c>
      <c r="C1168" s="13">
        <v>45793</v>
      </c>
      <c r="D1168" s="15" t="s">
        <v>1371</v>
      </c>
      <c r="E1168" s="15">
        <v>357</v>
      </c>
      <c r="F1168" s="15">
        <v>360</v>
      </c>
      <c r="G1168" s="13">
        <v>46150</v>
      </c>
      <c r="H1168" s="19">
        <v>6600</v>
      </c>
      <c r="I1168" s="19">
        <v>9327.26</v>
      </c>
      <c r="J1168" s="20">
        <v>1.4132212121212115</v>
      </c>
      <c r="K1168" s="19">
        <v>8427.26</v>
      </c>
      <c r="L1168" s="20">
        <v>1.2768575757575757</v>
      </c>
      <c r="M1168" s="21">
        <v>0</v>
      </c>
      <c r="N1168" s="19">
        <v>0</v>
      </c>
      <c r="O1168" s="23">
        <v>1320</v>
      </c>
      <c r="P1168" s="24">
        <v>1520</v>
      </c>
      <c r="Q1168" s="25">
        <v>1.1515151515151516</v>
      </c>
      <c r="R1168" s="24">
        <v>1320</v>
      </c>
      <c r="S1168" s="25">
        <v>1</v>
      </c>
      <c r="T1168" s="25">
        <v>0.86842106060606061</v>
      </c>
      <c r="U1168" s="24">
        <v>0</v>
      </c>
      <c r="V1168" s="19">
        <v>7920</v>
      </c>
      <c r="W1168" s="19">
        <v>10847.26</v>
      </c>
      <c r="X1168" s="21">
        <v>1.3696035353535354</v>
      </c>
      <c r="Y1168" s="19">
        <v>9747.26</v>
      </c>
      <c r="Z1168" s="20">
        <v>1.2307146464646466</v>
      </c>
      <c r="AA1168" s="30">
        <v>9.8399999999999904E-2</v>
      </c>
      <c r="AB1168" s="27">
        <v>8.5000000000000006E-2</v>
      </c>
      <c r="AC1168" s="27">
        <v>9.9700000000000011E-2</v>
      </c>
      <c r="AD1168" s="11">
        <v>9.773342492864999E-2</v>
      </c>
    </row>
    <row r="1169" spans="1:30" x14ac:dyDescent="0.25">
      <c r="A1169" s="13">
        <v>45796</v>
      </c>
      <c r="B1169" s="46" t="s">
        <v>636</v>
      </c>
      <c r="C1169" s="13">
        <v>45796</v>
      </c>
      <c r="D1169" s="15" t="s">
        <v>1372</v>
      </c>
      <c r="E1169" s="15">
        <v>35</v>
      </c>
      <c r="F1169" s="15">
        <v>30</v>
      </c>
      <c r="G1169" s="13">
        <v>45831</v>
      </c>
      <c r="H1169" s="19">
        <v>5800</v>
      </c>
      <c r="I1169" s="19">
        <v>6162.4800000000005</v>
      </c>
      <c r="J1169" s="20">
        <v>1.0624965517241376</v>
      </c>
      <c r="K1169" s="19">
        <v>6062.4800000000005</v>
      </c>
      <c r="L1169" s="20">
        <v>1.0452551724137933</v>
      </c>
      <c r="M1169" s="21">
        <v>0</v>
      </c>
      <c r="N1169" s="19">
        <v>0</v>
      </c>
      <c r="O1169" s="23">
        <v>1160</v>
      </c>
      <c r="P1169" s="24">
        <v>1470</v>
      </c>
      <c r="Q1169" s="25">
        <v>1.2672413793103448</v>
      </c>
      <c r="R1169" s="24">
        <v>1160</v>
      </c>
      <c r="S1169" s="25">
        <v>1</v>
      </c>
      <c r="T1169" s="25">
        <v>0.78912000000000004</v>
      </c>
      <c r="U1169" s="24">
        <v>0</v>
      </c>
      <c r="V1169" s="19">
        <v>6960</v>
      </c>
      <c r="W1169" s="19">
        <v>7632.4800000000005</v>
      </c>
      <c r="X1169" s="21">
        <v>1.0966206896551725</v>
      </c>
      <c r="Y1169" s="19">
        <v>7222.4800000000005</v>
      </c>
      <c r="Z1169" s="20">
        <v>1.037712643678161</v>
      </c>
      <c r="AA1169" s="30">
        <v>9.6900000000000097E-2</v>
      </c>
      <c r="AB1169" s="27">
        <v>8.6699999999999999E-2</v>
      </c>
      <c r="AC1169" s="27">
        <v>9.7100000000000006E-2</v>
      </c>
      <c r="AD1169" s="11">
        <v>9.5910212609209275E-2</v>
      </c>
    </row>
    <row r="1170" spans="1:30" x14ac:dyDescent="0.25">
      <c r="A1170" s="13">
        <v>45798</v>
      </c>
      <c r="B1170" s="46" t="s">
        <v>636</v>
      </c>
      <c r="C1170" s="13">
        <v>45798</v>
      </c>
      <c r="D1170" s="15" t="s">
        <v>1373</v>
      </c>
      <c r="E1170" s="15">
        <v>98</v>
      </c>
      <c r="F1170" s="15">
        <v>90</v>
      </c>
      <c r="G1170" s="13">
        <v>45896</v>
      </c>
      <c r="H1170" s="19">
        <v>7500</v>
      </c>
      <c r="I1170" s="19">
        <v>7061.1799999999994</v>
      </c>
      <c r="J1170" s="20">
        <v>0.94149066666666659</v>
      </c>
      <c r="K1170" s="19">
        <v>6431.1799999999994</v>
      </c>
      <c r="L1170" s="20">
        <v>0.85749066666666662</v>
      </c>
      <c r="M1170" s="21">
        <v>0</v>
      </c>
      <c r="N1170" s="19">
        <v>0</v>
      </c>
      <c r="O1170" s="23">
        <v>1500</v>
      </c>
      <c r="P1170" s="24">
        <v>2311</v>
      </c>
      <c r="Q1170" s="25">
        <v>1.5406666666666666</v>
      </c>
      <c r="R1170" s="24">
        <v>1286.2359999999999</v>
      </c>
      <c r="S1170" s="25">
        <v>0.85749066666666662</v>
      </c>
      <c r="T1170" s="25">
        <v>0.55657272727272733</v>
      </c>
      <c r="U1170" s="24">
        <v>0</v>
      </c>
      <c r="V1170" s="19">
        <v>9000</v>
      </c>
      <c r="W1170" s="19">
        <v>9372.18</v>
      </c>
      <c r="X1170" s="21">
        <v>1.0413533333333334</v>
      </c>
      <c r="Y1170" s="19">
        <v>7717.4159999999993</v>
      </c>
      <c r="Z1170" s="20">
        <v>0.85749066666666662</v>
      </c>
      <c r="AA1170" s="30">
        <v>9.8499999999999963E-2</v>
      </c>
      <c r="AB1170" s="27">
        <v>8.6999999999999994E-2</v>
      </c>
      <c r="AC1170" s="27">
        <v>0.1</v>
      </c>
      <c r="AD1170" s="11">
        <v>9.6044399944485215E-2</v>
      </c>
    </row>
    <row r="1171" spans="1:30" x14ac:dyDescent="0.25">
      <c r="A1171" s="13">
        <v>45800</v>
      </c>
      <c r="B1171" s="46" t="s">
        <v>636</v>
      </c>
      <c r="C1171" s="13">
        <v>45800</v>
      </c>
      <c r="D1171" s="15" t="s">
        <v>1376</v>
      </c>
      <c r="E1171" s="15">
        <v>175</v>
      </c>
      <c r="F1171" s="15">
        <v>180</v>
      </c>
      <c r="G1171" s="13">
        <v>45975</v>
      </c>
      <c r="H1171" s="19">
        <v>4200</v>
      </c>
      <c r="I1171" s="19">
        <v>6676.87</v>
      </c>
      <c r="J1171" s="20">
        <v>1.5897309523809524</v>
      </c>
      <c r="K1171" s="19">
        <v>4876.869999999999</v>
      </c>
      <c r="L1171" s="20">
        <v>1.1611595238095236</v>
      </c>
      <c r="M1171" s="21">
        <v>0</v>
      </c>
      <c r="N1171" s="19">
        <v>0</v>
      </c>
      <c r="O1171" s="23">
        <v>840</v>
      </c>
      <c r="P1171" s="24">
        <v>1150</v>
      </c>
      <c r="Q1171" s="25">
        <v>1.3690476190476191</v>
      </c>
      <c r="R1171" s="24">
        <v>840</v>
      </c>
      <c r="S1171" s="25">
        <v>1</v>
      </c>
      <c r="T1171" s="25">
        <v>0.73043499999999995</v>
      </c>
      <c r="U1171" s="24">
        <v>0</v>
      </c>
      <c r="V1171" s="19">
        <v>5040</v>
      </c>
      <c r="W1171" s="19">
        <v>7826.87</v>
      </c>
      <c r="X1171" s="21">
        <v>1.5529503968253968</v>
      </c>
      <c r="Y1171" s="19">
        <v>5716.869999999999</v>
      </c>
      <c r="Z1171" s="20">
        <v>1.1342996031746029</v>
      </c>
      <c r="AA1171" s="30">
        <v>9.7999999999999934E-2</v>
      </c>
      <c r="AB1171" s="27">
        <v>0.08</v>
      </c>
      <c r="AC1171" s="27">
        <v>9.849999999999999E-2</v>
      </c>
      <c r="AD1171" s="11">
        <v>9.6775218777660765E-2</v>
      </c>
    </row>
    <row r="1172" spans="1:30" x14ac:dyDescent="0.25">
      <c r="A1172" s="13">
        <v>45803</v>
      </c>
      <c r="B1172" s="46" t="s">
        <v>636</v>
      </c>
      <c r="C1172" s="13">
        <v>45803</v>
      </c>
      <c r="D1172" s="15" t="s">
        <v>1377</v>
      </c>
      <c r="E1172" s="15">
        <v>35</v>
      </c>
      <c r="F1172" s="15">
        <v>30</v>
      </c>
      <c r="G1172" s="13">
        <v>45838</v>
      </c>
      <c r="H1172" s="19">
        <v>5800</v>
      </c>
      <c r="I1172" s="19">
        <v>5537.6100000000006</v>
      </c>
      <c r="J1172" s="20">
        <v>0.95476034482758632</v>
      </c>
      <c r="K1172" s="19">
        <v>5537.6100000000006</v>
      </c>
      <c r="L1172" s="20">
        <v>0.95476034482758632</v>
      </c>
      <c r="M1172" s="21">
        <v>0</v>
      </c>
      <c r="N1172" s="19">
        <v>0</v>
      </c>
      <c r="O1172" s="23">
        <v>1160</v>
      </c>
      <c r="P1172" s="24">
        <v>3526</v>
      </c>
      <c r="Q1172" s="25">
        <v>3.0396551724137928</v>
      </c>
      <c r="R1172" s="24">
        <v>1107.5219999999999</v>
      </c>
      <c r="S1172" s="25">
        <v>0.9547603448275862</v>
      </c>
      <c r="T1172" s="25">
        <v>0.31410155172413795</v>
      </c>
      <c r="U1172" s="24">
        <v>0</v>
      </c>
      <c r="V1172" s="19">
        <v>6960</v>
      </c>
      <c r="W1172" s="19">
        <v>9063.61</v>
      </c>
      <c r="X1172" s="21">
        <v>1.3022428160919541</v>
      </c>
      <c r="Y1172" s="19">
        <v>6645.1320000000005</v>
      </c>
      <c r="Z1172" s="20">
        <v>0.95476034482758632</v>
      </c>
      <c r="AA1172" s="30">
        <v>9.6900000000000083E-2</v>
      </c>
      <c r="AB1172" s="27">
        <v>8.900000000000001E-2</v>
      </c>
      <c r="AC1172" s="27">
        <v>9.69E-2</v>
      </c>
      <c r="AD1172" s="11">
        <v>9.5550008758291005E-2</v>
      </c>
    </row>
    <row r="1173" spans="1:30" x14ac:dyDescent="0.25">
      <c r="A1173" s="13">
        <v>45805</v>
      </c>
      <c r="B1173" s="46" t="s">
        <v>636</v>
      </c>
      <c r="C1173" s="13">
        <v>45805</v>
      </c>
      <c r="D1173" s="15" t="s">
        <v>1378</v>
      </c>
      <c r="E1173" s="15">
        <v>98</v>
      </c>
      <c r="F1173" s="15">
        <v>90</v>
      </c>
      <c r="G1173" s="13">
        <v>45903</v>
      </c>
      <c r="H1173" s="19">
        <v>4200</v>
      </c>
      <c r="I1173" s="19">
        <v>5774.8700000000017</v>
      </c>
      <c r="J1173" s="20">
        <v>1.374969047619047</v>
      </c>
      <c r="K1173" s="19">
        <v>4424.87</v>
      </c>
      <c r="L1173" s="20">
        <v>1.0535404761904761</v>
      </c>
      <c r="M1173" s="21">
        <v>0</v>
      </c>
      <c r="N1173" s="19">
        <v>0</v>
      </c>
      <c r="O1173" s="23">
        <v>840</v>
      </c>
      <c r="P1173" s="24">
        <v>1140</v>
      </c>
      <c r="Q1173" s="25">
        <v>1.3571428571428572</v>
      </c>
      <c r="R1173" s="24">
        <v>840</v>
      </c>
      <c r="S1173" s="25">
        <v>1</v>
      </c>
      <c r="T1173" s="25">
        <v>0.73684214285714289</v>
      </c>
      <c r="U1173" s="24">
        <v>0</v>
      </c>
      <c r="V1173" s="19">
        <v>5040</v>
      </c>
      <c r="W1173" s="19">
        <v>6914.8700000000017</v>
      </c>
      <c r="X1173" s="21">
        <v>1.3719980158730163</v>
      </c>
      <c r="Y1173" s="19">
        <v>5264.87</v>
      </c>
      <c r="Z1173" s="20">
        <v>1.0446170634920635</v>
      </c>
      <c r="AA1173" s="30">
        <v>9.8199999999999968E-2</v>
      </c>
      <c r="AB1173" s="27">
        <v>8.5000000000000006E-2</v>
      </c>
      <c r="AC1173" s="27">
        <v>9.8800000000000013E-2</v>
      </c>
      <c r="AD1173" s="11">
        <v>9.670620897093786E-2</v>
      </c>
    </row>
    <row r="1174" spans="1:30" x14ac:dyDescent="0.25">
      <c r="A1174" s="13">
        <v>45806</v>
      </c>
      <c r="B1174" s="46" t="s">
        <v>636</v>
      </c>
      <c r="C1174" s="13">
        <v>45807</v>
      </c>
      <c r="D1174" s="15" t="s">
        <v>1380</v>
      </c>
      <c r="E1174" s="15">
        <v>371</v>
      </c>
      <c r="F1174" s="15">
        <v>360</v>
      </c>
      <c r="G1174" s="13">
        <v>46178</v>
      </c>
      <c r="H1174" s="19">
        <v>5000</v>
      </c>
      <c r="I1174" s="19">
        <v>11091.42</v>
      </c>
      <c r="J1174" s="20">
        <v>2.2182840000000006</v>
      </c>
      <c r="K1174" s="19">
        <v>5091.420000000001</v>
      </c>
      <c r="L1174" s="20">
        <v>1.0182840000000002</v>
      </c>
      <c r="M1174" s="21">
        <v>0</v>
      </c>
      <c r="N1174" s="19">
        <v>0</v>
      </c>
      <c r="O1174" s="23">
        <v>1000</v>
      </c>
      <c r="P1174" s="24">
        <v>2012.1</v>
      </c>
      <c r="Q1174" s="25">
        <v>2.0121000000000002</v>
      </c>
      <c r="R1174" s="24">
        <v>1000</v>
      </c>
      <c r="S1174" s="25">
        <v>1</v>
      </c>
      <c r="T1174" s="25">
        <v>0.497</v>
      </c>
      <c r="U1174" s="24">
        <v>0</v>
      </c>
      <c r="V1174" s="19">
        <v>6000</v>
      </c>
      <c r="W1174" s="19">
        <v>13103.52</v>
      </c>
      <c r="X1174" s="21">
        <v>2.1839200000000001</v>
      </c>
      <c r="Y1174" s="19">
        <v>6091.420000000001</v>
      </c>
      <c r="Z1174" s="20">
        <v>1.0152366666666668</v>
      </c>
      <c r="AA1174" s="30">
        <v>9.7500000000000073E-2</v>
      </c>
      <c r="AB1174" s="27">
        <v>8.5000000000000006E-2</v>
      </c>
      <c r="AC1174" s="27">
        <v>0.1</v>
      </c>
      <c r="AD1174" s="11">
        <v>9.7657305647067733E-2</v>
      </c>
    </row>
    <row r="1175" spans="1:30" x14ac:dyDescent="0.25">
      <c r="A1175" s="13">
        <v>45810</v>
      </c>
      <c r="B1175" s="46" t="s">
        <v>636</v>
      </c>
      <c r="C1175" s="13">
        <v>45810</v>
      </c>
      <c r="D1175" s="15" t="s">
        <v>1381</v>
      </c>
      <c r="E1175" s="15">
        <v>35</v>
      </c>
      <c r="F1175" s="15">
        <v>30</v>
      </c>
      <c r="G1175" s="13">
        <v>45845</v>
      </c>
      <c r="H1175" s="19">
        <v>6600</v>
      </c>
      <c r="I1175" s="19">
        <v>10247.089999999997</v>
      </c>
      <c r="J1175" s="20">
        <v>1.5525893939393942</v>
      </c>
      <c r="K1175" s="19">
        <v>8149.0899999999983</v>
      </c>
      <c r="L1175" s="20">
        <v>1.2347106060606059</v>
      </c>
      <c r="M1175" s="21">
        <v>0</v>
      </c>
      <c r="N1175" s="19">
        <v>0</v>
      </c>
      <c r="O1175" s="23">
        <v>1320</v>
      </c>
      <c r="P1175" s="24">
        <v>1407.5</v>
      </c>
      <c r="Q1175" s="25">
        <v>1.0662878787878789</v>
      </c>
      <c r="R1175" s="24">
        <v>1320</v>
      </c>
      <c r="S1175" s="25">
        <v>1</v>
      </c>
      <c r="T1175" s="25">
        <v>0.9378399999999999</v>
      </c>
      <c r="U1175" s="24">
        <v>0</v>
      </c>
      <c r="V1175" s="19">
        <v>7920</v>
      </c>
      <c r="W1175" s="19">
        <v>11654.589999999997</v>
      </c>
      <c r="X1175" s="21">
        <v>1.471539141414141</v>
      </c>
      <c r="Y1175" s="19">
        <v>9469.0899999999983</v>
      </c>
      <c r="Z1175" s="20">
        <v>1.1955921717171716</v>
      </c>
      <c r="AA1175" s="30">
        <v>9.6000000000000044E-2</v>
      </c>
      <c r="AB1175" s="27">
        <v>8.6899999999999991E-2</v>
      </c>
      <c r="AC1175" s="27">
        <v>9.7299999999999998E-2</v>
      </c>
      <c r="AD1175" s="11">
        <v>9.4916688835562132E-2</v>
      </c>
    </row>
    <row r="1176" spans="1:30" x14ac:dyDescent="0.25">
      <c r="A1176" s="13">
        <v>45812</v>
      </c>
      <c r="B1176" s="46" t="s">
        <v>636</v>
      </c>
      <c r="C1176" s="13">
        <v>45812</v>
      </c>
      <c r="D1176" s="15" t="s">
        <v>1382</v>
      </c>
      <c r="E1176" s="15">
        <v>91</v>
      </c>
      <c r="F1176" s="15">
        <v>90</v>
      </c>
      <c r="G1176" s="13">
        <v>45903</v>
      </c>
      <c r="H1176" s="19">
        <v>7500</v>
      </c>
      <c r="I1176" s="19">
        <v>10224.959999999999</v>
      </c>
      <c r="J1176" s="20">
        <v>1.3633279999999997</v>
      </c>
      <c r="K1176" s="19">
        <v>7924.24</v>
      </c>
      <c r="L1176" s="20">
        <v>1.0565653333333334</v>
      </c>
      <c r="M1176" s="21">
        <v>0</v>
      </c>
      <c r="N1176" s="19">
        <v>0</v>
      </c>
      <c r="O1176" s="23">
        <v>1500</v>
      </c>
      <c r="P1176" s="24">
        <v>3167.6</v>
      </c>
      <c r="Q1176" s="25">
        <v>2.111733333333333</v>
      </c>
      <c r="R1176" s="24">
        <v>1500.0000000000002</v>
      </c>
      <c r="S1176" s="25">
        <v>1.0000000000000002</v>
      </c>
      <c r="T1176" s="25">
        <v>0.47354666666666667</v>
      </c>
      <c r="U1176" s="24">
        <v>0</v>
      </c>
      <c r="V1176" s="19">
        <v>9000</v>
      </c>
      <c r="W1176" s="19">
        <v>13392.56</v>
      </c>
      <c r="X1176" s="21">
        <v>1.4880622222222222</v>
      </c>
      <c r="Y1176" s="19">
        <v>9424.24</v>
      </c>
      <c r="Z1176" s="20">
        <v>1.0471377777777777</v>
      </c>
      <c r="AA1176" s="30">
        <v>9.7500000000000087E-2</v>
      </c>
      <c r="AB1176" s="27">
        <v>8.8200000000000001E-2</v>
      </c>
      <c r="AC1176" s="27">
        <v>9.8400000000000001E-2</v>
      </c>
      <c r="AD1176" s="11">
        <v>9.6701514920351783E-2</v>
      </c>
    </row>
    <row r="1177" spans="1:30" x14ac:dyDescent="0.25">
      <c r="A1177" s="13">
        <v>45814</v>
      </c>
      <c r="B1177" s="46" t="s">
        <v>636</v>
      </c>
      <c r="C1177" s="13">
        <v>45814</v>
      </c>
      <c r="D1177" s="15" t="s">
        <v>1383</v>
      </c>
      <c r="E1177" s="15">
        <v>182</v>
      </c>
      <c r="F1177" s="15">
        <v>180</v>
      </c>
      <c r="G1177" s="13">
        <v>45996</v>
      </c>
      <c r="H1177" s="19">
        <v>4200</v>
      </c>
      <c r="I1177" s="19">
        <v>15143.959999999997</v>
      </c>
      <c r="J1177" s="20">
        <v>3.6057047619047613</v>
      </c>
      <c r="K1177" s="19">
        <v>8400</v>
      </c>
      <c r="L1177" s="20">
        <v>2</v>
      </c>
      <c r="M1177" s="21">
        <v>0.33528066666666667</v>
      </c>
      <c r="N1177" s="19">
        <v>0</v>
      </c>
      <c r="O1177" s="23">
        <v>840</v>
      </c>
      <c r="P1177" s="24">
        <v>2015</v>
      </c>
      <c r="Q1177" s="25">
        <v>2.3988095238095242</v>
      </c>
      <c r="R1177" s="24">
        <v>840</v>
      </c>
      <c r="S1177" s="25">
        <v>1</v>
      </c>
      <c r="T1177" s="25">
        <v>0.4168742857142857</v>
      </c>
      <c r="U1177" s="24">
        <v>0</v>
      </c>
      <c r="V1177" s="19">
        <v>5040</v>
      </c>
      <c r="W1177" s="19">
        <v>17158.96</v>
      </c>
      <c r="X1177" s="21">
        <v>3.4045555555555556</v>
      </c>
      <c r="Y1177" s="19">
        <v>9240</v>
      </c>
      <c r="Z1177" s="20">
        <v>1.8333333333333333</v>
      </c>
      <c r="AA1177" s="30">
        <v>9.6899999999999958E-2</v>
      </c>
      <c r="AB1177" s="27">
        <v>8.8000000000000009E-2</v>
      </c>
      <c r="AC1177" s="27">
        <v>9.8000000000000004E-2</v>
      </c>
      <c r="AD1177" s="11">
        <v>9.6485770036370974E-2</v>
      </c>
    </row>
    <row r="1178" spans="1:30" x14ac:dyDescent="0.25">
      <c r="A1178" s="13">
        <v>45817</v>
      </c>
      <c r="B1178" s="46" t="s">
        <v>636</v>
      </c>
      <c r="C1178" s="13">
        <v>45817</v>
      </c>
      <c r="D1178" s="15" t="s">
        <v>1384</v>
      </c>
      <c r="E1178" s="15">
        <v>35</v>
      </c>
      <c r="F1178" s="15">
        <v>30</v>
      </c>
      <c r="G1178" s="13">
        <v>45852</v>
      </c>
      <c r="H1178" s="19">
        <v>10000</v>
      </c>
      <c r="I1178" s="19">
        <v>12256.669999999998</v>
      </c>
      <c r="J1178" s="20">
        <v>1.2256670000000003</v>
      </c>
      <c r="K1178" s="19">
        <v>9556.67</v>
      </c>
      <c r="L1178" s="20">
        <v>0.95566700000000004</v>
      </c>
      <c r="M1178" s="21">
        <v>0</v>
      </c>
      <c r="N1178" s="19">
        <v>0</v>
      </c>
      <c r="O1178" s="23">
        <v>2000</v>
      </c>
      <c r="P1178" s="24">
        <v>2042.5</v>
      </c>
      <c r="Q1178" s="25">
        <v>1.02125</v>
      </c>
      <c r="R1178" s="24">
        <v>1911.3340000000001</v>
      </c>
      <c r="S1178" s="25">
        <v>0.95566700000000004</v>
      </c>
      <c r="T1178" s="25">
        <v>0.93578222222222218</v>
      </c>
      <c r="U1178" s="24">
        <v>0</v>
      </c>
      <c r="V1178" s="19">
        <v>12000</v>
      </c>
      <c r="W1178" s="19">
        <v>14299.169999999998</v>
      </c>
      <c r="X1178" s="21">
        <v>1.1915974999999999</v>
      </c>
      <c r="Y1178" s="19">
        <v>11468.004000000001</v>
      </c>
      <c r="Z1178" s="20">
        <v>0.95566700000000004</v>
      </c>
      <c r="AA1178" s="30">
        <v>9.6000000000000044E-2</v>
      </c>
      <c r="AB1178" s="27">
        <v>0.09</v>
      </c>
      <c r="AC1178" s="27">
        <v>9.74E-2</v>
      </c>
      <c r="AD1178" s="11">
        <v>9.5298706010686449E-2</v>
      </c>
    </row>
    <row r="1179" spans="1:30" x14ac:dyDescent="0.25">
      <c r="A1179" s="13">
        <v>45819</v>
      </c>
      <c r="B1179" s="46" t="s">
        <v>636</v>
      </c>
      <c r="C1179" s="13">
        <v>45819</v>
      </c>
      <c r="D1179" s="15" t="s">
        <v>1385</v>
      </c>
      <c r="E1179" s="15">
        <v>91</v>
      </c>
      <c r="F1179" s="15">
        <v>90</v>
      </c>
      <c r="G1179" s="13">
        <v>45910</v>
      </c>
      <c r="H1179" s="19">
        <v>8400</v>
      </c>
      <c r="I1179" s="19">
        <v>13641.67</v>
      </c>
      <c r="J1179" s="20">
        <v>1.6240083333333333</v>
      </c>
      <c r="K1179" s="19">
        <v>11191.67</v>
      </c>
      <c r="L1179" s="20">
        <v>1.3323416666666668</v>
      </c>
      <c r="M1179" s="21">
        <v>0</v>
      </c>
      <c r="N1179" s="19">
        <v>0</v>
      </c>
      <c r="O1179" s="23">
        <v>1680</v>
      </c>
      <c r="P1179" s="24">
        <v>1980</v>
      </c>
      <c r="Q1179" s="25">
        <v>1.1785714285714286</v>
      </c>
      <c r="R1179" s="24">
        <v>1680</v>
      </c>
      <c r="S1179" s="25">
        <v>1</v>
      </c>
      <c r="T1179" s="25">
        <v>0.84848500000000004</v>
      </c>
      <c r="U1179" s="24">
        <v>0</v>
      </c>
      <c r="V1179" s="19">
        <v>10080</v>
      </c>
      <c r="W1179" s="19">
        <v>15621.67</v>
      </c>
      <c r="X1179" s="21">
        <v>1.5497688492063493</v>
      </c>
      <c r="Y1179" s="19">
        <v>12871.67</v>
      </c>
      <c r="Z1179" s="20">
        <v>1.2769513888888888</v>
      </c>
      <c r="AA1179" s="30">
        <v>9.7000000000000072E-2</v>
      </c>
      <c r="AB1179" s="27">
        <v>0.09</v>
      </c>
      <c r="AC1179" s="27">
        <v>9.8400000000000001E-2</v>
      </c>
      <c r="AD1179" s="11">
        <v>9.6213871248901378E-2</v>
      </c>
    </row>
    <row r="1180" spans="1:30" x14ac:dyDescent="0.25">
      <c r="A1180" s="13">
        <v>45820</v>
      </c>
      <c r="B1180" s="46" t="s">
        <v>636</v>
      </c>
      <c r="C1180" s="13">
        <v>45821</v>
      </c>
      <c r="D1180" s="15" t="s">
        <v>1386</v>
      </c>
      <c r="E1180" s="15">
        <v>357</v>
      </c>
      <c r="F1180" s="15">
        <v>360</v>
      </c>
      <c r="G1180" s="13">
        <v>46178</v>
      </c>
      <c r="H1180" s="19">
        <v>6600</v>
      </c>
      <c r="I1180" s="19">
        <v>25283.08</v>
      </c>
      <c r="J1180" s="20">
        <v>3.8307696969696958</v>
      </c>
      <c r="K1180" s="19">
        <v>12597.289999999997</v>
      </c>
      <c r="L1180" s="20">
        <v>1.9086803030303026</v>
      </c>
      <c r="M1180" s="21">
        <v>0</v>
      </c>
      <c r="N1180" s="19">
        <v>0</v>
      </c>
      <c r="O1180" s="23">
        <v>1320</v>
      </c>
      <c r="P1180" s="24">
        <v>1320</v>
      </c>
      <c r="Q1180" s="25">
        <v>1</v>
      </c>
      <c r="R1180" s="24">
        <v>1320</v>
      </c>
      <c r="S1180" s="25">
        <v>1</v>
      </c>
      <c r="T1180" s="25">
        <v>0</v>
      </c>
      <c r="U1180" s="24">
        <v>0</v>
      </c>
      <c r="V1180" s="19">
        <v>7920</v>
      </c>
      <c r="W1180" s="19">
        <v>26603.08</v>
      </c>
      <c r="X1180" s="21">
        <v>3.3589747474747478</v>
      </c>
      <c r="Y1180" s="19">
        <v>13917.289999999997</v>
      </c>
      <c r="Z1180" s="20">
        <v>1.7572335858585855</v>
      </c>
      <c r="AA1180" s="30">
        <v>9.6000000000000058E-2</v>
      </c>
      <c r="AB1180" s="27">
        <v>0.09</v>
      </c>
      <c r="AC1180" s="27">
        <v>0.105</v>
      </c>
      <c r="AD1180" s="11">
        <v>9.6027448435870966E-2</v>
      </c>
    </row>
    <row r="1181" spans="1:30" x14ac:dyDescent="0.25">
      <c r="A1181" s="13">
        <v>45824</v>
      </c>
      <c r="B1181" s="46" t="s">
        <v>636</v>
      </c>
      <c r="C1181" s="13">
        <v>45824</v>
      </c>
      <c r="D1181" s="15" t="s">
        <v>1387</v>
      </c>
      <c r="E1181" s="15">
        <v>35</v>
      </c>
      <c r="F1181" s="15">
        <v>30</v>
      </c>
      <c r="G1181" s="13">
        <v>45859</v>
      </c>
      <c r="H1181" s="19">
        <v>12500</v>
      </c>
      <c r="I1181" s="19">
        <v>9322.99</v>
      </c>
      <c r="J1181" s="20">
        <v>0.74583920000000015</v>
      </c>
      <c r="K1181" s="19">
        <v>8422.9900000000016</v>
      </c>
      <c r="L1181" s="20">
        <v>0.67383920000000008</v>
      </c>
      <c r="M1181" s="21">
        <v>0</v>
      </c>
      <c r="N1181" s="19">
        <v>0</v>
      </c>
      <c r="O1181" s="23">
        <v>2500</v>
      </c>
      <c r="P1181" s="24">
        <v>1012.4</v>
      </c>
      <c r="Q1181" s="25">
        <v>0.40496000000000004</v>
      </c>
      <c r="R1181" s="24">
        <v>1012.4</v>
      </c>
      <c r="S1181" s="25">
        <v>0.40495999999999999</v>
      </c>
      <c r="T1181" s="25">
        <v>0</v>
      </c>
      <c r="U1181" s="24">
        <v>0</v>
      </c>
      <c r="V1181" s="19">
        <v>15000</v>
      </c>
      <c r="W1181" s="19">
        <v>10335.39</v>
      </c>
      <c r="X1181" s="21">
        <v>0.68902599999999992</v>
      </c>
      <c r="Y1181" s="19">
        <v>9435.3900000000012</v>
      </c>
      <c r="Z1181" s="20">
        <v>0.62902600000000009</v>
      </c>
      <c r="AA1181" s="30">
        <v>9.6400000000000027E-2</v>
      </c>
      <c r="AB1181" s="27">
        <v>0.09</v>
      </c>
      <c r="AC1181" s="27">
        <v>9.6999999999999989E-2</v>
      </c>
      <c r="AD1181" s="11">
        <v>9.5027434867998375E-2</v>
      </c>
    </row>
    <row r="1182" spans="1:30" x14ac:dyDescent="0.25">
      <c r="A1182" s="13">
        <v>45826</v>
      </c>
      <c r="B1182" s="46" t="s">
        <v>636</v>
      </c>
      <c r="C1182" s="13">
        <v>45826</v>
      </c>
      <c r="D1182" s="15" t="s">
        <v>1388</v>
      </c>
      <c r="E1182" s="15">
        <v>91</v>
      </c>
      <c r="F1182" s="15">
        <v>90</v>
      </c>
      <c r="G1182" s="13">
        <v>45917</v>
      </c>
      <c r="H1182" s="19">
        <v>10000</v>
      </c>
      <c r="I1182" s="19">
        <v>14791.89</v>
      </c>
      <c r="J1182" s="20">
        <v>1.4791889999999996</v>
      </c>
      <c r="K1182" s="19">
        <v>11491.89</v>
      </c>
      <c r="L1182" s="20">
        <v>1.149189</v>
      </c>
      <c r="M1182" s="21">
        <v>0</v>
      </c>
      <c r="N1182" s="19">
        <v>0</v>
      </c>
      <c r="O1182" s="23">
        <v>2000</v>
      </c>
      <c r="P1182" s="24">
        <v>1322.31</v>
      </c>
      <c r="Q1182" s="25">
        <v>0.66115499999999994</v>
      </c>
      <c r="R1182" s="24">
        <v>1322.31</v>
      </c>
      <c r="S1182" s="25">
        <v>0.66115499999999994</v>
      </c>
      <c r="T1182" s="25">
        <v>0</v>
      </c>
      <c r="U1182" s="24">
        <v>0</v>
      </c>
      <c r="V1182" s="19">
        <v>12000</v>
      </c>
      <c r="W1182" s="19">
        <v>16114.199999999999</v>
      </c>
      <c r="X1182" s="21">
        <v>1.3428499999999999</v>
      </c>
      <c r="Y1182" s="19">
        <v>12814.199999999999</v>
      </c>
      <c r="Z1182" s="20">
        <v>1.06785</v>
      </c>
      <c r="AA1182" s="30">
        <v>9.6499999999999878E-2</v>
      </c>
      <c r="AB1182" s="27">
        <v>8.5000000000000006E-2</v>
      </c>
      <c r="AC1182" s="27">
        <v>9.849999999999999E-2</v>
      </c>
      <c r="AD1182" s="11">
        <v>9.5503195737664331E-2</v>
      </c>
    </row>
    <row r="1183" spans="1:30" x14ac:dyDescent="0.25">
      <c r="A1183" s="13">
        <v>45828</v>
      </c>
      <c r="B1183" s="46" t="s">
        <v>636</v>
      </c>
      <c r="C1183" s="13">
        <v>45828</v>
      </c>
      <c r="D1183" s="15" t="s">
        <v>1390</v>
      </c>
      <c r="E1183" s="15">
        <v>182</v>
      </c>
      <c r="F1183" s="15">
        <v>180</v>
      </c>
      <c r="G1183" s="13">
        <v>46010</v>
      </c>
      <c r="H1183" s="19">
        <v>7500</v>
      </c>
      <c r="I1183" s="19">
        <v>17637.509999999998</v>
      </c>
      <c r="J1183" s="20">
        <v>2.3516680000000001</v>
      </c>
      <c r="K1183" s="19">
        <v>11387.51</v>
      </c>
      <c r="L1183" s="20">
        <v>1.5183346666666666</v>
      </c>
      <c r="M1183" s="21">
        <v>0</v>
      </c>
      <c r="N1183" s="19">
        <v>0</v>
      </c>
      <c r="O1183" s="23">
        <v>1500</v>
      </c>
      <c r="P1183" s="24">
        <v>1300</v>
      </c>
      <c r="Q1183" s="25">
        <v>0.8666666666666667</v>
      </c>
      <c r="R1183" s="24">
        <v>1300</v>
      </c>
      <c r="S1183" s="25">
        <v>0.8666666666666667</v>
      </c>
      <c r="T1183" s="25">
        <v>0</v>
      </c>
      <c r="U1183" s="24">
        <v>0</v>
      </c>
      <c r="V1183" s="19">
        <v>9000</v>
      </c>
      <c r="W1183" s="19">
        <v>18937.509999999998</v>
      </c>
      <c r="X1183" s="21">
        <v>2.1041677777777776</v>
      </c>
      <c r="Y1183" s="19">
        <v>12687.51</v>
      </c>
      <c r="Z1183" s="20">
        <v>1.4097233333333334</v>
      </c>
      <c r="AA1183" s="30">
        <v>9.6000000000000058E-2</v>
      </c>
      <c r="AB1183" s="27">
        <v>0.08</v>
      </c>
      <c r="AC1183" s="27">
        <v>9.8000000000000004E-2</v>
      </c>
      <c r="AD1183" s="11">
        <v>9.5251590899168903E-2</v>
      </c>
    </row>
    <row r="1184" spans="1:30" x14ac:dyDescent="0.25">
      <c r="A1184" s="13">
        <v>45831</v>
      </c>
      <c r="B1184" s="46" t="s">
        <v>636</v>
      </c>
      <c r="C1184" s="13">
        <v>45831</v>
      </c>
      <c r="D1184" s="15" t="s">
        <v>1391</v>
      </c>
      <c r="E1184" s="15">
        <v>35</v>
      </c>
      <c r="F1184" s="15">
        <v>30</v>
      </c>
      <c r="G1184" s="13">
        <v>45866</v>
      </c>
      <c r="H1184" s="19">
        <v>8400</v>
      </c>
      <c r="I1184" s="19">
        <v>6657.42</v>
      </c>
      <c r="J1184" s="20">
        <v>0.79254999999999998</v>
      </c>
      <c r="K1184" s="19">
        <v>6157.42</v>
      </c>
      <c r="L1184" s="20">
        <v>0.73302619047619044</v>
      </c>
      <c r="M1184" s="21">
        <v>0</v>
      </c>
      <c r="N1184" s="19">
        <v>0</v>
      </c>
      <c r="O1184" s="23">
        <v>1680</v>
      </c>
      <c r="P1184" s="24">
        <v>8.8000000000000007</v>
      </c>
      <c r="Q1184" s="25">
        <v>5.2380952380952387E-3</v>
      </c>
      <c r="R1184" s="24">
        <v>8.8000000000000007</v>
      </c>
      <c r="S1184" s="25">
        <v>5.2380952380952387E-3</v>
      </c>
      <c r="T1184" s="25">
        <v>0</v>
      </c>
      <c r="U1184" s="24">
        <v>0</v>
      </c>
      <c r="V1184" s="19">
        <v>10080</v>
      </c>
      <c r="W1184" s="19">
        <v>6666.22</v>
      </c>
      <c r="X1184" s="21">
        <v>0.66133134920634928</v>
      </c>
      <c r="Y1184" s="19">
        <v>6166.22</v>
      </c>
      <c r="Z1184" s="20">
        <v>0.61172817460317463</v>
      </c>
      <c r="AA1184" s="30">
        <v>9.6499999999999933E-2</v>
      </c>
      <c r="AB1184" s="27">
        <v>0.09</v>
      </c>
      <c r="AC1184" s="27">
        <v>9.69E-2</v>
      </c>
      <c r="AD1184" s="11">
        <v>9.5000839364198161E-2</v>
      </c>
    </row>
    <row r="1185" spans="1:30" x14ac:dyDescent="0.25">
      <c r="A1185" s="13">
        <v>45833</v>
      </c>
      <c r="B1185" s="46" t="s">
        <v>636</v>
      </c>
      <c r="C1185" s="13">
        <v>45833</v>
      </c>
      <c r="D1185" s="15" t="s">
        <v>1392</v>
      </c>
      <c r="E1185" s="15">
        <v>98</v>
      </c>
      <c r="F1185" s="15">
        <v>90</v>
      </c>
      <c r="G1185" s="13">
        <v>45931</v>
      </c>
      <c r="H1185" s="19">
        <v>6600</v>
      </c>
      <c r="I1185" s="19">
        <v>10622.089999999998</v>
      </c>
      <c r="J1185" s="20">
        <v>1.6094075757575754</v>
      </c>
      <c r="K1185" s="19">
        <v>7772.09</v>
      </c>
      <c r="L1185" s="20">
        <v>1.177589393939394</v>
      </c>
      <c r="M1185" s="21">
        <v>0</v>
      </c>
      <c r="N1185" s="19">
        <v>0</v>
      </c>
      <c r="O1185" s="23">
        <v>1320</v>
      </c>
      <c r="P1185" s="24">
        <v>1500</v>
      </c>
      <c r="Q1185" s="25">
        <v>1.1363636363636362</v>
      </c>
      <c r="R1185" s="24">
        <v>1320</v>
      </c>
      <c r="S1185" s="25">
        <v>1</v>
      </c>
      <c r="T1185" s="25">
        <v>0.88</v>
      </c>
      <c r="U1185" s="24">
        <v>0</v>
      </c>
      <c r="V1185" s="19">
        <v>7920</v>
      </c>
      <c r="W1185" s="19">
        <v>12122.089999999998</v>
      </c>
      <c r="X1185" s="21">
        <v>1.5305669191919189</v>
      </c>
      <c r="Y1185" s="19">
        <v>9092.09</v>
      </c>
      <c r="Z1185" s="20">
        <v>1.1479911616161615</v>
      </c>
      <c r="AA1185" s="30">
        <v>9.5899999999999999E-2</v>
      </c>
      <c r="AB1185" s="27">
        <v>0.09</v>
      </c>
      <c r="AC1185" s="27">
        <v>9.74E-2</v>
      </c>
      <c r="AD1185" s="11">
        <v>9.5380016173841509E-2</v>
      </c>
    </row>
    <row r="1186" spans="1:30" x14ac:dyDescent="0.25">
      <c r="A1186" s="13">
        <v>45834</v>
      </c>
      <c r="B1186" s="46" t="s">
        <v>636</v>
      </c>
      <c r="C1186" s="13">
        <v>45835</v>
      </c>
      <c r="D1186" s="15" t="s">
        <v>1393</v>
      </c>
      <c r="E1186" s="15">
        <v>364</v>
      </c>
      <c r="F1186" s="15">
        <v>360</v>
      </c>
      <c r="G1186" s="13">
        <v>46199</v>
      </c>
      <c r="H1186" s="19">
        <v>8400</v>
      </c>
      <c r="I1186" s="19">
        <v>24117.68</v>
      </c>
      <c r="J1186" s="20">
        <v>2.8711523809523785</v>
      </c>
      <c r="K1186" s="19">
        <v>8042.92</v>
      </c>
      <c r="L1186" s="20">
        <v>0.95749047619047623</v>
      </c>
      <c r="M1186" s="21">
        <v>0</v>
      </c>
      <c r="N1186" s="19">
        <v>0</v>
      </c>
      <c r="O1186" s="23">
        <v>1680</v>
      </c>
      <c r="P1186" s="24">
        <v>2173</v>
      </c>
      <c r="Q1186" s="25">
        <v>1.293452380952381</v>
      </c>
      <c r="R1186" s="24">
        <v>1608.5839999999998</v>
      </c>
      <c r="S1186" s="25">
        <v>0.95749047619047611</v>
      </c>
      <c r="T1186" s="25">
        <v>0.7402595833333333</v>
      </c>
      <c r="U1186" s="24">
        <v>0</v>
      </c>
      <c r="V1186" s="19">
        <v>10080</v>
      </c>
      <c r="W1186" s="19">
        <v>26290.68</v>
      </c>
      <c r="X1186" s="21">
        <v>2.6082023809523811</v>
      </c>
      <c r="Y1186" s="19">
        <v>9651.5040000000008</v>
      </c>
      <c r="Z1186" s="20">
        <v>0.95749047619047623</v>
      </c>
      <c r="AA1186" s="30">
        <v>9.3099999999999933E-2</v>
      </c>
      <c r="AB1186" s="27">
        <v>0.08</v>
      </c>
      <c r="AC1186" s="27">
        <v>9.74E-2</v>
      </c>
      <c r="AD1186" s="11">
        <v>9.3294595748844814E-2</v>
      </c>
    </row>
    <row r="1187" spans="1:30" x14ac:dyDescent="0.25">
      <c r="A1187" s="13">
        <v>45838</v>
      </c>
      <c r="B1187" s="46" t="s">
        <v>636</v>
      </c>
      <c r="C1187" s="13">
        <v>45838</v>
      </c>
      <c r="D1187" s="15" t="s">
        <v>1394</v>
      </c>
      <c r="E1187" s="15">
        <v>35</v>
      </c>
      <c r="F1187" s="15">
        <v>30</v>
      </c>
      <c r="G1187" s="13">
        <v>45873</v>
      </c>
      <c r="H1187" s="19">
        <v>5800</v>
      </c>
      <c r="I1187" s="19">
        <v>6123.58</v>
      </c>
      <c r="J1187" s="20">
        <v>1.055789655172414</v>
      </c>
      <c r="K1187" s="19">
        <v>5323.579999999999</v>
      </c>
      <c r="L1187" s="20">
        <v>0.91785862068965496</v>
      </c>
      <c r="M1187" s="21">
        <v>0</v>
      </c>
      <c r="N1187" s="19">
        <v>0</v>
      </c>
      <c r="O1187" s="23">
        <v>1160</v>
      </c>
      <c r="P1187" s="24">
        <v>28.05</v>
      </c>
      <c r="Q1187" s="25">
        <v>2.4181034482758622E-2</v>
      </c>
      <c r="R1187" s="24">
        <v>28.05</v>
      </c>
      <c r="S1187" s="25">
        <v>2.4181034482758622E-2</v>
      </c>
      <c r="T1187" s="25">
        <v>0</v>
      </c>
      <c r="U1187" s="24">
        <v>0</v>
      </c>
      <c r="V1187" s="19">
        <v>6960</v>
      </c>
      <c r="W1187" s="19">
        <v>6151.63</v>
      </c>
      <c r="X1187" s="21">
        <v>0.88385488505747123</v>
      </c>
      <c r="Y1187" s="19">
        <v>5351.6299999999992</v>
      </c>
      <c r="Z1187" s="20">
        <v>0.76891235632183896</v>
      </c>
      <c r="AA1187" s="30">
        <v>9.6499999999999905E-2</v>
      </c>
      <c r="AB1187" s="27">
        <v>8.5000000000000006E-2</v>
      </c>
      <c r="AC1187" s="27">
        <v>9.7799999999999998E-2</v>
      </c>
      <c r="AD1187" s="11">
        <v>9.3832689537819328E-2</v>
      </c>
    </row>
    <row r="1188" spans="1:30" x14ac:dyDescent="0.25">
      <c r="A1188" s="13">
        <v>45840</v>
      </c>
      <c r="B1188" s="46" t="s">
        <v>636</v>
      </c>
      <c r="C1188" s="13">
        <v>45840</v>
      </c>
      <c r="D1188" s="15" t="s">
        <v>1395</v>
      </c>
      <c r="E1188" s="15">
        <v>98</v>
      </c>
      <c r="F1188" s="15">
        <v>90</v>
      </c>
      <c r="G1188" s="13">
        <v>45938</v>
      </c>
      <c r="H1188" s="19">
        <v>7500</v>
      </c>
      <c r="I1188" s="19">
        <v>12720.989999999998</v>
      </c>
      <c r="J1188" s="20">
        <v>1.6961319999999998</v>
      </c>
      <c r="K1188" s="19">
        <v>7720.9900000000007</v>
      </c>
      <c r="L1188" s="20">
        <v>1.0294653333333335</v>
      </c>
      <c r="M1188" s="21">
        <v>0</v>
      </c>
      <c r="N1188" s="19">
        <v>0</v>
      </c>
      <c r="O1188" s="23">
        <v>1500</v>
      </c>
      <c r="P1188" s="24">
        <v>1950</v>
      </c>
      <c r="Q1188" s="25">
        <v>1.3</v>
      </c>
      <c r="R1188" s="24">
        <v>1500</v>
      </c>
      <c r="S1188" s="25">
        <v>1</v>
      </c>
      <c r="T1188" s="25">
        <v>0.76923079999999999</v>
      </c>
      <c r="U1188" s="24">
        <v>0</v>
      </c>
      <c r="V1188" s="19">
        <v>9000</v>
      </c>
      <c r="W1188" s="19">
        <v>14670.989999999998</v>
      </c>
      <c r="X1188" s="21">
        <v>1.6301099999999997</v>
      </c>
      <c r="Y1188" s="19">
        <v>9220.9900000000016</v>
      </c>
      <c r="Z1188" s="20">
        <v>1.0245544444444445</v>
      </c>
      <c r="AA1188" s="30">
        <v>9.5100000000000101E-2</v>
      </c>
      <c r="AB1188" s="27">
        <v>8.8000000000000009E-2</v>
      </c>
      <c r="AC1188" s="27">
        <v>9.7799999999999998E-2</v>
      </c>
      <c r="AD1188" s="11">
        <v>9.4084722494082673E-2</v>
      </c>
    </row>
    <row r="1189" spans="1:30" x14ac:dyDescent="0.25">
      <c r="A1189" s="13">
        <v>45842</v>
      </c>
      <c r="B1189" s="46" t="s">
        <v>636</v>
      </c>
      <c r="C1189" s="13">
        <v>45842</v>
      </c>
      <c r="D1189" s="15" t="s">
        <v>1396</v>
      </c>
      <c r="E1189" s="15">
        <v>168</v>
      </c>
      <c r="F1189" s="15">
        <v>180</v>
      </c>
      <c r="G1189" s="13">
        <v>46010</v>
      </c>
      <c r="H1189" s="19">
        <v>4200</v>
      </c>
      <c r="I1189" s="19">
        <v>15709.419999999993</v>
      </c>
      <c r="J1189" s="20">
        <v>3.7403380952380938</v>
      </c>
      <c r="K1189" s="19">
        <v>4305.7800000000007</v>
      </c>
      <c r="L1189" s="20">
        <v>1.0251857142857144</v>
      </c>
      <c r="M1189" s="21">
        <v>0</v>
      </c>
      <c r="N1189" s="19">
        <v>0</v>
      </c>
      <c r="O1189" s="23">
        <v>840</v>
      </c>
      <c r="P1189" s="24">
        <v>1210</v>
      </c>
      <c r="Q1189" s="25">
        <v>1.4404761904761905</v>
      </c>
      <c r="R1189" s="24">
        <v>840</v>
      </c>
      <c r="S1189" s="25">
        <v>1</v>
      </c>
      <c r="T1189" s="25">
        <v>0.69421500000000003</v>
      </c>
      <c r="U1189" s="24">
        <v>0</v>
      </c>
      <c r="V1189" s="19">
        <v>5040</v>
      </c>
      <c r="W1189" s="19">
        <v>16919.419999999991</v>
      </c>
      <c r="X1189" s="21">
        <v>3.3570277777777759</v>
      </c>
      <c r="Y1189" s="19">
        <v>5145.7800000000007</v>
      </c>
      <c r="Z1189" s="20">
        <v>1.0209880952380954</v>
      </c>
      <c r="AA1189" s="30">
        <v>8.9999999999999927E-2</v>
      </c>
      <c r="AB1189" s="27">
        <v>0.08</v>
      </c>
      <c r="AC1189" s="27">
        <v>9.64E-2</v>
      </c>
      <c r="AD1189" s="11">
        <v>9.1701152238593223E-2</v>
      </c>
    </row>
    <row r="1190" spans="1:30" x14ac:dyDescent="0.25">
      <c r="A1190" s="13">
        <v>45845</v>
      </c>
      <c r="B1190" s="46" t="s">
        <v>636</v>
      </c>
      <c r="C1190" s="13">
        <v>45845</v>
      </c>
      <c r="D1190" s="15" t="s">
        <v>1397</v>
      </c>
      <c r="E1190" s="15">
        <v>28</v>
      </c>
      <c r="F1190" s="15">
        <v>30</v>
      </c>
      <c r="G1190" s="13">
        <v>45873</v>
      </c>
      <c r="H1190" s="19">
        <v>6600</v>
      </c>
      <c r="I1190" s="19">
        <v>13140.050000000003</v>
      </c>
      <c r="J1190" s="20">
        <v>1.9909166666666658</v>
      </c>
      <c r="K1190" s="19">
        <v>6626.81</v>
      </c>
      <c r="L1190" s="20">
        <v>1.0040621212121212</v>
      </c>
      <c r="M1190" s="21">
        <v>0</v>
      </c>
      <c r="N1190" s="19">
        <v>0</v>
      </c>
      <c r="O1190" s="23">
        <v>1320</v>
      </c>
      <c r="P1190" s="24">
        <v>1371.1</v>
      </c>
      <c r="Q1190" s="25">
        <v>1.0387121212121211</v>
      </c>
      <c r="R1190" s="24">
        <v>1320</v>
      </c>
      <c r="S1190" s="25">
        <v>1</v>
      </c>
      <c r="T1190" s="25">
        <v>0.96273068181818178</v>
      </c>
      <c r="U1190" s="24">
        <v>0</v>
      </c>
      <c r="V1190" s="19">
        <v>7920</v>
      </c>
      <c r="W1190" s="19">
        <v>14511.150000000003</v>
      </c>
      <c r="X1190" s="21">
        <v>1.8322159090909096</v>
      </c>
      <c r="Y1190" s="19">
        <v>7946.81</v>
      </c>
      <c r="Z1190" s="20">
        <v>1.0033851010101011</v>
      </c>
      <c r="AA1190" s="30">
        <v>9.1999999999999957E-2</v>
      </c>
      <c r="AB1190" s="27">
        <v>7.0000000000000007E-2</v>
      </c>
      <c r="AC1190" s="27">
        <v>9.7500000000000003E-2</v>
      </c>
      <c r="AD1190" s="11">
        <v>9.0824712234732749E-2</v>
      </c>
    </row>
    <row r="1191" spans="1:30" x14ac:dyDescent="0.25">
      <c r="A1191" s="13">
        <v>45847</v>
      </c>
      <c r="B1191" s="46" t="s">
        <v>636</v>
      </c>
      <c r="C1191" s="13">
        <v>45847</v>
      </c>
      <c r="D1191" s="15" t="s">
        <v>1398</v>
      </c>
      <c r="E1191" s="15">
        <v>91</v>
      </c>
      <c r="F1191" s="15">
        <v>90</v>
      </c>
      <c r="G1191" s="13">
        <v>45938</v>
      </c>
      <c r="H1191" s="19">
        <v>5800</v>
      </c>
      <c r="I1191" s="19">
        <v>13518.77</v>
      </c>
      <c r="J1191" s="20">
        <v>2.3308224137931033</v>
      </c>
      <c r="K1191" s="19">
        <v>5818.77</v>
      </c>
      <c r="L1191" s="20">
        <v>1.0032362068965519</v>
      </c>
      <c r="M1191" s="21">
        <v>0</v>
      </c>
      <c r="N1191" s="19">
        <v>0</v>
      </c>
      <c r="O1191" s="23">
        <v>1160</v>
      </c>
      <c r="P1191" s="24">
        <v>1146.53</v>
      </c>
      <c r="Q1191" s="25">
        <v>0.98838793103448286</v>
      </c>
      <c r="R1191" s="24">
        <v>1146.53</v>
      </c>
      <c r="S1191" s="25">
        <v>0.98838793103448275</v>
      </c>
      <c r="T1191" s="25">
        <v>0</v>
      </c>
      <c r="U1191" s="24">
        <v>0</v>
      </c>
      <c r="V1191" s="19">
        <v>6960</v>
      </c>
      <c r="W1191" s="19">
        <v>14665.300000000001</v>
      </c>
      <c r="X1191" s="21">
        <v>2.1070833333333336</v>
      </c>
      <c r="Y1191" s="19">
        <v>6965.3</v>
      </c>
      <c r="Z1191" s="20">
        <v>1.0007614942528735</v>
      </c>
      <c r="AA1191" s="30">
        <v>9.090000000000012E-2</v>
      </c>
      <c r="AB1191" s="27">
        <v>8.2500000000000004E-2</v>
      </c>
      <c r="AC1191" s="27">
        <v>9.6999999999999989E-2</v>
      </c>
      <c r="AD1191" s="11">
        <v>9.1099604475850998E-2</v>
      </c>
    </row>
    <row r="1192" spans="1:30" x14ac:dyDescent="0.25">
      <c r="A1192" s="13">
        <v>45848</v>
      </c>
      <c r="B1192" s="46" t="s">
        <v>636</v>
      </c>
      <c r="C1192" s="13">
        <v>45849</v>
      </c>
      <c r="D1192" s="15" t="s">
        <v>1399</v>
      </c>
      <c r="E1192" s="15">
        <v>350</v>
      </c>
      <c r="F1192" s="15">
        <v>360</v>
      </c>
      <c r="G1192" s="13">
        <v>46199</v>
      </c>
      <c r="H1192" s="19">
        <v>5000</v>
      </c>
      <c r="I1192" s="19">
        <v>19038.32</v>
      </c>
      <c r="J1192" s="20">
        <v>3.8076640000000008</v>
      </c>
      <c r="K1192" s="19">
        <v>5170.37</v>
      </c>
      <c r="L1192" s="20">
        <v>1.0340739999999999</v>
      </c>
      <c r="M1192" s="21">
        <v>0</v>
      </c>
      <c r="N1192" s="19">
        <v>0</v>
      </c>
      <c r="O1192" s="23">
        <v>1000</v>
      </c>
      <c r="P1192" s="24">
        <v>1323</v>
      </c>
      <c r="Q1192" s="25">
        <v>1.323</v>
      </c>
      <c r="R1192" s="24">
        <v>1000</v>
      </c>
      <c r="S1192" s="25">
        <v>1</v>
      </c>
      <c r="T1192" s="25">
        <v>0.75585799999999992</v>
      </c>
      <c r="U1192" s="24">
        <v>0</v>
      </c>
      <c r="V1192" s="19">
        <v>6000</v>
      </c>
      <c r="W1192" s="19">
        <v>20361.32</v>
      </c>
      <c r="X1192" s="21">
        <v>3.3935533333333332</v>
      </c>
      <c r="Y1192" s="19">
        <v>6170.37</v>
      </c>
      <c r="Z1192" s="20">
        <v>1.0283949999999999</v>
      </c>
      <c r="AA1192" s="30">
        <v>8.5899999999999879E-2</v>
      </c>
      <c r="AB1192" s="27">
        <v>7.4999999999999997E-2</v>
      </c>
      <c r="AC1192" s="27">
        <v>9.7699999999999995E-2</v>
      </c>
      <c r="AD1192" s="11">
        <v>8.826155180709222E-2</v>
      </c>
    </row>
    <row r="1193" spans="1:30" x14ac:dyDescent="0.25">
      <c r="A1193" s="13">
        <v>45852</v>
      </c>
      <c r="B1193" s="46" t="s">
        <v>636</v>
      </c>
      <c r="C1193" s="13">
        <v>45852</v>
      </c>
      <c r="D1193" s="15" t="s">
        <v>1400</v>
      </c>
      <c r="E1193" s="15">
        <v>28</v>
      </c>
      <c r="F1193" s="15">
        <v>30</v>
      </c>
      <c r="G1193" s="13">
        <v>45880</v>
      </c>
      <c r="H1193" s="19">
        <v>6600</v>
      </c>
      <c r="I1193" s="19">
        <v>15169.38</v>
      </c>
      <c r="J1193" s="20">
        <v>2.2983909090909087</v>
      </c>
      <c r="K1193" s="19">
        <v>9269.380000000001</v>
      </c>
      <c r="L1193" s="20">
        <v>1.4044515151515153</v>
      </c>
      <c r="M1193" s="21">
        <v>0</v>
      </c>
      <c r="N1193" s="19">
        <v>0</v>
      </c>
      <c r="O1193" s="23">
        <v>1320</v>
      </c>
      <c r="P1193" s="24">
        <v>1368.9</v>
      </c>
      <c r="Q1193" s="25">
        <v>1.0370454545454546</v>
      </c>
      <c r="R1193" s="24">
        <v>1320</v>
      </c>
      <c r="S1193" s="25">
        <v>1</v>
      </c>
      <c r="T1193" s="25">
        <v>0.96428205128205124</v>
      </c>
      <c r="U1193" s="24">
        <v>0</v>
      </c>
      <c r="V1193" s="19">
        <v>7920</v>
      </c>
      <c r="W1193" s="19">
        <v>16538.28</v>
      </c>
      <c r="X1193" s="21">
        <v>2.0881666666666665</v>
      </c>
      <c r="Y1193" s="19">
        <v>10589.380000000001</v>
      </c>
      <c r="Z1193" s="20">
        <v>1.3370429292929293</v>
      </c>
      <c r="AA1193" s="30">
        <v>8.9999999999999927E-2</v>
      </c>
      <c r="AB1193" s="27">
        <v>7.5999999999999998E-2</v>
      </c>
      <c r="AC1193" s="27">
        <v>9.6699999999999994E-2</v>
      </c>
      <c r="AD1193" s="11">
        <v>8.893735043884457E-2</v>
      </c>
    </row>
    <row r="1194" spans="1:30" x14ac:dyDescent="0.25">
      <c r="A1194" s="13">
        <v>45854</v>
      </c>
      <c r="B1194" s="46" t="s">
        <v>636</v>
      </c>
      <c r="C1194" s="13">
        <v>45854</v>
      </c>
      <c r="D1194" s="15" t="s">
        <v>1401</v>
      </c>
      <c r="E1194" s="15">
        <v>91</v>
      </c>
      <c r="F1194" s="15">
        <v>90</v>
      </c>
      <c r="G1194" s="13">
        <v>45945</v>
      </c>
      <c r="H1194" s="19">
        <v>6600</v>
      </c>
      <c r="I1194" s="19">
        <v>14105.069999999998</v>
      </c>
      <c r="J1194" s="20">
        <v>2.1371318181818166</v>
      </c>
      <c r="K1194" s="19">
        <v>7153.1800000000012</v>
      </c>
      <c r="L1194" s="20">
        <v>1.0838151515151517</v>
      </c>
      <c r="M1194" s="21">
        <v>0</v>
      </c>
      <c r="N1194" s="19">
        <v>0</v>
      </c>
      <c r="O1194" s="23">
        <v>1320</v>
      </c>
      <c r="P1194" s="24">
        <v>1720</v>
      </c>
      <c r="Q1194" s="25">
        <v>1.303030303030303</v>
      </c>
      <c r="R1194" s="24">
        <v>1320</v>
      </c>
      <c r="S1194" s="25">
        <v>1</v>
      </c>
      <c r="T1194" s="25">
        <v>0.76744200000000007</v>
      </c>
      <c r="U1194" s="24">
        <v>0</v>
      </c>
      <c r="V1194" s="19">
        <v>7920</v>
      </c>
      <c r="W1194" s="19">
        <v>15825.069999999998</v>
      </c>
      <c r="X1194" s="21">
        <v>1.9981148989898987</v>
      </c>
      <c r="Y1194" s="19">
        <v>8473.18</v>
      </c>
      <c r="Z1194" s="20">
        <v>1.0698459595959597</v>
      </c>
      <c r="AA1194" s="30">
        <v>8.6000000000000063E-2</v>
      </c>
      <c r="AB1194" s="27">
        <v>7.4999999999999997E-2</v>
      </c>
      <c r="AC1194" s="27">
        <v>9.5600000000000004E-2</v>
      </c>
      <c r="AD1194" s="11">
        <v>8.5974076980830372E-2</v>
      </c>
    </row>
    <row r="1195" spans="1:30" x14ac:dyDescent="0.25">
      <c r="A1195" s="13">
        <v>45855</v>
      </c>
      <c r="B1195" s="46" t="s">
        <v>636</v>
      </c>
      <c r="C1195" s="13">
        <v>45855</v>
      </c>
      <c r="D1195" s="15" t="s">
        <v>1402</v>
      </c>
      <c r="E1195" s="15">
        <v>183</v>
      </c>
      <c r="F1195" s="15">
        <v>180</v>
      </c>
      <c r="G1195" s="13">
        <v>46038</v>
      </c>
      <c r="H1195" s="19">
        <v>5000</v>
      </c>
      <c r="I1195" s="19">
        <v>11903.66</v>
      </c>
      <c r="J1195" s="20">
        <v>2.3807320000000018</v>
      </c>
      <c r="K1195" s="19">
        <v>5005.4399999999996</v>
      </c>
      <c r="L1195" s="20">
        <v>1.001088</v>
      </c>
      <c r="M1195" s="21">
        <v>0</v>
      </c>
      <c r="N1195" s="19">
        <v>0</v>
      </c>
      <c r="O1195" s="23">
        <v>1000</v>
      </c>
      <c r="P1195" s="24">
        <v>157</v>
      </c>
      <c r="Q1195" s="25">
        <v>0.157</v>
      </c>
      <c r="R1195" s="24">
        <v>157</v>
      </c>
      <c r="S1195" s="25">
        <v>0.157</v>
      </c>
      <c r="T1195" s="25">
        <v>0</v>
      </c>
      <c r="U1195" s="24">
        <v>0</v>
      </c>
      <c r="V1195" s="19">
        <v>6000</v>
      </c>
      <c r="W1195" s="19">
        <v>12060.66</v>
      </c>
      <c r="X1195" s="21">
        <v>2.0101100000000001</v>
      </c>
      <c r="Y1195" s="19">
        <v>5162.4399999999996</v>
      </c>
      <c r="Z1195" s="20">
        <v>0.86040666666666665</v>
      </c>
      <c r="AA1195" s="30">
        <v>8.199999999999992E-2</v>
      </c>
      <c r="AB1195" s="27">
        <v>4.41E-2</v>
      </c>
      <c r="AC1195" s="27">
        <v>9.5000000000000001E-2</v>
      </c>
      <c r="AD1195" s="11">
        <v>8.422812454320773E-2</v>
      </c>
    </row>
    <row r="1196" spans="1:30" x14ac:dyDescent="0.25">
      <c r="A1196" s="13">
        <v>45859</v>
      </c>
      <c r="B1196" s="46" t="s">
        <v>636</v>
      </c>
      <c r="C1196" s="13">
        <v>45859</v>
      </c>
      <c r="D1196" s="15" t="s">
        <v>1403</v>
      </c>
      <c r="E1196" s="15">
        <v>28</v>
      </c>
      <c r="F1196" s="15">
        <v>30</v>
      </c>
      <c r="G1196" s="13">
        <v>45887</v>
      </c>
      <c r="H1196" s="19">
        <v>6600</v>
      </c>
      <c r="I1196" s="19">
        <v>10663.460000000001</v>
      </c>
      <c r="J1196" s="20">
        <v>1.615675757575757</v>
      </c>
      <c r="K1196" s="19">
        <v>6600</v>
      </c>
      <c r="L1196" s="20">
        <v>1</v>
      </c>
      <c r="M1196" s="21">
        <v>0.44162149999999994</v>
      </c>
      <c r="N1196" s="19">
        <v>0</v>
      </c>
      <c r="O1196" s="23">
        <v>1320</v>
      </c>
      <c r="P1196" s="24">
        <v>2383.5699999999997</v>
      </c>
      <c r="Q1196" s="25">
        <v>1.8057348484848486</v>
      </c>
      <c r="R1196" s="24">
        <v>1320</v>
      </c>
      <c r="S1196" s="25">
        <v>1</v>
      </c>
      <c r="T1196" s="25">
        <v>0.55379199999999995</v>
      </c>
      <c r="U1196" s="24">
        <v>0</v>
      </c>
      <c r="V1196" s="19">
        <v>7920</v>
      </c>
      <c r="W1196" s="19">
        <v>13047.03</v>
      </c>
      <c r="X1196" s="21">
        <v>1.6473522727272729</v>
      </c>
      <c r="Y1196" s="19">
        <v>7920</v>
      </c>
      <c r="Z1196" s="20">
        <v>1</v>
      </c>
      <c r="AA1196" s="30">
        <v>8.9999999999999955E-2</v>
      </c>
      <c r="AB1196" s="27">
        <v>7.0000000000000007E-2</v>
      </c>
      <c r="AC1196" s="27">
        <v>9.5000000000000001E-2</v>
      </c>
      <c r="AD1196" s="11">
        <v>8.8115066873228773E-2</v>
      </c>
    </row>
    <row r="1197" spans="1:30" x14ac:dyDescent="0.25">
      <c r="A1197" s="13">
        <v>45861</v>
      </c>
      <c r="B1197" s="46" t="s">
        <v>636</v>
      </c>
      <c r="C1197" s="13">
        <v>45861</v>
      </c>
      <c r="D1197" s="15" t="s">
        <v>1404</v>
      </c>
      <c r="E1197" s="15">
        <v>84</v>
      </c>
      <c r="F1197" s="15">
        <v>90</v>
      </c>
      <c r="G1197" s="13">
        <v>45945</v>
      </c>
      <c r="H1197" s="19">
        <v>5000</v>
      </c>
      <c r="I1197" s="19">
        <v>7661.53</v>
      </c>
      <c r="J1197" s="20">
        <v>1.5323060000000002</v>
      </c>
      <c r="K1197" s="19">
        <v>5261.53</v>
      </c>
      <c r="L1197" s="20">
        <v>1.052306</v>
      </c>
      <c r="M1197" s="21">
        <v>0</v>
      </c>
      <c r="N1197" s="19">
        <v>0</v>
      </c>
      <c r="O1197" s="23">
        <v>1000</v>
      </c>
      <c r="P1197" s="24">
        <v>1000</v>
      </c>
      <c r="Q1197" s="25">
        <v>1</v>
      </c>
      <c r="R1197" s="24">
        <v>1000</v>
      </c>
      <c r="S1197" s="25">
        <v>1</v>
      </c>
      <c r="T1197" s="25">
        <v>0</v>
      </c>
      <c r="U1197" s="24">
        <v>0</v>
      </c>
      <c r="V1197" s="19">
        <v>6000</v>
      </c>
      <c r="W1197" s="19">
        <v>8661.5299999999988</v>
      </c>
      <c r="X1197" s="21">
        <v>1.443588333333333</v>
      </c>
      <c r="Y1197" s="19">
        <v>6261.53</v>
      </c>
      <c r="Z1197" s="20">
        <v>1.0435883333333333</v>
      </c>
      <c r="AA1197" s="30">
        <v>8.8999999999999982E-2</v>
      </c>
      <c r="AB1197" s="27">
        <v>7.4999999999999997E-2</v>
      </c>
      <c r="AC1197" s="27">
        <v>9.4600000000000004E-2</v>
      </c>
      <c r="AD1197" s="11">
        <v>8.6026853905159933E-2</v>
      </c>
    </row>
    <row r="1198" spans="1:30" x14ac:dyDescent="0.25">
      <c r="A1198" s="13">
        <v>45862</v>
      </c>
      <c r="B1198" s="46" t="s">
        <v>636</v>
      </c>
      <c r="C1198" s="13">
        <v>45863</v>
      </c>
      <c r="D1198" s="15" t="s">
        <v>1405</v>
      </c>
      <c r="E1198" s="15">
        <v>371</v>
      </c>
      <c r="F1198" s="15">
        <v>360</v>
      </c>
      <c r="G1198" s="13">
        <v>46234</v>
      </c>
      <c r="H1198" s="19">
        <v>6600</v>
      </c>
      <c r="I1198" s="19">
        <v>13438.030000000002</v>
      </c>
      <c r="J1198" s="20">
        <v>2.0360651515151509</v>
      </c>
      <c r="K1198" s="19">
        <v>6638.03</v>
      </c>
      <c r="L1198" s="20">
        <v>1.0057621212121213</v>
      </c>
      <c r="M1198" s="21">
        <v>0</v>
      </c>
      <c r="N1198" s="19">
        <v>0</v>
      </c>
      <c r="O1198" s="23">
        <v>1320</v>
      </c>
      <c r="P1198" s="24">
        <v>1342</v>
      </c>
      <c r="Q1198" s="25">
        <v>1.0166666666666666</v>
      </c>
      <c r="R1198" s="24">
        <v>1320</v>
      </c>
      <c r="S1198" s="25">
        <v>1</v>
      </c>
      <c r="T1198" s="25">
        <v>0.98360659090909086</v>
      </c>
      <c r="U1198" s="24">
        <v>0</v>
      </c>
      <c r="V1198" s="19">
        <v>7920</v>
      </c>
      <c r="W1198" s="19">
        <v>14780.030000000002</v>
      </c>
      <c r="X1198" s="21">
        <v>1.8661654040404043</v>
      </c>
      <c r="Y1198" s="19">
        <v>7958.03</v>
      </c>
      <c r="Z1198" s="20">
        <v>1.0048017676767675</v>
      </c>
      <c r="AA1198" s="30">
        <v>8.3700000000000094E-2</v>
      </c>
      <c r="AB1198" s="27">
        <v>7.0000000000000007E-2</v>
      </c>
      <c r="AC1198" s="27">
        <v>9.4499999999999987E-2</v>
      </c>
      <c r="AD1198" s="11">
        <v>8.3572644353376191E-2</v>
      </c>
    </row>
    <row r="1199" spans="1:30" x14ac:dyDescent="0.25">
      <c r="A1199" s="13">
        <v>45866</v>
      </c>
      <c r="B1199" s="46" t="s">
        <v>636</v>
      </c>
      <c r="C1199" s="13">
        <v>45866</v>
      </c>
      <c r="D1199" s="15" t="s">
        <v>1410</v>
      </c>
      <c r="E1199" s="15">
        <v>35</v>
      </c>
      <c r="F1199" s="15">
        <v>30</v>
      </c>
      <c r="G1199" s="13">
        <v>45901</v>
      </c>
      <c r="H1199" s="19">
        <v>6200</v>
      </c>
      <c r="I1199" s="19">
        <v>8192.2200000000012</v>
      </c>
      <c r="J1199" s="20">
        <v>1.3213258064516127</v>
      </c>
      <c r="K1199" s="19">
        <v>6242.22</v>
      </c>
      <c r="L1199" s="20">
        <v>1.0068096774193549</v>
      </c>
      <c r="M1199" s="21">
        <v>0</v>
      </c>
      <c r="N1199" s="19">
        <v>0</v>
      </c>
      <c r="O1199" s="23">
        <v>1240</v>
      </c>
      <c r="P1199" s="24">
        <v>21</v>
      </c>
      <c r="Q1199" s="25">
        <v>1.693548387096774E-2</v>
      </c>
      <c r="R1199" s="24">
        <v>21</v>
      </c>
      <c r="S1199" s="25">
        <v>1.6935483870967744E-2</v>
      </c>
      <c r="T1199" s="25">
        <v>0</v>
      </c>
      <c r="U1199" s="24">
        <v>0</v>
      </c>
      <c r="V1199" s="19">
        <v>7440</v>
      </c>
      <c r="W1199" s="19">
        <v>8213.2200000000012</v>
      </c>
      <c r="X1199" s="21">
        <v>1.103927419354839</v>
      </c>
      <c r="Y1199" s="19">
        <v>6263.22</v>
      </c>
      <c r="Z1199" s="20">
        <v>0.84183064516129036</v>
      </c>
      <c r="AA1199" s="30">
        <v>9.0500000000000011E-2</v>
      </c>
      <c r="AB1199" s="27">
        <v>7.0000000000000007E-2</v>
      </c>
      <c r="AC1199" s="27">
        <v>9.2300000000000007E-2</v>
      </c>
      <c r="AD1199" s="11">
        <v>8.8829223336287344E-2</v>
      </c>
    </row>
    <row r="1200" spans="1:30" x14ac:dyDescent="0.25">
      <c r="A1200" s="13">
        <v>45868</v>
      </c>
      <c r="B1200" s="46" t="s">
        <v>636</v>
      </c>
      <c r="C1200" s="13">
        <v>45868</v>
      </c>
      <c r="D1200" s="15" t="s">
        <v>1411</v>
      </c>
      <c r="E1200" s="15">
        <v>98</v>
      </c>
      <c r="F1200" s="15">
        <v>90</v>
      </c>
      <c r="G1200" s="13">
        <v>45966</v>
      </c>
      <c r="H1200" s="19">
        <v>6200</v>
      </c>
      <c r="I1200" s="19">
        <v>11209.570000000002</v>
      </c>
      <c r="J1200" s="20">
        <v>1.8079951612903222</v>
      </c>
      <c r="K1200" s="19">
        <v>6799.57</v>
      </c>
      <c r="L1200" s="20">
        <v>1.0967048387096774</v>
      </c>
      <c r="M1200" s="21">
        <v>0</v>
      </c>
      <c r="N1200" s="19">
        <v>0</v>
      </c>
      <c r="O1200" s="23">
        <v>1240</v>
      </c>
      <c r="P1200" s="24">
        <v>2.5499999999999998</v>
      </c>
      <c r="Q1200" s="25">
        <v>2.0564516129032255E-3</v>
      </c>
      <c r="R1200" s="24">
        <v>2.5499999999999998</v>
      </c>
      <c r="S1200" s="25">
        <v>2.0564516129032255E-3</v>
      </c>
      <c r="T1200" s="25">
        <v>0</v>
      </c>
      <c r="U1200" s="24">
        <v>0</v>
      </c>
      <c r="V1200" s="19">
        <v>7440</v>
      </c>
      <c r="W1200" s="19">
        <v>11212.12</v>
      </c>
      <c r="X1200" s="21">
        <v>1.507005376344086</v>
      </c>
      <c r="Y1200" s="19">
        <v>6802.12</v>
      </c>
      <c r="Z1200" s="20">
        <v>0.91426344086021505</v>
      </c>
      <c r="AA1200" s="30">
        <v>8.840000000000002E-2</v>
      </c>
      <c r="AB1200" s="27">
        <v>7.9000000000000001E-2</v>
      </c>
      <c r="AC1200" s="27">
        <v>9.2300000000000007E-2</v>
      </c>
      <c r="AD1200" s="11">
        <v>8.7138342059508087E-2</v>
      </c>
    </row>
    <row r="1201" spans="1:30" x14ac:dyDescent="0.25">
      <c r="A1201" s="13">
        <v>45870</v>
      </c>
      <c r="B1201" s="46" t="s">
        <v>636</v>
      </c>
      <c r="C1201" s="13">
        <v>45870</v>
      </c>
      <c r="D1201" s="15" t="s">
        <v>1415</v>
      </c>
      <c r="E1201" s="15">
        <v>168</v>
      </c>
      <c r="F1201" s="15">
        <v>180</v>
      </c>
      <c r="G1201" s="13">
        <v>46038</v>
      </c>
      <c r="H1201" s="19">
        <v>6200</v>
      </c>
      <c r="I1201" s="19">
        <v>10674.19</v>
      </c>
      <c r="J1201" s="20">
        <v>1.7216435483870973</v>
      </c>
      <c r="K1201" s="19">
        <v>6246.1900000000005</v>
      </c>
      <c r="L1201" s="20">
        <v>1.0074500000000002</v>
      </c>
      <c r="M1201" s="21">
        <v>0</v>
      </c>
      <c r="N1201" s="19">
        <v>0</v>
      </c>
      <c r="O1201" s="23">
        <v>1240</v>
      </c>
      <c r="P1201" s="24">
        <v>1715.2</v>
      </c>
      <c r="Q1201" s="25">
        <v>1.383225806451613</v>
      </c>
      <c r="R1201" s="24">
        <v>1240</v>
      </c>
      <c r="S1201" s="25">
        <v>1</v>
      </c>
      <c r="T1201" s="25">
        <v>0.72299999999999998</v>
      </c>
      <c r="U1201" s="24">
        <v>0</v>
      </c>
      <c r="V1201" s="19">
        <v>7440</v>
      </c>
      <c r="W1201" s="19">
        <v>12389.390000000001</v>
      </c>
      <c r="X1201" s="21">
        <v>1.6652405913978496</v>
      </c>
      <c r="Y1201" s="19">
        <v>7486.1900000000005</v>
      </c>
      <c r="Z1201" s="20">
        <v>1.0062083333333334</v>
      </c>
      <c r="AA1201" s="30">
        <v>8.5399999999999948E-2</v>
      </c>
      <c r="AB1201" s="27">
        <v>7.0000000000000007E-2</v>
      </c>
      <c r="AC1201" s="27">
        <v>9.2300000000000007E-2</v>
      </c>
      <c r="AD1201" s="11">
        <v>8.366266601962305E-2</v>
      </c>
    </row>
    <row r="1202" spans="1:30" x14ac:dyDescent="0.25">
      <c r="A1202" s="13">
        <v>45873</v>
      </c>
      <c r="B1202" s="46" t="s">
        <v>636</v>
      </c>
      <c r="C1202" s="13">
        <v>45873</v>
      </c>
      <c r="D1202" s="15" t="s">
        <v>1416</v>
      </c>
      <c r="E1202" s="15">
        <v>35</v>
      </c>
      <c r="F1202" s="15">
        <v>30</v>
      </c>
      <c r="G1202" s="13">
        <v>45908</v>
      </c>
      <c r="H1202" s="19">
        <v>8300</v>
      </c>
      <c r="I1202" s="19">
        <v>13471.810000000001</v>
      </c>
      <c r="J1202" s="20">
        <v>1.6231096385542165</v>
      </c>
      <c r="K1202" s="19">
        <v>8356.8100000000013</v>
      </c>
      <c r="L1202" s="20">
        <v>1.0068445783132531</v>
      </c>
      <c r="M1202" s="21">
        <v>0</v>
      </c>
      <c r="N1202" s="19">
        <v>0</v>
      </c>
      <c r="O1202" s="23">
        <v>1660</v>
      </c>
      <c r="P1202" s="24">
        <v>1747.15</v>
      </c>
      <c r="Q1202" s="25">
        <v>1.0525</v>
      </c>
      <c r="R1202" s="24">
        <v>1660</v>
      </c>
      <c r="S1202" s="25">
        <v>1</v>
      </c>
      <c r="T1202" s="25">
        <v>0.95011879518072295</v>
      </c>
      <c r="U1202" s="24">
        <v>0</v>
      </c>
      <c r="V1202" s="19">
        <v>9960</v>
      </c>
      <c r="W1202" s="19">
        <v>15218.960000000001</v>
      </c>
      <c r="X1202" s="21">
        <v>1.5280080321285141</v>
      </c>
      <c r="Y1202" s="19">
        <v>10016.810000000001</v>
      </c>
      <c r="Z1202" s="20">
        <v>1.0057038152610442</v>
      </c>
      <c r="AA1202" s="30">
        <v>8.8800000000000004E-2</v>
      </c>
      <c r="AB1202" s="27">
        <v>7.6999999999999999E-2</v>
      </c>
      <c r="AC1202" s="27">
        <v>9.1400000000000009E-2</v>
      </c>
      <c r="AD1202" s="11">
        <v>8.7389892152576393E-2</v>
      </c>
    </row>
    <row r="1203" spans="1:30" x14ac:dyDescent="0.25">
      <c r="A1203" s="13">
        <v>45875</v>
      </c>
      <c r="B1203" s="46" t="s">
        <v>636</v>
      </c>
      <c r="C1203" s="13">
        <v>45875</v>
      </c>
      <c r="D1203" s="15" t="s">
        <v>1417</v>
      </c>
      <c r="E1203" s="15">
        <v>91</v>
      </c>
      <c r="F1203" s="15">
        <v>90</v>
      </c>
      <c r="G1203" s="13">
        <v>45966</v>
      </c>
      <c r="H1203" s="19">
        <v>6600</v>
      </c>
      <c r="I1203" s="19">
        <v>17748.740000000002</v>
      </c>
      <c r="J1203" s="20">
        <v>2.689203030303029</v>
      </c>
      <c r="K1203" s="19">
        <v>6698.7400000000007</v>
      </c>
      <c r="L1203" s="20">
        <v>1.0149606060606062</v>
      </c>
      <c r="M1203" s="21">
        <v>0</v>
      </c>
      <c r="N1203" s="19">
        <v>0</v>
      </c>
      <c r="O1203" s="23">
        <v>1320</v>
      </c>
      <c r="P1203" s="24">
        <v>990</v>
      </c>
      <c r="Q1203" s="25">
        <v>0.75</v>
      </c>
      <c r="R1203" s="24">
        <v>990</v>
      </c>
      <c r="S1203" s="25">
        <v>0.75</v>
      </c>
      <c r="T1203" s="25">
        <v>0</v>
      </c>
      <c r="U1203" s="24">
        <v>0</v>
      </c>
      <c r="V1203" s="19">
        <v>7920</v>
      </c>
      <c r="W1203" s="19">
        <v>18738.740000000002</v>
      </c>
      <c r="X1203" s="21">
        <v>2.3660025252525254</v>
      </c>
      <c r="Y1203" s="19">
        <v>7688.7400000000007</v>
      </c>
      <c r="Z1203" s="20">
        <v>0.97080050505050519</v>
      </c>
      <c r="AA1203" s="30">
        <v>8.6500000000000007E-2</v>
      </c>
      <c r="AB1203" s="27">
        <v>7.4999999999999997E-2</v>
      </c>
      <c r="AC1203" s="27">
        <v>9.3800000000000008E-2</v>
      </c>
      <c r="AD1203" s="11">
        <v>8.6392198206745943E-2</v>
      </c>
    </row>
    <row r="1204" spans="1:30" x14ac:dyDescent="0.25">
      <c r="A1204" s="13">
        <v>45876</v>
      </c>
      <c r="B1204" s="46" t="s">
        <v>636</v>
      </c>
      <c r="C1204" s="13">
        <v>45877</v>
      </c>
      <c r="D1204" s="15" t="s">
        <v>1418</v>
      </c>
      <c r="E1204" s="15">
        <v>357</v>
      </c>
      <c r="F1204" s="15">
        <v>360</v>
      </c>
      <c r="G1204" s="13">
        <v>46234</v>
      </c>
      <c r="H1204" s="19">
        <v>5800</v>
      </c>
      <c r="I1204" s="19">
        <v>16341.989999999998</v>
      </c>
      <c r="J1204" s="20">
        <v>2.8175844827586216</v>
      </c>
      <c r="K1204" s="19">
        <v>6891.99</v>
      </c>
      <c r="L1204" s="20">
        <v>1.1882741379310344</v>
      </c>
      <c r="M1204" s="21">
        <v>0</v>
      </c>
      <c r="N1204" s="19">
        <v>0</v>
      </c>
      <c r="O1204" s="23">
        <v>1160</v>
      </c>
      <c r="P1204" s="24">
        <v>1565</v>
      </c>
      <c r="Q1204" s="25">
        <v>1.3491379310344829</v>
      </c>
      <c r="R1204" s="24">
        <v>1160</v>
      </c>
      <c r="S1204" s="25">
        <v>1</v>
      </c>
      <c r="T1204" s="25">
        <v>0.74121999999999999</v>
      </c>
      <c r="U1204" s="24">
        <v>0</v>
      </c>
      <c r="V1204" s="19">
        <v>6960</v>
      </c>
      <c r="W1204" s="19">
        <v>17906.989999999998</v>
      </c>
      <c r="X1204" s="21">
        <v>2.5728433908045973</v>
      </c>
      <c r="Y1204" s="19">
        <v>8051.99</v>
      </c>
      <c r="Z1204" s="20">
        <v>1.1568951149425286</v>
      </c>
      <c r="AA1204" s="30">
        <v>8.0499999999999891E-2</v>
      </c>
      <c r="AB1204" s="27">
        <v>7.0000000000000007E-2</v>
      </c>
      <c r="AC1204" s="27">
        <v>8.9499999999999996E-2</v>
      </c>
      <c r="AD1204" s="11">
        <v>8.2354655155216713E-2</v>
      </c>
    </row>
    <row r="1205" spans="1:30" x14ac:dyDescent="0.25">
      <c r="A1205" s="13">
        <v>45880</v>
      </c>
      <c r="B1205" s="46" t="s">
        <v>636</v>
      </c>
      <c r="C1205" s="13">
        <v>45880</v>
      </c>
      <c r="D1205" s="15" t="s">
        <v>1421</v>
      </c>
      <c r="E1205" s="15">
        <v>35</v>
      </c>
      <c r="F1205" s="15">
        <v>30</v>
      </c>
      <c r="G1205" s="13">
        <v>45915</v>
      </c>
      <c r="H1205" s="19">
        <v>8300</v>
      </c>
      <c r="I1205" s="19">
        <v>18955.339999999997</v>
      </c>
      <c r="J1205" s="20">
        <v>2.2837759036144574</v>
      </c>
      <c r="K1205" s="19">
        <v>8455.34</v>
      </c>
      <c r="L1205" s="20">
        <v>1.0187156626506024</v>
      </c>
      <c r="M1205" s="21">
        <v>0</v>
      </c>
      <c r="N1205" s="19">
        <v>0</v>
      </c>
      <c r="O1205" s="23">
        <v>1660</v>
      </c>
      <c r="P1205" s="24">
        <v>2700.3</v>
      </c>
      <c r="Q1205" s="25">
        <v>1.6266867469879518</v>
      </c>
      <c r="R1205" s="24">
        <v>1660</v>
      </c>
      <c r="S1205" s="25">
        <v>1</v>
      </c>
      <c r="T1205" s="25">
        <v>0.61474876847290638</v>
      </c>
      <c r="U1205" s="24">
        <v>0</v>
      </c>
      <c r="V1205" s="19">
        <v>9960</v>
      </c>
      <c r="W1205" s="19">
        <v>21655.639999999996</v>
      </c>
      <c r="X1205" s="21">
        <v>2.1742610441767063</v>
      </c>
      <c r="Y1205" s="19">
        <v>10115.34</v>
      </c>
      <c r="Z1205" s="20">
        <v>1.0155963855421688</v>
      </c>
      <c r="AA1205" s="30">
        <v>8.6999999999999994E-2</v>
      </c>
      <c r="AB1205" s="27">
        <v>3.2500000000000001E-2</v>
      </c>
      <c r="AC1205" s="27">
        <v>9.0800000000000006E-2</v>
      </c>
      <c r="AD1205" s="11">
        <v>8.7063088448954246E-2</v>
      </c>
    </row>
    <row r="1206" spans="1:30" x14ac:dyDescent="0.25">
      <c r="A1206" s="13">
        <v>45882</v>
      </c>
      <c r="B1206" s="46" t="s">
        <v>636</v>
      </c>
      <c r="C1206" s="13">
        <v>45882</v>
      </c>
      <c r="D1206" s="15" t="s">
        <v>1423</v>
      </c>
      <c r="E1206" s="15">
        <v>98</v>
      </c>
      <c r="F1206" s="15">
        <v>90</v>
      </c>
      <c r="G1206" s="13">
        <v>45980</v>
      </c>
      <c r="H1206" s="19">
        <v>8300</v>
      </c>
      <c r="I1206" s="19">
        <v>15729.67</v>
      </c>
      <c r="J1206" s="20">
        <v>1.8951409638554224</v>
      </c>
      <c r="K1206" s="19">
        <v>10286.65</v>
      </c>
      <c r="L1206" s="20">
        <v>1.2393554216867468</v>
      </c>
      <c r="M1206" s="21">
        <v>0</v>
      </c>
      <c r="N1206" s="19">
        <v>0</v>
      </c>
      <c r="O1206" s="23">
        <v>1660</v>
      </c>
      <c r="P1206" s="24">
        <v>4210</v>
      </c>
      <c r="Q1206" s="25">
        <v>2.536144578313253</v>
      </c>
      <c r="R1206" s="24">
        <v>1659.9999999999998</v>
      </c>
      <c r="S1206" s="25">
        <v>0.99999999999999989</v>
      </c>
      <c r="T1206" s="25">
        <v>0.39429938775510209</v>
      </c>
      <c r="U1206" s="24">
        <v>0</v>
      </c>
      <c r="V1206" s="19">
        <v>9960</v>
      </c>
      <c r="W1206" s="19">
        <v>19939.669999999998</v>
      </c>
      <c r="X1206" s="21">
        <v>2.0019748995983933</v>
      </c>
      <c r="Y1206" s="19">
        <v>11946.65</v>
      </c>
      <c r="Z1206" s="20">
        <v>1.1994628514056225</v>
      </c>
      <c r="AA1206" s="30">
        <v>8.4500000000000047E-2</v>
      </c>
      <c r="AB1206" s="27">
        <v>7.8E-2</v>
      </c>
      <c r="AC1206" s="27">
        <v>9.1799999999999993E-2</v>
      </c>
      <c r="AD1206" s="11">
        <v>8.4406176162627689E-2</v>
      </c>
    </row>
    <row r="1207" spans="1:30" x14ac:dyDescent="0.25">
      <c r="A1207" s="13">
        <v>45884</v>
      </c>
      <c r="B1207" s="46" t="s">
        <v>636</v>
      </c>
      <c r="C1207" s="13">
        <v>45884</v>
      </c>
      <c r="D1207" s="15" t="s">
        <v>1424</v>
      </c>
      <c r="E1207" s="15">
        <v>182</v>
      </c>
      <c r="F1207" s="15">
        <v>180</v>
      </c>
      <c r="G1207" s="13">
        <v>46066</v>
      </c>
      <c r="H1207" s="19">
        <v>5000</v>
      </c>
      <c r="I1207" s="19">
        <v>15950.6</v>
      </c>
      <c r="J1207" s="20">
        <v>3.1901200000000003</v>
      </c>
      <c r="K1207" s="19">
        <v>6291.54</v>
      </c>
      <c r="L1207" s="20">
        <v>1.258308</v>
      </c>
      <c r="M1207" s="21">
        <v>0</v>
      </c>
      <c r="N1207" s="19">
        <v>0</v>
      </c>
      <c r="O1207" s="23">
        <v>1000</v>
      </c>
      <c r="P1207" s="24">
        <v>1405</v>
      </c>
      <c r="Q1207" s="25">
        <v>1.405</v>
      </c>
      <c r="R1207" s="24">
        <v>999.99999999999989</v>
      </c>
      <c r="S1207" s="25">
        <v>0.99999999999999989</v>
      </c>
      <c r="T1207" s="25">
        <v>0.71174400000000004</v>
      </c>
      <c r="U1207" s="24">
        <v>0</v>
      </c>
      <c r="V1207" s="19">
        <v>6000</v>
      </c>
      <c r="W1207" s="19">
        <v>17355.599999999999</v>
      </c>
      <c r="X1207" s="21">
        <v>2.8925999999999998</v>
      </c>
      <c r="Y1207" s="19">
        <v>7291.54</v>
      </c>
      <c r="Z1207" s="20">
        <v>1.2152566666666667</v>
      </c>
      <c r="AA1207" s="30">
        <v>8.0000000000000043E-2</v>
      </c>
      <c r="AB1207" s="27">
        <v>7.0000000000000007E-2</v>
      </c>
      <c r="AC1207" s="27">
        <v>8.9900000000000008E-2</v>
      </c>
      <c r="AD1207" s="11">
        <v>8.1303766566774946E-2</v>
      </c>
    </row>
    <row r="1208" spans="1:30" x14ac:dyDescent="0.25">
      <c r="A1208" s="13">
        <v>45887</v>
      </c>
      <c r="B1208" s="46" t="s">
        <v>636</v>
      </c>
      <c r="C1208" s="13">
        <v>45887</v>
      </c>
      <c r="D1208" s="15" t="s">
        <v>1425</v>
      </c>
      <c r="E1208" s="15">
        <v>35</v>
      </c>
      <c r="F1208" s="15">
        <v>30</v>
      </c>
      <c r="G1208" s="13">
        <v>45922</v>
      </c>
      <c r="H1208" s="19">
        <v>10000</v>
      </c>
      <c r="I1208" s="19">
        <v>15569.659999999998</v>
      </c>
      <c r="J1208" s="20">
        <v>1.5569659999999996</v>
      </c>
      <c r="K1208" s="19">
        <v>10369.66</v>
      </c>
      <c r="L1208" s="20">
        <v>1.0369660000000001</v>
      </c>
      <c r="M1208" s="21">
        <v>0</v>
      </c>
      <c r="N1208" s="19">
        <v>0</v>
      </c>
      <c r="O1208" s="23">
        <v>2000</v>
      </c>
      <c r="P1208" s="24">
        <v>3466.9</v>
      </c>
      <c r="Q1208" s="25">
        <v>1.7334499999999999</v>
      </c>
      <c r="R1208" s="24">
        <v>1999.9999999999998</v>
      </c>
      <c r="S1208" s="25">
        <v>0.99999999999999989</v>
      </c>
      <c r="T1208" s="25">
        <v>0.57688499999999998</v>
      </c>
      <c r="U1208" s="24">
        <v>0</v>
      </c>
      <c r="V1208" s="19">
        <v>12000</v>
      </c>
      <c r="W1208" s="19">
        <v>19036.559999999998</v>
      </c>
      <c r="X1208" s="21">
        <v>1.5863799999999999</v>
      </c>
      <c r="Y1208" s="19">
        <v>12369.66</v>
      </c>
      <c r="Z1208" s="20">
        <v>1.030805</v>
      </c>
      <c r="AA1208" s="30">
        <v>8.6800000000000127E-2</v>
      </c>
      <c r="AB1208" s="27">
        <v>7.0000000000000007E-2</v>
      </c>
      <c r="AC1208" s="27">
        <v>0.09</v>
      </c>
      <c r="AD1208" s="11">
        <v>8.4985553313302972E-2</v>
      </c>
    </row>
    <row r="1209" spans="1:30" x14ac:dyDescent="0.25">
      <c r="A1209" s="13">
        <v>45889</v>
      </c>
      <c r="B1209" s="46" t="s">
        <v>636</v>
      </c>
      <c r="C1209" s="13">
        <v>45889</v>
      </c>
      <c r="D1209" s="15" t="s">
        <v>1426</v>
      </c>
      <c r="E1209" s="15">
        <v>91</v>
      </c>
      <c r="F1209" s="15">
        <v>90</v>
      </c>
      <c r="G1209" s="13">
        <v>45980</v>
      </c>
      <c r="H1209" s="19">
        <v>9000</v>
      </c>
      <c r="I1209" s="19">
        <v>11657.09</v>
      </c>
      <c r="J1209" s="20">
        <v>1.2952322222222223</v>
      </c>
      <c r="K1209" s="19">
        <v>9957.09</v>
      </c>
      <c r="L1209" s="20">
        <v>1.1063433333333335</v>
      </c>
      <c r="M1209" s="21">
        <v>0</v>
      </c>
      <c r="N1209" s="19">
        <v>0</v>
      </c>
      <c r="O1209" s="23">
        <v>1800</v>
      </c>
      <c r="P1209" s="24">
        <v>2001.02</v>
      </c>
      <c r="Q1209" s="25">
        <v>1.1116777777777778</v>
      </c>
      <c r="R1209" s="24">
        <v>1800</v>
      </c>
      <c r="S1209" s="25">
        <v>1</v>
      </c>
      <c r="T1209" s="25">
        <v>0.89954149999999999</v>
      </c>
      <c r="U1209" s="24">
        <v>0</v>
      </c>
      <c r="V1209" s="19">
        <v>10800</v>
      </c>
      <c r="W1209" s="19">
        <v>13658.11</v>
      </c>
      <c r="X1209" s="21">
        <v>1.2646398148148148</v>
      </c>
      <c r="Y1209" s="19">
        <v>11757.09</v>
      </c>
      <c r="Z1209" s="20">
        <v>1.0886194444444444</v>
      </c>
      <c r="AA1209" s="30">
        <v>8.7400000000000047E-2</v>
      </c>
      <c r="AB1209" s="27">
        <v>7.0000000000000007E-2</v>
      </c>
      <c r="AC1209" s="27">
        <v>0.09</v>
      </c>
      <c r="AD1209" s="11">
        <v>8.4585338193322701E-2</v>
      </c>
    </row>
    <row r="1210" spans="1:30" x14ac:dyDescent="0.25">
      <c r="A1210" s="13">
        <v>45890</v>
      </c>
      <c r="B1210" s="46" t="s">
        <v>636</v>
      </c>
      <c r="C1210" s="13">
        <v>45891</v>
      </c>
      <c r="D1210" s="15" t="s">
        <v>1427</v>
      </c>
      <c r="E1210" s="15">
        <v>378</v>
      </c>
      <c r="F1210" s="15">
        <v>360</v>
      </c>
      <c r="G1210" s="13">
        <v>46269</v>
      </c>
      <c r="H1210" s="19">
        <v>8300</v>
      </c>
      <c r="I1210" s="19">
        <v>16374.87</v>
      </c>
      <c r="J1210" s="20">
        <v>1.9728759036144583</v>
      </c>
      <c r="K1210" s="19">
        <v>13124.870000000003</v>
      </c>
      <c r="L1210" s="20">
        <v>1.5813096385542171</v>
      </c>
      <c r="M1210" s="21">
        <v>0</v>
      </c>
      <c r="N1210" s="19">
        <v>0</v>
      </c>
      <c r="O1210" s="23">
        <v>1660</v>
      </c>
      <c r="P1210" s="24">
        <v>1810</v>
      </c>
      <c r="Q1210" s="25">
        <v>1.0903614457831325</v>
      </c>
      <c r="R1210" s="24">
        <v>1660</v>
      </c>
      <c r="S1210" s="25">
        <v>1</v>
      </c>
      <c r="T1210" s="25">
        <v>0.91712733333333329</v>
      </c>
      <c r="U1210" s="24">
        <v>0</v>
      </c>
      <c r="V1210" s="19">
        <v>9960</v>
      </c>
      <c r="W1210" s="19">
        <v>18184.870000000003</v>
      </c>
      <c r="X1210" s="21">
        <v>1.8257901606425706</v>
      </c>
      <c r="Y1210" s="19">
        <v>14784.870000000003</v>
      </c>
      <c r="Z1210" s="20">
        <v>1.484424698795181</v>
      </c>
      <c r="AA1210" s="30">
        <v>8.0400000000000013E-2</v>
      </c>
      <c r="AB1210" s="27">
        <v>2.2499999999999999E-2</v>
      </c>
      <c r="AC1210" s="27">
        <v>8.5999999999999993E-2</v>
      </c>
      <c r="AD1210" s="11">
        <v>7.8718179564173651E-2</v>
      </c>
    </row>
    <row r="1211" spans="1:30" x14ac:dyDescent="0.25">
      <c r="A1211" s="13">
        <v>45895</v>
      </c>
      <c r="B1211" s="46" t="s">
        <v>636</v>
      </c>
      <c r="C1211" s="13">
        <v>45895</v>
      </c>
      <c r="D1211" s="15" t="s">
        <v>1429</v>
      </c>
      <c r="E1211" s="15">
        <v>34</v>
      </c>
      <c r="F1211" s="15">
        <v>30</v>
      </c>
      <c r="G1211" s="13">
        <v>45929</v>
      </c>
      <c r="H1211" s="19">
        <v>7500</v>
      </c>
      <c r="I1211" s="19">
        <v>8030.74</v>
      </c>
      <c r="J1211" s="20">
        <v>1.0707653333333333</v>
      </c>
      <c r="K1211" s="19">
        <v>4980.74</v>
      </c>
      <c r="L1211" s="20">
        <v>0.66409866666666661</v>
      </c>
      <c r="M1211" s="21">
        <v>0</v>
      </c>
      <c r="N1211" s="19">
        <v>0</v>
      </c>
      <c r="O1211" s="23">
        <v>1500</v>
      </c>
      <c r="P1211" s="24">
        <v>630</v>
      </c>
      <c r="Q1211" s="25">
        <v>0.42000000000000004</v>
      </c>
      <c r="R1211" s="24">
        <v>630</v>
      </c>
      <c r="S1211" s="25">
        <v>0.42</v>
      </c>
      <c r="T1211" s="25">
        <v>0</v>
      </c>
      <c r="U1211" s="24">
        <v>0</v>
      </c>
      <c r="V1211" s="19">
        <v>9000</v>
      </c>
      <c r="W1211" s="19">
        <v>8660.74</v>
      </c>
      <c r="X1211" s="21">
        <v>0.96230444444444441</v>
      </c>
      <c r="Y1211" s="19">
        <v>5610.74</v>
      </c>
      <c r="Z1211" s="20">
        <v>0.6234155555555555</v>
      </c>
      <c r="AA1211" s="30">
        <v>8.7800000000000059E-2</v>
      </c>
      <c r="AB1211" s="27">
        <v>7.4999999999999997E-2</v>
      </c>
      <c r="AC1211" s="27">
        <v>9.2300000000000007E-2</v>
      </c>
      <c r="AD1211" s="11">
        <v>8.632616707800278E-2</v>
      </c>
    </row>
    <row r="1212" spans="1:30" x14ac:dyDescent="0.25">
      <c r="A1212" s="13">
        <v>45896</v>
      </c>
      <c r="B1212" s="46" t="s">
        <v>636</v>
      </c>
      <c r="C1212" s="13">
        <v>45896</v>
      </c>
      <c r="D1212" s="15" t="s">
        <v>1430</v>
      </c>
      <c r="E1212" s="15">
        <v>98</v>
      </c>
      <c r="F1212" s="15">
        <v>90</v>
      </c>
      <c r="G1212" s="13">
        <v>45994</v>
      </c>
      <c r="H1212" s="19">
        <v>8400</v>
      </c>
      <c r="I1212" s="19">
        <v>11618.66</v>
      </c>
      <c r="J1212" s="20">
        <v>1.3831738095238095</v>
      </c>
      <c r="K1212" s="19">
        <v>9218.66</v>
      </c>
      <c r="L1212" s="20">
        <v>1.0974595238095237</v>
      </c>
      <c r="M1212" s="21">
        <v>0</v>
      </c>
      <c r="N1212" s="19">
        <v>0</v>
      </c>
      <c r="O1212" s="23">
        <v>1680</v>
      </c>
      <c r="P1212" s="24">
        <v>320</v>
      </c>
      <c r="Q1212" s="25">
        <v>0.19047619047619047</v>
      </c>
      <c r="R1212" s="24">
        <v>320</v>
      </c>
      <c r="S1212" s="25">
        <v>0.19047619047619047</v>
      </c>
      <c r="T1212" s="25">
        <v>0</v>
      </c>
      <c r="U1212" s="24">
        <v>0</v>
      </c>
      <c r="V1212" s="19">
        <v>10080</v>
      </c>
      <c r="W1212" s="19">
        <v>11938.66</v>
      </c>
      <c r="X1212" s="21">
        <v>1.184390873015873</v>
      </c>
      <c r="Y1212" s="19">
        <v>9538.66</v>
      </c>
      <c r="Z1212" s="20">
        <v>0.94629563492063495</v>
      </c>
      <c r="AA1212" s="30">
        <v>8.7699999999999917E-2</v>
      </c>
      <c r="AB1212" s="27">
        <v>7.0000000000000007E-2</v>
      </c>
      <c r="AC1212" s="27">
        <v>8.900000000000001E-2</v>
      </c>
      <c r="AD1212" s="11">
        <v>8.5637916420654367E-2</v>
      </c>
    </row>
    <row r="1213" spans="1:30" x14ac:dyDescent="0.25">
      <c r="A1213" s="13">
        <v>45898</v>
      </c>
      <c r="B1213" s="46" t="s">
        <v>636</v>
      </c>
      <c r="C1213" s="13">
        <v>45898</v>
      </c>
      <c r="D1213" s="15" t="s">
        <v>1431</v>
      </c>
      <c r="E1213" s="15">
        <v>168</v>
      </c>
      <c r="F1213" s="15">
        <v>180</v>
      </c>
      <c r="G1213" s="13">
        <v>46066</v>
      </c>
      <c r="H1213" s="19">
        <v>6000</v>
      </c>
      <c r="I1213" s="19">
        <v>6579.26</v>
      </c>
      <c r="J1213" s="20">
        <v>1.0965433333333336</v>
      </c>
      <c r="K1213" s="19">
        <v>5579.26</v>
      </c>
      <c r="L1213" s="20">
        <v>0.92987666666666668</v>
      </c>
      <c r="M1213" s="21">
        <v>0</v>
      </c>
      <c r="N1213" s="19">
        <v>0</v>
      </c>
      <c r="O1213" s="23">
        <v>1200</v>
      </c>
      <c r="P1213" s="24">
        <v>460</v>
      </c>
      <c r="Q1213" s="25">
        <v>0.3833333333333333</v>
      </c>
      <c r="R1213" s="24">
        <v>460</v>
      </c>
      <c r="S1213" s="25">
        <v>0.38333333333333336</v>
      </c>
      <c r="T1213" s="25">
        <v>0</v>
      </c>
      <c r="U1213" s="24">
        <v>0</v>
      </c>
      <c r="V1213" s="19">
        <v>7200</v>
      </c>
      <c r="W1213" s="19">
        <v>7039.26</v>
      </c>
      <c r="X1213" s="21">
        <v>0.97767500000000007</v>
      </c>
      <c r="Y1213" s="19">
        <v>6039.26</v>
      </c>
      <c r="Z1213" s="20">
        <v>0.83878611111111112</v>
      </c>
      <c r="AA1213" s="30">
        <v>8.6399999999999921E-2</v>
      </c>
      <c r="AB1213" s="27">
        <v>7.0000000000000007E-2</v>
      </c>
      <c r="AC1213" s="27">
        <v>8.8499999999999995E-2</v>
      </c>
      <c r="AD1213" s="11">
        <v>8.3404757525922357E-2</v>
      </c>
    </row>
    <row r="1214" spans="1:30" x14ac:dyDescent="0.25">
      <c r="A1214" s="13">
        <v>45901</v>
      </c>
      <c r="B1214" s="46" t="s">
        <v>636</v>
      </c>
      <c r="C1214" s="13">
        <v>45901</v>
      </c>
      <c r="D1214" s="15" t="s">
        <v>1432</v>
      </c>
      <c r="E1214" s="15">
        <v>35</v>
      </c>
      <c r="F1214" s="15">
        <v>30</v>
      </c>
      <c r="G1214" s="13">
        <v>45936</v>
      </c>
      <c r="H1214" s="19">
        <v>5000</v>
      </c>
      <c r="I1214" s="19">
        <v>7752.9500000000007</v>
      </c>
      <c r="J1214" s="20">
        <v>1.5505900000000006</v>
      </c>
      <c r="K1214" s="19">
        <v>5002.95</v>
      </c>
      <c r="L1214" s="20">
        <v>1.0005899999999999</v>
      </c>
      <c r="M1214" s="21">
        <v>0</v>
      </c>
      <c r="N1214" s="19">
        <v>0</v>
      </c>
      <c r="O1214" s="23">
        <v>1000</v>
      </c>
      <c r="P1214" s="24">
        <v>1020</v>
      </c>
      <c r="Q1214" s="25">
        <v>1.02</v>
      </c>
      <c r="R1214" s="24">
        <v>1000</v>
      </c>
      <c r="S1214" s="25">
        <v>1</v>
      </c>
      <c r="T1214" s="25">
        <v>0.98039220000000005</v>
      </c>
      <c r="U1214" s="24">
        <v>0</v>
      </c>
      <c r="V1214" s="19">
        <v>6000</v>
      </c>
      <c r="W1214" s="19">
        <v>8772.9500000000007</v>
      </c>
      <c r="X1214" s="21">
        <v>1.4621583333333334</v>
      </c>
      <c r="Y1214" s="19">
        <v>6002.95</v>
      </c>
      <c r="Z1214" s="20">
        <v>1.0004916666666666</v>
      </c>
      <c r="AA1214" s="30">
        <v>8.7800000000000059E-2</v>
      </c>
      <c r="AB1214" s="27">
        <v>7.8E-2</v>
      </c>
      <c r="AC1214" s="27">
        <v>9.2899999999999996E-2</v>
      </c>
      <c r="AD1214" s="11">
        <v>8.6788649223843842E-2</v>
      </c>
    </row>
    <row r="1215" spans="1:30" x14ac:dyDescent="0.25">
      <c r="A1215" s="13">
        <v>45903</v>
      </c>
      <c r="B1215" s="46" t="s">
        <v>636</v>
      </c>
      <c r="C1215" s="13">
        <v>45903</v>
      </c>
      <c r="D1215" s="15" t="s">
        <v>1433</v>
      </c>
      <c r="E1215" s="15">
        <v>91</v>
      </c>
      <c r="F1215" s="15">
        <v>90</v>
      </c>
      <c r="G1215" s="13">
        <v>45994</v>
      </c>
      <c r="H1215" s="19">
        <v>6600</v>
      </c>
      <c r="I1215" s="19">
        <v>13453.140000000003</v>
      </c>
      <c r="J1215" s="20">
        <v>2.0383545454545455</v>
      </c>
      <c r="K1215" s="19">
        <v>6948.76</v>
      </c>
      <c r="L1215" s="20">
        <v>1.0528424242424244</v>
      </c>
      <c r="M1215" s="21">
        <v>0</v>
      </c>
      <c r="N1215" s="19">
        <v>0</v>
      </c>
      <c r="O1215" s="23">
        <v>1320</v>
      </c>
      <c r="P1215" s="24">
        <v>790</v>
      </c>
      <c r="Q1215" s="25">
        <v>0.59848484848484851</v>
      </c>
      <c r="R1215" s="24">
        <v>790</v>
      </c>
      <c r="S1215" s="25">
        <v>0.59848484848484851</v>
      </c>
      <c r="T1215" s="25">
        <v>0</v>
      </c>
      <c r="U1215" s="24">
        <v>0</v>
      </c>
      <c r="V1215" s="19">
        <v>7920</v>
      </c>
      <c r="W1215" s="19">
        <v>14243.140000000003</v>
      </c>
      <c r="X1215" s="21">
        <v>1.7983762626262629</v>
      </c>
      <c r="Y1215" s="19">
        <v>7738.76</v>
      </c>
      <c r="Z1215" s="20">
        <v>0.97711616161616166</v>
      </c>
      <c r="AA1215" s="30">
        <v>8.670000000000018E-2</v>
      </c>
      <c r="AB1215" s="27">
        <v>7.4999999999999997E-2</v>
      </c>
      <c r="AC1215" s="27">
        <v>9.2300000000000007E-2</v>
      </c>
      <c r="AD1215" s="11">
        <v>8.5846133616389902E-2</v>
      </c>
    </row>
    <row r="1216" spans="1:30" x14ac:dyDescent="0.25">
      <c r="A1216" s="13">
        <v>45904</v>
      </c>
      <c r="B1216" s="46" t="s">
        <v>636</v>
      </c>
      <c r="C1216" s="13">
        <v>45905</v>
      </c>
      <c r="D1216" s="15" t="s">
        <v>1434</v>
      </c>
      <c r="E1216" s="15">
        <v>364</v>
      </c>
      <c r="F1216" s="15">
        <v>360</v>
      </c>
      <c r="G1216" s="13">
        <v>46269</v>
      </c>
      <c r="H1216" s="19">
        <v>5800</v>
      </c>
      <c r="I1216" s="19">
        <v>14165.110000000004</v>
      </c>
      <c r="J1216" s="20">
        <v>2.4422603448275857</v>
      </c>
      <c r="K1216" s="19">
        <v>9515.1100000000024</v>
      </c>
      <c r="L1216" s="20">
        <v>1.6405362068965521</v>
      </c>
      <c r="M1216" s="21">
        <v>0</v>
      </c>
      <c r="N1216" s="19">
        <v>0</v>
      </c>
      <c r="O1216" s="23">
        <v>1160</v>
      </c>
      <c r="P1216" s="24">
        <v>1860</v>
      </c>
      <c r="Q1216" s="25">
        <v>1.603448275862069</v>
      </c>
      <c r="R1216" s="24">
        <v>1160</v>
      </c>
      <c r="S1216" s="25">
        <v>1</v>
      </c>
      <c r="T1216" s="25">
        <v>0.62365599999999999</v>
      </c>
      <c r="U1216" s="24">
        <v>0</v>
      </c>
      <c r="V1216" s="19">
        <v>6960</v>
      </c>
      <c r="W1216" s="19">
        <v>16025.110000000004</v>
      </c>
      <c r="X1216" s="21">
        <v>2.3024583333333339</v>
      </c>
      <c r="Y1216" s="19">
        <v>10675.110000000002</v>
      </c>
      <c r="Z1216" s="20">
        <v>1.5337801724137934</v>
      </c>
      <c r="AA1216" s="30">
        <v>8.0799999999999997E-2</v>
      </c>
      <c r="AB1216" s="27">
        <v>7.0000000000000007E-2</v>
      </c>
      <c r="AC1216" s="27">
        <v>8.929999999999999E-2</v>
      </c>
      <c r="AD1216" s="11">
        <v>8.0298599799083784E-2</v>
      </c>
    </row>
    <row r="1217" spans="1:30" x14ac:dyDescent="0.25">
      <c r="A1217" s="13">
        <v>45908</v>
      </c>
      <c r="B1217" s="46" t="s">
        <v>636</v>
      </c>
      <c r="C1217" s="13">
        <v>45908</v>
      </c>
      <c r="D1217" s="15" t="s">
        <v>1435</v>
      </c>
      <c r="E1217" s="15">
        <v>28</v>
      </c>
      <c r="F1217" s="15">
        <v>30</v>
      </c>
      <c r="G1217" s="13">
        <v>45936</v>
      </c>
      <c r="H1217" s="19">
        <v>6600</v>
      </c>
      <c r="I1217" s="19">
        <v>15810.550000000001</v>
      </c>
      <c r="J1217" s="20">
        <v>2.3955378787878776</v>
      </c>
      <c r="K1217" s="19">
        <v>7210.55</v>
      </c>
      <c r="L1217" s="20">
        <v>1.0925075757575757</v>
      </c>
      <c r="M1217" s="21">
        <v>0</v>
      </c>
      <c r="N1217" s="19">
        <v>0</v>
      </c>
      <c r="O1217" s="23">
        <v>1320</v>
      </c>
      <c r="P1217" s="24">
        <v>1349.2</v>
      </c>
      <c r="Q1217" s="25">
        <v>1.0221212121212122</v>
      </c>
      <c r="R1217" s="24">
        <v>1320</v>
      </c>
      <c r="S1217" s="25">
        <v>1</v>
      </c>
      <c r="T1217" s="25">
        <v>0.97835757575757576</v>
      </c>
      <c r="U1217" s="24">
        <v>0</v>
      </c>
      <c r="V1217" s="19">
        <v>7920</v>
      </c>
      <c r="W1217" s="19">
        <v>17159.75</v>
      </c>
      <c r="X1217" s="21">
        <v>2.166635101010101</v>
      </c>
      <c r="Y1217" s="19">
        <v>8530.5499999999993</v>
      </c>
      <c r="Z1217" s="20">
        <v>1.0770896464646464</v>
      </c>
      <c r="AA1217" s="30">
        <v>8.7299999999999961E-2</v>
      </c>
      <c r="AB1217" s="27">
        <v>7.0000000000000007E-2</v>
      </c>
      <c r="AC1217" s="27">
        <v>8.8800000000000004E-2</v>
      </c>
      <c r="AD1217" s="11">
        <v>8.623930255430709E-2</v>
      </c>
    </row>
    <row r="1218" spans="1:30" x14ac:dyDescent="0.25">
      <c r="A1218" s="13">
        <v>45910</v>
      </c>
      <c r="B1218" s="46" t="s">
        <v>636</v>
      </c>
      <c r="C1218" s="13">
        <v>45910</v>
      </c>
      <c r="D1218" s="15" t="s">
        <v>1436</v>
      </c>
      <c r="E1218" s="15">
        <v>98</v>
      </c>
      <c r="F1218" s="15">
        <v>90</v>
      </c>
      <c r="G1218" s="13">
        <v>46008</v>
      </c>
      <c r="H1218" s="19">
        <v>6600</v>
      </c>
      <c r="I1218" s="19">
        <v>11024.109999999999</v>
      </c>
      <c r="J1218" s="20">
        <v>1.6703196969696965</v>
      </c>
      <c r="K1218" s="19">
        <v>7624.11</v>
      </c>
      <c r="L1218" s="20">
        <v>1.1551681818181818</v>
      </c>
      <c r="M1218" s="21">
        <v>0</v>
      </c>
      <c r="N1218" s="19">
        <v>0</v>
      </c>
      <c r="O1218" s="23">
        <v>1320</v>
      </c>
      <c r="P1218" s="24">
        <v>1720</v>
      </c>
      <c r="Q1218" s="25">
        <v>1.303030303030303</v>
      </c>
      <c r="R1218" s="24">
        <v>1320</v>
      </c>
      <c r="S1218" s="25">
        <v>1</v>
      </c>
      <c r="T1218" s="25">
        <v>0.76744189393939388</v>
      </c>
      <c r="U1218" s="24">
        <v>0</v>
      </c>
      <c r="V1218" s="19">
        <v>7920</v>
      </c>
      <c r="W1218" s="19">
        <v>12744.109999999999</v>
      </c>
      <c r="X1218" s="21">
        <v>1.6091047979797979</v>
      </c>
      <c r="Y1218" s="19">
        <v>8944.11</v>
      </c>
      <c r="Z1218" s="20">
        <v>1.1293068181818182</v>
      </c>
      <c r="AA1218" s="30">
        <v>8.6399999999999977E-2</v>
      </c>
      <c r="AB1218" s="27">
        <v>7.4999999999999997E-2</v>
      </c>
      <c r="AC1218" s="27">
        <v>8.7499999999999994E-2</v>
      </c>
      <c r="AD1218" s="11">
        <v>8.514048335874734E-2</v>
      </c>
    </row>
    <row r="1219" spans="1:30" x14ac:dyDescent="0.25">
      <c r="A1219" s="13">
        <v>45912</v>
      </c>
      <c r="B1219" s="46" t="s">
        <v>636</v>
      </c>
      <c r="C1219" s="13">
        <v>45912</v>
      </c>
      <c r="D1219" s="15" t="s">
        <v>1437</v>
      </c>
      <c r="E1219" s="15">
        <v>196</v>
      </c>
      <c r="F1219" s="15">
        <v>180</v>
      </c>
      <c r="G1219" s="13">
        <v>46108</v>
      </c>
      <c r="H1219" s="19">
        <v>5000</v>
      </c>
      <c r="I1219" s="19">
        <v>8084.85</v>
      </c>
      <c r="J1219" s="20">
        <v>1.6169700000000007</v>
      </c>
      <c r="K1219" s="19">
        <v>7084.85</v>
      </c>
      <c r="L1219" s="20">
        <v>1.4169700000000001</v>
      </c>
      <c r="M1219" s="21">
        <v>0</v>
      </c>
      <c r="N1219" s="19">
        <v>0</v>
      </c>
      <c r="O1219" s="23">
        <v>1000</v>
      </c>
      <c r="P1219" s="24">
        <v>500</v>
      </c>
      <c r="Q1219" s="25">
        <v>0.5</v>
      </c>
      <c r="R1219" s="24">
        <v>500</v>
      </c>
      <c r="S1219" s="25">
        <v>0.5</v>
      </c>
      <c r="T1219" s="25">
        <v>0</v>
      </c>
      <c r="U1219" s="24">
        <v>0</v>
      </c>
      <c r="V1219" s="19">
        <v>6000</v>
      </c>
      <c r="W1219" s="19">
        <v>8584.85</v>
      </c>
      <c r="X1219" s="21">
        <v>1.4308083333333335</v>
      </c>
      <c r="Y1219" s="19">
        <v>7584.85</v>
      </c>
      <c r="Z1219" s="20">
        <v>1.2641416666666667</v>
      </c>
      <c r="AA1219" s="30">
        <v>8.6399999999999963E-2</v>
      </c>
      <c r="AB1219" s="27">
        <v>7.4999999999999997E-2</v>
      </c>
      <c r="AC1219" s="27">
        <v>0.09</v>
      </c>
      <c r="AD1219" s="11">
        <v>8.3721431566448373E-2</v>
      </c>
    </row>
    <row r="1220" spans="1:30" x14ac:dyDescent="0.25">
      <c r="A1220" s="13">
        <v>45915</v>
      </c>
      <c r="B1220" s="46" t="s">
        <v>636</v>
      </c>
      <c r="C1220" s="13">
        <v>45915</v>
      </c>
      <c r="D1220" s="15" t="s">
        <v>1442</v>
      </c>
      <c r="E1220" s="15">
        <v>35</v>
      </c>
      <c r="F1220" s="15">
        <v>30</v>
      </c>
      <c r="G1220" s="13">
        <v>45950</v>
      </c>
      <c r="H1220" s="19">
        <v>8300</v>
      </c>
      <c r="I1220" s="19">
        <v>11331.019999999999</v>
      </c>
      <c r="J1220" s="20">
        <v>1.3651831325301205</v>
      </c>
      <c r="K1220" s="19">
        <v>8731.0199999999986</v>
      </c>
      <c r="L1220" s="20">
        <v>1.0519301204819276</v>
      </c>
      <c r="M1220" s="21">
        <v>0</v>
      </c>
      <c r="N1220" s="19">
        <v>0</v>
      </c>
      <c r="O1220" s="23">
        <v>1660</v>
      </c>
      <c r="P1220" s="24">
        <v>1116.5</v>
      </c>
      <c r="Q1220" s="25">
        <v>0.6725903614457831</v>
      </c>
      <c r="R1220" s="24">
        <v>1116.5</v>
      </c>
      <c r="S1220" s="25">
        <v>0.6725903614457831</v>
      </c>
      <c r="T1220" s="25">
        <v>0</v>
      </c>
      <c r="U1220" s="24">
        <v>0</v>
      </c>
      <c r="V1220" s="19">
        <v>9960</v>
      </c>
      <c r="W1220" s="19">
        <v>12447.519999999999</v>
      </c>
      <c r="X1220" s="21">
        <v>1.2497510040160642</v>
      </c>
      <c r="Y1220" s="19">
        <v>9847.5199999999986</v>
      </c>
      <c r="Z1220" s="20">
        <v>0.98870682730923676</v>
      </c>
      <c r="AA1220" s="30">
        <v>8.7500000000000022E-2</v>
      </c>
      <c r="AB1220" s="27">
        <v>7.0000000000000007E-2</v>
      </c>
      <c r="AC1220" s="27">
        <v>8.8800000000000004E-2</v>
      </c>
      <c r="AD1220" s="11">
        <v>8.5650880679762287E-2</v>
      </c>
    </row>
    <row r="1221" spans="1:30" x14ac:dyDescent="0.25">
      <c r="A1221" s="13">
        <v>45917</v>
      </c>
      <c r="B1221" s="46" t="s">
        <v>636</v>
      </c>
      <c r="C1221" s="13">
        <v>45917</v>
      </c>
      <c r="D1221" s="15" t="s">
        <v>1443</v>
      </c>
      <c r="E1221" s="15">
        <v>91</v>
      </c>
      <c r="F1221" s="15">
        <v>90</v>
      </c>
      <c r="G1221" s="13">
        <v>46008</v>
      </c>
      <c r="H1221" s="19">
        <v>8300</v>
      </c>
      <c r="I1221" s="19">
        <v>9129.43</v>
      </c>
      <c r="J1221" s="20">
        <v>1.0999313253012044</v>
      </c>
      <c r="K1221" s="19">
        <v>6829.4299999999985</v>
      </c>
      <c r="L1221" s="20">
        <v>0.82282289156626487</v>
      </c>
      <c r="M1221" s="21">
        <v>0</v>
      </c>
      <c r="N1221" s="19">
        <v>0</v>
      </c>
      <c r="O1221" s="23">
        <v>1660</v>
      </c>
      <c r="P1221" s="24">
        <v>1000</v>
      </c>
      <c r="Q1221" s="25">
        <v>0.60240963855421681</v>
      </c>
      <c r="R1221" s="24">
        <v>1000</v>
      </c>
      <c r="S1221" s="25">
        <v>0.60240963855421692</v>
      </c>
      <c r="T1221" s="25">
        <v>0</v>
      </c>
      <c r="U1221" s="24">
        <v>0</v>
      </c>
      <c r="V1221" s="19">
        <v>9960</v>
      </c>
      <c r="W1221" s="19">
        <v>10129.43</v>
      </c>
      <c r="X1221" s="21">
        <v>1.0170110441767068</v>
      </c>
      <c r="Y1221" s="19">
        <v>7829.4299999999985</v>
      </c>
      <c r="Z1221" s="20">
        <v>0.78608734939759017</v>
      </c>
      <c r="AA1221" s="30">
        <v>8.6399999999999935E-2</v>
      </c>
      <c r="AB1221" s="27">
        <v>7.6399999999999996E-2</v>
      </c>
      <c r="AC1221" s="27">
        <v>8.7499999999999994E-2</v>
      </c>
      <c r="AD1221" s="11">
        <v>8.4818720774462356E-2</v>
      </c>
    </row>
    <row r="1222" spans="1:30" x14ac:dyDescent="0.25">
      <c r="A1222" s="13">
        <v>45918</v>
      </c>
      <c r="B1222" s="46" t="s">
        <v>636</v>
      </c>
      <c r="C1222" s="13">
        <v>45919</v>
      </c>
      <c r="D1222" s="15" t="s">
        <v>1444</v>
      </c>
      <c r="E1222" s="15">
        <v>378</v>
      </c>
      <c r="F1222" s="15">
        <v>360</v>
      </c>
      <c r="G1222" s="13">
        <v>46297</v>
      </c>
      <c r="H1222" s="19">
        <v>7500</v>
      </c>
      <c r="I1222" s="19">
        <v>12020.550000000001</v>
      </c>
      <c r="J1222" s="20">
        <v>1.6027400000000001</v>
      </c>
      <c r="K1222" s="19">
        <v>10229.549999999999</v>
      </c>
      <c r="L1222" s="20">
        <v>1.3639399999999999</v>
      </c>
      <c r="M1222" s="21">
        <v>0</v>
      </c>
      <c r="N1222" s="19">
        <v>0</v>
      </c>
      <c r="O1222" s="23">
        <v>1500</v>
      </c>
      <c r="P1222" s="24">
        <v>2000</v>
      </c>
      <c r="Q1222" s="25">
        <v>1.3333333333333335</v>
      </c>
      <c r="R1222" s="24">
        <v>1500</v>
      </c>
      <c r="S1222" s="25">
        <v>1</v>
      </c>
      <c r="T1222" s="25">
        <v>0.75</v>
      </c>
      <c r="U1222" s="24">
        <v>0</v>
      </c>
      <c r="V1222" s="19">
        <v>9000</v>
      </c>
      <c r="W1222" s="19">
        <v>14020.550000000001</v>
      </c>
      <c r="X1222" s="21">
        <v>1.557838888888889</v>
      </c>
      <c r="Y1222" s="19">
        <v>11729.55</v>
      </c>
      <c r="Z1222" s="20">
        <v>1.3032833333333333</v>
      </c>
      <c r="AA1222" s="30">
        <v>8.1199999999999953E-2</v>
      </c>
      <c r="AB1222" s="27">
        <v>0.06</v>
      </c>
      <c r="AC1222" s="27">
        <v>8.3199999999999996E-2</v>
      </c>
      <c r="AD1222" s="11">
        <v>7.9896395339647541E-2</v>
      </c>
    </row>
    <row r="1223" spans="1:30" x14ac:dyDescent="0.25">
      <c r="A1223" s="13">
        <v>45922</v>
      </c>
      <c r="B1223" s="46" t="s">
        <v>636</v>
      </c>
      <c r="C1223" s="13">
        <v>45922</v>
      </c>
      <c r="D1223" s="15" t="s">
        <v>1445</v>
      </c>
      <c r="E1223" s="15">
        <v>28</v>
      </c>
      <c r="F1223" s="15">
        <v>30</v>
      </c>
      <c r="G1223" s="13">
        <v>45950</v>
      </c>
      <c r="H1223" s="19">
        <v>8300</v>
      </c>
      <c r="I1223" s="19">
        <v>12912.98</v>
      </c>
      <c r="J1223" s="20">
        <v>1.5557807228915668</v>
      </c>
      <c r="K1223" s="19">
        <v>8612.98</v>
      </c>
      <c r="L1223" s="20">
        <v>1.0377084337349398</v>
      </c>
      <c r="M1223" s="21">
        <v>0</v>
      </c>
      <c r="N1223" s="19">
        <v>0</v>
      </c>
      <c r="O1223" s="23">
        <v>1660</v>
      </c>
      <c r="P1223" s="24">
        <v>1684</v>
      </c>
      <c r="Q1223" s="25">
        <v>1.0144578313253014</v>
      </c>
      <c r="R1223" s="24">
        <v>1659.9999999999998</v>
      </c>
      <c r="S1223" s="25">
        <v>0.99999999999999989</v>
      </c>
      <c r="T1223" s="25">
        <v>0.98575000000000002</v>
      </c>
      <c r="U1223" s="24">
        <v>0</v>
      </c>
      <c r="V1223" s="19">
        <v>9960</v>
      </c>
      <c r="W1223" s="19">
        <v>14596.98</v>
      </c>
      <c r="X1223" s="21">
        <v>1.4655602409638553</v>
      </c>
      <c r="Y1223" s="19">
        <v>10272.98</v>
      </c>
      <c r="Z1223" s="20">
        <v>1.0314236947791164</v>
      </c>
      <c r="AA1223" s="30">
        <v>8.7299999999999961E-2</v>
      </c>
      <c r="AB1223" s="27">
        <v>7.0000000000000007E-2</v>
      </c>
      <c r="AC1223" s="27">
        <v>8.8499999999999995E-2</v>
      </c>
      <c r="AD1223" s="11">
        <v>8.5705059173018128E-2</v>
      </c>
    </row>
    <row r="1224" spans="1:30" x14ac:dyDescent="0.25">
      <c r="A1224" s="13">
        <v>45924</v>
      </c>
      <c r="B1224" s="46" t="s">
        <v>636</v>
      </c>
      <c r="C1224" s="13">
        <v>45924</v>
      </c>
      <c r="D1224" s="15" t="s">
        <v>1446</v>
      </c>
      <c r="E1224" s="15">
        <v>97</v>
      </c>
      <c r="F1224" s="15">
        <v>90</v>
      </c>
      <c r="G1224" s="13">
        <v>46021</v>
      </c>
      <c r="H1224" s="19">
        <v>7500</v>
      </c>
      <c r="I1224" s="19">
        <v>10013.08</v>
      </c>
      <c r="J1224" s="20">
        <v>1.3350773333333328</v>
      </c>
      <c r="K1224" s="19">
        <v>8413.08</v>
      </c>
      <c r="L1224" s="20">
        <v>1.1217440000000001</v>
      </c>
      <c r="M1224" s="21">
        <v>0</v>
      </c>
      <c r="N1224" s="19">
        <v>0</v>
      </c>
      <c r="O1224" s="23">
        <v>1500</v>
      </c>
      <c r="P1224" s="24">
        <v>700.14</v>
      </c>
      <c r="Q1224" s="25">
        <v>0.46676000000000001</v>
      </c>
      <c r="R1224" s="24">
        <v>700.14</v>
      </c>
      <c r="S1224" s="25">
        <v>0.46676000000000001</v>
      </c>
      <c r="T1224" s="25">
        <v>0</v>
      </c>
      <c r="U1224" s="24">
        <v>0</v>
      </c>
      <c r="V1224" s="19">
        <v>9000</v>
      </c>
      <c r="W1224" s="19">
        <v>10713.22</v>
      </c>
      <c r="X1224" s="21">
        <v>1.1903577777777776</v>
      </c>
      <c r="Y1224" s="19">
        <v>9113.2199999999993</v>
      </c>
      <c r="Z1224" s="20">
        <v>1.01258</v>
      </c>
      <c r="AA1224" s="30">
        <v>8.7000000000000077E-2</v>
      </c>
      <c r="AB1224" s="27">
        <v>7.0000000000000007E-2</v>
      </c>
      <c r="AC1224" s="27">
        <v>8.8000000000000009E-2</v>
      </c>
      <c r="AD1224" s="11">
        <v>8.5677343235048539E-2</v>
      </c>
    </row>
    <row r="1225" spans="1:30" x14ac:dyDescent="0.25">
      <c r="A1225" s="13">
        <v>45926</v>
      </c>
      <c r="B1225" s="46" t="s">
        <v>636</v>
      </c>
      <c r="C1225" s="13">
        <v>45926</v>
      </c>
      <c r="D1225" s="15" t="s">
        <v>1450</v>
      </c>
      <c r="E1225" s="15">
        <v>182</v>
      </c>
      <c r="F1225" s="15">
        <v>180</v>
      </c>
      <c r="G1225" s="13">
        <v>46108</v>
      </c>
      <c r="H1225" s="19">
        <v>5800</v>
      </c>
      <c r="I1225" s="19">
        <v>8973.5099999999984</v>
      </c>
      <c r="J1225" s="20">
        <v>1.5471568965517248</v>
      </c>
      <c r="K1225" s="19">
        <v>5903.6799999999985</v>
      </c>
      <c r="L1225" s="20">
        <v>1.0178758620689652</v>
      </c>
      <c r="M1225" s="21">
        <v>0</v>
      </c>
      <c r="N1225" s="19">
        <v>0</v>
      </c>
      <c r="O1225" s="23">
        <v>1160</v>
      </c>
      <c r="P1225" s="24">
        <v>1730</v>
      </c>
      <c r="Q1225" s="25">
        <v>1.4913793103448276</v>
      </c>
      <c r="R1225" s="24">
        <v>1160</v>
      </c>
      <c r="S1225" s="25">
        <v>1</v>
      </c>
      <c r="T1225" s="25">
        <v>0.67052033333333338</v>
      </c>
      <c r="U1225" s="24">
        <v>0</v>
      </c>
      <c r="V1225" s="19">
        <v>6960</v>
      </c>
      <c r="W1225" s="19">
        <v>10703.509999999998</v>
      </c>
      <c r="X1225" s="21">
        <v>1.5378606321839079</v>
      </c>
      <c r="Y1225" s="19">
        <v>7063.6799999999985</v>
      </c>
      <c r="Z1225" s="20">
        <v>1.0148965517241377</v>
      </c>
      <c r="AA1225" s="30">
        <v>8.5899999999999907E-2</v>
      </c>
      <c r="AB1225" s="27">
        <v>7.0000000000000007E-2</v>
      </c>
      <c r="AC1225" s="27">
        <v>8.7400000000000005E-2</v>
      </c>
      <c r="AD1225" s="11">
        <v>8.4578309268056776E-2</v>
      </c>
    </row>
    <row r="1226" spans="1:30" x14ac:dyDescent="0.25">
      <c r="A1226" s="13">
        <v>45929</v>
      </c>
      <c r="B1226" s="46" t="s">
        <v>636</v>
      </c>
      <c r="C1226" s="13">
        <v>45929</v>
      </c>
      <c r="D1226" s="15" t="s">
        <v>1451</v>
      </c>
      <c r="E1226" s="15">
        <v>28</v>
      </c>
      <c r="F1226" s="15">
        <v>30</v>
      </c>
      <c r="G1226" s="13">
        <v>45957</v>
      </c>
      <c r="H1226" s="19">
        <v>6700</v>
      </c>
      <c r="I1226" s="19">
        <v>9748.66</v>
      </c>
      <c r="J1226" s="20">
        <v>1.4550238805970146</v>
      </c>
      <c r="K1226" s="19">
        <v>7248.6599999999989</v>
      </c>
      <c r="L1226" s="20">
        <v>1.0818895522388059</v>
      </c>
      <c r="M1226" s="21">
        <v>0</v>
      </c>
      <c r="N1226" s="19">
        <v>0</v>
      </c>
      <c r="O1226" s="23">
        <v>1340</v>
      </c>
      <c r="P1226" s="24">
        <v>1010</v>
      </c>
      <c r="Q1226" s="25">
        <v>0.75373134328358204</v>
      </c>
      <c r="R1226" s="24">
        <v>1010</v>
      </c>
      <c r="S1226" s="25">
        <v>0.75373134328358204</v>
      </c>
      <c r="T1226" s="25">
        <v>0</v>
      </c>
      <c r="U1226" s="24">
        <v>0</v>
      </c>
      <c r="V1226" s="19">
        <v>8040</v>
      </c>
      <c r="W1226" s="19">
        <v>10758.66</v>
      </c>
      <c r="X1226" s="21">
        <v>1.3381417910447762</v>
      </c>
      <c r="Y1226" s="19">
        <v>8258.66</v>
      </c>
      <c r="Z1226" s="20">
        <v>1.0271965174129354</v>
      </c>
      <c r="AA1226" s="30">
        <v>8.7299999999999961E-2</v>
      </c>
      <c r="AB1226" s="27">
        <v>7.8E-2</v>
      </c>
      <c r="AC1226" s="27">
        <v>8.8399999999999992E-2</v>
      </c>
      <c r="AD1226" s="11">
        <v>8.6149693496336943E-2</v>
      </c>
    </row>
    <row r="1227" spans="1:30" x14ac:dyDescent="0.25">
      <c r="A1227" s="13">
        <v>45931</v>
      </c>
      <c r="B1227" s="46" t="s">
        <v>636</v>
      </c>
      <c r="C1227" s="13">
        <v>45931</v>
      </c>
      <c r="D1227" s="15" t="s">
        <v>1452</v>
      </c>
      <c r="E1227" s="15">
        <v>90</v>
      </c>
      <c r="F1227" s="15">
        <v>90</v>
      </c>
      <c r="G1227" s="13">
        <v>46021</v>
      </c>
      <c r="H1227" s="19">
        <v>6700</v>
      </c>
      <c r="I1227" s="19">
        <v>9476.9700000000012</v>
      </c>
      <c r="J1227" s="20">
        <v>1.4144731343283579</v>
      </c>
      <c r="K1227" s="19">
        <v>7676.9699999999993</v>
      </c>
      <c r="L1227" s="20">
        <v>1.1458164179104477</v>
      </c>
      <c r="M1227" s="21">
        <v>0</v>
      </c>
      <c r="N1227" s="19">
        <v>0</v>
      </c>
      <c r="O1227" s="23">
        <v>1340</v>
      </c>
      <c r="P1227" s="24">
        <v>25</v>
      </c>
      <c r="Q1227" s="25">
        <v>1.8656716417910446E-2</v>
      </c>
      <c r="R1227" s="24">
        <v>25</v>
      </c>
      <c r="S1227" s="25">
        <v>1.8656716417910446E-2</v>
      </c>
      <c r="T1227" s="25">
        <v>0</v>
      </c>
      <c r="U1227" s="24">
        <v>0</v>
      </c>
      <c r="V1227" s="19">
        <v>8040</v>
      </c>
      <c r="W1227" s="19">
        <v>9501.9700000000012</v>
      </c>
      <c r="X1227" s="21">
        <v>1.181837064676617</v>
      </c>
      <c r="Y1227" s="19">
        <v>7701.9699999999993</v>
      </c>
      <c r="Z1227" s="20">
        <v>0.95795646766169151</v>
      </c>
      <c r="AA1227" s="30">
        <v>8.6399999999999963E-2</v>
      </c>
      <c r="AB1227" s="27">
        <v>7.4999999999999997E-2</v>
      </c>
      <c r="AC1227" s="27">
        <v>8.7400000000000005E-2</v>
      </c>
      <c r="AD1227" s="11">
        <v>8.5440518224706816E-2</v>
      </c>
    </row>
    <row r="1228" spans="1:30" x14ac:dyDescent="0.25">
      <c r="A1228" s="13">
        <v>45932</v>
      </c>
      <c r="B1228" s="46" t="s">
        <v>636</v>
      </c>
      <c r="C1228" s="13">
        <v>45933</v>
      </c>
      <c r="D1228" s="15" t="s">
        <v>1453</v>
      </c>
      <c r="E1228" s="15">
        <v>364</v>
      </c>
      <c r="F1228" s="15">
        <v>360</v>
      </c>
      <c r="G1228" s="13">
        <v>46297</v>
      </c>
      <c r="H1228" s="19">
        <v>6700</v>
      </c>
      <c r="I1228" s="19">
        <v>8757.2299999999977</v>
      </c>
      <c r="J1228" s="20">
        <v>1.3070492537313434</v>
      </c>
      <c r="K1228" s="19">
        <v>5008.43</v>
      </c>
      <c r="L1228" s="20">
        <v>0.74752686567164184</v>
      </c>
      <c r="M1228" s="21">
        <v>0</v>
      </c>
      <c r="N1228" s="19">
        <v>0</v>
      </c>
      <c r="O1228" s="23">
        <v>1340</v>
      </c>
      <c r="P1228" s="24">
        <v>1540</v>
      </c>
      <c r="Q1228" s="25">
        <v>1.1492537313432836</v>
      </c>
      <c r="R1228" s="24">
        <v>1001.686</v>
      </c>
      <c r="S1228" s="25">
        <v>0.74752686567164184</v>
      </c>
      <c r="T1228" s="25">
        <v>0.65044550000000001</v>
      </c>
      <c r="U1228" s="24">
        <v>0</v>
      </c>
      <c r="V1228" s="19">
        <v>8040</v>
      </c>
      <c r="W1228" s="19">
        <v>10297.229999999998</v>
      </c>
      <c r="X1228" s="21">
        <v>1.2807499999999996</v>
      </c>
      <c r="Y1228" s="19">
        <v>6010.116</v>
      </c>
      <c r="Z1228" s="20">
        <v>0.74752686567164184</v>
      </c>
      <c r="AA1228" s="30">
        <v>8.0499999999999891E-2</v>
      </c>
      <c r="AB1228" s="27">
        <v>6.6900000000000001E-2</v>
      </c>
      <c r="AC1228" s="27">
        <v>8.4700000000000011E-2</v>
      </c>
      <c r="AD1228" s="11">
        <v>8.0159130912400428E-2</v>
      </c>
    </row>
    <row r="1229" spans="1:30" x14ac:dyDescent="0.25">
      <c r="A1229" s="13">
        <v>45936</v>
      </c>
      <c r="B1229" s="46" t="s">
        <v>636</v>
      </c>
      <c r="C1229" s="13">
        <v>45936</v>
      </c>
      <c r="D1229" s="15" t="s">
        <v>1454</v>
      </c>
      <c r="E1229" s="15">
        <v>28</v>
      </c>
      <c r="F1229" s="15">
        <v>30</v>
      </c>
      <c r="G1229" s="13">
        <v>45964</v>
      </c>
      <c r="H1229" s="19">
        <v>8300</v>
      </c>
      <c r="I1229" s="19">
        <v>16999.259999999995</v>
      </c>
      <c r="J1229" s="20">
        <v>2.048103614457832</v>
      </c>
      <c r="K1229" s="19">
        <v>10302.509999999998</v>
      </c>
      <c r="L1229" s="20">
        <v>1.2412662650602408</v>
      </c>
      <c r="M1229" s="21">
        <v>0</v>
      </c>
      <c r="N1229" s="19">
        <v>0</v>
      </c>
      <c r="O1229" s="23">
        <v>1660</v>
      </c>
      <c r="P1229" s="24">
        <v>73.400000000000006</v>
      </c>
      <c r="Q1229" s="25">
        <v>4.4216867469879517E-2</v>
      </c>
      <c r="R1229" s="24">
        <v>73.400000000000006</v>
      </c>
      <c r="S1229" s="25">
        <v>4.4216867469879524E-2</v>
      </c>
      <c r="T1229" s="25">
        <v>0</v>
      </c>
      <c r="U1229" s="24">
        <v>0</v>
      </c>
      <c r="V1229" s="19">
        <v>9960</v>
      </c>
      <c r="W1229" s="19">
        <v>17072.659999999996</v>
      </c>
      <c r="X1229" s="21">
        <v>1.7141224899598391</v>
      </c>
      <c r="Y1229" s="19">
        <v>10375.909999999998</v>
      </c>
      <c r="Z1229" s="20">
        <v>1.0417580321285138</v>
      </c>
      <c r="AA1229" s="30">
        <v>8.4900000000000114E-2</v>
      </c>
      <c r="AB1229" s="27">
        <v>7.7300000000000008E-2</v>
      </c>
      <c r="AC1229" s="27">
        <v>9.1600000000000001E-2</v>
      </c>
      <c r="AD1229" s="11">
        <v>8.4563273636617184E-2</v>
      </c>
    </row>
    <row r="1230" spans="1:30" x14ac:dyDescent="0.25">
      <c r="A1230" s="13">
        <v>45938</v>
      </c>
      <c r="B1230" s="46" t="s">
        <v>636</v>
      </c>
      <c r="C1230" s="13">
        <v>45938</v>
      </c>
      <c r="D1230" s="15" t="s">
        <v>1455</v>
      </c>
      <c r="E1230" s="15">
        <v>91</v>
      </c>
      <c r="F1230" s="15">
        <v>90</v>
      </c>
      <c r="G1230" s="13">
        <v>46029</v>
      </c>
      <c r="H1230" s="19">
        <v>6700</v>
      </c>
      <c r="I1230" s="19">
        <v>13626.870000000003</v>
      </c>
      <c r="J1230" s="20">
        <v>2.0338611940298503</v>
      </c>
      <c r="K1230" s="19">
        <v>6887.920000000001</v>
      </c>
      <c r="L1230" s="20">
        <v>1.02804776119403</v>
      </c>
      <c r="M1230" s="21">
        <v>0</v>
      </c>
      <c r="N1230" s="19">
        <v>0</v>
      </c>
      <c r="O1230" s="23">
        <v>1340</v>
      </c>
      <c r="P1230" s="24">
        <v>2025</v>
      </c>
      <c r="Q1230" s="25">
        <v>1.5111940298507462</v>
      </c>
      <c r="R1230" s="24">
        <v>1340</v>
      </c>
      <c r="S1230" s="25">
        <v>1</v>
      </c>
      <c r="T1230" s="25">
        <v>0.66173000000000004</v>
      </c>
      <c r="U1230" s="24">
        <v>0</v>
      </c>
      <c r="V1230" s="19">
        <v>8040</v>
      </c>
      <c r="W1230" s="19">
        <v>15651.870000000003</v>
      </c>
      <c r="X1230" s="21">
        <v>1.9467500000000004</v>
      </c>
      <c r="Y1230" s="19">
        <v>8227.9200000000019</v>
      </c>
      <c r="Z1230" s="20">
        <v>1.0233731343283585</v>
      </c>
      <c r="AA1230" s="30">
        <v>8.1299999999999914E-2</v>
      </c>
      <c r="AB1230" s="27">
        <v>7.2999999999999995E-2</v>
      </c>
      <c r="AC1230" s="27">
        <v>8.8399999999999992E-2</v>
      </c>
      <c r="AD1230" s="11">
        <v>8.1315697074970258E-2</v>
      </c>
    </row>
    <row r="1231" spans="1:30" x14ac:dyDescent="0.25">
      <c r="A1231" s="13">
        <v>45940</v>
      </c>
      <c r="B1231" s="46" t="s">
        <v>636</v>
      </c>
      <c r="C1231" s="13">
        <v>45940</v>
      </c>
      <c r="D1231" s="15" t="s">
        <v>1456</v>
      </c>
      <c r="E1231" s="15">
        <v>182</v>
      </c>
      <c r="F1231" s="15">
        <v>180</v>
      </c>
      <c r="G1231" s="13">
        <v>46122</v>
      </c>
      <c r="H1231" s="19">
        <v>6700</v>
      </c>
      <c r="I1231" s="19">
        <v>11819.080000000002</v>
      </c>
      <c r="J1231" s="20">
        <v>1.7640417910447759</v>
      </c>
      <c r="K1231" s="19">
        <v>7847.2399999999989</v>
      </c>
      <c r="L1231" s="20">
        <v>1.1712298507462684</v>
      </c>
      <c r="M1231" s="21">
        <v>0</v>
      </c>
      <c r="N1231" s="19">
        <v>0</v>
      </c>
      <c r="O1231" s="23">
        <v>1340</v>
      </c>
      <c r="P1231" s="24">
        <v>800</v>
      </c>
      <c r="Q1231" s="25">
        <v>0.59701492537313428</v>
      </c>
      <c r="R1231" s="24">
        <v>800</v>
      </c>
      <c r="S1231" s="25">
        <v>0.59701492537313428</v>
      </c>
      <c r="T1231" s="25">
        <v>0</v>
      </c>
      <c r="U1231" s="24">
        <v>0</v>
      </c>
      <c r="V1231" s="19">
        <v>8040</v>
      </c>
      <c r="W1231" s="19">
        <v>12619.080000000002</v>
      </c>
      <c r="X1231" s="21">
        <v>1.5695373134328361</v>
      </c>
      <c r="Y1231" s="19">
        <v>8647.239999999998</v>
      </c>
      <c r="Z1231" s="20">
        <v>1.0755273631840794</v>
      </c>
      <c r="AA1231" s="30">
        <v>7.8999999999999987E-2</v>
      </c>
      <c r="AB1231" s="27">
        <v>7.0000000000000007E-2</v>
      </c>
      <c r="AC1231" s="27">
        <v>8.2299999999999998E-2</v>
      </c>
      <c r="AD1231" s="11">
        <v>7.791669106224848E-2</v>
      </c>
    </row>
    <row r="1232" spans="1:30" x14ac:dyDescent="0.25">
      <c r="A1232" s="13">
        <v>45943</v>
      </c>
      <c r="B1232" s="46" t="s">
        <v>636</v>
      </c>
      <c r="C1232" s="13">
        <v>45943</v>
      </c>
      <c r="D1232" s="15" t="s">
        <v>1457</v>
      </c>
      <c r="E1232" s="15">
        <v>35</v>
      </c>
      <c r="F1232" s="15">
        <v>30</v>
      </c>
      <c r="G1232" s="13">
        <v>45978</v>
      </c>
      <c r="H1232" s="19">
        <v>6700</v>
      </c>
      <c r="I1232" s="19">
        <v>14443.699999999999</v>
      </c>
      <c r="J1232" s="20">
        <v>2.1557761194029847</v>
      </c>
      <c r="K1232" s="19">
        <v>7294.6</v>
      </c>
      <c r="L1232" s="20">
        <v>1.0887462686567164</v>
      </c>
      <c r="M1232" s="21">
        <v>0</v>
      </c>
      <c r="N1232" s="19">
        <v>0</v>
      </c>
      <c r="O1232" s="23">
        <v>1340</v>
      </c>
      <c r="P1232" s="24">
        <v>1345</v>
      </c>
      <c r="Q1232" s="25">
        <v>1.0037313432835822</v>
      </c>
      <c r="R1232" s="24">
        <v>1340</v>
      </c>
      <c r="S1232" s="25">
        <v>1</v>
      </c>
      <c r="T1232" s="25">
        <v>0.99628253731343297</v>
      </c>
      <c r="U1232" s="24">
        <v>0</v>
      </c>
      <c r="V1232" s="19">
        <v>8040</v>
      </c>
      <c r="W1232" s="19">
        <v>15788.699999999999</v>
      </c>
      <c r="X1232" s="21">
        <v>1.9637686567164179</v>
      </c>
      <c r="Y1232" s="19">
        <v>8634.6</v>
      </c>
      <c r="Z1232" s="20">
        <v>1.0739552238805972</v>
      </c>
      <c r="AA1232" s="30">
        <v>8.2399999999999932E-2</v>
      </c>
      <c r="AB1232" s="27">
        <v>7.0000000000000007E-2</v>
      </c>
      <c r="AC1232" s="27">
        <v>8.9499999999999996E-2</v>
      </c>
      <c r="AD1232" s="11">
        <v>8.2356208935383604E-2</v>
      </c>
    </row>
    <row r="1233" spans="1:30" x14ac:dyDescent="0.25">
      <c r="A1233" s="13">
        <v>45945</v>
      </c>
      <c r="B1233" s="46" t="s">
        <v>636</v>
      </c>
      <c r="C1233" s="13">
        <v>45945</v>
      </c>
      <c r="D1233" s="15" t="s">
        <v>1458</v>
      </c>
      <c r="E1233" s="15">
        <v>84</v>
      </c>
      <c r="F1233" s="15">
        <v>90</v>
      </c>
      <c r="G1233" s="13">
        <v>46029</v>
      </c>
      <c r="H1233" s="19">
        <v>6700</v>
      </c>
      <c r="I1233" s="19">
        <v>14122.15</v>
      </c>
      <c r="J1233" s="20">
        <v>2.1077835820895525</v>
      </c>
      <c r="K1233" s="19">
        <v>8792.9000000000015</v>
      </c>
      <c r="L1233" s="20">
        <v>1.3123731343283584</v>
      </c>
      <c r="M1233" s="21">
        <v>0</v>
      </c>
      <c r="N1233" s="19">
        <v>0</v>
      </c>
      <c r="O1233" s="23">
        <v>1340</v>
      </c>
      <c r="P1233" s="24">
        <v>870</v>
      </c>
      <c r="Q1233" s="25">
        <v>0.64925373134328357</v>
      </c>
      <c r="R1233" s="24">
        <v>870</v>
      </c>
      <c r="S1233" s="25">
        <v>0.64925373134328357</v>
      </c>
      <c r="T1233" s="25">
        <v>0</v>
      </c>
      <c r="U1233" s="24">
        <v>0</v>
      </c>
      <c r="V1233" s="19">
        <v>8040</v>
      </c>
      <c r="W1233" s="19">
        <v>14992.15</v>
      </c>
      <c r="X1233" s="21">
        <v>1.8646952736318407</v>
      </c>
      <c r="Y1233" s="19">
        <v>9662.9000000000015</v>
      </c>
      <c r="Z1233" s="20">
        <v>1.2018532338308459</v>
      </c>
      <c r="AA1233" s="30">
        <v>7.8999999999999959E-2</v>
      </c>
      <c r="AB1233" s="27">
        <v>6.9900000000000004E-2</v>
      </c>
      <c r="AC1233" s="27">
        <v>8.2500000000000004E-2</v>
      </c>
      <c r="AD1233" s="11">
        <v>7.8091790839213568E-2</v>
      </c>
    </row>
    <row r="1234" spans="1:30" x14ac:dyDescent="0.25">
      <c r="A1234" s="13">
        <v>45946</v>
      </c>
      <c r="B1234" s="46" t="s">
        <v>636</v>
      </c>
      <c r="C1234" s="13">
        <v>45947</v>
      </c>
      <c r="D1234" s="15" t="s">
        <v>1461</v>
      </c>
      <c r="E1234" s="15">
        <v>378</v>
      </c>
      <c r="F1234" s="15">
        <v>360</v>
      </c>
      <c r="G1234" s="13">
        <v>46325</v>
      </c>
      <c r="H1234" s="19">
        <v>6700</v>
      </c>
      <c r="I1234" s="19">
        <v>12310.07</v>
      </c>
      <c r="J1234" s="20">
        <v>1.8373238805970147</v>
      </c>
      <c r="K1234" s="19">
        <v>6709.07</v>
      </c>
      <c r="L1234" s="20">
        <v>1.0013537313432836</v>
      </c>
      <c r="M1234" s="21">
        <v>0</v>
      </c>
      <c r="N1234" s="19">
        <v>0</v>
      </c>
      <c r="O1234" s="23">
        <v>1340</v>
      </c>
      <c r="P1234" s="24">
        <v>1340</v>
      </c>
      <c r="Q1234" s="25">
        <v>1</v>
      </c>
      <c r="R1234" s="24">
        <v>1340</v>
      </c>
      <c r="S1234" s="25">
        <v>1</v>
      </c>
      <c r="T1234" s="25">
        <v>0</v>
      </c>
      <c r="U1234" s="24">
        <v>0</v>
      </c>
      <c r="V1234" s="19">
        <v>8040</v>
      </c>
      <c r="W1234" s="19">
        <v>13650.07</v>
      </c>
      <c r="X1234" s="21">
        <v>1.6977699004975124</v>
      </c>
      <c r="Y1234" s="19">
        <v>8049.07</v>
      </c>
      <c r="Z1234" s="20">
        <v>1.0011281094527362</v>
      </c>
      <c r="AA1234" s="30">
        <v>7.7399999999999941E-2</v>
      </c>
      <c r="AB1234" s="27">
        <v>0.05</v>
      </c>
      <c r="AC1234" s="27">
        <v>8.5000000000000006E-2</v>
      </c>
      <c r="AD1234" s="11">
        <v>7.6800345164568531E-2</v>
      </c>
    </row>
    <row r="1235" spans="1:30" x14ac:dyDescent="0.25">
      <c r="A1235" s="13">
        <v>45950</v>
      </c>
      <c r="B1235" s="46" t="s">
        <v>636</v>
      </c>
      <c r="C1235" s="13">
        <v>45950</v>
      </c>
      <c r="D1235" s="15" t="s">
        <v>1462</v>
      </c>
      <c r="E1235" s="15">
        <v>35</v>
      </c>
      <c r="F1235" s="15">
        <v>30</v>
      </c>
      <c r="G1235" s="13">
        <v>45985</v>
      </c>
      <c r="H1235" s="19">
        <v>8200</v>
      </c>
      <c r="I1235" s="19">
        <v>15865.210000000003</v>
      </c>
      <c r="J1235" s="20">
        <v>1.9347817073170743</v>
      </c>
      <c r="K1235" s="19">
        <v>10565.210000000001</v>
      </c>
      <c r="L1235" s="20">
        <v>1.2884402439024392</v>
      </c>
      <c r="M1235" s="21">
        <v>0</v>
      </c>
      <c r="N1235" s="19">
        <v>0</v>
      </c>
      <c r="O1235" s="23">
        <v>1640</v>
      </c>
      <c r="P1235" s="24">
        <v>2050.3000000000002</v>
      </c>
      <c r="Q1235" s="25">
        <v>1.2501829268292683</v>
      </c>
      <c r="R1235" s="24">
        <v>1640</v>
      </c>
      <c r="S1235" s="25">
        <v>1</v>
      </c>
      <c r="T1235" s="25">
        <v>0.79988400000000004</v>
      </c>
      <c r="U1235" s="24">
        <v>0</v>
      </c>
      <c r="V1235" s="19">
        <v>9840</v>
      </c>
      <c r="W1235" s="19">
        <v>17915.510000000002</v>
      </c>
      <c r="X1235" s="21">
        <v>1.8206819105691059</v>
      </c>
      <c r="Y1235" s="19">
        <v>12205.210000000001</v>
      </c>
      <c r="Z1235" s="20">
        <v>1.2403668699186994</v>
      </c>
      <c r="AA1235" s="30">
        <v>8.0499999999999877E-2</v>
      </c>
      <c r="AB1235" s="27">
        <v>0.05</v>
      </c>
      <c r="AC1235" s="27">
        <v>8.4000000000000005E-2</v>
      </c>
      <c r="AD1235" s="11">
        <v>7.8409780960983166E-2</v>
      </c>
    </row>
    <row r="1236" spans="1:30" x14ac:dyDescent="0.25">
      <c r="A1236" s="13">
        <v>45952</v>
      </c>
      <c r="B1236" s="46" t="s">
        <v>636</v>
      </c>
      <c r="C1236" s="13">
        <v>45952</v>
      </c>
      <c r="D1236" s="15" t="s">
        <v>1463</v>
      </c>
      <c r="E1236" s="15">
        <v>91</v>
      </c>
      <c r="F1236" s="15">
        <v>90</v>
      </c>
      <c r="G1236" s="13">
        <v>46043</v>
      </c>
      <c r="H1236" s="19">
        <v>5800</v>
      </c>
      <c r="I1236" s="19">
        <v>10931.939999999999</v>
      </c>
      <c r="J1236" s="20">
        <v>1.8848172413793112</v>
      </c>
      <c r="K1236" s="19">
        <v>6691.94</v>
      </c>
      <c r="L1236" s="20">
        <v>1.1537827586206897</v>
      </c>
      <c r="M1236" s="21">
        <v>0</v>
      </c>
      <c r="N1236" s="19">
        <v>0</v>
      </c>
      <c r="O1236" s="23">
        <v>1160</v>
      </c>
      <c r="P1236" s="24">
        <v>660</v>
      </c>
      <c r="Q1236" s="25">
        <v>0.56896551724137934</v>
      </c>
      <c r="R1236" s="24">
        <v>660</v>
      </c>
      <c r="S1236" s="25">
        <v>0.56896551724137934</v>
      </c>
      <c r="T1236" s="25">
        <v>0</v>
      </c>
      <c r="U1236" s="24">
        <v>0</v>
      </c>
      <c r="V1236" s="19">
        <v>6960</v>
      </c>
      <c r="W1236" s="19">
        <v>11591.939999999999</v>
      </c>
      <c r="X1236" s="21">
        <v>1.665508620689655</v>
      </c>
      <c r="Y1236" s="19">
        <v>7351.94</v>
      </c>
      <c r="Z1236" s="20">
        <v>1.0563132183908046</v>
      </c>
      <c r="AA1236" s="30">
        <v>7.9400000000000026E-2</v>
      </c>
      <c r="AB1236" s="27">
        <v>0.01</v>
      </c>
      <c r="AC1236" s="27">
        <v>8.3400000000000002E-2</v>
      </c>
      <c r="AD1236" s="11">
        <v>7.7170848906964393E-2</v>
      </c>
    </row>
    <row r="1237" spans="1:30" x14ac:dyDescent="0.25">
      <c r="A1237" s="13">
        <v>45954</v>
      </c>
      <c r="B1237" s="46" t="s">
        <v>636</v>
      </c>
      <c r="C1237" s="13">
        <v>45954</v>
      </c>
      <c r="D1237" s="15" t="s">
        <v>1469</v>
      </c>
      <c r="E1237" s="15">
        <v>182</v>
      </c>
      <c r="F1237" s="15">
        <v>180</v>
      </c>
      <c r="G1237" s="13">
        <v>46136</v>
      </c>
      <c r="H1237" s="19">
        <v>5800</v>
      </c>
      <c r="I1237" s="19">
        <v>9125.3100000000013</v>
      </c>
      <c r="J1237" s="20">
        <v>1.5733293103448283</v>
      </c>
      <c r="K1237" s="19">
        <v>6779.89</v>
      </c>
      <c r="L1237" s="20">
        <v>1.168946551724138</v>
      </c>
      <c r="M1237" s="21">
        <v>0</v>
      </c>
      <c r="N1237" s="19">
        <v>0</v>
      </c>
      <c r="O1237" s="23">
        <v>1160</v>
      </c>
      <c r="P1237" s="24">
        <v>700</v>
      </c>
      <c r="Q1237" s="25">
        <v>0.60344827586206895</v>
      </c>
      <c r="R1237" s="24">
        <v>700</v>
      </c>
      <c r="S1237" s="25">
        <v>0.60344827586206895</v>
      </c>
      <c r="T1237" s="25">
        <v>0</v>
      </c>
      <c r="U1237" s="24">
        <v>0</v>
      </c>
      <c r="V1237" s="19">
        <v>6960</v>
      </c>
      <c r="W1237" s="19">
        <v>9825.3100000000013</v>
      </c>
      <c r="X1237" s="21">
        <v>1.4116824712643681</v>
      </c>
      <c r="Y1237" s="19">
        <v>7479.89</v>
      </c>
      <c r="Z1237" s="20">
        <v>1.0746968390804599</v>
      </c>
      <c r="AA1237" s="30">
        <v>7.9399999999999943E-2</v>
      </c>
      <c r="AB1237" s="27">
        <v>0.01</v>
      </c>
      <c r="AC1237" s="27">
        <v>8.4700000000000011E-2</v>
      </c>
      <c r="AD1237" s="11">
        <v>7.7447051990562468E-2</v>
      </c>
    </row>
    <row r="1238" spans="1:30" x14ac:dyDescent="0.25">
      <c r="A1238" s="13">
        <v>45957</v>
      </c>
      <c r="B1238" s="46" t="s">
        <v>636</v>
      </c>
      <c r="C1238" s="13">
        <v>45957</v>
      </c>
      <c r="D1238" s="15" t="s">
        <v>1470</v>
      </c>
      <c r="E1238" s="15">
        <v>28</v>
      </c>
      <c r="F1238" s="15">
        <v>30</v>
      </c>
      <c r="G1238" s="13">
        <v>45985</v>
      </c>
      <c r="H1238" s="19">
        <v>6600</v>
      </c>
      <c r="I1238" s="19">
        <v>7831.5199999999995</v>
      </c>
      <c r="J1238" s="20">
        <v>1.1865939393939395</v>
      </c>
      <c r="K1238" s="19">
        <v>7081.5199999999995</v>
      </c>
      <c r="L1238" s="20">
        <v>1.0729575757575758</v>
      </c>
      <c r="M1238" s="21">
        <v>0</v>
      </c>
      <c r="N1238" s="19">
        <v>0</v>
      </c>
      <c r="O1238" s="23">
        <v>1320</v>
      </c>
      <c r="P1238" s="24">
        <v>1010</v>
      </c>
      <c r="Q1238" s="25">
        <v>0.76515151515151514</v>
      </c>
      <c r="R1238" s="24">
        <v>1010</v>
      </c>
      <c r="S1238" s="25">
        <v>0.76515151515151514</v>
      </c>
      <c r="T1238" s="25">
        <v>0</v>
      </c>
      <c r="U1238" s="24">
        <v>0</v>
      </c>
      <c r="V1238" s="19">
        <v>7920</v>
      </c>
      <c r="W1238" s="19">
        <v>8841.52</v>
      </c>
      <c r="X1238" s="21">
        <v>1.1163535353535354</v>
      </c>
      <c r="Y1238" s="19">
        <v>8091.5199999999995</v>
      </c>
      <c r="Z1238" s="20">
        <v>1.0216565656565657</v>
      </c>
      <c r="AA1238" s="30">
        <v>8.1799999999999956E-2</v>
      </c>
      <c r="AB1238" s="27">
        <v>0.01</v>
      </c>
      <c r="AC1238" s="27">
        <v>8.7100000000000011E-2</v>
      </c>
      <c r="AD1238" s="11">
        <v>7.7606013392036308E-2</v>
      </c>
    </row>
    <row r="1239" spans="1:30" x14ac:dyDescent="0.25">
      <c r="A1239" s="13">
        <v>45959</v>
      </c>
      <c r="B1239" s="46" t="s">
        <v>636</v>
      </c>
      <c r="C1239" s="13">
        <v>45959</v>
      </c>
      <c r="D1239" s="15" t="s">
        <v>1479</v>
      </c>
      <c r="E1239" s="15">
        <v>84</v>
      </c>
      <c r="F1239" s="15">
        <v>90</v>
      </c>
      <c r="G1239" s="13">
        <v>46043</v>
      </c>
      <c r="H1239" s="19">
        <v>5800</v>
      </c>
      <c r="I1239" s="19">
        <v>9284.3700000000008</v>
      </c>
      <c r="J1239" s="20">
        <v>1.6007534482758621</v>
      </c>
      <c r="K1239" s="19">
        <v>7284.369999999999</v>
      </c>
      <c r="L1239" s="20">
        <v>1.2559258620689653</v>
      </c>
      <c r="M1239" s="21">
        <v>0</v>
      </c>
      <c r="N1239" s="19">
        <v>0</v>
      </c>
      <c r="O1239" s="23">
        <v>1160</v>
      </c>
      <c r="P1239" s="24">
        <v>1.02</v>
      </c>
      <c r="Q1239" s="25">
        <v>8.793103448275862E-4</v>
      </c>
      <c r="R1239" s="24">
        <v>1.02</v>
      </c>
      <c r="S1239" s="25">
        <v>8.793103448275862E-4</v>
      </c>
      <c r="T1239" s="25">
        <v>0</v>
      </c>
      <c r="U1239" s="24">
        <v>0</v>
      </c>
      <c r="V1239" s="19">
        <v>6960</v>
      </c>
      <c r="W1239" s="19">
        <v>9285.3900000000012</v>
      </c>
      <c r="X1239" s="21">
        <v>1.3341077586206898</v>
      </c>
      <c r="Y1239" s="19">
        <v>7285.3899999999994</v>
      </c>
      <c r="Z1239" s="20">
        <v>1.0467514367816091</v>
      </c>
      <c r="AA1239" s="30">
        <v>8.0000000000000029E-2</v>
      </c>
      <c r="AB1239" s="27">
        <v>6.5000000000000002E-2</v>
      </c>
      <c r="AC1239" s="27">
        <v>8.2100000000000006E-2</v>
      </c>
      <c r="AD1239" s="11">
        <v>7.6828152583320125E-2</v>
      </c>
    </row>
    <row r="1240" spans="1:30" x14ac:dyDescent="0.25">
      <c r="A1240" s="13">
        <v>45960</v>
      </c>
      <c r="B1240" s="46" t="s">
        <v>636</v>
      </c>
      <c r="C1240" s="13">
        <v>45961</v>
      </c>
      <c r="D1240" s="15" t="s">
        <v>1480</v>
      </c>
      <c r="E1240" s="15">
        <v>364</v>
      </c>
      <c r="F1240" s="15">
        <v>360</v>
      </c>
      <c r="G1240" s="13">
        <v>46325</v>
      </c>
      <c r="H1240" s="19">
        <v>5000</v>
      </c>
      <c r="I1240" s="19">
        <v>6243.7599999999993</v>
      </c>
      <c r="J1240" s="20">
        <v>1.2487520000000001</v>
      </c>
      <c r="K1240" s="19">
        <v>5193.7599999999993</v>
      </c>
      <c r="L1240" s="20">
        <v>1.0387519999999999</v>
      </c>
      <c r="M1240" s="21">
        <v>0</v>
      </c>
      <c r="N1240" s="19">
        <v>0</v>
      </c>
      <c r="O1240" s="23">
        <v>1000</v>
      </c>
      <c r="P1240" s="24">
        <v>1330</v>
      </c>
      <c r="Q1240" s="25">
        <v>1.33</v>
      </c>
      <c r="R1240" s="24">
        <v>1000</v>
      </c>
      <c r="S1240" s="25">
        <v>1</v>
      </c>
      <c r="T1240" s="25">
        <v>0.75187999999999999</v>
      </c>
      <c r="U1240" s="24">
        <v>0</v>
      </c>
      <c r="V1240" s="19">
        <v>6000</v>
      </c>
      <c r="W1240" s="19">
        <v>7573.7599999999993</v>
      </c>
      <c r="X1240" s="21">
        <v>1.2622933333333333</v>
      </c>
      <c r="Y1240" s="19">
        <v>6193.7599999999993</v>
      </c>
      <c r="Z1240" s="20">
        <v>1.0322933333333333</v>
      </c>
      <c r="AA1240" s="30">
        <v>7.7799999999999966E-2</v>
      </c>
      <c r="AB1240" s="27">
        <v>6.5000000000000002E-2</v>
      </c>
      <c r="AC1240" s="27">
        <v>8.3699999999999997E-2</v>
      </c>
      <c r="AD1240" s="11">
        <v>7.6510582725793461E-2</v>
      </c>
    </row>
    <row r="1241" spans="1:30" x14ac:dyDescent="0.25">
      <c r="A1241" s="13">
        <v>45964</v>
      </c>
      <c r="B1241" s="46" t="s">
        <v>636</v>
      </c>
      <c r="C1241" s="13">
        <v>45964</v>
      </c>
      <c r="D1241" s="15" t="s">
        <v>1481</v>
      </c>
      <c r="E1241" s="15">
        <v>35</v>
      </c>
      <c r="F1241" s="15">
        <v>30</v>
      </c>
      <c r="G1241" s="13">
        <v>45999</v>
      </c>
      <c r="H1241" s="19">
        <v>6600</v>
      </c>
      <c r="I1241" s="19">
        <v>8909.51</v>
      </c>
      <c r="J1241" s="20">
        <v>1.3499257575757575</v>
      </c>
      <c r="K1241" s="19">
        <v>7159.5099999999993</v>
      </c>
      <c r="L1241" s="20">
        <v>1.0847742424242424</v>
      </c>
      <c r="M1241" s="21">
        <v>0</v>
      </c>
      <c r="N1241" s="19">
        <v>0</v>
      </c>
      <c r="O1241" s="23">
        <v>1320</v>
      </c>
      <c r="P1241" s="24">
        <v>1073.4000000000001</v>
      </c>
      <c r="Q1241" s="25">
        <v>0.81318181818181812</v>
      </c>
      <c r="R1241" s="24">
        <v>1073.4000000000001</v>
      </c>
      <c r="S1241" s="25">
        <v>0.81318181818181823</v>
      </c>
      <c r="T1241" s="25">
        <v>0</v>
      </c>
      <c r="U1241" s="24">
        <v>0</v>
      </c>
      <c r="V1241" s="19">
        <v>7920</v>
      </c>
      <c r="W1241" s="19">
        <v>9982.91</v>
      </c>
      <c r="X1241" s="21">
        <v>1.2604684343434343</v>
      </c>
      <c r="Y1241" s="19">
        <v>8232.91</v>
      </c>
      <c r="Z1241" s="20">
        <v>1.0395088383838385</v>
      </c>
      <c r="AA1241" s="30">
        <v>8.0000000000000043E-2</v>
      </c>
      <c r="AB1241" s="27">
        <v>6.8000000000000005E-2</v>
      </c>
      <c r="AC1241" s="27">
        <v>8.4600000000000009E-2</v>
      </c>
      <c r="AD1241" s="11">
        <v>7.7761178785365301E-2</v>
      </c>
    </row>
    <row r="1242" spans="1:30" x14ac:dyDescent="0.25">
      <c r="A1242" s="13">
        <v>45966</v>
      </c>
      <c r="B1242" s="46" t="s">
        <v>636</v>
      </c>
      <c r="C1242" s="13">
        <v>45966</v>
      </c>
      <c r="D1242" s="15" t="s">
        <v>1482</v>
      </c>
      <c r="E1242" s="15">
        <v>98</v>
      </c>
      <c r="F1242" s="15">
        <v>90</v>
      </c>
      <c r="G1242" s="13">
        <v>46064</v>
      </c>
      <c r="H1242" s="19">
        <v>5800</v>
      </c>
      <c r="I1242" s="19">
        <v>7722.8200000000015</v>
      </c>
      <c r="J1242" s="20">
        <v>1.3315206896551726</v>
      </c>
      <c r="K1242" s="19">
        <v>6722.8200000000015</v>
      </c>
      <c r="L1242" s="20">
        <v>1.1591068965517244</v>
      </c>
      <c r="M1242" s="21">
        <v>0</v>
      </c>
      <c r="N1242" s="19">
        <v>0</v>
      </c>
      <c r="O1242" s="23">
        <v>1160</v>
      </c>
      <c r="P1242" s="24">
        <v>544</v>
      </c>
      <c r="Q1242" s="25">
        <v>0.4689655172413793</v>
      </c>
      <c r="R1242" s="24">
        <v>544</v>
      </c>
      <c r="S1242" s="25">
        <v>0.4689655172413793</v>
      </c>
      <c r="T1242" s="25">
        <v>0</v>
      </c>
      <c r="U1242" s="24">
        <v>0</v>
      </c>
      <c r="V1242" s="19">
        <v>6960</v>
      </c>
      <c r="W1242" s="19">
        <v>8266.8200000000015</v>
      </c>
      <c r="X1242" s="21">
        <v>1.1877614942528738</v>
      </c>
      <c r="Y1242" s="19">
        <v>7266.8200000000015</v>
      </c>
      <c r="Z1242" s="20">
        <v>1.0440833333333335</v>
      </c>
      <c r="AA1242" s="30">
        <v>8.0000000000000043E-2</v>
      </c>
      <c r="AB1242" s="27">
        <v>6.9900000000000004E-2</v>
      </c>
      <c r="AC1242" s="27">
        <v>8.2299999999999998E-2</v>
      </c>
      <c r="AD1242" s="11">
        <v>7.7810242243118458E-2</v>
      </c>
    </row>
    <row r="1243" spans="1:30" x14ac:dyDescent="0.25">
      <c r="A1243" s="13">
        <v>45968</v>
      </c>
      <c r="B1243" s="46" t="s">
        <v>636</v>
      </c>
      <c r="C1243" s="13">
        <v>45968</v>
      </c>
      <c r="D1243" s="15" t="s">
        <v>1483</v>
      </c>
      <c r="E1243" s="15">
        <v>168</v>
      </c>
      <c r="F1243" s="15">
        <v>180</v>
      </c>
      <c r="G1243" s="13">
        <v>46136</v>
      </c>
      <c r="H1243" s="19">
        <v>5000</v>
      </c>
      <c r="I1243" s="19">
        <v>11845.66</v>
      </c>
      <c r="J1243" s="20">
        <v>2.369132</v>
      </c>
      <c r="K1243" s="19">
        <v>5145.16</v>
      </c>
      <c r="L1243" s="20">
        <v>1.0290319999999999</v>
      </c>
      <c r="M1243" s="21">
        <v>0</v>
      </c>
      <c r="N1243" s="19">
        <v>0</v>
      </c>
      <c r="O1243" s="23">
        <v>1000</v>
      </c>
      <c r="P1243" s="24">
        <v>1200</v>
      </c>
      <c r="Q1243" s="25">
        <v>1.2</v>
      </c>
      <c r="R1243" s="24">
        <v>1000</v>
      </c>
      <c r="S1243" s="25">
        <v>1</v>
      </c>
      <c r="T1243" s="25">
        <v>0.83333333333333337</v>
      </c>
      <c r="U1243" s="24">
        <v>0</v>
      </c>
      <c r="V1243" s="19">
        <v>6000</v>
      </c>
      <c r="W1243" s="19">
        <v>13045.66</v>
      </c>
      <c r="X1243" s="21">
        <v>2.1742766666666666</v>
      </c>
      <c r="Y1243" s="19">
        <v>6145.16</v>
      </c>
      <c r="Z1243" s="20">
        <v>1.0241933333333333</v>
      </c>
      <c r="AA1243" s="30">
        <v>7.85E-2</v>
      </c>
      <c r="AB1243" s="27">
        <v>0.04</v>
      </c>
      <c r="AC1243" s="27">
        <v>8.5000000000000006E-2</v>
      </c>
      <c r="AD1243" s="11">
        <v>7.9266134938872149E-2</v>
      </c>
    </row>
    <row r="1244" spans="1:30" x14ac:dyDescent="0.25">
      <c r="A1244" s="13">
        <v>45971</v>
      </c>
      <c r="B1244" s="46" t="s">
        <v>636</v>
      </c>
      <c r="C1244" s="13">
        <v>45971</v>
      </c>
      <c r="D1244" s="15" t="s">
        <v>1484</v>
      </c>
      <c r="E1244" s="15">
        <v>28</v>
      </c>
      <c r="F1244" s="15">
        <v>30</v>
      </c>
      <c r="G1244" s="13">
        <v>45999</v>
      </c>
      <c r="H1244" s="19">
        <v>6700</v>
      </c>
      <c r="I1244" s="19">
        <v>9411.33</v>
      </c>
      <c r="J1244" s="20">
        <v>1.4046761194029846</v>
      </c>
      <c r="K1244" s="19">
        <v>7511.33</v>
      </c>
      <c r="L1244" s="20">
        <v>1.1210940298507464</v>
      </c>
      <c r="M1244" s="21">
        <v>0</v>
      </c>
      <c r="N1244" s="19">
        <v>0</v>
      </c>
      <c r="O1244" s="23">
        <v>1340</v>
      </c>
      <c r="P1244" s="24">
        <v>0</v>
      </c>
      <c r="Q1244" s="25">
        <v>0</v>
      </c>
      <c r="R1244" s="24">
        <v>0</v>
      </c>
      <c r="S1244" s="25">
        <v>0</v>
      </c>
      <c r="T1244" s="25">
        <v>0</v>
      </c>
      <c r="U1244" s="24">
        <v>0</v>
      </c>
      <c r="V1244" s="19">
        <v>8040</v>
      </c>
      <c r="W1244" s="19">
        <v>9411.33</v>
      </c>
      <c r="X1244" s="21">
        <v>1.170563432835821</v>
      </c>
      <c r="Y1244" s="19">
        <v>7511.33</v>
      </c>
      <c r="Z1244" s="20">
        <v>0.93424502487562189</v>
      </c>
      <c r="AA1244" s="30">
        <v>8.0400000000000013E-2</v>
      </c>
      <c r="AB1244" s="27">
        <v>6.3899999999999998E-2</v>
      </c>
      <c r="AC1244" s="27">
        <v>8.2400000000000001E-2</v>
      </c>
      <c r="AD1244" s="11">
        <v>7.8442099044449626E-2</v>
      </c>
    </row>
    <row r="1245" spans="1:30" x14ac:dyDescent="0.25">
      <c r="A1245" s="13">
        <v>45973</v>
      </c>
      <c r="B1245" s="46" t="s">
        <v>636</v>
      </c>
      <c r="C1245" s="13">
        <v>45973</v>
      </c>
      <c r="D1245" s="15" t="s">
        <v>1485</v>
      </c>
      <c r="E1245" s="15">
        <v>91</v>
      </c>
      <c r="F1245" s="15">
        <v>90</v>
      </c>
      <c r="G1245" s="13">
        <v>46064</v>
      </c>
      <c r="H1245" s="19">
        <v>6700</v>
      </c>
      <c r="I1245" s="19">
        <v>9201.01</v>
      </c>
      <c r="J1245" s="20">
        <v>1.373285074626865</v>
      </c>
      <c r="K1245" s="19">
        <v>6701.01</v>
      </c>
      <c r="L1245" s="20">
        <v>1.0001507462686567</v>
      </c>
      <c r="M1245" s="21">
        <v>0</v>
      </c>
      <c r="N1245" s="19">
        <v>0</v>
      </c>
      <c r="O1245" s="23">
        <v>1340</v>
      </c>
      <c r="P1245" s="24">
        <v>800</v>
      </c>
      <c r="Q1245" s="25">
        <v>0.59701492537313428</v>
      </c>
      <c r="R1245" s="24">
        <v>800</v>
      </c>
      <c r="S1245" s="25">
        <v>0.59701492537313428</v>
      </c>
      <c r="T1245" s="25">
        <v>0</v>
      </c>
      <c r="U1245" s="24">
        <v>0</v>
      </c>
      <c r="V1245" s="19">
        <v>8040</v>
      </c>
      <c r="W1245" s="19">
        <v>10001.01</v>
      </c>
      <c r="X1245" s="21">
        <v>1.2439067164179105</v>
      </c>
      <c r="Y1245" s="19">
        <v>7501.01</v>
      </c>
      <c r="Z1245" s="20">
        <v>0.93296144278606963</v>
      </c>
      <c r="AA1245" s="30">
        <v>8.0400000000000013E-2</v>
      </c>
      <c r="AB1245" s="27">
        <v>6.88E-2</v>
      </c>
      <c r="AC1245" s="27">
        <v>8.3499999999999991E-2</v>
      </c>
      <c r="AD1245" s="11">
        <v>7.9515699689490585E-2</v>
      </c>
    </row>
    <row r="1246" spans="1:30" x14ac:dyDescent="0.25">
      <c r="A1246" s="13">
        <v>45974</v>
      </c>
      <c r="B1246" s="46" t="s">
        <v>636</v>
      </c>
      <c r="C1246" s="13">
        <v>45975</v>
      </c>
      <c r="D1246" s="15" t="s">
        <v>1486</v>
      </c>
      <c r="E1246" s="15">
        <v>378</v>
      </c>
      <c r="F1246" s="15">
        <v>360</v>
      </c>
      <c r="G1246" s="13">
        <v>46353</v>
      </c>
      <c r="H1246" s="19">
        <v>6700</v>
      </c>
      <c r="I1246" s="19">
        <v>10189.610000000002</v>
      </c>
      <c r="J1246" s="20">
        <v>1.5208373134328359</v>
      </c>
      <c r="K1246" s="19">
        <v>7089.6100000000006</v>
      </c>
      <c r="L1246" s="20">
        <v>1.0581507462686568</v>
      </c>
      <c r="M1246" s="21">
        <v>0</v>
      </c>
      <c r="N1246" s="19">
        <v>0</v>
      </c>
      <c r="O1246" s="23">
        <v>1340</v>
      </c>
      <c r="P1246" s="24">
        <v>2240</v>
      </c>
      <c r="Q1246" s="25">
        <v>1.6716417910447761</v>
      </c>
      <c r="R1246" s="24">
        <v>1340</v>
      </c>
      <c r="S1246" s="25">
        <v>1</v>
      </c>
      <c r="T1246" s="25">
        <v>0.59821432835820898</v>
      </c>
      <c r="U1246" s="24">
        <v>0</v>
      </c>
      <c r="V1246" s="19">
        <v>8040</v>
      </c>
      <c r="W1246" s="19">
        <v>12429.610000000002</v>
      </c>
      <c r="X1246" s="21">
        <v>1.5459713930348262</v>
      </c>
      <c r="Y1246" s="19">
        <v>8429.61</v>
      </c>
      <c r="Z1246" s="20">
        <v>1.0484589552238808</v>
      </c>
      <c r="AA1246" s="30">
        <v>7.7399999999999941E-2</v>
      </c>
      <c r="AB1246" s="27">
        <v>6.7799999999999999E-2</v>
      </c>
      <c r="AC1246" s="27">
        <v>8.1699999999999995E-2</v>
      </c>
      <c r="AD1246" s="11">
        <v>7.6573601933734428E-2</v>
      </c>
    </row>
    <row r="1247" spans="1:30" x14ac:dyDescent="0.25">
      <c r="A1247" s="13">
        <v>45978</v>
      </c>
      <c r="B1247" s="46" t="s">
        <v>636</v>
      </c>
      <c r="C1247" s="13">
        <v>45978</v>
      </c>
      <c r="D1247" s="15" t="s">
        <v>1487</v>
      </c>
      <c r="E1247" s="15">
        <v>35</v>
      </c>
      <c r="F1247" s="15">
        <v>30</v>
      </c>
      <c r="G1247" s="13">
        <v>46013</v>
      </c>
      <c r="H1247" s="19">
        <v>8400</v>
      </c>
      <c r="I1247" s="19">
        <v>7443.67</v>
      </c>
      <c r="J1247" s="20">
        <v>0.88615119047619073</v>
      </c>
      <c r="K1247" s="19">
        <v>5093.67</v>
      </c>
      <c r="L1247" s="20">
        <v>0.60638928571428574</v>
      </c>
      <c r="M1247" s="21">
        <v>0</v>
      </c>
      <c r="N1247" s="19">
        <v>0</v>
      </c>
      <c r="O1247" s="23">
        <v>1680</v>
      </c>
      <c r="P1247" s="24">
        <v>1025.9000000000001</v>
      </c>
      <c r="Q1247" s="25">
        <v>0.61065476190476187</v>
      </c>
      <c r="R1247" s="24">
        <v>1018.734</v>
      </c>
      <c r="S1247" s="25">
        <v>0.60638928571428574</v>
      </c>
      <c r="T1247" s="25">
        <v>0.99301834862385319</v>
      </c>
      <c r="U1247" s="24">
        <v>0</v>
      </c>
      <c r="V1247" s="19">
        <v>10080</v>
      </c>
      <c r="W1247" s="19">
        <v>8469.57</v>
      </c>
      <c r="X1247" s="21">
        <v>0.84023511904761905</v>
      </c>
      <c r="Y1247" s="19">
        <v>6112.4040000000005</v>
      </c>
      <c r="Z1247" s="20">
        <v>0.60638928571428574</v>
      </c>
      <c r="AA1247" s="30">
        <v>8.0200000000000035E-2</v>
      </c>
      <c r="AB1247" s="27">
        <v>6.8000000000000005E-2</v>
      </c>
      <c r="AC1247" s="27">
        <v>8.3299999999999999E-2</v>
      </c>
      <c r="AD1247" s="11">
        <v>7.8676323910114226E-2</v>
      </c>
    </row>
    <row r="1248" spans="1:30" x14ac:dyDescent="0.25">
      <c r="A1248" s="13">
        <v>45980</v>
      </c>
      <c r="B1248" s="46" t="s">
        <v>636</v>
      </c>
      <c r="C1248" s="13">
        <v>45980</v>
      </c>
      <c r="D1248" s="15" t="s">
        <v>1488</v>
      </c>
      <c r="E1248" s="15">
        <v>98</v>
      </c>
      <c r="F1248" s="15">
        <v>90</v>
      </c>
      <c r="G1248" s="13">
        <v>46078</v>
      </c>
      <c r="H1248" s="19">
        <v>7500</v>
      </c>
      <c r="I1248" s="19">
        <v>11362.279999999999</v>
      </c>
      <c r="J1248" s="20">
        <v>1.5149706666666669</v>
      </c>
      <c r="K1248" s="19">
        <v>9662.2799999999988</v>
      </c>
      <c r="L1248" s="20">
        <v>1.2883039999999999</v>
      </c>
      <c r="M1248" s="21">
        <v>0</v>
      </c>
      <c r="N1248" s="19">
        <v>0</v>
      </c>
      <c r="O1248" s="23">
        <v>1500</v>
      </c>
      <c r="P1248" s="24">
        <v>1276.9000000000001</v>
      </c>
      <c r="Q1248" s="25">
        <v>0.85126666666666673</v>
      </c>
      <c r="R1248" s="24">
        <v>1276.9000000000001</v>
      </c>
      <c r="S1248" s="25">
        <v>0.85126666666666673</v>
      </c>
      <c r="T1248" s="25">
        <v>0</v>
      </c>
      <c r="U1248" s="24">
        <v>0</v>
      </c>
      <c r="V1248" s="19">
        <v>9000</v>
      </c>
      <c r="W1248" s="19">
        <v>12639.179999999998</v>
      </c>
      <c r="X1248" s="21">
        <v>1.4043533333333331</v>
      </c>
      <c r="Y1248" s="19">
        <v>10939.179999999998</v>
      </c>
      <c r="Z1248" s="20">
        <v>1.2154644444444442</v>
      </c>
      <c r="AA1248" s="30">
        <v>8.0000000000000043E-2</v>
      </c>
      <c r="AB1248" s="27">
        <v>6.9900000000000004E-2</v>
      </c>
      <c r="AC1248" s="27">
        <v>8.2299999999999998E-2</v>
      </c>
      <c r="AD1248" s="11">
        <v>7.7371954220455785E-2</v>
      </c>
    </row>
    <row r="1249" spans="1:30" x14ac:dyDescent="0.25">
      <c r="A1249" s="13">
        <v>45982</v>
      </c>
      <c r="B1249" s="46" t="s">
        <v>636</v>
      </c>
      <c r="C1249" s="13">
        <v>45982</v>
      </c>
      <c r="D1249" s="15" t="s">
        <v>1489</v>
      </c>
      <c r="E1249" s="15">
        <v>189</v>
      </c>
      <c r="F1249" s="15">
        <v>180</v>
      </c>
      <c r="G1249" s="13">
        <v>46171</v>
      </c>
      <c r="H1249" s="19">
        <v>6600</v>
      </c>
      <c r="I1249" s="19">
        <v>10611.85</v>
      </c>
      <c r="J1249" s="20">
        <v>1.6078560606060603</v>
      </c>
      <c r="K1249" s="19">
        <v>8910.82</v>
      </c>
      <c r="L1249" s="20">
        <v>1.3501242424242423</v>
      </c>
      <c r="M1249" s="21">
        <v>0</v>
      </c>
      <c r="N1249" s="19">
        <v>0</v>
      </c>
      <c r="O1249" s="23">
        <v>1320</v>
      </c>
      <c r="P1249" s="24">
        <v>2420</v>
      </c>
      <c r="Q1249" s="25">
        <v>1.8333333333333335</v>
      </c>
      <c r="R1249" s="24">
        <v>1320</v>
      </c>
      <c r="S1249" s="25">
        <v>1</v>
      </c>
      <c r="T1249" s="25">
        <v>0.54545460000000001</v>
      </c>
      <c r="U1249" s="24">
        <v>0</v>
      </c>
      <c r="V1249" s="19">
        <v>7920</v>
      </c>
      <c r="W1249" s="19">
        <v>13031.85</v>
      </c>
      <c r="X1249" s="21">
        <v>1.6454356060606061</v>
      </c>
      <c r="Y1249" s="19">
        <v>10230.82</v>
      </c>
      <c r="Z1249" s="20">
        <v>1.291770202020202</v>
      </c>
      <c r="AA1249" s="30">
        <v>7.8599999999999906E-2</v>
      </c>
      <c r="AB1249" s="27">
        <v>0.06</v>
      </c>
      <c r="AC1249" s="27">
        <v>8.14E-2</v>
      </c>
      <c r="AD1249" s="11">
        <v>7.6308647973727481E-2</v>
      </c>
    </row>
    <row r="1250" spans="1:30" x14ac:dyDescent="0.25">
      <c r="A1250" s="13">
        <v>45985</v>
      </c>
      <c r="B1250" s="46" t="s">
        <v>636</v>
      </c>
      <c r="C1250" s="13">
        <v>45985</v>
      </c>
      <c r="D1250" s="15" t="s">
        <v>1490</v>
      </c>
      <c r="E1250" s="15">
        <v>28</v>
      </c>
      <c r="F1250" s="15">
        <v>30</v>
      </c>
      <c r="G1250" s="13">
        <v>46013</v>
      </c>
      <c r="H1250" s="19">
        <v>7500</v>
      </c>
      <c r="I1250" s="19">
        <v>13683.329999999998</v>
      </c>
      <c r="J1250" s="20">
        <v>1.8244439999999995</v>
      </c>
      <c r="K1250" s="19">
        <v>8778.5300000000007</v>
      </c>
      <c r="L1250" s="20">
        <v>1.1704706666666667</v>
      </c>
      <c r="M1250" s="21">
        <v>0</v>
      </c>
      <c r="N1250" s="19">
        <v>0</v>
      </c>
      <c r="O1250" s="23">
        <v>1500</v>
      </c>
      <c r="P1250" s="24">
        <v>1796.4</v>
      </c>
      <c r="Q1250" s="25">
        <v>1.1976</v>
      </c>
      <c r="R1250" s="24">
        <v>1500</v>
      </c>
      <c r="S1250" s="25">
        <v>1</v>
      </c>
      <c r="T1250" s="25">
        <v>0.83500609756097577</v>
      </c>
      <c r="U1250" s="24">
        <v>0</v>
      </c>
      <c r="V1250" s="19">
        <v>9000</v>
      </c>
      <c r="W1250" s="19">
        <v>15479.729999999998</v>
      </c>
      <c r="X1250" s="21">
        <v>1.7199699999999998</v>
      </c>
      <c r="Y1250" s="19">
        <v>10278.530000000001</v>
      </c>
      <c r="Z1250" s="20">
        <v>1.142058888888889</v>
      </c>
      <c r="AA1250" s="30">
        <v>7.8999999999999987E-2</v>
      </c>
      <c r="AB1250" s="27">
        <v>6.5000000000000002E-2</v>
      </c>
      <c r="AC1250" s="27">
        <v>8.3100000000000007E-2</v>
      </c>
      <c r="AD1250" s="11">
        <v>7.7931788607013094E-2</v>
      </c>
    </row>
    <row r="1251" spans="1:30" x14ac:dyDescent="0.25">
      <c r="A1251" s="13">
        <v>45987</v>
      </c>
      <c r="B1251" s="46" t="s">
        <v>636</v>
      </c>
      <c r="C1251" s="13">
        <v>45987</v>
      </c>
      <c r="D1251" s="15" t="s">
        <v>1491</v>
      </c>
      <c r="E1251" s="15">
        <v>91</v>
      </c>
      <c r="F1251" s="15">
        <v>90</v>
      </c>
      <c r="G1251" s="13">
        <v>46078</v>
      </c>
      <c r="H1251" s="19">
        <v>7500</v>
      </c>
      <c r="I1251" s="19">
        <v>11234.290000000005</v>
      </c>
      <c r="J1251" s="20">
        <v>1.4979053333333328</v>
      </c>
      <c r="K1251" s="19">
        <v>9434.2899999999991</v>
      </c>
      <c r="L1251" s="20">
        <v>1.2579053333333332</v>
      </c>
      <c r="M1251" s="21">
        <v>0</v>
      </c>
      <c r="N1251" s="19">
        <v>0</v>
      </c>
      <c r="O1251" s="23">
        <v>1500</v>
      </c>
      <c r="P1251" s="24">
        <v>215.86</v>
      </c>
      <c r="Q1251" s="25">
        <v>0.14390666666666665</v>
      </c>
      <c r="R1251" s="24">
        <v>215.86</v>
      </c>
      <c r="S1251" s="25">
        <v>0.14390666666666668</v>
      </c>
      <c r="T1251" s="25">
        <v>0</v>
      </c>
      <c r="U1251" s="24">
        <v>0</v>
      </c>
      <c r="V1251" s="19">
        <v>9000</v>
      </c>
      <c r="W1251" s="19">
        <v>11450.150000000005</v>
      </c>
      <c r="X1251" s="21">
        <v>1.2722388888888894</v>
      </c>
      <c r="Y1251" s="19">
        <v>9650.15</v>
      </c>
      <c r="Z1251" s="20">
        <v>1.0722388888888887</v>
      </c>
      <c r="AA1251" s="30">
        <v>8.0000000000000043E-2</v>
      </c>
      <c r="AB1251" s="27">
        <v>6.9800000000000001E-2</v>
      </c>
      <c r="AC1251" s="27">
        <v>8.2299999999999998E-2</v>
      </c>
      <c r="AD1251" s="11">
        <v>7.8209185983270826E-2</v>
      </c>
    </row>
    <row r="1252" spans="1:30" x14ac:dyDescent="0.25">
      <c r="A1252" s="13">
        <v>45988</v>
      </c>
      <c r="B1252" s="46" t="s">
        <v>636</v>
      </c>
      <c r="C1252" s="13">
        <v>45989</v>
      </c>
      <c r="D1252" s="15" t="s">
        <v>1493</v>
      </c>
      <c r="E1252" s="15">
        <v>364</v>
      </c>
      <c r="F1252" s="15">
        <v>360</v>
      </c>
      <c r="G1252" s="13">
        <v>46353</v>
      </c>
      <c r="H1252" s="19">
        <v>6700</v>
      </c>
      <c r="I1252" s="19">
        <v>10933.18</v>
      </c>
      <c r="J1252" s="20">
        <v>1.6318179104477608</v>
      </c>
      <c r="K1252" s="19">
        <v>8833.18</v>
      </c>
      <c r="L1252" s="20">
        <v>1.3183850746268657</v>
      </c>
      <c r="M1252" s="21">
        <v>0</v>
      </c>
      <c r="N1252" s="19">
        <v>0</v>
      </c>
      <c r="O1252" s="23">
        <v>1340</v>
      </c>
      <c r="P1252" s="24">
        <v>1540</v>
      </c>
      <c r="Q1252" s="25">
        <v>1.1492537313432836</v>
      </c>
      <c r="R1252" s="24">
        <v>1340</v>
      </c>
      <c r="S1252" s="25">
        <v>1</v>
      </c>
      <c r="T1252" s="25">
        <v>0.87013000000000007</v>
      </c>
      <c r="U1252" s="24">
        <v>0</v>
      </c>
      <c r="V1252" s="19">
        <v>8040</v>
      </c>
      <c r="W1252" s="19">
        <v>12473.18</v>
      </c>
      <c r="X1252" s="21">
        <v>1.5513905472636815</v>
      </c>
      <c r="Y1252" s="19">
        <v>10173.18</v>
      </c>
      <c r="Z1252" s="20">
        <v>1.265320895522388</v>
      </c>
      <c r="AA1252" s="30">
        <v>7.7399999999999941E-2</v>
      </c>
      <c r="AB1252" s="27">
        <v>6.9800000000000001E-2</v>
      </c>
      <c r="AC1252" s="27">
        <v>8.1300000000000011E-2</v>
      </c>
      <c r="AD1252" s="11">
        <v>7.6598909466413248E-2</v>
      </c>
    </row>
    <row r="1253" spans="1:30" x14ac:dyDescent="0.25">
      <c r="A1253" s="13">
        <v>45992</v>
      </c>
      <c r="B1253" s="46" t="s">
        <v>636</v>
      </c>
      <c r="C1253" s="13">
        <v>45992</v>
      </c>
      <c r="D1253" s="15" t="s">
        <v>1494</v>
      </c>
      <c r="E1253" s="15">
        <v>35</v>
      </c>
      <c r="F1253" s="15">
        <v>30</v>
      </c>
      <c r="G1253" s="13">
        <v>46027</v>
      </c>
      <c r="H1253" s="19">
        <v>6700</v>
      </c>
      <c r="I1253" s="19">
        <v>9209.67</v>
      </c>
      <c r="J1253" s="20">
        <v>1.3745776119402981</v>
      </c>
      <c r="K1253" s="19">
        <v>6909.6699999999992</v>
      </c>
      <c r="L1253" s="20">
        <v>1.0312940298507463</v>
      </c>
      <c r="M1253" s="21">
        <v>0</v>
      </c>
      <c r="N1253" s="19">
        <v>0</v>
      </c>
      <c r="O1253" s="23">
        <v>1340</v>
      </c>
      <c r="P1253" s="24">
        <v>1352</v>
      </c>
      <c r="Q1253" s="25">
        <v>1.008955223880597</v>
      </c>
      <c r="R1253" s="24">
        <v>1340</v>
      </c>
      <c r="S1253" s="25">
        <v>1</v>
      </c>
      <c r="T1253" s="25">
        <v>0.99112499999999992</v>
      </c>
      <c r="U1253" s="24">
        <v>0</v>
      </c>
      <c r="V1253" s="19">
        <v>8040</v>
      </c>
      <c r="W1253" s="19">
        <v>10561.67</v>
      </c>
      <c r="X1253" s="21">
        <v>1.3136405472636816</v>
      </c>
      <c r="Y1253" s="19">
        <v>8249.6699999999983</v>
      </c>
      <c r="Z1253" s="20">
        <v>1.026078358208955</v>
      </c>
      <c r="AA1253" s="30">
        <v>8.0400000000000013E-2</v>
      </c>
      <c r="AB1253" s="27">
        <v>6.5000000000000002E-2</v>
      </c>
      <c r="AC1253" s="27">
        <v>8.2400000000000001E-2</v>
      </c>
      <c r="AD1253" s="11">
        <v>7.7919622635773067E-2</v>
      </c>
    </row>
    <row r="1254" spans="1:30" x14ac:dyDescent="0.25">
      <c r="A1254" s="13">
        <v>45994</v>
      </c>
      <c r="B1254" s="46" t="s">
        <v>636</v>
      </c>
      <c r="C1254" s="13">
        <v>45994</v>
      </c>
      <c r="D1254" s="15" t="s">
        <v>1495</v>
      </c>
      <c r="E1254" s="15">
        <v>98</v>
      </c>
      <c r="F1254" s="15">
        <v>90</v>
      </c>
      <c r="G1254" s="13">
        <v>46092</v>
      </c>
      <c r="H1254" s="19">
        <v>6700</v>
      </c>
      <c r="I1254" s="19">
        <v>11456.210000000003</v>
      </c>
      <c r="J1254" s="20">
        <v>1.7098820895522391</v>
      </c>
      <c r="K1254" s="19">
        <v>7751.83</v>
      </c>
      <c r="L1254" s="20">
        <v>1.1569895522388061</v>
      </c>
      <c r="M1254" s="21">
        <v>0</v>
      </c>
      <c r="N1254" s="19">
        <v>0</v>
      </c>
      <c r="O1254" s="23">
        <v>1340</v>
      </c>
      <c r="P1254" s="24">
        <v>1200</v>
      </c>
      <c r="Q1254" s="25">
        <v>0.89552238805970152</v>
      </c>
      <c r="R1254" s="24">
        <v>1200</v>
      </c>
      <c r="S1254" s="25">
        <v>0.89552238805970152</v>
      </c>
      <c r="T1254" s="25">
        <v>0</v>
      </c>
      <c r="U1254" s="24">
        <v>0</v>
      </c>
      <c r="V1254" s="19">
        <v>8040</v>
      </c>
      <c r="W1254" s="19">
        <v>12656.210000000003</v>
      </c>
      <c r="X1254" s="21">
        <v>1.5741554726368163</v>
      </c>
      <c r="Y1254" s="19">
        <v>8951.83</v>
      </c>
      <c r="Z1254" s="20">
        <v>1.1134116915422885</v>
      </c>
      <c r="AA1254" s="30">
        <v>7.8599999999999906E-2</v>
      </c>
      <c r="AB1254" s="27">
        <v>6.9900000000000004E-2</v>
      </c>
      <c r="AC1254" s="27">
        <v>8.2400000000000001E-2</v>
      </c>
      <c r="AD1254" s="11">
        <v>7.6680650581649593E-2</v>
      </c>
    </row>
    <row r="1255" spans="1:30" x14ac:dyDescent="0.25">
      <c r="A1255" s="13">
        <v>45996</v>
      </c>
      <c r="B1255" s="46" t="s">
        <v>636</v>
      </c>
      <c r="C1255" s="13">
        <v>45996</v>
      </c>
      <c r="D1255" s="15" t="s">
        <v>1496</v>
      </c>
      <c r="E1255" s="15">
        <v>175</v>
      </c>
      <c r="F1255" s="15">
        <v>180</v>
      </c>
      <c r="G1255" s="13">
        <v>46171</v>
      </c>
      <c r="H1255" s="19">
        <v>6700</v>
      </c>
      <c r="I1255" s="19">
        <v>10378.610000000002</v>
      </c>
      <c r="J1255" s="20">
        <v>1.5490462686567166</v>
      </c>
      <c r="K1255" s="19">
        <v>7577.1500000000015</v>
      </c>
      <c r="L1255" s="20">
        <v>1.1309179104477614</v>
      </c>
      <c r="M1255" s="21">
        <v>0</v>
      </c>
      <c r="N1255" s="19">
        <v>0</v>
      </c>
      <c r="O1255" s="23">
        <v>1340</v>
      </c>
      <c r="P1255" s="24">
        <v>2165</v>
      </c>
      <c r="Q1255" s="25">
        <v>1.6156716417910446</v>
      </c>
      <c r="R1255" s="24">
        <v>1340</v>
      </c>
      <c r="S1255" s="25">
        <v>1</v>
      </c>
      <c r="T1255" s="25">
        <v>0.61894000000000005</v>
      </c>
      <c r="U1255" s="24">
        <v>0</v>
      </c>
      <c r="V1255" s="19">
        <v>8040</v>
      </c>
      <c r="W1255" s="19">
        <v>12543.610000000002</v>
      </c>
      <c r="X1255" s="21">
        <v>1.5601504975124381</v>
      </c>
      <c r="Y1255" s="19">
        <v>8917.1500000000015</v>
      </c>
      <c r="Z1255" s="20">
        <v>1.1090982587064679</v>
      </c>
      <c r="AA1255" s="30">
        <v>7.7899999999999955E-2</v>
      </c>
      <c r="AB1255" s="27">
        <v>6.5000000000000002E-2</v>
      </c>
      <c r="AC1255" s="27">
        <v>7.9899999999999999E-2</v>
      </c>
      <c r="AD1255" s="11">
        <v>7.6587488497978043E-2</v>
      </c>
    </row>
    <row r="1256" spans="1:30" x14ac:dyDescent="0.25">
      <c r="A1256" s="13">
        <v>45999</v>
      </c>
      <c r="B1256" s="46" t="s">
        <v>636</v>
      </c>
      <c r="C1256" s="13">
        <v>45999</v>
      </c>
      <c r="D1256" s="15" t="s">
        <v>1497</v>
      </c>
      <c r="E1256" s="15">
        <v>28</v>
      </c>
      <c r="F1256" s="15">
        <v>30</v>
      </c>
      <c r="G1256" s="13">
        <v>46027</v>
      </c>
      <c r="H1256" s="19">
        <v>7500</v>
      </c>
      <c r="I1256" s="19">
        <v>10793.19</v>
      </c>
      <c r="J1256" s="20">
        <v>1.4390919999999996</v>
      </c>
      <c r="K1256" s="19">
        <v>7993.1900000000005</v>
      </c>
      <c r="L1256" s="20">
        <v>1.0657586666666667</v>
      </c>
      <c r="M1256" s="21">
        <v>0</v>
      </c>
      <c r="N1256" s="19">
        <v>0</v>
      </c>
      <c r="O1256" s="23">
        <v>1500</v>
      </c>
      <c r="P1256" s="24">
        <v>1573</v>
      </c>
      <c r="Q1256" s="25">
        <v>1.0486666666666666</v>
      </c>
      <c r="R1256" s="24">
        <v>1500</v>
      </c>
      <c r="S1256" s="25">
        <v>1</v>
      </c>
      <c r="T1256" s="25">
        <v>0.9535933333333334</v>
      </c>
      <c r="U1256" s="24">
        <v>0</v>
      </c>
      <c r="V1256" s="19">
        <v>9000</v>
      </c>
      <c r="W1256" s="19">
        <v>12366.19</v>
      </c>
      <c r="X1256" s="21">
        <v>1.3740211111111111</v>
      </c>
      <c r="Y1256" s="19">
        <v>9493.19</v>
      </c>
      <c r="Z1256" s="20">
        <v>1.0547988888888888</v>
      </c>
      <c r="AA1256" s="30">
        <v>7.9800000000000065E-2</v>
      </c>
      <c r="AB1256" s="27">
        <v>6.5000000000000002E-2</v>
      </c>
      <c r="AC1256" s="27">
        <v>8.1000000000000003E-2</v>
      </c>
      <c r="AD1256" s="11">
        <v>7.7401712561346564E-2</v>
      </c>
    </row>
    <row r="1257" spans="1:30" x14ac:dyDescent="0.25">
      <c r="A1257" s="13">
        <v>46001</v>
      </c>
      <c r="B1257" s="46" t="s">
        <v>636</v>
      </c>
      <c r="C1257" s="13">
        <v>46001</v>
      </c>
      <c r="D1257" s="15" t="s">
        <v>1498</v>
      </c>
      <c r="E1257" s="15">
        <v>91</v>
      </c>
      <c r="F1257" s="15">
        <v>90</v>
      </c>
      <c r="G1257" s="13">
        <v>46092</v>
      </c>
      <c r="H1257" s="19">
        <v>6700</v>
      </c>
      <c r="I1257" s="19">
        <v>9755.2099999999991</v>
      </c>
      <c r="J1257" s="20">
        <v>1.4560014925373133</v>
      </c>
      <c r="K1257" s="19">
        <v>7755.2099999999991</v>
      </c>
      <c r="L1257" s="20">
        <v>1.1574940298507461</v>
      </c>
      <c r="M1257" s="21">
        <v>0</v>
      </c>
      <c r="N1257" s="19">
        <v>0</v>
      </c>
      <c r="O1257" s="23">
        <v>1340</v>
      </c>
      <c r="P1257" s="24">
        <v>300</v>
      </c>
      <c r="Q1257" s="25">
        <v>0.22388059701492538</v>
      </c>
      <c r="R1257" s="24">
        <v>300</v>
      </c>
      <c r="S1257" s="25">
        <v>0.22388059701492538</v>
      </c>
      <c r="T1257" s="25">
        <v>0</v>
      </c>
      <c r="U1257" s="24">
        <v>0</v>
      </c>
      <c r="V1257" s="19">
        <v>8040</v>
      </c>
      <c r="W1257" s="19">
        <v>10055.209999999999</v>
      </c>
      <c r="X1257" s="21">
        <v>1.2506480099502486</v>
      </c>
      <c r="Y1257" s="19">
        <v>8055.2099999999991</v>
      </c>
      <c r="Z1257" s="20">
        <v>1.001891791044776</v>
      </c>
      <c r="AA1257" s="30">
        <v>7.8899999999999984E-2</v>
      </c>
      <c r="AB1257" s="27">
        <v>6.5000000000000002E-2</v>
      </c>
      <c r="AC1257" s="27">
        <v>8.0500000000000002E-2</v>
      </c>
      <c r="AD1257" s="11">
        <v>7.7356724663026247E-2</v>
      </c>
    </row>
    <row r="1258" spans="1:30" x14ac:dyDescent="0.25">
      <c r="A1258" s="13">
        <v>46002</v>
      </c>
      <c r="B1258" s="46" t="s">
        <v>636</v>
      </c>
      <c r="C1258" s="13">
        <v>46003</v>
      </c>
      <c r="D1258" s="15" t="s">
        <v>1501</v>
      </c>
      <c r="E1258" s="15">
        <v>371</v>
      </c>
      <c r="F1258" s="15">
        <v>360</v>
      </c>
      <c r="G1258" s="13">
        <v>46374</v>
      </c>
      <c r="H1258" s="19">
        <v>5800</v>
      </c>
      <c r="I1258" s="19">
        <v>10676.51</v>
      </c>
      <c r="J1258" s="20">
        <v>1.8407775862068971</v>
      </c>
      <c r="K1258" s="19">
        <v>5896.5100000000011</v>
      </c>
      <c r="L1258" s="20">
        <v>1.0166396551724139</v>
      </c>
      <c r="M1258" s="21">
        <v>0</v>
      </c>
      <c r="N1258" s="19">
        <v>0</v>
      </c>
      <c r="O1258" s="23">
        <v>1160</v>
      </c>
      <c r="P1258" s="24">
        <v>1465</v>
      </c>
      <c r="Q1258" s="25">
        <v>1.2629310344827587</v>
      </c>
      <c r="R1258" s="24">
        <v>1160</v>
      </c>
      <c r="S1258" s="25">
        <v>1</v>
      </c>
      <c r="T1258" s="25">
        <v>0.79180899999999999</v>
      </c>
      <c r="U1258" s="24">
        <v>0</v>
      </c>
      <c r="V1258" s="19">
        <v>6960</v>
      </c>
      <c r="W1258" s="19">
        <v>12141.51</v>
      </c>
      <c r="X1258" s="21">
        <v>1.7444698275862069</v>
      </c>
      <c r="Y1258" s="19">
        <v>7056.5100000000011</v>
      </c>
      <c r="Z1258" s="20">
        <v>1.0138663793103451</v>
      </c>
      <c r="AA1258" s="30">
        <v>7.6700000000000088E-2</v>
      </c>
      <c r="AB1258" s="27">
        <v>6.9900000000000004E-2</v>
      </c>
      <c r="AC1258" s="27">
        <v>0.08</v>
      </c>
      <c r="AD1258" s="11">
        <v>7.6669305044438696E-2</v>
      </c>
    </row>
    <row r="1259" spans="1:30" x14ac:dyDescent="0.25">
      <c r="A1259" s="13">
        <v>46006</v>
      </c>
      <c r="B1259" s="46" t="s">
        <v>636</v>
      </c>
      <c r="C1259" s="13">
        <v>46006</v>
      </c>
      <c r="D1259" s="15" t="s">
        <v>1502</v>
      </c>
      <c r="E1259" s="15">
        <v>35</v>
      </c>
      <c r="F1259" s="15">
        <v>30</v>
      </c>
      <c r="G1259" s="13">
        <v>46041</v>
      </c>
      <c r="H1259" s="19">
        <v>8400</v>
      </c>
      <c r="I1259" s="19">
        <v>8162.4500000000007</v>
      </c>
      <c r="J1259" s="20">
        <v>0.97172023809523844</v>
      </c>
      <c r="K1259" s="19">
        <v>7162.4500000000007</v>
      </c>
      <c r="L1259" s="20">
        <v>0.85267261904761915</v>
      </c>
      <c r="M1259" s="21">
        <v>0</v>
      </c>
      <c r="N1259" s="19">
        <v>0</v>
      </c>
      <c r="O1259" s="23">
        <v>1680</v>
      </c>
      <c r="P1259" s="24">
        <v>1708</v>
      </c>
      <c r="Q1259" s="25">
        <v>1.0166666666666666</v>
      </c>
      <c r="R1259" s="24">
        <v>1432.49</v>
      </c>
      <c r="S1259" s="25">
        <v>0.85267261904761904</v>
      </c>
      <c r="T1259" s="25">
        <v>0.83869500000000008</v>
      </c>
      <c r="U1259" s="24">
        <v>0</v>
      </c>
      <c r="V1259" s="19">
        <v>10080</v>
      </c>
      <c r="W1259" s="19">
        <v>9870.4500000000007</v>
      </c>
      <c r="X1259" s="21">
        <v>0.97921130952380964</v>
      </c>
      <c r="Y1259" s="19">
        <v>8594.94</v>
      </c>
      <c r="Z1259" s="20">
        <v>0.85267261904761915</v>
      </c>
      <c r="AA1259" s="30">
        <v>8.0000000000000029E-2</v>
      </c>
      <c r="AB1259" s="27">
        <v>6.9800000000000001E-2</v>
      </c>
      <c r="AC1259" s="27">
        <v>8.0399999999999985E-2</v>
      </c>
      <c r="AD1259" s="11">
        <v>7.7901865248791724E-2</v>
      </c>
    </row>
    <row r="1260" spans="1:30" x14ac:dyDescent="0.25">
      <c r="A1260" s="13">
        <v>46008</v>
      </c>
      <c r="B1260" s="46" t="s">
        <v>636</v>
      </c>
      <c r="C1260" s="13">
        <v>46008</v>
      </c>
      <c r="D1260" s="15" t="s">
        <v>1503</v>
      </c>
      <c r="E1260" s="15">
        <v>98</v>
      </c>
      <c r="F1260" s="15">
        <v>90</v>
      </c>
      <c r="G1260" s="13">
        <v>46106</v>
      </c>
      <c r="H1260" s="19">
        <v>7500</v>
      </c>
      <c r="I1260" s="19">
        <v>9012.68</v>
      </c>
      <c r="J1260" s="20">
        <v>1.2016906666666669</v>
      </c>
      <c r="K1260" s="19">
        <v>6712.13</v>
      </c>
      <c r="L1260" s="20">
        <v>0.89495066666666667</v>
      </c>
      <c r="M1260" s="21">
        <v>0</v>
      </c>
      <c r="N1260" s="19">
        <v>0</v>
      </c>
      <c r="O1260" s="23">
        <v>1500</v>
      </c>
      <c r="P1260" s="24">
        <v>320</v>
      </c>
      <c r="Q1260" s="25">
        <v>0.21333333333333335</v>
      </c>
      <c r="R1260" s="24">
        <v>320</v>
      </c>
      <c r="S1260" s="25">
        <v>0.21333333333333335</v>
      </c>
      <c r="T1260" s="25">
        <v>0</v>
      </c>
      <c r="U1260" s="24">
        <v>0</v>
      </c>
      <c r="V1260" s="19">
        <v>9000</v>
      </c>
      <c r="W1260" s="19">
        <v>9332.68</v>
      </c>
      <c r="X1260" s="21">
        <v>1.0369644444444446</v>
      </c>
      <c r="Y1260" s="19">
        <v>7032.13</v>
      </c>
      <c r="Z1260" s="20">
        <v>0.78134777777777775</v>
      </c>
      <c r="AA1260" s="30">
        <v>7.8100000000000044E-2</v>
      </c>
      <c r="AB1260" s="27">
        <v>6.8900000000000003E-2</v>
      </c>
      <c r="AC1260" s="27">
        <v>0.08</v>
      </c>
      <c r="AD1260" s="11">
        <v>7.6496149092167953E-2</v>
      </c>
    </row>
    <row r="1261" spans="1:30" x14ac:dyDescent="0.25">
      <c r="A1261" s="13">
        <v>46010</v>
      </c>
      <c r="B1261" s="46" t="s">
        <v>636</v>
      </c>
      <c r="C1261" s="13">
        <v>46010</v>
      </c>
      <c r="D1261" s="15" t="s">
        <v>1504</v>
      </c>
      <c r="E1261" s="15">
        <v>189</v>
      </c>
      <c r="F1261" s="15">
        <v>180</v>
      </c>
      <c r="G1261" s="13">
        <v>46199</v>
      </c>
      <c r="H1261" s="19">
        <v>6600</v>
      </c>
      <c r="I1261" s="19">
        <v>7933.47</v>
      </c>
      <c r="J1261" s="20">
        <v>1.2020409090909088</v>
      </c>
      <c r="K1261" s="19">
        <v>5981.9999999999991</v>
      </c>
      <c r="L1261" s="20">
        <v>0.90636363636363626</v>
      </c>
      <c r="M1261" s="21">
        <v>0</v>
      </c>
      <c r="N1261" s="19">
        <v>0</v>
      </c>
      <c r="O1261" s="23">
        <v>1320</v>
      </c>
      <c r="P1261" s="24">
        <v>465.38</v>
      </c>
      <c r="Q1261" s="25">
        <v>0.35256060606060607</v>
      </c>
      <c r="R1261" s="24">
        <v>465.38</v>
      </c>
      <c r="S1261" s="25">
        <v>0.35256060606060607</v>
      </c>
      <c r="T1261" s="25">
        <v>0</v>
      </c>
      <c r="U1261" s="24">
        <v>0</v>
      </c>
      <c r="V1261" s="19">
        <v>7920</v>
      </c>
      <c r="W1261" s="19">
        <v>8398.85</v>
      </c>
      <c r="X1261" s="21">
        <v>1.0604608585858586</v>
      </c>
      <c r="Y1261" s="19">
        <v>6447.3799999999992</v>
      </c>
      <c r="Z1261" s="20">
        <v>0.81406313131313124</v>
      </c>
      <c r="AA1261" s="30">
        <v>7.6999999999999971E-2</v>
      </c>
      <c r="AB1261" s="27">
        <v>6.6900000000000001E-2</v>
      </c>
      <c r="AC1261" s="27">
        <v>0.08</v>
      </c>
      <c r="AD1261" s="11">
        <v>7.441600358985416E-2</v>
      </c>
    </row>
    <row r="1262" spans="1:30" x14ac:dyDescent="0.25">
      <c r="A1262" s="13">
        <v>46013</v>
      </c>
      <c r="B1262" s="46" t="s">
        <v>636</v>
      </c>
      <c r="C1262" s="13">
        <v>46013</v>
      </c>
      <c r="D1262" s="15" t="s">
        <v>1507</v>
      </c>
      <c r="E1262" s="15">
        <v>28</v>
      </c>
      <c r="F1262" s="15">
        <v>30</v>
      </c>
      <c r="G1262" s="13">
        <v>46041</v>
      </c>
      <c r="H1262" s="19">
        <v>6700</v>
      </c>
      <c r="I1262" s="19">
        <v>9966.0299999999988</v>
      </c>
      <c r="J1262" s="20">
        <v>1.4874671641791037</v>
      </c>
      <c r="K1262" s="19">
        <v>6565.4800000000005</v>
      </c>
      <c r="L1262" s="20">
        <v>0.97992238805970155</v>
      </c>
      <c r="M1262" s="21">
        <v>0</v>
      </c>
      <c r="N1262" s="19">
        <v>0</v>
      </c>
      <c r="O1262" s="23">
        <v>1340</v>
      </c>
      <c r="P1262" s="24">
        <v>554.5</v>
      </c>
      <c r="Q1262" s="25">
        <v>0.41380597014925374</v>
      </c>
      <c r="R1262" s="24">
        <v>554.5</v>
      </c>
      <c r="S1262" s="25">
        <v>0.41380597014925374</v>
      </c>
      <c r="T1262" s="25">
        <v>0</v>
      </c>
      <c r="U1262" s="24">
        <v>0</v>
      </c>
      <c r="V1262" s="19">
        <v>8040</v>
      </c>
      <c r="W1262" s="19">
        <v>10520.529999999999</v>
      </c>
      <c r="X1262" s="21">
        <v>1.3085236318407958</v>
      </c>
      <c r="Y1262" s="19">
        <v>7119.9800000000005</v>
      </c>
      <c r="Z1262" s="20">
        <v>0.88556965174129354</v>
      </c>
      <c r="AA1262" s="30">
        <v>7.7999999999999944E-2</v>
      </c>
      <c r="AB1262" s="27">
        <v>6.7000000000000004E-2</v>
      </c>
      <c r="AC1262" s="27">
        <v>0.08</v>
      </c>
      <c r="AD1262" s="11">
        <v>7.615565134762789E-2</v>
      </c>
    </row>
    <row r="1263" spans="1:30" x14ac:dyDescent="0.25">
      <c r="A1263" s="13">
        <v>46013</v>
      </c>
      <c r="B1263" s="46" t="s">
        <v>637</v>
      </c>
      <c r="C1263" s="13">
        <v>46014</v>
      </c>
      <c r="D1263" s="15" t="s">
        <v>1508</v>
      </c>
      <c r="E1263" s="15">
        <v>360</v>
      </c>
      <c r="F1263" s="15">
        <v>360</v>
      </c>
      <c r="G1263" s="13">
        <v>46374</v>
      </c>
      <c r="H1263" s="19">
        <v>5000</v>
      </c>
      <c r="I1263" s="19">
        <v>10997.660000000002</v>
      </c>
      <c r="J1263" s="20">
        <v>2.1995320000000009</v>
      </c>
      <c r="K1263" s="19">
        <v>5919.6600000000008</v>
      </c>
      <c r="L1263" s="20">
        <v>1.1839320000000002</v>
      </c>
      <c r="M1263" s="21">
        <v>0</v>
      </c>
      <c r="N1263" s="19">
        <v>0</v>
      </c>
      <c r="O1263" s="23">
        <v>1000</v>
      </c>
      <c r="P1263" s="24">
        <v>1200.4299999999998</v>
      </c>
      <c r="Q1263" s="25">
        <v>1.2004299999999999</v>
      </c>
      <c r="R1263" s="24">
        <v>1000</v>
      </c>
      <c r="S1263" s="25">
        <v>1</v>
      </c>
      <c r="T1263" s="25">
        <v>0.83303499999999997</v>
      </c>
      <c r="U1263" s="24">
        <v>0</v>
      </c>
      <c r="V1263" s="19">
        <v>6000</v>
      </c>
      <c r="W1263" s="19">
        <v>12198.090000000002</v>
      </c>
      <c r="X1263" s="21">
        <v>2.0330150000000002</v>
      </c>
      <c r="Y1263" s="19">
        <v>6919.6600000000008</v>
      </c>
      <c r="Z1263" s="20">
        <v>1.1532766666666667</v>
      </c>
      <c r="AA1263" s="30">
        <v>7.5899999999999967E-2</v>
      </c>
      <c r="AB1263" s="27">
        <v>6.5000000000000002E-2</v>
      </c>
      <c r="AC1263" s="27">
        <v>7.7899999999999997E-2</v>
      </c>
      <c r="AD1263" s="11">
        <v>7.5479940096347772E-2</v>
      </c>
    </row>
    <row r="1264" spans="1:30" x14ac:dyDescent="0.25">
      <c r="A1264" s="13">
        <v>46017</v>
      </c>
      <c r="B1264" s="46" t="s">
        <v>636</v>
      </c>
      <c r="C1264" s="13">
        <v>46017</v>
      </c>
      <c r="D1264" s="15" t="s">
        <v>1509</v>
      </c>
      <c r="E1264" s="15">
        <v>89</v>
      </c>
      <c r="F1264" s="15">
        <v>90</v>
      </c>
      <c r="G1264" s="13">
        <v>46106</v>
      </c>
      <c r="H1264" s="19">
        <v>5800</v>
      </c>
      <c r="I1264" s="19">
        <v>7093.08</v>
      </c>
      <c r="J1264" s="20">
        <v>1.2229448275862067</v>
      </c>
      <c r="K1264" s="19">
        <v>5247.99</v>
      </c>
      <c r="L1264" s="20">
        <v>0.90482586206896543</v>
      </c>
      <c r="M1264" s="21">
        <v>0</v>
      </c>
      <c r="N1264" s="19">
        <v>0</v>
      </c>
      <c r="O1264" s="23">
        <v>1160</v>
      </c>
      <c r="P1264" s="24">
        <v>280</v>
      </c>
      <c r="Q1264" s="25">
        <v>0.24137931034482757</v>
      </c>
      <c r="R1264" s="24">
        <v>280</v>
      </c>
      <c r="S1264" s="25">
        <v>0.2413793103448276</v>
      </c>
      <c r="T1264" s="25">
        <v>0</v>
      </c>
      <c r="U1264" s="24">
        <v>0</v>
      </c>
      <c r="V1264" s="19">
        <v>6960</v>
      </c>
      <c r="W1264" s="19">
        <v>7373.08</v>
      </c>
      <c r="X1264" s="21">
        <v>1.0593505747126437</v>
      </c>
      <c r="Y1264" s="19">
        <v>5527.99</v>
      </c>
      <c r="Z1264" s="20">
        <v>0.79425143678160914</v>
      </c>
      <c r="AA1264" s="30">
        <v>7.5400000000000009E-2</v>
      </c>
      <c r="AB1264" s="27">
        <v>6.2E-2</v>
      </c>
      <c r="AC1264" s="27">
        <v>7.7800000000000008E-2</v>
      </c>
      <c r="AD1264" s="11">
        <v>7.3853457313325099E-2</v>
      </c>
    </row>
    <row r="1265" spans="1:30" x14ac:dyDescent="0.25">
      <c r="A1265" s="13">
        <v>46020</v>
      </c>
      <c r="B1265" s="46" t="s">
        <v>636</v>
      </c>
      <c r="C1265" s="13">
        <v>46020</v>
      </c>
      <c r="D1265" s="15" t="s">
        <v>1510</v>
      </c>
      <c r="E1265" s="15">
        <v>28</v>
      </c>
      <c r="F1265" s="15">
        <v>30</v>
      </c>
      <c r="G1265" s="13">
        <v>46048</v>
      </c>
      <c r="H1265" s="19">
        <v>6700</v>
      </c>
      <c r="I1265" s="19">
        <v>8309.6</v>
      </c>
      <c r="J1265" s="20">
        <v>1.2402388059701495</v>
      </c>
      <c r="K1265" s="19">
        <v>6905.079999999999</v>
      </c>
      <c r="L1265" s="20">
        <v>1.0306089552238804</v>
      </c>
      <c r="M1265" s="21">
        <v>0</v>
      </c>
      <c r="N1265" s="19">
        <v>0</v>
      </c>
      <c r="O1265" s="23">
        <v>1340</v>
      </c>
      <c r="P1265" s="24">
        <v>420</v>
      </c>
      <c r="Q1265" s="25">
        <v>0.31343283582089548</v>
      </c>
      <c r="R1265" s="24">
        <v>420</v>
      </c>
      <c r="S1265" s="25">
        <v>0.31343283582089554</v>
      </c>
      <c r="T1265" s="25">
        <v>0</v>
      </c>
      <c r="U1265" s="24">
        <v>0</v>
      </c>
      <c r="V1265" s="19">
        <v>8040</v>
      </c>
      <c r="W1265" s="19">
        <v>8729.6</v>
      </c>
      <c r="X1265" s="21">
        <v>1.0857711442786071</v>
      </c>
      <c r="Y1265" s="19">
        <v>7325.079999999999</v>
      </c>
      <c r="Z1265" s="20">
        <v>0.91107960199004967</v>
      </c>
      <c r="AA1265" s="30">
        <v>7.5400000000000036E-2</v>
      </c>
      <c r="AB1265" s="27">
        <v>0.06</v>
      </c>
      <c r="AC1265" s="27">
        <v>7.6499999999999999E-2</v>
      </c>
      <c r="AD1265" s="11">
        <v>7.3737209853663221E-2</v>
      </c>
    </row>
    <row r="1266" spans="1:30" x14ac:dyDescent="0.25">
      <c r="A1266" s="13">
        <v>46021</v>
      </c>
      <c r="B1266" s="46" t="s">
        <v>636</v>
      </c>
      <c r="C1266" s="13">
        <v>46021</v>
      </c>
      <c r="D1266" s="15" t="s">
        <v>1511</v>
      </c>
      <c r="E1266" s="15">
        <v>92</v>
      </c>
      <c r="F1266" s="15">
        <v>90</v>
      </c>
      <c r="G1266" s="13">
        <v>46113</v>
      </c>
      <c r="H1266" s="19">
        <v>5800</v>
      </c>
      <c r="I1266" s="19">
        <v>13030.09</v>
      </c>
      <c r="J1266" s="20">
        <v>2.246567241379311</v>
      </c>
      <c r="K1266" s="19">
        <v>6599.78</v>
      </c>
      <c r="L1266" s="20">
        <v>1.1378931034482758</v>
      </c>
      <c r="M1266" s="21">
        <v>0</v>
      </c>
      <c r="N1266" s="19">
        <v>0</v>
      </c>
      <c r="O1266" s="23">
        <v>1160</v>
      </c>
      <c r="P1266" s="24">
        <v>1677.63</v>
      </c>
      <c r="Q1266" s="25">
        <v>1.4462327586206898</v>
      </c>
      <c r="R1266" s="24">
        <v>1160</v>
      </c>
      <c r="S1266" s="25">
        <v>1</v>
      </c>
      <c r="T1266" s="25">
        <v>0.69145187500000005</v>
      </c>
      <c r="U1266" s="24">
        <v>0</v>
      </c>
      <c r="V1266" s="19">
        <v>6960</v>
      </c>
      <c r="W1266" s="19">
        <v>14707.720000000001</v>
      </c>
      <c r="X1266" s="21">
        <v>2.1131781609195404</v>
      </c>
      <c r="Y1266" s="19">
        <v>7759.78</v>
      </c>
      <c r="Z1266" s="20">
        <v>1.1149109195402298</v>
      </c>
      <c r="AA1266" s="30">
        <v>7.3399999999999951E-2</v>
      </c>
      <c r="AB1266" s="27">
        <v>0.06</v>
      </c>
      <c r="AC1266" s="27">
        <v>7.5399999999999995E-2</v>
      </c>
      <c r="AD1266" s="11">
        <v>7.2787761481309818E-2</v>
      </c>
    </row>
    <row r="1267" spans="1:30" x14ac:dyDescent="0.25">
      <c r="A1267" s="13">
        <v>46024</v>
      </c>
      <c r="B1267" s="46" t="s">
        <v>636</v>
      </c>
      <c r="C1267" s="13">
        <v>46024</v>
      </c>
      <c r="D1267" s="15" t="s">
        <v>1512</v>
      </c>
      <c r="E1267" s="15">
        <v>196</v>
      </c>
      <c r="F1267" s="15">
        <v>180</v>
      </c>
      <c r="G1267" s="13">
        <v>46220</v>
      </c>
      <c r="H1267" s="19">
        <v>5000</v>
      </c>
      <c r="I1267" s="19">
        <v>3812.91</v>
      </c>
      <c r="J1267" s="20">
        <v>0.76258200000000009</v>
      </c>
      <c r="K1267" s="19">
        <v>3212.91</v>
      </c>
      <c r="L1267" s="20">
        <v>0.64258199999999999</v>
      </c>
      <c r="M1267" s="21">
        <v>0</v>
      </c>
      <c r="N1267" s="19">
        <v>0</v>
      </c>
      <c r="O1267" s="23">
        <v>1000</v>
      </c>
      <c r="P1267" s="24">
        <v>10</v>
      </c>
      <c r="Q1267" s="25">
        <v>0.01</v>
      </c>
      <c r="R1267" s="24">
        <v>10</v>
      </c>
      <c r="S1267" s="25">
        <v>0.01</v>
      </c>
      <c r="T1267" s="25">
        <v>0</v>
      </c>
      <c r="U1267" s="24">
        <v>0</v>
      </c>
      <c r="V1267" s="19">
        <v>6000</v>
      </c>
      <c r="W1267" s="19">
        <v>3822.91</v>
      </c>
      <c r="X1267" s="21">
        <v>0.63715166666666667</v>
      </c>
      <c r="Y1267" s="19">
        <v>3222.91</v>
      </c>
      <c r="Z1267" s="20">
        <v>0.53715166666666669</v>
      </c>
      <c r="AA1267" s="30">
        <v>7.3900000000000021E-2</v>
      </c>
      <c r="AB1267" s="27">
        <v>6.54E-2</v>
      </c>
      <c r="AC1267" s="27">
        <v>7.6700000000000004E-2</v>
      </c>
      <c r="AD1267" s="11">
        <v>7.2626328185034505E-2</v>
      </c>
    </row>
    <row r="1268" spans="1:30" x14ac:dyDescent="0.25">
      <c r="A1268" s="13">
        <v>46027</v>
      </c>
      <c r="B1268" s="46" t="s">
        <v>636</v>
      </c>
      <c r="C1268" s="13">
        <v>46027</v>
      </c>
      <c r="D1268" s="15" t="s">
        <v>1513</v>
      </c>
      <c r="E1268" s="15">
        <v>28</v>
      </c>
      <c r="F1268" s="15">
        <v>30</v>
      </c>
      <c r="G1268" s="13">
        <v>46055</v>
      </c>
      <c r="H1268" s="19">
        <v>10800</v>
      </c>
      <c r="I1268" s="19">
        <v>14727.109999999999</v>
      </c>
      <c r="J1268" s="20">
        <v>1.3636212962962959</v>
      </c>
      <c r="K1268" s="19">
        <v>13227.109999999999</v>
      </c>
      <c r="L1268" s="20">
        <v>1.2247324074074073</v>
      </c>
      <c r="M1268" s="21">
        <v>0</v>
      </c>
      <c r="N1268" s="19">
        <v>0</v>
      </c>
      <c r="O1268" s="23">
        <v>2160</v>
      </c>
      <c r="P1268" s="24">
        <v>453</v>
      </c>
      <c r="Q1268" s="25">
        <v>0.2097222222222222</v>
      </c>
      <c r="R1268" s="24">
        <v>453</v>
      </c>
      <c r="S1268" s="25">
        <v>0.20972222222222223</v>
      </c>
      <c r="T1268" s="25">
        <v>0</v>
      </c>
      <c r="U1268" s="24">
        <v>0</v>
      </c>
      <c r="V1268" s="19">
        <v>12960</v>
      </c>
      <c r="W1268" s="19">
        <v>15180.109999999999</v>
      </c>
      <c r="X1268" s="21">
        <v>1.1713047839506172</v>
      </c>
      <c r="Y1268" s="19">
        <v>13680.109999999999</v>
      </c>
      <c r="Z1268" s="20">
        <v>1.0555640432098765</v>
      </c>
      <c r="AA1268" s="30">
        <v>7.540000000000005E-2</v>
      </c>
      <c r="AB1268" s="27">
        <v>6.2E-2</v>
      </c>
      <c r="AC1268" s="27">
        <v>7.9899999999999999E-2</v>
      </c>
      <c r="AD1268" s="11">
        <v>7.2488410828736929E-2</v>
      </c>
    </row>
    <row r="1269" spans="1:30" x14ac:dyDescent="0.25">
      <c r="A1269" s="13">
        <v>46029</v>
      </c>
      <c r="B1269" s="46" t="s">
        <v>636</v>
      </c>
      <c r="C1269" s="13">
        <v>46029</v>
      </c>
      <c r="D1269" s="15" t="s">
        <v>1514</v>
      </c>
      <c r="E1269" s="15">
        <v>84</v>
      </c>
      <c r="F1269" s="15">
        <v>90</v>
      </c>
      <c r="G1269" s="13">
        <v>46113</v>
      </c>
      <c r="H1269" s="19">
        <v>9200</v>
      </c>
      <c r="I1269" s="19">
        <v>13747.01</v>
      </c>
      <c r="J1269" s="20">
        <v>1.4942402173913043</v>
      </c>
      <c r="K1269" s="19">
        <v>10196.93</v>
      </c>
      <c r="L1269" s="20">
        <v>1.1083619565217391</v>
      </c>
      <c r="M1269" s="21">
        <v>0</v>
      </c>
      <c r="N1269" s="19">
        <v>0</v>
      </c>
      <c r="O1269" s="23">
        <v>1840</v>
      </c>
      <c r="P1269" s="24">
        <v>2230</v>
      </c>
      <c r="Q1269" s="25">
        <v>1.2119565217391304</v>
      </c>
      <c r="R1269" s="24">
        <v>1840</v>
      </c>
      <c r="S1269" s="25">
        <v>1</v>
      </c>
      <c r="T1269" s="25">
        <v>0.82511211956521746</v>
      </c>
      <c r="U1269" s="24">
        <v>0</v>
      </c>
      <c r="V1269" s="19">
        <v>11040</v>
      </c>
      <c r="W1269" s="19">
        <v>15977.01</v>
      </c>
      <c r="X1269" s="21">
        <v>1.4471929347826087</v>
      </c>
      <c r="Y1269" s="19">
        <v>12036.93</v>
      </c>
      <c r="Z1269" s="20">
        <v>1.0903016304347826</v>
      </c>
      <c r="AA1269" s="30">
        <v>7.249999999999987E-2</v>
      </c>
      <c r="AB1269" s="27">
        <v>0.06</v>
      </c>
      <c r="AC1269" s="27">
        <v>7.7800000000000008E-2</v>
      </c>
      <c r="AD1269" s="11">
        <v>7.1671651726448141E-2</v>
      </c>
    </row>
    <row r="1270" spans="1:30" x14ac:dyDescent="0.25">
      <c r="A1270" s="13">
        <v>46030</v>
      </c>
      <c r="B1270" s="46" t="s">
        <v>636</v>
      </c>
      <c r="C1270" s="13">
        <v>46031</v>
      </c>
      <c r="D1270" s="15" t="s">
        <v>1515</v>
      </c>
      <c r="E1270" s="15">
        <v>364</v>
      </c>
      <c r="F1270" s="15">
        <v>360</v>
      </c>
      <c r="G1270" s="13">
        <v>46395</v>
      </c>
      <c r="H1270" s="19">
        <v>5800</v>
      </c>
      <c r="I1270" s="19">
        <v>11835.42</v>
      </c>
      <c r="J1270" s="20">
        <v>2.0405896551724134</v>
      </c>
      <c r="K1270" s="19">
        <v>8392.42</v>
      </c>
      <c r="L1270" s="20">
        <v>1.4469689655172413</v>
      </c>
      <c r="M1270" s="21">
        <v>0</v>
      </c>
      <c r="N1270" s="19">
        <v>0</v>
      </c>
      <c r="O1270" s="23">
        <v>1160</v>
      </c>
      <c r="P1270" s="24">
        <v>2620</v>
      </c>
      <c r="Q1270" s="25">
        <v>2.2586206896551726</v>
      </c>
      <c r="R1270" s="24">
        <v>1160</v>
      </c>
      <c r="S1270" s="25">
        <v>1</v>
      </c>
      <c r="T1270" s="25">
        <v>0.44274810344827586</v>
      </c>
      <c r="U1270" s="24">
        <v>0</v>
      </c>
      <c r="V1270" s="19">
        <v>6960</v>
      </c>
      <c r="W1270" s="19">
        <v>14455.42</v>
      </c>
      <c r="X1270" s="21">
        <v>2.07692816091954</v>
      </c>
      <c r="Y1270" s="19">
        <v>9552.42</v>
      </c>
      <c r="Z1270" s="20">
        <v>1.3724741379310346</v>
      </c>
      <c r="AA1270" s="30">
        <v>7.2400000000000006E-2</v>
      </c>
      <c r="AB1270" s="27">
        <v>0.06</v>
      </c>
      <c r="AC1270" s="27">
        <v>7.7699999999999991E-2</v>
      </c>
      <c r="AD1270" s="11">
        <v>7.1128813426139498E-2</v>
      </c>
    </row>
    <row r="1271" spans="1:30" x14ac:dyDescent="0.25">
      <c r="A1271" s="13">
        <v>46034</v>
      </c>
      <c r="B1271" s="46" t="s">
        <v>636</v>
      </c>
      <c r="C1271" s="13">
        <v>46034</v>
      </c>
      <c r="D1271" s="15" t="s">
        <v>1516</v>
      </c>
      <c r="E1271" s="15">
        <v>28</v>
      </c>
      <c r="F1271" s="15">
        <v>30</v>
      </c>
      <c r="G1271" s="13">
        <v>46062</v>
      </c>
      <c r="H1271" s="19">
        <v>8400</v>
      </c>
      <c r="I1271" s="19">
        <v>12236.92</v>
      </c>
      <c r="J1271" s="20">
        <v>1.4567761904761911</v>
      </c>
      <c r="K1271" s="19">
        <v>10436.92</v>
      </c>
      <c r="L1271" s="20">
        <v>1.2424904761904763</v>
      </c>
      <c r="M1271" s="21">
        <v>0</v>
      </c>
      <c r="N1271" s="19">
        <v>0</v>
      </c>
      <c r="O1271" s="23">
        <v>1680</v>
      </c>
      <c r="P1271" s="24">
        <v>1890</v>
      </c>
      <c r="Q1271" s="25">
        <v>1.125</v>
      </c>
      <c r="R1271" s="24">
        <v>1680</v>
      </c>
      <c r="S1271" s="25">
        <v>1</v>
      </c>
      <c r="T1271" s="25">
        <v>0.88888999999999996</v>
      </c>
      <c r="U1271" s="24">
        <v>0</v>
      </c>
      <c r="V1271" s="19">
        <v>10080</v>
      </c>
      <c r="W1271" s="19">
        <v>14126.92</v>
      </c>
      <c r="X1271" s="21">
        <v>1.4014801587301586</v>
      </c>
      <c r="Y1271" s="19">
        <v>12116.92</v>
      </c>
      <c r="Z1271" s="20">
        <v>1.2020753968253968</v>
      </c>
      <c r="AA1271" s="30">
        <v>7.5400000000000036E-2</v>
      </c>
      <c r="AB1271" s="27">
        <v>0.06</v>
      </c>
      <c r="AC1271" s="27">
        <v>7.980000000000001E-2</v>
      </c>
      <c r="AD1271" s="11">
        <v>7.3410282652824413E-2</v>
      </c>
    </row>
    <row r="1272" spans="1:30" x14ac:dyDescent="0.25">
      <c r="A1272" s="13">
        <v>46036</v>
      </c>
      <c r="B1272" s="46" t="s">
        <v>637</v>
      </c>
      <c r="C1272" s="13">
        <v>46036</v>
      </c>
      <c r="D1272" s="15" t="s">
        <v>1517</v>
      </c>
      <c r="E1272" s="15">
        <v>91</v>
      </c>
      <c r="F1272" s="15">
        <v>90</v>
      </c>
      <c r="G1272" s="13">
        <v>46127</v>
      </c>
      <c r="H1272" s="19">
        <v>7500</v>
      </c>
      <c r="I1272" s="19">
        <v>9992.2000000000007</v>
      </c>
      <c r="J1272" s="20">
        <v>1.3322933333333333</v>
      </c>
      <c r="K1272" s="19">
        <v>8242.2000000000007</v>
      </c>
      <c r="L1272" s="20">
        <v>1.0989600000000002</v>
      </c>
      <c r="M1272" s="21">
        <v>0</v>
      </c>
      <c r="N1272" s="19">
        <v>0</v>
      </c>
      <c r="O1272" s="23">
        <v>1500</v>
      </c>
      <c r="P1272" s="24">
        <v>1033</v>
      </c>
      <c r="Q1272" s="25">
        <v>0.68866666666666665</v>
      </c>
      <c r="R1272" s="24">
        <v>1033</v>
      </c>
      <c r="S1272" s="25">
        <v>0.68866666666666665</v>
      </c>
      <c r="T1272" s="25">
        <v>0</v>
      </c>
      <c r="U1272" s="24">
        <v>0</v>
      </c>
      <c r="V1272" s="19">
        <v>9000</v>
      </c>
      <c r="W1272" s="19">
        <v>11025.2</v>
      </c>
      <c r="X1272" s="21">
        <v>1.2250222222222222</v>
      </c>
      <c r="Y1272" s="19">
        <v>9275.2000000000007</v>
      </c>
      <c r="Z1272" s="20">
        <v>1.0305777777777778</v>
      </c>
      <c r="AA1272" s="30">
        <v>7.2999999999999968E-2</v>
      </c>
      <c r="AB1272" s="27">
        <v>0.06</v>
      </c>
      <c r="AC1272" s="27">
        <v>7.6299999999999993E-2</v>
      </c>
      <c r="AD1272" s="11">
        <v>7.198697283881425E-2</v>
      </c>
    </row>
    <row r="1273" spans="1:30" x14ac:dyDescent="0.25">
      <c r="A1273" s="13">
        <v>46038</v>
      </c>
      <c r="B1273" s="46" t="s">
        <v>636</v>
      </c>
      <c r="C1273" s="13">
        <v>46038</v>
      </c>
      <c r="D1273" s="15" t="s">
        <v>1519</v>
      </c>
      <c r="E1273" s="15">
        <v>182</v>
      </c>
      <c r="F1273" s="15">
        <v>180</v>
      </c>
      <c r="G1273" s="13">
        <v>46220</v>
      </c>
      <c r="H1273" s="19">
        <v>6600</v>
      </c>
      <c r="I1273" s="19">
        <v>10224.619999999999</v>
      </c>
      <c r="J1273" s="20">
        <v>1.5491848484848481</v>
      </c>
      <c r="K1273" s="19">
        <v>6329.45</v>
      </c>
      <c r="L1273" s="20">
        <v>0.95900757575757578</v>
      </c>
      <c r="M1273" s="21">
        <v>0</v>
      </c>
      <c r="N1273" s="19">
        <v>0</v>
      </c>
      <c r="O1273" s="23">
        <v>1320</v>
      </c>
      <c r="P1273" s="24">
        <v>3370</v>
      </c>
      <c r="Q1273" s="25">
        <v>2.5530303030303028</v>
      </c>
      <c r="R1273" s="24">
        <v>1265.8899999999999</v>
      </c>
      <c r="S1273" s="25">
        <v>0.95900757575757567</v>
      </c>
      <c r="T1273" s="25">
        <v>0.37563538461538459</v>
      </c>
      <c r="U1273" s="24">
        <v>0</v>
      </c>
      <c r="V1273" s="19">
        <v>7920</v>
      </c>
      <c r="W1273" s="19">
        <v>13594.619999999999</v>
      </c>
      <c r="X1273" s="21">
        <v>1.7164924242424242</v>
      </c>
      <c r="Y1273" s="19">
        <v>7595.34</v>
      </c>
      <c r="Z1273" s="20">
        <v>0.95900757575757578</v>
      </c>
      <c r="AA1273" s="30">
        <v>7.1400000000000047E-2</v>
      </c>
      <c r="AB1273" s="27">
        <v>6.2E-2</v>
      </c>
      <c r="AC1273" s="27">
        <v>7.7499999999999999E-2</v>
      </c>
      <c r="AD1273" s="11">
        <v>7.034206386154207E-2</v>
      </c>
    </row>
    <row r="1274" spans="1:30" x14ac:dyDescent="0.25">
      <c r="A1274" s="13">
        <v>46041</v>
      </c>
      <c r="B1274" s="46" t="s">
        <v>636</v>
      </c>
      <c r="C1274" s="13">
        <v>46041</v>
      </c>
      <c r="D1274" s="15" t="s">
        <v>1520</v>
      </c>
      <c r="E1274" s="15">
        <v>35</v>
      </c>
      <c r="F1274" s="15">
        <v>30</v>
      </c>
      <c r="G1274" s="13">
        <v>46076</v>
      </c>
      <c r="H1274" s="19">
        <v>10000</v>
      </c>
      <c r="I1274" s="19">
        <v>13904.339999999998</v>
      </c>
      <c r="J1274" s="20">
        <v>1.3904339999999999</v>
      </c>
      <c r="K1274" s="19">
        <v>8853.5400000000009</v>
      </c>
      <c r="L1274" s="20">
        <v>0.88535400000000009</v>
      </c>
      <c r="M1274" s="21">
        <v>0</v>
      </c>
      <c r="N1274" s="19">
        <v>0</v>
      </c>
      <c r="O1274" s="23">
        <v>2000</v>
      </c>
      <c r="P1274" s="24">
        <v>2081.6</v>
      </c>
      <c r="Q1274" s="25">
        <v>1.0407999999999999</v>
      </c>
      <c r="R1274" s="24">
        <v>1770.7079999999999</v>
      </c>
      <c r="S1274" s="25">
        <v>0.88535399999999997</v>
      </c>
      <c r="T1274" s="25">
        <v>0.8507499999999999</v>
      </c>
      <c r="U1274" s="24">
        <v>0</v>
      </c>
      <c r="V1274" s="19">
        <v>12000</v>
      </c>
      <c r="W1274" s="19">
        <v>15985.939999999999</v>
      </c>
      <c r="X1274" s="21">
        <v>1.3321616666666665</v>
      </c>
      <c r="Y1274" s="19">
        <v>10624.248000000001</v>
      </c>
      <c r="Z1274" s="20">
        <v>0.88535400000000009</v>
      </c>
      <c r="AA1274" s="30">
        <v>7.3399999999999951E-2</v>
      </c>
      <c r="AB1274" s="27">
        <v>0.06</v>
      </c>
      <c r="AC1274" s="27">
        <v>7.5600000000000001E-2</v>
      </c>
      <c r="AD1274" s="11">
        <v>7.2318969185160925E-2</v>
      </c>
    </row>
    <row r="1275" spans="1:30" x14ac:dyDescent="0.25">
      <c r="A1275" s="13">
        <v>46043</v>
      </c>
      <c r="B1275" s="46" t="s">
        <v>636</v>
      </c>
      <c r="C1275" s="13">
        <v>46043</v>
      </c>
      <c r="D1275" s="15" t="s">
        <v>1521</v>
      </c>
      <c r="E1275" s="15">
        <v>84</v>
      </c>
      <c r="F1275" s="15">
        <v>90</v>
      </c>
      <c r="G1275" s="13">
        <v>46127</v>
      </c>
      <c r="H1275" s="19">
        <v>9200</v>
      </c>
      <c r="I1275" s="19">
        <v>13208.999999999998</v>
      </c>
      <c r="J1275" s="20">
        <v>1.4357608695652182</v>
      </c>
      <c r="K1275" s="19">
        <v>5971.92</v>
      </c>
      <c r="L1275" s="20">
        <v>0.6491217391304348</v>
      </c>
      <c r="M1275" s="21">
        <v>0</v>
      </c>
      <c r="N1275" s="19">
        <v>0</v>
      </c>
      <c r="O1275" s="23">
        <v>1840</v>
      </c>
      <c r="P1275" s="24">
        <v>1520</v>
      </c>
      <c r="Q1275" s="25">
        <v>0.82608695652173914</v>
      </c>
      <c r="R1275" s="24">
        <v>1194.384</v>
      </c>
      <c r="S1275" s="25">
        <v>0.6491217391304348</v>
      </c>
      <c r="T1275" s="25">
        <v>0.78578000000000003</v>
      </c>
      <c r="U1275" s="24">
        <v>0</v>
      </c>
      <c r="V1275" s="19">
        <v>11040</v>
      </c>
      <c r="W1275" s="19">
        <v>14728.999999999998</v>
      </c>
      <c r="X1275" s="21">
        <v>1.3341485507246376</v>
      </c>
      <c r="Y1275" s="19">
        <v>7166.3040000000001</v>
      </c>
      <c r="Z1275" s="20">
        <v>0.6491217391304348</v>
      </c>
      <c r="AA1275" s="30">
        <v>6.9999999999999951E-2</v>
      </c>
      <c r="AB1275" s="27">
        <v>0.06</v>
      </c>
      <c r="AC1275" s="27">
        <v>7.4800000000000005E-2</v>
      </c>
      <c r="AD1275" s="11">
        <v>7.1032923991218119E-2</v>
      </c>
    </row>
    <row r="1276" spans="1:30" x14ac:dyDescent="0.25">
      <c r="A1276" s="13">
        <v>46044</v>
      </c>
      <c r="B1276" s="46" t="s">
        <v>636</v>
      </c>
      <c r="C1276" s="13">
        <v>46045</v>
      </c>
      <c r="D1276" s="15" t="s">
        <v>1524</v>
      </c>
      <c r="E1276" s="15">
        <v>350</v>
      </c>
      <c r="F1276" s="15">
        <v>360</v>
      </c>
      <c r="G1276" s="13">
        <v>46395</v>
      </c>
      <c r="H1276" s="19">
        <v>5400</v>
      </c>
      <c r="I1276" s="19">
        <v>13808.030000000002</v>
      </c>
      <c r="J1276" s="20">
        <v>2.5570425925925933</v>
      </c>
      <c r="K1276" s="19">
        <v>5450.27</v>
      </c>
      <c r="L1276" s="20">
        <v>1.0093092592592594</v>
      </c>
      <c r="M1276" s="21">
        <v>0</v>
      </c>
      <c r="N1276" s="19">
        <v>0</v>
      </c>
      <c r="O1276" s="23">
        <v>1080</v>
      </c>
      <c r="P1276" s="24">
        <v>1115</v>
      </c>
      <c r="Q1276" s="25">
        <v>1.0324074074074074</v>
      </c>
      <c r="R1276" s="24">
        <v>1080</v>
      </c>
      <c r="S1276" s="25">
        <v>1</v>
      </c>
      <c r="T1276" s="25">
        <v>0.96860990740740738</v>
      </c>
      <c r="U1276" s="24">
        <v>0</v>
      </c>
      <c r="V1276" s="19">
        <v>6480</v>
      </c>
      <c r="W1276" s="19">
        <v>14923.030000000002</v>
      </c>
      <c r="X1276" s="21">
        <v>2.3029367283950619</v>
      </c>
      <c r="Y1276" s="19">
        <v>6530.27</v>
      </c>
      <c r="Z1276" s="20">
        <v>1.0077577160493827</v>
      </c>
      <c r="AA1276" s="30">
        <v>6.7499999999999921E-2</v>
      </c>
      <c r="AB1276" s="27">
        <v>0.06</v>
      </c>
      <c r="AC1276" s="27">
        <v>7.1900000000000006E-2</v>
      </c>
      <c r="AD1276" s="11">
        <v>6.8064427003707254E-2</v>
      </c>
    </row>
    <row r="1277" spans="1:30" x14ac:dyDescent="0.25">
      <c r="A1277" s="13">
        <v>46048</v>
      </c>
      <c r="B1277" s="46" t="s">
        <v>637</v>
      </c>
      <c r="C1277" s="13">
        <v>46048</v>
      </c>
      <c r="D1277" s="15" t="s">
        <v>1525</v>
      </c>
      <c r="E1277" s="15">
        <v>28</v>
      </c>
      <c r="F1277" s="15">
        <v>30</v>
      </c>
      <c r="G1277" s="13">
        <v>46076</v>
      </c>
      <c r="H1277" s="19">
        <v>6700</v>
      </c>
      <c r="I1277" s="19">
        <v>10477.509999999998</v>
      </c>
      <c r="J1277" s="20">
        <v>1.563807462686567</v>
      </c>
      <c r="K1277" s="19">
        <v>5850.98</v>
      </c>
      <c r="L1277" s="20">
        <v>0.87328059701492533</v>
      </c>
      <c r="M1277" s="21">
        <v>0</v>
      </c>
      <c r="N1277" s="19">
        <v>0</v>
      </c>
      <c r="O1277" s="23">
        <v>1340</v>
      </c>
      <c r="P1277" s="24">
        <v>50</v>
      </c>
      <c r="Q1277" s="25">
        <v>3.7313432835820892E-2</v>
      </c>
      <c r="R1277" s="24">
        <v>50</v>
      </c>
      <c r="S1277" s="25">
        <v>3.7313432835820892E-2</v>
      </c>
      <c r="T1277" s="25">
        <v>0</v>
      </c>
      <c r="U1277" s="24">
        <v>0</v>
      </c>
      <c r="V1277" s="19">
        <v>8040</v>
      </c>
      <c r="W1277" s="19">
        <v>10527.509999999998</v>
      </c>
      <c r="X1277" s="21">
        <v>1.3093917910447759</v>
      </c>
      <c r="Y1277" s="19">
        <v>5900.98</v>
      </c>
      <c r="Z1277" s="20">
        <v>0.73395273631840796</v>
      </c>
      <c r="AA1277" s="30">
        <v>6.5500000000000072E-2</v>
      </c>
      <c r="AB1277" s="27">
        <v>5.79E-2</v>
      </c>
      <c r="AC1277" s="27">
        <v>7.4299999999999991E-2</v>
      </c>
      <c r="AD1277" s="11">
        <v>6.5537912442937302E-2</v>
      </c>
    </row>
    <row r="1278" spans="1:30" x14ac:dyDescent="0.25">
      <c r="A1278" s="13">
        <v>46050</v>
      </c>
      <c r="B1278" s="46" t="s">
        <v>636</v>
      </c>
      <c r="C1278" s="13">
        <v>46050</v>
      </c>
      <c r="D1278" s="15" t="s">
        <v>1526</v>
      </c>
      <c r="E1278" s="15">
        <v>98</v>
      </c>
      <c r="F1278" s="15">
        <v>90</v>
      </c>
      <c r="G1278" s="13">
        <v>46148</v>
      </c>
      <c r="H1278" s="19">
        <v>5000</v>
      </c>
      <c r="I1278" s="19">
        <v>7777.1399999999994</v>
      </c>
      <c r="J1278" s="20">
        <v>1.5554280000000003</v>
      </c>
      <c r="K1278" s="19">
        <v>5686.74</v>
      </c>
      <c r="L1278" s="20">
        <v>1.137348</v>
      </c>
      <c r="M1278" s="21">
        <v>0</v>
      </c>
      <c r="N1278" s="19">
        <v>0</v>
      </c>
      <c r="O1278" s="23">
        <v>1000</v>
      </c>
      <c r="P1278" s="24">
        <v>2.74</v>
      </c>
      <c r="Q1278" s="25">
        <v>2.7400000000000002E-3</v>
      </c>
      <c r="R1278" s="24">
        <v>2.74</v>
      </c>
      <c r="S1278" s="25">
        <v>2.7400000000000002E-3</v>
      </c>
      <c r="T1278" s="25">
        <v>0</v>
      </c>
      <c r="U1278" s="24">
        <v>0</v>
      </c>
      <c r="V1278" s="19">
        <v>6000</v>
      </c>
      <c r="W1278" s="19">
        <v>7779.8799999999992</v>
      </c>
      <c r="X1278" s="21">
        <v>1.2966466666666665</v>
      </c>
      <c r="Y1278" s="19">
        <v>5689.48</v>
      </c>
      <c r="Z1278" s="20">
        <v>0.94824666666666657</v>
      </c>
      <c r="AA1278" s="30">
        <v>6.4700000000000035E-2</v>
      </c>
      <c r="AB1278" s="27">
        <v>5.5999999999999994E-2</v>
      </c>
      <c r="AC1278" s="27">
        <v>6.8000000000000005E-2</v>
      </c>
      <c r="AD1278" s="11">
        <v>6.2056278657707076E-2</v>
      </c>
    </row>
    <row r="1279" spans="1:30" x14ac:dyDescent="0.25">
      <c r="A1279" s="13">
        <v>46052</v>
      </c>
      <c r="B1279" s="46" t="s">
        <v>636</v>
      </c>
      <c r="C1279" s="13">
        <v>46052</v>
      </c>
      <c r="D1279" s="15" t="s">
        <v>1528</v>
      </c>
      <c r="E1279" s="15">
        <v>168</v>
      </c>
      <c r="F1279" s="15">
        <v>180</v>
      </c>
      <c r="G1279" s="13">
        <v>46220</v>
      </c>
      <c r="H1279" s="19">
        <v>3300</v>
      </c>
      <c r="I1279" s="19">
        <v>7210.0999999999976</v>
      </c>
      <c r="J1279" s="20">
        <v>2.1848787878787883</v>
      </c>
      <c r="K1279" s="19">
        <v>4018.7999999999993</v>
      </c>
      <c r="L1279" s="20">
        <v>1.2178181818181817</v>
      </c>
      <c r="M1279" s="21">
        <v>0</v>
      </c>
      <c r="N1279" s="19">
        <v>0</v>
      </c>
      <c r="O1279" s="23">
        <v>660</v>
      </c>
      <c r="P1279" s="24">
        <v>70</v>
      </c>
      <c r="Q1279" s="25">
        <v>0.10606060606060606</v>
      </c>
      <c r="R1279" s="24">
        <v>70</v>
      </c>
      <c r="S1279" s="25">
        <v>0.10606060606060606</v>
      </c>
      <c r="T1279" s="25">
        <v>0</v>
      </c>
      <c r="U1279" s="24">
        <v>0</v>
      </c>
      <c r="V1279" s="19">
        <v>3960</v>
      </c>
      <c r="W1279" s="19">
        <v>7280.0999999999976</v>
      </c>
      <c r="X1279" s="21">
        <v>1.8384090909090902</v>
      </c>
      <c r="Y1279" s="19">
        <v>4088.7999999999993</v>
      </c>
      <c r="Z1279" s="20">
        <v>1.0325252525252524</v>
      </c>
      <c r="AA1279" s="30">
        <v>6.0999999999999957E-2</v>
      </c>
      <c r="AB1279" s="27">
        <v>5.5E-2</v>
      </c>
      <c r="AC1279" s="27">
        <v>6.8499999999999991E-2</v>
      </c>
      <c r="AD1279" s="11">
        <v>6.1226494916852767E-2</v>
      </c>
    </row>
    <row r="1280" spans="1:30" x14ac:dyDescent="0.25">
      <c r="A1280" s="13">
        <v>46055</v>
      </c>
      <c r="B1280" s="46" t="s">
        <v>636</v>
      </c>
      <c r="C1280" s="13">
        <v>46055</v>
      </c>
      <c r="D1280" s="15" t="s">
        <v>1529</v>
      </c>
      <c r="E1280" s="15">
        <v>28</v>
      </c>
      <c r="F1280" s="15">
        <v>30</v>
      </c>
      <c r="G1280" s="13">
        <v>46083</v>
      </c>
      <c r="H1280" s="19">
        <v>5800</v>
      </c>
      <c r="I1280" s="19">
        <v>13287.069999999998</v>
      </c>
      <c r="J1280" s="20">
        <v>2.2908741379310347</v>
      </c>
      <c r="K1280" s="19">
        <v>8838.659999999998</v>
      </c>
      <c r="L1280" s="20">
        <v>1.5239068965517237</v>
      </c>
      <c r="M1280" s="21">
        <v>0</v>
      </c>
      <c r="N1280" s="19">
        <v>0</v>
      </c>
      <c r="O1280" s="23">
        <v>1160</v>
      </c>
      <c r="P1280" s="24">
        <v>473</v>
      </c>
      <c r="Q1280" s="25">
        <v>0.40775862068965518</v>
      </c>
      <c r="R1280" s="24">
        <v>473</v>
      </c>
      <c r="S1280" s="25">
        <v>0.40775862068965518</v>
      </c>
      <c r="T1280" s="25">
        <v>0</v>
      </c>
      <c r="U1280" s="24">
        <v>0</v>
      </c>
      <c r="V1280" s="19">
        <v>6960</v>
      </c>
      <c r="W1280" s="19">
        <v>13760.069999999998</v>
      </c>
      <c r="X1280" s="21">
        <v>1.9770215517241376</v>
      </c>
      <c r="Y1280" s="19">
        <v>9311.659999999998</v>
      </c>
      <c r="Z1280" s="20">
        <v>1.3378821839080457</v>
      </c>
      <c r="AA1280" s="30">
        <v>6.25E-2</v>
      </c>
      <c r="AB1280" s="27">
        <v>0.05</v>
      </c>
      <c r="AC1280" s="27">
        <v>6.6000000000000003E-2</v>
      </c>
      <c r="AD1280" s="11">
        <v>6.1326836917394129E-2</v>
      </c>
    </row>
    <row r="1281" spans="1:30" x14ac:dyDescent="0.25">
      <c r="A1281" s="13">
        <v>46057</v>
      </c>
      <c r="B1281" s="46" t="s">
        <v>636</v>
      </c>
      <c r="C1281" s="13">
        <v>46057</v>
      </c>
      <c r="D1281" s="15" t="s">
        <v>1530</v>
      </c>
      <c r="E1281" s="15">
        <v>91</v>
      </c>
      <c r="F1281" s="15">
        <v>90</v>
      </c>
      <c r="G1281" s="13">
        <v>46148</v>
      </c>
      <c r="H1281" s="19">
        <v>5000</v>
      </c>
      <c r="I1281" s="19">
        <v>10089.529999999999</v>
      </c>
      <c r="J1281" s="20">
        <v>2.0179060000000004</v>
      </c>
      <c r="K1281" s="19">
        <v>6589.53</v>
      </c>
      <c r="L1281" s="20">
        <v>1.317906</v>
      </c>
      <c r="M1281" s="21">
        <v>0</v>
      </c>
      <c r="N1281" s="19">
        <v>0</v>
      </c>
      <c r="O1281" s="23">
        <v>1000</v>
      </c>
      <c r="P1281" s="24">
        <v>2.12</v>
      </c>
      <c r="Q1281" s="25">
        <v>2.1199999999999999E-3</v>
      </c>
      <c r="R1281" s="24">
        <v>2.12</v>
      </c>
      <c r="S1281" s="25">
        <v>2.1199999999999999E-3</v>
      </c>
      <c r="T1281" s="25">
        <v>0</v>
      </c>
      <c r="U1281" s="24">
        <v>0</v>
      </c>
      <c r="V1281" s="19">
        <v>6000</v>
      </c>
      <c r="W1281" s="19">
        <v>10091.65</v>
      </c>
      <c r="X1281" s="21">
        <v>1.6819416666666667</v>
      </c>
      <c r="Y1281" s="19">
        <v>6591.65</v>
      </c>
      <c r="Z1281" s="20">
        <v>1.0986083333333332</v>
      </c>
      <c r="AA1281" s="30">
        <v>6.25E-2</v>
      </c>
      <c r="AB1281" s="27">
        <v>5.5E-2</v>
      </c>
      <c r="AC1281" s="27">
        <v>6.6000000000000003E-2</v>
      </c>
      <c r="AD1281" s="11">
        <v>6.1735197774326463E-2</v>
      </c>
    </row>
    <row r="1282" spans="1:30" x14ac:dyDescent="0.25">
      <c r="A1282" s="13">
        <v>46058</v>
      </c>
      <c r="B1282" s="46" t="s">
        <v>636</v>
      </c>
      <c r="C1282" s="13">
        <v>46059</v>
      </c>
      <c r="D1282" s="15" t="s">
        <v>1531</v>
      </c>
      <c r="E1282" s="15">
        <v>364</v>
      </c>
      <c r="F1282" s="15">
        <v>360</v>
      </c>
      <c r="G1282" s="13">
        <v>46423</v>
      </c>
      <c r="H1282" s="19">
        <v>3400</v>
      </c>
      <c r="I1282" s="19">
        <v>11626.33</v>
      </c>
      <c r="J1282" s="20">
        <v>3.4195088235294104</v>
      </c>
      <c r="K1282" s="19">
        <v>3472.9599999999996</v>
      </c>
      <c r="L1282" s="20">
        <v>1.0214588235294118</v>
      </c>
      <c r="M1282" s="21">
        <v>0</v>
      </c>
      <c r="N1282" s="19">
        <v>0</v>
      </c>
      <c r="O1282" s="23">
        <v>680</v>
      </c>
      <c r="P1282" s="24">
        <v>1130</v>
      </c>
      <c r="Q1282" s="25">
        <v>1.6617647058823528</v>
      </c>
      <c r="R1282" s="24">
        <v>680</v>
      </c>
      <c r="S1282" s="25">
        <v>1</v>
      </c>
      <c r="T1282" s="25">
        <v>0.60176999999999992</v>
      </c>
      <c r="U1282" s="24">
        <v>0</v>
      </c>
      <c r="V1282" s="19">
        <v>4080</v>
      </c>
      <c r="W1282" s="19">
        <v>12756.33</v>
      </c>
      <c r="X1282" s="21">
        <v>3.1265514705882351</v>
      </c>
      <c r="Y1282" s="19">
        <v>4152.9599999999991</v>
      </c>
      <c r="Z1282" s="20">
        <v>1.0178823529411762</v>
      </c>
      <c r="AA1282" s="30">
        <v>5.9099999999999958E-2</v>
      </c>
      <c r="AB1282" s="27">
        <v>0.05</v>
      </c>
      <c r="AC1282" s="27">
        <v>7.0000000000000007E-2</v>
      </c>
      <c r="AD1282" s="11">
        <v>6.1380790756842454E-2</v>
      </c>
    </row>
    <row r="1283" spans="1:30" x14ac:dyDescent="0.25">
      <c r="A1283" s="13">
        <v>46062</v>
      </c>
      <c r="B1283" s="46" t="s">
        <v>636</v>
      </c>
      <c r="C1283" s="13">
        <v>46062</v>
      </c>
      <c r="D1283" s="15" t="s">
        <v>1535</v>
      </c>
      <c r="E1283" s="15">
        <v>35</v>
      </c>
      <c r="F1283" s="15">
        <v>30</v>
      </c>
      <c r="G1283" s="13">
        <v>46097</v>
      </c>
      <c r="H1283" s="19">
        <v>7900</v>
      </c>
      <c r="I1283" s="19">
        <v>12615.7</v>
      </c>
      <c r="J1283" s="20">
        <v>1.5969240506329114</v>
      </c>
      <c r="K1283" s="19">
        <v>9650.7000000000007</v>
      </c>
      <c r="L1283" s="20">
        <v>1.2216075949367089</v>
      </c>
      <c r="M1283" s="21">
        <v>0</v>
      </c>
      <c r="N1283" s="19">
        <v>0</v>
      </c>
      <c r="O1283" s="23">
        <v>1580</v>
      </c>
      <c r="P1283" s="24">
        <v>609</v>
      </c>
      <c r="Q1283" s="25">
        <v>0.38544303797468354</v>
      </c>
      <c r="R1283" s="24">
        <v>609</v>
      </c>
      <c r="S1283" s="25">
        <v>0.38544303797468354</v>
      </c>
      <c r="T1283" s="25">
        <v>0</v>
      </c>
      <c r="U1283" s="24">
        <v>0</v>
      </c>
      <c r="V1283" s="19">
        <v>9480</v>
      </c>
      <c r="W1283" s="19">
        <v>13224.7</v>
      </c>
      <c r="X1283" s="21">
        <v>1.3950105485232067</v>
      </c>
      <c r="Y1283" s="19">
        <v>10259.700000000001</v>
      </c>
      <c r="Z1283" s="20">
        <v>1.0822468354430381</v>
      </c>
      <c r="AA1283" s="30">
        <v>6.1999999999999958E-2</v>
      </c>
      <c r="AB1283" s="27">
        <v>2.7000000000000003E-2</v>
      </c>
      <c r="AC1283" s="27">
        <v>6.6199999999999995E-2</v>
      </c>
      <c r="AD1283" s="11">
        <v>5.973714982125445E-2</v>
      </c>
    </row>
    <row r="1284" spans="1:30" x14ac:dyDescent="0.25">
      <c r="A1284" s="13">
        <v>46064</v>
      </c>
      <c r="B1284" s="46" t="s">
        <v>636</v>
      </c>
      <c r="C1284" s="13">
        <v>46064</v>
      </c>
      <c r="D1284" s="15" t="s">
        <v>1536</v>
      </c>
      <c r="E1284" s="15">
        <v>84</v>
      </c>
      <c r="F1284" s="15">
        <v>90</v>
      </c>
      <c r="G1284" s="13">
        <v>46148</v>
      </c>
      <c r="H1284" s="19">
        <v>6700</v>
      </c>
      <c r="I1284" s="19"/>
      <c r="J1284" s="20"/>
      <c r="K1284" s="19"/>
      <c r="L1284" s="20"/>
      <c r="M1284" s="21"/>
      <c r="N1284" s="19"/>
      <c r="O1284" s="23">
        <v>1340</v>
      </c>
      <c r="P1284" s="24"/>
      <c r="Q1284" s="25"/>
      <c r="R1284" s="24"/>
      <c r="S1284" s="25"/>
      <c r="T1284" s="25"/>
      <c r="U1284" s="24"/>
      <c r="V1284" s="19"/>
      <c r="W1284" s="19"/>
      <c r="X1284" s="21"/>
      <c r="Y1284" s="19"/>
      <c r="Z1284" s="20"/>
      <c r="AA1284" s="30"/>
      <c r="AB1284" s="27"/>
      <c r="AC1284" s="27"/>
      <c r="AD1284" s="11"/>
    </row>
    <row r="1285" spans="1:30" x14ac:dyDescent="0.25">
      <c r="E1285" s="76"/>
    </row>
    <row r="1286" spans="1:30" x14ac:dyDescent="0.25">
      <c r="H1286" s="77"/>
    </row>
    <row r="1288" spans="1:30" x14ac:dyDescent="0.25">
      <c r="H1288" s="77"/>
    </row>
    <row r="1290" spans="1:30" x14ac:dyDescent="0.25">
      <c r="H1290" s="77"/>
    </row>
    <row r="1048575" spans="2:2" x14ac:dyDescent="0.25">
      <c r="B1048575" s="46"/>
    </row>
  </sheetData>
  <sortState xmlns:xlrd2="http://schemas.microsoft.com/office/spreadsheetml/2017/richdata2" ref="A11:W531">
    <sortCondition ref="A11:A531"/>
  </sortState>
  <mergeCells count="4">
    <mergeCell ref="H9:N9"/>
    <mergeCell ref="O9:U9"/>
    <mergeCell ref="E2:AD6"/>
    <mergeCell ref="V9:Z9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DY286"/>
  <sheetViews>
    <sheetView topLeftCell="A251" zoomScale="90" zoomScaleNormal="90" workbookViewId="0">
      <selection activeCell="G288" sqref="G288"/>
    </sheetView>
  </sheetViews>
  <sheetFormatPr baseColWidth="10" defaultColWidth="11.42578125" defaultRowHeight="15" x14ac:dyDescent="0.25"/>
  <cols>
    <col min="1" max="1" width="12" style="1" customWidth="1"/>
    <col min="2" max="2" width="34.5703125" style="1" bestFit="1" customWidth="1"/>
    <col min="3" max="3" width="19" style="1" bestFit="1" customWidth="1"/>
    <col min="4" max="4" width="20.28515625" style="1" bestFit="1" customWidth="1"/>
    <col min="5" max="5" width="12.42578125" style="1" bestFit="1" customWidth="1"/>
    <col min="6" max="6" width="20.85546875" style="1" bestFit="1" customWidth="1"/>
    <col min="7" max="7" width="18.5703125" style="3" bestFit="1" customWidth="1"/>
    <col min="8" max="8" width="12.140625" style="1" bestFit="1" customWidth="1"/>
    <col min="9" max="16384" width="11.42578125" style="1"/>
  </cols>
  <sheetData>
    <row r="1" spans="1:7" x14ac:dyDescent="0.25">
      <c r="A1" s="36"/>
      <c r="B1" s="2"/>
      <c r="F1" s="3"/>
    </row>
    <row r="2" spans="1:7" ht="15" customHeight="1" x14ac:dyDescent="0.25">
      <c r="A2" s="36"/>
      <c r="B2" s="2"/>
      <c r="D2" s="83" t="s">
        <v>699</v>
      </c>
      <c r="E2" s="83"/>
      <c r="F2" s="83"/>
      <c r="G2" s="83"/>
    </row>
    <row r="3" spans="1:7" ht="15" customHeight="1" x14ac:dyDescent="0.25">
      <c r="A3" s="36"/>
      <c r="B3" s="2"/>
      <c r="D3" s="83"/>
      <c r="E3" s="83"/>
      <c r="F3" s="83"/>
      <c r="G3" s="83"/>
    </row>
    <row r="4" spans="1:7" ht="14.25" customHeight="1" x14ac:dyDescent="0.25">
      <c r="A4" s="36"/>
      <c r="B4" s="2"/>
      <c r="D4" s="83"/>
      <c r="E4" s="83"/>
      <c r="F4" s="83"/>
      <c r="G4" s="83"/>
    </row>
    <row r="5" spans="1:7" x14ac:dyDescent="0.25">
      <c r="A5" s="36"/>
      <c r="B5" s="2"/>
      <c r="D5" s="83"/>
      <c r="E5" s="83"/>
      <c r="F5" s="83"/>
      <c r="G5" s="83"/>
    </row>
    <row r="6" spans="1:7" x14ac:dyDescent="0.25">
      <c r="A6" s="36"/>
      <c r="B6" s="2"/>
      <c r="D6" s="83"/>
      <c r="E6" s="83"/>
      <c r="F6" s="83"/>
      <c r="G6" s="83"/>
    </row>
    <row r="7" spans="1:7" x14ac:dyDescent="0.25">
      <c r="D7" s="37" t="s">
        <v>341</v>
      </c>
    </row>
    <row r="10" spans="1:7" ht="15" customHeight="1" x14ac:dyDescent="0.25">
      <c r="A10" s="4" t="s">
        <v>18</v>
      </c>
      <c r="B10" s="4" t="s">
        <v>335</v>
      </c>
      <c r="C10" s="4" t="s">
        <v>314</v>
      </c>
      <c r="D10" s="4" t="s">
        <v>306</v>
      </c>
      <c r="E10" s="4" t="s">
        <v>1</v>
      </c>
      <c r="F10" s="4" t="s">
        <v>702</v>
      </c>
      <c r="G10" s="4" t="s">
        <v>336</v>
      </c>
    </row>
    <row r="11" spans="1:7" x14ac:dyDescent="0.25">
      <c r="A11" s="13">
        <v>44602</v>
      </c>
      <c r="B11" s="35" t="s">
        <v>700</v>
      </c>
      <c r="C11" s="15" t="s">
        <v>703</v>
      </c>
      <c r="D11" s="1" t="s">
        <v>701</v>
      </c>
      <c r="E11" s="13">
        <v>44603</v>
      </c>
      <c r="F11" s="53">
        <f>+E11-A11</f>
        <v>1</v>
      </c>
      <c r="G11" s="19">
        <v>-7020.3739020000003</v>
      </c>
    </row>
    <row r="12" spans="1:7" x14ac:dyDescent="0.25">
      <c r="A12" s="13">
        <v>44602</v>
      </c>
      <c r="B12" s="35" t="s">
        <v>700</v>
      </c>
      <c r="C12" s="15" t="s">
        <v>704</v>
      </c>
      <c r="D12" s="1" t="s">
        <v>701</v>
      </c>
      <c r="E12" s="13">
        <v>44606</v>
      </c>
      <c r="F12" s="53">
        <f t="shared" ref="F12:F17" si="0">+E12-A12</f>
        <v>4</v>
      </c>
      <c r="G12" s="19">
        <v>-278.18180000000001</v>
      </c>
    </row>
    <row r="13" spans="1:7" x14ac:dyDescent="0.25">
      <c r="A13" s="13">
        <v>44602</v>
      </c>
      <c r="B13" s="35" t="s">
        <v>700</v>
      </c>
      <c r="C13" s="15" t="s">
        <v>705</v>
      </c>
      <c r="D13" s="1" t="s">
        <v>701</v>
      </c>
      <c r="E13" s="13">
        <v>44610</v>
      </c>
      <c r="F13" s="53">
        <f t="shared" si="0"/>
        <v>8</v>
      </c>
      <c r="G13" s="19">
        <v>-3789.613006</v>
      </c>
    </row>
    <row r="14" spans="1:7" x14ac:dyDescent="0.25">
      <c r="A14" s="13">
        <v>44602</v>
      </c>
      <c r="B14" s="35" t="s">
        <v>700</v>
      </c>
      <c r="C14" s="15" t="s">
        <v>706</v>
      </c>
      <c r="D14" s="1" t="s">
        <v>701</v>
      </c>
      <c r="E14" s="13">
        <v>44615</v>
      </c>
      <c r="F14" s="53">
        <f t="shared" si="0"/>
        <v>13</v>
      </c>
      <c r="G14" s="19">
        <v>-1313.825155</v>
      </c>
    </row>
    <row r="15" spans="1:7" x14ac:dyDescent="0.25">
      <c r="A15" s="13">
        <v>44602</v>
      </c>
      <c r="B15" s="35" t="s">
        <v>700</v>
      </c>
      <c r="C15" s="15" t="s">
        <v>707</v>
      </c>
      <c r="D15" s="1" t="s">
        <v>701</v>
      </c>
      <c r="E15" s="13">
        <v>44617</v>
      </c>
      <c r="F15" s="53">
        <f t="shared" si="0"/>
        <v>15</v>
      </c>
      <c r="G15" s="19">
        <v>-1895.1762329999999</v>
      </c>
    </row>
    <row r="16" spans="1:7" x14ac:dyDescent="0.25">
      <c r="A16" s="13">
        <v>44602</v>
      </c>
      <c r="B16" s="35" t="s">
        <v>700</v>
      </c>
      <c r="C16" s="15" t="s">
        <v>708</v>
      </c>
      <c r="D16" s="1" t="s">
        <v>701</v>
      </c>
      <c r="E16" s="13">
        <v>44622</v>
      </c>
      <c r="F16" s="53">
        <f t="shared" si="0"/>
        <v>20</v>
      </c>
      <c r="G16" s="19">
        <v>-927.25279999999998</v>
      </c>
    </row>
    <row r="17" spans="1:7" x14ac:dyDescent="0.25">
      <c r="A17" s="13">
        <v>44602</v>
      </c>
      <c r="B17" s="35" t="s">
        <v>700</v>
      </c>
      <c r="C17" s="15" t="s">
        <v>709</v>
      </c>
      <c r="D17" s="1" t="s">
        <v>701</v>
      </c>
      <c r="E17" s="13">
        <v>44624</v>
      </c>
      <c r="F17" s="53">
        <f t="shared" si="0"/>
        <v>22</v>
      </c>
      <c r="G17" s="19">
        <v>-3136.2618050000001</v>
      </c>
    </row>
    <row r="18" spans="1:7" x14ac:dyDescent="0.25">
      <c r="A18" s="13">
        <v>44602</v>
      </c>
      <c r="B18" s="35" t="s">
        <v>700</v>
      </c>
      <c r="C18" s="15" t="s">
        <v>710</v>
      </c>
      <c r="D18" s="1" t="s">
        <v>701</v>
      </c>
      <c r="E18" s="13">
        <v>44643</v>
      </c>
      <c r="F18" s="53">
        <f t="shared" ref="F18:F24" si="1">+E18-A18</f>
        <v>41</v>
      </c>
      <c r="G18" s="19">
        <v>-400</v>
      </c>
    </row>
    <row r="19" spans="1:7" x14ac:dyDescent="0.25">
      <c r="A19" s="13">
        <v>44602</v>
      </c>
      <c r="B19" s="35" t="s">
        <v>700</v>
      </c>
      <c r="C19" s="15" t="s">
        <v>711</v>
      </c>
      <c r="D19" s="1" t="s">
        <v>701</v>
      </c>
      <c r="E19" s="13">
        <v>44645</v>
      </c>
      <c r="F19" s="53">
        <f t="shared" si="1"/>
        <v>43</v>
      </c>
      <c r="G19" s="19">
        <v>-3578.4609049999999</v>
      </c>
    </row>
    <row r="20" spans="1:7" x14ac:dyDescent="0.25">
      <c r="A20" s="13">
        <v>44602</v>
      </c>
      <c r="B20" s="35" t="s">
        <v>700</v>
      </c>
      <c r="C20" s="15" t="s">
        <v>712</v>
      </c>
      <c r="D20" s="1" t="s">
        <v>701</v>
      </c>
      <c r="E20" s="13">
        <v>44652</v>
      </c>
      <c r="F20" s="53">
        <f t="shared" si="1"/>
        <v>50</v>
      </c>
      <c r="G20" s="19">
        <v>-1111.142036</v>
      </c>
    </row>
    <row r="21" spans="1:7" x14ac:dyDescent="0.25">
      <c r="A21" s="13">
        <v>44602</v>
      </c>
      <c r="B21" s="35" t="s">
        <v>700</v>
      </c>
      <c r="C21" s="15" t="s">
        <v>713</v>
      </c>
      <c r="D21" s="1" t="s">
        <v>701</v>
      </c>
      <c r="E21" s="13">
        <v>44657</v>
      </c>
      <c r="F21" s="53">
        <f t="shared" si="1"/>
        <v>55</v>
      </c>
      <c r="G21" s="19">
        <v>-106.365551</v>
      </c>
    </row>
    <row r="22" spans="1:7" x14ac:dyDescent="0.25">
      <c r="A22" s="13">
        <v>44602</v>
      </c>
      <c r="B22" s="35" t="s">
        <v>700</v>
      </c>
      <c r="C22" s="15" t="s">
        <v>714</v>
      </c>
      <c r="D22" s="1" t="s">
        <v>701</v>
      </c>
      <c r="E22" s="13">
        <v>44659</v>
      </c>
      <c r="F22" s="53">
        <f t="shared" si="1"/>
        <v>57</v>
      </c>
      <c r="G22" s="19">
        <v>-929.66033000000004</v>
      </c>
    </row>
    <row r="23" spans="1:7" x14ac:dyDescent="0.25">
      <c r="A23" s="13">
        <v>44602</v>
      </c>
      <c r="B23" s="35" t="s">
        <v>700</v>
      </c>
      <c r="C23" s="15" t="s">
        <v>715</v>
      </c>
      <c r="D23" s="1" t="s">
        <v>701</v>
      </c>
      <c r="E23" s="13">
        <v>44673</v>
      </c>
      <c r="F23" s="53">
        <f t="shared" si="1"/>
        <v>71</v>
      </c>
      <c r="G23" s="19">
        <v>-950</v>
      </c>
    </row>
    <row r="24" spans="1:7" x14ac:dyDescent="0.25">
      <c r="A24" s="13">
        <v>44602</v>
      </c>
      <c r="B24" s="35" t="s">
        <v>700</v>
      </c>
      <c r="C24" s="15" t="s">
        <v>716</v>
      </c>
      <c r="D24" s="1" t="s">
        <v>701</v>
      </c>
      <c r="E24" s="13">
        <v>44680</v>
      </c>
      <c r="F24" s="53">
        <f t="shared" si="1"/>
        <v>78</v>
      </c>
      <c r="G24" s="19">
        <v>-798.41942200000005</v>
      </c>
    </row>
    <row r="25" spans="1:7" x14ac:dyDescent="0.25">
      <c r="A25" s="13">
        <v>44602</v>
      </c>
      <c r="B25" s="35" t="s">
        <v>700</v>
      </c>
      <c r="C25" s="15" t="s">
        <v>717</v>
      </c>
      <c r="D25" s="1" t="s">
        <v>701</v>
      </c>
      <c r="E25" s="13">
        <v>44687</v>
      </c>
      <c r="F25" s="53">
        <f>+E25-A25</f>
        <v>85</v>
      </c>
      <c r="G25" s="19">
        <v>-2503.0360190000001</v>
      </c>
    </row>
    <row r="26" spans="1:7" x14ac:dyDescent="0.25">
      <c r="A26" s="13">
        <v>44602</v>
      </c>
      <c r="B26" s="35" t="s">
        <v>700</v>
      </c>
      <c r="C26" s="15" t="s">
        <v>718</v>
      </c>
      <c r="D26" s="1" t="s">
        <v>701</v>
      </c>
      <c r="E26" s="13">
        <v>44736</v>
      </c>
      <c r="F26" s="53">
        <f t="shared" ref="F26:F49" si="2">+E26-A26</f>
        <v>134</v>
      </c>
      <c r="G26" s="19">
        <v>-261.41000000000003</v>
      </c>
    </row>
    <row r="27" spans="1:7" x14ac:dyDescent="0.25">
      <c r="A27" s="13">
        <v>44602</v>
      </c>
      <c r="B27" s="35" t="s">
        <v>700</v>
      </c>
      <c r="C27" s="15" t="s">
        <v>719</v>
      </c>
      <c r="D27" s="1" t="s">
        <v>701</v>
      </c>
      <c r="E27" s="13">
        <v>44743</v>
      </c>
      <c r="F27" s="53">
        <f t="shared" si="2"/>
        <v>141</v>
      </c>
      <c r="G27" s="19">
        <v>-3050.1652610000001</v>
      </c>
    </row>
    <row r="28" spans="1:7" x14ac:dyDescent="0.25">
      <c r="A28" s="13">
        <v>44602</v>
      </c>
      <c r="B28" s="35" t="s">
        <v>700</v>
      </c>
      <c r="C28" s="15" t="s">
        <v>720</v>
      </c>
      <c r="D28" s="1" t="s">
        <v>701</v>
      </c>
      <c r="E28" s="13">
        <v>44771</v>
      </c>
      <c r="F28" s="53">
        <f t="shared" si="2"/>
        <v>169</v>
      </c>
      <c r="G28" s="19">
        <v>-4354.5596759999999</v>
      </c>
    </row>
    <row r="29" spans="1:7" x14ac:dyDescent="0.25">
      <c r="A29" s="13">
        <v>44602</v>
      </c>
      <c r="B29" s="35" t="s">
        <v>700</v>
      </c>
      <c r="C29" s="15" t="s">
        <v>721</v>
      </c>
      <c r="D29" s="1" t="s">
        <v>701</v>
      </c>
      <c r="E29" s="13">
        <v>44785</v>
      </c>
      <c r="F29" s="53">
        <f t="shared" si="2"/>
        <v>183</v>
      </c>
      <c r="G29" s="19">
        <v>-984.90745400000003</v>
      </c>
    </row>
    <row r="30" spans="1:7" x14ac:dyDescent="0.25">
      <c r="A30" s="13">
        <v>44602</v>
      </c>
      <c r="B30" s="35" t="s">
        <v>700</v>
      </c>
      <c r="C30" s="15" t="s">
        <v>722</v>
      </c>
      <c r="D30" s="1" t="s">
        <v>701</v>
      </c>
      <c r="E30" s="13">
        <v>44918</v>
      </c>
      <c r="F30" s="53">
        <f t="shared" si="2"/>
        <v>316</v>
      </c>
      <c r="G30" s="19">
        <v>-1095.833179</v>
      </c>
    </row>
    <row r="31" spans="1:7" x14ac:dyDescent="0.25">
      <c r="A31" s="13">
        <v>44974</v>
      </c>
      <c r="B31" s="35" t="s">
        <v>700</v>
      </c>
      <c r="C31" s="15" t="s">
        <v>898</v>
      </c>
      <c r="D31" s="1" t="s">
        <v>701</v>
      </c>
      <c r="E31" s="13">
        <v>44974</v>
      </c>
      <c r="F31" s="53">
        <f t="shared" si="2"/>
        <v>0</v>
      </c>
      <c r="G31" s="19">
        <v>-3</v>
      </c>
    </row>
    <row r="32" spans="1:7" x14ac:dyDescent="0.25">
      <c r="A32" s="13">
        <v>44974</v>
      </c>
      <c r="B32" s="35" t="s">
        <v>700</v>
      </c>
      <c r="C32" s="15" t="s">
        <v>899</v>
      </c>
      <c r="D32" s="1" t="s">
        <v>701</v>
      </c>
      <c r="E32" s="13">
        <v>44988</v>
      </c>
      <c r="F32" s="53">
        <f t="shared" si="2"/>
        <v>14</v>
      </c>
      <c r="G32" s="19">
        <v>-1100</v>
      </c>
    </row>
    <row r="33" spans="1:7" x14ac:dyDescent="0.25">
      <c r="A33" s="13">
        <v>44974</v>
      </c>
      <c r="B33" s="35" t="s">
        <v>700</v>
      </c>
      <c r="C33" s="15" t="s">
        <v>900</v>
      </c>
      <c r="D33" s="1" t="s">
        <v>701</v>
      </c>
      <c r="E33" s="13">
        <v>44993</v>
      </c>
      <c r="F33" s="53">
        <f t="shared" si="2"/>
        <v>19</v>
      </c>
      <c r="G33" s="19">
        <v>-456.44971700000002</v>
      </c>
    </row>
    <row r="34" spans="1:7" x14ac:dyDescent="0.25">
      <c r="A34" s="13">
        <v>44974</v>
      </c>
      <c r="B34" s="35" t="s">
        <v>700</v>
      </c>
      <c r="C34" s="15" t="s">
        <v>901</v>
      </c>
      <c r="D34" s="1" t="s">
        <v>701</v>
      </c>
      <c r="E34" s="13">
        <v>45002</v>
      </c>
      <c r="F34" s="53">
        <f t="shared" si="2"/>
        <v>28</v>
      </c>
      <c r="G34" s="19">
        <v>-163.40705700000001</v>
      </c>
    </row>
    <row r="35" spans="1:7" x14ac:dyDescent="0.25">
      <c r="A35" s="13">
        <v>44974</v>
      </c>
      <c r="B35" s="35" t="s">
        <v>700</v>
      </c>
      <c r="C35" s="15" t="s">
        <v>902</v>
      </c>
      <c r="D35" s="1" t="s">
        <v>701</v>
      </c>
      <c r="E35" s="13">
        <v>45014</v>
      </c>
      <c r="F35" s="53">
        <f t="shared" si="2"/>
        <v>40</v>
      </c>
      <c r="G35" s="19">
        <v>-402.87214799999998</v>
      </c>
    </row>
    <row r="36" spans="1:7" x14ac:dyDescent="0.25">
      <c r="A36" s="13">
        <v>44974</v>
      </c>
      <c r="B36" s="35" t="s">
        <v>700</v>
      </c>
      <c r="C36" s="15" t="s">
        <v>903</v>
      </c>
      <c r="D36" s="1" t="s">
        <v>701</v>
      </c>
      <c r="E36" s="13">
        <v>45016</v>
      </c>
      <c r="F36" s="53">
        <f t="shared" si="2"/>
        <v>42</v>
      </c>
      <c r="G36" s="19">
        <v>-2968.8255290000002</v>
      </c>
    </row>
    <row r="37" spans="1:7" x14ac:dyDescent="0.25">
      <c r="A37" s="13">
        <v>44974</v>
      </c>
      <c r="B37" s="35" t="s">
        <v>700</v>
      </c>
      <c r="C37" s="15" t="s">
        <v>904</v>
      </c>
      <c r="D37" s="1" t="s">
        <v>701</v>
      </c>
      <c r="E37" s="13">
        <v>45030</v>
      </c>
      <c r="F37" s="53">
        <f t="shared" si="2"/>
        <v>56</v>
      </c>
      <c r="G37" s="19">
        <v>-215.24</v>
      </c>
    </row>
    <row r="38" spans="1:7" x14ac:dyDescent="0.25">
      <c r="A38" s="13">
        <v>44974</v>
      </c>
      <c r="B38" s="35" t="s">
        <v>700</v>
      </c>
      <c r="C38" s="15" t="s">
        <v>905</v>
      </c>
      <c r="D38" s="1" t="s">
        <v>701</v>
      </c>
      <c r="E38" s="13">
        <v>45035</v>
      </c>
      <c r="F38" s="53">
        <f t="shared" si="2"/>
        <v>61</v>
      </c>
      <c r="G38" s="19">
        <v>-65.566562000000005</v>
      </c>
    </row>
    <row r="39" spans="1:7" x14ac:dyDescent="0.25">
      <c r="A39" s="13">
        <v>44974</v>
      </c>
      <c r="B39" s="35" t="s">
        <v>700</v>
      </c>
      <c r="C39" s="15" t="s">
        <v>906</v>
      </c>
      <c r="D39" s="1" t="s">
        <v>701</v>
      </c>
      <c r="E39" s="13">
        <v>45051</v>
      </c>
      <c r="F39" s="53">
        <f t="shared" si="2"/>
        <v>77</v>
      </c>
      <c r="G39" s="19">
        <v>-1060</v>
      </c>
    </row>
    <row r="40" spans="1:7" x14ac:dyDescent="0.25">
      <c r="A40" s="13">
        <v>44974</v>
      </c>
      <c r="B40" s="35" t="s">
        <v>700</v>
      </c>
      <c r="C40" s="15" t="s">
        <v>907</v>
      </c>
      <c r="D40" s="1" t="s">
        <v>701</v>
      </c>
      <c r="E40" s="13">
        <v>45079</v>
      </c>
      <c r="F40" s="53">
        <f t="shared" si="2"/>
        <v>105</v>
      </c>
      <c r="G40" s="19">
        <v>-117.065535</v>
      </c>
    </row>
    <row r="41" spans="1:7" x14ac:dyDescent="0.25">
      <c r="A41" s="13">
        <v>44974</v>
      </c>
      <c r="B41" s="35" t="s">
        <v>700</v>
      </c>
      <c r="C41" s="15" t="s">
        <v>908</v>
      </c>
      <c r="D41" s="1" t="s">
        <v>701</v>
      </c>
      <c r="E41" s="13">
        <v>45086</v>
      </c>
      <c r="F41" s="53">
        <f t="shared" si="2"/>
        <v>112</v>
      </c>
      <c r="G41" s="19">
        <v>-256.8</v>
      </c>
    </row>
    <row r="42" spans="1:7" x14ac:dyDescent="0.25">
      <c r="A42" s="13">
        <v>44974</v>
      </c>
      <c r="B42" s="35" t="s">
        <v>700</v>
      </c>
      <c r="C42" s="15" t="s">
        <v>909</v>
      </c>
      <c r="D42" s="1" t="s">
        <v>701</v>
      </c>
      <c r="E42" s="13">
        <v>45107</v>
      </c>
      <c r="F42" s="53">
        <f t="shared" si="2"/>
        <v>133</v>
      </c>
      <c r="G42" s="19">
        <v>-200</v>
      </c>
    </row>
    <row r="43" spans="1:7" x14ac:dyDescent="0.25">
      <c r="A43" s="13">
        <v>44974</v>
      </c>
      <c r="B43" s="35" t="s">
        <v>700</v>
      </c>
      <c r="C43" s="15" t="s">
        <v>910</v>
      </c>
      <c r="D43" s="1" t="s">
        <v>701</v>
      </c>
      <c r="E43" s="13">
        <v>45121</v>
      </c>
      <c r="F43" s="53">
        <f t="shared" si="2"/>
        <v>147</v>
      </c>
      <c r="G43" s="19">
        <v>-411.81900000000002</v>
      </c>
    </row>
    <row r="44" spans="1:7" x14ac:dyDescent="0.25">
      <c r="A44" s="13">
        <v>44974</v>
      </c>
      <c r="B44" s="35" t="s">
        <v>700</v>
      </c>
      <c r="C44" s="15" t="s">
        <v>911</v>
      </c>
      <c r="D44" s="1" t="s">
        <v>701</v>
      </c>
      <c r="E44" s="13">
        <v>45142</v>
      </c>
      <c r="F44" s="53">
        <f t="shared" si="2"/>
        <v>168</v>
      </c>
      <c r="G44" s="19">
        <v>-482.803967</v>
      </c>
    </row>
    <row r="45" spans="1:7" x14ac:dyDescent="0.25">
      <c r="A45" s="13">
        <v>44974</v>
      </c>
      <c r="B45" s="35" t="s">
        <v>700</v>
      </c>
      <c r="C45" s="15" t="s">
        <v>912</v>
      </c>
      <c r="D45" s="1" t="s">
        <v>701</v>
      </c>
      <c r="E45" s="13">
        <v>45156</v>
      </c>
      <c r="F45" s="53">
        <f t="shared" si="2"/>
        <v>182</v>
      </c>
      <c r="G45" s="19">
        <v>-400</v>
      </c>
    </row>
    <row r="46" spans="1:7" x14ac:dyDescent="0.25">
      <c r="A46" s="13">
        <v>44974</v>
      </c>
      <c r="B46" s="35" t="s">
        <v>700</v>
      </c>
      <c r="C46" s="15" t="s">
        <v>913</v>
      </c>
      <c r="D46" s="1" t="s">
        <v>701</v>
      </c>
      <c r="E46" s="13">
        <v>45184</v>
      </c>
      <c r="F46" s="53">
        <f t="shared" si="2"/>
        <v>210</v>
      </c>
      <c r="G46" s="19">
        <v>-1200</v>
      </c>
    </row>
    <row r="47" spans="1:7" x14ac:dyDescent="0.25">
      <c r="A47" s="13">
        <v>44974</v>
      </c>
      <c r="B47" s="35" t="s">
        <v>700</v>
      </c>
      <c r="C47" s="15" t="s">
        <v>914</v>
      </c>
      <c r="D47" s="1" t="s">
        <v>701</v>
      </c>
      <c r="E47" s="13">
        <v>45268</v>
      </c>
      <c r="F47" s="53">
        <f t="shared" si="2"/>
        <v>294</v>
      </c>
      <c r="G47" s="19">
        <v>-110.157794</v>
      </c>
    </row>
    <row r="48" spans="1:7" x14ac:dyDescent="0.25">
      <c r="A48" s="13">
        <v>44974</v>
      </c>
      <c r="B48" s="35" t="s">
        <v>700</v>
      </c>
      <c r="C48" s="15" t="s">
        <v>915</v>
      </c>
      <c r="D48" s="1" t="s">
        <v>701</v>
      </c>
      <c r="E48" s="13">
        <v>45289</v>
      </c>
      <c r="F48" s="53">
        <f t="shared" si="2"/>
        <v>315</v>
      </c>
      <c r="G48" s="19">
        <v>-290.799801</v>
      </c>
    </row>
    <row r="49" spans="1:7" x14ac:dyDescent="0.25">
      <c r="A49" s="13">
        <v>45315</v>
      </c>
      <c r="B49" s="35" t="s">
        <v>1072</v>
      </c>
      <c r="C49" s="15" t="s">
        <v>1073</v>
      </c>
      <c r="D49" s="1" t="s">
        <v>701</v>
      </c>
      <c r="E49" s="13">
        <v>45406</v>
      </c>
      <c r="F49" s="53">
        <f t="shared" si="2"/>
        <v>91</v>
      </c>
      <c r="G49" s="19">
        <v>-15</v>
      </c>
    </row>
    <row r="50" spans="1:7" x14ac:dyDescent="0.25">
      <c r="A50" s="13">
        <v>45315</v>
      </c>
      <c r="B50" s="35" t="s">
        <v>1072</v>
      </c>
      <c r="C50" s="15" t="s">
        <v>1074</v>
      </c>
      <c r="D50" s="1" t="s">
        <v>701</v>
      </c>
      <c r="E50" s="13">
        <v>45324</v>
      </c>
      <c r="F50" s="53">
        <f t="shared" ref="F50:F119" si="3">+E50-A50</f>
        <v>9</v>
      </c>
      <c r="G50" s="19">
        <v>-635.30748700000004</v>
      </c>
    </row>
    <row r="51" spans="1:7" x14ac:dyDescent="0.25">
      <c r="A51" s="13">
        <v>45315</v>
      </c>
      <c r="B51" s="35" t="s">
        <v>1072</v>
      </c>
      <c r="C51" s="15" t="s">
        <v>1075</v>
      </c>
      <c r="D51" s="1" t="s">
        <v>701</v>
      </c>
      <c r="E51" s="13">
        <v>45338</v>
      </c>
      <c r="F51" s="53">
        <f t="shared" si="3"/>
        <v>23</v>
      </c>
      <c r="G51" s="19">
        <v>-1</v>
      </c>
    </row>
    <row r="52" spans="1:7" x14ac:dyDescent="0.25">
      <c r="A52" s="13">
        <v>45315</v>
      </c>
      <c r="B52" s="35" t="s">
        <v>1072</v>
      </c>
      <c r="C52" s="15" t="s">
        <v>1076</v>
      </c>
      <c r="D52" s="1" t="s">
        <v>701</v>
      </c>
      <c r="E52" s="13">
        <v>45931</v>
      </c>
      <c r="F52" s="53">
        <f t="shared" si="3"/>
        <v>616</v>
      </c>
      <c r="G52" s="19">
        <v>-236</v>
      </c>
    </row>
    <row r="53" spans="1:7" x14ac:dyDescent="0.25">
      <c r="A53" s="13">
        <v>45315</v>
      </c>
      <c r="B53" s="35" t="s">
        <v>1072</v>
      </c>
      <c r="C53" s="15" t="s">
        <v>1077</v>
      </c>
      <c r="D53" s="1" t="s">
        <v>701</v>
      </c>
      <c r="E53" s="13">
        <v>45373</v>
      </c>
      <c r="F53" s="53">
        <f t="shared" si="3"/>
        <v>58</v>
      </c>
      <c r="G53" s="19">
        <v>-5.161035</v>
      </c>
    </row>
    <row r="54" spans="1:7" x14ac:dyDescent="0.25">
      <c r="A54" s="13">
        <v>45315</v>
      </c>
      <c r="B54" s="35" t="s">
        <v>1072</v>
      </c>
      <c r="C54" s="15" t="s">
        <v>1078</v>
      </c>
      <c r="D54" s="1" t="s">
        <v>701</v>
      </c>
      <c r="E54" s="13">
        <v>45371</v>
      </c>
      <c r="F54" s="53">
        <f t="shared" si="3"/>
        <v>56</v>
      </c>
      <c r="G54" s="19">
        <v>-3.6900469999999999</v>
      </c>
    </row>
    <row r="55" spans="1:7" x14ac:dyDescent="0.25">
      <c r="A55" s="13">
        <v>45315</v>
      </c>
      <c r="B55" s="35" t="s">
        <v>1072</v>
      </c>
      <c r="C55" s="15" t="s">
        <v>1079</v>
      </c>
      <c r="D55" s="1" t="s">
        <v>701</v>
      </c>
      <c r="E55" s="13">
        <v>45320</v>
      </c>
      <c r="F55" s="53">
        <f t="shared" si="3"/>
        <v>5</v>
      </c>
      <c r="G55" s="19">
        <v>-3.6731750000000001</v>
      </c>
    </row>
    <row r="56" spans="1:7" x14ac:dyDescent="0.25">
      <c r="A56" s="13">
        <v>45343</v>
      </c>
      <c r="B56" s="35" t="s">
        <v>1072</v>
      </c>
      <c r="C56" s="15" t="s">
        <v>1073</v>
      </c>
      <c r="D56" s="1" t="s">
        <v>701</v>
      </c>
      <c r="E56" s="13">
        <v>45406</v>
      </c>
      <c r="F56" s="53">
        <f t="shared" si="3"/>
        <v>63</v>
      </c>
      <c r="G56" s="19">
        <v>-4.7E-2</v>
      </c>
    </row>
    <row r="57" spans="1:7" x14ac:dyDescent="0.25">
      <c r="A57" s="13">
        <v>45343</v>
      </c>
      <c r="B57" s="35" t="s">
        <v>1072</v>
      </c>
      <c r="C57" s="15" t="s">
        <v>1093</v>
      </c>
      <c r="D57" s="1" t="s">
        <v>701</v>
      </c>
      <c r="E57" s="13">
        <v>45352</v>
      </c>
      <c r="F57" s="53">
        <f t="shared" si="3"/>
        <v>9</v>
      </c>
      <c r="G57" s="19">
        <v>-1300</v>
      </c>
    </row>
    <row r="58" spans="1:7" x14ac:dyDescent="0.25">
      <c r="A58" s="13">
        <v>45343</v>
      </c>
      <c r="B58" s="35" t="s">
        <v>1072</v>
      </c>
      <c r="C58" s="15" t="s">
        <v>1094</v>
      </c>
      <c r="D58" s="1" t="s">
        <v>701</v>
      </c>
      <c r="E58" s="13">
        <v>45429</v>
      </c>
      <c r="F58" s="53">
        <f t="shared" si="3"/>
        <v>86</v>
      </c>
      <c r="G58" s="19">
        <v>-22.7</v>
      </c>
    </row>
    <row r="59" spans="1:7" x14ac:dyDescent="0.25">
      <c r="A59" s="13">
        <v>45343</v>
      </c>
      <c r="B59" s="35" t="s">
        <v>1072</v>
      </c>
      <c r="C59" s="15" t="s">
        <v>1095</v>
      </c>
      <c r="D59" s="1" t="s">
        <v>701</v>
      </c>
      <c r="E59" s="13">
        <v>45492</v>
      </c>
      <c r="F59" s="53">
        <f t="shared" si="3"/>
        <v>149</v>
      </c>
      <c r="G59" s="19">
        <v>-45.3</v>
      </c>
    </row>
    <row r="60" spans="1:7" x14ac:dyDescent="0.25">
      <c r="A60" s="13">
        <v>45343</v>
      </c>
      <c r="B60" s="35" t="s">
        <v>1072</v>
      </c>
      <c r="C60" s="15" t="s">
        <v>1096</v>
      </c>
      <c r="D60" s="1" t="s">
        <v>701</v>
      </c>
      <c r="E60" s="13">
        <v>45422</v>
      </c>
      <c r="F60" s="53">
        <f t="shared" si="3"/>
        <v>79</v>
      </c>
      <c r="G60" s="19">
        <v>-6.2E-2</v>
      </c>
    </row>
    <row r="61" spans="1:7" x14ac:dyDescent="0.25">
      <c r="A61" s="13">
        <v>45343</v>
      </c>
      <c r="B61" s="35" t="s">
        <v>1072</v>
      </c>
      <c r="C61" s="15" t="s">
        <v>1097</v>
      </c>
      <c r="D61" s="1" t="s">
        <v>701</v>
      </c>
      <c r="E61" s="13">
        <v>45464</v>
      </c>
      <c r="F61" s="53">
        <f t="shared" si="3"/>
        <v>121</v>
      </c>
      <c r="G61" s="19">
        <f>-5000/1000000</f>
        <v>-5.0000000000000001E-3</v>
      </c>
    </row>
    <row r="62" spans="1:7" x14ac:dyDescent="0.25">
      <c r="A62" s="13">
        <v>45343</v>
      </c>
      <c r="B62" s="35" t="s">
        <v>1072</v>
      </c>
      <c r="C62" s="15" t="s">
        <v>1078</v>
      </c>
      <c r="D62" s="1" t="s">
        <v>701</v>
      </c>
      <c r="E62" s="13">
        <v>45371</v>
      </c>
      <c r="F62" s="53">
        <f t="shared" si="3"/>
        <v>28</v>
      </c>
      <c r="G62" s="19">
        <v>-135</v>
      </c>
    </row>
    <row r="63" spans="1:7" x14ac:dyDescent="0.25">
      <c r="A63" s="13">
        <v>45343</v>
      </c>
      <c r="B63" s="35" t="s">
        <v>1072</v>
      </c>
      <c r="C63" s="15" t="s">
        <v>1098</v>
      </c>
      <c r="D63" s="1" t="s">
        <v>701</v>
      </c>
      <c r="E63" s="13">
        <v>45653</v>
      </c>
      <c r="F63" s="53">
        <f t="shared" si="3"/>
        <v>310</v>
      </c>
      <c r="G63" s="19">
        <v>-20</v>
      </c>
    </row>
    <row r="64" spans="1:7" x14ac:dyDescent="0.25">
      <c r="A64" s="13">
        <v>45343</v>
      </c>
      <c r="B64" s="35" t="s">
        <v>1072</v>
      </c>
      <c r="C64" s="15" t="s">
        <v>1099</v>
      </c>
      <c r="D64" s="1" t="s">
        <v>701</v>
      </c>
      <c r="E64" s="13">
        <v>45385</v>
      </c>
      <c r="F64" s="53">
        <f t="shared" si="3"/>
        <v>42</v>
      </c>
      <c r="G64" s="19">
        <v>-1</v>
      </c>
    </row>
    <row r="65" spans="1:7" x14ac:dyDescent="0.25">
      <c r="A65" s="13">
        <v>45343</v>
      </c>
      <c r="B65" s="35" t="s">
        <v>1072</v>
      </c>
      <c r="C65" s="15" t="s">
        <v>1100</v>
      </c>
      <c r="D65" s="1" t="s">
        <v>701</v>
      </c>
      <c r="E65" s="13">
        <v>45348</v>
      </c>
      <c r="F65" s="53">
        <f t="shared" si="3"/>
        <v>5</v>
      </c>
      <c r="G65" s="19">
        <v>-466.59638999999999</v>
      </c>
    </row>
    <row r="66" spans="1:7" x14ac:dyDescent="0.25">
      <c r="A66" s="13">
        <v>45343</v>
      </c>
      <c r="B66" s="35" t="s">
        <v>1072</v>
      </c>
      <c r="C66" s="15" t="s">
        <v>1101</v>
      </c>
      <c r="D66" s="1" t="s">
        <v>701</v>
      </c>
      <c r="E66" s="13">
        <v>45420</v>
      </c>
      <c r="F66" s="53">
        <f t="shared" si="3"/>
        <v>77</v>
      </c>
      <c r="G66" s="19">
        <v>-4.7E-2</v>
      </c>
    </row>
    <row r="67" spans="1:7" x14ac:dyDescent="0.25">
      <c r="A67" s="13">
        <v>45343</v>
      </c>
      <c r="B67" s="35" t="s">
        <v>1072</v>
      </c>
      <c r="C67" s="15" t="s">
        <v>1102</v>
      </c>
      <c r="D67" s="1" t="s">
        <v>701</v>
      </c>
      <c r="E67" s="13">
        <v>45362</v>
      </c>
      <c r="F67" s="53">
        <f t="shared" si="3"/>
        <v>19</v>
      </c>
      <c r="G67" s="19">
        <v>-1</v>
      </c>
    </row>
    <row r="68" spans="1:7" x14ac:dyDescent="0.25">
      <c r="A68" s="13">
        <v>45357</v>
      </c>
      <c r="B68" s="35" t="s">
        <v>1072</v>
      </c>
      <c r="C68" s="15" t="s">
        <v>1108</v>
      </c>
      <c r="D68" s="1" t="s">
        <v>701</v>
      </c>
      <c r="E68" s="13">
        <v>45427</v>
      </c>
      <c r="F68" s="53">
        <f t="shared" si="3"/>
        <v>70</v>
      </c>
      <c r="G68" s="58">
        <v>-2.4E-2</v>
      </c>
    </row>
    <row r="69" spans="1:7" x14ac:dyDescent="0.25">
      <c r="A69" s="13">
        <v>45357</v>
      </c>
      <c r="B69" s="35" t="s">
        <v>1072</v>
      </c>
      <c r="C69" s="15" t="s">
        <v>1109</v>
      </c>
      <c r="D69" s="1" t="s">
        <v>701</v>
      </c>
      <c r="E69" s="69">
        <v>45376</v>
      </c>
      <c r="F69" s="53">
        <f t="shared" si="3"/>
        <v>19</v>
      </c>
      <c r="G69" s="58">
        <v>-6.8000000000000005E-2</v>
      </c>
    </row>
    <row r="70" spans="1:7" x14ac:dyDescent="0.25">
      <c r="A70" s="13">
        <v>45357</v>
      </c>
      <c r="B70" s="35" t="s">
        <v>1072</v>
      </c>
      <c r="C70" s="15" t="s">
        <v>1110</v>
      </c>
      <c r="D70" s="1" t="s">
        <v>701</v>
      </c>
      <c r="E70" s="13">
        <v>45448</v>
      </c>
      <c r="F70" s="53">
        <f t="shared" si="3"/>
        <v>91</v>
      </c>
      <c r="G70" s="58">
        <v>-0.05</v>
      </c>
    </row>
    <row r="71" spans="1:7" x14ac:dyDescent="0.25">
      <c r="A71" s="13">
        <v>45357</v>
      </c>
      <c r="B71" s="35" t="s">
        <v>1072</v>
      </c>
      <c r="C71" s="15" t="s">
        <v>1111</v>
      </c>
      <c r="D71" s="1" t="s">
        <v>701</v>
      </c>
      <c r="E71" s="13">
        <v>45390</v>
      </c>
      <c r="F71" s="53">
        <f t="shared" si="3"/>
        <v>33</v>
      </c>
      <c r="G71" s="67">
        <v>-7.3479000000000003E-2</v>
      </c>
    </row>
    <row r="72" spans="1:7" x14ac:dyDescent="0.25">
      <c r="A72" s="13">
        <v>45371</v>
      </c>
      <c r="B72" s="35" t="s">
        <v>1072</v>
      </c>
      <c r="C72" s="15" t="s">
        <v>1073</v>
      </c>
      <c r="D72" s="1" t="s">
        <v>701</v>
      </c>
      <c r="E72" s="13">
        <v>45406</v>
      </c>
      <c r="F72" s="53">
        <f t="shared" si="3"/>
        <v>35</v>
      </c>
      <c r="G72" s="19">
        <v>-2.4700000000000002</v>
      </c>
    </row>
    <row r="73" spans="1:7" x14ac:dyDescent="0.25">
      <c r="A73" s="13">
        <v>45371</v>
      </c>
      <c r="B73" s="35" t="s">
        <v>1072</v>
      </c>
      <c r="C73" s="15" t="s">
        <v>1101</v>
      </c>
      <c r="D73" s="1" t="s">
        <v>701</v>
      </c>
      <c r="E73" s="13">
        <v>45420</v>
      </c>
      <c r="F73" s="53">
        <f t="shared" si="3"/>
        <v>49</v>
      </c>
      <c r="G73" s="19">
        <v>-186.65298000000001</v>
      </c>
    </row>
    <row r="74" spans="1:7" x14ac:dyDescent="0.25">
      <c r="A74" s="13">
        <v>45371</v>
      </c>
      <c r="B74" s="35" t="s">
        <v>1072</v>
      </c>
      <c r="C74" s="15" t="s">
        <v>1109</v>
      </c>
      <c r="D74" s="1" t="s">
        <v>701</v>
      </c>
      <c r="E74" s="13">
        <v>45376</v>
      </c>
      <c r="F74" s="53">
        <f t="shared" si="3"/>
        <v>5</v>
      </c>
      <c r="G74" s="19">
        <v>-4.102773</v>
      </c>
    </row>
    <row r="75" spans="1:7" x14ac:dyDescent="0.25">
      <c r="A75" s="13">
        <v>45371</v>
      </c>
      <c r="B75" s="35" t="s">
        <v>1072</v>
      </c>
      <c r="C75" s="15" t="s">
        <v>1118</v>
      </c>
      <c r="D75" s="1" t="s">
        <v>701</v>
      </c>
      <c r="E75" s="13">
        <v>45397</v>
      </c>
      <c r="F75" s="53">
        <f t="shared" si="3"/>
        <v>26</v>
      </c>
      <c r="G75" s="19">
        <v>-0.59</v>
      </c>
    </row>
    <row r="76" spans="1:7" x14ac:dyDescent="0.25">
      <c r="A76" s="13">
        <v>45426</v>
      </c>
      <c r="B76" s="35" t="s">
        <v>700</v>
      </c>
      <c r="C76" s="15" t="s">
        <v>1144</v>
      </c>
      <c r="D76" s="1" t="s">
        <v>701</v>
      </c>
      <c r="E76" s="13">
        <v>45476</v>
      </c>
      <c r="F76" s="53">
        <f t="shared" si="3"/>
        <v>50</v>
      </c>
      <c r="G76" s="19">
        <v>-900.94816700000001</v>
      </c>
    </row>
    <row r="77" spans="1:7" x14ac:dyDescent="0.25">
      <c r="A77" s="13">
        <v>45426</v>
      </c>
      <c r="B77" s="35" t="s">
        <v>700</v>
      </c>
      <c r="C77" s="15" t="s">
        <v>1145</v>
      </c>
      <c r="D77" s="1" t="s">
        <v>701</v>
      </c>
      <c r="E77" s="13">
        <v>45560</v>
      </c>
      <c r="F77" s="53">
        <f t="shared" si="3"/>
        <v>134</v>
      </c>
      <c r="G77" s="19">
        <v>-1515.884454</v>
      </c>
    </row>
    <row r="78" spans="1:7" x14ac:dyDescent="0.25">
      <c r="A78" s="13">
        <v>45426</v>
      </c>
      <c r="B78" s="35" t="s">
        <v>700</v>
      </c>
      <c r="C78" s="15" t="s">
        <v>1146</v>
      </c>
      <c r="D78" s="1" t="s">
        <v>701</v>
      </c>
      <c r="E78" s="13">
        <v>45443</v>
      </c>
      <c r="F78" s="53">
        <f t="shared" si="3"/>
        <v>17</v>
      </c>
      <c r="G78" s="19">
        <v>-1429.172239</v>
      </c>
    </row>
    <row r="79" spans="1:7" x14ac:dyDescent="0.25">
      <c r="A79" s="13">
        <v>45426</v>
      </c>
      <c r="B79" s="35" t="s">
        <v>700</v>
      </c>
      <c r="C79" s="15" t="s">
        <v>1147</v>
      </c>
      <c r="D79" s="1" t="s">
        <v>701</v>
      </c>
      <c r="E79" s="13">
        <v>45478</v>
      </c>
      <c r="F79" s="53">
        <f t="shared" si="3"/>
        <v>52</v>
      </c>
      <c r="G79" s="19">
        <v>-968.49651200000005</v>
      </c>
    </row>
    <row r="80" spans="1:7" x14ac:dyDescent="0.25">
      <c r="A80" s="13">
        <v>45426</v>
      </c>
      <c r="B80" s="35" t="s">
        <v>700</v>
      </c>
      <c r="C80" s="15" t="s">
        <v>1095</v>
      </c>
      <c r="D80" s="1" t="s">
        <v>701</v>
      </c>
      <c r="E80" s="13">
        <v>45492</v>
      </c>
      <c r="F80" s="53">
        <f t="shared" si="3"/>
        <v>66</v>
      </c>
      <c r="G80" s="19">
        <v>-17.151858000000001</v>
      </c>
    </row>
    <row r="81" spans="1:7" x14ac:dyDescent="0.25">
      <c r="A81" s="13">
        <v>45426</v>
      </c>
      <c r="B81" s="35" t="s">
        <v>700</v>
      </c>
      <c r="C81" s="15" t="s">
        <v>1148</v>
      </c>
      <c r="D81" s="1" t="s">
        <v>701</v>
      </c>
      <c r="E81" s="13">
        <v>45513</v>
      </c>
      <c r="F81" s="53">
        <f t="shared" si="3"/>
        <v>87</v>
      </c>
      <c r="G81" s="19">
        <v>-931.4</v>
      </c>
    </row>
    <row r="82" spans="1:7" x14ac:dyDescent="0.25">
      <c r="A82" s="13">
        <v>45426</v>
      </c>
      <c r="B82" s="35" t="s">
        <v>700</v>
      </c>
      <c r="C82" s="15" t="s">
        <v>1149</v>
      </c>
      <c r="D82" s="1" t="s">
        <v>701</v>
      </c>
      <c r="E82" s="13">
        <v>45541</v>
      </c>
      <c r="F82" s="53">
        <f t="shared" si="3"/>
        <v>115</v>
      </c>
      <c r="G82" s="19">
        <v>-366.56</v>
      </c>
    </row>
    <row r="83" spans="1:7" x14ac:dyDescent="0.25">
      <c r="A83" s="13">
        <v>45426</v>
      </c>
      <c r="B83" s="35" t="s">
        <v>700</v>
      </c>
      <c r="C83" s="15" t="s">
        <v>1150</v>
      </c>
      <c r="D83" s="1" t="s">
        <v>701</v>
      </c>
      <c r="E83" s="13">
        <v>45583</v>
      </c>
      <c r="F83" s="53">
        <f t="shared" si="3"/>
        <v>157</v>
      </c>
      <c r="G83" s="19">
        <v>-535</v>
      </c>
    </row>
    <row r="84" spans="1:7" x14ac:dyDescent="0.25">
      <c r="A84" s="13">
        <v>45426</v>
      </c>
      <c r="B84" s="35" t="s">
        <v>700</v>
      </c>
      <c r="C84" s="15" t="s">
        <v>1151</v>
      </c>
      <c r="D84" s="1" t="s">
        <v>701</v>
      </c>
      <c r="E84" s="13">
        <v>45611</v>
      </c>
      <c r="F84" s="53">
        <f t="shared" si="3"/>
        <v>185</v>
      </c>
      <c r="G84" s="19">
        <v>-109.8</v>
      </c>
    </row>
    <row r="85" spans="1:7" x14ac:dyDescent="0.25">
      <c r="A85" s="13">
        <v>45426</v>
      </c>
      <c r="B85" s="35" t="s">
        <v>700</v>
      </c>
      <c r="C85" s="15" t="s">
        <v>1098</v>
      </c>
      <c r="D85" s="1" t="s">
        <v>701</v>
      </c>
      <c r="E85" s="13">
        <v>45653</v>
      </c>
      <c r="F85" s="53">
        <f t="shared" si="3"/>
        <v>227</v>
      </c>
      <c r="G85" s="19">
        <v>-50.661000000000001</v>
      </c>
    </row>
    <row r="86" spans="1:7" x14ac:dyDescent="0.25">
      <c r="A86" s="13">
        <v>45426</v>
      </c>
      <c r="B86" s="35" t="s">
        <v>700</v>
      </c>
      <c r="C86" s="15" t="s">
        <v>1152</v>
      </c>
      <c r="D86" s="1" t="s">
        <v>701</v>
      </c>
      <c r="E86" s="13">
        <v>45499</v>
      </c>
      <c r="F86" s="53">
        <f t="shared" si="3"/>
        <v>73</v>
      </c>
      <c r="G86" s="19">
        <v>-2057.6241</v>
      </c>
    </row>
    <row r="87" spans="1:7" x14ac:dyDescent="0.25">
      <c r="A87" s="13">
        <v>45426</v>
      </c>
      <c r="B87" s="35" t="s">
        <v>700</v>
      </c>
      <c r="C87" s="15" t="s">
        <v>1110</v>
      </c>
      <c r="D87" s="1" t="s">
        <v>701</v>
      </c>
      <c r="E87" s="13">
        <v>45448</v>
      </c>
      <c r="F87" s="53">
        <f t="shared" si="3"/>
        <v>22</v>
      </c>
      <c r="G87" s="19">
        <v>-993.96799999999996</v>
      </c>
    </row>
    <row r="88" spans="1:7" x14ac:dyDescent="0.25">
      <c r="A88" s="13">
        <v>45426</v>
      </c>
      <c r="B88" s="35" t="s">
        <v>700</v>
      </c>
      <c r="C88" s="15" t="s">
        <v>1153</v>
      </c>
      <c r="D88" s="1" t="s">
        <v>701</v>
      </c>
      <c r="E88" s="13">
        <v>45455</v>
      </c>
      <c r="F88" s="53">
        <f t="shared" si="3"/>
        <v>29</v>
      </c>
      <c r="G88" s="19">
        <v>-222.14954499999999</v>
      </c>
    </row>
    <row r="89" spans="1:7" x14ac:dyDescent="0.25">
      <c r="A89" s="13">
        <v>45426</v>
      </c>
      <c r="B89" s="35" t="s">
        <v>700</v>
      </c>
      <c r="C89" s="15" t="s">
        <v>1154</v>
      </c>
      <c r="D89" s="1" t="s">
        <v>701</v>
      </c>
      <c r="E89" s="13">
        <v>45469</v>
      </c>
      <c r="F89" s="53">
        <f t="shared" si="3"/>
        <v>43</v>
      </c>
      <c r="G89" s="19">
        <v>-1811.5735</v>
      </c>
    </row>
    <row r="90" spans="1:7" x14ac:dyDescent="0.25">
      <c r="A90" s="13">
        <v>45426</v>
      </c>
      <c r="B90" s="35" t="s">
        <v>700</v>
      </c>
      <c r="C90" s="15" t="s">
        <v>1155</v>
      </c>
      <c r="D90" s="1" t="s">
        <v>701</v>
      </c>
      <c r="E90" s="13">
        <v>45569</v>
      </c>
      <c r="F90" s="53">
        <f t="shared" si="3"/>
        <v>143</v>
      </c>
      <c r="G90" s="19">
        <v>-219</v>
      </c>
    </row>
    <row r="91" spans="1:7" x14ac:dyDescent="0.25">
      <c r="A91" s="13">
        <v>45426</v>
      </c>
      <c r="B91" s="35" t="s">
        <v>700</v>
      </c>
      <c r="C91" s="15" t="s">
        <v>1156</v>
      </c>
      <c r="D91" s="1" t="s">
        <v>701</v>
      </c>
      <c r="E91" s="13">
        <v>45483</v>
      </c>
      <c r="F91" s="53">
        <f t="shared" si="3"/>
        <v>57</v>
      </c>
      <c r="G91" s="19">
        <v>-50</v>
      </c>
    </row>
    <row r="92" spans="1:7" x14ac:dyDescent="0.25">
      <c r="A92" s="13">
        <v>45426</v>
      </c>
      <c r="B92" s="35" t="s">
        <v>700</v>
      </c>
      <c r="C92" s="15" t="s">
        <v>1157</v>
      </c>
      <c r="D92" s="1" t="s">
        <v>701</v>
      </c>
      <c r="E92" s="13">
        <v>45432</v>
      </c>
      <c r="F92" s="53">
        <f t="shared" si="3"/>
        <v>6</v>
      </c>
      <c r="G92" s="19">
        <v>-3193.7543999999998</v>
      </c>
    </row>
    <row r="93" spans="1:7" x14ac:dyDescent="0.25">
      <c r="A93" s="13">
        <v>45426</v>
      </c>
      <c r="B93" s="35" t="s">
        <v>700</v>
      </c>
      <c r="C93" s="15" t="s">
        <v>1158</v>
      </c>
      <c r="D93" s="1" t="s">
        <v>701</v>
      </c>
      <c r="E93" s="13">
        <v>45504</v>
      </c>
      <c r="F93" s="53">
        <f t="shared" si="3"/>
        <v>78</v>
      </c>
      <c r="G93" s="19">
        <v>-162</v>
      </c>
    </row>
    <row r="94" spans="1:7" x14ac:dyDescent="0.25">
      <c r="A94" s="13">
        <v>45426</v>
      </c>
      <c r="B94" s="35" t="s">
        <v>700</v>
      </c>
      <c r="C94" s="15" t="s">
        <v>1159</v>
      </c>
      <c r="D94" s="1" t="s">
        <v>701</v>
      </c>
      <c r="E94" s="13">
        <v>45446</v>
      </c>
      <c r="F94" s="53">
        <f t="shared" si="3"/>
        <v>20</v>
      </c>
      <c r="G94" s="19">
        <v>-89</v>
      </c>
    </row>
    <row r="95" spans="1:7" x14ac:dyDescent="0.25">
      <c r="A95" s="13">
        <v>45426</v>
      </c>
      <c r="B95" s="35" t="s">
        <v>700</v>
      </c>
      <c r="C95" s="15" t="s">
        <v>1160</v>
      </c>
      <c r="D95" s="1" t="s">
        <v>701</v>
      </c>
      <c r="E95" s="13">
        <v>45686</v>
      </c>
      <c r="F95" s="53">
        <f t="shared" si="3"/>
        <v>260</v>
      </c>
      <c r="G95" s="19">
        <v>-62.3</v>
      </c>
    </row>
    <row r="96" spans="1:7" x14ac:dyDescent="0.25">
      <c r="A96" s="13">
        <v>45426</v>
      </c>
      <c r="B96" s="35" t="s">
        <v>700</v>
      </c>
      <c r="C96" s="15" t="s">
        <v>1161</v>
      </c>
      <c r="D96" s="1" t="s">
        <v>701</v>
      </c>
      <c r="E96" s="13">
        <v>45777</v>
      </c>
      <c r="F96" s="53">
        <f t="shared" si="3"/>
        <v>351</v>
      </c>
      <c r="G96" s="19">
        <v>-502.69510600000001</v>
      </c>
    </row>
    <row r="97" spans="1:7" x14ac:dyDescent="0.25">
      <c r="A97" s="13">
        <v>45426</v>
      </c>
      <c r="B97" s="35" t="s">
        <v>700</v>
      </c>
      <c r="C97" s="15" t="s">
        <v>1162</v>
      </c>
      <c r="D97" s="1" t="s">
        <v>701</v>
      </c>
      <c r="E97" s="13">
        <v>45833</v>
      </c>
      <c r="F97" s="53">
        <f t="shared" si="3"/>
        <v>407</v>
      </c>
      <c r="G97" s="19">
        <v>-104.88495</v>
      </c>
    </row>
    <row r="98" spans="1:7" x14ac:dyDescent="0.25">
      <c r="A98" s="13">
        <v>45426</v>
      </c>
      <c r="B98" s="35" t="s">
        <v>700</v>
      </c>
      <c r="C98" s="15" t="s">
        <v>1076</v>
      </c>
      <c r="D98" s="1" t="s">
        <v>701</v>
      </c>
      <c r="E98" s="13">
        <v>45931</v>
      </c>
      <c r="F98" s="53">
        <f t="shared" si="3"/>
        <v>505</v>
      </c>
      <c r="G98" s="19">
        <v>-64</v>
      </c>
    </row>
    <row r="99" spans="1:7" x14ac:dyDescent="0.25">
      <c r="A99" s="13">
        <v>45426</v>
      </c>
      <c r="B99" s="35" t="s">
        <v>700</v>
      </c>
      <c r="C99" s="15" t="s">
        <v>1163</v>
      </c>
      <c r="D99" s="1" t="s">
        <v>701</v>
      </c>
      <c r="E99" s="13">
        <v>46021</v>
      </c>
      <c r="F99" s="53">
        <f t="shared" si="3"/>
        <v>595</v>
      </c>
      <c r="G99" s="19">
        <v>-3.08</v>
      </c>
    </row>
    <row r="100" spans="1:7" x14ac:dyDescent="0.25">
      <c r="A100" s="13">
        <v>45426</v>
      </c>
      <c r="B100" s="35" t="s">
        <v>700</v>
      </c>
      <c r="C100" s="15" t="s">
        <v>1164</v>
      </c>
      <c r="D100" s="1" t="s">
        <v>701</v>
      </c>
      <c r="E100" s="13">
        <v>45674</v>
      </c>
      <c r="F100" s="53">
        <f t="shared" si="3"/>
        <v>248</v>
      </c>
      <c r="G100" s="19">
        <v>-1428.600782</v>
      </c>
    </row>
    <row r="101" spans="1:7" x14ac:dyDescent="0.25">
      <c r="A101" s="13">
        <v>45426</v>
      </c>
      <c r="B101" s="35" t="s">
        <v>700</v>
      </c>
      <c r="C101" s="15" t="s">
        <v>1165</v>
      </c>
      <c r="D101" s="1" t="s">
        <v>701</v>
      </c>
      <c r="E101" s="13">
        <v>45695</v>
      </c>
      <c r="F101" s="53">
        <f t="shared" si="3"/>
        <v>269</v>
      </c>
      <c r="G101" s="19">
        <v>-395.04438699999997</v>
      </c>
    </row>
    <row r="102" spans="1:7" x14ac:dyDescent="0.25">
      <c r="A102" s="13">
        <v>45426</v>
      </c>
      <c r="B102" s="35" t="s">
        <v>700</v>
      </c>
      <c r="C102" s="15" t="s">
        <v>1166</v>
      </c>
      <c r="D102" s="1" t="s">
        <v>701</v>
      </c>
      <c r="E102" s="13">
        <v>45723</v>
      </c>
      <c r="F102" s="53">
        <f t="shared" si="3"/>
        <v>297</v>
      </c>
      <c r="G102" s="19">
        <v>-2357.831807</v>
      </c>
    </row>
    <row r="103" spans="1:7" x14ac:dyDescent="0.25">
      <c r="A103" s="13">
        <v>45426</v>
      </c>
      <c r="B103" s="35" t="s">
        <v>700</v>
      </c>
      <c r="C103" s="15" t="s">
        <v>1167</v>
      </c>
      <c r="D103" s="1" t="s">
        <v>701</v>
      </c>
      <c r="E103" s="13">
        <v>45772</v>
      </c>
      <c r="F103" s="53">
        <f t="shared" si="3"/>
        <v>346</v>
      </c>
      <c r="G103" s="19">
        <v>-1114.888236</v>
      </c>
    </row>
    <row r="104" spans="1:7" x14ac:dyDescent="0.25">
      <c r="A104" s="13">
        <v>45441</v>
      </c>
      <c r="B104" s="35" t="s">
        <v>1072</v>
      </c>
      <c r="C104" s="15" t="s">
        <v>1203</v>
      </c>
      <c r="D104" s="1" t="s">
        <v>701</v>
      </c>
      <c r="E104" s="13">
        <v>45534</v>
      </c>
      <c r="F104" s="53">
        <f t="shared" si="3"/>
        <v>93</v>
      </c>
      <c r="G104" s="19">
        <v>-645.53270399999997</v>
      </c>
    </row>
    <row r="105" spans="1:7" x14ac:dyDescent="0.25">
      <c r="A105" s="13">
        <v>45441</v>
      </c>
      <c r="B105" s="35" t="s">
        <v>1072</v>
      </c>
      <c r="C105" s="15" t="s">
        <v>1146</v>
      </c>
      <c r="D105" s="1" t="s">
        <v>701</v>
      </c>
      <c r="E105" s="13">
        <v>45443</v>
      </c>
      <c r="F105" s="53">
        <f t="shared" si="3"/>
        <v>2</v>
      </c>
      <c r="G105" s="19">
        <v>-2155.61706</v>
      </c>
    </row>
    <row r="106" spans="1:7" x14ac:dyDescent="0.25">
      <c r="A106" s="13">
        <v>45441</v>
      </c>
      <c r="B106" s="35" t="s">
        <v>1072</v>
      </c>
      <c r="C106" s="15" t="s">
        <v>1174</v>
      </c>
      <c r="D106" s="1" t="s">
        <v>701</v>
      </c>
      <c r="E106" s="13">
        <v>45467</v>
      </c>
      <c r="F106" s="53">
        <f t="shared" si="3"/>
        <v>26</v>
      </c>
      <c r="G106" s="19">
        <v>-374.8</v>
      </c>
    </row>
    <row r="107" spans="1:7" x14ac:dyDescent="0.25">
      <c r="A107" s="13">
        <v>45463</v>
      </c>
      <c r="B107" s="35" t="s">
        <v>1072</v>
      </c>
      <c r="C107" s="15" t="s">
        <v>1152</v>
      </c>
      <c r="D107" s="1" t="s">
        <v>701</v>
      </c>
      <c r="E107" s="13">
        <v>45499</v>
      </c>
      <c r="F107" s="53">
        <f t="shared" si="3"/>
        <v>36</v>
      </c>
      <c r="G107" s="19">
        <v>-636.41607599999998</v>
      </c>
    </row>
    <row r="108" spans="1:7" x14ac:dyDescent="0.25">
      <c r="A108" s="13">
        <v>45463</v>
      </c>
      <c r="B108" s="35" t="s">
        <v>1072</v>
      </c>
      <c r="C108" s="15" t="s">
        <v>1156</v>
      </c>
      <c r="D108" s="1" t="s">
        <v>701</v>
      </c>
      <c r="E108" s="13">
        <v>45483</v>
      </c>
      <c r="F108" s="53">
        <f t="shared" si="3"/>
        <v>20</v>
      </c>
      <c r="G108" s="19">
        <v>-634.09500000000003</v>
      </c>
    </row>
    <row r="109" spans="1:7" x14ac:dyDescent="0.25">
      <c r="A109" s="13">
        <v>45490</v>
      </c>
      <c r="B109" s="35" t="s">
        <v>1072</v>
      </c>
      <c r="C109" s="15" t="s">
        <v>1205</v>
      </c>
      <c r="D109" s="1" t="s">
        <v>701</v>
      </c>
      <c r="E109" s="13">
        <v>45523</v>
      </c>
      <c r="F109" s="53">
        <f t="shared" si="3"/>
        <v>33</v>
      </c>
      <c r="G109" s="19">
        <v>-507.82144</v>
      </c>
    </row>
    <row r="110" spans="1:7" x14ac:dyDescent="0.25">
      <c r="A110" s="13">
        <v>45497</v>
      </c>
      <c r="B110" s="35" t="s">
        <v>1072</v>
      </c>
      <c r="C110" s="15" t="s">
        <v>1204</v>
      </c>
      <c r="D110" s="1" t="s">
        <v>701</v>
      </c>
      <c r="E110" s="13">
        <v>45502</v>
      </c>
      <c r="F110" s="53">
        <f t="shared" si="3"/>
        <v>5</v>
      </c>
      <c r="G110" s="19">
        <v>-0.61599999999999999</v>
      </c>
    </row>
    <row r="111" spans="1:7" x14ac:dyDescent="0.25">
      <c r="A111" s="13">
        <v>45518</v>
      </c>
      <c r="B111" s="35" t="s">
        <v>1072</v>
      </c>
      <c r="C111" s="15" t="s">
        <v>1205</v>
      </c>
      <c r="D111" s="1" t="s">
        <v>701</v>
      </c>
      <c r="E111" s="13">
        <v>45523</v>
      </c>
      <c r="F111" s="53">
        <f t="shared" si="3"/>
        <v>5</v>
      </c>
      <c r="G111" s="19">
        <v>-1070</v>
      </c>
    </row>
    <row r="112" spans="1:7" x14ac:dyDescent="0.25">
      <c r="A112" s="13">
        <v>45518</v>
      </c>
      <c r="B112" s="35" t="s">
        <v>1072</v>
      </c>
      <c r="C112" s="15" t="s">
        <v>1211</v>
      </c>
      <c r="D112" s="1" t="s">
        <v>701</v>
      </c>
      <c r="E112" s="13">
        <v>45537</v>
      </c>
      <c r="F112" s="53">
        <f t="shared" si="3"/>
        <v>19</v>
      </c>
      <c r="G112" s="19">
        <v>-455.10700000000003</v>
      </c>
    </row>
    <row r="113" spans="1:7" x14ac:dyDescent="0.25">
      <c r="A113" s="13">
        <v>45546</v>
      </c>
      <c r="B113" s="35" t="s">
        <v>1072</v>
      </c>
      <c r="C113" s="15" t="s">
        <v>1225</v>
      </c>
      <c r="D113" s="1" t="s">
        <v>701</v>
      </c>
      <c r="E113" s="13">
        <v>45553</v>
      </c>
      <c r="F113" s="53">
        <f t="shared" si="3"/>
        <v>7</v>
      </c>
      <c r="G113" s="19">
        <v>-700</v>
      </c>
    </row>
    <row r="114" spans="1:7" x14ac:dyDescent="0.25">
      <c r="A114" s="13">
        <v>45546</v>
      </c>
      <c r="B114" s="35" t="s">
        <v>1072</v>
      </c>
      <c r="C114" s="15" t="s">
        <v>1226</v>
      </c>
      <c r="D114" s="1" t="s">
        <v>701</v>
      </c>
      <c r="E114" s="13">
        <v>45551</v>
      </c>
      <c r="F114" s="53">
        <f t="shared" si="3"/>
        <v>5</v>
      </c>
      <c r="G114" s="19">
        <v>-800</v>
      </c>
    </row>
    <row r="115" spans="1:7" x14ac:dyDescent="0.25">
      <c r="A115" s="13">
        <v>45546</v>
      </c>
      <c r="B115" s="35" t="s">
        <v>1072</v>
      </c>
      <c r="C115" s="15" t="s">
        <v>1227</v>
      </c>
      <c r="D115" s="1" t="s">
        <v>701</v>
      </c>
      <c r="E115" s="13">
        <v>45572</v>
      </c>
      <c r="F115" s="53">
        <f t="shared" si="3"/>
        <v>26</v>
      </c>
      <c r="G115" s="19">
        <v>-827.97963800000002</v>
      </c>
    </row>
    <row r="116" spans="1:7" x14ac:dyDescent="0.25">
      <c r="A116" s="13">
        <v>45560</v>
      </c>
      <c r="B116" s="35" t="s">
        <v>1072</v>
      </c>
      <c r="C116" s="15" t="s">
        <v>1161</v>
      </c>
      <c r="D116" s="1" t="s">
        <v>701</v>
      </c>
      <c r="E116" s="13">
        <v>45777</v>
      </c>
      <c r="F116" s="53">
        <f t="shared" si="3"/>
        <v>217</v>
      </c>
      <c r="G116" s="19">
        <v>-82.4</v>
      </c>
    </row>
    <row r="117" spans="1:7" x14ac:dyDescent="0.25">
      <c r="A117" s="13">
        <v>45581</v>
      </c>
      <c r="B117" s="35" t="s">
        <v>1072</v>
      </c>
      <c r="C117" s="15" t="s">
        <v>1160</v>
      </c>
      <c r="D117" s="1" t="s">
        <v>701</v>
      </c>
      <c r="E117" s="13">
        <v>45686</v>
      </c>
      <c r="F117" s="53">
        <f t="shared" si="3"/>
        <v>105</v>
      </c>
      <c r="G117" s="19">
        <v>-0.79661199999999999</v>
      </c>
    </row>
    <row r="118" spans="1:7" x14ac:dyDescent="0.25">
      <c r="A118" s="13">
        <v>45588</v>
      </c>
      <c r="B118" s="35" t="s">
        <v>1072</v>
      </c>
      <c r="C118" s="15" t="s">
        <v>1098</v>
      </c>
      <c r="D118" s="1" t="s">
        <v>701</v>
      </c>
      <c r="E118" s="13">
        <v>45653</v>
      </c>
      <c r="F118" s="53">
        <f t="shared" si="3"/>
        <v>65</v>
      </c>
      <c r="G118" s="19">
        <v>-255</v>
      </c>
    </row>
    <row r="119" spans="1:7" x14ac:dyDescent="0.25">
      <c r="A119" s="13">
        <v>45588</v>
      </c>
      <c r="B119" s="35" t="s">
        <v>1072</v>
      </c>
      <c r="C119" s="15" t="s">
        <v>1245</v>
      </c>
      <c r="D119" s="1" t="s">
        <v>701</v>
      </c>
      <c r="E119" s="13">
        <v>45632</v>
      </c>
      <c r="F119" s="53">
        <f t="shared" si="3"/>
        <v>44</v>
      </c>
      <c r="G119" s="19">
        <v>-4.8</v>
      </c>
    </row>
    <row r="120" spans="1:7" x14ac:dyDescent="0.25">
      <c r="A120" s="13">
        <v>45588</v>
      </c>
      <c r="B120" s="35" t="s">
        <v>1072</v>
      </c>
      <c r="C120" s="15" t="s">
        <v>1246</v>
      </c>
      <c r="D120" s="1" t="s">
        <v>701</v>
      </c>
      <c r="E120" s="13">
        <v>45646</v>
      </c>
      <c r="F120" s="53">
        <f t="shared" ref="F120" si="4">+E120-A120</f>
        <v>58</v>
      </c>
      <c r="G120" s="19">
        <v>-34.5</v>
      </c>
    </row>
    <row r="121" spans="1:7" x14ac:dyDescent="0.25">
      <c r="A121" s="13">
        <v>45588</v>
      </c>
      <c r="B121" s="35" t="s">
        <v>1072</v>
      </c>
      <c r="C121" s="15" t="s">
        <v>1247</v>
      </c>
      <c r="D121" s="1" t="s">
        <v>701</v>
      </c>
      <c r="E121" s="13">
        <v>45614</v>
      </c>
      <c r="F121" s="53">
        <f t="shared" ref="F121" si="5">+E121-A121</f>
        <v>26</v>
      </c>
      <c r="G121" s="19">
        <v>-167.87772899999999</v>
      </c>
    </row>
    <row r="122" spans="1:7" x14ac:dyDescent="0.25">
      <c r="A122" s="13">
        <v>45588</v>
      </c>
      <c r="B122" s="35" t="s">
        <v>1072</v>
      </c>
      <c r="C122" s="15" t="s">
        <v>1248</v>
      </c>
      <c r="D122" s="1" t="s">
        <v>701</v>
      </c>
      <c r="E122" s="13">
        <v>45672</v>
      </c>
      <c r="F122" s="53">
        <f t="shared" ref="F122" si="6">+E122-A122</f>
        <v>84</v>
      </c>
      <c r="G122" s="19">
        <v>-57.215801999999996</v>
      </c>
    </row>
    <row r="123" spans="1:7" x14ac:dyDescent="0.25">
      <c r="A123" s="13">
        <v>45588</v>
      </c>
      <c r="B123" s="35" t="s">
        <v>1072</v>
      </c>
      <c r="C123" s="15" t="s">
        <v>1249</v>
      </c>
      <c r="D123" s="1" t="s">
        <v>701</v>
      </c>
      <c r="E123" s="13">
        <v>45621</v>
      </c>
      <c r="F123" s="53">
        <f t="shared" ref="F123:F170" si="7">+E123-A123</f>
        <v>33</v>
      </c>
      <c r="G123" s="19">
        <v>-256</v>
      </c>
    </row>
    <row r="124" spans="1:7" x14ac:dyDescent="0.25">
      <c r="A124" s="13">
        <v>45616</v>
      </c>
      <c r="B124" s="35" t="s">
        <v>1072</v>
      </c>
      <c r="C124" s="15" t="s">
        <v>1262</v>
      </c>
      <c r="D124" s="1" t="s">
        <v>701</v>
      </c>
      <c r="E124" s="13">
        <v>45681</v>
      </c>
      <c r="F124" s="53">
        <f t="shared" si="7"/>
        <v>65</v>
      </c>
      <c r="G124" s="19">
        <v>-105.78336299999999</v>
      </c>
    </row>
    <row r="125" spans="1:7" x14ac:dyDescent="0.25">
      <c r="A125" s="13">
        <v>45616</v>
      </c>
      <c r="B125" s="35" t="s">
        <v>1072</v>
      </c>
      <c r="C125" s="15" t="s">
        <v>1249</v>
      </c>
      <c r="D125" s="1" t="s">
        <v>701</v>
      </c>
      <c r="E125" s="13">
        <v>45621</v>
      </c>
      <c r="F125" s="53">
        <f t="shared" si="7"/>
        <v>5</v>
      </c>
      <c r="G125" s="19">
        <v>-105</v>
      </c>
    </row>
    <row r="126" spans="1:7" x14ac:dyDescent="0.25">
      <c r="A126" s="13">
        <v>45630</v>
      </c>
      <c r="B126" s="35" t="s">
        <v>1072</v>
      </c>
      <c r="C126" s="15" t="s">
        <v>1269</v>
      </c>
      <c r="D126" s="1" t="s">
        <v>701</v>
      </c>
      <c r="E126" s="13">
        <v>45635</v>
      </c>
      <c r="F126" s="53">
        <f t="shared" si="7"/>
        <v>5</v>
      </c>
      <c r="G126" s="19">
        <v>-801.62332600000002</v>
      </c>
    </row>
    <row r="127" spans="1:7" x14ac:dyDescent="0.25">
      <c r="A127" s="13">
        <v>45637</v>
      </c>
      <c r="B127" s="35" t="s">
        <v>1072</v>
      </c>
      <c r="C127" s="15" t="s">
        <v>1273</v>
      </c>
      <c r="D127" s="1" t="s">
        <v>701</v>
      </c>
      <c r="E127" s="13">
        <v>45656</v>
      </c>
      <c r="F127" s="53">
        <f t="shared" si="7"/>
        <v>19</v>
      </c>
      <c r="G127" s="19">
        <v>-0.486431</v>
      </c>
    </row>
    <row r="128" spans="1:7" x14ac:dyDescent="0.25">
      <c r="A128" s="13">
        <v>45637</v>
      </c>
      <c r="B128" s="35" t="s">
        <v>1072</v>
      </c>
      <c r="C128" s="15" t="s">
        <v>1274</v>
      </c>
      <c r="D128" s="1" t="s">
        <v>701</v>
      </c>
      <c r="E128" s="13">
        <v>45670</v>
      </c>
      <c r="F128" s="53">
        <f t="shared" si="7"/>
        <v>33</v>
      </c>
      <c r="G128" s="19">
        <v>-0.183027</v>
      </c>
    </row>
    <row r="129" spans="1:7" x14ac:dyDescent="0.25">
      <c r="A129" s="13">
        <v>45672</v>
      </c>
      <c r="B129" s="35" t="s">
        <v>1072</v>
      </c>
      <c r="C129" s="15" t="s">
        <v>1290</v>
      </c>
      <c r="D129" s="1" t="s">
        <v>701</v>
      </c>
      <c r="E129" s="13">
        <v>45735</v>
      </c>
      <c r="F129" s="53">
        <f t="shared" si="7"/>
        <v>63</v>
      </c>
      <c r="G129" s="19">
        <v>-30.851208</v>
      </c>
    </row>
    <row r="130" spans="1:7" x14ac:dyDescent="0.25">
      <c r="A130" s="13">
        <v>45679</v>
      </c>
      <c r="B130" s="35" t="s">
        <v>1072</v>
      </c>
      <c r="C130" s="15" t="s">
        <v>1294</v>
      </c>
      <c r="D130" s="1" t="s">
        <v>701</v>
      </c>
      <c r="E130" s="13">
        <v>45686</v>
      </c>
      <c r="F130" s="53">
        <f t="shared" si="7"/>
        <v>7</v>
      </c>
      <c r="G130" s="19">
        <v>-450</v>
      </c>
    </row>
    <row r="131" spans="1:7" x14ac:dyDescent="0.25">
      <c r="A131" s="13">
        <v>45679</v>
      </c>
      <c r="B131" s="35" t="s">
        <v>1072</v>
      </c>
      <c r="C131" s="15" t="s">
        <v>1295</v>
      </c>
      <c r="D131" s="1" t="s">
        <v>701</v>
      </c>
      <c r="E131" s="13">
        <v>45693</v>
      </c>
      <c r="F131" s="53">
        <f t="shared" si="7"/>
        <v>14</v>
      </c>
      <c r="G131" s="19">
        <v>-350</v>
      </c>
    </row>
    <row r="132" spans="1:7" x14ac:dyDescent="0.25">
      <c r="A132" s="13">
        <v>45679</v>
      </c>
      <c r="B132" s="35" t="s">
        <v>1072</v>
      </c>
      <c r="C132" s="13" t="s">
        <v>1296</v>
      </c>
      <c r="D132" s="1" t="s">
        <v>701</v>
      </c>
      <c r="E132" s="13">
        <v>45698</v>
      </c>
      <c r="F132" s="53">
        <f t="shared" si="7"/>
        <v>19</v>
      </c>
      <c r="G132" s="19">
        <v>-450</v>
      </c>
    </row>
    <row r="133" spans="1:7" x14ac:dyDescent="0.25">
      <c r="A133" s="13">
        <v>45679</v>
      </c>
      <c r="B133" s="35" t="s">
        <v>1072</v>
      </c>
      <c r="C133" s="15" t="s">
        <v>1298</v>
      </c>
      <c r="D133" s="1" t="s">
        <v>701</v>
      </c>
      <c r="E133" s="13">
        <v>45705</v>
      </c>
      <c r="F133" s="53">
        <f t="shared" si="7"/>
        <v>26</v>
      </c>
      <c r="G133" s="19">
        <v>-443.81624499999998</v>
      </c>
    </row>
    <row r="134" spans="1:7" x14ac:dyDescent="0.25">
      <c r="A134" s="13">
        <v>45679</v>
      </c>
      <c r="B134" s="35" t="s">
        <v>1072</v>
      </c>
      <c r="C134" s="15" t="s">
        <v>1297</v>
      </c>
      <c r="D134" s="1" t="s">
        <v>701</v>
      </c>
      <c r="E134" s="13">
        <v>45700</v>
      </c>
      <c r="F134" s="53">
        <f t="shared" si="7"/>
        <v>21</v>
      </c>
      <c r="G134" s="19">
        <v>-110</v>
      </c>
    </row>
    <row r="135" spans="1:7" x14ac:dyDescent="0.25">
      <c r="A135" s="13">
        <v>45679</v>
      </c>
      <c r="B135" s="35" t="s">
        <v>1072</v>
      </c>
      <c r="C135" s="15" t="s">
        <v>1299</v>
      </c>
      <c r="D135" s="1" t="s">
        <v>701</v>
      </c>
      <c r="E135" s="13">
        <v>45793</v>
      </c>
      <c r="F135" s="53">
        <f t="shared" si="7"/>
        <v>114</v>
      </c>
      <c r="G135" s="19">
        <v>-363.870364</v>
      </c>
    </row>
    <row r="136" spans="1:7" x14ac:dyDescent="0.25">
      <c r="A136" s="13">
        <v>45679</v>
      </c>
      <c r="B136" s="35" t="s">
        <v>1072</v>
      </c>
      <c r="C136" s="15" t="s">
        <v>1300</v>
      </c>
      <c r="D136" s="1" t="s">
        <v>701</v>
      </c>
      <c r="E136" s="13">
        <v>45691</v>
      </c>
      <c r="F136" s="53">
        <f t="shared" si="7"/>
        <v>12</v>
      </c>
      <c r="G136" s="19">
        <v>-501.92309999999998</v>
      </c>
    </row>
    <row r="137" spans="1:7" x14ac:dyDescent="0.25">
      <c r="A137" s="13">
        <v>45686</v>
      </c>
      <c r="B137" s="35" t="s">
        <v>1072</v>
      </c>
      <c r="C137" s="15" t="s">
        <v>1304</v>
      </c>
      <c r="D137" s="1" t="s">
        <v>701</v>
      </c>
      <c r="E137" s="13">
        <v>45779</v>
      </c>
      <c r="F137" s="53">
        <f t="shared" si="7"/>
        <v>93</v>
      </c>
      <c r="G137" s="19">
        <v>-1027.6770590000001</v>
      </c>
    </row>
    <row r="138" spans="1:7" x14ac:dyDescent="0.25">
      <c r="A138" s="13">
        <v>45700</v>
      </c>
      <c r="B138" s="35" t="s">
        <v>1072</v>
      </c>
      <c r="C138" s="15" t="s">
        <v>1311</v>
      </c>
      <c r="D138" s="1" t="s">
        <v>701</v>
      </c>
      <c r="E138" s="13">
        <v>45712</v>
      </c>
      <c r="F138" s="53">
        <f t="shared" si="7"/>
        <v>12</v>
      </c>
      <c r="G138" s="19">
        <v>-318.75825099999997</v>
      </c>
    </row>
    <row r="139" spans="1:7" x14ac:dyDescent="0.25">
      <c r="A139" s="13">
        <v>45700</v>
      </c>
      <c r="B139" s="35" t="s">
        <v>1072</v>
      </c>
      <c r="C139" s="15" t="s">
        <v>1312</v>
      </c>
      <c r="D139" s="1" t="s">
        <v>701</v>
      </c>
      <c r="E139" s="13">
        <v>45784</v>
      </c>
      <c r="F139" s="53">
        <f t="shared" si="7"/>
        <v>84</v>
      </c>
      <c r="G139" s="19">
        <v>-195</v>
      </c>
    </row>
    <row r="140" spans="1:7" x14ac:dyDescent="0.25">
      <c r="A140" s="13">
        <v>45700</v>
      </c>
      <c r="B140" s="35" t="s">
        <v>1072</v>
      </c>
      <c r="C140" s="15" t="s">
        <v>1313</v>
      </c>
      <c r="D140" s="1" t="s">
        <v>701</v>
      </c>
      <c r="E140" s="13">
        <v>45798</v>
      </c>
      <c r="F140" s="53">
        <f t="shared" si="7"/>
        <v>98</v>
      </c>
      <c r="G140" s="19">
        <v>-37.527850999999998</v>
      </c>
    </row>
    <row r="141" spans="1:7" x14ac:dyDescent="0.25">
      <c r="A141" s="13">
        <v>45700</v>
      </c>
      <c r="B141" s="35" t="s">
        <v>1072</v>
      </c>
      <c r="C141" s="15" t="s">
        <v>1298</v>
      </c>
      <c r="D141" s="1" t="s">
        <v>701</v>
      </c>
      <c r="E141" s="13">
        <v>45705</v>
      </c>
      <c r="F141" s="53">
        <f t="shared" si="7"/>
        <v>5</v>
      </c>
      <c r="G141" s="19">
        <v>-4.0438720000000004</v>
      </c>
    </row>
    <row r="142" spans="1:7" x14ac:dyDescent="0.25">
      <c r="A142" s="13">
        <v>45707</v>
      </c>
      <c r="B142" s="35" t="s">
        <v>1072</v>
      </c>
      <c r="C142" s="15" t="s">
        <v>1317</v>
      </c>
      <c r="D142" s="1" t="s">
        <v>701</v>
      </c>
      <c r="E142" s="13">
        <v>45709</v>
      </c>
      <c r="F142" s="53">
        <f t="shared" si="7"/>
        <v>2</v>
      </c>
      <c r="G142" s="19">
        <v>-500</v>
      </c>
    </row>
    <row r="143" spans="1:7" x14ac:dyDescent="0.25">
      <c r="A143" s="13">
        <v>45707</v>
      </c>
      <c r="B143" s="35" t="s">
        <v>1072</v>
      </c>
      <c r="C143" s="15" t="s">
        <v>1318</v>
      </c>
      <c r="D143" s="1" t="s">
        <v>701</v>
      </c>
      <c r="E143" s="13">
        <v>45714</v>
      </c>
      <c r="F143" s="53">
        <f t="shared" si="7"/>
        <v>7</v>
      </c>
      <c r="G143" s="19">
        <v>-200</v>
      </c>
    </row>
    <row r="144" spans="1:7" x14ac:dyDescent="0.25">
      <c r="A144" s="13">
        <v>45707</v>
      </c>
      <c r="B144" s="35" t="s">
        <v>1072</v>
      </c>
      <c r="C144" s="15" t="s">
        <v>1311</v>
      </c>
      <c r="D144" s="1" t="s">
        <v>701</v>
      </c>
      <c r="E144" s="13">
        <v>45712</v>
      </c>
      <c r="F144" s="53">
        <f t="shared" si="7"/>
        <v>5</v>
      </c>
      <c r="G144" s="19">
        <v>-800</v>
      </c>
    </row>
    <row r="145" spans="1:7" x14ac:dyDescent="0.25">
      <c r="A145" s="13">
        <v>45707</v>
      </c>
      <c r="B145" s="35" t="s">
        <v>1072</v>
      </c>
      <c r="C145" s="15" t="s">
        <v>1319</v>
      </c>
      <c r="D145" s="1" t="s">
        <v>701</v>
      </c>
      <c r="E145" s="13">
        <v>45726</v>
      </c>
      <c r="F145" s="53">
        <f t="shared" si="7"/>
        <v>19</v>
      </c>
      <c r="G145" s="19">
        <v>-250</v>
      </c>
    </row>
    <row r="146" spans="1:7" x14ac:dyDescent="0.25">
      <c r="A146" s="13">
        <v>45707</v>
      </c>
      <c r="B146" s="35" t="s">
        <v>1072</v>
      </c>
      <c r="C146" s="15" t="s">
        <v>1320</v>
      </c>
      <c r="D146" s="1" t="s">
        <v>701</v>
      </c>
      <c r="E146" s="13">
        <v>45733</v>
      </c>
      <c r="F146" s="53">
        <f t="shared" si="7"/>
        <v>26</v>
      </c>
      <c r="G146" s="19">
        <v>-732.11891500000002</v>
      </c>
    </row>
    <row r="147" spans="1:7" x14ac:dyDescent="0.25">
      <c r="A147" s="13">
        <v>45707</v>
      </c>
      <c r="B147" s="35" t="s">
        <v>1072</v>
      </c>
      <c r="C147" s="15" t="s">
        <v>1334</v>
      </c>
      <c r="D147" s="1" t="s">
        <v>701</v>
      </c>
      <c r="E147" s="13">
        <v>45749</v>
      </c>
      <c r="F147" s="53">
        <f t="shared" ref="F147" si="8">+E147-A147</f>
        <v>42</v>
      </c>
      <c r="G147" s="19">
        <v>-500.50619999999998</v>
      </c>
    </row>
    <row r="148" spans="1:7" x14ac:dyDescent="0.25">
      <c r="A148" s="13">
        <v>45707</v>
      </c>
      <c r="B148" s="35" t="s">
        <v>1072</v>
      </c>
      <c r="C148" s="15" t="s">
        <v>1290</v>
      </c>
      <c r="D148" s="1" t="s">
        <v>701</v>
      </c>
      <c r="E148" s="13">
        <v>45735</v>
      </c>
      <c r="F148" s="53">
        <f t="shared" si="7"/>
        <v>28</v>
      </c>
      <c r="G148" s="19">
        <v>-4.2</v>
      </c>
    </row>
    <row r="149" spans="1:7" x14ac:dyDescent="0.25">
      <c r="A149" s="13">
        <v>45714</v>
      </c>
      <c r="B149" s="35" t="s">
        <v>1072</v>
      </c>
      <c r="C149" s="15" t="s">
        <v>1299</v>
      </c>
      <c r="D149" s="1" t="s">
        <v>701</v>
      </c>
      <c r="E149" s="13">
        <v>45793</v>
      </c>
      <c r="F149" s="53">
        <f t="shared" si="7"/>
        <v>79</v>
      </c>
      <c r="G149" s="19">
        <v>-618.87489000000005</v>
      </c>
    </row>
    <row r="150" spans="1:7" x14ac:dyDescent="0.25">
      <c r="A150" s="13">
        <v>45714</v>
      </c>
      <c r="B150" s="35" t="s">
        <v>1072</v>
      </c>
      <c r="C150" s="15" t="s">
        <v>1323</v>
      </c>
      <c r="D150" s="1" t="s">
        <v>701</v>
      </c>
      <c r="E150" s="13">
        <v>46031</v>
      </c>
      <c r="F150" s="53">
        <f t="shared" si="7"/>
        <v>317</v>
      </c>
      <c r="G150" s="19">
        <v>-151.469559</v>
      </c>
    </row>
    <row r="151" spans="1:7" x14ac:dyDescent="0.25">
      <c r="A151" s="13">
        <v>45735</v>
      </c>
      <c r="B151" s="35" t="s">
        <v>1072</v>
      </c>
      <c r="C151" s="15" t="s">
        <v>1334</v>
      </c>
      <c r="D151" s="1" t="s">
        <v>701</v>
      </c>
      <c r="E151" s="13">
        <v>45749</v>
      </c>
      <c r="F151" s="53">
        <f t="shared" si="7"/>
        <v>14</v>
      </c>
      <c r="G151" s="19">
        <v>-46.099648999999999</v>
      </c>
    </row>
    <row r="152" spans="1:7" x14ac:dyDescent="0.25">
      <c r="A152" s="13">
        <v>45735</v>
      </c>
      <c r="B152" s="35" t="s">
        <v>1072</v>
      </c>
      <c r="C152" s="15" t="s">
        <v>1335</v>
      </c>
      <c r="D152" s="1" t="s">
        <v>701</v>
      </c>
      <c r="E152" s="13">
        <v>45905</v>
      </c>
      <c r="F152" s="53">
        <f t="shared" si="7"/>
        <v>170</v>
      </c>
      <c r="G152" s="19">
        <v>-1299.6177459999999</v>
      </c>
    </row>
    <row r="153" spans="1:7" x14ac:dyDescent="0.25">
      <c r="A153" s="13">
        <v>45735</v>
      </c>
      <c r="B153" s="35" t="s">
        <v>1072</v>
      </c>
      <c r="C153" s="15" t="s">
        <v>1336</v>
      </c>
      <c r="D153" s="1" t="s">
        <v>701</v>
      </c>
      <c r="E153" s="13">
        <v>45754</v>
      </c>
      <c r="F153" s="53">
        <f t="shared" si="7"/>
        <v>19</v>
      </c>
      <c r="G153" s="19">
        <v>-1715.5</v>
      </c>
    </row>
    <row r="154" spans="1:7" x14ac:dyDescent="0.25">
      <c r="A154" s="13">
        <v>45742</v>
      </c>
      <c r="B154" s="35" t="s">
        <v>1072</v>
      </c>
      <c r="C154" s="15" t="s">
        <v>1340</v>
      </c>
      <c r="D154" s="1" t="s">
        <v>701</v>
      </c>
      <c r="E154" s="13">
        <v>46087</v>
      </c>
      <c r="F154" s="53">
        <f t="shared" si="7"/>
        <v>345</v>
      </c>
      <c r="G154" s="19">
        <v>-100.096808</v>
      </c>
    </row>
    <row r="155" spans="1:7" x14ac:dyDescent="0.25">
      <c r="A155" s="13">
        <v>45742</v>
      </c>
      <c r="B155" s="35" t="s">
        <v>1072</v>
      </c>
      <c r="C155" s="15" t="s">
        <v>1341</v>
      </c>
      <c r="D155" s="1" t="s">
        <v>701</v>
      </c>
      <c r="E155" s="13">
        <v>45772</v>
      </c>
      <c r="F155" s="53">
        <f t="shared" si="7"/>
        <v>30</v>
      </c>
      <c r="G155" s="19">
        <v>-818.12829999999997</v>
      </c>
    </row>
    <row r="156" spans="1:7" x14ac:dyDescent="0.25">
      <c r="A156" s="13">
        <v>45742</v>
      </c>
      <c r="B156" s="35" t="s">
        <v>1072</v>
      </c>
      <c r="C156" s="15" t="s">
        <v>1342</v>
      </c>
      <c r="D156" s="1" t="s">
        <v>701</v>
      </c>
      <c r="E156" s="13">
        <v>45891</v>
      </c>
      <c r="F156" s="53">
        <f t="shared" si="7"/>
        <v>149</v>
      </c>
      <c r="G156" s="19">
        <v>-625</v>
      </c>
    </row>
    <row r="157" spans="1:7" x14ac:dyDescent="0.25">
      <c r="A157" s="13">
        <v>45742</v>
      </c>
      <c r="B157" s="35" t="s">
        <v>1072</v>
      </c>
      <c r="C157" s="15" t="s">
        <v>1312</v>
      </c>
      <c r="D157" s="1" t="s">
        <v>701</v>
      </c>
      <c r="E157" s="13">
        <v>45784</v>
      </c>
      <c r="F157" s="53">
        <f t="shared" si="7"/>
        <v>42</v>
      </c>
      <c r="G157" s="19">
        <v>-1000</v>
      </c>
    </row>
    <row r="158" spans="1:7" x14ac:dyDescent="0.25">
      <c r="A158" s="13">
        <v>45742</v>
      </c>
      <c r="B158" s="35" t="s">
        <v>1072</v>
      </c>
      <c r="C158" s="15" t="s">
        <v>1335</v>
      </c>
      <c r="D158" s="1" t="s">
        <v>701</v>
      </c>
      <c r="E158" s="13">
        <v>45905</v>
      </c>
      <c r="F158" s="53">
        <f t="shared" si="7"/>
        <v>163</v>
      </c>
      <c r="G158" s="19">
        <v>-339.52067799999998</v>
      </c>
    </row>
    <row r="159" spans="1:7" x14ac:dyDescent="0.25">
      <c r="A159" s="13">
        <v>45742</v>
      </c>
      <c r="B159" s="35" t="s">
        <v>1072</v>
      </c>
      <c r="C159" s="15" t="s">
        <v>1343</v>
      </c>
      <c r="D159" s="1" t="s">
        <v>701</v>
      </c>
      <c r="E159" s="13">
        <v>45777</v>
      </c>
      <c r="F159" s="53">
        <f t="shared" si="7"/>
        <v>35</v>
      </c>
      <c r="G159" s="19">
        <v>-30.907515</v>
      </c>
    </row>
    <row r="160" spans="1:7" x14ac:dyDescent="0.25">
      <c r="A160" s="13">
        <v>45742</v>
      </c>
      <c r="B160" s="35" t="s">
        <v>1072</v>
      </c>
      <c r="C160" s="15" t="s">
        <v>1344</v>
      </c>
      <c r="D160" s="1" t="s">
        <v>701</v>
      </c>
      <c r="E160" s="13">
        <v>45747</v>
      </c>
      <c r="F160" s="53">
        <f t="shared" si="7"/>
        <v>5</v>
      </c>
      <c r="G160" s="19">
        <v>-4.6031000000000004</v>
      </c>
    </row>
    <row r="161" spans="1:7" x14ac:dyDescent="0.25">
      <c r="A161" s="13">
        <v>45770</v>
      </c>
      <c r="B161" s="35" t="s">
        <v>1072</v>
      </c>
      <c r="C161" s="15" t="s">
        <v>1341</v>
      </c>
      <c r="D161" s="1" t="s">
        <v>701</v>
      </c>
      <c r="E161" s="13">
        <v>45772</v>
      </c>
      <c r="F161" s="53">
        <f t="shared" si="7"/>
        <v>2</v>
      </c>
      <c r="G161" s="19">
        <v>-641.24229800000001</v>
      </c>
    </row>
    <row r="162" spans="1:7" x14ac:dyDescent="0.25">
      <c r="A162" s="13">
        <v>45770</v>
      </c>
      <c r="B162" s="35" t="s">
        <v>1072</v>
      </c>
      <c r="C162" s="15" t="s">
        <v>1357</v>
      </c>
      <c r="D162" s="1" t="s">
        <v>701</v>
      </c>
      <c r="E162" s="13">
        <v>45779</v>
      </c>
      <c r="F162" s="53">
        <f t="shared" si="7"/>
        <v>9</v>
      </c>
      <c r="G162" s="19">
        <v>-10.251312</v>
      </c>
    </row>
    <row r="163" spans="1:7" x14ac:dyDescent="0.25">
      <c r="A163" s="13">
        <v>45770</v>
      </c>
      <c r="B163" s="35" t="s">
        <v>1072</v>
      </c>
      <c r="C163" s="15" t="s">
        <v>1299</v>
      </c>
      <c r="D163" s="1" t="s">
        <v>701</v>
      </c>
      <c r="E163" s="13">
        <v>45793</v>
      </c>
      <c r="F163" s="53">
        <f t="shared" si="7"/>
        <v>23</v>
      </c>
      <c r="G163" s="19">
        <v>-41.146498999999999</v>
      </c>
    </row>
    <row r="164" spans="1:7" x14ac:dyDescent="0.25">
      <c r="A164" s="13">
        <v>45770</v>
      </c>
      <c r="B164" s="35" t="s">
        <v>1072</v>
      </c>
      <c r="C164" s="15" t="s">
        <v>1358</v>
      </c>
      <c r="D164" s="1" t="s">
        <v>701</v>
      </c>
      <c r="E164" s="13">
        <v>45826</v>
      </c>
      <c r="F164" s="53">
        <f t="shared" si="7"/>
        <v>56</v>
      </c>
      <c r="G164" s="19">
        <v>-867.64783699999998</v>
      </c>
    </row>
    <row r="165" spans="1:7" x14ac:dyDescent="0.25">
      <c r="A165" s="13">
        <v>45770</v>
      </c>
      <c r="B165" s="35" t="s">
        <v>1072</v>
      </c>
      <c r="C165" s="15" t="s">
        <v>1359</v>
      </c>
      <c r="D165" s="1" t="s">
        <v>701</v>
      </c>
      <c r="E165" s="13">
        <v>45775</v>
      </c>
      <c r="F165" s="53">
        <f t="shared" si="7"/>
        <v>5</v>
      </c>
      <c r="G165" s="19">
        <v>-500</v>
      </c>
    </row>
    <row r="166" spans="1:7" x14ac:dyDescent="0.25">
      <c r="A166" s="13">
        <v>45770</v>
      </c>
      <c r="B166" s="35" t="s">
        <v>1072</v>
      </c>
      <c r="C166" s="15" t="s">
        <v>1360</v>
      </c>
      <c r="D166" s="1" t="s">
        <v>701</v>
      </c>
      <c r="E166" s="13">
        <v>45789</v>
      </c>
      <c r="F166" s="53">
        <f t="shared" si="7"/>
        <v>19</v>
      </c>
      <c r="G166" s="19">
        <v>-500</v>
      </c>
    </row>
    <row r="167" spans="1:7" x14ac:dyDescent="0.25">
      <c r="A167" s="13">
        <v>45791</v>
      </c>
      <c r="B167" s="35" t="s">
        <v>1072</v>
      </c>
      <c r="C167" s="15" t="s">
        <v>1370</v>
      </c>
      <c r="D167" s="1" t="s">
        <v>701</v>
      </c>
      <c r="E167" s="13">
        <v>45875</v>
      </c>
      <c r="F167" s="53">
        <f t="shared" si="7"/>
        <v>84</v>
      </c>
      <c r="G167" s="19">
        <f>-32.119847</f>
        <v>-32.119847</v>
      </c>
    </row>
    <row r="168" spans="1:7" x14ac:dyDescent="0.25">
      <c r="A168" s="13">
        <v>45798</v>
      </c>
      <c r="B168" s="35" t="s">
        <v>1072</v>
      </c>
      <c r="C168" s="15" t="s">
        <v>1374</v>
      </c>
      <c r="D168" s="1" t="s">
        <v>701</v>
      </c>
      <c r="E168" s="13">
        <v>45805</v>
      </c>
      <c r="F168" s="53">
        <f t="shared" si="7"/>
        <v>7</v>
      </c>
      <c r="G168" s="19">
        <v>-380.5</v>
      </c>
    </row>
    <row r="169" spans="1:7" x14ac:dyDescent="0.25">
      <c r="A169" s="13">
        <v>45798</v>
      </c>
      <c r="B169" s="35" t="s">
        <v>1072</v>
      </c>
      <c r="C169" s="15" t="s">
        <v>1375</v>
      </c>
      <c r="D169" s="1" t="s">
        <v>701</v>
      </c>
      <c r="E169" s="13">
        <v>45803</v>
      </c>
      <c r="F169" s="53">
        <f t="shared" si="7"/>
        <v>5</v>
      </c>
      <c r="G169" s="19">
        <v>-250</v>
      </c>
    </row>
    <row r="170" spans="1:7" x14ac:dyDescent="0.25">
      <c r="A170" s="13">
        <v>45805</v>
      </c>
      <c r="B170" s="35" t="s">
        <v>1072</v>
      </c>
      <c r="C170" s="15" t="s">
        <v>1379</v>
      </c>
      <c r="D170" s="1" t="s">
        <v>701</v>
      </c>
      <c r="E170" s="13">
        <v>45838</v>
      </c>
      <c r="F170" s="53">
        <f t="shared" si="7"/>
        <v>33</v>
      </c>
      <c r="G170" s="19">
        <v>-246.27122600000001</v>
      </c>
    </row>
    <row r="171" spans="1:7" x14ac:dyDescent="0.25">
      <c r="A171" s="13">
        <v>45826</v>
      </c>
      <c r="B171" s="35" t="s">
        <v>1072</v>
      </c>
      <c r="C171" s="15" t="s">
        <v>1389</v>
      </c>
      <c r="D171" s="1" t="s">
        <v>701</v>
      </c>
      <c r="E171" s="13">
        <v>45840</v>
      </c>
      <c r="F171" s="53">
        <f t="shared" ref="F171:F235" si="9">+E171-A171</f>
        <v>14</v>
      </c>
      <c r="G171" s="19">
        <v>-860.740455</v>
      </c>
    </row>
    <row r="172" spans="1:7" x14ac:dyDescent="0.25">
      <c r="A172" s="13">
        <v>45861</v>
      </c>
      <c r="B172" s="35" t="s">
        <v>1072</v>
      </c>
      <c r="C172" s="15" t="s">
        <v>1340</v>
      </c>
      <c r="D172" s="1" t="s">
        <v>701</v>
      </c>
      <c r="E172" s="13">
        <v>46087</v>
      </c>
      <c r="F172" s="53">
        <f t="shared" si="9"/>
        <v>226</v>
      </c>
      <c r="G172" s="19">
        <v>-400</v>
      </c>
    </row>
    <row r="173" spans="1:7" x14ac:dyDescent="0.25">
      <c r="A173" s="13">
        <v>45861</v>
      </c>
      <c r="B173" s="35" t="s">
        <v>1072</v>
      </c>
      <c r="C173" s="15" t="s">
        <v>1406</v>
      </c>
      <c r="D173" s="1" t="s">
        <v>701</v>
      </c>
      <c r="E173" s="13">
        <v>45880</v>
      </c>
      <c r="F173" s="53">
        <f t="shared" si="9"/>
        <v>19</v>
      </c>
      <c r="G173" s="19">
        <v>-630</v>
      </c>
    </row>
    <row r="174" spans="1:7" x14ac:dyDescent="0.25">
      <c r="A174" s="13">
        <v>45861</v>
      </c>
      <c r="B174" s="35" t="s">
        <v>1072</v>
      </c>
      <c r="C174" s="15" t="s">
        <v>1407</v>
      </c>
      <c r="D174" s="1" t="s">
        <v>701</v>
      </c>
      <c r="E174" s="13">
        <v>45975</v>
      </c>
      <c r="F174" s="53">
        <f t="shared" si="9"/>
        <v>114</v>
      </c>
      <c r="G174" s="19">
        <v>-205</v>
      </c>
    </row>
    <row r="175" spans="1:7" x14ac:dyDescent="0.25">
      <c r="A175" s="13">
        <v>45861</v>
      </c>
      <c r="B175" s="35" t="s">
        <v>1072</v>
      </c>
      <c r="C175" s="15" t="s">
        <v>1408</v>
      </c>
      <c r="D175" s="1" t="s">
        <v>701</v>
      </c>
      <c r="E175" s="13">
        <v>46178</v>
      </c>
      <c r="F175" s="53">
        <f t="shared" si="9"/>
        <v>317</v>
      </c>
      <c r="G175" s="19">
        <v>-215.56447299999999</v>
      </c>
    </row>
    <row r="176" spans="1:7" x14ac:dyDescent="0.25">
      <c r="A176" s="13">
        <v>45861</v>
      </c>
      <c r="B176" s="35" t="s">
        <v>1072</v>
      </c>
      <c r="C176" s="15" t="s">
        <v>1409</v>
      </c>
      <c r="D176" s="1" t="s">
        <v>701</v>
      </c>
      <c r="E176" s="13">
        <v>45863</v>
      </c>
      <c r="F176" s="53">
        <f t="shared" si="9"/>
        <v>2</v>
      </c>
      <c r="G176" s="19">
        <v>-0.25</v>
      </c>
    </row>
    <row r="177" spans="1:7" x14ac:dyDescent="0.25">
      <c r="A177" s="13">
        <v>45861</v>
      </c>
      <c r="B177" s="35" t="s">
        <v>1072</v>
      </c>
      <c r="C177" s="15" t="s">
        <v>1342</v>
      </c>
      <c r="D177" s="1" t="s">
        <v>701</v>
      </c>
      <c r="E177" s="13">
        <v>45891</v>
      </c>
      <c r="F177" s="53">
        <f t="shared" si="9"/>
        <v>30</v>
      </c>
      <c r="G177" s="19">
        <v>-0.47</v>
      </c>
    </row>
    <row r="178" spans="1:7" x14ac:dyDescent="0.25">
      <c r="A178" s="13">
        <v>45861</v>
      </c>
      <c r="B178" s="35" t="s">
        <v>1072</v>
      </c>
      <c r="C178" s="15" t="s">
        <v>1335</v>
      </c>
      <c r="D178" s="1" t="s">
        <v>701</v>
      </c>
      <c r="E178" s="13">
        <v>45905</v>
      </c>
      <c r="F178" s="53">
        <f t="shared" si="9"/>
        <v>44</v>
      </c>
      <c r="G178" s="19">
        <v>-0.171706</v>
      </c>
    </row>
    <row r="179" spans="1:7" x14ac:dyDescent="0.25">
      <c r="A179" s="13">
        <v>45868</v>
      </c>
      <c r="B179" s="35" t="s">
        <v>1072</v>
      </c>
      <c r="C179" s="15" t="s">
        <v>1342</v>
      </c>
      <c r="D179" s="1" t="s">
        <v>701</v>
      </c>
      <c r="E179" s="13">
        <v>45891</v>
      </c>
      <c r="F179" s="53">
        <f t="shared" si="9"/>
        <v>23</v>
      </c>
      <c r="G179" s="19">
        <v>-70.147322000000003</v>
      </c>
    </row>
    <row r="180" spans="1:7" x14ac:dyDescent="0.25">
      <c r="A180" s="13">
        <v>45868</v>
      </c>
      <c r="B180" s="35" t="s">
        <v>1072</v>
      </c>
      <c r="C180" s="15" t="s">
        <v>1412</v>
      </c>
      <c r="D180" s="1" t="s">
        <v>701</v>
      </c>
      <c r="E180" s="13">
        <v>45870</v>
      </c>
      <c r="F180" s="53">
        <f t="shared" si="9"/>
        <v>2</v>
      </c>
      <c r="G180" s="19">
        <v>-96.81</v>
      </c>
    </row>
    <row r="181" spans="1:7" x14ac:dyDescent="0.25">
      <c r="A181" s="13">
        <v>45868</v>
      </c>
      <c r="B181" s="35" t="s">
        <v>1072</v>
      </c>
      <c r="C181" s="15" t="s">
        <v>1370</v>
      </c>
      <c r="D181" s="1" t="s">
        <v>701</v>
      </c>
      <c r="E181" s="13">
        <v>45875</v>
      </c>
      <c r="F181" s="53">
        <f t="shared" si="9"/>
        <v>7</v>
      </c>
      <c r="G181" s="19">
        <v>-2.15</v>
      </c>
    </row>
    <row r="182" spans="1:7" x14ac:dyDescent="0.25">
      <c r="A182" s="13">
        <v>45868</v>
      </c>
      <c r="B182" s="35" t="s">
        <v>1072</v>
      </c>
      <c r="C182" s="15" t="s">
        <v>1340</v>
      </c>
      <c r="D182" s="1" t="s">
        <v>701</v>
      </c>
      <c r="E182" s="13">
        <v>46087</v>
      </c>
      <c r="F182" s="53">
        <f t="shared" si="9"/>
        <v>219</v>
      </c>
      <c r="G182" s="19">
        <v>-29.339639999999999</v>
      </c>
    </row>
    <row r="183" spans="1:7" x14ac:dyDescent="0.25">
      <c r="A183" s="13">
        <v>45868</v>
      </c>
      <c r="B183" s="35" t="s">
        <v>1072</v>
      </c>
      <c r="C183" s="15" t="s">
        <v>1413</v>
      </c>
      <c r="D183" s="1" t="s">
        <v>701</v>
      </c>
      <c r="E183" s="13">
        <v>46150</v>
      </c>
      <c r="F183" s="53">
        <f t="shared" si="9"/>
        <v>282</v>
      </c>
      <c r="G183" s="19">
        <v>-19</v>
      </c>
    </row>
    <row r="184" spans="1:7" x14ac:dyDescent="0.25">
      <c r="A184" s="13">
        <v>45868</v>
      </c>
      <c r="B184" s="35" t="s">
        <v>1072</v>
      </c>
      <c r="C184" s="15" t="s">
        <v>1408</v>
      </c>
      <c r="D184" s="1" t="s">
        <v>701</v>
      </c>
      <c r="E184" s="13">
        <v>46178</v>
      </c>
      <c r="F184" s="53">
        <f t="shared" si="9"/>
        <v>310</v>
      </c>
      <c r="G184" s="19">
        <v>-108</v>
      </c>
    </row>
    <row r="185" spans="1:7" x14ac:dyDescent="0.25">
      <c r="A185" s="13">
        <v>45868</v>
      </c>
      <c r="B185" s="35" t="s">
        <v>1072</v>
      </c>
      <c r="C185" s="15" t="s">
        <v>1414</v>
      </c>
      <c r="D185" s="1" t="s">
        <v>701</v>
      </c>
      <c r="E185" s="13">
        <v>45873</v>
      </c>
      <c r="F185" s="53">
        <f t="shared" si="9"/>
        <v>5</v>
      </c>
      <c r="G185" s="19">
        <v>-86.95</v>
      </c>
    </row>
    <row r="186" spans="1:7" x14ac:dyDescent="0.25">
      <c r="A186" s="13">
        <v>45868</v>
      </c>
      <c r="B186" s="35" t="s">
        <v>1072</v>
      </c>
      <c r="C186" s="15" t="s">
        <v>1406</v>
      </c>
      <c r="D186" s="1" t="s">
        <v>701</v>
      </c>
      <c r="E186" s="13">
        <v>45880</v>
      </c>
      <c r="F186" s="53">
        <f t="shared" si="9"/>
        <v>12</v>
      </c>
      <c r="G186" s="19">
        <v>-3.1913809999999998</v>
      </c>
    </row>
    <row r="187" spans="1:7" x14ac:dyDescent="0.25">
      <c r="A187" s="13">
        <v>45875</v>
      </c>
      <c r="B187" s="35" t="s">
        <v>1072</v>
      </c>
      <c r="C187" s="15" t="s">
        <v>1419</v>
      </c>
      <c r="D187" s="1" t="s">
        <v>701</v>
      </c>
      <c r="E187" s="13">
        <v>46038</v>
      </c>
      <c r="F187" s="53">
        <f t="shared" si="9"/>
        <v>163</v>
      </c>
      <c r="G187" s="19">
        <v>-155.080129</v>
      </c>
    </row>
    <row r="188" spans="1:7" x14ac:dyDescent="0.25">
      <c r="A188" s="13">
        <v>45875</v>
      </c>
      <c r="B188" s="35" t="s">
        <v>1072</v>
      </c>
      <c r="C188" s="15" t="s">
        <v>1420</v>
      </c>
      <c r="D188" s="1" t="s">
        <v>701</v>
      </c>
      <c r="E188" s="13">
        <v>46199</v>
      </c>
      <c r="F188" s="53">
        <f t="shared" si="9"/>
        <v>324</v>
      </c>
      <c r="G188" s="19">
        <v>-143.89810800000001</v>
      </c>
    </row>
    <row r="189" spans="1:7" x14ac:dyDescent="0.25">
      <c r="A189" s="13">
        <v>45875</v>
      </c>
      <c r="B189" s="35" t="s">
        <v>1072</v>
      </c>
      <c r="C189" s="15" t="s">
        <v>1408</v>
      </c>
      <c r="D189" s="1" t="s">
        <v>701</v>
      </c>
      <c r="E189" s="13">
        <v>46178</v>
      </c>
      <c r="F189" s="53">
        <f t="shared" si="9"/>
        <v>303</v>
      </c>
      <c r="G189" s="19">
        <v>-81</v>
      </c>
    </row>
    <row r="190" spans="1:7" x14ac:dyDescent="0.25">
      <c r="A190" s="13">
        <v>45889</v>
      </c>
      <c r="B190" s="35" t="s">
        <v>1072</v>
      </c>
      <c r="C190" s="15" t="s">
        <v>1408</v>
      </c>
      <c r="D190" s="1" t="s">
        <v>701</v>
      </c>
      <c r="E190" s="13">
        <v>46178</v>
      </c>
      <c r="F190" s="53">
        <f t="shared" si="9"/>
        <v>289</v>
      </c>
      <c r="G190" s="19">
        <v>-1396.557491</v>
      </c>
    </row>
    <row r="191" spans="1:7" x14ac:dyDescent="0.25">
      <c r="A191" s="13">
        <v>45889</v>
      </c>
      <c r="B191" s="35" t="s">
        <v>1072</v>
      </c>
      <c r="C191" s="15" t="s">
        <v>1419</v>
      </c>
      <c r="D191" s="1" t="s">
        <v>701</v>
      </c>
      <c r="E191" s="13">
        <v>46038</v>
      </c>
      <c r="F191" s="53">
        <f t="shared" si="9"/>
        <v>149</v>
      </c>
      <c r="G191" s="19">
        <v>-125.588353</v>
      </c>
    </row>
    <row r="192" spans="1:7" x14ac:dyDescent="0.25">
      <c r="A192" s="13">
        <v>45889</v>
      </c>
      <c r="B192" s="35" t="s">
        <v>1072</v>
      </c>
      <c r="C192" s="15" t="s">
        <v>1428</v>
      </c>
      <c r="D192" s="1" t="s">
        <v>701</v>
      </c>
      <c r="E192" s="13">
        <v>46234</v>
      </c>
      <c r="F192" s="53">
        <f t="shared" si="9"/>
        <v>345</v>
      </c>
      <c r="G192" s="19">
        <v>-100</v>
      </c>
    </row>
    <row r="193" spans="1:129" x14ac:dyDescent="0.25">
      <c r="A193" s="13">
        <v>45896</v>
      </c>
      <c r="B193" s="35" t="s">
        <v>1072</v>
      </c>
      <c r="C193" s="15" t="s">
        <v>1439</v>
      </c>
      <c r="D193" s="1" t="s">
        <v>701</v>
      </c>
      <c r="E193" s="13">
        <v>45931</v>
      </c>
      <c r="F193" s="53">
        <f t="shared" si="9"/>
        <v>35</v>
      </c>
      <c r="G193" s="19">
        <v>-39.069769999999998</v>
      </c>
    </row>
    <row r="194" spans="1:129" x14ac:dyDescent="0.25">
      <c r="A194" s="13">
        <v>45910</v>
      </c>
      <c r="B194" s="35" t="s">
        <v>1072</v>
      </c>
      <c r="C194" s="15" t="s">
        <v>1438</v>
      </c>
      <c r="D194" s="1" t="s">
        <v>701</v>
      </c>
      <c r="E194" s="13">
        <v>46269</v>
      </c>
      <c r="F194" s="53">
        <f t="shared" si="9"/>
        <v>359</v>
      </c>
      <c r="G194" s="19">
        <v>-1322.306141</v>
      </c>
    </row>
    <row r="195" spans="1:129" x14ac:dyDescent="0.25">
      <c r="A195" s="13">
        <v>45910</v>
      </c>
      <c r="B195" s="35" t="s">
        <v>1072</v>
      </c>
      <c r="C195" s="15" t="s">
        <v>1439</v>
      </c>
      <c r="D195" s="1" t="s">
        <v>701</v>
      </c>
      <c r="E195" s="13">
        <v>45931</v>
      </c>
      <c r="F195" s="53">
        <f t="shared" si="9"/>
        <v>21</v>
      </c>
      <c r="G195" s="19">
        <v>-100</v>
      </c>
    </row>
    <row r="196" spans="1:129" x14ac:dyDescent="0.25">
      <c r="A196" s="13">
        <v>45910</v>
      </c>
      <c r="B196" s="35" t="s">
        <v>1072</v>
      </c>
      <c r="C196" s="15" t="s">
        <v>1440</v>
      </c>
      <c r="D196" s="1" t="s">
        <v>701</v>
      </c>
      <c r="E196" s="13">
        <v>45940</v>
      </c>
      <c r="F196" s="53">
        <f t="shared" si="9"/>
        <v>30</v>
      </c>
      <c r="G196" s="19">
        <v>-100</v>
      </c>
    </row>
    <row r="197" spans="1:129" x14ac:dyDescent="0.25">
      <c r="A197" s="13">
        <v>45910</v>
      </c>
      <c r="B197" s="35" t="s">
        <v>1072</v>
      </c>
      <c r="C197" s="15" t="s">
        <v>1441</v>
      </c>
      <c r="D197" s="1" t="s">
        <v>701</v>
      </c>
      <c r="E197" s="13">
        <v>45961</v>
      </c>
      <c r="F197" s="53">
        <f t="shared" si="9"/>
        <v>51</v>
      </c>
      <c r="G197" s="19">
        <v>-317.010786</v>
      </c>
    </row>
    <row r="198" spans="1:129" x14ac:dyDescent="0.25">
      <c r="A198" s="13">
        <v>45917</v>
      </c>
      <c r="B198" s="35" t="s">
        <v>1072</v>
      </c>
      <c r="C198" s="15" t="s">
        <v>1438</v>
      </c>
      <c r="D198" s="1" t="s">
        <v>701</v>
      </c>
      <c r="E198" s="13">
        <v>46269</v>
      </c>
      <c r="F198" s="53">
        <f t="shared" si="9"/>
        <v>352</v>
      </c>
      <c r="G198" s="19">
        <v>-15.419631000000001</v>
      </c>
    </row>
    <row r="199" spans="1:129" x14ac:dyDescent="0.25">
      <c r="A199" s="13">
        <v>45917</v>
      </c>
      <c r="B199" s="35" t="s">
        <v>1072</v>
      </c>
      <c r="C199" s="15" t="s">
        <v>1408</v>
      </c>
      <c r="D199" s="1" t="s">
        <v>701</v>
      </c>
      <c r="E199" s="13">
        <v>46178</v>
      </c>
      <c r="F199" s="53">
        <f t="shared" si="9"/>
        <v>261</v>
      </c>
      <c r="G199" s="19">
        <v>-607.16040099999998</v>
      </c>
    </row>
    <row r="200" spans="1:129" x14ac:dyDescent="0.25">
      <c r="A200" s="13">
        <v>45924</v>
      </c>
      <c r="B200" s="35" t="s">
        <v>1072</v>
      </c>
      <c r="C200" s="15" t="s">
        <v>1439</v>
      </c>
      <c r="D200" s="1" t="s">
        <v>701</v>
      </c>
      <c r="E200" s="13">
        <v>45931</v>
      </c>
      <c r="F200" s="53">
        <f t="shared" si="9"/>
        <v>7</v>
      </c>
      <c r="G200" s="19">
        <v>-30</v>
      </c>
    </row>
    <row r="201" spans="1:129" x14ac:dyDescent="0.25">
      <c r="A201" s="13">
        <v>45924</v>
      </c>
      <c r="B201" s="35" t="s">
        <v>1072</v>
      </c>
      <c r="C201" s="15" t="s">
        <v>1447</v>
      </c>
      <c r="D201" s="1" t="s">
        <v>701</v>
      </c>
      <c r="E201" s="13">
        <v>45968</v>
      </c>
      <c r="F201" s="53">
        <f t="shared" si="9"/>
        <v>44</v>
      </c>
      <c r="G201" s="19">
        <v>-202.815257</v>
      </c>
    </row>
    <row r="202" spans="1:129" x14ac:dyDescent="0.25">
      <c r="A202" s="13">
        <v>45924</v>
      </c>
      <c r="B202" s="35" t="s">
        <v>1072</v>
      </c>
      <c r="C202" s="15" t="s">
        <v>1323</v>
      </c>
      <c r="D202" s="1" t="s">
        <v>701</v>
      </c>
      <c r="E202" s="13">
        <v>46031</v>
      </c>
      <c r="F202" s="53">
        <f t="shared" si="9"/>
        <v>107</v>
      </c>
      <c r="G202" s="19">
        <v>-421.29017599999997</v>
      </c>
    </row>
    <row r="203" spans="1:129" x14ac:dyDescent="0.25">
      <c r="A203" s="13">
        <v>45924</v>
      </c>
      <c r="B203" s="35" t="s">
        <v>1072</v>
      </c>
      <c r="C203" s="15" t="s">
        <v>1407</v>
      </c>
      <c r="D203" s="1" t="s">
        <v>701</v>
      </c>
      <c r="E203" s="13">
        <v>45975</v>
      </c>
      <c r="F203" s="53">
        <f t="shared" si="9"/>
        <v>51</v>
      </c>
      <c r="G203" s="19">
        <v>-150</v>
      </c>
    </row>
    <row r="204" spans="1:129" x14ac:dyDescent="0.25">
      <c r="A204" s="13">
        <v>45924</v>
      </c>
      <c r="B204" s="35" t="s">
        <v>1072</v>
      </c>
      <c r="C204" s="15" t="s">
        <v>1448</v>
      </c>
      <c r="D204" s="1" t="s">
        <v>701</v>
      </c>
      <c r="E204" s="13">
        <v>45938</v>
      </c>
      <c r="F204" s="53">
        <f t="shared" si="9"/>
        <v>14</v>
      </c>
      <c r="G204" s="19">
        <v>-48</v>
      </c>
    </row>
    <row r="205" spans="1:129" x14ac:dyDescent="0.25">
      <c r="A205" s="13">
        <v>45924</v>
      </c>
      <c r="B205" s="35" t="s">
        <v>1072</v>
      </c>
      <c r="C205" s="15" t="s">
        <v>1449</v>
      </c>
      <c r="D205" s="1" t="s">
        <v>701</v>
      </c>
      <c r="E205" s="13">
        <v>46297</v>
      </c>
      <c r="F205" s="53">
        <f t="shared" si="9"/>
        <v>373</v>
      </c>
      <c r="G205" s="19">
        <v>-249.12764100000001</v>
      </c>
    </row>
    <row r="206" spans="1:129" s="35" customFormat="1" x14ac:dyDescent="0.25">
      <c r="A206" s="35">
        <v>45945</v>
      </c>
      <c r="B206" s="35" t="s">
        <v>1072</v>
      </c>
      <c r="C206" s="15" t="s">
        <v>1447</v>
      </c>
      <c r="D206" s="1" t="s">
        <v>701</v>
      </c>
      <c r="E206" s="13">
        <v>45968</v>
      </c>
      <c r="F206" s="53">
        <f t="shared" si="9"/>
        <v>23</v>
      </c>
      <c r="G206" s="19">
        <v>-157.28893099999999</v>
      </c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/>
      <c r="BR206" s="36"/>
      <c r="BS206" s="36"/>
      <c r="BT206" s="36"/>
      <c r="BU206" s="36"/>
      <c r="BV206" s="36"/>
      <c r="BW206" s="36"/>
      <c r="BX206" s="36"/>
      <c r="BY206" s="36"/>
      <c r="BZ206" s="36"/>
      <c r="CA206" s="36"/>
      <c r="CB206" s="36"/>
      <c r="CC206" s="36"/>
      <c r="CD206" s="36"/>
      <c r="CE206" s="36"/>
      <c r="CF206" s="36"/>
      <c r="CG206" s="36"/>
      <c r="CH206" s="36"/>
      <c r="CI206" s="36"/>
      <c r="CJ206" s="36"/>
      <c r="CK206" s="36"/>
      <c r="CL206" s="36"/>
      <c r="CM206" s="36"/>
      <c r="CN206" s="36"/>
      <c r="CO206" s="36"/>
      <c r="CP206" s="36"/>
      <c r="CQ206" s="36"/>
      <c r="CR206" s="36"/>
      <c r="CS206" s="36"/>
      <c r="CT206" s="36"/>
      <c r="CU206" s="36"/>
      <c r="CV206" s="36"/>
      <c r="CW206" s="36"/>
      <c r="CX206" s="36"/>
      <c r="CY206" s="36"/>
      <c r="CZ206" s="36"/>
      <c r="DA206" s="36"/>
      <c r="DB206" s="36"/>
      <c r="DC206" s="36"/>
      <c r="DD206" s="36"/>
      <c r="DE206" s="36"/>
      <c r="DF206" s="36"/>
      <c r="DG206" s="36"/>
      <c r="DH206" s="36"/>
      <c r="DI206" s="36"/>
      <c r="DJ206" s="36"/>
      <c r="DK206" s="36"/>
      <c r="DL206" s="36"/>
      <c r="DM206" s="36"/>
      <c r="DN206" s="36"/>
      <c r="DO206" s="36"/>
      <c r="DP206" s="36"/>
      <c r="DQ206" s="36"/>
      <c r="DR206" s="36"/>
      <c r="DS206" s="36"/>
      <c r="DT206" s="36"/>
      <c r="DU206" s="36"/>
      <c r="DV206" s="36"/>
      <c r="DW206" s="36"/>
      <c r="DX206" s="36"/>
      <c r="DY206" s="36"/>
    </row>
    <row r="207" spans="1:129" s="35" customFormat="1" x14ac:dyDescent="0.25">
      <c r="A207" s="35">
        <v>45945</v>
      </c>
      <c r="B207" s="35" t="s">
        <v>1072</v>
      </c>
      <c r="C207" s="15" t="s">
        <v>1459</v>
      </c>
      <c r="D207" s="1" t="s">
        <v>701</v>
      </c>
      <c r="E207" s="13">
        <v>45996</v>
      </c>
      <c r="F207" s="53">
        <f t="shared" si="9"/>
        <v>51</v>
      </c>
      <c r="G207" s="19">
        <v>-131.10897600000001</v>
      </c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  <c r="BR207" s="36"/>
      <c r="BS207" s="36"/>
      <c r="BT207" s="36"/>
      <c r="BU207" s="36"/>
      <c r="BV207" s="36"/>
      <c r="BW207" s="36"/>
      <c r="BX207" s="36"/>
      <c r="BY207" s="36"/>
      <c r="BZ207" s="36"/>
      <c r="CA207" s="36"/>
      <c r="CB207" s="36"/>
      <c r="CC207" s="36"/>
      <c r="CD207" s="36"/>
      <c r="CE207" s="36"/>
      <c r="CF207" s="36"/>
      <c r="CG207" s="36"/>
      <c r="CH207" s="36"/>
      <c r="CI207" s="36"/>
      <c r="CJ207" s="36"/>
      <c r="CK207" s="36"/>
      <c r="CL207" s="36"/>
      <c r="CM207" s="36"/>
      <c r="CN207" s="36"/>
      <c r="CO207" s="36"/>
      <c r="CP207" s="36"/>
      <c r="CQ207" s="36"/>
      <c r="CR207" s="36"/>
      <c r="CS207" s="36"/>
      <c r="CT207" s="36"/>
      <c r="CU207" s="36"/>
      <c r="CV207" s="36"/>
      <c r="CW207" s="36"/>
      <c r="CX207" s="36"/>
      <c r="CY207" s="36"/>
      <c r="CZ207" s="36"/>
      <c r="DA207" s="36"/>
      <c r="DB207" s="36"/>
      <c r="DC207" s="36"/>
      <c r="DD207" s="36"/>
      <c r="DE207" s="36"/>
      <c r="DF207" s="36"/>
      <c r="DG207" s="36"/>
      <c r="DH207" s="36"/>
      <c r="DI207" s="36"/>
      <c r="DJ207" s="36"/>
      <c r="DK207" s="36"/>
      <c r="DL207" s="36"/>
      <c r="DM207" s="36"/>
      <c r="DN207" s="36"/>
      <c r="DO207" s="36"/>
      <c r="DP207" s="36"/>
      <c r="DQ207" s="36"/>
      <c r="DR207" s="36"/>
      <c r="DS207" s="36"/>
      <c r="DT207" s="36"/>
      <c r="DU207" s="36"/>
      <c r="DV207" s="36"/>
      <c r="DW207" s="36"/>
      <c r="DX207" s="36"/>
      <c r="DY207" s="36"/>
    </row>
    <row r="208" spans="1:129" s="35" customFormat="1" x14ac:dyDescent="0.25">
      <c r="A208" s="35">
        <v>45945</v>
      </c>
      <c r="B208" s="35" t="s">
        <v>1072</v>
      </c>
      <c r="C208" s="15" t="s">
        <v>1323</v>
      </c>
      <c r="D208" s="1" t="s">
        <v>701</v>
      </c>
      <c r="E208" s="13">
        <v>46031</v>
      </c>
      <c r="F208" s="53">
        <f t="shared" si="9"/>
        <v>86</v>
      </c>
      <c r="G208" s="19">
        <v>-316.73178000000001</v>
      </c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  <c r="CG208" s="36"/>
      <c r="CH208" s="36"/>
      <c r="CI208" s="36"/>
      <c r="CJ208" s="36"/>
      <c r="CK208" s="36"/>
      <c r="CL208" s="36"/>
      <c r="CM208" s="36"/>
      <c r="CN208" s="36"/>
      <c r="CO208" s="36"/>
      <c r="CP208" s="36"/>
      <c r="CQ208" s="36"/>
      <c r="CR208" s="36"/>
      <c r="CS208" s="36"/>
      <c r="CT208" s="36"/>
      <c r="CU208" s="36"/>
      <c r="CV208" s="36"/>
      <c r="CW208" s="36"/>
      <c r="CX208" s="36"/>
      <c r="CY208" s="36"/>
      <c r="CZ208" s="36"/>
      <c r="DA208" s="36"/>
      <c r="DB208" s="36"/>
      <c r="DC208" s="36"/>
      <c r="DD208" s="36"/>
      <c r="DE208" s="36"/>
      <c r="DF208" s="36"/>
      <c r="DG208" s="36"/>
      <c r="DH208" s="36"/>
      <c r="DI208" s="36"/>
      <c r="DJ208" s="36"/>
      <c r="DK208" s="36"/>
      <c r="DL208" s="36"/>
      <c r="DM208" s="36"/>
      <c r="DN208" s="36"/>
      <c r="DO208" s="36"/>
      <c r="DP208" s="36"/>
      <c r="DQ208" s="36"/>
      <c r="DR208" s="36"/>
      <c r="DS208" s="36"/>
      <c r="DT208" s="36"/>
      <c r="DU208" s="36"/>
      <c r="DV208" s="36"/>
      <c r="DW208" s="36"/>
      <c r="DX208" s="36"/>
      <c r="DY208" s="36"/>
    </row>
    <row r="209" spans="1:129" s="35" customFormat="1" x14ac:dyDescent="0.25">
      <c r="A209" s="35">
        <v>45945</v>
      </c>
      <c r="B209" s="35" t="s">
        <v>1072</v>
      </c>
      <c r="C209" s="15" t="s">
        <v>1460</v>
      </c>
      <c r="D209" s="1" t="s">
        <v>701</v>
      </c>
      <c r="E209" s="13">
        <v>46122</v>
      </c>
      <c r="F209" s="53">
        <f t="shared" si="9"/>
        <v>177</v>
      </c>
      <c r="G209" s="19">
        <v>-52.819408000000003</v>
      </c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6"/>
      <c r="CD209" s="36"/>
      <c r="CE209" s="36"/>
      <c r="CF209" s="36"/>
      <c r="CG209" s="36"/>
      <c r="CH209" s="36"/>
      <c r="CI209" s="36"/>
      <c r="CJ209" s="36"/>
      <c r="CK209" s="36"/>
      <c r="CL209" s="36"/>
      <c r="CM209" s="36"/>
      <c r="CN209" s="36"/>
      <c r="CO209" s="36"/>
      <c r="CP209" s="36"/>
      <c r="CQ209" s="36"/>
      <c r="CR209" s="36"/>
      <c r="CS209" s="36"/>
      <c r="CT209" s="36"/>
      <c r="CU209" s="36"/>
      <c r="CV209" s="36"/>
      <c r="CW209" s="36"/>
      <c r="CX209" s="36"/>
      <c r="CY209" s="36"/>
      <c r="CZ209" s="36"/>
      <c r="DA209" s="36"/>
      <c r="DB209" s="36"/>
      <c r="DC209" s="36"/>
      <c r="DD209" s="36"/>
      <c r="DE209" s="36"/>
      <c r="DF209" s="36"/>
      <c r="DG209" s="36"/>
      <c r="DH209" s="36"/>
      <c r="DI209" s="36"/>
      <c r="DJ209" s="36"/>
      <c r="DK209" s="36"/>
      <c r="DL209" s="36"/>
      <c r="DM209" s="36"/>
      <c r="DN209" s="36"/>
      <c r="DO209" s="36"/>
      <c r="DP209" s="36"/>
      <c r="DQ209" s="36"/>
      <c r="DR209" s="36"/>
      <c r="DS209" s="36"/>
      <c r="DT209" s="36"/>
      <c r="DU209" s="36"/>
      <c r="DV209" s="36"/>
      <c r="DW209" s="36"/>
      <c r="DX209" s="36"/>
      <c r="DY209" s="36"/>
    </row>
    <row r="210" spans="1:129" s="35" customFormat="1" x14ac:dyDescent="0.25">
      <c r="A210" s="35">
        <v>45945</v>
      </c>
      <c r="B210" s="35" t="s">
        <v>1072</v>
      </c>
      <c r="C210" s="15" t="s">
        <v>1428</v>
      </c>
      <c r="D210" s="1" t="s">
        <v>701</v>
      </c>
      <c r="E210" s="13">
        <v>46234</v>
      </c>
      <c r="F210" s="53">
        <f t="shared" si="9"/>
        <v>289</v>
      </c>
      <c r="G210" s="19">
        <v>-544.15048200000001</v>
      </c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6"/>
      <c r="BQ210" s="36"/>
      <c r="BR210" s="36"/>
      <c r="BS210" s="36"/>
      <c r="BT210" s="36"/>
      <c r="BU210" s="36"/>
      <c r="BV210" s="36"/>
      <c r="BW210" s="36"/>
      <c r="BX210" s="36"/>
      <c r="BY210" s="36"/>
      <c r="BZ210" s="36"/>
      <c r="CA210" s="36"/>
      <c r="CB210" s="36"/>
      <c r="CC210" s="36"/>
      <c r="CD210" s="36"/>
      <c r="CE210" s="36"/>
      <c r="CF210" s="36"/>
      <c r="CG210" s="36"/>
      <c r="CH210" s="36"/>
      <c r="CI210" s="36"/>
      <c r="CJ210" s="36"/>
      <c r="CK210" s="36"/>
      <c r="CL210" s="36"/>
      <c r="CM210" s="36"/>
      <c r="CN210" s="36"/>
      <c r="CO210" s="36"/>
      <c r="CP210" s="36"/>
      <c r="CQ210" s="36"/>
      <c r="CR210" s="36"/>
      <c r="CS210" s="36"/>
      <c r="CT210" s="36"/>
      <c r="CU210" s="36"/>
      <c r="CV210" s="36"/>
      <c r="CW210" s="36"/>
      <c r="CX210" s="36"/>
      <c r="CY210" s="36"/>
      <c r="CZ210" s="36"/>
      <c r="DA210" s="36"/>
      <c r="DB210" s="36"/>
      <c r="DC210" s="36"/>
      <c r="DD210" s="36"/>
      <c r="DE210" s="36"/>
      <c r="DF210" s="36"/>
      <c r="DG210" s="36"/>
      <c r="DH210" s="36"/>
      <c r="DI210" s="36"/>
      <c r="DJ210" s="36"/>
      <c r="DK210" s="36"/>
      <c r="DL210" s="36"/>
      <c r="DM210" s="36"/>
      <c r="DN210" s="36"/>
      <c r="DO210" s="36"/>
      <c r="DP210" s="36"/>
      <c r="DQ210" s="36"/>
      <c r="DR210" s="36"/>
      <c r="DS210" s="36"/>
      <c r="DT210" s="36"/>
      <c r="DU210" s="36"/>
      <c r="DV210" s="36"/>
      <c r="DW210" s="36"/>
      <c r="DX210" s="36"/>
      <c r="DY210" s="36"/>
    </row>
    <row r="211" spans="1:129" s="35" customFormat="1" x14ac:dyDescent="0.25">
      <c r="A211" s="35">
        <v>45945</v>
      </c>
      <c r="B211" s="35" t="s">
        <v>1072</v>
      </c>
      <c r="C211" s="15" t="s">
        <v>1438</v>
      </c>
      <c r="D211" s="1" t="s">
        <v>701</v>
      </c>
      <c r="E211" s="13">
        <v>46269</v>
      </c>
      <c r="F211" s="53">
        <f t="shared" si="9"/>
        <v>324</v>
      </c>
      <c r="G211" s="19">
        <v>-2988.1</v>
      </c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  <c r="BR211" s="36"/>
      <c r="BS211" s="36"/>
      <c r="BT211" s="36"/>
      <c r="BU211" s="36"/>
      <c r="BV211" s="36"/>
      <c r="BW211" s="36"/>
      <c r="BX211" s="36"/>
      <c r="BY211" s="36"/>
      <c r="BZ211" s="36"/>
      <c r="CA211" s="36"/>
      <c r="CB211" s="36"/>
      <c r="CC211" s="36"/>
      <c r="CD211" s="36"/>
      <c r="CE211" s="36"/>
      <c r="CF211" s="36"/>
      <c r="CG211" s="36"/>
      <c r="CH211" s="36"/>
      <c r="CI211" s="36"/>
      <c r="CJ211" s="36"/>
      <c r="CK211" s="36"/>
      <c r="CL211" s="36"/>
      <c r="CM211" s="36"/>
      <c r="CN211" s="36"/>
      <c r="CO211" s="36"/>
      <c r="CP211" s="36"/>
      <c r="CQ211" s="36"/>
      <c r="CR211" s="36"/>
      <c r="CS211" s="36"/>
      <c r="CT211" s="36"/>
      <c r="CU211" s="36"/>
      <c r="CV211" s="36"/>
      <c r="CW211" s="36"/>
      <c r="CX211" s="36"/>
      <c r="CY211" s="36"/>
      <c r="CZ211" s="36"/>
      <c r="DA211" s="36"/>
      <c r="DB211" s="36"/>
      <c r="DC211" s="36"/>
      <c r="DD211" s="36"/>
      <c r="DE211" s="36"/>
      <c r="DF211" s="36"/>
      <c r="DG211" s="36"/>
      <c r="DH211" s="36"/>
      <c r="DI211" s="36"/>
      <c r="DJ211" s="36"/>
      <c r="DK211" s="36"/>
      <c r="DL211" s="36"/>
      <c r="DM211" s="36"/>
      <c r="DN211" s="36"/>
      <c r="DO211" s="36"/>
      <c r="DP211" s="36"/>
      <c r="DQ211" s="36"/>
      <c r="DR211" s="36"/>
      <c r="DS211" s="36"/>
      <c r="DT211" s="36"/>
      <c r="DU211" s="36"/>
      <c r="DV211" s="36"/>
      <c r="DW211" s="36"/>
      <c r="DX211" s="36"/>
      <c r="DY211" s="36"/>
    </row>
    <row r="212" spans="1:129" s="35" customFormat="1" x14ac:dyDescent="0.25">
      <c r="A212" s="35">
        <v>45945</v>
      </c>
      <c r="B212" s="35" t="s">
        <v>1072</v>
      </c>
      <c r="C212" s="15" t="s">
        <v>1413</v>
      </c>
      <c r="D212" s="1" t="s">
        <v>701</v>
      </c>
      <c r="E212" s="13">
        <v>46150</v>
      </c>
      <c r="F212" s="53">
        <f t="shared" si="9"/>
        <v>205</v>
      </c>
      <c r="G212" s="19">
        <v>-325</v>
      </c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6"/>
      <c r="CH212" s="36"/>
      <c r="CI212" s="36"/>
      <c r="CJ212" s="36"/>
      <c r="CK212" s="36"/>
      <c r="CL212" s="36"/>
      <c r="CM212" s="36"/>
      <c r="CN212" s="36"/>
      <c r="CO212" s="36"/>
      <c r="CP212" s="36"/>
      <c r="CQ212" s="36"/>
      <c r="CR212" s="36"/>
      <c r="CS212" s="36"/>
      <c r="CT212" s="36"/>
      <c r="CU212" s="36"/>
      <c r="CV212" s="36"/>
      <c r="CW212" s="36"/>
      <c r="CX212" s="36"/>
      <c r="CY212" s="36"/>
      <c r="CZ212" s="36"/>
      <c r="DA212" s="36"/>
      <c r="DB212" s="36"/>
      <c r="DC212" s="36"/>
      <c r="DD212" s="36"/>
      <c r="DE212" s="36"/>
      <c r="DF212" s="36"/>
      <c r="DG212" s="36"/>
      <c r="DH212" s="36"/>
      <c r="DI212" s="36"/>
      <c r="DJ212" s="36"/>
      <c r="DK212" s="36"/>
      <c r="DL212" s="36"/>
      <c r="DM212" s="36"/>
      <c r="DN212" s="36"/>
      <c r="DO212" s="36"/>
      <c r="DP212" s="36"/>
      <c r="DQ212" s="36"/>
      <c r="DR212" s="36"/>
      <c r="DS212" s="36"/>
      <c r="DT212" s="36"/>
      <c r="DU212" s="36"/>
      <c r="DV212" s="36"/>
      <c r="DW212" s="36"/>
      <c r="DX212" s="36"/>
      <c r="DY212" s="36"/>
    </row>
    <row r="213" spans="1:129" s="35" customFormat="1" x14ac:dyDescent="0.25">
      <c r="A213" s="35">
        <v>45945</v>
      </c>
      <c r="B213" s="35" t="s">
        <v>1072</v>
      </c>
      <c r="C213" s="15" t="s">
        <v>1408</v>
      </c>
      <c r="D213" s="1" t="s">
        <v>701</v>
      </c>
      <c r="E213" s="13">
        <v>46178</v>
      </c>
      <c r="F213" s="53">
        <f t="shared" si="9"/>
        <v>233</v>
      </c>
      <c r="G213" s="19">
        <v>-161.614374</v>
      </c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36"/>
      <c r="CW213" s="36"/>
      <c r="CX213" s="36"/>
      <c r="CY213" s="36"/>
      <c r="CZ213" s="36"/>
      <c r="DA213" s="36"/>
      <c r="DB213" s="36"/>
      <c r="DC213" s="36"/>
      <c r="DD213" s="36"/>
      <c r="DE213" s="36"/>
      <c r="DF213" s="36"/>
      <c r="DG213" s="36"/>
      <c r="DH213" s="36"/>
      <c r="DI213" s="36"/>
      <c r="DJ213" s="36"/>
      <c r="DK213" s="36"/>
      <c r="DL213" s="36"/>
      <c r="DM213" s="36"/>
      <c r="DN213" s="36"/>
      <c r="DO213" s="36"/>
      <c r="DP213" s="36"/>
      <c r="DQ213" s="36"/>
      <c r="DR213" s="36"/>
      <c r="DS213" s="36"/>
      <c r="DT213" s="36"/>
      <c r="DU213" s="36"/>
      <c r="DV213" s="36"/>
      <c r="DW213" s="36"/>
      <c r="DX213" s="36"/>
      <c r="DY213" s="36"/>
    </row>
    <row r="214" spans="1:129" s="35" customFormat="1" x14ac:dyDescent="0.25">
      <c r="A214" s="35">
        <v>45952</v>
      </c>
      <c r="B214" s="35" t="s">
        <v>1072</v>
      </c>
      <c r="C214" s="15" t="s">
        <v>1464</v>
      </c>
      <c r="D214" s="1" t="s">
        <v>701</v>
      </c>
      <c r="E214" s="13">
        <v>45954</v>
      </c>
      <c r="F214" s="53">
        <f t="shared" si="9"/>
        <v>2</v>
      </c>
      <c r="G214" s="19">
        <v>-200.137</v>
      </c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6"/>
      <c r="CH214" s="36"/>
      <c r="CI214" s="36"/>
      <c r="CJ214" s="36"/>
      <c r="CK214" s="36"/>
      <c r="CL214" s="36"/>
      <c r="CM214" s="36"/>
      <c r="CN214" s="36"/>
      <c r="CO214" s="36"/>
      <c r="CP214" s="36"/>
      <c r="CQ214" s="36"/>
      <c r="CR214" s="36"/>
      <c r="CS214" s="36"/>
      <c r="CT214" s="36"/>
      <c r="CU214" s="36"/>
      <c r="CV214" s="36"/>
      <c r="CW214" s="36"/>
      <c r="CX214" s="36"/>
      <c r="CY214" s="36"/>
      <c r="CZ214" s="36"/>
      <c r="DA214" s="36"/>
      <c r="DB214" s="36"/>
      <c r="DC214" s="36"/>
      <c r="DD214" s="36"/>
      <c r="DE214" s="36"/>
      <c r="DF214" s="36"/>
      <c r="DG214" s="36"/>
      <c r="DH214" s="36"/>
      <c r="DI214" s="36"/>
      <c r="DJ214" s="36"/>
      <c r="DK214" s="36"/>
      <c r="DL214" s="36"/>
      <c r="DM214" s="36"/>
      <c r="DN214" s="36"/>
      <c r="DO214" s="36"/>
      <c r="DP214" s="36"/>
      <c r="DQ214" s="36"/>
      <c r="DR214" s="36"/>
      <c r="DS214" s="36"/>
      <c r="DT214" s="36"/>
      <c r="DU214" s="36"/>
      <c r="DV214" s="36"/>
      <c r="DW214" s="36"/>
      <c r="DX214" s="36"/>
      <c r="DY214" s="36"/>
    </row>
    <row r="215" spans="1:129" s="35" customFormat="1" x14ac:dyDescent="0.25">
      <c r="A215" s="35">
        <v>45952</v>
      </c>
      <c r="B215" s="35" t="s">
        <v>1072</v>
      </c>
      <c r="C215" s="15" t="s">
        <v>1465</v>
      </c>
      <c r="D215" s="1" t="s">
        <v>701</v>
      </c>
      <c r="E215" s="13">
        <v>45975</v>
      </c>
      <c r="F215" s="53">
        <f t="shared" si="9"/>
        <v>23</v>
      </c>
      <c r="G215" s="19">
        <v>-800</v>
      </c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6"/>
      <c r="CH215" s="36"/>
      <c r="CI215" s="36"/>
      <c r="CJ215" s="36"/>
      <c r="CK215" s="36"/>
      <c r="CL215" s="36"/>
      <c r="CM215" s="36"/>
      <c r="CN215" s="36"/>
      <c r="CO215" s="36"/>
      <c r="CP215" s="36"/>
      <c r="CQ215" s="36"/>
      <c r="CR215" s="36"/>
      <c r="CS215" s="36"/>
      <c r="CT215" s="36"/>
      <c r="CU215" s="36"/>
      <c r="CV215" s="36"/>
      <c r="CW215" s="36"/>
      <c r="CX215" s="36"/>
      <c r="CY215" s="36"/>
      <c r="CZ215" s="36"/>
      <c r="DA215" s="36"/>
      <c r="DB215" s="36"/>
      <c r="DC215" s="36"/>
      <c r="DD215" s="36"/>
      <c r="DE215" s="36"/>
      <c r="DF215" s="36"/>
      <c r="DG215" s="36"/>
      <c r="DH215" s="36"/>
      <c r="DI215" s="36"/>
      <c r="DJ215" s="36"/>
      <c r="DK215" s="36"/>
      <c r="DL215" s="36"/>
      <c r="DM215" s="36"/>
      <c r="DN215" s="36"/>
      <c r="DO215" s="36"/>
      <c r="DP215" s="36"/>
      <c r="DQ215" s="36"/>
      <c r="DR215" s="36"/>
      <c r="DS215" s="36"/>
      <c r="DT215" s="36"/>
      <c r="DU215" s="36"/>
      <c r="DV215" s="36"/>
      <c r="DW215" s="36"/>
      <c r="DX215" s="36"/>
      <c r="DY215" s="36"/>
    </row>
    <row r="216" spans="1:129" s="35" customFormat="1" x14ac:dyDescent="0.25">
      <c r="A216" s="35">
        <v>45952</v>
      </c>
      <c r="B216" s="35" t="s">
        <v>1072</v>
      </c>
      <c r="C216" s="15" t="s">
        <v>1466</v>
      </c>
      <c r="D216" s="1" t="s">
        <v>701</v>
      </c>
      <c r="E216" s="13">
        <v>45966</v>
      </c>
      <c r="F216" s="53">
        <f t="shared" si="9"/>
        <v>14</v>
      </c>
      <c r="G216" s="19">
        <v>-1600</v>
      </c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6"/>
      <c r="BQ216" s="36"/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6"/>
      <c r="CD216" s="36"/>
      <c r="CE216" s="36"/>
      <c r="CF216" s="36"/>
      <c r="CG216" s="36"/>
      <c r="CH216" s="36"/>
      <c r="CI216" s="36"/>
      <c r="CJ216" s="36"/>
      <c r="CK216" s="36"/>
      <c r="CL216" s="36"/>
      <c r="CM216" s="36"/>
      <c r="CN216" s="36"/>
      <c r="CO216" s="36"/>
      <c r="CP216" s="36"/>
      <c r="CQ216" s="36"/>
      <c r="CR216" s="36"/>
      <c r="CS216" s="36"/>
      <c r="CT216" s="36"/>
      <c r="CU216" s="36"/>
      <c r="CV216" s="36"/>
      <c r="CW216" s="36"/>
      <c r="CX216" s="36"/>
      <c r="CY216" s="36"/>
      <c r="CZ216" s="36"/>
      <c r="DA216" s="36"/>
      <c r="DB216" s="36"/>
      <c r="DC216" s="36"/>
      <c r="DD216" s="36"/>
      <c r="DE216" s="36"/>
      <c r="DF216" s="36"/>
      <c r="DG216" s="36"/>
      <c r="DH216" s="36"/>
      <c r="DI216" s="36"/>
      <c r="DJ216" s="36"/>
      <c r="DK216" s="36"/>
      <c r="DL216" s="36"/>
      <c r="DM216" s="36"/>
      <c r="DN216" s="36"/>
      <c r="DO216" s="36"/>
      <c r="DP216" s="36"/>
      <c r="DQ216" s="36"/>
      <c r="DR216" s="36"/>
      <c r="DS216" s="36"/>
      <c r="DT216" s="36"/>
      <c r="DU216" s="36"/>
      <c r="DV216" s="36"/>
      <c r="DW216" s="36"/>
      <c r="DX216" s="36"/>
      <c r="DY216" s="36"/>
    </row>
    <row r="217" spans="1:129" s="35" customFormat="1" x14ac:dyDescent="0.25">
      <c r="A217" s="35">
        <v>45952</v>
      </c>
      <c r="B217" s="35" t="s">
        <v>1072</v>
      </c>
      <c r="C217" s="15" t="s">
        <v>1467</v>
      </c>
      <c r="D217" s="1" t="s">
        <v>701</v>
      </c>
      <c r="E217" s="13">
        <v>45980</v>
      </c>
      <c r="F217" s="53">
        <f t="shared" si="9"/>
        <v>28</v>
      </c>
      <c r="G217" s="19">
        <v>-2326</v>
      </c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  <c r="BR217" s="36"/>
      <c r="BS217" s="36"/>
      <c r="BT217" s="36"/>
      <c r="BU217" s="36"/>
      <c r="BV217" s="36"/>
      <c r="BW217" s="36"/>
      <c r="BX217" s="36"/>
      <c r="BY217" s="36"/>
      <c r="BZ217" s="36"/>
      <c r="CA217" s="36"/>
      <c r="CB217" s="36"/>
      <c r="CC217" s="36"/>
      <c r="CD217" s="36"/>
      <c r="CE217" s="36"/>
      <c r="CF217" s="36"/>
      <c r="CG217" s="36"/>
      <c r="CH217" s="36"/>
      <c r="CI217" s="36"/>
      <c r="CJ217" s="36"/>
      <c r="CK217" s="36"/>
      <c r="CL217" s="36"/>
      <c r="CM217" s="36"/>
      <c r="CN217" s="36"/>
      <c r="CO217" s="36"/>
      <c r="CP217" s="36"/>
      <c r="CQ217" s="36"/>
      <c r="CR217" s="36"/>
      <c r="CS217" s="36"/>
      <c r="CT217" s="36"/>
      <c r="CU217" s="36"/>
      <c r="CV217" s="36"/>
      <c r="CW217" s="36"/>
      <c r="CX217" s="36"/>
      <c r="CY217" s="36"/>
      <c r="CZ217" s="36"/>
      <c r="DA217" s="36"/>
      <c r="DB217" s="36"/>
      <c r="DC217" s="36"/>
      <c r="DD217" s="36"/>
      <c r="DE217" s="36"/>
      <c r="DF217" s="36"/>
      <c r="DG217" s="36"/>
      <c r="DH217" s="36"/>
      <c r="DI217" s="36"/>
      <c r="DJ217" s="36"/>
      <c r="DK217" s="36"/>
      <c r="DL217" s="36"/>
      <c r="DM217" s="36"/>
      <c r="DN217" s="36"/>
      <c r="DO217" s="36"/>
      <c r="DP217" s="36"/>
      <c r="DQ217" s="36"/>
      <c r="DR217" s="36"/>
      <c r="DS217" s="36"/>
      <c r="DT217" s="36"/>
      <c r="DU217" s="36"/>
      <c r="DV217" s="36"/>
      <c r="DW217" s="36"/>
      <c r="DX217" s="36"/>
      <c r="DY217" s="36"/>
    </row>
    <row r="218" spans="1:129" s="35" customFormat="1" x14ac:dyDescent="0.25">
      <c r="A218" s="35">
        <v>45952</v>
      </c>
      <c r="B218" s="35" t="s">
        <v>1072</v>
      </c>
      <c r="C218" s="15" t="s">
        <v>1449</v>
      </c>
      <c r="D218" s="1" t="s">
        <v>701</v>
      </c>
      <c r="E218" s="13">
        <v>46297</v>
      </c>
      <c r="F218" s="53">
        <f t="shared" si="9"/>
        <v>345</v>
      </c>
      <c r="G218" s="19">
        <v>-99.586029999999994</v>
      </c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6"/>
      <c r="CH218" s="36"/>
      <c r="CI218" s="36"/>
      <c r="CJ218" s="36"/>
      <c r="CK218" s="36"/>
      <c r="CL218" s="36"/>
      <c r="CM218" s="36"/>
      <c r="CN218" s="36"/>
      <c r="CO218" s="36"/>
      <c r="CP218" s="36"/>
      <c r="CQ218" s="36"/>
      <c r="CR218" s="36"/>
      <c r="CS218" s="36"/>
      <c r="CT218" s="36"/>
      <c r="CU218" s="36"/>
      <c r="CV218" s="36"/>
      <c r="CW218" s="36"/>
      <c r="CX218" s="36"/>
      <c r="CY218" s="36"/>
      <c r="CZ218" s="36"/>
      <c r="DA218" s="36"/>
      <c r="DB218" s="36"/>
      <c r="DC218" s="36"/>
      <c r="DD218" s="36"/>
      <c r="DE218" s="36"/>
      <c r="DF218" s="36"/>
      <c r="DG218" s="36"/>
      <c r="DH218" s="36"/>
      <c r="DI218" s="36"/>
      <c r="DJ218" s="36"/>
      <c r="DK218" s="36"/>
      <c r="DL218" s="36"/>
      <c r="DM218" s="36"/>
      <c r="DN218" s="36"/>
      <c r="DO218" s="36"/>
      <c r="DP218" s="36"/>
      <c r="DQ218" s="36"/>
      <c r="DR218" s="36"/>
      <c r="DS218" s="36"/>
      <c r="DT218" s="36"/>
      <c r="DU218" s="36"/>
      <c r="DV218" s="36"/>
      <c r="DW218" s="36"/>
      <c r="DX218" s="36"/>
      <c r="DY218" s="36"/>
    </row>
    <row r="219" spans="1:129" s="35" customFormat="1" x14ac:dyDescent="0.25">
      <c r="A219" s="35">
        <v>45952</v>
      </c>
      <c r="B219" s="35" t="s">
        <v>1072</v>
      </c>
      <c r="C219" s="15" t="s">
        <v>1468</v>
      </c>
      <c r="D219" s="1" t="s">
        <v>701</v>
      </c>
      <c r="E219" s="13">
        <v>45978</v>
      </c>
      <c r="F219" s="53">
        <f t="shared" si="9"/>
        <v>26</v>
      </c>
      <c r="G219" s="19">
        <v>-600</v>
      </c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  <c r="BR219" s="36"/>
      <c r="BS219" s="36"/>
      <c r="BT219" s="36"/>
      <c r="BU219" s="36"/>
      <c r="BV219" s="36"/>
      <c r="BW219" s="36"/>
      <c r="BX219" s="36"/>
      <c r="BY219" s="36"/>
      <c r="BZ219" s="36"/>
      <c r="CA219" s="36"/>
      <c r="CB219" s="36"/>
      <c r="CC219" s="36"/>
      <c r="CD219" s="36"/>
      <c r="CE219" s="36"/>
      <c r="CF219" s="36"/>
      <c r="CG219" s="36"/>
      <c r="CH219" s="36"/>
      <c r="CI219" s="36"/>
      <c r="CJ219" s="36"/>
      <c r="CK219" s="36"/>
      <c r="CL219" s="36"/>
      <c r="CM219" s="36"/>
      <c r="CN219" s="36"/>
      <c r="CO219" s="36"/>
      <c r="CP219" s="36"/>
      <c r="CQ219" s="36"/>
      <c r="CR219" s="36"/>
      <c r="CS219" s="36"/>
      <c r="CT219" s="36"/>
      <c r="CU219" s="36"/>
      <c r="CV219" s="36"/>
      <c r="CW219" s="36"/>
      <c r="CX219" s="36"/>
      <c r="CY219" s="36"/>
      <c r="CZ219" s="36"/>
      <c r="DA219" s="36"/>
      <c r="DB219" s="36"/>
      <c r="DC219" s="36"/>
      <c r="DD219" s="36"/>
      <c r="DE219" s="36"/>
      <c r="DF219" s="36"/>
      <c r="DG219" s="36"/>
      <c r="DH219" s="36"/>
      <c r="DI219" s="36"/>
      <c r="DJ219" s="36"/>
      <c r="DK219" s="36"/>
      <c r="DL219" s="36"/>
      <c r="DM219" s="36"/>
      <c r="DN219" s="36"/>
      <c r="DO219" s="36"/>
      <c r="DP219" s="36"/>
      <c r="DQ219" s="36"/>
      <c r="DR219" s="36"/>
      <c r="DS219" s="36"/>
      <c r="DT219" s="36"/>
      <c r="DU219" s="36"/>
      <c r="DV219" s="36"/>
      <c r="DW219" s="36"/>
      <c r="DX219" s="36"/>
      <c r="DY219" s="36"/>
    </row>
    <row r="220" spans="1:129" s="35" customFormat="1" x14ac:dyDescent="0.25">
      <c r="A220" s="35">
        <v>45957</v>
      </c>
      <c r="B220" s="35" t="s">
        <v>700</v>
      </c>
      <c r="C220" s="15" t="s">
        <v>1447</v>
      </c>
      <c r="D220" s="1" t="s">
        <v>701</v>
      </c>
      <c r="E220" s="13">
        <v>45968</v>
      </c>
      <c r="F220" s="53">
        <f t="shared" si="9"/>
        <v>11</v>
      </c>
      <c r="G220" s="19">
        <v>-300</v>
      </c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  <c r="CG220" s="36"/>
      <c r="CH220" s="36"/>
      <c r="CI220" s="36"/>
      <c r="CJ220" s="36"/>
      <c r="CK220" s="36"/>
      <c r="CL220" s="36"/>
      <c r="CM220" s="36"/>
      <c r="CN220" s="36"/>
      <c r="CO220" s="36"/>
      <c r="CP220" s="36"/>
      <c r="CQ220" s="36"/>
      <c r="CR220" s="36"/>
      <c r="CS220" s="36"/>
      <c r="CT220" s="36"/>
      <c r="CU220" s="36"/>
      <c r="CV220" s="36"/>
      <c r="CW220" s="36"/>
      <c r="CX220" s="36"/>
      <c r="CY220" s="36"/>
      <c r="CZ220" s="36"/>
      <c r="DA220" s="36"/>
      <c r="DB220" s="36"/>
      <c r="DC220" s="36"/>
      <c r="DD220" s="36"/>
      <c r="DE220" s="36"/>
      <c r="DF220" s="36"/>
      <c r="DG220" s="36"/>
      <c r="DH220" s="36"/>
      <c r="DI220" s="36"/>
      <c r="DJ220" s="36"/>
      <c r="DK220" s="36"/>
      <c r="DL220" s="36"/>
      <c r="DM220" s="36"/>
      <c r="DN220" s="36"/>
      <c r="DO220" s="36"/>
      <c r="DP220" s="36"/>
      <c r="DQ220" s="36"/>
      <c r="DR220" s="36"/>
      <c r="DS220" s="36"/>
      <c r="DT220" s="36"/>
      <c r="DU220" s="36"/>
      <c r="DV220" s="36"/>
      <c r="DW220" s="36"/>
      <c r="DX220" s="36"/>
      <c r="DY220" s="36"/>
    </row>
    <row r="221" spans="1:129" s="35" customFormat="1" x14ac:dyDescent="0.25">
      <c r="A221" s="35">
        <v>45957</v>
      </c>
      <c r="B221" s="35" t="s">
        <v>700</v>
      </c>
      <c r="C221" s="15" t="s">
        <v>1407</v>
      </c>
      <c r="D221" s="1" t="s">
        <v>701</v>
      </c>
      <c r="E221" s="13">
        <v>45975</v>
      </c>
      <c r="F221" s="53">
        <f t="shared" si="9"/>
        <v>18</v>
      </c>
      <c r="G221" s="19">
        <v>-163.517392</v>
      </c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  <c r="CE221" s="36"/>
      <c r="CF221" s="36"/>
      <c r="CG221" s="36"/>
      <c r="CH221" s="36"/>
      <c r="CI221" s="36"/>
      <c r="CJ221" s="36"/>
      <c r="CK221" s="36"/>
      <c r="CL221" s="36"/>
      <c r="CM221" s="36"/>
      <c r="CN221" s="36"/>
      <c r="CO221" s="36"/>
      <c r="CP221" s="36"/>
      <c r="CQ221" s="36"/>
      <c r="CR221" s="36"/>
      <c r="CS221" s="36"/>
      <c r="CT221" s="36"/>
      <c r="CU221" s="36"/>
      <c r="CV221" s="36"/>
      <c r="CW221" s="36"/>
      <c r="CX221" s="36"/>
      <c r="CY221" s="36"/>
      <c r="CZ221" s="36"/>
      <c r="DA221" s="36"/>
      <c r="DB221" s="36"/>
      <c r="DC221" s="36"/>
      <c r="DD221" s="36"/>
      <c r="DE221" s="36"/>
      <c r="DF221" s="36"/>
      <c r="DG221" s="36"/>
      <c r="DH221" s="36"/>
      <c r="DI221" s="36"/>
      <c r="DJ221" s="36"/>
      <c r="DK221" s="36"/>
      <c r="DL221" s="36"/>
      <c r="DM221" s="36"/>
      <c r="DN221" s="36"/>
      <c r="DO221" s="36"/>
      <c r="DP221" s="36"/>
      <c r="DQ221" s="36"/>
      <c r="DR221" s="36"/>
      <c r="DS221" s="36"/>
      <c r="DT221" s="36"/>
      <c r="DU221" s="36"/>
      <c r="DV221" s="36"/>
      <c r="DW221" s="36"/>
      <c r="DX221" s="36"/>
      <c r="DY221" s="36"/>
    </row>
    <row r="222" spans="1:129" s="35" customFormat="1" x14ac:dyDescent="0.25">
      <c r="A222" s="35">
        <v>45957</v>
      </c>
      <c r="B222" s="35" t="s">
        <v>700</v>
      </c>
      <c r="C222" s="15" t="s">
        <v>1467</v>
      </c>
      <c r="D222" s="1" t="s">
        <v>701</v>
      </c>
      <c r="E222" s="13">
        <v>45980</v>
      </c>
      <c r="F222" s="53">
        <f t="shared" si="9"/>
        <v>23</v>
      </c>
      <c r="G222" s="19">
        <v>-578.25</v>
      </c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36"/>
      <c r="CY222" s="36"/>
      <c r="CZ222" s="36"/>
      <c r="DA222" s="36"/>
      <c r="DB222" s="36"/>
      <c r="DC222" s="36"/>
      <c r="DD222" s="36"/>
      <c r="DE222" s="36"/>
      <c r="DF222" s="36"/>
      <c r="DG222" s="36"/>
      <c r="DH222" s="36"/>
      <c r="DI222" s="36"/>
      <c r="DJ222" s="36"/>
      <c r="DK222" s="36"/>
      <c r="DL222" s="36"/>
      <c r="DM222" s="36"/>
      <c r="DN222" s="36"/>
      <c r="DO222" s="36"/>
      <c r="DP222" s="36"/>
      <c r="DQ222" s="36"/>
      <c r="DR222" s="36"/>
      <c r="DS222" s="36"/>
      <c r="DT222" s="36"/>
      <c r="DU222" s="36"/>
      <c r="DV222" s="36"/>
      <c r="DW222" s="36"/>
      <c r="DX222" s="36"/>
      <c r="DY222" s="36"/>
    </row>
    <row r="223" spans="1:129" s="35" customFormat="1" x14ac:dyDescent="0.25">
      <c r="A223" s="35">
        <v>45957</v>
      </c>
      <c r="B223" s="35" t="s">
        <v>700</v>
      </c>
      <c r="C223" s="15" t="s">
        <v>1471</v>
      </c>
      <c r="D223" s="1" t="s">
        <v>701</v>
      </c>
      <c r="E223" s="13">
        <v>45994</v>
      </c>
      <c r="F223" s="53">
        <f t="shared" si="9"/>
        <v>37</v>
      </c>
      <c r="G223" s="19">
        <v>-1832.219497</v>
      </c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  <c r="BR223" s="36"/>
      <c r="BS223" s="36"/>
      <c r="BT223" s="36"/>
      <c r="BU223" s="36"/>
      <c r="BV223" s="36"/>
      <c r="BW223" s="36"/>
      <c r="BX223" s="36"/>
      <c r="BY223" s="36"/>
      <c r="BZ223" s="36"/>
      <c r="CA223" s="36"/>
      <c r="CB223" s="36"/>
      <c r="CC223" s="36"/>
      <c r="CD223" s="36"/>
      <c r="CE223" s="36"/>
      <c r="CF223" s="36"/>
      <c r="CG223" s="36"/>
      <c r="CH223" s="36"/>
      <c r="CI223" s="36"/>
      <c r="CJ223" s="36"/>
      <c r="CK223" s="36"/>
      <c r="CL223" s="36"/>
      <c r="CM223" s="36"/>
      <c r="CN223" s="36"/>
      <c r="CO223" s="36"/>
      <c r="CP223" s="36"/>
      <c r="CQ223" s="36"/>
      <c r="CR223" s="36"/>
      <c r="CS223" s="36"/>
      <c r="CT223" s="36"/>
      <c r="CU223" s="36"/>
      <c r="CV223" s="36"/>
      <c r="CW223" s="36"/>
      <c r="CX223" s="36"/>
      <c r="CY223" s="36"/>
      <c r="CZ223" s="36"/>
      <c r="DA223" s="36"/>
      <c r="DB223" s="36"/>
      <c r="DC223" s="36"/>
      <c r="DD223" s="36"/>
      <c r="DE223" s="36"/>
      <c r="DF223" s="36"/>
      <c r="DG223" s="36"/>
      <c r="DH223" s="36"/>
      <c r="DI223" s="36"/>
      <c r="DJ223" s="36"/>
      <c r="DK223" s="36"/>
      <c r="DL223" s="36"/>
      <c r="DM223" s="36"/>
      <c r="DN223" s="36"/>
      <c r="DO223" s="36"/>
      <c r="DP223" s="36"/>
      <c r="DQ223" s="36"/>
      <c r="DR223" s="36"/>
      <c r="DS223" s="36"/>
      <c r="DT223" s="36"/>
      <c r="DU223" s="36"/>
      <c r="DV223" s="36"/>
      <c r="DW223" s="36"/>
      <c r="DX223" s="36"/>
      <c r="DY223" s="36"/>
    </row>
    <row r="224" spans="1:129" s="35" customFormat="1" x14ac:dyDescent="0.25">
      <c r="A224" s="35">
        <v>45957</v>
      </c>
      <c r="B224" s="35" t="s">
        <v>700</v>
      </c>
      <c r="C224" s="15" t="s">
        <v>1459</v>
      </c>
      <c r="D224" s="1" t="s">
        <v>701</v>
      </c>
      <c r="E224" s="13">
        <v>45996</v>
      </c>
      <c r="F224" s="53">
        <f t="shared" si="9"/>
        <v>39</v>
      </c>
      <c r="G224" s="19">
        <v>-661.90799300000003</v>
      </c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6"/>
      <c r="BQ224" s="36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6"/>
      <c r="CD224" s="36"/>
      <c r="CE224" s="36"/>
      <c r="CF224" s="36"/>
      <c r="CG224" s="36"/>
      <c r="CH224" s="36"/>
      <c r="CI224" s="36"/>
      <c r="CJ224" s="36"/>
      <c r="CK224" s="36"/>
      <c r="CL224" s="36"/>
      <c r="CM224" s="36"/>
      <c r="CN224" s="36"/>
      <c r="CO224" s="36"/>
      <c r="CP224" s="36"/>
      <c r="CQ224" s="36"/>
      <c r="CR224" s="36"/>
      <c r="CS224" s="36"/>
      <c r="CT224" s="36"/>
      <c r="CU224" s="36"/>
      <c r="CV224" s="36"/>
      <c r="CW224" s="36"/>
      <c r="CX224" s="36"/>
      <c r="CY224" s="36"/>
      <c r="CZ224" s="36"/>
      <c r="DA224" s="36"/>
      <c r="DB224" s="36"/>
      <c r="DC224" s="36"/>
      <c r="DD224" s="36"/>
      <c r="DE224" s="36"/>
      <c r="DF224" s="36"/>
      <c r="DG224" s="36"/>
      <c r="DH224" s="36"/>
      <c r="DI224" s="36"/>
      <c r="DJ224" s="36"/>
      <c r="DK224" s="36"/>
      <c r="DL224" s="36"/>
      <c r="DM224" s="36"/>
      <c r="DN224" s="36"/>
      <c r="DO224" s="36"/>
      <c r="DP224" s="36"/>
      <c r="DQ224" s="36"/>
      <c r="DR224" s="36"/>
      <c r="DS224" s="36"/>
      <c r="DT224" s="36"/>
      <c r="DU224" s="36"/>
      <c r="DV224" s="36"/>
      <c r="DW224" s="36"/>
      <c r="DX224" s="36"/>
      <c r="DY224" s="36"/>
    </row>
    <row r="225" spans="1:129" s="35" customFormat="1" x14ac:dyDescent="0.25">
      <c r="A225" s="35">
        <v>45957</v>
      </c>
      <c r="B225" s="35" t="s">
        <v>700</v>
      </c>
      <c r="C225" s="15" t="s">
        <v>1472</v>
      </c>
      <c r="D225" s="1" t="s">
        <v>701</v>
      </c>
      <c r="E225" s="13">
        <v>46008</v>
      </c>
      <c r="F225" s="53">
        <f t="shared" si="9"/>
        <v>51</v>
      </c>
      <c r="G225" s="19">
        <v>-529</v>
      </c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6"/>
      <c r="BR225" s="36"/>
      <c r="BS225" s="36"/>
      <c r="BT225" s="36"/>
      <c r="BU225" s="36"/>
      <c r="BV225" s="36"/>
      <c r="BW225" s="36"/>
      <c r="BX225" s="36"/>
      <c r="BY225" s="36"/>
      <c r="BZ225" s="36"/>
      <c r="CA225" s="36"/>
      <c r="CB225" s="36"/>
      <c r="CC225" s="36"/>
      <c r="CD225" s="36"/>
      <c r="CE225" s="36"/>
      <c r="CF225" s="36"/>
      <c r="CG225" s="36"/>
      <c r="CH225" s="36"/>
      <c r="CI225" s="36"/>
      <c r="CJ225" s="36"/>
      <c r="CK225" s="36"/>
      <c r="CL225" s="36"/>
      <c r="CM225" s="36"/>
      <c r="CN225" s="36"/>
      <c r="CO225" s="36"/>
      <c r="CP225" s="36"/>
      <c r="CQ225" s="36"/>
      <c r="CR225" s="36"/>
      <c r="CS225" s="36"/>
      <c r="CT225" s="36"/>
      <c r="CU225" s="36"/>
      <c r="CV225" s="36"/>
      <c r="CW225" s="36"/>
      <c r="CX225" s="36"/>
      <c r="CY225" s="36"/>
      <c r="CZ225" s="36"/>
      <c r="DA225" s="36"/>
      <c r="DB225" s="36"/>
      <c r="DC225" s="36"/>
      <c r="DD225" s="36"/>
      <c r="DE225" s="36"/>
      <c r="DF225" s="36"/>
      <c r="DG225" s="36"/>
      <c r="DH225" s="36"/>
      <c r="DI225" s="36"/>
      <c r="DJ225" s="36"/>
      <c r="DK225" s="36"/>
      <c r="DL225" s="36"/>
      <c r="DM225" s="36"/>
      <c r="DN225" s="36"/>
      <c r="DO225" s="36"/>
      <c r="DP225" s="36"/>
      <c r="DQ225" s="36"/>
      <c r="DR225" s="36"/>
      <c r="DS225" s="36"/>
      <c r="DT225" s="36"/>
      <c r="DU225" s="36"/>
      <c r="DV225" s="36"/>
      <c r="DW225" s="36"/>
      <c r="DX225" s="36"/>
      <c r="DY225" s="36"/>
    </row>
    <row r="226" spans="1:129" s="35" customFormat="1" x14ac:dyDescent="0.25">
      <c r="A226" s="35">
        <v>45957</v>
      </c>
      <c r="B226" s="35" t="s">
        <v>700</v>
      </c>
      <c r="C226" s="15" t="s">
        <v>1473</v>
      </c>
      <c r="D226" s="1" t="s">
        <v>701</v>
      </c>
      <c r="E226" s="13">
        <v>46010</v>
      </c>
      <c r="F226" s="53">
        <f t="shared" si="9"/>
        <v>53</v>
      </c>
      <c r="G226" s="19">
        <v>-191.762</v>
      </c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  <c r="BR226" s="36"/>
      <c r="BS226" s="36"/>
      <c r="BT226" s="36"/>
      <c r="BU226" s="36"/>
      <c r="BV226" s="36"/>
      <c r="BW226" s="36"/>
      <c r="BX226" s="36"/>
      <c r="BY226" s="36"/>
      <c r="BZ226" s="36"/>
      <c r="CA226" s="36"/>
      <c r="CB226" s="36"/>
      <c r="CC226" s="36"/>
      <c r="CD226" s="36"/>
      <c r="CE226" s="36"/>
      <c r="CF226" s="36"/>
      <c r="CG226" s="36"/>
      <c r="CH226" s="36"/>
      <c r="CI226" s="36"/>
      <c r="CJ226" s="36"/>
      <c r="CK226" s="36"/>
      <c r="CL226" s="36"/>
      <c r="CM226" s="36"/>
      <c r="CN226" s="36"/>
      <c r="CO226" s="36"/>
      <c r="CP226" s="36"/>
      <c r="CQ226" s="36"/>
      <c r="CR226" s="36"/>
      <c r="CS226" s="36"/>
      <c r="CT226" s="36"/>
      <c r="CU226" s="36"/>
      <c r="CV226" s="36"/>
      <c r="CW226" s="36"/>
      <c r="CX226" s="36"/>
      <c r="CY226" s="36"/>
      <c r="CZ226" s="36"/>
      <c r="DA226" s="36"/>
      <c r="DB226" s="36"/>
      <c r="DC226" s="36"/>
      <c r="DD226" s="36"/>
      <c r="DE226" s="36"/>
      <c r="DF226" s="36"/>
      <c r="DG226" s="36"/>
      <c r="DH226" s="36"/>
      <c r="DI226" s="36"/>
      <c r="DJ226" s="36"/>
      <c r="DK226" s="36"/>
      <c r="DL226" s="36"/>
      <c r="DM226" s="36"/>
      <c r="DN226" s="36"/>
      <c r="DO226" s="36"/>
      <c r="DP226" s="36"/>
      <c r="DQ226" s="36"/>
      <c r="DR226" s="36"/>
      <c r="DS226" s="36"/>
      <c r="DT226" s="36"/>
      <c r="DU226" s="36"/>
      <c r="DV226" s="36"/>
      <c r="DW226" s="36"/>
      <c r="DX226" s="36"/>
      <c r="DY226" s="36"/>
    </row>
    <row r="227" spans="1:129" s="35" customFormat="1" x14ac:dyDescent="0.25">
      <c r="A227" s="35">
        <v>45957</v>
      </c>
      <c r="B227" s="35" t="s">
        <v>700</v>
      </c>
      <c r="C227" s="15" t="s">
        <v>1474</v>
      </c>
      <c r="D227" s="1" t="s">
        <v>701</v>
      </c>
      <c r="E227" s="13">
        <v>46021</v>
      </c>
      <c r="F227" s="53">
        <f t="shared" si="9"/>
        <v>64</v>
      </c>
      <c r="G227" s="19">
        <v>-372.47467699999999</v>
      </c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6"/>
      <c r="CH227" s="36"/>
      <c r="CI227" s="36"/>
      <c r="CJ227" s="36"/>
      <c r="CK227" s="36"/>
      <c r="CL227" s="36"/>
      <c r="CM227" s="36"/>
      <c r="CN227" s="36"/>
      <c r="CO227" s="36"/>
      <c r="CP227" s="36"/>
      <c r="CQ227" s="36"/>
      <c r="CR227" s="36"/>
      <c r="CS227" s="36"/>
      <c r="CT227" s="36"/>
      <c r="CU227" s="36"/>
      <c r="CV227" s="36"/>
      <c r="CW227" s="36"/>
      <c r="CX227" s="36"/>
      <c r="CY227" s="36"/>
      <c r="CZ227" s="36"/>
      <c r="DA227" s="36"/>
      <c r="DB227" s="36"/>
      <c r="DC227" s="36"/>
      <c r="DD227" s="36"/>
      <c r="DE227" s="36"/>
      <c r="DF227" s="36"/>
      <c r="DG227" s="36"/>
      <c r="DH227" s="36"/>
      <c r="DI227" s="36"/>
      <c r="DJ227" s="36"/>
      <c r="DK227" s="36"/>
      <c r="DL227" s="36"/>
      <c r="DM227" s="36"/>
      <c r="DN227" s="36"/>
      <c r="DO227" s="36"/>
      <c r="DP227" s="36"/>
      <c r="DQ227" s="36"/>
      <c r="DR227" s="36"/>
      <c r="DS227" s="36"/>
      <c r="DT227" s="36"/>
      <c r="DU227" s="36"/>
      <c r="DV227" s="36"/>
      <c r="DW227" s="36"/>
      <c r="DX227" s="36"/>
      <c r="DY227" s="36"/>
    </row>
    <row r="228" spans="1:129" s="35" customFormat="1" x14ac:dyDescent="0.25">
      <c r="A228" s="35">
        <v>45957</v>
      </c>
      <c r="B228" s="35" t="s">
        <v>700</v>
      </c>
      <c r="C228" s="15" t="s">
        <v>1475</v>
      </c>
      <c r="D228" s="1" t="s">
        <v>701</v>
      </c>
      <c r="E228" s="13">
        <v>46029</v>
      </c>
      <c r="F228" s="53">
        <f t="shared" si="9"/>
        <v>72</v>
      </c>
      <c r="G228" s="19">
        <v>-228.32</v>
      </c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6"/>
      <c r="BQ228" s="36"/>
      <c r="BR228" s="36"/>
      <c r="BS228" s="36"/>
      <c r="BT228" s="36"/>
      <c r="BU228" s="36"/>
      <c r="BV228" s="36"/>
      <c r="BW228" s="36"/>
      <c r="BX228" s="36"/>
      <c r="BY228" s="36"/>
      <c r="BZ228" s="36"/>
      <c r="CA228" s="36"/>
      <c r="CB228" s="36"/>
      <c r="CC228" s="36"/>
      <c r="CD228" s="36"/>
      <c r="CE228" s="36"/>
      <c r="CF228" s="36"/>
      <c r="CG228" s="36"/>
      <c r="CH228" s="36"/>
      <c r="CI228" s="36"/>
      <c r="CJ228" s="36"/>
      <c r="CK228" s="36"/>
      <c r="CL228" s="36"/>
      <c r="CM228" s="36"/>
      <c r="CN228" s="36"/>
      <c r="CO228" s="36"/>
      <c r="CP228" s="36"/>
      <c r="CQ228" s="36"/>
      <c r="CR228" s="36"/>
      <c r="CS228" s="36"/>
      <c r="CT228" s="36"/>
      <c r="CU228" s="36"/>
      <c r="CV228" s="36"/>
      <c r="CW228" s="36"/>
      <c r="CX228" s="36"/>
      <c r="CY228" s="36"/>
      <c r="CZ228" s="36"/>
      <c r="DA228" s="36"/>
      <c r="DB228" s="36"/>
      <c r="DC228" s="36"/>
      <c r="DD228" s="36"/>
      <c r="DE228" s="36"/>
      <c r="DF228" s="36"/>
      <c r="DG228" s="36"/>
      <c r="DH228" s="36"/>
      <c r="DI228" s="36"/>
      <c r="DJ228" s="36"/>
      <c r="DK228" s="36"/>
      <c r="DL228" s="36"/>
      <c r="DM228" s="36"/>
      <c r="DN228" s="36"/>
      <c r="DO228" s="36"/>
      <c r="DP228" s="36"/>
      <c r="DQ228" s="36"/>
      <c r="DR228" s="36"/>
      <c r="DS228" s="36"/>
      <c r="DT228" s="36"/>
      <c r="DU228" s="36"/>
      <c r="DV228" s="36"/>
      <c r="DW228" s="36"/>
      <c r="DX228" s="36"/>
      <c r="DY228" s="36"/>
    </row>
    <row r="229" spans="1:129" s="35" customFormat="1" x14ac:dyDescent="0.25">
      <c r="A229" s="35">
        <v>45957</v>
      </c>
      <c r="B229" s="35" t="s">
        <v>700</v>
      </c>
      <c r="C229" s="15" t="s">
        <v>1323</v>
      </c>
      <c r="D229" s="1" t="s">
        <v>701</v>
      </c>
      <c r="E229" s="13">
        <v>46031</v>
      </c>
      <c r="F229" s="53">
        <f t="shared" si="9"/>
        <v>74</v>
      </c>
      <c r="G229" s="19">
        <v>-673.05107099999998</v>
      </c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  <c r="CG229" s="36"/>
      <c r="CH229" s="36"/>
      <c r="CI229" s="36"/>
      <c r="CJ229" s="36"/>
      <c r="CK229" s="36"/>
      <c r="CL229" s="36"/>
      <c r="CM229" s="36"/>
      <c r="CN229" s="36"/>
      <c r="CO229" s="36"/>
      <c r="CP229" s="36"/>
      <c r="CQ229" s="36"/>
      <c r="CR229" s="36"/>
      <c r="CS229" s="36"/>
      <c r="CT229" s="36"/>
      <c r="CU229" s="36"/>
      <c r="CV229" s="36"/>
      <c r="CW229" s="36"/>
      <c r="CX229" s="36"/>
      <c r="CY229" s="36"/>
      <c r="CZ229" s="36"/>
      <c r="DA229" s="36"/>
      <c r="DB229" s="36"/>
      <c r="DC229" s="36"/>
      <c r="DD229" s="36"/>
      <c r="DE229" s="36"/>
      <c r="DF229" s="36"/>
      <c r="DG229" s="36"/>
      <c r="DH229" s="36"/>
      <c r="DI229" s="36"/>
      <c r="DJ229" s="36"/>
      <c r="DK229" s="36"/>
      <c r="DL229" s="36"/>
      <c r="DM229" s="36"/>
      <c r="DN229" s="36"/>
      <c r="DO229" s="36"/>
      <c r="DP229" s="36"/>
      <c r="DQ229" s="36"/>
      <c r="DR229" s="36"/>
      <c r="DS229" s="36"/>
      <c r="DT229" s="36"/>
      <c r="DU229" s="36"/>
      <c r="DV229" s="36"/>
      <c r="DW229" s="36"/>
      <c r="DX229" s="36"/>
      <c r="DY229" s="36"/>
    </row>
    <row r="230" spans="1:129" s="35" customFormat="1" x14ac:dyDescent="0.25">
      <c r="A230" s="35">
        <v>45957</v>
      </c>
      <c r="B230" s="35" t="s">
        <v>700</v>
      </c>
      <c r="C230" s="15" t="s">
        <v>1419</v>
      </c>
      <c r="D230" s="1" t="s">
        <v>701</v>
      </c>
      <c r="E230" s="13">
        <v>46038</v>
      </c>
      <c r="F230" s="53">
        <f t="shared" si="9"/>
        <v>81</v>
      </c>
      <c r="G230" s="19">
        <v>-321.40929999999997</v>
      </c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  <c r="CE230" s="36"/>
      <c r="CF230" s="36"/>
      <c r="CG230" s="36"/>
      <c r="CH230" s="36"/>
      <c r="CI230" s="36"/>
      <c r="CJ230" s="36"/>
      <c r="CK230" s="36"/>
      <c r="CL230" s="36"/>
      <c r="CM230" s="36"/>
      <c r="CN230" s="36"/>
      <c r="CO230" s="36"/>
      <c r="CP230" s="36"/>
      <c r="CQ230" s="36"/>
      <c r="CR230" s="36"/>
      <c r="CS230" s="36"/>
      <c r="CT230" s="36"/>
      <c r="CU230" s="36"/>
      <c r="CV230" s="36"/>
      <c r="CW230" s="36"/>
      <c r="CX230" s="36"/>
      <c r="CY230" s="36"/>
      <c r="CZ230" s="36"/>
      <c r="DA230" s="36"/>
      <c r="DB230" s="36"/>
      <c r="DC230" s="36"/>
      <c r="DD230" s="36"/>
      <c r="DE230" s="36"/>
      <c r="DF230" s="36"/>
      <c r="DG230" s="36"/>
      <c r="DH230" s="36"/>
      <c r="DI230" s="36"/>
      <c r="DJ230" s="36"/>
      <c r="DK230" s="36"/>
      <c r="DL230" s="36"/>
      <c r="DM230" s="36"/>
      <c r="DN230" s="36"/>
      <c r="DO230" s="36"/>
      <c r="DP230" s="36"/>
      <c r="DQ230" s="36"/>
      <c r="DR230" s="36"/>
      <c r="DS230" s="36"/>
      <c r="DT230" s="36"/>
      <c r="DU230" s="36"/>
      <c r="DV230" s="36"/>
      <c r="DW230" s="36"/>
      <c r="DX230" s="36"/>
      <c r="DY230" s="36"/>
    </row>
    <row r="231" spans="1:129" s="35" customFormat="1" x14ac:dyDescent="0.25">
      <c r="A231" s="35">
        <v>45957</v>
      </c>
      <c r="B231" s="35" t="s">
        <v>700</v>
      </c>
      <c r="C231" s="15" t="s">
        <v>1476</v>
      </c>
      <c r="D231" s="1" t="s">
        <v>701</v>
      </c>
      <c r="E231" s="13">
        <v>46059</v>
      </c>
      <c r="F231" s="53">
        <f t="shared" si="9"/>
        <v>102</v>
      </c>
      <c r="G231" s="19">
        <v>-623.12363600000003</v>
      </c>
      <c r="H231" s="36"/>
      <c r="I231" s="36"/>
      <c r="J231" s="75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6"/>
      <c r="BQ231" s="36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6"/>
      <c r="CD231" s="36"/>
      <c r="CE231" s="36"/>
      <c r="CF231" s="36"/>
      <c r="CG231" s="36"/>
      <c r="CH231" s="36"/>
      <c r="CI231" s="36"/>
      <c r="CJ231" s="36"/>
      <c r="CK231" s="36"/>
      <c r="CL231" s="36"/>
      <c r="CM231" s="36"/>
      <c r="CN231" s="36"/>
      <c r="CO231" s="36"/>
      <c r="CP231" s="36"/>
      <c r="CQ231" s="36"/>
      <c r="CR231" s="36"/>
      <c r="CS231" s="36"/>
      <c r="CT231" s="36"/>
      <c r="CU231" s="36"/>
      <c r="CV231" s="36"/>
      <c r="CW231" s="36"/>
      <c r="CX231" s="36"/>
      <c r="CY231" s="36"/>
      <c r="CZ231" s="36"/>
      <c r="DA231" s="36"/>
      <c r="DB231" s="36"/>
      <c r="DC231" s="36"/>
      <c r="DD231" s="36"/>
      <c r="DE231" s="36"/>
      <c r="DF231" s="36"/>
      <c r="DG231" s="36"/>
      <c r="DH231" s="36"/>
      <c r="DI231" s="36"/>
      <c r="DJ231" s="36"/>
      <c r="DK231" s="36"/>
      <c r="DL231" s="36"/>
      <c r="DM231" s="36"/>
      <c r="DN231" s="36"/>
      <c r="DO231" s="36"/>
      <c r="DP231" s="36"/>
      <c r="DQ231" s="36"/>
      <c r="DR231" s="36"/>
      <c r="DS231" s="36"/>
      <c r="DT231" s="36"/>
      <c r="DU231" s="36"/>
      <c r="DV231" s="36"/>
      <c r="DW231" s="36"/>
      <c r="DX231" s="36"/>
      <c r="DY231" s="36"/>
    </row>
    <row r="232" spans="1:129" s="35" customFormat="1" x14ac:dyDescent="0.25">
      <c r="A232" s="35">
        <v>45957</v>
      </c>
      <c r="B232" s="35" t="s">
        <v>700</v>
      </c>
      <c r="C232" s="15" t="s">
        <v>1477</v>
      </c>
      <c r="D232" s="1" t="s">
        <v>701</v>
      </c>
      <c r="E232" s="13">
        <v>46108</v>
      </c>
      <c r="F232" s="53">
        <f t="shared" si="9"/>
        <v>151</v>
      </c>
      <c r="G232" s="19">
        <v>-155</v>
      </c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36"/>
      <c r="CC232" s="36"/>
      <c r="CD232" s="36"/>
      <c r="CE232" s="36"/>
      <c r="CF232" s="36"/>
      <c r="CG232" s="36"/>
      <c r="CH232" s="36"/>
      <c r="CI232" s="36"/>
      <c r="CJ232" s="36"/>
      <c r="CK232" s="36"/>
      <c r="CL232" s="36"/>
      <c r="CM232" s="36"/>
      <c r="CN232" s="36"/>
      <c r="CO232" s="36"/>
      <c r="CP232" s="36"/>
      <c r="CQ232" s="36"/>
      <c r="CR232" s="36"/>
      <c r="CS232" s="36"/>
      <c r="CT232" s="36"/>
      <c r="CU232" s="36"/>
      <c r="CV232" s="36"/>
      <c r="CW232" s="36"/>
      <c r="CX232" s="36"/>
      <c r="CY232" s="36"/>
      <c r="CZ232" s="36"/>
      <c r="DA232" s="36"/>
      <c r="DB232" s="36"/>
      <c r="DC232" s="36"/>
      <c r="DD232" s="36"/>
      <c r="DE232" s="36"/>
      <c r="DF232" s="36"/>
      <c r="DG232" s="36"/>
      <c r="DH232" s="36"/>
      <c r="DI232" s="36"/>
      <c r="DJ232" s="36"/>
      <c r="DK232" s="36"/>
      <c r="DL232" s="36"/>
      <c r="DM232" s="36"/>
      <c r="DN232" s="36"/>
      <c r="DO232" s="36"/>
      <c r="DP232" s="36"/>
      <c r="DQ232" s="36"/>
      <c r="DR232" s="36"/>
      <c r="DS232" s="36"/>
      <c r="DT232" s="36"/>
      <c r="DU232" s="36"/>
      <c r="DV232" s="36"/>
      <c r="DW232" s="36"/>
      <c r="DX232" s="36"/>
      <c r="DY232" s="36"/>
    </row>
    <row r="233" spans="1:129" s="35" customFormat="1" x14ac:dyDescent="0.25">
      <c r="A233" s="35">
        <v>45957</v>
      </c>
      <c r="B233" s="35" t="s">
        <v>700</v>
      </c>
      <c r="C233" s="15" t="s">
        <v>1460</v>
      </c>
      <c r="D233" s="1" t="s">
        <v>701</v>
      </c>
      <c r="E233" s="13">
        <v>46122</v>
      </c>
      <c r="F233" s="53">
        <f t="shared" si="9"/>
        <v>165</v>
      </c>
      <c r="G233" s="19">
        <v>-862.64</v>
      </c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6"/>
      <c r="BQ233" s="36"/>
      <c r="BR233" s="36"/>
      <c r="BS233" s="36"/>
      <c r="BT233" s="36"/>
      <c r="BU233" s="36"/>
      <c r="BV233" s="36"/>
      <c r="BW233" s="36"/>
      <c r="BX233" s="36"/>
      <c r="BY233" s="36"/>
      <c r="BZ233" s="36"/>
      <c r="CA233" s="36"/>
      <c r="CB233" s="36"/>
      <c r="CC233" s="36"/>
      <c r="CD233" s="36"/>
      <c r="CE233" s="36"/>
      <c r="CF233" s="36"/>
      <c r="CG233" s="36"/>
      <c r="CH233" s="36"/>
      <c r="CI233" s="36"/>
      <c r="CJ233" s="36"/>
      <c r="CK233" s="36"/>
      <c r="CL233" s="36"/>
      <c r="CM233" s="36"/>
      <c r="CN233" s="36"/>
      <c r="CO233" s="36"/>
      <c r="CP233" s="36"/>
      <c r="CQ233" s="36"/>
      <c r="CR233" s="36"/>
      <c r="CS233" s="36"/>
      <c r="CT233" s="36"/>
      <c r="CU233" s="36"/>
      <c r="CV233" s="36"/>
      <c r="CW233" s="36"/>
      <c r="CX233" s="36"/>
      <c r="CY233" s="36"/>
      <c r="CZ233" s="36"/>
      <c r="DA233" s="36"/>
      <c r="DB233" s="36"/>
      <c r="DC233" s="36"/>
      <c r="DD233" s="36"/>
      <c r="DE233" s="36"/>
      <c r="DF233" s="36"/>
      <c r="DG233" s="36"/>
      <c r="DH233" s="36"/>
      <c r="DI233" s="36"/>
      <c r="DJ233" s="36"/>
      <c r="DK233" s="36"/>
      <c r="DL233" s="36"/>
      <c r="DM233" s="36"/>
      <c r="DN233" s="36"/>
      <c r="DO233" s="36"/>
      <c r="DP233" s="36"/>
      <c r="DQ233" s="36"/>
      <c r="DR233" s="36"/>
      <c r="DS233" s="36"/>
      <c r="DT233" s="36"/>
      <c r="DU233" s="36"/>
      <c r="DV233" s="36"/>
      <c r="DW233" s="36"/>
      <c r="DX233" s="36"/>
      <c r="DY233" s="36"/>
    </row>
    <row r="234" spans="1:129" s="35" customFormat="1" x14ac:dyDescent="0.25">
      <c r="A234" s="35">
        <v>45957</v>
      </c>
      <c r="B234" s="35" t="s">
        <v>700</v>
      </c>
      <c r="C234" s="15" t="s">
        <v>1413</v>
      </c>
      <c r="D234" s="1" t="s">
        <v>701</v>
      </c>
      <c r="E234" s="13">
        <v>46150</v>
      </c>
      <c r="F234" s="53">
        <f t="shared" si="9"/>
        <v>193</v>
      </c>
      <c r="G234" s="19">
        <v>-622</v>
      </c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6"/>
      <c r="CH234" s="36"/>
      <c r="CI234" s="36"/>
      <c r="CJ234" s="36"/>
      <c r="CK234" s="36"/>
      <c r="CL234" s="36"/>
      <c r="CM234" s="36"/>
      <c r="CN234" s="36"/>
      <c r="CO234" s="36"/>
      <c r="CP234" s="36"/>
      <c r="CQ234" s="36"/>
      <c r="CR234" s="36"/>
      <c r="CS234" s="36"/>
      <c r="CT234" s="36"/>
      <c r="CU234" s="36"/>
      <c r="CV234" s="36"/>
      <c r="CW234" s="36"/>
      <c r="CX234" s="36"/>
      <c r="CY234" s="36"/>
      <c r="CZ234" s="36"/>
      <c r="DA234" s="36"/>
      <c r="DB234" s="36"/>
      <c r="DC234" s="36"/>
      <c r="DD234" s="36"/>
      <c r="DE234" s="36"/>
      <c r="DF234" s="36"/>
      <c r="DG234" s="36"/>
      <c r="DH234" s="36"/>
      <c r="DI234" s="36"/>
      <c r="DJ234" s="36"/>
      <c r="DK234" s="36"/>
      <c r="DL234" s="36"/>
      <c r="DM234" s="36"/>
      <c r="DN234" s="36"/>
      <c r="DO234" s="36"/>
      <c r="DP234" s="36"/>
      <c r="DQ234" s="36"/>
      <c r="DR234" s="36"/>
      <c r="DS234" s="36"/>
      <c r="DT234" s="36"/>
      <c r="DU234" s="36"/>
      <c r="DV234" s="36"/>
      <c r="DW234" s="36"/>
      <c r="DX234" s="36"/>
      <c r="DY234" s="36"/>
    </row>
    <row r="235" spans="1:129" s="35" customFormat="1" x14ac:dyDescent="0.25">
      <c r="A235" s="35">
        <v>45957</v>
      </c>
      <c r="B235" s="35" t="s">
        <v>700</v>
      </c>
      <c r="C235" s="15" t="s">
        <v>1408</v>
      </c>
      <c r="D235" s="1" t="s">
        <v>701</v>
      </c>
      <c r="E235" s="13">
        <v>46178</v>
      </c>
      <c r="F235" s="53">
        <f t="shared" si="9"/>
        <v>221</v>
      </c>
      <c r="G235" s="19">
        <v>-467.68562600000001</v>
      </c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6"/>
      <c r="BQ235" s="36"/>
      <c r="BR235" s="36"/>
      <c r="BS235" s="36"/>
      <c r="BT235" s="36"/>
      <c r="BU235" s="36"/>
      <c r="BV235" s="36"/>
      <c r="BW235" s="36"/>
      <c r="BX235" s="36"/>
      <c r="BY235" s="36"/>
      <c r="BZ235" s="36"/>
      <c r="CA235" s="36"/>
      <c r="CB235" s="36"/>
      <c r="CC235" s="36"/>
      <c r="CD235" s="36"/>
      <c r="CE235" s="36"/>
      <c r="CF235" s="36"/>
      <c r="CG235" s="36"/>
      <c r="CH235" s="36"/>
      <c r="CI235" s="36"/>
      <c r="CJ235" s="36"/>
      <c r="CK235" s="36"/>
      <c r="CL235" s="36"/>
      <c r="CM235" s="36"/>
      <c r="CN235" s="36"/>
      <c r="CO235" s="36"/>
      <c r="CP235" s="36"/>
      <c r="CQ235" s="36"/>
      <c r="CR235" s="36"/>
      <c r="CS235" s="36"/>
      <c r="CT235" s="36"/>
      <c r="CU235" s="36"/>
      <c r="CV235" s="36"/>
      <c r="CW235" s="36"/>
      <c r="CX235" s="36"/>
      <c r="CY235" s="36"/>
      <c r="CZ235" s="36"/>
      <c r="DA235" s="36"/>
      <c r="DB235" s="36"/>
      <c r="DC235" s="36"/>
      <c r="DD235" s="36"/>
      <c r="DE235" s="36"/>
      <c r="DF235" s="36"/>
      <c r="DG235" s="36"/>
      <c r="DH235" s="36"/>
      <c r="DI235" s="36"/>
      <c r="DJ235" s="36"/>
      <c r="DK235" s="36"/>
      <c r="DL235" s="36"/>
      <c r="DM235" s="36"/>
      <c r="DN235" s="36"/>
      <c r="DO235" s="36"/>
      <c r="DP235" s="36"/>
      <c r="DQ235" s="36"/>
      <c r="DR235" s="36"/>
      <c r="DS235" s="36"/>
      <c r="DT235" s="36"/>
      <c r="DU235" s="36"/>
      <c r="DV235" s="36"/>
      <c r="DW235" s="36"/>
      <c r="DX235" s="36"/>
      <c r="DY235" s="36"/>
    </row>
    <row r="236" spans="1:129" s="35" customFormat="1" x14ac:dyDescent="0.25">
      <c r="A236" s="35">
        <v>45957</v>
      </c>
      <c r="B236" s="35" t="s">
        <v>700</v>
      </c>
      <c r="C236" s="15" t="s">
        <v>1420</v>
      </c>
      <c r="D236" s="1" t="s">
        <v>701</v>
      </c>
      <c r="E236" s="13">
        <v>46199</v>
      </c>
      <c r="F236" s="53">
        <f t="shared" ref="F236:F243" si="10">+E236-A236</f>
        <v>242</v>
      </c>
      <c r="G236" s="19">
        <v>-298.43577399999998</v>
      </c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  <c r="CE236" s="36"/>
      <c r="CF236" s="36"/>
      <c r="CG236" s="36"/>
      <c r="CH236" s="36"/>
      <c r="CI236" s="36"/>
      <c r="CJ236" s="36"/>
      <c r="CK236" s="36"/>
      <c r="CL236" s="36"/>
      <c r="CM236" s="36"/>
      <c r="CN236" s="36"/>
      <c r="CO236" s="36"/>
      <c r="CP236" s="36"/>
      <c r="CQ236" s="36"/>
      <c r="CR236" s="36"/>
      <c r="CS236" s="36"/>
      <c r="CT236" s="36"/>
      <c r="CU236" s="36"/>
      <c r="CV236" s="36"/>
      <c r="CW236" s="36"/>
      <c r="CX236" s="36"/>
      <c r="CY236" s="36"/>
      <c r="CZ236" s="36"/>
      <c r="DA236" s="36"/>
      <c r="DB236" s="36"/>
      <c r="DC236" s="36"/>
      <c r="DD236" s="36"/>
      <c r="DE236" s="36"/>
      <c r="DF236" s="36"/>
      <c r="DG236" s="36"/>
      <c r="DH236" s="36"/>
      <c r="DI236" s="36"/>
      <c r="DJ236" s="36"/>
      <c r="DK236" s="36"/>
      <c r="DL236" s="36"/>
      <c r="DM236" s="36"/>
      <c r="DN236" s="36"/>
      <c r="DO236" s="36"/>
      <c r="DP236" s="36"/>
      <c r="DQ236" s="36"/>
      <c r="DR236" s="36"/>
      <c r="DS236" s="36"/>
      <c r="DT236" s="36"/>
      <c r="DU236" s="36"/>
      <c r="DV236" s="36"/>
      <c r="DW236" s="36"/>
      <c r="DX236" s="36"/>
      <c r="DY236" s="36"/>
    </row>
    <row r="237" spans="1:129" s="35" customFormat="1" x14ac:dyDescent="0.25">
      <c r="A237" s="35">
        <v>45957</v>
      </c>
      <c r="B237" s="35" t="s">
        <v>700</v>
      </c>
      <c r="C237" s="15" t="s">
        <v>1428</v>
      </c>
      <c r="D237" s="1" t="s">
        <v>701</v>
      </c>
      <c r="E237" s="13">
        <v>46234</v>
      </c>
      <c r="F237" s="53">
        <f t="shared" si="10"/>
        <v>277</v>
      </c>
      <c r="G237" s="19">
        <v>-666</v>
      </c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6"/>
      <c r="BQ237" s="36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6"/>
      <c r="CD237" s="36"/>
      <c r="CE237" s="36"/>
      <c r="CF237" s="36"/>
      <c r="CG237" s="36"/>
      <c r="CH237" s="36"/>
      <c r="CI237" s="36"/>
      <c r="CJ237" s="36"/>
      <c r="CK237" s="36"/>
      <c r="CL237" s="36"/>
      <c r="CM237" s="36"/>
      <c r="CN237" s="36"/>
      <c r="CO237" s="36"/>
      <c r="CP237" s="36"/>
      <c r="CQ237" s="36"/>
      <c r="CR237" s="36"/>
      <c r="CS237" s="36"/>
      <c r="CT237" s="36"/>
      <c r="CU237" s="36"/>
      <c r="CV237" s="36"/>
      <c r="CW237" s="36"/>
      <c r="CX237" s="36"/>
      <c r="CY237" s="36"/>
      <c r="CZ237" s="36"/>
      <c r="DA237" s="36"/>
      <c r="DB237" s="36"/>
      <c r="DC237" s="36"/>
      <c r="DD237" s="36"/>
      <c r="DE237" s="36"/>
      <c r="DF237" s="36"/>
      <c r="DG237" s="36"/>
      <c r="DH237" s="36"/>
      <c r="DI237" s="36"/>
      <c r="DJ237" s="36"/>
      <c r="DK237" s="36"/>
      <c r="DL237" s="36"/>
      <c r="DM237" s="36"/>
      <c r="DN237" s="36"/>
      <c r="DO237" s="36"/>
      <c r="DP237" s="36"/>
      <c r="DQ237" s="36"/>
      <c r="DR237" s="36"/>
      <c r="DS237" s="36"/>
      <c r="DT237" s="36"/>
      <c r="DU237" s="36"/>
      <c r="DV237" s="36"/>
      <c r="DW237" s="36"/>
      <c r="DX237" s="36"/>
      <c r="DY237" s="36"/>
    </row>
    <row r="238" spans="1:129" s="35" customFormat="1" x14ac:dyDescent="0.25">
      <c r="A238" s="35">
        <v>45957</v>
      </c>
      <c r="B238" s="35" t="s">
        <v>700</v>
      </c>
      <c r="C238" s="15" t="s">
        <v>1438</v>
      </c>
      <c r="D238" s="1" t="s">
        <v>701</v>
      </c>
      <c r="E238" s="13">
        <v>46269</v>
      </c>
      <c r="F238" s="53">
        <f t="shared" si="10"/>
        <v>312</v>
      </c>
      <c r="G238" s="19">
        <v>-1667.113427</v>
      </c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6"/>
      <c r="CH238" s="36"/>
      <c r="CI238" s="36"/>
      <c r="CJ238" s="36"/>
      <c r="CK238" s="36"/>
      <c r="CL238" s="36"/>
      <c r="CM238" s="36"/>
      <c r="CN238" s="36"/>
      <c r="CO238" s="36"/>
      <c r="CP238" s="36"/>
      <c r="CQ238" s="36"/>
      <c r="CR238" s="36"/>
      <c r="CS238" s="36"/>
      <c r="CT238" s="36"/>
      <c r="CU238" s="36"/>
      <c r="CV238" s="36"/>
      <c r="CW238" s="36"/>
      <c r="CX238" s="36"/>
      <c r="CY238" s="36"/>
      <c r="CZ238" s="36"/>
      <c r="DA238" s="36"/>
      <c r="DB238" s="36"/>
      <c r="DC238" s="36"/>
      <c r="DD238" s="36"/>
      <c r="DE238" s="36"/>
      <c r="DF238" s="36"/>
      <c r="DG238" s="36"/>
      <c r="DH238" s="36"/>
      <c r="DI238" s="36"/>
      <c r="DJ238" s="36"/>
      <c r="DK238" s="36"/>
      <c r="DL238" s="36"/>
      <c r="DM238" s="36"/>
      <c r="DN238" s="36"/>
      <c r="DO238" s="36"/>
      <c r="DP238" s="36"/>
      <c r="DQ238" s="36"/>
      <c r="DR238" s="36"/>
      <c r="DS238" s="36"/>
      <c r="DT238" s="36"/>
      <c r="DU238" s="36"/>
      <c r="DV238" s="36"/>
      <c r="DW238" s="36"/>
      <c r="DX238" s="36"/>
      <c r="DY238" s="36"/>
    </row>
    <row r="239" spans="1:129" s="35" customFormat="1" x14ac:dyDescent="0.25">
      <c r="A239" s="35">
        <v>45957</v>
      </c>
      <c r="B239" s="35" t="s">
        <v>700</v>
      </c>
      <c r="C239" s="15" t="s">
        <v>1449</v>
      </c>
      <c r="D239" s="1" t="s">
        <v>701</v>
      </c>
      <c r="E239" s="13">
        <v>46297</v>
      </c>
      <c r="F239" s="53">
        <f t="shared" si="10"/>
        <v>340</v>
      </c>
      <c r="G239" s="19">
        <v>-1353.844317</v>
      </c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6"/>
      <c r="BQ239" s="36"/>
      <c r="BR239" s="36"/>
      <c r="BS239" s="36"/>
      <c r="BT239" s="36"/>
      <c r="BU239" s="36"/>
      <c r="BV239" s="36"/>
      <c r="BW239" s="36"/>
      <c r="BX239" s="36"/>
      <c r="BY239" s="36"/>
      <c r="BZ239" s="36"/>
      <c r="CA239" s="36"/>
      <c r="CB239" s="36"/>
      <c r="CC239" s="36"/>
      <c r="CD239" s="36"/>
      <c r="CE239" s="36"/>
      <c r="CF239" s="36"/>
      <c r="CG239" s="36"/>
      <c r="CH239" s="36"/>
      <c r="CI239" s="36"/>
      <c r="CJ239" s="36"/>
      <c r="CK239" s="36"/>
      <c r="CL239" s="36"/>
      <c r="CM239" s="36"/>
      <c r="CN239" s="36"/>
      <c r="CO239" s="36"/>
      <c r="CP239" s="36"/>
      <c r="CQ239" s="36"/>
      <c r="CR239" s="36"/>
      <c r="CS239" s="36"/>
      <c r="CT239" s="36"/>
      <c r="CU239" s="36"/>
      <c r="CV239" s="36"/>
      <c r="CW239" s="36"/>
      <c r="CX239" s="36"/>
      <c r="CY239" s="36"/>
      <c r="CZ239" s="36"/>
      <c r="DA239" s="36"/>
      <c r="DB239" s="36"/>
      <c r="DC239" s="36"/>
      <c r="DD239" s="36"/>
      <c r="DE239" s="36"/>
      <c r="DF239" s="36"/>
      <c r="DG239" s="36"/>
      <c r="DH239" s="36"/>
      <c r="DI239" s="36"/>
      <c r="DJ239" s="36"/>
      <c r="DK239" s="36"/>
      <c r="DL239" s="36"/>
      <c r="DM239" s="36"/>
      <c r="DN239" s="36"/>
      <c r="DO239" s="36"/>
      <c r="DP239" s="36"/>
      <c r="DQ239" s="36"/>
      <c r="DR239" s="36"/>
      <c r="DS239" s="36"/>
      <c r="DT239" s="36"/>
      <c r="DU239" s="36"/>
      <c r="DV239" s="36"/>
      <c r="DW239" s="36"/>
      <c r="DX239" s="36"/>
      <c r="DY239" s="36"/>
    </row>
    <row r="240" spans="1:129" s="35" customFormat="1" x14ac:dyDescent="0.25">
      <c r="A240" s="35">
        <v>45957</v>
      </c>
      <c r="B240" s="35" t="s">
        <v>700</v>
      </c>
      <c r="C240" s="15" t="s">
        <v>1478</v>
      </c>
      <c r="D240" s="1" t="s">
        <v>701</v>
      </c>
      <c r="E240" s="13">
        <v>46325</v>
      </c>
      <c r="F240" s="53">
        <f t="shared" si="10"/>
        <v>368</v>
      </c>
      <c r="G240" s="19">
        <v>-1815.786079</v>
      </c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  <c r="BR240" s="36"/>
      <c r="BS240" s="36"/>
      <c r="BT240" s="36"/>
      <c r="BU240" s="36"/>
      <c r="BV240" s="36"/>
      <c r="BW240" s="36"/>
      <c r="BX240" s="36"/>
      <c r="BY240" s="36"/>
      <c r="BZ240" s="36"/>
      <c r="CA240" s="36"/>
      <c r="CB240" s="36"/>
      <c r="CC240" s="36"/>
      <c r="CD240" s="36"/>
      <c r="CE240" s="36"/>
      <c r="CF240" s="36"/>
      <c r="CG240" s="36"/>
      <c r="CH240" s="36"/>
      <c r="CI240" s="36"/>
      <c r="CJ240" s="36"/>
      <c r="CK240" s="36"/>
      <c r="CL240" s="36"/>
      <c r="CM240" s="36"/>
      <c r="CN240" s="36"/>
      <c r="CO240" s="36"/>
      <c r="CP240" s="36"/>
      <c r="CQ240" s="36"/>
      <c r="CR240" s="36"/>
      <c r="CS240" s="36"/>
      <c r="CT240" s="36"/>
      <c r="CU240" s="36"/>
      <c r="CV240" s="36"/>
      <c r="CW240" s="36"/>
      <c r="CX240" s="36"/>
      <c r="CY240" s="36"/>
      <c r="CZ240" s="36"/>
      <c r="DA240" s="36"/>
      <c r="DB240" s="36"/>
      <c r="DC240" s="36"/>
      <c r="DD240" s="36"/>
      <c r="DE240" s="36"/>
      <c r="DF240" s="36"/>
      <c r="DG240" s="36"/>
      <c r="DH240" s="36"/>
      <c r="DI240" s="36"/>
      <c r="DJ240" s="36"/>
      <c r="DK240" s="36"/>
      <c r="DL240" s="36"/>
      <c r="DM240" s="36"/>
      <c r="DN240" s="36"/>
      <c r="DO240" s="36"/>
      <c r="DP240" s="36"/>
      <c r="DQ240" s="36"/>
      <c r="DR240" s="36"/>
      <c r="DS240" s="36"/>
      <c r="DT240" s="36"/>
      <c r="DU240" s="36"/>
      <c r="DV240" s="36"/>
      <c r="DW240" s="36"/>
      <c r="DX240" s="36"/>
      <c r="DY240" s="36"/>
    </row>
    <row r="241" spans="1:129" s="35" customFormat="1" x14ac:dyDescent="0.25">
      <c r="A241" s="35">
        <v>45959</v>
      </c>
      <c r="B241" s="35" t="s">
        <v>1072</v>
      </c>
      <c r="C241" s="15" t="s">
        <v>1460</v>
      </c>
      <c r="D241" s="1" t="s">
        <v>701</v>
      </c>
      <c r="E241" s="13">
        <v>46122</v>
      </c>
      <c r="F241" s="53">
        <f t="shared" si="10"/>
        <v>163</v>
      </c>
      <c r="G241" s="19">
        <v>-13.5</v>
      </c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  <c r="CG241" s="36"/>
      <c r="CH241" s="36"/>
      <c r="CI241" s="36"/>
      <c r="CJ241" s="36"/>
      <c r="CK241" s="36"/>
      <c r="CL241" s="36"/>
      <c r="CM241" s="36"/>
      <c r="CN241" s="36"/>
      <c r="CO241" s="36"/>
      <c r="CP241" s="36"/>
      <c r="CQ241" s="36"/>
      <c r="CR241" s="36"/>
      <c r="CS241" s="36"/>
      <c r="CT241" s="36"/>
      <c r="CU241" s="36"/>
      <c r="CV241" s="36"/>
      <c r="CW241" s="36"/>
      <c r="CX241" s="36"/>
      <c r="CY241" s="36"/>
      <c r="CZ241" s="36"/>
      <c r="DA241" s="36"/>
      <c r="DB241" s="36"/>
      <c r="DC241" s="36"/>
      <c r="DD241" s="36"/>
      <c r="DE241" s="36"/>
      <c r="DF241" s="36"/>
      <c r="DG241" s="36"/>
      <c r="DH241" s="36"/>
      <c r="DI241" s="36"/>
      <c r="DJ241" s="36"/>
      <c r="DK241" s="36"/>
      <c r="DL241" s="36"/>
      <c r="DM241" s="36"/>
      <c r="DN241" s="36"/>
      <c r="DO241" s="36"/>
      <c r="DP241" s="36"/>
      <c r="DQ241" s="36"/>
      <c r="DR241" s="36"/>
      <c r="DS241" s="36"/>
      <c r="DT241" s="36"/>
      <c r="DU241" s="36"/>
      <c r="DV241" s="36"/>
      <c r="DW241" s="36"/>
      <c r="DX241" s="36"/>
      <c r="DY241" s="36"/>
    </row>
    <row r="242" spans="1:129" s="35" customFormat="1" x14ac:dyDescent="0.25">
      <c r="A242" s="35">
        <v>45959</v>
      </c>
      <c r="B242" s="35" t="s">
        <v>1072</v>
      </c>
      <c r="C242" s="15" t="s">
        <v>1420</v>
      </c>
      <c r="D242" s="1" t="s">
        <v>701</v>
      </c>
      <c r="E242" s="13">
        <v>46199</v>
      </c>
      <c r="F242" s="53">
        <f t="shared" si="10"/>
        <v>240</v>
      </c>
      <c r="G242" s="19">
        <v>-33.529190999999997</v>
      </c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6"/>
      <c r="CH242" s="36"/>
      <c r="CI242" s="36"/>
      <c r="CJ242" s="36"/>
      <c r="CK242" s="36"/>
      <c r="CL242" s="36"/>
      <c r="CM242" s="36"/>
      <c r="CN242" s="36"/>
      <c r="CO242" s="36"/>
      <c r="CP242" s="36"/>
      <c r="CQ242" s="36"/>
      <c r="CR242" s="36"/>
      <c r="CS242" s="36"/>
      <c r="CT242" s="36"/>
      <c r="CU242" s="36"/>
      <c r="CV242" s="36"/>
      <c r="CW242" s="36"/>
      <c r="CX242" s="36"/>
      <c r="CY242" s="36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6"/>
      <c r="DP242" s="36"/>
      <c r="DQ242" s="36"/>
      <c r="DR242" s="36"/>
      <c r="DS242" s="36"/>
      <c r="DT242" s="36"/>
      <c r="DU242" s="36"/>
      <c r="DV242" s="36"/>
      <c r="DW242" s="36"/>
      <c r="DX242" s="36"/>
      <c r="DY242" s="36"/>
    </row>
    <row r="243" spans="1:129" s="35" customFormat="1" x14ac:dyDescent="0.25">
      <c r="A243" s="35">
        <v>45973</v>
      </c>
      <c r="B243" s="35" t="s">
        <v>1072</v>
      </c>
      <c r="C243" s="15" t="s">
        <v>1478</v>
      </c>
      <c r="D243" s="1" t="s">
        <v>701</v>
      </c>
      <c r="E243" s="13">
        <v>46325</v>
      </c>
      <c r="F243" s="53">
        <f t="shared" si="10"/>
        <v>352</v>
      </c>
      <c r="G243" s="19">
        <v>-1724.193876</v>
      </c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6"/>
      <c r="CH243" s="36"/>
      <c r="CI243" s="36"/>
      <c r="CJ243" s="36"/>
      <c r="CK243" s="36"/>
      <c r="CL243" s="36"/>
      <c r="CM243" s="36"/>
      <c r="CN243" s="36"/>
      <c r="CO243" s="36"/>
      <c r="CP243" s="36"/>
      <c r="CQ243" s="36"/>
      <c r="CR243" s="36"/>
      <c r="CS243" s="36"/>
      <c r="CT243" s="36"/>
      <c r="CU243" s="36"/>
      <c r="CV243" s="36"/>
      <c r="CW243" s="36"/>
      <c r="CX243" s="36"/>
      <c r="CY243" s="36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  <c r="DO243" s="36"/>
      <c r="DP243" s="36"/>
      <c r="DQ243" s="36"/>
      <c r="DR243" s="36"/>
      <c r="DS243" s="36"/>
      <c r="DT243" s="36"/>
      <c r="DU243" s="36"/>
      <c r="DV243" s="36"/>
      <c r="DW243" s="36"/>
      <c r="DX243" s="36"/>
      <c r="DY243" s="36"/>
    </row>
    <row r="244" spans="1:129" s="35" customFormat="1" x14ac:dyDescent="0.25">
      <c r="A244" s="35">
        <v>45973</v>
      </c>
      <c r="B244" s="35" t="s">
        <v>1072</v>
      </c>
      <c r="C244" s="15" t="s">
        <v>1449</v>
      </c>
      <c r="D244" s="1" t="s">
        <v>701</v>
      </c>
      <c r="E244" s="13">
        <v>46297</v>
      </c>
      <c r="F244" s="53">
        <f t="shared" ref="F244" si="11">+E244-A244</f>
        <v>324</v>
      </c>
      <c r="G244" s="19">
        <v>-1120</v>
      </c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6"/>
      <c r="CH244" s="36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  <c r="CU244" s="36"/>
      <c r="CV244" s="36"/>
      <c r="CW244" s="36"/>
      <c r="CX244" s="36"/>
      <c r="CY244" s="36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/>
      <c r="DO244" s="36"/>
      <c r="DP244" s="36"/>
      <c r="DQ244" s="36"/>
      <c r="DR244" s="36"/>
      <c r="DS244" s="36"/>
      <c r="DT244" s="36"/>
      <c r="DU244" s="36"/>
      <c r="DV244" s="36"/>
      <c r="DW244" s="36"/>
      <c r="DX244" s="36"/>
      <c r="DY244" s="36"/>
    </row>
    <row r="245" spans="1:129" s="35" customFormat="1" x14ac:dyDescent="0.25">
      <c r="A245" s="35">
        <v>45973</v>
      </c>
      <c r="B245" s="35" t="s">
        <v>1072</v>
      </c>
      <c r="C245" s="15" t="s">
        <v>1476</v>
      </c>
      <c r="D245" s="1" t="s">
        <v>701</v>
      </c>
      <c r="E245" s="13">
        <v>46059</v>
      </c>
      <c r="F245" s="53">
        <f t="shared" ref="F245:F286" si="12">+E245-A245</f>
        <v>86</v>
      </c>
      <c r="G245" s="19">
        <v>-481.92136900000003</v>
      </c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  <c r="BR245" s="36"/>
      <c r="BS245" s="36"/>
      <c r="BT245" s="36"/>
      <c r="BU245" s="36"/>
      <c r="BV245" s="36"/>
      <c r="BW245" s="36"/>
      <c r="BX245" s="36"/>
      <c r="BY245" s="36"/>
      <c r="BZ245" s="36"/>
      <c r="CA245" s="36"/>
      <c r="CB245" s="36"/>
      <c r="CC245" s="36"/>
      <c r="CD245" s="36"/>
      <c r="CE245" s="36"/>
      <c r="CF245" s="36"/>
      <c r="CG245" s="36"/>
      <c r="CH245" s="36"/>
      <c r="CI245" s="36"/>
      <c r="CJ245" s="36"/>
      <c r="CK245" s="36"/>
      <c r="CL245" s="36"/>
      <c r="CM245" s="36"/>
      <c r="CN245" s="36"/>
      <c r="CO245" s="36"/>
      <c r="CP245" s="36"/>
      <c r="CQ245" s="36"/>
      <c r="CR245" s="36"/>
      <c r="CS245" s="36"/>
      <c r="CT245" s="36"/>
      <c r="CU245" s="36"/>
      <c r="CV245" s="36"/>
      <c r="CW245" s="36"/>
      <c r="CX245" s="36"/>
      <c r="CY245" s="36"/>
      <c r="CZ245" s="36"/>
      <c r="DA245" s="36"/>
      <c r="DB245" s="36"/>
      <c r="DC245" s="36"/>
      <c r="DD245" s="36"/>
      <c r="DE245" s="36"/>
      <c r="DF245" s="36"/>
      <c r="DG245" s="36"/>
      <c r="DH245" s="36"/>
      <c r="DI245" s="36"/>
      <c r="DJ245" s="36"/>
      <c r="DK245" s="36"/>
      <c r="DL245" s="36"/>
      <c r="DM245" s="36"/>
      <c r="DN245" s="36"/>
      <c r="DO245" s="36"/>
      <c r="DP245" s="36"/>
      <c r="DQ245" s="36"/>
      <c r="DR245" s="36"/>
      <c r="DS245" s="36"/>
      <c r="DT245" s="36"/>
      <c r="DU245" s="36"/>
      <c r="DV245" s="36"/>
      <c r="DW245" s="36"/>
      <c r="DX245" s="36"/>
      <c r="DY245" s="36"/>
    </row>
    <row r="246" spans="1:129" s="35" customFormat="1" x14ac:dyDescent="0.25">
      <c r="A246" s="35">
        <v>45980</v>
      </c>
      <c r="B246" s="35" t="s">
        <v>1072</v>
      </c>
      <c r="C246" s="15" t="s">
        <v>1476</v>
      </c>
      <c r="D246" s="1" t="s">
        <v>701</v>
      </c>
      <c r="E246" s="13">
        <v>46059</v>
      </c>
      <c r="F246" s="53">
        <f t="shared" si="12"/>
        <v>79</v>
      </c>
      <c r="G246" s="19">
        <v>-262.26151299999998</v>
      </c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6"/>
      <c r="CH246" s="36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  <c r="CX246" s="36"/>
      <c r="CY246" s="36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6"/>
      <c r="DL246" s="36"/>
      <c r="DM246" s="36"/>
      <c r="DN246" s="36"/>
      <c r="DO246" s="36"/>
      <c r="DP246" s="36"/>
      <c r="DQ246" s="36"/>
      <c r="DR246" s="36"/>
      <c r="DS246" s="36"/>
      <c r="DT246" s="36"/>
      <c r="DU246" s="36"/>
      <c r="DV246" s="36"/>
      <c r="DW246" s="36"/>
      <c r="DX246" s="36"/>
      <c r="DY246" s="36"/>
    </row>
    <row r="247" spans="1:129" s="35" customFormat="1" x14ac:dyDescent="0.25">
      <c r="A247" s="35">
        <v>45987</v>
      </c>
      <c r="B247" s="35" t="s">
        <v>1072</v>
      </c>
      <c r="C247" s="15" t="s">
        <v>1340</v>
      </c>
      <c r="D247" s="1" t="s">
        <v>701</v>
      </c>
      <c r="E247" s="13">
        <v>46087</v>
      </c>
      <c r="F247" s="53">
        <f t="shared" si="12"/>
        <v>100</v>
      </c>
      <c r="G247" s="19">
        <v>-211.570786</v>
      </c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  <c r="CE247" s="36"/>
      <c r="CF247" s="36"/>
      <c r="CG247" s="36"/>
      <c r="CH247" s="36"/>
      <c r="CI247" s="36"/>
      <c r="CJ247" s="36"/>
      <c r="CK247" s="36"/>
      <c r="CL247" s="36"/>
      <c r="CM247" s="36"/>
      <c r="CN247" s="36"/>
      <c r="CO247" s="36"/>
      <c r="CP247" s="36"/>
      <c r="CQ247" s="36"/>
      <c r="CR247" s="36"/>
      <c r="CS247" s="36"/>
      <c r="CT247" s="36"/>
      <c r="CU247" s="36"/>
      <c r="CV247" s="36"/>
      <c r="CW247" s="36"/>
      <c r="CX247" s="36"/>
      <c r="CY247" s="36"/>
      <c r="CZ247" s="36"/>
      <c r="DA247" s="36"/>
      <c r="DB247" s="36"/>
      <c r="DC247" s="36"/>
      <c r="DD247" s="36"/>
      <c r="DE247" s="36"/>
      <c r="DF247" s="36"/>
      <c r="DG247" s="36"/>
      <c r="DH247" s="36"/>
      <c r="DI247" s="36"/>
      <c r="DJ247" s="36"/>
      <c r="DK247" s="36"/>
      <c r="DL247" s="36"/>
      <c r="DM247" s="36"/>
      <c r="DN247" s="36"/>
      <c r="DO247" s="36"/>
      <c r="DP247" s="36"/>
      <c r="DQ247" s="36"/>
      <c r="DR247" s="36"/>
      <c r="DS247" s="36"/>
      <c r="DT247" s="36"/>
      <c r="DU247" s="36"/>
      <c r="DV247" s="36"/>
      <c r="DW247" s="36"/>
      <c r="DX247" s="36"/>
      <c r="DY247" s="36"/>
    </row>
    <row r="248" spans="1:129" s="35" customFormat="1" x14ac:dyDescent="0.25">
      <c r="A248" s="35">
        <v>45987</v>
      </c>
      <c r="B248" s="35" t="s">
        <v>1072</v>
      </c>
      <c r="C248" s="15" t="s">
        <v>1478</v>
      </c>
      <c r="D248" s="1" t="s">
        <v>701</v>
      </c>
      <c r="E248" s="13">
        <v>46325</v>
      </c>
      <c r="F248" s="53">
        <f t="shared" si="12"/>
        <v>338</v>
      </c>
      <c r="G248" s="19">
        <v>-50.62</v>
      </c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  <c r="CE248" s="36"/>
      <c r="CF248" s="36"/>
      <c r="CG248" s="36"/>
      <c r="CH248" s="36"/>
      <c r="CI248" s="36"/>
      <c r="CJ248" s="36"/>
      <c r="CK248" s="36"/>
      <c r="CL248" s="36"/>
      <c r="CM248" s="36"/>
      <c r="CN248" s="36"/>
      <c r="CO248" s="36"/>
      <c r="CP248" s="36"/>
      <c r="CQ248" s="36"/>
      <c r="CR248" s="36"/>
      <c r="CS248" s="36"/>
      <c r="CT248" s="36"/>
      <c r="CU248" s="36"/>
      <c r="CV248" s="36"/>
      <c r="CW248" s="36"/>
      <c r="CX248" s="36"/>
      <c r="CY248" s="36"/>
      <c r="CZ248" s="36"/>
      <c r="DA248" s="36"/>
      <c r="DB248" s="36"/>
      <c r="DC248" s="36"/>
      <c r="DD248" s="36"/>
      <c r="DE248" s="36"/>
      <c r="DF248" s="36"/>
      <c r="DG248" s="36"/>
      <c r="DH248" s="36"/>
      <c r="DI248" s="36"/>
      <c r="DJ248" s="36"/>
      <c r="DK248" s="36"/>
      <c r="DL248" s="36"/>
      <c r="DM248" s="36"/>
      <c r="DN248" s="36"/>
      <c r="DO248" s="36"/>
      <c r="DP248" s="36"/>
      <c r="DQ248" s="36"/>
      <c r="DR248" s="36"/>
      <c r="DS248" s="36"/>
      <c r="DT248" s="36"/>
      <c r="DU248" s="36"/>
      <c r="DV248" s="36"/>
      <c r="DW248" s="36"/>
      <c r="DX248" s="36"/>
      <c r="DY248" s="36"/>
    </row>
    <row r="249" spans="1:129" s="35" customFormat="1" x14ac:dyDescent="0.25">
      <c r="A249" s="35">
        <v>45987</v>
      </c>
      <c r="B249" s="35" t="s">
        <v>1072</v>
      </c>
      <c r="C249" s="15" t="s">
        <v>1492</v>
      </c>
      <c r="D249" s="1" t="s">
        <v>701</v>
      </c>
      <c r="E249" s="13">
        <v>46353</v>
      </c>
      <c r="F249" s="53">
        <f t="shared" si="12"/>
        <v>366</v>
      </c>
      <c r="G249" s="19">
        <v>-199.99226100000001</v>
      </c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6"/>
      <c r="BQ249" s="36"/>
      <c r="BR249" s="36"/>
      <c r="BS249" s="36"/>
      <c r="BT249" s="36"/>
      <c r="BU249" s="36"/>
      <c r="BV249" s="36"/>
      <c r="BW249" s="36"/>
      <c r="BX249" s="36"/>
      <c r="BY249" s="36"/>
      <c r="BZ249" s="36"/>
      <c r="CA249" s="36"/>
      <c r="CB249" s="36"/>
      <c r="CC249" s="36"/>
      <c r="CD249" s="36"/>
      <c r="CE249" s="36"/>
      <c r="CF249" s="36"/>
      <c r="CG249" s="36"/>
      <c r="CH249" s="36"/>
      <c r="CI249" s="36"/>
      <c r="CJ249" s="36"/>
      <c r="CK249" s="36"/>
      <c r="CL249" s="36"/>
      <c r="CM249" s="36"/>
      <c r="CN249" s="36"/>
      <c r="CO249" s="36"/>
      <c r="CP249" s="36"/>
      <c r="CQ249" s="36"/>
      <c r="CR249" s="36"/>
      <c r="CS249" s="36"/>
      <c r="CT249" s="36"/>
      <c r="CU249" s="36"/>
      <c r="CV249" s="36"/>
      <c r="CW249" s="36"/>
      <c r="CX249" s="36"/>
      <c r="CY249" s="36"/>
      <c r="CZ249" s="36"/>
      <c r="DA249" s="36"/>
      <c r="DB249" s="36"/>
      <c r="DC249" s="36"/>
      <c r="DD249" s="36"/>
      <c r="DE249" s="36"/>
      <c r="DF249" s="36"/>
      <c r="DG249" s="36"/>
      <c r="DH249" s="36"/>
      <c r="DI249" s="36"/>
      <c r="DJ249" s="36"/>
      <c r="DK249" s="36"/>
      <c r="DL249" s="36"/>
      <c r="DM249" s="36"/>
      <c r="DN249" s="36"/>
      <c r="DO249" s="36"/>
      <c r="DP249" s="36"/>
      <c r="DQ249" s="36"/>
      <c r="DR249" s="36"/>
      <c r="DS249" s="36"/>
      <c r="DT249" s="36"/>
      <c r="DU249" s="36"/>
      <c r="DV249" s="36"/>
      <c r="DW249" s="36"/>
      <c r="DX249" s="36"/>
      <c r="DY249" s="36"/>
    </row>
    <row r="250" spans="1:129" s="35" customFormat="1" x14ac:dyDescent="0.25">
      <c r="A250" s="35">
        <v>45987</v>
      </c>
      <c r="B250" s="35" t="s">
        <v>1072</v>
      </c>
      <c r="C250" s="15" t="s">
        <v>1460</v>
      </c>
      <c r="D250" s="1" t="s">
        <v>701</v>
      </c>
      <c r="E250" s="13">
        <v>46122</v>
      </c>
      <c r="F250" s="53">
        <f t="shared" si="12"/>
        <v>135</v>
      </c>
      <c r="G250" s="19">
        <v>-277.042708</v>
      </c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6"/>
      <c r="BQ250" s="36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  <c r="CE250" s="36"/>
      <c r="CF250" s="36"/>
      <c r="CG250" s="36"/>
      <c r="CH250" s="36"/>
      <c r="CI250" s="36"/>
      <c r="CJ250" s="36"/>
      <c r="CK250" s="36"/>
      <c r="CL250" s="36"/>
      <c r="CM250" s="36"/>
      <c r="CN250" s="36"/>
      <c r="CO250" s="36"/>
      <c r="CP250" s="36"/>
      <c r="CQ250" s="36"/>
      <c r="CR250" s="36"/>
      <c r="CS250" s="36"/>
      <c r="CT250" s="36"/>
      <c r="CU250" s="36"/>
      <c r="CV250" s="36"/>
      <c r="CW250" s="36"/>
      <c r="CX250" s="36"/>
      <c r="CY250" s="36"/>
      <c r="CZ250" s="36"/>
      <c r="DA250" s="36"/>
      <c r="DB250" s="36"/>
      <c r="DC250" s="36"/>
      <c r="DD250" s="36"/>
      <c r="DE250" s="36"/>
      <c r="DF250" s="36"/>
      <c r="DG250" s="36"/>
      <c r="DH250" s="36"/>
      <c r="DI250" s="36"/>
      <c r="DJ250" s="36"/>
      <c r="DK250" s="36"/>
      <c r="DL250" s="36"/>
      <c r="DM250" s="36"/>
      <c r="DN250" s="36"/>
      <c r="DO250" s="36"/>
      <c r="DP250" s="36"/>
      <c r="DQ250" s="36"/>
      <c r="DR250" s="36"/>
      <c r="DS250" s="36"/>
      <c r="DT250" s="36"/>
      <c r="DU250" s="36"/>
      <c r="DV250" s="36"/>
      <c r="DW250" s="36"/>
      <c r="DX250" s="36"/>
      <c r="DY250" s="36"/>
    </row>
    <row r="251" spans="1:129" s="35" customFormat="1" x14ac:dyDescent="0.25">
      <c r="A251" s="35">
        <v>45987</v>
      </c>
      <c r="B251" s="35" t="s">
        <v>1072</v>
      </c>
      <c r="C251" s="15" t="s">
        <v>1413</v>
      </c>
      <c r="D251" s="1" t="s">
        <v>701</v>
      </c>
      <c r="E251" s="13">
        <v>46150</v>
      </c>
      <c r="F251" s="53">
        <f t="shared" si="12"/>
        <v>163</v>
      </c>
      <c r="G251" s="19">
        <v>-149.99969100000001</v>
      </c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6"/>
      <c r="BQ251" s="36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6"/>
      <c r="CD251" s="36"/>
      <c r="CE251" s="36"/>
      <c r="CF251" s="36"/>
      <c r="CG251" s="36"/>
      <c r="CH251" s="36"/>
      <c r="CI251" s="36"/>
      <c r="CJ251" s="36"/>
      <c r="CK251" s="36"/>
      <c r="CL251" s="36"/>
      <c r="CM251" s="36"/>
      <c r="CN251" s="36"/>
      <c r="CO251" s="36"/>
      <c r="CP251" s="36"/>
      <c r="CQ251" s="36"/>
      <c r="CR251" s="36"/>
      <c r="CS251" s="36"/>
      <c r="CT251" s="36"/>
      <c r="CU251" s="36"/>
      <c r="CV251" s="36"/>
      <c r="CW251" s="36"/>
      <c r="CX251" s="36"/>
      <c r="CY251" s="36"/>
      <c r="CZ251" s="36"/>
      <c r="DA251" s="36"/>
      <c r="DB251" s="36"/>
      <c r="DC251" s="36"/>
      <c r="DD251" s="36"/>
      <c r="DE251" s="36"/>
      <c r="DF251" s="36"/>
      <c r="DG251" s="36"/>
      <c r="DH251" s="36"/>
      <c r="DI251" s="36"/>
      <c r="DJ251" s="36"/>
      <c r="DK251" s="36"/>
      <c r="DL251" s="36"/>
      <c r="DM251" s="36"/>
      <c r="DN251" s="36"/>
      <c r="DO251" s="36"/>
      <c r="DP251" s="36"/>
      <c r="DQ251" s="36"/>
      <c r="DR251" s="36"/>
      <c r="DS251" s="36"/>
      <c r="DT251" s="36"/>
      <c r="DU251" s="36"/>
      <c r="DV251" s="36"/>
      <c r="DW251" s="36"/>
      <c r="DX251" s="36"/>
      <c r="DY251" s="36"/>
    </row>
    <row r="252" spans="1:129" s="35" customFormat="1" x14ac:dyDescent="0.25">
      <c r="A252" s="35">
        <v>46001</v>
      </c>
      <c r="B252" s="35" t="s">
        <v>1072</v>
      </c>
      <c r="C252" s="15" t="s">
        <v>1408</v>
      </c>
      <c r="D252" s="1" t="s">
        <v>701</v>
      </c>
      <c r="E252" s="13">
        <v>46178</v>
      </c>
      <c r="F252" s="53">
        <f t="shared" si="12"/>
        <v>177</v>
      </c>
      <c r="G252" s="19">
        <v>-1628.065024</v>
      </c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6"/>
      <c r="BQ252" s="36"/>
      <c r="BR252" s="36"/>
      <c r="BS252" s="36"/>
      <c r="BT252" s="36"/>
      <c r="BU252" s="36"/>
      <c r="BV252" s="36"/>
      <c r="BW252" s="36"/>
      <c r="BX252" s="36"/>
      <c r="BY252" s="36"/>
      <c r="BZ252" s="36"/>
      <c r="CA252" s="36"/>
      <c r="CB252" s="36"/>
      <c r="CC252" s="36"/>
      <c r="CD252" s="36"/>
      <c r="CE252" s="36"/>
      <c r="CF252" s="36"/>
      <c r="CG252" s="36"/>
      <c r="CH252" s="36"/>
      <c r="CI252" s="36"/>
      <c r="CJ252" s="36"/>
      <c r="CK252" s="36"/>
      <c r="CL252" s="36"/>
      <c r="CM252" s="36"/>
      <c r="CN252" s="36"/>
      <c r="CO252" s="36"/>
      <c r="CP252" s="36"/>
      <c r="CQ252" s="36"/>
      <c r="CR252" s="36"/>
      <c r="CS252" s="36"/>
      <c r="CT252" s="36"/>
      <c r="CU252" s="36"/>
      <c r="CV252" s="36"/>
      <c r="CW252" s="36"/>
      <c r="CX252" s="36"/>
      <c r="CY252" s="36"/>
      <c r="CZ252" s="36"/>
      <c r="DA252" s="36"/>
      <c r="DB252" s="36"/>
      <c r="DC252" s="36"/>
      <c r="DD252" s="36"/>
      <c r="DE252" s="36"/>
      <c r="DF252" s="36"/>
      <c r="DG252" s="36"/>
      <c r="DH252" s="36"/>
      <c r="DI252" s="36"/>
      <c r="DJ252" s="36"/>
      <c r="DK252" s="36"/>
      <c r="DL252" s="36"/>
      <c r="DM252" s="36"/>
      <c r="DN252" s="36"/>
      <c r="DO252" s="36"/>
      <c r="DP252" s="36"/>
      <c r="DQ252" s="36"/>
      <c r="DR252" s="36"/>
      <c r="DS252" s="36"/>
      <c r="DT252" s="36"/>
      <c r="DU252" s="36"/>
      <c r="DV252" s="36"/>
      <c r="DW252" s="36"/>
      <c r="DX252" s="36"/>
      <c r="DY252" s="36"/>
    </row>
    <row r="253" spans="1:129" s="35" customFormat="1" x14ac:dyDescent="0.25">
      <c r="A253" s="35">
        <v>46001</v>
      </c>
      <c r="B253" s="35" t="s">
        <v>1072</v>
      </c>
      <c r="C253" s="15" t="s">
        <v>1499</v>
      </c>
      <c r="D253" s="1" t="s">
        <v>701</v>
      </c>
      <c r="E253" s="13">
        <v>46171</v>
      </c>
      <c r="F253" s="53">
        <f t="shared" si="12"/>
        <v>170</v>
      </c>
      <c r="G253" s="19">
        <v>-243.77217899999999</v>
      </c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  <c r="CK253" s="36"/>
      <c r="CL253" s="36"/>
      <c r="CM253" s="36"/>
      <c r="CN253" s="36"/>
      <c r="CO253" s="36"/>
      <c r="CP253" s="36"/>
      <c r="CQ253" s="36"/>
      <c r="CR253" s="36"/>
      <c r="CS253" s="36"/>
      <c r="CT253" s="36"/>
      <c r="CU253" s="36"/>
      <c r="CV253" s="36"/>
      <c r="CW253" s="36"/>
      <c r="CX253" s="36"/>
      <c r="CY253" s="36"/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  <c r="DO253" s="36"/>
      <c r="DP253" s="36"/>
      <c r="DQ253" s="36"/>
      <c r="DR253" s="36"/>
      <c r="DS253" s="36"/>
      <c r="DT253" s="36"/>
      <c r="DU253" s="36"/>
      <c r="DV253" s="36"/>
      <c r="DW253" s="36"/>
      <c r="DX253" s="36"/>
      <c r="DY253" s="36"/>
    </row>
    <row r="254" spans="1:129" s="35" customFormat="1" x14ac:dyDescent="0.25">
      <c r="A254" s="35">
        <v>46001</v>
      </c>
      <c r="B254" s="35" t="s">
        <v>1072</v>
      </c>
      <c r="C254" s="15" t="s">
        <v>1474</v>
      </c>
      <c r="D254" s="1" t="s">
        <v>701</v>
      </c>
      <c r="E254" s="13">
        <v>46021</v>
      </c>
      <c r="F254" s="53">
        <f t="shared" si="12"/>
        <v>20</v>
      </c>
      <c r="G254" s="19">
        <v>-886.00185099999999</v>
      </c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6"/>
      <c r="CH254" s="36"/>
      <c r="CI254" s="36"/>
      <c r="CJ254" s="36"/>
      <c r="CK254" s="36"/>
      <c r="CL254" s="36"/>
      <c r="CM254" s="36"/>
      <c r="CN254" s="36"/>
      <c r="CO254" s="36"/>
      <c r="CP254" s="36"/>
      <c r="CQ254" s="36"/>
      <c r="CR254" s="36"/>
      <c r="CS254" s="36"/>
      <c r="CT254" s="36"/>
      <c r="CU254" s="36"/>
      <c r="CV254" s="36"/>
      <c r="CW254" s="36"/>
      <c r="CX254" s="36"/>
      <c r="CY254" s="36"/>
      <c r="CZ254" s="36"/>
      <c r="DA254" s="36"/>
      <c r="DB254" s="36"/>
      <c r="DC254" s="36"/>
      <c r="DD254" s="36"/>
      <c r="DE254" s="36"/>
      <c r="DF254" s="36"/>
      <c r="DG254" s="36"/>
      <c r="DH254" s="36"/>
      <c r="DI254" s="36"/>
      <c r="DJ254" s="36"/>
      <c r="DK254" s="36"/>
      <c r="DL254" s="36"/>
      <c r="DM254" s="36"/>
      <c r="DN254" s="36"/>
      <c r="DO254" s="36"/>
      <c r="DP254" s="36"/>
      <c r="DQ254" s="36"/>
      <c r="DR254" s="36"/>
      <c r="DS254" s="36"/>
      <c r="DT254" s="36"/>
      <c r="DU254" s="36"/>
      <c r="DV254" s="36"/>
      <c r="DW254" s="36"/>
      <c r="DX254" s="36"/>
      <c r="DY254" s="36"/>
    </row>
    <row r="255" spans="1:129" s="35" customFormat="1" x14ac:dyDescent="0.25">
      <c r="A255" s="35">
        <v>46001</v>
      </c>
      <c r="B255" s="35" t="s">
        <v>1072</v>
      </c>
      <c r="C255" s="15" t="s">
        <v>1476</v>
      </c>
      <c r="D255" s="1" t="s">
        <v>701</v>
      </c>
      <c r="E255" s="13">
        <v>46059</v>
      </c>
      <c r="F255" s="53">
        <f t="shared" si="12"/>
        <v>58</v>
      </c>
      <c r="G255" s="19">
        <v>-414</v>
      </c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6"/>
      <c r="CH255" s="36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X255" s="36"/>
      <c r="CY255" s="36"/>
      <c r="CZ255" s="36"/>
      <c r="DA255" s="36"/>
      <c r="DB255" s="36"/>
      <c r="DC255" s="36"/>
      <c r="DD255" s="36"/>
      <c r="DE255" s="36"/>
      <c r="DF255" s="36"/>
      <c r="DG255" s="36"/>
      <c r="DH255" s="36"/>
      <c r="DI255" s="36"/>
      <c r="DJ255" s="36"/>
      <c r="DK255" s="36"/>
      <c r="DL255" s="36"/>
      <c r="DM255" s="36"/>
      <c r="DN255" s="36"/>
      <c r="DO255" s="36"/>
      <c r="DP255" s="36"/>
      <c r="DQ255" s="36"/>
      <c r="DR255" s="36"/>
      <c r="DS255" s="36"/>
      <c r="DT255" s="36"/>
      <c r="DU255" s="36"/>
      <c r="DV255" s="36"/>
      <c r="DW255" s="36"/>
      <c r="DX255" s="36"/>
      <c r="DY255" s="36"/>
    </row>
    <row r="256" spans="1:129" s="35" customFormat="1" x14ac:dyDescent="0.25">
      <c r="A256" s="35">
        <v>46001</v>
      </c>
      <c r="B256" s="35" t="s">
        <v>1072</v>
      </c>
      <c r="C256" s="15" t="s">
        <v>1500</v>
      </c>
      <c r="D256" s="1" t="s">
        <v>701</v>
      </c>
      <c r="E256" s="13">
        <v>46043</v>
      </c>
      <c r="F256" s="53">
        <f t="shared" si="12"/>
        <v>42</v>
      </c>
      <c r="G256" s="19">
        <v>-350</v>
      </c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6"/>
      <c r="BQ256" s="36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/>
      <c r="CK256" s="36"/>
      <c r="CL256" s="36"/>
      <c r="CM256" s="36"/>
      <c r="CN256" s="36"/>
      <c r="CO256" s="36"/>
      <c r="CP256" s="36"/>
      <c r="CQ256" s="36"/>
      <c r="CR256" s="36"/>
      <c r="CS256" s="36"/>
      <c r="CT256" s="36"/>
      <c r="CU256" s="36"/>
      <c r="CV256" s="36"/>
      <c r="CW256" s="36"/>
      <c r="CX256" s="36"/>
      <c r="CY256" s="36"/>
      <c r="CZ256" s="36"/>
      <c r="DA256" s="36"/>
      <c r="DB256" s="36"/>
      <c r="DC256" s="36"/>
      <c r="DD256" s="36"/>
      <c r="DE256" s="36"/>
      <c r="DF256" s="36"/>
      <c r="DG256" s="36"/>
      <c r="DH256" s="36"/>
      <c r="DI256" s="36"/>
      <c r="DJ256" s="36"/>
      <c r="DK256" s="36"/>
      <c r="DL256" s="36"/>
      <c r="DM256" s="36"/>
      <c r="DN256" s="36"/>
      <c r="DO256" s="36"/>
      <c r="DP256" s="36"/>
      <c r="DQ256" s="36"/>
      <c r="DR256" s="36"/>
      <c r="DS256" s="36"/>
      <c r="DT256" s="36"/>
      <c r="DU256" s="36"/>
      <c r="DV256" s="36"/>
      <c r="DW256" s="36"/>
      <c r="DX256" s="36"/>
      <c r="DY256" s="36"/>
    </row>
    <row r="257" spans="1:129" s="35" customFormat="1" x14ac:dyDescent="0.25">
      <c r="A257" s="35">
        <v>46008</v>
      </c>
      <c r="B257" s="35" t="s">
        <v>1072</v>
      </c>
      <c r="C257" s="15" t="s">
        <v>1473</v>
      </c>
      <c r="D257" s="1" t="s">
        <v>701</v>
      </c>
      <c r="E257" s="13">
        <v>46010</v>
      </c>
      <c r="F257" s="53">
        <f t="shared" si="12"/>
        <v>2</v>
      </c>
      <c r="G257" s="19">
        <v>-360</v>
      </c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6"/>
      <c r="CY257" s="36"/>
      <c r="CZ257" s="36"/>
      <c r="DA257" s="36"/>
      <c r="DB257" s="36"/>
      <c r="DC257" s="36"/>
      <c r="DD257" s="36"/>
      <c r="DE257" s="36"/>
      <c r="DF257" s="36"/>
      <c r="DG257" s="36"/>
      <c r="DH257" s="36"/>
      <c r="DI257" s="36"/>
      <c r="DJ257" s="36"/>
      <c r="DK257" s="36"/>
      <c r="DL257" s="36"/>
      <c r="DM257" s="36"/>
      <c r="DN257" s="36"/>
      <c r="DO257" s="36"/>
      <c r="DP257" s="36"/>
      <c r="DQ257" s="36"/>
      <c r="DR257" s="36"/>
      <c r="DS257" s="36"/>
      <c r="DT257" s="36"/>
      <c r="DU257" s="36"/>
      <c r="DV257" s="36"/>
      <c r="DW257" s="36"/>
      <c r="DX257" s="36"/>
      <c r="DY257" s="36"/>
    </row>
    <row r="258" spans="1:129" s="35" customFormat="1" x14ac:dyDescent="0.25">
      <c r="A258" s="35">
        <v>46008</v>
      </c>
      <c r="B258" s="35" t="s">
        <v>1072</v>
      </c>
      <c r="C258" s="15" t="s">
        <v>1505</v>
      </c>
      <c r="D258" s="1" t="s">
        <v>701</v>
      </c>
      <c r="E258" s="13">
        <v>46029</v>
      </c>
      <c r="F258" s="53">
        <f t="shared" si="12"/>
        <v>21</v>
      </c>
      <c r="G258" s="19">
        <v>-1966.257834</v>
      </c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6"/>
      <c r="CH258" s="36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X258" s="36"/>
      <c r="CY258" s="36"/>
      <c r="CZ258" s="36"/>
      <c r="DA258" s="36"/>
      <c r="DB258" s="36"/>
      <c r="DC258" s="36"/>
      <c r="DD258" s="36"/>
      <c r="DE258" s="36"/>
      <c r="DF258" s="36"/>
      <c r="DG258" s="36"/>
      <c r="DH258" s="36"/>
      <c r="DI258" s="36"/>
      <c r="DJ258" s="36"/>
      <c r="DK258" s="36"/>
      <c r="DL258" s="36"/>
      <c r="DM258" s="36"/>
      <c r="DN258" s="36"/>
      <c r="DO258" s="36"/>
      <c r="DP258" s="36"/>
      <c r="DQ258" s="36"/>
      <c r="DR258" s="36"/>
      <c r="DS258" s="36"/>
      <c r="DT258" s="36"/>
      <c r="DU258" s="36"/>
      <c r="DV258" s="36"/>
      <c r="DW258" s="36"/>
      <c r="DX258" s="36"/>
      <c r="DY258" s="36"/>
    </row>
    <row r="259" spans="1:129" s="35" customFormat="1" x14ac:dyDescent="0.25">
      <c r="A259" s="35">
        <v>46008</v>
      </c>
      <c r="B259" s="35" t="s">
        <v>1072</v>
      </c>
      <c r="C259" s="15" t="s">
        <v>1506</v>
      </c>
      <c r="D259" s="1" t="s">
        <v>701</v>
      </c>
      <c r="E259" s="13">
        <v>46013</v>
      </c>
      <c r="F259" s="53">
        <f t="shared" si="12"/>
        <v>5</v>
      </c>
      <c r="G259" s="19">
        <v>-850</v>
      </c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6"/>
      <c r="CH259" s="36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X259" s="36"/>
      <c r="CY259" s="36"/>
      <c r="CZ259" s="36"/>
      <c r="DA259" s="36"/>
      <c r="DB259" s="36"/>
      <c r="DC259" s="36"/>
      <c r="DD259" s="36"/>
      <c r="DE259" s="36"/>
      <c r="DF259" s="36"/>
      <c r="DG259" s="36"/>
      <c r="DH259" s="36"/>
      <c r="DI259" s="36"/>
      <c r="DJ259" s="36"/>
      <c r="DK259" s="36"/>
      <c r="DL259" s="36"/>
      <c r="DM259" s="36"/>
      <c r="DN259" s="36"/>
      <c r="DO259" s="36"/>
      <c r="DP259" s="36"/>
      <c r="DQ259" s="36"/>
      <c r="DR259" s="36"/>
      <c r="DS259" s="36"/>
      <c r="DT259" s="36"/>
      <c r="DU259" s="36"/>
      <c r="DV259" s="36"/>
      <c r="DW259" s="36"/>
      <c r="DX259" s="36"/>
      <c r="DY259" s="36"/>
    </row>
    <row r="260" spans="1:129" s="35" customFormat="1" x14ac:dyDescent="0.25">
      <c r="A260" s="35">
        <v>46015</v>
      </c>
      <c r="B260" s="35" t="s">
        <v>1072</v>
      </c>
      <c r="C260" s="15" t="s">
        <v>1492</v>
      </c>
      <c r="D260" s="1" t="s">
        <v>701</v>
      </c>
      <c r="E260" s="13">
        <v>46353</v>
      </c>
      <c r="F260" s="53">
        <f t="shared" si="12"/>
        <v>338</v>
      </c>
      <c r="G260" s="19">
        <v>-4.4136699999999998</v>
      </c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  <c r="BP260" s="36"/>
      <c r="BQ260" s="36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6"/>
      <c r="CD260" s="36"/>
      <c r="CE260" s="36"/>
      <c r="CF260" s="36"/>
      <c r="CG260" s="36"/>
      <c r="CH260" s="36"/>
      <c r="CI260" s="36"/>
      <c r="CJ260" s="36"/>
      <c r="CK260" s="36"/>
      <c r="CL260" s="36"/>
      <c r="CM260" s="36"/>
      <c r="CN260" s="36"/>
      <c r="CO260" s="36"/>
      <c r="CP260" s="36"/>
      <c r="CQ260" s="36"/>
      <c r="CR260" s="36"/>
      <c r="CS260" s="36"/>
      <c r="CT260" s="36"/>
      <c r="CU260" s="36"/>
      <c r="CV260" s="36"/>
      <c r="CW260" s="36"/>
      <c r="CX260" s="36"/>
      <c r="CY260" s="36"/>
      <c r="CZ260" s="36"/>
      <c r="DA260" s="36"/>
      <c r="DB260" s="36"/>
      <c r="DC260" s="36"/>
      <c r="DD260" s="36"/>
      <c r="DE260" s="36"/>
      <c r="DF260" s="36"/>
      <c r="DG260" s="36"/>
      <c r="DH260" s="36"/>
      <c r="DI260" s="36"/>
      <c r="DJ260" s="36"/>
      <c r="DK260" s="36"/>
      <c r="DL260" s="36"/>
      <c r="DM260" s="36"/>
      <c r="DN260" s="36"/>
      <c r="DO260" s="36"/>
      <c r="DP260" s="36"/>
      <c r="DQ260" s="36"/>
      <c r="DR260" s="36"/>
      <c r="DS260" s="36"/>
      <c r="DT260" s="36"/>
      <c r="DU260" s="36"/>
      <c r="DV260" s="36"/>
      <c r="DW260" s="36"/>
      <c r="DX260" s="36"/>
      <c r="DY260" s="36"/>
    </row>
    <row r="261" spans="1:129" s="35" customFormat="1" x14ac:dyDescent="0.25">
      <c r="A261" s="35">
        <v>46036</v>
      </c>
      <c r="B261" s="35" t="s">
        <v>1072</v>
      </c>
      <c r="C261" s="15" t="s">
        <v>1476</v>
      </c>
      <c r="D261" s="1" t="s">
        <v>701</v>
      </c>
      <c r="E261" s="13">
        <v>46059</v>
      </c>
      <c r="F261" s="53">
        <f t="shared" si="12"/>
        <v>23</v>
      </c>
      <c r="G261" s="19">
        <f>-[1]Hoja1!$I$6/1000000</f>
        <v>-110.762252</v>
      </c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36"/>
      <c r="CY261" s="36"/>
      <c r="CZ261" s="36"/>
      <c r="DA261" s="36"/>
      <c r="DB261" s="36"/>
      <c r="DC261" s="36"/>
      <c r="DD261" s="36"/>
      <c r="DE261" s="36"/>
      <c r="DF261" s="36"/>
      <c r="DG261" s="36"/>
      <c r="DH261" s="36"/>
      <c r="DI261" s="36"/>
      <c r="DJ261" s="36"/>
      <c r="DK261" s="36"/>
      <c r="DL261" s="36"/>
      <c r="DM261" s="36"/>
      <c r="DN261" s="36"/>
      <c r="DO261" s="36"/>
      <c r="DP261" s="36"/>
      <c r="DQ261" s="36"/>
      <c r="DR261" s="36"/>
      <c r="DS261" s="36"/>
      <c r="DT261" s="36"/>
      <c r="DU261" s="36"/>
      <c r="DV261" s="36"/>
      <c r="DW261" s="36"/>
      <c r="DX261" s="36"/>
      <c r="DY261" s="36"/>
    </row>
    <row r="262" spans="1:129" s="35" customFormat="1" x14ac:dyDescent="0.25">
      <c r="A262" s="35">
        <v>46036</v>
      </c>
      <c r="B262" s="35" t="s">
        <v>1072</v>
      </c>
      <c r="C262" s="15" t="s">
        <v>1500</v>
      </c>
      <c r="D262" s="1" t="s">
        <v>701</v>
      </c>
      <c r="E262" s="13">
        <v>46043</v>
      </c>
      <c r="F262" s="53">
        <f t="shared" si="12"/>
        <v>7</v>
      </c>
      <c r="G262" s="19">
        <f>-[1]Hoja1!$I$7/1000000</f>
        <v>-200</v>
      </c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6"/>
      <c r="CH262" s="36"/>
      <c r="CI262" s="36"/>
      <c r="CJ262" s="36"/>
      <c r="CK262" s="36"/>
      <c r="CL262" s="36"/>
      <c r="CM262" s="36"/>
      <c r="CN262" s="36"/>
      <c r="CO262" s="36"/>
      <c r="CP262" s="36"/>
      <c r="CQ262" s="36"/>
      <c r="CR262" s="36"/>
      <c r="CS262" s="36"/>
      <c r="CT262" s="36"/>
      <c r="CU262" s="36"/>
      <c r="CV262" s="36"/>
      <c r="CW262" s="36"/>
      <c r="CX262" s="36"/>
      <c r="CY262" s="36"/>
      <c r="CZ262" s="36"/>
      <c r="DA262" s="36"/>
      <c r="DB262" s="36"/>
      <c r="DC262" s="36"/>
      <c r="DD262" s="36"/>
      <c r="DE262" s="36"/>
      <c r="DF262" s="36"/>
      <c r="DG262" s="36"/>
      <c r="DH262" s="36"/>
      <c r="DI262" s="36"/>
      <c r="DJ262" s="36"/>
      <c r="DK262" s="36"/>
      <c r="DL262" s="36"/>
      <c r="DM262" s="36"/>
      <c r="DN262" s="36"/>
      <c r="DO262" s="36"/>
      <c r="DP262" s="36"/>
      <c r="DQ262" s="36"/>
      <c r="DR262" s="36"/>
      <c r="DS262" s="36"/>
      <c r="DT262" s="36"/>
      <c r="DU262" s="36"/>
      <c r="DV262" s="36"/>
      <c r="DW262" s="36"/>
      <c r="DX262" s="36"/>
      <c r="DY262" s="36"/>
    </row>
    <row r="263" spans="1:129" s="35" customFormat="1" x14ac:dyDescent="0.25">
      <c r="A263" s="35">
        <v>46036</v>
      </c>
      <c r="B263" s="35" t="s">
        <v>1072</v>
      </c>
      <c r="C263" s="15" t="s">
        <v>1518</v>
      </c>
      <c r="D263" s="1" t="s">
        <v>701</v>
      </c>
      <c r="E263" s="13">
        <v>46092</v>
      </c>
      <c r="F263" s="53">
        <f t="shared" si="12"/>
        <v>56</v>
      </c>
      <c r="G263" s="19">
        <f>-[1]Hoja1!$I$12/1000000</f>
        <v>-521.85</v>
      </c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6"/>
      <c r="CH263" s="36"/>
      <c r="CI263" s="36"/>
      <c r="CJ263" s="36"/>
      <c r="CK263" s="36"/>
      <c r="CL263" s="36"/>
      <c r="CM263" s="36"/>
      <c r="CN263" s="36"/>
      <c r="CO263" s="36"/>
      <c r="CP263" s="36"/>
      <c r="CQ263" s="36"/>
      <c r="CR263" s="36"/>
      <c r="CS263" s="36"/>
      <c r="CT263" s="36"/>
      <c r="CU263" s="36"/>
      <c r="CV263" s="36"/>
      <c r="CW263" s="36"/>
      <c r="CX263" s="36"/>
      <c r="CY263" s="36"/>
      <c r="CZ263" s="36"/>
      <c r="DA263" s="36"/>
      <c r="DB263" s="36"/>
      <c r="DC263" s="36"/>
      <c r="DD263" s="36"/>
      <c r="DE263" s="36"/>
      <c r="DF263" s="36"/>
      <c r="DG263" s="36"/>
      <c r="DH263" s="36"/>
      <c r="DI263" s="36"/>
      <c r="DJ263" s="36"/>
      <c r="DK263" s="36"/>
      <c r="DL263" s="36"/>
      <c r="DM263" s="36"/>
      <c r="DN263" s="36"/>
      <c r="DO263" s="36"/>
      <c r="DP263" s="36"/>
      <c r="DQ263" s="36"/>
      <c r="DR263" s="36"/>
      <c r="DS263" s="36"/>
      <c r="DT263" s="36"/>
      <c r="DU263" s="36"/>
      <c r="DV263" s="36"/>
      <c r="DW263" s="36"/>
      <c r="DX263" s="36"/>
      <c r="DY263" s="36"/>
    </row>
    <row r="264" spans="1:129" s="35" customFormat="1" x14ac:dyDescent="0.25">
      <c r="A264" s="35">
        <v>46036</v>
      </c>
      <c r="B264" s="35" t="s">
        <v>1072</v>
      </c>
      <c r="C264" s="15" t="s">
        <v>1420</v>
      </c>
      <c r="D264" s="1" t="s">
        <v>701</v>
      </c>
      <c r="E264" s="13">
        <v>46199</v>
      </c>
      <c r="F264" s="53">
        <f t="shared" si="12"/>
        <v>163</v>
      </c>
      <c r="G264" s="19">
        <f>-([1]Hoja1!$I$15+[1]Hoja1!$I$18)/1000000</f>
        <v>-1968.649028</v>
      </c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6"/>
      <c r="CH264" s="36"/>
      <c r="CI264" s="36"/>
      <c r="CJ264" s="36"/>
      <c r="CK264" s="36"/>
      <c r="CL264" s="36"/>
      <c r="CM264" s="36"/>
      <c r="CN264" s="36"/>
      <c r="CO264" s="36"/>
      <c r="CP264" s="36"/>
      <c r="CQ264" s="36"/>
      <c r="CR264" s="36"/>
      <c r="CS264" s="36"/>
      <c r="CT264" s="36"/>
      <c r="CU264" s="36"/>
      <c r="CV264" s="36"/>
      <c r="CW264" s="36"/>
      <c r="CX264" s="36"/>
      <c r="CY264" s="36"/>
      <c r="CZ264" s="36"/>
      <c r="DA264" s="36"/>
      <c r="DB264" s="36"/>
      <c r="DC264" s="36"/>
      <c r="DD264" s="36"/>
      <c r="DE264" s="36"/>
      <c r="DF264" s="36"/>
      <c r="DG264" s="36"/>
      <c r="DH264" s="36"/>
      <c r="DI264" s="36"/>
      <c r="DJ264" s="36"/>
      <c r="DK264" s="36"/>
      <c r="DL264" s="36"/>
      <c r="DM264" s="36"/>
      <c r="DN264" s="36"/>
      <c r="DO264" s="36"/>
      <c r="DP264" s="36"/>
      <c r="DQ264" s="36"/>
      <c r="DR264" s="36"/>
      <c r="DS264" s="36"/>
      <c r="DT264" s="36"/>
      <c r="DU264" s="36"/>
      <c r="DV264" s="36"/>
      <c r="DW264" s="36"/>
      <c r="DX264" s="36"/>
      <c r="DY264" s="36"/>
    </row>
    <row r="265" spans="1:129" s="35" customFormat="1" x14ac:dyDescent="0.25">
      <c r="A265" s="35">
        <v>46036</v>
      </c>
      <c r="B265" s="35" t="s">
        <v>1072</v>
      </c>
      <c r="C265" s="15" t="s">
        <v>1413</v>
      </c>
      <c r="D265" s="1" t="s">
        <v>701</v>
      </c>
      <c r="E265" s="13">
        <v>46150</v>
      </c>
      <c r="F265" s="53">
        <f t="shared" si="12"/>
        <v>114</v>
      </c>
      <c r="G265" s="19">
        <f>-[1]Hoja1!$I$23/1000000</f>
        <v>-263.93920900000001</v>
      </c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6"/>
      <c r="CH265" s="36"/>
      <c r="CI265" s="36"/>
      <c r="CJ265" s="36"/>
      <c r="CK265" s="36"/>
      <c r="CL265" s="36"/>
      <c r="CM265" s="36"/>
      <c r="CN265" s="36"/>
      <c r="CO265" s="36"/>
      <c r="CP265" s="36"/>
      <c r="CQ265" s="36"/>
      <c r="CR265" s="36"/>
      <c r="CS265" s="36"/>
      <c r="CT265" s="36"/>
      <c r="CU265" s="36"/>
      <c r="CV265" s="36"/>
      <c r="CW265" s="36"/>
      <c r="CX265" s="36"/>
      <c r="CY265" s="36"/>
      <c r="CZ265" s="36"/>
      <c r="DA265" s="36"/>
      <c r="DB265" s="36"/>
      <c r="DC265" s="36"/>
      <c r="DD265" s="36"/>
      <c r="DE265" s="36"/>
      <c r="DF265" s="36"/>
      <c r="DG265" s="36"/>
      <c r="DH265" s="36"/>
      <c r="DI265" s="36"/>
      <c r="DJ265" s="36"/>
      <c r="DK265" s="36"/>
      <c r="DL265" s="36"/>
      <c r="DM265" s="36"/>
      <c r="DN265" s="36"/>
      <c r="DO265" s="36"/>
      <c r="DP265" s="36"/>
      <c r="DQ265" s="36"/>
      <c r="DR265" s="36"/>
      <c r="DS265" s="36"/>
      <c r="DT265" s="36"/>
      <c r="DU265" s="36"/>
      <c r="DV265" s="36"/>
      <c r="DW265" s="36"/>
      <c r="DX265" s="36"/>
      <c r="DY265" s="36"/>
    </row>
    <row r="266" spans="1:129" s="35" customFormat="1" x14ac:dyDescent="0.25">
      <c r="A266" s="35">
        <v>46043</v>
      </c>
      <c r="B266" s="35" t="s">
        <v>1072</v>
      </c>
      <c r="C266" s="15" t="s">
        <v>1460</v>
      </c>
      <c r="D266" s="1" t="s">
        <v>701</v>
      </c>
      <c r="E266" s="13">
        <v>46122</v>
      </c>
      <c r="F266" s="53">
        <f t="shared" si="12"/>
        <v>79</v>
      </c>
      <c r="G266" s="19">
        <v>-991.16499999999996</v>
      </c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BT266" s="36"/>
      <c r="BU266" s="36"/>
      <c r="BV266" s="36"/>
      <c r="BW266" s="36"/>
      <c r="BX266" s="36"/>
      <c r="BY266" s="36"/>
      <c r="BZ266" s="36"/>
      <c r="CA266" s="36"/>
      <c r="CB266" s="36"/>
      <c r="CC266" s="36"/>
      <c r="CD266" s="36"/>
      <c r="CE266" s="36"/>
      <c r="CF266" s="36"/>
      <c r="CG266" s="36"/>
      <c r="CH266" s="36"/>
      <c r="CI266" s="36"/>
      <c r="CJ266" s="36"/>
      <c r="CK266" s="36"/>
      <c r="CL266" s="36"/>
      <c r="CM266" s="36"/>
      <c r="CN266" s="36"/>
      <c r="CO266" s="36"/>
      <c r="CP266" s="36"/>
      <c r="CQ266" s="36"/>
      <c r="CR266" s="36"/>
      <c r="CS266" s="36"/>
      <c r="CT266" s="36"/>
      <c r="CU266" s="36"/>
      <c r="CV266" s="36"/>
      <c r="CW266" s="36"/>
      <c r="CX266" s="36"/>
      <c r="CY266" s="36"/>
      <c r="CZ266" s="36"/>
      <c r="DA266" s="36"/>
      <c r="DB266" s="36"/>
      <c r="DC266" s="36"/>
      <c r="DD266" s="36"/>
      <c r="DE266" s="36"/>
      <c r="DF266" s="36"/>
      <c r="DG266" s="36"/>
      <c r="DH266" s="36"/>
      <c r="DI266" s="36"/>
      <c r="DJ266" s="36"/>
      <c r="DK266" s="36"/>
      <c r="DL266" s="36"/>
      <c r="DM266" s="36"/>
      <c r="DN266" s="36"/>
      <c r="DO266" s="36"/>
      <c r="DP266" s="36"/>
      <c r="DQ266" s="36"/>
      <c r="DR266" s="36"/>
      <c r="DS266" s="36"/>
      <c r="DT266" s="36"/>
      <c r="DU266" s="36"/>
      <c r="DV266" s="36"/>
      <c r="DW266" s="36"/>
      <c r="DX266" s="36"/>
      <c r="DY266" s="36"/>
    </row>
    <row r="267" spans="1:129" s="35" customFormat="1" x14ac:dyDescent="0.25">
      <c r="A267" s="35">
        <v>46043</v>
      </c>
      <c r="B267" s="35" t="s">
        <v>1072</v>
      </c>
      <c r="C267" s="15" t="s">
        <v>1522</v>
      </c>
      <c r="D267" s="1" t="s">
        <v>701</v>
      </c>
      <c r="E267" s="13">
        <v>46136</v>
      </c>
      <c r="F267" s="53">
        <f t="shared" si="12"/>
        <v>93</v>
      </c>
      <c r="G267" s="19">
        <v>-356.60542900000002</v>
      </c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6"/>
      <c r="BQ267" s="36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6"/>
      <c r="CH267" s="36"/>
      <c r="CI267" s="36"/>
      <c r="CJ267" s="36"/>
      <c r="CK267" s="36"/>
      <c r="CL267" s="36"/>
      <c r="CM267" s="36"/>
      <c r="CN267" s="36"/>
      <c r="CO267" s="36"/>
      <c r="CP267" s="36"/>
      <c r="CQ267" s="36"/>
      <c r="CR267" s="36"/>
      <c r="CS267" s="36"/>
      <c r="CT267" s="36"/>
      <c r="CU267" s="36"/>
      <c r="CV267" s="36"/>
      <c r="CW267" s="36"/>
      <c r="CX267" s="36"/>
      <c r="CY267" s="36"/>
      <c r="CZ267" s="36"/>
      <c r="DA267" s="36"/>
      <c r="DB267" s="36"/>
      <c r="DC267" s="36"/>
      <c r="DD267" s="36"/>
      <c r="DE267" s="36"/>
      <c r="DF267" s="36"/>
      <c r="DG267" s="36"/>
      <c r="DH267" s="36"/>
      <c r="DI267" s="36"/>
      <c r="DJ267" s="36"/>
      <c r="DK267" s="36"/>
      <c r="DL267" s="36"/>
      <c r="DM267" s="36"/>
      <c r="DN267" s="36"/>
      <c r="DO267" s="36"/>
      <c r="DP267" s="36"/>
      <c r="DQ267" s="36"/>
      <c r="DR267" s="36"/>
      <c r="DS267" s="36"/>
      <c r="DT267" s="36"/>
      <c r="DU267" s="36"/>
      <c r="DV267" s="36"/>
      <c r="DW267" s="36"/>
      <c r="DX267" s="36"/>
      <c r="DY267" s="36"/>
    </row>
    <row r="268" spans="1:129" s="35" customFormat="1" x14ac:dyDescent="0.25">
      <c r="A268" s="35">
        <v>46043</v>
      </c>
      <c r="B268" s="35" t="s">
        <v>1072</v>
      </c>
      <c r="C268" s="15" t="s">
        <v>1523</v>
      </c>
      <c r="D268" s="1" t="s">
        <v>701</v>
      </c>
      <c r="E268" s="13">
        <v>46127</v>
      </c>
      <c r="F268" s="53">
        <f t="shared" si="12"/>
        <v>84</v>
      </c>
      <c r="G268" s="19">
        <v>-150</v>
      </c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6"/>
      <c r="CH268" s="36"/>
      <c r="CI268" s="36"/>
      <c r="CJ268" s="36"/>
      <c r="CK268" s="36"/>
      <c r="CL268" s="36"/>
      <c r="CM268" s="36"/>
      <c r="CN268" s="36"/>
      <c r="CO268" s="36"/>
      <c r="CP268" s="36"/>
      <c r="CQ268" s="36"/>
      <c r="CR268" s="36"/>
      <c r="CS268" s="36"/>
      <c r="CT268" s="36"/>
      <c r="CU268" s="36"/>
      <c r="CV268" s="36"/>
      <c r="CW268" s="36"/>
      <c r="CX268" s="36"/>
      <c r="CY268" s="36"/>
      <c r="CZ268" s="36"/>
      <c r="DA268" s="36"/>
      <c r="DB268" s="36"/>
      <c r="DC268" s="36"/>
      <c r="DD268" s="36"/>
      <c r="DE268" s="36"/>
      <c r="DF268" s="36"/>
      <c r="DG268" s="36"/>
      <c r="DH268" s="36"/>
      <c r="DI268" s="36"/>
      <c r="DJ268" s="36"/>
      <c r="DK268" s="36"/>
      <c r="DL268" s="36"/>
      <c r="DM268" s="36"/>
      <c r="DN268" s="36"/>
      <c r="DO268" s="36"/>
      <c r="DP268" s="36"/>
      <c r="DQ268" s="36"/>
      <c r="DR268" s="36"/>
      <c r="DS268" s="36"/>
      <c r="DT268" s="36"/>
      <c r="DU268" s="36"/>
      <c r="DV268" s="36"/>
      <c r="DW268" s="36"/>
      <c r="DX268" s="36"/>
      <c r="DY268" s="36"/>
    </row>
    <row r="269" spans="1:129" s="35" customFormat="1" x14ac:dyDescent="0.25">
      <c r="A269" s="35">
        <v>46050</v>
      </c>
      <c r="B269" s="35" t="s">
        <v>1072</v>
      </c>
      <c r="C269" s="15" t="s">
        <v>1492</v>
      </c>
      <c r="D269" s="1" t="s">
        <v>701</v>
      </c>
      <c r="E269" s="13">
        <v>46353</v>
      </c>
      <c r="F269" s="53">
        <f t="shared" si="12"/>
        <v>303</v>
      </c>
      <c r="G269" s="19">
        <v>-70</v>
      </c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  <c r="BR269" s="36"/>
      <c r="BS269" s="36"/>
      <c r="BT269" s="36"/>
      <c r="BU269" s="36"/>
      <c r="BV269" s="36"/>
      <c r="BW269" s="36"/>
      <c r="BX269" s="36"/>
      <c r="BY269" s="36"/>
      <c r="BZ269" s="36"/>
      <c r="CA269" s="36"/>
      <c r="CB269" s="36"/>
      <c r="CC269" s="36"/>
      <c r="CD269" s="36"/>
      <c r="CE269" s="36"/>
      <c r="CF269" s="36"/>
      <c r="CG269" s="36"/>
      <c r="CH269" s="36"/>
      <c r="CI269" s="36"/>
      <c r="CJ269" s="36"/>
      <c r="CK269" s="36"/>
      <c r="CL269" s="36"/>
      <c r="CM269" s="36"/>
      <c r="CN269" s="36"/>
      <c r="CO269" s="36"/>
      <c r="CP269" s="36"/>
      <c r="CQ269" s="36"/>
      <c r="CR269" s="36"/>
      <c r="CS269" s="36"/>
      <c r="CT269" s="36"/>
      <c r="CU269" s="36"/>
      <c r="CV269" s="36"/>
      <c r="CW269" s="36"/>
      <c r="CX269" s="36"/>
      <c r="CY269" s="36"/>
      <c r="CZ269" s="36"/>
      <c r="DA269" s="36"/>
      <c r="DB269" s="36"/>
      <c r="DC269" s="36"/>
      <c r="DD269" s="36"/>
      <c r="DE269" s="36"/>
      <c r="DF269" s="36"/>
      <c r="DG269" s="36"/>
      <c r="DH269" s="36"/>
      <c r="DI269" s="36"/>
      <c r="DJ269" s="36"/>
      <c r="DK269" s="36"/>
      <c r="DL269" s="36"/>
      <c r="DM269" s="36"/>
      <c r="DN269" s="36"/>
      <c r="DO269" s="36"/>
      <c r="DP269" s="36"/>
      <c r="DQ269" s="36"/>
      <c r="DR269" s="36"/>
      <c r="DS269" s="36"/>
      <c r="DT269" s="36"/>
      <c r="DU269" s="36"/>
      <c r="DV269" s="36"/>
      <c r="DW269" s="36"/>
      <c r="DX269" s="36"/>
      <c r="DY269" s="36"/>
    </row>
    <row r="270" spans="1:129" s="35" customFormat="1" x14ac:dyDescent="0.25">
      <c r="A270" s="35">
        <v>46050</v>
      </c>
      <c r="B270" s="35" t="s">
        <v>1072</v>
      </c>
      <c r="C270" s="15" t="s">
        <v>1527</v>
      </c>
      <c r="D270" s="1" t="s">
        <v>701</v>
      </c>
      <c r="E270" s="13">
        <v>46374</v>
      </c>
      <c r="F270" s="53">
        <f t="shared" si="12"/>
        <v>324</v>
      </c>
      <c r="G270" s="19">
        <v>-38.081735999999999</v>
      </c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6"/>
      <c r="BQ270" s="36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6"/>
      <c r="CD270" s="36"/>
      <c r="CE270" s="36"/>
      <c r="CF270" s="36"/>
      <c r="CG270" s="36"/>
      <c r="CH270" s="36"/>
      <c r="CI270" s="36"/>
      <c r="CJ270" s="36"/>
      <c r="CK270" s="36"/>
      <c r="CL270" s="36"/>
      <c r="CM270" s="36"/>
      <c r="CN270" s="36"/>
      <c r="CO270" s="36"/>
      <c r="CP270" s="36"/>
      <c r="CQ270" s="36"/>
      <c r="CR270" s="36"/>
      <c r="CS270" s="36"/>
      <c r="CT270" s="36"/>
      <c r="CU270" s="36"/>
      <c r="CV270" s="36"/>
      <c r="CW270" s="36"/>
      <c r="CX270" s="36"/>
      <c r="CY270" s="36"/>
      <c r="CZ270" s="36"/>
      <c r="DA270" s="36"/>
      <c r="DB270" s="36"/>
      <c r="DC270" s="36"/>
      <c r="DD270" s="36"/>
      <c r="DE270" s="36"/>
      <c r="DF270" s="36"/>
      <c r="DG270" s="36"/>
      <c r="DH270" s="36"/>
      <c r="DI270" s="36"/>
      <c r="DJ270" s="36"/>
      <c r="DK270" s="36"/>
      <c r="DL270" s="36"/>
      <c r="DM270" s="36"/>
      <c r="DN270" s="36"/>
      <c r="DO270" s="36"/>
      <c r="DP270" s="36"/>
      <c r="DQ270" s="36"/>
      <c r="DR270" s="36"/>
      <c r="DS270" s="36"/>
      <c r="DT270" s="36"/>
      <c r="DU270" s="36"/>
      <c r="DV270" s="36"/>
      <c r="DW270" s="36"/>
      <c r="DX270" s="36"/>
      <c r="DY270" s="36"/>
    </row>
    <row r="271" spans="1:129" s="35" customFormat="1" x14ac:dyDescent="0.25">
      <c r="A271" s="35">
        <v>46050</v>
      </c>
      <c r="B271" s="35" t="s">
        <v>1072</v>
      </c>
      <c r="C271" s="15" t="s">
        <v>1460</v>
      </c>
      <c r="D271" s="1" t="s">
        <v>701</v>
      </c>
      <c r="E271" s="13">
        <v>46122</v>
      </c>
      <c r="F271" s="53">
        <f t="shared" si="12"/>
        <v>72</v>
      </c>
      <c r="G271" s="19">
        <v>-100</v>
      </c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/>
      <c r="CC271" s="36"/>
      <c r="CD271" s="36"/>
      <c r="CE271" s="36"/>
      <c r="CF271" s="36"/>
      <c r="CG271" s="36"/>
      <c r="CH271" s="36"/>
      <c r="CI271" s="36"/>
      <c r="CJ271" s="36"/>
      <c r="CK271" s="36"/>
      <c r="CL271" s="36"/>
      <c r="CM271" s="36"/>
      <c r="CN271" s="36"/>
      <c r="CO271" s="36"/>
      <c r="CP271" s="36"/>
      <c r="CQ271" s="36"/>
      <c r="CR271" s="36"/>
      <c r="CS271" s="36"/>
      <c r="CT271" s="36"/>
      <c r="CU271" s="36"/>
      <c r="CV271" s="36"/>
      <c r="CW271" s="36"/>
      <c r="CX271" s="36"/>
      <c r="CY271" s="36"/>
      <c r="CZ271" s="36"/>
      <c r="DA271" s="36"/>
      <c r="DB271" s="36"/>
      <c r="DC271" s="36"/>
      <c r="DD271" s="36"/>
      <c r="DE271" s="36"/>
      <c r="DF271" s="36"/>
      <c r="DG271" s="36"/>
      <c r="DH271" s="36"/>
      <c r="DI271" s="36"/>
      <c r="DJ271" s="36"/>
      <c r="DK271" s="36"/>
      <c r="DL271" s="36"/>
      <c r="DM271" s="36"/>
      <c r="DN271" s="36"/>
      <c r="DO271" s="36"/>
      <c r="DP271" s="36"/>
      <c r="DQ271" s="36"/>
      <c r="DR271" s="36"/>
      <c r="DS271" s="36"/>
      <c r="DT271" s="36"/>
      <c r="DU271" s="36"/>
      <c r="DV271" s="36"/>
      <c r="DW271" s="36"/>
      <c r="DX271" s="36"/>
      <c r="DY271" s="36"/>
    </row>
    <row r="272" spans="1:129" s="35" customFormat="1" x14ac:dyDescent="0.25">
      <c r="A272" s="35">
        <v>46050</v>
      </c>
      <c r="B272" s="35" t="s">
        <v>1072</v>
      </c>
      <c r="C272" s="15" t="s">
        <v>1413</v>
      </c>
      <c r="D272" s="1" t="s">
        <v>701</v>
      </c>
      <c r="E272" s="13">
        <v>46150</v>
      </c>
      <c r="F272" s="53">
        <f t="shared" si="12"/>
        <v>100</v>
      </c>
      <c r="G272" s="19">
        <v>-350.96015899999998</v>
      </c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  <c r="CE272" s="36"/>
      <c r="CF272" s="36"/>
      <c r="CG272" s="36"/>
      <c r="CH272" s="36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  <c r="CU272" s="36"/>
      <c r="CV272" s="36"/>
      <c r="CW272" s="36"/>
      <c r="CX272" s="36"/>
      <c r="CY272" s="36"/>
      <c r="CZ272" s="36"/>
      <c r="DA272" s="36"/>
      <c r="DB272" s="36"/>
      <c r="DC272" s="36"/>
      <c r="DD272" s="36"/>
      <c r="DE272" s="36"/>
      <c r="DF272" s="36"/>
      <c r="DG272" s="36"/>
      <c r="DH272" s="36"/>
      <c r="DI272" s="36"/>
      <c r="DJ272" s="36"/>
      <c r="DK272" s="36"/>
      <c r="DL272" s="36"/>
      <c r="DM272" s="36"/>
      <c r="DN272" s="36"/>
      <c r="DO272" s="36"/>
      <c r="DP272" s="36"/>
      <c r="DQ272" s="36"/>
      <c r="DR272" s="36"/>
      <c r="DS272" s="36"/>
      <c r="DT272" s="36"/>
      <c r="DU272" s="36"/>
      <c r="DV272" s="36"/>
      <c r="DW272" s="36"/>
      <c r="DX272" s="36"/>
      <c r="DY272" s="36"/>
    </row>
    <row r="273" spans="1:129" s="35" customFormat="1" x14ac:dyDescent="0.25">
      <c r="A273" s="35">
        <v>46050</v>
      </c>
      <c r="B273" s="35" t="s">
        <v>1072</v>
      </c>
      <c r="C273" s="15" t="s">
        <v>1408</v>
      </c>
      <c r="D273" s="1" t="s">
        <v>701</v>
      </c>
      <c r="E273" s="13">
        <v>46178</v>
      </c>
      <c r="F273" s="53">
        <f t="shared" si="12"/>
        <v>128</v>
      </c>
      <c r="G273" s="19">
        <v>-20</v>
      </c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  <c r="CE273" s="36"/>
      <c r="CF273" s="36"/>
      <c r="CG273" s="36"/>
      <c r="CH273" s="36"/>
      <c r="CI273" s="36"/>
      <c r="CJ273" s="36"/>
      <c r="CK273" s="36"/>
      <c r="CL273" s="36"/>
      <c r="CM273" s="36"/>
      <c r="CN273" s="36"/>
      <c r="CO273" s="36"/>
      <c r="CP273" s="36"/>
      <c r="CQ273" s="36"/>
      <c r="CR273" s="36"/>
      <c r="CS273" s="36"/>
      <c r="CT273" s="36"/>
      <c r="CU273" s="36"/>
      <c r="CV273" s="36"/>
      <c r="CW273" s="36"/>
      <c r="CX273" s="36"/>
      <c r="CY273" s="36"/>
      <c r="CZ273" s="36"/>
      <c r="DA273" s="36"/>
      <c r="DB273" s="36"/>
      <c r="DC273" s="36"/>
      <c r="DD273" s="36"/>
      <c r="DE273" s="36"/>
      <c r="DF273" s="36"/>
      <c r="DG273" s="36"/>
      <c r="DH273" s="36"/>
      <c r="DI273" s="36"/>
      <c r="DJ273" s="36"/>
      <c r="DK273" s="36"/>
      <c r="DL273" s="36"/>
      <c r="DM273" s="36"/>
      <c r="DN273" s="36"/>
      <c r="DO273" s="36"/>
      <c r="DP273" s="36"/>
      <c r="DQ273" s="36"/>
      <c r="DR273" s="36"/>
      <c r="DS273" s="36"/>
      <c r="DT273" s="36"/>
      <c r="DU273" s="36"/>
      <c r="DV273" s="36"/>
      <c r="DW273" s="36"/>
      <c r="DX273" s="36"/>
      <c r="DY273" s="36"/>
    </row>
    <row r="274" spans="1:129" s="35" customFormat="1" x14ac:dyDescent="0.25">
      <c r="A274" s="35">
        <v>46050</v>
      </c>
      <c r="B274" s="35" t="s">
        <v>1072</v>
      </c>
      <c r="C274" s="15" t="s">
        <v>1420</v>
      </c>
      <c r="D274" s="1" t="s">
        <v>701</v>
      </c>
      <c r="E274" s="13">
        <v>46199</v>
      </c>
      <c r="F274" s="53">
        <f t="shared" si="12"/>
        <v>149</v>
      </c>
      <c r="G274" s="19">
        <v>-299.999999</v>
      </c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  <c r="CE274" s="36"/>
      <c r="CF274" s="36"/>
      <c r="CG274" s="36"/>
      <c r="CH274" s="36"/>
      <c r="CI274" s="36"/>
      <c r="CJ274" s="36"/>
      <c r="CK274" s="36"/>
      <c r="CL274" s="36"/>
      <c r="CM274" s="36"/>
      <c r="CN274" s="36"/>
      <c r="CO274" s="36"/>
      <c r="CP274" s="36"/>
      <c r="CQ274" s="36"/>
      <c r="CR274" s="36"/>
      <c r="CS274" s="36"/>
      <c r="CT274" s="36"/>
      <c r="CU274" s="36"/>
      <c r="CV274" s="36"/>
      <c r="CW274" s="36"/>
      <c r="CX274" s="36"/>
      <c r="CY274" s="36"/>
      <c r="CZ274" s="36"/>
      <c r="DA274" s="36"/>
      <c r="DB274" s="36"/>
      <c r="DC274" s="36"/>
      <c r="DD274" s="36"/>
      <c r="DE274" s="36"/>
      <c r="DF274" s="36"/>
      <c r="DG274" s="36"/>
      <c r="DH274" s="36"/>
      <c r="DI274" s="36"/>
      <c r="DJ274" s="36"/>
      <c r="DK274" s="36"/>
      <c r="DL274" s="36"/>
      <c r="DM274" s="36"/>
      <c r="DN274" s="36"/>
      <c r="DO274" s="36"/>
      <c r="DP274" s="36"/>
      <c r="DQ274" s="36"/>
      <c r="DR274" s="36"/>
      <c r="DS274" s="36"/>
      <c r="DT274" s="36"/>
      <c r="DU274" s="36"/>
      <c r="DV274" s="36"/>
      <c r="DW274" s="36"/>
      <c r="DX274" s="36"/>
      <c r="DY274" s="36"/>
    </row>
    <row r="275" spans="1:129" s="35" customFormat="1" x14ac:dyDescent="0.25">
      <c r="A275" s="35">
        <v>46050</v>
      </c>
      <c r="B275" s="35" t="s">
        <v>1072</v>
      </c>
      <c r="C275" s="15" t="s">
        <v>1499</v>
      </c>
      <c r="D275" s="1" t="s">
        <v>701</v>
      </c>
      <c r="E275" s="13">
        <v>46171</v>
      </c>
      <c r="F275" s="53">
        <f t="shared" si="12"/>
        <v>121</v>
      </c>
      <c r="G275" s="19">
        <v>-92.55</v>
      </c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  <c r="BR275" s="36"/>
      <c r="BS275" s="36"/>
      <c r="BT275" s="36"/>
      <c r="BU275" s="36"/>
      <c r="BV275" s="36"/>
      <c r="BW275" s="36"/>
      <c r="BX275" s="36"/>
      <c r="BY275" s="36"/>
      <c r="BZ275" s="36"/>
      <c r="CA275" s="36"/>
      <c r="CB275" s="36"/>
      <c r="CC275" s="36"/>
      <c r="CD275" s="36"/>
      <c r="CE275" s="36"/>
      <c r="CF275" s="36"/>
      <c r="CG275" s="36"/>
      <c r="CH275" s="36"/>
      <c r="CI275" s="36"/>
      <c r="CJ275" s="36"/>
      <c r="CK275" s="36"/>
      <c r="CL275" s="36"/>
      <c r="CM275" s="36"/>
      <c r="CN275" s="36"/>
      <c r="CO275" s="36"/>
      <c r="CP275" s="36"/>
      <c r="CQ275" s="36"/>
      <c r="CR275" s="36"/>
      <c r="CS275" s="36"/>
      <c r="CT275" s="36"/>
      <c r="CU275" s="36"/>
      <c r="CV275" s="36"/>
      <c r="CW275" s="36"/>
      <c r="CX275" s="36"/>
      <c r="CY275" s="36"/>
      <c r="CZ275" s="36"/>
      <c r="DA275" s="36"/>
      <c r="DB275" s="36"/>
      <c r="DC275" s="36"/>
      <c r="DD275" s="36"/>
      <c r="DE275" s="36"/>
      <c r="DF275" s="36"/>
      <c r="DG275" s="36"/>
      <c r="DH275" s="36"/>
      <c r="DI275" s="36"/>
      <c r="DJ275" s="36"/>
      <c r="DK275" s="36"/>
      <c r="DL275" s="36"/>
      <c r="DM275" s="36"/>
      <c r="DN275" s="36"/>
      <c r="DO275" s="36"/>
      <c r="DP275" s="36"/>
      <c r="DQ275" s="36"/>
      <c r="DR275" s="36"/>
      <c r="DS275" s="36"/>
      <c r="DT275" s="36"/>
      <c r="DU275" s="36"/>
      <c r="DV275" s="36"/>
      <c r="DW275" s="36"/>
      <c r="DX275" s="36"/>
      <c r="DY275" s="36"/>
    </row>
    <row r="276" spans="1:129" s="35" customFormat="1" x14ac:dyDescent="0.25">
      <c r="A276" s="35">
        <v>46057</v>
      </c>
      <c r="B276" s="35" t="s">
        <v>1072</v>
      </c>
      <c r="C276" s="15" t="s">
        <v>1532</v>
      </c>
      <c r="D276" s="1" t="s">
        <v>701</v>
      </c>
      <c r="E276" s="13">
        <v>46062</v>
      </c>
      <c r="F276" s="53">
        <f t="shared" si="12"/>
        <v>5</v>
      </c>
      <c r="G276" s="19">
        <v>-959.75680299999999</v>
      </c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  <c r="BR276" s="36"/>
      <c r="BS276" s="36"/>
      <c r="BT276" s="36"/>
      <c r="BU276" s="36"/>
      <c r="BV276" s="36"/>
      <c r="BW276" s="36"/>
      <c r="BX276" s="36"/>
      <c r="BY276" s="36"/>
      <c r="BZ276" s="36"/>
      <c r="CA276" s="36"/>
      <c r="CB276" s="36"/>
      <c r="CC276" s="36"/>
      <c r="CD276" s="36"/>
      <c r="CE276" s="36"/>
      <c r="CF276" s="36"/>
      <c r="CG276" s="36"/>
      <c r="CH276" s="36"/>
      <c r="CI276" s="36"/>
      <c r="CJ276" s="36"/>
      <c r="CK276" s="36"/>
      <c r="CL276" s="36"/>
      <c r="CM276" s="36"/>
      <c r="CN276" s="36"/>
      <c r="CO276" s="36"/>
      <c r="CP276" s="36"/>
      <c r="CQ276" s="36"/>
      <c r="CR276" s="36"/>
      <c r="CS276" s="36"/>
      <c r="CT276" s="36"/>
      <c r="CU276" s="36"/>
      <c r="CV276" s="36"/>
      <c r="CW276" s="36"/>
      <c r="CX276" s="36"/>
      <c r="CY276" s="36"/>
      <c r="CZ276" s="36"/>
      <c r="DA276" s="36"/>
      <c r="DB276" s="36"/>
      <c r="DC276" s="36"/>
      <c r="DD276" s="36"/>
      <c r="DE276" s="36"/>
      <c r="DF276" s="36"/>
      <c r="DG276" s="36"/>
      <c r="DH276" s="36"/>
      <c r="DI276" s="36"/>
      <c r="DJ276" s="36"/>
      <c r="DK276" s="36"/>
      <c r="DL276" s="36"/>
      <c r="DM276" s="36"/>
      <c r="DN276" s="36"/>
      <c r="DO276" s="36"/>
      <c r="DP276" s="36"/>
      <c r="DQ276" s="36"/>
      <c r="DR276" s="36"/>
      <c r="DS276" s="36"/>
      <c r="DT276" s="36"/>
      <c r="DU276" s="36"/>
      <c r="DV276" s="36"/>
      <c r="DW276" s="36"/>
      <c r="DX276" s="36"/>
      <c r="DY276" s="36"/>
    </row>
    <row r="277" spans="1:129" s="35" customFormat="1" x14ac:dyDescent="0.25">
      <c r="A277" s="35">
        <v>46057</v>
      </c>
      <c r="B277" s="35" t="s">
        <v>1072</v>
      </c>
      <c r="C277" s="15" t="s">
        <v>1522</v>
      </c>
      <c r="D277" s="1" t="s">
        <v>701</v>
      </c>
      <c r="E277" s="13">
        <v>46136</v>
      </c>
      <c r="F277" s="53">
        <f t="shared" si="12"/>
        <v>79</v>
      </c>
      <c r="G277" s="19">
        <v>-767.56600000000003</v>
      </c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6"/>
      <c r="CD277" s="36"/>
      <c r="CE277" s="36"/>
      <c r="CF277" s="36"/>
      <c r="CG277" s="36"/>
      <c r="CH277" s="36"/>
      <c r="CI277" s="36"/>
      <c r="CJ277" s="36"/>
      <c r="CK277" s="36"/>
      <c r="CL277" s="36"/>
      <c r="CM277" s="36"/>
      <c r="CN277" s="36"/>
      <c r="CO277" s="36"/>
      <c r="CP277" s="36"/>
      <c r="CQ277" s="36"/>
      <c r="CR277" s="36"/>
      <c r="CS277" s="36"/>
      <c r="CT277" s="36"/>
      <c r="CU277" s="36"/>
      <c r="CV277" s="36"/>
      <c r="CW277" s="36"/>
      <c r="CX277" s="36"/>
      <c r="CY277" s="36"/>
      <c r="CZ277" s="36"/>
      <c r="DA277" s="36"/>
      <c r="DB277" s="36"/>
      <c r="DC277" s="36"/>
      <c r="DD277" s="36"/>
      <c r="DE277" s="36"/>
      <c r="DF277" s="36"/>
      <c r="DG277" s="36"/>
      <c r="DH277" s="36"/>
      <c r="DI277" s="36"/>
      <c r="DJ277" s="36"/>
      <c r="DK277" s="36"/>
      <c r="DL277" s="36"/>
      <c r="DM277" s="36"/>
      <c r="DN277" s="36"/>
      <c r="DO277" s="36"/>
      <c r="DP277" s="36"/>
      <c r="DQ277" s="36"/>
      <c r="DR277" s="36"/>
      <c r="DS277" s="36"/>
      <c r="DT277" s="36"/>
      <c r="DU277" s="36"/>
      <c r="DV277" s="36"/>
      <c r="DW277" s="36"/>
      <c r="DX277" s="36"/>
      <c r="DY277" s="36"/>
    </row>
    <row r="278" spans="1:129" s="35" customFormat="1" x14ac:dyDescent="0.25">
      <c r="A278" s="35">
        <v>46057</v>
      </c>
      <c r="B278" s="35" t="s">
        <v>1072</v>
      </c>
      <c r="C278" s="15" t="s">
        <v>1492</v>
      </c>
      <c r="D278" s="1" t="s">
        <v>701</v>
      </c>
      <c r="E278" s="13">
        <v>46353</v>
      </c>
      <c r="F278" s="53">
        <f t="shared" si="12"/>
        <v>296</v>
      </c>
      <c r="G278" s="19">
        <v>-167.00899999999999</v>
      </c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6"/>
      <c r="BQ278" s="36"/>
      <c r="BR278" s="36"/>
      <c r="BS278" s="36"/>
      <c r="BT278" s="36"/>
      <c r="BU278" s="36"/>
      <c r="BV278" s="36"/>
      <c r="BW278" s="36"/>
      <c r="BX278" s="36"/>
      <c r="BY278" s="36"/>
      <c r="BZ278" s="36"/>
      <c r="CA278" s="36"/>
      <c r="CB278" s="36"/>
      <c r="CC278" s="36"/>
      <c r="CD278" s="36"/>
      <c r="CE278" s="36"/>
      <c r="CF278" s="36"/>
      <c r="CG278" s="36"/>
      <c r="CH278" s="36"/>
      <c r="CI278" s="36"/>
      <c r="CJ278" s="36"/>
      <c r="CK278" s="36"/>
      <c r="CL278" s="36"/>
      <c r="CM278" s="36"/>
      <c r="CN278" s="36"/>
      <c r="CO278" s="36"/>
      <c r="CP278" s="36"/>
      <c r="CQ278" s="36"/>
      <c r="CR278" s="36"/>
      <c r="CS278" s="36"/>
      <c r="CT278" s="36"/>
      <c r="CU278" s="36"/>
      <c r="CV278" s="36"/>
      <c r="CW278" s="36"/>
      <c r="CX278" s="36"/>
      <c r="CY278" s="36"/>
      <c r="CZ278" s="36"/>
      <c r="DA278" s="36"/>
      <c r="DB278" s="36"/>
      <c r="DC278" s="36"/>
      <c r="DD278" s="36"/>
      <c r="DE278" s="36"/>
      <c r="DF278" s="36"/>
      <c r="DG278" s="36"/>
      <c r="DH278" s="36"/>
      <c r="DI278" s="36"/>
      <c r="DJ278" s="36"/>
      <c r="DK278" s="36"/>
      <c r="DL278" s="36"/>
      <c r="DM278" s="36"/>
      <c r="DN278" s="36"/>
      <c r="DO278" s="36"/>
      <c r="DP278" s="36"/>
      <c r="DQ278" s="36"/>
      <c r="DR278" s="36"/>
      <c r="DS278" s="36"/>
      <c r="DT278" s="36"/>
      <c r="DU278" s="36"/>
      <c r="DV278" s="36"/>
      <c r="DW278" s="36"/>
      <c r="DX278" s="36"/>
      <c r="DY278" s="36"/>
    </row>
    <row r="279" spans="1:129" s="35" customFormat="1" x14ac:dyDescent="0.25">
      <c r="A279" s="35">
        <v>46057</v>
      </c>
      <c r="B279" s="35" t="s">
        <v>1072</v>
      </c>
      <c r="C279" s="15" t="s">
        <v>1340</v>
      </c>
      <c r="D279" s="1" t="s">
        <v>701</v>
      </c>
      <c r="E279" s="13">
        <v>46087</v>
      </c>
      <c r="F279" s="53">
        <f t="shared" si="12"/>
        <v>30</v>
      </c>
      <c r="G279" s="19">
        <v>-500</v>
      </c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  <c r="BR279" s="36"/>
      <c r="BS279" s="36"/>
      <c r="BT279" s="36"/>
      <c r="BU279" s="36"/>
      <c r="BV279" s="36"/>
      <c r="BW279" s="36"/>
      <c r="BX279" s="36"/>
      <c r="BY279" s="36"/>
      <c r="BZ279" s="36"/>
      <c r="CA279" s="36"/>
      <c r="CB279" s="36"/>
      <c r="CC279" s="36"/>
      <c r="CD279" s="36"/>
      <c r="CE279" s="36"/>
      <c r="CF279" s="36"/>
      <c r="CG279" s="36"/>
      <c r="CH279" s="36"/>
      <c r="CI279" s="36"/>
      <c r="CJ279" s="36"/>
      <c r="CK279" s="36"/>
      <c r="CL279" s="36"/>
      <c r="CM279" s="36"/>
      <c r="CN279" s="36"/>
      <c r="CO279" s="36"/>
      <c r="CP279" s="36"/>
      <c r="CQ279" s="36"/>
      <c r="CR279" s="36"/>
      <c r="CS279" s="36"/>
      <c r="CT279" s="36"/>
      <c r="CU279" s="36"/>
      <c r="CV279" s="36"/>
      <c r="CW279" s="36"/>
      <c r="CX279" s="36"/>
      <c r="CY279" s="36"/>
      <c r="CZ279" s="36"/>
      <c r="DA279" s="36"/>
      <c r="DB279" s="36"/>
      <c r="DC279" s="36"/>
      <c r="DD279" s="36"/>
      <c r="DE279" s="36"/>
      <c r="DF279" s="36"/>
      <c r="DG279" s="36"/>
      <c r="DH279" s="36"/>
      <c r="DI279" s="36"/>
      <c r="DJ279" s="36"/>
      <c r="DK279" s="36"/>
      <c r="DL279" s="36"/>
      <c r="DM279" s="36"/>
      <c r="DN279" s="36"/>
      <c r="DO279" s="36"/>
      <c r="DP279" s="36"/>
      <c r="DQ279" s="36"/>
      <c r="DR279" s="36"/>
      <c r="DS279" s="36"/>
      <c r="DT279" s="36"/>
      <c r="DU279" s="36"/>
      <c r="DV279" s="36"/>
      <c r="DW279" s="36"/>
      <c r="DX279" s="36"/>
      <c r="DY279" s="36"/>
    </row>
    <row r="280" spans="1:129" s="35" customFormat="1" x14ac:dyDescent="0.25">
      <c r="A280" s="35">
        <v>46057</v>
      </c>
      <c r="B280" s="35" t="s">
        <v>1072</v>
      </c>
      <c r="C280" s="15" t="s">
        <v>1413</v>
      </c>
      <c r="D280" s="1" t="s">
        <v>701</v>
      </c>
      <c r="E280" s="13">
        <v>46150</v>
      </c>
      <c r="F280" s="53">
        <f t="shared" si="12"/>
        <v>93</v>
      </c>
      <c r="G280" s="19">
        <v>-907.82691799999998</v>
      </c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6"/>
      <c r="CH280" s="36"/>
      <c r="CI280" s="36"/>
      <c r="CJ280" s="36"/>
      <c r="CK280" s="36"/>
      <c r="CL280" s="36"/>
      <c r="CM280" s="36"/>
      <c r="CN280" s="36"/>
      <c r="CO280" s="36"/>
      <c r="CP280" s="36"/>
      <c r="CQ280" s="36"/>
      <c r="CR280" s="36"/>
      <c r="CS280" s="36"/>
      <c r="CT280" s="36"/>
      <c r="CU280" s="36"/>
      <c r="CV280" s="36"/>
      <c r="CW280" s="36"/>
      <c r="CX280" s="36"/>
      <c r="CY280" s="36"/>
      <c r="CZ280" s="36"/>
      <c r="DA280" s="36"/>
      <c r="DB280" s="36"/>
      <c r="DC280" s="36"/>
      <c r="DD280" s="36"/>
      <c r="DE280" s="36"/>
      <c r="DF280" s="36"/>
      <c r="DG280" s="36"/>
      <c r="DH280" s="36"/>
      <c r="DI280" s="36"/>
      <c r="DJ280" s="36"/>
      <c r="DK280" s="36"/>
      <c r="DL280" s="36"/>
      <c r="DM280" s="36"/>
      <c r="DN280" s="36"/>
      <c r="DO280" s="36"/>
      <c r="DP280" s="36"/>
      <c r="DQ280" s="36"/>
      <c r="DR280" s="36"/>
      <c r="DS280" s="36"/>
      <c r="DT280" s="36"/>
      <c r="DU280" s="36"/>
      <c r="DV280" s="36"/>
      <c r="DW280" s="36"/>
      <c r="DX280" s="36"/>
      <c r="DY280" s="36"/>
    </row>
    <row r="281" spans="1:129" s="35" customFormat="1" x14ac:dyDescent="0.25">
      <c r="A281" s="35">
        <v>46057</v>
      </c>
      <c r="B281" s="35" t="s">
        <v>1072</v>
      </c>
      <c r="C281" s="15" t="s">
        <v>1499</v>
      </c>
      <c r="D281" s="1" t="s">
        <v>701</v>
      </c>
      <c r="E281" s="13">
        <v>46171</v>
      </c>
      <c r="F281" s="53">
        <f t="shared" si="12"/>
        <v>114</v>
      </c>
      <c r="G281" s="19">
        <v>-59</v>
      </c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  <c r="BR281" s="36"/>
      <c r="BS281" s="36"/>
      <c r="BT281" s="36"/>
      <c r="BU281" s="36"/>
      <c r="BV281" s="36"/>
      <c r="BW281" s="36"/>
      <c r="BX281" s="36"/>
      <c r="BY281" s="36"/>
      <c r="BZ281" s="36"/>
      <c r="CA281" s="36"/>
      <c r="CB281" s="36"/>
      <c r="CC281" s="36"/>
      <c r="CD281" s="36"/>
      <c r="CE281" s="36"/>
      <c r="CF281" s="36"/>
      <c r="CG281" s="36"/>
      <c r="CH281" s="36"/>
      <c r="CI281" s="36"/>
      <c r="CJ281" s="36"/>
      <c r="CK281" s="36"/>
      <c r="CL281" s="36"/>
      <c r="CM281" s="36"/>
      <c r="CN281" s="36"/>
      <c r="CO281" s="36"/>
      <c r="CP281" s="36"/>
      <c r="CQ281" s="36"/>
      <c r="CR281" s="36"/>
      <c r="CS281" s="36"/>
      <c r="CT281" s="36"/>
      <c r="CU281" s="36"/>
      <c r="CV281" s="36"/>
      <c r="CW281" s="36"/>
      <c r="CX281" s="36"/>
      <c r="CY281" s="36"/>
      <c r="CZ281" s="36"/>
      <c r="DA281" s="36"/>
      <c r="DB281" s="36"/>
      <c r="DC281" s="36"/>
      <c r="DD281" s="36"/>
      <c r="DE281" s="36"/>
      <c r="DF281" s="36"/>
      <c r="DG281" s="36"/>
      <c r="DH281" s="36"/>
      <c r="DI281" s="36"/>
      <c r="DJ281" s="36"/>
      <c r="DK281" s="36"/>
      <c r="DL281" s="36"/>
      <c r="DM281" s="36"/>
      <c r="DN281" s="36"/>
      <c r="DO281" s="36"/>
      <c r="DP281" s="36"/>
      <c r="DQ281" s="36"/>
      <c r="DR281" s="36"/>
      <c r="DS281" s="36"/>
      <c r="DT281" s="36"/>
      <c r="DU281" s="36"/>
      <c r="DV281" s="36"/>
      <c r="DW281" s="36"/>
      <c r="DX281" s="36"/>
      <c r="DY281" s="36"/>
    </row>
    <row r="282" spans="1:129" s="35" customFormat="1" x14ac:dyDescent="0.25">
      <c r="A282" s="35">
        <v>46057</v>
      </c>
      <c r="B282" s="35" t="s">
        <v>1072</v>
      </c>
      <c r="C282" s="15" t="s">
        <v>1428</v>
      </c>
      <c r="D282" s="1" t="s">
        <v>701</v>
      </c>
      <c r="E282" s="13">
        <v>46234</v>
      </c>
      <c r="F282" s="53">
        <f t="shared" si="12"/>
        <v>177</v>
      </c>
      <c r="G282" s="19">
        <v>-171.84423699999999</v>
      </c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6"/>
      <c r="BQ282" s="36"/>
      <c r="BR282" s="36"/>
      <c r="BS282" s="36"/>
      <c r="BT282" s="36"/>
      <c r="BU282" s="36"/>
      <c r="BV282" s="36"/>
      <c r="BW282" s="36"/>
      <c r="BX282" s="36"/>
      <c r="BY282" s="36"/>
      <c r="BZ282" s="36"/>
      <c r="CA282" s="36"/>
      <c r="CB282" s="36"/>
      <c r="CC282" s="36"/>
      <c r="CD282" s="36"/>
      <c r="CE282" s="36"/>
      <c r="CF282" s="36"/>
      <c r="CG282" s="36"/>
      <c r="CH282" s="36"/>
      <c r="CI282" s="36"/>
      <c r="CJ282" s="36"/>
      <c r="CK282" s="36"/>
      <c r="CL282" s="36"/>
      <c r="CM282" s="36"/>
      <c r="CN282" s="36"/>
      <c r="CO282" s="36"/>
      <c r="CP282" s="36"/>
      <c r="CQ282" s="36"/>
      <c r="CR282" s="36"/>
      <c r="CS282" s="36"/>
      <c r="CT282" s="36"/>
      <c r="CU282" s="36"/>
      <c r="CV282" s="36"/>
      <c r="CW282" s="36"/>
      <c r="CX282" s="36"/>
      <c r="CY282" s="36"/>
      <c r="CZ282" s="36"/>
      <c r="DA282" s="36"/>
      <c r="DB282" s="36"/>
      <c r="DC282" s="36"/>
      <c r="DD282" s="36"/>
      <c r="DE282" s="36"/>
      <c r="DF282" s="36"/>
      <c r="DG282" s="36"/>
      <c r="DH282" s="36"/>
      <c r="DI282" s="36"/>
      <c r="DJ282" s="36"/>
      <c r="DK282" s="36"/>
      <c r="DL282" s="36"/>
      <c r="DM282" s="36"/>
      <c r="DN282" s="36"/>
      <c r="DO282" s="36"/>
      <c r="DP282" s="36"/>
      <c r="DQ282" s="36"/>
      <c r="DR282" s="36"/>
      <c r="DS282" s="36"/>
      <c r="DT282" s="36"/>
      <c r="DU282" s="36"/>
      <c r="DV282" s="36"/>
      <c r="DW282" s="36"/>
      <c r="DX282" s="36"/>
      <c r="DY282" s="36"/>
    </row>
    <row r="283" spans="1:129" s="35" customFormat="1" x14ac:dyDescent="0.25">
      <c r="A283" s="35">
        <v>46057</v>
      </c>
      <c r="B283" s="35" t="s">
        <v>1072</v>
      </c>
      <c r="C283" s="15" t="s">
        <v>1478</v>
      </c>
      <c r="D283" s="1" t="s">
        <v>701</v>
      </c>
      <c r="E283" s="13">
        <v>46325</v>
      </c>
      <c r="F283" s="53">
        <f t="shared" si="12"/>
        <v>268</v>
      </c>
      <c r="G283" s="19">
        <v>-0.3</v>
      </c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  <c r="BR283" s="36"/>
      <c r="BS283" s="36"/>
      <c r="BT283" s="36"/>
      <c r="BU283" s="36"/>
      <c r="BV283" s="36"/>
      <c r="BW283" s="36"/>
      <c r="BX283" s="36"/>
      <c r="BY283" s="36"/>
      <c r="BZ283" s="36"/>
      <c r="CA283" s="36"/>
      <c r="CB283" s="36"/>
      <c r="CC283" s="36"/>
      <c r="CD283" s="36"/>
      <c r="CE283" s="36"/>
      <c r="CF283" s="36"/>
      <c r="CG283" s="36"/>
      <c r="CH283" s="36"/>
      <c r="CI283" s="36"/>
      <c r="CJ283" s="36"/>
      <c r="CK283" s="36"/>
      <c r="CL283" s="36"/>
      <c r="CM283" s="36"/>
      <c r="CN283" s="36"/>
      <c r="CO283" s="36"/>
      <c r="CP283" s="36"/>
      <c r="CQ283" s="36"/>
      <c r="CR283" s="36"/>
      <c r="CS283" s="36"/>
      <c r="CT283" s="36"/>
      <c r="CU283" s="36"/>
      <c r="CV283" s="36"/>
      <c r="CW283" s="36"/>
      <c r="CX283" s="36"/>
      <c r="CY283" s="36"/>
      <c r="CZ283" s="36"/>
      <c r="DA283" s="36"/>
      <c r="DB283" s="36"/>
      <c r="DC283" s="36"/>
      <c r="DD283" s="36"/>
      <c r="DE283" s="36"/>
      <c r="DF283" s="36"/>
      <c r="DG283" s="36"/>
      <c r="DH283" s="36"/>
      <c r="DI283" s="36"/>
      <c r="DJ283" s="36"/>
      <c r="DK283" s="36"/>
      <c r="DL283" s="36"/>
      <c r="DM283" s="36"/>
      <c r="DN283" s="36"/>
      <c r="DO283" s="36"/>
      <c r="DP283" s="36"/>
      <c r="DQ283" s="36"/>
      <c r="DR283" s="36"/>
      <c r="DS283" s="36"/>
      <c r="DT283" s="36"/>
      <c r="DU283" s="36"/>
      <c r="DV283" s="36"/>
      <c r="DW283" s="36"/>
      <c r="DX283" s="36"/>
      <c r="DY283" s="36"/>
    </row>
    <row r="284" spans="1:129" s="35" customFormat="1" x14ac:dyDescent="0.25">
      <c r="A284" s="35">
        <v>46057</v>
      </c>
      <c r="B284" s="35" t="s">
        <v>1072</v>
      </c>
      <c r="C284" s="15" t="s">
        <v>1533</v>
      </c>
      <c r="D284" s="1" t="s">
        <v>701</v>
      </c>
      <c r="E284" s="13">
        <v>46064</v>
      </c>
      <c r="F284" s="53">
        <f t="shared" si="12"/>
        <v>7</v>
      </c>
      <c r="G284" s="19">
        <v>-2</v>
      </c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  <c r="BR284" s="36"/>
      <c r="BS284" s="36"/>
      <c r="BT284" s="36"/>
      <c r="BU284" s="36"/>
      <c r="BV284" s="36"/>
      <c r="BW284" s="36"/>
      <c r="BX284" s="36"/>
      <c r="BY284" s="36"/>
      <c r="BZ284" s="36"/>
      <c r="CA284" s="36"/>
      <c r="CB284" s="36"/>
      <c r="CC284" s="36"/>
      <c r="CD284" s="36"/>
      <c r="CE284" s="36"/>
      <c r="CF284" s="36"/>
      <c r="CG284" s="36"/>
      <c r="CH284" s="36"/>
      <c r="CI284" s="36"/>
      <c r="CJ284" s="36"/>
      <c r="CK284" s="36"/>
      <c r="CL284" s="36"/>
      <c r="CM284" s="36"/>
      <c r="CN284" s="36"/>
      <c r="CO284" s="36"/>
      <c r="CP284" s="36"/>
      <c r="CQ284" s="36"/>
      <c r="CR284" s="36"/>
      <c r="CS284" s="36"/>
      <c r="CT284" s="36"/>
      <c r="CU284" s="36"/>
      <c r="CV284" s="36"/>
      <c r="CW284" s="36"/>
      <c r="CX284" s="36"/>
      <c r="CY284" s="36"/>
      <c r="CZ284" s="36"/>
      <c r="DA284" s="36"/>
      <c r="DB284" s="36"/>
      <c r="DC284" s="36"/>
      <c r="DD284" s="36"/>
      <c r="DE284" s="36"/>
      <c r="DF284" s="36"/>
      <c r="DG284" s="36"/>
      <c r="DH284" s="36"/>
      <c r="DI284" s="36"/>
      <c r="DJ284" s="36"/>
      <c r="DK284" s="36"/>
      <c r="DL284" s="36"/>
      <c r="DM284" s="36"/>
      <c r="DN284" s="36"/>
      <c r="DO284" s="36"/>
      <c r="DP284" s="36"/>
      <c r="DQ284" s="36"/>
      <c r="DR284" s="36"/>
      <c r="DS284" s="36"/>
      <c r="DT284" s="36"/>
      <c r="DU284" s="36"/>
      <c r="DV284" s="36"/>
      <c r="DW284" s="36"/>
      <c r="DX284" s="36"/>
      <c r="DY284" s="36"/>
    </row>
    <row r="285" spans="1:129" s="35" customFormat="1" x14ac:dyDescent="0.25">
      <c r="A285" s="35">
        <v>46057</v>
      </c>
      <c r="B285" s="35" t="s">
        <v>1072</v>
      </c>
      <c r="C285" s="15" t="s">
        <v>1518</v>
      </c>
      <c r="D285" s="1" t="s">
        <v>701</v>
      </c>
      <c r="E285" s="13">
        <v>46092</v>
      </c>
      <c r="F285" s="53">
        <f t="shared" si="12"/>
        <v>35</v>
      </c>
      <c r="G285" s="19">
        <v>-10</v>
      </c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6"/>
      <c r="CH285" s="36"/>
      <c r="CI285" s="36"/>
      <c r="CJ285" s="36"/>
      <c r="CK285" s="36"/>
      <c r="CL285" s="36"/>
      <c r="CM285" s="36"/>
      <c r="CN285" s="36"/>
      <c r="CO285" s="36"/>
      <c r="CP285" s="36"/>
      <c r="CQ285" s="36"/>
      <c r="CR285" s="36"/>
      <c r="CS285" s="36"/>
      <c r="CT285" s="36"/>
      <c r="CU285" s="36"/>
      <c r="CV285" s="36"/>
      <c r="CW285" s="36"/>
      <c r="CX285" s="36"/>
      <c r="CY285" s="36"/>
      <c r="CZ285" s="36"/>
      <c r="DA285" s="36"/>
      <c r="DB285" s="36"/>
      <c r="DC285" s="36"/>
      <c r="DD285" s="36"/>
      <c r="DE285" s="36"/>
      <c r="DF285" s="36"/>
      <c r="DG285" s="36"/>
      <c r="DH285" s="36"/>
      <c r="DI285" s="36"/>
      <c r="DJ285" s="36"/>
      <c r="DK285" s="36"/>
      <c r="DL285" s="36"/>
      <c r="DM285" s="36"/>
      <c r="DN285" s="36"/>
      <c r="DO285" s="36"/>
      <c r="DP285" s="36"/>
      <c r="DQ285" s="36"/>
      <c r="DR285" s="36"/>
      <c r="DS285" s="36"/>
      <c r="DT285" s="36"/>
      <c r="DU285" s="36"/>
      <c r="DV285" s="36"/>
      <c r="DW285" s="36"/>
      <c r="DX285" s="36"/>
      <c r="DY285" s="36"/>
    </row>
    <row r="286" spans="1:129" s="35" customFormat="1" x14ac:dyDescent="0.25">
      <c r="A286" s="35">
        <v>46057</v>
      </c>
      <c r="B286" s="35" t="s">
        <v>1072</v>
      </c>
      <c r="C286" s="15" t="s">
        <v>1534</v>
      </c>
      <c r="D286" s="1" t="s">
        <v>701</v>
      </c>
      <c r="E286" s="13">
        <v>46395</v>
      </c>
      <c r="F286" s="53">
        <f t="shared" si="12"/>
        <v>338</v>
      </c>
      <c r="G286" s="19">
        <v>-1.2</v>
      </c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  <c r="CK286" s="36"/>
      <c r="CL286" s="36"/>
      <c r="CM286" s="36"/>
      <c r="CN286" s="36"/>
      <c r="CO286" s="36"/>
      <c r="CP286" s="36"/>
      <c r="CQ286" s="36"/>
      <c r="CR286" s="36"/>
      <c r="CS286" s="36"/>
      <c r="CT286" s="36"/>
      <c r="CU286" s="36"/>
      <c r="CV286" s="36"/>
      <c r="CW286" s="36"/>
      <c r="CX286" s="36"/>
      <c r="CY286" s="36"/>
      <c r="CZ286" s="36"/>
      <c r="DA286" s="36"/>
      <c r="DB286" s="36"/>
      <c r="DC286" s="36"/>
      <c r="DD286" s="36"/>
      <c r="DE286" s="36"/>
      <c r="DF286" s="36"/>
      <c r="DG286" s="36"/>
      <c r="DH286" s="36"/>
      <c r="DI286" s="36"/>
      <c r="DJ286" s="36"/>
      <c r="DK286" s="36"/>
      <c r="DL286" s="36"/>
      <c r="DM286" s="36"/>
      <c r="DN286" s="36"/>
      <c r="DO286" s="36"/>
      <c r="DP286" s="36"/>
      <c r="DQ286" s="36"/>
      <c r="DR286" s="36"/>
      <c r="DS286" s="36"/>
      <c r="DT286" s="36"/>
      <c r="DU286" s="36"/>
      <c r="DV286" s="36"/>
      <c r="DW286" s="36"/>
      <c r="DX286" s="36"/>
      <c r="DY286" s="36"/>
    </row>
  </sheetData>
  <mergeCells count="1">
    <mergeCell ref="D2:G6"/>
  </mergeCells>
  <phoneticPr fontId="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Y503"/>
  <sheetViews>
    <sheetView zoomScale="80" zoomScaleNormal="80" workbookViewId="0">
      <pane ySplit="10" topLeftCell="A340" activePane="bottomLeft" state="frozen"/>
      <selection pane="bottomLeft" activeCell="A351" sqref="A351"/>
    </sheetView>
  </sheetViews>
  <sheetFormatPr baseColWidth="10" defaultColWidth="11.42578125" defaultRowHeight="15" x14ac:dyDescent="0.25"/>
  <cols>
    <col min="1" max="1" width="11.5703125" style="36" bestFit="1" customWidth="1"/>
    <col min="2" max="2" width="6" style="2" customWidth="1"/>
    <col min="3" max="3" width="9.5703125" style="1" bestFit="1" customWidth="1"/>
    <col min="4" max="4" width="7" style="1" bestFit="1" customWidth="1"/>
    <col min="5" max="5" width="15.85546875" style="1" bestFit="1" customWidth="1"/>
    <col min="6" max="6" width="24.85546875" style="3" bestFit="1" customWidth="1"/>
    <col min="7" max="7" width="8.7109375" style="3" bestFit="1" customWidth="1"/>
    <col min="8" max="8" width="12.7109375" style="3" bestFit="1" customWidth="1"/>
    <col min="9" max="9" width="12.7109375" style="3" customWidth="1"/>
    <col min="10" max="10" width="21.5703125" style="3" bestFit="1" customWidth="1"/>
    <col min="11" max="11" width="22.140625" style="3" bestFit="1" customWidth="1"/>
    <col min="12" max="12" width="8.85546875" style="3" bestFit="1" customWidth="1"/>
    <col min="13" max="13" width="12.28515625" style="3" bestFit="1" customWidth="1"/>
    <col min="14" max="14" width="9.85546875" style="1" bestFit="1" customWidth="1"/>
    <col min="15" max="15" width="15" style="3" bestFit="1" customWidth="1"/>
    <col min="16" max="16" width="10.140625" style="3" bestFit="1" customWidth="1"/>
    <col min="17" max="17" width="16.28515625" style="39" bestFit="1" customWidth="1"/>
    <col min="18" max="18" width="16.28515625" style="3" bestFit="1" customWidth="1"/>
    <col min="19" max="19" width="9.85546875" style="3" bestFit="1" customWidth="1"/>
    <col min="20" max="20" width="14.140625" style="3" bestFit="1" customWidth="1"/>
    <col min="21" max="21" width="14.5703125" style="1" customWidth="1"/>
    <col min="22" max="22" width="15.28515625" style="6" customWidth="1"/>
    <col min="23" max="16384" width="11.42578125" style="1"/>
  </cols>
  <sheetData>
    <row r="1" spans="1:22" x14ac:dyDescent="0.25">
      <c r="Q1" s="38"/>
    </row>
    <row r="2" spans="1:22" ht="15" customHeight="1" x14ac:dyDescent="0.25">
      <c r="F2" s="10"/>
      <c r="G2" s="40"/>
      <c r="H2" s="82" t="s">
        <v>319</v>
      </c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</row>
    <row r="3" spans="1:22" ht="15" customHeight="1" x14ac:dyDescent="0.25">
      <c r="F3" s="10"/>
      <c r="G3" s="40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</row>
    <row r="4" spans="1:22" x14ac:dyDescent="0.25">
      <c r="F4" s="10"/>
      <c r="G4" s="40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</row>
    <row r="5" spans="1:22" x14ac:dyDescent="0.25">
      <c r="F5" s="10"/>
      <c r="G5" s="40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</row>
    <row r="6" spans="1:22" x14ac:dyDescent="0.25">
      <c r="F6" s="10"/>
      <c r="G6" s="40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</row>
    <row r="7" spans="1:22" x14ac:dyDescent="0.25">
      <c r="H7" s="37" t="s">
        <v>340</v>
      </c>
      <c r="Q7" s="38"/>
    </row>
    <row r="8" spans="1:22" x14ac:dyDescent="0.25">
      <c r="A8" s="37"/>
      <c r="C8" s="3"/>
      <c r="E8" s="3"/>
      <c r="Q8" s="38"/>
      <c r="U8" s="3"/>
    </row>
    <row r="9" spans="1:22" x14ac:dyDescent="0.25">
      <c r="A9" s="37"/>
      <c r="C9" s="3"/>
      <c r="E9" s="3"/>
      <c r="Q9" s="38"/>
      <c r="U9" s="3"/>
    </row>
    <row r="10" spans="1:22" ht="15" customHeight="1" x14ac:dyDescent="0.25">
      <c r="A10" s="4" t="s">
        <v>18</v>
      </c>
      <c r="B10" s="4" t="s">
        <v>13</v>
      </c>
      <c r="C10" s="4" t="s">
        <v>314</v>
      </c>
      <c r="D10" s="4" t="s">
        <v>315</v>
      </c>
      <c r="E10" s="4" t="s">
        <v>330</v>
      </c>
      <c r="F10" s="4" t="s">
        <v>306</v>
      </c>
      <c r="G10" s="4" t="s">
        <v>329</v>
      </c>
      <c r="H10" s="4" t="s">
        <v>305</v>
      </c>
      <c r="I10" s="4" t="s">
        <v>1</v>
      </c>
      <c r="J10" s="4" t="s">
        <v>312</v>
      </c>
      <c r="K10" s="4" t="s">
        <v>313</v>
      </c>
      <c r="L10" s="4" t="s">
        <v>19</v>
      </c>
      <c r="M10" s="4" t="s">
        <v>308</v>
      </c>
      <c r="N10" s="4" t="s">
        <v>20</v>
      </c>
      <c r="O10" s="4" t="s">
        <v>309</v>
      </c>
      <c r="P10" s="4" t="s">
        <v>310</v>
      </c>
      <c r="Q10" s="4" t="s">
        <v>331</v>
      </c>
      <c r="R10" s="4" t="s">
        <v>311</v>
      </c>
      <c r="S10" s="4" t="s">
        <v>339</v>
      </c>
      <c r="T10" s="4" t="s">
        <v>318</v>
      </c>
      <c r="U10" s="4" t="s">
        <v>316</v>
      </c>
      <c r="V10" s="4" t="s">
        <v>317</v>
      </c>
    </row>
    <row r="11" spans="1:22" x14ac:dyDescent="0.25">
      <c r="A11" s="35">
        <v>40322</v>
      </c>
      <c r="B11" s="14">
        <v>0.60416666666666663</v>
      </c>
      <c r="C11" s="15">
        <v>13</v>
      </c>
      <c r="D11" s="15">
        <v>1</v>
      </c>
      <c r="E11" s="13">
        <v>40323</v>
      </c>
      <c r="F11" s="31" t="s">
        <v>307</v>
      </c>
      <c r="G11" s="41">
        <v>0.04</v>
      </c>
      <c r="H11" s="13">
        <v>40323</v>
      </c>
      <c r="I11" s="13">
        <v>45802</v>
      </c>
      <c r="J11" s="32">
        <f t="shared" ref="J11:J42" si="0">(+I11-E11)/365</f>
        <v>15.010958904109589</v>
      </c>
      <c r="K11" s="32">
        <f t="shared" ref="K11:K42" si="1">(+I11-H11)/365</f>
        <v>15.010958904109589</v>
      </c>
      <c r="L11" s="17">
        <v>100</v>
      </c>
      <c r="M11" s="19">
        <v>191.87</v>
      </c>
      <c r="N11" s="20">
        <f t="shared" ref="N11:N42" si="2">+IFERROR(M11/L11,"-")</f>
        <v>1.9187000000000001</v>
      </c>
      <c r="O11" s="19">
        <v>100.59</v>
      </c>
      <c r="P11" s="27">
        <v>0</v>
      </c>
      <c r="Q11" s="19" t="s">
        <v>334</v>
      </c>
      <c r="R11" s="19" t="s">
        <v>334</v>
      </c>
      <c r="S11" s="30">
        <v>4.4000000000000004E-2</v>
      </c>
      <c r="T11" s="34">
        <f t="shared" ref="T11:T74" si="3">+V11-U11</f>
        <v>95.8</v>
      </c>
      <c r="U11" s="34">
        <v>0</v>
      </c>
      <c r="V11" s="34">
        <v>95.8</v>
      </c>
    </row>
    <row r="12" spans="1:22" x14ac:dyDescent="0.25">
      <c r="A12" s="35">
        <v>40329</v>
      </c>
      <c r="B12" s="14">
        <v>0.60416666666666663</v>
      </c>
      <c r="C12" s="15">
        <v>13</v>
      </c>
      <c r="D12" s="15">
        <v>2</v>
      </c>
      <c r="E12" s="13">
        <v>40323</v>
      </c>
      <c r="F12" s="31" t="s">
        <v>307</v>
      </c>
      <c r="G12" s="41">
        <v>0.04</v>
      </c>
      <c r="H12" s="13">
        <v>40330</v>
      </c>
      <c r="I12" s="13">
        <v>45802</v>
      </c>
      <c r="J12" s="32">
        <f t="shared" si="0"/>
        <v>15.010958904109589</v>
      </c>
      <c r="K12" s="32">
        <f t="shared" si="1"/>
        <v>14.991780821917809</v>
      </c>
      <c r="L12" s="17">
        <v>100</v>
      </c>
      <c r="M12" s="19">
        <v>194.37</v>
      </c>
      <c r="N12" s="20">
        <f t="shared" si="2"/>
        <v>1.9437</v>
      </c>
      <c r="O12" s="19">
        <v>110</v>
      </c>
      <c r="P12" s="27">
        <v>0</v>
      </c>
      <c r="Q12" s="19" t="s">
        <v>334</v>
      </c>
      <c r="R12" s="19" t="s">
        <v>334</v>
      </c>
      <c r="S12" s="30">
        <v>4.3499999999999997E-2</v>
      </c>
      <c r="T12" s="34">
        <f t="shared" si="3"/>
        <v>96.28</v>
      </c>
      <c r="U12" s="34">
        <v>0.08</v>
      </c>
      <c r="V12" s="34">
        <v>96.36</v>
      </c>
    </row>
    <row r="13" spans="1:22" x14ac:dyDescent="0.25">
      <c r="A13" s="35">
        <v>40336</v>
      </c>
      <c r="B13" s="14">
        <v>0.60416666666666663</v>
      </c>
      <c r="C13" s="15">
        <v>13</v>
      </c>
      <c r="D13" s="15">
        <v>3</v>
      </c>
      <c r="E13" s="13">
        <v>40323</v>
      </c>
      <c r="F13" s="31" t="s">
        <v>307</v>
      </c>
      <c r="G13" s="41">
        <v>0.04</v>
      </c>
      <c r="H13" s="13">
        <v>40337</v>
      </c>
      <c r="I13" s="13">
        <v>45802</v>
      </c>
      <c r="J13" s="32">
        <f t="shared" si="0"/>
        <v>15.010958904109589</v>
      </c>
      <c r="K13" s="32">
        <f t="shared" si="1"/>
        <v>14.972602739726028</v>
      </c>
      <c r="L13" s="17">
        <v>100</v>
      </c>
      <c r="M13" s="19">
        <v>217.75</v>
      </c>
      <c r="N13" s="20">
        <f t="shared" si="2"/>
        <v>2.1775000000000002</v>
      </c>
      <c r="O13" s="19">
        <v>200</v>
      </c>
      <c r="P13" s="27">
        <v>0</v>
      </c>
      <c r="Q13" s="19" t="s">
        <v>334</v>
      </c>
      <c r="R13" s="19" t="s">
        <v>334</v>
      </c>
      <c r="S13" s="30">
        <v>4.5400000000000003E-2</v>
      </c>
      <c r="T13" s="34">
        <f t="shared" si="3"/>
        <v>94.399999999999991</v>
      </c>
      <c r="U13" s="34">
        <v>0.15</v>
      </c>
      <c r="V13" s="34">
        <v>94.55</v>
      </c>
    </row>
    <row r="14" spans="1:22" x14ac:dyDescent="0.25">
      <c r="A14" s="35">
        <v>40343</v>
      </c>
      <c r="B14" s="14">
        <v>0.60416666666666663</v>
      </c>
      <c r="C14" s="15">
        <v>13</v>
      </c>
      <c r="D14" s="15">
        <v>4</v>
      </c>
      <c r="E14" s="13">
        <v>40323</v>
      </c>
      <c r="F14" s="31" t="s">
        <v>307</v>
      </c>
      <c r="G14" s="41">
        <v>0.04</v>
      </c>
      <c r="H14" s="13">
        <v>40344</v>
      </c>
      <c r="I14" s="13">
        <v>45802</v>
      </c>
      <c r="J14" s="32">
        <f t="shared" si="0"/>
        <v>15.010958904109589</v>
      </c>
      <c r="K14" s="32">
        <f t="shared" si="1"/>
        <v>14.953424657534246</v>
      </c>
      <c r="L14" s="17">
        <v>100</v>
      </c>
      <c r="M14" s="19">
        <v>229.37</v>
      </c>
      <c r="N14" s="20">
        <f t="shared" si="2"/>
        <v>2.2936999999999999</v>
      </c>
      <c r="O14" s="19">
        <v>104.37</v>
      </c>
      <c r="P14" s="27">
        <v>0</v>
      </c>
      <c r="Q14" s="19" t="s">
        <v>334</v>
      </c>
      <c r="R14" s="19" t="s">
        <v>334</v>
      </c>
      <c r="S14" s="30">
        <v>4.5100000000000001E-2</v>
      </c>
      <c r="T14" s="34">
        <f t="shared" si="3"/>
        <v>94.679999999999993</v>
      </c>
      <c r="U14" s="34">
        <v>0.23</v>
      </c>
      <c r="V14" s="34">
        <v>94.91</v>
      </c>
    </row>
    <row r="15" spans="1:22" x14ac:dyDescent="0.25">
      <c r="A15" s="35">
        <v>40350</v>
      </c>
      <c r="B15" s="14">
        <v>0.60416666666666663</v>
      </c>
      <c r="C15" s="15">
        <v>13</v>
      </c>
      <c r="D15" s="15">
        <v>5</v>
      </c>
      <c r="E15" s="13">
        <v>40323</v>
      </c>
      <c r="F15" s="31" t="s">
        <v>307</v>
      </c>
      <c r="G15" s="41">
        <v>0.04</v>
      </c>
      <c r="H15" s="13">
        <v>40351</v>
      </c>
      <c r="I15" s="13">
        <v>45802</v>
      </c>
      <c r="J15" s="32">
        <f t="shared" si="0"/>
        <v>15.010958904109589</v>
      </c>
      <c r="K15" s="32">
        <f t="shared" si="1"/>
        <v>14.934246575342465</v>
      </c>
      <c r="L15" s="17">
        <v>100</v>
      </c>
      <c r="M15" s="19">
        <v>419.82</v>
      </c>
      <c r="N15" s="20">
        <f t="shared" si="2"/>
        <v>4.1981999999999999</v>
      </c>
      <c r="O15" s="19">
        <v>108.25</v>
      </c>
      <c r="P15" s="27">
        <v>0</v>
      </c>
      <c r="Q15" s="19" t="s">
        <v>334</v>
      </c>
      <c r="R15" s="19" t="s">
        <v>334</v>
      </c>
      <c r="S15" s="30">
        <v>4.0800000000000003E-2</v>
      </c>
      <c r="T15" s="34">
        <f t="shared" si="3"/>
        <v>99.11</v>
      </c>
      <c r="U15" s="34">
        <v>0.3</v>
      </c>
      <c r="V15" s="34">
        <v>99.41</v>
      </c>
    </row>
    <row r="16" spans="1:22" x14ac:dyDescent="0.25">
      <c r="A16" s="35">
        <v>40357</v>
      </c>
      <c r="B16" s="14">
        <v>0.60416666666666663</v>
      </c>
      <c r="C16" s="15">
        <v>13</v>
      </c>
      <c r="D16" s="15">
        <v>6</v>
      </c>
      <c r="E16" s="13">
        <v>40323</v>
      </c>
      <c r="F16" s="31" t="s">
        <v>307</v>
      </c>
      <c r="G16" s="41">
        <v>0.04</v>
      </c>
      <c r="H16" s="13">
        <v>40358</v>
      </c>
      <c r="I16" s="13">
        <v>45802</v>
      </c>
      <c r="J16" s="32">
        <f t="shared" si="0"/>
        <v>15.010958904109589</v>
      </c>
      <c r="K16" s="32">
        <f t="shared" si="1"/>
        <v>14.915068493150685</v>
      </c>
      <c r="L16" s="17">
        <v>100</v>
      </c>
      <c r="M16" s="19">
        <v>291.79000000000002</v>
      </c>
      <c r="N16" s="20">
        <f t="shared" si="2"/>
        <v>2.9179000000000004</v>
      </c>
      <c r="O16" s="19">
        <v>100.25</v>
      </c>
      <c r="P16" s="27">
        <v>0</v>
      </c>
      <c r="Q16" s="19" t="s">
        <v>334</v>
      </c>
      <c r="R16" s="19" t="s">
        <v>334</v>
      </c>
      <c r="S16" s="30">
        <v>3.7499999999999999E-2</v>
      </c>
      <c r="T16" s="34">
        <f t="shared" si="3"/>
        <v>102.62</v>
      </c>
      <c r="U16" s="34">
        <v>0.38</v>
      </c>
      <c r="V16" s="34">
        <v>103</v>
      </c>
    </row>
    <row r="17" spans="1:22" x14ac:dyDescent="0.25">
      <c r="A17" s="35">
        <v>40364</v>
      </c>
      <c r="B17" s="14">
        <v>0.60416666666666663</v>
      </c>
      <c r="C17" s="15">
        <v>13</v>
      </c>
      <c r="D17" s="15">
        <v>7</v>
      </c>
      <c r="E17" s="13">
        <v>40323</v>
      </c>
      <c r="F17" s="31" t="s">
        <v>307</v>
      </c>
      <c r="G17" s="41">
        <v>0.04</v>
      </c>
      <c r="H17" s="13">
        <v>40365</v>
      </c>
      <c r="I17" s="13">
        <v>45802</v>
      </c>
      <c r="J17" s="32">
        <f t="shared" si="0"/>
        <v>15.010958904109589</v>
      </c>
      <c r="K17" s="32">
        <f t="shared" si="1"/>
        <v>14.895890410958904</v>
      </c>
      <c r="L17" s="17">
        <v>100</v>
      </c>
      <c r="M17" s="19">
        <v>223.73</v>
      </c>
      <c r="N17" s="20">
        <f t="shared" si="2"/>
        <v>2.2372999999999998</v>
      </c>
      <c r="O17" s="19">
        <v>101.31</v>
      </c>
      <c r="P17" s="27">
        <v>0</v>
      </c>
      <c r="Q17" s="19" t="s">
        <v>334</v>
      </c>
      <c r="R17" s="19" t="s">
        <v>334</v>
      </c>
      <c r="S17" s="30">
        <v>3.7499999999999999E-2</v>
      </c>
      <c r="T17" s="34">
        <f t="shared" si="3"/>
        <v>102.7</v>
      </c>
      <c r="U17" s="34">
        <v>0.46</v>
      </c>
      <c r="V17" s="34">
        <v>103.16</v>
      </c>
    </row>
    <row r="18" spans="1:22" x14ac:dyDescent="0.25">
      <c r="A18" s="35">
        <v>40371</v>
      </c>
      <c r="B18" s="14">
        <v>0.60416666666666663</v>
      </c>
      <c r="C18" s="15">
        <v>13</v>
      </c>
      <c r="D18" s="15">
        <v>8</v>
      </c>
      <c r="E18" s="13">
        <v>40323</v>
      </c>
      <c r="F18" s="31" t="s">
        <v>307</v>
      </c>
      <c r="G18" s="41">
        <v>0.04</v>
      </c>
      <c r="H18" s="13">
        <v>40372</v>
      </c>
      <c r="I18" s="13">
        <v>45802</v>
      </c>
      <c r="J18" s="32">
        <f t="shared" si="0"/>
        <v>15.010958904109589</v>
      </c>
      <c r="K18" s="32">
        <f t="shared" si="1"/>
        <v>14.876712328767123</v>
      </c>
      <c r="L18" s="17">
        <v>100</v>
      </c>
      <c r="M18" s="19">
        <v>161.99</v>
      </c>
      <c r="N18" s="20">
        <f t="shared" si="2"/>
        <v>1.6199000000000001</v>
      </c>
      <c r="O18" s="19">
        <v>100</v>
      </c>
      <c r="P18" s="27">
        <v>0</v>
      </c>
      <c r="Q18" s="19" t="s">
        <v>334</v>
      </c>
      <c r="R18" s="19" t="s">
        <v>334</v>
      </c>
      <c r="S18" s="30">
        <v>3.8399999999999997E-2</v>
      </c>
      <c r="T18" s="34">
        <f t="shared" si="3"/>
        <v>101.7</v>
      </c>
      <c r="U18" s="34">
        <v>0.53</v>
      </c>
      <c r="V18" s="34">
        <v>102.23</v>
      </c>
    </row>
    <row r="19" spans="1:22" x14ac:dyDescent="0.25">
      <c r="A19" s="35">
        <v>40378</v>
      </c>
      <c r="B19" s="14">
        <v>0.60416666666666663</v>
      </c>
      <c r="C19" s="15">
        <v>13</v>
      </c>
      <c r="D19" s="15">
        <v>9</v>
      </c>
      <c r="E19" s="13">
        <v>40323</v>
      </c>
      <c r="F19" s="31" t="s">
        <v>307</v>
      </c>
      <c r="G19" s="41">
        <v>0.04</v>
      </c>
      <c r="H19" s="13">
        <v>40379</v>
      </c>
      <c r="I19" s="13">
        <v>45802</v>
      </c>
      <c r="J19" s="32">
        <f t="shared" si="0"/>
        <v>15.010958904109589</v>
      </c>
      <c r="K19" s="32">
        <f t="shared" si="1"/>
        <v>14.857534246575343</v>
      </c>
      <c r="L19" s="17">
        <v>100</v>
      </c>
      <c r="M19" s="19">
        <v>85</v>
      </c>
      <c r="N19" s="20">
        <f t="shared" si="2"/>
        <v>0.85</v>
      </c>
      <c r="O19" s="19">
        <v>35</v>
      </c>
      <c r="P19" s="27">
        <v>0</v>
      </c>
      <c r="Q19" s="19" t="s">
        <v>334</v>
      </c>
      <c r="R19" s="19" t="s">
        <v>334</v>
      </c>
      <c r="S19" s="30">
        <v>3.8399999999999997E-2</v>
      </c>
      <c r="T19" s="34">
        <f t="shared" si="3"/>
        <v>101.72</v>
      </c>
      <c r="U19" s="34">
        <v>0.61</v>
      </c>
      <c r="V19" s="34">
        <v>102.33</v>
      </c>
    </row>
    <row r="20" spans="1:22" x14ac:dyDescent="0.25">
      <c r="A20" s="35">
        <v>40385</v>
      </c>
      <c r="B20" s="14">
        <v>0.60416666666666663</v>
      </c>
      <c r="C20" s="15">
        <v>13</v>
      </c>
      <c r="D20" s="15">
        <v>10</v>
      </c>
      <c r="E20" s="13">
        <v>40323</v>
      </c>
      <c r="F20" s="31" t="s">
        <v>307</v>
      </c>
      <c r="G20" s="41">
        <v>0.04</v>
      </c>
      <c r="H20" s="13">
        <v>40386</v>
      </c>
      <c r="I20" s="13">
        <v>45802</v>
      </c>
      <c r="J20" s="32">
        <f t="shared" si="0"/>
        <v>15.010958904109589</v>
      </c>
      <c r="K20" s="32">
        <f t="shared" si="1"/>
        <v>14.838356164383562</v>
      </c>
      <c r="L20" s="17">
        <v>100</v>
      </c>
      <c r="M20" s="19">
        <v>173</v>
      </c>
      <c r="N20" s="20">
        <f t="shared" si="2"/>
        <v>1.73</v>
      </c>
      <c r="O20" s="19">
        <v>59</v>
      </c>
      <c r="P20" s="27">
        <v>0</v>
      </c>
      <c r="Q20" s="19" t="s">
        <v>334</v>
      </c>
      <c r="R20" s="19" t="s">
        <v>334</v>
      </c>
      <c r="S20" s="30">
        <v>3.8399999999999997E-2</v>
      </c>
      <c r="T20" s="34">
        <f t="shared" si="3"/>
        <v>101.72</v>
      </c>
      <c r="U20" s="34">
        <v>0.68</v>
      </c>
      <c r="V20" s="34">
        <v>102.4</v>
      </c>
    </row>
    <row r="21" spans="1:22" x14ac:dyDescent="0.25">
      <c r="A21" s="35">
        <v>40392</v>
      </c>
      <c r="B21" s="14">
        <v>0.60416666666666663</v>
      </c>
      <c r="C21" s="15">
        <v>13</v>
      </c>
      <c r="D21" s="15">
        <v>11</v>
      </c>
      <c r="E21" s="13">
        <v>40323</v>
      </c>
      <c r="F21" s="31" t="s">
        <v>307</v>
      </c>
      <c r="G21" s="41">
        <v>0.04</v>
      </c>
      <c r="H21" s="13">
        <v>40393</v>
      </c>
      <c r="I21" s="13">
        <v>45802</v>
      </c>
      <c r="J21" s="32">
        <f t="shared" si="0"/>
        <v>15.010958904109589</v>
      </c>
      <c r="K21" s="32">
        <f t="shared" si="1"/>
        <v>14.819178082191781</v>
      </c>
      <c r="L21" s="17">
        <v>100</v>
      </c>
      <c r="M21" s="19">
        <v>287.3</v>
      </c>
      <c r="N21" s="20">
        <f t="shared" si="2"/>
        <v>2.8730000000000002</v>
      </c>
      <c r="O21" s="19">
        <v>100</v>
      </c>
      <c r="P21" s="27">
        <v>0</v>
      </c>
      <c r="Q21" s="19" t="s">
        <v>334</v>
      </c>
      <c r="R21" s="19" t="s">
        <v>334</v>
      </c>
      <c r="S21" s="30">
        <v>3.7499999999999999E-2</v>
      </c>
      <c r="T21" s="34">
        <f t="shared" si="3"/>
        <v>102.66</v>
      </c>
      <c r="U21" s="34">
        <v>0.76</v>
      </c>
      <c r="V21" s="34">
        <v>103.42</v>
      </c>
    </row>
    <row r="22" spans="1:22" x14ac:dyDescent="0.25">
      <c r="A22" s="35">
        <v>40399</v>
      </c>
      <c r="B22" s="14">
        <v>0.60416666666666663</v>
      </c>
      <c r="C22" s="15">
        <v>13</v>
      </c>
      <c r="D22" s="15">
        <v>12</v>
      </c>
      <c r="E22" s="13">
        <v>40323</v>
      </c>
      <c r="F22" s="31" t="s">
        <v>307</v>
      </c>
      <c r="G22" s="41">
        <v>0.04</v>
      </c>
      <c r="H22" s="13">
        <v>40400</v>
      </c>
      <c r="I22" s="13">
        <v>45802</v>
      </c>
      <c r="J22" s="32">
        <f t="shared" si="0"/>
        <v>15.010958904109589</v>
      </c>
      <c r="K22" s="32">
        <f t="shared" si="1"/>
        <v>14.8</v>
      </c>
      <c r="L22" s="17">
        <v>100</v>
      </c>
      <c r="M22" s="19">
        <v>256.99</v>
      </c>
      <c r="N22" s="20">
        <f t="shared" si="2"/>
        <v>2.5699000000000001</v>
      </c>
      <c r="O22" s="19">
        <v>100</v>
      </c>
      <c r="P22" s="27">
        <v>0</v>
      </c>
      <c r="Q22" s="19" t="s">
        <v>334</v>
      </c>
      <c r="R22" s="19" t="s">
        <v>334</v>
      </c>
      <c r="S22" s="30">
        <v>3.4099999999999998E-2</v>
      </c>
      <c r="T22" s="34">
        <f t="shared" si="3"/>
        <v>106.36</v>
      </c>
      <c r="U22" s="34">
        <v>0.84</v>
      </c>
      <c r="V22" s="34">
        <v>107.2</v>
      </c>
    </row>
    <row r="23" spans="1:22" x14ac:dyDescent="0.25">
      <c r="A23" s="35">
        <v>40406</v>
      </c>
      <c r="B23" s="14">
        <v>0.60416666666666663</v>
      </c>
      <c r="C23" s="15">
        <v>13</v>
      </c>
      <c r="D23" s="15">
        <v>13</v>
      </c>
      <c r="E23" s="13">
        <v>40323</v>
      </c>
      <c r="F23" s="31" t="s">
        <v>307</v>
      </c>
      <c r="G23" s="41">
        <v>0.04</v>
      </c>
      <c r="H23" s="13">
        <v>40407</v>
      </c>
      <c r="I23" s="13">
        <v>45802</v>
      </c>
      <c r="J23" s="32">
        <f t="shared" si="0"/>
        <v>15.010958904109589</v>
      </c>
      <c r="K23" s="32">
        <f t="shared" si="1"/>
        <v>14.780821917808218</v>
      </c>
      <c r="L23" s="17">
        <v>100</v>
      </c>
      <c r="M23" s="19">
        <v>102.1</v>
      </c>
      <c r="N23" s="20">
        <f t="shared" si="2"/>
        <v>1.0209999999999999</v>
      </c>
      <c r="O23" s="19">
        <v>100</v>
      </c>
      <c r="P23" s="27">
        <v>0</v>
      </c>
      <c r="Q23" s="19" t="s">
        <v>334</v>
      </c>
      <c r="R23" s="19" t="s">
        <v>334</v>
      </c>
      <c r="S23" s="30">
        <v>3.4300000000000004E-2</v>
      </c>
      <c r="T23" s="34">
        <f t="shared" si="3"/>
        <v>106.2</v>
      </c>
      <c r="U23" s="34">
        <v>0.91</v>
      </c>
      <c r="V23" s="34">
        <v>107.11</v>
      </c>
    </row>
    <row r="24" spans="1:22" x14ac:dyDescent="0.25">
      <c r="A24" s="35">
        <v>40413</v>
      </c>
      <c r="B24" s="14">
        <v>0.60416666666666663</v>
      </c>
      <c r="C24" s="15">
        <v>13</v>
      </c>
      <c r="D24" s="15">
        <v>14</v>
      </c>
      <c r="E24" s="13">
        <v>40323</v>
      </c>
      <c r="F24" s="31" t="s">
        <v>307</v>
      </c>
      <c r="G24" s="41">
        <v>0.04</v>
      </c>
      <c r="H24" s="13">
        <v>40414</v>
      </c>
      <c r="I24" s="13">
        <v>45802</v>
      </c>
      <c r="J24" s="32">
        <f t="shared" si="0"/>
        <v>15.010958904109589</v>
      </c>
      <c r="K24" s="32">
        <f t="shared" si="1"/>
        <v>14.761643835616438</v>
      </c>
      <c r="L24" s="17">
        <v>100</v>
      </c>
      <c r="M24" s="19">
        <v>95.56</v>
      </c>
      <c r="N24" s="20">
        <f t="shared" si="2"/>
        <v>0.9556</v>
      </c>
      <c r="O24" s="19">
        <v>50.21</v>
      </c>
      <c r="P24" s="27">
        <v>0</v>
      </c>
      <c r="Q24" s="19" t="s">
        <v>334</v>
      </c>
      <c r="R24" s="19" t="s">
        <v>334</v>
      </c>
      <c r="S24" s="30">
        <v>3.4300000000000004E-2</v>
      </c>
      <c r="T24" s="34">
        <f t="shared" si="3"/>
        <v>106.15</v>
      </c>
      <c r="U24" s="34">
        <v>0.99</v>
      </c>
      <c r="V24" s="34">
        <v>107.14</v>
      </c>
    </row>
    <row r="25" spans="1:22" x14ac:dyDescent="0.25">
      <c r="A25" s="35">
        <v>40420</v>
      </c>
      <c r="B25" s="14">
        <v>0.60416666666666663</v>
      </c>
      <c r="C25" s="15">
        <v>13</v>
      </c>
      <c r="D25" s="15">
        <v>15</v>
      </c>
      <c r="E25" s="13">
        <v>40323</v>
      </c>
      <c r="F25" s="31" t="s">
        <v>307</v>
      </c>
      <c r="G25" s="41">
        <v>0.04</v>
      </c>
      <c r="H25" s="13">
        <v>40421</v>
      </c>
      <c r="I25" s="13">
        <v>45802</v>
      </c>
      <c r="J25" s="32">
        <f t="shared" si="0"/>
        <v>15.010958904109589</v>
      </c>
      <c r="K25" s="32">
        <f t="shared" si="1"/>
        <v>14.742465753424657</v>
      </c>
      <c r="L25" s="17">
        <v>100</v>
      </c>
      <c r="M25" s="19">
        <v>131.32</v>
      </c>
      <c r="N25" s="20">
        <f t="shared" si="2"/>
        <v>1.3131999999999999</v>
      </c>
      <c r="O25" s="19">
        <v>51</v>
      </c>
      <c r="P25" s="27">
        <v>0</v>
      </c>
      <c r="Q25" s="19" t="s">
        <v>334</v>
      </c>
      <c r="R25" s="19" t="s">
        <v>334</v>
      </c>
      <c r="S25" s="30">
        <v>3.4300000000000004E-2</v>
      </c>
      <c r="T25" s="34">
        <f t="shared" si="3"/>
        <v>106.14</v>
      </c>
      <c r="U25" s="34">
        <v>1.07</v>
      </c>
      <c r="V25" s="34">
        <v>107.21</v>
      </c>
    </row>
    <row r="26" spans="1:22" x14ac:dyDescent="0.25">
      <c r="A26" s="35">
        <v>40427</v>
      </c>
      <c r="B26" s="14">
        <v>0.60416666666666663</v>
      </c>
      <c r="C26" s="15">
        <v>13</v>
      </c>
      <c r="D26" s="15">
        <v>16</v>
      </c>
      <c r="E26" s="13">
        <v>40323</v>
      </c>
      <c r="F26" s="31" t="s">
        <v>307</v>
      </c>
      <c r="G26" s="41">
        <v>0.04</v>
      </c>
      <c r="H26" s="13">
        <v>40428</v>
      </c>
      <c r="I26" s="13">
        <v>45802</v>
      </c>
      <c r="J26" s="32">
        <f t="shared" si="0"/>
        <v>15.010958904109589</v>
      </c>
      <c r="K26" s="32">
        <f t="shared" si="1"/>
        <v>14.723287671232876</v>
      </c>
      <c r="L26" s="17">
        <v>100</v>
      </c>
      <c r="M26" s="19">
        <v>136.69</v>
      </c>
      <c r="N26" s="20">
        <f t="shared" si="2"/>
        <v>1.3669</v>
      </c>
      <c r="O26" s="19">
        <v>51.54</v>
      </c>
      <c r="P26" s="27">
        <v>0</v>
      </c>
      <c r="Q26" s="19" t="s">
        <v>334</v>
      </c>
      <c r="R26" s="19" t="s">
        <v>334</v>
      </c>
      <c r="S26" s="30">
        <v>3.4200000000000001E-2</v>
      </c>
      <c r="T26" s="34">
        <f t="shared" si="3"/>
        <v>106.31</v>
      </c>
      <c r="U26" s="34">
        <v>1.1399999999999999</v>
      </c>
      <c r="V26" s="34">
        <v>107.45</v>
      </c>
    </row>
    <row r="27" spans="1:22" x14ac:dyDescent="0.25">
      <c r="A27" s="35">
        <v>40434</v>
      </c>
      <c r="B27" s="14">
        <v>0.60416666666666663</v>
      </c>
      <c r="C27" s="15">
        <v>13</v>
      </c>
      <c r="D27" s="15">
        <v>17</v>
      </c>
      <c r="E27" s="13">
        <v>40323</v>
      </c>
      <c r="F27" s="31" t="s">
        <v>307</v>
      </c>
      <c r="G27" s="41">
        <v>0.04</v>
      </c>
      <c r="H27" s="13">
        <v>40435</v>
      </c>
      <c r="I27" s="13">
        <v>45802</v>
      </c>
      <c r="J27" s="32">
        <f t="shared" si="0"/>
        <v>15.010958904109589</v>
      </c>
      <c r="K27" s="32">
        <f t="shared" si="1"/>
        <v>14.704109589041096</v>
      </c>
      <c r="L27" s="17">
        <v>100</v>
      </c>
      <c r="M27" s="19">
        <v>159.53</v>
      </c>
      <c r="N27" s="20">
        <f t="shared" si="2"/>
        <v>1.5952999999999999</v>
      </c>
      <c r="O27" s="19">
        <v>99.53</v>
      </c>
      <c r="P27" s="27">
        <v>0</v>
      </c>
      <c r="Q27" s="19" t="s">
        <v>334</v>
      </c>
      <c r="R27" s="19" t="s">
        <v>334</v>
      </c>
      <c r="S27" s="30">
        <v>3.4500000000000003E-2</v>
      </c>
      <c r="T27" s="34">
        <f t="shared" si="3"/>
        <v>105.96000000000001</v>
      </c>
      <c r="U27" s="34">
        <v>1.22</v>
      </c>
      <c r="V27" s="34">
        <v>107.18</v>
      </c>
    </row>
    <row r="28" spans="1:22" x14ac:dyDescent="0.25">
      <c r="A28" s="35">
        <v>40441</v>
      </c>
      <c r="B28" s="14">
        <v>0.60416666666666663</v>
      </c>
      <c r="C28" s="15">
        <v>13</v>
      </c>
      <c r="D28" s="15">
        <v>18</v>
      </c>
      <c r="E28" s="13">
        <v>40323</v>
      </c>
      <c r="F28" s="31" t="s">
        <v>307</v>
      </c>
      <c r="G28" s="41">
        <v>0.04</v>
      </c>
      <c r="H28" s="13">
        <v>40442</v>
      </c>
      <c r="I28" s="13">
        <v>45802</v>
      </c>
      <c r="J28" s="32">
        <f t="shared" si="0"/>
        <v>15.010958904109589</v>
      </c>
      <c r="K28" s="32">
        <f t="shared" si="1"/>
        <v>14.684931506849315</v>
      </c>
      <c r="L28" s="17">
        <v>100</v>
      </c>
      <c r="M28" s="19">
        <v>151.41</v>
      </c>
      <c r="N28" s="20">
        <f t="shared" si="2"/>
        <v>1.5141</v>
      </c>
      <c r="O28" s="19">
        <v>100</v>
      </c>
      <c r="P28" s="27">
        <v>0</v>
      </c>
      <c r="Q28" s="19" t="s">
        <v>334</v>
      </c>
      <c r="R28" s="19" t="s">
        <v>334</v>
      </c>
      <c r="S28" s="30">
        <v>3.4700000000000002E-2</v>
      </c>
      <c r="T28" s="34">
        <f t="shared" si="3"/>
        <v>105.66999999999999</v>
      </c>
      <c r="U28" s="34">
        <v>1.29</v>
      </c>
      <c r="V28" s="34">
        <v>106.96</v>
      </c>
    </row>
    <row r="29" spans="1:22" x14ac:dyDescent="0.25">
      <c r="A29" s="35">
        <v>40448</v>
      </c>
      <c r="B29" s="14">
        <v>0.60416666666666663</v>
      </c>
      <c r="C29" s="15">
        <v>13</v>
      </c>
      <c r="D29" s="15">
        <v>19</v>
      </c>
      <c r="E29" s="13">
        <v>40323</v>
      </c>
      <c r="F29" s="31" t="s">
        <v>307</v>
      </c>
      <c r="G29" s="41">
        <v>0.04</v>
      </c>
      <c r="H29" s="13">
        <v>40449</v>
      </c>
      <c r="I29" s="13">
        <v>45802</v>
      </c>
      <c r="J29" s="32">
        <f t="shared" si="0"/>
        <v>15.010958904109589</v>
      </c>
      <c r="K29" s="32">
        <f t="shared" si="1"/>
        <v>14.665753424657535</v>
      </c>
      <c r="L29" s="17">
        <v>100</v>
      </c>
      <c r="M29" s="19">
        <v>75.75</v>
      </c>
      <c r="N29" s="20">
        <f t="shared" si="2"/>
        <v>0.75749999999999995</v>
      </c>
      <c r="O29" s="19">
        <v>35.75</v>
      </c>
      <c r="P29" s="27">
        <v>0</v>
      </c>
      <c r="Q29" s="19" t="s">
        <v>334</v>
      </c>
      <c r="R29" s="19" t="s">
        <v>334</v>
      </c>
      <c r="S29" s="30">
        <v>3.5099999999999999E-2</v>
      </c>
      <c r="T29" s="34">
        <f t="shared" si="3"/>
        <v>105.22999999999999</v>
      </c>
      <c r="U29" s="34">
        <v>1.37</v>
      </c>
      <c r="V29" s="34">
        <v>106.6</v>
      </c>
    </row>
    <row r="30" spans="1:22" x14ac:dyDescent="0.25">
      <c r="A30" s="35">
        <v>40455</v>
      </c>
      <c r="B30" s="14">
        <v>0.60416666666666663</v>
      </c>
      <c r="C30" s="15">
        <v>13</v>
      </c>
      <c r="D30" s="15">
        <v>20</v>
      </c>
      <c r="E30" s="13">
        <v>40323</v>
      </c>
      <c r="F30" s="31" t="s">
        <v>307</v>
      </c>
      <c r="G30" s="41">
        <v>0.04</v>
      </c>
      <c r="H30" s="13">
        <v>40456</v>
      </c>
      <c r="I30" s="13">
        <v>45802</v>
      </c>
      <c r="J30" s="32">
        <f t="shared" si="0"/>
        <v>15.010958904109589</v>
      </c>
      <c r="K30" s="32">
        <f t="shared" si="1"/>
        <v>14.646575342465754</v>
      </c>
      <c r="L30" s="17">
        <v>100</v>
      </c>
      <c r="M30" s="19">
        <v>46</v>
      </c>
      <c r="N30" s="20">
        <f t="shared" si="2"/>
        <v>0.46</v>
      </c>
      <c r="O30" s="19">
        <v>41</v>
      </c>
      <c r="P30" s="27">
        <v>0</v>
      </c>
      <c r="Q30" s="19" t="s">
        <v>334</v>
      </c>
      <c r="R30" s="19" t="s">
        <v>334</v>
      </c>
      <c r="S30" s="30">
        <v>3.5699999999999996E-2</v>
      </c>
      <c r="T30" s="34">
        <f t="shared" si="3"/>
        <v>104.6</v>
      </c>
      <c r="U30" s="34">
        <v>1.45</v>
      </c>
      <c r="V30" s="34">
        <v>106.05</v>
      </c>
    </row>
    <row r="31" spans="1:22" x14ac:dyDescent="0.25">
      <c r="A31" s="35">
        <v>40463</v>
      </c>
      <c r="B31" s="14">
        <v>0.60416666666666663</v>
      </c>
      <c r="C31" s="15">
        <v>13</v>
      </c>
      <c r="D31" s="15">
        <v>21</v>
      </c>
      <c r="E31" s="13">
        <v>40323</v>
      </c>
      <c r="F31" s="31" t="s">
        <v>307</v>
      </c>
      <c r="G31" s="41">
        <v>0.04</v>
      </c>
      <c r="H31" s="13">
        <v>40464</v>
      </c>
      <c r="I31" s="13">
        <v>45802</v>
      </c>
      <c r="J31" s="32">
        <f t="shared" si="0"/>
        <v>15.010958904109589</v>
      </c>
      <c r="K31" s="32">
        <f t="shared" si="1"/>
        <v>14.624657534246575</v>
      </c>
      <c r="L31" s="17">
        <v>100</v>
      </c>
      <c r="M31" s="19">
        <v>90.2</v>
      </c>
      <c r="N31" s="20">
        <f t="shared" si="2"/>
        <v>0.90200000000000002</v>
      </c>
      <c r="O31" s="19">
        <v>37.700000000000003</v>
      </c>
      <c r="P31" s="27">
        <v>0</v>
      </c>
      <c r="Q31" s="19" t="s">
        <v>334</v>
      </c>
      <c r="R31" s="19" t="s">
        <v>334</v>
      </c>
      <c r="S31" s="30">
        <v>3.6000000000000004E-2</v>
      </c>
      <c r="T31" s="34">
        <f t="shared" si="3"/>
        <v>104.25</v>
      </c>
      <c r="U31" s="34">
        <v>1.53</v>
      </c>
      <c r="V31" s="34">
        <v>105.78</v>
      </c>
    </row>
    <row r="32" spans="1:22" x14ac:dyDescent="0.25">
      <c r="A32" s="35">
        <v>40469</v>
      </c>
      <c r="B32" s="14">
        <v>0.60416666666666663</v>
      </c>
      <c r="C32" s="15">
        <v>13</v>
      </c>
      <c r="D32" s="15">
        <v>22</v>
      </c>
      <c r="E32" s="13">
        <v>40323</v>
      </c>
      <c r="F32" s="31" t="s">
        <v>307</v>
      </c>
      <c r="G32" s="41">
        <v>0.04</v>
      </c>
      <c r="H32" s="13">
        <v>40470</v>
      </c>
      <c r="I32" s="13">
        <v>45802</v>
      </c>
      <c r="J32" s="32">
        <f t="shared" si="0"/>
        <v>15.010958904109589</v>
      </c>
      <c r="K32" s="32">
        <f t="shared" si="1"/>
        <v>14.608219178082193</v>
      </c>
      <c r="L32" s="17">
        <v>100</v>
      </c>
      <c r="M32" s="19">
        <v>106.35</v>
      </c>
      <c r="N32" s="20">
        <f t="shared" si="2"/>
        <v>1.0634999999999999</v>
      </c>
      <c r="O32" s="19">
        <v>53.35</v>
      </c>
      <c r="P32" s="27">
        <v>0</v>
      </c>
      <c r="Q32" s="19" t="s">
        <v>334</v>
      </c>
      <c r="R32" s="19" t="s">
        <v>334</v>
      </c>
      <c r="S32" s="30">
        <v>3.56E-2</v>
      </c>
      <c r="T32" s="34">
        <f t="shared" si="3"/>
        <v>104.7</v>
      </c>
      <c r="U32" s="34">
        <v>1.6</v>
      </c>
      <c r="V32" s="34">
        <v>106.3</v>
      </c>
    </row>
    <row r="33" spans="1:22" x14ac:dyDescent="0.25">
      <c r="A33" s="35">
        <v>40476</v>
      </c>
      <c r="B33" s="14">
        <v>0.60416666666666663</v>
      </c>
      <c r="C33" s="15">
        <v>13</v>
      </c>
      <c r="D33" s="15">
        <v>23</v>
      </c>
      <c r="E33" s="13">
        <v>40323</v>
      </c>
      <c r="F33" s="31" t="s">
        <v>307</v>
      </c>
      <c r="G33" s="41">
        <v>0.04</v>
      </c>
      <c r="H33" s="13">
        <v>40477</v>
      </c>
      <c r="I33" s="13">
        <v>45802</v>
      </c>
      <c r="J33" s="32">
        <f t="shared" si="0"/>
        <v>15.010958904109589</v>
      </c>
      <c r="K33" s="32">
        <f t="shared" si="1"/>
        <v>14.58904109589041</v>
      </c>
      <c r="L33" s="17">
        <v>100</v>
      </c>
      <c r="M33" s="19">
        <v>140.58000000000001</v>
      </c>
      <c r="N33" s="20">
        <f t="shared" si="2"/>
        <v>1.4058000000000002</v>
      </c>
      <c r="O33" s="19">
        <v>45.58</v>
      </c>
      <c r="P33" s="27">
        <v>0</v>
      </c>
      <c r="Q33" s="19" t="s">
        <v>334</v>
      </c>
      <c r="R33" s="19" t="s">
        <v>334</v>
      </c>
      <c r="S33" s="30">
        <v>3.4700000000000002E-2</v>
      </c>
      <c r="T33" s="34">
        <f t="shared" si="3"/>
        <v>105.73</v>
      </c>
      <c r="U33" s="34">
        <v>1.67</v>
      </c>
      <c r="V33" s="34">
        <v>107.4</v>
      </c>
    </row>
    <row r="34" spans="1:22" x14ac:dyDescent="0.25">
      <c r="A34" s="35">
        <v>40483</v>
      </c>
      <c r="B34" s="14">
        <v>0.60416666666666663</v>
      </c>
      <c r="C34" s="15">
        <v>13</v>
      </c>
      <c r="D34" s="15">
        <v>24</v>
      </c>
      <c r="E34" s="13">
        <v>40323</v>
      </c>
      <c r="F34" s="31" t="s">
        <v>307</v>
      </c>
      <c r="G34" s="41">
        <v>0.04</v>
      </c>
      <c r="H34" s="13">
        <v>40485</v>
      </c>
      <c r="I34" s="13">
        <v>45802</v>
      </c>
      <c r="J34" s="32">
        <f t="shared" si="0"/>
        <v>15.010958904109589</v>
      </c>
      <c r="K34" s="32">
        <f t="shared" si="1"/>
        <v>14.567123287671233</v>
      </c>
      <c r="L34" s="17">
        <v>100</v>
      </c>
      <c r="M34" s="19">
        <v>140.52000000000001</v>
      </c>
      <c r="N34" s="20">
        <f t="shared" si="2"/>
        <v>1.4052</v>
      </c>
      <c r="O34" s="19">
        <v>45.42</v>
      </c>
      <c r="P34" s="27">
        <v>0</v>
      </c>
      <c r="Q34" s="19" t="s">
        <v>334</v>
      </c>
      <c r="R34" s="19" t="s">
        <v>334</v>
      </c>
      <c r="S34" s="30">
        <v>3.4200000000000001E-2</v>
      </c>
      <c r="T34" s="34">
        <f t="shared" si="3"/>
        <v>106.22</v>
      </c>
      <c r="U34" s="34">
        <v>1.76</v>
      </c>
      <c r="V34" s="34">
        <v>107.98</v>
      </c>
    </row>
    <row r="35" spans="1:22" x14ac:dyDescent="0.25">
      <c r="A35" s="35">
        <v>40490</v>
      </c>
      <c r="B35" s="14">
        <v>0.60416666666666663</v>
      </c>
      <c r="C35" s="15">
        <v>13</v>
      </c>
      <c r="D35" s="15">
        <v>25</v>
      </c>
      <c r="E35" s="13">
        <v>40323</v>
      </c>
      <c r="F35" s="31" t="s">
        <v>307</v>
      </c>
      <c r="G35" s="41">
        <v>0.04</v>
      </c>
      <c r="H35" s="13">
        <v>40491</v>
      </c>
      <c r="I35" s="13">
        <v>45802</v>
      </c>
      <c r="J35" s="32">
        <f t="shared" si="0"/>
        <v>15.010958904109589</v>
      </c>
      <c r="K35" s="32">
        <f t="shared" si="1"/>
        <v>14.550684931506849</v>
      </c>
      <c r="L35" s="17">
        <v>100</v>
      </c>
      <c r="M35" s="19">
        <v>146.5</v>
      </c>
      <c r="N35" s="20">
        <f t="shared" si="2"/>
        <v>1.4650000000000001</v>
      </c>
      <c r="O35" s="19">
        <v>81.349999999999994</v>
      </c>
      <c r="P35" s="27">
        <v>0</v>
      </c>
      <c r="Q35" s="19" t="s">
        <v>334</v>
      </c>
      <c r="R35" s="19" t="s">
        <v>334</v>
      </c>
      <c r="S35" s="30">
        <v>3.4099999999999998E-2</v>
      </c>
      <c r="T35" s="34">
        <f t="shared" si="3"/>
        <v>106.32000000000001</v>
      </c>
      <c r="U35" s="34">
        <v>1.83</v>
      </c>
      <c r="V35" s="34">
        <v>108.15</v>
      </c>
    </row>
    <row r="36" spans="1:22" x14ac:dyDescent="0.25">
      <c r="A36" s="35">
        <v>40497</v>
      </c>
      <c r="B36" s="14">
        <v>0.60416666666666663</v>
      </c>
      <c r="C36" s="15">
        <v>13</v>
      </c>
      <c r="D36" s="15">
        <v>26</v>
      </c>
      <c r="E36" s="13">
        <v>40323</v>
      </c>
      <c r="F36" s="31" t="s">
        <v>307</v>
      </c>
      <c r="G36" s="41">
        <v>0.04</v>
      </c>
      <c r="H36" s="13">
        <v>40498</v>
      </c>
      <c r="I36" s="13">
        <v>45802</v>
      </c>
      <c r="J36" s="32">
        <f t="shared" si="0"/>
        <v>15.010958904109589</v>
      </c>
      <c r="K36" s="32">
        <f t="shared" si="1"/>
        <v>14.531506849315068</v>
      </c>
      <c r="L36" s="17">
        <v>100</v>
      </c>
      <c r="M36" s="19">
        <v>115.3</v>
      </c>
      <c r="N36" s="20">
        <f t="shared" si="2"/>
        <v>1.153</v>
      </c>
      <c r="O36" s="19">
        <v>35</v>
      </c>
      <c r="P36" s="27">
        <v>0</v>
      </c>
      <c r="Q36" s="19" t="s">
        <v>334</v>
      </c>
      <c r="R36" s="19" t="s">
        <v>334</v>
      </c>
      <c r="S36" s="30">
        <v>3.39E-2</v>
      </c>
      <c r="T36" s="34">
        <f t="shared" si="3"/>
        <v>106.6</v>
      </c>
      <c r="U36" s="34">
        <v>1.9</v>
      </c>
      <c r="V36" s="34">
        <v>108.5</v>
      </c>
    </row>
    <row r="37" spans="1:22" x14ac:dyDescent="0.25">
      <c r="A37" s="35">
        <v>40504</v>
      </c>
      <c r="B37" s="14">
        <v>0.60416666666666663</v>
      </c>
      <c r="C37" s="15">
        <v>13</v>
      </c>
      <c r="D37" s="15">
        <v>27</v>
      </c>
      <c r="E37" s="13">
        <v>40323</v>
      </c>
      <c r="F37" s="31" t="s">
        <v>307</v>
      </c>
      <c r="G37" s="41">
        <v>0.04</v>
      </c>
      <c r="H37" s="13">
        <v>40505</v>
      </c>
      <c r="I37" s="13">
        <v>45802</v>
      </c>
      <c r="J37" s="32">
        <f t="shared" si="0"/>
        <v>15.010958904109589</v>
      </c>
      <c r="K37" s="32">
        <f t="shared" si="1"/>
        <v>14.512328767123288</v>
      </c>
      <c r="L37" s="17">
        <v>100</v>
      </c>
      <c r="M37" s="19">
        <v>65.599999999999994</v>
      </c>
      <c r="N37" s="20">
        <f t="shared" si="2"/>
        <v>0.65599999999999992</v>
      </c>
      <c r="O37" s="19">
        <v>60.6</v>
      </c>
      <c r="P37" s="27">
        <v>0</v>
      </c>
      <c r="Q37" s="19" t="s">
        <v>334</v>
      </c>
      <c r="R37" s="19" t="s">
        <v>334</v>
      </c>
      <c r="S37" s="30">
        <v>3.4700000000000002E-2</v>
      </c>
      <c r="T37" s="34">
        <f t="shared" si="3"/>
        <v>105.71</v>
      </c>
      <c r="U37" s="34">
        <v>1.98</v>
      </c>
      <c r="V37" s="34">
        <v>107.69</v>
      </c>
    </row>
    <row r="38" spans="1:22" x14ac:dyDescent="0.25">
      <c r="A38" s="35">
        <v>40511</v>
      </c>
      <c r="B38" s="14">
        <v>0.60416666666666663</v>
      </c>
      <c r="C38" s="15">
        <v>13</v>
      </c>
      <c r="D38" s="15">
        <v>28</v>
      </c>
      <c r="E38" s="13">
        <v>40323</v>
      </c>
      <c r="F38" s="31" t="s">
        <v>307</v>
      </c>
      <c r="G38" s="41">
        <v>0.04</v>
      </c>
      <c r="H38" s="13">
        <v>40512</v>
      </c>
      <c r="I38" s="13">
        <v>45802</v>
      </c>
      <c r="J38" s="32">
        <f t="shared" si="0"/>
        <v>15.010958904109589</v>
      </c>
      <c r="K38" s="32">
        <f t="shared" si="1"/>
        <v>14.493150684931507</v>
      </c>
      <c r="L38" s="17">
        <v>100</v>
      </c>
      <c r="M38" s="19">
        <v>85.25</v>
      </c>
      <c r="N38" s="20">
        <f t="shared" si="2"/>
        <v>0.85250000000000004</v>
      </c>
      <c r="O38" s="19">
        <v>15</v>
      </c>
      <c r="P38" s="27">
        <v>0</v>
      </c>
      <c r="Q38" s="19" t="s">
        <v>334</v>
      </c>
      <c r="R38" s="19" t="s">
        <v>334</v>
      </c>
      <c r="S38" s="30">
        <v>3.3300000000000003E-2</v>
      </c>
      <c r="T38" s="34">
        <f t="shared" si="3"/>
        <v>107.19</v>
      </c>
      <c r="U38" s="34">
        <v>0.06</v>
      </c>
      <c r="V38" s="34">
        <v>107.25</v>
      </c>
    </row>
    <row r="39" spans="1:22" x14ac:dyDescent="0.25">
      <c r="A39" s="35">
        <v>40518</v>
      </c>
      <c r="B39" s="14">
        <v>0.60416666666666663</v>
      </c>
      <c r="C39" s="15">
        <v>13</v>
      </c>
      <c r="D39" s="15">
        <v>29</v>
      </c>
      <c r="E39" s="13">
        <v>40323</v>
      </c>
      <c r="F39" s="31" t="s">
        <v>307</v>
      </c>
      <c r="G39" s="41">
        <v>0.04</v>
      </c>
      <c r="H39" s="13">
        <v>40519</v>
      </c>
      <c r="I39" s="13">
        <v>45802</v>
      </c>
      <c r="J39" s="32">
        <f t="shared" si="0"/>
        <v>15.010958904109589</v>
      </c>
      <c r="K39" s="32">
        <f t="shared" si="1"/>
        <v>14.473972602739726</v>
      </c>
      <c r="L39" s="17">
        <v>100</v>
      </c>
      <c r="M39" s="19">
        <v>100</v>
      </c>
      <c r="N39" s="20">
        <f t="shared" si="2"/>
        <v>1</v>
      </c>
      <c r="O39" s="19">
        <v>50</v>
      </c>
      <c r="P39" s="27">
        <v>0</v>
      </c>
      <c r="Q39" s="19" t="s">
        <v>334</v>
      </c>
      <c r="R39" s="19" t="s">
        <v>334</v>
      </c>
      <c r="S39" s="30">
        <v>3.49E-2</v>
      </c>
      <c r="T39" s="34">
        <f t="shared" si="3"/>
        <v>105.38000000000001</v>
      </c>
      <c r="U39" s="34">
        <v>0.13</v>
      </c>
      <c r="V39" s="34">
        <v>105.51</v>
      </c>
    </row>
    <row r="40" spans="1:22" x14ac:dyDescent="0.25">
      <c r="A40" s="35">
        <v>40525</v>
      </c>
      <c r="B40" s="14">
        <v>0.60416666666666663</v>
      </c>
      <c r="C40" s="15">
        <v>13</v>
      </c>
      <c r="D40" s="15">
        <v>30</v>
      </c>
      <c r="E40" s="13">
        <v>40323</v>
      </c>
      <c r="F40" s="31" t="s">
        <v>307</v>
      </c>
      <c r="G40" s="41">
        <v>0.04</v>
      </c>
      <c r="H40" s="13">
        <v>40526</v>
      </c>
      <c r="I40" s="13">
        <v>45802</v>
      </c>
      <c r="J40" s="32">
        <f t="shared" si="0"/>
        <v>15.010958904109589</v>
      </c>
      <c r="K40" s="32">
        <f t="shared" si="1"/>
        <v>14.454794520547946</v>
      </c>
      <c r="L40" s="17">
        <v>100</v>
      </c>
      <c r="M40" s="19">
        <v>80.3</v>
      </c>
      <c r="N40" s="20">
        <f t="shared" si="2"/>
        <v>0.80299999999999994</v>
      </c>
      <c r="O40" s="19">
        <v>0.3</v>
      </c>
      <c r="P40" s="27">
        <v>0</v>
      </c>
      <c r="Q40" s="19" t="s">
        <v>334</v>
      </c>
      <c r="R40" s="19" t="s">
        <v>334</v>
      </c>
      <c r="S40" s="30">
        <v>3.44E-2</v>
      </c>
      <c r="T40" s="34">
        <f t="shared" si="3"/>
        <v>105.97000000000001</v>
      </c>
      <c r="U40" s="34">
        <v>0.21</v>
      </c>
      <c r="V40" s="34">
        <v>106.18</v>
      </c>
    </row>
    <row r="41" spans="1:22" x14ac:dyDescent="0.25">
      <c r="A41" s="35">
        <v>40532</v>
      </c>
      <c r="B41" s="14">
        <v>0.60416666666666663</v>
      </c>
      <c r="C41" s="15">
        <v>13</v>
      </c>
      <c r="D41" s="15">
        <v>31</v>
      </c>
      <c r="E41" s="13">
        <v>40323</v>
      </c>
      <c r="F41" s="31" t="s">
        <v>307</v>
      </c>
      <c r="G41" s="41">
        <v>0.04</v>
      </c>
      <c r="H41" s="13">
        <v>40533</v>
      </c>
      <c r="I41" s="13">
        <v>45802</v>
      </c>
      <c r="J41" s="32">
        <f t="shared" si="0"/>
        <v>15.010958904109589</v>
      </c>
      <c r="K41" s="32">
        <f t="shared" si="1"/>
        <v>14.435616438356165</v>
      </c>
      <c r="L41" s="17">
        <v>100</v>
      </c>
      <c r="M41" s="19">
        <v>0.2</v>
      </c>
      <c r="N41" s="20">
        <f t="shared" si="2"/>
        <v>2E-3</v>
      </c>
      <c r="O41" s="19">
        <v>0.2</v>
      </c>
      <c r="P41" s="27">
        <v>0</v>
      </c>
      <c r="Q41" s="19" t="s">
        <v>334</v>
      </c>
      <c r="R41" s="19" t="s">
        <v>334</v>
      </c>
      <c r="S41" s="30">
        <v>3.3700000000000001E-2</v>
      </c>
      <c r="T41" s="34">
        <f t="shared" si="3"/>
        <v>106.71</v>
      </c>
      <c r="U41" s="34">
        <v>0.28999999999999998</v>
      </c>
      <c r="V41" s="34">
        <v>107</v>
      </c>
    </row>
    <row r="42" spans="1:22" x14ac:dyDescent="0.25">
      <c r="A42" s="35">
        <v>40539</v>
      </c>
      <c r="B42" s="14">
        <v>0.60416666666666663</v>
      </c>
      <c r="C42" s="15">
        <v>13</v>
      </c>
      <c r="D42" s="15">
        <v>32</v>
      </c>
      <c r="E42" s="13">
        <v>40323</v>
      </c>
      <c r="F42" s="31" t="s">
        <v>307</v>
      </c>
      <c r="G42" s="41">
        <v>0.04</v>
      </c>
      <c r="H42" s="13">
        <v>40540</v>
      </c>
      <c r="I42" s="13">
        <v>45802</v>
      </c>
      <c r="J42" s="32">
        <f t="shared" si="0"/>
        <v>15.010958904109589</v>
      </c>
      <c r="K42" s="32">
        <f t="shared" si="1"/>
        <v>14.416438356164383</v>
      </c>
      <c r="L42" s="17">
        <v>100</v>
      </c>
      <c r="M42" s="19">
        <v>40</v>
      </c>
      <c r="N42" s="20">
        <f t="shared" si="2"/>
        <v>0.4</v>
      </c>
      <c r="O42" s="19">
        <v>5</v>
      </c>
      <c r="P42" s="27">
        <v>0</v>
      </c>
      <c r="Q42" s="19" t="s">
        <v>334</v>
      </c>
      <c r="R42" s="19" t="s">
        <v>334</v>
      </c>
      <c r="S42" s="30">
        <v>3.4799999999999998E-2</v>
      </c>
      <c r="T42" s="34">
        <f t="shared" si="3"/>
        <v>105.53</v>
      </c>
      <c r="U42" s="34">
        <v>0.36</v>
      </c>
      <c r="V42" s="34">
        <v>105.89</v>
      </c>
    </row>
    <row r="43" spans="1:22" x14ac:dyDescent="0.25">
      <c r="A43" s="35">
        <v>40568</v>
      </c>
      <c r="B43" s="14">
        <v>0.60416666666666663</v>
      </c>
      <c r="C43" s="15">
        <v>13</v>
      </c>
      <c r="D43" s="15">
        <v>33</v>
      </c>
      <c r="E43" s="13">
        <v>40323</v>
      </c>
      <c r="F43" s="31" t="s">
        <v>307</v>
      </c>
      <c r="G43" s="41">
        <v>0.04</v>
      </c>
      <c r="H43" s="13">
        <v>40570</v>
      </c>
      <c r="I43" s="13">
        <v>45802</v>
      </c>
      <c r="J43" s="32">
        <f t="shared" ref="J43:J74" si="4">(+I43-E43)/365</f>
        <v>15.010958904109589</v>
      </c>
      <c r="K43" s="32">
        <f t="shared" ref="K43:K74" si="5">(+I43-H43)/365</f>
        <v>14.334246575342465</v>
      </c>
      <c r="L43" s="17">
        <v>3000</v>
      </c>
      <c r="M43" s="19">
        <v>2319.8000000000002</v>
      </c>
      <c r="N43" s="20">
        <f t="shared" ref="N43:N74" si="6">+IFERROR(M43/L43,"-")</f>
        <v>0.77326666666666677</v>
      </c>
      <c r="O43" s="19">
        <v>676.26</v>
      </c>
      <c r="P43" s="27">
        <v>0</v>
      </c>
      <c r="Q43" s="19">
        <v>401.71</v>
      </c>
      <c r="R43" s="19" t="s">
        <v>334</v>
      </c>
      <c r="S43" s="30">
        <v>3.5099999999999999E-2</v>
      </c>
      <c r="T43" s="34">
        <f t="shared" si="3"/>
        <v>105.2</v>
      </c>
      <c r="U43" s="34">
        <v>0.7</v>
      </c>
      <c r="V43" s="34">
        <v>105.9</v>
      </c>
    </row>
    <row r="44" spans="1:22" x14ac:dyDescent="0.25">
      <c r="A44" s="35">
        <v>40984</v>
      </c>
      <c r="B44" s="14">
        <v>0.60416666666666663</v>
      </c>
      <c r="C44" s="15">
        <v>13</v>
      </c>
      <c r="D44" s="15">
        <v>34</v>
      </c>
      <c r="E44" s="13">
        <v>40323</v>
      </c>
      <c r="F44" s="31" t="s">
        <v>307</v>
      </c>
      <c r="G44" s="41">
        <v>0.04</v>
      </c>
      <c r="H44" s="13">
        <v>40989</v>
      </c>
      <c r="I44" s="13">
        <v>45802</v>
      </c>
      <c r="J44" s="32">
        <f t="shared" si="4"/>
        <v>15.010958904109589</v>
      </c>
      <c r="K44" s="32">
        <f t="shared" si="5"/>
        <v>13.186301369863013</v>
      </c>
      <c r="L44" s="17">
        <v>850</v>
      </c>
      <c r="M44" s="19">
        <v>2291.6999999999998</v>
      </c>
      <c r="N44" s="20">
        <f t="shared" si="6"/>
        <v>2.6961176470588235</v>
      </c>
      <c r="O44" s="19">
        <v>1700</v>
      </c>
      <c r="P44" s="27">
        <v>0</v>
      </c>
      <c r="Q44" s="19" t="s">
        <v>334</v>
      </c>
      <c r="R44" s="19" t="s">
        <v>334</v>
      </c>
      <c r="S44" s="30">
        <v>3.6400000000000002E-2</v>
      </c>
      <c r="T44" s="34">
        <f t="shared" si="3"/>
        <v>103.50999999999999</v>
      </c>
      <c r="U44" s="34">
        <v>1.29</v>
      </c>
      <c r="V44" s="34">
        <v>104.8</v>
      </c>
    </row>
    <row r="45" spans="1:22" x14ac:dyDescent="0.25">
      <c r="A45" s="35">
        <v>41178</v>
      </c>
      <c r="B45" s="14">
        <v>0.60416666666666663</v>
      </c>
      <c r="C45" s="15">
        <v>19</v>
      </c>
      <c r="D45" s="15">
        <v>1</v>
      </c>
      <c r="E45" s="13">
        <v>41179</v>
      </c>
      <c r="F45" s="31" t="s">
        <v>307</v>
      </c>
      <c r="G45" s="41">
        <v>2.5000000000000001E-2</v>
      </c>
      <c r="H45" s="13">
        <v>41179</v>
      </c>
      <c r="I45" s="13">
        <v>44831</v>
      </c>
      <c r="J45" s="32">
        <f t="shared" si="4"/>
        <v>10.005479452054795</v>
      </c>
      <c r="K45" s="32">
        <f t="shared" si="5"/>
        <v>10.005479452054795</v>
      </c>
      <c r="L45" s="17">
        <v>350</v>
      </c>
      <c r="M45" s="19">
        <v>658.74</v>
      </c>
      <c r="N45" s="20">
        <f t="shared" si="6"/>
        <v>1.8821142857142859</v>
      </c>
      <c r="O45" s="19">
        <v>350</v>
      </c>
      <c r="P45" s="27">
        <v>0</v>
      </c>
      <c r="Q45" s="19" t="s">
        <v>334</v>
      </c>
      <c r="R45" s="19" t="s">
        <v>334</v>
      </c>
      <c r="S45" s="30">
        <v>2.4399999999999998E-2</v>
      </c>
      <c r="T45" s="34">
        <f t="shared" si="3"/>
        <v>100.51</v>
      </c>
      <c r="U45" s="34">
        <v>0</v>
      </c>
      <c r="V45" s="34">
        <v>100.51</v>
      </c>
    </row>
    <row r="46" spans="1:22" x14ac:dyDescent="0.25">
      <c r="A46" s="35">
        <v>41241</v>
      </c>
      <c r="B46" s="14">
        <v>0.60416666666666663</v>
      </c>
      <c r="C46" s="15">
        <v>19</v>
      </c>
      <c r="D46" s="15">
        <v>2</v>
      </c>
      <c r="E46" s="13">
        <v>41179</v>
      </c>
      <c r="F46" s="31" t="s">
        <v>307</v>
      </c>
      <c r="G46" s="41">
        <v>2.5000000000000001E-2</v>
      </c>
      <c r="H46" s="13">
        <v>41242</v>
      </c>
      <c r="I46" s="13">
        <v>44831</v>
      </c>
      <c r="J46" s="32">
        <f t="shared" si="4"/>
        <v>10.005479452054795</v>
      </c>
      <c r="K46" s="32">
        <f t="shared" si="5"/>
        <v>9.8328767123287673</v>
      </c>
      <c r="L46" s="17">
        <v>350</v>
      </c>
      <c r="M46" s="19">
        <v>1013.65</v>
      </c>
      <c r="N46" s="20">
        <f t="shared" si="6"/>
        <v>2.8961428571428569</v>
      </c>
      <c r="O46" s="19">
        <v>350</v>
      </c>
      <c r="P46" s="27">
        <v>0</v>
      </c>
      <c r="Q46" s="19" t="s">
        <v>334</v>
      </c>
      <c r="R46" s="19" t="s">
        <v>334</v>
      </c>
      <c r="S46" s="30">
        <v>2.3799999999999998E-2</v>
      </c>
      <c r="T46" s="34">
        <f t="shared" si="3"/>
        <v>100.99000000000001</v>
      </c>
      <c r="U46" s="34">
        <v>0.44</v>
      </c>
      <c r="V46" s="34">
        <v>101.43</v>
      </c>
    </row>
    <row r="47" spans="1:22" x14ac:dyDescent="0.25">
      <c r="A47" s="35">
        <v>41297</v>
      </c>
      <c r="B47" s="14">
        <v>0.60416666666666663</v>
      </c>
      <c r="C47" s="15">
        <v>19</v>
      </c>
      <c r="D47" s="15">
        <v>3</v>
      </c>
      <c r="E47" s="13">
        <v>41179</v>
      </c>
      <c r="F47" s="31" t="s">
        <v>307</v>
      </c>
      <c r="G47" s="41">
        <v>2.5000000000000001E-2</v>
      </c>
      <c r="H47" s="13">
        <v>41298</v>
      </c>
      <c r="I47" s="13">
        <v>44831</v>
      </c>
      <c r="J47" s="32">
        <f t="shared" si="4"/>
        <v>10.005479452054795</v>
      </c>
      <c r="K47" s="32">
        <f t="shared" si="5"/>
        <v>9.6794520547945204</v>
      </c>
      <c r="L47" s="17">
        <v>350</v>
      </c>
      <c r="M47" s="19">
        <v>1272.57</v>
      </c>
      <c r="N47" s="20">
        <f t="shared" si="6"/>
        <v>3.6359142857142857</v>
      </c>
      <c r="O47" s="19">
        <v>350</v>
      </c>
      <c r="P47" s="27">
        <v>0</v>
      </c>
      <c r="Q47" s="19" t="s">
        <v>334</v>
      </c>
      <c r="R47" s="19" t="s">
        <v>334</v>
      </c>
      <c r="S47" s="30">
        <v>2.0499999999999997E-2</v>
      </c>
      <c r="T47" s="34">
        <f t="shared" si="3"/>
        <v>103.92</v>
      </c>
      <c r="U47" s="34">
        <v>0.82</v>
      </c>
      <c r="V47" s="34">
        <v>104.74</v>
      </c>
    </row>
    <row r="48" spans="1:22" x14ac:dyDescent="0.25">
      <c r="A48" s="35">
        <v>41355</v>
      </c>
      <c r="B48" s="14">
        <v>0.60416666666666663</v>
      </c>
      <c r="C48" s="15">
        <v>19</v>
      </c>
      <c r="D48" s="15">
        <v>4</v>
      </c>
      <c r="E48" s="13">
        <v>41179</v>
      </c>
      <c r="F48" s="31" t="s">
        <v>307</v>
      </c>
      <c r="G48" s="41">
        <v>2.5000000000000001E-2</v>
      </c>
      <c r="H48" s="13">
        <v>41358</v>
      </c>
      <c r="I48" s="13">
        <v>44831</v>
      </c>
      <c r="J48" s="32">
        <f t="shared" si="4"/>
        <v>10.005479452054795</v>
      </c>
      <c r="K48" s="32">
        <f t="shared" si="5"/>
        <v>9.5150684931506841</v>
      </c>
      <c r="L48" s="17">
        <v>350</v>
      </c>
      <c r="M48" s="19">
        <v>725.82</v>
      </c>
      <c r="N48" s="20">
        <f t="shared" si="6"/>
        <v>2.0737714285714288</v>
      </c>
      <c r="O48" s="19">
        <v>350</v>
      </c>
      <c r="P48" s="27">
        <v>0</v>
      </c>
      <c r="Q48" s="19" t="s">
        <v>334</v>
      </c>
      <c r="R48" s="19" t="s">
        <v>334</v>
      </c>
      <c r="S48" s="30">
        <v>2.1700000000000001E-2</v>
      </c>
      <c r="T48" s="34">
        <f t="shared" si="3"/>
        <v>102.76</v>
      </c>
      <c r="U48" s="34">
        <v>1.24</v>
      </c>
      <c r="V48" s="34">
        <v>104</v>
      </c>
    </row>
    <row r="49" spans="1:22" x14ac:dyDescent="0.25">
      <c r="A49" s="35">
        <v>41423</v>
      </c>
      <c r="B49" s="14">
        <v>0.60416666666666663</v>
      </c>
      <c r="C49" s="15">
        <v>19</v>
      </c>
      <c r="D49" s="15">
        <v>5</v>
      </c>
      <c r="E49" s="13">
        <v>41179</v>
      </c>
      <c r="F49" s="31" t="s">
        <v>307</v>
      </c>
      <c r="G49" s="41">
        <v>2.5000000000000001E-2</v>
      </c>
      <c r="H49" s="13">
        <v>41424</v>
      </c>
      <c r="I49" s="13">
        <v>44831</v>
      </c>
      <c r="J49" s="32">
        <f t="shared" si="4"/>
        <v>10.005479452054795</v>
      </c>
      <c r="K49" s="32">
        <f t="shared" si="5"/>
        <v>9.3342465753424655</v>
      </c>
      <c r="L49" s="17">
        <v>350</v>
      </c>
      <c r="M49" s="19">
        <v>634.27</v>
      </c>
      <c r="N49" s="20">
        <f t="shared" si="6"/>
        <v>1.8122</v>
      </c>
      <c r="O49" s="19">
        <v>350</v>
      </c>
      <c r="P49" s="27">
        <v>0</v>
      </c>
      <c r="Q49" s="19" t="s">
        <v>334</v>
      </c>
      <c r="R49" s="19" t="s">
        <v>334</v>
      </c>
      <c r="S49" s="30">
        <v>2.23E-2</v>
      </c>
      <c r="T49" s="34">
        <f t="shared" si="3"/>
        <v>102.22</v>
      </c>
      <c r="U49" s="34">
        <v>0.43</v>
      </c>
      <c r="V49" s="34">
        <v>102.65</v>
      </c>
    </row>
    <row r="50" spans="1:22" x14ac:dyDescent="0.25">
      <c r="A50" s="35">
        <v>41479</v>
      </c>
      <c r="B50" s="14">
        <v>0.60416666666666663</v>
      </c>
      <c r="C50" s="15">
        <v>19</v>
      </c>
      <c r="D50" s="15">
        <v>6</v>
      </c>
      <c r="E50" s="13">
        <v>41179</v>
      </c>
      <c r="F50" s="31" t="s">
        <v>307</v>
      </c>
      <c r="G50" s="41">
        <v>2.5000000000000001E-2</v>
      </c>
      <c r="H50" s="13">
        <v>41480</v>
      </c>
      <c r="I50" s="13">
        <v>44831</v>
      </c>
      <c r="J50" s="32">
        <f t="shared" si="4"/>
        <v>10.005479452054795</v>
      </c>
      <c r="K50" s="32">
        <f t="shared" si="5"/>
        <v>9.1808219178082187</v>
      </c>
      <c r="L50" s="17">
        <v>350</v>
      </c>
      <c r="M50" s="19">
        <v>813.8</v>
      </c>
      <c r="N50" s="20">
        <f t="shared" si="6"/>
        <v>2.3251428571428572</v>
      </c>
      <c r="O50" s="19">
        <v>350</v>
      </c>
      <c r="P50" s="27">
        <v>0</v>
      </c>
      <c r="Q50" s="19" t="s">
        <v>334</v>
      </c>
      <c r="R50" s="19" t="s">
        <v>334</v>
      </c>
      <c r="S50" s="30">
        <v>3.27E-2</v>
      </c>
      <c r="T50" s="34">
        <f t="shared" si="3"/>
        <v>93.9</v>
      </c>
      <c r="U50" s="34">
        <v>0.82</v>
      </c>
      <c r="V50" s="34">
        <v>94.72</v>
      </c>
    </row>
    <row r="51" spans="1:22" x14ac:dyDescent="0.25">
      <c r="A51" s="35">
        <v>41542</v>
      </c>
      <c r="B51" s="14">
        <v>0.60416666666666663</v>
      </c>
      <c r="C51" s="15">
        <v>19</v>
      </c>
      <c r="D51" s="15">
        <v>7</v>
      </c>
      <c r="E51" s="13">
        <v>41179</v>
      </c>
      <c r="F51" s="31" t="s">
        <v>307</v>
      </c>
      <c r="G51" s="41">
        <v>2.5000000000000001E-2</v>
      </c>
      <c r="H51" s="13">
        <v>41543</v>
      </c>
      <c r="I51" s="13">
        <v>44831</v>
      </c>
      <c r="J51" s="32">
        <f t="shared" si="4"/>
        <v>10.005479452054795</v>
      </c>
      <c r="K51" s="32">
        <f t="shared" si="5"/>
        <v>9.0082191780821912</v>
      </c>
      <c r="L51" s="17">
        <v>350</v>
      </c>
      <c r="M51" s="19">
        <v>333.08</v>
      </c>
      <c r="N51" s="20">
        <f t="shared" si="6"/>
        <v>0.95165714285714276</v>
      </c>
      <c r="O51" s="19">
        <v>53.9</v>
      </c>
      <c r="P51" s="27">
        <v>0</v>
      </c>
      <c r="Q51" s="19" t="s">
        <v>334</v>
      </c>
      <c r="R51" s="19" t="s">
        <v>334</v>
      </c>
      <c r="S51" s="30">
        <v>3.6499999999999998E-2</v>
      </c>
      <c r="T51" s="34">
        <f t="shared" si="3"/>
        <v>91.26</v>
      </c>
      <c r="U51" s="34">
        <v>1.24</v>
      </c>
      <c r="V51" s="34">
        <v>92.5</v>
      </c>
    </row>
    <row r="52" spans="1:22" x14ac:dyDescent="0.25">
      <c r="A52" s="35">
        <v>41786</v>
      </c>
      <c r="B52" s="14">
        <v>0.60416666666666663</v>
      </c>
      <c r="C52" s="15">
        <v>19</v>
      </c>
      <c r="D52" s="15">
        <v>8</v>
      </c>
      <c r="E52" s="13">
        <v>41179</v>
      </c>
      <c r="F52" s="31" t="s">
        <v>307</v>
      </c>
      <c r="G52" s="41">
        <v>2.5000000000000001E-2</v>
      </c>
      <c r="H52" s="13">
        <v>41787</v>
      </c>
      <c r="I52" s="13">
        <v>44831</v>
      </c>
      <c r="J52" s="32">
        <f t="shared" si="4"/>
        <v>10.005479452054795</v>
      </c>
      <c r="K52" s="32">
        <f t="shared" si="5"/>
        <v>8.3397260273972602</v>
      </c>
      <c r="L52" s="17">
        <v>120</v>
      </c>
      <c r="M52" s="19">
        <v>188.56</v>
      </c>
      <c r="N52" s="20">
        <f t="shared" si="6"/>
        <v>1.5713333333333332</v>
      </c>
      <c r="O52" s="19">
        <v>123.06</v>
      </c>
      <c r="P52" s="27">
        <v>0</v>
      </c>
      <c r="Q52" s="19" t="s">
        <v>334</v>
      </c>
      <c r="R52" s="19" t="s">
        <v>334</v>
      </c>
      <c r="S52" s="30">
        <v>4.0500000000000001E-2</v>
      </c>
      <c r="T52" s="34">
        <f t="shared" si="3"/>
        <v>89.1</v>
      </c>
      <c r="U52" s="34">
        <v>0.42</v>
      </c>
      <c r="V52" s="34">
        <v>89.52</v>
      </c>
    </row>
    <row r="53" spans="1:22" x14ac:dyDescent="0.25">
      <c r="A53" s="35">
        <v>41849</v>
      </c>
      <c r="B53" s="14">
        <v>0.60416666666666663</v>
      </c>
      <c r="C53" s="15">
        <v>19</v>
      </c>
      <c r="D53" s="15">
        <v>9</v>
      </c>
      <c r="E53" s="13">
        <v>41179</v>
      </c>
      <c r="F53" s="31" t="s">
        <v>307</v>
      </c>
      <c r="G53" s="41">
        <v>2.5000000000000001E-2</v>
      </c>
      <c r="H53" s="13">
        <v>41850</v>
      </c>
      <c r="I53" s="13">
        <v>44831</v>
      </c>
      <c r="J53" s="32">
        <f t="shared" si="4"/>
        <v>10.005479452054795</v>
      </c>
      <c r="K53" s="32">
        <f t="shared" si="5"/>
        <v>8.1671232876712327</v>
      </c>
      <c r="L53" s="17">
        <v>120</v>
      </c>
      <c r="M53" s="19">
        <v>319.3</v>
      </c>
      <c r="N53" s="20">
        <f t="shared" si="6"/>
        <v>2.6608333333333336</v>
      </c>
      <c r="O53" s="19">
        <v>120</v>
      </c>
      <c r="P53" s="27">
        <v>0.254</v>
      </c>
      <c r="Q53" s="19" t="s">
        <v>334</v>
      </c>
      <c r="R53" s="19" t="s">
        <v>334</v>
      </c>
      <c r="S53" s="30">
        <v>4.0399999999999998E-2</v>
      </c>
      <c r="T53" s="34">
        <f t="shared" si="3"/>
        <v>89.350000000000009</v>
      </c>
      <c r="U53" s="34">
        <v>0.85</v>
      </c>
      <c r="V53" s="34">
        <v>90.2</v>
      </c>
    </row>
    <row r="54" spans="1:22" x14ac:dyDescent="0.25">
      <c r="A54" s="35">
        <v>41905</v>
      </c>
      <c r="B54" s="14">
        <v>0.60416666666666663</v>
      </c>
      <c r="C54" s="15">
        <v>19</v>
      </c>
      <c r="D54" s="15">
        <v>10</v>
      </c>
      <c r="E54" s="13">
        <v>41179</v>
      </c>
      <c r="F54" s="31" t="s">
        <v>307</v>
      </c>
      <c r="G54" s="41">
        <v>2.5000000000000001E-2</v>
      </c>
      <c r="H54" s="13">
        <v>41906</v>
      </c>
      <c r="I54" s="13">
        <v>44831</v>
      </c>
      <c r="J54" s="32">
        <f t="shared" si="4"/>
        <v>10.005479452054795</v>
      </c>
      <c r="K54" s="32">
        <f t="shared" si="5"/>
        <v>8.0136986301369859</v>
      </c>
      <c r="L54" s="17">
        <v>120</v>
      </c>
      <c r="M54" s="19">
        <v>199.74</v>
      </c>
      <c r="N54" s="20">
        <f t="shared" si="6"/>
        <v>1.6645000000000001</v>
      </c>
      <c r="O54" s="19">
        <v>75.5</v>
      </c>
      <c r="P54" s="27">
        <v>0</v>
      </c>
      <c r="Q54" s="19" t="s">
        <v>334</v>
      </c>
      <c r="R54" s="19" t="s">
        <v>334</v>
      </c>
      <c r="S54" s="30">
        <v>4.0899999999999999E-2</v>
      </c>
      <c r="T54" s="34">
        <f t="shared" si="3"/>
        <v>89.2</v>
      </c>
      <c r="U54" s="34">
        <v>1.23</v>
      </c>
      <c r="V54" s="34">
        <v>90.43</v>
      </c>
    </row>
    <row r="55" spans="1:22" x14ac:dyDescent="0.25">
      <c r="A55" s="35">
        <v>41968</v>
      </c>
      <c r="B55" s="14">
        <v>0.60416666666666663</v>
      </c>
      <c r="C55" s="15">
        <v>21</v>
      </c>
      <c r="D55" s="15">
        <v>1</v>
      </c>
      <c r="E55" s="13">
        <v>41969</v>
      </c>
      <c r="F55" s="31" t="s">
        <v>307</v>
      </c>
      <c r="G55" s="41">
        <v>0.04</v>
      </c>
      <c r="H55" s="13">
        <v>41969</v>
      </c>
      <c r="I55" s="13">
        <v>45987</v>
      </c>
      <c r="J55" s="32">
        <f t="shared" si="4"/>
        <v>11.008219178082191</v>
      </c>
      <c r="K55" s="32">
        <f t="shared" si="5"/>
        <v>11.008219178082191</v>
      </c>
      <c r="L55" s="17">
        <v>120</v>
      </c>
      <c r="M55" s="19">
        <v>89.24</v>
      </c>
      <c r="N55" s="20">
        <f t="shared" si="6"/>
        <v>0.74366666666666659</v>
      </c>
      <c r="O55" s="19">
        <v>10.199999999999999</v>
      </c>
      <c r="P55" s="27">
        <v>0</v>
      </c>
      <c r="Q55" s="19" t="s">
        <v>334</v>
      </c>
      <c r="R55" s="19" t="s">
        <v>334</v>
      </c>
      <c r="S55" s="30">
        <v>4.0999999999999995E-2</v>
      </c>
      <c r="T55" s="34">
        <f t="shared" si="3"/>
        <v>99.1</v>
      </c>
      <c r="U55" s="34">
        <v>0</v>
      </c>
      <c r="V55" s="34">
        <v>99.1</v>
      </c>
    </row>
    <row r="56" spans="1:22" x14ac:dyDescent="0.25">
      <c r="A56" s="35">
        <v>42031</v>
      </c>
      <c r="B56" s="14">
        <v>0.60416666666666663</v>
      </c>
      <c r="C56" s="15">
        <v>21</v>
      </c>
      <c r="D56" s="15">
        <v>2</v>
      </c>
      <c r="E56" s="13">
        <v>41969</v>
      </c>
      <c r="F56" s="31" t="s">
        <v>307</v>
      </c>
      <c r="G56" s="41">
        <v>0.04</v>
      </c>
      <c r="H56" s="13">
        <v>42032</v>
      </c>
      <c r="I56" s="13">
        <v>45987</v>
      </c>
      <c r="J56" s="32">
        <f t="shared" si="4"/>
        <v>11.008219178082191</v>
      </c>
      <c r="K56" s="32">
        <f t="shared" si="5"/>
        <v>10.835616438356164</v>
      </c>
      <c r="L56" s="17">
        <v>120</v>
      </c>
      <c r="M56" s="19">
        <v>219.1</v>
      </c>
      <c r="N56" s="20">
        <f t="shared" si="6"/>
        <v>1.8258333333333332</v>
      </c>
      <c r="O56" s="19">
        <v>126.52</v>
      </c>
      <c r="P56" s="27">
        <v>0</v>
      </c>
      <c r="Q56" s="19" t="s">
        <v>334</v>
      </c>
      <c r="R56" s="19" t="s">
        <v>334</v>
      </c>
      <c r="S56" s="30">
        <v>4.2699999999999995E-2</v>
      </c>
      <c r="T56" s="34">
        <f t="shared" si="3"/>
        <v>97.6</v>
      </c>
      <c r="U56" s="34">
        <v>0.7</v>
      </c>
      <c r="V56" s="34">
        <v>98.3</v>
      </c>
    </row>
    <row r="57" spans="1:22" x14ac:dyDescent="0.25">
      <c r="A57" s="35">
        <v>42088</v>
      </c>
      <c r="B57" s="14">
        <v>0.60416666666666663</v>
      </c>
      <c r="C57" s="15">
        <v>21</v>
      </c>
      <c r="D57" s="15">
        <v>3</v>
      </c>
      <c r="E57" s="13">
        <v>41969</v>
      </c>
      <c r="F57" s="31" t="s">
        <v>307</v>
      </c>
      <c r="G57" s="41">
        <v>0.04</v>
      </c>
      <c r="H57" s="13">
        <v>42089</v>
      </c>
      <c r="I57" s="13">
        <v>45987</v>
      </c>
      <c r="J57" s="32">
        <f t="shared" si="4"/>
        <v>11.008219178082191</v>
      </c>
      <c r="K57" s="32">
        <f t="shared" si="5"/>
        <v>10.67945205479452</v>
      </c>
      <c r="L57" s="17">
        <v>120</v>
      </c>
      <c r="M57" s="19">
        <v>128.94999999999999</v>
      </c>
      <c r="N57" s="20">
        <f t="shared" si="6"/>
        <v>1.0745833333333332</v>
      </c>
      <c r="O57" s="19">
        <v>28.95</v>
      </c>
      <c r="P57" s="27">
        <v>0</v>
      </c>
      <c r="Q57" s="19" t="s">
        <v>334</v>
      </c>
      <c r="R57" s="19" t="s">
        <v>334</v>
      </c>
      <c r="S57" s="30">
        <v>4.87E-2</v>
      </c>
      <c r="T57" s="34">
        <f t="shared" si="3"/>
        <v>92.78</v>
      </c>
      <c r="U57" s="34">
        <v>1.33</v>
      </c>
      <c r="V57" s="34">
        <v>94.11</v>
      </c>
    </row>
    <row r="58" spans="1:22" x14ac:dyDescent="0.25">
      <c r="A58" s="35">
        <v>42150</v>
      </c>
      <c r="B58" s="14">
        <v>0.60416666666666663</v>
      </c>
      <c r="C58" s="15">
        <v>21</v>
      </c>
      <c r="D58" s="15">
        <v>4</v>
      </c>
      <c r="E58" s="13">
        <v>41969</v>
      </c>
      <c r="F58" s="31" t="s">
        <v>307</v>
      </c>
      <c r="G58" s="41">
        <v>0.04</v>
      </c>
      <c r="H58" s="13">
        <v>42151</v>
      </c>
      <c r="I58" s="13">
        <v>45987</v>
      </c>
      <c r="J58" s="32">
        <f t="shared" si="4"/>
        <v>11.008219178082191</v>
      </c>
      <c r="K58" s="32">
        <f t="shared" si="5"/>
        <v>10.509589041095891</v>
      </c>
      <c r="L58" s="17">
        <v>120</v>
      </c>
      <c r="M58" s="19">
        <v>238.71</v>
      </c>
      <c r="N58" s="20">
        <f t="shared" si="6"/>
        <v>1.98925</v>
      </c>
      <c r="O58" s="19">
        <v>124.25</v>
      </c>
      <c r="P58" s="27">
        <v>0</v>
      </c>
      <c r="Q58" s="19" t="s">
        <v>334</v>
      </c>
      <c r="R58" s="19" t="s">
        <v>334</v>
      </c>
      <c r="S58" s="30">
        <v>4.7199999999999999E-2</v>
      </c>
      <c r="T58" s="34">
        <f t="shared" si="3"/>
        <v>94.06</v>
      </c>
      <c r="U58" s="34">
        <v>0</v>
      </c>
      <c r="V58" s="34">
        <v>94.06</v>
      </c>
    </row>
    <row r="59" spans="1:22" x14ac:dyDescent="0.25">
      <c r="A59" s="35">
        <v>42214</v>
      </c>
      <c r="B59" s="14">
        <v>0.60416666666666663</v>
      </c>
      <c r="C59" s="15">
        <v>21</v>
      </c>
      <c r="D59" s="15">
        <v>5</v>
      </c>
      <c r="E59" s="13">
        <v>41969</v>
      </c>
      <c r="F59" s="31" t="s">
        <v>307</v>
      </c>
      <c r="G59" s="41">
        <v>0.04</v>
      </c>
      <c r="H59" s="13">
        <v>42215</v>
      </c>
      <c r="I59" s="13">
        <v>45987</v>
      </c>
      <c r="J59" s="32">
        <f t="shared" si="4"/>
        <v>11.008219178082191</v>
      </c>
      <c r="K59" s="32">
        <f t="shared" si="5"/>
        <v>10.334246575342465</v>
      </c>
      <c r="L59" s="17">
        <v>1300</v>
      </c>
      <c r="M59" s="19">
        <v>5118.92</v>
      </c>
      <c r="N59" s="20">
        <f t="shared" si="6"/>
        <v>3.9376307692307693</v>
      </c>
      <c r="O59" s="19">
        <v>1335.22</v>
      </c>
      <c r="P59" s="27">
        <v>0</v>
      </c>
      <c r="Q59" s="19">
        <v>1166.05016849</v>
      </c>
      <c r="R59" s="19" t="s">
        <v>334</v>
      </c>
      <c r="S59" s="30">
        <v>5.2199999999999996E-2</v>
      </c>
      <c r="T59" s="34">
        <f t="shared" si="3"/>
        <v>90.31</v>
      </c>
      <c r="U59" s="34">
        <v>0.71</v>
      </c>
      <c r="V59" s="34">
        <v>91.02</v>
      </c>
    </row>
    <row r="60" spans="1:22" x14ac:dyDescent="0.25">
      <c r="A60" s="35">
        <v>42276</v>
      </c>
      <c r="B60" s="14">
        <v>0.60416666666666663</v>
      </c>
      <c r="C60" s="15">
        <v>21</v>
      </c>
      <c r="D60" s="15">
        <v>6</v>
      </c>
      <c r="E60" s="13">
        <v>41969</v>
      </c>
      <c r="F60" s="31" t="s">
        <v>307</v>
      </c>
      <c r="G60" s="41">
        <v>0.04</v>
      </c>
      <c r="H60" s="13">
        <v>42277</v>
      </c>
      <c r="I60" s="13">
        <v>45987</v>
      </c>
      <c r="J60" s="32">
        <f t="shared" si="4"/>
        <v>11.008219178082191</v>
      </c>
      <c r="K60" s="32">
        <f t="shared" si="5"/>
        <v>10.164383561643836</v>
      </c>
      <c r="L60" s="17">
        <v>120</v>
      </c>
      <c r="M60" s="19">
        <v>147.11000000000001</v>
      </c>
      <c r="N60" s="20">
        <f t="shared" si="6"/>
        <v>1.2259166666666668</v>
      </c>
      <c r="O60" s="19">
        <v>0</v>
      </c>
      <c r="P60" s="27">
        <v>0</v>
      </c>
      <c r="Q60" s="19" t="s">
        <v>334</v>
      </c>
      <c r="R60" s="19" t="s">
        <v>334</v>
      </c>
      <c r="S60" s="30" t="s">
        <v>327</v>
      </c>
      <c r="T60" s="34" t="s">
        <v>327</v>
      </c>
      <c r="U60" s="34">
        <v>1.38</v>
      </c>
      <c r="V60" s="34" t="s">
        <v>327</v>
      </c>
    </row>
    <row r="61" spans="1:22" x14ac:dyDescent="0.25">
      <c r="A61" s="35">
        <v>42549</v>
      </c>
      <c r="B61" s="14">
        <v>0.60416666666666663</v>
      </c>
      <c r="C61" s="15">
        <v>24</v>
      </c>
      <c r="D61" s="15">
        <v>1</v>
      </c>
      <c r="E61" s="13">
        <v>42550</v>
      </c>
      <c r="F61" s="31" t="s">
        <v>307</v>
      </c>
      <c r="G61" s="41">
        <v>5.2499999999999998E-2</v>
      </c>
      <c r="H61" s="13">
        <v>42550</v>
      </c>
      <c r="I61" s="13">
        <v>44559</v>
      </c>
      <c r="J61" s="32">
        <f t="shared" si="4"/>
        <v>5.5041095890410956</v>
      </c>
      <c r="K61" s="32">
        <f t="shared" si="5"/>
        <v>5.5041095890410956</v>
      </c>
      <c r="L61" s="17">
        <v>200</v>
      </c>
      <c r="M61" s="19">
        <v>165.27</v>
      </c>
      <c r="N61" s="20">
        <f t="shared" si="6"/>
        <v>0.82635000000000003</v>
      </c>
      <c r="O61" s="19">
        <v>123.77</v>
      </c>
      <c r="P61" s="27">
        <v>0</v>
      </c>
      <c r="Q61" s="19" t="s">
        <v>334</v>
      </c>
      <c r="R61" s="19">
        <v>0</v>
      </c>
      <c r="S61" s="30">
        <v>0</v>
      </c>
      <c r="T61" s="34">
        <f t="shared" si="3"/>
        <v>99.92</v>
      </c>
      <c r="U61" s="34">
        <v>0</v>
      </c>
      <c r="V61" s="34">
        <v>99.92</v>
      </c>
    </row>
    <row r="62" spans="1:22" x14ac:dyDescent="0.25">
      <c r="A62" s="35">
        <v>42577</v>
      </c>
      <c r="B62" s="14">
        <v>0.60416666666666663</v>
      </c>
      <c r="C62" s="15">
        <v>21</v>
      </c>
      <c r="D62" s="15">
        <v>7</v>
      </c>
      <c r="E62" s="13">
        <v>41969</v>
      </c>
      <c r="F62" s="31" t="s">
        <v>307</v>
      </c>
      <c r="G62" s="41">
        <v>0.04</v>
      </c>
      <c r="H62" s="13">
        <v>42578</v>
      </c>
      <c r="I62" s="13">
        <v>45987</v>
      </c>
      <c r="J62" s="32">
        <f t="shared" si="4"/>
        <v>11.008219178082191</v>
      </c>
      <c r="K62" s="32">
        <f t="shared" si="5"/>
        <v>9.3397260273972602</v>
      </c>
      <c r="L62" s="17">
        <v>150</v>
      </c>
      <c r="M62" s="19">
        <v>333.17</v>
      </c>
      <c r="N62" s="20">
        <f t="shared" si="6"/>
        <v>2.2211333333333334</v>
      </c>
      <c r="O62" s="19">
        <v>20.170000000000002</v>
      </c>
      <c r="P62" s="27">
        <v>0</v>
      </c>
      <c r="Q62" s="19" t="s">
        <v>334</v>
      </c>
      <c r="R62" s="19">
        <v>7.02</v>
      </c>
      <c r="S62" s="30">
        <v>5.3899999999999997E-2</v>
      </c>
      <c r="T62" s="34">
        <f t="shared" si="3"/>
        <v>89.85</v>
      </c>
      <c r="U62" s="34">
        <v>0.67</v>
      </c>
      <c r="V62" s="34">
        <v>90.52</v>
      </c>
    </row>
    <row r="63" spans="1:22" x14ac:dyDescent="0.25">
      <c r="A63" s="35">
        <v>42605</v>
      </c>
      <c r="B63" s="14">
        <v>0.60416666666666663</v>
      </c>
      <c r="C63" s="15">
        <v>24</v>
      </c>
      <c r="D63" s="15">
        <v>2</v>
      </c>
      <c r="E63" s="13">
        <v>42550</v>
      </c>
      <c r="F63" s="31" t="s">
        <v>307</v>
      </c>
      <c r="G63" s="41">
        <v>5.2499999999999998E-2</v>
      </c>
      <c r="H63" s="13">
        <v>42606</v>
      </c>
      <c r="I63" s="13">
        <v>44559</v>
      </c>
      <c r="J63" s="32">
        <f t="shared" si="4"/>
        <v>5.5041095890410956</v>
      </c>
      <c r="K63" s="32">
        <f t="shared" si="5"/>
        <v>5.3506849315068497</v>
      </c>
      <c r="L63" s="17">
        <v>200</v>
      </c>
      <c r="M63" s="19">
        <v>316.2</v>
      </c>
      <c r="N63" s="20">
        <f t="shared" si="6"/>
        <v>1.581</v>
      </c>
      <c r="O63" s="19">
        <v>204.2</v>
      </c>
      <c r="P63" s="27">
        <v>0</v>
      </c>
      <c r="Q63" s="19" t="s">
        <v>334</v>
      </c>
      <c r="R63" s="19">
        <v>0</v>
      </c>
      <c r="S63" s="30">
        <v>0</v>
      </c>
      <c r="T63" s="34">
        <f t="shared" si="3"/>
        <v>99.86</v>
      </c>
      <c r="U63" s="34">
        <v>0.8</v>
      </c>
      <c r="V63" s="34">
        <v>100.66</v>
      </c>
    </row>
    <row r="64" spans="1:22" x14ac:dyDescent="0.25">
      <c r="A64" s="35">
        <v>42640</v>
      </c>
      <c r="B64" s="14">
        <v>0.60416666666666663</v>
      </c>
      <c r="C64" s="15">
        <v>21</v>
      </c>
      <c r="D64" s="15">
        <v>8</v>
      </c>
      <c r="E64" s="13">
        <v>41969</v>
      </c>
      <c r="F64" s="31" t="s">
        <v>307</v>
      </c>
      <c r="G64" s="41">
        <v>0.04</v>
      </c>
      <c r="H64" s="13">
        <v>42641</v>
      </c>
      <c r="I64" s="13">
        <v>45987</v>
      </c>
      <c r="J64" s="32">
        <f t="shared" si="4"/>
        <v>11.008219178082191</v>
      </c>
      <c r="K64" s="32">
        <f t="shared" si="5"/>
        <v>9.1671232876712327</v>
      </c>
      <c r="L64" s="17">
        <v>120</v>
      </c>
      <c r="M64" s="19">
        <v>275.95</v>
      </c>
      <c r="N64" s="20">
        <f t="shared" si="6"/>
        <v>2.2995833333333331</v>
      </c>
      <c r="O64" s="19">
        <v>40.950000000000003</v>
      </c>
      <c r="P64" s="27">
        <v>0</v>
      </c>
      <c r="Q64" s="19" t="s">
        <v>334</v>
      </c>
      <c r="R64" s="19">
        <v>4.83</v>
      </c>
      <c r="S64" s="30">
        <v>5.4100000000000002E-2</v>
      </c>
      <c r="T64" s="34">
        <f t="shared" si="3"/>
        <v>89.91</v>
      </c>
      <c r="U64" s="34">
        <v>1.36</v>
      </c>
      <c r="V64" s="34">
        <v>91.27</v>
      </c>
    </row>
    <row r="65" spans="1:22" x14ac:dyDescent="0.25">
      <c r="A65" s="35">
        <v>42668</v>
      </c>
      <c r="B65" s="14">
        <v>0.60416666666666663</v>
      </c>
      <c r="C65" s="15">
        <v>24</v>
      </c>
      <c r="D65" s="15">
        <v>3</v>
      </c>
      <c r="E65" s="13">
        <v>42550</v>
      </c>
      <c r="F65" s="31" t="s">
        <v>307</v>
      </c>
      <c r="G65" s="41">
        <v>5.2499999999999998E-2</v>
      </c>
      <c r="H65" s="13">
        <v>42669</v>
      </c>
      <c r="I65" s="13">
        <v>44559</v>
      </c>
      <c r="J65" s="32">
        <f t="shared" si="4"/>
        <v>5.5041095890410956</v>
      </c>
      <c r="K65" s="32">
        <f t="shared" si="5"/>
        <v>5.1780821917808222</v>
      </c>
      <c r="L65" s="17">
        <v>125</v>
      </c>
      <c r="M65" s="19">
        <v>167.63</v>
      </c>
      <c r="N65" s="20">
        <f t="shared" si="6"/>
        <v>1.34104</v>
      </c>
      <c r="O65" s="19">
        <v>42.63</v>
      </c>
      <c r="P65" s="27">
        <v>0</v>
      </c>
      <c r="Q65" s="19" t="s">
        <v>334</v>
      </c>
      <c r="R65" s="19">
        <v>0</v>
      </c>
      <c r="S65" s="30">
        <v>0</v>
      </c>
      <c r="T65" s="34">
        <f t="shared" si="3"/>
        <v>99.9</v>
      </c>
      <c r="U65" s="34">
        <v>1.71</v>
      </c>
      <c r="V65" s="34">
        <v>101.61</v>
      </c>
    </row>
    <row r="66" spans="1:22" x14ac:dyDescent="0.25">
      <c r="A66" s="35">
        <v>42696</v>
      </c>
      <c r="B66" s="14">
        <v>0.60416666666666663</v>
      </c>
      <c r="C66" s="15">
        <v>21</v>
      </c>
      <c r="D66" s="15">
        <v>9</v>
      </c>
      <c r="E66" s="13">
        <v>41969</v>
      </c>
      <c r="F66" s="31" t="s">
        <v>307</v>
      </c>
      <c r="G66" s="41">
        <v>0.04</v>
      </c>
      <c r="H66" s="13">
        <v>42697</v>
      </c>
      <c r="I66" s="13">
        <v>45987</v>
      </c>
      <c r="J66" s="32">
        <f t="shared" si="4"/>
        <v>11.008219178082191</v>
      </c>
      <c r="K66" s="32">
        <f t="shared" si="5"/>
        <v>9.0136986301369859</v>
      </c>
      <c r="L66" s="17">
        <v>100</v>
      </c>
      <c r="M66" s="19">
        <v>448.47</v>
      </c>
      <c r="N66" s="20">
        <f t="shared" si="6"/>
        <v>4.4847000000000001</v>
      </c>
      <c r="O66" s="19">
        <v>100.57</v>
      </c>
      <c r="P66" s="27">
        <v>0</v>
      </c>
      <c r="Q66" s="19" t="s">
        <v>334</v>
      </c>
      <c r="R66" s="19">
        <v>37.33</v>
      </c>
      <c r="S66" s="30">
        <v>5.4199999999999998E-2</v>
      </c>
      <c r="T66" s="34">
        <f t="shared" si="3"/>
        <v>89.99</v>
      </c>
      <c r="U66" s="34">
        <v>1.97</v>
      </c>
      <c r="V66" s="34">
        <v>91.96</v>
      </c>
    </row>
    <row r="67" spans="1:22" x14ac:dyDescent="0.25">
      <c r="A67" s="35">
        <v>42731</v>
      </c>
      <c r="B67" s="14">
        <v>0.60416666666666663</v>
      </c>
      <c r="C67" s="15">
        <v>24</v>
      </c>
      <c r="D67" s="15">
        <v>4</v>
      </c>
      <c r="E67" s="13">
        <v>42550</v>
      </c>
      <c r="F67" s="31" t="s">
        <v>307</v>
      </c>
      <c r="G67" s="41">
        <v>5.2499999999999998E-2</v>
      </c>
      <c r="H67" s="13">
        <v>42732</v>
      </c>
      <c r="I67" s="13">
        <v>44559</v>
      </c>
      <c r="J67" s="32">
        <f t="shared" si="4"/>
        <v>5.5041095890410956</v>
      </c>
      <c r="K67" s="32">
        <f t="shared" si="5"/>
        <v>5.0054794520547947</v>
      </c>
      <c r="L67" s="17">
        <v>125</v>
      </c>
      <c r="M67" s="19">
        <v>308.64999999999998</v>
      </c>
      <c r="N67" s="20">
        <f t="shared" si="6"/>
        <v>2.4691999999999998</v>
      </c>
      <c r="O67" s="19">
        <v>203.65</v>
      </c>
      <c r="P67" s="27">
        <v>0</v>
      </c>
      <c r="Q67" s="19" t="s">
        <v>334</v>
      </c>
      <c r="R67" s="19">
        <v>0</v>
      </c>
      <c r="S67" s="30">
        <v>0</v>
      </c>
      <c r="T67" s="34">
        <f t="shared" si="3"/>
        <v>99.84</v>
      </c>
      <c r="U67" s="34">
        <v>2.61</v>
      </c>
      <c r="V67" s="34">
        <v>102.45</v>
      </c>
    </row>
    <row r="68" spans="1:22" x14ac:dyDescent="0.25">
      <c r="A68" s="35">
        <v>42759</v>
      </c>
      <c r="B68" s="14">
        <v>0.60416666666666663</v>
      </c>
      <c r="C68" s="15">
        <v>21</v>
      </c>
      <c r="D68" s="15">
        <v>10</v>
      </c>
      <c r="E68" s="13">
        <v>41969</v>
      </c>
      <c r="F68" s="31" t="s">
        <v>307</v>
      </c>
      <c r="G68" s="41">
        <v>0.04</v>
      </c>
      <c r="H68" s="13">
        <v>42760</v>
      </c>
      <c r="I68" s="13">
        <v>45987</v>
      </c>
      <c r="J68" s="32">
        <f t="shared" si="4"/>
        <v>11.008219178082191</v>
      </c>
      <c r="K68" s="32">
        <f t="shared" si="5"/>
        <v>8.8410958904109584</v>
      </c>
      <c r="L68" s="17">
        <v>100</v>
      </c>
      <c r="M68" s="19">
        <v>296.06</v>
      </c>
      <c r="N68" s="20">
        <f t="shared" si="6"/>
        <v>2.9605999999999999</v>
      </c>
      <c r="O68" s="19">
        <v>22.86</v>
      </c>
      <c r="P68" s="27">
        <v>0</v>
      </c>
      <c r="Q68" s="19" t="s">
        <v>334</v>
      </c>
      <c r="R68" s="19">
        <v>1.4</v>
      </c>
      <c r="S68" s="30">
        <v>5.2999999999999999E-2</v>
      </c>
      <c r="T68" s="34">
        <f t="shared" si="3"/>
        <v>90.88000000000001</v>
      </c>
      <c r="U68" s="34">
        <v>0.66</v>
      </c>
      <c r="V68" s="34">
        <v>91.54</v>
      </c>
    </row>
    <row r="69" spans="1:22" x14ac:dyDescent="0.25">
      <c r="A69" s="35">
        <v>42787</v>
      </c>
      <c r="B69" s="14">
        <v>0.60416666666666663</v>
      </c>
      <c r="C69" s="15">
        <v>24</v>
      </c>
      <c r="D69" s="15">
        <v>5</v>
      </c>
      <c r="E69" s="13">
        <v>42550</v>
      </c>
      <c r="F69" s="31" t="s">
        <v>307</v>
      </c>
      <c r="G69" s="41">
        <v>5.2499999999999998E-2</v>
      </c>
      <c r="H69" s="13">
        <v>42788</v>
      </c>
      <c r="I69" s="13">
        <v>44559</v>
      </c>
      <c r="J69" s="32">
        <f t="shared" si="4"/>
        <v>5.5041095890410956</v>
      </c>
      <c r="K69" s="32">
        <f t="shared" si="5"/>
        <v>4.8520547945205479</v>
      </c>
      <c r="L69" s="17">
        <v>125</v>
      </c>
      <c r="M69" s="19">
        <v>367.06</v>
      </c>
      <c r="N69" s="20">
        <f t="shared" si="6"/>
        <v>2.93648</v>
      </c>
      <c r="O69" s="19">
        <v>125.64</v>
      </c>
      <c r="P69" s="27">
        <v>0</v>
      </c>
      <c r="Q69" s="19" t="s">
        <v>334</v>
      </c>
      <c r="R69" s="19">
        <v>0</v>
      </c>
      <c r="S69" s="30">
        <v>0</v>
      </c>
      <c r="T69" s="34">
        <f t="shared" si="3"/>
        <v>100.61</v>
      </c>
      <c r="U69" s="34">
        <v>0.79</v>
      </c>
      <c r="V69" s="34">
        <v>101.4</v>
      </c>
    </row>
    <row r="70" spans="1:22" x14ac:dyDescent="0.25">
      <c r="A70" s="35">
        <v>42822</v>
      </c>
      <c r="B70" s="14">
        <v>0.60416666666666663</v>
      </c>
      <c r="C70" s="15">
        <v>21</v>
      </c>
      <c r="D70" s="15">
        <v>11</v>
      </c>
      <c r="E70" s="13">
        <v>41969</v>
      </c>
      <c r="F70" s="31" t="s">
        <v>307</v>
      </c>
      <c r="G70" s="41">
        <v>0.04</v>
      </c>
      <c r="H70" s="13">
        <v>42823</v>
      </c>
      <c r="I70" s="13">
        <v>45987</v>
      </c>
      <c r="J70" s="32">
        <f t="shared" si="4"/>
        <v>11.008219178082191</v>
      </c>
      <c r="K70" s="32">
        <f t="shared" si="5"/>
        <v>8.668493150684931</v>
      </c>
      <c r="L70" s="17">
        <v>100</v>
      </c>
      <c r="M70" s="19">
        <v>102.03</v>
      </c>
      <c r="N70" s="20">
        <f t="shared" si="6"/>
        <v>1.0203</v>
      </c>
      <c r="O70" s="19">
        <v>13.03</v>
      </c>
      <c r="P70" s="27">
        <v>0</v>
      </c>
      <c r="Q70" s="19" t="s">
        <v>334</v>
      </c>
      <c r="R70" s="19">
        <v>3.73</v>
      </c>
      <c r="S70" s="30">
        <v>5.16E-2</v>
      </c>
      <c r="T70" s="34">
        <f t="shared" si="3"/>
        <v>91.94</v>
      </c>
      <c r="U70" s="34">
        <v>1.36</v>
      </c>
      <c r="V70" s="34">
        <v>93.3</v>
      </c>
    </row>
    <row r="71" spans="1:22" x14ac:dyDescent="0.25">
      <c r="A71" s="35">
        <v>42850</v>
      </c>
      <c r="B71" s="14">
        <v>0.60416666666666663</v>
      </c>
      <c r="C71" s="15">
        <v>24</v>
      </c>
      <c r="D71" s="15">
        <v>6</v>
      </c>
      <c r="E71" s="13">
        <v>42550</v>
      </c>
      <c r="F71" s="31" t="s">
        <v>307</v>
      </c>
      <c r="G71" s="41">
        <v>5.2499999999999998E-2</v>
      </c>
      <c r="H71" s="13">
        <v>42851</v>
      </c>
      <c r="I71" s="13">
        <v>44559</v>
      </c>
      <c r="J71" s="32">
        <f t="shared" si="4"/>
        <v>5.5041095890410956</v>
      </c>
      <c r="K71" s="32">
        <f t="shared" si="5"/>
        <v>4.6794520547945204</v>
      </c>
      <c r="L71" s="17">
        <v>125</v>
      </c>
      <c r="M71" s="19">
        <v>391.05</v>
      </c>
      <c r="N71" s="20">
        <f t="shared" si="6"/>
        <v>3.1284000000000001</v>
      </c>
      <c r="O71" s="19">
        <v>128.07</v>
      </c>
      <c r="P71" s="27">
        <v>0</v>
      </c>
      <c r="Q71" s="19" t="s">
        <v>334</v>
      </c>
      <c r="R71" s="19">
        <v>0</v>
      </c>
      <c r="S71" s="30">
        <v>0</v>
      </c>
      <c r="T71" s="34">
        <f t="shared" si="3"/>
        <v>102.09</v>
      </c>
      <c r="U71" s="34">
        <v>1.7</v>
      </c>
      <c r="V71" s="34">
        <v>103.79</v>
      </c>
    </row>
    <row r="72" spans="1:22" x14ac:dyDescent="0.25">
      <c r="A72" s="35">
        <v>42878</v>
      </c>
      <c r="B72" s="14">
        <v>0.60416666666666663</v>
      </c>
      <c r="C72" s="15">
        <v>21</v>
      </c>
      <c r="D72" s="15">
        <v>12</v>
      </c>
      <c r="E72" s="13">
        <v>41969</v>
      </c>
      <c r="F72" s="31" t="s">
        <v>307</v>
      </c>
      <c r="G72" s="41">
        <v>0.04</v>
      </c>
      <c r="H72" s="13">
        <v>42879</v>
      </c>
      <c r="I72" s="13">
        <v>45987</v>
      </c>
      <c r="J72" s="32">
        <f t="shared" si="4"/>
        <v>11.008219178082191</v>
      </c>
      <c r="K72" s="32">
        <f t="shared" si="5"/>
        <v>8.5150684931506841</v>
      </c>
      <c r="L72" s="17">
        <v>100</v>
      </c>
      <c r="M72" s="19">
        <v>427.66</v>
      </c>
      <c r="N72" s="20">
        <f t="shared" si="6"/>
        <v>4.2766000000000002</v>
      </c>
      <c r="O72" s="19">
        <v>99.45</v>
      </c>
      <c r="P72" s="27">
        <v>0</v>
      </c>
      <c r="Q72" s="19" t="s">
        <v>334</v>
      </c>
      <c r="R72" s="19">
        <v>24.31</v>
      </c>
      <c r="S72" s="30">
        <v>3.5200000000000002E-2</v>
      </c>
      <c r="T72" s="34">
        <f t="shared" si="3"/>
        <v>103.49</v>
      </c>
      <c r="U72" s="34">
        <v>1.98</v>
      </c>
      <c r="V72" s="34">
        <v>105.47</v>
      </c>
    </row>
    <row r="73" spans="1:22" x14ac:dyDescent="0.25">
      <c r="A73" s="35">
        <v>42935</v>
      </c>
      <c r="B73" s="14">
        <v>0.60416666666666663</v>
      </c>
      <c r="C73" s="15">
        <v>24</v>
      </c>
      <c r="D73" s="15">
        <v>7</v>
      </c>
      <c r="E73" s="13">
        <v>42550</v>
      </c>
      <c r="F73" s="31" t="s">
        <v>307</v>
      </c>
      <c r="G73" s="41">
        <v>5.2499999999999998E-2</v>
      </c>
      <c r="H73" s="13">
        <v>42937</v>
      </c>
      <c r="I73" s="13">
        <v>44559</v>
      </c>
      <c r="J73" s="32">
        <f t="shared" si="4"/>
        <v>5.5041095890410956</v>
      </c>
      <c r="K73" s="32">
        <f t="shared" si="5"/>
        <v>4.4438356164383563</v>
      </c>
      <c r="L73" s="17">
        <v>375</v>
      </c>
      <c r="M73" s="19">
        <v>808.96</v>
      </c>
      <c r="N73" s="20">
        <f t="shared" si="6"/>
        <v>2.1572266666666668</v>
      </c>
      <c r="O73" s="19">
        <v>374.19</v>
      </c>
      <c r="P73" s="27">
        <v>0</v>
      </c>
      <c r="Q73" s="19" t="s">
        <v>334</v>
      </c>
      <c r="R73" s="19">
        <v>0</v>
      </c>
      <c r="S73" s="30">
        <v>0</v>
      </c>
      <c r="T73" s="34">
        <f t="shared" si="3"/>
        <v>108.69000000000001</v>
      </c>
      <c r="U73" s="34">
        <v>0.32</v>
      </c>
      <c r="V73" s="34">
        <v>109.01</v>
      </c>
    </row>
    <row r="74" spans="1:22" x14ac:dyDescent="0.25">
      <c r="A74" s="35">
        <v>42969</v>
      </c>
      <c r="B74" s="14">
        <v>0.60416666666666663</v>
      </c>
      <c r="C74" s="15">
        <v>21</v>
      </c>
      <c r="D74" s="15">
        <v>13</v>
      </c>
      <c r="E74" s="13">
        <v>41969</v>
      </c>
      <c r="F74" s="31" t="s">
        <v>307</v>
      </c>
      <c r="G74" s="41">
        <v>0.04</v>
      </c>
      <c r="H74" s="13">
        <v>42970</v>
      </c>
      <c r="I74" s="13">
        <v>45987</v>
      </c>
      <c r="J74" s="32">
        <f t="shared" si="4"/>
        <v>11.008219178082191</v>
      </c>
      <c r="K74" s="32">
        <f t="shared" si="5"/>
        <v>8.2657534246575342</v>
      </c>
      <c r="L74" s="17">
        <v>775</v>
      </c>
      <c r="M74" s="19">
        <v>1871.3</v>
      </c>
      <c r="N74" s="20">
        <f t="shared" si="6"/>
        <v>2.4145806451612901</v>
      </c>
      <c r="O74" s="19">
        <v>979.74</v>
      </c>
      <c r="P74" s="27">
        <v>0</v>
      </c>
      <c r="Q74" s="19" t="s">
        <v>334</v>
      </c>
      <c r="R74" s="19">
        <v>10.73</v>
      </c>
      <c r="S74" s="30">
        <v>3.0499999999999999E-2</v>
      </c>
      <c r="T74" s="34">
        <f t="shared" si="3"/>
        <v>106.88</v>
      </c>
      <c r="U74" s="34">
        <v>0.97</v>
      </c>
      <c r="V74" s="34">
        <v>107.85</v>
      </c>
    </row>
    <row r="75" spans="1:22" x14ac:dyDescent="0.25">
      <c r="A75" s="35">
        <v>42997</v>
      </c>
      <c r="B75" s="14">
        <v>0.60416666666666663</v>
      </c>
      <c r="C75" s="15">
        <v>24</v>
      </c>
      <c r="D75" s="15">
        <v>8</v>
      </c>
      <c r="E75" s="13">
        <v>42550</v>
      </c>
      <c r="F75" s="31" t="s">
        <v>307</v>
      </c>
      <c r="G75" s="41">
        <v>5.2499999999999998E-2</v>
      </c>
      <c r="H75" s="13">
        <v>42998</v>
      </c>
      <c r="I75" s="13">
        <v>44559</v>
      </c>
      <c r="J75" s="32">
        <f t="shared" ref="J75:J106" si="7">(+I75-E75)/365</f>
        <v>5.5041095890410956</v>
      </c>
      <c r="K75" s="32">
        <f t="shared" ref="K75:K106" si="8">(+I75-H75)/365</f>
        <v>4.2767123287671236</v>
      </c>
      <c r="L75" s="17">
        <v>375</v>
      </c>
      <c r="M75" s="19">
        <v>1055.7</v>
      </c>
      <c r="N75" s="20">
        <f t="shared" ref="N75:N106" si="9">+IFERROR(M75/L75,"-")</f>
        <v>2.8151999999999999</v>
      </c>
      <c r="O75" s="19">
        <v>518.88</v>
      </c>
      <c r="P75" s="27">
        <v>0</v>
      </c>
      <c r="Q75" s="19" t="s">
        <v>334</v>
      </c>
      <c r="R75" s="19">
        <v>0</v>
      </c>
      <c r="S75" s="30">
        <v>0</v>
      </c>
      <c r="T75" s="34">
        <f t="shared" ref="T75:T139" si="10">+V75-U75</f>
        <v>110.64</v>
      </c>
      <c r="U75" s="34">
        <v>1.19</v>
      </c>
      <c r="V75" s="34">
        <v>111.83</v>
      </c>
    </row>
    <row r="76" spans="1:22" x14ac:dyDescent="0.25">
      <c r="A76" s="35">
        <v>43032</v>
      </c>
      <c r="B76" s="14">
        <v>0.60416666666666663</v>
      </c>
      <c r="C76" s="15">
        <v>21</v>
      </c>
      <c r="D76" s="15">
        <v>14</v>
      </c>
      <c r="E76" s="13">
        <v>41969</v>
      </c>
      <c r="F76" s="31" t="s">
        <v>307</v>
      </c>
      <c r="G76" s="41">
        <v>0.04</v>
      </c>
      <c r="H76" s="13">
        <v>43033</v>
      </c>
      <c r="I76" s="13">
        <v>45987</v>
      </c>
      <c r="J76" s="32">
        <f t="shared" si="7"/>
        <v>11.008219178082191</v>
      </c>
      <c r="K76" s="32">
        <f t="shared" si="8"/>
        <v>8.0931506849315067</v>
      </c>
      <c r="L76" s="17">
        <v>250</v>
      </c>
      <c r="M76" s="19">
        <v>662.73</v>
      </c>
      <c r="N76" s="20">
        <f t="shared" si="9"/>
        <v>2.6509200000000002</v>
      </c>
      <c r="O76" s="19">
        <v>250</v>
      </c>
      <c r="P76" s="27">
        <v>0.99550000000000005</v>
      </c>
      <c r="Q76" s="19" t="s">
        <v>334</v>
      </c>
      <c r="R76" s="19">
        <v>0.15</v>
      </c>
      <c r="S76" s="30">
        <v>2.3599999999999999E-2</v>
      </c>
      <c r="T76" s="34">
        <f t="shared" si="10"/>
        <v>112.00999999999999</v>
      </c>
      <c r="U76" s="34">
        <v>1.65</v>
      </c>
      <c r="V76" s="34">
        <v>113.66</v>
      </c>
    </row>
    <row r="77" spans="1:22" x14ac:dyDescent="0.25">
      <c r="A77" s="35">
        <v>43060</v>
      </c>
      <c r="B77" s="14">
        <v>0.60416666666666663</v>
      </c>
      <c r="C77" s="15">
        <v>24</v>
      </c>
      <c r="D77" s="15">
        <v>9</v>
      </c>
      <c r="E77" s="13">
        <v>42550</v>
      </c>
      <c r="F77" s="31" t="s">
        <v>307</v>
      </c>
      <c r="G77" s="41">
        <v>5.2499999999999998E-2</v>
      </c>
      <c r="H77" s="13">
        <v>43061</v>
      </c>
      <c r="I77" s="13">
        <v>44559</v>
      </c>
      <c r="J77" s="32">
        <f t="shared" si="7"/>
        <v>5.5041095890410956</v>
      </c>
      <c r="K77" s="32">
        <f t="shared" si="8"/>
        <v>4.1041095890410961</v>
      </c>
      <c r="L77" s="17">
        <v>375</v>
      </c>
      <c r="M77" s="19">
        <v>498.44</v>
      </c>
      <c r="N77" s="20">
        <f t="shared" si="9"/>
        <v>1.3291733333333333</v>
      </c>
      <c r="O77" s="19">
        <v>407.28</v>
      </c>
      <c r="P77" s="27">
        <v>0</v>
      </c>
      <c r="Q77" s="19" t="s">
        <v>334</v>
      </c>
      <c r="R77" s="19">
        <v>0</v>
      </c>
      <c r="S77" s="30">
        <v>0</v>
      </c>
      <c r="T77" s="34">
        <f t="shared" si="10"/>
        <v>110.71</v>
      </c>
      <c r="U77" s="34">
        <v>2.09</v>
      </c>
      <c r="V77" s="34">
        <v>112.8</v>
      </c>
    </row>
    <row r="78" spans="1:22" x14ac:dyDescent="0.25">
      <c r="A78" s="35">
        <v>43088</v>
      </c>
      <c r="B78" s="14">
        <v>0.60416666666666663</v>
      </c>
      <c r="C78" s="15">
        <v>21</v>
      </c>
      <c r="D78" s="15">
        <v>15</v>
      </c>
      <c r="E78" s="13">
        <v>41969</v>
      </c>
      <c r="F78" s="31" t="s">
        <v>307</v>
      </c>
      <c r="G78" s="41">
        <v>0.04</v>
      </c>
      <c r="H78" s="13">
        <v>43089</v>
      </c>
      <c r="I78" s="13">
        <v>45987</v>
      </c>
      <c r="J78" s="32">
        <f t="shared" si="7"/>
        <v>11.008219178082191</v>
      </c>
      <c r="K78" s="32">
        <f t="shared" si="8"/>
        <v>7.9397260273972599</v>
      </c>
      <c r="L78" s="17">
        <v>250</v>
      </c>
      <c r="M78" s="19">
        <v>275.51</v>
      </c>
      <c r="N78" s="20">
        <f t="shared" si="9"/>
        <v>1.1020399999999999</v>
      </c>
      <c r="O78" s="19">
        <v>95.16</v>
      </c>
      <c r="P78" s="27">
        <v>0</v>
      </c>
      <c r="Q78" s="19" t="s">
        <v>334</v>
      </c>
      <c r="R78" s="19">
        <v>9.1</v>
      </c>
      <c r="S78" s="30">
        <v>2.3300000000000001E-2</v>
      </c>
      <c r="T78" s="34">
        <f t="shared" si="10"/>
        <v>111.99000000000001</v>
      </c>
      <c r="U78" s="34">
        <v>0.27</v>
      </c>
      <c r="V78" s="34">
        <v>112.26</v>
      </c>
    </row>
    <row r="79" spans="1:22" x14ac:dyDescent="0.25">
      <c r="A79" s="35">
        <v>43109</v>
      </c>
      <c r="B79" s="14">
        <v>0.60416666666666663</v>
      </c>
      <c r="C79" s="15">
        <v>19</v>
      </c>
      <c r="D79" s="15">
        <v>11</v>
      </c>
      <c r="E79" s="13">
        <v>41179</v>
      </c>
      <c r="F79" s="31" t="s">
        <v>307</v>
      </c>
      <c r="G79" s="41">
        <v>2.5000000000000001E-2</v>
      </c>
      <c r="H79" s="13">
        <v>43110</v>
      </c>
      <c r="I79" s="13">
        <v>44831</v>
      </c>
      <c r="J79" s="32">
        <f t="shared" si="7"/>
        <v>10.005479452054795</v>
      </c>
      <c r="K79" s="32">
        <f t="shared" si="8"/>
        <v>4.7150684931506852</v>
      </c>
      <c r="L79" s="17">
        <v>250</v>
      </c>
      <c r="M79" s="19">
        <v>655.7</v>
      </c>
      <c r="N79" s="20">
        <f t="shared" si="9"/>
        <v>2.6228000000000002</v>
      </c>
      <c r="O79" s="19">
        <v>307</v>
      </c>
      <c r="P79" s="27">
        <v>0</v>
      </c>
      <c r="Q79" s="19" t="s">
        <v>334</v>
      </c>
      <c r="R79" s="19" t="s">
        <v>334</v>
      </c>
      <c r="S79" s="30">
        <v>2.5899999999999999E-2</v>
      </c>
      <c r="T79" s="34">
        <f t="shared" si="10"/>
        <v>99.58</v>
      </c>
      <c r="U79" s="34">
        <v>0.73</v>
      </c>
      <c r="V79" s="34">
        <v>100.31</v>
      </c>
    </row>
    <row r="80" spans="1:22" x14ac:dyDescent="0.25">
      <c r="A80" s="35">
        <v>43123</v>
      </c>
      <c r="B80" s="14">
        <v>0.60416666666666663</v>
      </c>
      <c r="C80" s="15">
        <v>25</v>
      </c>
      <c r="D80" s="15">
        <v>1</v>
      </c>
      <c r="E80" s="13">
        <v>43124</v>
      </c>
      <c r="F80" s="31" t="s">
        <v>307</v>
      </c>
      <c r="G80" s="41">
        <v>2.8999999999999998E-2</v>
      </c>
      <c r="H80" s="13">
        <v>43124</v>
      </c>
      <c r="I80" s="13">
        <v>47688</v>
      </c>
      <c r="J80" s="32">
        <f t="shared" si="7"/>
        <v>12.504109589041096</v>
      </c>
      <c r="K80" s="32">
        <f t="shared" si="8"/>
        <v>12.504109589041096</v>
      </c>
      <c r="L80" s="17">
        <v>200</v>
      </c>
      <c r="M80" s="19">
        <v>379.81</v>
      </c>
      <c r="N80" s="20">
        <f t="shared" si="9"/>
        <v>1.8990499999999999</v>
      </c>
      <c r="O80" s="19">
        <v>171.81</v>
      </c>
      <c r="P80" s="27">
        <v>0</v>
      </c>
      <c r="Q80" s="19" t="s">
        <v>334</v>
      </c>
      <c r="R80" s="19">
        <v>11.02</v>
      </c>
      <c r="S80" s="30">
        <v>3.0499999999999999E-2</v>
      </c>
      <c r="T80" s="34">
        <f t="shared" si="10"/>
        <v>98.45</v>
      </c>
      <c r="U80" s="34">
        <v>0</v>
      </c>
      <c r="V80" s="34">
        <v>98.45</v>
      </c>
    </row>
    <row r="81" spans="1:22" x14ac:dyDescent="0.25">
      <c r="A81" s="35">
        <v>43151</v>
      </c>
      <c r="B81" s="14">
        <v>0.60416666666666663</v>
      </c>
      <c r="C81" s="15">
        <v>21</v>
      </c>
      <c r="D81" s="15">
        <v>16</v>
      </c>
      <c r="E81" s="13">
        <v>41969</v>
      </c>
      <c r="F81" s="31" t="s">
        <v>307</v>
      </c>
      <c r="G81" s="41">
        <v>0.04</v>
      </c>
      <c r="H81" s="13">
        <v>43152</v>
      </c>
      <c r="I81" s="13">
        <v>45987</v>
      </c>
      <c r="J81" s="32">
        <f t="shared" si="7"/>
        <v>11.008219178082191</v>
      </c>
      <c r="K81" s="32">
        <f t="shared" si="8"/>
        <v>7.7671232876712333</v>
      </c>
      <c r="L81" s="17">
        <v>250</v>
      </c>
      <c r="M81" s="19">
        <v>274.64</v>
      </c>
      <c r="N81" s="20">
        <f t="shared" si="9"/>
        <v>1.09856</v>
      </c>
      <c r="O81" s="19">
        <v>132.13999999999999</v>
      </c>
      <c r="P81" s="27">
        <v>0</v>
      </c>
      <c r="Q81" s="19" t="s">
        <v>334</v>
      </c>
      <c r="R81" s="19">
        <v>0.45</v>
      </c>
      <c r="S81" s="30">
        <v>3.1400000000000004E-2</v>
      </c>
      <c r="T81" s="34">
        <f t="shared" si="10"/>
        <v>105.87</v>
      </c>
      <c r="U81" s="34">
        <v>0.96</v>
      </c>
      <c r="V81" s="34">
        <v>106.83</v>
      </c>
    </row>
    <row r="82" spans="1:22" x14ac:dyDescent="0.25">
      <c r="A82" s="35">
        <v>43165</v>
      </c>
      <c r="B82" s="14">
        <v>0.60416666666666663</v>
      </c>
      <c r="C82" s="15">
        <v>19</v>
      </c>
      <c r="D82" s="15">
        <v>12</v>
      </c>
      <c r="E82" s="13">
        <v>41179</v>
      </c>
      <c r="F82" s="31" t="s">
        <v>307</v>
      </c>
      <c r="G82" s="41">
        <v>2.5000000000000001E-2</v>
      </c>
      <c r="H82" s="13">
        <v>43166</v>
      </c>
      <c r="I82" s="13">
        <v>44831</v>
      </c>
      <c r="J82" s="32">
        <f t="shared" si="7"/>
        <v>10.005479452054795</v>
      </c>
      <c r="K82" s="32">
        <f t="shared" si="8"/>
        <v>4.5616438356164384</v>
      </c>
      <c r="L82" s="17">
        <v>250</v>
      </c>
      <c r="M82" s="19">
        <v>567.42999999999995</v>
      </c>
      <c r="N82" s="20">
        <f t="shared" si="9"/>
        <v>2.26972</v>
      </c>
      <c r="O82" s="19">
        <v>493.43</v>
      </c>
      <c r="P82" s="27">
        <v>0</v>
      </c>
      <c r="Q82" s="19" t="s">
        <v>334</v>
      </c>
      <c r="R82" s="19" t="s">
        <v>334</v>
      </c>
      <c r="S82" s="30">
        <v>2.8300000000000002E-2</v>
      </c>
      <c r="T82" s="34">
        <f t="shared" si="10"/>
        <v>98.570000000000007</v>
      </c>
      <c r="U82" s="34">
        <v>1.1100000000000001</v>
      </c>
      <c r="V82" s="34">
        <v>99.68</v>
      </c>
    </row>
    <row r="83" spans="1:22" x14ac:dyDescent="0.25">
      <c r="A83" s="35">
        <v>43179</v>
      </c>
      <c r="B83" s="14">
        <v>0.60416666666666663</v>
      </c>
      <c r="C83" s="15">
        <v>25</v>
      </c>
      <c r="D83" s="15">
        <v>2</v>
      </c>
      <c r="E83" s="13">
        <v>43124</v>
      </c>
      <c r="F83" s="31" t="s">
        <v>307</v>
      </c>
      <c r="G83" s="41">
        <v>2.8999999999999998E-2</v>
      </c>
      <c r="H83" s="13">
        <v>43180</v>
      </c>
      <c r="I83" s="13">
        <v>47688</v>
      </c>
      <c r="J83" s="32">
        <f t="shared" si="7"/>
        <v>12.504109589041096</v>
      </c>
      <c r="K83" s="32">
        <f t="shared" si="8"/>
        <v>12.35068493150685</v>
      </c>
      <c r="L83" s="17">
        <v>200</v>
      </c>
      <c r="M83" s="19">
        <v>339.05</v>
      </c>
      <c r="N83" s="20">
        <f t="shared" si="9"/>
        <v>1.6952500000000001</v>
      </c>
      <c r="O83" s="19">
        <v>122.25</v>
      </c>
      <c r="P83" s="27">
        <v>0</v>
      </c>
      <c r="Q83" s="19" t="s">
        <v>334</v>
      </c>
      <c r="R83" s="19">
        <v>2.25</v>
      </c>
      <c r="S83" s="30">
        <v>3.49E-2</v>
      </c>
      <c r="T83" s="34">
        <f t="shared" si="10"/>
        <v>94.08</v>
      </c>
      <c r="U83" s="34">
        <v>0.45</v>
      </c>
      <c r="V83" s="34">
        <v>94.53</v>
      </c>
    </row>
    <row r="84" spans="1:22" x14ac:dyDescent="0.25">
      <c r="A84" s="35">
        <v>43214</v>
      </c>
      <c r="B84" s="14">
        <v>0.60416666666666663</v>
      </c>
      <c r="C84" s="15">
        <v>21</v>
      </c>
      <c r="D84" s="15">
        <v>17</v>
      </c>
      <c r="E84" s="13">
        <v>41969</v>
      </c>
      <c r="F84" s="31" t="s">
        <v>307</v>
      </c>
      <c r="G84" s="41">
        <v>0.04</v>
      </c>
      <c r="H84" s="13">
        <v>43214</v>
      </c>
      <c r="I84" s="13">
        <v>45987</v>
      </c>
      <c r="J84" s="32">
        <f t="shared" si="7"/>
        <v>11.008219178082191</v>
      </c>
      <c r="K84" s="32">
        <f t="shared" si="8"/>
        <v>7.5972602739726032</v>
      </c>
      <c r="L84" s="17">
        <v>250</v>
      </c>
      <c r="M84" s="19">
        <v>387.46</v>
      </c>
      <c r="N84" s="20">
        <f t="shared" si="9"/>
        <v>1.5498399999999999</v>
      </c>
      <c r="O84" s="19">
        <v>251.01</v>
      </c>
      <c r="P84" s="27">
        <v>0</v>
      </c>
      <c r="Q84" s="19" t="s">
        <v>334</v>
      </c>
      <c r="R84" s="19">
        <v>149</v>
      </c>
      <c r="S84" s="30">
        <v>3.4700000000000002E-2</v>
      </c>
      <c r="T84" s="34">
        <f t="shared" si="10"/>
        <v>103.48</v>
      </c>
      <c r="U84" s="34">
        <v>1.66</v>
      </c>
      <c r="V84" s="34">
        <v>105.14</v>
      </c>
    </row>
    <row r="85" spans="1:22" x14ac:dyDescent="0.25">
      <c r="A85" s="35">
        <v>43214</v>
      </c>
      <c r="B85" s="14">
        <v>0.60416666666666663</v>
      </c>
      <c r="C85" s="15">
        <v>1</v>
      </c>
      <c r="D85" s="15">
        <v>1</v>
      </c>
      <c r="E85" s="13">
        <v>43306</v>
      </c>
      <c r="F85" s="31" t="s">
        <v>322</v>
      </c>
      <c r="G85" s="41">
        <v>1.4999999999999999E-2</v>
      </c>
      <c r="H85" s="13">
        <v>43306</v>
      </c>
      <c r="I85" s="13">
        <v>45863</v>
      </c>
      <c r="J85" s="32">
        <f t="shared" si="7"/>
        <v>7.0054794520547947</v>
      </c>
      <c r="K85" s="32">
        <f t="shared" si="8"/>
        <v>7.0054794520547947</v>
      </c>
      <c r="L85" s="17">
        <v>550</v>
      </c>
      <c r="M85" s="19">
        <v>2465.9299999999998</v>
      </c>
      <c r="N85" s="20">
        <f t="shared" si="9"/>
        <v>4.4835090909090907</v>
      </c>
      <c r="O85" s="19">
        <v>908.27</v>
      </c>
      <c r="P85" s="27">
        <v>0</v>
      </c>
      <c r="Q85" s="19" t="s">
        <v>334</v>
      </c>
      <c r="R85" s="19">
        <v>0</v>
      </c>
      <c r="S85" s="30">
        <v>1.4999999999999999E-2</v>
      </c>
      <c r="T85" s="34">
        <f t="shared" si="10"/>
        <v>100</v>
      </c>
      <c r="U85" s="34">
        <v>0</v>
      </c>
      <c r="V85" s="34">
        <v>100</v>
      </c>
    </row>
    <row r="86" spans="1:22" x14ac:dyDescent="0.25">
      <c r="A86" s="35">
        <v>43235</v>
      </c>
      <c r="B86" s="14">
        <v>0.60416666666666663</v>
      </c>
      <c r="C86" s="15">
        <v>19</v>
      </c>
      <c r="D86" s="15">
        <v>13</v>
      </c>
      <c r="E86" s="13">
        <v>41179</v>
      </c>
      <c r="F86" s="31" t="s">
        <v>307</v>
      </c>
      <c r="G86" s="41">
        <v>2.5000000000000001E-2</v>
      </c>
      <c r="H86" s="13">
        <v>43236</v>
      </c>
      <c r="I86" s="13">
        <v>44831</v>
      </c>
      <c r="J86" s="32">
        <f t="shared" si="7"/>
        <v>10.005479452054795</v>
      </c>
      <c r="K86" s="32">
        <f t="shared" si="8"/>
        <v>4.3698630136986303</v>
      </c>
      <c r="L86" s="17">
        <v>250</v>
      </c>
      <c r="M86" s="19">
        <v>741.14</v>
      </c>
      <c r="N86" s="20">
        <f t="shared" si="9"/>
        <v>2.9645600000000001</v>
      </c>
      <c r="O86" s="19">
        <v>250.36</v>
      </c>
      <c r="P86" s="27">
        <v>0</v>
      </c>
      <c r="Q86" s="19" t="s">
        <v>334</v>
      </c>
      <c r="R86" s="19" t="s">
        <v>334</v>
      </c>
      <c r="S86" s="30">
        <v>3.2400000000000005E-2</v>
      </c>
      <c r="T86" s="34">
        <f t="shared" si="10"/>
        <v>97.009999999999991</v>
      </c>
      <c r="U86" s="34">
        <v>0.34</v>
      </c>
      <c r="V86" s="34">
        <v>97.35</v>
      </c>
    </row>
    <row r="87" spans="1:22" x14ac:dyDescent="0.25">
      <c r="A87" s="35">
        <v>43249</v>
      </c>
      <c r="B87" s="14">
        <v>0.60416666666666663</v>
      </c>
      <c r="C87" s="15">
        <v>25</v>
      </c>
      <c r="D87" s="15">
        <v>3</v>
      </c>
      <c r="E87" s="13">
        <v>43124</v>
      </c>
      <c r="F87" s="31" t="s">
        <v>307</v>
      </c>
      <c r="G87" s="41">
        <v>2.8999999999999998E-2</v>
      </c>
      <c r="H87" s="13">
        <v>43250</v>
      </c>
      <c r="I87" s="13">
        <v>47688</v>
      </c>
      <c r="J87" s="32">
        <f t="shared" si="7"/>
        <v>12.504109589041096</v>
      </c>
      <c r="K87" s="32">
        <f t="shared" si="8"/>
        <v>12.158904109589042</v>
      </c>
      <c r="L87" s="17">
        <v>500</v>
      </c>
      <c r="M87" s="19">
        <v>1595.73</v>
      </c>
      <c r="N87" s="20">
        <f t="shared" si="9"/>
        <v>3.1914600000000002</v>
      </c>
      <c r="O87" s="19">
        <v>762.23</v>
      </c>
      <c r="P87" s="27">
        <v>0</v>
      </c>
      <c r="Q87" s="19" t="s">
        <v>334</v>
      </c>
      <c r="R87" s="19">
        <v>0.68</v>
      </c>
      <c r="S87" s="30">
        <v>3.6000000000000004E-2</v>
      </c>
      <c r="T87" s="34">
        <f t="shared" si="10"/>
        <v>93.149999999999991</v>
      </c>
      <c r="U87" s="34">
        <v>1.01</v>
      </c>
      <c r="V87" s="34">
        <v>94.16</v>
      </c>
    </row>
    <row r="88" spans="1:22" x14ac:dyDescent="0.25">
      <c r="A88" s="35">
        <v>43277</v>
      </c>
      <c r="B88" s="14">
        <v>0.60416666666666663</v>
      </c>
      <c r="C88" s="15">
        <v>21</v>
      </c>
      <c r="D88" s="15">
        <v>18</v>
      </c>
      <c r="E88" s="13">
        <v>41969</v>
      </c>
      <c r="F88" s="31" t="s">
        <v>307</v>
      </c>
      <c r="G88" s="41">
        <v>0.04</v>
      </c>
      <c r="H88" s="13">
        <v>43278</v>
      </c>
      <c r="I88" s="13">
        <v>45987</v>
      </c>
      <c r="J88" s="32">
        <f t="shared" si="7"/>
        <v>11.008219178082191</v>
      </c>
      <c r="K88" s="32">
        <f t="shared" si="8"/>
        <v>7.4219178082191783</v>
      </c>
      <c r="L88" s="17">
        <v>250</v>
      </c>
      <c r="M88" s="19">
        <v>729.48</v>
      </c>
      <c r="N88" s="20">
        <f t="shared" si="9"/>
        <v>2.9179200000000001</v>
      </c>
      <c r="O88" s="19">
        <v>256.68</v>
      </c>
      <c r="P88" s="27">
        <v>0</v>
      </c>
      <c r="Q88" s="19" t="s">
        <v>334</v>
      </c>
      <c r="R88" s="19">
        <v>1.85</v>
      </c>
      <c r="S88" s="30">
        <v>3.2500000000000001E-2</v>
      </c>
      <c r="T88" s="34">
        <f t="shared" si="10"/>
        <v>104.89</v>
      </c>
      <c r="U88" s="34">
        <v>0.35</v>
      </c>
      <c r="V88" s="34">
        <v>105.24</v>
      </c>
    </row>
    <row r="89" spans="1:22" x14ac:dyDescent="0.25">
      <c r="A89" s="35">
        <v>43291</v>
      </c>
      <c r="B89" s="14">
        <v>0.60416666666666663</v>
      </c>
      <c r="C89" s="15">
        <v>24</v>
      </c>
      <c r="D89" s="15">
        <v>10</v>
      </c>
      <c r="E89" s="13">
        <v>42550</v>
      </c>
      <c r="F89" s="31" t="s">
        <v>307</v>
      </c>
      <c r="G89" s="41">
        <v>5.2499999999999998E-2</v>
      </c>
      <c r="H89" s="13">
        <v>43292</v>
      </c>
      <c r="I89" s="13">
        <v>44559</v>
      </c>
      <c r="J89" s="32">
        <f t="shared" si="7"/>
        <v>5.5041095890410956</v>
      </c>
      <c r="K89" s="32">
        <f t="shared" si="8"/>
        <v>3.4712328767123286</v>
      </c>
      <c r="L89" s="17">
        <v>325</v>
      </c>
      <c r="M89" s="19">
        <v>815.77</v>
      </c>
      <c r="N89" s="20">
        <f t="shared" si="9"/>
        <v>2.5100615384615383</v>
      </c>
      <c r="O89" s="19">
        <v>344.02</v>
      </c>
      <c r="P89" s="27">
        <v>0</v>
      </c>
      <c r="Q89" s="19" t="s">
        <v>334</v>
      </c>
      <c r="R89" s="19">
        <v>0</v>
      </c>
      <c r="S89" s="30">
        <v>0</v>
      </c>
      <c r="T89" s="34">
        <f t="shared" si="10"/>
        <v>110.25</v>
      </c>
      <c r="U89" s="34">
        <v>0.17</v>
      </c>
      <c r="V89" s="34">
        <v>110.42</v>
      </c>
    </row>
    <row r="90" spans="1:22" x14ac:dyDescent="0.25">
      <c r="A90" s="35">
        <v>43312</v>
      </c>
      <c r="B90" s="14">
        <v>0.60416666666666663</v>
      </c>
      <c r="C90" s="15">
        <v>25</v>
      </c>
      <c r="D90" s="15">
        <v>4</v>
      </c>
      <c r="E90" s="13">
        <v>43124</v>
      </c>
      <c r="F90" s="31" t="s">
        <v>307</v>
      </c>
      <c r="G90" s="41">
        <v>2.8999999999999998E-2</v>
      </c>
      <c r="H90" s="13">
        <v>43313</v>
      </c>
      <c r="I90" s="13">
        <v>47688</v>
      </c>
      <c r="J90" s="32">
        <f t="shared" si="7"/>
        <v>12.504109589041096</v>
      </c>
      <c r="K90" s="32">
        <f t="shared" si="8"/>
        <v>11.986301369863014</v>
      </c>
      <c r="L90" s="17">
        <v>100</v>
      </c>
      <c r="M90" s="19">
        <v>267.95</v>
      </c>
      <c r="N90" s="20">
        <f t="shared" si="9"/>
        <v>2.6795</v>
      </c>
      <c r="O90" s="19">
        <v>152.25</v>
      </c>
      <c r="P90" s="27">
        <v>0</v>
      </c>
      <c r="Q90" s="19" t="s">
        <v>334</v>
      </c>
      <c r="R90" s="19">
        <v>1.5</v>
      </c>
      <c r="S90" s="30">
        <v>3.3399999999999999E-2</v>
      </c>
      <c r="T90" s="34">
        <f t="shared" si="10"/>
        <v>95.66</v>
      </c>
      <c r="U90" s="34">
        <v>0.06</v>
      </c>
      <c r="V90" s="34">
        <v>95.72</v>
      </c>
    </row>
    <row r="91" spans="1:22" x14ac:dyDescent="0.25">
      <c r="A91" s="35">
        <v>43326</v>
      </c>
      <c r="B91" s="14">
        <v>0.60416666666666663</v>
      </c>
      <c r="C91" s="15">
        <v>13</v>
      </c>
      <c r="D91" s="15">
        <v>35</v>
      </c>
      <c r="E91" s="13">
        <v>40323</v>
      </c>
      <c r="F91" s="31" t="s">
        <v>307</v>
      </c>
      <c r="G91" s="41">
        <v>0.04</v>
      </c>
      <c r="H91" s="13">
        <v>43327</v>
      </c>
      <c r="I91" s="13">
        <v>45802</v>
      </c>
      <c r="J91" s="32">
        <f t="shared" si="7"/>
        <v>15.010958904109589</v>
      </c>
      <c r="K91" s="32">
        <f t="shared" si="8"/>
        <v>6.7808219178082192</v>
      </c>
      <c r="L91" s="17">
        <v>225</v>
      </c>
      <c r="M91" s="19">
        <v>550.16999999999996</v>
      </c>
      <c r="N91" s="20">
        <f t="shared" si="9"/>
        <v>2.4451999999999998</v>
      </c>
      <c r="O91" s="19">
        <v>151.69999999999999</v>
      </c>
      <c r="P91" s="27">
        <v>0</v>
      </c>
      <c r="Q91" s="19" t="s">
        <v>334</v>
      </c>
      <c r="R91" s="19">
        <v>1.99</v>
      </c>
      <c r="S91" s="30">
        <v>3.0499999999999999E-2</v>
      </c>
      <c r="T91" s="34">
        <f t="shared" si="10"/>
        <v>105</v>
      </c>
      <c r="U91" s="34">
        <v>0.89</v>
      </c>
      <c r="V91" s="34">
        <v>105.89</v>
      </c>
    </row>
    <row r="92" spans="1:22" x14ac:dyDescent="0.25">
      <c r="A92" s="35">
        <v>43340</v>
      </c>
      <c r="B92" s="14">
        <v>0.60416666666666663</v>
      </c>
      <c r="C92" s="15">
        <v>2</v>
      </c>
      <c r="D92" s="15">
        <v>1</v>
      </c>
      <c r="E92" s="13">
        <v>43341</v>
      </c>
      <c r="F92" s="31" t="s">
        <v>322</v>
      </c>
      <c r="G92" s="41">
        <v>1.8000000000000002E-2</v>
      </c>
      <c r="H92" s="13">
        <v>43341</v>
      </c>
      <c r="I92" s="13">
        <v>48820</v>
      </c>
      <c r="J92" s="32">
        <f t="shared" si="7"/>
        <v>15.010958904109589</v>
      </c>
      <c r="K92" s="32">
        <f t="shared" si="8"/>
        <v>15.010958904109589</v>
      </c>
      <c r="L92" s="17">
        <v>850</v>
      </c>
      <c r="M92" s="19">
        <v>2559.1999999999998</v>
      </c>
      <c r="N92" s="20">
        <f t="shared" si="9"/>
        <v>3.0108235294117645</v>
      </c>
      <c r="O92" s="19">
        <v>591.6</v>
      </c>
      <c r="P92" s="27">
        <v>0</v>
      </c>
      <c r="Q92" s="19" t="s">
        <v>334</v>
      </c>
      <c r="R92" s="19">
        <v>21.6</v>
      </c>
      <c r="S92" s="30">
        <v>1.9E-2</v>
      </c>
      <c r="T92" s="34">
        <f t="shared" si="10"/>
        <v>98.7</v>
      </c>
      <c r="U92" s="34">
        <v>0</v>
      </c>
      <c r="V92" s="34">
        <v>98.7</v>
      </c>
    </row>
    <row r="93" spans="1:22" x14ac:dyDescent="0.25">
      <c r="A93" s="35">
        <v>43354</v>
      </c>
      <c r="B93" s="14">
        <v>0.60416666666666663</v>
      </c>
      <c r="C93" s="15">
        <v>24</v>
      </c>
      <c r="D93" s="15">
        <v>11</v>
      </c>
      <c r="E93" s="13">
        <v>42550</v>
      </c>
      <c r="F93" s="31" t="s">
        <v>307</v>
      </c>
      <c r="G93" s="41">
        <v>5.2499999999999998E-2</v>
      </c>
      <c r="H93" s="13">
        <v>43355</v>
      </c>
      <c r="I93" s="13">
        <v>44559</v>
      </c>
      <c r="J93" s="32">
        <f t="shared" si="7"/>
        <v>5.5041095890410956</v>
      </c>
      <c r="K93" s="32">
        <f t="shared" si="8"/>
        <v>3.2986301369863016</v>
      </c>
      <c r="L93" s="17">
        <v>325</v>
      </c>
      <c r="M93" s="19">
        <v>556.03</v>
      </c>
      <c r="N93" s="20">
        <f t="shared" si="9"/>
        <v>1.7108615384615384</v>
      </c>
      <c r="O93" s="19">
        <v>325</v>
      </c>
      <c r="P93" s="27">
        <v>0.85929999999999995</v>
      </c>
      <c r="Q93" s="19" t="s">
        <v>334</v>
      </c>
      <c r="R93" s="19">
        <v>0</v>
      </c>
      <c r="S93" s="30">
        <v>0</v>
      </c>
      <c r="T93" s="34">
        <f t="shared" si="10"/>
        <v>107.68</v>
      </c>
      <c r="U93" s="34">
        <v>1.08</v>
      </c>
      <c r="V93" s="34">
        <v>108.76</v>
      </c>
    </row>
    <row r="94" spans="1:22" x14ac:dyDescent="0.25">
      <c r="A94" s="35">
        <v>43361</v>
      </c>
      <c r="B94" s="14">
        <v>0.60416666666666663</v>
      </c>
      <c r="C94" s="15">
        <v>1</v>
      </c>
      <c r="D94" s="15">
        <v>2</v>
      </c>
      <c r="E94" s="13">
        <v>43306</v>
      </c>
      <c r="F94" s="31" t="s">
        <v>322</v>
      </c>
      <c r="G94" s="41">
        <v>1.4999999999999999E-2</v>
      </c>
      <c r="H94" s="13">
        <v>43362</v>
      </c>
      <c r="I94" s="13">
        <v>45863</v>
      </c>
      <c r="J94" s="32">
        <f t="shared" si="7"/>
        <v>7.0054794520547947</v>
      </c>
      <c r="K94" s="32">
        <f t="shared" si="8"/>
        <v>6.8520547945205479</v>
      </c>
      <c r="L94" s="17">
        <v>550</v>
      </c>
      <c r="M94" s="19">
        <v>1463.1</v>
      </c>
      <c r="N94" s="20">
        <f t="shared" si="9"/>
        <v>2.660181818181818</v>
      </c>
      <c r="O94" s="19">
        <v>573.1</v>
      </c>
      <c r="P94" s="27">
        <v>0</v>
      </c>
      <c r="Q94" s="19" t="s">
        <v>334</v>
      </c>
      <c r="R94" s="19">
        <v>33.1</v>
      </c>
      <c r="S94" s="30">
        <v>1.9699999999999999E-2</v>
      </c>
      <c r="T94" s="34">
        <f t="shared" si="10"/>
        <v>97.429999999999993</v>
      </c>
      <c r="U94" s="34">
        <v>0.23</v>
      </c>
      <c r="V94" s="34">
        <v>97.66</v>
      </c>
    </row>
    <row r="95" spans="1:22" x14ac:dyDescent="0.25">
      <c r="A95" s="35">
        <v>43368</v>
      </c>
      <c r="B95" s="14">
        <v>0.60416666666666663</v>
      </c>
      <c r="C95" s="15">
        <v>25</v>
      </c>
      <c r="D95" s="15">
        <v>5</v>
      </c>
      <c r="E95" s="13">
        <v>43124</v>
      </c>
      <c r="F95" s="31" t="s">
        <v>307</v>
      </c>
      <c r="G95" s="41">
        <v>2.8999999999999998E-2</v>
      </c>
      <c r="H95" s="13">
        <v>43369</v>
      </c>
      <c r="I95" s="13">
        <v>47688</v>
      </c>
      <c r="J95" s="32">
        <f t="shared" si="7"/>
        <v>12.504109589041096</v>
      </c>
      <c r="K95" s="32">
        <f t="shared" si="8"/>
        <v>11.832876712328767</v>
      </c>
      <c r="L95" s="17">
        <v>100</v>
      </c>
      <c r="M95" s="19">
        <v>268.72000000000003</v>
      </c>
      <c r="N95" s="20">
        <f t="shared" si="9"/>
        <v>2.6872000000000003</v>
      </c>
      <c r="O95" s="19">
        <v>113.5</v>
      </c>
      <c r="P95" s="27">
        <v>0</v>
      </c>
      <c r="Q95" s="19" t="s">
        <v>334</v>
      </c>
      <c r="R95" s="19">
        <v>8.4499999999999993</v>
      </c>
      <c r="S95" s="30">
        <v>3.4000000000000002E-2</v>
      </c>
      <c r="T95" s="34">
        <f t="shared" si="10"/>
        <v>95.1</v>
      </c>
      <c r="U95" s="34">
        <v>0.5</v>
      </c>
      <c r="V95" s="34">
        <v>95.6</v>
      </c>
    </row>
    <row r="96" spans="1:22" x14ac:dyDescent="0.25">
      <c r="A96" s="35">
        <v>43389</v>
      </c>
      <c r="B96" s="14">
        <v>0.60416666666666663</v>
      </c>
      <c r="C96" s="15">
        <v>13</v>
      </c>
      <c r="D96" s="15">
        <v>36</v>
      </c>
      <c r="E96" s="13">
        <v>40323</v>
      </c>
      <c r="F96" s="31" t="s">
        <v>307</v>
      </c>
      <c r="G96" s="41">
        <v>0.04</v>
      </c>
      <c r="H96" s="13">
        <v>43390</v>
      </c>
      <c r="I96" s="13">
        <v>45802</v>
      </c>
      <c r="J96" s="32">
        <f t="shared" si="7"/>
        <v>15.010958904109589</v>
      </c>
      <c r="K96" s="32">
        <f t="shared" si="8"/>
        <v>6.6082191780821917</v>
      </c>
      <c r="L96" s="17">
        <v>225</v>
      </c>
      <c r="M96" s="19">
        <v>600.95000000000005</v>
      </c>
      <c r="N96" s="20">
        <f t="shared" si="9"/>
        <v>2.6708888888888893</v>
      </c>
      <c r="O96" s="19">
        <v>205.42</v>
      </c>
      <c r="P96" s="27">
        <v>0</v>
      </c>
      <c r="Q96" s="19" t="s">
        <v>334</v>
      </c>
      <c r="R96" s="19">
        <v>12.68</v>
      </c>
      <c r="S96" s="30">
        <v>3.2500000000000001E-2</v>
      </c>
      <c r="T96" s="34">
        <f t="shared" si="10"/>
        <v>103.78</v>
      </c>
      <c r="U96" s="34">
        <v>1.58</v>
      </c>
      <c r="V96" s="34">
        <v>105.36</v>
      </c>
    </row>
    <row r="97" spans="1:22" x14ac:dyDescent="0.25">
      <c r="A97" s="35">
        <v>43403</v>
      </c>
      <c r="B97" s="14">
        <v>0.60416666666666663</v>
      </c>
      <c r="C97" s="15">
        <v>2</v>
      </c>
      <c r="D97" s="15">
        <v>2</v>
      </c>
      <c r="E97" s="13">
        <v>43341</v>
      </c>
      <c r="F97" s="31" t="s">
        <v>322</v>
      </c>
      <c r="G97" s="41">
        <v>1.8000000000000002E-2</v>
      </c>
      <c r="H97" s="13">
        <v>43404</v>
      </c>
      <c r="I97" s="13">
        <v>48820</v>
      </c>
      <c r="J97" s="32">
        <f t="shared" si="7"/>
        <v>15.010958904109589</v>
      </c>
      <c r="K97" s="32">
        <f t="shared" si="8"/>
        <v>14.838356164383562</v>
      </c>
      <c r="L97" s="17">
        <v>850</v>
      </c>
      <c r="M97" s="19">
        <v>2363.37</v>
      </c>
      <c r="N97" s="20">
        <f t="shared" si="9"/>
        <v>2.7804352941176469</v>
      </c>
      <c r="O97" s="19">
        <v>725.17</v>
      </c>
      <c r="P97" s="27">
        <v>0</v>
      </c>
      <c r="Q97" s="19" t="s">
        <v>334</v>
      </c>
      <c r="R97" s="19">
        <v>269.60000000000002</v>
      </c>
      <c r="S97" s="30">
        <v>0.02</v>
      </c>
      <c r="T97" s="34">
        <f t="shared" si="10"/>
        <v>97.59</v>
      </c>
      <c r="U97" s="34">
        <v>0.31</v>
      </c>
      <c r="V97" s="34">
        <v>97.9</v>
      </c>
    </row>
    <row r="98" spans="1:22" x14ac:dyDescent="0.25">
      <c r="A98" s="35">
        <v>43417</v>
      </c>
      <c r="B98" s="14">
        <v>0.60416666666666663</v>
      </c>
      <c r="C98" s="15">
        <v>24</v>
      </c>
      <c r="D98" s="15">
        <v>12</v>
      </c>
      <c r="E98" s="13">
        <v>42550</v>
      </c>
      <c r="F98" s="31" t="s">
        <v>307</v>
      </c>
      <c r="G98" s="41">
        <v>5.2499999999999998E-2</v>
      </c>
      <c r="H98" s="13">
        <v>43418</v>
      </c>
      <c r="I98" s="13">
        <v>44559</v>
      </c>
      <c r="J98" s="32">
        <f t="shared" si="7"/>
        <v>5.5041095890410956</v>
      </c>
      <c r="K98" s="32">
        <f t="shared" si="8"/>
        <v>3.1260273972602741</v>
      </c>
      <c r="L98" s="17">
        <v>325</v>
      </c>
      <c r="M98" s="19">
        <v>900.25</v>
      </c>
      <c r="N98" s="20">
        <f t="shared" si="9"/>
        <v>2.77</v>
      </c>
      <c r="O98" s="19">
        <v>344.12</v>
      </c>
      <c r="P98" s="27">
        <v>0</v>
      </c>
      <c r="Q98" s="19" t="s">
        <v>334</v>
      </c>
      <c r="R98" s="19">
        <v>0</v>
      </c>
      <c r="S98" s="30">
        <v>0</v>
      </c>
      <c r="T98" s="34">
        <f t="shared" si="10"/>
        <v>108</v>
      </c>
      <c r="U98" s="34">
        <v>1.98</v>
      </c>
      <c r="V98" s="34">
        <v>109.98</v>
      </c>
    </row>
    <row r="99" spans="1:22" x14ac:dyDescent="0.25">
      <c r="A99" s="35">
        <v>43424</v>
      </c>
      <c r="B99" s="14">
        <v>0.60416666666666663</v>
      </c>
      <c r="C99" s="15">
        <v>24</v>
      </c>
      <c r="D99" s="15">
        <v>13</v>
      </c>
      <c r="E99" s="13">
        <v>42550</v>
      </c>
      <c r="F99" s="31" t="s">
        <v>307</v>
      </c>
      <c r="G99" s="41">
        <v>5.2499999999999998E-2</v>
      </c>
      <c r="H99" s="13">
        <v>43427</v>
      </c>
      <c r="I99" s="13">
        <v>44559</v>
      </c>
      <c r="J99" s="32">
        <f t="shared" si="7"/>
        <v>5.5041095890410956</v>
      </c>
      <c r="K99" s="32">
        <f t="shared" si="8"/>
        <v>3.1013698630136988</v>
      </c>
      <c r="L99" s="17">
        <v>1400</v>
      </c>
      <c r="M99" s="19">
        <v>4311.3</v>
      </c>
      <c r="N99" s="20">
        <f t="shared" si="9"/>
        <v>3.0795000000000003</v>
      </c>
      <c r="O99" s="19">
        <v>2800</v>
      </c>
      <c r="P99" s="27">
        <v>0.8014</v>
      </c>
      <c r="Q99" s="19">
        <v>2580.09</v>
      </c>
      <c r="R99" s="19">
        <v>0</v>
      </c>
      <c r="S99" s="30">
        <v>0</v>
      </c>
      <c r="T99" s="34">
        <f t="shared" si="10"/>
        <v>108.15</v>
      </c>
      <c r="U99" s="34">
        <v>2.11</v>
      </c>
      <c r="V99" s="34">
        <v>110.26</v>
      </c>
    </row>
    <row r="100" spans="1:22" x14ac:dyDescent="0.25">
      <c r="A100" s="35">
        <v>43425</v>
      </c>
      <c r="B100" s="14">
        <v>0.60416666666666663</v>
      </c>
      <c r="C100" s="15">
        <v>1</v>
      </c>
      <c r="D100" s="15">
        <v>3</v>
      </c>
      <c r="E100" s="13">
        <v>43306</v>
      </c>
      <c r="F100" s="31" t="s">
        <v>322</v>
      </c>
      <c r="G100" s="41">
        <v>1.4999999999999999E-2</v>
      </c>
      <c r="H100" s="13">
        <v>43427</v>
      </c>
      <c r="I100" s="13">
        <v>45863</v>
      </c>
      <c r="J100" s="32">
        <f t="shared" si="7"/>
        <v>7.0054794520547947</v>
      </c>
      <c r="K100" s="32">
        <f t="shared" si="8"/>
        <v>6.6739726027397257</v>
      </c>
      <c r="L100" s="17">
        <v>5825</v>
      </c>
      <c r="M100" s="19">
        <v>10061.52</v>
      </c>
      <c r="N100" s="20">
        <f t="shared" si="9"/>
        <v>1.7272995708154508</v>
      </c>
      <c r="O100" s="19">
        <v>7166.9</v>
      </c>
      <c r="P100" s="27">
        <v>0</v>
      </c>
      <c r="Q100" s="19">
        <v>6830</v>
      </c>
      <c r="R100" s="19">
        <v>209.4</v>
      </c>
      <c r="S100" s="30">
        <v>2.2463E-2</v>
      </c>
      <c r="T100" s="34">
        <f t="shared" si="10"/>
        <v>96.050000000000011</v>
      </c>
      <c r="U100" s="34">
        <v>0.49</v>
      </c>
      <c r="V100" s="34">
        <v>96.54</v>
      </c>
    </row>
    <row r="101" spans="1:22" x14ac:dyDescent="0.25">
      <c r="A101" s="35">
        <v>43426</v>
      </c>
      <c r="B101" s="14">
        <v>0.60416666666666663</v>
      </c>
      <c r="C101" s="15">
        <v>2</v>
      </c>
      <c r="D101" s="15">
        <v>3</v>
      </c>
      <c r="E101" s="13">
        <v>43341</v>
      </c>
      <c r="F101" s="31" t="s">
        <v>322</v>
      </c>
      <c r="G101" s="41">
        <v>1.8000000000000002E-2</v>
      </c>
      <c r="H101" s="13">
        <v>43427</v>
      </c>
      <c r="I101" s="13">
        <v>48820</v>
      </c>
      <c r="J101" s="32">
        <f t="shared" si="7"/>
        <v>15.010958904109589</v>
      </c>
      <c r="K101" s="32">
        <f t="shared" si="8"/>
        <v>14.775342465753425</v>
      </c>
      <c r="L101" s="17">
        <v>4000</v>
      </c>
      <c r="M101" s="19">
        <v>7288.29</v>
      </c>
      <c r="N101" s="20">
        <f t="shared" si="9"/>
        <v>1.8220725</v>
      </c>
      <c r="O101" s="19">
        <v>3881.99</v>
      </c>
      <c r="P101" s="27">
        <v>0</v>
      </c>
      <c r="Q101" s="19">
        <v>2016.01</v>
      </c>
      <c r="R101" s="19">
        <v>367.8</v>
      </c>
      <c r="S101" s="30">
        <v>2.3900000000000001E-2</v>
      </c>
      <c r="T101" s="34">
        <f t="shared" si="10"/>
        <v>93.13</v>
      </c>
      <c r="U101" s="34">
        <v>0.42</v>
      </c>
      <c r="V101" s="34">
        <v>93.55</v>
      </c>
    </row>
    <row r="102" spans="1:22" x14ac:dyDescent="0.25">
      <c r="A102" s="35">
        <v>43431</v>
      </c>
      <c r="B102" s="14">
        <v>0.60416666666666663</v>
      </c>
      <c r="C102" s="15">
        <v>25</v>
      </c>
      <c r="D102" s="15">
        <v>6</v>
      </c>
      <c r="E102" s="13">
        <v>43124</v>
      </c>
      <c r="F102" s="31" t="s">
        <v>307</v>
      </c>
      <c r="G102" s="41">
        <v>2.8999999999999998E-2</v>
      </c>
      <c r="H102" s="13">
        <v>43432</v>
      </c>
      <c r="I102" s="13">
        <v>47688</v>
      </c>
      <c r="J102" s="32">
        <f t="shared" si="7"/>
        <v>12.504109589041096</v>
      </c>
      <c r="K102" s="32">
        <f t="shared" si="8"/>
        <v>11.66027397260274</v>
      </c>
      <c r="L102" s="17">
        <v>100</v>
      </c>
      <c r="M102" s="19">
        <v>278.35000000000002</v>
      </c>
      <c r="N102" s="20">
        <f t="shared" si="9"/>
        <v>2.7835000000000001</v>
      </c>
      <c r="O102" s="19">
        <v>43.14</v>
      </c>
      <c r="P102" s="27">
        <v>0</v>
      </c>
      <c r="Q102" s="19" t="s">
        <v>334</v>
      </c>
      <c r="R102" s="19">
        <v>35.049999999999997</v>
      </c>
      <c r="S102" s="30">
        <v>3.5000000000000003E-2</v>
      </c>
      <c r="T102" s="34">
        <f t="shared" si="10"/>
        <v>94.29</v>
      </c>
      <c r="U102" s="34">
        <v>1</v>
      </c>
      <c r="V102" s="34">
        <v>95.29</v>
      </c>
    </row>
    <row r="103" spans="1:22" x14ac:dyDescent="0.25">
      <c r="A103" s="35">
        <v>43445</v>
      </c>
      <c r="B103" s="14">
        <v>0.60416666666666663</v>
      </c>
      <c r="C103" s="15">
        <v>13</v>
      </c>
      <c r="D103" s="15">
        <v>37</v>
      </c>
      <c r="E103" s="13">
        <v>40323</v>
      </c>
      <c r="F103" s="31" t="s">
        <v>307</v>
      </c>
      <c r="G103" s="41">
        <v>0.04</v>
      </c>
      <c r="H103" s="13">
        <v>43446</v>
      </c>
      <c r="I103" s="13">
        <v>45802</v>
      </c>
      <c r="J103" s="32">
        <f t="shared" si="7"/>
        <v>15.010958904109589</v>
      </c>
      <c r="K103" s="32">
        <f t="shared" si="8"/>
        <v>6.4547945205479449</v>
      </c>
      <c r="L103" s="17">
        <v>225</v>
      </c>
      <c r="M103" s="19">
        <v>628.78</v>
      </c>
      <c r="N103" s="20">
        <f t="shared" si="9"/>
        <v>2.7945777777777776</v>
      </c>
      <c r="O103" s="19">
        <v>248.78</v>
      </c>
      <c r="P103" s="27">
        <v>0</v>
      </c>
      <c r="Q103" s="19" t="s">
        <v>334</v>
      </c>
      <c r="R103" s="19">
        <v>206.47</v>
      </c>
      <c r="S103" s="30">
        <v>3.1800000000000002E-2</v>
      </c>
      <c r="T103" s="34">
        <f t="shared" si="10"/>
        <v>104.08</v>
      </c>
      <c r="U103" s="34">
        <v>0.19</v>
      </c>
      <c r="V103" s="34">
        <v>104.27</v>
      </c>
    </row>
    <row r="104" spans="1:22" x14ac:dyDescent="0.25">
      <c r="A104" s="35">
        <v>43452</v>
      </c>
      <c r="B104" s="14">
        <v>0.60416666666666663</v>
      </c>
      <c r="C104" s="15">
        <v>2</v>
      </c>
      <c r="D104" s="15">
        <v>4</v>
      </c>
      <c r="E104" s="13">
        <v>43341</v>
      </c>
      <c r="F104" s="31" t="s">
        <v>322</v>
      </c>
      <c r="G104" s="41">
        <v>1.8000000000000002E-2</v>
      </c>
      <c r="H104" s="13">
        <v>43453</v>
      </c>
      <c r="I104" s="13">
        <v>48820</v>
      </c>
      <c r="J104" s="32">
        <f t="shared" si="7"/>
        <v>15.010958904109589</v>
      </c>
      <c r="K104" s="32">
        <f t="shared" si="8"/>
        <v>14.704109589041096</v>
      </c>
      <c r="L104" s="17">
        <v>850</v>
      </c>
      <c r="M104" s="19">
        <v>2411.9</v>
      </c>
      <c r="N104" s="20">
        <f t="shared" si="9"/>
        <v>2.8375294117647059</v>
      </c>
      <c r="O104" s="19">
        <v>1146.9000000000001</v>
      </c>
      <c r="P104" s="27">
        <v>0</v>
      </c>
      <c r="Q104" s="19" t="s">
        <v>334</v>
      </c>
      <c r="R104" s="19">
        <v>11.2</v>
      </c>
      <c r="S104" s="30">
        <v>2.35E-2</v>
      </c>
      <c r="T104" s="34">
        <f t="shared" si="10"/>
        <v>93.63000000000001</v>
      </c>
      <c r="U104" s="34">
        <v>0.55000000000000004</v>
      </c>
      <c r="V104" s="34">
        <v>94.18</v>
      </c>
    </row>
    <row r="105" spans="1:22" x14ac:dyDescent="0.25">
      <c r="A105" s="35">
        <v>43480</v>
      </c>
      <c r="B105" s="14">
        <v>0.60416666666666663</v>
      </c>
      <c r="C105" s="15">
        <v>24</v>
      </c>
      <c r="D105" s="15">
        <v>14</v>
      </c>
      <c r="E105" s="13">
        <v>42550</v>
      </c>
      <c r="F105" s="31" t="s">
        <v>307</v>
      </c>
      <c r="G105" s="41">
        <v>5.2499999999999998E-2</v>
      </c>
      <c r="H105" s="13">
        <v>43481</v>
      </c>
      <c r="I105" s="13">
        <v>44559</v>
      </c>
      <c r="J105" s="32">
        <f t="shared" si="7"/>
        <v>5.5041095890410956</v>
      </c>
      <c r="K105" s="32">
        <f t="shared" si="8"/>
        <v>2.9534246575342467</v>
      </c>
      <c r="L105" s="17">
        <v>325</v>
      </c>
      <c r="M105" s="19">
        <v>1181.43</v>
      </c>
      <c r="N105" s="20">
        <f t="shared" si="9"/>
        <v>3.6351692307692312</v>
      </c>
      <c r="O105" s="19">
        <v>650</v>
      </c>
      <c r="P105" s="27">
        <v>0.65110000000000001</v>
      </c>
      <c r="Q105" s="19" t="s">
        <v>334</v>
      </c>
      <c r="R105" s="19">
        <v>0</v>
      </c>
      <c r="S105" s="30">
        <v>0</v>
      </c>
      <c r="T105" s="34">
        <f t="shared" si="10"/>
        <v>108.50999999999999</v>
      </c>
      <c r="U105" s="34">
        <v>0.26</v>
      </c>
      <c r="V105" s="34">
        <v>108.77</v>
      </c>
    </row>
    <row r="106" spans="1:22" x14ac:dyDescent="0.25">
      <c r="A106" s="35">
        <v>43487</v>
      </c>
      <c r="B106" s="14">
        <v>0.60416666666666663</v>
      </c>
      <c r="C106" s="15">
        <v>1</v>
      </c>
      <c r="D106" s="15">
        <v>4</v>
      </c>
      <c r="E106" s="13">
        <v>43306</v>
      </c>
      <c r="F106" s="31" t="s">
        <v>322</v>
      </c>
      <c r="G106" s="41">
        <v>1.4999999999999999E-2</v>
      </c>
      <c r="H106" s="13">
        <v>43488</v>
      </c>
      <c r="I106" s="13">
        <v>45863</v>
      </c>
      <c r="J106" s="32">
        <f t="shared" si="7"/>
        <v>7.0054794520547947</v>
      </c>
      <c r="K106" s="32">
        <f t="shared" si="8"/>
        <v>6.506849315068493</v>
      </c>
      <c r="L106" s="17">
        <v>650</v>
      </c>
      <c r="M106" s="19">
        <v>1791</v>
      </c>
      <c r="N106" s="20">
        <f t="shared" si="9"/>
        <v>2.7553846153846155</v>
      </c>
      <c r="O106" s="19">
        <v>655</v>
      </c>
      <c r="P106" s="27">
        <v>0</v>
      </c>
      <c r="Q106" s="19" t="s">
        <v>334</v>
      </c>
      <c r="R106" s="19">
        <v>130</v>
      </c>
      <c r="S106" s="30">
        <v>2.2200000000000001E-2</v>
      </c>
      <c r="T106" s="34">
        <f t="shared" si="10"/>
        <v>96.29</v>
      </c>
      <c r="U106" s="34">
        <v>0.74</v>
      </c>
      <c r="V106" s="34">
        <v>97.03</v>
      </c>
    </row>
    <row r="107" spans="1:22" x14ac:dyDescent="0.25">
      <c r="A107" s="35">
        <v>43494</v>
      </c>
      <c r="B107" s="14">
        <v>0.60416666666666663</v>
      </c>
      <c r="C107" s="15">
        <v>25</v>
      </c>
      <c r="D107" s="15">
        <v>7</v>
      </c>
      <c r="E107" s="13">
        <v>43124</v>
      </c>
      <c r="F107" s="31" t="s">
        <v>307</v>
      </c>
      <c r="G107" s="41">
        <v>2.8999999999999998E-2</v>
      </c>
      <c r="H107" s="13">
        <v>43495</v>
      </c>
      <c r="I107" s="13">
        <v>47688</v>
      </c>
      <c r="J107" s="32">
        <f t="shared" ref="J107:J139" si="11">(+I107-E107)/365</f>
        <v>12.504109589041096</v>
      </c>
      <c r="K107" s="32">
        <f t="shared" ref="K107:K139" si="12">(+I107-H107)/365</f>
        <v>11.487671232876712</v>
      </c>
      <c r="L107" s="17">
        <v>100</v>
      </c>
      <c r="M107" s="19">
        <v>429.5</v>
      </c>
      <c r="N107" s="20">
        <f t="shared" ref="N107:N139" si="13">+IFERROR(M107/L107,"-")</f>
        <v>4.2949999999999999</v>
      </c>
      <c r="O107" s="19">
        <v>97.29</v>
      </c>
      <c r="P107" s="27">
        <v>0</v>
      </c>
      <c r="Q107" s="19" t="s">
        <v>334</v>
      </c>
      <c r="R107" s="19">
        <v>32.5</v>
      </c>
      <c r="S107" s="30">
        <v>3.4099999999999998E-2</v>
      </c>
      <c r="T107" s="34">
        <f t="shared" si="10"/>
        <v>95.18</v>
      </c>
      <c r="U107" s="34">
        <v>0.05</v>
      </c>
      <c r="V107" s="34">
        <v>95.23</v>
      </c>
    </row>
    <row r="108" spans="1:22" x14ac:dyDescent="0.25">
      <c r="A108" s="35">
        <v>43508</v>
      </c>
      <c r="B108" s="14">
        <v>0.60416666666666663</v>
      </c>
      <c r="C108" s="15">
        <v>13</v>
      </c>
      <c r="D108" s="15">
        <v>38</v>
      </c>
      <c r="E108" s="13">
        <v>40323</v>
      </c>
      <c r="F108" s="31" t="s">
        <v>307</v>
      </c>
      <c r="G108" s="41">
        <v>0.04</v>
      </c>
      <c r="H108" s="13">
        <v>43509</v>
      </c>
      <c r="I108" s="13">
        <v>45802</v>
      </c>
      <c r="J108" s="32">
        <f t="shared" si="11"/>
        <v>15.010958904109589</v>
      </c>
      <c r="K108" s="32">
        <f t="shared" si="12"/>
        <v>6.2821917808219174</v>
      </c>
      <c r="L108" s="17">
        <v>225</v>
      </c>
      <c r="M108" s="19">
        <v>417.09</v>
      </c>
      <c r="N108" s="20">
        <f t="shared" si="13"/>
        <v>1.8537333333333332</v>
      </c>
      <c r="O108" s="19">
        <v>241.77</v>
      </c>
      <c r="P108" s="27">
        <v>0</v>
      </c>
      <c r="Q108" s="19" t="s">
        <v>334</v>
      </c>
      <c r="R108" s="19">
        <v>52.1</v>
      </c>
      <c r="S108" s="30">
        <v>3.0899999999999997E-2</v>
      </c>
      <c r="T108" s="34">
        <f t="shared" si="10"/>
        <v>104.38000000000001</v>
      </c>
      <c r="U108" s="34">
        <v>0.88</v>
      </c>
      <c r="V108" s="34">
        <v>105.26</v>
      </c>
    </row>
    <row r="109" spans="1:22" x14ac:dyDescent="0.25">
      <c r="A109" s="35">
        <v>43522</v>
      </c>
      <c r="B109" s="14">
        <v>0.60416666666666663</v>
      </c>
      <c r="C109" s="15">
        <v>2</v>
      </c>
      <c r="D109" s="15">
        <v>5</v>
      </c>
      <c r="E109" s="13">
        <v>43341</v>
      </c>
      <c r="F109" s="31" t="s">
        <v>322</v>
      </c>
      <c r="G109" s="41">
        <v>1.8000000000000002E-2</v>
      </c>
      <c r="H109" s="13">
        <v>43523</v>
      </c>
      <c r="I109" s="13">
        <v>48820</v>
      </c>
      <c r="J109" s="32">
        <f t="shared" si="11"/>
        <v>15.010958904109589</v>
      </c>
      <c r="K109" s="32">
        <f t="shared" si="12"/>
        <v>14.512328767123288</v>
      </c>
      <c r="L109" s="17">
        <v>750</v>
      </c>
      <c r="M109" s="19">
        <v>2329.3310000000001</v>
      </c>
      <c r="N109" s="20">
        <f t="shared" si="13"/>
        <v>3.105774666666667</v>
      </c>
      <c r="O109" s="19">
        <v>1500</v>
      </c>
      <c r="P109" s="27">
        <v>0.59560000000000002</v>
      </c>
      <c r="Q109" s="19" t="s">
        <v>334</v>
      </c>
      <c r="R109" s="19">
        <v>183.2</v>
      </c>
      <c r="S109" s="30">
        <v>2.29E-2</v>
      </c>
      <c r="T109" s="34">
        <f t="shared" si="10"/>
        <v>94.289999999999992</v>
      </c>
      <c r="U109" s="34">
        <v>0.9</v>
      </c>
      <c r="V109" s="34">
        <v>95.19</v>
      </c>
    </row>
    <row r="110" spans="1:22" x14ac:dyDescent="0.25">
      <c r="A110" s="35">
        <v>43536</v>
      </c>
      <c r="B110" s="14">
        <v>0.60416666666666663</v>
      </c>
      <c r="C110" s="15">
        <v>24</v>
      </c>
      <c r="D110" s="15">
        <v>15</v>
      </c>
      <c r="E110" s="13">
        <v>42550</v>
      </c>
      <c r="F110" s="31" t="s">
        <v>307</v>
      </c>
      <c r="G110" s="41">
        <v>5.2499999999999998E-2</v>
      </c>
      <c r="H110" s="13">
        <v>43537</v>
      </c>
      <c r="I110" s="13">
        <v>44559</v>
      </c>
      <c r="J110" s="32">
        <f t="shared" si="11"/>
        <v>5.5041095890410956</v>
      </c>
      <c r="K110" s="32">
        <f t="shared" si="12"/>
        <v>2.8</v>
      </c>
      <c r="L110" s="17">
        <v>325</v>
      </c>
      <c r="M110" s="19">
        <v>634.54</v>
      </c>
      <c r="N110" s="20">
        <f t="shared" si="13"/>
        <v>1.9524307692307692</v>
      </c>
      <c r="O110" s="19">
        <v>355.54</v>
      </c>
      <c r="P110" s="27">
        <v>0</v>
      </c>
      <c r="Q110" s="19" t="s">
        <v>334</v>
      </c>
      <c r="R110" s="19">
        <v>0</v>
      </c>
      <c r="S110" s="30">
        <v>0</v>
      </c>
      <c r="T110" s="34">
        <f t="shared" si="10"/>
        <v>108.07000000000001</v>
      </c>
      <c r="U110" s="34">
        <v>1.07</v>
      </c>
      <c r="V110" s="34">
        <v>109.14</v>
      </c>
    </row>
    <row r="111" spans="1:22" x14ac:dyDescent="0.25">
      <c r="A111" s="35">
        <v>43543</v>
      </c>
      <c r="B111" s="14">
        <v>0.60416666666666663</v>
      </c>
      <c r="C111" s="15">
        <v>1</v>
      </c>
      <c r="D111" s="15">
        <v>5</v>
      </c>
      <c r="E111" s="13">
        <v>43306</v>
      </c>
      <c r="F111" s="31" t="s">
        <v>322</v>
      </c>
      <c r="G111" s="41">
        <v>1.4999999999999999E-2</v>
      </c>
      <c r="H111" s="13">
        <v>43544</v>
      </c>
      <c r="I111" s="13">
        <v>45863</v>
      </c>
      <c r="J111" s="32">
        <f t="shared" si="11"/>
        <v>7.0054794520547947</v>
      </c>
      <c r="K111" s="32">
        <f t="shared" si="12"/>
        <v>6.353424657534247</v>
      </c>
      <c r="L111" s="17">
        <v>650</v>
      </c>
      <c r="M111" s="19">
        <v>1856</v>
      </c>
      <c r="N111" s="20">
        <f t="shared" si="13"/>
        <v>2.8553846153846152</v>
      </c>
      <c r="O111" s="19">
        <v>987.1</v>
      </c>
      <c r="P111" s="27">
        <v>0</v>
      </c>
      <c r="Q111" s="19" t="s">
        <v>334</v>
      </c>
      <c r="R111" s="19">
        <v>48.5</v>
      </c>
      <c r="S111" s="30">
        <v>2.2445300000000001E-2</v>
      </c>
      <c r="T111" s="34">
        <f t="shared" si="10"/>
        <v>96.27</v>
      </c>
      <c r="U111" s="34">
        <v>0.22</v>
      </c>
      <c r="V111" s="34">
        <v>96.49</v>
      </c>
    </row>
    <row r="112" spans="1:22" x14ac:dyDescent="0.25">
      <c r="A112" s="35">
        <v>43550</v>
      </c>
      <c r="B112" s="14">
        <v>0.60416666666666663</v>
      </c>
      <c r="C112" s="15">
        <v>25</v>
      </c>
      <c r="D112" s="15">
        <v>8</v>
      </c>
      <c r="E112" s="13">
        <v>43124</v>
      </c>
      <c r="F112" s="31" t="s">
        <v>307</v>
      </c>
      <c r="G112" s="41">
        <v>2.8999999999999998E-2</v>
      </c>
      <c r="H112" s="13">
        <v>43551</v>
      </c>
      <c r="I112" s="13">
        <v>47688</v>
      </c>
      <c r="J112" s="32">
        <f t="shared" si="11"/>
        <v>12.504109589041096</v>
      </c>
      <c r="K112" s="32">
        <f t="shared" si="12"/>
        <v>11.334246575342465</v>
      </c>
      <c r="L112" s="17">
        <v>100</v>
      </c>
      <c r="M112" s="19">
        <v>223.71</v>
      </c>
      <c r="N112" s="20">
        <f t="shared" si="13"/>
        <v>2.2370999999999999</v>
      </c>
      <c r="O112" s="19">
        <v>77.819999999999993</v>
      </c>
      <c r="P112" s="27">
        <v>0</v>
      </c>
      <c r="Q112" s="19" t="s">
        <v>334</v>
      </c>
      <c r="R112" s="19">
        <v>33</v>
      </c>
      <c r="S112" s="30">
        <v>3.5499999999999997E-2</v>
      </c>
      <c r="T112" s="34">
        <f t="shared" si="10"/>
        <v>93.98</v>
      </c>
      <c r="U112" s="34">
        <v>0.5</v>
      </c>
      <c r="V112" s="34">
        <v>94.48</v>
      </c>
    </row>
    <row r="113" spans="1:22" x14ac:dyDescent="0.25">
      <c r="A113" s="35">
        <v>43550</v>
      </c>
      <c r="B113" s="14">
        <v>0.60416666666666663</v>
      </c>
      <c r="C113" s="15">
        <v>25</v>
      </c>
      <c r="D113" s="15">
        <v>9</v>
      </c>
      <c r="E113" s="13">
        <v>43124</v>
      </c>
      <c r="F113" s="31" t="s">
        <v>307</v>
      </c>
      <c r="G113" s="41">
        <v>2.8999999999999998E-2</v>
      </c>
      <c r="H113" s="13">
        <v>43614</v>
      </c>
      <c r="I113" s="13">
        <v>47688</v>
      </c>
      <c r="J113" s="32">
        <f t="shared" si="11"/>
        <v>12.504109589041096</v>
      </c>
      <c r="K113" s="32">
        <f t="shared" si="12"/>
        <v>11.161643835616438</v>
      </c>
      <c r="L113" s="17">
        <v>100</v>
      </c>
      <c r="M113" s="19">
        <v>206.55</v>
      </c>
      <c r="N113" s="20">
        <f t="shared" si="13"/>
        <v>2.0655000000000001</v>
      </c>
      <c r="O113" s="19">
        <v>23.53</v>
      </c>
      <c r="P113" s="27">
        <v>0</v>
      </c>
      <c r="Q113" s="19" t="s">
        <v>334</v>
      </c>
      <c r="R113" s="19">
        <v>9.3800000000000008</v>
      </c>
      <c r="S113" s="30">
        <v>3.7999999999999999E-2</v>
      </c>
      <c r="T113" s="34">
        <f t="shared" si="10"/>
        <v>91.88</v>
      </c>
      <c r="U113" s="34">
        <v>1</v>
      </c>
      <c r="V113" s="34">
        <v>92.88</v>
      </c>
    </row>
    <row r="114" spans="1:22" x14ac:dyDescent="0.25">
      <c r="A114" s="35">
        <v>43564</v>
      </c>
      <c r="B114" s="14">
        <v>0.60416666666666663</v>
      </c>
      <c r="C114" s="15">
        <v>13</v>
      </c>
      <c r="D114" s="15">
        <v>39</v>
      </c>
      <c r="E114" s="13">
        <v>40323</v>
      </c>
      <c r="F114" s="31" t="s">
        <v>307</v>
      </c>
      <c r="G114" s="41">
        <v>0.04</v>
      </c>
      <c r="H114" s="13">
        <v>43565</v>
      </c>
      <c r="I114" s="13">
        <v>45802</v>
      </c>
      <c r="J114" s="32">
        <f t="shared" si="11"/>
        <v>15.010958904109589</v>
      </c>
      <c r="K114" s="32">
        <f t="shared" si="12"/>
        <v>6.1287671232876715</v>
      </c>
      <c r="L114" s="17">
        <v>225</v>
      </c>
      <c r="M114" s="19">
        <v>613.54999999999995</v>
      </c>
      <c r="N114" s="20">
        <f t="shared" si="13"/>
        <v>2.7268888888888885</v>
      </c>
      <c r="O114" s="19">
        <v>49.22</v>
      </c>
      <c r="P114" s="27">
        <v>0</v>
      </c>
      <c r="Q114" s="19" t="s">
        <v>334</v>
      </c>
      <c r="R114" s="19">
        <v>7.5</v>
      </c>
      <c r="S114" s="30">
        <v>3.1E-2</v>
      </c>
      <c r="T114" s="34">
        <f t="shared" si="10"/>
        <v>104.23</v>
      </c>
      <c r="U114" s="34">
        <v>1.5</v>
      </c>
      <c r="V114" s="34">
        <v>105.73</v>
      </c>
    </row>
    <row r="115" spans="1:22" x14ac:dyDescent="0.25">
      <c r="A115" s="35">
        <v>43578</v>
      </c>
      <c r="B115" s="14">
        <v>0.60416666666666663</v>
      </c>
      <c r="C115" s="15">
        <v>2</v>
      </c>
      <c r="D115" s="15">
        <v>6</v>
      </c>
      <c r="E115" s="13">
        <v>43341</v>
      </c>
      <c r="F115" s="31" t="s">
        <v>322</v>
      </c>
      <c r="G115" s="41">
        <v>1.8000000000000002E-2</v>
      </c>
      <c r="H115" s="13">
        <v>43579</v>
      </c>
      <c r="I115" s="13">
        <v>48820</v>
      </c>
      <c r="J115" s="32">
        <f t="shared" si="11"/>
        <v>15.010958904109589</v>
      </c>
      <c r="K115" s="32">
        <f t="shared" si="12"/>
        <v>14.358904109589041</v>
      </c>
      <c r="L115" s="17">
        <v>750</v>
      </c>
      <c r="M115" s="19">
        <v>2135.1999999999998</v>
      </c>
      <c r="N115" s="20">
        <f t="shared" si="13"/>
        <v>2.8469333333333329</v>
      </c>
      <c r="O115" s="19">
        <v>970.8</v>
      </c>
      <c r="P115" s="27">
        <v>0</v>
      </c>
      <c r="Q115" s="19" t="s">
        <v>334</v>
      </c>
      <c r="R115" s="19">
        <v>20</v>
      </c>
      <c r="S115" s="30">
        <v>2.3099999999999999E-2</v>
      </c>
      <c r="T115" s="34">
        <f t="shared" si="10"/>
        <v>94.210000000000008</v>
      </c>
      <c r="U115" s="34">
        <v>0.27</v>
      </c>
      <c r="V115" s="34">
        <v>94.48</v>
      </c>
    </row>
    <row r="116" spans="1:22" x14ac:dyDescent="0.25">
      <c r="A116" s="35">
        <v>43592</v>
      </c>
      <c r="B116" s="14">
        <v>0.60416666666666663</v>
      </c>
      <c r="C116" s="15">
        <v>26</v>
      </c>
      <c r="D116" s="15">
        <v>1</v>
      </c>
      <c r="E116" s="13">
        <v>43598</v>
      </c>
      <c r="F116" s="31" t="s">
        <v>307</v>
      </c>
      <c r="G116" s="41">
        <v>2.4500000000000001E-2</v>
      </c>
      <c r="H116" s="13">
        <v>43598</v>
      </c>
      <c r="I116" s="13">
        <v>45059</v>
      </c>
      <c r="J116" s="32">
        <f t="shared" si="11"/>
        <v>4.0027397260273974</v>
      </c>
      <c r="K116" s="32">
        <f t="shared" si="12"/>
        <v>4.0027397260273974</v>
      </c>
      <c r="L116" s="17">
        <v>1420</v>
      </c>
      <c r="M116" s="19">
        <v>3548.4</v>
      </c>
      <c r="N116" s="20">
        <f t="shared" si="13"/>
        <v>2.49887323943662</v>
      </c>
      <c r="O116" s="19">
        <v>1790.01</v>
      </c>
      <c r="P116" s="27">
        <v>0</v>
      </c>
      <c r="Q116" s="19">
        <v>1600.02</v>
      </c>
      <c r="R116" s="19">
        <v>0.71</v>
      </c>
      <c r="S116" s="30">
        <v>2.7400000000000001E-2</v>
      </c>
      <c r="T116" s="34">
        <f t="shared" si="10"/>
        <v>99.17</v>
      </c>
      <c r="U116" s="34">
        <v>0</v>
      </c>
      <c r="V116" s="34">
        <v>99.17</v>
      </c>
    </row>
    <row r="117" spans="1:22" x14ac:dyDescent="0.25">
      <c r="A117" s="35">
        <v>43593</v>
      </c>
      <c r="B117" s="14">
        <v>0.60416666666666663</v>
      </c>
      <c r="C117" s="15">
        <v>1</v>
      </c>
      <c r="D117" s="15">
        <v>6</v>
      </c>
      <c r="E117" s="13">
        <v>43306</v>
      </c>
      <c r="F117" s="31" t="s">
        <v>322</v>
      </c>
      <c r="G117" s="41">
        <v>1.4999999999999999E-2</v>
      </c>
      <c r="H117" s="13">
        <v>43598</v>
      </c>
      <c r="I117" s="13">
        <v>45863</v>
      </c>
      <c r="J117" s="32">
        <f t="shared" si="11"/>
        <v>7.0054794520547947</v>
      </c>
      <c r="K117" s="32">
        <f t="shared" si="12"/>
        <v>6.2054794520547949</v>
      </c>
      <c r="L117" s="17">
        <v>4770</v>
      </c>
      <c r="M117" s="19">
        <v>4783.2700000000004</v>
      </c>
      <c r="N117" s="20">
        <f t="shared" si="13"/>
        <v>1.0027819706498953</v>
      </c>
      <c r="O117" s="19">
        <v>2398.27</v>
      </c>
      <c r="P117" s="27">
        <v>0</v>
      </c>
      <c r="Q117" s="19">
        <v>2398.27</v>
      </c>
      <c r="R117" s="19">
        <v>0</v>
      </c>
      <c r="S117" s="30">
        <v>2.3199999999999998E-2</v>
      </c>
      <c r="T117" s="34">
        <f t="shared" si="10"/>
        <v>96.009999999999991</v>
      </c>
      <c r="U117" s="34">
        <v>0.45</v>
      </c>
      <c r="V117" s="34">
        <v>96.46</v>
      </c>
    </row>
    <row r="118" spans="1:22" x14ac:dyDescent="0.25">
      <c r="A118" s="35">
        <v>43594</v>
      </c>
      <c r="B118" s="14">
        <v>0.60416666666666663</v>
      </c>
      <c r="C118" s="15">
        <v>2</v>
      </c>
      <c r="D118" s="15">
        <v>7</v>
      </c>
      <c r="E118" s="13">
        <v>43341</v>
      </c>
      <c r="F118" s="31" t="s">
        <v>322</v>
      </c>
      <c r="G118" s="41">
        <v>1.8000000000000002E-2</v>
      </c>
      <c r="H118" s="13">
        <v>43598</v>
      </c>
      <c r="I118" s="13">
        <v>48820</v>
      </c>
      <c r="J118" s="32">
        <f t="shared" si="11"/>
        <v>15.010958904109589</v>
      </c>
      <c r="K118" s="32">
        <f t="shared" si="12"/>
        <v>14.306849315068494</v>
      </c>
      <c r="L118" s="17">
        <v>4135</v>
      </c>
      <c r="M118" s="19">
        <v>6335</v>
      </c>
      <c r="N118" s="20">
        <f t="shared" si="13"/>
        <v>1.532043530834341</v>
      </c>
      <c r="O118" s="19">
        <v>5314.75</v>
      </c>
      <c r="P118" s="27">
        <v>0</v>
      </c>
      <c r="Q118" s="19">
        <v>4901.25</v>
      </c>
      <c r="R118" s="19">
        <v>0</v>
      </c>
      <c r="S118" s="30">
        <v>2.4E-2</v>
      </c>
      <c r="T118" s="34">
        <f t="shared" si="10"/>
        <v>93.199999999999989</v>
      </c>
      <c r="U118" s="34">
        <v>0.37</v>
      </c>
      <c r="V118" s="34">
        <v>93.57</v>
      </c>
    </row>
    <row r="119" spans="1:22" x14ac:dyDescent="0.25">
      <c r="A119" s="35">
        <v>43595</v>
      </c>
      <c r="B119" s="14">
        <v>0.60416666666666663</v>
      </c>
      <c r="C119" s="15">
        <v>3</v>
      </c>
      <c r="D119" s="15">
        <v>1</v>
      </c>
      <c r="E119" s="13">
        <v>43598</v>
      </c>
      <c r="F119" s="31" t="s">
        <v>322</v>
      </c>
      <c r="G119" s="41">
        <v>2.2000000000000002E-2</v>
      </c>
      <c r="H119" s="13">
        <v>43598</v>
      </c>
      <c r="I119" s="13">
        <v>51269</v>
      </c>
      <c r="J119" s="32">
        <f t="shared" si="11"/>
        <v>21.016438356164382</v>
      </c>
      <c r="K119" s="32">
        <f t="shared" si="12"/>
        <v>21.016438356164382</v>
      </c>
      <c r="L119" s="17">
        <v>1590</v>
      </c>
      <c r="M119" s="19">
        <v>2160</v>
      </c>
      <c r="N119" s="20">
        <f t="shared" si="13"/>
        <v>1.3584905660377358</v>
      </c>
      <c r="O119" s="19">
        <v>1562.5</v>
      </c>
      <c r="P119" s="27">
        <v>0</v>
      </c>
      <c r="Q119" s="19">
        <v>1562.5</v>
      </c>
      <c r="R119" s="19">
        <v>0</v>
      </c>
      <c r="S119" s="30">
        <v>2.4199999999999999E-2</v>
      </c>
      <c r="T119" s="34">
        <f t="shared" si="10"/>
        <v>96.45</v>
      </c>
      <c r="U119" s="34">
        <v>0</v>
      </c>
      <c r="V119" s="34">
        <v>96.45</v>
      </c>
    </row>
    <row r="120" spans="1:22" x14ac:dyDescent="0.25">
      <c r="A120" s="35">
        <v>43599</v>
      </c>
      <c r="B120" s="14">
        <v>0.60416666666666663</v>
      </c>
      <c r="C120" s="15">
        <v>24</v>
      </c>
      <c r="D120" s="15">
        <v>16</v>
      </c>
      <c r="E120" s="13">
        <v>42550</v>
      </c>
      <c r="F120" s="31" t="s">
        <v>307</v>
      </c>
      <c r="G120" s="41">
        <v>5.2499999999999998E-2</v>
      </c>
      <c r="H120" s="13">
        <v>43600</v>
      </c>
      <c r="I120" s="13">
        <v>44559</v>
      </c>
      <c r="J120" s="32">
        <f t="shared" si="11"/>
        <v>5.5041095890410956</v>
      </c>
      <c r="K120" s="32">
        <f t="shared" si="12"/>
        <v>2.6273972602739728</v>
      </c>
      <c r="L120" s="17">
        <v>162.5</v>
      </c>
      <c r="M120" s="19">
        <v>229.06</v>
      </c>
      <c r="N120" s="20">
        <f t="shared" si="13"/>
        <v>1.4096</v>
      </c>
      <c r="O120" s="19">
        <v>46.06</v>
      </c>
      <c r="P120" s="27">
        <v>0</v>
      </c>
      <c r="Q120" s="19" t="s">
        <v>334</v>
      </c>
      <c r="R120" s="19">
        <v>0</v>
      </c>
      <c r="S120" s="30">
        <v>0</v>
      </c>
      <c r="T120" s="34">
        <f t="shared" si="10"/>
        <v>107.85</v>
      </c>
      <c r="U120" s="34">
        <v>1.98</v>
      </c>
      <c r="V120" s="34">
        <v>109.83</v>
      </c>
    </row>
    <row r="121" spans="1:22" x14ac:dyDescent="0.25">
      <c r="A121" s="35">
        <v>43627</v>
      </c>
      <c r="B121" s="14">
        <v>0.60416666666666663</v>
      </c>
      <c r="C121" s="15">
        <v>13</v>
      </c>
      <c r="D121" s="15">
        <v>40</v>
      </c>
      <c r="E121" s="13">
        <v>40323</v>
      </c>
      <c r="F121" s="31" t="s">
        <v>307</v>
      </c>
      <c r="G121" s="41">
        <v>0.04</v>
      </c>
      <c r="H121" s="13">
        <v>43628</v>
      </c>
      <c r="I121" s="13">
        <v>45802</v>
      </c>
      <c r="J121" s="32">
        <f t="shared" si="11"/>
        <v>15.010958904109589</v>
      </c>
      <c r="K121" s="32">
        <f t="shared" si="12"/>
        <v>5.956164383561644</v>
      </c>
      <c r="L121" s="17">
        <v>225</v>
      </c>
      <c r="M121" s="19">
        <v>537.73</v>
      </c>
      <c r="N121" s="20">
        <f t="shared" si="13"/>
        <v>2.3899111111111111</v>
      </c>
      <c r="O121" s="19">
        <v>224.92</v>
      </c>
      <c r="P121" s="27">
        <v>0</v>
      </c>
      <c r="Q121" s="19" t="s">
        <v>334</v>
      </c>
      <c r="R121" s="19">
        <v>13.18</v>
      </c>
      <c r="S121" s="30">
        <v>3.0499999999999999E-2</v>
      </c>
      <c r="T121" s="34">
        <f t="shared" si="10"/>
        <v>104.3</v>
      </c>
      <c r="U121" s="34">
        <v>0.2</v>
      </c>
      <c r="V121" s="34">
        <v>104.5</v>
      </c>
    </row>
    <row r="122" spans="1:22" x14ac:dyDescent="0.25">
      <c r="A122" s="35">
        <v>43642</v>
      </c>
      <c r="B122" s="14">
        <v>0.60416666666666663</v>
      </c>
      <c r="C122" s="15">
        <v>2</v>
      </c>
      <c r="D122" s="15">
        <v>8</v>
      </c>
      <c r="E122" s="13">
        <v>43341</v>
      </c>
      <c r="F122" s="31" t="s">
        <v>322</v>
      </c>
      <c r="G122" s="41">
        <v>1.8000000000000002E-2</v>
      </c>
      <c r="H122" s="13">
        <v>43643</v>
      </c>
      <c r="I122" s="13">
        <v>48820</v>
      </c>
      <c r="J122" s="32">
        <f t="shared" si="11"/>
        <v>15.010958904109589</v>
      </c>
      <c r="K122" s="32">
        <f t="shared" si="12"/>
        <v>14.183561643835617</v>
      </c>
      <c r="L122" s="17">
        <v>750</v>
      </c>
      <c r="M122" s="19">
        <v>866.1</v>
      </c>
      <c r="N122" s="20">
        <f t="shared" si="13"/>
        <v>1.1548</v>
      </c>
      <c r="O122" s="19">
        <v>548.1</v>
      </c>
      <c r="P122" s="27">
        <v>0</v>
      </c>
      <c r="Q122" s="19" t="s">
        <v>334</v>
      </c>
      <c r="R122" s="19">
        <v>8.1</v>
      </c>
      <c r="S122" s="30">
        <v>2.4E-2</v>
      </c>
      <c r="T122" s="34">
        <f t="shared" si="10"/>
        <v>93.25</v>
      </c>
      <c r="U122" s="34">
        <v>0.59</v>
      </c>
      <c r="V122" s="34">
        <v>93.84</v>
      </c>
    </row>
    <row r="123" spans="1:22" x14ac:dyDescent="0.25">
      <c r="A123" s="35">
        <v>43662</v>
      </c>
      <c r="B123" s="14">
        <v>0.60416666666666663</v>
      </c>
      <c r="C123" s="15">
        <v>26</v>
      </c>
      <c r="D123" s="15">
        <v>2</v>
      </c>
      <c r="E123" s="13">
        <v>43598</v>
      </c>
      <c r="F123" s="31" t="s">
        <v>307</v>
      </c>
      <c r="G123" s="41">
        <v>2.4500000000000001E-2</v>
      </c>
      <c r="H123" s="13">
        <v>43663</v>
      </c>
      <c r="I123" s="13">
        <v>45059</v>
      </c>
      <c r="J123" s="32">
        <f t="shared" si="11"/>
        <v>4.0027397260273974</v>
      </c>
      <c r="K123" s="32">
        <f t="shared" si="12"/>
        <v>3.8246575342465752</v>
      </c>
      <c r="L123" s="17">
        <v>325</v>
      </c>
      <c r="M123" s="19">
        <v>694.31</v>
      </c>
      <c r="N123" s="20">
        <f t="shared" si="13"/>
        <v>2.1363384615384615</v>
      </c>
      <c r="O123" s="19">
        <v>337.59</v>
      </c>
      <c r="P123" s="27">
        <v>0</v>
      </c>
      <c r="Q123" s="19">
        <v>143.6</v>
      </c>
      <c r="R123" s="19">
        <v>6.4</v>
      </c>
      <c r="S123" s="30">
        <v>2.2799999999999997E-2</v>
      </c>
      <c r="T123" s="34">
        <f t="shared" si="10"/>
        <v>100.44999999999999</v>
      </c>
      <c r="U123" s="34">
        <v>0.43</v>
      </c>
      <c r="V123" s="34">
        <v>100.88</v>
      </c>
    </row>
    <row r="124" spans="1:22" x14ac:dyDescent="0.25">
      <c r="A124" s="35">
        <v>43669</v>
      </c>
      <c r="B124" s="14">
        <v>0.60416666666666663</v>
      </c>
      <c r="C124" s="15">
        <v>2</v>
      </c>
      <c r="D124" s="15">
        <v>9</v>
      </c>
      <c r="E124" s="13">
        <v>43341</v>
      </c>
      <c r="F124" s="31" t="s">
        <v>322</v>
      </c>
      <c r="G124" s="41">
        <v>1.8000000000000002E-2</v>
      </c>
      <c r="H124" s="13">
        <v>43670</v>
      </c>
      <c r="I124" s="13">
        <v>48820</v>
      </c>
      <c r="J124" s="32">
        <f t="shared" si="11"/>
        <v>15.010958904109589</v>
      </c>
      <c r="K124" s="32">
        <f t="shared" si="12"/>
        <v>14.109589041095891</v>
      </c>
      <c r="L124" s="17">
        <v>750</v>
      </c>
      <c r="M124" s="19">
        <v>1900</v>
      </c>
      <c r="N124" s="20">
        <f t="shared" si="13"/>
        <v>2.5333333333333332</v>
      </c>
      <c r="O124" s="19">
        <v>1000</v>
      </c>
      <c r="P124" s="27">
        <v>0</v>
      </c>
      <c r="Q124" s="19">
        <v>0</v>
      </c>
      <c r="R124" s="19">
        <v>0</v>
      </c>
      <c r="S124" s="30">
        <v>2.3599999999999999E-2</v>
      </c>
      <c r="T124" s="34">
        <f t="shared" si="10"/>
        <v>93.71</v>
      </c>
      <c r="U124" s="34">
        <v>0.73</v>
      </c>
      <c r="V124" s="34">
        <v>94.44</v>
      </c>
    </row>
    <row r="125" spans="1:22" x14ac:dyDescent="0.25">
      <c r="A125" s="35">
        <v>43676</v>
      </c>
      <c r="B125" s="14">
        <v>0.60416666666666663</v>
      </c>
      <c r="C125" s="15">
        <v>25</v>
      </c>
      <c r="D125" s="15">
        <v>10</v>
      </c>
      <c r="E125" s="13">
        <v>43124</v>
      </c>
      <c r="F125" s="31" t="s">
        <v>307</v>
      </c>
      <c r="G125" s="41">
        <v>2.8999999999999998E-2</v>
      </c>
      <c r="H125" s="13">
        <v>43677</v>
      </c>
      <c r="I125" s="13">
        <v>47688</v>
      </c>
      <c r="J125" s="32">
        <f t="shared" si="11"/>
        <v>12.504109589041096</v>
      </c>
      <c r="K125" s="32">
        <f t="shared" si="12"/>
        <v>10.989041095890411</v>
      </c>
      <c r="L125" s="17">
        <v>100</v>
      </c>
      <c r="M125" s="19">
        <v>355.4</v>
      </c>
      <c r="N125" s="20">
        <f t="shared" si="13"/>
        <v>3.5539999999999998</v>
      </c>
      <c r="O125" s="19">
        <v>128.51</v>
      </c>
      <c r="P125" s="27">
        <v>0</v>
      </c>
      <c r="Q125" s="19">
        <v>100</v>
      </c>
      <c r="R125" s="19">
        <v>1.3</v>
      </c>
      <c r="S125" s="30">
        <v>3.15E-2</v>
      </c>
      <c r="T125" s="34">
        <f t="shared" si="10"/>
        <v>97.64</v>
      </c>
      <c r="U125" s="34">
        <v>0.06</v>
      </c>
      <c r="V125" s="34">
        <v>97.7</v>
      </c>
    </row>
    <row r="126" spans="1:22" x14ac:dyDescent="0.25">
      <c r="A126" s="35">
        <v>43690</v>
      </c>
      <c r="B126" s="14">
        <v>0.60416666666666663</v>
      </c>
      <c r="C126" s="15">
        <v>13</v>
      </c>
      <c r="D126" s="15">
        <v>41</v>
      </c>
      <c r="E126" s="13">
        <v>40323</v>
      </c>
      <c r="F126" s="31" t="s">
        <v>307</v>
      </c>
      <c r="G126" s="41">
        <v>0.04</v>
      </c>
      <c r="H126" s="13">
        <v>43691</v>
      </c>
      <c r="I126" s="13">
        <v>45802</v>
      </c>
      <c r="J126" s="32">
        <f t="shared" si="11"/>
        <v>15.010958904109589</v>
      </c>
      <c r="K126" s="32">
        <f t="shared" si="12"/>
        <v>5.7835616438356166</v>
      </c>
      <c r="L126" s="17">
        <v>250</v>
      </c>
      <c r="M126" s="19">
        <v>536.83000000000004</v>
      </c>
      <c r="N126" s="20">
        <f t="shared" si="13"/>
        <v>2.1473200000000001</v>
      </c>
      <c r="O126" s="19">
        <v>322.47000000000003</v>
      </c>
      <c r="P126" s="27">
        <v>0</v>
      </c>
      <c r="Q126" s="19">
        <v>200.21</v>
      </c>
      <c r="R126" s="19">
        <v>78.5</v>
      </c>
      <c r="S126" s="30">
        <v>2.7400000000000001E-2</v>
      </c>
      <c r="T126" s="34">
        <f t="shared" si="10"/>
        <v>105.60000000000001</v>
      </c>
      <c r="U126" s="34">
        <v>0.88</v>
      </c>
      <c r="V126" s="34">
        <v>106.48</v>
      </c>
    </row>
    <row r="127" spans="1:22" x14ac:dyDescent="0.25">
      <c r="A127" s="35">
        <v>43697</v>
      </c>
      <c r="B127" s="14">
        <v>0.60416666666666663</v>
      </c>
      <c r="C127" s="15">
        <v>1</v>
      </c>
      <c r="D127" s="15">
        <v>7</v>
      </c>
      <c r="E127" s="13">
        <v>43306</v>
      </c>
      <c r="F127" s="31" t="s">
        <v>322</v>
      </c>
      <c r="G127" s="41">
        <v>1.4999999999999999E-2</v>
      </c>
      <c r="H127" s="13">
        <v>43698</v>
      </c>
      <c r="I127" s="13">
        <v>45863</v>
      </c>
      <c r="J127" s="32">
        <f t="shared" si="11"/>
        <v>7.0054794520547947</v>
      </c>
      <c r="K127" s="32">
        <f t="shared" si="12"/>
        <v>5.9315068493150687</v>
      </c>
      <c r="L127" s="17">
        <v>650</v>
      </c>
      <c r="M127" s="19">
        <v>997.7</v>
      </c>
      <c r="N127" s="20">
        <f t="shared" si="13"/>
        <v>1.5349230769230771</v>
      </c>
      <c r="O127" s="19">
        <v>735.2</v>
      </c>
      <c r="P127" s="27">
        <v>0</v>
      </c>
      <c r="Q127" s="19">
        <v>200</v>
      </c>
      <c r="R127" s="19">
        <v>47.7</v>
      </c>
      <c r="S127" s="30">
        <v>2.3E-2</v>
      </c>
      <c r="T127" s="34">
        <f t="shared" si="10"/>
        <v>96.31</v>
      </c>
      <c r="U127" s="34">
        <v>0.11</v>
      </c>
      <c r="V127" s="34">
        <v>96.42</v>
      </c>
    </row>
    <row r="128" spans="1:22" x14ac:dyDescent="0.25">
      <c r="A128" s="35">
        <v>43704</v>
      </c>
      <c r="B128" s="14">
        <v>0.60416666666666663</v>
      </c>
      <c r="C128" s="15">
        <v>3</v>
      </c>
      <c r="D128" s="15">
        <v>2</v>
      </c>
      <c r="E128" s="13">
        <v>43598</v>
      </c>
      <c r="F128" s="31" t="s">
        <v>322</v>
      </c>
      <c r="G128" s="41">
        <v>2.2000000000000002E-2</v>
      </c>
      <c r="H128" s="13">
        <v>43705</v>
      </c>
      <c r="I128" s="13">
        <v>51269</v>
      </c>
      <c r="J128" s="32">
        <f t="shared" si="11"/>
        <v>21.016438356164382</v>
      </c>
      <c r="K128" s="32">
        <f t="shared" si="12"/>
        <v>20.723287671232878</v>
      </c>
      <c r="L128" s="17">
        <v>375</v>
      </c>
      <c r="M128" s="19">
        <v>650</v>
      </c>
      <c r="N128" s="20">
        <f t="shared" si="13"/>
        <v>1.7333333333333334</v>
      </c>
      <c r="O128" s="19">
        <v>425</v>
      </c>
      <c r="P128" s="27">
        <v>0</v>
      </c>
      <c r="Q128" s="19">
        <v>200</v>
      </c>
      <c r="R128" s="19">
        <v>0</v>
      </c>
      <c r="S128" s="30">
        <v>2.41E-2</v>
      </c>
      <c r="T128" s="34">
        <f t="shared" si="10"/>
        <v>96.7</v>
      </c>
      <c r="U128" s="34">
        <v>0.64</v>
      </c>
      <c r="V128" s="34">
        <v>97.34</v>
      </c>
    </row>
    <row r="129" spans="1:22" x14ac:dyDescent="0.25">
      <c r="A129" s="35">
        <v>43718</v>
      </c>
      <c r="B129" s="14">
        <v>0.60416666666666663</v>
      </c>
      <c r="C129" s="15">
        <v>26</v>
      </c>
      <c r="D129" s="15">
        <v>3</v>
      </c>
      <c r="E129" s="13">
        <v>43598</v>
      </c>
      <c r="F129" s="31" t="s">
        <v>307</v>
      </c>
      <c r="G129" s="41">
        <v>2.4500000000000001E-2</v>
      </c>
      <c r="H129" s="13">
        <v>43719</v>
      </c>
      <c r="I129" s="13">
        <v>45059</v>
      </c>
      <c r="J129" s="32">
        <f t="shared" si="11"/>
        <v>4.0027397260273974</v>
      </c>
      <c r="K129" s="32">
        <f t="shared" si="12"/>
        <v>3.6712328767123288</v>
      </c>
      <c r="L129" s="17">
        <v>325</v>
      </c>
      <c r="M129" s="19">
        <v>289.64</v>
      </c>
      <c r="N129" s="20">
        <f t="shared" si="13"/>
        <v>0.89119999999999999</v>
      </c>
      <c r="O129" s="19">
        <v>117.22</v>
      </c>
      <c r="P129" s="27">
        <v>0</v>
      </c>
      <c r="Q129" s="19">
        <v>0</v>
      </c>
      <c r="R129" s="19">
        <v>0</v>
      </c>
      <c r="S129" s="30">
        <v>2.2499999999999999E-2</v>
      </c>
      <c r="T129" s="34">
        <f t="shared" si="10"/>
        <v>100.52</v>
      </c>
      <c r="U129" s="34">
        <v>0.81</v>
      </c>
      <c r="V129" s="34">
        <v>101.33</v>
      </c>
    </row>
    <row r="130" spans="1:22" x14ac:dyDescent="0.25">
      <c r="A130" s="35">
        <v>43725</v>
      </c>
      <c r="B130" s="14">
        <v>0.60416666666666663</v>
      </c>
      <c r="C130" s="15">
        <v>2</v>
      </c>
      <c r="D130" s="15">
        <v>10</v>
      </c>
      <c r="E130" s="13">
        <v>43341</v>
      </c>
      <c r="F130" s="31" t="s">
        <v>322</v>
      </c>
      <c r="G130" s="41">
        <v>1.8000000000000002E-2</v>
      </c>
      <c r="H130" s="13">
        <v>43726</v>
      </c>
      <c r="I130" s="13">
        <v>48820</v>
      </c>
      <c r="J130" s="32">
        <f t="shared" si="11"/>
        <v>15.010958904109589</v>
      </c>
      <c r="K130" s="32">
        <f t="shared" si="12"/>
        <v>13.956164383561644</v>
      </c>
      <c r="L130" s="17">
        <v>750</v>
      </c>
      <c r="M130" s="19">
        <v>1724</v>
      </c>
      <c r="N130" s="20">
        <f t="shared" si="13"/>
        <v>2.2986666666666666</v>
      </c>
      <c r="O130" s="19">
        <v>1124</v>
      </c>
      <c r="P130" s="27">
        <v>0</v>
      </c>
      <c r="Q130" s="19">
        <v>350</v>
      </c>
      <c r="R130" s="19">
        <v>0</v>
      </c>
      <c r="S130" s="30">
        <v>2.3980000000000001E-2</v>
      </c>
      <c r="T130" s="34">
        <f t="shared" si="10"/>
        <v>93.36</v>
      </c>
      <c r="U130" s="34">
        <v>0.1</v>
      </c>
      <c r="V130" s="34">
        <v>93.46</v>
      </c>
    </row>
    <row r="131" spans="1:22" x14ac:dyDescent="0.25">
      <c r="A131" s="35">
        <v>43732</v>
      </c>
      <c r="B131" s="14">
        <v>0.60416666666666663</v>
      </c>
      <c r="C131" s="15">
        <v>25</v>
      </c>
      <c r="D131" s="15">
        <v>11</v>
      </c>
      <c r="E131" s="13">
        <v>43124</v>
      </c>
      <c r="F131" s="31" t="s">
        <v>307</v>
      </c>
      <c r="G131" s="41">
        <v>2.8999999999999998E-2</v>
      </c>
      <c r="H131" s="13">
        <v>43733</v>
      </c>
      <c r="I131" s="13">
        <v>47688</v>
      </c>
      <c r="J131" s="32">
        <f t="shared" si="11"/>
        <v>12.504109589041096</v>
      </c>
      <c r="K131" s="32">
        <f t="shared" si="12"/>
        <v>10.835616438356164</v>
      </c>
      <c r="L131" s="17">
        <v>100</v>
      </c>
      <c r="M131" s="19">
        <v>219.8</v>
      </c>
      <c r="N131" s="20">
        <f t="shared" si="13"/>
        <v>2.198</v>
      </c>
      <c r="O131" s="19">
        <v>101.8</v>
      </c>
      <c r="P131" s="27">
        <v>0</v>
      </c>
      <c r="Q131" s="19">
        <v>0</v>
      </c>
      <c r="R131" s="19">
        <v>0.1</v>
      </c>
      <c r="S131" s="30">
        <v>3.5581999999999996E-2</v>
      </c>
      <c r="T131" s="34">
        <f t="shared" si="10"/>
        <v>94.110000000000014</v>
      </c>
      <c r="U131" s="34">
        <v>0.49</v>
      </c>
      <c r="V131" s="34">
        <v>94.600000000000009</v>
      </c>
    </row>
    <row r="132" spans="1:22" x14ac:dyDescent="0.25">
      <c r="A132" s="35">
        <v>43753</v>
      </c>
      <c r="B132" s="14">
        <v>0.60416666666666663</v>
      </c>
      <c r="C132" s="15">
        <v>13</v>
      </c>
      <c r="D132" s="15">
        <v>42</v>
      </c>
      <c r="E132" s="13">
        <v>40323</v>
      </c>
      <c r="F132" s="31" t="s">
        <v>307</v>
      </c>
      <c r="G132" s="41">
        <v>0.04</v>
      </c>
      <c r="H132" s="13">
        <v>43754</v>
      </c>
      <c r="I132" s="13">
        <v>45802</v>
      </c>
      <c r="J132" s="32">
        <f t="shared" si="11"/>
        <v>15.010958904109589</v>
      </c>
      <c r="K132" s="32">
        <f t="shared" si="12"/>
        <v>5.6109589041095891</v>
      </c>
      <c r="L132" s="17">
        <v>250</v>
      </c>
      <c r="M132" s="19">
        <v>272.92</v>
      </c>
      <c r="N132" s="20">
        <f t="shared" si="13"/>
        <v>1.09168</v>
      </c>
      <c r="O132" s="19">
        <v>115.4</v>
      </c>
      <c r="P132" s="27">
        <v>0</v>
      </c>
      <c r="Q132" s="19">
        <v>100.68</v>
      </c>
      <c r="R132" s="19">
        <v>1.95</v>
      </c>
      <c r="S132" s="30">
        <v>2.9600000000000001E-2</v>
      </c>
      <c r="T132" s="34">
        <f t="shared" si="10"/>
        <v>104.435</v>
      </c>
      <c r="U132" s="34">
        <v>1.5649999999999999</v>
      </c>
      <c r="V132" s="34">
        <v>106</v>
      </c>
    </row>
    <row r="133" spans="1:22" x14ac:dyDescent="0.25">
      <c r="A133" s="35">
        <v>43760</v>
      </c>
      <c r="B133" s="14">
        <v>0.60416666666666663</v>
      </c>
      <c r="C133" s="15">
        <v>1</v>
      </c>
      <c r="D133" s="15">
        <v>8</v>
      </c>
      <c r="E133" s="13">
        <v>43306</v>
      </c>
      <c r="F133" s="31" t="s">
        <v>322</v>
      </c>
      <c r="G133" s="41">
        <v>1.4999999999999999E-2</v>
      </c>
      <c r="H133" s="13">
        <v>43761</v>
      </c>
      <c r="I133" s="13">
        <v>45863</v>
      </c>
      <c r="J133" s="32">
        <f t="shared" si="11"/>
        <v>7.0054794520547947</v>
      </c>
      <c r="K133" s="32">
        <f t="shared" si="12"/>
        <v>5.7589041095890412</v>
      </c>
      <c r="L133" s="17">
        <v>650</v>
      </c>
      <c r="M133" s="19">
        <v>1179</v>
      </c>
      <c r="N133" s="20">
        <f t="shared" si="13"/>
        <v>1.8138461538461539</v>
      </c>
      <c r="O133" s="19">
        <v>994.5</v>
      </c>
      <c r="P133" s="27">
        <v>0</v>
      </c>
      <c r="Q133" s="19">
        <v>350</v>
      </c>
      <c r="R133" s="19">
        <v>0</v>
      </c>
      <c r="S133" s="30">
        <v>2.3345999999999999E-2</v>
      </c>
      <c r="T133" s="34">
        <f t="shared" si="10"/>
        <v>96.259999999999991</v>
      </c>
      <c r="U133" s="34">
        <v>0.37</v>
      </c>
      <c r="V133" s="34">
        <v>96.63</v>
      </c>
    </row>
    <row r="134" spans="1:22" x14ac:dyDescent="0.25">
      <c r="A134" s="35">
        <v>43767</v>
      </c>
      <c r="B134" s="14">
        <v>0.60416666666666663</v>
      </c>
      <c r="C134" s="15">
        <v>3</v>
      </c>
      <c r="D134" s="15">
        <v>3</v>
      </c>
      <c r="E134" s="13">
        <v>43598</v>
      </c>
      <c r="F134" s="31" t="s">
        <v>322</v>
      </c>
      <c r="G134" s="41">
        <v>2.2000000000000002E-2</v>
      </c>
      <c r="H134" s="13">
        <v>43768</v>
      </c>
      <c r="I134" s="13">
        <v>51269</v>
      </c>
      <c r="J134" s="32">
        <f t="shared" si="11"/>
        <v>21.016438356164382</v>
      </c>
      <c r="K134" s="32">
        <f t="shared" si="12"/>
        <v>20.550684931506851</v>
      </c>
      <c r="L134" s="17">
        <v>375</v>
      </c>
      <c r="M134" s="19">
        <v>1100</v>
      </c>
      <c r="N134" s="20">
        <f t="shared" si="13"/>
        <v>2.9333333333333331</v>
      </c>
      <c r="O134" s="19">
        <v>550</v>
      </c>
      <c r="P134" s="27">
        <v>0</v>
      </c>
      <c r="Q134" s="19">
        <v>150</v>
      </c>
      <c r="R134" s="19">
        <v>0</v>
      </c>
      <c r="S134" s="30">
        <v>2.4389299999999999E-2</v>
      </c>
      <c r="T134" s="34">
        <f t="shared" si="10"/>
        <v>96.28</v>
      </c>
      <c r="U134" s="34">
        <v>1.02</v>
      </c>
      <c r="V134" s="34">
        <v>97.3</v>
      </c>
    </row>
    <row r="135" spans="1:22" x14ac:dyDescent="0.25">
      <c r="A135" s="35">
        <v>43781</v>
      </c>
      <c r="B135" s="14">
        <v>0.60416666666666663</v>
      </c>
      <c r="C135" s="15">
        <v>26</v>
      </c>
      <c r="D135" s="15">
        <v>4</v>
      </c>
      <c r="E135" s="13">
        <v>43598</v>
      </c>
      <c r="F135" s="31" t="s">
        <v>307</v>
      </c>
      <c r="G135" s="41">
        <v>2.4500000000000001E-2</v>
      </c>
      <c r="H135" s="13">
        <v>43782</v>
      </c>
      <c r="I135" s="13">
        <v>45059</v>
      </c>
      <c r="J135" s="32">
        <f t="shared" si="11"/>
        <v>4.0027397260273974</v>
      </c>
      <c r="K135" s="32">
        <f t="shared" si="12"/>
        <v>3.4986301369863013</v>
      </c>
      <c r="L135" s="17">
        <v>325</v>
      </c>
      <c r="M135" s="19">
        <v>218.69</v>
      </c>
      <c r="N135" s="20">
        <f t="shared" si="13"/>
        <v>0.67289230769230768</v>
      </c>
      <c r="O135" s="19">
        <v>0</v>
      </c>
      <c r="P135" s="27">
        <v>0</v>
      </c>
      <c r="Q135" s="19">
        <v>0</v>
      </c>
      <c r="R135" s="19">
        <v>0</v>
      </c>
      <c r="S135" s="30">
        <v>0</v>
      </c>
      <c r="T135" s="34">
        <v>0</v>
      </c>
      <c r="U135" s="34">
        <v>0</v>
      </c>
      <c r="V135" s="34">
        <v>0</v>
      </c>
    </row>
    <row r="136" spans="1:22" x14ac:dyDescent="0.25">
      <c r="A136" s="35">
        <v>43783</v>
      </c>
      <c r="B136" s="14">
        <v>0.60416666666666663</v>
      </c>
      <c r="C136" s="15">
        <v>26</v>
      </c>
      <c r="D136" s="15">
        <v>5</v>
      </c>
      <c r="E136" s="13">
        <v>43598</v>
      </c>
      <c r="F136" s="31" t="s">
        <v>307</v>
      </c>
      <c r="G136" s="41">
        <v>2.4500000000000001E-2</v>
      </c>
      <c r="H136" s="13">
        <v>43784</v>
      </c>
      <c r="I136" s="13">
        <v>45059</v>
      </c>
      <c r="J136" s="32">
        <f t="shared" si="11"/>
        <v>4.0027397260273974</v>
      </c>
      <c r="K136" s="32">
        <f t="shared" si="12"/>
        <v>3.493150684931507</v>
      </c>
      <c r="L136" s="17">
        <v>325</v>
      </c>
      <c r="M136" s="19">
        <v>316.38</v>
      </c>
      <c r="N136" s="20">
        <f t="shared" si="13"/>
        <v>0.97347692307692302</v>
      </c>
      <c r="O136" s="19">
        <v>71.28</v>
      </c>
      <c r="P136" s="27">
        <v>0</v>
      </c>
      <c r="Q136" s="19">
        <v>24.16</v>
      </c>
      <c r="R136" s="19">
        <v>0</v>
      </c>
      <c r="S136" s="30">
        <v>2.7099999999999999E-2</v>
      </c>
      <c r="T136" s="34">
        <f t="shared" si="10"/>
        <v>99.386500000000012</v>
      </c>
      <c r="U136" s="34">
        <v>1.35E-2</v>
      </c>
      <c r="V136" s="34">
        <v>99.4</v>
      </c>
    </row>
    <row r="137" spans="1:22" x14ac:dyDescent="0.25">
      <c r="A137" s="35">
        <v>43788</v>
      </c>
      <c r="B137" s="14">
        <v>0.60416666666666663</v>
      </c>
      <c r="C137" s="15">
        <v>2</v>
      </c>
      <c r="D137" s="15">
        <v>11</v>
      </c>
      <c r="E137" s="13">
        <v>43341</v>
      </c>
      <c r="F137" s="31" t="s">
        <v>322</v>
      </c>
      <c r="G137" s="41">
        <v>1.8000000000000002E-2</v>
      </c>
      <c r="H137" s="13">
        <v>43789</v>
      </c>
      <c r="I137" s="13">
        <v>48820</v>
      </c>
      <c r="J137" s="32">
        <f t="shared" si="11"/>
        <v>15.010958904109589</v>
      </c>
      <c r="K137" s="32">
        <f t="shared" si="12"/>
        <v>13.783561643835617</v>
      </c>
      <c r="L137" s="17">
        <v>750</v>
      </c>
      <c r="M137" s="19">
        <v>2250</v>
      </c>
      <c r="N137" s="20">
        <f t="shared" si="13"/>
        <v>3</v>
      </c>
      <c r="O137" s="19">
        <v>1500</v>
      </c>
      <c r="P137" s="27">
        <v>0.5</v>
      </c>
      <c r="Q137" s="19">
        <v>200</v>
      </c>
      <c r="R137" s="19">
        <v>0</v>
      </c>
      <c r="S137" s="30">
        <v>2.4289999999999999E-2</v>
      </c>
      <c r="T137" s="34">
        <f t="shared" si="10"/>
        <v>93.1</v>
      </c>
      <c r="U137" s="34">
        <v>0.41</v>
      </c>
      <c r="V137" s="34">
        <v>93.509999999999991</v>
      </c>
    </row>
    <row r="138" spans="1:22" x14ac:dyDescent="0.25">
      <c r="A138" s="35">
        <v>43795</v>
      </c>
      <c r="B138" s="14">
        <v>0.60416666666666663</v>
      </c>
      <c r="C138" s="15">
        <v>25</v>
      </c>
      <c r="D138" s="15">
        <v>12</v>
      </c>
      <c r="E138" s="13">
        <v>43124</v>
      </c>
      <c r="F138" s="31" t="s">
        <v>307</v>
      </c>
      <c r="G138" s="41">
        <v>2.8999999999999998E-2</v>
      </c>
      <c r="H138" s="13">
        <v>43796</v>
      </c>
      <c r="I138" s="13">
        <v>47688</v>
      </c>
      <c r="J138" s="32">
        <f t="shared" si="11"/>
        <v>12.504109589041096</v>
      </c>
      <c r="K138" s="32">
        <f t="shared" si="12"/>
        <v>10.663013698630136</v>
      </c>
      <c r="L138" s="17">
        <v>100</v>
      </c>
      <c r="M138" s="19">
        <v>300.75</v>
      </c>
      <c r="N138" s="20">
        <f t="shared" si="13"/>
        <v>3.0074999999999998</v>
      </c>
      <c r="O138" s="19">
        <v>200</v>
      </c>
      <c r="P138" s="27">
        <v>0.82079999999999997</v>
      </c>
      <c r="Q138" s="19">
        <v>0</v>
      </c>
      <c r="R138" s="19">
        <v>0.1</v>
      </c>
      <c r="S138" s="30">
        <v>3.7501800000000002E-2</v>
      </c>
      <c r="T138" s="34">
        <f t="shared" si="10"/>
        <v>92.566999999999993</v>
      </c>
      <c r="U138" s="34">
        <v>0.99</v>
      </c>
      <c r="V138" s="34">
        <v>93.556999999999988</v>
      </c>
    </row>
    <row r="139" spans="1:22" x14ac:dyDescent="0.25">
      <c r="A139" s="35">
        <v>43802</v>
      </c>
      <c r="B139" s="14">
        <v>0.60416666666666663</v>
      </c>
      <c r="C139" s="15">
        <v>13</v>
      </c>
      <c r="D139" s="15">
        <v>43</v>
      </c>
      <c r="E139" s="13">
        <v>40323</v>
      </c>
      <c r="F139" s="31" t="s">
        <v>307</v>
      </c>
      <c r="G139" s="41">
        <v>0.04</v>
      </c>
      <c r="H139" s="13">
        <v>43803</v>
      </c>
      <c r="I139" s="13">
        <v>45802</v>
      </c>
      <c r="J139" s="32">
        <f t="shared" si="11"/>
        <v>15.010958904109589</v>
      </c>
      <c r="K139" s="32">
        <f t="shared" si="12"/>
        <v>5.4767123287671229</v>
      </c>
      <c r="L139" s="17">
        <v>250</v>
      </c>
      <c r="M139" s="19">
        <v>159.27000000000001</v>
      </c>
      <c r="N139" s="20">
        <f t="shared" si="13"/>
        <v>0.63708000000000009</v>
      </c>
      <c r="O139" s="19">
        <v>69.17</v>
      </c>
      <c r="P139" s="27">
        <v>0</v>
      </c>
      <c r="Q139" s="19">
        <v>61.64</v>
      </c>
      <c r="R139" s="19">
        <v>0</v>
      </c>
      <c r="S139" s="30">
        <v>3.48937E-2</v>
      </c>
      <c r="T139" s="34">
        <f t="shared" si="10"/>
        <v>102.0911</v>
      </c>
      <c r="U139" s="34">
        <v>9.8900000000000002E-2</v>
      </c>
      <c r="V139" s="34">
        <v>102.19</v>
      </c>
    </row>
    <row r="140" spans="1:22" x14ac:dyDescent="0.25">
      <c r="A140" s="35">
        <v>43809</v>
      </c>
      <c r="B140" s="14">
        <v>0.60416666666666663</v>
      </c>
      <c r="C140" s="15">
        <v>1</v>
      </c>
      <c r="D140" s="15">
        <v>9</v>
      </c>
      <c r="E140" s="13">
        <v>43306</v>
      </c>
      <c r="F140" s="31" t="s">
        <v>322</v>
      </c>
      <c r="G140" s="41">
        <v>1.4999999999999999E-2</v>
      </c>
      <c r="H140" s="13">
        <v>43810</v>
      </c>
      <c r="I140" s="13">
        <v>45863</v>
      </c>
      <c r="J140" s="32">
        <f t="shared" ref="J140:J171" si="14">(+I140-E140)/365</f>
        <v>7.0054794520547947</v>
      </c>
      <c r="K140" s="32">
        <f t="shared" ref="K140:K171" si="15">(+I140-H140)/365</f>
        <v>5.624657534246575</v>
      </c>
      <c r="L140" s="17">
        <v>650</v>
      </c>
      <c r="M140" s="19">
        <v>1700</v>
      </c>
      <c r="N140" s="20">
        <f t="shared" ref="N140:N171" si="16">+IFERROR(M140/L140,"-")</f>
        <v>2.6153846153846154</v>
      </c>
      <c r="O140" s="19">
        <v>1300</v>
      </c>
      <c r="P140" s="27">
        <v>0.42859999999999998</v>
      </c>
      <c r="Q140" s="19">
        <v>163.86856297414357</v>
      </c>
      <c r="R140" s="19">
        <v>0</v>
      </c>
      <c r="S140" s="30">
        <v>2.3819400000000001E-2</v>
      </c>
      <c r="T140" s="34">
        <f t="shared" ref="T140:T184" si="17">+V140-U140</f>
        <v>96.160000000000011</v>
      </c>
      <c r="U140" s="34">
        <v>0.56999999999999995</v>
      </c>
      <c r="V140" s="34">
        <v>96.73</v>
      </c>
    </row>
    <row r="141" spans="1:22" x14ac:dyDescent="0.25">
      <c r="A141" s="35">
        <v>43816</v>
      </c>
      <c r="B141" s="14">
        <v>0.60416666666666663</v>
      </c>
      <c r="C141" s="15">
        <v>3</v>
      </c>
      <c r="D141" s="15">
        <v>4</v>
      </c>
      <c r="E141" s="13">
        <v>43598</v>
      </c>
      <c r="F141" s="31" t="s">
        <v>322</v>
      </c>
      <c r="G141" s="41">
        <v>2.2000000000000002E-2</v>
      </c>
      <c r="H141" s="13">
        <v>43817</v>
      </c>
      <c r="I141" s="13">
        <v>51269</v>
      </c>
      <c r="J141" s="32">
        <f t="shared" si="14"/>
        <v>21.016438356164382</v>
      </c>
      <c r="K141" s="32">
        <f t="shared" si="15"/>
        <v>20.416438356164385</v>
      </c>
      <c r="L141" s="17">
        <v>375</v>
      </c>
      <c r="M141" s="19">
        <v>850</v>
      </c>
      <c r="N141" s="20">
        <f t="shared" si="16"/>
        <v>2.2666666666666666</v>
      </c>
      <c r="O141" s="19">
        <v>750</v>
      </c>
      <c r="P141" s="27">
        <v>0</v>
      </c>
      <c r="Q141" s="19">
        <v>0</v>
      </c>
      <c r="R141" s="19">
        <v>0</v>
      </c>
      <c r="S141" s="30">
        <v>2.4492199999999999E-2</v>
      </c>
      <c r="T141" s="34">
        <f t="shared" si="17"/>
        <v>96.15</v>
      </c>
      <c r="U141" s="34">
        <v>0.21</v>
      </c>
      <c r="V141" s="34">
        <v>96.36</v>
      </c>
    </row>
    <row r="142" spans="1:22" x14ac:dyDescent="0.25">
      <c r="A142" s="35">
        <v>43844</v>
      </c>
      <c r="B142" s="14">
        <v>0.60416666666666663</v>
      </c>
      <c r="C142" s="15">
        <v>26</v>
      </c>
      <c r="D142" s="15">
        <v>6</v>
      </c>
      <c r="E142" s="13">
        <v>43598</v>
      </c>
      <c r="F142" s="31" t="s">
        <v>307</v>
      </c>
      <c r="G142" s="41">
        <v>2.4500000000000001E-2</v>
      </c>
      <c r="H142" s="13">
        <v>43845</v>
      </c>
      <c r="I142" s="13">
        <v>45059</v>
      </c>
      <c r="J142" s="32">
        <f t="shared" si="14"/>
        <v>4.0027397260273974</v>
      </c>
      <c r="K142" s="32">
        <f t="shared" si="15"/>
        <v>3.3260273972602739</v>
      </c>
      <c r="L142" s="17">
        <v>325</v>
      </c>
      <c r="M142" s="19">
        <v>700.47</v>
      </c>
      <c r="N142" s="20">
        <f t="shared" si="16"/>
        <v>2.1552923076923078</v>
      </c>
      <c r="O142" s="19">
        <v>338.19</v>
      </c>
      <c r="P142" s="27">
        <v>0</v>
      </c>
      <c r="Q142" s="19">
        <v>100</v>
      </c>
      <c r="R142" s="19">
        <v>0</v>
      </c>
      <c r="S142" s="30">
        <v>2.8109099999999998E-2</v>
      </c>
      <c r="T142" s="34">
        <f t="shared" si="17"/>
        <v>99.2</v>
      </c>
      <c r="U142" s="34">
        <v>0.42</v>
      </c>
      <c r="V142" s="34">
        <v>99.62</v>
      </c>
    </row>
    <row r="143" spans="1:22" x14ac:dyDescent="0.25">
      <c r="A143" s="35">
        <v>43851</v>
      </c>
      <c r="B143" s="14">
        <v>0.60416666666666663</v>
      </c>
      <c r="C143" s="15">
        <v>26</v>
      </c>
      <c r="D143" s="15">
        <v>7</v>
      </c>
      <c r="E143" s="13">
        <v>43598</v>
      </c>
      <c r="F143" s="31" t="s">
        <v>307</v>
      </c>
      <c r="G143" s="41">
        <v>2.4500000000000001E-2</v>
      </c>
      <c r="H143" s="13">
        <v>43857</v>
      </c>
      <c r="I143" s="13">
        <v>45059</v>
      </c>
      <c r="J143" s="32">
        <f t="shared" si="14"/>
        <v>4.0027397260273974</v>
      </c>
      <c r="K143" s="32">
        <f t="shared" si="15"/>
        <v>3.2931506849315069</v>
      </c>
      <c r="L143" s="17">
        <v>1300</v>
      </c>
      <c r="M143" s="19">
        <v>4812.96</v>
      </c>
      <c r="N143" s="20">
        <f t="shared" si="16"/>
        <v>3.7022769230769232</v>
      </c>
      <c r="O143" s="19">
        <v>2600</v>
      </c>
      <c r="P143" s="27">
        <v>0.49299999999999999</v>
      </c>
      <c r="Q143" s="19">
        <v>2599.06</v>
      </c>
      <c r="R143" s="19">
        <v>0</v>
      </c>
      <c r="S143" s="30">
        <v>2.7339000000000002E-2</v>
      </c>
      <c r="T143" s="34">
        <f t="shared" si="17"/>
        <v>99.375189999999989</v>
      </c>
      <c r="U143" s="34">
        <v>0.50480999999999998</v>
      </c>
      <c r="V143" s="34">
        <v>99.88</v>
      </c>
    </row>
    <row r="144" spans="1:22" x14ac:dyDescent="0.25">
      <c r="A144" s="35">
        <v>43852</v>
      </c>
      <c r="B144" s="14">
        <v>0.60416666666666663</v>
      </c>
      <c r="C144" s="15">
        <v>13</v>
      </c>
      <c r="D144" s="15">
        <v>44</v>
      </c>
      <c r="E144" s="13">
        <v>40323</v>
      </c>
      <c r="F144" s="31" t="s">
        <v>307</v>
      </c>
      <c r="G144" s="41">
        <v>0.04</v>
      </c>
      <c r="H144" s="13">
        <v>43857</v>
      </c>
      <c r="I144" s="13">
        <v>45802</v>
      </c>
      <c r="J144" s="32">
        <f t="shared" si="14"/>
        <v>15.010958904109589</v>
      </c>
      <c r="K144" s="32">
        <f t="shared" si="15"/>
        <v>5.3287671232876717</v>
      </c>
      <c r="L144" s="17">
        <v>1300</v>
      </c>
      <c r="M144" s="19">
        <v>4404.17</v>
      </c>
      <c r="N144" s="20">
        <f t="shared" si="16"/>
        <v>3.3878230769230768</v>
      </c>
      <c r="O144" s="19">
        <v>2434.17</v>
      </c>
      <c r="P144" s="27">
        <v>0</v>
      </c>
      <c r="Q144" s="19">
        <v>2358.84</v>
      </c>
      <c r="R144" s="19">
        <v>70</v>
      </c>
      <c r="S144" s="30">
        <v>3.6050600000000002E-2</v>
      </c>
      <c r="T144" s="34">
        <f t="shared" si="17"/>
        <v>101.55768999999999</v>
      </c>
      <c r="U144" s="34">
        <v>0.69230999999999998</v>
      </c>
      <c r="V144" s="34">
        <v>102.25</v>
      </c>
    </row>
    <row r="145" spans="1:22" x14ac:dyDescent="0.25">
      <c r="A145" s="35">
        <v>43853</v>
      </c>
      <c r="B145" s="14">
        <v>0.60416666666666663</v>
      </c>
      <c r="C145" s="15">
        <v>4</v>
      </c>
      <c r="D145" s="15">
        <v>1</v>
      </c>
      <c r="E145" s="13">
        <v>43857</v>
      </c>
      <c r="F145" s="31" t="s">
        <v>322</v>
      </c>
      <c r="G145" s="41">
        <v>2.4500000000000001E-2</v>
      </c>
      <c r="H145" s="13">
        <v>43857</v>
      </c>
      <c r="I145" s="13">
        <v>50067</v>
      </c>
      <c r="J145" s="32">
        <f t="shared" si="14"/>
        <v>17.013698630136986</v>
      </c>
      <c r="K145" s="32">
        <f t="shared" si="15"/>
        <v>17.013698630136986</v>
      </c>
      <c r="L145" s="17">
        <v>5000</v>
      </c>
      <c r="M145" s="19">
        <v>12375</v>
      </c>
      <c r="N145" s="20">
        <f t="shared" si="16"/>
        <v>2.4750000000000001</v>
      </c>
      <c r="O145" s="19">
        <v>6493</v>
      </c>
      <c r="P145" s="27">
        <v>0</v>
      </c>
      <c r="Q145" s="19">
        <v>4497</v>
      </c>
      <c r="R145" s="19">
        <v>0</v>
      </c>
      <c r="S145" s="30">
        <v>2.5430500000000002E-2</v>
      </c>
      <c r="T145" s="34">
        <f t="shared" si="17"/>
        <v>98.76</v>
      </c>
      <c r="U145" s="34">
        <v>0</v>
      </c>
      <c r="V145" s="34">
        <v>98.76</v>
      </c>
    </row>
    <row r="146" spans="1:22" x14ac:dyDescent="0.25">
      <c r="A146" s="35">
        <v>43854</v>
      </c>
      <c r="B146" s="14">
        <v>0.60416666666666663</v>
      </c>
      <c r="C146" s="15">
        <v>3</v>
      </c>
      <c r="D146" s="15">
        <v>5</v>
      </c>
      <c r="E146" s="13">
        <v>43598</v>
      </c>
      <c r="F146" s="31" t="s">
        <v>322</v>
      </c>
      <c r="G146" s="41">
        <v>2.2000000000000002E-2</v>
      </c>
      <c r="H146" s="13">
        <v>43857</v>
      </c>
      <c r="I146" s="13">
        <v>51269</v>
      </c>
      <c r="J146" s="32">
        <f t="shared" si="14"/>
        <v>21.016438356164382</v>
      </c>
      <c r="K146" s="32">
        <f t="shared" si="15"/>
        <v>20.306849315068494</v>
      </c>
      <c r="L146" s="17">
        <v>3350</v>
      </c>
      <c r="M146" s="19">
        <v>11326</v>
      </c>
      <c r="N146" s="20">
        <f t="shared" si="16"/>
        <v>3.3808955223880597</v>
      </c>
      <c r="O146" s="19">
        <v>5460</v>
      </c>
      <c r="P146" s="27">
        <v>0</v>
      </c>
      <c r="Q146" s="19">
        <v>5160</v>
      </c>
      <c r="R146" s="19">
        <v>300</v>
      </c>
      <c r="S146" s="30">
        <v>2.5741E-2</v>
      </c>
      <c r="T146" s="34">
        <f t="shared" si="17"/>
        <v>94.32</v>
      </c>
      <c r="U146" s="34">
        <v>0.45</v>
      </c>
      <c r="V146" s="34">
        <v>94.77</v>
      </c>
    </row>
    <row r="147" spans="1:22" x14ac:dyDescent="0.25">
      <c r="A147" s="35">
        <v>43858</v>
      </c>
      <c r="B147" s="14">
        <v>0.60416666666666663</v>
      </c>
      <c r="C147" s="15">
        <v>25</v>
      </c>
      <c r="D147" s="15">
        <v>13</v>
      </c>
      <c r="E147" s="13">
        <v>43124</v>
      </c>
      <c r="F147" s="31" t="s">
        <v>307</v>
      </c>
      <c r="G147" s="41">
        <v>2.8999999999999998E-2</v>
      </c>
      <c r="H147" s="13">
        <v>43859</v>
      </c>
      <c r="I147" s="13">
        <v>47688</v>
      </c>
      <c r="J147" s="32">
        <f t="shared" si="14"/>
        <v>12.504109589041096</v>
      </c>
      <c r="K147" s="32">
        <f t="shared" si="15"/>
        <v>10.490410958904109</v>
      </c>
      <c r="L147" s="17">
        <v>100</v>
      </c>
      <c r="M147" s="19">
        <v>404.03</v>
      </c>
      <c r="N147" s="20">
        <f t="shared" si="16"/>
        <v>4.0402999999999993</v>
      </c>
      <c r="O147" s="19">
        <v>113.93</v>
      </c>
      <c r="P147" s="27">
        <v>0</v>
      </c>
      <c r="Q147" s="19">
        <v>0.21</v>
      </c>
      <c r="R147" s="19">
        <v>0.27</v>
      </c>
      <c r="S147" s="30">
        <v>3.7819400000000003E-2</v>
      </c>
      <c r="T147" s="34">
        <f t="shared" si="17"/>
        <v>92.410160000000005</v>
      </c>
      <c r="U147" s="34">
        <v>3.984E-2</v>
      </c>
      <c r="V147" s="34">
        <v>92.45</v>
      </c>
    </row>
    <row r="148" spans="1:22" x14ac:dyDescent="0.25">
      <c r="A148" s="35">
        <v>43872</v>
      </c>
      <c r="B148" s="14">
        <v>0.60416666666666663</v>
      </c>
      <c r="C148" s="15">
        <v>13</v>
      </c>
      <c r="D148" s="15">
        <v>45</v>
      </c>
      <c r="E148" s="13">
        <v>40323</v>
      </c>
      <c r="F148" s="31" t="s">
        <v>307</v>
      </c>
      <c r="G148" s="41">
        <v>0.04</v>
      </c>
      <c r="H148" s="13">
        <v>43873</v>
      </c>
      <c r="I148" s="13">
        <v>45802</v>
      </c>
      <c r="J148" s="32">
        <f t="shared" si="14"/>
        <v>15.010958904109589</v>
      </c>
      <c r="K148" s="32">
        <f t="shared" si="15"/>
        <v>5.2849315068493148</v>
      </c>
      <c r="L148" s="17">
        <v>225</v>
      </c>
      <c r="M148" s="19">
        <v>1338.43</v>
      </c>
      <c r="N148" s="20">
        <f t="shared" si="16"/>
        <v>5.9485777777777784</v>
      </c>
      <c r="O148" s="19">
        <v>449.34</v>
      </c>
      <c r="P148" s="27">
        <v>0</v>
      </c>
      <c r="Q148" s="19">
        <v>170</v>
      </c>
      <c r="R148" s="19">
        <v>0</v>
      </c>
      <c r="S148" s="30">
        <v>3.09673E-2</v>
      </c>
      <c r="T148" s="34">
        <f t="shared" si="17"/>
        <v>103.58187000000001</v>
      </c>
      <c r="U148" s="34">
        <v>0.86812999999999996</v>
      </c>
      <c r="V148" s="34">
        <v>104.45</v>
      </c>
    </row>
    <row r="149" spans="1:22" x14ac:dyDescent="0.25">
      <c r="A149" s="35">
        <v>43879</v>
      </c>
      <c r="B149" s="14">
        <v>0.60416666666666663</v>
      </c>
      <c r="C149" s="15">
        <v>1</v>
      </c>
      <c r="D149" s="15">
        <v>10</v>
      </c>
      <c r="E149" s="13">
        <v>43306</v>
      </c>
      <c r="F149" s="31" t="s">
        <v>322</v>
      </c>
      <c r="G149" s="41">
        <v>1.4999999999999999E-2</v>
      </c>
      <c r="H149" s="13">
        <v>43880</v>
      </c>
      <c r="I149" s="13">
        <v>45863</v>
      </c>
      <c r="J149" s="32">
        <f t="shared" si="14"/>
        <v>7.0054794520547947</v>
      </c>
      <c r="K149" s="32">
        <f t="shared" si="15"/>
        <v>5.4328767123287669</v>
      </c>
      <c r="L149" s="17">
        <v>350</v>
      </c>
      <c r="M149" s="19">
        <v>2100</v>
      </c>
      <c r="N149" s="20">
        <f t="shared" si="16"/>
        <v>6</v>
      </c>
      <c r="O149" s="19">
        <v>700</v>
      </c>
      <c r="P149" s="27">
        <v>0</v>
      </c>
      <c r="Q149" s="19">
        <v>350</v>
      </c>
      <c r="R149" s="19">
        <v>0</v>
      </c>
      <c r="S149" s="30">
        <v>2.2402199999999997E-2</v>
      </c>
      <c r="T149" s="34">
        <f t="shared" si="17"/>
        <v>96.896979999999999</v>
      </c>
      <c r="U149" s="34">
        <v>0.10302</v>
      </c>
      <c r="V149" s="34">
        <v>97</v>
      </c>
    </row>
    <row r="150" spans="1:22" x14ac:dyDescent="0.25">
      <c r="A150" s="35">
        <v>43887</v>
      </c>
      <c r="B150" s="14">
        <v>0.60416666666666663</v>
      </c>
      <c r="C150" s="15">
        <v>3</v>
      </c>
      <c r="D150" s="15">
        <v>6</v>
      </c>
      <c r="E150" s="13">
        <v>43598</v>
      </c>
      <c r="F150" s="31" t="s">
        <v>322</v>
      </c>
      <c r="G150" s="41">
        <v>2.2000000000000002E-2</v>
      </c>
      <c r="H150" s="13">
        <v>43888</v>
      </c>
      <c r="I150" s="13">
        <v>51269</v>
      </c>
      <c r="J150" s="32">
        <f t="shared" si="14"/>
        <v>21.016438356164382</v>
      </c>
      <c r="K150" s="32">
        <f t="shared" si="15"/>
        <v>20.221917808219178</v>
      </c>
      <c r="L150" s="17">
        <v>650</v>
      </c>
      <c r="M150" s="19">
        <v>1690</v>
      </c>
      <c r="N150" s="20">
        <f t="shared" si="16"/>
        <v>2.6</v>
      </c>
      <c r="O150" s="19">
        <v>1060</v>
      </c>
      <c r="P150" s="27">
        <v>0</v>
      </c>
      <c r="Q150" s="19">
        <v>150</v>
      </c>
      <c r="R150" s="19">
        <v>0</v>
      </c>
      <c r="S150" s="30">
        <v>2.4490400000000002E-2</v>
      </c>
      <c r="T150" s="34">
        <f t="shared" si="17"/>
        <v>96.179339999999996</v>
      </c>
      <c r="U150" s="34">
        <v>0.64066000000000001</v>
      </c>
      <c r="V150" s="34">
        <v>96.82</v>
      </c>
    </row>
    <row r="151" spans="1:22" x14ac:dyDescent="0.25">
      <c r="A151" s="35">
        <v>43907</v>
      </c>
      <c r="B151" s="14">
        <v>0.60416666666666663</v>
      </c>
      <c r="C151" s="15">
        <v>26</v>
      </c>
      <c r="D151" s="15">
        <v>8</v>
      </c>
      <c r="E151" s="13">
        <v>43598</v>
      </c>
      <c r="F151" s="31" t="s">
        <v>307</v>
      </c>
      <c r="G151" s="41">
        <v>2.4500000000000001E-2</v>
      </c>
      <c r="H151" s="13">
        <v>43908</v>
      </c>
      <c r="I151" s="13">
        <v>45059</v>
      </c>
      <c r="J151" s="32">
        <f t="shared" si="14"/>
        <v>4.0027397260273974</v>
      </c>
      <c r="K151" s="32">
        <f t="shared" si="15"/>
        <v>3.1534246575342464</v>
      </c>
      <c r="L151" s="17">
        <v>325</v>
      </c>
      <c r="M151" s="19">
        <v>1109.98</v>
      </c>
      <c r="N151" s="20">
        <f t="shared" si="16"/>
        <v>3.4153230769230771</v>
      </c>
      <c r="O151" s="19">
        <v>501.9</v>
      </c>
      <c r="P151" s="27">
        <v>0</v>
      </c>
      <c r="Q151" s="19">
        <v>175</v>
      </c>
      <c r="R151" s="19">
        <v>5.48</v>
      </c>
      <c r="S151" s="30">
        <v>2.6175099999999996E-2</v>
      </c>
      <c r="T151" s="34">
        <f t="shared" si="17"/>
        <v>99.651920000000004</v>
      </c>
      <c r="U151" s="34">
        <v>0.84807999999999995</v>
      </c>
      <c r="V151" s="34">
        <v>100.5</v>
      </c>
    </row>
    <row r="152" spans="1:22" x14ac:dyDescent="0.25">
      <c r="A152" s="35">
        <v>43914</v>
      </c>
      <c r="B152" s="14">
        <v>0.60416666666666663</v>
      </c>
      <c r="C152" s="15">
        <v>2</v>
      </c>
      <c r="D152" s="15">
        <v>12</v>
      </c>
      <c r="E152" s="13">
        <v>43341</v>
      </c>
      <c r="F152" s="31" t="s">
        <v>322</v>
      </c>
      <c r="G152" s="41">
        <v>1.8000000000000002E-2</v>
      </c>
      <c r="H152" s="13">
        <v>43915</v>
      </c>
      <c r="I152" s="13">
        <v>48820</v>
      </c>
      <c r="J152" s="32">
        <f t="shared" si="14"/>
        <v>15.010958904109589</v>
      </c>
      <c r="K152" s="32">
        <f t="shared" si="15"/>
        <v>13.438356164383562</v>
      </c>
      <c r="L152" s="17">
        <v>750</v>
      </c>
      <c r="M152" s="19">
        <v>872.4</v>
      </c>
      <c r="N152" s="20">
        <f t="shared" si="16"/>
        <v>1.1632</v>
      </c>
      <c r="O152" s="19">
        <v>100</v>
      </c>
      <c r="P152" s="27">
        <v>0</v>
      </c>
      <c r="Q152" s="19">
        <v>0</v>
      </c>
      <c r="R152" s="19">
        <v>0</v>
      </c>
      <c r="S152" s="30">
        <v>2.4329999999999997E-2</v>
      </c>
      <c r="T152" s="34">
        <f t="shared" si="17"/>
        <v>93.231430000000003</v>
      </c>
      <c r="U152" s="34">
        <v>0.12856999999999999</v>
      </c>
      <c r="V152" s="34">
        <v>93.36</v>
      </c>
    </row>
    <row r="153" spans="1:22" x14ac:dyDescent="0.25">
      <c r="A153" s="35">
        <v>43921</v>
      </c>
      <c r="B153" s="14">
        <v>0.60416666666666663</v>
      </c>
      <c r="C153" s="15">
        <v>25</v>
      </c>
      <c r="D153" s="15">
        <v>14</v>
      </c>
      <c r="E153" s="13">
        <v>43124</v>
      </c>
      <c r="F153" s="31" t="s">
        <v>307</v>
      </c>
      <c r="G153" s="41">
        <v>2.8999999999999998E-2</v>
      </c>
      <c r="H153" s="13">
        <v>43922</v>
      </c>
      <c r="I153" s="13">
        <v>47688</v>
      </c>
      <c r="J153" s="32">
        <f t="shared" si="14"/>
        <v>12.504109589041096</v>
      </c>
      <c r="K153" s="32">
        <f t="shared" si="15"/>
        <v>10.317808219178081</v>
      </c>
      <c r="L153" s="17">
        <v>100</v>
      </c>
      <c r="M153" s="19">
        <v>276.27999999999997</v>
      </c>
      <c r="N153" s="20">
        <f t="shared" si="16"/>
        <v>2.7627999999999999</v>
      </c>
      <c r="O153" s="19">
        <v>111.73</v>
      </c>
      <c r="P153" s="27">
        <v>0</v>
      </c>
      <c r="Q153" s="19">
        <v>5.74</v>
      </c>
      <c r="R153" s="19">
        <v>0</v>
      </c>
      <c r="S153" s="30">
        <v>4.1189999999999997E-2</v>
      </c>
      <c r="T153" s="34">
        <f t="shared" si="17"/>
        <v>89.818240000000003</v>
      </c>
      <c r="U153" s="34">
        <v>0.54176000000000002</v>
      </c>
      <c r="V153" s="34">
        <v>90.36</v>
      </c>
    </row>
    <row r="154" spans="1:22" x14ac:dyDescent="0.25">
      <c r="A154" s="35">
        <v>43935</v>
      </c>
      <c r="B154" s="14">
        <v>0.60416666666666663</v>
      </c>
      <c r="C154" s="15">
        <v>13</v>
      </c>
      <c r="D154" s="15">
        <v>46</v>
      </c>
      <c r="E154" s="13">
        <v>40323</v>
      </c>
      <c r="F154" s="31" t="s">
        <v>307</v>
      </c>
      <c r="G154" s="41">
        <v>0.04</v>
      </c>
      <c r="H154" s="13">
        <v>43936</v>
      </c>
      <c r="I154" s="13">
        <v>45802</v>
      </c>
      <c r="J154" s="32">
        <f t="shared" si="14"/>
        <v>15.010958904109589</v>
      </c>
      <c r="K154" s="32">
        <f t="shared" si="15"/>
        <v>5.1123287671232873</v>
      </c>
      <c r="L154" s="17">
        <v>465</v>
      </c>
      <c r="M154" s="19">
        <v>761.84</v>
      </c>
      <c r="N154" s="20">
        <f t="shared" si="16"/>
        <v>1.6383655913978494</v>
      </c>
      <c r="O154" s="19">
        <v>561.84</v>
      </c>
      <c r="P154" s="27">
        <v>0</v>
      </c>
      <c r="Q154" s="19">
        <v>429</v>
      </c>
      <c r="R154" s="19">
        <v>0</v>
      </c>
      <c r="S154" s="30">
        <v>4.0911499999999996E-2</v>
      </c>
      <c r="T154" s="34">
        <f t="shared" si="17"/>
        <v>99.649559999999994</v>
      </c>
      <c r="U154" s="34">
        <v>1.56044</v>
      </c>
      <c r="V154" s="34">
        <v>101.21</v>
      </c>
    </row>
    <row r="155" spans="1:22" x14ac:dyDescent="0.25">
      <c r="A155" s="35">
        <v>43942</v>
      </c>
      <c r="B155" s="14">
        <v>0.60416666666666663</v>
      </c>
      <c r="C155" s="15">
        <v>1</v>
      </c>
      <c r="D155" s="15">
        <v>11</v>
      </c>
      <c r="E155" s="13">
        <v>43306</v>
      </c>
      <c r="F155" s="31" t="s">
        <v>322</v>
      </c>
      <c r="G155" s="41">
        <v>1.4999999999999999E-2</v>
      </c>
      <c r="H155" s="13">
        <v>43943</v>
      </c>
      <c r="I155" s="13">
        <v>45863</v>
      </c>
      <c r="J155" s="32">
        <f t="shared" si="14"/>
        <v>7.0054794520547947</v>
      </c>
      <c r="K155" s="32">
        <f t="shared" si="15"/>
        <v>5.2602739726027394</v>
      </c>
      <c r="L155" s="17">
        <v>350</v>
      </c>
      <c r="M155" s="19">
        <v>360</v>
      </c>
      <c r="N155" s="20">
        <f t="shared" si="16"/>
        <v>1.0285714285714285</v>
      </c>
      <c r="O155" s="19">
        <v>360</v>
      </c>
      <c r="P155" s="27">
        <v>0</v>
      </c>
      <c r="Q155" s="19">
        <v>0</v>
      </c>
      <c r="R155" s="19">
        <v>0</v>
      </c>
      <c r="S155" s="30">
        <v>2.9886599999999999E-2</v>
      </c>
      <c r="T155" s="34">
        <f t="shared" si="17"/>
        <v>94.097359999999995</v>
      </c>
      <c r="U155" s="34">
        <v>0.36264000000000002</v>
      </c>
      <c r="V155" s="34">
        <v>94.46</v>
      </c>
    </row>
    <row r="156" spans="1:22" x14ac:dyDescent="0.25">
      <c r="A156" s="35">
        <v>43949</v>
      </c>
      <c r="B156" s="14">
        <v>0.60416666666666663</v>
      </c>
      <c r="C156" s="15">
        <v>26</v>
      </c>
      <c r="D156" s="15">
        <v>9</v>
      </c>
      <c r="E156" s="13">
        <v>43598</v>
      </c>
      <c r="F156" s="31" t="s">
        <v>307</v>
      </c>
      <c r="G156" s="41">
        <v>2.4500000000000001E-2</v>
      </c>
      <c r="H156" s="13">
        <v>43950</v>
      </c>
      <c r="I156" s="13">
        <v>45059</v>
      </c>
      <c r="J156" s="32">
        <f t="shared" si="14"/>
        <v>4.0027397260273974</v>
      </c>
      <c r="K156" s="32">
        <f t="shared" si="15"/>
        <v>3.0383561643835617</v>
      </c>
      <c r="L156" s="17">
        <v>570</v>
      </c>
      <c r="M156" s="19">
        <v>1724.88</v>
      </c>
      <c r="N156" s="20">
        <f t="shared" si="16"/>
        <v>3.0261052631578949</v>
      </c>
      <c r="O156" s="19">
        <v>431.23</v>
      </c>
      <c r="P156" s="27">
        <v>0</v>
      </c>
      <c r="Q156" s="19">
        <v>355.96</v>
      </c>
      <c r="R156" s="19">
        <v>1.37</v>
      </c>
      <c r="S156" s="30">
        <v>3.8429400000000002E-2</v>
      </c>
      <c r="T156" s="34">
        <f t="shared" si="17"/>
        <v>97.309229999999999</v>
      </c>
      <c r="U156" s="34">
        <v>1.1307700000000001</v>
      </c>
      <c r="V156" s="34">
        <v>98.44</v>
      </c>
    </row>
    <row r="157" spans="1:22" x14ac:dyDescent="0.25">
      <c r="A157" s="35">
        <v>43963</v>
      </c>
      <c r="B157" s="14">
        <v>0.60416666666666663</v>
      </c>
      <c r="C157" s="15">
        <v>3</v>
      </c>
      <c r="D157" s="15">
        <v>7</v>
      </c>
      <c r="E157" s="13">
        <v>43598</v>
      </c>
      <c r="F157" s="31" t="s">
        <v>322</v>
      </c>
      <c r="G157" s="41">
        <v>2.2000000000000002E-2</v>
      </c>
      <c r="H157" s="13">
        <v>43964</v>
      </c>
      <c r="I157" s="13">
        <v>51269</v>
      </c>
      <c r="J157" s="32">
        <f t="shared" si="14"/>
        <v>21.016438356164382</v>
      </c>
      <c r="K157" s="32">
        <f t="shared" si="15"/>
        <v>20.013698630136986</v>
      </c>
      <c r="L157" s="17">
        <v>650</v>
      </c>
      <c r="M157" s="19">
        <v>2200</v>
      </c>
      <c r="N157" s="20">
        <f t="shared" si="16"/>
        <v>3.3846153846153846</v>
      </c>
      <c r="O157" s="19">
        <v>1140</v>
      </c>
      <c r="P157" s="27">
        <v>0</v>
      </c>
      <c r="Q157" s="19">
        <v>0</v>
      </c>
      <c r="R157" s="19">
        <v>0</v>
      </c>
      <c r="S157" s="30">
        <v>2.9078800000000002E-2</v>
      </c>
      <c r="T157" s="34">
        <f t="shared" si="17"/>
        <v>89.7</v>
      </c>
      <c r="U157" s="34">
        <v>0</v>
      </c>
      <c r="V157" s="34">
        <v>89.7</v>
      </c>
    </row>
    <row r="158" spans="1:22" x14ac:dyDescent="0.25">
      <c r="A158" s="35">
        <v>43970</v>
      </c>
      <c r="B158" s="14">
        <v>0.60416666666666663</v>
      </c>
      <c r="C158" s="15">
        <v>2</v>
      </c>
      <c r="D158" s="15">
        <v>13</v>
      </c>
      <c r="E158" s="13">
        <v>43341</v>
      </c>
      <c r="F158" s="31" t="s">
        <v>322</v>
      </c>
      <c r="G158" s="41">
        <v>1.8000000000000002E-2</v>
      </c>
      <c r="H158" s="13">
        <v>43971</v>
      </c>
      <c r="I158" s="13">
        <v>48820</v>
      </c>
      <c r="J158" s="32">
        <f t="shared" si="14"/>
        <v>15.010958904109589</v>
      </c>
      <c r="K158" s="32">
        <f t="shared" si="15"/>
        <v>13.284931506849315</v>
      </c>
      <c r="L158" s="17">
        <v>750</v>
      </c>
      <c r="M158" s="19">
        <v>1690</v>
      </c>
      <c r="N158" s="20">
        <f t="shared" si="16"/>
        <v>2.2533333333333334</v>
      </c>
      <c r="O158" s="19">
        <v>810</v>
      </c>
      <c r="P158" s="27">
        <v>0</v>
      </c>
      <c r="Q158" s="19">
        <v>560</v>
      </c>
      <c r="R158" s="19">
        <v>0</v>
      </c>
      <c r="S158" s="30">
        <v>2.9352158352403502E-2</v>
      </c>
      <c r="T158" s="34">
        <f t="shared" si="17"/>
        <v>88.354510000000005</v>
      </c>
      <c r="U158" s="34">
        <v>0.40549000000000002</v>
      </c>
      <c r="V158" s="34">
        <v>88.76</v>
      </c>
    </row>
    <row r="159" spans="1:22" x14ac:dyDescent="0.25">
      <c r="A159" s="35">
        <v>43977</v>
      </c>
      <c r="B159" s="14">
        <v>0.60416666666666663</v>
      </c>
      <c r="C159" s="15">
        <v>25</v>
      </c>
      <c r="D159" s="15">
        <v>15</v>
      </c>
      <c r="E159" s="13">
        <v>43124</v>
      </c>
      <c r="F159" s="31" t="s">
        <v>307</v>
      </c>
      <c r="G159" s="41">
        <v>2.8999999999999998E-2</v>
      </c>
      <c r="H159" s="13">
        <v>43978</v>
      </c>
      <c r="I159" s="13">
        <v>47688</v>
      </c>
      <c r="J159" s="32">
        <f t="shared" si="14"/>
        <v>12.504109589041096</v>
      </c>
      <c r="K159" s="32">
        <f t="shared" si="15"/>
        <v>10.164383561643836</v>
      </c>
      <c r="L159" s="17">
        <v>100</v>
      </c>
      <c r="M159" s="19">
        <v>452.29</v>
      </c>
      <c r="N159" s="20">
        <f t="shared" si="16"/>
        <v>4.5228999999999999</v>
      </c>
      <c r="O159" s="19">
        <v>101.23</v>
      </c>
      <c r="P159" s="27">
        <v>0</v>
      </c>
      <c r="Q159" s="19">
        <v>0</v>
      </c>
      <c r="R159" s="19">
        <v>0</v>
      </c>
      <c r="S159" s="30">
        <v>3.6944699999999997E-2</v>
      </c>
      <c r="T159" s="34">
        <f t="shared" si="17"/>
        <v>93.302090000000007</v>
      </c>
      <c r="U159" s="34">
        <v>0.98790999999999995</v>
      </c>
      <c r="V159" s="34">
        <v>94.29</v>
      </c>
    </row>
    <row r="160" spans="1:22" x14ac:dyDescent="0.25">
      <c r="A160" s="35">
        <v>43990</v>
      </c>
      <c r="B160" s="14">
        <v>0.60416666666666663</v>
      </c>
      <c r="C160" s="15">
        <v>27</v>
      </c>
      <c r="D160" s="15">
        <v>1</v>
      </c>
      <c r="E160" s="13">
        <v>43991</v>
      </c>
      <c r="F160" s="31" t="s">
        <v>307</v>
      </c>
      <c r="G160" s="41">
        <v>2.9750000000000002E-2</v>
      </c>
      <c r="H160" s="13">
        <v>43991</v>
      </c>
      <c r="I160" s="13">
        <v>45452</v>
      </c>
      <c r="J160" s="32">
        <f t="shared" si="14"/>
        <v>4.0027397260273974</v>
      </c>
      <c r="K160" s="32">
        <f t="shared" si="15"/>
        <v>4.0027397260273974</v>
      </c>
      <c r="L160" s="17">
        <v>1450</v>
      </c>
      <c r="M160" s="19">
        <v>5402.2</v>
      </c>
      <c r="N160" s="20">
        <f t="shared" si="16"/>
        <v>3.7256551724137932</v>
      </c>
      <c r="O160" s="19">
        <v>2618.92</v>
      </c>
      <c r="P160" s="27">
        <v>0</v>
      </c>
      <c r="Q160" s="19">
        <v>2287.7199999999998</v>
      </c>
      <c r="R160" s="19">
        <v>73.010000000000005</v>
      </c>
      <c r="S160" s="30">
        <v>3.0904500000000001E-2</v>
      </c>
      <c r="T160" s="34">
        <f t="shared" si="17"/>
        <v>99.67</v>
      </c>
      <c r="U160" s="34">
        <v>0</v>
      </c>
      <c r="V160" s="34">
        <v>99.67</v>
      </c>
    </row>
    <row r="161" spans="1:22" x14ac:dyDescent="0.25">
      <c r="A161" s="35">
        <v>43998</v>
      </c>
      <c r="B161" s="14">
        <v>0.60416666666666663</v>
      </c>
      <c r="C161" s="15">
        <v>1</v>
      </c>
      <c r="D161" s="15">
        <v>12</v>
      </c>
      <c r="E161" s="13">
        <v>43306</v>
      </c>
      <c r="F161" s="31" t="s">
        <v>322</v>
      </c>
      <c r="G161" s="41">
        <v>1.4999999999999999E-2</v>
      </c>
      <c r="H161" s="13">
        <v>43999</v>
      </c>
      <c r="I161" s="13">
        <v>45863</v>
      </c>
      <c r="J161" s="32">
        <f t="shared" si="14"/>
        <v>7.0054794520547947</v>
      </c>
      <c r="K161" s="32">
        <f t="shared" si="15"/>
        <v>5.1068493150684935</v>
      </c>
      <c r="L161" s="17">
        <v>350</v>
      </c>
      <c r="M161" s="19">
        <v>1000</v>
      </c>
      <c r="N161" s="20">
        <f t="shared" si="16"/>
        <v>2.8571428571428572</v>
      </c>
      <c r="O161" s="19">
        <v>700</v>
      </c>
      <c r="P161" s="27">
        <v>0</v>
      </c>
      <c r="Q161" s="19">
        <v>0</v>
      </c>
      <c r="R161" s="19">
        <v>0</v>
      </c>
      <c r="S161" s="30">
        <v>2.9916100000000001E-2</v>
      </c>
      <c r="T161" s="34">
        <f t="shared" si="17"/>
        <v>94.28658999999999</v>
      </c>
      <c r="U161" s="34">
        <v>0.59340999999999999</v>
      </c>
      <c r="V161" s="34">
        <v>94.88</v>
      </c>
    </row>
    <row r="162" spans="1:22" x14ac:dyDescent="0.25">
      <c r="A162" s="35">
        <v>44005</v>
      </c>
      <c r="B162" s="14">
        <v>0.60416666666666663</v>
      </c>
      <c r="C162" s="15">
        <v>3</v>
      </c>
      <c r="D162" s="15">
        <v>8</v>
      </c>
      <c r="E162" s="13">
        <v>43598</v>
      </c>
      <c r="F162" s="31" t="s">
        <v>322</v>
      </c>
      <c r="G162" s="41">
        <v>2.2000000000000002E-2</v>
      </c>
      <c r="H162" s="13">
        <v>44006</v>
      </c>
      <c r="I162" s="13">
        <v>51269</v>
      </c>
      <c r="J162" s="32">
        <f t="shared" si="14"/>
        <v>21.016438356164382</v>
      </c>
      <c r="K162" s="32">
        <f t="shared" si="15"/>
        <v>19.898630136986302</v>
      </c>
      <c r="L162" s="17">
        <v>650</v>
      </c>
      <c r="M162" s="19">
        <v>1841.85</v>
      </c>
      <c r="N162" s="20">
        <f t="shared" si="16"/>
        <v>2.8336153846153844</v>
      </c>
      <c r="O162" s="19">
        <v>1163.4000000000001</v>
      </c>
      <c r="P162" s="27">
        <v>0</v>
      </c>
      <c r="Q162" s="19">
        <v>600</v>
      </c>
      <c r="R162" s="19">
        <v>0</v>
      </c>
      <c r="S162" s="30">
        <v>2.92549E-2</v>
      </c>
      <c r="T162" s="34">
        <f t="shared" si="17"/>
        <v>89.50891</v>
      </c>
      <c r="U162" s="34">
        <v>0.25108999999999998</v>
      </c>
      <c r="V162" s="34">
        <v>89.76</v>
      </c>
    </row>
    <row r="163" spans="1:22" x14ac:dyDescent="0.25">
      <c r="A163" s="35">
        <v>44033</v>
      </c>
      <c r="B163" s="14">
        <v>0.60416666666666663</v>
      </c>
      <c r="C163" s="15">
        <v>3</v>
      </c>
      <c r="D163" s="15">
        <v>9</v>
      </c>
      <c r="E163" s="13">
        <v>43598</v>
      </c>
      <c r="F163" s="31" t="s">
        <v>322</v>
      </c>
      <c r="G163" s="41">
        <v>2.2000000000000002E-2</v>
      </c>
      <c r="H163" s="13">
        <v>44034</v>
      </c>
      <c r="I163" s="13">
        <v>51269</v>
      </c>
      <c r="J163" s="32">
        <f t="shared" si="14"/>
        <v>21.016438356164382</v>
      </c>
      <c r="K163" s="32">
        <f t="shared" si="15"/>
        <v>19.82191780821918</v>
      </c>
      <c r="L163" s="17">
        <v>850</v>
      </c>
      <c r="M163" s="19">
        <v>3020</v>
      </c>
      <c r="N163" s="20">
        <f t="shared" si="16"/>
        <v>3.552941176470588</v>
      </c>
      <c r="O163" s="19">
        <v>1700</v>
      </c>
      <c r="P163" s="27">
        <v>0.8</v>
      </c>
      <c r="Q163" s="19">
        <v>0</v>
      </c>
      <c r="R163" s="19">
        <v>0</v>
      </c>
      <c r="S163" s="30">
        <v>2.8211400000000001E-2</v>
      </c>
      <c r="T163" s="34">
        <f t="shared" si="17"/>
        <v>90.961519999999993</v>
      </c>
      <c r="U163" s="34">
        <v>0.41848000000000002</v>
      </c>
      <c r="V163" s="34">
        <v>91.38</v>
      </c>
    </row>
    <row r="164" spans="1:22" x14ac:dyDescent="0.25">
      <c r="A164" s="35">
        <v>44039</v>
      </c>
      <c r="B164" s="14">
        <v>0.60416666666666663</v>
      </c>
      <c r="C164" s="15">
        <v>27</v>
      </c>
      <c r="D164" s="15">
        <v>2</v>
      </c>
      <c r="E164" s="13">
        <v>43991</v>
      </c>
      <c r="F164" s="31" t="s">
        <v>307</v>
      </c>
      <c r="G164" s="41">
        <v>2.9750000000000002E-2</v>
      </c>
      <c r="H164" s="13">
        <v>44040</v>
      </c>
      <c r="I164" s="13">
        <v>45452</v>
      </c>
      <c r="J164" s="32">
        <f t="shared" si="14"/>
        <v>4.0027397260273974</v>
      </c>
      <c r="K164" s="32">
        <f t="shared" si="15"/>
        <v>3.8684931506849316</v>
      </c>
      <c r="L164" s="17">
        <v>750</v>
      </c>
      <c r="M164" s="19">
        <v>2264.84</v>
      </c>
      <c r="N164" s="20">
        <f t="shared" si="16"/>
        <v>3.0197866666666671</v>
      </c>
      <c r="O164" s="19">
        <v>1500</v>
      </c>
      <c r="P164" s="27">
        <v>0.43659999999999999</v>
      </c>
      <c r="Q164" s="19">
        <v>962.65</v>
      </c>
      <c r="R164" s="19">
        <v>6.1</v>
      </c>
      <c r="S164" s="30">
        <v>2.82635E-2</v>
      </c>
      <c r="T164" s="34">
        <f t="shared" si="17"/>
        <v>100.40170999999999</v>
      </c>
      <c r="U164" s="34">
        <v>0.39828999999999998</v>
      </c>
      <c r="V164" s="34">
        <v>100.8</v>
      </c>
    </row>
    <row r="165" spans="1:22" x14ac:dyDescent="0.25">
      <c r="A165" s="35">
        <v>44054</v>
      </c>
      <c r="B165" s="14">
        <v>0.60416666666666663</v>
      </c>
      <c r="C165" s="15">
        <v>25</v>
      </c>
      <c r="D165" s="15">
        <v>16</v>
      </c>
      <c r="E165" s="13">
        <v>43124</v>
      </c>
      <c r="F165" s="31" t="s">
        <v>307</v>
      </c>
      <c r="G165" s="41">
        <v>2.8999999999999998E-2</v>
      </c>
      <c r="H165" s="13">
        <v>44055</v>
      </c>
      <c r="I165" s="13">
        <v>47688</v>
      </c>
      <c r="J165" s="32">
        <f t="shared" si="14"/>
        <v>12.504109589041096</v>
      </c>
      <c r="K165" s="32">
        <f t="shared" si="15"/>
        <v>9.9534246575342458</v>
      </c>
      <c r="L165" s="17">
        <v>175</v>
      </c>
      <c r="M165" s="19">
        <v>861.24</v>
      </c>
      <c r="N165" s="20">
        <f t="shared" si="16"/>
        <v>4.9213714285714287</v>
      </c>
      <c r="O165" s="19">
        <v>178.19</v>
      </c>
      <c r="P165" s="27">
        <v>0</v>
      </c>
      <c r="Q165" s="19">
        <v>0</v>
      </c>
      <c r="R165" s="19">
        <v>2.4300000000000002</v>
      </c>
      <c r="S165" s="30">
        <v>2.6886399999999998E-2</v>
      </c>
      <c r="T165" s="34">
        <f t="shared" si="17"/>
        <v>101.82026999999999</v>
      </c>
      <c r="U165" s="34">
        <v>0.14973</v>
      </c>
      <c r="V165" s="34">
        <v>101.97</v>
      </c>
    </row>
    <row r="166" spans="1:22" x14ac:dyDescent="0.25">
      <c r="A166" s="35">
        <v>44061</v>
      </c>
      <c r="B166" s="14">
        <v>0.60416666666666663</v>
      </c>
      <c r="C166" s="15">
        <v>4</v>
      </c>
      <c r="D166" s="15">
        <v>2</v>
      </c>
      <c r="E166" s="13">
        <v>43857</v>
      </c>
      <c r="F166" s="31" t="s">
        <v>322</v>
      </c>
      <c r="G166" s="41">
        <v>2.4500000000000001E-2</v>
      </c>
      <c r="H166" s="13">
        <v>44062</v>
      </c>
      <c r="I166" s="13">
        <v>50067</v>
      </c>
      <c r="J166" s="32">
        <f t="shared" si="14"/>
        <v>17.013698630136986</v>
      </c>
      <c r="K166" s="32">
        <f t="shared" si="15"/>
        <v>16.452054794520549</v>
      </c>
      <c r="L166" s="17">
        <v>500</v>
      </c>
      <c r="M166" s="19">
        <v>2340</v>
      </c>
      <c r="N166" s="20">
        <f t="shared" si="16"/>
        <v>4.68</v>
      </c>
      <c r="O166" s="19">
        <v>450</v>
      </c>
      <c r="P166" s="27">
        <v>0</v>
      </c>
      <c r="Q166" s="19">
        <v>0</v>
      </c>
      <c r="R166" s="19">
        <v>0</v>
      </c>
      <c r="S166" s="30">
        <v>2.4434999999999998E-2</v>
      </c>
      <c r="T166" s="34">
        <f t="shared" si="17"/>
        <v>100.05686999999999</v>
      </c>
      <c r="U166" s="34">
        <v>0.15312999999999999</v>
      </c>
      <c r="V166" s="34">
        <v>100.21</v>
      </c>
    </row>
    <row r="167" spans="1:22" x14ac:dyDescent="0.25">
      <c r="A167" s="35">
        <v>44069</v>
      </c>
      <c r="B167" s="14">
        <v>0.60416666666666663</v>
      </c>
      <c r="C167" s="15">
        <v>27</v>
      </c>
      <c r="D167" s="15">
        <v>3</v>
      </c>
      <c r="E167" s="13">
        <v>43991</v>
      </c>
      <c r="F167" s="31" t="s">
        <v>307</v>
      </c>
      <c r="G167" s="41">
        <v>2.9750000000000002E-2</v>
      </c>
      <c r="H167" s="13">
        <v>44070</v>
      </c>
      <c r="I167" s="13">
        <v>45452</v>
      </c>
      <c r="J167" s="32">
        <f t="shared" si="14"/>
        <v>4.0027397260273974</v>
      </c>
      <c r="K167" s="32">
        <f t="shared" si="15"/>
        <v>3.7863013698630139</v>
      </c>
      <c r="L167" s="17">
        <v>375</v>
      </c>
      <c r="M167" s="19">
        <v>1277.8599999999999</v>
      </c>
      <c r="N167" s="20">
        <f t="shared" si="16"/>
        <v>3.4076266666666664</v>
      </c>
      <c r="O167" s="19">
        <v>750</v>
      </c>
      <c r="P167" s="27">
        <v>0.41299999999999998</v>
      </c>
      <c r="Q167" s="19">
        <v>0</v>
      </c>
      <c r="R167" s="19">
        <v>0.76</v>
      </c>
      <c r="S167" s="30">
        <v>1.5902099999999999E-2</v>
      </c>
      <c r="T167" s="34">
        <f t="shared" si="17"/>
        <v>103.74786</v>
      </c>
      <c r="U167" s="34">
        <v>0.64214000000000004</v>
      </c>
      <c r="V167" s="34">
        <v>104.39</v>
      </c>
    </row>
    <row r="168" spans="1:22" x14ac:dyDescent="0.25">
      <c r="A168" s="35">
        <v>44096</v>
      </c>
      <c r="B168" s="14">
        <v>0.60416666666666663</v>
      </c>
      <c r="C168" s="15">
        <v>3</v>
      </c>
      <c r="D168" s="15">
        <v>10</v>
      </c>
      <c r="E168" s="13">
        <v>43598</v>
      </c>
      <c r="F168" s="31" t="s">
        <v>322</v>
      </c>
      <c r="G168" s="41">
        <v>2.2000000000000002E-2</v>
      </c>
      <c r="H168" s="13">
        <v>44097</v>
      </c>
      <c r="I168" s="13">
        <v>51269</v>
      </c>
      <c r="J168" s="32">
        <f t="shared" si="14"/>
        <v>21.016438356164382</v>
      </c>
      <c r="K168" s="32">
        <f t="shared" si="15"/>
        <v>19.649315068493152</v>
      </c>
      <c r="L168" s="17">
        <v>850</v>
      </c>
      <c r="M168" s="19">
        <v>3100</v>
      </c>
      <c r="N168" s="20">
        <f t="shared" si="16"/>
        <v>3.6470588235294117</v>
      </c>
      <c r="O168" s="19">
        <v>1700</v>
      </c>
      <c r="P168" s="27">
        <v>0.87060000000000004</v>
      </c>
      <c r="Q168" s="19">
        <v>0</v>
      </c>
      <c r="R168" s="19">
        <v>0</v>
      </c>
      <c r="S168" s="30">
        <v>2.0995900000000001E-2</v>
      </c>
      <c r="T168" s="34">
        <f t="shared" si="17"/>
        <v>101.52489</v>
      </c>
      <c r="U168" s="34">
        <v>0.79510999999999998</v>
      </c>
      <c r="V168" s="34">
        <v>102.32</v>
      </c>
    </row>
    <row r="169" spans="1:22" x14ac:dyDescent="0.25">
      <c r="A169" s="35">
        <v>44103</v>
      </c>
      <c r="B169" s="14">
        <v>0.60416666666666663</v>
      </c>
      <c r="C169" s="15">
        <v>27</v>
      </c>
      <c r="D169" s="15">
        <v>4</v>
      </c>
      <c r="E169" s="13">
        <v>43991</v>
      </c>
      <c r="F169" s="31" t="s">
        <v>307</v>
      </c>
      <c r="G169" s="41">
        <v>2.9750000000000002E-2</v>
      </c>
      <c r="H169" s="13">
        <v>44104</v>
      </c>
      <c r="I169" s="13">
        <v>45452</v>
      </c>
      <c r="J169" s="32">
        <f t="shared" si="14"/>
        <v>4.0027397260273974</v>
      </c>
      <c r="K169" s="32">
        <f t="shared" si="15"/>
        <v>3.6931506849315068</v>
      </c>
      <c r="L169" s="17">
        <v>375</v>
      </c>
      <c r="M169" s="19">
        <v>1334.66</v>
      </c>
      <c r="N169" s="20">
        <f t="shared" si="16"/>
        <v>3.5590933333333337</v>
      </c>
      <c r="O169" s="19">
        <v>750</v>
      </c>
      <c r="P169" s="27">
        <v>0.48959999999999998</v>
      </c>
      <c r="Q169" s="19">
        <v>0</v>
      </c>
      <c r="R169" s="19">
        <v>179.24</v>
      </c>
      <c r="S169" s="30">
        <v>1.5061E-2</v>
      </c>
      <c r="T169" s="34">
        <f t="shared" si="17"/>
        <v>103.85149</v>
      </c>
      <c r="U169" s="34">
        <v>0.91851000000000005</v>
      </c>
      <c r="V169" s="34">
        <v>104.77</v>
      </c>
    </row>
    <row r="170" spans="1:22" x14ac:dyDescent="0.25">
      <c r="A170" s="35">
        <v>44117</v>
      </c>
      <c r="B170" s="14">
        <v>0.60416666666666663</v>
      </c>
      <c r="C170" s="15">
        <v>25</v>
      </c>
      <c r="D170" s="15">
        <v>17</v>
      </c>
      <c r="E170" s="13">
        <v>43124</v>
      </c>
      <c r="F170" s="31" t="s">
        <v>307</v>
      </c>
      <c r="G170" s="41">
        <v>2.8999999999999998E-2</v>
      </c>
      <c r="H170" s="13">
        <v>44118</v>
      </c>
      <c r="I170" s="13">
        <v>47688</v>
      </c>
      <c r="J170" s="32">
        <f t="shared" si="14"/>
        <v>12.504109589041096</v>
      </c>
      <c r="K170" s="32">
        <f t="shared" si="15"/>
        <v>9.7808219178082183</v>
      </c>
      <c r="L170" s="17">
        <v>245</v>
      </c>
      <c r="M170" s="19">
        <v>698.22</v>
      </c>
      <c r="N170" s="20">
        <f t="shared" si="16"/>
        <v>2.8498775510204082</v>
      </c>
      <c r="O170" s="19">
        <v>333.51</v>
      </c>
      <c r="P170" s="27">
        <v>0</v>
      </c>
      <c r="Q170" s="19">
        <v>111.2</v>
      </c>
      <c r="R170" s="19">
        <v>1.78</v>
      </c>
      <c r="S170" s="30">
        <v>2.48022E-2</v>
      </c>
      <c r="T170" s="34">
        <f t="shared" si="17"/>
        <v>103.6138</v>
      </c>
      <c r="U170" s="34">
        <v>0.6462</v>
      </c>
      <c r="V170" s="34">
        <v>104.25999999999999</v>
      </c>
    </row>
    <row r="171" spans="1:22" x14ac:dyDescent="0.25">
      <c r="A171" s="35">
        <v>44124</v>
      </c>
      <c r="B171" s="14">
        <v>0.60416666666666663</v>
      </c>
      <c r="C171" s="15">
        <v>4</v>
      </c>
      <c r="D171" s="15">
        <v>3</v>
      </c>
      <c r="E171" s="13">
        <v>43857</v>
      </c>
      <c r="F171" s="31" t="s">
        <v>322</v>
      </c>
      <c r="G171" s="41">
        <v>2.4500000000000001E-2</v>
      </c>
      <c r="H171" s="13">
        <v>44125</v>
      </c>
      <c r="I171" s="13">
        <v>50067</v>
      </c>
      <c r="J171" s="32">
        <f t="shared" si="14"/>
        <v>17.013698630136986</v>
      </c>
      <c r="K171" s="32">
        <f t="shared" si="15"/>
        <v>16.279452054794522</v>
      </c>
      <c r="L171" s="17">
        <v>750</v>
      </c>
      <c r="M171" s="19">
        <v>2226.65</v>
      </c>
      <c r="N171" s="20">
        <f t="shared" si="16"/>
        <v>2.968866666666667</v>
      </c>
      <c r="O171" s="19">
        <v>1500</v>
      </c>
      <c r="P171" s="27">
        <v>0.4</v>
      </c>
      <c r="Q171" s="19">
        <v>0</v>
      </c>
      <c r="R171" s="19">
        <v>0</v>
      </c>
      <c r="S171" s="30">
        <v>2.0203000000000002E-2</v>
      </c>
      <c r="T171" s="34">
        <f t="shared" si="17"/>
        <v>105.59744999999999</v>
      </c>
      <c r="U171" s="34">
        <v>0.57255</v>
      </c>
      <c r="V171" s="34">
        <v>106.17</v>
      </c>
    </row>
    <row r="172" spans="1:22" x14ac:dyDescent="0.25">
      <c r="A172" s="35">
        <v>44131</v>
      </c>
      <c r="B172" s="14">
        <v>0.60416666666666663</v>
      </c>
      <c r="C172" s="15">
        <v>27</v>
      </c>
      <c r="D172" s="15">
        <v>5</v>
      </c>
      <c r="E172" s="13">
        <v>43991</v>
      </c>
      <c r="F172" s="31" t="s">
        <v>307</v>
      </c>
      <c r="G172" s="41">
        <v>2.9750000000000002E-2</v>
      </c>
      <c r="H172" s="13">
        <v>44132</v>
      </c>
      <c r="I172" s="13">
        <v>45452</v>
      </c>
      <c r="J172" s="32">
        <f t="shared" ref="J172:J200" si="18">(+I172-E172)/365</f>
        <v>4.0027397260273974</v>
      </c>
      <c r="K172" s="32">
        <f t="shared" ref="K172:K200" si="19">(+I172-H172)/365</f>
        <v>3.6164383561643834</v>
      </c>
      <c r="L172" s="17">
        <v>400</v>
      </c>
      <c r="M172" s="19">
        <v>870.82</v>
      </c>
      <c r="N172" s="20">
        <f t="shared" ref="N172:N200" si="20">+IFERROR(M172/L172,"-")</f>
        <v>2.1770499999999999</v>
      </c>
      <c r="O172" s="19">
        <v>528.80999999999995</v>
      </c>
      <c r="P172" s="27">
        <v>0</v>
      </c>
      <c r="Q172" s="19">
        <v>200</v>
      </c>
      <c r="R172" s="19">
        <v>6.49</v>
      </c>
      <c r="S172" s="30">
        <v>1.2699499999999999E-2</v>
      </c>
      <c r="T172" s="34">
        <f t="shared" si="17"/>
        <v>104.36389000000001</v>
      </c>
      <c r="U172" s="34">
        <v>1.14611</v>
      </c>
      <c r="V172" s="34">
        <v>105.51</v>
      </c>
    </row>
    <row r="173" spans="1:22" x14ac:dyDescent="0.25">
      <c r="A173" s="35">
        <v>44152</v>
      </c>
      <c r="B173" s="14">
        <v>0.60416666666666663</v>
      </c>
      <c r="C173" s="15">
        <v>3</v>
      </c>
      <c r="D173" s="15">
        <v>11</v>
      </c>
      <c r="E173" s="13">
        <v>43598</v>
      </c>
      <c r="F173" s="31" t="s">
        <v>322</v>
      </c>
      <c r="G173" s="41">
        <v>2.2000000000000002E-2</v>
      </c>
      <c r="H173" s="13">
        <v>44153</v>
      </c>
      <c r="I173" s="13">
        <v>51269</v>
      </c>
      <c r="J173" s="32">
        <f t="shared" si="18"/>
        <v>21.016438356164382</v>
      </c>
      <c r="K173" s="32">
        <f t="shared" si="19"/>
        <v>19.495890410958904</v>
      </c>
      <c r="L173" s="17">
        <v>850</v>
      </c>
      <c r="M173" s="19">
        <v>2758</v>
      </c>
      <c r="N173" s="20">
        <f t="shared" si="20"/>
        <v>3.2447058823529411</v>
      </c>
      <c r="O173" s="19">
        <v>1700</v>
      </c>
      <c r="P173" s="27">
        <v>0.625</v>
      </c>
      <c r="Q173" s="19">
        <v>0</v>
      </c>
      <c r="R173" s="19">
        <v>0</v>
      </c>
      <c r="S173" s="30">
        <v>2.0593300000000002E-2</v>
      </c>
      <c r="T173" s="34">
        <f t="shared" si="17"/>
        <v>102.13961</v>
      </c>
      <c r="U173" s="34">
        <v>3.039E-2</v>
      </c>
      <c r="V173" s="34">
        <v>102.17</v>
      </c>
    </row>
    <row r="174" spans="1:22" x14ac:dyDescent="0.25">
      <c r="A174" s="35">
        <v>44159</v>
      </c>
      <c r="B174" s="14">
        <v>0.60416666666666663</v>
      </c>
      <c r="C174" s="15">
        <v>27</v>
      </c>
      <c r="D174" s="15">
        <v>6</v>
      </c>
      <c r="E174" s="13">
        <v>43991</v>
      </c>
      <c r="F174" s="31" t="s">
        <v>307</v>
      </c>
      <c r="G174" s="41">
        <v>2.9750000000000002E-2</v>
      </c>
      <c r="H174" s="13">
        <v>44160</v>
      </c>
      <c r="I174" s="13">
        <v>45452</v>
      </c>
      <c r="J174" s="32">
        <f t="shared" si="18"/>
        <v>4.0027397260273974</v>
      </c>
      <c r="K174" s="32">
        <f t="shared" si="19"/>
        <v>3.5397260273972604</v>
      </c>
      <c r="L174" s="17">
        <v>400</v>
      </c>
      <c r="M174" s="19">
        <v>1104.83</v>
      </c>
      <c r="N174" s="20">
        <f t="shared" si="20"/>
        <v>2.7620749999999998</v>
      </c>
      <c r="O174" s="19">
        <v>800</v>
      </c>
      <c r="P174" s="27">
        <v>0.90280000000000005</v>
      </c>
      <c r="Q174" s="19">
        <v>200</v>
      </c>
      <c r="R174" s="19">
        <v>37.049999999999997</v>
      </c>
      <c r="S174" s="30">
        <v>1.2083699999999999E-2</v>
      </c>
      <c r="T174" s="34">
        <f t="shared" si="17"/>
        <v>104.3963</v>
      </c>
      <c r="U174" s="34">
        <v>1.3736999999999999</v>
      </c>
      <c r="V174" s="34">
        <v>105.77</v>
      </c>
    </row>
    <row r="175" spans="1:22" x14ac:dyDescent="0.25">
      <c r="A175" s="35">
        <v>44173</v>
      </c>
      <c r="B175" s="14">
        <v>0.60416666666666663</v>
      </c>
      <c r="C175" s="15">
        <v>25</v>
      </c>
      <c r="D175" s="15">
        <v>18</v>
      </c>
      <c r="E175" s="13">
        <v>43124</v>
      </c>
      <c r="F175" s="31" t="s">
        <v>307</v>
      </c>
      <c r="G175" s="41">
        <v>2.8999999999999998E-2</v>
      </c>
      <c r="H175" s="13">
        <v>44174</v>
      </c>
      <c r="I175" s="13">
        <v>47688</v>
      </c>
      <c r="J175" s="32">
        <f t="shared" si="18"/>
        <v>12.504109589041096</v>
      </c>
      <c r="K175" s="32">
        <f t="shared" si="19"/>
        <v>9.6273972602739732</v>
      </c>
      <c r="L175" s="17">
        <v>245</v>
      </c>
      <c r="M175" s="19">
        <v>779.97</v>
      </c>
      <c r="N175" s="20">
        <f t="shared" si="20"/>
        <v>3.1835510204081632</v>
      </c>
      <c r="O175" s="19">
        <v>490</v>
      </c>
      <c r="P175" s="27">
        <v>0.92359999999999998</v>
      </c>
      <c r="Q175" s="19">
        <v>120</v>
      </c>
      <c r="R175" s="19">
        <v>4.63</v>
      </c>
      <c r="S175" s="30">
        <v>2.4383100000000001E-2</v>
      </c>
      <c r="T175" s="34">
        <f t="shared" si="17"/>
        <v>103.9325</v>
      </c>
      <c r="U175" s="34">
        <v>1.0874999999999999</v>
      </c>
      <c r="V175" s="34">
        <v>105.02000000000001</v>
      </c>
    </row>
    <row r="176" spans="1:22" x14ac:dyDescent="0.25">
      <c r="A176" s="35">
        <v>44180</v>
      </c>
      <c r="B176" s="14">
        <v>0.60416666666666663</v>
      </c>
      <c r="C176" s="15">
        <v>4</v>
      </c>
      <c r="D176" s="15">
        <v>4</v>
      </c>
      <c r="E176" s="13">
        <v>43857</v>
      </c>
      <c r="F176" s="31" t="s">
        <v>322</v>
      </c>
      <c r="G176" s="41">
        <v>2.4500000000000001E-2</v>
      </c>
      <c r="H176" s="13">
        <v>44181</v>
      </c>
      <c r="I176" s="13">
        <v>50067</v>
      </c>
      <c r="J176" s="32">
        <f t="shared" si="18"/>
        <v>17.013698630136986</v>
      </c>
      <c r="K176" s="32">
        <f t="shared" si="19"/>
        <v>16.126027397260273</v>
      </c>
      <c r="L176" s="17">
        <v>750</v>
      </c>
      <c r="M176" s="19">
        <v>2360</v>
      </c>
      <c r="N176" s="20">
        <f t="shared" si="20"/>
        <v>3.1466666666666665</v>
      </c>
      <c r="O176" s="19">
        <v>1500</v>
      </c>
      <c r="P176" s="27">
        <v>0.31091739310917393</v>
      </c>
      <c r="Q176" s="19">
        <v>0</v>
      </c>
      <c r="R176" s="19">
        <v>295.5</v>
      </c>
      <c r="S176" s="30">
        <v>2.0493600000000001E-2</v>
      </c>
      <c r="T176" s="34">
        <f t="shared" si="17"/>
        <v>105.16462</v>
      </c>
      <c r="U176" s="34">
        <v>0.94538</v>
      </c>
      <c r="V176" s="34">
        <v>106.11</v>
      </c>
    </row>
    <row r="177" spans="1:22" x14ac:dyDescent="0.25">
      <c r="A177" s="35">
        <v>44187</v>
      </c>
      <c r="B177" s="14">
        <v>0.60416666666666663</v>
      </c>
      <c r="C177" s="15">
        <v>27</v>
      </c>
      <c r="D177" s="15">
        <v>7</v>
      </c>
      <c r="E177" s="13">
        <v>43991</v>
      </c>
      <c r="F177" s="31" t="s">
        <v>307</v>
      </c>
      <c r="G177" s="41">
        <v>2.9750000000000002E-2</v>
      </c>
      <c r="H177" s="13">
        <v>44188</v>
      </c>
      <c r="I177" s="13">
        <v>45452</v>
      </c>
      <c r="J177" s="32">
        <f t="shared" si="18"/>
        <v>4.0027397260273974</v>
      </c>
      <c r="K177" s="32">
        <f t="shared" si="19"/>
        <v>3.463013698630137</v>
      </c>
      <c r="L177" s="17">
        <v>450</v>
      </c>
      <c r="M177" s="19">
        <v>1299.6199999999999</v>
      </c>
      <c r="N177" s="20">
        <f t="shared" si="20"/>
        <v>2.8880444444444442</v>
      </c>
      <c r="O177" s="19">
        <v>825.84</v>
      </c>
      <c r="P177" s="27">
        <v>0</v>
      </c>
      <c r="Q177" s="19">
        <v>163.55000000000001</v>
      </c>
      <c r="R177" s="19">
        <v>48.41</v>
      </c>
      <c r="S177" s="30">
        <v>1.00342E-2</v>
      </c>
      <c r="T177" s="34">
        <f t="shared" si="17"/>
        <v>104.77558000000001</v>
      </c>
      <c r="U177" s="34">
        <v>0.11441999999999999</v>
      </c>
      <c r="V177" s="34">
        <v>104.89</v>
      </c>
    </row>
    <row r="178" spans="1:22" x14ac:dyDescent="0.25">
      <c r="A178" s="35">
        <v>44215</v>
      </c>
      <c r="B178" s="14">
        <v>0.60416666666666663</v>
      </c>
      <c r="C178" s="15">
        <v>28</v>
      </c>
      <c r="D178" s="15">
        <v>1</v>
      </c>
      <c r="E178" s="13">
        <v>44216</v>
      </c>
      <c r="F178" s="31" t="s">
        <v>307</v>
      </c>
      <c r="G178" s="41">
        <v>1.575E-2</v>
      </c>
      <c r="H178" s="13">
        <v>44216</v>
      </c>
      <c r="I178" s="13">
        <v>46042</v>
      </c>
      <c r="J178" s="32">
        <f t="shared" si="18"/>
        <v>5.0027397260273974</v>
      </c>
      <c r="K178" s="32">
        <f t="shared" si="19"/>
        <v>5.0027397260273974</v>
      </c>
      <c r="L178" s="17">
        <v>450</v>
      </c>
      <c r="M178" s="19">
        <v>2248.3200000000002</v>
      </c>
      <c r="N178" s="20">
        <f t="shared" si="20"/>
        <v>4.9962666666666671</v>
      </c>
      <c r="O178" s="19">
        <v>900</v>
      </c>
      <c r="P178" s="27">
        <v>0.91959999999999997</v>
      </c>
      <c r="Q178" s="19">
        <v>36</v>
      </c>
      <c r="R178" s="19">
        <v>626.4</v>
      </c>
      <c r="S178" s="30">
        <v>8.8812000000000006E-3</v>
      </c>
      <c r="T178" s="34">
        <f t="shared" si="17"/>
        <v>102.69</v>
      </c>
      <c r="U178" s="34">
        <v>0</v>
      </c>
      <c r="V178" s="34">
        <v>102.69</v>
      </c>
    </row>
    <row r="179" spans="1:22" x14ac:dyDescent="0.25">
      <c r="A179" s="35">
        <v>44222</v>
      </c>
      <c r="B179" s="14">
        <v>0.60416666666666663</v>
      </c>
      <c r="C179" s="15">
        <v>4</v>
      </c>
      <c r="D179" s="15">
        <v>5</v>
      </c>
      <c r="E179" s="13">
        <v>43857</v>
      </c>
      <c r="F179" s="31" t="s">
        <v>322</v>
      </c>
      <c r="G179" s="41">
        <v>2.4500000000000001E-2</v>
      </c>
      <c r="H179" s="13">
        <v>44223</v>
      </c>
      <c r="I179" s="13">
        <v>50067</v>
      </c>
      <c r="J179" s="32">
        <f t="shared" si="18"/>
        <v>17.013698630136986</v>
      </c>
      <c r="K179" s="32">
        <f t="shared" si="19"/>
        <v>16.010958904109589</v>
      </c>
      <c r="L179" s="17">
        <v>1000</v>
      </c>
      <c r="M179" s="19">
        <v>4310</v>
      </c>
      <c r="N179" s="20">
        <f t="shared" si="20"/>
        <v>4.3099999999999996</v>
      </c>
      <c r="O179" s="19">
        <v>1695</v>
      </c>
      <c r="P179" s="27">
        <v>0</v>
      </c>
      <c r="Q179" s="19">
        <v>0</v>
      </c>
      <c r="R179" s="19">
        <v>0</v>
      </c>
      <c r="S179" s="30">
        <v>1.9491999999999999E-2</v>
      </c>
      <c r="T179" s="34">
        <f t="shared" si="17"/>
        <v>106.47</v>
      </c>
      <c r="U179" s="34">
        <v>0</v>
      </c>
      <c r="V179" s="34">
        <v>106.47</v>
      </c>
    </row>
    <row r="180" spans="1:22" x14ac:dyDescent="0.25">
      <c r="A180" s="35">
        <v>44236</v>
      </c>
      <c r="B180" s="14">
        <v>0.60416666666666663</v>
      </c>
      <c r="C180" s="15">
        <v>28</v>
      </c>
      <c r="D180" s="15">
        <v>2</v>
      </c>
      <c r="E180" s="13">
        <v>44216</v>
      </c>
      <c r="F180" s="31" t="s">
        <v>307</v>
      </c>
      <c r="G180" s="41">
        <v>1.575E-2</v>
      </c>
      <c r="H180" s="13">
        <v>44237</v>
      </c>
      <c r="I180" s="13">
        <v>46042</v>
      </c>
      <c r="J180" s="32">
        <f t="shared" si="18"/>
        <v>5.0027397260273974</v>
      </c>
      <c r="K180" s="32">
        <f t="shared" si="19"/>
        <v>4.9452054794520546</v>
      </c>
      <c r="L180" s="17">
        <v>450</v>
      </c>
      <c r="M180" s="19">
        <v>1661.6</v>
      </c>
      <c r="N180" s="20">
        <f t="shared" si="20"/>
        <v>3.6924444444444444</v>
      </c>
      <c r="O180" s="19">
        <v>900</v>
      </c>
      <c r="P180" s="27">
        <v>0.55840000000000001</v>
      </c>
      <c r="Q180" s="19">
        <v>100</v>
      </c>
      <c r="R180" s="19">
        <v>86.72</v>
      </c>
      <c r="S180" s="30">
        <v>4.7482999999999996E-3</v>
      </c>
      <c r="T180" s="34">
        <f t="shared" si="17"/>
        <v>104.28863</v>
      </c>
      <c r="U180" s="34">
        <v>9.1370000000000007E-2</v>
      </c>
      <c r="V180" s="34">
        <v>104.38</v>
      </c>
    </row>
    <row r="181" spans="1:22" x14ac:dyDescent="0.25">
      <c r="A181" s="35">
        <v>44244</v>
      </c>
      <c r="B181" s="14">
        <v>0.60416666666666663</v>
      </c>
      <c r="C181" s="15">
        <v>3</v>
      </c>
      <c r="D181" s="15">
        <v>12</v>
      </c>
      <c r="E181" s="13">
        <v>43598</v>
      </c>
      <c r="F181" s="31" t="s">
        <v>322</v>
      </c>
      <c r="G181" s="41">
        <v>2.2000000000000002E-2</v>
      </c>
      <c r="H181" s="13">
        <v>44245</v>
      </c>
      <c r="I181" s="13">
        <v>51269</v>
      </c>
      <c r="J181" s="32">
        <f t="shared" si="18"/>
        <v>21.016438356164382</v>
      </c>
      <c r="K181" s="32">
        <f t="shared" si="19"/>
        <v>19.243835616438357</v>
      </c>
      <c r="L181" s="17">
        <v>750</v>
      </c>
      <c r="M181" s="19">
        <v>2915</v>
      </c>
      <c r="N181" s="20">
        <f t="shared" si="20"/>
        <v>3.8866666666666667</v>
      </c>
      <c r="O181" s="19">
        <v>1500</v>
      </c>
      <c r="P181" s="27">
        <v>8.9599999999999999E-2</v>
      </c>
      <c r="Q181" s="19">
        <v>0</v>
      </c>
      <c r="R181" s="19">
        <v>83.134299999999996</v>
      </c>
      <c r="S181" s="30">
        <v>1.8901399999999999E-2</v>
      </c>
      <c r="T181" s="34">
        <f t="shared" si="17"/>
        <v>104.7405</v>
      </c>
      <c r="U181" s="34">
        <v>0.58950000000000002</v>
      </c>
      <c r="V181" s="34">
        <v>105.33</v>
      </c>
    </row>
    <row r="182" spans="1:22" x14ac:dyDescent="0.25">
      <c r="A182" s="35">
        <v>44250</v>
      </c>
      <c r="B182" s="14">
        <v>0.60416666666666663</v>
      </c>
      <c r="C182" s="15">
        <v>25</v>
      </c>
      <c r="D182" s="15">
        <v>19</v>
      </c>
      <c r="E182" s="13">
        <v>43124</v>
      </c>
      <c r="F182" s="31" t="s">
        <v>307</v>
      </c>
      <c r="G182" s="41">
        <v>2.8999999999999998E-2</v>
      </c>
      <c r="H182" s="13">
        <v>44251</v>
      </c>
      <c r="I182" s="13">
        <v>47688</v>
      </c>
      <c r="J182" s="32">
        <f t="shared" si="18"/>
        <v>12.504109589041096</v>
      </c>
      <c r="K182" s="32">
        <f t="shared" si="19"/>
        <v>9.4164383561643827</v>
      </c>
      <c r="L182" s="17">
        <v>245</v>
      </c>
      <c r="M182" s="19">
        <v>752.67</v>
      </c>
      <c r="N182" s="20">
        <f t="shared" si="20"/>
        <v>3.0721224489795915</v>
      </c>
      <c r="O182" s="19">
        <v>317.60000000000002</v>
      </c>
      <c r="P182" s="27">
        <v>0</v>
      </c>
      <c r="Q182" s="19">
        <v>0</v>
      </c>
      <c r="R182" s="19">
        <v>0.5</v>
      </c>
      <c r="S182" s="30">
        <v>1.9007599999999999E-2</v>
      </c>
      <c r="T182" s="34">
        <f t="shared" si="17"/>
        <v>108.57165999999999</v>
      </c>
      <c r="U182" s="34">
        <v>0.24834000000000001</v>
      </c>
      <c r="V182" s="34">
        <v>108.82</v>
      </c>
    </row>
    <row r="183" spans="1:22" x14ac:dyDescent="0.25">
      <c r="A183" s="35">
        <v>44271</v>
      </c>
      <c r="B183" s="14">
        <v>0.60416666666666663</v>
      </c>
      <c r="C183" s="15">
        <v>28</v>
      </c>
      <c r="D183" s="15">
        <v>3</v>
      </c>
      <c r="E183" s="13">
        <v>44216</v>
      </c>
      <c r="F183" s="31" t="s">
        <v>307</v>
      </c>
      <c r="G183" s="41">
        <v>1.575E-2</v>
      </c>
      <c r="H183" s="13">
        <v>44272</v>
      </c>
      <c r="I183" s="13">
        <v>46042</v>
      </c>
      <c r="J183" s="32">
        <f t="shared" si="18"/>
        <v>5.0027397260273974</v>
      </c>
      <c r="K183" s="32">
        <f t="shared" si="19"/>
        <v>4.8493150684931505</v>
      </c>
      <c r="L183" s="17">
        <v>450</v>
      </c>
      <c r="M183" s="19">
        <v>1640.82</v>
      </c>
      <c r="N183" s="20">
        <f t="shared" si="20"/>
        <v>3.6462666666666665</v>
      </c>
      <c r="O183" s="19">
        <v>900</v>
      </c>
      <c r="P183" s="27">
        <v>0.51429999999999998</v>
      </c>
      <c r="Q183" s="19">
        <v>3.47</v>
      </c>
      <c r="R183" s="19">
        <v>1.02</v>
      </c>
      <c r="S183" s="30">
        <v>4.6905999999999996E-3</v>
      </c>
      <c r="T183" s="34">
        <f t="shared" si="17"/>
        <v>104.20635</v>
      </c>
      <c r="U183" s="34">
        <v>0.24365000000000001</v>
      </c>
      <c r="V183" s="34">
        <v>104.45</v>
      </c>
    </row>
    <row r="184" spans="1:22" x14ac:dyDescent="0.25">
      <c r="A184" s="35">
        <v>44278</v>
      </c>
      <c r="B184" s="14">
        <v>0.60416666666666663</v>
      </c>
      <c r="C184" s="15">
        <v>4</v>
      </c>
      <c r="D184" s="15">
        <v>6</v>
      </c>
      <c r="E184" s="13">
        <v>43857</v>
      </c>
      <c r="F184" s="31" t="s">
        <v>322</v>
      </c>
      <c r="G184" s="41">
        <v>2.4500000000000001E-2</v>
      </c>
      <c r="H184" s="13">
        <v>44279</v>
      </c>
      <c r="I184" s="13">
        <v>50067</v>
      </c>
      <c r="J184" s="32">
        <f t="shared" si="18"/>
        <v>17.013698630136986</v>
      </c>
      <c r="K184" s="32">
        <f t="shared" si="19"/>
        <v>15.857534246575343</v>
      </c>
      <c r="L184" s="17">
        <v>1000</v>
      </c>
      <c r="M184" s="19">
        <v>4238.6400000000003</v>
      </c>
      <c r="N184" s="20">
        <f t="shared" si="20"/>
        <v>4.2386400000000002</v>
      </c>
      <c r="O184" s="19">
        <v>2000</v>
      </c>
      <c r="P184" s="27">
        <v>0.4</v>
      </c>
      <c r="Q184" s="19">
        <v>0</v>
      </c>
      <c r="R184" s="19">
        <v>0</v>
      </c>
      <c r="S184" s="30">
        <v>1.8186600000000001E-2</v>
      </c>
      <c r="T184" s="34">
        <f t="shared" si="17"/>
        <v>108.16099</v>
      </c>
      <c r="U184" s="34">
        <v>0.37901000000000001</v>
      </c>
      <c r="V184" s="34">
        <v>108.53999999999999</v>
      </c>
    </row>
    <row r="185" spans="1:22" x14ac:dyDescent="0.25">
      <c r="A185" s="35">
        <v>44299</v>
      </c>
      <c r="B185" s="14">
        <v>0.60416666666666663</v>
      </c>
      <c r="C185" s="15">
        <v>28</v>
      </c>
      <c r="D185" s="15">
        <v>4</v>
      </c>
      <c r="E185" s="13">
        <v>44216</v>
      </c>
      <c r="F185" s="31" t="s">
        <v>307</v>
      </c>
      <c r="G185" s="41">
        <v>1.575E-2</v>
      </c>
      <c r="H185" s="13">
        <v>44300</v>
      </c>
      <c r="I185" s="13">
        <v>46042</v>
      </c>
      <c r="J185" s="32">
        <f t="shared" si="18"/>
        <v>5.0027397260273974</v>
      </c>
      <c r="K185" s="32">
        <f t="shared" si="19"/>
        <v>4.7726027397260271</v>
      </c>
      <c r="L185" s="17">
        <v>550</v>
      </c>
      <c r="M185" s="19">
        <v>892.25</v>
      </c>
      <c r="N185" s="20">
        <f t="shared" si="20"/>
        <v>1.6222727272727273</v>
      </c>
      <c r="O185" s="19">
        <v>552.46</v>
      </c>
      <c r="P185" s="27">
        <v>0</v>
      </c>
      <c r="Q185" s="19">
        <v>0</v>
      </c>
      <c r="R185" s="19">
        <v>1.74</v>
      </c>
      <c r="S185" s="30">
        <v>4.6841782670958799E-3</v>
      </c>
      <c r="T185" s="34">
        <f t="shared" ref="T185:T193" si="21">+V185-U185</f>
        <v>104.12452999999999</v>
      </c>
      <c r="U185" s="34">
        <v>0.36547000000000002</v>
      </c>
      <c r="V185" s="34">
        <v>104.49</v>
      </c>
    </row>
    <row r="186" spans="1:22" x14ac:dyDescent="0.25">
      <c r="A186" s="35">
        <v>44306</v>
      </c>
      <c r="B186" s="14">
        <v>0.60416666666666663</v>
      </c>
      <c r="C186" s="15">
        <v>3</v>
      </c>
      <c r="D186" s="15">
        <v>13</v>
      </c>
      <c r="E186" s="13">
        <v>43598</v>
      </c>
      <c r="F186" s="31" t="s">
        <v>322</v>
      </c>
      <c r="G186" s="41">
        <v>2.2000000000000002E-2</v>
      </c>
      <c r="H186" s="13">
        <v>44307</v>
      </c>
      <c r="I186" s="13">
        <v>51269</v>
      </c>
      <c r="J186" s="32">
        <f t="shared" si="18"/>
        <v>21.016438356164382</v>
      </c>
      <c r="K186" s="32">
        <f t="shared" si="19"/>
        <v>19.073972602739726</v>
      </c>
      <c r="L186" s="17">
        <v>750</v>
      </c>
      <c r="M186" s="19">
        <v>2750</v>
      </c>
      <c r="N186" s="20">
        <f t="shared" si="20"/>
        <v>3.6666666666666665</v>
      </c>
      <c r="O186" s="19">
        <v>1500</v>
      </c>
      <c r="P186" s="27">
        <v>0.4</v>
      </c>
      <c r="Q186" s="19">
        <v>450</v>
      </c>
      <c r="R186" s="19">
        <v>0</v>
      </c>
      <c r="S186" s="30">
        <v>1.81885E-2</v>
      </c>
      <c r="T186" s="34">
        <f t="shared" si="21"/>
        <v>105.8237</v>
      </c>
      <c r="U186" s="34">
        <v>0.96630000000000005</v>
      </c>
      <c r="V186" s="34">
        <v>106.79</v>
      </c>
    </row>
    <row r="187" spans="1:22" x14ac:dyDescent="0.25">
      <c r="A187" s="35">
        <v>44313</v>
      </c>
      <c r="B187" s="14">
        <v>0.60416666666666663</v>
      </c>
      <c r="C187" s="15">
        <v>25</v>
      </c>
      <c r="D187" s="15">
        <v>20</v>
      </c>
      <c r="E187" s="13">
        <v>43124</v>
      </c>
      <c r="F187" s="31" t="s">
        <v>307</v>
      </c>
      <c r="G187" s="41">
        <v>2.8999999999999998E-2</v>
      </c>
      <c r="H187" s="13">
        <v>44314</v>
      </c>
      <c r="I187" s="13">
        <v>47688</v>
      </c>
      <c r="J187" s="32">
        <f t="shared" si="18"/>
        <v>12.504109589041096</v>
      </c>
      <c r="K187" s="32">
        <f t="shared" si="19"/>
        <v>9.2438356164383571</v>
      </c>
      <c r="L187" s="17">
        <v>245</v>
      </c>
      <c r="M187" s="19">
        <v>429.7</v>
      </c>
      <c r="N187" s="20">
        <f t="shared" si="20"/>
        <v>1.7538775510204081</v>
      </c>
      <c r="O187" s="19">
        <v>342.2</v>
      </c>
      <c r="P187" s="27">
        <v>0</v>
      </c>
      <c r="Q187" s="19">
        <v>150.29</v>
      </c>
      <c r="R187" s="19">
        <v>1.18</v>
      </c>
      <c r="S187" s="30">
        <v>2.0886300000000003E-2</v>
      </c>
      <c r="T187" s="34">
        <f t="shared" si="21"/>
        <v>106.77696</v>
      </c>
      <c r="U187" s="34">
        <v>0.75304000000000004</v>
      </c>
      <c r="V187" s="34">
        <v>107.53</v>
      </c>
    </row>
    <row r="188" spans="1:22" x14ac:dyDescent="0.25">
      <c r="A188" s="35">
        <v>44328</v>
      </c>
      <c r="B188" s="14">
        <v>0.60416666666666663</v>
      </c>
      <c r="C188" s="15">
        <v>28</v>
      </c>
      <c r="D188" s="15">
        <v>5</v>
      </c>
      <c r="E188" s="13">
        <v>44216</v>
      </c>
      <c r="F188" s="31" t="s">
        <v>307</v>
      </c>
      <c r="G188" s="41">
        <v>1.575E-2</v>
      </c>
      <c r="H188" s="13">
        <v>44329</v>
      </c>
      <c r="I188" s="13">
        <v>46042</v>
      </c>
      <c r="J188" s="32">
        <f t="shared" si="18"/>
        <v>5.0027397260273974</v>
      </c>
      <c r="K188" s="32">
        <f t="shared" si="19"/>
        <v>4.6931506849315072</v>
      </c>
      <c r="L188" s="17">
        <v>850</v>
      </c>
      <c r="M188" s="19">
        <v>1307.8699999999999</v>
      </c>
      <c r="N188" s="20">
        <f t="shared" si="20"/>
        <v>1.538670588235294</v>
      </c>
      <c r="O188" s="19">
        <v>867.87</v>
      </c>
      <c r="P188" s="27">
        <v>0</v>
      </c>
      <c r="Q188" s="19">
        <v>201.7</v>
      </c>
      <c r="R188" s="19">
        <v>0</v>
      </c>
      <c r="S188" s="30">
        <v>7.3953999999999999E-3</v>
      </c>
      <c r="T188" s="34">
        <f t="shared" si="21"/>
        <v>103.02836000000001</v>
      </c>
      <c r="U188" s="34">
        <v>0.49164000000000002</v>
      </c>
      <c r="V188" s="34">
        <v>103.52000000000001</v>
      </c>
    </row>
    <row r="189" spans="1:22" x14ac:dyDescent="0.25">
      <c r="A189" s="35">
        <v>44341</v>
      </c>
      <c r="B189" s="14">
        <v>0.60416666666666663</v>
      </c>
      <c r="C189" s="15">
        <v>4</v>
      </c>
      <c r="D189" s="15">
        <v>7</v>
      </c>
      <c r="E189" s="13">
        <v>43857</v>
      </c>
      <c r="F189" s="31" t="s">
        <v>322</v>
      </c>
      <c r="G189" s="41">
        <v>2.4500000000000001E-2</v>
      </c>
      <c r="H189" s="13">
        <v>44342</v>
      </c>
      <c r="I189" s="13">
        <v>50067</v>
      </c>
      <c r="J189" s="32">
        <f t="shared" si="18"/>
        <v>17.013698630136986</v>
      </c>
      <c r="K189" s="32">
        <f t="shared" si="19"/>
        <v>15.684931506849315</v>
      </c>
      <c r="L189" s="17">
        <v>1450</v>
      </c>
      <c r="M189" s="19">
        <v>4250</v>
      </c>
      <c r="N189" s="20">
        <f t="shared" si="20"/>
        <v>2.9310344827586206</v>
      </c>
      <c r="O189" s="19">
        <v>2890</v>
      </c>
      <c r="P189" s="27">
        <v>0</v>
      </c>
      <c r="Q189" s="19">
        <v>0</v>
      </c>
      <c r="R189" s="19">
        <v>0</v>
      </c>
      <c r="S189" s="30">
        <v>1.8688E-2</v>
      </c>
      <c r="T189" s="34">
        <f t="shared" si="21"/>
        <v>107.40460999999999</v>
      </c>
      <c r="U189" s="34">
        <v>0.80539000000000005</v>
      </c>
      <c r="V189" s="34">
        <v>108.21</v>
      </c>
    </row>
    <row r="190" spans="1:22" x14ac:dyDescent="0.25">
      <c r="A190" s="35">
        <v>44362</v>
      </c>
      <c r="B190" s="14">
        <v>0.60416666666666663</v>
      </c>
      <c r="C190" s="15">
        <v>28</v>
      </c>
      <c r="D190" s="15">
        <v>6</v>
      </c>
      <c r="E190" s="13">
        <v>44216</v>
      </c>
      <c r="F190" s="31" t="s">
        <v>307</v>
      </c>
      <c r="G190" s="41">
        <v>1.575E-2</v>
      </c>
      <c r="H190" s="13">
        <v>44363</v>
      </c>
      <c r="I190" s="13">
        <v>46042</v>
      </c>
      <c r="J190" s="32">
        <f t="shared" si="18"/>
        <v>5.0027397260273974</v>
      </c>
      <c r="K190" s="32">
        <f t="shared" si="19"/>
        <v>4.5999999999999996</v>
      </c>
      <c r="L190" s="17">
        <v>450</v>
      </c>
      <c r="M190" s="19">
        <v>855.52</v>
      </c>
      <c r="N190" s="20">
        <f t="shared" si="20"/>
        <v>1.9011555555555555</v>
      </c>
      <c r="O190" s="19">
        <v>445.32</v>
      </c>
      <c r="P190" s="27">
        <v>0</v>
      </c>
      <c r="Q190" s="19">
        <v>100.61</v>
      </c>
      <c r="R190" s="19">
        <v>3.9</v>
      </c>
      <c r="S190" s="30">
        <v>7.4541999999999994E-3</v>
      </c>
      <c r="T190" s="34">
        <f t="shared" si="21"/>
        <v>102.93042999999999</v>
      </c>
      <c r="U190" s="34">
        <v>0.63956999999999997</v>
      </c>
      <c r="V190" s="34">
        <v>103.57</v>
      </c>
    </row>
    <row r="191" spans="1:22" x14ac:dyDescent="0.25">
      <c r="A191" s="35">
        <v>44369</v>
      </c>
      <c r="B191" s="14">
        <v>0.60416666666666663</v>
      </c>
      <c r="C191" s="15">
        <v>3</v>
      </c>
      <c r="D191" s="15">
        <v>14</v>
      </c>
      <c r="E191" s="13">
        <v>43598</v>
      </c>
      <c r="F191" s="31" t="s">
        <v>322</v>
      </c>
      <c r="G191" s="41">
        <v>2.2000000000000002E-2</v>
      </c>
      <c r="H191" s="13">
        <v>44370</v>
      </c>
      <c r="I191" s="13">
        <v>51269</v>
      </c>
      <c r="J191" s="32">
        <f t="shared" si="18"/>
        <v>21.016438356164382</v>
      </c>
      <c r="K191" s="32">
        <f t="shared" si="19"/>
        <v>18.901369863013699</v>
      </c>
      <c r="L191" s="17">
        <v>750</v>
      </c>
      <c r="M191" s="19">
        <v>2538</v>
      </c>
      <c r="N191" s="20">
        <f t="shared" si="20"/>
        <v>3.3839999999999999</v>
      </c>
      <c r="O191" s="19">
        <v>1500</v>
      </c>
      <c r="P191" s="27">
        <v>0.41333333333333333</v>
      </c>
      <c r="Q191" s="19">
        <v>0</v>
      </c>
      <c r="R191" s="19">
        <v>300</v>
      </c>
      <c r="S191" s="30">
        <v>1.7897900000000001E-2</v>
      </c>
      <c r="T191" s="34">
        <f t="shared" si="21"/>
        <v>106.23489000000001</v>
      </c>
      <c r="U191" s="34">
        <v>0.24510999999999999</v>
      </c>
      <c r="V191" s="34">
        <v>106.48</v>
      </c>
    </row>
    <row r="192" spans="1:22" x14ac:dyDescent="0.25">
      <c r="A192" s="35">
        <v>44376</v>
      </c>
      <c r="B192" s="14">
        <v>0.60416666666666663</v>
      </c>
      <c r="C192" s="15">
        <v>25</v>
      </c>
      <c r="D192" s="15">
        <v>21</v>
      </c>
      <c r="E192" s="13">
        <v>43124</v>
      </c>
      <c r="F192" s="31" t="s">
        <v>307</v>
      </c>
      <c r="G192" s="41">
        <v>2.9000000000000001E-2</v>
      </c>
      <c r="H192" s="13">
        <f>+A192+1</f>
        <v>44377</v>
      </c>
      <c r="I192" s="13">
        <v>47688</v>
      </c>
      <c r="J192" s="32">
        <f t="shared" si="18"/>
        <v>12.504109589041096</v>
      </c>
      <c r="K192" s="32">
        <f t="shared" si="19"/>
        <v>9.0712328767123296</v>
      </c>
      <c r="L192" s="17">
        <v>245</v>
      </c>
      <c r="M192" s="17">
        <v>679.01</v>
      </c>
      <c r="N192" s="20">
        <f t="shared" si="20"/>
        <v>2.771469387755102</v>
      </c>
      <c r="O192" s="19">
        <v>250.81</v>
      </c>
      <c r="P192" s="33">
        <v>0</v>
      </c>
      <c r="Q192" s="17">
        <v>170</v>
      </c>
      <c r="R192" s="19">
        <v>1.57</v>
      </c>
      <c r="S192" s="30">
        <v>2.0899999999999998E-2</v>
      </c>
      <c r="T192" s="34">
        <f t="shared" si="21"/>
        <v>106.66</v>
      </c>
      <c r="U192" s="34">
        <v>1.26</v>
      </c>
      <c r="V192" s="34">
        <v>107.92</v>
      </c>
    </row>
    <row r="193" spans="1:22" x14ac:dyDescent="0.25">
      <c r="A193" s="35">
        <v>44397</v>
      </c>
      <c r="B193" s="14">
        <v>0.60416666666666663</v>
      </c>
      <c r="C193" s="15">
        <v>28</v>
      </c>
      <c r="D193" s="15">
        <v>7</v>
      </c>
      <c r="E193" s="13">
        <v>44216</v>
      </c>
      <c r="F193" s="31" t="s">
        <v>307</v>
      </c>
      <c r="G193" s="41">
        <v>1.575E-2</v>
      </c>
      <c r="H193" s="13">
        <f>+A193+1</f>
        <v>44398</v>
      </c>
      <c r="I193" s="13">
        <v>46042</v>
      </c>
      <c r="J193" s="32">
        <f t="shared" si="18"/>
        <v>5.0027397260273974</v>
      </c>
      <c r="K193" s="32">
        <f t="shared" si="19"/>
        <v>4.5041095890410956</v>
      </c>
      <c r="L193" s="17">
        <v>500</v>
      </c>
      <c r="M193" s="19">
        <v>1630.4</v>
      </c>
      <c r="N193" s="20">
        <f t="shared" si="20"/>
        <v>3.2608000000000001</v>
      </c>
      <c r="O193" s="19">
        <v>506.46</v>
      </c>
      <c r="P193" s="27">
        <v>0</v>
      </c>
      <c r="Q193" s="19">
        <v>0.38</v>
      </c>
      <c r="R193" s="19">
        <v>28.43</v>
      </c>
      <c r="S193" s="30">
        <v>7.4999999999999997E-3</v>
      </c>
      <c r="T193" s="34">
        <f t="shared" si="21"/>
        <v>102.84</v>
      </c>
      <c r="U193" s="34">
        <v>0</v>
      </c>
      <c r="V193" s="34">
        <v>102.84</v>
      </c>
    </row>
    <row r="194" spans="1:22" x14ac:dyDescent="0.25">
      <c r="A194" s="35">
        <v>44404</v>
      </c>
      <c r="B194" s="14">
        <v>0.60416666666666663</v>
      </c>
      <c r="C194" s="15">
        <v>4</v>
      </c>
      <c r="D194" s="15">
        <v>8</v>
      </c>
      <c r="E194" s="13">
        <v>43857</v>
      </c>
      <c r="F194" s="31" t="s">
        <v>322</v>
      </c>
      <c r="G194" s="41">
        <v>2.4500000000000001E-2</v>
      </c>
      <c r="H194" s="13">
        <f>+A194+1</f>
        <v>44405</v>
      </c>
      <c r="I194" s="13">
        <v>50067</v>
      </c>
      <c r="J194" s="32">
        <f t="shared" si="18"/>
        <v>17.013698630136986</v>
      </c>
      <c r="K194" s="32">
        <f t="shared" si="19"/>
        <v>15.512328767123288</v>
      </c>
      <c r="L194" s="17">
        <v>1150</v>
      </c>
      <c r="M194" s="19">
        <v>3613</v>
      </c>
      <c r="N194" s="20">
        <f t="shared" si="20"/>
        <v>3.1417391304347828</v>
      </c>
      <c r="O194" s="19">
        <v>2300</v>
      </c>
      <c r="P194" s="27">
        <v>0.86229999999999996</v>
      </c>
      <c r="Q194" s="19">
        <v>0</v>
      </c>
      <c r="R194" s="19">
        <v>0</v>
      </c>
      <c r="S194" s="30">
        <v>1.78E-2</v>
      </c>
      <c r="T194" s="34">
        <f t="shared" ref="T194:T200" si="22">+V194-U194</f>
        <v>108.53</v>
      </c>
      <c r="U194" s="34">
        <v>0.01</v>
      </c>
      <c r="V194" s="34">
        <v>108.54</v>
      </c>
    </row>
    <row r="195" spans="1:22" x14ac:dyDescent="0.25">
      <c r="A195" s="35">
        <v>44425</v>
      </c>
      <c r="B195" s="14">
        <v>0.60416666666666663</v>
      </c>
      <c r="C195" s="15">
        <v>9</v>
      </c>
      <c r="D195" s="15">
        <v>1</v>
      </c>
      <c r="E195" s="13">
        <v>44426</v>
      </c>
      <c r="F195" s="31" t="s">
        <v>641</v>
      </c>
      <c r="G195" s="41">
        <v>7.4999999999999997E-2</v>
      </c>
      <c r="H195" s="13">
        <f>+A195+1</f>
        <v>44426</v>
      </c>
      <c r="I195" s="13">
        <v>45887</v>
      </c>
      <c r="J195" s="32">
        <f t="shared" si="18"/>
        <v>4.0027397260273974</v>
      </c>
      <c r="K195" s="32">
        <f t="shared" si="19"/>
        <v>4.0027397260273974</v>
      </c>
      <c r="L195" s="17">
        <v>1350</v>
      </c>
      <c r="M195" s="19">
        <v>8601.59</v>
      </c>
      <c r="N195" s="20">
        <f t="shared" si="20"/>
        <v>6.3715481481481486</v>
      </c>
      <c r="O195" s="19">
        <v>2700</v>
      </c>
      <c r="P195" s="27">
        <v>0.36349999999999999</v>
      </c>
      <c r="Q195" s="19">
        <v>1120.32</v>
      </c>
      <c r="R195" s="19">
        <v>1061.08</v>
      </c>
      <c r="S195" s="30">
        <v>7.4200000000000002E-2</v>
      </c>
      <c r="T195" s="34">
        <f t="shared" si="22"/>
        <v>100.26</v>
      </c>
      <c r="U195" s="34">
        <v>0</v>
      </c>
      <c r="V195" s="34">
        <v>100.26</v>
      </c>
    </row>
    <row r="196" spans="1:22" x14ac:dyDescent="0.25">
      <c r="A196" s="35">
        <v>44431</v>
      </c>
      <c r="B196" s="14">
        <v>0.60416666666666663</v>
      </c>
      <c r="C196" s="15">
        <v>29</v>
      </c>
      <c r="D196" s="15">
        <v>1</v>
      </c>
      <c r="E196" s="13">
        <v>44432</v>
      </c>
      <c r="F196" s="31" t="s">
        <v>307</v>
      </c>
      <c r="G196" s="41">
        <v>2.5000000000000001E-2</v>
      </c>
      <c r="H196" s="13">
        <v>44432</v>
      </c>
      <c r="I196" s="13">
        <v>49180</v>
      </c>
      <c r="J196" s="32">
        <f t="shared" si="18"/>
        <v>13.008219178082191</v>
      </c>
      <c r="K196" s="32">
        <f t="shared" si="19"/>
        <v>13.008219178082191</v>
      </c>
      <c r="L196" s="17">
        <v>300</v>
      </c>
      <c r="M196" s="19">
        <v>751.47</v>
      </c>
      <c r="N196" s="20">
        <f t="shared" si="20"/>
        <v>2.5049000000000001</v>
      </c>
      <c r="O196" s="59">
        <v>420.4</v>
      </c>
      <c r="P196" s="27">
        <v>0</v>
      </c>
      <c r="Q196" s="19">
        <v>26.73</v>
      </c>
      <c r="R196" s="19">
        <v>211.01</v>
      </c>
      <c r="S196" s="30">
        <v>2.4981799999999998E-2</v>
      </c>
      <c r="T196" s="34">
        <f t="shared" si="22"/>
        <v>99.995720000000006</v>
      </c>
      <c r="U196" s="34">
        <v>4.28E-3</v>
      </c>
      <c r="V196" s="34">
        <v>100</v>
      </c>
    </row>
    <row r="197" spans="1:22" x14ac:dyDescent="0.25">
      <c r="A197" s="35">
        <v>44439</v>
      </c>
      <c r="B197" s="14">
        <v>0.60416666666666663</v>
      </c>
      <c r="C197" s="15">
        <v>5</v>
      </c>
      <c r="D197" s="15">
        <v>1</v>
      </c>
      <c r="E197" s="13">
        <v>44440</v>
      </c>
      <c r="F197" s="31" t="s">
        <v>322</v>
      </c>
      <c r="G197" s="41">
        <v>0.02</v>
      </c>
      <c r="H197" s="13">
        <v>44440</v>
      </c>
      <c r="I197" s="13">
        <v>53936</v>
      </c>
      <c r="J197" s="32">
        <f t="shared" si="18"/>
        <v>26.016438356164382</v>
      </c>
      <c r="K197" s="32">
        <f t="shared" si="19"/>
        <v>26.016438356164382</v>
      </c>
      <c r="L197" s="17">
        <v>850</v>
      </c>
      <c r="M197" s="19">
        <v>3320</v>
      </c>
      <c r="N197" s="20">
        <f t="shared" si="20"/>
        <v>3.9058823529411764</v>
      </c>
      <c r="O197" s="19">
        <v>1700</v>
      </c>
      <c r="P197" s="27">
        <v>0.17647058823529413</v>
      </c>
      <c r="Q197" s="19">
        <v>745</v>
      </c>
      <c r="R197" s="19">
        <v>345</v>
      </c>
      <c r="S197" s="30">
        <v>1.87954E-2</v>
      </c>
      <c r="T197" s="34">
        <f t="shared" si="22"/>
        <v>102.37</v>
      </c>
      <c r="U197" s="34">
        <v>0</v>
      </c>
      <c r="V197" s="34">
        <v>102.37</v>
      </c>
    </row>
    <row r="198" spans="1:22" x14ac:dyDescent="0.25">
      <c r="A198" s="35">
        <v>44460</v>
      </c>
      <c r="B198" s="14">
        <v>0.60416666666666663</v>
      </c>
      <c r="C198" s="15">
        <v>28</v>
      </c>
      <c r="D198" s="15">
        <v>8</v>
      </c>
      <c r="E198" s="13">
        <v>44216</v>
      </c>
      <c r="F198" s="31" t="s">
        <v>307</v>
      </c>
      <c r="G198" s="41">
        <v>1.575E-2</v>
      </c>
      <c r="H198" s="13">
        <v>44461</v>
      </c>
      <c r="I198" s="13">
        <v>46042</v>
      </c>
      <c r="J198" s="32">
        <f t="shared" si="18"/>
        <v>5.0027397260273974</v>
      </c>
      <c r="K198" s="32">
        <f t="shared" si="19"/>
        <v>4.3315068493150681</v>
      </c>
      <c r="L198" s="17">
        <v>500</v>
      </c>
      <c r="M198" s="19">
        <v>1539.13</v>
      </c>
      <c r="N198" s="20">
        <f t="shared" si="20"/>
        <v>3.0782600000000002</v>
      </c>
      <c r="O198" s="19">
        <v>1000</v>
      </c>
      <c r="P198" s="27">
        <v>0.87265917602996257</v>
      </c>
      <c r="Q198" s="19">
        <v>781</v>
      </c>
      <c r="R198" s="19">
        <v>34.24</v>
      </c>
      <c r="S198" s="30">
        <v>7.3000000000000001E-3</v>
      </c>
      <c r="T198" s="34">
        <f t="shared" si="22"/>
        <v>102.76609000000001</v>
      </c>
      <c r="U198" s="34">
        <v>0.27390999999999999</v>
      </c>
      <c r="V198" s="34">
        <v>103.04</v>
      </c>
    </row>
    <row r="199" spans="1:22" x14ac:dyDescent="0.25">
      <c r="A199" s="35">
        <v>44467</v>
      </c>
      <c r="B199" s="14">
        <v>0.60416666666666663</v>
      </c>
      <c r="C199" s="15">
        <v>4</v>
      </c>
      <c r="D199" s="15">
        <v>9</v>
      </c>
      <c r="E199" s="13">
        <v>43857</v>
      </c>
      <c r="F199" s="31" t="s">
        <v>322</v>
      </c>
      <c r="G199" s="41">
        <v>2.4500000000000001E-2</v>
      </c>
      <c r="H199" s="13">
        <v>44468</v>
      </c>
      <c r="I199" s="13">
        <v>50067</v>
      </c>
      <c r="J199" s="32">
        <f t="shared" si="18"/>
        <v>17.013698630136986</v>
      </c>
      <c r="K199" s="32">
        <f t="shared" si="19"/>
        <v>15.33972602739726</v>
      </c>
      <c r="L199" s="17">
        <v>1150</v>
      </c>
      <c r="M199" s="19">
        <v>4300</v>
      </c>
      <c r="N199" s="20">
        <f t="shared" si="20"/>
        <v>3.7391304347826089</v>
      </c>
      <c r="O199" s="19">
        <v>2300</v>
      </c>
      <c r="P199" s="27">
        <v>0.30434782608695654</v>
      </c>
      <c r="Q199" s="19">
        <v>600</v>
      </c>
      <c r="R199" s="19">
        <v>0</v>
      </c>
      <c r="S199" s="30">
        <v>1.7499199999999999E-2</v>
      </c>
      <c r="T199" s="34">
        <f t="shared" si="22"/>
        <v>108.81391000000001</v>
      </c>
      <c r="U199" s="34">
        <v>0.42609000000000002</v>
      </c>
      <c r="V199" s="34">
        <v>109.24000000000001</v>
      </c>
    </row>
    <row r="200" spans="1:22" x14ac:dyDescent="0.25">
      <c r="A200" s="35">
        <v>44481</v>
      </c>
      <c r="B200" s="14">
        <v>0.60416666666666663</v>
      </c>
      <c r="C200" s="15">
        <v>9</v>
      </c>
      <c r="D200" s="15">
        <v>2</v>
      </c>
      <c r="E200" s="13">
        <v>44426</v>
      </c>
      <c r="F200" s="31" t="s">
        <v>641</v>
      </c>
      <c r="G200" s="41">
        <v>7.4999999999999997E-2</v>
      </c>
      <c r="H200" s="13">
        <v>44482</v>
      </c>
      <c r="I200" s="13">
        <v>45887</v>
      </c>
      <c r="J200" s="32">
        <f t="shared" si="18"/>
        <v>4.0027397260273974</v>
      </c>
      <c r="K200" s="32">
        <f t="shared" si="19"/>
        <v>3.8493150684931505</v>
      </c>
      <c r="L200" s="17">
        <v>1350</v>
      </c>
      <c r="M200" s="19">
        <v>1220</v>
      </c>
      <c r="N200" s="20">
        <f t="shared" si="20"/>
        <v>0.90370370370370368</v>
      </c>
      <c r="O200" s="19">
        <v>870</v>
      </c>
      <c r="P200" s="27">
        <v>0</v>
      </c>
      <c r="Q200" s="19">
        <v>670</v>
      </c>
      <c r="R200" s="19">
        <v>0</v>
      </c>
      <c r="S200" s="30">
        <v>7.4999999999999997E-2</v>
      </c>
      <c r="T200" s="34">
        <f t="shared" si="22"/>
        <v>99.99</v>
      </c>
      <c r="U200" s="34">
        <v>1.1413</v>
      </c>
      <c r="V200" s="34">
        <v>101.1313</v>
      </c>
    </row>
    <row r="201" spans="1:22" x14ac:dyDescent="0.25">
      <c r="A201" s="35">
        <v>44488</v>
      </c>
      <c r="B201" s="14">
        <v>0.60416666666666663</v>
      </c>
      <c r="C201" s="15">
        <v>29</v>
      </c>
      <c r="D201" s="15">
        <v>2</v>
      </c>
      <c r="E201" s="13">
        <v>44432</v>
      </c>
      <c r="F201" s="31" t="s">
        <v>307</v>
      </c>
      <c r="G201" s="41">
        <v>2.5000000000000001E-2</v>
      </c>
      <c r="H201" s="13">
        <f>+A201+1</f>
        <v>44489</v>
      </c>
      <c r="I201" s="13">
        <v>49180</v>
      </c>
      <c r="J201" s="32">
        <f t="shared" ref="J201:J207" si="23">(+I201-E201)/365</f>
        <v>13.008219178082191</v>
      </c>
      <c r="K201" s="32">
        <f t="shared" ref="K201:K205" si="24">(+I201-H201)/365</f>
        <v>12.852054794520548</v>
      </c>
      <c r="L201" s="17">
        <v>300</v>
      </c>
      <c r="M201" s="19">
        <v>508.49</v>
      </c>
      <c r="N201" s="20">
        <f t="shared" ref="N201:N350" si="25">+IFERROR(M201/L201,"-")</f>
        <v>1.6949666666666667</v>
      </c>
      <c r="O201" s="59">
        <v>243.39</v>
      </c>
      <c r="P201" s="27">
        <v>0</v>
      </c>
      <c r="Q201" s="19">
        <v>74.92</v>
      </c>
      <c r="R201" s="19">
        <v>5.94</v>
      </c>
      <c r="S201" s="30">
        <v>2.52848E-2</v>
      </c>
      <c r="T201" s="34">
        <f t="shared" ref="T201:T207" si="26">+V201-U201</f>
        <v>99.692769999999996</v>
      </c>
      <c r="U201" s="34">
        <v>0.38723000000000002</v>
      </c>
      <c r="V201" s="34">
        <v>100.08</v>
      </c>
    </row>
    <row r="202" spans="1:22" x14ac:dyDescent="0.25">
      <c r="A202" s="35">
        <v>44495</v>
      </c>
      <c r="B202" s="14">
        <v>0.60416666666666663</v>
      </c>
      <c r="C202" s="15">
        <v>5</v>
      </c>
      <c r="D202" s="15">
        <v>2</v>
      </c>
      <c r="E202" s="13">
        <v>44440</v>
      </c>
      <c r="F202" s="31" t="s">
        <v>322</v>
      </c>
      <c r="G202" s="41">
        <v>0.02</v>
      </c>
      <c r="H202" s="13">
        <f>+A202+1</f>
        <v>44496</v>
      </c>
      <c r="I202" s="13">
        <v>53936</v>
      </c>
      <c r="J202" s="32">
        <f t="shared" si="23"/>
        <v>26.016438356164382</v>
      </c>
      <c r="K202" s="32">
        <f t="shared" si="24"/>
        <v>25.863013698630137</v>
      </c>
      <c r="L202" s="17">
        <v>1000</v>
      </c>
      <c r="M202" s="19">
        <v>2550</v>
      </c>
      <c r="N202" s="20">
        <f t="shared" si="25"/>
        <v>2.5499999999999998</v>
      </c>
      <c r="O202" s="19">
        <v>2000</v>
      </c>
      <c r="P202" s="27">
        <v>0.875</v>
      </c>
      <c r="Q202" s="19">
        <v>425</v>
      </c>
      <c r="R202" s="19">
        <v>0</v>
      </c>
      <c r="S202" s="30">
        <v>1.8987403114249624E-2</v>
      </c>
      <c r="T202" s="34">
        <f t="shared" si="26"/>
        <v>101.97061000000001</v>
      </c>
      <c r="U202" s="34">
        <v>0.30939</v>
      </c>
      <c r="V202" s="34">
        <v>102.28</v>
      </c>
    </row>
    <row r="203" spans="1:22" x14ac:dyDescent="0.25">
      <c r="A203" s="35">
        <v>44523</v>
      </c>
      <c r="B203" s="14">
        <v>0.60416666666666663</v>
      </c>
      <c r="C203" s="15">
        <v>28</v>
      </c>
      <c r="D203" s="15">
        <v>9</v>
      </c>
      <c r="E203" s="13">
        <v>44216</v>
      </c>
      <c r="F203" s="31" t="s">
        <v>307</v>
      </c>
      <c r="G203" s="41">
        <v>1.575E-2</v>
      </c>
      <c r="H203" s="13">
        <v>44524</v>
      </c>
      <c r="I203" s="13">
        <v>46042</v>
      </c>
      <c r="J203" s="32">
        <f t="shared" si="23"/>
        <v>5.0027397260273974</v>
      </c>
      <c r="K203" s="32">
        <f t="shared" si="24"/>
        <v>4.1589041095890407</v>
      </c>
      <c r="L203" s="17">
        <v>500</v>
      </c>
      <c r="M203" s="17">
        <v>1806.21</v>
      </c>
      <c r="N203" s="20">
        <f t="shared" si="25"/>
        <v>3.6124200000000002</v>
      </c>
      <c r="O203" s="17">
        <v>1000</v>
      </c>
      <c r="P203" s="27">
        <v>0.88439999999999996</v>
      </c>
      <c r="Q203" s="19">
        <v>506.49</v>
      </c>
      <c r="R203" s="19">
        <v>29.4</v>
      </c>
      <c r="S203" s="30">
        <v>5.5982999999999996E-3</v>
      </c>
      <c r="T203" s="34">
        <f t="shared" si="26"/>
        <v>103.1665</v>
      </c>
      <c r="U203" s="34">
        <v>0.54349999999999998</v>
      </c>
      <c r="V203" s="34">
        <v>103.71</v>
      </c>
    </row>
    <row r="204" spans="1:22" x14ac:dyDescent="0.25">
      <c r="A204" s="35">
        <v>44530</v>
      </c>
      <c r="B204" s="14">
        <v>0.60416666666666663</v>
      </c>
      <c r="C204" s="15">
        <v>4</v>
      </c>
      <c r="D204" s="15">
        <v>10</v>
      </c>
      <c r="E204" s="13">
        <v>43857</v>
      </c>
      <c r="F204" s="31" t="s">
        <v>322</v>
      </c>
      <c r="G204" s="41">
        <v>2.4500000000000001E-2</v>
      </c>
      <c r="H204" s="13">
        <v>44531</v>
      </c>
      <c r="I204" s="13">
        <v>50067</v>
      </c>
      <c r="J204" s="32">
        <f t="shared" si="23"/>
        <v>17.013698630136986</v>
      </c>
      <c r="K204" s="32">
        <f t="shared" si="24"/>
        <v>15.167123287671233</v>
      </c>
      <c r="L204" s="17">
        <v>1380</v>
      </c>
      <c r="M204" s="17">
        <v>3626</v>
      </c>
      <c r="N204" s="20">
        <f t="shared" si="25"/>
        <v>2.6275362318840578</v>
      </c>
      <c r="O204" s="17">
        <v>2754</v>
      </c>
      <c r="P204" s="33">
        <v>0</v>
      </c>
      <c r="Q204" s="17">
        <v>700</v>
      </c>
      <c r="R204" s="17">
        <v>352.6</v>
      </c>
      <c r="S204" s="30">
        <v>1.7904099999999999E-2</v>
      </c>
      <c r="T204" s="34">
        <f t="shared" si="26"/>
        <v>108.19448</v>
      </c>
      <c r="U204" s="34">
        <v>0.84552000000000005</v>
      </c>
      <c r="V204" s="34">
        <v>109.03999999999999</v>
      </c>
    </row>
    <row r="205" spans="1:22" x14ac:dyDescent="0.25">
      <c r="A205" s="35">
        <v>44537</v>
      </c>
      <c r="B205" s="14">
        <v>0.60416666666666663</v>
      </c>
      <c r="C205" s="15">
        <v>9</v>
      </c>
      <c r="D205" s="15">
        <v>3</v>
      </c>
      <c r="E205" s="13">
        <v>44426</v>
      </c>
      <c r="F205" s="31" t="s">
        <v>641</v>
      </c>
      <c r="G205" s="41">
        <v>7.4999999999999997E-2</v>
      </c>
      <c r="H205" s="13">
        <v>44538</v>
      </c>
      <c r="I205" s="13">
        <v>45887</v>
      </c>
      <c r="J205" s="32">
        <f t="shared" si="23"/>
        <v>4.0027397260273974</v>
      </c>
      <c r="K205" s="32">
        <f t="shared" si="24"/>
        <v>3.6958904109589041</v>
      </c>
      <c r="L205" s="17">
        <v>1350</v>
      </c>
      <c r="M205" s="17">
        <v>1796</v>
      </c>
      <c r="N205" s="20">
        <f t="shared" si="25"/>
        <v>1.3303703703703704</v>
      </c>
      <c r="O205" s="17">
        <v>950</v>
      </c>
      <c r="P205" s="33">
        <v>0</v>
      </c>
      <c r="Q205" s="17">
        <v>800</v>
      </c>
      <c r="R205" s="17">
        <v>0</v>
      </c>
      <c r="S205" s="30">
        <v>8.0960000000000004E-2</v>
      </c>
      <c r="T205" s="34">
        <f t="shared" si="26"/>
        <v>98.107389999999995</v>
      </c>
      <c r="U205" s="34">
        <v>2.28261</v>
      </c>
      <c r="V205" s="34">
        <v>100.39</v>
      </c>
    </row>
    <row r="206" spans="1:22" x14ac:dyDescent="0.25">
      <c r="A206" s="35">
        <v>44544</v>
      </c>
      <c r="B206" s="14">
        <v>0.60416666666666663</v>
      </c>
      <c r="C206" s="15">
        <v>29</v>
      </c>
      <c r="D206" s="15">
        <v>3</v>
      </c>
      <c r="E206" s="13">
        <v>44432</v>
      </c>
      <c r="F206" s="31" t="s">
        <v>307</v>
      </c>
      <c r="G206" s="41">
        <v>2.5000000000000001E-2</v>
      </c>
      <c r="H206" s="13">
        <f>+A206+1</f>
        <v>44545</v>
      </c>
      <c r="I206" s="13">
        <v>49180</v>
      </c>
      <c r="J206" s="32">
        <f t="shared" ref="J206:J220" si="27">(+I206-E206)/365</f>
        <v>13.008219178082191</v>
      </c>
      <c r="K206" s="32">
        <f t="shared" ref="K206:K214" si="28">(+I206-H206)/365</f>
        <v>12.698630136986301</v>
      </c>
      <c r="L206" s="17">
        <v>300</v>
      </c>
      <c r="M206" s="17">
        <v>832.15</v>
      </c>
      <c r="N206" s="20">
        <f t="shared" si="25"/>
        <v>2.7738333333333332</v>
      </c>
      <c r="O206" s="59">
        <v>581.85</v>
      </c>
      <c r="P206" s="33">
        <v>0</v>
      </c>
      <c r="Q206" s="17">
        <v>241.37</v>
      </c>
      <c r="R206" s="17">
        <v>16.71</v>
      </c>
      <c r="S206" s="30">
        <v>2.5380900000000001E-2</v>
      </c>
      <c r="T206" s="34">
        <f t="shared" si="26"/>
        <v>99.602339999999998</v>
      </c>
      <c r="U206" s="34">
        <v>0.76766000000000001</v>
      </c>
      <c r="V206" s="34">
        <v>100.37</v>
      </c>
    </row>
    <row r="207" spans="1:22" x14ac:dyDescent="0.25">
      <c r="A207" s="35">
        <v>44551</v>
      </c>
      <c r="B207" s="14">
        <v>0.58333333333333337</v>
      </c>
      <c r="C207" s="15">
        <v>5</v>
      </c>
      <c r="D207" s="15">
        <v>3</v>
      </c>
      <c r="E207" s="13">
        <v>44440</v>
      </c>
      <c r="F207" s="31" t="s">
        <v>322</v>
      </c>
      <c r="G207" s="41">
        <v>0.02</v>
      </c>
      <c r="H207" s="13">
        <v>44552</v>
      </c>
      <c r="I207" s="13">
        <v>53936</v>
      </c>
      <c r="J207" s="32">
        <f t="shared" si="23"/>
        <v>26.016438356164382</v>
      </c>
      <c r="K207" s="32">
        <f t="shared" si="28"/>
        <v>25.709589041095889</v>
      </c>
      <c r="L207" s="17">
        <v>2270</v>
      </c>
      <c r="M207" s="17">
        <v>5035</v>
      </c>
      <c r="N207" s="20">
        <f t="shared" si="25"/>
        <v>2.2180616740088106</v>
      </c>
      <c r="O207" s="17">
        <v>4540</v>
      </c>
      <c r="P207" s="33">
        <v>0.18329999999999999</v>
      </c>
      <c r="Q207" s="17">
        <v>3855</v>
      </c>
      <c r="R207" s="17">
        <v>0</v>
      </c>
      <c r="S207" s="30">
        <v>1.9349700000000001E-2</v>
      </c>
      <c r="T207" s="34">
        <f t="shared" si="26"/>
        <v>101.24122</v>
      </c>
      <c r="U207" s="34">
        <v>0.61878</v>
      </c>
      <c r="V207" s="34">
        <v>101.86</v>
      </c>
    </row>
    <row r="208" spans="1:22" x14ac:dyDescent="0.25">
      <c r="A208" s="35">
        <v>44551</v>
      </c>
      <c r="B208" s="14">
        <v>0.61458333333333337</v>
      </c>
      <c r="C208" s="15">
        <v>29</v>
      </c>
      <c r="D208" s="15">
        <v>4</v>
      </c>
      <c r="E208" s="13">
        <v>44432</v>
      </c>
      <c r="F208" s="31" t="s">
        <v>307</v>
      </c>
      <c r="G208" s="41">
        <v>2.5000000000000001E-2</v>
      </c>
      <c r="H208" s="13">
        <v>44552</v>
      </c>
      <c r="I208" s="13">
        <v>49180</v>
      </c>
      <c r="J208" s="32">
        <f t="shared" si="27"/>
        <v>13.008219178082191</v>
      </c>
      <c r="K208" s="32">
        <f t="shared" si="28"/>
        <v>12.67945205479452</v>
      </c>
      <c r="L208" s="17">
        <v>300</v>
      </c>
      <c r="M208" s="17">
        <v>375.36</v>
      </c>
      <c r="N208" s="20">
        <f t="shared" si="25"/>
        <v>1.2512000000000001</v>
      </c>
      <c r="O208" s="59">
        <v>165.36</v>
      </c>
      <c r="P208" s="33">
        <v>0</v>
      </c>
      <c r="Q208" s="17">
        <v>66.739999999999995</v>
      </c>
      <c r="R208" s="17">
        <v>1.72</v>
      </c>
      <c r="S208" s="30">
        <v>2.5389499999999999E-2</v>
      </c>
      <c r="T208" s="34">
        <v>99.59478</v>
      </c>
      <c r="U208" s="34">
        <v>0.81521999999999994</v>
      </c>
      <c r="V208" s="34">
        <f>+T208+U208</f>
        <v>100.41</v>
      </c>
    </row>
    <row r="209" spans="1:22" x14ac:dyDescent="0.25">
      <c r="A209" s="35">
        <v>44579</v>
      </c>
      <c r="B209" s="14">
        <v>0.60416666666666663</v>
      </c>
      <c r="C209" s="15">
        <v>30</v>
      </c>
      <c r="D209" s="15">
        <v>1</v>
      </c>
      <c r="E209" s="13">
        <v>44580</v>
      </c>
      <c r="F209" s="31" t="s">
        <v>307</v>
      </c>
      <c r="G209" s="41">
        <v>1.125E-2</v>
      </c>
      <c r="H209" s="13">
        <v>44580</v>
      </c>
      <c r="I209" s="13">
        <v>46406</v>
      </c>
      <c r="J209" s="32">
        <f t="shared" si="27"/>
        <v>5.0027397260273974</v>
      </c>
      <c r="K209" s="32">
        <f t="shared" si="28"/>
        <v>5.0027397260273974</v>
      </c>
      <c r="L209" s="17">
        <v>475</v>
      </c>
      <c r="M209" s="17">
        <v>2217.85</v>
      </c>
      <c r="N209" s="20">
        <f t="shared" si="25"/>
        <v>4.6691578947368422</v>
      </c>
      <c r="O209" s="17">
        <v>950</v>
      </c>
      <c r="P209" s="33">
        <v>0.17549999999999999</v>
      </c>
      <c r="Q209" s="17">
        <v>363.78</v>
      </c>
      <c r="R209" s="17">
        <v>0.72</v>
      </c>
      <c r="S209" s="30">
        <v>8.4820999999999994E-3</v>
      </c>
      <c r="T209" s="34">
        <v>101.35</v>
      </c>
      <c r="U209" s="34">
        <v>0</v>
      </c>
      <c r="V209" s="34">
        <f>+T209+U209</f>
        <v>101.35</v>
      </c>
    </row>
    <row r="210" spans="1:22" x14ac:dyDescent="0.25">
      <c r="A210" s="35">
        <v>44586</v>
      </c>
      <c r="B210" s="14">
        <v>0.60416666666666663</v>
      </c>
      <c r="C210" s="15">
        <v>4</v>
      </c>
      <c r="D210" s="15">
        <v>11</v>
      </c>
      <c r="E210" s="13">
        <v>43857</v>
      </c>
      <c r="F210" s="31" t="s">
        <v>322</v>
      </c>
      <c r="G210" s="41">
        <v>2.4500000000000001E-2</v>
      </c>
      <c r="H210" s="13">
        <f>+A210+1</f>
        <v>44587</v>
      </c>
      <c r="I210" s="13">
        <v>50067</v>
      </c>
      <c r="J210" s="32">
        <f t="shared" si="27"/>
        <v>17.013698630136986</v>
      </c>
      <c r="K210" s="32">
        <f t="shared" si="28"/>
        <v>15.013698630136986</v>
      </c>
      <c r="L210" s="17">
        <v>1400</v>
      </c>
      <c r="M210" s="17">
        <v>5790.2</v>
      </c>
      <c r="N210" s="20">
        <f t="shared" si="25"/>
        <v>4.1358571428571427</v>
      </c>
      <c r="O210" s="17">
        <v>2800</v>
      </c>
      <c r="P210" s="33">
        <v>0.32</v>
      </c>
      <c r="Q210" s="17">
        <v>500</v>
      </c>
      <c r="R210" s="17">
        <v>410</v>
      </c>
      <c r="S210" s="30">
        <v>1.78952E-2</v>
      </c>
      <c r="T210" s="34">
        <v>108.13166</v>
      </c>
      <c r="U210" s="34">
        <v>1.21834</v>
      </c>
      <c r="V210" s="34">
        <v>109.35</v>
      </c>
    </row>
    <row r="211" spans="1:22" x14ac:dyDescent="0.25">
      <c r="A211" s="35">
        <v>44593</v>
      </c>
      <c r="B211" s="14">
        <v>0.58333333333333337</v>
      </c>
      <c r="C211" s="15">
        <v>30</v>
      </c>
      <c r="D211" s="15">
        <v>2</v>
      </c>
      <c r="E211" s="13">
        <v>44580</v>
      </c>
      <c r="F211" s="31" t="s">
        <v>307</v>
      </c>
      <c r="G211" s="41">
        <v>1.125E-2</v>
      </c>
      <c r="H211" s="13">
        <v>44599</v>
      </c>
      <c r="I211" s="13">
        <v>46406</v>
      </c>
      <c r="J211" s="32">
        <f t="shared" si="27"/>
        <v>5.0027397260273974</v>
      </c>
      <c r="K211" s="32">
        <f t="shared" si="28"/>
        <v>4.9506849315068493</v>
      </c>
      <c r="L211" s="17">
        <v>1300</v>
      </c>
      <c r="M211" s="17">
        <v>5497.25</v>
      </c>
      <c r="N211" s="20">
        <f t="shared" si="25"/>
        <v>4.2286538461538461</v>
      </c>
      <c r="O211" s="17">
        <v>2600</v>
      </c>
      <c r="P211" s="33">
        <v>0.94540000000000002</v>
      </c>
      <c r="Q211" s="17">
        <v>1935.3992000000001</v>
      </c>
      <c r="R211" s="17">
        <v>160.73079999999999</v>
      </c>
      <c r="S211" s="30">
        <v>6.7355000000000002E-3</v>
      </c>
      <c r="T211" s="34">
        <v>102.19095</v>
      </c>
      <c r="U211" s="34">
        <v>5.9049999999999998E-2</v>
      </c>
      <c r="V211" s="34">
        <f>+T211+U211</f>
        <v>102.25</v>
      </c>
    </row>
    <row r="212" spans="1:22" x14ac:dyDescent="0.25">
      <c r="A212" s="35">
        <v>44594</v>
      </c>
      <c r="B212" s="14">
        <v>0.58333333333333337</v>
      </c>
      <c r="C212" s="15">
        <v>29</v>
      </c>
      <c r="D212" s="15">
        <v>5</v>
      </c>
      <c r="E212" s="13">
        <v>44432</v>
      </c>
      <c r="F212" s="31" t="s">
        <v>307</v>
      </c>
      <c r="G212" s="41">
        <v>2.5000000000000001E-2</v>
      </c>
      <c r="H212" s="13">
        <v>44599</v>
      </c>
      <c r="I212" s="13">
        <v>49180</v>
      </c>
      <c r="J212" s="32">
        <f t="shared" si="27"/>
        <v>13.008219178082191</v>
      </c>
      <c r="K212" s="32">
        <f t="shared" si="28"/>
        <v>12.550684931506849</v>
      </c>
      <c r="L212" s="17">
        <v>1100</v>
      </c>
      <c r="M212" s="17">
        <v>3108.02</v>
      </c>
      <c r="N212" s="20">
        <f t="shared" si="25"/>
        <v>2.8254727272727274</v>
      </c>
      <c r="O212" s="59">
        <v>2181.92</v>
      </c>
      <c r="P212" s="33">
        <v>0</v>
      </c>
      <c r="Q212" s="17">
        <v>1903.5</v>
      </c>
      <c r="R212" s="17">
        <v>261.48</v>
      </c>
      <c r="S212" s="30">
        <v>2.43051E-2</v>
      </c>
      <c r="T212" s="34">
        <v>100.68549</v>
      </c>
      <c r="U212" s="34">
        <v>1.1345099999999999</v>
      </c>
      <c r="V212" s="34">
        <v>101.82</v>
      </c>
    </row>
    <row r="213" spans="1:22" x14ac:dyDescent="0.25">
      <c r="A213" s="35">
        <v>44595</v>
      </c>
      <c r="B213" s="14">
        <v>0.58333333333333337</v>
      </c>
      <c r="C213" s="15">
        <v>4</v>
      </c>
      <c r="D213" s="15">
        <v>12</v>
      </c>
      <c r="E213" s="13">
        <v>43857</v>
      </c>
      <c r="F213" s="31" t="s">
        <v>322</v>
      </c>
      <c r="G213" s="41">
        <v>2.4500000000000001E-2</v>
      </c>
      <c r="H213" s="13">
        <v>44599</v>
      </c>
      <c r="I213" s="13">
        <v>50067</v>
      </c>
      <c r="J213" s="32">
        <f t="shared" si="27"/>
        <v>17.013698630136986</v>
      </c>
      <c r="K213" s="32">
        <f t="shared" si="28"/>
        <v>14.980821917808219</v>
      </c>
      <c r="L213" s="17">
        <v>3500</v>
      </c>
      <c r="M213" s="17">
        <v>11885</v>
      </c>
      <c r="N213" s="20">
        <f t="shared" si="25"/>
        <v>3.3957142857142859</v>
      </c>
      <c r="O213" s="17">
        <v>7000</v>
      </c>
      <c r="P213" s="33">
        <v>0.88460000000000005</v>
      </c>
      <c r="Q213" s="17">
        <v>5820</v>
      </c>
      <c r="R213" s="17">
        <v>400</v>
      </c>
      <c r="S213" s="30">
        <v>1.71983E-2</v>
      </c>
      <c r="T213" s="34">
        <v>109.01555</v>
      </c>
      <c r="U213" s="34">
        <v>7.4450000000000002E-2</v>
      </c>
      <c r="V213" s="34">
        <f>+T213+U213</f>
        <v>109.09</v>
      </c>
    </row>
    <row r="214" spans="1:22" x14ac:dyDescent="0.25">
      <c r="A214" s="35">
        <v>44596</v>
      </c>
      <c r="B214" s="14">
        <v>0.58333333333333337</v>
      </c>
      <c r="C214" s="15">
        <v>5</v>
      </c>
      <c r="D214" s="15">
        <v>4</v>
      </c>
      <c r="E214" s="13">
        <v>44440</v>
      </c>
      <c r="F214" s="31" t="s">
        <v>322</v>
      </c>
      <c r="G214" s="41">
        <v>0.02</v>
      </c>
      <c r="H214" s="13">
        <v>44599</v>
      </c>
      <c r="I214" s="13">
        <v>53936</v>
      </c>
      <c r="J214" s="32">
        <f t="shared" si="27"/>
        <v>26.016438356164382</v>
      </c>
      <c r="K214" s="32">
        <f t="shared" si="28"/>
        <v>25.580821917808219</v>
      </c>
      <c r="L214" s="17">
        <v>4300</v>
      </c>
      <c r="M214" s="17">
        <v>12985</v>
      </c>
      <c r="N214" s="20">
        <f t="shared" si="25"/>
        <v>3.019767441860465</v>
      </c>
      <c r="O214" s="17">
        <v>8600</v>
      </c>
      <c r="P214" s="33">
        <v>0.66339999999999999</v>
      </c>
      <c r="Q214" s="17">
        <v>7800</v>
      </c>
      <c r="R214" s="17">
        <v>0</v>
      </c>
      <c r="S214" s="30">
        <v>1.7794600000000001E-2</v>
      </c>
      <c r="T214" s="34">
        <v>104.34155</v>
      </c>
      <c r="U214" s="34">
        <v>0.87844999999999995</v>
      </c>
      <c r="V214" s="34">
        <f>+T214+U214</f>
        <v>105.22</v>
      </c>
    </row>
    <row r="215" spans="1:22" x14ac:dyDescent="0.25">
      <c r="A215" s="35">
        <v>44600</v>
      </c>
      <c r="B215" s="14">
        <v>0.60416666666666663</v>
      </c>
      <c r="C215" s="15">
        <v>9</v>
      </c>
      <c r="D215" s="15">
        <v>4</v>
      </c>
      <c r="E215" s="13">
        <v>44426</v>
      </c>
      <c r="F215" s="31" t="s">
        <v>641</v>
      </c>
      <c r="G215" s="41">
        <v>7.4999999999999997E-2</v>
      </c>
      <c r="H215" s="13">
        <v>44601</v>
      </c>
      <c r="I215" s="13">
        <v>45887</v>
      </c>
      <c r="J215" s="32">
        <f t="shared" ref="J215" si="29">(+I215-E215)/365</f>
        <v>4.0027397260273974</v>
      </c>
      <c r="K215" s="32">
        <f t="shared" ref="K215:K220" si="30">(+I215-H215)/365</f>
        <v>3.5232876712328767</v>
      </c>
      <c r="L215" s="17">
        <v>700</v>
      </c>
      <c r="M215" s="17">
        <v>3926</v>
      </c>
      <c r="N215" s="20">
        <f t="shared" si="25"/>
        <v>5.6085714285714285</v>
      </c>
      <c r="O215" s="17">
        <v>1400</v>
      </c>
      <c r="P215" s="33">
        <v>0.73250000000000004</v>
      </c>
      <c r="Q215" s="17">
        <v>100</v>
      </c>
      <c r="R215" s="17">
        <v>879</v>
      </c>
      <c r="S215" s="30">
        <v>8.4559999999999996E-2</v>
      </c>
      <c r="T215" s="34">
        <v>97.14</v>
      </c>
      <c r="U215" s="34">
        <v>3.5665800000000001</v>
      </c>
      <c r="V215" s="34">
        <f t="shared" ref="V215:V222" si="31">+T215+U215</f>
        <v>100.70658</v>
      </c>
    </row>
    <row r="216" spans="1:22" x14ac:dyDescent="0.25">
      <c r="A216" s="35">
        <v>44607</v>
      </c>
      <c r="B216" s="14">
        <v>0.58333333333333337</v>
      </c>
      <c r="C216" s="15">
        <v>29</v>
      </c>
      <c r="D216" s="15">
        <v>6</v>
      </c>
      <c r="E216" s="13">
        <v>44432</v>
      </c>
      <c r="F216" s="31" t="s">
        <v>307</v>
      </c>
      <c r="G216" s="41">
        <v>2.5000000000000001E-2</v>
      </c>
      <c r="H216" s="13">
        <v>44608</v>
      </c>
      <c r="I216" s="13">
        <v>49180</v>
      </c>
      <c r="J216" s="32">
        <f t="shared" si="27"/>
        <v>13.008219178082191</v>
      </c>
      <c r="K216" s="32">
        <f t="shared" si="30"/>
        <v>12.526027397260274</v>
      </c>
      <c r="L216" s="17">
        <v>300</v>
      </c>
      <c r="M216" s="17">
        <v>796.11</v>
      </c>
      <c r="N216" s="20">
        <f t="shared" si="25"/>
        <v>2.6537000000000002</v>
      </c>
      <c r="O216" s="59">
        <v>549.47</v>
      </c>
      <c r="P216" s="33">
        <v>0</v>
      </c>
      <c r="Q216" s="17">
        <v>321.2</v>
      </c>
      <c r="R216" s="17">
        <v>82.28</v>
      </c>
      <c r="S216" s="30">
        <v>2.3997299999999999E-2</v>
      </c>
      <c r="T216" s="34">
        <v>100.99435</v>
      </c>
      <c r="U216" s="34">
        <v>1.1956500000000001</v>
      </c>
      <c r="V216" s="34">
        <f t="shared" si="31"/>
        <v>102.19</v>
      </c>
    </row>
    <row r="217" spans="1:22" x14ac:dyDescent="0.25">
      <c r="A217" s="35">
        <v>44614</v>
      </c>
      <c r="B217" s="14">
        <v>0.60416666666666663</v>
      </c>
      <c r="C217" s="15">
        <v>5</v>
      </c>
      <c r="D217" s="15">
        <v>5</v>
      </c>
      <c r="E217" s="13">
        <v>44440</v>
      </c>
      <c r="F217" s="31" t="s">
        <v>322</v>
      </c>
      <c r="G217" s="41">
        <v>0.02</v>
      </c>
      <c r="H217" s="13">
        <v>44615</v>
      </c>
      <c r="I217" s="13">
        <v>53936</v>
      </c>
      <c r="J217" s="32">
        <f t="shared" si="27"/>
        <v>26.016438356164382</v>
      </c>
      <c r="K217" s="32">
        <f t="shared" si="30"/>
        <v>25.536986301369861</v>
      </c>
      <c r="L217" s="17">
        <v>1000</v>
      </c>
      <c r="M217" s="17">
        <v>3840</v>
      </c>
      <c r="N217" s="20">
        <f t="shared" si="25"/>
        <v>3.84</v>
      </c>
      <c r="O217" s="17">
        <v>1910</v>
      </c>
      <c r="P217" s="33">
        <v>0</v>
      </c>
      <c r="Q217" s="17">
        <v>410</v>
      </c>
      <c r="R217" s="17">
        <v>230</v>
      </c>
      <c r="S217" s="30">
        <v>1.7388600000000001E-2</v>
      </c>
      <c r="T217" s="34">
        <v>105.16315</v>
      </c>
      <c r="U217" s="34">
        <v>0.96684999999999999</v>
      </c>
      <c r="V217" s="34">
        <f t="shared" si="31"/>
        <v>106.13</v>
      </c>
    </row>
    <row r="218" spans="1:22" x14ac:dyDescent="0.25">
      <c r="A218" s="35">
        <v>44635</v>
      </c>
      <c r="B218" s="14">
        <v>0.60416666666666663</v>
      </c>
      <c r="C218" s="15">
        <v>30</v>
      </c>
      <c r="D218" s="15">
        <v>3</v>
      </c>
      <c r="E218" s="13">
        <v>44580</v>
      </c>
      <c r="F218" s="31" t="s">
        <v>307</v>
      </c>
      <c r="G218" s="41">
        <v>1.125E-2</v>
      </c>
      <c r="H218" s="13">
        <v>44636</v>
      </c>
      <c r="I218" s="13">
        <v>46406</v>
      </c>
      <c r="J218" s="32">
        <f t="shared" si="27"/>
        <v>5.0027397260273974</v>
      </c>
      <c r="K218" s="32">
        <f t="shared" si="30"/>
        <v>4.8493150684931505</v>
      </c>
      <c r="L218" s="17">
        <v>475</v>
      </c>
      <c r="M218" s="17">
        <v>1247.6199999999999</v>
      </c>
      <c r="N218" s="20">
        <f t="shared" si="25"/>
        <v>2.6265684210526312</v>
      </c>
      <c r="O218" s="17">
        <v>950</v>
      </c>
      <c r="P218" s="33">
        <v>7.8200000000000006E-2</v>
      </c>
      <c r="Q218" s="17">
        <v>330</v>
      </c>
      <c r="R218" s="17">
        <v>71.757300000000001</v>
      </c>
      <c r="S218" s="30">
        <v>5.9068999999999997E-3</v>
      </c>
      <c r="T218" s="34">
        <v>102.54597</v>
      </c>
      <c r="U218" s="34">
        <v>0.17402999999999999</v>
      </c>
      <c r="V218" s="34">
        <f t="shared" si="31"/>
        <v>102.72</v>
      </c>
    </row>
    <row r="219" spans="1:22" x14ac:dyDescent="0.25">
      <c r="A219" s="35">
        <v>44642</v>
      </c>
      <c r="B219" s="14">
        <v>0.60416666666666663</v>
      </c>
      <c r="C219" s="15">
        <v>4</v>
      </c>
      <c r="D219" s="15">
        <v>13</v>
      </c>
      <c r="E219" s="13">
        <v>43857</v>
      </c>
      <c r="F219" s="31" t="s">
        <v>322</v>
      </c>
      <c r="G219" s="41">
        <v>2.4500000000000001E-2</v>
      </c>
      <c r="H219" s="13">
        <v>44643</v>
      </c>
      <c r="I219" s="13">
        <v>50067</v>
      </c>
      <c r="J219" s="32">
        <f t="shared" si="27"/>
        <v>17.013698630136986</v>
      </c>
      <c r="K219" s="32">
        <f t="shared" si="30"/>
        <v>14.860273972602739</v>
      </c>
      <c r="L219" s="17">
        <v>1400</v>
      </c>
      <c r="M219" s="17">
        <v>5530</v>
      </c>
      <c r="N219" s="20">
        <f t="shared" si="25"/>
        <v>3.95</v>
      </c>
      <c r="O219" s="17">
        <v>2800</v>
      </c>
      <c r="P219" s="33">
        <v>0.4667</v>
      </c>
      <c r="Q219" s="17">
        <v>0</v>
      </c>
      <c r="R219" s="17">
        <v>200</v>
      </c>
      <c r="S219" s="30">
        <v>1.6584600000000001E-2</v>
      </c>
      <c r="T219" s="34">
        <v>109.73775999999999</v>
      </c>
      <c r="U219" s="34">
        <v>0.37224000000000002</v>
      </c>
      <c r="V219" s="34">
        <f t="shared" si="31"/>
        <v>110.11</v>
      </c>
    </row>
    <row r="220" spans="1:22" x14ac:dyDescent="0.25">
      <c r="A220" s="35">
        <v>44656</v>
      </c>
      <c r="B220" s="14">
        <v>0.60416666666666663</v>
      </c>
      <c r="C220" s="15">
        <v>9</v>
      </c>
      <c r="D220" s="15">
        <v>5</v>
      </c>
      <c r="E220" s="13">
        <v>44426</v>
      </c>
      <c r="F220" s="31" t="s">
        <v>641</v>
      </c>
      <c r="G220" s="41">
        <v>7.4999999999999997E-2</v>
      </c>
      <c r="H220" s="13">
        <v>44657</v>
      </c>
      <c r="I220" s="13">
        <v>45887</v>
      </c>
      <c r="J220" s="32">
        <f t="shared" si="27"/>
        <v>4.0027397260273974</v>
      </c>
      <c r="K220" s="32">
        <f t="shared" si="30"/>
        <v>3.3698630136986303</v>
      </c>
      <c r="L220" s="17">
        <v>700</v>
      </c>
      <c r="M220" s="17">
        <v>2012.8</v>
      </c>
      <c r="N220" s="20">
        <f t="shared" si="25"/>
        <v>2.8754285714285714</v>
      </c>
      <c r="O220" s="17">
        <v>701</v>
      </c>
      <c r="P220" s="33">
        <v>0</v>
      </c>
      <c r="Q220" s="17">
        <v>0</v>
      </c>
      <c r="R220" s="17">
        <v>0</v>
      </c>
      <c r="S220" s="30">
        <v>8.9789900000000006E-2</v>
      </c>
      <c r="T220" s="34">
        <v>95.77</v>
      </c>
      <c r="U220" s="34">
        <v>0.97</v>
      </c>
      <c r="V220" s="34">
        <f t="shared" si="31"/>
        <v>96.74</v>
      </c>
    </row>
    <row r="221" spans="1:22" x14ac:dyDescent="0.25">
      <c r="A221" s="35">
        <v>44670</v>
      </c>
      <c r="B221" s="14">
        <v>0.60416666666666663</v>
      </c>
      <c r="C221" s="15">
        <v>29</v>
      </c>
      <c r="D221" s="15">
        <v>7</v>
      </c>
      <c r="E221" s="13">
        <v>44432</v>
      </c>
      <c r="F221" s="31" t="s">
        <v>307</v>
      </c>
      <c r="G221" s="41">
        <v>2.5000000000000001E-2</v>
      </c>
      <c r="H221" s="13">
        <v>44671</v>
      </c>
      <c r="I221" s="13">
        <v>49180</v>
      </c>
      <c r="J221" s="32">
        <f t="shared" ref="J221:J227" si="32">(+I221-E221)/365</f>
        <v>13.008219178082191</v>
      </c>
      <c r="K221" s="32">
        <f t="shared" ref="K221:K227" si="33">(+I221-H221)/365</f>
        <v>12.353424657534246</v>
      </c>
      <c r="L221" s="17">
        <v>300</v>
      </c>
      <c r="M221" s="17">
        <v>720.72</v>
      </c>
      <c r="N221" s="20">
        <f t="shared" si="25"/>
        <v>2.4024000000000001</v>
      </c>
      <c r="O221" s="59">
        <v>367.62</v>
      </c>
      <c r="P221" s="33">
        <v>0</v>
      </c>
      <c r="Q221" s="17">
        <v>267.08</v>
      </c>
      <c r="R221" s="17">
        <v>53.94</v>
      </c>
      <c r="S221" s="30">
        <v>2.3964200000000001E-2</v>
      </c>
      <c r="T221" s="34">
        <v>101.01017</v>
      </c>
      <c r="U221" s="34">
        <v>0.37983</v>
      </c>
      <c r="V221" s="34">
        <f t="shared" si="31"/>
        <v>101.39</v>
      </c>
    </row>
    <row r="222" spans="1:22" x14ac:dyDescent="0.25">
      <c r="A222" s="35">
        <v>44677</v>
      </c>
      <c r="B222" s="14">
        <v>0.60416666666666663</v>
      </c>
      <c r="C222" s="15">
        <v>5</v>
      </c>
      <c r="D222" s="15">
        <v>6</v>
      </c>
      <c r="E222" s="13">
        <v>44440</v>
      </c>
      <c r="F222" s="31" t="s">
        <v>322</v>
      </c>
      <c r="G222" s="41">
        <v>0.02</v>
      </c>
      <c r="H222" s="13">
        <v>44678</v>
      </c>
      <c r="I222" s="13">
        <v>53936</v>
      </c>
      <c r="J222" s="32">
        <f t="shared" si="32"/>
        <v>26.016438356164382</v>
      </c>
      <c r="K222" s="32">
        <f t="shared" si="33"/>
        <v>25.364383561643837</v>
      </c>
      <c r="L222" s="17">
        <v>1000</v>
      </c>
      <c r="M222" s="17">
        <v>3729.9</v>
      </c>
      <c r="N222" s="20">
        <f t="shared" si="25"/>
        <v>3.7299000000000002</v>
      </c>
      <c r="O222" s="17">
        <v>2000</v>
      </c>
      <c r="P222" s="33">
        <v>0.65029999999999999</v>
      </c>
      <c r="Q222" s="17">
        <v>54.9</v>
      </c>
      <c r="R222" s="17">
        <v>1002</v>
      </c>
      <c r="S222" s="30">
        <v>1.7195200000000001E-2</v>
      </c>
      <c r="T222" s="34">
        <v>105.53022</v>
      </c>
      <c r="U222" s="34">
        <v>0.30978</v>
      </c>
      <c r="V222" s="34">
        <f t="shared" si="31"/>
        <v>105.84</v>
      </c>
    </row>
    <row r="223" spans="1:22" x14ac:dyDescent="0.25">
      <c r="A223" s="35">
        <v>44698</v>
      </c>
      <c r="B223" s="14">
        <v>0.60416666666666663</v>
      </c>
      <c r="C223" s="15">
        <v>30</v>
      </c>
      <c r="D223" s="15">
        <v>4</v>
      </c>
      <c r="E223" s="13">
        <v>44580</v>
      </c>
      <c r="F223" s="31" t="s">
        <v>307</v>
      </c>
      <c r="G223" s="41">
        <v>1.125E-2</v>
      </c>
      <c r="H223" s="13">
        <v>44699</v>
      </c>
      <c r="I223" s="13">
        <v>46406</v>
      </c>
      <c r="J223" s="32">
        <f t="shared" si="32"/>
        <v>5.0027397260273974</v>
      </c>
      <c r="K223" s="32">
        <f t="shared" si="33"/>
        <v>4.6767123287671231</v>
      </c>
      <c r="L223" s="17">
        <v>475</v>
      </c>
      <c r="M223" s="17">
        <v>1090.6500000000001</v>
      </c>
      <c r="N223" s="20">
        <f t="shared" si="25"/>
        <v>2.2961052631578949</v>
      </c>
      <c r="O223" s="17">
        <v>362.19</v>
      </c>
      <c r="P223" s="33">
        <v>0</v>
      </c>
      <c r="Q223" s="17">
        <v>0</v>
      </c>
      <c r="R223" s="17">
        <v>37.68</v>
      </c>
      <c r="S223" s="30">
        <v>9.8542000000000005E-3</v>
      </c>
      <c r="T223" s="34">
        <f>+V223-U223</f>
        <v>100.63018</v>
      </c>
      <c r="U223" s="34">
        <v>0.36981999999999998</v>
      </c>
      <c r="V223" s="34">
        <v>101</v>
      </c>
    </row>
    <row r="224" spans="1:22" x14ac:dyDescent="0.25">
      <c r="A224" s="35">
        <v>44705</v>
      </c>
      <c r="B224" s="14">
        <v>0.60416666666666663</v>
      </c>
      <c r="C224" s="15">
        <v>4</v>
      </c>
      <c r="D224" s="15">
        <v>14</v>
      </c>
      <c r="E224" s="13">
        <v>43857</v>
      </c>
      <c r="F224" s="31" t="s">
        <v>322</v>
      </c>
      <c r="G224" s="41">
        <v>2.4500000000000001E-2</v>
      </c>
      <c r="H224" s="13">
        <v>44706</v>
      </c>
      <c r="I224" s="13">
        <v>50067</v>
      </c>
      <c r="J224" s="32">
        <f t="shared" si="32"/>
        <v>17.013698630136986</v>
      </c>
      <c r="K224" s="32">
        <f t="shared" si="33"/>
        <v>14.687671232876712</v>
      </c>
      <c r="L224" s="17">
        <v>1400</v>
      </c>
      <c r="M224" s="17">
        <v>3070</v>
      </c>
      <c r="N224" s="20">
        <f t="shared" si="25"/>
        <v>2.1928571428571431</v>
      </c>
      <c r="O224" s="17">
        <v>1930</v>
      </c>
      <c r="P224" s="33">
        <v>0</v>
      </c>
      <c r="Q224" s="17">
        <v>50</v>
      </c>
      <c r="R224" s="17">
        <v>150</v>
      </c>
      <c r="S224" s="30">
        <v>1.87995E-2</v>
      </c>
      <c r="T224" s="34">
        <f>+V224-U224</f>
        <v>106.82138</v>
      </c>
      <c r="U224" s="34">
        <v>0.79862</v>
      </c>
      <c r="V224" s="34">
        <v>107.62</v>
      </c>
    </row>
    <row r="225" spans="1:22" x14ac:dyDescent="0.25">
      <c r="A225" s="35">
        <v>44726</v>
      </c>
      <c r="B225" s="14">
        <v>0.60416666666666663</v>
      </c>
      <c r="C225" s="15">
        <v>9</v>
      </c>
      <c r="D225" s="15">
        <v>6</v>
      </c>
      <c r="E225" s="13">
        <v>44426</v>
      </c>
      <c r="F225" s="31" t="s">
        <v>641</v>
      </c>
      <c r="G225" s="41">
        <v>7.4999999999999997E-2</v>
      </c>
      <c r="H225" s="13">
        <v>44727</v>
      </c>
      <c r="I225" s="13">
        <v>45887</v>
      </c>
      <c r="J225" s="32">
        <f t="shared" si="32"/>
        <v>4.0027397260273974</v>
      </c>
      <c r="K225" s="32">
        <f t="shared" si="33"/>
        <v>3.1780821917808217</v>
      </c>
      <c r="L225" s="17">
        <v>700</v>
      </c>
      <c r="M225" s="17">
        <v>2674.5</v>
      </c>
      <c r="N225" s="20">
        <f t="shared" si="25"/>
        <v>3.8207142857142857</v>
      </c>
      <c r="O225" s="17">
        <v>814.5</v>
      </c>
      <c r="P225" s="33">
        <v>0</v>
      </c>
      <c r="Q225" s="17">
        <v>400</v>
      </c>
      <c r="R225" s="17">
        <v>0</v>
      </c>
      <c r="S225" s="30">
        <v>0.1068336</v>
      </c>
      <c r="T225" s="34">
        <v>91.58</v>
      </c>
      <c r="U225" s="34">
        <v>2.42</v>
      </c>
      <c r="V225" s="34">
        <f>+T225+U225</f>
        <v>94</v>
      </c>
    </row>
    <row r="226" spans="1:22" x14ac:dyDescent="0.25">
      <c r="A226" s="35">
        <v>44733</v>
      </c>
      <c r="B226" s="14">
        <v>0.60416666666666663</v>
      </c>
      <c r="C226" s="15">
        <v>29</v>
      </c>
      <c r="D226" s="15">
        <v>8</v>
      </c>
      <c r="E226" s="13">
        <v>44432</v>
      </c>
      <c r="F226" s="31" t="s">
        <v>307</v>
      </c>
      <c r="G226" s="41">
        <v>2.5000000000000001E-2</v>
      </c>
      <c r="H226" s="13">
        <f>+A226+1</f>
        <v>44734</v>
      </c>
      <c r="I226" s="13">
        <v>49180</v>
      </c>
      <c r="J226" s="32">
        <f t="shared" si="32"/>
        <v>13.008219178082191</v>
      </c>
      <c r="K226" s="32">
        <f t="shared" si="33"/>
        <v>12.180821917808219</v>
      </c>
      <c r="L226" s="17">
        <v>300</v>
      </c>
      <c r="M226" s="17">
        <v>276</v>
      </c>
      <c r="N226" s="20">
        <f t="shared" si="25"/>
        <v>0.92</v>
      </c>
      <c r="O226" s="59">
        <v>57.9</v>
      </c>
      <c r="P226" s="33">
        <v>0</v>
      </c>
      <c r="Q226" s="19">
        <v>0.25</v>
      </c>
      <c r="R226" s="19">
        <v>4.46</v>
      </c>
      <c r="S226" s="30">
        <v>2.9404099999999999E-2</v>
      </c>
      <c r="T226" s="34">
        <f>+V226-U226</f>
        <v>95.815079999999995</v>
      </c>
      <c r="U226" s="34">
        <v>0.81491999999999998</v>
      </c>
      <c r="V226" s="34">
        <v>96.63</v>
      </c>
    </row>
    <row r="227" spans="1:22" x14ac:dyDescent="0.25">
      <c r="A227" s="35">
        <v>44740</v>
      </c>
      <c r="B227" s="14">
        <v>0.60416666666666663</v>
      </c>
      <c r="C227" s="15">
        <v>5</v>
      </c>
      <c r="D227" s="15">
        <v>7</v>
      </c>
      <c r="E227" s="13">
        <v>44440</v>
      </c>
      <c r="F227" s="31" t="s">
        <v>322</v>
      </c>
      <c r="G227" s="41">
        <v>0.02</v>
      </c>
      <c r="H227" s="13">
        <f>+A227+1</f>
        <v>44741</v>
      </c>
      <c r="I227" s="13">
        <v>53936</v>
      </c>
      <c r="J227" s="32">
        <f t="shared" si="32"/>
        <v>26.016438356164382</v>
      </c>
      <c r="K227" s="32">
        <f t="shared" si="33"/>
        <v>25.19178082191781</v>
      </c>
      <c r="L227" s="17">
        <v>1000</v>
      </c>
      <c r="M227" s="17">
        <v>1700</v>
      </c>
      <c r="N227" s="20">
        <f t="shared" si="25"/>
        <v>1.7</v>
      </c>
      <c r="O227" s="17">
        <v>1000</v>
      </c>
      <c r="P227" s="33">
        <v>0</v>
      </c>
      <c r="Q227" s="17">
        <v>0</v>
      </c>
      <c r="R227" s="17">
        <v>0</v>
      </c>
      <c r="S227" s="30">
        <v>2.1988199999999999E-2</v>
      </c>
      <c r="T227" s="34">
        <f>+V227-U227</f>
        <v>96.257829999999998</v>
      </c>
      <c r="U227" s="34">
        <v>0.65217000000000003</v>
      </c>
      <c r="V227" s="34">
        <v>96.91</v>
      </c>
    </row>
    <row r="228" spans="1:22" x14ac:dyDescent="0.25">
      <c r="A228" s="35">
        <v>44761</v>
      </c>
      <c r="B228" s="14">
        <v>0.60416666666666663</v>
      </c>
      <c r="C228" s="15">
        <v>30</v>
      </c>
      <c r="D228" s="15">
        <v>5</v>
      </c>
      <c r="E228" s="13">
        <v>44580</v>
      </c>
      <c r="F228" s="31" t="s">
        <v>307</v>
      </c>
      <c r="G228" s="41">
        <v>1.125E-2</v>
      </c>
      <c r="H228" s="13">
        <v>44762</v>
      </c>
      <c r="I228" s="13">
        <v>46406</v>
      </c>
      <c r="J228" s="32">
        <f t="shared" ref="J228:J233" si="34">(+I228-E228)/365</f>
        <v>5.0027397260273974</v>
      </c>
      <c r="K228" s="32">
        <f t="shared" ref="K228:K234" si="35">(+I228-H228)/365</f>
        <v>4.5041095890410956</v>
      </c>
      <c r="L228" s="17">
        <v>350</v>
      </c>
      <c r="M228" s="17">
        <v>250.42</v>
      </c>
      <c r="N228" s="20">
        <f t="shared" si="25"/>
        <v>0.71548571428571428</v>
      </c>
      <c r="O228" s="17">
        <v>18.7</v>
      </c>
      <c r="P228" s="33">
        <v>0</v>
      </c>
      <c r="Q228" s="17">
        <v>0</v>
      </c>
      <c r="R228" s="17">
        <v>15.4</v>
      </c>
      <c r="S228" s="30">
        <v>1.8200000000000001E-2</v>
      </c>
      <c r="T228" s="34">
        <f>+V228-U228</f>
        <v>96.996939999999995</v>
      </c>
      <c r="U228" s="34">
        <v>3.0599999999999998E-3</v>
      </c>
      <c r="V228" s="34">
        <v>97</v>
      </c>
    </row>
    <row r="229" spans="1:22" x14ac:dyDescent="0.25">
      <c r="A229" s="35">
        <v>44768</v>
      </c>
      <c r="B229" s="14">
        <v>0.60416666666666663</v>
      </c>
      <c r="C229" s="15">
        <v>4</v>
      </c>
      <c r="D229" s="15">
        <v>15</v>
      </c>
      <c r="E229" s="13">
        <v>43857</v>
      </c>
      <c r="F229" s="31" t="s">
        <v>322</v>
      </c>
      <c r="G229" s="41">
        <v>2.4500000000000001E-2</v>
      </c>
      <c r="H229" s="13">
        <v>44769</v>
      </c>
      <c r="I229" s="13">
        <v>50067</v>
      </c>
      <c r="J229" s="32">
        <f t="shared" si="34"/>
        <v>17.013698630136986</v>
      </c>
      <c r="K229" s="32">
        <f t="shared" si="35"/>
        <v>14.515068493150684</v>
      </c>
      <c r="L229" s="17">
        <v>1300</v>
      </c>
      <c r="M229" s="17">
        <v>2416</v>
      </c>
      <c r="N229" s="20">
        <f t="shared" si="25"/>
        <v>1.8584615384615384</v>
      </c>
      <c r="O229" s="17">
        <v>1341</v>
      </c>
      <c r="P229" s="33">
        <v>0</v>
      </c>
      <c r="Q229" s="17">
        <v>0</v>
      </c>
      <c r="R229" s="17">
        <v>256</v>
      </c>
      <c r="S229" s="30">
        <v>2.35807E-2</v>
      </c>
      <c r="T229" s="34">
        <v>101.03</v>
      </c>
      <c r="U229" s="34">
        <v>0</v>
      </c>
      <c r="V229" s="34">
        <f>+T229+U229</f>
        <v>101.03</v>
      </c>
    </row>
    <row r="230" spans="1:22" x14ac:dyDescent="0.25">
      <c r="A230" s="35">
        <v>44789</v>
      </c>
      <c r="B230" s="14">
        <v>0.60416666666666663</v>
      </c>
      <c r="C230" s="15">
        <v>9</v>
      </c>
      <c r="D230" s="15">
        <v>7</v>
      </c>
      <c r="E230" s="13">
        <v>44426</v>
      </c>
      <c r="F230" s="31" t="s">
        <v>641</v>
      </c>
      <c r="G230" s="41">
        <v>7.4999999999999997E-2</v>
      </c>
      <c r="H230" s="13">
        <v>44790</v>
      </c>
      <c r="I230" s="13">
        <v>45887</v>
      </c>
      <c r="J230" s="32">
        <f t="shared" si="34"/>
        <v>4.0027397260273974</v>
      </c>
      <c r="K230" s="32">
        <f t="shared" si="35"/>
        <v>3.0054794520547947</v>
      </c>
      <c r="L230" s="17">
        <v>500</v>
      </c>
      <c r="M230" s="17">
        <v>2086.44</v>
      </c>
      <c r="N230" s="20">
        <f t="shared" si="25"/>
        <v>4.1728800000000001</v>
      </c>
      <c r="O230" s="17">
        <v>1000</v>
      </c>
      <c r="P230" s="33">
        <v>0.3387</v>
      </c>
      <c r="Q230" s="17">
        <v>135</v>
      </c>
      <c r="R230" s="17">
        <v>0</v>
      </c>
      <c r="S230" s="30">
        <v>0.1129424</v>
      </c>
      <c r="T230" s="34">
        <v>90.53</v>
      </c>
      <c r="U230" s="34">
        <v>3.73</v>
      </c>
      <c r="V230" s="34">
        <v>94.26</v>
      </c>
    </row>
    <row r="231" spans="1:22" x14ac:dyDescent="0.25">
      <c r="A231" s="35">
        <v>44796</v>
      </c>
      <c r="B231" s="14">
        <v>0.60416666666666663</v>
      </c>
      <c r="C231" s="15">
        <v>29</v>
      </c>
      <c r="D231" s="15">
        <v>9</v>
      </c>
      <c r="E231" s="13">
        <v>44432</v>
      </c>
      <c r="F231" s="31" t="s">
        <v>307</v>
      </c>
      <c r="G231" s="41">
        <v>2.5000000000000001E-2</v>
      </c>
      <c r="H231" s="13">
        <f>+A231+1</f>
        <v>44797</v>
      </c>
      <c r="I231" s="13">
        <v>49180</v>
      </c>
      <c r="J231" s="32">
        <f t="shared" si="34"/>
        <v>13.008219178082191</v>
      </c>
      <c r="K231" s="32">
        <f t="shared" si="35"/>
        <v>12.008219178082191</v>
      </c>
      <c r="L231" s="17">
        <v>300</v>
      </c>
      <c r="M231" s="17">
        <v>384.14</v>
      </c>
      <c r="N231" s="20">
        <f t="shared" si="25"/>
        <v>1.2804666666666666</v>
      </c>
      <c r="O231" s="59">
        <v>334.14</v>
      </c>
      <c r="P231" s="33">
        <v>0</v>
      </c>
      <c r="Q231" s="17">
        <v>40.130000000000003</v>
      </c>
      <c r="R231" s="17">
        <v>3.49</v>
      </c>
      <c r="S231" s="30">
        <v>3.5277999999999997E-2</v>
      </c>
      <c r="T231" s="34">
        <v>90.68</v>
      </c>
      <c r="U231" s="34">
        <v>0</v>
      </c>
      <c r="V231" s="34">
        <v>90.68</v>
      </c>
    </row>
    <row r="232" spans="1:22" x14ac:dyDescent="0.25">
      <c r="A232" s="35">
        <v>44803</v>
      </c>
      <c r="B232" s="14">
        <v>0.60416666666666663</v>
      </c>
      <c r="C232" s="15">
        <v>5</v>
      </c>
      <c r="D232" s="15">
        <v>8</v>
      </c>
      <c r="E232" s="13">
        <v>44440</v>
      </c>
      <c r="F232" s="31" t="s">
        <v>322</v>
      </c>
      <c r="G232" s="41">
        <v>0.02</v>
      </c>
      <c r="H232" s="13">
        <f>+A232+1</f>
        <v>44804</v>
      </c>
      <c r="I232" s="13">
        <v>53936</v>
      </c>
      <c r="J232" s="32">
        <f t="shared" si="34"/>
        <v>26.016438356164382</v>
      </c>
      <c r="K232" s="32">
        <f t="shared" si="35"/>
        <v>25.019178082191782</v>
      </c>
      <c r="L232" s="17">
        <v>1000</v>
      </c>
      <c r="M232" s="17">
        <v>2610</v>
      </c>
      <c r="N232" s="20">
        <f t="shared" si="25"/>
        <v>2.61</v>
      </c>
      <c r="O232" s="17">
        <v>2000</v>
      </c>
      <c r="P232" s="33">
        <v>0</v>
      </c>
      <c r="Q232" s="17">
        <v>0</v>
      </c>
      <c r="R232" s="17">
        <v>120</v>
      </c>
      <c r="S232" s="30">
        <v>2.2190399999999999E-2</v>
      </c>
      <c r="T232" s="34">
        <v>95.915430000000001</v>
      </c>
      <c r="U232" s="34">
        <v>0.99456999999999995</v>
      </c>
      <c r="V232" s="34">
        <v>96.91</v>
      </c>
    </row>
    <row r="233" spans="1:22" x14ac:dyDescent="0.25">
      <c r="A233" s="35">
        <v>44824</v>
      </c>
      <c r="B233" s="14">
        <v>0.60416666666666663</v>
      </c>
      <c r="C233" s="15">
        <v>30</v>
      </c>
      <c r="D233" s="15">
        <v>6</v>
      </c>
      <c r="E233" s="13">
        <v>44580</v>
      </c>
      <c r="F233" s="31" t="s">
        <v>307</v>
      </c>
      <c r="G233" s="41">
        <v>1.125E-2</v>
      </c>
      <c r="H233" s="13">
        <f>+A233+1</f>
        <v>44825</v>
      </c>
      <c r="I233" s="13">
        <v>46406</v>
      </c>
      <c r="J233" s="32">
        <f t="shared" si="34"/>
        <v>5.0027397260273974</v>
      </c>
      <c r="K233" s="32">
        <f t="shared" si="35"/>
        <v>4.3315068493150681</v>
      </c>
      <c r="L233" s="17">
        <v>350</v>
      </c>
      <c r="M233" s="17">
        <v>305.18</v>
      </c>
      <c r="N233" s="20">
        <f t="shared" si="25"/>
        <v>0.87194285714285713</v>
      </c>
      <c r="O233" s="19">
        <v>57.18</v>
      </c>
      <c r="P233" s="33">
        <v>0</v>
      </c>
      <c r="Q233" s="19">
        <v>10.69</v>
      </c>
      <c r="R233" s="57">
        <v>31.1</v>
      </c>
      <c r="S233" s="30">
        <v>2.6977999999999999E-2</v>
      </c>
      <c r="T233" s="34">
        <f>+V233-U233</f>
        <v>93.604349999999997</v>
      </c>
      <c r="U233" s="34">
        <v>0.19564999999999999</v>
      </c>
      <c r="V233" s="34">
        <v>93.8</v>
      </c>
    </row>
    <row r="234" spans="1:22" x14ac:dyDescent="0.25">
      <c r="A234" s="35">
        <v>44831</v>
      </c>
      <c r="B234" s="14">
        <v>0.60416666666666663</v>
      </c>
      <c r="C234" s="15">
        <v>4</v>
      </c>
      <c r="D234" s="15">
        <v>16</v>
      </c>
      <c r="E234" s="13">
        <v>43857</v>
      </c>
      <c r="F234" s="31" t="s">
        <v>322</v>
      </c>
      <c r="G234" s="41">
        <v>2.4500000000000001E-2</v>
      </c>
      <c r="H234" s="13">
        <v>44832</v>
      </c>
      <c r="I234" s="13">
        <v>50067</v>
      </c>
      <c r="J234" s="32">
        <f t="shared" ref="J234:J238" si="36">(+I234-E234)/365</f>
        <v>17.013698630136986</v>
      </c>
      <c r="K234" s="32">
        <f t="shared" si="35"/>
        <v>14.342465753424657</v>
      </c>
      <c r="L234" s="17">
        <v>1300</v>
      </c>
      <c r="M234" s="17">
        <v>2100</v>
      </c>
      <c r="N234" s="20">
        <f t="shared" si="25"/>
        <v>1.6153846153846154</v>
      </c>
      <c r="O234" s="17">
        <v>1750</v>
      </c>
      <c r="P234" s="33">
        <v>0</v>
      </c>
      <c r="Q234" s="17">
        <v>0</v>
      </c>
      <c r="R234" s="17">
        <v>0</v>
      </c>
      <c r="S234" s="30">
        <v>2.2582600000000001E-2</v>
      </c>
      <c r="T234" s="34">
        <v>102.17057</v>
      </c>
      <c r="U234" s="34">
        <v>0.41943000000000003</v>
      </c>
      <c r="V234" s="34">
        <v>102.59</v>
      </c>
    </row>
    <row r="235" spans="1:22" x14ac:dyDescent="0.25">
      <c r="A235" s="35">
        <v>44845</v>
      </c>
      <c r="B235" s="14">
        <v>0.60416666666666663</v>
      </c>
      <c r="C235" s="15">
        <v>9</v>
      </c>
      <c r="D235" s="15">
        <v>8</v>
      </c>
      <c r="E235" s="13">
        <v>44426</v>
      </c>
      <c r="F235" s="31" t="s">
        <v>641</v>
      </c>
      <c r="G235" s="41">
        <v>7.4999999999999997E-2</v>
      </c>
      <c r="H235" s="13">
        <v>44846</v>
      </c>
      <c r="I235" s="13">
        <v>45887</v>
      </c>
      <c r="J235" s="32">
        <f t="shared" si="36"/>
        <v>4.0027397260273974</v>
      </c>
      <c r="K235" s="32">
        <f t="shared" ref="K235:K241" si="37">(+I235-H235)/365</f>
        <v>2.8520547945205479</v>
      </c>
      <c r="L235" s="17">
        <v>500</v>
      </c>
      <c r="M235" s="17">
        <v>2134.06</v>
      </c>
      <c r="N235" s="20">
        <f t="shared" si="25"/>
        <v>4.2681199999999997</v>
      </c>
      <c r="O235" s="17">
        <v>669.22</v>
      </c>
      <c r="P235" s="33">
        <v>0</v>
      </c>
      <c r="Q235" s="17">
        <v>0</v>
      </c>
      <c r="R235" s="17">
        <v>0</v>
      </c>
      <c r="S235" s="30">
        <v>0.117965</v>
      </c>
      <c r="T235" s="34">
        <v>89.81</v>
      </c>
      <c r="U235" s="34">
        <v>1.1200000000000001</v>
      </c>
      <c r="V235" s="34">
        <f>+T235+U235</f>
        <v>90.93</v>
      </c>
    </row>
    <row r="236" spans="1:22" x14ac:dyDescent="0.25">
      <c r="A236" s="35">
        <v>44852</v>
      </c>
      <c r="B236" s="14">
        <v>0.60416666666666663</v>
      </c>
      <c r="C236" s="15">
        <v>29</v>
      </c>
      <c r="D236" s="15">
        <v>10</v>
      </c>
      <c r="E236" s="13">
        <v>44432</v>
      </c>
      <c r="F236" s="31" t="s">
        <v>307</v>
      </c>
      <c r="G236" s="41">
        <v>2.5000000000000001E-2</v>
      </c>
      <c r="H236" s="13">
        <v>44853</v>
      </c>
      <c r="I236" s="13">
        <v>49180</v>
      </c>
      <c r="J236" s="32">
        <f t="shared" si="36"/>
        <v>13.008219178082191</v>
      </c>
      <c r="K236" s="32">
        <f t="shared" si="37"/>
        <v>11.854794520547944</v>
      </c>
      <c r="L236" s="17">
        <v>300</v>
      </c>
      <c r="M236" s="17">
        <v>593.28</v>
      </c>
      <c r="N236" s="20">
        <f t="shared" si="25"/>
        <v>1.9775999999999998</v>
      </c>
      <c r="O236" s="58">
        <v>558.28</v>
      </c>
      <c r="P236" s="33">
        <v>0</v>
      </c>
      <c r="Q236" s="17">
        <v>240</v>
      </c>
      <c r="R236" s="17">
        <v>7.91</v>
      </c>
      <c r="S236" s="30">
        <v>3.5904400000000003E-2</v>
      </c>
      <c r="T236" s="34">
        <v>90.259569999999997</v>
      </c>
      <c r="U236" s="34">
        <v>0.38042999999999999</v>
      </c>
      <c r="V236" s="34">
        <f>+T236+U236</f>
        <v>90.64</v>
      </c>
    </row>
    <row r="237" spans="1:22" x14ac:dyDescent="0.25">
      <c r="A237" s="35">
        <v>44859</v>
      </c>
      <c r="B237" s="14">
        <v>0.60416666666666663</v>
      </c>
      <c r="C237" s="15">
        <v>5</v>
      </c>
      <c r="D237" s="15">
        <v>9</v>
      </c>
      <c r="E237" s="13">
        <v>44440</v>
      </c>
      <c r="F237" s="31" t="s">
        <v>322</v>
      </c>
      <c r="G237" s="41">
        <v>0.02</v>
      </c>
      <c r="H237" s="13">
        <f>+A237+1</f>
        <v>44860</v>
      </c>
      <c r="I237" s="13">
        <v>53936</v>
      </c>
      <c r="J237" s="32">
        <f t="shared" si="36"/>
        <v>26.016438356164382</v>
      </c>
      <c r="K237" s="32">
        <f t="shared" si="37"/>
        <v>24.865753424657534</v>
      </c>
      <c r="L237" s="17">
        <v>1000</v>
      </c>
      <c r="M237" s="17">
        <v>2373</v>
      </c>
      <c r="N237" s="20">
        <f t="shared" si="25"/>
        <v>2.3730000000000002</v>
      </c>
      <c r="O237" s="17">
        <v>1933</v>
      </c>
      <c r="P237" s="33">
        <v>0</v>
      </c>
      <c r="Q237" s="17">
        <v>0</v>
      </c>
      <c r="R237" s="17">
        <v>108</v>
      </c>
      <c r="S237" s="30">
        <v>2.2685E-2</v>
      </c>
      <c r="T237" s="34">
        <v>95.046130000000005</v>
      </c>
      <c r="U237" s="34">
        <v>0.30386999999999997</v>
      </c>
      <c r="V237" s="34">
        <v>95.35</v>
      </c>
    </row>
    <row r="238" spans="1:22" x14ac:dyDescent="0.25">
      <c r="A238" s="35">
        <v>44887</v>
      </c>
      <c r="B238" s="14">
        <v>0.60416666666666663</v>
      </c>
      <c r="C238" s="15">
        <v>30</v>
      </c>
      <c r="D238" s="15">
        <v>7</v>
      </c>
      <c r="E238" s="13">
        <v>44580</v>
      </c>
      <c r="F238" s="31" t="s">
        <v>307</v>
      </c>
      <c r="G238" s="41">
        <v>1.125E-2</v>
      </c>
      <c r="H238" s="13">
        <v>44888</v>
      </c>
      <c r="I238" s="13">
        <v>46406</v>
      </c>
      <c r="J238" s="32">
        <f t="shared" si="36"/>
        <v>5.0027397260273974</v>
      </c>
      <c r="K238" s="32">
        <f t="shared" si="37"/>
        <v>4.1589041095890407</v>
      </c>
      <c r="L238" s="17">
        <v>350</v>
      </c>
      <c r="M238" s="17">
        <v>203.62</v>
      </c>
      <c r="N238" s="20">
        <f t="shared" si="25"/>
        <v>0.58177142857142861</v>
      </c>
      <c r="O238" s="17">
        <v>62.92</v>
      </c>
      <c r="P238" s="33">
        <v>0</v>
      </c>
      <c r="Q238" s="19">
        <v>0.21</v>
      </c>
      <c r="R238" s="17">
        <v>36.17</v>
      </c>
      <c r="S238" s="30">
        <v>2.9525200000000001E-2</v>
      </c>
      <c r="T238" s="34">
        <v>92.891750000000002</v>
      </c>
      <c r="U238" s="34">
        <v>0.38824999999999998</v>
      </c>
      <c r="V238" s="34">
        <f>+T238+U238</f>
        <v>93.28</v>
      </c>
    </row>
    <row r="239" spans="1:22" x14ac:dyDescent="0.25">
      <c r="A239" s="35">
        <v>44894</v>
      </c>
      <c r="B239" s="14">
        <v>0.60416666666666663</v>
      </c>
      <c r="C239" s="15">
        <v>4</v>
      </c>
      <c r="D239" s="15">
        <v>17</v>
      </c>
      <c r="E239" s="13">
        <v>43857</v>
      </c>
      <c r="F239" s="31" t="s">
        <v>322</v>
      </c>
      <c r="G239" s="41">
        <v>2.4500000000000001E-2</v>
      </c>
      <c r="H239" s="13">
        <v>44895</v>
      </c>
      <c r="I239" s="13">
        <v>50067</v>
      </c>
      <c r="J239" s="32">
        <f t="shared" ref="J239:J250" si="38">(+I239-E239)/365</f>
        <v>17.013698630136986</v>
      </c>
      <c r="K239" s="32">
        <f t="shared" si="37"/>
        <v>14.169863013698631</v>
      </c>
      <c r="L239" s="17">
        <v>1300</v>
      </c>
      <c r="M239" s="17">
        <v>3600</v>
      </c>
      <c r="N239" s="20">
        <f t="shared" si="25"/>
        <v>2.7692307692307692</v>
      </c>
      <c r="O239" s="17">
        <v>2600</v>
      </c>
      <c r="P239" s="33">
        <v>0.63009999999999999</v>
      </c>
      <c r="Q239" s="17">
        <v>400</v>
      </c>
      <c r="R239" s="17">
        <v>408</v>
      </c>
      <c r="S239" s="30">
        <v>2.2189899999999999E-2</v>
      </c>
      <c r="T239" s="34">
        <v>102.60114</v>
      </c>
      <c r="U239" s="34">
        <v>0.83886000000000005</v>
      </c>
      <c r="V239" s="34">
        <f>+T239+U239</f>
        <v>103.44</v>
      </c>
    </row>
    <row r="240" spans="1:22" x14ac:dyDescent="0.25">
      <c r="A240" s="35">
        <v>44901</v>
      </c>
      <c r="B240" s="14">
        <v>0.60416666666666663</v>
      </c>
      <c r="C240" s="15">
        <v>9</v>
      </c>
      <c r="D240" s="15">
        <v>9</v>
      </c>
      <c r="E240" s="13">
        <v>44426</v>
      </c>
      <c r="F240" s="31" t="s">
        <v>641</v>
      </c>
      <c r="G240" s="41">
        <v>7.4999999999999997E-2</v>
      </c>
      <c r="H240" s="13">
        <v>44902</v>
      </c>
      <c r="I240" s="13">
        <v>45887</v>
      </c>
      <c r="J240" s="32">
        <f t="shared" si="38"/>
        <v>4.0027397260273974</v>
      </c>
      <c r="K240" s="32">
        <f t="shared" si="37"/>
        <v>2.6986301369863015</v>
      </c>
      <c r="L240" s="17">
        <v>500</v>
      </c>
      <c r="M240" s="17">
        <v>3002.15</v>
      </c>
      <c r="N240" s="20">
        <f t="shared" si="25"/>
        <v>6.0042999999999997</v>
      </c>
      <c r="O240" s="17">
        <v>1000</v>
      </c>
      <c r="P240" s="33">
        <v>0.59140000000000004</v>
      </c>
      <c r="Q240" s="17">
        <v>279.57</v>
      </c>
      <c r="R240" s="17">
        <v>200</v>
      </c>
      <c r="S240" s="30">
        <v>0.1148303</v>
      </c>
      <c r="T240" s="34">
        <v>90.95</v>
      </c>
      <c r="U240" s="34">
        <v>2.2599999999999998</v>
      </c>
      <c r="V240" s="34">
        <f>+T240+U240</f>
        <v>93.210000000000008</v>
      </c>
    </row>
    <row r="241" spans="1:22" x14ac:dyDescent="0.25">
      <c r="A241" s="35">
        <v>44908</v>
      </c>
      <c r="B241" s="14">
        <v>0.60416666666666663</v>
      </c>
      <c r="C241" s="15">
        <v>29</v>
      </c>
      <c r="D241" s="15">
        <v>11</v>
      </c>
      <c r="E241" s="13">
        <v>44432</v>
      </c>
      <c r="F241" s="31" t="s">
        <v>307</v>
      </c>
      <c r="G241" s="41">
        <v>2.5000000000000001E-2</v>
      </c>
      <c r="H241" s="13">
        <f>+A241+1</f>
        <v>44909</v>
      </c>
      <c r="I241" s="13">
        <v>49180</v>
      </c>
      <c r="J241" s="32">
        <f t="shared" si="38"/>
        <v>13.008219178082191</v>
      </c>
      <c r="K241" s="32">
        <f t="shared" si="37"/>
        <v>11.701369863013699</v>
      </c>
      <c r="L241" s="17">
        <v>300</v>
      </c>
      <c r="M241" s="17">
        <v>250.04</v>
      </c>
      <c r="N241" s="20">
        <f t="shared" si="25"/>
        <v>0.83346666666666669</v>
      </c>
      <c r="O241" s="19">
        <v>117.72</v>
      </c>
      <c r="P241" s="33">
        <v>0</v>
      </c>
      <c r="Q241" s="17">
        <v>39</v>
      </c>
      <c r="R241" s="19">
        <v>5.45</v>
      </c>
      <c r="S241" s="30">
        <v>3.4918699999999997E-2</v>
      </c>
      <c r="T241" s="34">
        <f>+V241-U241</f>
        <v>91.199129999999997</v>
      </c>
      <c r="U241" s="34">
        <v>0.76087000000000005</v>
      </c>
      <c r="V241" s="34">
        <v>91.96</v>
      </c>
    </row>
    <row r="242" spans="1:22" x14ac:dyDescent="0.25">
      <c r="A242" s="35">
        <v>44915</v>
      </c>
      <c r="B242" s="14">
        <v>0.60416666666666663</v>
      </c>
      <c r="C242" s="15">
        <v>5</v>
      </c>
      <c r="D242" s="15">
        <v>10</v>
      </c>
      <c r="E242" s="13">
        <v>44440</v>
      </c>
      <c r="F242" s="31" t="s">
        <v>322</v>
      </c>
      <c r="G242" s="41">
        <v>0.02</v>
      </c>
      <c r="H242" s="13">
        <f>+A242+1</f>
        <v>44916</v>
      </c>
      <c r="I242" s="13">
        <v>53936</v>
      </c>
      <c r="J242" s="32">
        <f t="shared" si="38"/>
        <v>26.016438356164382</v>
      </c>
      <c r="K242" s="32">
        <f t="shared" ref="K242:K250" si="39">(+I242-H242)/365</f>
        <v>24.712328767123289</v>
      </c>
      <c r="L242" s="17">
        <v>1150</v>
      </c>
      <c r="M242" s="17">
        <v>3163.5</v>
      </c>
      <c r="N242" s="20">
        <f t="shared" si="25"/>
        <v>2.7508695652173913</v>
      </c>
      <c r="O242" s="17">
        <v>2300</v>
      </c>
      <c r="P242" s="33">
        <v>0.55500000000000005</v>
      </c>
      <c r="Q242" s="17">
        <v>750</v>
      </c>
      <c r="R242" s="17">
        <v>143.5</v>
      </c>
      <c r="S242" s="30">
        <v>2.2488000000000001E-2</v>
      </c>
      <c r="T242" s="34">
        <v>95.416740000000004</v>
      </c>
      <c r="U242" s="34">
        <v>0.61326000000000003</v>
      </c>
      <c r="V242" s="34">
        <f>+T242+U242</f>
        <v>96.03</v>
      </c>
    </row>
    <row r="243" spans="1:22" x14ac:dyDescent="0.25">
      <c r="A243" s="35">
        <v>44943</v>
      </c>
      <c r="B243" s="14">
        <v>0.60416666666666663</v>
      </c>
      <c r="C243" s="15">
        <v>31</v>
      </c>
      <c r="D243" s="15">
        <v>1</v>
      </c>
      <c r="E243" s="13">
        <v>44944</v>
      </c>
      <c r="F243" s="31" t="s">
        <v>307</v>
      </c>
      <c r="G243" s="41">
        <v>3.2500000000000001E-2</v>
      </c>
      <c r="H243" s="13">
        <v>44944</v>
      </c>
      <c r="I243" s="13">
        <v>47136</v>
      </c>
      <c r="J243" s="32">
        <f t="shared" si="38"/>
        <v>6.0054794520547947</v>
      </c>
      <c r="K243" s="32">
        <f t="shared" si="39"/>
        <v>6.0054794520547947</v>
      </c>
      <c r="L243" s="17">
        <v>200</v>
      </c>
      <c r="M243" s="19">
        <v>446.44</v>
      </c>
      <c r="N243" s="20">
        <f t="shared" si="25"/>
        <v>2.2322000000000002</v>
      </c>
      <c r="O243" s="19">
        <v>195.67</v>
      </c>
      <c r="P243" s="33">
        <v>0</v>
      </c>
      <c r="Q243" s="19">
        <v>50.48</v>
      </c>
      <c r="R243" s="19">
        <v>36.85</v>
      </c>
      <c r="S243" s="30">
        <v>3.1002200000000001E-2</v>
      </c>
      <c r="T243" s="34">
        <v>100.8</v>
      </c>
      <c r="U243" s="34">
        <v>0</v>
      </c>
      <c r="V243" s="34">
        <f>+T243+U243</f>
        <v>100.8</v>
      </c>
    </row>
    <row r="244" spans="1:22" x14ac:dyDescent="0.25">
      <c r="A244" s="35">
        <v>44950</v>
      </c>
      <c r="B244" s="14">
        <v>0.60416666666666663</v>
      </c>
      <c r="C244" s="15">
        <v>3</v>
      </c>
      <c r="D244" s="15">
        <v>15</v>
      </c>
      <c r="E244" s="13">
        <v>43598</v>
      </c>
      <c r="F244" s="31" t="s">
        <v>322</v>
      </c>
      <c r="G244" s="41">
        <v>2.2000000000000002E-2</v>
      </c>
      <c r="H244" s="13">
        <v>44951</v>
      </c>
      <c r="I244" s="13">
        <v>51269</v>
      </c>
      <c r="J244" s="32">
        <f t="shared" si="38"/>
        <v>21.016438356164382</v>
      </c>
      <c r="K244" s="32">
        <f t="shared" si="39"/>
        <v>17.30958904109589</v>
      </c>
      <c r="L244" s="17">
        <v>1100</v>
      </c>
      <c r="M244" s="19">
        <v>3539</v>
      </c>
      <c r="N244" s="20">
        <f t="shared" si="25"/>
        <v>3.2172727272727273</v>
      </c>
      <c r="O244" s="19">
        <v>2156.6</v>
      </c>
      <c r="P244" s="27">
        <v>0</v>
      </c>
      <c r="Q244" s="19">
        <v>0</v>
      </c>
      <c r="R244" s="19">
        <v>200</v>
      </c>
      <c r="S244" s="30">
        <v>2.1491699999999999E-2</v>
      </c>
      <c r="T244" s="34">
        <v>100.67635</v>
      </c>
      <c r="U244" s="34">
        <v>0.44364999999999999</v>
      </c>
      <c r="V244" s="34">
        <f>+U244+T244</f>
        <v>101.12</v>
      </c>
    </row>
    <row r="245" spans="1:22" x14ac:dyDescent="0.25">
      <c r="A245" s="35">
        <v>44957</v>
      </c>
      <c r="B245" s="14">
        <v>0.60416666666666663</v>
      </c>
      <c r="C245" s="15">
        <v>10</v>
      </c>
      <c r="D245" s="15">
        <v>1</v>
      </c>
      <c r="E245" s="13">
        <v>44958</v>
      </c>
      <c r="F245" s="31" t="s">
        <v>641</v>
      </c>
      <c r="G245" s="41">
        <v>0.105</v>
      </c>
      <c r="H245" s="13">
        <v>44958</v>
      </c>
      <c r="I245" s="13">
        <v>47150</v>
      </c>
      <c r="J245" s="32">
        <f t="shared" si="38"/>
        <v>6.0054794520547947</v>
      </c>
      <c r="K245" s="32">
        <f t="shared" si="39"/>
        <v>6.0054794520547947</v>
      </c>
      <c r="L245" s="17">
        <v>800</v>
      </c>
      <c r="M245" s="17">
        <v>4179.91</v>
      </c>
      <c r="N245" s="20">
        <f t="shared" si="25"/>
        <v>5.2248874999999995</v>
      </c>
      <c r="O245" s="17">
        <v>1600</v>
      </c>
      <c r="P245" s="33">
        <v>0.54190000000000005</v>
      </c>
      <c r="Q245" s="17">
        <v>0</v>
      </c>
      <c r="R245" s="17">
        <v>970</v>
      </c>
      <c r="S245" s="30">
        <v>0.1049263</v>
      </c>
      <c r="T245" s="34">
        <v>100</v>
      </c>
      <c r="U245" s="34">
        <v>0</v>
      </c>
      <c r="V245" s="34">
        <f t="shared" ref="V245:V250" si="40">+T245+U245</f>
        <v>100</v>
      </c>
    </row>
    <row r="246" spans="1:22" x14ac:dyDescent="0.25">
      <c r="A246" s="35">
        <v>44964</v>
      </c>
      <c r="B246" s="14">
        <v>0.58333333333333337</v>
      </c>
      <c r="C246" s="15">
        <v>31</v>
      </c>
      <c r="D246" s="15">
        <v>2</v>
      </c>
      <c r="E246" s="13">
        <v>44944</v>
      </c>
      <c r="F246" s="31" t="s">
        <v>307</v>
      </c>
      <c r="G246" s="41">
        <v>3.2500000000000001E-2</v>
      </c>
      <c r="H246" s="13">
        <v>44970</v>
      </c>
      <c r="I246" s="13">
        <v>47136</v>
      </c>
      <c r="J246" s="32">
        <f t="shared" si="38"/>
        <v>6.0054794520547947</v>
      </c>
      <c r="K246" s="32">
        <f t="shared" si="39"/>
        <v>5.934246575342466</v>
      </c>
      <c r="L246" s="17">
        <v>700</v>
      </c>
      <c r="M246" s="17">
        <v>1879.62</v>
      </c>
      <c r="N246" s="20">
        <f t="shared" si="25"/>
        <v>2.6851714285714285</v>
      </c>
      <c r="O246" s="17">
        <v>1400</v>
      </c>
      <c r="P246" s="33">
        <v>0.45710000000000001</v>
      </c>
      <c r="Q246" s="17">
        <v>769.83</v>
      </c>
      <c r="R246" s="17">
        <v>332.41</v>
      </c>
      <c r="S246" s="30">
        <v>3.0985800000000001E-2</v>
      </c>
      <c r="T246" s="34">
        <v>100.79657</v>
      </c>
      <c r="U246" s="34">
        <v>0.23343</v>
      </c>
      <c r="V246" s="34">
        <f t="shared" si="40"/>
        <v>101.03</v>
      </c>
    </row>
    <row r="247" spans="1:22" x14ac:dyDescent="0.25">
      <c r="A247" s="35">
        <v>44965</v>
      </c>
      <c r="B247" s="14">
        <v>0.58333333333333337</v>
      </c>
      <c r="C247" s="15">
        <v>10</v>
      </c>
      <c r="D247" s="15">
        <v>2</v>
      </c>
      <c r="E247" s="13">
        <v>44958</v>
      </c>
      <c r="F247" s="31" t="s">
        <v>641</v>
      </c>
      <c r="G247" s="41">
        <v>0.105</v>
      </c>
      <c r="H247" s="13">
        <v>44970</v>
      </c>
      <c r="I247" s="13">
        <v>47150</v>
      </c>
      <c r="J247" s="32">
        <f t="shared" si="38"/>
        <v>6.0054794520547947</v>
      </c>
      <c r="K247" s="32">
        <f t="shared" si="39"/>
        <v>5.9726027397260273</v>
      </c>
      <c r="L247" s="17">
        <v>4000</v>
      </c>
      <c r="M247" s="17">
        <v>9010.32</v>
      </c>
      <c r="N247" s="20">
        <f t="shared" si="25"/>
        <v>2.25258</v>
      </c>
      <c r="O247" s="17">
        <v>4156.93</v>
      </c>
      <c r="P247" s="33">
        <v>0</v>
      </c>
      <c r="Q247" s="17">
        <v>2021.23</v>
      </c>
      <c r="R247" s="17">
        <v>1026.05</v>
      </c>
      <c r="S247" s="30">
        <v>0.103725</v>
      </c>
      <c r="T247" s="34">
        <v>100.5</v>
      </c>
      <c r="U247" s="34">
        <v>0.35</v>
      </c>
      <c r="V247" s="34">
        <f t="shared" si="40"/>
        <v>100.85</v>
      </c>
    </row>
    <row r="248" spans="1:22" x14ac:dyDescent="0.25">
      <c r="A248" s="35">
        <v>44966</v>
      </c>
      <c r="B248" s="14">
        <v>0.58333333333333337</v>
      </c>
      <c r="C248" s="15">
        <v>3</v>
      </c>
      <c r="D248" s="15">
        <v>16</v>
      </c>
      <c r="E248" s="13">
        <v>43598</v>
      </c>
      <c r="F248" s="31" t="s">
        <v>322</v>
      </c>
      <c r="G248" s="41">
        <v>2.2000000000000002E-2</v>
      </c>
      <c r="H248" s="13">
        <v>44970</v>
      </c>
      <c r="I248" s="13">
        <v>51269</v>
      </c>
      <c r="J248" s="32">
        <f t="shared" si="38"/>
        <v>21.016438356164382</v>
      </c>
      <c r="K248" s="32">
        <f t="shared" si="39"/>
        <v>17.257534246575343</v>
      </c>
      <c r="L248" s="17">
        <v>4100</v>
      </c>
      <c r="M248" s="17">
        <v>11100</v>
      </c>
      <c r="N248" s="20">
        <f t="shared" si="25"/>
        <v>2.7073170731707319</v>
      </c>
      <c r="O248" s="17">
        <v>8200</v>
      </c>
      <c r="P248" s="33">
        <v>0.84150000000000003</v>
      </c>
      <c r="Q248" s="17">
        <v>7260</v>
      </c>
      <c r="R248" s="17">
        <v>940</v>
      </c>
      <c r="S248" s="30">
        <v>2.1093600000000001E-2</v>
      </c>
      <c r="T248" s="34">
        <v>101.22087999999999</v>
      </c>
      <c r="U248" s="34">
        <v>0.55911999999999995</v>
      </c>
      <c r="V248" s="34">
        <f t="shared" si="40"/>
        <v>101.77999999999999</v>
      </c>
    </row>
    <row r="249" spans="1:22" x14ac:dyDescent="0.25">
      <c r="A249" s="35">
        <v>44967</v>
      </c>
      <c r="B249" s="14">
        <v>0.58333333333333337</v>
      </c>
      <c r="C249" s="15">
        <v>5</v>
      </c>
      <c r="D249" s="15">
        <v>11</v>
      </c>
      <c r="E249" s="13">
        <v>44440</v>
      </c>
      <c r="F249" s="31" t="s">
        <v>322</v>
      </c>
      <c r="G249" s="41">
        <v>0.02</v>
      </c>
      <c r="H249" s="13">
        <v>44970</v>
      </c>
      <c r="I249" s="13">
        <v>53936</v>
      </c>
      <c r="J249" s="32">
        <f t="shared" si="38"/>
        <v>26.016438356164382</v>
      </c>
      <c r="K249" s="32">
        <f t="shared" si="39"/>
        <v>24.564383561643837</v>
      </c>
      <c r="L249" s="17">
        <v>4100</v>
      </c>
      <c r="M249" s="17">
        <v>9675</v>
      </c>
      <c r="N249" s="20">
        <f t="shared" si="25"/>
        <v>2.3597560975609757</v>
      </c>
      <c r="O249" s="17">
        <v>8200</v>
      </c>
      <c r="P249" s="33">
        <v>0.85370000000000001</v>
      </c>
      <c r="Q249" s="17">
        <v>7475</v>
      </c>
      <c r="R249" s="17">
        <v>725</v>
      </c>
      <c r="S249" s="30">
        <v>2.1388500000000001E-2</v>
      </c>
      <c r="T249" s="34">
        <v>97.4084</v>
      </c>
      <c r="U249" s="34">
        <v>0.91159999999999997</v>
      </c>
      <c r="V249" s="34">
        <f t="shared" si="40"/>
        <v>98.32</v>
      </c>
    </row>
    <row r="250" spans="1:22" x14ac:dyDescent="0.25">
      <c r="A250" s="35">
        <v>44985</v>
      </c>
      <c r="B250" s="14">
        <v>0.60416666666666663</v>
      </c>
      <c r="C250" s="15">
        <v>5</v>
      </c>
      <c r="D250" s="15">
        <v>12</v>
      </c>
      <c r="E250" s="13">
        <v>44440</v>
      </c>
      <c r="F250" s="31" t="s">
        <v>322</v>
      </c>
      <c r="G250" s="41">
        <v>0.02</v>
      </c>
      <c r="H250" s="13">
        <v>45000</v>
      </c>
      <c r="I250" s="13">
        <v>53936</v>
      </c>
      <c r="J250" s="32">
        <f t="shared" si="38"/>
        <v>26.016438356164382</v>
      </c>
      <c r="K250" s="32">
        <f t="shared" si="39"/>
        <v>24.482191780821918</v>
      </c>
      <c r="L250" s="17">
        <v>1200</v>
      </c>
      <c r="M250" s="17">
        <v>4230</v>
      </c>
      <c r="N250" s="20">
        <f t="shared" si="25"/>
        <v>3.5249999999999999</v>
      </c>
      <c r="O250" s="17">
        <v>2400</v>
      </c>
      <c r="P250" s="33">
        <v>0.2</v>
      </c>
      <c r="Q250" s="17">
        <v>0</v>
      </c>
      <c r="R250" s="17">
        <v>200</v>
      </c>
      <c r="S250" s="30">
        <v>2.1478000000000001E-2</v>
      </c>
      <c r="T250" s="34">
        <v>97.25</v>
      </c>
      <c r="U250" s="34">
        <v>0</v>
      </c>
      <c r="V250" s="34">
        <f t="shared" si="40"/>
        <v>97.25</v>
      </c>
    </row>
    <row r="251" spans="1:22" x14ac:dyDescent="0.25">
      <c r="A251" s="35">
        <v>44999</v>
      </c>
      <c r="B251" s="14">
        <v>0.60416666666666663</v>
      </c>
      <c r="C251" s="15">
        <v>31</v>
      </c>
      <c r="D251" s="15">
        <v>3</v>
      </c>
      <c r="E251" s="13">
        <v>44944</v>
      </c>
      <c r="F251" s="31" t="s">
        <v>307</v>
      </c>
      <c r="G251" s="41">
        <v>3.2500000000000001E-2</v>
      </c>
      <c r="H251" s="13">
        <v>45000</v>
      </c>
      <c r="I251" s="13">
        <v>47136</v>
      </c>
      <c r="J251" s="32">
        <f t="shared" ref="J251:J254" si="41">(+I251-E251)/365</f>
        <v>6.0054794520547947</v>
      </c>
      <c r="K251" s="32">
        <f t="shared" ref="K251:K254" si="42">(+I251-H251)/365</f>
        <v>5.8520547945205479</v>
      </c>
      <c r="L251" s="17">
        <v>200</v>
      </c>
      <c r="M251" s="19">
        <v>288.42</v>
      </c>
      <c r="N251" s="20">
        <f t="shared" si="25"/>
        <v>1.4421000000000002</v>
      </c>
      <c r="O251" s="19">
        <v>57.37</v>
      </c>
      <c r="P251" s="33">
        <v>0</v>
      </c>
      <c r="Q251" s="19">
        <v>47.13</v>
      </c>
      <c r="R251" s="19">
        <v>1.23</v>
      </c>
      <c r="S251" s="30">
        <v>2.9932199999999999E-2</v>
      </c>
      <c r="T251" s="34">
        <f>+V251-U251</f>
        <v>101.34724</v>
      </c>
      <c r="U251" s="34">
        <v>0.50275999999999998</v>
      </c>
      <c r="V251" s="34">
        <v>101.85</v>
      </c>
    </row>
    <row r="252" spans="1:22" x14ac:dyDescent="0.25">
      <c r="A252" s="35">
        <v>45006</v>
      </c>
      <c r="B252" s="14">
        <v>0.60416666666666663</v>
      </c>
      <c r="C252" s="15">
        <v>3</v>
      </c>
      <c r="D252" s="15">
        <v>17</v>
      </c>
      <c r="E252" s="13">
        <v>43598</v>
      </c>
      <c r="F252" s="31" t="s">
        <v>322</v>
      </c>
      <c r="G252" s="41">
        <v>2.2000000000000002E-2</v>
      </c>
      <c r="H252" s="13">
        <v>45007</v>
      </c>
      <c r="I252" s="13">
        <v>51269</v>
      </c>
      <c r="J252" s="32">
        <f t="shared" si="41"/>
        <v>21.016438356164382</v>
      </c>
      <c r="K252" s="32">
        <f t="shared" si="42"/>
        <v>17.156164383561645</v>
      </c>
      <c r="L252" s="17">
        <v>1100</v>
      </c>
      <c r="M252" s="17">
        <v>1300</v>
      </c>
      <c r="N252" s="20">
        <f t="shared" si="25"/>
        <v>1.1818181818181819</v>
      </c>
      <c r="O252" s="17">
        <v>1100</v>
      </c>
      <c r="P252" s="33">
        <v>0</v>
      </c>
      <c r="Q252" s="17">
        <v>0</v>
      </c>
      <c r="R252" s="17">
        <v>0</v>
      </c>
      <c r="S252" s="30">
        <v>2.1186E-2</v>
      </c>
      <c r="T252" s="34">
        <f>+V252-U252</f>
        <v>101.08602</v>
      </c>
      <c r="U252" s="34">
        <v>0.78398000000000001</v>
      </c>
      <c r="V252" s="34">
        <v>101.87</v>
      </c>
    </row>
    <row r="253" spans="1:22" x14ac:dyDescent="0.25">
      <c r="A253" s="35">
        <v>45013</v>
      </c>
      <c r="B253" s="14">
        <v>0.60416666666666663</v>
      </c>
      <c r="C253" s="15">
        <v>10</v>
      </c>
      <c r="D253" s="15">
        <v>3</v>
      </c>
      <c r="E253" s="13">
        <v>44958</v>
      </c>
      <c r="F253" s="31" t="s">
        <v>641</v>
      </c>
      <c r="G253" s="41">
        <v>0.105</v>
      </c>
      <c r="H253" s="13">
        <v>45014</v>
      </c>
      <c r="I253" s="13">
        <v>47150</v>
      </c>
      <c r="J253" s="32">
        <f t="shared" si="41"/>
        <v>6.0054794520547947</v>
      </c>
      <c r="K253" s="32">
        <f t="shared" si="42"/>
        <v>5.8520547945205479</v>
      </c>
      <c r="L253" s="17">
        <v>800</v>
      </c>
      <c r="M253" s="19">
        <v>611.79</v>
      </c>
      <c r="N253" s="20">
        <f t="shared" si="25"/>
        <v>0.76473749999999996</v>
      </c>
      <c r="O253" s="17">
        <v>0</v>
      </c>
      <c r="P253" s="33">
        <v>0</v>
      </c>
      <c r="Q253" s="17">
        <v>0</v>
      </c>
      <c r="R253" s="17">
        <v>0</v>
      </c>
      <c r="S253" s="30" t="s">
        <v>327</v>
      </c>
      <c r="T253" s="34" t="s">
        <v>327</v>
      </c>
      <c r="U253" s="34">
        <v>1.62</v>
      </c>
      <c r="V253" s="34" t="s">
        <v>327</v>
      </c>
    </row>
    <row r="254" spans="1:22" x14ac:dyDescent="0.25">
      <c r="A254" s="35">
        <v>45027</v>
      </c>
      <c r="B254" s="14">
        <v>0.60416666666666663</v>
      </c>
      <c r="C254" s="15">
        <v>29</v>
      </c>
      <c r="D254" s="15">
        <v>12</v>
      </c>
      <c r="E254" s="13">
        <v>44432</v>
      </c>
      <c r="F254" s="31" t="s">
        <v>307</v>
      </c>
      <c r="G254" s="41">
        <v>2.5000000000000001E-2</v>
      </c>
      <c r="H254" s="13">
        <v>45028</v>
      </c>
      <c r="I254" s="13">
        <v>49180</v>
      </c>
      <c r="J254" s="32">
        <f t="shared" si="41"/>
        <v>13.008219178082191</v>
      </c>
      <c r="K254" s="32">
        <f t="shared" si="42"/>
        <v>11.375342465753425</v>
      </c>
      <c r="L254" s="17">
        <v>200</v>
      </c>
      <c r="M254" s="17">
        <v>416.48</v>
      </c>
      <c r="N254" s="20">
        <f t="shared" si="25"/>
        <v>2.0824000000000003</v>
      </c>
      <c r="O254" s="19">
        <v>217.48</v>
      </c>
      <c r="P254" s="33">
        <v>0</v>
      </c>
      <c r="Q254" s="17">
        <v>200</v>
      </c>
      <c r="R254" s="19">
        <v>5.0199999999999996</v>
      </c>
      <c r="S254" s="30">
        <v>3.3933699999999997E-2</v>
      </c>
      <c r="T254" s="34">
        <f>+V254-U254</f>
        <v>92.235410000000002</v>
      </c>
      <c r="U254" s="34">
        <v>0.32458999999999999</v>
      </c>
      <c r="V254" s="34">
        <v>92.56</v>
      </c>
    </row>
    <row r="255" spans="1:22" x14ac:dyDescent="0.25">
      <c r="A255" s="35">
        <v>45034</v>
      </c>
      <c r="B255" s="14">
        <v>0.60416666666666663</v>
      </c>
      <c r="C255" s="15">
        <v>5</v>
      </c>
      <c r="D255" s="15">
        <v>13</v>
      </c>
      <c r="E255" s="13">
        <v>44440</v>
      </c>
      <c r="F255" s="31" t="s">
        <v>322</v>
      </c>
      <c r="G255" s="41">
        <v>0.02</v>
      </c>
      <c r="H255" s="13">
        <v>45035</v>
      </c>
      <c r="I255" s="13">
        <v>53936</v>
      </c>
      <c r="J255" s="32">
        <f t="shared" ref="J255:J259" si="43">(+I255-E255)/365</f>
        <v>26.016438356164382</v>
      </c>
      <c r="K255" s="32">
        <f t="shared" ref="K255:K262" si="44">(+I255-H255)/365</f>
        <v>24.386301369863013</v>
      </c>
      <c r="L255" s="17">
        <v>1200</v>
      </c>
      <c r="M255" s="17">
        <v>2308</v>
      </c>
      <c r="N255" s="20">
        <f t="shared" si="25"/>
        <v>1.9233333333333333</v>
      </c>
      <c r="O255" s="17">
        <v>1588</v>
      </c>
      <c r="P255" s="33">
        <v>0</v>
      </c>
      <c r="Q255" s="17">
        <v>794</v>
      </c>
      <c r="R255" s="17">
        <v>74</v>
      </c>
      <c r="S255" s="30">
        <v>2.2081099999999999E-2</v>
      </c>
      <c r="T255" s="34">
        <f>+V255-U255</f>
        <v>96.183700000000002</v>
      </c>
      <c r="U255" s="34">
        <v>0.26629999999999998</v>
      </c>
      <c r="V255" s="34">
        <v>96.45</v>
      </c>
    </row>
    <row r="256" spans="1:22" x14ac:dyDescent="0.25">
      <c r="A256" s="35">
        <v>45055</v>
      </c>
      <c r="B256" s="14">
        <v>0.60416666666666663</v>
      </c>
      <c r="C256" s="15">
        <v>31</v>
      </c>
      <c r="D256" s="15">
        <v>4</v>
      </c>
      <c r="E256" s="13">
        <v>44944</v>
      </c>
      <c r="F256" s="31" t="s">
        <v>307</v>
      </c>
      <c r="G256" s="41">
        <v>3.2500000000000001E-2</v>
      </c>
      <c r="H256" s="13">
        <v>45056</v>
      </c>
      <c r="I256" s="13">
        <v>47136</v>
      </c>
      <c r="J256" s="32">
        <f t="shared" si="43"/>
        <v>6.0054794520547947</v>
      </c>
      <c r="K256" s="32">
        <f t="shared" si="44"/>
        <v>5.6986301369863011</v>
      </c>
      <c r="L256" s="17">
        <v>200</v>
      </c>
      <c r="M256" s="17">
        <v>292.22000000000003</v>
      </c>
      <c r="N256" s="20">
        <f t="shared" si="25"/>
        <v>1.4611000000000001</v>
      </c>
      <c r="O256" s="17">
        <v>218.1</v>
      </c>
      <c r="P256" s="33">
        <v>0</v>
      </c>
      <c r="Q256" s="17">
        <v>177.67</v>
      </c>
      <c r="R256" s="17">
        <v>23.01</v>
      </c>
      <c r="S256" s="30">
        <v>3.0898700000000001E-2</v>
      </c>
      <c r="T256" s="34">
        <f>+V256-U256</f>
        <v>100.80448</v>
      </c>
      <c r="U256" s="34">
        <v>1.00552</v>
      </c>
      <c r="V256" s="34">
        <v>101.81</v>
      </c>
    </row>
    <row r="257" spans="1:22" x14ac:dyDescent="0.25">
      <c r="A257" s="35">
        <v>45062</v>
      </c>
      <c r="B257" s="14">
        <v>0.60416666666666663</v>
      </c>
      <c r="C257" s="15">
        <v>3</v>
      </c>
      <c r="D257" s="15">
        <v>18</v>
      </c>
      <c r="E257" s="13">
        <v>43598</v>
      </c>
      <c r="F257" s="31" t="s">
        <v>322</v>
      </c>
      <c r="G257" s="41">
        <v>2.2000000000000002E-2</v>
      </c>
      <c r="H257" s="13">
        <v>45063</v>
      </c>
      <c r="I257" s="13">
        <v>51269</v>
      </c>
      <c r="J257" s="32">
        <f t="shared" si="43"/>
        <v>21.016438356164382</v>
      </c>
      <c r="K257" s="32">
        <f t="shared" si="44"/>
        <v>17.002739726027396</v>
      </c>
      <c r="L257" s="17">
        <v>1100</v>
      </c>
      <c r="M257" s="17">
        <v>2565.69</v>
      </c>
      <c r="N257" s="20">
        <f t="shared" si="25"/>
        <v>2.3324454545454545</v>
      </c>
      <c r="O257" s="17">
        <v>2200</v>
      </c>
      <c r="P257" s="33">
        <v>0</v>
      </c>
      <c r="Q257" s="17">
        <v>1610.31</v>
      </c>
      <c r="R257" s="17">
        <v>0</v>
      </c>
      <c r="S257" s="30">
        <v>2.20897E-2</v>
      </c>
      <c r="T257" s="34">
        <f>+V257-U257</f>
        <v>99.856089999999995</v>
      </c>
      <c r="U257" s="34">
        <v>2.3910000000000001E-2</v>
      </c>
      <c r="V257" s="34">
        <v>99.88</v>
      </c>
    </row>
    <row r="258" spans="1:22" x14ac:dyDescent="0.25">
      <c r="A258" s="35">
        <v>45069</v>
      </c>
      <c r="B258" s="14">
        <v>0.60416666666666663</v>
      </c>
      <c r="C258" s="15">
        <v>10</v>
      </c>
      <c r="D258" s="15">
        <v>4</v>
      </c>
      <c r="E258" s="13">
        <v>44958</v>
      </c>
      <c r="F258" s="31" t="s">
        <v>641</v>
      </c>
      <c r="G258" s="41">
        <v>0.105</v>
      </c>
      <c r="H258" s="13">
        <v>45070</v>
      </c>
      <c r="I258" s="13">
        <v>47150</v>
      </c>
      <c r="J258" s="32">
        <f t="shared" si="43"/>
        <v>6.0054794520547947</v>
      </c>
      <c r="K258" s="32">
        <f t="shared" si="44"/>
        <v>5.6986301369863011</v>
      </c>
      <c r="L258" s="17">
        <v>800</v>
      </c>
      <c r="M258" s="17">
        <v>191.08</v>
      </c>
      <c r="N258" s="20">
        <f t="shared" si="25"/>
        <v>0.23885000000000001</v>
      </c>
      <c r="O258" s="17">
        <v>0</v>
      </c>
      <c r="P258" s="33">
        <v>0</v>
      </c>
      <c r="Q258" s="17">
        <v>0</v>
      </c>
      <c r="R258" s="17">
        <v>0</v>
      </c>
      <c r="S258" s="30" t="s">
        <v>327</v>
      </c>
      <c r="T258" s="34" t="s">
        <v>327</v>
      </c>
      <c r="U258" s="34">
        <v>3.25</v>
      </c>
      <c r="V258" s="34" t="s">
        <v>327</v>
      </c>
    </row>
    <row r="259" spans="1:22" x14ac:dyDescent="0.25">
      <c r="A259" s="35">
        <v>45090</v>
      </c>
      <c r="B259" s="14">
        <v>0.60416666666666663</v>
      </c>
      <c r="C259" s="15">
        <v>29</v>
      </c>
      <c r="D259" s="15">
        <v>13</v>
      </c>
      <c r="E259" s="13">
        <v>44432</v>
      </c>
      <c r="F259" s="31" t="s">
        <v>307</v>
      </c>
      <c r="G259" s="41">
        <v>2.5000000000000001E-2</v>
      </c>
      <c r="H259" s="13">
        <v>45091</v>
      </c>
      <c r="I259" s="13">
        <v>49180</v>
      </c>
      <c r="J259" s="32">
        <f t="shared" si="43"/>
        <v>13.008219178082191</v>
      </c>
      <c r="K259" s="32">
        <f t="shared" si="44"/>
        <v>11.202739726027398</v>
      </c>
      <c r="L259" s="17">
        <v>275</v>
      </c>
      <c r="M259" s="17">
        <v>349.33</v>
      </c>
      <c r="N259" s="20">
        <f t="shared" si="25"/>
        <v>1.2702909090909091</v>
      </c>
      <c r="O259" s="17">
        <v>249.33</v>
      </c>
      <c r="P259" s="33">
        <v>0</v>
      </c>
      <c r="Q259" s="17">
        <v>76</v>
      </c>
      <c r="R259" s="17">
        <v>12.17</v>
      </c>
      <c r="S259" s="30">
        <v>3.3981600000000001E-2</v>
      </c>
      <c r="T259" s="34">
        <v>92.300330000000002</v>
      </c>
      <c r="U259" s="34">
        <v>0.75966999999999996</v>
      </c>
      <c r="V259" s="34">
        <f t="shared" ref="V259:V264" si="45">+T259+U259</f>
        <v>93.06</v>
      </c>
    </row>
    <row r="260" spans="1:22" x14ac:dyDescent="0.25">
      <c r="A260" s="35">
        <v>45097</v>
      </c>
      <c r="B260" s="14">
        <v>0.60416666666666663</v>
      </c>
      <c r="C260" s="15">
        <v>5</v>
      </c>
      <c r="D260" s="15">
        <v>14</v>
      </c>
      <c r="E260" s="13">
        <v>44440</v>
      </c>
      <c r="F260" s="31" t="s">
        <v>322</v>
      </c>
      <c r="G260" s="41">
        <v>0.02</v>
      </c>
      <c r="H260" s="13">
        <v>45098</v>
      </c>
      <c r="I260" s="13">
        <v>53936</v>
      </c>
      <c r="J260" s="32">
        <f t="shared" ref="J260:J268" si="46">(+I260-E260)/365</f>
        <v>26.016438356164382</v>
      </c>
      <c r="K260" s="32">
        <f t="shared" si="44"/>
        <v>24.213698630136985</v>
      </c>
      <c r="L260" s="17">
        <v>1900</v>
      </c>
      <c r="M260" s="17">
        <v>3230</v>
      </c>
      <c r="N260" s="20">
        <f t="shared" si="25"/>
        <v>1.7</v>
      </c>
      <c r="O260" s="17">
        <v>3230</v>
      </c>
      <c r="P260" s="33">
        <v>0</v>
      </c>
      <c r="Q260" s="17">
        <v>1700</v>
      </c>
      <c r="R260" s="17">
        <v>0</v>
      </c>
      <c r="S260" s="30">
        <v>2.2682600000000001E-2</v>
      </c>
      <c r="T260" s="34">
        <v>95.151300000000006</v>
      </c>
      <c r="U260" s="34">
        <v>0.60870000000000002</v>
      </c>
      <c r="V260" s="34">
        <f t="shared" si="45"/>
        <v>95.76</v>
      </c>
    </row>
    <row r="261" spans="1:22" x14ac:dyDescent="0.25">
      <c r="A261" s="35">
        <v>45126</v>
      </c>
      <c r="B261" s="14">
        <v>0.60416666666666663</v>
      </c>
      <c r="C261" s="15">
        <v>6</v>
      </c>
      <c r="D261" s="15">
        <v>1</v>
      </c>
      <c r="E261" s="13">
        <v>45127</v>
      </c>
      <c r="F261" s="31" t="s">
        <v>322</v>
      </c>
      <c r="G261" s="41">
        <v>2.2499999999999999E-2</v>
      </c>
      <c r="H261" s="13">
        <v>45127</v>
      </c>
      <c r="I261" s="13">
        <v>49876</v>
      </c>
      <c r="J261" s="32">
        <f t="shared" si="46"/>
        <v>13.010958904109589</v>
      </c>
      <c r="K261" s="32">
        <f t="shared" si="44"/>
        <v>13.010958904109589</v>
      </c>
      <c r="L261" s="17">
        <v>1200</v>
      </c>
      <c r="M261" s="17">
        <v>3090</v>
      </c>
      <c r="N261" s="20">
        <f t="shared" si="25"/>
        <v>2.5750000000000002</v>
      </c>
      <c r="O261" s="17">
        <v>2390</v>
      </c>
      <c r="P261" s="33">
        <v>0</v>
      </c>
      <c r="Q261" s="17">
        <v>925</v>
      </c>
      <c r="R261" s="17">
        <v>0</v>
      </c>
      <c r="S261" s="30">
        <v>2.19863E-2</v>
      </c>
      <c r="T261" s="34">
        <v>100.52</v>
      </c>
      <c r="U261" s="34">
        <v>0</v>
      </c>
      <c r="V261" s="34">
        <f t="shared" si="45"/>
        <v>100.52</v>
      </c>
    </row>
    <row r="262" spans="1:22" x14ac:dyDescent="0.25">
      <c r="A262" s="35">
        <v>45132</v>
      </c>
      <c r="B262" s="14">
        <v>0.60416666666666663</v>
      </c>
      <c r="C262" s="15">
        <v>30</v>
      </c>
      <c r="D262" s="15">
        <v>8</v>
      </c>
      <c r="E262" s="13">
        <v>44580</v>
      </c>
      <c r="F262" s="31" t="s">
        <v>307</v>
      </c>
      <c r="G262" s="41">
        <v>1.125E-2</v>
      </c>
      <c r="H262" s="13">
        <f>+A262+1</f>
        <v>45133</v>
      </c>
      <c r="I262" s="13">
        <v>46406</v>
      </c>
      <c r="J262" s="32">
        <f t="shared" si="46"/>
        <v>5.0027397260273974</v>
      </c>
      <c r="K262" s="32">
        <f t="shared" si="44"/>
        <v>3.4876712328767123</v>
      </c>
      <c r="L262" s="17">
        <v>200</v>
      </c>
      <c r="M262" s="17">
        <v>432.68</v>
      </c>
      <c r="N262" s="20">
        <f t="shared" si="25"/>
        <v>2.1634000000000002</v>
      </c>
      <c r="O262" s="17">
        <v>376.68</v>
      </c>
      <c r="P262" s="33">
        <v>0</v>
      </c>
      <c r="Q262" s="17">
        <v>228.1</v>
      </c>
      <c r="R262" s="17">
        <v>28.7</v>
      </c>
      <c r="S262" s="30">
        <v>3.0913199999999998E-2</v>
      </c>
      <c r="T262" s="34">
        <v>93.538600000000002</v>
      </c>
      <c r="U262" s="34">
        <v>2.1399999999999999E-2</v>
      </c>
      <c r="V262" s="34">
        <f t="shared" si="45"/>
        <v>93.56</v>
      </c>
    </row>
    <row r="263" spans="1:22" x14ac:dyDescent="0.25">
      <c r="A263" s="35">
        <v>45146</v>
      </c>
      <c r="B263" s="14">
        <v>0.60416666666666663</v>
      </c>
      <c r="C263" s="15">
        <v>10</v>
      </c>
      <c r="D263" s="15">
        <v>5</v>
      </c>
      <c r="E263" s="13">
        <v>44958</v>
      </c>
      <c r="F263" s="31" t="s">
        <v>641</v>
      </c>
      <c r="G263" s="41">
        <v>0.105</v>
      </c>
      <c r="H263" s="13">
        <v>45147</v>
      </c>
      <c r="I263" s="13">
        <v>47150</v>
      </c>
      <c r="J263" s="32">
        <f t="shared" si="46"/>
        <v>6.0054794520547947</v>
      </c>
      <c r="K263" s="32">
        <f t="shared" ref="K263:K268" si="47">(+I263-H263)/365</f>
        <v>5.4876712328767123</v>
      </c>
      <c r="L263" s="17">
        <v>950</v>
      </c>
      <c r="M263" s="17">
        <v>2556.77</v>
      </c>
      <c r="N263" s="20">
        <f t="shared" si="25"/>
        <v>2.691336842105263</v>
      </c>
      <c r="O263" s="17">
        <v>657.77</v>
      </c>
      <c r="P263" s="33">
        <v>0</v>
      </c>
      <c r="Q263" s="17">
        <v>264.72000000000003</v>
      </c>
      <c r="R263" s="17">
        <v>51</v>
      </c>
      <c r="S263" s="30">
        <v>9.3811599999999995E-2</v>
      </c>
      <c r="T263" s="34">
        <v>104.63</v>
      </c>
      <c r="U263" s="34">
        <v>0.23</v>
      </c>
      <c r="V263" s="34">
        <f t="shared" si="45"/>
        <v>104.86</v>
      </c>
    </row>
    <row r="264" spans="1:22" x14ac:dyDescent="0.25">
      <c r="A264" s="35">
        <v>45153</v>
      </c>
      <c r="B264" s="14">
        <v>0.60416666666666663</v>
      </c>
      <c r="C264" s="15">
        <v>29</v>
      </c>
      <c r="D264" s="15">
        <v>14</v>
      </c>
      <c r="E264" s="13">
        <v>44432</v>
      </c>
      <c r="F264" s="31" t="s">
        <v>307</v>
      </c>
      <c r="G264" s="41">
        <v>2.5000000000000001E-2</v>
      </c>
      <c r="H264" s="13">
        <v>45154</v>
      </c>
      <c r="I264" s="13">
        <v>49180</v>
      </c>
      <c r="J264" s="32">
        <f t="shared" si="46"/>
        <v>13.008219178082191</v>
      </c>
      <c r="K264" s="32">
        <f t="shared" si="47"/>
        <v>11.03013698630137</v>
      </c>
      <c r="L264" s="17">
        <v>275</v>
      </c>
      <c r="M264" s="17">
        <v>524.46</v>
      </c>
      <c r="N264" s="20">
        <f t="shared" si="25"/>
        <v>1.9071272727272728</v>
      </c>
      <c r="O264" s="17">
        <v>334.46</v>
      </c>
      <c r="P264" s="33">
        <v>0</v>
      </c>
      <c r="Q264" s="17">
        <v>146</v>
      </c>
      <c r="R264" s="17">
        <v>88.97</v>
      </c>
      <c r="S264" s="30">
        <v>3.3861000000000002E-2</v>
      </c>
      <c r="T264" s="34">
        <v>92.505250000000004</v>
      </c>
      <c r="U264" s="34">
        <v>1.19475</v>
      </c>
      <c r="V264" s="34">
        <f t="shared" si="45"/>
        <v>93.7</v>
      </c>
    </row>
    <row r="265" spans="1:22" x14ac:dyDescent="0.25">
      <c r="A265" s="35">
        <v>45160</v>
      </c>
      <c r="B265" s="14">
        <v>0.60416666666666663</v>
      </c>
      <c r="C265" s="15">
        <v>3</v>
      </c>
      <c r="D265" s="15">
        <v>19</v>
      </c>
      <c r="E265" s="13">
        <v>43598</v>
      </c>
      <c r="F265" s="31" t="s">
        <v>322</v>
      </c>
      <c r="G265" s="41">
        <v>2.2000000000000002E-2</v>
      </c>
      <c r="H265" s="13">
        <v>45161</v>
      </c>
      <c r="I265" s="13">
        <v>51269</v>
      </c>
      <c r="J265" s="32">
        <f t="shared" si="46"/>
        <v>21.016438356164382</v>
      </c>
      <c r="K265" s="32">
        <f t="shared" si="47"/>
        <v>16.734246575342464</v>
      </c>
      <c r="L265" s="17">
        <v>1200</v>
      </c>
      <c r="M265" s="17">
        <v>2380</v>
      </c>
      <c r="N265" s="20">
        <f t="shared" si="25"/>
        <v>1.9833333333333334</v>
      </c>
      <c r="O265" s="17">
        <v>2080</v>
      </c>
      <c r="P265" s="33">
        <v>0</v>
      </c>
      <c r="Q265" s="17">
        <v>900</v>
      </c>
      <c r="R265" s="17">
        <v>0</v>
      </c>
      <c r="S265" s="30">
        <v>2.1487800000000001E-2</v>
      </c>
      <c r="T265" s="34">
        <v>100.66022</v>
      </c>
      <c r="U265" s="34">
        <v>0.60977999999999999</v>
      </c>
      <c r="V265" s="34">
        <v>101.27</v>
      </c>
    </row>
    <row r="266" spans="1:22" x14ac:dyDescent="0.25">
      <c r="A266" s="35">
        <v>45181</v>
      </c>
      <c r="B266" s="14">
        <v>0.60416666666666663</v>
      </c>
      <c r="C266" s="15">
        <v>6</v>
      </c>
      <c r="D266" s="15">
        <v>2</v>
      </c>
      <c r="E266" s="13">
        <v>45127</v>
      </c>
      <c r="F266" s="31" t="s">
        <v>322</v>
      </c>
      <c r="G266" s="41">
        <v>2.2499999999999999E-2</v>
      </c>
      <c r="H266" s="13">
        <v>45182</v>
      </c>
      <c r="I266" s="13">
        <v>49876</v>
      </c>
      <c r="J266" s="32">
        <f t="shared" si="46"/>
        <v>13.010958904109589</v>
      </c>
      <c r="K266" s="32">
        <f t="shared" si="47"/>
        <v>12.860273972602739</v>
      </c>
      <c r="L266" s="17">
        <v>1200</v>
      </c>
      <c r="M266" s="17">
        <v>2480</v>
      </c>
      <c r="N266" s="20">
        <f t="shared" si="25"/>
        <v>2.0666666666666669</v>
      </c>
      <c r="O266" s="17">
        <v>2400</v>
      </c>
      <c r="P266" s="33">
        <v>0</v>
      </c>
      <c r="Q266" s="17">
        <v>600</v>
      </c>
      <c r="R266" s="17">
        <v>0</v>
      </c>
      <c r="S266" s="30">
        <v>2.16908E-2</v>
      </c>
      <c r="T266" s="34">
        <f>+V266-U266</f>
        <v>100.82371999999999</v>
      </c>
      <c r="U266" s="34">
        <v>0.33628000000000002</v>
      </c>
      <c r="V266" s="34">
        <v>101.16</v>
      </c>
    </row>
    <row r="267" spans="1:22" x14ac:dyDescent="0.25">
      <c r="A267" s="35">
        <v>45188</v>
      </c>
      <c r="B267" s="14">
        <v>0.60416666666666663</v>
      </c>
      <c r="C267" s="15">
        <v>30</v>
      </c>
      <c r="D267" s="15">
        <v>9</v>
      </c>
      <c r="E267" s="13">
        <v>44580</v>
      </c>
      <c r="F267" s="31" t="s">
        <v>307</v>
      </c>
      <c r="G267" s="41">
        <v>1.125E-2</v>
      </c>
      <c r="H267" s="13">
        <v>45189</v>
      </c>
      <c r="I267" s="13">
        <v>46406</v>
      </c>
      <c r="J267" s="32">
        <f t="shared" si="46"/>
        <v>5.0027397260273974</v>
      </c>
      <c r="K267" s="32">
        <f t="shared" si="47"/>
        <v>3.3342465753424659</v>
      </c>
      <c r="L267" s="17">
        <v>200</v>
      </c>
      <c r="M267" s="17">
        <v>284.17</v>
      </c>
      <c r="N267" s="20">
        <f t="shared" si="25"/>
        <v>1.4208500000000002</v>
      </c>
      <c r="O267" s="17">
        <v>199.17</v>
      </c>
      <c r="P267" s="33">
        <v>0</v>
      </c>
      <c r="Q267" s="17">
        <v>92</v>
      </c>
      <c r="R267" s="17">
        <v>20</v>
      </c>
      <c r="S267" s="30">
        <v>3.0653900000000001E-2</v>
      </c>
      <c r="T267" s="34">
        <f>+V267-U267</f>
        <v>93.8874</v>
      </c>
      <c r="U267" s="34">
        <v>0.19259999999999999</v>
      </c>
      <c r="V267" s="34">
        <v>94.08</v>
      </c>
    </row>
    <row r="268" spans="1:22" x14ac:dyDescent="0.25">
      <c r="A268" s="35">
        <v>45209</v>
      </c>
      <c r="B268" s="14">
        <v>0.60416666666666663</v>
      </c>
      <c r="C268" s="15">
        <v>10</v>
      </c>
      <c r="D268" s="15">
        <v>6</v>
      </c>
      <c r="E268" s="13">
        <v>44958</v>
      </c>
      <c r="F268" s="31" t="s">
        <v>641</v>
      </c>
      <c r="G268" s="41">
        <v>0.105</v>
      </c>
      <c r="H268" s="13">
        <v>45210</v>
      </c>
      <c r="I268" s="13">
        <v>47150</v>
      </c>
      <c r="J268" s="32">
        <f t="shared" si="46"/>
        <v>6.0054794520547947</v>
      </c>
      <c r="K268" s="32">
        <f t="shared" si="47"/>
        <v>5.3150684931506849</v>
      </c>
      <c r="L268" s="17">
        <v>600</v>
      </c>
      <c r="M268" s="17">
        <v>393.34</v>
      </c>
      <c r="N268" s="20">
        <f t="shared" si="25"/>
        <v>0.65556666666666663</v>
      </c>
      <c r="O268" s="17">
        <v>93.34</v>
      </c>
      <c r="P268" s="33">
        <v>0</v>
      </c>
      <c r="Q268" s="17">
        <v>60</v>
      </c>
      <c r="R268" s="17">
        <v>0</v>
      </c>
      <c r="S268" s="30">
        <v>0.1006963</v>
      </c>
      <c r="T268" s="34">
        <f>+V268-U268</f>
        <v>101.64</v>
      </c>
      <c r="U268" s="34">
        <v>2.0299999999999998</v>
      </c>
      <c r="V268" s="34">
        <v>103.67</v>
      </c>
    </row>
    <row r="269" spans="1:22" x14ac:dyDescent="0.25">
      <c r="A269" s="35">
        <v>45216</v>
      </c>
      <c r="B269" s="14">
        <v>0.60416666666666663</v>
      </c>
      <c r="C269" s="15">
        <v>29</v>
      </c>
      <c r="D269" s="15">
        <v>15</v>
      </c>
      <c r="E269" s="13">
        <v>44432</v>
      </c>
      <c r="F269" s="31" t="s">
        <v>307</v>
      </c>
      <c r="G269" s="41">
        <v>2.5000000000000001E-2</v>
      </c>
      <c r="H269" s="13">
        <v>45217</v>
      </c>
      <c r="I269" s="13">
        <v>49180</v>
      </c>
      <c r="J269" s="32">
        <f t="shared" ref="J269:J280" si="48">(+I269-E269)/365</f>
        <v>13.008219178082191</v>
      </c>
      <c r="K269" s="32">
        <f t="shared" ref="K269:K281" si="49">(+I269-H269)/365</f>
        <v>10.857534246575343</v>
      </c>
      <c r="L269" s="17">
        <v>275</v>
      </c>
      <c r="M269" s="17">
        <v>262.11</v>
      </c>
      <c r="N269" s="20">
        <f t="shared" si="25"/>
        <v>0.95312727272727282</v>
      </c>
      <c r="O269" s="17">
        <v>0</v>
      </c>
      <c r="P269" s="33">
        <v>0</v>
      </c>
      <c r="Q269" s="17">
        <v>0</v>
      </c>
      <c r="R269" s="17">
        <v>0</v>
      </c>
      <c r="S269" s="30" t="s">
        <v>327</v>
      </c>
      <c r="T269" s="34" t="s">
        <v>327</v>
      </c>
      <c r="U269" s="34">
        <v>0.37364000000000003</v>
      </c>
      <c r="V269" s="34" t="s">
        <v>327</v>
      </c>
    </row>
    <row r="270" spans="1:22" x14ac:dyDescent="0.25">
      <c r="A270" s="35">
        <v>45223</v>
      </c>
      <c r="B270" s="14">
        <v>0.60416666666666663</v>
      </c>
      <c r="C270" s="15">
        <v>3</v>
      </c>
      <c r="D270" s="15">
        <v>20</v>
      </c>
      <c r="E270" s="13">
        <v>43598</v>
      </c>
      <c r="F270" s="31" t="s">
        <v>322</v>
      </c>
      <c r="G270" s="41">
        <v>2.2000000000000002E-2</v>
      </c>
      <c r="H270" s="13">
        <v>45224</v>
      </c>
      <c r="I270" s="13">
        <v>51269</v>
      </c>
      <c r="J270" s="32">
        <f t="shared" si="48"/>
        <v>21.016438356164382</v>
      </c>
      <c r="K270" s="32">
        <f t="shared" si="49"/>
        <v>16.561643835616437</v>
      </c>
      <c r="L270" s="17">
        <v>1400</v>
      </c>
      <c r="M270" s="17">
        <v>1805</v>
      </c>
      <c r="N270" s="20">
        <f t="shared" si="25"/>
        <v>1.2892857142857144</v>
      </c>
      <c r="O270" s="17">
        <v>1500</v>
      </c>
      <c r="P270" s="33">
        <v>0</v>
      </c>
      <c r="Q270" s="17">
        <v>700</v>
      </c>
      <c r="R270" s="17">
        <v>0</v>
      </c>
      <c r="S270" s="30">
        <v>2.2100000000000002E-2</v>
      </c>
      <c r="T270" s="34">
        <v>99.903589999999994</v>
      </c>
      <c r="U270" s="34">
        <v>0.98641000000000001</v>
      </c>
      <c r="V270" s="34">
        <v>100.89</v>
      </c>
    </row>
    <row r="271" spans="1:22" x14ac:dyDescent="0.25">
      <c r="A271" s="35">
        <v>45244</v>
      </c>
      <c r="B271" s="14">
        <v>0.60416666666666663</v>
      </c>
      <c r="C271" s="15">
        <v>6</v>
      </c>
      <c r="D271" s="15">
        <v>3</v>
      </c>
      <c r="E271" s="13">
        <v>45127</v>
      </c>
      <c r="F271" s="31" t="s">
        <v>322</v>
      </c>
      <c r="G271" s="41">
        <v>2.2499999999999999E-2</v>
      </c>
      <c r="H271" s="13">
        <v>45245</v>
      </c>
      <c r="I271" s="13">
        <v>49876</v>
      </c>
      <c r="J271" s="32">
        <f t="shared" si="48"/>
        <v>13.010958904109589</v>
      </c>
      <c r="K271" s="32">
        <f t="shared" si="49"/>
        <v>12.687671232876712</v>
      </c>
      <c r="L271" s="17">
        <v>1200</v>
      </c>
      <c r="M271" s="17">
        <v>2125</v>
      </c>
      <c r="N271" s="20">
        <f t="shared" si="25"/>
        <v>1.7708333333333333</v>
      </c>
      <c r="O271" s="17">
        <v>2125</v>
      </c>
      <c r="P271" s="33">
        <v>0</v>
      </c>
      <c r="Q271" s="17">
        <v>800</v>
      </c>
      <c r="R271" s="17">
        <v>0</v>
      </c>
      <c r="S271" s="30">
        <v>2.2262000000000001E-2</v>
      </c>
      <c r="T271" s="34">
        <v>100.22853000000001</v>
      </c>
      <c r="U271" s="34">
        <v>0.72146999999999994</v>
      </c>
      <c r="V271" s="34">
        <v>100.95</v>
      </c>
    </row>
    <row r="272" spans="1:22" x14ac:dyDescent="0.25">
      <c r="A272" s="35">
        <v>45251</v>
      </c>
      <c r="B272" s="14">
        <v>0.60416666666666663</v>
      </c>
      <c r="C272" s="15">
        <v>30</v>
      </c>
      <c r="D272" s="15">
        <v>10</v>
      </c>
      <c r="E272" s="13">
        <v>44580</v>
      </c>
      <c r="F272" s="31" t="s">
        <v>307</v>
      </c>
      <c r="G272" s="41">
        <v>1.125E-2</v>
      </c>
      <c r="H272" s="13">
        <v>45252</v>
      </c>
      <c r="I272" s="13">
        <v>46406</v>
      </c>
      <c r="J272" s="32">
        <f t="shared" si="48"/>
        <v>5.0027397260273974</v>
      </c>
      <c r="K272" s="32">
        <f t="shared" si="49"/>
        <v>3.1616438356164385</v>
      </c>
      <c r="L272" s="17">
        <v>200</v>
      </c>
      <c r="M272" s="17">
        <v>601</v>
      </c>
      <c r="N272" s="20">
        <f t="shared" si="25"/>
        <v>3.0049999999999999</v>
      </c>
      <c r="O272" s="17">
        <v>400</v>
      </c>
      <c r="P272" s="33">
        <v>0</v>
      </c>
      <c r="Q272" s="17">
        <v>363</v>
      </c>
      <c r="R272" s="17">
        <v>2.21</v>
      </c>
      <c r="S272" s="30">
        <v>3.0880100000000001E-2</v>
      </c>
      <c r="T272" s="34">
        <v>94.124809999999997</v>
      </c>
      <c r="U272" s="34">
        <v>0.38518999999999998</v>
      </c>
      <c r="V272" s="34">
        <v>94.51</v>
      </c>
    </row>
    <row r="273" spans="1:25" x14ac:dyDescent="0.25">
      <c r="A273" s="35">
        <v>45265</v>
      </c>
      <c r="B273" s="14">
        <v>0.60416666666666663</v>
      </c>
      <c r="C273" s="15">
        <v>10</v>
      </c>
      <c r="D273" s="15">
        <v>7</v>
      </c>
      <c r="E273" s="13">
        <v>44580</v>
      </c>
      <c r="F273" s="31" t="s">
        <v>641</v>
      </c>
      <c r="G273" s="41">
        <v>0.105</v>
      </c>
      <c r="H273" s="13">
        <v>45266</v>
      </c>
      <c r="I273" s="13">
        <v>47150</v>
      </c>
      <c r="J273" s="32">
        <f t="shared" si="48"/>
        <v>7.0410958904109586</v>
      </c>
      <c r="K273" s="32">
        <f t="shared" si="49"/>
        <v>5.161643835616438</v>
      </c>
      <c r="L273" s="17">
        <v>600</v>
      </c>
      <c r="M273" s="17">
        <v>131</v>
      </c>
      <c r="N273" s="20">
        <f t="shared" si="25"/>
        <v>0.21833333333333332</v>
      </c>
      <c r="O273" s="17">
        <v>41.1</v>
      </c>
      <c r="P273" s="33">
        <v>0</v>
      </c>
      <c r="Q273" s="17">
        <v>0</v>
      </c>
      <c r="R273" s="17">
        <v>0</v>
      </c>
      <c r="S273" s="30">
        <v>9.9260000000000001E-2</v>
      </c>
      <c r="T273" s="34">
        <v>102.39</v>
      </c>
      <c r="U273" s="34">
        <v>3.62</v>
      </c>
      <c r="V273" s="34">
        <v>106.01</v>
      </c>
    </row>
    <row r="274" spans="1:25" x14ac:dyDescent="0.25">
      <c r="A274" s="35">
        <v>45272</v>
      </c>
      <c r="B274" s="14">
        <v>0.60416666666666663</v>
      </c>
      <c r="C274" s="15">
        <v>29</v>
      </c>
      <c r="D274" s="15">
        <v>16</v>
      </c>
      <c r="E274" s="13">
        <v>44432</v>
      </c>
      <c r="F274" s="31" t="s">
        <v>307</v>
      </c>
      <c r="G274" s="41">
        <v>2.5000000000000001E-2</v>
      </c>
      <c r="H274" s="13">
        <v>45273</v>
      </c>
      <c r="I274" s="13">
        <v>49180</v>
      </c>
      <c r="J274" s="32">
        <f t="shared" si="48"/>
        <v>13.008219178082191</v>
      </c>
      <c r="K274" s="32">
        <f t="shared" si="49"/>
        <v>10.704109589041096</v>
      </c>
      <c r="L274" s="17">
        <v>150</v>
      </c>
      <c r="M274" s="17">
        <v>339</v>
      </c>
      <c r="N274" s="20">
        <f t="shared" si="25"/>
        <v>2.2599999999999998</v>
      </c>
      <c r="O274" s="17">
        <v>224.03</v>
      </c>
      <c r="P274" s="33">
        <v>0</v>
      </c>
      <c r="Q274" s="17">
        <v>0</v>
      </c>
      <c r="R274" s="17">
        <v>3.53</v>
      </c>
      <c r="S274" s="30">
        <v>3.4280100000000001E-2</v>
      </c>
      <c r="T274" s="34">
        <v>92.385919999999999</v>
      </c>
      <c r="U274" s="34">
        <v>0.75407999999999997</v>
      </c>
      <c r="V274" s="34">
        <v>93.14</v>
      </c>
    </row>
    <row r="275" spans="1:25" x14ac:dyDescent="0.25">
      <c r="A275" s="35">
        <v>45279</v>
      </c>
      <c r="B275" s="14">
        <v>0.60416666666666663</v>
      </c>
      <c r="C275" s="15">
        <v>3</v>
      </c>
      <c r="D275" s="15">
        <v>21</v>
      </c>
      <c r="E275" s="13">
        <v>43598</v>
      </c>
      <c r="F275" s="31" t="s">
        <v>322</v>
      </c>
      <c r="G275" s="41">
        <v>2.2000000000000002E-2</v>
      </c>
      <c r="H275" s="13">
        <v>45280</v>
      </c>
      <c r="I275" s="13">
        <v>51269</v>
      </c>
      <c r="J275" s="32">
        <f t="shared" si="48"/>
        <v>21.016438356164382</v>
      </c>
      <c r="K275" s="32">
        <f t="shared" si="49"/>
        <v>16.408219178082192</v>
      </c>
      <c r="L275" s="17">
        <v>1200</v>
      </c>
      <c r="M275" s="17">
        <v>2126</v>
      </c>
      <c r="N275" s="20">
        <f t="shared" si="25"/>
        <v>1.7716666666666667</v>
      </c>
      <c r="O275" s="17">
        <v>1071</v>
      </c>
      <c r="P275" s="33">
        <v>0</v>
      </c>
      <c r="Q275" s="17">
        <v>0</v>
      </c>
      <c r="R275" s="17">
        <v>470</v>
      </c>
      <c r="S275" s="30">
        <v>2.15838E-2</v>
      </c>
      <c r="T275" s="34">
        <v>100.52637</v>
      </c>
      <c r="U275" s="34">
        <v>0.22363</v>
      </c>
      <c r="V275" s="34">
        <v>100.75</v>
      </c>
    </row>
    <row r="276" spans="1:25" x14ac:dyDescent="0.25">
      <c r="A276" s="35">
        <v>45307</v>
      </c>
      <c r="B276" s="14">
        <v>0.60416666666666663</v>
      </c>
      <c r="C276" s="15">
        <v>6</v>
      </c>
      <c r="D276" s="15">
        <v>4</v>
      </c>
      <c r="E276" s="13">
        <v>45127</v>
      </c>
      <c r="F276" s="31" t="s">
        <v>322</v>
      </c>
      <c r="G276" s="41">
        <v>2.2499999999999999E-2</v>
      </c>
      <c r="H276" s="13">
        <v>45308</v>
      </c>
      <c r="I276" s="13">
        <v>49876</v>
      </c>
      <c r="J276" s="32">
        <f t="shared" si="48"/>
        <v>13.010958904109589</v>
      </c>
      <c r="K276" s="32">
        <f t="shared" si="49"/>
        <v>12.515068493150684</v>
      </c>
      <c r="L276" s="17">
        <v>850</v>
      </c>
      <c r="M276" s="17">
        <v>3068</v>
      </c>
      <c r="N276" s="20">
        <f t="shared" si="25"/>
        <v>3.6094117647058823</v>
      </c>
      <c r="O276" s="17">
        <v>800</v>
      </c>
      <c r="P276" s="33">
        <v>0</v>
      </c>
      <c r="Q276" s="17">
        <v>120</v>
      </c>
      <c r="R276" s="17">
        <v>345</v>
      </c>
      <c r="S276" s="30">
        <v>1.8865199999999999E-2</v>
      </c>
      <c r="T276" s="34">
        <v>103.73334</v>
      </c>
      <c r="U276" s="34">
        <v>1.10666</v>
      </c>
      <c r="V276" s="34">
        <v>104.84</v>
      </c>
    </row>
    <row r="277" spans="1:25" x14ac:dyDescent="0.25">
      <c r="A277" s="35">
        <v>45314</v>
      </c>
      <c r="B277" s="14">
        <v>0.60416666666666663</v>
      </c>
      <c r="C277" s="15">
        <v>31</v>
      </c>
      <c r="D277" s="15">
        <v>5</v>
      </c>
      <c r="E277" s="13">
        <v>44944</v>
      </c>
      <c r="F277" s="31" t="s">
        <v>307</v>
      </c>
      <c r="G277" s="41">
        <v>3.2500000000000001E-2</v>
      </c>
      <c r="H277" s="13">
        <v>45315</v>
      </c>
      <c r="I277" s="13">
        <v>47136</v>
      </c>
      <c r="J277" s="32">
        <f>(+I277-E277)/365</f>
        <v>6.0054794520547947</v>
      </c>
      <c r="K277" s="32">
        <f t="shared" si="49"/>
        <v>4.9890410958904106</v>
      </c>
      <c r="L277" s="17">
        <v>200</v>
      </c>
      <c r="M277" s="17">
        <v>1068</v>
      </c>
      <c r="N277" s="20">
        <f t="shared" si="25"/>
        <v>5.34</v>
      </c>
      <c r="O277" s="17">
        <v>400</v>
      </c>
      <c r="P277" s="27">
        <v>0.59799999999999998</v>
      </c>
      <c r="Q277" s="17">
        <v>239</v>
      </c>
      <c r="R277" s="19">
        <v>3.27</v>
      </c>
      <c r="S277" s="30">
        <v>2.7357900000000001E-2</v>
      </c>
      <c r="T277" s="34">
        <v>102.36642999999999</v>
      </c>
      <c r="U277" s="34">
        <v>5.357E-2</v>
      </c>
      <c r="V277" s="34">
        <v>102.42</v>
      </c>
    </row>
    <row r="278" spans="1:25" x14ac:dyDescent="0.25">
      <c r="A278" s="35">
        <v>45328</v>
      </c>
      <c r="B278" s="14">
        <v>0.60416666666666663</v>
      </c>
      <c r="C278" s="15">
        <v>11</v>
      </c>
      <c r="D278" s="15">
        <v>1</v>
      </c>
      <c r="E278" s="13">
        <v>45329</v>
      </c>
      <c r="F278" s="31" t="s">
        <v>641</v>
      </c>
      <c r="G278" s="41">
        <v>9.1249999999999998E-2</v>
      </c>
      <c r="H278" s="13">
        <v>45329</v>
      </c>
      <c r="I278" s="13">
        <v>46363</v>
      </c>
      <c r="J278" s="32">
        <f t="shared" si="48"/>
        <v>2.8328767123287673</v>
      </c>
      <c r="K278" s="32">
        <f t="shared" si="49"/>
        <v>2.8328767123287673</v>
      </c>
      <c r="L278" s="17">
        <v>600</v>
      </c>
      <c r="M278" s="17">
        <v>2513</v>
      </c>
      <c r="N278" s="20">
        <f t="shared" si="25"/>
        <v>4.1883333333333335</v>
      </c>
      <c r="O278" s="17">
        <v>1200</v>
      </c>
      <c r="P278" s="27">
        <v>0.99139999999999995</v>
      </c>
      <c r="Q278" s="17">
        <v>0</v>
      </c>
      <c r="R278" s="17">
        <v>0</v>
      </c>
      <c r="S278" s="30">
        <v>9.0382000000000004E-2</v>
      </c>
      <c r="T278" s="34">
        <v>100.24</v>
      </c>
      <c r="U278" s="34">
        <v>0</v>
      </c>
      <c r="V278" s="34">
        <v>100.24</v>
      </c>
    </row>
    <row r="279" spans="1:25" x14ac:dyDescent="0.25">
      <c r="A279" s="35">
        <v>45342</v>
      </c>
      <c r="B279" s="14">
        <v>0.60416666666666663</v>
      </c>
      <c r="C279" s="15">
        <v>7</v>
      </c>
      <c r="D279" s="15">
        <v>1</v>
      </c>
      <c r="E279" s="13">
        <v>45343</v>
      </c>
      <c r="F279" s="31" t="s">
        <v>322</v>
      </c>
      <c r="G279" s="41">
        <v>1.2E-2</v>
      </c>
      <c r="H279" s="13">
        <v>45343</v>
      </c>
      <c r="I279" s="13">
        <v>47170</v>
      </c>
      <c r="J279" s="32">
        <f t="shared" si="48"/>
        <v>5.0054794520547947</v>
      </c>
      <c r="K279" s="32">
        <f t="shared" si="49"/>
        <v>5.0054794520547947</v>
      </c>
      <c r="L279" s="17">
        <v>1200</v>
      </c>
      <c r="M279" s="17">
        <v>3819.25</v>
      </c>
      <c r="N279" s="20">
        <f t="shared" si="25"/>
        <v>3.1827083333333333</v>
      </c>
      <c r="O279" s="17">
        <v>2400</v>
      </c>
      <c r="P279" s="27">
        <v>0.3538</v>
      </c>
      <c r="Q279" s="17">
        <v>1709.25</v>
      </c>
      <c r="R279" s="17">
        <v>190</v>
      </c>
      <c r="S279" s="30">
        <v>1.29415E-2</v>
      </c>
      <c r="T279" s="34">
        <v>99.63</v>
      </c>
      <c r="U279" s="34">
        <v>0</v>
      </c>
      <c r="V279" s="34">
        <v>99.63</v>
      </c>
    </row>
    <row r="280" spans="1:25" x14ac:dyDescent="0.25">
      <c r="A280" s="35">
        <v>45349</v>
      </c>
      <c r="B280" s="14">
        <v>0.60416666666666663</v>
      </c>
      <c r="C280" s="15">
        <v>32</v>
      </c>
      <c r="D280" s="15">
        <v>1</v>
      </c>
      <c r="E280" s="13">
        <v>45350</v>
      </c>
      <c r="F280" s="31" t="s">
        <v>307</v>
      </c>
      <c r="G280" s="41">
        <v>3.125E-2</v>
      </c>
      <c r="H280" s="13">
        <v>45350</v>
      </c>
      <c r="I280" s="13">
        <v>49733</v>
      </c>
      <c r="J280" s="32">
        <f t="shared" si="48"/>
        <v>12.008219178082191</v>
      </c>
      <c r="K280" s="32">
        <f t="shared" si="49"/>
        <v>12.008219178082191</v>
      </c>
      <c r="L280" s="17">
        <v>200</v>
      </c>
      <c r="M280" s="17">
        <v>614.80999999999995</v>
      </c>
      <c r="N280" s="20">
        <f t="shared" si="25"/>
        <v>3.0740499999999997</v>
      </c>
      <c r="O280" s="17">
        <v>194.81</v>
      </c>
      <c r="P280" s="33">
        <v>0</v>
      </c>
      <c r="Q280" s="17">
        <v>80.73</v>
      </c>
      <c r="R280" s="17">
        <v>6.82</v>
      </c>
      <c r="S280" s="30">
        <v>3.1227499999999998E-2</v>
      </c>
      <c r="T280" s="34">
        <v>100</v>
      </c>
      <c r="U280" s="34">
        <v>0</v>
      </c>
      <c r="V280" s="34">
        <v>100</v>
      </c>
    </row>
    <row r="281" spans="1:25" x14ac:dyDescent="0.25">
      <c r="A281" s="35">
        <v>45356</v>
      </c>
      <c r="B281" s="14">
        <v>0.60416666666666663</v>
      </c>
      <c r="C281" s="15">
        <v>11</v>
      </c>
      <c r="D281" s="15">
        <v>2</v>
      </c>
      <c r="E281" s="13">
        <v>45329</v>
      </c>
      <c r="F281" s="31" t="s">
        <v>641</v>
      </c>
      <c r="G281" s="41">
        <v>9.1249999999999998E-2</v>
      </c>
      <c r="H281" s="13">
        <v>45357</v>
      </c>
      <c r="I281" s="13">
        <v>46363</v>
      </c>
      <c r="J281" s="32">
        <f t="shared" ref="J281:J286" si="50">(+I281-E281)/365</f>
        <v>2.8328767123287673</v>
      </c>
      <c r="K281" s="32">
        <f t="shared" si="49"/>
        <v>2.7561643835616438</v>
      </c>
      <c r="L281" s="17">
        <v>1000</v>
      </c>
      <c r="M281" s="17">
        <v>6268.51</v>
      </c>
      <c r="N281" s="20">
        <f t="shared" si="25"/>
        <v>6.26851</v>
      </c>
      <c r="O281" s="17">
        <v>2000</v>
      </c>
      <c r="P281" s="27">
        <v>0.64600000000000002</v>
      </c>
      <c r="Q281" s="17">
        <v>1826.44</v>
      </c>
      <c r="R281" s="19">
        <v>0.39</v>
      </c>
      <c r="S281" s="30">
        <v>8.9472999999999997E-2</v>
      </c>
      <c r="T281" s="34">
        <v>100.44</v>
      </c>
      <c r="U281" s="34">
        <v>0.7</v>
      </c>
      <c r="V281" s="34">
        <v>101.14</v>
      </c>
    </row>
    <row r="282" spans="1:25" x14ac:dyDescent="0.25">
      <c r="A282" s="35">
        <v>45363</v>
      </c>
      <c r="B282" s="14">
        <v>0.60416666666666663</v>
      </c>
      <c r="C282" s="15">
        <v>6</v>
      </c>
      <c r="D282" s="15">
        <v>5</v>
      </c>
      <c r="E282" s="13">
        <v>45127</v>
      </c>
      <c r="F282" s="31" t="s">
        <v>322</v>
      </c>
      <c r="G282" s="41">
        <v>2.2499999999999999E-2</v>
      </c>
      <c r="H282" s="13">
        <v>45364</v>
      </c>
      <c r="I282" s="13">
        <v>49876</v>
      </c>
      <c r="J282" s="32">
        <f t="shared" si="50"/>
        <v>13.010958904109589</v>
      </c>
      <c r="K282" s="32">
        <f t="shared" ref="K282" si="51">(+I282-H282)/365</f>
        <v>12.361643835616439</v>
      </c>
      <c r="L282" s="17">
        <v>850</v>
      </c>
      <c r="M282" s="17">
        <v>2785.3</v>
      </c>
      <c r="N282" s="20">
        <f t="shared" si="25"/>
        <v>3.2768235294117649</v>
      </c>
      <c r="O282" s="17">
        <v>1584.1</v>
      </c>
      <c r="P282" s="33">
        <v>0</v>
      </c>
      <c r="Q282" s="17">
        <v>288</v>
      </c>
      <c r="R282" s="57">
        <v>21.1</v>
      </c>
      <c r="S282" s="30">
        <v>1.8389300000000001E-2</v>
      </c>
      <c r="T282" s="34">
        <v>104.18239</v>
      </c>
      <c r="U282" s="34">
        <v>0.32761000000000001</v>
      </c>
      <c r="V282" s="34">
        <v>104.51</v>
      </c>
      <c r="Y282" s="1" t="s">
        <v>1012</v>
      </c>
    </row>
    <row r="283" spans="1:25" x14ac:dyDescent="0.25">
      <c r="A283" s="35">
        <v>45370</v>
      </c>
      <c r="B283" s="14">
        <v>0.60416666666666663</v>
      </c>
      <c r="C283" s="15">
        <v>31</v>
      </c>
      <c r="D283" s="15">
        <v>6</v>
      </c>
      <c r="E283" s="13">
        <v>44944</v>
      </c>
      <c r="F283" s="31" t="s">
        <v>307</v>
      </c>
      <c r="G283" s="41">
        <v>3.2500000000000001E-2</v>
      </c>
      <c r="H283" s="13">
        <v>45371</v>
      </c>
      <c r="I283" s="13">
        <v>47136</v>
      </c>
      <c r="J283" s="32">
        <f t="shared" si="50"/>
        <v>6.0054794520547947</v>
      </c>
      <c r="K283" s="32">
        <f>(+I283-H283)/365</f>
        <v>4.8356164383561646</v>
      </c>
      <c r="L283" s="17">
        <v>200</v>
      </c>
      <c r="M283" s="19">
        <v>493.55</v>
      </c>
      <c r="N283" s="20">
        <f t="shared" si="25"/>
        <v>2.4677500000000001</v>
      </c>
      <c r="O283" s="19">
        <v>288.29000000000002</v>
      </c>
      <c r="P283" s="33">
        <v>0</v>
      </c>
      <c r="Q283" s="19">
        <v>254.91</v>
      </c>
      <c r="R283" s="19">
        <v>11.24</v>
      </c>
      <c r="S283" s="30">
        <v>2.7309E-2</v>
      </c>
      <c r="T283" s="34">
        <f>+V283-U283</f>
        <v>102.31643000000001</v>
      </c>
      <c r="U283" s="34">
        <v>0.55357000000000001</v>
      </c>
      <c r="V283" s="34">
        <v>102.87</v>
      </c>
    </row>
    <row r="284" spans="1:25" x14ac:dyDescent="0.25">
      <c r="A284" s="35">
        <v>45398</v>
      </c>
      <c r="B284" s="14">
        <v>0.60416666666666663</v>
      </c>
      <c r="C284" s="15">
        <v>11</v>
      </c>
      <c r="D284" s="15">
        <v>3</v>
      </c>
      <c r="E284" s="13">
        <v>45329</v>
      </c>
      <c r="F284" s="31" t="s">
        <v>641</v>
      </c>
      <c r="G284" s="41">
        <v>9.1249999999999998E-2</v>
      </c>
      <c r="H284" s="13">
        <v>45399</v>
      </c>
      <c r="I284" s="13">
        <v>46363</v>
      </c>
      <c r="J284" s="32">
        <f t="shared" si="50"/>
        <v>2.8328767123287673</v>
      </c>
      <c r="K284" s="32">
        <f>(+I284-H284)/365</f>
        <v>2.6410958904109587</v>
      </c>
      <c r="L284" s="17">
        <v>1000</v>
      </c>
      <c r="M284" s="19">
        <v>2393.02</v>
      </c>
      <c r="N284" s="20">
        <f t="shared" si="25"/>
        <v>2.3930199999999999</v>
      </c>
      <c r="O284" s="19">
        <v>2000</v>
      </c>
      <c r="P284" s="33">
        <v>0.98839999999999995</v>
      </c>
      <c r="Q284" s="19">
        <v>1770</v>
      </c>
      <c r="R284" s="19" t="s">
        <v>327</v>
      </c>
      <c r="S284" s="30">
        <v>8.7599999999999997E-2</v>
      </c>
      <c r="T284" s="34">
        <v>100.82</v>
      </c>
      <c r="U284" s="34">
        <v>1.75</v>
      </c>
      <c r="V284" s="34">
        <v>102.57</v>
      </c>
    </row>
    <row r="285" spans="1:25" x14ac:dyDescent="0.25">
      <c r="A285" s="35">
        <v>45405</v>
      </c>
      <c r="B285" s="14">
        <v>0.60416666666666663</v>
      </c>
      <c r="C285" s="15">
        <v>7</v>
      </c>
      <c r="D285" s="15">
        <v>2</v>
      </c>
      <c r="E285" s="13">
        <v>45343</v>
      </c>
      <c r="F285" s="31" t="s">
        <v>322</v>
      </c>
      <c r="G285" s="41">
        <v>1.2E-2</v>
      </c>
      <c r="H285" s="13">
        <v>45406</v>
      </c>
      <c r="I285" s="13">
        <v>47170</v>
      </c>
      <c r="J285" s="32">
        <f t="shared" si="50"/>
        <v>5.0054794520547947</v>
      </c>
      <c r="K285" s="32">
        <f t="shared" ref="K285:K293" si="52">(+I285-H285)/365</f>
        <v>4.8328767123287673</v>
      </c>
      <c r="L285" s="17">
        <v>1200</v>
      </c>
      <c r="M285" s="19">
        <v>2265.15</v>
      </c>
      <c r="N285" s="20">
        <f t="shared" si="25"/>
        <v>1.8876250000000001</v>
      </c>
      <c r="O285" s="19">
        <v>1135.1500000000001</v>
      </c>
      <c r="P285" s="33">
        <v>0</v>
      </c>
      <c r="Q285" s="19">
        <v>130</v>
      </c>
      <c r="R285" s="19" t="s">
        <v>327</v>
      </c>
      <c r="S285" s="30">
        <v>1.5299999999999999E-2</v>
      </c>
      <c r="T285" s="34">
        <v>98.782309999999995</v>
      </c>
      <c r="U285" s="34">
        <v>0.20543</v>
      </c>
      <c r="V285" s="34">
        <v>98.99</v>
      </c>
    </row>
    <row r="286" spans="1:25" x14ac:dyDescent="0.25">
      <c r="A286" s="35">
        <v>45412</v>
      </c>
      <c r="B286" s="14">
        <v>0.60416666666666663</v>
      </c>
      <c r="C286" s="15">
        <v>32</v>
      </c>
      <c r="D286" s="15">
        <v>2</v>
      </c>
      <c r="E286" s="13">
        <v>45350</v>
      </c>
      <c r="F286" s="31" t="s">
        <v>307</v>
      </c>
      <c r="G286" s="41">
        <v>3.125E-2</v>
      </c>
      <c r="H286" s="13">
        <v>45414</v>
      </c>
      <c r="I286" s="13">
        <v>49733</v>
      </c>
      <c r="J286" s="32">
        <f t="shared" si="50"/>
        <v>12.008219178082191</v>
      </c>
      <c r="K286" s="32">
        <f t="shared" si="52"/>
        <v>11.832876712328767</v>
      </c>
      <c r="L286" s="17">
        <v>200</v>
      </c>
      <c r="M286" s="17">
        <v>241.98</v>
      </c>
      <c r="N286" s="20">
        <f t="shared" si="25"/>
        <v>1.2099</v>
      </c>
      <c r="O286" s="17">
        <v>125.98</v>
      </c>
      <c r="P286" s="33">
        <v>0</v>
      </c>
      <c r="Q286" s="17">
        <v>116</v>
      </c>
      <c r="R286" s="17">
        <v>0.98</v>
      </c>
      <c r="S286" s="30">
        <v>3.2579499999999997E-2</v>
      </c>
      <c r="T286" s="34">
        <v>98.77055</v>
      </c>
      <c r="U286" s="34">
        <v>0.54944999999999999</v>
      </c>
      <c r="V286" s="34">
        <v>99.32</v>
      </c>
    </row>
    <row r="287" spans="1:25" x14ac:dyDescent="0.25">
      <c r="A287" s="35">
        <v>45433</v>
      </c>
      <c r="B287" s="14">
        <v>0.60416666666666663</v>
      </c>
      <c r="C287" s="15">
        <v>6</v>
      </c>
      <c r="D287" s="15">
        <v>6</v>
      </c>
      <c r="E287" s="13">
        <v>45127</v>
      </c>
      <c r="F287" s="31" t="s">
        <v>322</v>
      </c>
      <c r="G287" s="41">
        <v>2.2499999999999999E-2</v>
      </c>
      <c r="H287" s="13">
        <v>45434</v>
      </c>
      <c r="I287" s="13">
        <v>49876</v>
      </c>
      <c r="J287" s="32">
        <f t="shared" ref="J287" si="53">(+I287-E287)/365</f>
        <v>13.010958904109589</v>
      </c>
      <c r="K287" s="32">
        <f t="shared" si="52"/>
        <v>12.169863013698631</v>
      </c>
      <c r="L287" s="17">
        <v>850</v>
      </c>
      <c r="M287" s="17">
        <v>1640</v>
      </c>
      <c r="N287" s="20">
        <f t="shared" si="25"/>
        <v>1.9294117647058824</v>
      </c>
      <c r="O287" s="17">
        <v>1640</v>
      </c>
      <c r="P287" s="33">
        <v>0</v>
      </c>
      <c r="Q287" s="17">
        <v>0</v>
      </c>
      <c r="R287" s="17">
        <v>140</v>
      </c>
      <c r="S287" s="30">
        <v>2.1192599999999999E-2</v>
      </c>
      <c r="T287" s="34">
        <v>101.27970000000001</v>
      </c>
      <c r="U287" s="34">
        <v>0.76029999999999998</v>
      </c>
      <c r="V287" s="34">
        <v>102.04</v>
      </c>
    </row>
    <row r="288" spans="1:25" x14ac:dyDescent="0.25">
      <c r="A288" s="35">
        <v>45440</v>
      </c>
      <c r="B288" s="14">
        <v>0.60416666666666663</v>
      </c>
      <c r="C288" s="15">
        <v>31</v>
      </c>
      <c r="D288" s="15">
        <v>7</v>
      </c>
      <c r="E288" s="13">
        <v>44944</v>
      </c>
      <c r="F288" s="31" t="s">
        <v>307</v>
      </c>
      <c r="G288" s="41">
        <v>3.2500000000000001E-2</v>
      </c>
      <c r="H288" s="13">
        <v>45441</v>
      </c>
      <c r="I288" s="13">
        <v>47136</v>
      </c>
      <c r="J288" s="32">
        <v>6</v>
      </c>
      <c r="K288" s="32">
        <f t="shared" si="52"/>
        <v>4.6438356164383565</v>
      </c>
      <c r="L288" s="17">
        <v>450</v>
      </c>
      <c r="M288" s="17">
        <v>1078.58</v>
      </c>
      <c r="N288" s="20">
        <f t="shared" si="25"/>
        <v>2.3968444444444441</v>
      </c>
      <c r="O288" s="17">
        <v>878.48</v>
      </c>
      <c r="P288" s="33">
        <v>0</v>
      </c>
      <c r="Q288" s="17">
        <v>701.91</v>
      </c>
      <c r="R288" s="17">
        <v>9.8699999999999992</v>
      </c>
      <c r="S288" s="30">
        <v>2.8237599999999995E-2</v>
      </c>
      <c r="T288" s="34">
        <v>101.82143000000001</v>
      </c>
      <c r="U288" s="34">
        <v>1.1785699999999999</v>
      </c>
      <c r="V288" s="34">
        <v>103</v>
      </c>
    </row>
    <row r="289" spans="1:22" x14ac:dyDescent="0.25">
      <c r="A289" s="35">
        <v>45454</v>
      </c>
      <c r="B289" s="14">
        <v>0.60416666666666663</v>
      </c>
      <c r="C289" s="15">
        <v>11</v>
      </c>
      <c r="D289" s="15">
        <v>4</v>
      </c>
      <c r="E289" s="13">
        <v>45329</v>
      </c>
      <c r="F289" s="31" t="s">
        <v>641</v>
      </c>
      <c r="G289" s="41">
        <v>9.1249999999999998E-2</v>
      </c>
      <c r="H289" s="13">
        <v>45455</v>
      </c>
      <c r="I289" s="13">
        <v>46363</v>
      </c>
      <c r="J289" s="32">
        <f t="shared" ref="J289:J293" si="54">(+I289-E289)/365</f>
        <v>2.8328767123287673</v>
      </c>
      <c r="K289" s="32">
        <f t="shared" si="52"/>
        <v>2.4876712328767123</v>
      </c>
      <c r="L289" s="17">
        <v>1000</v>
      </c>
      <c r="M289" s="17">
        <v>2540.79</v>
      </c>
      <c r="N289" s="20">
        <f t="shared" si="25"/>
        <v>2.5407899999999999</v>
      </c>
      <c r="O289" s="17">
        <v>2000</v>
      </c>
      <c r="P289" s="33">
        <v>8.0680000000000002E-2</v>
      </c>
      <c r="Q289" s="17">
        <v>120.3</v>
      </c>
      <c r="R289" s="17" t="s">
        <v>327</v>
      </c>
      <c r="S289" s="30">
        <v>8.6835999999999997E-2</v>
      </c>
      <c r="T289" s="34">
        <v>100.95534000000001</v>
      </c>
      <c r="U289" s="34">
        <v>0.12466000000000001</v>
      </c>
      <c r="V289" s="34">
        <v>101.08</v>
      </c>
    </row>
    <row r="290" spans="1:22" x14ac:dyDescent="0.25">
      <c r="A290" s="35">
        <v>45461</v>
      </c>
      <c r="B290" s="14">
        <v>0.60416666666666663</v>
      </c>
      <c r="C290" s="15">
        <v>7</v>
      </c>
      <c r="D290" s="15">
        <v>3</v>
      </c>
      <c r="E290" s="13">
        <v>45343</v>
      </c>
      <c r="F290" s="31" t="s">
        <v>322</v>
      </c>
      <c r="G290" s="41">
        <v>1.2E-2</v>
      </c>
      <c r="H290" s="13">
        <v>45463</v>
      </c>
      <c r="I290" s="13">
        <v>47170</v>
      </c>
      <c r="J290" s="32">
        <f t="shared" si="54"/>
        <v>5.0054794520547947</v>
      </c>
      <c r="K290" s="32">
        <f t="shared" si="52"/>
        <v>4.6767123287671231</v>
      </c>
      <c r="L290" s="17">
        <v>1200</v>
      </c>
      <c r="M290" s="17">
        <v>3025.45</v>
      </c>
      <c r="N290" s="20">
        <f t="shared" si="25"/>
        <v>2.5212083333333331</v>
      </c>
      <c r="O290" s="17">
        <v>1125.45</v>
      </c>
      <c r="P290" s="33">
        <v>0</v>
      </c>
      <c r="Q290" s="17">
        <v>800</v>
      </c>
      <c r="R290" s="17">
        <v>325.45</v>
      </c>
      <c r="S290" s="30">
        <v>1.8082399999999998E-2</v>
      </c>
      <c r="T290" s="34">
        <v>97.844399999999993</v>
      </c>
      <c r="U290" s="34">
        <v>0.39560000000000001</v>
      </c>
      <c r="V290" s="34">
        <v>98.24</v>
      </c>
    </row>
    <row r="291" spans="1:22" x14ac:dyDescent="0.25">
      <c r="A291" s="35">
        <v>45468</v>
      </c>
      <c r="B291" s="14">
        <v>0.60416666666666663</v>
      </c>
      <c r="C291" s="15">
        <v>32</v>
      </c>
      <c r="D291" s="15">
        <v>3</v>
      </c>
      <c r="E291" s="13">
        <v>45350</v>
      </c>
      <c r="F291" s="31" t="s">
        <v>307</v>
      </c>
      <c r="G291" s="41">
        <v>3.125E-2</v>
      </c>
      <c r="H291" s="13">
        <v>45469</v>
      </c>
      <c r="I291" s="13">
        <v>49733</v>
      </c>
      <c r="J291" s="32">
        <f t="shared" si="54"/>
        <v>12.008219178082191</v>
      </c>
      <c r="K291" s="32">
        <f t="shared" si="52"/>
        <v>11.682191780821919</v>
      </c>
      <c r="L291" s="17">
        <v>200</v>
      </c>
      <c r="M291" s="17">
        <v>234</v>
      </c>
      <c r="N291" s="20">
        <f t="shared" si="25"/>
        <v>1.17</v>
      </c>
      <c r="O291" s="17">
        <v>33.119999999999997</v>
      </c>
      <c r="P291" s="33">
        <v>0</v>
      </c>
      <c r="Q291" s="17" t="s">
        <v>327</v>
      </c>
      <c r="R291" s="17" t="s">
        <v>327</v>
      </c>
      <c r="S291" s="30">
        <v>3.2562500000000001E-2</v>
      </c>
      <c r="T291" s="34">
        <v>98.798370000000006</v>
      </c>
      <c r="U291" s="34">
        <v>1.02163</v>
      </c>
      <c r="V291" s="34">
        <v>99.82</v>
      </c>
    </row>
    <row r="292" spans="1:22" x14ac:dyDescent="0.25">
      <c r="A292" s="35">
        <v>45489</v>
      </c>
      <c r="B292" s="14">
        <v>0.60416666666666663</v>
      </c>
      <c r="C292" s="15">
        <v>3</v>
      </c>
      <c r="D292" s="15">
        <v>22</v>
      </c>
      <c r="E292" s="13">
        <v>43598</v>
      </c>
      <c r="F292" s="31" t="s">
        <v>322</v>
      </c>
      <c r="G292" s="41">
        <v>2.2000000000000002E-2</v>
      </c>
      <c r="H292" s="13">
        <v>45490</v>
      </c>
      <c r="I292" s="13">
        <v>51269</v>
      </c>
      <c r="J292" s="32">
        <f t="shared" si="54"/>
        <v>21.016438356164382</v>
      </c>
      <c r="K292" s="32">
        <f t="shared" si="52"/>
        <v>15.832876712328767</v>
      </c>
      <c r="L292" s="17">
        <v>850</v>
      </c>
      <c r="M292" s="17">
        <v>2270</v>
      </c>
      <c r="N292" s="20">
        <f t="shared" si="25"/>
        <v>2.6705882352941175</v>
      </c>
      <c r="O292" s="17">
        <v>1700</v>
      </c>
      <c r="P292" s="33">
        <v>0.91180000000000005</v>
      </c>
      <c r="Q292" s="17">
        <v>1670</v>
      </c>
      <c r="R292" s="17">
        <v>30</v>
      </c>
      <c r="S292" s="30">
        <v>2.1392999999999999E-2</v>
      </c>
      <c r="T292" s="34">
        <v>100.75141000000001</v>
      </c>
      <c r="U292" s="34">
        <v>0.38858999999999999</v>
      </c>
      <c r="V292" s="34">
        <v>101.14</v>
      </c>
    </row>
    <row r="293" spans="1:22" x14ac:dyDescent="0.25">
      <c r="A293" s="35">
        <v>45496</v>
      </c>
      <c r="B293" s="14">
        <v>0.60416666666666663</v>
      </c>
      <c r="C293" s="15">
        <v>31</v>
      </c>
      <c r="D293" s="15">
        <v>8</v>
      </c>
      <c r="E293" s="13">
        <v>44944</v>
      </c>
      <c r="F293" s="31" t="s">
        <v>307</v>
      </c>
      <c r="G293" s="41">
        <v>3.2500000000000001E-2</v>
      </c>
      <c r="H293" s="13">
        <v>45497</v>
      </c>
      <c r="I293" s="13">
        <v>47136</v>
      </c>
      <c r="J293" s="32">
        <f t="shared" si="54"/>
        <v>6.0054794520547947</v>
      </c>
      <c r="K293" s="46">
        <f t="shared" si="52"/>
        <v>4.4904109589041097</v>
      </c>
      <c r="L293" s="17">
        <v>350</v>
      </c>
      <c r="M293" s="17">
        <v>324</v>
      </c>
      <c r="N293" s="20">
        <f t="shared" si="25"/>
        <v>0.92571428571428571</v>
      </c>
      <c r="O293" s="17">
        <v>94.31</v>
      </c>
      <c r="P293" s="33">
        <v>0</v>
      </c>
      <c r="Q293" s="17">
        <v>40</v>
      </c>
      <c r="R293" s="19">
        <v>14.98</v>
      </c>
      <c r="S293" s="30">
        <v>2.9442099999999999E-2</v>
      </c>
      <c r="T293" s="34">
        <v>101.25700999999999</v>
      </c>
      <c r="U293" s="34">
        <v>5.2420000000000001E-2</v>
      </c>
      <c r="V293" s="34">
        <v>101.31</v>
      </c>
    </row>
    <row r="294" spans="1:22" x14ac:dyDescent="0.25">
      <c r="A294" s="35">
        <v>45503</v>
      </c>
      <c r="B294" s="14">
        <v>0.60416666666666663</v>
      </c>
      <c r="C294" s="15">
        <v>11</v>
      </c>
      <c r="D294" s="15">
        <v>5</v>
      </c>
      <c r="E294" s="13">
        <v>45329</v>
      </c>
      <c r="F294" s="31" t="s">
        <v>641</v>
      </c>
      <c r="G294" s="41">
        <v>9.1249999999999998E-2</v>
      </c>
      <c r="H294" s="13">
        <v>45504</v>
      </c>
      <c r="I294" s="13">
        <v>46363</v>
      </c>
      <c r="J294" s="32">
        <f t="shared" ref="J294:J296" si="55">(+I294-E294)/365</f>
        <v>2.8328767123287673</v>
      </c>
      <c r="K294" s="32">
        <f t="shared" ref="K294" si="56">(+I294-H294)/365</f>
        <v>2.3534246575342466</v>
      </c>
      <c r="L294" s="17">
        <v>1200</v>
      </c>
      <c r="M294" s="17">
        <v>3569</v>
      </c>
      <c r="N294" s="20">
        <f t="shared" si="25"/>
        <v>2.9741666666666666</v>
      </c>
      <c r="O294" s="17">
        <v>1359</v>
      </c>
      <c r="P294" s="33">
        <v>0</v>
      </c>
      <c r="Q294" s="17">
        <v>800</v>
      </c>
      <c r="R294" s="17" t="s">
        <v>327</v>
      </c>
      <c r="S294" s="30">
        <v>8.9048000000000002E-2</v>
      </c>
      <c r="T294" s="34">
        <v>100.43</v>
      </c>
      <c r="U294" s="34">
        <v>1.3463099999999999</v>
      </c>
      <c r="V294" s="34">
        <v>101.78</v>
      </c>
    </row>
    <row r="295" spans="1:22" x14ac:dyDescent="0.25">
      <c r="A295" s="35">
        <v>45517</v>
      </c>
      <c r="B295" s="14">
        <v>0.60416666666666663</v>
      </c>
      <c r="C295" s="15">
        <v>7</v>
      </c>
      <c r="D295" s="15">
        <v>4</v>
      </c>
      <c r="E295" s="13">
        <v>45343</v>
      </c>
      <c r="F295" s="31" t="s">
        <v>322</v>
      </c>
      <c r="G295" s="41">
        <v>1.2E-2</v>
      </c>
      <c r="H295" s="13">
        <v>45518</v>
      </c>
      <c r="I295" s="13">
        <v>47170</v>
      </c>
      <c r="J295" s="32">
        <f t="shared" si="55"/>
        <v>5.0054794520547947</v>
      </c>
      <c r="K295" s="32">
        <f>(+I295-H295)/365</f>
        <v>4.5260273972602736</v>
      </c>
      <c r="L295" s="17">
        <v>1200</v>
      </c>
      <c r="M295" s="17">
        <v>3706</v>
      </c>
      <c r="N295" s="20">
        <f t="shared" si="25"/>
        <v>3.0883333333333334</v>
      </c>
      <c r="O295" s="17">
        <v>2400</v>
      </c>
      <c r="P295" s="33">
        <v>0.40500000000000003</v>
      </c>
      <c r="Q295" s="17">
        <v>1012</v>
      </c>
      <c r="R295" s="17">
        <v>18</v>
      </c>
      <c r="S295" s="30">
        <v>1.8282E-2</v>
      </c>
      <c r="T295" s="34">
        <v>97.863079999999997</v>
      </c>
      <c r="U295" s="34">
        <v>0.57691999999999999</v>
      </c>
      <c r="V295" s="34">
        <v>98.44</v>
      </c>
    </row>
    <row r="296" spans="1:22" x14ac:dyDescent="0.25">
      <c r="A296" s="35">
        <v>45524</v>
      </c>
      <c r="B296" s="14">
        <v>0.60416666666666663</v>
      </c>
      <c r="C296" s="15">
        <v>32</v>
      </c>
      <c r="D296" s="15">
        <v>4</v>
      </c>
      <c r="E296" s="13">
        <v>45350</v>
      </c>
      <c r="F296" s="31" t="s">
        <v>307</v>
      </c>
      <c r="G296" s="41">
        <v>3.125E-2</v>
      </c>
      <c r="H296" s="13">
        <v>45525</v>
      </c>
      <c r="I296" s="13">
        <v>49733</v>
      </c>
      <c r="J296" s="32">
        <f t="shared" si="55"/>
        <v>12.008219178082191</v>
      </c>
      <c r="K296" s="32">
        <f>(+I296-H296)/365</f>
        <v>11.528767123287672</v>
      </c>
      <c r="L296" s="17">
        <v>150</v>
      </c>
      <c r="M296" s="17">
        <v>298</v>
      </c>
      <c r="N296" s="20">
        <f t="shared" si="25"/>
        <v>1.9866666666666666</v>
      </c>
      <c r="O296" s="17">
        <v>170</v>
      </c>
      <c r="P296" s="33">
        <v>0</v>
      </c>
      <c r="Q296" s="17">
        <v>90.32</v>
      </c>
      <c r="R296" s="17">
        <v>1.55</v>
      </c>
      <c r="S296" s="30">
        <v>3.3277599999999997E-2</v>
      </c>
      <c r="T296" s="34">
        <v>98.187600000000003</v>
      </c>
      <c r="U296" s="34">
        <v>1.5024</v>
      </c>
      <c r="V296" s="34">
        <v>99.69</v>
      </c>
    </row>
    <row r="297" spans="1:22" x14ac:dyDescent="0.25">
      <c r="A297" s="35">
        <v>45531</v>
      </c>
      <c r="B297" s="14">
        <v>0.60416666666666663</v>
      </c>
      <c r="C297" s="15">
        <v>11</v>
      </c>
      <c r="D297" s="15">
        <v>6</v>
      </c>
      <c r="E297" s="13">
        <v>45329</v>
      </c>
      <c r="F297" s="31" t="s">
        <v>641</v>
      </c>
      <c r="G297" s="41">
        <v>9.1249999999999998E-2</v>
      </c>
      <c r="H297" s="13">
        <v>45532</v>
      </c>
      <c r="I297" s="13">
        <v>46363</v>
      </c>
      <c r="J297" s="32">
        <v>2.8</v>
      </c>
      <c r="K297" s="32">
        <f>(+I297-H297)/365</f>
        <v>2.2767123287671232</v>
      </c>
      <c r="L297" s="17">
        <v>1200</v>
      </c>
      <c r="M297" s="17">
        <v>2318.9</v>
      </c>
      <c r="N297" s="20">
        <f t="shared" si="25"/>
        <v>1.9324166666666667</v>
      </c>
      <c r="O297" s="17">
        <v>1200.9000000000001</v>
      </c>
      <c r="P297" s="33">
        <v>0</v>
      </c>
      <c r="Q297" s="17">
        <v>800</v>
      </c>
      <c r="R297" s="17">
        <v>400</v>
      </c>
      <c r="S297" s="30">
        <v>8.9881000000000003E-2</v>
      </c>
      <c r="T297" s="34">
        <v>100.24560000000001</v>
      </c>
      <c r="U297" s="34">
        <v>2.0444</v>
      </c>
      <c r="V297" s="34">
        <v>102.29</v>
      </c>
    </row>
    <row r="298" spans="1:22" x14ac:dyDescent="0.25">
      <c r="A298" s="35">
        <v>45545</v>
      </c>
      <c r="B298" s="14">
        <v>0.60416666666666663</v>
      </c>
      <c r="C298" s="15">
        <v>3</v>
      </c>
      <c r="D298" s="15">
        <v>23</v>
      </c>
      <c r="E298" s="13">
        <v>43598</v>
      </c>
      <c r="F298" s="31" t="s">
        <v>322</v>
      </c>
      <c r="G298" s="41">
        <v>2.2000000000000002E-2</v>
      </c>
      <c r="H298" s="13">
        <v>45546</v>
      </c>
      <c r="I298" s="13">
        <v>51269</v>
      </c>
      <c r="J298" s="32">
        <f t="shared" ref="J298:J299" si="57">(+I298-E298)/365</f>
        <v>21.016438356164382</v>
      </c>
      <c r="K298" s="32">
        <f t="shared" ref="K298:K301" si="58">(+I298-H298)/365</f>
        <v>15.67945205479452</v>
      </c>
      <c r="L298" s="17">
        <v>850</v>
      </c>
      <c r="M298" s="17">
        <v>2033</v>
      </c>
      <c r="N298" s="20">
        <f t="shared" si="25"/>
        <v>2.3917647058823528</v>
      </c>
      <c r="O298" s="17">
        <v>1700</v>
      </c>
      <c r="P298" s="33">
        <v>0.1971</v>
      </c>
      <c r="Q298" s="17">
        <v>1640</v>
      </c>
      <c r="R298" s="17">
        <v>0</v>
      </c>
      <c r="S298" s="30">
        <v>2.1903800000000001E-2</v>
      </c>
      <c r="T298" s="34">
        <v>100.10663</v>
      </c>
      <c r="U298" s="34">
        <v>0.72336999999999996</v>
      </c>
      <c r="V298" s="34">
        <v>100.83</v>
      </c>
    </row>
    <row r="299" spans="1:22" x14ac:dyDescent="0.25">
      <c r="A299" s="35">
        <v>45552</v>
      </c>
      <c r="B299" s="14">
        <v>0.60416666666666663</v>
      </c>
      <c r="C299" s="15">
        <v>31</v>
      </c>
      <c r="D299" s="15">
        <v>9</v>
      </c>
      <c r="E299" s="13">
        <v>44944</v>
      </c>
      <c r="F299" s="31" t="s">
        <v>307</v>
      </c>
      <c r="G299" s="41">
        <v>3.2500000000000001E-2</v>
      </c>
      <c r="H299" s="13">
        <v>45553</v>
      </c>
      <c r="I299" s="13">
        <v>47136</v>
      </c>
      <c r="J299" s="32">
        <f t="shared" si="57"/>
        <v>6.0054794520547947</v>
      </c>
      <c r="K299" s="32">
        <f t="shared" si="58"/>
        <v>4.3369863013698629</v>
      </c>
      <c r="L299" s="17">
        <v>250</v>
      </c>
      <c r="M299" s="71">
        <v>357.39</v>
      </c>
      <c r="N299" s="20">
        <f t="shared" si="25"/>
        <v>1.4295599999999999</v>
      </c>
      <c r="O299" s="17">
        <v>15.68</v>
      </c>
      <c r="P299" s="33">
        <v>0</v>
      </c>
      <c r="Q299" s="17" t="s">
        <v>327</v>
      </c>
      <c r="R299" s="17">
        <v>13.64</v>
      </c>
      <c r="S299" s="30">
        <v>2.9553300000000001E-2</v>
      </c>
      <c r="T299" s="34">
        <v>101.17245</v>
      </c>
      <c r="U299" s="34">
        <v>0.54754999999999998</v>
      </c>
      <c r="V299" s="34">
        <v>101.72</v>
      </c>
    </row>
    <row r="300" spans="1:22" x14ac:dyDescent="0.25">
      <c r="A300" s="35">
        <v>45559</v>
      </c>
      <c r="B300" s="14">
        <v>0.60416666666666663</v>
      </c>
      <c r="C300" s="15">
        <v>11</v>
      </c>
      <c r="D300" s="15">
        <v>7</v>
      </c>
      <c r="E300" s="13">
        <v>45329</v>
      </c>
      <c r="F300" s="31" t="s">
        <v>641</v>
      </c>
      <c r="G300" s="41">
        <v>9.1249999999999998E-2</v>
      </c>
      <c r="H300" s="13">
        <v>45560</v>
      </c>
      <c r="I300" s="13">
        <v>46363</v>
      </c>
      <c r="J300" s="32">
        <v>2.8</v>
      </c>
      <c r="K300" s="32">
        <f t="shared" si="58"/>
        <v>2.2000000000000002</v>
      </c>
      <c r="L300" s="17">
        <v>900</v>
      </c>
      <c r="M300" s="17">
        <v>3123.9</v>
      </c>
      <c r="N300" s="20">
        <f t="shared" si="25"/>
        <v>3.4710000000000001</v>
      </c>
      <c r="O300" s="17">
        <v>1800</v>
      </c>
      <c r="P300" s="33">
        <v>0.83199999999999996</v>
      </c>
      <c r="Q300" s="17">
        <v>1607.3</v>
      </c>
      <c r="R300" s="17">
        <v>0</v>
      </c>
      <c r="S300" s="30">
        <v>9.1322E-2</v>
      </c>
      <c r="T300" s="34">
        <v>99.96</v>
      </c>
      <c r="U300" s="34">
        <v>2.74</v>
      </c>
      <c r="V300" s="34">
        <f>+U300+T300</f>
        <v>102.69999999999999</v>
      </c>
    </row>
    <row r="301" spans="1:22" x14ac:dyDescent="0.25">
      <c r="A301" s="35">
        <v>45573</v>
      </c>
      <c r="B301" s="14">
        <v>0.60416666666666663</v>
      </c>
      <c r="C301" s="15">
        <v>7</v>
      </c>
      <c r="D301" s="15">
        <v>5</v>
      </c>
      <c r="E301" s="13">
        <v>45343</v>
      </c>
      <c r="F301" s="31" t="s">
        <v>322</v>
      </c>
      <c r="G301" s="41">
        <v>1.2E-2</v>
      </c>
      <c r="H301" s="13">
        <v>45574</v>
      </c>
      <c r="I301" s="13">
        <v>47170</v>
      </c>
      <c r="J301" s="32">
        <f t="shared" ref="J301:J310" si="59">(+I301-E301)/365</f>
        <v>5.0054794520547947</v>
      </c>
      <c r="K301" s="32">
        <f t="shared" si="58"/>
        <v>4.3726027397260276</v>
      </c>
      <c r="L301" s="17">
        <v>1200</v>
      </c>
      <c r="M301" s="17">
        <v>1937</v>
      </c>
      <c r="N301" s="20">
        <f t="shared" si="25"/>
        <v>1.6141666666666667</v>
      </c>
      <c r="O301" s="17">
        <v>397</v>
      </c>
      <c r="P301" s="33">
        <v>0</v>
      </c>
      <c r="Q301" s="17" t="s">
        <v>327</v>
      </c>
      <c r="R301" s="17">
        <v>20</v>
      </c>
      <c r="S301" s="30">
        <v>1.8169100000000001E-2</v>
      </c>
      <c r="T301" s="34">
        <v>97.990219999999994</v>
      </c>
      <c r="U301" s="34">
        <v>0.15978000000000001</v>
      </c>
      <c r="V301" s="34">
        <v>98.15</v>
      </c>
    </row>
    <row r="302" spans="1:22" x14ac:dyDescent="0.25">
      <c r="A302" s="35">
        <v>45580</v>
      </c>
      <c r="B302" s="14">
        <v>0.60416666666666663</v>
      </c>
      <c r="C302" s="15">
        <v>32</v>
      </c>
      <c r="D302" s="15">
        <v>5</v>
      </c>
      <c r="E302" s="13">
        <v>45350</v>
      </c>
      <c r="F302" s="31" t="s">
        <v>307</v>
      </c>
      <c r="G302" s="41">
        <v>3.125E-2</v>
      </c>
      <c r="H302" s="13">
        <f>+A302+1</f>
        <v>45581</v>
      </c>
      <c r="I302" s="13">
        <v>49733</v>
      </c>
      <c r="J302" s="32">
        <f t="shared" si="59"/>
        <v>12.008219178082191</v>
      </c>
      <c r="K302" s="32">
        <f t="shared" ref="K302:K326" si="60">(+I302-H302)/365</f>
        <v>11.375342465753425</v>
      </c>
      <c r="L302" s="17">
        <v>150</v>
      </c>
      <c r="M302" s="17">
        <v>248.42</v>
      </c>
      <c r="N302" s="20">
        <f t="shared" si="25"/>
        <v>1.6561333333333332</v>
      </c>
      <c r="O302" s="17">
        <v>160.41999999999999</v>
      </c>
      <c r="P302" s="33">
        <v>0</v>
      </c>
      <c r="Q302" s="17">
        <v>157.13</v>
      </c>
      <c r="R302" s="17">
        <v>0</v>
      </c>
      <c r="S302" s="30">
        <v>3.4277000000000002E-2</v>
      </c>
      <c r="T302" s="34">
        <v>97.353899999999996</v>
      </c>
      <c r="U302" s="34">
        <v>0.41610000000000003</v>
      </c>
      <c r="V302" s="34">
        <f>+T302+U302</f>
        <v>97.77</v>
      </c>
    </row>
    <row r="303" spans="1:22" x14ac:dyDescent="0.25">
      <c r="A303" s="35">
        <v>45587</v>
      </c>
      <c r="B303" s="14">
        <v>0.60416666666666663</v>
      </c>
      <c r="C303" s="15">
        <v>11</v>
      </c>
      <c r="D303" s="15">
        <v>8</v>
      </c>
      <c r="E303" s="13">
        <v>45329</v>
      </c>
      <c r="F303" s="31" t="s">
        <v>641</v>
      </c>
      <c r="G303" s="41">
        <v>9.1249999999999998E-2</v>
      </c>
      <c r="H303" s="13">
        <v>45588</v>
      </c>
      <c r="I303" s="13">
        <v>46363</v>
      </c>
      <c r="J303" s="32">
        <f t="shared" si="59"/>
        <v>2.8328767123287673</v>
      </c>
      <c r="K303" s="32">
        <f t="shared" si="60"/>
        <v>2.1232876712328768</v>
      </c>
      <c r="L303" s="17">
        <v>900</v>
      </c>
      <c r="M303" s="17">
        <v>3654.7</v>
      </c>
      <c r="N303" s="20">
        <f t="shared" si="25"/>
        <v>4.0607777777777772</v>
      </c>
      <c r="O303" s="17">
        <v>1800</v>
      </c>
      <c r="P303" s="33">
        <v>0.71309999999999996</v>
      </c>
      <c r="Q303" s="17">
        <v>1310.5</v>
      </c>
      <c r="R303" s="17">
        <v>420.9</v>
      </c>
      <c r="S303" s="30">
        <v>9.05088E-2</v>
      </c>
      <c r="T303" s="34">
        <v>100.12</v>
      </c>
      <c r="U303" s="34">
        <v>3.44</v>
      </c>
      <c r="V303" s="34">
        <v>103.56</v>
      </c>
    </row>
    <row r="304" spans="1:22" x14ac:dyDescent="0.25">
      <c r="A304" s="35">
        <v>45601</v>
      </c>
      <c r="B304" s="14">
        <v>0.60416666666666663</v>
      </c>
      <c r="C304" s="15">
        <v>3</v>
      </c>
      <c r="D304" s="15">
        <v>24</v>
      </c>
      <c r="E304" s="13">
        <v>43598</v>
      </c>
      <c r="F304" s="31" t="s">
        <v>322</v>
      </c>
      <c r="G304" s="41">
        <v>2.2000000000000002E-2</v>
      </c>
      <c r="H304" s="13">
        <v>45602</v>
      </c>
      <c r="I304" s="13">
        <v>51269</v>
      </c>
      <c r="J304" s="32">
        <f t="shared" si="59"/>
        <v>21.016438356164382</v>
      </c>
      <c r="K304" s="32">
        <f t="shared" si="60"/>
        <v>15.526027397260274</v>
      </c>
      <c r="L304" s="17">
        <v>850</v>
      </c>
      <c r="M304" s="17">
        <v>2020</v>
      </c>
      <c r="N304" s="20">
        <f t="shared" si="25"/>
        <v>2.3764705882352941</v>
      </c>
      <c r="O304" s="17">
        <v>40</v>
      </c>
      <c r="P304" s="33">
        <v>0</v>
      </c>
      <c r="Q304" s="17">
        <v>0</v>
      </c>
      <c r="R304" s="17">
        <v>0</v>
      </c>
      <c r="S304" s="30">
        <v>2.0788399999999999E-2</v>
      </c>
      <c r="T304" s="34">
        <v>101.50185</v>
      </c>
      <c r="U304" s="34">
        <v>1.0581499999999999</v>
      </c>
      <c r="V304" s="34">
        <v>102.56</v>
      </c>
    </row>
    <row r="305" spans="1:22" x14ac:dyDescent="0.25">
      <c r="A305" s="35">
        <v>45608</v>
      </c>
      <c r="B305" s="14">
        <v>0.60416666666666663</v>
      </c>
      <c r="C305" s="15">
        <v>31</v>
      </c>
      <c r="D305" s="15">
        <v>10</v>
      </c>
      <c r="E305" s="13">
        <v>44944</v>
      </c>
      <c r="F305" s="31" t="s">
        <v>307</v>
      </c>
      <c r="G305" s="41">
        <v>3.2500000000000001E-2</v>
      </c>
      <c r="H305" s="13">
        <v>45609</v>
      </c>
      <c r="I305" s="13">
        <v>47136</v>
      </c>
      <c r="J305" s="32">
        <f t="shared" si="59"/>
        <v>6.0054794520547947</v>
      </c>
      <c r="K305" s="32">
        <f t="shared" si="60"/>
        <v>4.183561643835616</v>
      </c>
      <c r="L305" s="17">
        <v>250</v>
      </c>
      <c r="M305" s="17">
        <v>202.81</v>
      </c>
      <c r="N305" s="20">
        <f t="shared" si="25"/>
        <v>0.81123999999999996</v>
      </c>
      <c r="O305" s="17">
        <v>53.65</v>
      </c>
      <c r="P305" s="33">
        <v>0</v>
      </c>
      <c r="Q305" s="17">
        <v>23</v>
      </c>
      <c r="R305" s="17">
        <v>11.63</v>
      </c>
      <c r="S305" s="30">
        <v>3.0000800000000001E-2</v>
      </c>
      <c r="T305" s="34">
        <v>100.95788</v>
      </c>
      <c r="U305" s="34">
        <v>1.0421199999999999</v>
      </c>
      <c r="V305" s="34">
        <v>102</v>
      </c>
    </row>
    <row r="306" spans="1:22" x14ac:dyDescent="0.25">
      <c r="A306" s="35">
        <v>45615</v>
      </c>
      <c r="B306" s="14">
        <v>0.60416666666666663</v>
      </c>
      <c r="C306" s="15">
        <v>11</v>
      </c>
      <c r="D306" s="15">
        <v>9</v>
      </c>
      <c r="E306" s="13">
        <v>45329</v>
      </c>
      <c r="F306" s="31" t="s">
        <v>641</v>
      </c>
      <c r="G306" s="41">
        <v>9.1249999999999998E-2</v>
      </c>
      <c r="H306" s="13">
        <v>45616</v>
      </c>
      <c r="I306" s="13">
        <v>46363</v>
      </c>
      <c r="J306" s="32">
        <f t="shared" si="59"/>
        <v>2.8328767123287673</v>
      </c>
      <c r="K306" s="32">
        <f t="shared" si="60"/>
        <v>2.0465753424657533</v>
      </c>
      <c r="L306" s="17">
        <v>900</v>
      </c>
      <c r="M306" s="17">
        <v>2308.8000000000002</v>
      </c>
      <c r="N306" s="20">
        <f t="shared" si="25"/>
        <v>2.5653333333333337</v>
      </c>
      <c r="O306" s="17">
        <v>1069</v>
      </c>
      <c r="P306" s="33">
        <v>0</v>
      </c>
      <c r="Q306" s="17">
        <v>625</v>
      </c>
      <c r="R306" s="17" t="s">
        <v>327</v>
      </c>
      <c r="S306" s="30">
        <v>8.9014800000000005E-2</v>
      </c>
      <c r="T306" s="34">
        <v>100.4</v>
      </c>
      <c r="U306" s="34">
        <v>4.1399999999999997</v>
      </c>
      <c r="V306" s="34">
        <v>104.54</v>
      </c>
    </row>
    <row r="307" spans="1:22" x14ac:dyDescent="0.25">
      <c r="A307" s="35">
        <v>45629</v>
      </c>
      <c r="B307" s="14">
        <v>0.60416666666666663</v>
      </c>
      <c r="C307" s="15">
        <v>7</v>
      </c>
      <c r="D307" s="15">
        <v>6</v>
      </c>
      <c r="E307" s="13">
        <v>45343</v>
      </c>
      <c r="F307" s="31" t="s">
        <v>322</v>
      </c>
      <c r="G307" s="41">
        <v>1.2E-2</v>
      </c>
      <c r="H307" s="13">
        <v>45630</v>
      </c>
      <c r="I307" s="13">
        <v>47170</v>
      </c>
      <c r="J307" s="32">
        <f t="shared" si="59"/>
        <v>5.0054794520547947</v>
      </c>
      <c r="K307" s="32">
        <f t="shared" si="60"/>
        <v>4.2191780821917808</v>
      </c>
      <c r="L307" s="17">
        <v>1200</v>
      </c>
      <c r="M307" s="17">
        <v>1833.5</v>
      </c>
      <c r="N307" s="20">
        <f t="shared" si="25"/>
        <v>1.5279166666666666</v>
      </c>
      <c r="O307" s="17">
        <v>660.8</v>
      </c>
      <c r="P307" s="33">
        <v>0</v>
      </c>
      <c r="Q307" s="17">
        <v>530</v>
      </c>
      <c r="R307" s="17">
        <v>10.8</v>
      </c>
      <c r="S307" s="30">
        <v>1.8015199999999999E-2</v>
      </c>
      <c r="T307" s="34">
        <v>98.127610000000004</v>
      </c>
      <c r="U307" s="34">
        <v>0.34239000000000003</v>
      </c>
      <c r="V307" s="34">
        <v>98.47</v>
      </c>
    </row>
    <row r="308" spans="1:22" x14ac:dyDescent="0.25">
      <c r="A308" s="35">
        <v>45636</v>
      </c>
      <c r="B308" s="14">
        <v>0.60416666666666663</v>
      </c>
      <c r="C308" s="15">
        <v>32</v>
      </c>
      <c r="D308" s="15">
        <v>6</v>
      </c>
      <c r="E308" s="13">
        <v>45350</v>
      </c>
      <c r="F308" s="31" t="s">
        <v>307</v>
      </c>
      <c r="G308" s="41">
        <v>3.125E-2</v>
      </c>
      <c r="H308" s="13">
        <f>+A308+1</f>
        <v>45637</v>
      </c>
      <c r="I308" s="13">
        <v>49733</v>
      </c>
      <c r="J308" s="32">
        <f t="shared" si="59"/>
        <v>12.008219178082191</v>
      </c>
      <c r="K308" s="32">
        <f t="shared" si="60"/>
        <v>11.221917808219178</v>
      </c>
      <c r="L308" s="17">
        <v>150</v>
      </c>
      <c r="M308" s="17">
        <v>296.87</v>
      </c>
      <c r="N308" s="20">
        <f t="shared" si="25"/>
        <v>1.9791333333333334</v>
      </c>
      <c r="O308" s="17">
        <v>152.22999999999999</v>
      </c>
      <c r="P308" s="33">
        <v>0</v>
      </c>
      <c r="Q308" s="17">
        <v>107.28</v>
      </c>
      <c r="R308" s="17">
        <v>3.56</v>
      </c>
      <c r="S308" s="30">
        <v>3.4183400000000003E-2</v>
      </c>
      <c r="T308" s="34">
        <v>97.468360000000004</v>
      </c>
      <c r="U308" s="34">
        <v>0.89163999999999999</v>
      </c>
      <c r="V308" s="34">
        <v>98.36</v>
      </c>
    </row>
    <row r="309" spans="1:22" x14ac:dyDescent="0.25">
      <c r="A309" s="35">
        <v>45643</v>
      </c>
      <c r="B309" s="14">
        <v>0.60416666666666663</v>
      </c>
      <c r="C309" s="15">
        <v>11</v>
      </c>
      <c r="D309" s="15">
        <v>10</v>
      </c>
      <c r="E309" s="13">
        <v>45329</v>
      </c>
      <c r="F309" s="31" t="s">
        <v>641</v>
      </c>
      <c r="G309" s="41">
        <v>9.1249999999999998E-2</v>
      </c>
      <c r="H309" s="13">
        <v>45644</v>
      </c>
      <c r="I309" s="13">
        <v>46363</v>
      </c>
      <c r="J309" s="32">
        <v>2.8328767123287673</v>
      </c>
      <c r="K309" s="32">
        <f t="shared" si="60"/>
        <v>1.9698630136986301</v>
      </c>
      <c r="L309" s="17">
        <v>2000</v>
      </c>
      <c r="M309" s="17">
        <v>1856.6</v>
      </c>
      <c r="N309" s="20">
        <f t="shared" si="25"/>
        <v>0.9282999999999999</v>
      </c>
      <c r="O309" s="17">
        <v>703</v>
      </c>
      <c r="P309" s="33">
        <v>0</v>
      </c>
      <c r="Q309" s="17">
        <v>700</v>
      </c>
      <c r="R309" s="17" t="s">
        <v>327</v>
      </c>
      <c r="S309" s="30">
        <v>9.1534699999999997E-2</v>
      </c>
      <c r="T309" s="34">
        <v>99.94</v>
      </c>
      <c r="U309" s="34">
        <v>0.28000000000000003</v>
      </c>
      <c r="V309" s="34">
        <v>100.22</v>
      </c>
    </row>
    <row r="310" spans="1:22" x14ac:dyDescent="0.25">
      <c r="A310" s="35">
        <v>45671</v>
      </c>
      <c r="B310" s="14">
        <v>0.60416666666666663</v>
      </c>
      <c r="C310" s="15">
        <v>32</v>
      </c>
      <c r="D310" s="15">
        <v>7</v>
      </c>
      <c r="E310" s="13">
        <v>45350</v>
      </c>
      <c r="F310" s="31" t="s">
        <v>307</v>
      </c>
      <c r="G310" s="41">
        <v>3.125E-2</v>
      </c>
      <c r="H310" s="13">
        <v>45672</v>
      </c>
      <c r="I310" s="13">
        <v>49733</v>
      </c>
      <c r="J310" s="32">
        <f t="shared" si="59"/>
        <v>12.008219178082191</v>
      </c>
      <c r="K310" s="32">
        <f t="shared" si="60"/>
        <v>11.126027397260273</v>
      </c>
      <c r="L310" s="17">
        <v>250</v>
      </c>
      <c r="M310" s="17">
        <v>536.4</v>
      </c>
      <c r="N310" s="20">
        <f t="shared" si="25"/>
        <v>2.1456</v>
      </c>
      <c r="O310" s="17">
        <v>336.9</v>
      </c>
      <c r="P310" s="33">
        <v>0</v>
      </c>
      <c r="Q310" s="17">
        <v>310.10000000000002</v>
      </c>
      <c r="R310" s="17">
        <v>0.45</v>
      </c>
      <c r="S310" s="30">
        <v>3.4494900000000002E-2</v>
      </c>
      <c r="T310" s="34">
        <v>97.231139999999996</v>
      </c>
      <c r="U310" s="34">
        <v>1.18886</v>
      </c>
      <c r="V310" s="34">
        <v>98.42</v>
      </c>
    </row>
    <row r="311" spans="1:22" x14ac:dyDescent="0.25">
      <c r="A311" s="35">
        <v>45678</v>
      </c>
      <c r="B311" s="14">
        <v>0.60416666666666663</v>
      </c>
      <c r="C311" s="15">
        <v>7</v>
      </c>
      <c r="D311" s="15">
        <v>7</v>
      </c>
      <c r="E311" s="13">
        <v>45343</v>
      </c>
      <c r="F311" s="31" t="s">
        <v>322</v>
      </c>
      <c r="G311" s="41">
        <v>1.2E-2</v>
      </c>
      <c r="H311" s="13">
        <v>45679</v>
      </c>
      <c r="I311" s="13">
        <v>47170</v>
      </c>
      <c r="J311" s="32">
        <f t="shared" ref="J311" si="61">(+I311-E311)/365</f>
        <v>5.0054794520547947</v>
      </c>
      <c r="K311" s="32">
        <f t="shared" si="60"/>
        <v>4.0849315068493155</v>
      </c>
      <c r="L311" s="17">
        <v>1200</v>
      </c>
      <c r="M311" s="17">
        <v>2863.7</v>
      </c>
      <c r="N311" s="20">
        <f t="shared" si="25"/>
        <v>2.3864166666666664</v>
      </c>
      <c r="O311" s="17">
        <v>1800</v>
      </c>
      <c r="P311" s="33">
        <v>0</v>
      </c>
      <c r="Q311" s="17">
        <v>1650</v>
      </c>
      <c r="R311" s="17">
        <v>150</v>
      </c>
      <c r="S311" s="30">
        <v>1.79045E-2</v>
      </c>
      <c r="T311" s="34">
        <v>98.237830000000002</v>
      </c>
      <c r="U311" s="34">
        <v>0.50217000000000001</v>
      </c>
      <c r="V311" s="34">
        <v>98.74</v>
      </c>
    </row>
    <row r="312" spans="1:22" x14ac:dyDescent="0.25">
      <c r="A312" s="35">
        <v>45685</v>
      </c>
      <c r="B312" s="14">
        <v>0.60416666666666663</v>
      </c>
      <c r="C312" s="15">
        <v>11</v>
      </c>
      <c r="D312" s="15">
        <v>11</v>
      </c>
      <c r="E312" s="13">
        <v>45329</v>
      </c>
      <c r="F312" s="31" t="s">
        <v>641</v>
      </c>
      <c r="G312" s="41">
        <v>9.1249999999999998E-2</v>
      </c>
      <c r="H312" s="13">
        <v>45686</v>
      </c>
      <c r="I312" s="13">
        <v>46363</v>
      </c>
      <c r="J312" s="32">
        <v>2.8328767123287673</v>
      </c>
      <c r="K312" s="32">
        <f t="shared" si="60"/>
        <v>1.8547945205479452</v>
      </c>
      <c r="L312" s="17">
        <v>1200</v>
      </c>
      <c r="M312" s="17">
        <v>2603.85</v>
      </c>
      <c r="N312" s="20">
        <f t="shared" si="25"/>
        <v>2.1698749999999998</v>
      </c>
      <c r="O312" s="17">
        <v>1656.85</v>
      </c>
      <c r="P312" s="33">
        <v>0</v>
      </c>
      <c r="Q312" s="17">
        <v>1087</v>
      </c>
      <c r="R312" s="17">
        <v>7</v>
      </c>
      <c r="S312" s="30">
        <v>9.5844600000000002E-2</v>
      </c>
      <c r="T312" s="34">
        <v>99.21</v>
      </c>
      <c r="U312" s="34">
        <v>1.33</v>
      </c>
      <c r="V312" s="34">
        <v>100.54</v>
      </c>
    </row>
    <row r="313" spans="1:22" x14ac:dyDescent="0.25">
      <c r="A313" s="35">
        <v>45699</v>
      </c>
      <c r="B313" s="14">
        <v>0.60416666666666663</v>
      </c>
      <c r="C313" s="15">
        <v>31</v>
      </c>
      <c r="D313" s="15">
        <v>11</v>
      </c>
      <c r="E313" s="13">
        <v>44944</v>
      </c>
      <c r="F313" s="31" t="s">
        <v>307</v>
      </c>
      <c r="G313" s="41">
        <v>3.2500000000000001E-2</v>
      </c>
      <c r="H313" s="13">
        <v>45700</v>
      </c>
      <c r="I313" s="13">
        <v>47136</v>
      </c>
      <c r="J313" s="32">
        <f t="shared" ref="J313:J314" si="62">(+I313-E313)/365</f>
        <v>6.0054794520547947</v>
      </c>
      <c r="K313" s="32">
        <f t="shared" si="60"/>
        <v>3.9342465753424656</v>
      </c>
      <c r="L313" s="17">
        <v>200</v>
      </c>
      <c r="M313" s="17">
        <v>1008.28</v>
      </c>
      <c r="N313" s="20">
        <f t="shared" si="25"/>
        <v>5.0413999999999994</v>
      </c>
      <c r="O313" s="17">
        <v>400</v>
      </c>
      <c r="P313" s="33">
        <v>1.7999999999999999E-2</v>
      </c>
      <c r="Q313" s="17">
        <v>113.27</v>
      </c>
      <c r="R313" s="17">
        <v>78.23</v>
      </c>
      <c r="S313" s="30">
        <v>2.86679E-2</v>
      </c>
      <c r="T313" s="34">
        <v>101.40555000000001</v>
      </c>
      <c r="U313" s="34">
        <v>0.22445000000000001</v>
      </c>
      <c r="V313" s="34">
        <v>101.63</v>
      </c>
    </row>
    <row r="314" spans="1:22" x14ac:dyDescent="0.25">
      <c r="A314" s="35">
        <v>45706</v>
      </c>
      <c r="B314" s="14">
        <v>0.60416666666666663</v>
      </c>
      <c r="C314" s="15">
        <v>6</v>
      </c>
      <c r="D314" s="15">
        <v>7</v>
      </c>
      <c r="E314" s="13">
        <v>45127</v>
      </c>
      <c r="F314" s="31" t="s">
        <v>322</v>
      </c>
      <c r="G314" s="41">
        <v>2.2499999999999999E-2</v>
      </c>
      <c r="H314" s="13">
        <v>45707</v>
      </c>
      <c r="I314" s="13">
        <v>49876</v>
      </c>
      <c r="J314" s="32">
        <f t="shared" si="62"/>
        <v>13.010958904109589</v>
      </c>
      <c r="K314" s="32">
        <f t="shared" si="60"/>
        <v>11.421917808219177</v>
      </c>
      <c r="L314" s="17">
        <v>1000</v>
      </c>
      <c r="M314" s="17">
        <v>2819</v>
      </c>
      <c r="N314" s="20">
        <f t="shared" si="25"/>
        <v>2.819</v>
      </c>
      <c r="O314" s="17">
        <v>2000</v>
      </c>
      <c r="P314" s="33">
        <v>0.72399999999999998</v>
      </c>
      <c r="Q314" s="17">
        <v>1868.28</v>
      </c>
      <c r="R314" s="17" t="s">
        <v>327</v>
      </c>
      <c r="S314" s="30">
        <v>2.1305500000000002E-2</v>
      </c>
      <c r="T314" s="34">
        <v>101.10354</v>
      </c>
      <c r="U314" s="34">
        <v>0.18645999999999999</v>
      </c>
      <c r="V314" s="34">
        <v>101.29</v>
      </c>
    </row>
    <row r="315" spans="1:22" x14ac:dyDescent="0.25">
      <c r="A315" s="35">
        <v>45713</v>
      </c>
      <c r="B315" s="14">
        <v>0.60416666666666663</v>
      </c>
      <c r="C315" s="15">
        <v>11</v>
      </c>
      <c r="D315" s="15">
        <v>12</v>
      </c>
      <c r="E315" s="13">
        <v>45329</v>
      </c>
      <c r="F315" s="31" t="s">
        <v>641</v>
      </c>
      <c r="G315" s="41">
        <v>9.1249999999999998E-2</v>
      </c>
      <c r="H315" s="13">
        <v>45714</v>
      </c>
      <c r="I315" s="13">
        <v>46363</v>
      </c>
      <c r="J315" s="32">
        <v>2.8328767123287673</v>
      </c>
      <c r="K315" s="32">
        <f t="shared" si="60"/>
        <v>1.7780821917808218</v>
      </c>
      <c r="L315" s="17">
        <v>1200</v>
      </c>
      <c r="M315" s="17">
        <v>3795.9</v>
      </c>
      <c r="N315" s="20">
        <f t="shared" si="25"/>
        <v>3.1632500000000001</v>
      </c>
      <c r="O315" s="17">
        <v>2400</v>
      </c>
      <c r="P315" s="33">
        <v>0.41820000000000002</v>
      </c>
      <c r="Q315" s="17">
        <v>1190.9000000000001</v>
      </c>
      <c r="R315" s="17" t="s">
        <v>327</v>
      </c>
      <c r="S315" s="30">
        <v>9.5748299999999995E-2</v>
      </c>
      <c r="T315" s="34">
        <v>99.25</v>
      </c>
      <c r="U315" s="34">
        <v>2.0299999999999998</v>
      </c>
      <c r="V315" s="34">
        <v>101.28</v>
      </c>
    </row>
    <row r="316" spans="1:22" x14ac:dyDescent="0.25">
      <c r="A316" s="35">
        <v>45727</v>
      </c>
      <c r="B316" s="14">
        <v>0.60416666666666663</v>
      </c>
      <c r="C316" s="15">
        <v>32</v>
      </c>
      <c r="D316" s="15">
        <v>8</v>
      </c>
      <c r="E316" s="13">
        <v>45350</v>
      </c>
      <c r="F316" s="31" t="s">
        <v>307</v>
      </c>
      <c r="G316" s="41">
        <v>3.125E-2</v>
      </c>
      <c r="H316" s="13">
        <v>45728</v>
      </c>
      <c r="I316" s="13">
        <v>49733</v>
      </c>
      <c r="J316" s="32">
        <f>(+I316-E316)/365</f>
        <v>12.008219178082191</v>
      </c>
      <c r="K316" s="32">
        <f>(+I316-H316)/365</f>
        <v>10.972602739726028</v>
      </c>
      <c r="L316" s="17">
        <v>250</v>
      </c>
      <c r="M316" s="17">
        <v>359.43</v>
      </c>
      <c r="N316" s="20">
        <f t="shared" si="25"/>
        <v>1.4377200000000001</v>
      </c>
      <c r="O316" s="17">
        <v>41.23</v>
      </c>
      <c r="P316" s="33">
        <v>0</v>
      </c>
      <c r="Q316" s="17">
        <v>0</v>
      </c>
      <c r="R316" s="17">
        <v>1.44</v>
      </c>
      <c r="S316" s="30">
        <v>3.2872999999999999E-2</v>
      </c>
      <c r="T316" s="34">
        <v>98.616410000000002</v>
      </c>
      <c r="U316" s="34">
        <v>0.10359</v>
      </c>
      <c r="V316" s="34">
        <v>98.72</v>
      </c>
    </row>
    <row r="317" spans="1:22" x14ac:dyDescent="0.25">
      <c r="A317" s="35">
        <v>45734</v>
      </c>
      <c r="B317" s="14">
        <v>0.60416666666666663</v>
      </c>
      <c r="C317" s="15">
        <v>7</v>
      </c>
      <c r="D317" s="15">
        <v>8</v>
      </c>
      <c r="E317" s="13">
        <v>45343</v>
      </c>
      <c r="F317" s="31" t="s">
        <v>322</v>
      </c>
      <c r="G317" s="41">
        <v>1.2E-2</v>
      </c>
      <c r="H317" s="13">
        <v>45735</v>
      </c>
      <c r="I317" s="13">
        <v>47170</v>
      </c>
      <c r="J317" s="32">
        <f t="shared" ref="J317:J326" si="63">(+I317-E317)/365</f>
        <v>5.0054794520547947</v>
      </c>
      <c r="K317" s="32">
        <f t="shared" si="60"/>
        <v>3.9315068493150687</v>
      </c>
      <c r="L317" s="17">
        <v>1200</v>
      </c>
      <c r="M317" s="17">
        <v>2578.8000000000002</v>
      </c>
      <c r="N317" s="20">
        <f t="shared" si="25"/>
        <v>2.149</v>
      </c>
      <c r="O317" s="57">
        <v>2388.8000000000002</v>
      </c>
      <c r="P317" s="33">
        <v>0</v>
      </c>
      <c r="Q317" s="17">
        <v>2203</v>
      </c>
      <c r="R317" s="57">
        <v>25.8</v>
      </c>
      <c r="S317" s="30">
        <v>1.7974500000000001E-2</v>
      </c>
      <c r="T317" s="34">
        <f>+V317-U317</f>
        <v>98.303809999999999</v>
      </c>
      <c r="U317" s="34">
        <v>8.6190000000000003E-2</v>
      </c>
      <c r="V317" s="34">
        <v>98.39</v>
      </c>
    </row>
    <row r="318" spans="1:22" x14ac:dyDescent="0.25">
      <c r="A318" s="35">
        <v>45741</v>
      </c>
      <c r="B318" s="14">
        <v>0.60416666666666663</v>
      </c>
      <c r="C318" s="15">
        <v>11</v>
      </c>
      <c r="D318" s="15">
        <v>13</v>
      </c>
      <c r="E318" s="13">
        <v>45329</v>
      </c>
      <c r="F318" s="31" t="s">
        <v>641</v>
      </c>
      <c r="G318" s="41">
        <v>9.1249999999999998E-2</v>
      </c>
      <c r="H318" s="13">
        <v>45742</v>
      </c>
      <c r="I318" s="13">
        <v>46363</v>
      </c>
      <c r="J318" s="32">
        <f t="shared" si="63"/>
        <v>2.8328767123287673</v>
      </c>
      <c r="K318" s="32">
        <f t="shared" si="60"/>
        <v>1.7013698630136986</v>
      </c>
      <c r="L318" s="17">
        <v>1500</v>
      </c>
      <c r="M318" s="17">
        <v>623.67999999999995</v>
      </c>
      <c r="N318" s="20">
        <f t="shared" si="25"/>
        <v>0.41578666666666664</v>
      </c>
      <c r="O318" s="17">
        <v>3000</v>
      </c>
      <c r="P318" s="33">
        <v>0.67330000000000001</v>
      </c>
      <c r="Q318" s="17">
        <v>2797.82</v>
      </c>
      <c r="R318" s="17">
        <v>32</v>
      </c>
      <c r="S318" s="30">
        <v>9.4634999999999997E-2</v>
      </c>
      <c r="T318" s="34">
        <v>99.45</v>
      </c>
      <c r="U318" s="34">
        <v>2.73</v>
      </c>
      <c r="V318" s="34">
        <v>102.18</v>
      </c>
    </row>
    <row r="319" spans="1:22" x14ac:dyDescent="0.25">
      <c r="A319" s="35">
        <v>45755</v>
      </c>
      <c r="B319" s="14">
        <v>0.60416666666666663</v>
      </c>
      <c r="C319" s="15">
        <v>31</v>
      </c>
      <c r="D319" s="15">
        <v>12</v>
      </c>
      <c r="E319" s="13">
        <v>44944</v>
      </c>
      <c r="F319" s="31" t="s">
        <v>307</v>
      </c>
      <c r="G319" s="41">
        <v>3.2500000000000001E-2</v>
      </c>
      <c r="H319" s="13">
        <v>45756</v>
      </c>
      <c r="I319" s="13">
        <v>47136</v>
      </c>
      <c r="J319" s="32">
        <f t="shared" si="63"/>
        <v>6.0054794520547947</v>
      </c>
      <c r="K319" s="32">
        <f t="shared" si="60"/>
        <v>3.7808219178082192</v>
      </c>
      <c r="L319" s="17">
        <v>200</v>
      </c>
      <c r="M319" s="17">
        <v>719.99</v>
      </c>
      <c r="N319" s="20">
        <f t="shared" si="25"/>
        <v>3.5999500000000002</v>
      </c>
      <c r="O319" s="17">
        <v>204.39</v>
      </c>
      <c r="P319" s="33">
        <v>0</v>
      </c>
      <c r="Q319" s="57">
        <v>1.5</v>
      </c>
      <c r="R319" s="19">
        <v>167.86</v>
      </c>
      <c r="S319" s="30">
        <v>2.87E-2</v>
      </c>
      <c r="T319" s="34">
        <f>+V319-U319</f>
        <v>101.34278999999999</v>
      </c>
      <c r="U319" s="34">
        <v>0.72721000000000002</v>
      </c>
      <c r="V319" s="34">
        <v>102.07</v>
      </c>
    </row>
    <row r="320" spans="1:22" x14ac:dyDescent="0.25">
      <c r="A320" s="35">
        <v>45769</v>
      </c>
      <c r="B320" s="14">
        <v>0.60416666666666663</v>
      </c>
      <c r="C320" s="15">
        <v>6</v>
      </c>
      <c r="D320" s="15">
        <v>8</v>
      </c>
      <c r="E320" s="13">
        <v>45127</v>
      </c>
      <c r="F320" s="31" t="s">
        <v>322</v>
      </c>
      <c r="G320" s="41">
        <v>2.2499999999999999E-2</v>
      </c>
      <c r="H320" s="13">
        <v>45770</v>
      </c>
      <c r="I320" s="13">
        <v>49876</v>
      </c>
      <c r="J320" s="32">
        <f t="shared" si="63"/>
        <v>13.010958904109589</v>
      </c>
      <c r="K320" s="32">
        <f t="shared" si="60"/>
        <v>11.24931506849315</v>
      </c>
      <c r="L320" s="17">
        <v>1000</v>
      </c>
      <c r="M320" s="17">
        <v>2167.1999999999998</v>
      </c>
      <c r="N320" s="20">
        <f t="shared" si="25"/>
        <v>2.1671999999999998</v>
      </c>
      <c r="O320" s="17">
        <v>2000</v>
      </c>
      <c r="P320" s="72">
        <v>0.82799999999999996</v>
      </c>
      <c r="Q320" s="57">
        <v>1492.8</v>
      </c>
      <c r="R320" s="19">
        <v>460</v>
      </c>
      <c r="S320" s="30">
        <v>2.2398299999999999E-2</v>
      </c>
      <c r="T320" s="34">
        <f>+V320-U320</f>
        <v>100.08196</v>
      </c>
      <c r="U320" s="34">
        <v>0.57804</v>
      </c>
      <c r="V320" s="34">
        <v>100.66</v>
      </c>
    </row>
    <row r="321" spans="1:23" x14ac:dyDescent="0.25">
      <c r="A321" s="35">
        <v>45776</v>
      </c>
      <c r="B321" s="14">
        <v>0.60416666666666663</v>
      </c>
      <c r="C321" s="15">
        <v>11</v>
      </c>
      <c r="D321" s="15">
        <v>14</v>
      </c>
      <c r="E321" s="13">
        <v>45329</v>
      </c>
      <c r="F321" s="31" t="s">
        <v>641</v>
      </c>
      <c r="G321" s="41">
        <v>9.1249999999999998E-2</v>
      </c>
      <c r="H321" s="13">
        <v>45777</v>
      </c>
      <c r="I321" s="13">
        <v>46363</v>
      </c>
      <c r="J321" s="32">
        <f t="shared" si="63"/>
        <v>2.8328767123287673</v>
      </c>
      <c r="K321" s="32">
        <f t="shared" si="60"/>
        <v>1.6054794520547946</v>
      </c>
      <c r="L321" s="17">
        <v>1500</v>
      </c>
      <c r="M321" s="57">
        <v>5479.5</v>
      </c>
      <c r="N321" s="20">
        <f t="shared" si="25"/>
        <v>3.653</v>
      </c>
      <c r="O321" s="17">
        <v>3000</v>
      </c>
      <c r="P321" s="33">
        <v>0</v>
      </c>
      <c r="Q321" s="19">
        <v>2347.5500000000002</v>
      </c>
      <c r="R321" s="17">
        <v>152</v>
      </c>
      <c r="S321" s="30">
        <v>9.5254099999999994E-2</v>
      </c>
      <c r="T321" s="34">
        <f>+V321-U321</f>
        <v>99.39</v>
      </c>
      <c r="U321" s="34">
        <v>3.61</v>
      </c>
      <c r="V321" s="34">
        <v>103</v>
      </c>
    </row>
    <row r="322" spans="1:23" x14ac:dyDescent="0.25">
      <c r="A322" s="35">
        <v>45790</v>
      </c>
      <c r="B322" s="14">
        <v>0.60416666666666663</v>
      </c>
      <c r="C322" s="15">
        <v>32</v>
      </c>
      <c r="D322" s="15">
        <v>9</v>
      </c>
      <c r="E322" s="13">
        <v>45350</v>
      </c>
      <c r="F322" s="31" t="s">
        <v>307</v>
      </c>
      <c r="G322" s="41">
        <v>3.125E-2</v>
      </c>
      <c r="H322" s="13">
        <v>45791</v>
      </c>
      <c r="I322" s="13">
        <v>49733</v>
      </c>
      <c r="J322" s="32">
        <f>(+I322-E322)/365</f>
        <v>12.008219178082191</v>
      </c>
      <c r="K322" s="32">
        <f t="shared" si="60"/>
        <v>10.8</v>
      </c>
      <c r="L322" s="17">
        <v>200</v>
      </c>
      <c r="M322" s="17">
        <v>240.78</v>
      </c>
      <c r="N322" s="20">
        <f t="shared" si="25"/>
        <v>1.2039</v>
      </c>
      <c r="O322" s="17">
        <v>105.78</v>
      </c>
      <c r="P322" s="33">
        <v>0</v>
      </c>
      <c r="Q322" s="17">
        <v>14.34</v>
      </c>
      <c r="R322" s="17">
        <v>1.27</v>
      </c>
      <c r="S322" s="30">
        <v>3.2966599999999999E-2</v>
      </c>
      <c r="T322" s="34">
        <v>98.55256</v>
      </c>
      <c r="U322" s="34">
        <v>0.64744000000000002</v>
      </c>
      <c r="V322" s="34">
        <v>99.2</v>
      </c>
    </row>
    <row r="323" spans="1:23" x14ac:dyDescent="0.25">
      <c r="A323" s="35">
        <v>45797</v>
      </c>
      <c r="B323" s="14">
        <v>0.60416666666666663</v>
      </c>
      <c r="C323" s="15">
        <v>7</v>
      </c>
      <c r="D323" s="15">
        <v>9</v>
      </c>
      <c r="E323" s="13">
        <v>45343</v>
      </c>
      <c r="F323" s="31" t="s">
        <v>322</v>
      </c>
      <c r="G323" s="41">
        <v>1.2E-2</v>
      </c>
      <c r="H323" s="13">
        <v>45798</v>
      </c>
      <c r="I323" s="13">
        <v>47170</v>
      </c>
      <c r="J323" s="32">
        <f t="shared" si="63"/>
        <v>5.0054794520547947</v>
      </c>
      <c r="K323" s="32">
        <f t="shared" si="60"/>
        <v>3.7589041095890412</v>
      </c>
      <c r="L323" s="17">
        <v>1200</v>
      </c>
      <c r="M323" s="17">
        <v>1891.1</v>
      </c>
      <c r="N323" s="20">
        <f t="shared" si="25"/>
        <v>1.5759166666666666</v>
      </c>
      <c r="O323" s="17">
        <v>1871.1</v>
      </c>
      <c r="P323" s="33">
        <v>0</v>
      </c>
      <c r="Q323" s="17">
        <v>1800</v>
      </c>
      <c r="R323" s="17">
        <v>0</v>
      </c>
      <c r="S323" s="30">
        <v>1.98493E-2</v>
      </c>
      <c r="T323" s="34">
        <v>97.904970000000006</v>
      </c>
      <c r="U323" s="34">
        <v>0.29503000000000001</v>
      </c>
      <c r="V323" s="34">
        <f>+T323+U323</f>
        <v>98.2</v>
      </c>
    </row>
    <row r="324" spans="1:23" x14ac:dyDescent="0.25">
      <c r="A324" s="35">
        <v>45804</v>
      </c>
      <c r="B324" s="14">
        <v>0.60416666666666663</v>
      </c>
      <c r="C324" s="15">
        <v>11</v>
      </c>
      <c r="D324" s="15">
        <v>15</v>
      </c>
      <c r="E324" s="13">
        <v>45329</v>
      </c>
      <c r="F324" s="31" t="s">
        <v>641</v>
      </c>
      <c r="G324" s="41">
        <v>9.1249999999999998E-2</v>
      </c>
      <c r="H324" s="13">
        <v>45805</v>
      </c>
      <c r="I324" s="13">
        <v>46363</v>
      </c>
      <c r="J324" s="32">
        <f t="shared" si="63"/>
        <v>2.8328767123287673</v>
      </c>
      <c r="K324" s="32">
        <f t="shared" si="60"/>
        <v>1.5287671232876712</v>
      </c>
      <c r="L324" s="17">
        <v>1500</v>
      </c>
      <c r="M324" s="17">
        <v>5431.17</v>
      </c>
      <c r="N324" s="20">
        <f t="shared" si="25"/>
        <v>3.6207799999999999</v>
      </c>
      <c r="O324" s="17">
        <v>3000</v>
      </c>
      <c r="P324" s="33">
        <v>0.56220000000000003</v>
      </c>
      <c r="Q324" s="17">
        <v>2533.4299999999998</v>
      </c>
      <c r="R324" s="17">
        <v>423</v>
      </c>
      <c r="S324" s="30">
        <v>9.3583700000000006E-2</v>
      </c>
      <c r="T324" s="34">
        <v>99.66</v>
      </c>
      <c r="U324" s="34">
        <v>4.3099999999999996</v>
      </c>
      <c r="V324" s="34">
        <v>103.97</v>
      </c>
    </row>
    <row r="325" spans="1:23" x14ac:dyDescent="0.25">
      <c r="A325" s="35">
        <v>45818</v>
      </c>
      <c r="B325" s="14">
        <v>0.60416666666666663</v>
      </c>
      <c r="C325" s="15">
        <v>31</v>
      </c>
      <c r="D325" s="15">
        <v>13</v>
      </c>
      <c r="E325" s="13">
        <v>44944</v>
      </c>
      <c r="F325" s="31" t="s">
        <v>307</v>
      </c>
      <c r="G325" s="41">
        <v>3.2500000000000001E-2</v>
      </c>
      <c r="H325" s="13">
        <v>45819</v>
      </c>
      <c r="I325" s="13">
        <v>47136</v>
      </c>
      <c r="J325" s="32">
        <v>6</v>
      </c>
      <c r="K325" s="32">
        <f t="shared" si="60"/>
        <v>3.6082191780821917</v>
      </c>
      <c r="L325" s="17">
        <v>200</v>
      </c>
      <c r="M325" s="17">
        <v>239.66</v>
      </c>
      <c r="N325" s="20">
        <f t="shared" si="25"/>
        <v>1.1982999999999999</v>
      </c>
      <c r="O325" s="17">
        <v>171.18</v>
      </c>
      <c r="P325" s="33">
        <v>0</v>
      </c>
      <c r="Q325" s="17">
        <v>0</v>
      </c>
      <c r="R325" s="17">
        <v>2.37</v>
      </c>
      <c r="S325" s="30">
        <v>2.9975700000000001E-2</v>
      </c>
      <c r="T325" s="34">
        <v>100.83718</v>
      </c>
      <c r="U325" s="34">
        <v>1.2928200000000001</v>
      </c>
      <c r="V325" s="34">
        <v>102.13</v>
      </c>
    </row>
    <row r="326" spans="1:23" x14ac:dyDescent="0.25">
      <c r="A326" s="35">
        <v>45825</v>
      </c>
      <c r="B326" s="14">
        <v>0.60416666666666663</v>
      </c>
      <c r="C326" s="15">
        <v>6</v>
      </c>
      <c r="D326" s="15">
        <v>9</v>
      </c>
      <c r="E326" s="13">
        <v>45127</v>
      </c>
      <c r="F326" s="31" t="s">
        <v>322</v>
      </c>
      <c r="G326" s="41">
        <v>2.2499999999999999E-2</v>
      </c>
      <c r="H326" s="13">
        <v>45826</v>
      </c>
      <c r="I326" s="13">
        <v>49876</v>
      </c>
      <c r="J326" s="32">
        <f t="shared" si="63"/>
        <v>13.010958904109589</v>
      </c>
      <c r="K326" s="32">
        <f t="shared" si="60"/>
        <v>11.095890410958905</v>
      </c>
      <c r="L326" s="17">
        <v>1000</v>
      </c>
      <c r="M326" s="17">
        <v>1653</v>
      </c>
      <c r="N326" s="20">
        <f t="shared" si="25"/>
        <v>1.653</v>
      </c>
      <c r="O326" s="17">
        <v>1118</v>
      </c>
      <c r="P326" s="33">
        <v>0</v>
      </c>
      <c r="Q326" s="17">
        <v>500</v>
      </c>
      <c r="R326" s="17">
        <v>78</v>
      </c>
      <c r="S326" s="30">
        <v>2.2481299999999999E-2</v>
      </c>
      <c r="T326" s="34">
        <v>100.0039</v>
      </c>
      <c r="U326" s="34">
        <v>0.92610000000000003</v>
      </c>
      <c r="V326" s="34">
        <f>+T326+U326</f>
        <v>100.93</v>
      </c>
    </row>
    <row r="327" spans="1:23" x14ac:dyDescent="0.25">
      <c r="A327" s="35">
        <v>45832</v>
      </c>
      <c r="B327" s="14">
        <v>0.60416666666666663</v>
      </c>
      <c r="C327" s="15">
        <v>11</v>
      </c>
      <c r="D327" s="15">
        <v>16</v>
      </c>
      <c r="E327" s="13">
        <v>45329</v>
      </c>
      <c r="F327" s="31" t="s">
        <v>641</v>
      </c>
      <c r="G327" s="41">
        <v>9.1249999999999998E-2</v>
      </c>
      <c r="H327" s="13">
        <v>45833</v>
      </c>
      <c r="I327" s="13">
        <v>46363</v>
      </c>
      <c r="J327" s="32">
        <f t="shared" ref="J327:J345" si="64">(+I327-E327)/365</f>
        <v>2.8328767123287673</v>
      </c>
      <c r="K327" s="32">
        <f t="shared" ref="K327:K332" si="65">(+I327-H327)/365</f>
        <v>1.452054794520548</v>
      </c>
      <c r="L327" s="17">
        <v>1500</v>
      </c>
      <c r="M327" s="17">
        <v>7813.89</v>
      </c>
      <c r="N327" s="20">
        <f t="shared" si="25"/>
        <v>5.2092600000000004</v>
      </c>
      <c r="O327" s="17">
        <v>1112.57</v>
      </c>
      <c r="P327" s="33">
        <v>0</v>
      </c>
      <c r="Q327" s="17">
        <v>609</v>
      </c>
      <c r="R327" s="17">
        <v>0</v>
      </c>
      <c r="S327" s="30">
        <v>9.0119900000000003E-2</v>
      </c>
      <c r="T327" s="34">
        <v>100.13</v>
      </c>
      <c r="U327" s="34">
        <v>0.44877</v>
      </c>
      <c r="V327" s="34">
        <v>100.58</v>
      </c>
    </row>
    <row r="328" spans="1:23" x14ac:dyDescent="0.25">
      <c r="A328" s="35">
        <v>45860</v>
      </c>
      <c r="B328" s="14">
        <v>0.60416666666666663</v>
      </c>
      <c r="C328" s="15">
        <v>12</v>
      </c>
      <c r="D328" s="15">
        <v>1</v>
      </c>
      <c r="E328" s="13">
        <v>45861</v>
      </c>
      <c r="F328" s="31" t="s">
        <v>641</v>
      </c>
      <c r="G328" s="41">
        <v>8.5000000000000006E-2</v>
      </c>
      <c r="H328" s="13">
        <v>45861</v>
      </c>
      <c r="I328" s="13">
        <v>46774</v>
      </c>
      <c r="J328" s="32">
        <f t="shared" si="64"/>
        <v>2.5013698630136987</v>
      </c>
      <c r="K328" s="32">
        <f t="shared" si="65"/>
        <v>2.5013698630136987</v>
      </c>
      <c r="L328" s="17">
        <v>1500</v>
      </c>
      <c r="M328" s="17">
        <v>9552.8799999999992</v>
      </c>
      <c r="N328" s="20">
        <f t="shared" si="25"/>
        <v>6.3685866666666664</v>
      </c>
      <c r="O328" s="17">
        <v>3000</v>
      </c>
      <c r="P328" s="27">
        <v>0.87350000000000005</v>
      </c>
      <c r="Q328" s="19">
        <v>1773.88</v>
      </c>
      <c r="R328" s="57">
        <v>0.4</v>
      </c>
      <c r="S328" s="30">
        <v>8.1299999999999997E-2</v>
      </c>
      <c r="T328" s="34">
        <v>100.79</v>
      </c>
      <c r="U328" s="34">
        <v>0</v>
      </c>
      <c r="V328" s="34">
        <f>+T328+U328</f>
        <v>100.79</v>
      </c>
    </row>
    <row r="329" spans="1:23" x14ac:dyDescent="0.25">
      <c r="A329" s="35">
        <v>45867</v>
      </c>
      <c r="B329" s="14">
        <v>0.60416666666666663</v>
      </c>
      <c r="C329" s="15">
        <v>33</v>
      </c>
      <c r="D329" s="15">
        <v>1</v>
      </c>
      <c r="E329" s="13">
        <v>45868</v>
      </c>
      <c r="F329" s="31" t="s">
        <v>307</v>
      </c>
      <c r="G329" s="41">
        <v>0.03</v>
      </c>
      <c r="H329" s="13">
        <v>45868</v>
      </c>
      <c r="I329" s="13">
        <v>47656</v>
      </c>
      <c r="J329" s="32">
        <f t="shared" si="64"/>
        <v>4.8986301369863012</v>
      </c>
      <c r="K329" s="32">
        <f t="shared" si="65"/>
        <v>4.8986301369863012</v>
      </c>
      <c r="L329" s="17">
        <v>200</v>
      </c>
      <c r="M329" s="19">
        <v>555.4</v>
      </c>
      <c r="N329" s="20">
        <f t="shared" si="25"/>
        <v>2.7769999999999997</v>
      </c>
      <c r="O329" s="57">
        <v>369.4</v>
      </c>
      <c r="P329" s="33">
        <v>0</v>
      </c>
      <c r="Q329" s="19">
        <v>143.66</v>
      </c>
      <c r="R329" s="19">
        <v>35.24</v>
      </c>
      <c r="S329" s="30">
        <v>2.9977199999999999E-2</v>
      </c>
      <c r="T329" s="34">
        <v>100</v>
      </c>
      <c r="U329" s="34">
        <v>0</v>
      </c>
      <c r="V329" s="34">
        <v>100</v>
      </c>
    </row>
    <row r="330" spans="1:23" x14ac:dyDescent="0.25">
      <c r="A330" s="35">
        <v>45874</v>
      </c>
      <c r="B330" s="14">
        <v>0.60416666666666663</v>
      </c>
      <c r="C330" s="15">
        <v>13</v>
      </c>
      <c r="D330" s="15">
        <v>1</v>
      </c>
      <c r="E330" s="13">
        <v>45875</v>
      </c>
      <c r="F330" s="31" t="s">
        <v>641</v>
      </c>
      <c r="G330" s="41">
        <v>8.1250000000000003E-2</v>
      </c>
      <c r="H330" s="13">
        <v>45875</v>
      </c>
      <c r="I330" s="13">
        <v>47663</v>
      </c>
      <c r="J330" s="32">
        <f t="shared" si="64"/>
        <v>4.8986301369863012</v>
      </c>
      <c r="K330" s="32">
        <f t="shared" si="65"/>
        <v>4.8986301369863012</v>
      </c>
      <c r="L330" s="17">
        <v>1250</v>
      </c>
      <c r="M330" s="19">
        <v>7436.2</v>
      </c>
      <c r="N330" s="20">
        <f t="shared" si="25"/>
        <v>5.9489599999999996</v>
      </c>
      <c r="O330" s="57">
        <v>2500</v>
      </c>
      <c r="P330" s="27">
        <v>0.31269999999999998</v>
      </c>
      <c r="Q330" s="19">
        <v>1843.72</v>
      </c>
      <c r="R330" s="19">
        <v>1.2</v>
      </c>
      <c r="S330" s="30">
        <v>8.0505699999999999E-2</v>
      </c>
      <c r="T330" s="34">
        <v>100.3</v>
      </c>
      <c r="U330" s="34">
        <v>0</v>
      </c>
      <c r="V330" s="34">
        <v>100.3</v>
      </c>
    </row>
    <row r="331" spans="1:23" x14ac:dyDescent="0.25">
      <c r="A331" s="35">
        <v>45881</v>
      </c>
      <c r="B331" s="14">
        <v>0.60416666666666663</v>
      </c>
      <c r="C331" s="15">
        <v>5</v>
      </c>
      <c r="D331" s="15">
        <v>15</v>
      </c>
      <c r="E331" s="13">
        <v>44440</v>
      </c>
      <c r="F331" s="31" t="s">
        <v>322</v>
      </c>
      <c r="G331" s="41">
        <v>0.02</v>
      </c>
      <c r="H331" s="13">
        <v>45882</v>
      </c>
      <c r="I331" s="13">
        <v>53936</v>
      </c>
      <c r="J331" s="32">
        <f t="shared" si="64"/>
        <v>26.016438356164382</v>
      </c>
      <c r="K331" s="32">
        <f t="shared" si="65"/>
        <v>22.065753424657533</v>
      </c>
      <c r="L331" s="17">
        <v>1750</v>
      </c>
      <c r="M331" s="17">
        <v>3525</v>
      </c>
      <c r="N331" s="20">
        <f t="shared" si="25"/>
        <v>2.0142857142857142</v>
      </c>
      <c r="O331" s="17">
        <v>0</v>
      </c>
      <c r="P331" s="33">
        <v>0</v>
      </c>
      <c r="Q331" s="17">
        <v>0</v>
      </c>
      <c r="R331" s="17">
        <v>0</v>
      </c>
      <c r="S331" s="30" t="s">
        <v>327</v>
      </c>
      <c r="T331" s="34" t="s">
        <v>327</v>
      </c>
      <c r="U331" s="34">
        <v>0.89673999999999998</v>
      </c>
      <c r="V331" s="34" t="s">
        <v>327</v>
      </c>
    </row>
    <row r="332" spans="1:23" x14ac:dyDescent="0.25">
      <c r="A332" s="35">
        <v>45888</v>
      </c>
      <c r="B332" s="14">
        <v>0.60416666666666663</v>
      </c>
      <c r="C332" s="15">
        <v>12</v>
      </c>
      <c r="D332" s="15">
        <v>2</v>
      </c>
      <c r="E332" s="13">
        <v>45861</v>
      </c>
      <c r="F332" s="31" t="s">
        <v>641</v>
      </c>
      <c r="G332" s="41">
        <v>8.5000000000000006E-2</v>
      </c>
      <c r="H332" s="13">
        <v>45889</v>
      </c>
      <c r="I332" s="13">
        <v>46774</v>
      </c>
      <c r="J332" s="32">
        <f t="shared" si="64"/>
        <v>2.5013698630136987</v>
      </c>
      <c r="K332" s="32">
        <f t="shared" si="65"/>
        <v>2.4246575342465753</v>
      </c>
      <c r="L332" s="17">
        <v>2000</v>
      </c>
      <c r="M332" s="17">
        <v>9197.93</v>
      </c>
      <c r="N332" s="20">
        <f t="shared" si="25"/>
        <v>4.5989649999999997</v>
      </c>
      <c r="O332" s="17">
        <v>4000</v>
      </c>
      <c r="P332" s="27">
        <v>0.58169999999999999</v>
      </c>
      <c r="Q332" s="19">
        <v>2790.87</v>
      </c>
      <c r="R332" s="17">
        <v>30</v>
      </c>
      <c r="S332" s="30">
        <v>7.7736200000000005E-2</v>
      </c>
      <c r="T332" s="34">
        <v>101.56</v>
      </c>
      <c r="U332" s="34">
        <v>0.65</v>
      </c>
      <c r="V332" s="34">
        <f>+T332+U332</f>
        <v>102.21000000000001</v>
      </c>
    </row>
    <row r="333" spans="1:23" x14ac:dyDescent="0.25">
      <c r="A333" s="35">
        <v>45895</v>
      </c>
      <c r="B333" s="14">
        <v>0.60416666666666663</v>
      </c>
      <c r="C333" s="15">
        <v>32</v>
      </c>
      <c r="D333" s="15">
        <v>10</v>
      </c>
      <c r="E333" s="13">
        <v>45350</v>
      </c>
      <c r="F333" s="31" t="s">
        <v>307</v>
      </c>
      <c r="G333" s="41">
        <v>3.125E-2</v>
      </c>
      <c r="H333" s="13">
        <v>45896</v>
      </c>
      <c r="I333" s="13">
        <v>49733</v>
      </c>
      <c r="J333" s="32">
        <f>(+I333-E333)/365</f>
        <v>12.008219178082191</v>
      </c>
      <c r="K333" s="32">
        <f t="shared" ref="K333:K345" si="66">(+I333-H333)/365</f>
        <v>10.512328767123288</v>
      </c>
      <c r="L333" s="17">
        <v>100</v>
      </c>
      <c r="M333" s="17">
        <v>355.29</v>
      </c>
      <c r="N333" s="20">
        <f t="shared" si="25"/>
        <v>3.5529000000000002</v>
      </c>
      <c r="O333" s="17">
        <v>97.77</v>
      </c>
      <c r="P333" s="33">
        <v>0</v>
      </c>
      <c r="Q333" s="17">
        <v>6</v>
      </c>
      <c r="R333" s="17">
        <v>8.99</v>
      </c>
      <c r="S333" s="30">
        <v>3.1271899999999998E-2</v>
      </c>
      <c r="T333" s="34">
        <v>99.956130000000002</v>
      </c>
      <c r="U333" s="34">
        <v>1.5538700000000001</v>
      </c>
      <c r="V333" s="34">
        <f>+T333+U333</f>
        <v>101.51</v>
      </c>
    </row>
    <row r="334" spans="1:23" x14ac:dyDescent="0.25">
      <c r="A334" s="35">
        <v>45909</v>
      </c>
      <c r="B334" s="14">
        <v>0.60416666666666663</v>
      </c>
      <c r="C334" s="15">
        <v>12</v>
      </c>
      <c r="D334" s="15">
        <v>3</v>
      </c>
      <c r="E334" s="13">
        <v>45861</v>
      </c>
      <c r="F334" s="31" t="s">
        <v>641</v>
      </c>
      <c r="G334" s="41">
        <v>8.5000000000000006E-2</v>
      </c>
      <c r="H334" s="13">
        <v>45910</v>
      </c>
      <c r="I334" s="13">
        <v>46774</v>
      </c>
      <c r="J334" s="32">
        <f t="shared" si="64"/>
        <v>2.5013698630136987</v>
      </c>
      <c r="K334" s="32">
        <f t="shared" si="66"/>
        <v>2.3671232876712329</v>
      </c>
      <c r="L334" s="17">
        <v>2500</v>
      </c>
      <c r="M334" s="17">
        <v>6187.61</v>
      </c>
      <c r="N334" s="20">
        <f t="shared" si="25"/>
        <v>2.475044</v>
      </c>
      <c r="O334" s="17">
        <v>4462.6099999999997</v>
      </c>
      <c r="P334" s="33">
        <v>0</v>
      </c>
      <c r="Q334" s="17">
        <v>2345.5</v>
      </c>
      <c r="R334" s="17">
        <v>943.5</v>
      </c>
      <c r="S334" s="30">
        <v>7.8479499999999994E-2</v>
      </c>
      <c r="T334" s="34">
        <v>101.36</v>
      </c>
      <c r="U334" s="34">
        <v>1.1399999999999999</v>
      </c>
      <c r="V334" s="34">
        <f>+T334+U334</f>
        <v>102.5</v>
      </c>
    </row>
    <row r="335" spans="1:23" x14ac:dyDescent="0.25">
      <c r="A335" s="35">
        <v>45916</v>
      </c>
      <c r="B335" s="14">
        <v>0.60416666666666663</v>
      </c>
      <c r="C335" s="15">
        <v>33</v>
      </c>
      <c r="D335" s="15">
        <v>2</v>
      </c>
      <c r="E335" s="13">
        <v>45868</v>
      </c>
      <c r="F335" s="31" t="s">
        <v>307</v>
      </c>
      <c r="G335" s="41">
        <v>0.03</v>
      </c>
      <c r="H335" s="13">
        <v>45917</v>
      </c>
      <c r="I335" s="13">
        <v>47656</v>
      </c>
      <c r="J335" s="32">
        <f t="shared" si="64"/>
        <v>4.8986301369863012</v>
      </c>
      <c r="K335" s="32">
        <f t="shared" si="66"/>
        <v>4.7643835616438359</v>
      </c>
      <c r="L335" s="17">
        <v>200</v>
      </c>
      <c r="M335" s="17">
        <v>383.69</v>
      </c>
      <c r="N335" s="20">
        <f t="shared" si="25"/>
        <v>1.91845</v>
      </c>
      <c r="O335" s="17">
        <v>227.59</v>
      </c>
      <c r="P335" s="33">
        <v>0</v>
      </c>
      <c r="Q335" s="17">
        <v>191</v>
      </c>
      <c r="R335" s="17">
        <v>19.46</v>
      </c>
      <c r="S335" s="30">
        <v>2.9978000000000001E-2</v>
      </c>
      <c r="T335" s="34">
        <f>+V335-U335</f>
        <v>100.008335</v>
      </c>
      <c r="U335" s="34">
        <v>0.39166500000000326</v>
      </c>
      <c r="V335" s="34">
        <v>100.4</v>
      </c>
      <c r="W335" s="74"/>
    </row>
    <row r="336" spans="1:23" x14ac:dyDescent="0.25">
      <c r="A336" s="35">
        <v>45923</v>
      </c>
      <c r="B336" s="14">
        <v>0.60416666666666663</v>
      </c>
      <c r="C336" s="15">
        <v>13</v>
      </c>
      <c r="D336" s="15">
        <v>2</v>
      </c>
      <c r="E336" s="13">
        <v>45875</v>
      </c>
      <c r="F336" s="31" t="s">
        <v>641</v>
      </c>
      <c r="G336" s="41">
        <v>8.1250000000000003E-2</v>
      </c>
      <c r="H336" s="13">
        <v>45924</v>
      </c>
      <c r="I336" s="13">
        <v>47663</v>
      </c>
      <c r="J336" s="32">
        <f t="shared" si="64"/>
        <v>4.8986301369863012</v>
      </c>
      <c r="K336" s="32">
        <f t="shared" si="66"/>
        <v>4.7643835616438359</v>
      </c>
      <c r="L336" s="17">
        <v>1500</v>
      </c>
      <c r="M336" s="19">
        <v>2406.92</v>
      </c>
      <c r="N336" s="20">
        <f t="shared" si="25"/>
        <v>1.6046133333333334</v>
      </c>
      <c r="O336" s="19">
        <v>1406.92</v>
      </c>
      <c r="P336" s="33">
        <v>0</v>
      </c>
      <c r="Q336" s="17">
        <v>1050</v>
      </c>
      <c r="R336" s="17">
        <v>250</v>
      </c>
      <c r="S336" s="30">
        <v>7.9249E-2</v>
      </c>
      <c r="T336" s="34">
        <v>100.77</v>
      </c>
      <c r="U336" s="34">
        <v>1.0900000000000001</v>
      </c>
      <c r="V336" s="34">
        <f t="shared" ref="V336:V350" si="67">+T336+U336</f>
        <v>101.86</v>
      </c>
    </row>
    <row r="337" spans="1:22" x14ac:dyDescent="0.25">
      <c r="A337" s="35">
        <v>45944</v>
      </c>
      <c r="B337" s="14">
        <v>0.60416666666666663</v>
      </c>
      <c r="C337" s="15">
        <v>12</v>
      </c>
      <c r="D337" s="15">
        <v>4</v>
      </c>
      <c r="E337" s="13">
        <v>45861</v>
      </c>
      <c r="F337" s="31" t="s">
        <v>641</v>
      </c>
      <c r="G337" s="41">
        <v>8.5000000000000006E-2</v>
      </c>
      <c r="H337" s="13">
        <v>45945</v>
      </c>
      <c r="I337" s="13">
        <v>46774</v>
      </c>
      <c r="J337" s="32">
        <f t="shared" si="64"/>
        <v>2.5013698630136987</v>
      </c>
      <c r="K337" s="32">
        <f t="shared" si="66"/>
        <v>2.2712328767123289</v>
      </c>
      <c r="L337" s="17">
        <v>2750</v>
      </c>
      <c r="M337" s="17">
        <v>6120.7</v>
      </c>
      <c r="N337" s="20">
        <f t="shared" si="25"/>
        <v>2.2257090909090906</v>
      </c>
      <c r="O337" s="17">
        <v>4655.7</v>
      </c>
      <c r="P337" s="33">
        <v>0</v>
      </c>
      <c r="Q337" s="19">
        <v>4376.34</v>
      </c>
      <c r="R337" s="19">
        <v>26.4</v>
      </c>
      <c r="S337" s="30">
        <v>7.6198000000000002E-2</v>
      </c>
      <c r="T337" s="34">
        <v>101.78389</v>
      </c>
      <c r="U337" s="34">
        <v>1.93611</v>
      </c>
      <c r="V337" s="34">
        <f t="shared" si="67"/>
        <v>103.72</v>
      </c>
    </row>
    <row r="338" spans="1:22" x14ac:dyDescent="0.25">
      <c r="A338" s="35">
        <v>45951</v>
      </c>
      <c r="B338" s="14">
        <v>0.60416666666666663</v>
      </c>
      <c r="C338" s="15">
        <v>5</v>
      </c>
      <c r="D338" s="15">
        <v>16</v>
      </c>
      <c r="E338" s="13">
        <v>44440</v>
      </c>
      <c r="F338" s="31" t="s">
        <v>322</v>
      </c>
      <c r="G338" s="41">
        <v>0.02</v>
      </c>
      <c r="H338" s="13">
        <v>45952</v>
      </c>
      <c r="I338" s="13">
        <v>53936</v>
      </c>
      <c r="J338" s="32">
        <f t="shared" si="64"/>
        <v>26.016438356164382</v>
      </c>
      <c r="K338" s="32">
        <f t="shared" si="66"/>
        <v>21.873972602739727</v>
      </c>
      <c r="L338" s="17">
        <v>1750</v>
      </c>
      <c r="M338" s="17">
        <v>3653</v>
      </c>
      <c r="N338" s="20">
        <f t="shared" si="25"/>
        <v>2.0874285714285716</v>
      </c>
      <c r="O338" s="17">
        <v>3305</v>
      </c>
      <c r="P338" s="33">
        <v>0</v>
      </c>
      <c r="Q338" s="19">
        <v>3305</v>
      </c>
      <c r="R338" s="19">
        <v>0</v>
      </c>
      <c r="S338" s="30">
        <v>2.0877099999999999E-2</v>
      </c>
      <c r="T338" s="34">
        <v>98.496669999999995</v>
      </c>
      <c r="U338" s="34">
        <v>0.28333000000000003</v>
      </c>
      <c r="V338" s="34">
        <f t="shared" si="67"/>
        <v>98.78</v>
      </c>
    </row>
    <row r="339" spans="1:22" x14ac:dyDescent="0.25">
      <c r="A339" s="35">
        <v>45958</v>
      </c>
      <c r="B339" s="14">
        <v>0.60416666666666663</v>
      </c>
      <c r="C339" s="15">
        <v>32</v>
      </c>
      <c r="D339" s="15">
        <v>11</v>
      </c>
      <c r="E339" s="13">
        <v>45350</v>
      </c>
      <c r="F339" s="31" t="s">
        <v>307</v>
      </c>
      <c r="G339" s="41">
        <v>3.125E-2</v>
      </c>
      <c r="H339" s="13">
        <v>45959</v>
      </c>
      <c r="I339" s="13">
        <v>49733</v>
      </c>
      <c r="J339" s="32">
        <f>(+I339-E339)/365</f>
        <v>12.008219178082191</v>
      </c>
      <c r="K339" s="32">
        <f t="shared" si="66"/>
        <v>10.33972602739726</v>
      </c>
      <c r="L339" s="17">
        <v>100</v>
      </c>
      <c r="M339" s="17">
        <v>170.38</v>
      </c>
      <c r="N339" s="20">
        <f t="shared" si="25"/>
        <v>1.7038</v>
      </c>
      <c r="O339" s="17">
        <v>51.88</v>
      </c>
      <c r="P339" s="33">
        <v>0</v>
      </c>
      <c r="Q339" s="17">
        <v>9.26</v>
      </c>
      <c r="R339" s="17">
        <v>11.41</v>
      </c>
      <c r="S339" s="30">
        <v>3.09047E-2</v>
      </c>
      <c r="T339" s="34">
        <v>100.25049</v>
      </c>
      <c r="U339" s="34">
        <v>0.52951000000000004</v>
      </c>
      <c r="V339" s="34">
        <f t="shared" si="67"/>
        <v>100.78</v>
      </c>
    </row>
    <row r="340" spans="1:22" x14ac:dyDescent="0.25">
      <c r="A340" s="35">
        <v>45972</v>
      </c>
      <c r="B340" s="14">
        <v>0.60416666666666663</v>
      </c>
      <c r="C340" s="15">
        <v>12</v>
      </c>
      <c r="D340" s="15">
        <v>5</v>
      </c>
      <c r="E340" s="13">
        <v>45861</v>
      </c>
      <c r="F340" s="31" t="s">
        <v>641</v>
      </c>
      <c r="G340" s="41">
        <v>8.5000000000000006E-2</v>
      </c>
      <c r="H340" s="13">
        <v>45973</v>
      </c>
      <c r="I340" s="13">
        <v>46774</v>
      </c>
      <c r="J340" s="32">
        <f t="shared" si="64"/>
        <v>2.5013698630136987</v>
      </c>
      <c r="K340" s="32">
        <f t="shared" si="66"/>
        <v>2.1945205479452055</v>
      </c>
      <c r="L340" s="17">
        <v>3250</v>
      </c>
      <c r="M340" s="17">
        <v>5315.3</v>
      </c>
      <c r="N340" s="20">
        <f t="shared" si="25"/>
        <v>1.6354769230769231</v>
      </c>
      <c r="O340" s="17">
        <v>3815.3</v>
      </c>
      <c r="P340" s="33">
        <v>0</v>
      </c>
      <c r="Q340" s="17">
        <v>3482</v>
      </c>
      <c r="R340" s="17">
        <v>200</v>
      </c>
      <c r="S340" s="30">
        <v>7.7061000000000004E-2</v>
      </c>
      <c r="T340" s="34">
        <v>101.55638999999999</v>
      </c>
      <c r="U340" s="34">
        <v>2.57361</v>
      </c>
      <c r="V340" s="34">
        <f t="shared" si="67"/>
        <v>104.13</v>
      </c>
    </row>
    <row r="341" spans="1:22" x14ac:dyDescent="0.25">
      <c r="A341" s="35">
        <v>45979</v>
      </c>
      <c r="B341" s="14">
        <v>0.60416666666666663</v>
      </c>
      <c r="C341" s="15">
        <v>33</v>
      </c>
      <c r="D341" s="15">
        <v>3</v>
      </c>
      <c r="E341" s="13">
        <v>45868</v>
      </c>
      <c r="F341" s="31" t="s">
        <v>307</v>
      </c>
      <c r="G341" s="41">
        <v>0.03</v>
      </c>
      <c r="H341" s="13">
        <v>45980</v>
      </c>
      <c r="I341" s="13">
        <v>47656</v>
      </c>
      <c r="J341" s="32">
        <f t="shared" si="64"/>
        <v>4.8986301369863012</v>
      </c>
      <c r="K341" s="32">
        <f t="shared" si="66"/>
        <v>4.5917808219178085</v>
      </c>
      <c r="L341" s="17">
        <v>200</v>
      </c>
      <c r="M341" s="17">
        <v>363.26</v>
      </c>
      <c r="N341" s="20">
        <f t="shared" si="25"/>
        <v>1.8163</v>
      </c>
      <c r="O341" s="17">
        <v>229.26</v>
      </c>
      <c r="P341" s="33">
        <v>0</v>
      </c>
      <c r="Q341" s="17">
        <v>52.35</v>
      </c>
      <c r="R341" s="17">
        <v>78.61</v>
      </c>
      <c r="S341" s="30">
        <v>3.0228999999999999E-2</v>
      </c>
      <c r="T341" s="34">
        <v>99.901669999999996</v>
      </c>
      <c r="U341" s="34">
        <v>0.90832999999999997</v>
      </c>
      <c r="V341" s="34">
        <f t="shared" si="67"/>
        <v>100.81</v>
      </c>
    </row>
    <row r="342" spans="1:22" x14ac:dyDescent="0.25">
      <c r="A342" s="35">
        <v>45986</v>
      </c>
      <c r="B342" s="14">
        <v>0.58333333333333337</v>
      </c>
      <c r="C342" s="15">
        <v>13</v>
      </c>
      <c r="D342" s="15">
        <v>3</v>
      </c>
      <c r="E342" s="13">
        <v>45875</v>
      </c>
      <c r="F342" s="31" t="s">
        <v>641</v>
      </c>
      <c r="G342" s="41">
        <v>8.1250000000000003E-2</v>
      </c>
      <c r="H342" s="13">
        <v>45987</v>
      </c>
      <c r="I342" s="13">
        <v>47663</v>
      </c>
      <c r="J342" s="32">
        <f t="shared" si="64"/>
        <v>4.8986301369863012</v>
      </c>
      <c r="K342" s="32">
        <f t="shared" si="66"/>
        <v>4.5917808219178085</v>
      </c>
      <c r="L342" s="17">
        <v>1500</v>
      </c>
      <c r="M342" s="17">
        <v>3964.14</v>
      </c>
      <c r="N342" s="20">
        <f t="shared" si="25"/>
        <v>2.64276</v>
      </c>
      <c r="O342" s="17">
        <v>2364.14</v>
      </c>
      <c r="P342" s="33">
        <v>0</v>
      </c>
      <c r="Q342" s="17">
        <v>1975</v>
      </c>
      <c r="R342" s="17">
        <v>6</v>
      </c>
      <c r="S342" s="30">
        <v>7.8003000000000003E-2</v>
      </c>
      <c r="T342" s="34">
        <v>101.22736</v>
      </c>
      <c r="U342" s="34">
        <v>2.48264</v>
      </c>
      <c r="V342" s="34">
        <f t="shared" si="67"/>
        <v>103.71000000000001</v>
      </c>
    </row>
    <row r="343" spans="1:22" x14ac:dyDescent="0.25">
      <c r="A343" s="35">
        <v>46000</v>
      </c>
      <c r="B343" s="14">
        <v>0.58333333333333337</v>
      </c>
      <c r="C343" s="15">
        <v>12</v>
      </c>
      <c r="D343" s="15">
        <v>6</v>
      </c>
      <c r="E343" s="13">
        <v>45861</v>
      </c>
      <c r="F343" s="31" t="s">
        <v>641</v>
      </c>
      <c r="G343" s="41">
        <v>8.5000000000000006E-2</v>
      </c>
      <c r="H343" s="13">
        <v>46001</v>
      </c>
      <c r="I343" s="13">
        <v>46774</v>
      </c>
      <c r="J343" s="32">
        <f t="shared" si="64"/>
        <v>2.5013698630136987</v>
      </c>
      <c r="K343" s="32">
        <f t="shared" si="66"/>
        <v>2.117808219178082</v>
      </c>
      <c r="L343" s="17">
        <v>3250</v>
      </c>
      <c r="M343" s="17">
        <v>8239.2800000000007</v>
      </c>
      <c r="N343" s="20">
        <f t="shared" si="25"/>
        <v>2.5351630769230771</v>
      </c>
      <c r="O343" s="17">
        <v>5217.78</v>
      </c>
      <c r="P343" s="33">
        <v>0</v>
      </c>
      <c r="Q343" s="17">
        <v>4660.3999999999996</v>
      </c>
      <c r="R343" s="17">
        <v>319.35000000000002</v>
      </c>
      <c r="S343" s="30">
        <v>7.6772999999999994E-2</v>
      </c>
      <c r="T343" s="34">
        <v>101.56528</v>
      </c>
      <c r="U343" s="34">
        <v>3.2347199999999998</v>
      </c>
      <c r="V343" s="34">
        <f t="shared" si="67"/>
        <v>104.8</v>
      </c>
    </row>
    <row r="344" spans="1:22" x14ac:dyDescent="0.25">
      <c r="A344" s="35">
        <v>46007</v>
      </c>
      <c r="B344" s="14" t="s">
        <v>636</v>
      </c>
      <c r="C344" s="15">
        <v>5</v>
      </c>
      <c r="D344" s="15">
        <v>17</v>
      </c>
      <c r="E344" s="13">
        <v>44440</v>
      </c>
      <c r="F344" s="31" t="s">
        <v>322</v>
      </c>
      <c r="G344" s="41">
        <v>0.02</v>
      </c>
      <c r="H344" s="13">
        <v>46008</v>
      </c>
      <c r="I344" s="13">
        <v>53936</v>
      </c>
      <c r="J344" s="32">
        <f t="shared" si="64"/>
        <v>26.016438356164382</v>
      </c>
      <c r="K344" s="32">
        <f t="shared" si="66"/>
        <v>21.720547945205478</v>
      </c>
      <c r="L344" s="17">
        <v>1750</v>
      </c>
      <c r="M344" s="17">
        <v>3775.5</v>
      </c>
      <c r="N344" s="20">
        <f t="shared" si="25"/>
        <v>2.1574285714285715</v>
      </c>
      <c r="O344" s="17">
        <v>2200</v>
      </c>
      <c r="P344" s="33">
        <v>0</v>
      </c>
      <c r="Q344" s="17">
        <v>1850</v>
      </c>
      <c r="R344" s="17">
        <v>350</v>
      </c>
      <c r="S344" s="30">
        <v>2.0496E-2</v>
      </c>
      <c r="T344" s="34">
        <v>99.141109999999998</v>
      </c>
      <c r="U344" s="34">
        <v>0.58889000000000002</v>
      </c>
      <c r="V344" s="34">
        <f t="shared" si="67"/>
        <v>99.73</v>
      </c>
    </row>
    <row r="345" spans="1:22" x14ac:dyDescent="0.25">
      <c r="A345" s="35">
        <v>46014</v>
      </c>
      <c r="B345" s="14" t="s">
        <v>636</v>
      </c>
      <c r="C345" s="15">
        <v>32</v>
      </c>
      <c r="D345" s="15">
        <v>12</v>
      </c>
      <c r="E345" s="13">
        <v>45350</v>
      </c>
      <c r="F345" s="31" t="s">
        <v>307</v>
      </c>
      <c r="G345" s="41">
        <v>3.125E-2</v>
      </c>
      <c r="H345" s="13">
        <v>46015</v>
      </c>
      <c r="I345" s="13">
        <v>49733</v>
      </c>
      <c r="J345" s="32">
        <f t="shared" si="64"/>
        <v>12.008219178082191</v>
      </c>
      <c r="K345" s="32">
        <f t="shared" si="66"/>
        <v>10.186301369863013</v>
      </c>
      <c r="L345" s="17">
        <v>100</v>
      </c>
      <c r="M345" s="17">
        <v>190.06</v>
      </c>
      <c r="N345" s="20">
        <f t="shared" si="25"/>
        <v>1.9006000000000001</v>
      </c>
      <c r="O345" s="17">
        <v>165.1</v>
      </c>
      <c r="P345" s="33">
        <v>0</v>
      </c>
      <c r="Q345" s="17">
        <v>41.23</v>
      </c>
      <c r="R345" s="17">
        <v>18.34</v>
      </c>
      <c r="S345" s="30">
        <v>2.971E-2</v>
      </c>
      <c r="T345" s="34">
        <v>101.20305999999999</v>
      </c>
      <c r="U345" s="34">
        <v>1.0069399999999999</v>
      </c>
      <c r="V345" s="34">
        <f t="shared" si="67"/>
        <v>102.21</v>
      </c>
    </row>
    <row r="346" spans="1:22" x14ac:dyDescent="0.25">
      <c r="A346" s="35">
        <v>46035</v>
      </c>
      <c r="B346" s="14">
        <v>0.58333333333333337</v>
      </c>
      <c r="C346" s="15">
        <v>13</v>
      </c>
      <c r="D346" s="15">
        <v>4</v>
      </c>
      <c r="E346" s="13">
        <v>45875</v>
      </c>
      <c r="F346" s="31" t="s">
        <v>641</v>
      </c>
      <c r="G346" s="41">
        <v>8.1250000000000003E-2</v>
      </c>
      <c r="H346" s="13">
        <v>46036</v>
      </c>
      <c r="I346" s="13">
        <v>47663</v>
      </c>
      <c r="J346" s="32">
        <f t="shared" ref="J346:J350" si="68">(+I346-E346)/365</f>
        <v>4.8986301369863012</v>
      </c>
      <c r="K346" s="32">
        <f t="shared" ref="K346:K350" si="69">(+I346-H346)/365</f>
        <v>4.4575342465753423</v>
      </c>
      <c r="L346" s="17">
        <v>1750</v>
      </c>
      <c r="M346" s="17">
        <v>6441.07</v>
      </c>
      <c r="N346" s="20">
        <f t="shared" si="25"/>
        <v>3.6806114285714284</v>
      </c>
      <c r="O346" s="17">
        <v>3500</v>
      </c>
      <c r="P346" s="33">
        <v>0.40029999999999999</v>
      </c>
      <c r="Q346" s="17">
        <v>2900.47</v>
      </c>
      <c r="R346" s="17">
        <v>7.3</v>
      </c>
      <c r="S346" s="30">
        <v>7.3196999999999998E-2</v>
      </c>
      <c r="T346" s="34">
        <v>103.01146</v>
      </c>
      <c r="U346" s="34">
        <v>0.33854000000000001</v>
      </c>
      <c r="V346" s="34">
        <f t="shared" si="67"/>
        <v>103.35</v>
      </c>
    </row>
    <row r="347" spans="1:22" x14ac:dyDescent="0.25">
      <c r="A347" s="35">
        <v>46042</v>
      </c>
      <c r="B347" s="14">
        <v>0.58333333333333337</v>
      </c>
      <c r="C347" s="15">
        <v>33</v>
      </c>
      <c r="D347" s="15">
        <v>4</v>
      </c>
      <c r="E347" s="13">
        <v>45868</v>
      </c>
      <c r="F347" s="31" t="s">
        <v>307</v>
      </c>
      <c r="G347" s="41">
        <v>0.03</v>
      </c>
      <c r="H347" s="13">
        <v>46043</v>
      </c>
      <c r="I347" s="13">
        <v>47656</v>
      </c>
      <c r="J347" s="32">
        <f t="shared" si="68"/>
        <v>4.8986301369863012</v>
      </c>
      <c r="K347" s="32">
        <f t="shared" si="69"/>
        <v>4.419178082191781</v>
      </c>
      <c r="L347" s="17">
        <v>200</v>
      </c>
      <c r="M347" s="17">
        <v>697.33</v>
      </c>
      <c r="N347" s="20">
        <f t="shared" si="25"/>
        <v>3.48665</v>
      </c>
      <c r="O347" s="17">
        <v>400</v>
      </c>
      <c r="P347" s="33">
        <v>6.9000000000000006E-2</v>
      </c>
      <c r="Q347" s="17">
        <v>227.42</v>
      </c>
      <c r="R347" s="17">
        <v>18.95</v>
      </c>
      <c r="S347" s="30">
        <v>2.8015000000000002E-2</v>
      </c>
      <c r="T347" s="34">
        <v>100.81833</v>
      </c>
      <c r="U347" s="34">
        <v>0.24167</v>
      </c>
      <c r="V347" s="34">
        <f t="shared" si="67"/>
        <v>101.06</v>
      </c>
    </row>
    <row r="348" spans="1:22" x14ac:dyDescent="0.25">
      <c r="A348" s="35">
        <v>46049</v>
      </c>
      <c r="B348" s="14">
        <v>0.58333333333333337</v>
      </c>
      <c r="C348" s="15">
        <v>12</v>
      </c>
      <c r="D348" s="15">
        <v>7</v>
      </c>
      <c r="E348" s="13">
        <v>45861</v>
      </c>
      <c r="F348" s="31" t="s">
        <v>641</v>
      </c>
      <c r="G348" s="41">
        <v>8.5000000000000006E-2</v>
      </c>
      <c r="H348" s="13">
        <v>46050</v>
      </c>
      <c r="I348" s="13">
        <v>46774</v>
      </c>
      <c r="J348" s="32">
        <f t="shared" si="68"/>
        <v>2.5013698630136987</v>
      </c>
      <c r="K348" s="32">
        <f t="shared" si="69"/>
        <v>1.9835616438356165</v>
      </c>
      <c r="L348" s="17">
        <v>4000</v>
      </c>
      <c r="M348" s="17">
        <v>8656.86</v>
      </c>
      <c r="N348" s="20">
        <f t="shared" si="25"/>
        <v>2.164215</v>
      </c>
      <c r="O348" s="17">
        <v>8000</v>
      </c>
      <c r="P348" s="33">
        <v>0.68730000000000002</v>
      </c>
      <c r="Q348" s="17">
        <v>2885.62</v>
      </c>
      <c r="R348" s="17">
        <v>1.44</v>
      </c>
      <c r="S348" s="30">
        <v>7.0499999999999993E-2</v>
      </c>
      <c r="T348" s="34">
        <v>102.63833</v>
      </c>
      <c r="U348" s="34">
        <v>0.14166999999999999</v>
      </c>
      <c r="V348" s="34">
        <f t="shared" si="67"/>
        <v>102.78</v>
      </c>
    </row>
    <row r="349" spans="1:22" x14ac:dyDescent="0.25">
      <c r="A349" s="35">
        <v>46056</v>
      </c>
      <c r="B349" s="14">
        <v>0.58333333333333337</v>
      </c>
      <c r="C349" s="15">
        <v>5</v>
      </c>
      <c r="D349" s="15">
        <v>18</v>
      </c>
      <c r="E349" s="13">
        <v>44440</v>
      </c>
      <c r="F349" s="31" t="s">
        <v>322</v>
      </c>
      <c r="G349" s="41">
        <v>0.02</v>
      </c>
      <c r="H349" s="13">
        <v>46057</v>
      </c>
      <c r="I349" s="13">
        <v>53936</v>
      </c>
      <c r="J349" s="32">
        <f t="shared" si="68"/>
        <v>26.016438356164382</v>
      </c>
      <c r="K349" s="32">
        <f t="shared" si="69"/>
        <v>21.586301369863012</v>
      </c>
      <c r="L349" s="17">
        <v>1750</v>
      </c>
      <c r="M349" s="17">
        <v>7849</v>
      </c>
      <c r="N349" s="20">
        <f t="shared" si="25"/>
        <v>4.4851428571428569</v>
      </c>
      <c r="O349" s="17">
        <v>3105</v>
      </c>
      <c r="P349" s="33">
        <v>0</v>
      </c>
      <c r="Q349" s="17">
        <v>2015</v>
      </c>
      <c r="R349" s="17">
        <v>975</v>
      </c>
      <c r="S349" s="30">
        <v>1.9977999999999999E-2</v>
      </c>
      <c r="T349" s="34">
        <v>100.02</v>
      </c>
      <c r="U349" s="34">
        <v>0.85</v>
      </c>
      <c r="V349" s="34">
        <f t="shared" si="67"/>
        <v>100.86999999999999</v>
      </c>
    </row>
    <row r="350" spans="1:22" x14ac:dyDescent="0.25">
      <c r="A350" s="35">
        <v>46063</v>
      </c>
      <c r="B350" s="14">
        <v>0.58333333333333337</v>
      </c>
      <c r="C350" s="15">
        <v>29</v>
      </c>
      <c r="D350" s="15">
        <v>17</v>
      </c>
      <c r="E350" s="13">
        <v>44432</v>
      </c>
      <c r="F350" s="31" t="s">
        <v>307</v>
      </c>
      <c r="G350" s="41">
        <v>2.5000000000000001E-2</v>
      </c>
      <c r="H350" s="13">
        <v>46064</v>
      </c>
      <c r="I350" s="13">
        <v>49180</v>
      </c>
      <c r="J350" s="32">
        <f t="shared" si="68"/>
        <v>13.008219178082191</v>
      </c>
      <c r="K350" s="32">
        <f t="shared" si="69"/>
        <v>8.536986301369863</v>
      </c>
      <c r="L350" s="17">
        <v>100</v>
      </c>
      <c r="M350" s="17">
        <v>457.46</v>
      </c>
      <c r="N350" s="20">
        <f t="shared" si="25"/>
        <v>4.5746000000000002</v>
      </c>
      <c r="O350" s="17">
        <v>200</v>
      </c>
      <c r="P350" s="33">
        <v>0.95169999999999999</v>
      </c>
      <c r="Q350" s="17">
        <v>158.65</v>
      </c>
      <c r="R350" s="17">
        <v>11.74</v>
      </c>
      <c r="S350" s="30">
        <v>2.7421999999999998E-2</v>
      </c>
      <c r="T350" s="34">
        <v>98.360280000000003</v>
      </c>
      <c r="U350" s="34">
        <v>1.1597200000000001</v>
      </c>
      <c r="V350" s="34">
        <f t="shared" si="67"/>
        <v>99.52000000000001</v>
      </c>
    </row>
    <row r="351" spans="1:22" x14ac:dyDescent="0.25">
      <c r="A351" s="35"/>
      <c r="B351" s="14"/>
      <c r="C351" s="15"/>
      <c r="D351" s="15"/>
      <c r="E351" s="13"/>
      <c r="F351" s="31"/>
      <c r="G351" s="41"/>
      <c r="H351" s="13"/>
      <c r="I351" s="13"/>
      <c r="J351" s="32"/>
      <c r="K351" s="32"/>
      <c r="L351" s="17"/>
      <c r="M351" s="17"/>
      <c r="N351" s="20"/>
      <c r="O351" s="17"/>
      <c r="P351" s="33"/>
      <c r="Q351" s="17"/>
      <c r="R351" s="17"/>
      <c r="S351" s="30"/>
      <c r="T351" s="34"/>
      <c r="U351" s="34"/>
      <c r="V351" s="34"/>
    </row>
    <row r="352" spans="1:22" x14ac:dyDescent="0.25">
      <c r="A352" s="35"/>
      <c r="B352" s="14"/>
      <c r="C352" s="15"/>
      <c r="D352" s="15"/>
      <c r="E352" s="13"/>
      <c r="F352" s="31"/>
      <c r="G352" s="41"/>
      <c r="H352" s="13"/>
      <c r="I352" s="13"/>
      <c r="J352" s="32"/>
      <c r="K352" s="32"/>
      <c r="L352" s="17"/>
      <c r="M352" s="17"/>
      <c r="N352" s="20"/>
      <c r="O352" s="17"/>
      <c r="P352" s="33"/>
      <c r="Q352" s="17"/>
      <c r="R352" s="17"/>
      <c r="S352" s="30"/>
      <c r="T352" s="34"/>
      <c r="U352" s="34"/>
      <c r="V352" s="34"/>
    </row>
    <row r="353" spans="1:22" x14ac:dyDescent="0.25">
      <c r="A353" s="35"/>
      <c r="B353" s="14"/>
      <c r="C353" s="15"/>
      <c r="D353" s="15"/>
      <c r="E353" s="13"/>
      <c r="F353" s="31"/>
      <c r="G353" s="41"/>
      <c r="H353" s="13"/>
      <c r="I353" s="13"/>
      <c r="J353" s="32"/>
      <c r="K353" s="32"/>
      <c r="L353" s="17"/>
      <c r="M353" s="17"/>
      <c r="N353" s="20"/>
      <c r="O353" s="17"/>
      <c r="P353" s="33"/>
      <c r="Q353" s="17"/>
      <c r="R353" s="17"/>
      <c r="S353" s="30"/>
      <c r="T353" s="34"/>
      <c r="U353" s="34"/>
      <c r="V353" s="34"/>
    </row>
    <row r="354" spans="1:22" x14ac:dyDescent="0.25">
      <c r="A354" s="35"/>
      <c r="B354" s="14"/>
      <c r="C354" s="15"/>
      <c r="D354" s="15"/>
      <c r="E354" s="13"/>
      <c r="F354" s="31"/>
      <c r="G354" s="41"/>
      <c r="H354" s="13"/>
      <c r="I354" s="13"/>
      <c r="J354" s="32"/>
      <c r="K354" s="32"/>
      <c r="L354" s="17"/>
      <c r="M354" s="17"/>
      <c r="N354" s="20"/>
      <c r="O354" s="17"/>
      <c r="P354" s="33"/>
      <c r="Q354" s="17"/>
      <c r="R354" s="17"/>
      <c r="S354" s="30"/>
      <c r="T354" s="34"/>
      <c r="U354" s="34"/>
      <c r="V354" s="34"/>
    </row>
    <row r="355" spans="1:22" x14ac:dyDescent="0.25">
      <c r="A355" s="35"/>
      <c r="B355" s="14"/>
      <c r="C355" s="15"/>
      <c r="D355" s="15"/>
      <c r="E355" s="13"/>
      <c r="F355" s="31"/>
      <c r="G355" s="41"/>
      <c r="H355" s="13"/>
      <c r="I355" s="13"/>
      <c r="J355" s="32"/>
      <c r="K355" s="32"/>
      <c r="L355" s="17"/>
      <c r="M355" s="17"/>
      <c r="N355" s="20"/>
      <c r="O355" s="17"/>
      <c r="P355" s="33"/>
      <c r="Q355" s="17"/>
      <c r="R355" s="17"/>
      <c r="S355" s="30"/>
      <c r="T355" s="34"/>
      <c r="U355" s="34"/>
      <c r="V355" s="34"/>
    </row>
    <row r="356" spans="1:22" x14ac:dyDescent="0.25">
      <c r="A356" s="35"/>
      <c r="B356" s="14"/>
      <c r="C356" s="15"/>
      <c r="D356" s="15"/>
      <c r="E356" s="13"/>
      <c r="F356" s="31"/>
      <c r="G356" s="41"/>
      <c r="H356" s="13"/>
      <c r="I356" s="13"/>
      <c r="J356" s="32"/>
      <c r="K356" s="32"/>
      <c r="L356" s="17"/>
      <c r="M356" s="17"/>
      <c r="N356" s="20"/>
      <c r="O356" s="17"/>
      <c r="P356" s="33"/>
      <c r="Q356" s="17"/>
      <c r="R356" s="17"/>
      <c r="S356" s="30"/>
      <c r="T356" s="34"/>
      <c r="U356" s="34"/>
      <c r="V356" s="34"/>
    </row>
    <row r="357" spans="1:22" x14ac:dyDescent="0.25">
      <c r="A357" s="35"/>
      <c r="B357" s="14"/>
      <c r="C357" s="15"/>
      <c r="D357" s="15"/>
      <c r="E357" s="13"/>
      <c r="F357" s="31"/>
      <c r="G357" s="41"/>
      <c r="H357" s="13"/>
      <c r="I357" s="13"/>
      <c r="J357" s="32"/>
      <c r="K357" s="32"/>
      <c r="L357" s="17"/>
      <c r="M357" s="17"/>
      <c r="N357" s="20"/>
      <c r="O357" s="17"/>
      <c r="P357" s="33"/>
      <c r="Q357" s="17"/>
      <c r="R357" s="17"/>
      <c r="S357" s="30"/>
      <c r="T357" s="34"/>
      <c r="U357" s="34"/>
      <c r="V357" s="34"/>
    </row>
    <row r="358" spans="1:22" x14ac:dyDescent="0.25">
      <c r="A358" s="35"/>
      <c r="B358" s="14"/>
      <c r="C358" s="15"/>
      <c r="D358" s="15"/>
      <c r="E358" s="13"/>
      <c r="F358" s="31"/>
      <c r="G358" s="41"/>
      <c r="H358" s="13"/>
      <c r="I358" s="13"/>
      <c r="J358" s="32"/>
      <c r="K358" s="32"/>
      <c r="L358" s="17"/>
      <c r="M358" s="17"/>
      <c r="N358" s="20"/>
      <c r="O358" s="17"/>
      <c r="P358" s="33"/>
      <c r="Q358" s="58"/>
      <c r="R358" s="78"/>
      <c r="S358" s="30"/>
      <c r="T358" s="34"/>
      <c r="U358" s="34"/>
      <c r="V358" s="34"/>
    </row>
    <row r="359" spans="1:22" x14ac:dyDescent="0.25">
      <c r="A359" s="35"/>
      <c r="B359" s="14"/>
      <c r="C359" s="15"/>
      <c r="D359" s="15"/>
      <c r="E359" s="13"/>
      <c r="F359" s="31"/>
      <c r="G359" s="41"/>
      <c r="H359" s="13"/>
      <c r="I359" s="13"/>
      <c r="J359" s="32"/>
      <c r="K359" s="32"/>
      <c r="L359" s="17"/>
      <c r="M359" s="17"/>
      <c r="N359" s="20"/>
      <c r="O359" s="17"/>
      <c r="P359" s="33"/>
      <c r="Q359" s="17"/>
      <c r="R359" s="17"/>
      <c r="S359" s="30"/>
      <c r="T359" s="34"/>
      <c r="U359" s="34"/>
      <c r="V359" s="34"/>
    </row>
    <row r="360" spans="1:22" x14ac:dyDescent="0.25">
      <c r="A360" s="35"/>
      <c r="B360" s="14"/>
      <c r="C360" s="15"/>
      <c r="D360" s="15"/>
      <c r="E360" s="13"/>
      <c r="F360" s="31"/>
      <c r="G360" s="41"/>
      <c r="H360" s="13"/>
      <c r="I360" s="13"/>
      <c r="J360" s="32"/>
      <c r="K360" s="32"/>
      <c r="L360" s="17"/>
      <c r="M360" s="17"/>
      <c r="N360" s="20"/>
      <c r="O360" s="17"/>
      <c r="P360" s="33"/>
      <c r="Q360" s="17"/>
      <c r="R360" s="17"/>
      <c r="S360" s="30"/>
      <c r="T360" s="34"/>
      <c r="U360" s="34"/>
      <c r="V360" s="34"/>
    </row>
    <row r="361" spans="1:22" x14ac:dyDescent="0.25">
      <c r="A361" s="35"/>
      <c r="B361" s="14"/>
      <c r="C361" s="15"/>
      <c r="D361" s="15"/>
      <c r="E361" s="13"/>
      <c r="F361" s="31"/>
      <c r="G361" s="41"/>
      <c r="H361" s="13"/>
      <c r="I361" s="13"/>
      <c r="J361" s="32"/>
      <c r="K361" s="32"/>
      <c r="L361" s="17"/>
      <c r="M361" s="17"/>
      <c r="N361" s="20"/>
      <c r="O361" s="17"/>
      <c r="P361" s="33"/>
      <c r="Q361" s="17"/>
      <c r="R361" s="17"/>
      <c r="S361" s="30"/>
      <c r="T361" s="34"/>
      <c r="U361" s="34"/>
      <c r="V361" s="34"/>
    </row>
    <row r="362" spans="1:22" x14ac:dyDescent="0.25">
      <c r="A362" s="35"/>
      <c r="B362" s="14"/>
      <c r="C362" s="15"/>
      <c r="D362" s="15"/>
      <c r="E362" s="13"/>
      <c r="F362" s="31"/>
      <c r="G362" s="41"/>
      <c r="H362" s="13"/>
      <c r="I362" s="13"/>
      <c r="J362" s="32"/>
      <c r="K362" s="32"/>
      <c r="L362" s="17"/>
      <c r="M362" s="17"/>
      <c r="N362" s="20"/>
      <c r="O362" s="17"/>
      <c r="P362" s="33"/>
      <c r="Q362" s="17"/>
      <c r="R362" s="17"/>
      <c r="S362" s="30"/>
      <c r="T362" s="34"/>
      <c r="U362" s="34"/>
      <c r="V362" s="34"/>
    </row>
    <row r="363" spans="1:22" x14ac:dyDescent="0.25">
      <c r="A363" s="35"/>
      <c r="B363" s="14"/>
      <c r="C363" s="15"/>
      <c r="D363" s="15"/>
      <c r="E363" s="13"/>
      <c r="F363" s="31"/>
      <c r="G363" s="41"/>
      <c r="H363" s="13"/>
      <c r="I363" s="13"/>
      <c r="J363" s="32"/>
      <c r="K363" s="32"/>
      <c r="L363" s="17"/>
      <c r="M363" s="17"/>
      <c r="N363" s="20"/>
      <c r="O363" s="17"/>
      <c r="P363" s="33"/>
      <c r="Q363" s="17"/>
      <c r="R363" s="17"/>
      <c r="S363" s="30"/>
      <c r="T363" s="34"/>
      <c r="U363" s="34"/>
      <c r="V363" s="34"/>
    </row>
    <row r="364" spans="1:22" x14ac:dyDescent="0.25">
      <c r="A364" s="35"/>
      <c r="B364" s="14"/>
      <c r="C364" s="15"/>
      <c r="D364" s="15"/>
      <c r="E364" s="13"/>
      <c r="F364" s="31"/>
      <c r="G364" s="41"/>
      <c r="H364" s="13"/>
      <c r="I364" s="13"/>
      <c r="J364" s="32"/>
      <c r="K364" s="32"/>
      <c r="L364" s="17"/>
      <c r="M364" s="17"/>
      <c r="N364" s="20"/>
      <c r="O364" s="17"/>
      <c r="P364" s="33"/>
      <c r="Q364" s="17"/>
      <c r="R364" s="17"/>
      <c r="S364" s="30"/>
      <c r="T364" s="34"/>
      <c r="U364" s="34"/>
      <c r="V364" s="34"/>
    </row>
    <row r="365" spans="1:22" x14ac:dyDescent="0.25">
      <c r="A365" s="35"/>
      <c r="B365" s="14"/>
      <c r="C365" s="15"/>
      <c r="D365" s="15"/>
      <c r="E365" s="13"/>
      <c r="F365" s="31"/>
      <c r="G365" s="41"/>
      <c r="H365" s="13"/>
      <c r="I365" s="13"/>
      <c r="J365" s="32"/>
      <c r="K365" s="32"/>
      <c r="L365" s="17"/>
      <c r="M365" s="17"/>
      <c r="N365" s="20"/>
      <c r="O365" s="17"/>
      <c r="P365" s="33"/>
      <c r="Q365" s="17"/>
      <c r="R365" s="17"/>
      <c r="S365" s="30"/>
      <c r="T365" s="34"/>
      <c r="U365" s="34"/>
      <c r="V365" s="34"/>
    </row>
    <row r="366" spans="1:22" x14ac:dyDescent="0.25">
      <c r="A366" s="35"/>
      <c r="B366" s="14"/>
      <c r="C366" s="15"/>
      <c r="D366" s="15"/>
      <c r="E366" s="13"/>
      <c r="F366" s="31"/>
      <c r="G366" s="41"/>
      <c r="H366" s="13"/>
      <c r="I366" s="13"/>
      <c r="J366" s="32"/>
      <c r="K366" s="32"/>
      <c r="L366" s="17"/>
      <c r="M366" s="17"/>
      <c r="N366" s="20"/>
      <c r="O366" s="17"/>
      <c r="P366" s="33"/>
      <c r="Q366" s="17"/>
      <c r="R366" s="17"/>
      <c r="S366" s="30"/>
      <c r="T366" s="34"/>
      <c r="U366" s="34"/>
      <c r="V366" s="34"/>
    </row>
    <row r="367" spans="1:22" x14ac:dyDescent="0.25">
      <c r="A367" s="35"/>
      <c r="B367" s="14"/>
      <c r="C367" s="15"/>
      <c r="D367" s="15"/>
      <c r="E367" s="13"/>
      <c r="F367" s="31"/>
      <c r="G367" s="41"/>
      <c r="H367" s="13"/>
      <c r="I367" s="13"/>
      <c r="J367" s="32"/>
      <c r="K367" s="32"/>
      <c r="L367" s="17"/>
      <c r="M367" s="17"/>
      <c r="N367" s="20"/>
      <c r="O367" s="17"/>
      <c r="P367" s="33"/>
      <c r="Q367" s="17"/>
      <c r="R367" s="17"/>
      <c r="S367" s="30"/>
      <c r="T367" s="34"/>
      <c r="U367" s="34"/>
      <c r="V367" s="34"/>
    </row>
    <row r="368" spans="1:22" x14ac:dyDescent="0.25">
      <c r="A368" s="35"/>
      <c r="B368" s="14"/>
      <c r="C368" s="15"/>
      <c r="D368" s="15"/>
      <c r="E368" s="13"/>
      <c r="F368" s="31"/>
      <c r="G368" s="41"/>
      <c r="H368" s="13"/>
      <c r="I368" s="13"/>
      <c r="J368" s="32"/>
      <c r="K368" s="32"/>
      <c r="L368" s="17"/>
      <c r="M368" s="17"/>
      <c r="N368" s="20"/>
      <c r="O368" s="17"/>
      <c r="P368" s="33"/>
      <c r="Q368" s="17"/>
      <c r="R368" s="17"/>
      <c r="S368" s="30"/>
      <c r="T368" s="34"/>
      <c r="U368" s="34"/>
      <c r="V368" s="34"/>
    </row>
    <row r="369" spans="1:22" x14ac:dyDescent="0.25">
      <c r="A369" s="35"/>
      <c r="B369" s="14"/>
      <c r="C369" s="15"/>
      <c r="D369" s="15"/>
      <c r="E369" s="13"/>
      <c r="F369" s="31"/>
      <c r="G369" s="41"/>
      <c r="H369" s="13"/>
      <c r="I369" s="13"/>
      <c r="J369" s="32"/>
      <c r="K369" s="32"/>
      <c r="L369" s="17"/>
      <c r="M369" s="17"/>
      <c r="N369" s="20"/>
      <c r="O369" s="17"/>
      <c r="P369" s="33"/>
      <c r="Q369" s="17"/>
      <c r="R369" s="17"/>
      <c r="S369" s="30"/>
      <c r="T369" s="34"/>
      <c r="U369" s="34"/>
      <c r="V369" s="34"/>
    </row>
    <row r="370" spans="1:22" x14ac:dyDescent="0.25">
      <c r="A370" s="35"/>
      <c r="B370" s="14"/>
      <c r="C370" s="15"/>
      <c r="D370" s="15"/>
      <c r="E370" s="13"/>
      <c r="F370" s="31"/>
      <c r="G370" s="41"/>
      <c r="H370" s="13"/>
      <c r="I370" s="13"/>
      <c r="J370" s="32"/>
      <c r="K370" s="32"/>
      <c r="L370" s="17"/>
      <c r="M370" s="17"/>
      <c r="N370" s="20"/>
      <c r="O370" s="17"/>
      <c r="P370" s="33"/>
      <c r="Q370" s="17"/>
      <c r="R370" s="17"/>
      <c r="S370" s="30"/>
      <c r="T370" s="34"/>
      <c r="U370" s="34"/>
      <c r="V370" s="34"/>
    </row>
    <row r="371" spans="1:22" x14ac:dyDescent="0.25">
      <c r="A371" s="35"/>
      <c r="B371" s="14"/>
      <c r="C371" s="15"/>
      <c r="D371" s="15"/>
      <c r="E371" s="13"/>
      <c r="F371" s="31"/>
      <c r="G371" s="41"/>
      <c r="H371" s="13"/>
      <c r="I371" s="13"/>
      <c r="J371" s="32"/>
      <c r="K371" s="32"/>
      <c r="L371" s="17"/>
      <c r="M371" s="17"/>
      <c r="N371" s="20"/>
      <c r="O371" s="17"/>
      <c r="P371" s="33"/>
      <c r="Q371" s="17"/>
      <c r="R371" s="17"/>
      <c r="S371" s="30"/>
      <c r="T371" s="34"/>
      <c r="U371" s="34"/>
      <c r="V371" s="34"/>
    </row>
    <row r="372" spans="1:22" x14ac:dyDescent="0.25">
      <c r="A372" s="35"/>
      <c r="B372" s="14"/>
      <c r="C372" s="15"/>
      <c r="D372" s="15"/>
      <c r="E372" s="13"/>
      <c r="F372" s="31"/>
      <c r="G372" s="41"/>
      <c r="H372" s="13"/>
      <c r="I372" s="13"/>
      <c r="J372" s="32"/>
      <c r="K372" s="32"/>
      <c r="L372" s="17"/>
      <c r="M372" s="17"/>
      <c r="N372" s="20"/>
      <c r="O372" s="17"/>
      <c r="P372" s="33"/>
      <c r="Q372" s="17"/>
      <c r="R372" s="17"/>
      <c r="S372" s="30"/>
      <c r="T372" s="34"/>
      <c r="U372" s="34"/>
      <c r="V372" s="34"/>
    </row>
    <row r="373" spans="1:22" x14ac:dyDescent="0.25">
      <c r="A373" s="35"/>
      <c r="B373" s="14"/>
      <c r="C373" s="15"/>
      <c r="D373" s="15"/>
      <c r="E373" s="13"/>
      <c r="F373" s="31"/>
      <c r="G373" s="41"/>
      <c r="H373" s="13"/>
      <c r="I373" s="13"/>
      <c r="J373" s="32"/>
      <c r="K373" s="32"/>
      <c r="L373" s="17"/>
      <c r="M373" s="17"/>
      <c r="N373" s="20"/>
      <c r="O373" s="17"/>
      <c r="P373" s="33"/>
      <c r="Q373" s="17"/>
      <c r="R373" s="17"/>
      <c r="S373" s="30"/>
      <c r="T373" s="34"/>
      <c r="U373" s="34"/>
      <c r="V373" s="34"/>
    </row>
    <row r="374" spans="1:22" x14ac:dyDescent="0.25">
      <c r="A374" s="35"/>
      <c r="B374" s="14"/>
      <c r="C374" s="15"/>
      <c r="D374" s="15"/>
      <c r="E374" s="13"/>
      <c r="F374" s="31"/>
      <c r="G374" s="41"/>
      <c r="H374" s="13"/>
      <c r="I374" s="13"/>
      <c r="J374" s="32"/>
      <c r="K374" s="32"/>
      <c r="L374" s="17"/>
      <c r="M374" s="17"/>
      <c r="N374" s="20"/>
      <c r="O374" s="17"/>
      <c r="P374" s="33"/>
      <c r="Q374" s="17"/>
      <c r="R374" s="17"/>
      <c r="S374" s="30"/>
      <c r="T374" s="34"/>
      <c r="U374" s="34"/>
      <c r="V374" s="34"/>
    </row>
    <row r="375" spans="1:22" x14ac:dyDescent="0.25">
      <c r="A375" s="35"/>
      <c r="B375" s="14"/>
      <c r="C375" s="15"/>
      <c r="D375" s="15"/>
      <c r="E375" s="13"/>
      <c r="F375" s="31"/>
      <c r="G375" s="41"/>
      <c r="H375" s="13"/>
      <c r="I375" s="13"/>
      <c r="J375" s="32"/>
      <c r="K375" s="32"/>
      <c r="L375" s="17"/>
      <c r="M375" s="17"/>
      <c r="N375" s="20"/>
      <c r="O375" s="17"/>
      <c r="P375" s="33"/>
      <c r="Q375" s="17"/>
      <c r="R375" s="17"/>
      <c r="S375" s="30"/>
      <c r="T375" s="34"/>
      <c r="U375" s="34"/>
      <c r="V375" s="34"/>
    </row>
    <row r="376" spans="1:22" x14ac:dyDescent="0.25">
      <c r="A376" s="35"/>
      <c r="B376" s="14"/>
      <c r="C376" s="15"/>
      <c r="D376" s="15"/>
      <c r="E376" s="13"/>
      <c r="F376" s="31"/>
      <c r="G376" s="41"/>
      <c r="H376" s="13"/>
      <c r="I376" s="13"/>
      <c r="J376" s="32"/>
      <c r="K376" s="32"/>
      <c r="L376" s="17"/>
      <c r="M376" s="17"/>
      <c r="N376" s="20"/>
      <c r="O376" s="17"/>
      <c r="P376" s="33"/>
      <c r="Q376" s="17"/>
      <c r="R376" s="17"/>
      <c r="S376" s="30"/>
      <c r="T376" s="34"/>
      <c r="U376" s="34"/>
      <c r="V376" s="34"/>
    </row>
    <row r="377" spans="1:22" x14ac:dyDescent="0.25">
      <c r="A377" s="35"/>
      <c r="B377" s="14"/>
      <c r="C377" s="15"/>
      <c r="D377" s="15"/>
      <c r="E377" s="13"/>
      <c r="F377" s="31"/>
      <c r="G377" s="41"/>
      <c r="H377" s="13"/>
      <c r="I377" s="13"/>
      <c r="J377" s="32"/>
      <c r="K377" s="32"/>
      <c r="L377" s="17"/>
      <c r="M377" s="17"/>
      <c r="N377" s="20"/>
      <c r="O377" s="17"/>
      <c r="P377" s="33"/>
      <c r="Q377" s="17"/>
      <c r="R377" s="17"/>
      <c r="S377" s="30"/>
      <c r="T377" s="34"/>
      <c r="U377" s="34"/>
      <c r="V377" s="34"/>
    </row>
    <row r="378" spans="1:22" x14ac:dyDescent="0.25">
      <c r="A378" s="35"/>
      <c r="B378" s="14"/>
      <c r="C378" s="15"/>
      <c r="D378" s="15"/>
      <c r="E378" s="13"/>
      <c r="F378" s="31"/>
      <c r="G378" s="41"/>
      <c r="H378" s="13"/>
      <c r="I378" s="13"/>
      <c r="J378" s="32"/>
      <c r="K378" s="32"/>
      <c r="L378" s="17"/>
      <c r="M378" s="17"/>
      <c r="N378" s="20"/>
      <c r="O378" s="17"/>
      <c r="P378" s="33"/>
      <c r="Q378" s="17"/>
      <c r="R378" s="17"/>
      <c r="S378" s="30"/>
      <c r="T378" s="34"/>
      <c r="U378" s="34"/>
      <c r="V378" s="34"/>
    </row>
    <row r="379" spans="1:22" x14ac:dyDescent="0.25">
      <c r="A379" s="35"/>
      <c r="B379" s="14"/>
      <c r="C379" s="15"/>
      <c r="D379" s="15"/>
      <c r="E379" s="13"/>
      <c r="F379" s="31"/>
      <c r="G379" s="41"/>
      <c r="H379" s="13"/>
      <c r="I379" s="13"/>
      <c r="J379" s="32"/>
      <c r="K379" s="32"/>
      <c r="L379" s="17"/>
      <c r="M379" s="17"/>
      <c r="N379" s="20"/>
      <c r="O379" s="17"/>
      <c r="P379" s="33"/>
      <c r="Q379" s="17"/>
      <c r="R379" s="17"/>
      <c r="S379" s="30"/>
      <c r="T379" s="34"/>
      <c r="U379" s="34"/>
      <c r="V379" s="34"/>
    </row>
    <row r="380" spans="1:22" x14ac:dyDescent="0.25">
      <c r="A380" s="35"/>
      <c r="B380" s="14"/>
      <c r="C380" s="15"/>
      <c r="D380" s="15"/>
      <c r="E380" s="13"/>
      <c r="F380" s="31"/>
      <c r="G380" s="41"/>
      <c r="H380" s="13"/>
      <c r="I380" s="13"/>
      <c r="J380" s="32"/>
      <c r="K380" s="32"/>
      <c r="L380" s="17"/>
      <c r="M380" s="17"/>
      <c r="N380" s="20"/>
      <c r="O380" s="17"/>
      <c r="P380" s="33"/>
      <c r="Q380" s="17"/>
      <c r="R380" s="17"/>
      <c r="S380" s="30"/>
      <c r="T380" s="34"/>
      <c r="U380" s="34"/>
      <c r="V380" s="34"/>
    </row>
    <row r="381" spans="1:22" x14ac:dyDescent="0.25">
      <c r="A381" s="35"/>
      <c r="B381" s="14"/>
      <c r="C381" s="15"/>
      <c r="D381" s="15"/>
      <c r="E381" s="13"/>
      <c r="F381" s="31"/>
      <c r="G381" s="41"/>
      <c r="H381" s="13"/>
      <c r="I381" s="13"/>
      <c r="J381" s="32"/>
      <c r="K381" s="32"/>
      <c r="L381" s="17"/>
      <c r="M381" s="17"/>
      <c r="N381" s="20"/>
      <c r="O381" s="17"/>
      <c r="P381" s="33"/>
      <c r="Q381" s="17"/>
      <c r="R381" s="17"/>
      <c r="S381" s="30"/>
      <c r="T381" s="34"/>
      <c r="U381" s="34"/>
      <c r="V381" s="34"/>
    </row>
    <row r="382" spans="1:22" x14ac:dyDescent="0.25">
      <c r="A382" s="35"/>
      <c r="B382" s="14"/>
      <c r="C382" s="15"/>
      <c r="D382" s="15"/>
      <c r="E382" s="13"/>
      <c r="F382" s="31"/>
      <c r="G382" s="41"/>
      <c r="H382" s="13"/>
      <c r="I382" s="13"/>
      <c r="J382" s="32"/>
      <c r="K382" s="32"/>
      <c r="L382" s="17"/>
      <c r="M382" s="17"/>
      <c r="N382" s="20"/>
      <c r="O382" s="17"/>
      <c r="P382" s="33"/>
      <c r="Q382" s="17"/>
      <c r="R382" s="17"/>
      <c r="S382" s="30"/>
      <c r="T382" s="34"/>
      <c r="U382" s="34"/>
      <c r="V382" s="34"/>
    </row>
    <row r="383" spans="1:22" x14ac:dyDescent="0.25">
      <c r="A383" s="35"/>
      <c r="B383" s="14"/>
      <c r="C383" s="15"/>
      <c r="D383" s="15"/>
      <c r="E383" s="13"/>
      <c r="F383" s="31"/>
      <c r="G383" s="41"/>
      <c r="H383" s="13"/>
      <c r="I383" s="13"/>
      <c r="J383" s="32"/>
      <c r="K383" s="32"/>
      <c r="L383" s="17"/>
      <c r="M383" s="17"/>
      <c r="N383" s="20"/>
      <c r="O383" s="17"/>
      <c r="P383" s="33"/>
      <c r="Q383" s="17"/>
      <c r="R383" s="17"/>
      <c r="S383" s="30"/>
      <c r="T383" s="34"/>
      <c r="U383" s="34"/>
      <c r="V383" s="34"/>
    </row>
    <row r="384" spans="1:22" x14ac:dyDescent="0.25">
      <c r="A384" s="35"/>
      <c r="B384" s="14"/>
      <c r="C384" s="15"/>
      <c r="D384" s="15"/>
      <c r="E384" s="13"/>
      <c r="F384" s="31"/>
      <c r="G384" s="41"/>
      <c r="H384" s="13"/>
      <c r="I384" s="13"/>
      <c r="J384" s="32"/>
      <c r="K384" s="32"/>
      <c r="L384" s="17"/>
      <c r="M384" s="17"/>
      <c r="N384" s="20"/>
      <c r="O384" s="17"/>
      <c r="P384" s="33"/>
      <c r="Q384" s="17"/>
      <c r="R384" s="17"/>
      <c r="S384" s="30"/>
      <c r="T384" s="34"/>
      <c r="U384" s="34"/>
      <c r="V384" s="34"/>
    </row>
    <row r="385" spans="1:22" x14ac:dyDescent="0.25">
      <c r="A385" s="35"/>
      <c r="B385" s="14"/>
      <c r="C385" s="15"/>
      <c r="D385" s="15"/>
      <c r="E385" s="13"/>
      <c r="F385" s="31"/>
      <c r="G385" s="41"/>
      <c r="H385" s="13"/>
      <c r="I385" s="13"/>
      <c r="J385" s="32"/>
      <c r="K385" s="32"/>
      <c r="L385" s="17"/>
      <c r="M385" s="17"/>
      <c r="N385" s="20"/>
      <c r="O385" s="17"/>
      <c r="P385" s="33"/>
      <c r="Q385" s="17"/>
      <c r="R385" s="17"/>
      <c r="S385" s="30"/>
      <c r="T385" s="34"/>
      <c r="U385" s="34"/>
      <c r="V385" s="34"/>
    </row>
    <row r="386" spans="1:22" x14ac:dyDescent="0.25">
      <c r="A386" s="35"/>
      <c r="B386" s="14"/>
      <c r="C386" s="15"/>
      <c r="D386" s="15"/>
      <c r="E386" s="13"/>
      <c r="F386" s="31"/>
      <c r="G386" s="41"/>
      <c r="H386" s="13"/>
      <c r="I386" s="13"/>
      <c r="J386" s="32"/>
      <c r="K386" s="32"/>
      <c r="L386" s="17"/>
      <c r="M386" s="17"/>
      <c r="N386" s="20"/>
      <c r="O386" s="17"/>
      <c r="P386" s="33"/>
      <c r="Q386" s="17"/>
      <c r="R386" s="17"/>
      <c r="S386" s="30"/>
      <c r="T386" s="34"/>
      <c r="U386" s="34"/>
      <c r="V386" s="34"/>
    </row>
    <row r="387" spans="1:22" x14ac:dyDescent="0.25">
      <c r="A387" s="35"/>
      <c r="B387" s="14"/>
      <c r="C387" s="15"/>
      <c r="D387" s="15"/>
      <c r="E387" s="13"/>
      <c r="F387" s="31"/>
      <c r="G387" s="41"/>
      <c r="H387" s="13"/>
      <c r="I387" s="13"/>
      <c r="J387" s="32"/>
      <c r="K387" s="32"/>
      <c r="L387" s="17"/>
      <c r="M387" s="17"/>
      <c r="N387" s="20"/>
      <c r="O387" s="17"/>
      <c r="P387" s="33"/>
      <c r="Q387" s="17"/>
      <c r="R387" s="17"/>
      <c r="S387" s="30"/>
      <c r="T387" s="34"/>
      <c r="U387" s="34"/>
      <c r="V387" s="34"/>
    </row>
    <row r="388" spans="1:22" x14ac:dyDescent="0.25">
      <c r="A388" s="35"/>
      <c r="B388" s="14"/>
      <c r="C388" s="15"/>
      <c r="D388" s="15"/>
      <c r="E388" s="13"/>
      <c r="F388" s="31"/>
      <c r="G388" s="41"/>
      <c r="H388" s="13"/>
      <c r="I388" s="13"/>
      <c r="J388" s="32"/>
      <c r="K388" s="32"/>
      <c r="L388" s="17"/>
      <c r="M388" s="17"/>
      <c r="N388" s="20"/>
      <c r="O388" s="17"/>
      <c r="P388" s="33"/>
      <c r="Q388" s="17"/>
      <c r="R388" s="17"/>
      <c r="S388" s="30"/>
      <c r="T388" s="34"/>
      <c r="U388" s="34"/>
      <c r="V388" s="34"/>
    </row>
    <row r="389" spans="1:22" x14ac:dyDescent="0.25">
      <c r="A389" s="35"/>
      <c r="B389" s="14"/>
      <c r="C389" s="15"/>
      <c r="D389" s="15"/>
      <c r="E389" s="13"/>
      <c r="F389" s="31"/>
      <c r="G389" s="41"/>
      <c r="H389" s="13"/>
      <c r="I389" s="13"/>
      <c r="J389" s="32"/>
      <c r="K389" s="32"/>
      <c r="L389" s="17"/>
      <c r="M389" s="17"/>
      <c r="N389" s="20"/>
      <c r="O389" s="17"/>
      <c r="P389" s="33"/>
      <c r="Q389" s="17"/>
      <c r="R389" s="17"/>
      <c r="S389" s="30"/>
      <c r="T389" s="34"/>
      <c r="U389" s="34"/>
      <c r="V389" s="34"/>
    </row>
    <row r="390" spans="1:22" x14ac:dyDescent="0.25">
      <c r="A390" s="35"/>
      <c r="B390" s="14"/>
      <c r="C390" s="15"/>
      <c r="D390" s="15"/>
      <c r="E390" s="13"/>
      <c r="F390" s="31"/>
      <c r="G390" s="41"/>
      <c r="H390" s="13"/>
      <c r="I390" s="13"/>
      <c r="J390" s="32"/>
      <c r="K390" s="32"/>
      <c r="L390" s="17"/>
      <c r="M390" s="17"/>
      <c r="N390" s="20"/>
      <c r="O390" s="17"/>
      <c r="P390" s="33"/>
      <c r="Q390" s="17"/>
      <c r="R390" s="17"/>
      <c r="S390" s="30"/>
      <c r="T390" s="34"/>
      <c r="U390" s="34"/>
      <c r="V390" s="34"/>
    </row>
    <row r="391" spans="1:22" x14ac:dyDescent="0.25">
      <c r="A391" s="35"/>
      <c r="B391" s="14"/>
      <c r="C391" s="15"/>
      <c r="D391" s="15"/>
      <c r="E391" s="13"/>
      <c r="F391" s="31"/>
      <c r="G391" s="41"/>
      <c r="H391" s="13"/>
      <c r="I391" s="13"/>
      <c r="J391" s="32"/>
      <c r="K391" s="32"/>
      <c r="L391" s="17"/>
      <c r="M391" s="17"/>
      <c r="N391" s="20"/>
      <c r="O391" s="17"/>
      <c r="P391" s="33"/>
      <c r="Q391" s="17"/>
      <c r="R391" s="17"/>
      <c r="S391" s="30"/>
      <c r="T391" s="34"/>
      <c r="U391" s="34"/>
      <c r="V391" s="34"/>
    </row>
    <row r="392" spans="1:22" x14ac:dyDescent="0.25">
      <c r="A392" s="35"/>
      <c r="B392" s="14"/>
      <c r="C392" s="15"/>
      <c r="D392" s="15"/>
      <c r="E392" s="13"/>
      <c r="F392" s="31"/>
      <c r="G392" s="41"/>
      <c r="H392" s="13"/>
      <c r="I392" s="13"/>
      <c r="J392" s="32"/>
      <c r="K392" s="32"/>
      <c r="L392" s="17"/>
      <c r="M392" s="17"/>
      <c r="N392" s="20"/>
      <c r="O392" s="17"/>
      <c r="P392" s="33"/>
      <c r="Q392" s="17"/>
      <c r="R392" s="17"/>
      <c r="S392" s="30"/>
      <c r="T392" s="34"/>
      <c r="U392" s="34"/>
      <c r="V392" s="34"/>
    </row>
    <row r="393" spans="1:22" x14ac:dyDescent="0.25">
      <c r="A393" s="35"/>
      <c r="B393" s="14"/>
      <c r="C393" s="15"/>
      <c r="D393" s="15"/>
      <c r="E393" s="13"/>
      <c r="F393" s="31"/>
      <c r="G393" s="41"/>
      <c r="H393" s="13"/>
      <c r="I393" s="13"/>
      <c r="J393" s="32"/>
      <c r="K393" s="32"/>
      <c r="L393" s="17"/>
      <c r="M393" s="17"/>
      <c r="N393" s="20"/>
      <c r="O393" s="17"/>
      <c r="P393" s="33"/>
      <c r="Q393" s="17"/>
      <c r="R393" s="17"/>
      <c r="S393" s="30"/>
      <c r="T393" s="34"/>
      <c r="U393" s="34"/>
      <c r="V393" s="34"/>
    </row>
    <row r="394" spans="1:22" x14ac:dyDescent="0.25">
      <c r="A394" s="35"/>
      <c r="B394" s="14"/>
      <c r="C394" s="15"/>
      <c r="D394" s="15"/>
      <c r="E394" s="13"/>
      <c r="F394" s="31"/>
      <c r="G394" s="41"/>
      <c r="H394" s="13"/>
      <c r="I394" s="13"/>
      <c r="J394" s="32"/>
      <c r="K394" s="32"/>
      <c r="L394" s="17"/>
      <c r="M394" s="17"/>
      <c r="N394" s="20"/>
      <c r="O394" s="17"/>
      <c r="P394" s="33"/>
      <c r="Q394" s="17"/>
      <c r="R394" s="17"/>
      <c r="S394" s="30"/>
      <c r="T394" s="34"/>
      <c r="U394" s="34"/>
      <c r="V394" s="34"/>
    </row>
    <row r="395" spans="1:22" x14ac:dyDescent="0.25">
      <c r="A395" s="35"/>
      <c r="B395" s="14"/>
      <c r="C395" s="15"/>
      <c r="D395" s="15"/>
      <c r="E395" s="13"/>
      <c r="F395" s="31"/>
      <c r="G395" s="41"/>
      <c r="H395" s="13"/>
      <c r="I395" s="13"/>
      <c r="J395" s="32"/>
      <c r="K395" s="32"/>
      <c r="L395" s="17"/>
      <c r="M395" s="17"/>
      <c r="N395" s="20"/>
      <c r="O395" s="17"/>
      <c r="P395" s="33"/>
      <c r="Q395" s="17"/>
      <c r="R395" s="17"/>
      <c r="S395" s="30"/>
      <c r="T395" s="34"/>
      <c r="U395" s="34"/>
      <c r="V395" s="34"/>
    </row>
    <row r="396" spans="1:22" x14ac:dyDescent="0.25">
      <c r="A396" s="35"/>
      <c r="B396" s="14"/>
      <c r="C396" s="15"/>
      <c r="D396" s="15"/>
      <c r="E396" s="13"/>
      <c r="F396" s="31"/>
      <c r="G396" s="41"/>
      <c r="H396" s="13"/>
      <c r="I396" s="13"/>
      <c r="J396" s="32"/>
      <c r="K396" s="32"/>
      <c r="L396" s="17"/>
      <c r="M396" s="17"/>
      <c r="N396" s="20"/>
      <c r="O396" s="17"/>
      <c r="P396" s="33"/>
      <c r="Q396" s="17"/>
      <c r="R396" s="17"/>
      <c r="S396" s="30"/>
      <c r="T396" s="34"/>
      <c r="U396" s="34"/>
      <c r="V396" s="34"/>
    </row>
    <row r="397" spans="1:22" x14ac:dyDescent="0.25">
      <c r="A397" s="35"/>
      <c r="B397" s="14"/>
      <c r="C397" s="15"/>
      <c r="D397" s="15"/>
      <c r="E397" s="13"/>
      <c r="F397" s="31"/>
      <c r="G397" s="41"/>
      <c r="H397" s="13"/>
      <c r="I397" s="13"/>
      <c r="J397" s="32"/>
      <c r="K397" s="32"/>
      <c r="L397" s="17"/>
      <c r="M397" s="17"/>
      <c r="N397" s="20"/>
      <c r="O397" s="17"/>
      <c r="P397" s="33"/>
      <c r="Q397" s="17"/>
      <c r="R397" s="17"/>
      <c r="S397" s="30"/>
      <c r="T397" s="34"/>
      <c r="U397" s="34"/>
      <c r="V397" s="34"/>
    </row>
    <row r="398" spans="1:22" x14ac:dyDescent="0.25">
      <c r="A398" s="35"/>
      <c r="B398" s="14"/>
      <c r="C398" s="15"/>
      <c r="D398" s="15"/>
      <c r="E398" s="13"/>
      <c r="F398" s="31"/>
      <c r="G398" s="41"/>
      <c r="H398" s="13"/>
      <c r="I398" s="13"/>
      <c r="J398" s="32"/>
      <c r="K398" s="32"/>
      <c r="L398" s="17"/>
      <c r="M398" s="17"/>
      <c r="N398" s="20"/>
      <c r="O398" s="17"/>
      <c r="P398" s="33"/>
      <c r="Q398" s="17"/>
      <c r="R398" s="17"/>
      <c r="S398" s="30"/>
      <c r="T398" s="34"/>
      <c r="U398" s="34"/>
      <c r="V398" s="34"/>
    </row>
    <row r="399" spans="1:22" x14ac:dyDescent="0.25">
      <c r="A399" s="35"/>
      <c r="B399" s="14"/>
      <c r="C399" s="15"/>
      <c r="D399" s="15"/>
      <c r="E399" s="13"/>
      <c r="F399" s="31"/>
      <c r="G399" s="41"/>
      <c r="H399" s="13"/>
      <c r="I399" s="13"/>
      <c r="J399" s="32"/>
      <c r="K399" s="32"/>
      <c r="L399" s="17"/>
      <c r="M399" s="17"/>
      <c r="N399" s="20"/>
      <c r="O399" s="17"/>
      <c r="P399" s="33"/>
      <c r="Q399" s="17"/>
      <c r="R399" s="17"/>
      <c r="S399" s="30"/>
      <c r="T399" s="34"/>
      <c r="U399" s="34"/>
      <c r="V399" s="34"/>
    </row>
    <row r="400" spans="1:22" x14ac:dyDescent="0.25">
      <c r="A400" s="35"/>
      <c r="B400" s="14"/>
      <c r="C400" s="15"/>
      <c r="D400" s="15"/>
      <c r="E400" s="13"/>
      <c r="F400" s="31"/>
      <c r="G400" s="41"/>
      <c r="H400" s="13"/>
      <c r="I400" s="13"/>
      <c r="J400" s="32"/>
      <c r="K400" s="32"/>
      <c r="L400" s="17"/>
      <c r="M400" s="17"/>
      <c r="N400" s="20"/>
      <c r="O400" s="17"/>
      <c r="P400" s="33"/>
      <c r="Q400" s="17"/>
      <c r="R400" s="17"/>
      <c r="S400" s="30"/>
      <c r="T400" s="34"/>
      <c r="U400" s="34"/>
      <c r="V400" s="34"/>
    </row>
    <row r="401" spans="1:22" x14ac:dyDescent="0.25">
      <c r="A401" s="35"/>
      <c r="B401" s="14"/>
      <c r="C401" s="15"/>
      <c r="D401" s="15"/>
      <c r="E401" s="13"/>
      <c r="F401" s="31"/>
      <c r="G401" s="41"/>
      <c r="H401" s="13"/>
      <c r="I401" s="13"/>
      <c r="J401" s="32"/>
      <c r="K401" s="32"/>
      <c r="L401" s="17"/>
      <c r="M401" s="17"/>
      <c r="N401" s="20"/>
      <c r="O401" s="17"/>
      <c r="P401" s="33"/>
      <c r="Q401" s="17"/>
      <c r="R401" s="17"/>
      <c r="S401" s="30"/>
      <c r="T401" s="34"/>
      <c r="U401" s="34"/>
      <c r="V401" s="34"/>
    </row>
    <row r="402" spans="1:22" x14ac:dyDescent="0.25">
      <c r="A402" s="35"/>
      <c r="B402" s="14"/>
      <c r="C402" s="15"/>
      <c r="D402" s="15"/>
      <c r="E402" s="13"/>
      <c r="F402" s="31"/>
      <c r="G402" s="41"/>
      <c r="H402" s="13"/>
      <c r="I402" s="13"/>
      <c r="J402" s="32"/>
      <c r="K402" s="32"/>
      <c r="L402" s="17"/>
      <c r="M402" s="17"/>
      <c r="N402" s="20"/>
      <c r="O402" s="17"/>
      <c r="P402" s="33"/>
      <c r="Q402" s="17"/>
      <c r="R402" s="17"/>
      <c r="S402" s="30"/>
      <c r="T402" s="34"/>
      <c r="U402" s="34"/>
      <c r="V402" s="34"/>
    </row>
    <row r="403" spans="1:22" x14ac:dyDescent="0.25">
      <c r="A403" s="35"/>
      <c r="B403" s="14"/>
      <c r="C403" s="15"/>
      <c r="D403" s="15"/>
      <c r="E403" s="13"/>
      <c r="F403" s="31"/>
      <c r="G403" s="41"/>
      <c r="H403" s="13"/>
      <c r="I403" s="13"/>
      <c r="J403" s="32"/>
      <c r="K403" s="32"/>
      <c r="L403" s="17"/>
      <c r="M403" s="17"/>
      <c r="N403" s="20"/>
      <c r="O403" s="17"/>
      <c r="P403" s="33"/>
      <c r="Q403" s="17"/>
      <c r="R403" s="17"/>
      <c r="S403" s="30"/>
      <c r="T403" s="34"/>
      <c r="U403" s="34"/>
      <c r="V403" s="34"/>
    </row>
    <row r="404" spans="1:22" x14ac:dyDescent="0.25">
      <c r="A404" s="35"/>
      <c r="B404" s="14"/>
      <c r="C404" s="15"/>
      <c r="D404" s="15"/>
      <c r="E404" s="13"/>
      <c r="F404" s="31"/>
      <c r="G404" s="41"/>
      <c r="H404" s="13"/>
      <c r="I404" s="13"/>
      <c r="J404" s="32"/>
      <c r="K404" s="32"/>
      <c r="L404" s="17"/>
      <c r="M404" s="17"/>
      <c r="N404" s="20"/>
      <c r="O404" s="17"/>
      <c r="P404" s="33"/>
      <c r="Q404" s="17"/>
      <c r="R404" s="17"/>
      <c r="S404" s="30"/>
      <c r="T404" s="34"/>
      <c r="U404" s="34"/>
      <c r="V404" s="34"/>
    </row>
    <row r="405" spans="1:22" x14ac:dyDescent="0.25">
      <c r="A405" s="35"/>
      <c r="B405" s="14"/>
      <c r="C405" s="15"/>
      <c r="D405" s="15"/>
      <c r="E405" s="13"/>
      <c r="F405" s="31"/>
      <c r="G405" s="41"/>
      <c r="H405" s="13"/>
      <c r="I405" s="13"/>
      <c r="J405" s="32"/>
      <c r="K405" s="32"/>
      <c r="L405" s="17"/>
      <c r="M405" s="17"/>
      <c r="N405" s="20"/>
      <c r="O405" s="17"/>
      <c r="P405" s="33"/>
      <c r="Q405" s="17"/>
      <c r="R405" s="17"/>
      <c r="S405" s="30"/>
      <c r="T405" s="34"/>
      <c r="U405" s="34"/>
      <c r="V405" s="34"/>
    </row>
    <row r="406" spans="1:22" x14ac:dyDescent="0.25">
      <c r="A406" s="35"/>
      <c r="B406" s="14"/>
      <c r="C406" s="15"/>
      <c r="D406" s="15"/>
      <c r="E406" s="13"/>
      <c r="F406" s="31"/>
      <c r="G406" s="41"/>
      <c r="H406" s="13"/>
      <c r="I406" s="13"/>
      <c r="J406" s="32"/>
      <c r="K406" s="32"/>
      <c r="L406" s="17"/>
      <c r="M406" s="17"/>
      <c r="N406" s="20"/>
      <c r="O406" s="17"/>
      <c r="P406" s="33"/>
      <c r="Q406" s="17"/>
      <c r="R406" s="17"/>
      <c r="S406" s="30"/>
      <c r="T406" s="34"/>
      <c r="U406" s="34"/>
      <c r="V406" s="34"/>
    </row>
    <row r="407" spans="1:22" x14ac:dyDescent="0.25">
      <c r="A407" s="35"/>
      <c r="B407" s="14"/>
      <c r="C407" s="15"/>
      <c r="D407" s="15"/>
      <c r="E407" s="13"/>
      <c r="F407" s="31"/>
      <c r="G407" s="41"/>
      <c r="H407" s="13"/>
      <c r="I407" s="13"/>
      <c r="J407" s="32"/>
      <c r="K407" s="32"/>
      <c r="L407" s="17"/>
      <c r="M407" s="17"/>
      <c r="N407" s="20"/>
      <c r="O407" s="17"/>
      <c r="P407" s="33"/>
      <c r="Q407" s="17"/>
      <c r="R407" s="17"/>
      <c r="S407" s="30"/>
      <c r="T407" s="34"/>
      <c r="U407" s="34"/>
      <c r="V407" s="34"/>
    </row>
    <row r="408" spans="1:22" x14ac:dyDescent="0.25">
      <c r="A408" s="35"/>
      <c r="B408" s="14"/>
      <c r="C408" s="15"/>
      <c r="D408" s="15"/>
      <c r="E408" s="13"/>
      <c r="F408" s="31"/>
      <c r="G408" s="41"/>
      <c r="H408" s="13"/>
      <c r="I408" s="13"/>
      <c r="J408" s="32"/>
      <c r="K408" s="32"/>
      <c r="L408" s="17"/>
      <c r="M408" s="17"/>
      <c r="N408" s="20"/>
      <c r="O408" s="17"/>
      <c r="P408" s="33"/>
      <c r="Q408" s="17"/>
      <c r="R408" s="17"/>
      <c r="S408" s="30"/>
      <c r="T408" s="34"/>
      <c r="U408" s="34"/>
      <c r="V408" s="34"/>
    </row>
    <row r="409" spans="1:22" x14ac:dyDescent="0.25">
      <c r="A409" s="35"/>
      <c r="B409" s="14"/>
      <c r="C409" s="15"/>
      <c r="D409" s="15"/>
      <c r="E409" s="13"/>
      <c r="F409" s="31"/>
      <c r="G409" s="41"/>
      <c r="H409" s="13"/>
      <c r="I409" s="13"/>
      <c r="J409" s="32"/>
      <c r="K409" s="32"/>
      <c r="L409" s="17"/>
      <c r="M409" s="17"/>
      <c r="N409" s="20"/>
      <c r="O409" s="17"/>
      <c r="P409" s="33"/>
      <c r="Q409" s="17"/>
      <c r="R409" s="17"/>
      <c r="S409" s="30"/>
      <c r="T409" s="34"/>
      <c r="U409" s="34"/>
      <c r="V409" s="34"/>
    </row>
    <row r="410" spans="1:22" x14ac:dyDescent="0.25">
      <c r="A410" s="35"/>
      <c r="B410" s="14"/>
      <c r="C410" s="15"/>
      <c r="D410" s="15"/>
      <c r="E410" s="13"/>
      <c r="F410" s="31"/>
      <c r="G410" s="41"/>
      <c r="H410" s="13"/>
      <c r="I410" s="13"/>
      <c r="J410" s="32"/>
      <c r="K410" s="32"/>
      <c r="L410" s="17"/>
      <c r="M410" s="17"/>
      <c r="N410" s="20"/>
      <c r="O410" s="17"/>
      <c r="P410" s="33"/>
      <c r="Q410" s="17"/>
      <c r="R410" s="17"/>
      <c r="S410" s="30"/>
      <c r="T410" s="34"/>
      <c r="U410" s="34"/>
      <c r="V410" s="34"/>
    </row>
    <row r="411" spans="1:22" x14ac:dyDescent="0.25">
      <c r="A411" s="35"/>
      <c r="B411" s="14"/>
      <c r="C411" s="15"/>
      <c r="D411" s="15"/>
      <c r="E411" s="13"/>
      <c r="F411" s="31"/>
      <c r="G411" s="41"/>
      <c r="H411" s="13"/>
      <c r="I411" s="13"/>
      <c r="J411" s="32"/>
      <c r="K411" s="32"/>
      <c r="L411" s="17"/>
      <c r="M411" s="17"/>
      <c r="N411" s="20"/>
      <c r="O411" s="17"/>
      <c r="P411" s="33"/>
      <c r="Q411" s="17"/>
      <c r="R411" s="17"/>
      <c r="S411" s="30"/>
      <c r="T411" s="34"/>
      <c r="U411" s="34"/>
      <c r="V411" s="34"/>
    </row>
    <row r="412" spans="1:22" x14ac:dyDescent="0.25">
      <c r="A412" s="35"/>
      <c r="B412" s="14"/>
      <c r="C412" s="15"/>
      <c r="D412" s="15"/>
      <c r="E412" s="13"/>
      <c r="F412" s="31"/>
      <c r="G412" s="41"/>
      <c r="H412" s="13"/>
      <c r="I412" s="13"/>
      <c r="J412" s="32"/>
      <c r="K412" s="32"/>
      <c r="L412" s="17"/>
      <c r="M412" s="17"/>
      <c r="N412" s="20"/>
      <c r="O412" s="17"/>
      <c r="P412" s="33"/>
      <c r="Q412" s="17"/>
      <c r="R412" s="17"/>
      <c r="S412" s="30"/>
      <c r="T412" s="34"/>
      <c r="U412" s="34"/>
      <c r="V412" s="34"/>
    </row>
    <row r="413" spans="1:22" x14ac:dyDescent="0.25">
      <c r="A413" s="35"/>
      <c r="B413" s="14"/>
      <c r="C413" s="15"/>
      <c r="D413" s="15"/>
      <c r="E413" s="13"/>
      <c r="F413" s="31"/>
      <c r="G413" s="41"/>
      <c r="H413" s="13"/>
      <c r="I413" s="13"/>
      <c r="J413" s="32"/>
      <c r="K413" s="32"/>
      <c r="L413" s="17"/>
      <c r="M413" s="17"/>
      <c r="N413" s="20"/>
      <c r="O413" s="17"/>
      <c r="P413" s="33"/>
      <c r="Q413" s="17"/>
      <c r="R413" s="17"/>
      <c r="S413" s="30"/>
      <c r="T413" s="34"/>
      <c r="U413" s="34"/>
      <c r="V413" s="34"/>
    </row>
    <row r="414" spans="1:22" x14ac:dyDescent="0.25">
      <c r="A414" s="35"/>
      <c r="B414" s="14"/>
      <c r="C414" s="15"/>
      <c r="D414" s="15"/>
      <c r="E414" s="13"/>
      <c r="F414" s="31"/>
      <c r="G414" s="41"/>
      <c r="H414" s="13"/>
      <c r="I414" s="13"/>
      <c r="J414" s="32"/>
      <c r="K414" s="32"/>
      <c r="L414" s="17"/>
      <c r="M414" s="17"/>
      <c r="N414" s="20"/>
      <c r="O414" s="17"/>
      <c r="P414" s="33"/>
      <c r="Q414" s="17"/>
      <c r="R414" s="17"/>
      <c r="S414" s="30"/>
      <c r="T414" s="34"/>
      <c r="U414" s="34"/>
      <c r="V414" s="34"/>
    </row>
    <row r="415" spans="1:22" x14ac:dyDescent="0.25">
      <c r="A415" s="35"/>
      <c r="B415" s="14"/>
      <c r="C415" s="15"/>
      <c r="D415" s="15"/>
      <c r="E415" s="13"/>
      <c r="F415" s="31"/>
      <c r="G415" s="41"/>
      <c r="H415" s="13"/>
      <c r="I415" s="13"/>
      <c r="J415" s="32"/>
      <c r="K415" s="32"/>
      <c r="L415" s="17"/>
      <c r="M415" s="17"/>
      <c r="N415" s="20"/>
      <c r="O415" s="17"/>
      <c r="P415" s="33"/>
      <c r="Q415" s="17"/>
      <c r="R415" s="17"/>
      <c r="S415" s="30"/>
      <c r="T415" s="34"/>
      <c r="U415" s="34"/>
      <c r="V415" s="34"/>
    </row>
    <row r="416" spans="1:22" x14ac:dyDescent="0.25">
      <c r="A416" s="35"/>
      <c r="B416" s="14"/>
      <c r="C416" s="15"/>
      <c r="D416" s="15"/>
      <c r="E416" s="13"/>
      <c r="F416" s="31"/>
      <c r="G416" s="41"/>
      <c r="H416" s="13"/>
      <c r="I416" s="13"/>
      <c r="J416" s="32"/>
      <c r="K416" s="32"/>
      <c r="L416" s="17"/>
      <c r="M416" s="17"/>
      <c r="N416" s="20"/>
      <c r="O416" s="17"/>
      <c r="P416" s="33"/>
      <c r="Q416" s="17"/>
      <c r="R416" s="17"/>
      <c r="S416" s="30"/>
      <c r="T416" s="34"/>
      <c r="U416" s="34"/>
      <c r="V416" s="34"/>
    </row>
    <row r="417" spans="1:22" x14ac:dyDescent="0.25">
      <c r="A417" s="35"/>
      <c r="B417" s="14"/>
      <c r="C417" s="15"/>
      <c r="D417" s="15"/>
      <c r="E417" s="13"/>
      <c r="F417" s="31"/>
      <c r="G417" s="41"/>
      <c r="H417" s="13"/>
      <c r="I417" s="13"/>
      <c r="J417" s="32"/>
      <c r="K417" s="32"/>
      <c r="L417" s="17"/>
      <c r="M417" s="17"/>
      <c r="N417" s="20"/>
      <c r="O417" s="17"/>
      <c r="P417" s="33"/>
      <c r="Q417" s="17"/>
      <c r="R417" s="17"/>
      <c r="S417" s="30"/>
      <c r="T417" s="34"/>
      <c r="U417" s="34"/>
      <c r="V417" s="34"/>
    </row>
    <row r="418" spans="1:22" x14ac:dyDescent="0.25">
      <c r="A418" s="35"/>
      <c r="B418" s="14"/>
      <c r="C418" s="15"/>
      <c r="D418" s="15"/>
      <c r="E418" s="13"/>
      <c r="F418" s="31"/>
      <c r="G418" s="41"/>
      <c r="H418" s="13"/>
      <c r="I418" s="13"/>
      <c r="J418" s="32"/>
      <c r="K418" s="32"/>
      <c r="L418" s="17"/>
      <c r="M418" s="17"/>
      <c r="N418" s="20"/>
      <c r="O418" s="17"/>
      <c r="P418" s="33"/>
      <c r="Q418" s="17"/>
      <c r="R418" s="17"/>
      <c r="S418" s="30"/>
      <c r="T418" s="34"/>
      <c r="U418" s="34"/>
      <c r="V418" s="34"/>
    </row>
    <row r="419" spans="1:22" x14ac:dyDescent="0.25">
      <c r="A419" s="35"/>
      <c r="B419" s="14"/>
      <c r="C419" s="15"/>
      <c r="D419" s="15"/>
      <c r="E419" s="13"/>
      <c r="F419" s="31"/>
      <c r="G419" s="41"/>
      <c r="H419" s="13"/>
      <c r="I419" s="13"/>
      <c r="J419" s="32"/>
      <c r="K419" s="32"/>
      <c r="L419" s="17"/>
      <c r="M419" s="17"/>
      <c r="N419" s="20"/>
      <c r="O419" s="17"/>
      <c r="P419" s="33"/>
      <c r="Q419" s="17"/>
      <c r="R419" s="17"/>
      <c r="S419" s="30"/>
      <c r="T419" s="34"/>
      <c r="U419" s="34"/>
      <c r="V419" s="34"/>
    </row>
    <row r="420" spans="1:22" x14ac:dyDescent="0.25">
      <c r="A420" s="35"/>
      <c r="B420" s="14"/>
      <c r="C420" s="15"/>
      <c r="D420" s="15"/>
      <c r="E420" s="13"/>
      <c r="F420" s="31"/>
      <c r="G420" s="41"/>
      <c r="H420" s="13"/>
      <c r="I420" s="13"/>
      <c r="J420" s="32"/>
      <c r="K420" s="32"/>
      <c r="L420" s="17"/>
      <c r="M420" s="17"/>
      <c r="N420" s="20"/>
      <c r="O420" s="17"/>
      <c r="P420" s="33"/>
      <c r="Q420" s="17"/>
      <c r="R420" s="17"/>
      <c r="S420" s="30"/>
      <c r="T420" s="34"/>
      <c r="U420" s="34"/>
      <c r="V420" s="34"/>
    </row>
    <row r="421" spans="1:22" x14ac:dyDescent="0.25">
      <c r="A421" s="35"/>
      <c r="B421" s="14"/>
      <c r="C421" s="15"/>
      <c r="D421" s="15"/>
      <c r="E421" s="13"/>
      <c r="F421" s="31"/>
      <c r="G421" s="41"/>
      <c r="H421" s="13"/>
      <c r="I421" s="13"/>
      <c r="J421" s="32"/>
      <c r="K421" s="32"/>
      <c r="L421" s="17"/>
      <c r="M421" s="17"/>
      <c r="N421" s="20"/>
      <c r="O421" s="17"/>
      <c r="P421" s="33"/>
      <c r="Q421" s="17"/>
      <c r="R421" s="17"/>
      <c r="S421" s="30"/>
      <c r="T421" s="34"/>
      <c r="U421" s="34"/>
      <c r="V421" s="34"/>
    </row>
    <row r="422" spans="1:22" x14ac:dyDescent="0.25">
      <c r="A422" s="35"/>
      <c r="B422" s="14"/>
      <c r="C422" s="15"/>
      <c r="D422" s="15"/>
      <c r="E422" s="13"/>
      <c r="F422" s="31"/>
      <c r="G422" s="41"/>
      <c r="H422" s="13"/>
      <c r="I422" s="13"/>
      <c r="J422" s="32"/>
      <c r="K422" s="32"/>
      <c r="L422" s="17"/>
      <c r="M422" s="17"/>
      <c r="N422" s="20"/>
      <c r="O422" s="17"/>
      <c r="P422" s="33"/>
      <c r="Q422" s="17"/>
      <c r="R422" s="17"/>
      <c r="S422" s="30"/>
      <c r="T422" s="34"/>
      <c r="U422" s="34"/>
      <c r="V422" s="34"/>
    </row>
    <row r="423" spans="1:22" x14ac:dyDescent="0.25">
      <c r="A423" s="35"/>
      <c r="B423" s="14"/>
      <c r="C423" s="15"/>
      <c r="D423" s="15"/>
      <c r="E423" s="13"/>
      <c r="F423" s="31"/>
      <c r="G423" s="41"/>
      <c r="H423" s="13"/>
      <c r="I423" s="13"/>
      <c r="J423" s="32"/>
      <c r="K423" s="32"/>
      <c r="L423" s="17"/>
      <c r="M423" s="17"/>
      <c r="N423" s="20"/>
      <c r="O423" s="17"/>
      <c r="P423" s="33"/>
      <c r="Q423" s="17"/>
      <c r="R423" s="17"/>
      <c r="S423" s="30"/>
      <c r="T423" s="34"/>
      <c r="U423" s="34"/>
      <c r="V423" s="34"/>
    </row>
    <row r="424" spans="1:22" x14ac:dyDescent="0.25">
      <c r="A424" s="35"/>
      <c r="B424" s="14"/>
      <c r="C424" s="15"/>
      <c r="D424" s="15"/>
      <c r="E424" s="13"/>
      <c r="F424" s="31"/>
      <c r="G424" s="41"/>
      <c r="H424" s="13"/>
      <c r="I424" s="13"/>
      <c r="J424" s="32"/>
      <c r="K424" s="32"/>
      <c r="L424" s="17"/>
      <c r="M424" s="17"/>
      <c r="N424" s="20"/>
      <c r="O424" s="17"/>
      <c r="P424" s="33"/>
      <c r="Q424" s="17"/>
      <c r="R424" s="17"/>
      <c r="S424" s="30"/>
      <c r="T424" s="34"/>
      <c r="U424" s="34"/>
      <c r="V424" s="34"/>
    </row>
    <row r="425" spans="1:22" x14ac:dyDescent="0.25">
      <c r="A425" s="35"/>
      <c r="B425" s="14"/>
      <c r="C425" s="15"/>
      <c r="D425" s="15"/>
      <c r="E425" s="13"/>
      <c r="F425" s="31"/>
      <c r="G425" s="41"/>
      <c r="H425" s="13"/>
      <c r="I425" s="13"/>
      <c r="J425" s="32"/>
      <c r="K425" s="32"/>
      <c r="L425" s="17"/>
      <c r="M425" s="17"/>
      <c r="N425" s="20"/>
      <c r="O425" s="17"/>
      <c r="P425" s="33"/>
      <c r="Q425" s="17"/>
      <c r="R425" s="17"/>
      <c r="S425" s="30"/>
      <c r="T425" s="34"/>
      <c r="U425" s="34"/>
      <c r="V425" s="34"/>
    </row>
    <row r="426" spans="1:22" x14ac:dyDescent="0.25">
      <c r="A426" s="35"/>
      <c r="B426" s="14"/>
      <c r="C426" s="15"/>
      <c r="D426" s="15"/>
      <c r="E426" s="13"/>
      <c r="F426" s="31"/>
      <c r="G426" s="41"/>
      <c r="H426" s="13"/>
      <c r="I426" s="13"/>
      <c r="J426" s="32"/>
      <c r="K426" s="32"/>
      <c r="L426" s="17"/>
      <c r="M426" s="17"/>
      <c r="N426" s="20"/>
      <c r="O426" s="17"/>
      <c r="P426" s="33"/>
      <c r="Q426" s="17"/>
      <c r="R426" s="17"/>
      <c r="S426" s="30"/>
      <c r="T426" s="34"/>
      <c r="U426" s="34"/>
      <c r="V426" s="34"/>
    </row>
    <row r="427" spans="1:22" x14ac:dyDescent="0.25">
      <c r="A427" s="35"/>
      <c r="B427" s="14"/>
      <c r="C427" s="15"/>
      <c r="D427" s="15"/>
      <c r="E427" s="13"/>
      <c r="F427" s="31"/>
      <c r="G427" s="41"/>
      <c r="H427" s="13"/>
      <c r="I427" s="13"/>
      <c r="J427" s="32"/>
      <c r="K427" s="32"/>
      <c r="L427" s="17"/>
      <c r="M427" s="17"/>
      <c r="N427" s="20"/>
      <c r="O427" s="17"/>
      <c r="P427" s="33"/>
      <c r="Q427" s="17"/>
      <c r="R427" s="17"/>
      <c r="S427" s="30"/>
      <c r="T427" s="34"/>
      <c r="U427" s="34"/>
      <c r="V427" s="34"/>
    </row>
    <row r="428" spans="1:22" x14ac:dyDescent="0.25">
      <c r="A428" s="35"/>
      <c r="B428" s="14"/>
      <c r="C428" s="15"/>
      <c r="D428" s="15"/>
      <c r="E428" s="13"/>
      <c r="F428" s="31"/>
      <c r="G428" s="41"/>
      <c r="H428" s="13"/>
      <c r="I428" s="13"/>
      <c r="J428" s="32"/>
      <c r="K428" s="32"/>
      <c r="L428" s="17"/>
      <c r="M428" s="17"/>
      <c r="N428" s="20"/>
      <c r="O428" s="17"/>
      <c r="P428" s="33"/>
      <c r="Q428" s="17"/>
      <c r="R428" s="17"/>
      <c r="S428" s="30"/>
      <c r="T428" s="34"/>
      <c r="U428" s="34"/>
      <c r="V428" s="34"/>
    </row>
    <row r="429" spans="1:22" x14ac:dyDescent="0.25">
      <c r="A429" s="35"/>
      <c r="B429" s="14"/>
      <c r="C429" s="15"/>
      <c r="D429" s="15"/>
      <c r="E429" s="13"/>
      <c r="F429" s="31"/>
      <c r="G429" s="41"/>
      <c r="H429" s="13"/>
      <c r="I429" s="13"/>
      <c r="J429" s="32"/>
      <c r="K429" s="32"/>
      <c r="L429" s="17"/>
      <c r="M429" s="17"/>
      <c r="N429" s="20"/>
      <c r="O429" s="17"/>
      <c r="P429" s="33"/>
      <c r="Q429" s="17"/>
      <c r="R429" s="17"/>
      <c r="S429" s="30"/>
      <c r="T429" s="34"/>
      <c r="U429" s="34"/>
      <c r="V429" s="34"/>
    </row>
    <row r="430" spans="1:22" x14ac:dyDescent="0.25">
      <c r="A430" s="35"/>
      <c r="B430" s="14"/>
      <c r="C430" s="15"/>
      <c r="D430" s="15"/>
      <c r="E430" s="13"/>
      <c r="F430" s="31"/>
      <c r="G430" s="41"/>
      <c r="H430" s="13"/>
      <c r="I430" s="13"/>
      <c r="J430" s="32"/>
      <c r="K430" s="32"/>
      <c r="L430" s="17"/>
      <c r="M430" s="17"/>
      <c r="N430" s="20"/>
      <c r="O430" s="17"/>
      <c r="P430" s="33"/>
      <c r="Q430" s="17"/>
      <c r="R430" s="17"/>
      <c r="S430" s="30"/>
      <c r="T430" s="34"/>
      <c r="U430" s="34"/>
      <c r="V430" s="34"/>
    </row>
    <row r="431" spans="1:22" x14ac:dyDescent="0.25">
      <c r="A431" s="35"/>
      <c r="B431" s="14"/>
      <c r="C431" s="15"/>
      <c r="D431" s="15"/>
      <c r="E431" s="13"/>
      <c r="F431" s="31"/>
      <c r="G431" s="41"/>
      <c r="H431" s="13"/>
      <c r="I431" s="13"/>
      <c r="J431" s="32"/>
      <c r="K431" s="32"/>
      <c r="L431" s="17"/>
      <c r="M431" s="17"/>
      <c r="N431" s="20"/>
      <c r="O431" s="17"/>
      <c r="P431" s="33"/>
      <c r="Q431" s="17"/>
      <c r="R431" s="17"/>
      <c r="S431" s="30"/>
      <c r="T431" s="34"/>
      <c r="U431" s="34"/>
      <c r="V431" s="34"/>
    </row>
    <row r="432" spans="1:22" x14ac:dyDescent="0.25">
      <c r="A432" s="35"/>
      <c r="B432" s="14"/>
      <c r="C432" s="15"/>
      <c r="D432" s="15"/>
      <c r="E432" s="13"/>
      <c r="F432" s="31"/>
      <c r="G432" s="41"/>
      <c r="H432" s="13"/>
      <c r="I432" s="13"/>
      <c r="J432" s="32"/>
      <c r="K432" s="32"/>
      <c r="L432" s="17"/>
      <c r="M432" s="17"/>
      <c r="N432" s="20"/>
      <c r="O432" s="17"/>
      <c r="P432" s="33"/>
      <c r="Q432" s="17"/>
      <c r="R432" s="17"/>
      <c r="S432" s="30"/>
      <c r="T432" s="34"/>
      <c r="U432" s="34"/>
      <c r="V432" s="34"/>
    </row>
    <row r="433" spans="1:22" x14ac:dyDescent="0.25">
      <c r="A433" s="35"/>
      <c r="B433" s="14"/>
      <c r="C433" s="15"/>
      <c r="D433" s="15"/>
      <c r="E433" s="13"/>
      <c r="F433" s="31"/>
      <c r="G433" s="41"/>
      <c r="H433" s="13"/>
      <c r="I433" s="13"/>
      <c r="J433" s="32"/>
      <c r="K433" s="32"/>
      <c r="L433" s="17"/>
      <c r="M433" s="17"/>
      <c r="N433" s="20"/>
      <c r="O433" s="17"/>
      <c r="P433" s="33"/>
      <c r="Q433" s="17"/>
      <c r="R433" s="17"/>
      <c r="S433" s="30"/>
      <c r="T433" s="34"/>
      <c r="U433" s="34"/>
      <c r="V433" s="34"/>
    </row>
    <row r="434" spans="1:22" x14ac:dyDescent="0.25">
      <c r="A434" s="35"/>
      <c r="B434" s="14"/>
      <c r="C434" s="15"/>
      <c r="D434" s="15"/>
      <c r="E434" s="13"/>
      <c r="F434" s="31"/>
      <c r="G434" s="41"/>
      <c r="H434" s="13"/>
      <c r="I434" s="13"/>
      <c r="J434" s="32"/>
      <c r="K434" s="32"/>
      <c r="L434" s="17"/>
      <c r="M434" s="17"/>
      <c r="N434" s="20"/>
      <c r="O434" s="17"/>
      <c r="P434" s="33"/>
      <c r="Q434" s="17"/>
      <c r="R434" s="17"/>
      <c r="S434" s="30"/>
      <c r="T434" s="34"/>
      <c r="U434" s="34"/>
      <c r="V434" s="34"/>
    </row>
    <row r="435" spans="1:22" x14ac:dyDescent="0.25">
      <c r="A435" s="35"/>
      <c r="B435" s="14"/>
      <c r="C435" s="15"/>
      <c r="D435" s="15"/>
      <c r="E435" s="13"/>
      <c r="F435" s="31"/>
      <c r="G435" s="41"/>
      <c r="H435" s="13"/>
      <c r="I435" s="13"/>
      <c r="J435" s="32"/>
      <c r="K435" s="32"/>
      <c r="L435" s="17"/>
      <c r="M435" s="17"/>
      <c r="N435" s="20"/>
      <c r="O435" s="17"/>
      <c r="P435" s="33"/>
      <c r="Q435" s="17"/>
      <c r="R435" s="17"/>
      <c r="S435" s="30"/>
      <c r="T435" s="34"/>
      <c r="U435" s="34"/>
      <c r="V435" s="34"/>
    </row>
    <row r="436" spans="1:22" x14ac:dyDescent="0.25">
      <c r="A436" s="35"/>
      <c r="B436" s="14"/>
      <c r="C436" s="15"/>
      <c r="D436" s="15"/>
      <c r="E436" s="13"/>
      <c r="F436" s="31"/>
      <c r="G436" s="41"/>
      <c r="H436" s="13"/>
      <c r="I436" s="13"/>
      <c r="J436" s="32"/>
      <c r="K436" s="32"/>
      <c r="L436" s="17"/>
      <c r="M436" s="17"/>
      <c r="N436" s="20"/>
      <c r="O436" s="17"/>
      <c r="P436" s="33"/>
      <c r="Q436" s="17"/>
      <c r="R436" s="17"/>
      <c r="S436" s="30"/>
      <c r="T436" s="34"/>
      <c r="U436" s="34"/>
      <c r="V436" s="34"/>
    </row>
    <row r="437" spans="1:22" x14ac:dyDescent="0.25">
      <c r="A437" s="35"/>
      <c r="B437" s="14"/>
      <c r="C437" s="15"/>
      <c r="D437" s="15"/>
      <c r="E437" s="13"/>
      <c r="F437" s="31"/>
      <c r="G437" s="41"/>
      <c r="H437" s="13"/>
      <c r="I437" s="13"/>
      <c r="J437" s="32"/>
      <c r="K437" s="32"/>
      <c r="L437" s="17"/>
      <c r="M437" s="17"/>
      <c r="N437" s="20"/>
      <c r="O437" s="17"/>
      <c r="P437" s="33"/>
      <c r="Q437" s="17"/>
      <c r="R437" s="17"/>
      <c r="S437" s="30"/>
      <c r="T437" s="34"/>
      <c r="U437" s="34"/>
      <c r="V437" s="34"/>
    </row>
    <row r="438" spans="1:22" x14ac:dyDescent="0.25">
      <c r="A438" s="35"/>
      <c r="B438" s="14"/>
      <c r="C438" s="15"/>
      <c r="D438" s="15"/>
      <c r="E438" s="13"/>
      <c r="F438" s="31"/>
      <c r="G438" s="41"/>
      <c r="H438" s="13"/>
      <c r="I438" s="13"/>
      <c r="J438" s="32"/>
      <c r="K438" s="32"/>
      <c r="L438" s="17"/>
      <c r="M438" s="17"/>
      <c r="N438" s="20"/>
      <c r="O438" s="17"/>
      <c r="P438" s="33"/>
      <c r="Q438" s="17"/>
      <c r="R438" s="17"/>
      <c r="S438" s="30"/>
      <c r="T438" s="34"/>
      <c r="U438" s="34"/>
      <c r="V438" s="34"/>
    </row>
    <row r="439" spans="1:22" x14ac:dyDescent="0.25">
      <c r="A439" s="35"/>
      <c r="B439" s="14"/>
      <c r="C439" s="15"/>
      <c r="D439" s="15"/>
      <c r="E439" s="13"/>
      <c r="F439" s="31"/>
      <c r="G439" s="41"/>
      <c r="H439" s="13"/>
      <c r="I439" s="13"/>
      <c r="J439" s="32"/>
      <c r="K439" s="32"/>
      <c r="L439" s="17"/>
      <c r="M439" s="17"/>
      <c r="N439" s="20"/>
      <c r="O439" s="17"/>
      <c r="P439" s="33"/>
      <c r="Q439" s="17"/>
      <c r="R439" s="17"/>
      <c r="S439" s="30"/>
      <c r="T439" s="34"/>
      <c r="U439" s="34"/>
      <c r="V439" s="34"/>
    </row>
    <row r="440" spans="1:22" x14ac:dyDescent="0.25">
      <c r="A440" s="35"/>
      <c r="B440" s="14"/>
      <c r="C440" s="15"/>
      <c r="D440" s="15"/>
      <c r="E440" s="13"/>
      <c r="F440" s="31"/>
      <c r="G440" s="41"/>
      <c r="H440" s="13"/>
      <c r="I440" s="13"/>
      <c r="J440" s="32"/>
      <c r="K440" s="32"/>
      <c r="L440" s="17"/>
      <c r="M440" s="17"/>
      <c r="N440" s="20"/>
      <c r="O440" s="17"/>
      <c r="P440" s="33"/>
      <c r="Q440" s="17"/>
      <c r="R440" s="17"/>
      <c r="S440" s="30"/>
      <c r="T440" s="34"/>
      <c r="U440" s="34"/>
      <c r="V440" s="34"/>
    </row>
    <row r="441" spans="1:22" x14ac:dyDescent="0.25">
      <c r="A441" s="35"/>
      <c r="B441" s="14"/>
      <c r="C441" s="15"/>
      <c r="D441" s="15"/>
      <c r="E441" s="13"/>
      <c r="F441" s="31"/>
      <c r="G441" s="41"/>
      <c r="H441" s="13"/>
      <c r="I441" s="13"/>
      <c r="J441" s="32"/>
      <c r="K441" s="32"/>
      <c r="L441" s="17"/>
      <c r="M441" s="17"/>
      <c r="N441" s="20"/>
      <c r="O441" s="17"/>
      <c r="P441" s="33"/>
      <c r="Q441" s="17"/>
      <c r="R441" s="17"/>
      <c r="S441" s="30"/>
      <c r="T441" s="34"/>
      <c r="U441" s="34"/>
      <c r="V441" s="34"/>
    </row>
    <row r="442" spans="1:22" x14ac:dyDescent="0.25">
      <c r="A442" s="35"/>
      <c r="B442" s="14"/>
      <c r="C442" s="15"/>
      <c r="D442" s="15"/>
      <c r="E442" s="13"/>
      <c r="F442" s="31"/>
      <c r="G442" s="41"/>
      <c r="H442" s="13"/>
      <c r="I442" s="13"/>
      <c r="J442" s="32"/>
      <c r="K442" s="32"/>
      <c r="L442" s="17"/>
      <c r="M442" s="17"/>
      <c r="N442" s="20"/>
      <c r="O442" s="17"/>
      <c r="P442" s="33"/>
      <c r="Q442" s="17"/>
      <c r="R442" s="17"/>
      <c r="S442" s="30"/>
      <c r="T442" s="34"/>
      <c r="U442" s="34"/>
      <c r="V442" s="34"/>
    </row>
    <row r="443" spans="1:22" x14ac:dyDescent="0.25">
      <c r="A443" s="35"/>
      <c r="B443" s="14"/>
      <c r="C443" s="15"/>
      <c r="D443" s="15"/>
      <c r="E443" s="13"/>
      <c r="F443" s="31"/>
      <c r="G443" s="41"/>
      <c r="H443" s="13"/>
      <c r="I443" s="13"/>
      <c r="J443" s="32"/>
      <c r="K443" s="32"/>
      <c r="L443" s="17"/>
      <c r="M443" s="17"/>
      <c r="N443" s="20"/>
      <c r="O443" s="17"/>
      <c r="P443" s="33"/>
      <c r="Q443" s="17"/>
      <c r="R443" s="17"/>
      <c r="S443" s="30"/>
      <c r="T443" s="34"/>
      <c r="U443" s="34"/>
      <c r="V443" s="34"/>
    </row>
    <row r="444" spans="1:22" x14ac:dyDescent="0.25">
      <c r="A444" s="35"/>
      <c r="B444" s="14"/>
      <c r="C444" s="15"/>
      <c r="D444" s="15"/>
      <c r="E444" s="13"/>
      <c r="F444" s="31"/>
      <c r="G444" s="41"/>
      <c r="H444" s="13"/>
      <c r="I444" s="13"/>
      <c r="J444" s="32"/>
      <c r="K444" s="32"/>
      <c r="L444" s="17"/>
      <c r="M444" s="17"/>
      <c r="N444" s="20"/>
      <c r="O444" s="17"/>
      <c r="P444" s="33"/>
      <c r="Q444" s="17"/>
      <c r="R444" s="17"/>
      <c r="S444" s="30"/>
      <c r="T444" s="34"/>
      <c r="U444" s="34"/>
      <c r="V444" s="34"/>
    </row>
    <row r="445" spans="1:22" x14ac:dyDescent="0.25">
      <c r="A445" s="35"/>
      <c r="B445" s="14"/>
      <c r="C445" s="15"/>
      <c r="D445" s="15"/>
      <c r="E445" s="13"/>
      <c r="F445" s="31"/>
      <c r="G445" s="41"/>
      <c r="H445" s="13"/>
      <c r="I445" s="13"/>
      <c r="J445" s="32"/>
      <c r="K445" s="32"/>
      <c r="L445" s="17"/>
      <c r="M445" s="17"/>
      <c r="N445" s="20"/>
      <c r="O445" s="17"/>
      <c r="P445" s="33"/>
      <c r="Q445" s="17"/>
      <c r="R445" s="17"/>
      <c r="S445" s="30"/>
      <c r="T445" s="34"/>
      <c r="U445" s="34"/>
      <c r="V445" s="34"/>
    </row>
    <row r="446" spans="1:22" x14ac:dyDescent="0.25">
      <c r="A446" s="35"/>
      <c r="B446" s="14"/>
      <c r="C446" s="15"/>
      <c r="D446" s="15"/>
      <c r="E446" s="13"/>
      <c r="F446" s="31"/>
      <c r="G446" s="41"/>
      <c r="H446" s="13"/>
      <c r="I446" s="13"/>
      <c r="J446" s="32"/>
      <c r="K446" s="32"/>
      <c r="L446" s="17"/>
      <c r="M446" s="17"/>
      <c r="N446" s="20"/>
      <c r="O446" s="17"/>
      <c r="P446" s="33"/>
      <c r="Q446" s="17"/>
      <c r="R446" s="17"/>
      <c r="S446" s="30"/>
      <c r="T446" s="34"/>
      <c r="U446" s="34"/>
      <c r="V446" s="34"/>
    </row>
    <row r="447" spans="1:22" x14ac:dyDescent="0.25">
      <c r="A447" s="35"/>
      <c r="B447" s="14"/>
      <c r="C447" s="15"/>
      <c r="D447" s="15"/>
      <c r="E447" s="13"/>
      <c r="F447" s="31"/>
      <c r="G447" s="41"/>
      <c r="H447" s="13"/>
      <c r="I447" s="13"/>
      <c r="J447" s="32"/>
      <c r="K447" s="32"/>
      <c r="L447" s="17"/>
      <c r="M447" s="17"/>
      <c r="N447" s="20"/>
      <c r="O447" s="17"/>
      <c r="P447" s="33"/>
      <c r="Q447" s="17"/>
      <c r="R447" s="17"/>
      <c r="S447" s="30"/>
      <c r="T447" s="34"/>
      <c r="U447" s="34"/>
      <c r="V447" s="34"/>
    </row>
    <row r="448" spans="1:22" x14ac:dyDescent="0.25">
      <c r="A448" s="35"/>
      <c r="B448" s="14"/>
      <c r="C448" s="15"/>
      <c r="D448" s="15"/>
      <c r="E448" s="13"/>
      <c r="F448" s="31"/>
      <c r="G448" s="41"/>
      <c r="H448" s="13"/>
      <c r="I448" s="13"/>
      <c r="J448" s="32"/>
      <c r="K448" s="32"/>
      <c r="L448" s="17"/>
      <c r="M448" s="17"/>
      <c r="N448" s="20"/>
      <c r="O448" s="17"/>
      <c r="P448" s="33"/>
      <c r="Q448" s="17"/>
      <c r="R448" s="17"/>
      <c r="S448" s="30"/>
      <c r="T448" s="34"/>
      <c r="U448" s="34"/>
      <c r="V448" s="34"/>
    </row>
    <row r="449" spans="1:22" x14ac:dyDescent="0.25">
      <c r="A449" s="35"/>
      <c r="B449" s="14"/>
      <c r="C449" s="15"/>
      <c r="D449" s="15"/>
      <c r="E449" s="13"/>
      <c r="F449" s="31"/>
      <c r="G449" s="41"/>
      <c r="H449" s="13"/>
      <c r="I449" s="13"/>
      <c r="J449" s="32"/>
      <c r="K449" s="32"/>
      <c r="L449" s="17"/>
      <c r="M449" s="17"/>
      <c r="N449" s="20"/>
      <c r="O449" s="17"/>
      <c r="P449" s="33"/>
      <c r="Q449" s="17"/>
      <c r="R449" s="17"/>
      <c r="S449" s="30"/>
      <c r="T449" s="34"/>
      <c r="U449" s="34"/>
      <c r="V449" s="34"/>
    </row>
    <row r="450" spans="1:22" x14ac:dyDescent="0.25">
      <c r="A450" s="35"/>
      <c r="B450" s="14"/>
      <c r="C450" s="15"/>
      <c r="D450" s="15"/>
      <c r="E450" s="13"/>
      <c r="F450" s="31"/>
      <c r="G450" s="41"/>
      <c r="H450" s="13"/>
      <c r="I450" s="13"/>
      <c r="J450" s="32"/>
      <c r="K450" s="32"/>
      <c r="L450" s="17"/>
      <c r="M450" s="17"/>
      <c r="N450" s="20"/>
      <c r="O450" s="17"/>
      <c r="P450" s="33"/>
      <c r="Q450" s="17"/>
      <c r="R450" s="17"/>
      <c r="S450" s="30"/>
      <c r="T450" s="34"/>
      <c r="U450" s="34"/>
      <c r="V450" s="34"/>
    </row>
    <row r="451" spans="1:22" x14ac:dyDescent="0.25">
      <c r="A451" s="35"/>
      <c r="B451" s="14"/>
      <c r="C451" s="15"/>
      <c r="D451" s="15"/>
      <c r="E451" s="13"/>
      <c r="F451" s="31"/>
      <c r="G451" s="41"/>
      <c r="H451" s="13"/>
      <c r="I451" s="13"/>
      <c r="J451" s="32"/>
      <c r="K451" s="32"/>
      <c r="L451" s="17"/>
      <c r="M451" s="17"/>
      <c r="N451" s="20"/>
      <c r="O451" s="17"/>
      <c r="P451" s="33"/>
      <c r="Q451" s="17"/>
      <c r="R451" s="17"/>
      <c r="S451" s="30"/>
      <c r="T451" s="34"/>
      <c r="U451" s="34"/>
      <c r="V451" s="34"/>
    </row>
    <row r="452" spans="1:22" x14ac:dyDescent="0.25">
      <c r="A452" s="35"/>
      <c r="B452" s="14"/>
      <c r="C452" s="15"/>
      <c r="D452" s="15"/>
      <c r="E452" s="13"/>
      <c r="F452" s="31"/>
      <c r="G452" s="41"/>
      <c r="H452" s="13"/>
      <c r="I452" s="13"/>
      <c r="J452" s="32"/>
      <c r="K452" s="32"/>
      <c r="L452" s="17"/>
      <c r="M452" s="17"/>
      <c r="N452" s="20"/>
      <c r="O452" s="17"/>
      <c r="P452" s="33"/>
      <c r="Q452" s="17"/>
      <c r="R452" s="17"/>
      <c r="S452" s="30"/>
      <c r="T452" s="34"/>
      <c r="U452" s="34"/>
      <c r="V452" s="34"/>
    </row>
    <row r="453" spans="1:22" x14ac:dyDescent="0.25">
      <c r="A453" s="35"/>
      <c r="B453" s="14"/>
      <c r="C453" s="15"/>
      <c r="D453" s="15"/>
      <c r="E453" s="13"/>
      <c r="F453" s="31"/>
      <c r="G453" s="41"/>
      <c r="H453" s="13"/>
      <c r="I453" s="13"/>
      <c r="J453" s="32"/>
      <c r="K453" s="32"/>
      <c r="L453" s="17"/>
      <c r="M453" s="17"/>
      <c r="N453" s="20"/>
      <c r="O453" s="17"/>
      <c r="P453" s="33"/>
      <c r="Q453" s="17"/>
      <c r="R453" s="17"/>
      <c r="S453" s="30"/>
      <c r="T453" s="34"/>
      <c r="U453" s="34"/>
      <c r="V453" s="34"/>
    </row>
    <row r="454" spans="1:22" x14ac:dyDescent="0.25">
      <c r="A454" s="35"/>
      <c r="B454" s="14"/>
      <c r="C454" s="15"/>
      <c r="D454" s="15"/>
      <c r="E454" s="13"/>
      <c r="F454" s="31"/>
      <c r="G454" s="41"/>
      <c r="H454" s="13"/>
      <c r="I454" s="13"/>
      <c r="J454" s="32"/>
      <c r="K454" s="32"/>
      <c r="L454" s="17"/>
      <c r="M454" s="17"/>
      <c r="N454" s="20"/>
      <c r="O454" s="17"/>
      <c r="P454" s="33"/>
      <c r="Q454" s="17"/>
      <c r="R454" s="17"/>
      <c r="S454" s="30"/>
      <c r="T454" s="34"/>
      <c r="U454" s="34"/>
      <c r="V454" s="34"/>
    </row>
    <row r="455" spans="1:22" x14ac:dyDescent="0.25">
      <c r="A455" s="35"/>
      <c r="B455" s="14"/>
      <c r="C455" s="15"/>
      <c r="D455" s="15"/>
      <c r="E455" s="13"/>
      <c r="F455" s="31"/>
      <c r="G455" s="41"/>
      <c r="H455" s="13"/>
      <c r="I455" s="13"/>
      <c r="J455" s="32"/>
      <c r="K455" s="32"/>
      <c r="L455" s="17"/>
      <c r="M455" s="17"/>
      <c r="N455" s="20"/>
      <c r="O455" s="17"/>
      <c r="P455" s="33"/>
      <c r="Q455" s="17"/>
      <c r="R455" s="17"/>
      <c r="S455" s="30"/>
      <c r="T455" s="34"/>
      <c r="U455" s="34"/>
      <c r="V455" s="34"/>
    </row>
    <row r="456" spans="1:22" x14ac:dyDescent="0.25">
      <c r="A456" s="35"/>
      <c r="B456" s="14"/>
      <c r="C456" s="15"/>
      <c r="D456" s="15"/>
      <c r="E456" s="13"/>
      <c r="F456" s="31"/>
      <c r="G456" s="41"/>
      <c r="H456" s="13"/>
      <c r="I456" s="13"/>
      <c r="J456" s="32"/>
      <c r="K456" s="32"/>
      <c r="L456" s="17"/>
      <c r="M456" s="17"/>
      <c r="N456" s="20"/>
      <c r="O456" s="17"/>
      <c r="P456" s="33"/>
      <c r="Q456" s="17"/>
      <c r="R456" s="17"/>
      <c r="S456" s="30"/>
      <c r="T456" s="34"/>
      <c r="U456" s="34"/>
      <c r="V456" s="34"/>
    </row>
    <row r="457" spans="1:22" x14ac:dyDescent="0.25">
      <c r="A457" s="35"/>
      <c r="B457" s="14"/>
      <c r="C457" s="15"/>
      <c r="D457" s="15"/>
      <c r="E457" s="13"/>
      <c r="F457" s="31"/>
      <c r="G457" s="41"/>
      <c r="H457" s="13"/>
      <c r="I457" s="13"/>
      <c r="J457" s="32"/>
      <c r="K457" s="32"/>
      <c r="L457" s="17"/>
      <c r="M457" s="17"/>
      <c r="N457" s="20"/>
      <c r="O457" s="17"/>
      <c r="P457" s="33"/>
      <c r="Q457" s="17"/>
      <c r="R457" s="17"/>
      <c r="S457" s="30"/>
      <c r="T457" s="34"/>
      <c r="U457" s="34"/>
      <c r="V457" s="34"/>
    </row>
    <row r="458" spans="1:22" x14ac:dyDescent="0.25">
      <c r="A458" s="35"/>
      <c r="B458" s="14"/>
      <c r="C458" s="15"/>
      <c r="D458" s="15"/>
      <c r="E458" s="13"/>
      <c r="F458" s="31"/>
      <c r="G458" s="41"/>
      <c r="H458" s="13"/>
      <c r="I458" s="13"/>
      <c r="J458" s="32"/>
      <c r="K458" s="32"/>
      <c r="L458" s="17"/>
      <c r="M458" s="17"/>
      <c r="N458" s="20"/>
      <c r="O458" s="17"/>
      <c r="P458" s="33"/>
      <c r="Q458" s="17"/>
      <c r="R458" s="17"/>
      <c r="S458" s="30"/>
      <c r="T458" s="34"/>
      <c r="U458" s="34"/>
      <c r="V458" s="34"/>
    </row>
    <row r="459" spans="1:22" x14ac:dyDescent="0.25">
      <c r="A459" s="35"/>
      <c r="B459" s="14"/>
      <c r="C459" s="15"/>
      <c r="D459" s="15"/>
      <c r="E459" s="13"/>
      <c r="F459" s="31"/>
      <c r="G459" s="41"/>
      <c r="H459" s="13"/>
      <c r="I459" s="13"/>
      <c r="J459" s="32"/>
      <c r="K459" s="32"/>
      <c r="L459" s="17"/>
      <c r="M459" s="17"/>
      <c r="N459" s="20"/>
      <c r="O459" s="17"/>
      <c r="P459" s="33"/>
      <c r="Q459" s="17"/>
      <c r="R459" s="17"/>
      <c r="S459" s="30"/>
      <c r="T459" s="34"/>
      <c r="U459" s="34"/>
      <c r="V459" s="34"/>
    </row>
    <row r="460" spans="1:22" x14ac:dyDescent="0.25">
      <c r="A460" s="35"/>
      <c r="B460" s="14"/>
      <c r="C460" s="15"/>
      <c r="D460" s="15"/>
      <c r="E460" s="13"/>
      <c r="F460" s="31"/>
      <c r="G460" s="41"/>
      <c r="H460" s="13"/>
      <c r="I460" s="13"/>
      <c r="J460" s="32"/>
      <c r="K460" s="32"/>
      <c r="L460" s="17"/>
      <c r="M460" s="17"/>
      <c r="N460" s="20"/>
      <c r="O460" s="17"/>
      <c r="P460" s="33"/>
      <c r="Q460" s="17"/>
      <c r="R460" s="17"/>
      <c r="S460" s="30"/>
      <c r="T460" s="34"/>
      <c r="U460" s="34"/>
      <c r="V460" s="34"/>
    </row>
    <row r="461" spans="1:22" x14ac:dyDescent="0.25">
      <c r="A461" s="35"/>
      <c r="B461" s="14"/>
      <c r="C461" s="15"/>
      <c r="D461" s="15"/>
      <c r="E461" s="13"/>
      <c r="F461" s="31"/>
      <c r="G461" s="41"/>
      <c r="H461" s="13"/>
      <c r="I461" s="13"/>
      <c r="J461" s="32"/>
      <c r="K461" s="32"/>
      <c r="L461" s="17"/>
      <c r="M461" s="17"/>
      <c r="N461" s="20"/>
      <c r="O461" s="17"/>
      <c r="P461" s="33"/>
      <c r="Q461" s="17"/>
      <c r="R461" s="17"/>
      <c r="S461" s="30"/>
      <c r="T461" s="34"/>
      <c r="U461" s="34"/>
      <c r="V461" s="34"/>
    </row>
    <row r="462" spans="1:22" x14ac:dyDescent="0.25">
      <c r="A462" s="35"/>
      <c r="B462" s="14"/>
      <c r="C462" s="15"/>
      <c r="D462" s="15"/>
      <c r="E462" s="13"/>
      <c r="F462" s="31"/>
      <c r="G462" s="41"/>
      <c r="H462" s="13"/>
      <c r="I462" s="13"/>
      <c r="J462" s="32"/>
      <c r="K462" s="32"/>
      <c r="L462" s="17"/>
      <c r="M462" s="17"/>
      <c r="N462" s="20"/>
      <c r="O462" s="17"/>
      <c r="P462" s="33"/>
      <c r="Q462" s="17"/>
      <c r="R462" s="17"/>
      <c r="S462" s="30"/>
      <c r="T462" s="34"/>
      <c r="U462" s="34"/>
      <c r="V462" s="34"/>
    </row>
    <row r="463" spans="1:22" x14ac:dyDescent="0.25">
      <c r="A463" s="35"/>
      <c r="B463" s="14"/>
      <c r="C463" s="15"/>
      <c r="D463" s="15"/>
      <c r="E463" s="13"/>
      <c r="F463" s="31"/>
      <c r="G463" s="41"/>
      <c r="H463" s="13"/>
      <c r="I463" s="13"/>
      <c r="J463" s="32"/>
      <c r="K463" s="32"/>
      <c r="L463" s="17"/>
      <c r="M463" s="17"/>
      <c r="N463" s="20"/>
      <c r="O463" s="17"/>
      <c r="P463" s="33"/>
      <c r="Q463" s="17"/>
      <c r="R463" s="17"/>
      <c r="S463" s="30"/>
      <c r="T463" s="34"/>
      <c r="U463" s="34"/>
      <c r="V463" s="34"/>
    </row>
    <row r="464" spans="1:22" x14ac:dyDescent="0.25">
      <c r="A464" s="35"/>
      <c r="B464" s="14"/>
      <c r="C464" s="15"/>
      <c r="D464" s="15"/>
      <c r="E464" s="13"/>
      <c r="F464" s="31"/>
      <c r="G464" s="41"/>
      <c r="H464" s="13"/>
      <c r="I464" s="13"/>
      <c r="J464" s="32"/>
      <c r="K464" s="32"/>
      <c r="L464" s="17"/>
      <c r="M464" s="17"/>
      <c r="N464" s="20"/>
      <c r="O464" s="17"/>
      <c r="P464" s="33"/>
      <c r="Q464" s="17"/>
      <c r="R464" s="17"/>
      <c r="S464" s="30"/>
      <c r="T464" s="34"/>
      <c r="U464" s="34"/>
      <c r="V464" s="34"/>
    </row>
    <row r="465" spans="1:22" x14ac:dyDescent="0.25">
      <c r="A465" s="35"/>
      <c r="B465" s="14"/>
      <c r="C465" s="15"/>
      <c r="D465" s="15"/>
      <c r="E465" s="13"/>
      <c r="F465" s="31"/>
      <c r="G465" s="41"/>
      <c r="H465" s="13"/>
      <c r="I465" s="13"/>
      <c r="J465" s="32"/>
      <c r="K465" s="32"/>
      <c r="L465" s="17"/>
      <c r="M465" s="17"/>
      <c r="N465" s="20"/>
      <c r="O465" s="17"/>
      <c r="P465" s="33"/>
      <c r="Q465" s="17"/>
      <c r="R465" s="17"/>
      <c r="S465" s="30"/>
      <c r="T465" s="34"/>
      <c r="U465" s="34"/>
      <c r="V465" s="34"/>
    </row>
    <row r="466" spans="1:22" x14ac:dyDescent="0.25">
      <c r="A466" s="35"/>
      <c r="B466" s="14"/>
      <c r="C466" s="15"/>
      <c r="D466" s="15"/>
      <c r="E466" s="13"/>
      <c r="F466" s="31"/>
      <c r="G466" s="41"/>
      <c r="H466" s="13"/>
      <c r="I466" s="13"/>
      <c r="J466" s="32"/>
      <c r="K466" s="32"/>
      <c r="L466" s="17"/>
      <c r="M466" s="17"/>
      <c r="N466" s="20"/>
      <c r="O466" s="17"/>
      <c r="P466" s="33"/>
      <c r="Q466" s="17"/>
      <c r="R466" s="17"/>
      <c r="S466" s="30"/>
      <c r="T466" s="34"/>
      <c r="U466" s="34"/>
      <c r="V466" s="34"/>
    </row>
    <row r="467" spans="1:22" x14ac:dyDescent="0.25">
      <c r="A467" s="35"/>
      <c r="B467" s="14"/>
      <c r="C467" s="15"/>
      <c r="D467" s="15"/>
      <c r="E467" s="13"/>
      <c r="F467" s="31"/>
      <c r="G467" s="41"/>
      <c r="H467" s="13"/>
      <c r="I467" s="13"/>
      <c r="J467" s="32"/>
      <c r="K467" s="32"/>
      <c r="L467" s="17"/>
      <c r="M467" s="17"/>
      <c r="N467" s="20"/>
      <c r="O467" s="17"/>
      <c r="P467" s="33"/>
      <c r="Q467" s="17"/>
      <c r="R467" s="17"/>
      <c r="S467" s="30"/>
      <c r="T467" s="34"/>
      <c r="U467" s="34"/>
      <c r="V467" s="34"/>
    </row>
    <row r="468" spans="1:22" x14ac:dyDescent="0.25">
      <c r="A468" s="35"/>
      <c r="B468" s="14"/>
      <c r="C468" s="15"/>
      <c r="D468" s="15"/>
      <c r="E468" s="13"/>
      <c r="F468" s="31"/>
      <c r="G468" s="41"/>
      <c r="H468" s="13"/>
      <c r="I468" s="13"/>
      <c r="J468" s="32"/>
      <c r="K468" s="32"/>
      <c r="L468" s="17"/>
      <c r="M468" s="17"/>
      <c r="N468" s="20"/>
      <c r="O468" s="17"/>
      <c r="P468" s="33"/>
      <c r="Q468" s="17"/>
      <c r="R468" s="17"/>
      <c r="S468" s="30"/>
      <c r="T468" s="34"/>
      <c r="U468" s="34"/>
      <c r="V468" s="34"/>
    </row>
    <row r="469" spans="1:22" x14ac:dyDescent="0.25">
      <c r="A469" s="35"/>
      <c r="B469" s="14"/>
      <c r="C469" s="15"/>
      <c r="D469" s="15"/>
      <c r="E469" s="13"/>
      <c r="F469" s="31"/>
      <c r="G469" s="41"/>
      <c r="H469" s="13"/>
      <c r="I469" s="13"/>
      <c r="J469" s="32"/>
      <c r="K469" s="32"/>
      <c r="L469" s="17"/>
      <c r="M469" s="17"/>
      <c r="N469" s="20"/>
      <c r="O469" s="17"/>
      <c r="P469" s="33"/>
      <c r="Q469" s="17"/>
      <c r="R469" s="17"/>
      <c r="S469" s="30"/>
      <c r="T469" s="34"/>
      <c r="U469" s="34"/>
      <c r="V469" s="34"/>
    </row>
    <row r="470" spans="1:22" x14ac:dyDescent="0.25">
      <c r="A470" s="35"/>
      <c r="B470" s="14"/>
      <c r="C470" s="15"/>
      <c r="D470" s="15"/>
      <c r="E470" s="13"/>
      <c r="F470" s="31"/>
      <c r="G470" s="41"/>
      <c r="H470" s="13"/>
      <c r="I470" s="13"/>
      <c r="J470" s="32"/>
      <c r="K470" s="32"/>
      <c r="L470" s="17"/>
      <c r="M470" s="17"/>
      <c r="N470" s="20"/>
      <c r="O470" s="17"/>
      <c r="P470" s="33"/>
      <c r="Q470" s="17"/>
      <c r="R470" s="17"/>
      <c r="S470" s="30"/>
      <c r="T470" s="34"/>
      <c r="U470" s="34"/>
      <c r="V470" s="34"/>
    </row>
    <row r="471" spans="1:22" x14ac:dyDescent="0.25">
      <c r="A471" s="35"/>
      <c r="B471" s="14"/>
      <c r="C471" s="15"/>
      <c r="D471" s="15"/>
      <c r="E471" s="13"/>
      <c r="F471" s="31"/>
      <c r="G471" s="41"/>
      <c r="H471" s="13"/>
      <c r="I471" s="13"/>
      <c r="J471" s="32"/>
      <c r="K471" s="32"/>
      <c r="L471" s="17"/>
      <c r="M471" s="17"/>
      <c r="N471" s="20"/>
      <c r="O471" s="17"/>
      <c r="P471" s="33"/>
      <c r="Q471" s="17"/>
      <c r="R471" s="17"/>
      <c r="S471" s="30"/>
      <c r="T471" s="34"/>
      <c r="U471" s="34"/>
      <c r="V471" s="34"/>
    </row>
    <row r="472" spans="1:22" x14ac:dyDescent="0.25">
      <c r="A472" s="35"/>
      <c r="B472" s="14"/>
      <c r="C472" s="15"/>
      <c r="D472" s="15"/>
      <c r="E472" s="13"/>
      <c r="F472" s="31"/>
      <c r="G472" s="41"/>
      <c r="H472" s="13"/>
      <c r="I472" s="13"/>
      <c r="J472" s="32"/>
      <c r="K472" s="32"/>
      <c r="L472" s="17"/>
      <c r="M472" s="17"/>
      <c r="N472" s="20"/>
      <c r="O472" s="17"/>
      <c r="P472" s="33"/>
      <c r="Q472" s="17"/>
      <c r="R472" s="17"/>
      <c r="S472" s="30"/>
      <c r="T472" s="34"/>
      <c r="U472" s="34"/>
      <c r="V472" s="34"/>
    </row>
    <row r="473" spans="1:22" x14ac:dyDescent="0.25">
      <c r="A473" s="35"/>
      <c r="B473" s="14"/>
      <c r="C473" s="15"/>
      <c r="D473" s="15"/>
      <c r="E473" s="13"/>
      <c r="F473" s="31"/>
      <c r="G473" s="41"/>
      <c r="H473" s="13"/>
      <c r="I473" s="13"/>
      <c r="J473" s="32"/>
      <c r="K473" s="32"/>
      <c r="L473" s="17"/>
      <c r="M473" s="17"/>
      <c r="N473" s="20"/>
      <c r="O473" s="17"/>
      <c r="P473" s="33"/>
      <c r="Q473" s="17"/>
      <c r="R473" s="17"/>
      <c r="S473" s="30"/>
      <c r="T473" s="34"/>
      <c r="U473" s="34"/>
      <c r="V473" s="34"/>
    </row>
    <row r="474" spans="1:22" x14ac:dyDescent="0.25">
      <c r="A474" s="35"/>
      <c r="B474" s="14"/>
      <c r="C474" s="15"/>
      <c r="D474" s="15"/>
      <c r="E474" s="13"/>
      <c r="F474" s="31"/>
      <c r="G474" s="41"/>
      <c r="H474" s="13"/>
      <c r="I474" s="13"/>
      <c r="J474" s="32"/>
      <c r="K474" s="32"/>
      <c r="L474" s="17"/>
      <c r="M474" s="17"/>
      <c r="N474" s="20"/>
      <c r="O474" s="17"/>
      <c r="P474" s="33"/>
      <c r="Q474" s="17"/>
      <c r="R474" s="17"/>
      <c r="S474" s="30"/>
      <c r="T474" s="34"/>
      <c r="U474" s="34"/>
      <c r="V474" s="34"/>
    </row>
    <row r="475" spans="1:22" x14ac:dyDescent="0.25">
      <c r="A475" s="35"/>
      <c r="B475" s="14"/>
      <c r="C475" s="15"/>
      <c r="D475" s="15"/>
      <c r="E475" s="13"/>
      <c r="F475" s="31"/>
      <c r="G475" s="41"/>
      <c r="H475" s="13"/>
      <c r="I475" s="13"/>
      <c r="J475" s="32"/>
      <c r="K475" s="32"/>
      <c r="L475" s="17"/>
      <c r="M475" s="17"/>
      <c r="N475" s="20"/>
      <c r="O475" s="17"/>
      <c r="P475" s="33"/>
      <c r="Q475" s="17"/>
      <c r="R475" s="17"/>
      <c r="S475" s="30"/>
      <c r="T475" s="34"/>
      <c r="U475" s="34"/>
      <c r="V475" s="34"/>
    </row>
    <row r="476" spans="1:22" x14ac:dyDescent="0.25">
      <c r="A476" s="35"/>
      <c r="B476" s="14"/>
      <c r="C476" s="15"/>
      <c r="D476" s="15"/>
      <c r="E476" s="13"/>
      <c r="F476" s="31"/>
      <c r="G476" s="41"/>
      <c r="H476" s="13"/>
      <c r="I476" s="13"/>
      <c r="J476" s="32"/>
      <c r="K476" s="32"/>
      <c r="L476" s="17"/>
      <c r="M476" s="17"/>
      <c r="N476" s="20"/>
      <c r="O476" s="17"/>
      <c r="P476" s="33"/>
      <c r="Q476" s="17"/>
      <c r="R476" s="17"/>
      <c r="S476" s="30"/>
      <c r="T476" s="34"/>
      <c r="U476" s="34"/>
      <c r="V476" s="34"/>
    </row>
    <row r="477" spans="1:22" x14ac:dyDescent="0.25">
      <c r="A477" s="35"/>
      <c r="B477" s="14"/>
      <c r="C477" s="15"/>
      <c r="D477" s="15"/>
      <c r="E477" s="13"/>
      <c r="F477" s="31"/>
      <c r="G477" s="41"/>
      <c r="H477" s="13"/>
      <c r="I477" s="13"/>
      <c r="J477" s="32"/>
      <c r="K477" s="32"/>
      <c r="L477" s="17"/>
      <c r="M477" s="17"/>
      <c r="N477" s="20"/>
      <c r="O477" s="17"/>
      <c r="P477" s="33"/>
      <c r="Q477" s="17"/>
      <c r="R477" s="17"/>
      <c r="S477" s="30"/>
      <c r="T477" s="34"/>
      <c r="U477" s="34"/>
      <c r="V477" s="34"/>
    </row>
    <row r="478" spans="1:22" x14ac:dyDescent="0.25">
      <c r="A478" s="35"/>
      <c r="B478" s="14"/>
      <c r="C478" s="15"/>
      <c r="D478" s="15"/>
      <c r="E478" s="13"/>
      <c r="F478" s="31"/>
      <c r="G478" s="41"/>
      <c r="H478" s="13"/>
      <c r="I478" s="13"/>
      <c r="J478" s="32"/>
      <c r="K478" s="32"/>
      <c r="L478" s="17"/>
      <c r="M478" s="17"/>
      <c r="N478" s="20"/>
      <c r="O478" s="17"/>
      <c r="P478" s="33"/>
      <c r="Q478" s="17"/>
      <c r="R478" s="17"/>
      <c r="S478" s="30"/>
      <c r="T478" s="34"/>
      <c r="U478" s="34"/>
      <c r="V478" s="34"/>
    </row>
    <row r="479" spans="1:22" x14ac:dyDescent="0.25">
      <c r="A479" s="35"/>
      <c r="B479" s="14"/>
      <c r="C479" s="15"/>
      <c r="D479" s="15"/>
      <c r="E479" s="13"/>
      <c r="F479" s="31"/>
      <c r="G479" s="41"/>
      <c r="H479" s="13"/>
      <c r="I479" s="13"/>
      <c r="J479" s="32"/>
      <c r="K479" s="32"/>
      <c r="L479" s="17"/>
      <c r="M479" s="17"/>
      <c r="N479" s="20"/>
      <c r="O479" s="17"/>
      <c r="P479" s="33"/>
      <c r="Q479" s="17"/>
      <c r="R479" s="17"/>
      <c r="S479" s="30"/>
      <c r="T479" s="34"/>
      <c r="U479" s="34"/>
      <c r="V479" s="34"/>
    </row>
    <row r="480" spans="1:22" x14ac:dyDescent="0.25">
      <c r="A480" s="35"/>
      <c r="B480" s="14"/>
      <c r="C480" s="15"/>
      <c r="D480" s="15"/>
      <c r="E480" s="13"/>
      <c r="F480" s="31"/>
      <c r="G480" s="41"/>
      <c r="H480" s="13"/>
      <c r="I480" s="13"/>
      <c r="J480" s="32"/>
      <c r="K480" s="32"/>
      <c r="L480" s="17"/>
      <c r="M480" s="17"/>
      <c r="N480" s="20"/>
      <c r="O480" s="17"/>
      <c r="P480" s="33"/>
      <c r="Q480" s="17"/>
      <c r="R480" s="17"/>
      <c r="S480" s="30"/>
      <c r="T480" s="34"/>
      <c r="U480" s="34"/>
      <c r="V480" s="34"/>
    </row>
    <row r="481" spans="1:22" x14ac:dyDescent="0.25">
      <c r="A481" s="35"/>
      <c r="B481" s="14"/>
      <c r="C481" s="15"/>
      <c r="D481" s="15"/>
      <c r="E481" s="13"/>
      <c r="F481" s="31"/>
      <c r="G481" s="41"/>
      <c r="H481" s="13"/>
      <c r="I481" s="13"/>
      <c r="J481" s="32"/>
      <c r="K481" s="32"/>
      <c r="L481" s="17"/>
      <c r="M481" s="17"/>
      <c r="N481" s="20"/>
      <c r="O481" s="17"/>
      <c r="P481" s="33"/>
      <c r="Q481" s="17"/>
      <c r="R481" s="17"/>
      <c r="S481" s="30"/>
      <c r="T481" s="34"/>
      <c r="U481" s="34"/>
      <c r="V481" s="34"/>
    </row>
    <row r="482" spans="1:22" x14ac:dyDescent="0.25">
      <c r="A482" s="35"/>
      <c r="B482" s="14"/>
      <c r="C482" s="15"/>
      <c r="D482" s="15"/>
      <c r="E482" s="13"/>
      <c r="F482" s="31"/>
      <c r="G482" s="41"/>
      <c r="H482" s="13"/>
      <c r="I482" s="13"/>
      <c r="J482" s="32"/>
      <c r="K482" s="32"/>
      <c r="L482" s="17"/>
      <c r="M482" s="17"/>
      <c r="N482" s="20"/>
      <c r="O482" s="17"/>
      <c r="P482" s="33"/>
      <c r="Q482" s="17"/>
      <c r="R482" s="17"/>
      <c r="S482" s="30"/>
      <c r="T482" s="34"/>
      <c r="U482" s="34"/>
      <c r="V482" s="34"/>
    </row>
    <row r="483" spans="1:22" x14ac:dyDescent="0.25">
      <c r="A483" s="35"/>
      <c r="B483" s="14"/>
      <c r="C483" s="15"/>
      <c r="D483" s="15"/>
      <c r="E483" s="13"/>
      <c r="F483" s="31"/>
      <c r="G483" s="41"/>
      <c r="H483" s="13"/>
      <c r="I483" s="13"/>
      <c r="J483" s="32"/>
      <c r="K483" s="32"/>
      <c r="L483" s="17"/>
      <c r="M483" s="17"/>
      <c r="N483" s="20"/>
      <c r="O483" s="17"/>
      <c r="P483" s="33"/>
      <c r="Q483" s="17"/>
      <c r="R483" s="17"/>
      <c r="S483" s="30"/>
      <c r="T483" s="34"/>
      <c r="U483" s="34"/>
      <c r="V483" s="34"/>
    </row>
    <row r="484" spans="1:22" x14ac:dyDescent="0.25">
      <c r="A484" s="35"/>
      <c r="B484" s="14"/>
      <c r="C484" s="15"/>
      <c r="D484" s="15"/>
      <c r="E484" s="13"/>
      <c r="F484" s="31"/>
      <c r="G484" s="41"/>
      <c r="H484" s="13"/>
      <c r="I484" s="13"/>
      <c r="J484" s="32"/>
      <c r="K484" s="32"/>
      <c r="L484" s="17"/>
      <c r="M484" s="17"/>
      <c r="N484" s="20"/>
      <c r="O484" s="17"/>
      <c r="P484" s="33"/>
      <c r="Q484" s="17"/>
      <c r="R484" s="17"/>
      <c r="S484" s="30"/>
      <c r="T484" s="34"/>
      <c r="U484" s="34"/>
      <c r="V484" s="34"/>
    </row>
    <row r="485" spans="1:22" x14ac:dyDescent="0.25">
      <c r="A485" s="35"/>
      <c r="B485" s="14"/>
      <c r="C485" s="15"/>
      <c r="D485" s="15"/>
      <c r="E485" s="13"/>
      <c r="F485" s="31"/>
      <c r="G485" s="41"/>
      <c r="H485" s="13"/>
      <c r="I485" s="13"/>
      <c r="J485" s="32"/>
      <c r="K485" s="32"/>
      <c r="L485" s="17"/>
      <c r="M485" s="17"/>
      <c r="N485" s="20"/>
      <c r="O485" s="17"/>
      <c r="P485" s="33"/>
      <c r="Q485" s="17"/>
      <c r="R485" s="17"/>
      <c r="S485" s="30"/>
      <c r="T485" s="34"/>
      <c r="U485" s="34"/>
      <c r="V485" s="34"/>
    </row>
    <row r="486" spans="1:22" x14ac:dyDescent="0.25">
      <c r="A486" s="35"/>
      <c r="B486" s="14"/>
      <c r="C486" s="15"/>
      <c r="D486" s="15"/>
      <c r="E486" s="13"/>
      <c r="F486" s="31"/>
      <c r="G486" s="41"/>
      <c r="H486" s="13"/>
      <c r="I486" s="13"/>
      <c r="J486" s="32"/>
      <c r="K486" s="32"/>
      <c r="L486" s="17"/>
      <c r="M486" s="17"/>
      <c r="N486" s="20"/>
      <c r="O486" s="17"/>
      <c r="P486" s="33"/>
      <c r="Q486" s="17"/>
      <c r="R486" s="17"/>
      <c r="S486" s="30"/>
      <c r="T486" s="34"/>
      <c r="U486" s="34"/>
      <c r="V486" s="34"/>
    </row>
    <row r="487" spans="1:22" x14ac:dyDescent="0.25">
      <c r="A487" s="35"/>
      <c r="B487" s="14"/>
      <c r="C487" s="15"/>
      <c r="D487" s="15"/>
      <c r="E487" s="13"/>
      <c r="F487" s="31"/>
      <c r="G487" s="41"/>
      <c r="H487" s="13"/>
      <c r="I487" s="13"/>
      <c r="J487" s="32"/>
      <c r="K487" s="32"/>
      <c r="L487" s="17"/>
      <c r="M487" s="17"/>
      <c r="N487" s="20"/>
      <c r="O487" s="17"/>
      <c r="P487" s="33"/>
      <c r="Q487" s="17"/>
      <c r="R487" s="17"/>
      <c r="S487" s="30"/>
      <c r="T487" s="34"/>
      <c r="U487" s="34"/>
      <c r="V487" s="34"/>
    </row>
    <row r="488" spans="1:22" x14ac:dyDescent="0.25">
      <c r="A488" s="35"/>
      <c r="B488" s="14"/>
      <c r="C488" s="15"/>
      <c r="D488" s="15"/>
      <c r="E488" s="13"/>
      <c r="F488" s="31"/>
      <c r="G488" s="41"/>
      <c r="H488" s="13"/>
      <c r="I488" s="13"/>
      <c r="J488" s="32"/>
      <c r="K488" s="32"/>
      <c r="L488" s="17"/>
      <c r="M488" s="17"/>
      <c r="N488" s="20"/>
      <c r="O488" s="17"/>
      <c r="P488" s="33"/>
      <c r="Q488" s="17"/>
      <c r="R488" s="17"/>
      <c r="S488" s="30"/>
      <c r="T488" s="34"/>
      <c r="U488" s="34"/>
      <c r="V488" s="34"/>
    </row>
    <row r="489" spans="1:22" x14ac:dyDescent="0.25">
      <c r="A489" s="35"/>
      <c r="B489" s="14"/>
      <c r="C489" s="15"/>
      <c r="D489" s="15"/>
      <c r="E489" s="13"/>
      <c r="F489" s="31"/>
      <c r="G489" s="41"/>
      <c r="H489" s="13"/>
      <c r="I489" s="13"/>
      <c r="J489" s="32"/>
      <c r="K489" s="32"/>
      <c r="L489" s="17"/>
      <c r="M489" s="17"/>
      <c r="N489" s="20"/>
      <c r="O489" s="17"/>
      <c r="P489" s="33"/>
      <c r="Q489" s="17"/>
      <c r="R489" s="17"/>
      <c r="S489" s="30"/>
      <c r="T489" s="34"/>
      <c r="U489" s="34"/>
      <c r="V489" s="34"/>
    </row>
    <row r="490" spans="1:22" x14ac:dyDescent="0.25">
      <c r="A490" s="35"/>
      <c r="B490" s="14"/>
      <c r="C490" s="15"/>
      <c r="D490" s="15"/>
      <c r="E490" s="13"/>
      <c r="F490" s="31"/>
      <c r="G490" s="41"/>
      <c r="H490" s="13"/>
      <c r="I490" s="13"/>
      <c r="J490" s="32"/>
      <c r="K490" s="32"/>
      <c r="L490" s="17"/>
      <c r="M490" s="17"/>
      <c r="N490" s="20"/>
      <c r="O490" s="17"/>
      <c r="P490" s="33"/>
      <c r="Q490" s="17"/>
      <c r="R490" s="17"/>
      <c r="S490" s="30"/>
      <c r="T490" s="34"/>
      <c r="U490" s="34"/>
      <c r="V490" s="34"/>
    </row>
    <row r="491" spans="1:22" x14ac:dyDescent="0.25">
      <c r="A491" s="35"/>
      <c r="B491" s="14"/>
      <c r="C491" s="15"/>
      <c r="D491" s="15"/>
      <c r="E491" s="13"/>
      <c r="F491" s="31"/>
      <c r="G491" s="41"/>
      <c r="H491" s="13"/>
      <c r="I491" s="13"/>
      <c r="J491" s="32"/>
      <c r="K491" s="32"/>
      <c r="L491" s="17"/>
      <c r="M491" s="17"/>
      <c r="N491" s="20"/>
      <c r="O491" s="17"/>
      <c r="P491" s="33"/>
      <c r="Q491" s="17"/>
      <c r="R491" s="17"/>
      <c r="S491" s="30"/>
      <c r="T491" s="34"/>
      <c r="U491" s="34"/>
      <c r="V491" s="34"/>
    </row>
    <row r="492" spans="1:22" x14ac:dyDescent="0.25">
      <c r="A492" s="35"/>
      <c r="B492" s="14"/>
      <c r="C492" s="15"/>
      <c r="D492" s="15"/>
      <c r="E492" s="13"/>
      <c r="F492" s="31"/>
      <c r="G492" s="41"/>
      <c r="H492" s="13"/>
      <c r="I492" s="13"/>
      <c r="J492" s="32"/>
      <c r="K492" s="32"/>
      <c r="L492" s="17"/>
      <c r="M492" s="17"/>
      <c r="N492" s="20"/>
      <c r="O492" s="17"/>
      <c r="P492" s="33"/>
      <c r="Q492" s="17"/>
      <c r="R492" s="17"/>
      <c r="S492" s="30"/>
      <c r="T492" s="34"/>
      <c r="U492" s="34"/>
      <c r="V492" s="34"/>
    </row>
    <row r="493" spans="1:22" x14ac:dyDescent="0.25">
      <c r="A493" s="35"/>
      <c r="B493" s="14"/>
      <c r="C493" s="15"/>
      <c r="D493" s="15"/>
      <c r="E493" s="13"/>
      <c r="F493" s="31"/>
      <c r="G493" s="41"/>
      <c r="H493" s="13"/>
      <c r="I493" s="13"/>
      <c r="J493" s="32"/>
      <c r="K493" s="32"/>
      <c r="L493" s="17"/>
      <c r="M493" s="17"/>
      <c r="N493" s="20"/>
      <c r="O493" s="17"/>
      <c r="P493" s="33"/>
      <c r="Q493" s="17"/>
      <c r="R493" s="17"/>
      <c r="S493" s="30"/>
      <c r="T493" s="34"/>
      <c r="U493" s="34"/>
      <c r="V493" s="34"/>
    </row>
    <row r="494" spans="1:22" x14ac:dyDescent="0.25">
      <c r="A494" s="35"/>
      <c r="B494" s="14"/>
      <c r="C494" s="15"/>
      <c r="D494" s="15"/>
      <c r="E494" s="13"/>
      <c r="F494" s="31"/>
      <c r="G494" s="41"/>
      <c r="H494" s="13"/>
      <c r="I494" s="13"/>
      <c r="J494" s="32"/>
      <c r="K494" s="32"/>
      <c r="L494" s="17"/>
      <c r="M494" s="17"/>
      <c r="N494" s="20"/>
      <c r="O494" s="17"/>
      <c r="P494" s="33"/>
      <c r="Q494" s="17"/>
      <c r="R494" s="17"/>
      <c r="S494" s="30"/>
      <c r="T494" s="34"/>
      <c r="U494" s="34"/>
      <c r="V494" s="34"/>
    </row>
    <row r="495" spans="1:22" x14ac:dyDescent="0.25">
      <c r="A495" s="35"/>
      <c r="B495" s="14"/>
      <c r="C495" s="15"/>
      <c r="D495" s="15"/>
      <c r="E495" s="13"/>
      <c r="F495" s="31"/>
      <c r="G495" s="41"/>
      <c r="H495" s="13"/>
      <c r="I495" s="13"/>
      <c r="J495" s="32"/>
      <c r="K495" s="32"/>
      <c r="L495" s="17"/>
      <c r="M495" s="17"/>
      <c r="N495" s="20"/>
      <c r="O495" s="17"/>
      <c r="P495" s="33"/>
      <c r="Q495" s="17"/>
      <c r="R495" s="17"/>
      <c r="S495" s="30"/>
      <c r="T495" s="34"/>
      <c r="U495" s="34"/>
      <c r="V495" s="34"/>
    </row>
    <row r="496" spans="1:22" x14ac:dyDescent="0.25">
      <c r="A496" s="35"/>
      <c r="B496" s="14"/>
      <c r="C496" s="15"/>
      <c r="D496" s="15"/>
      <c r="E496" s="13"/>
      <c r="F496" s="31"/>
      <c r="G496" s="41"/>
      <c r="H496" s="13"/>
      <c r="I496" s="13"/>
      <c r="J496" s="32"/>
      <c r="K496" s="32"/>
      <c r="L496" s="17"/>
      <c r="M496" s="17"/>
      <c r="N496" s="20"/>
      <c r="O496" s="17"/>
      <c r="P496" s="33"/>
      <c r="Q496" s="17"/>
      <c r="R496" s="17"/>
      <c r="S496" s="30"/>
      <c r="T496" s="34"/>
      <c r="U496" s="34"/>
      <c r="V496" s="34"/>
    </row>
    <row r="497" spans="1:22" x14ac:dyDescent="0.25">
      <c r="A497" s="35"/>
      <c r="B497" s="14"/>
      <c r="C497" s="15"/>
      <c r="D497" s="15"/>
      <c r="E497" s="13"/>
      <c r="F497" s="31"/>
      <c r="G497" s="41"/>
      <c r="H497" s="13"/>
      <c r="I497" s="13"/>
      <c r="J497" s="32"/>
      <c r="K497" s="32"/>
      <c r="L497" s="17"/>
      <c r="M497" s="17"/>
      <c r="N497" s="20"/>
      <c r="O497" s="17"/>
      <c r="P497" s="33"/>
      <c r="Q497" s="17"/>
      <c r="R497" s="17"/>
      <c r="S497" s="30"/>
      <c r="T497" s="34"/>
      <c r="U497" s="34"/>
      <c r="V497" s="34"/>
    </row>
    <row r="498" spans="1:22" x14ac:dyDescent="0.25">
      <c r="A498" s="35"/>
      <c r="B498" s="14"/>
      <c r="C498" s="15"/>
      <c r="D498" s="15"/>
      <c r="E498" s="13"/>
      <c r="F498" s="31"/>
      <c r="G498" s="41"/>
      <c r="H498" s="13"/>
      <c r="I498" s="13"/>
      <c r="J498" s="32"/>
      <c r="K498" s="32"/>
      <c r="L498" s="17"/>
      <c r="M498" s="17"/>
      <c r="N498" s="20"/>
      <c r="O498" s="17"/>
      <c r="P498" s="33"/>
      <c r="Q498" s="17"/>
      <c r="R498" s="17"/>
      <c r="S498" s="30"/>
      <c r="T498" s="34"/>
      <c r="U498" s="34"/>
      <c r="V498" s="34"/>
    </row>
    <row r="499" spans="1:22" x14ac:dyDescent="0.25">
      <c r="A499" s="35"/>
      <c r="B499" s="14"/>
      <c r="C499" s="15"/>
      <c r="D499" s="15"/>
      <c r="E499" s="13"/>
      <c r="F499" s="31"/>
      <c r="G499" s="41"/>
      <c r="H499" s="13"/>
      <c r="I499" s="13"/>
      <c r="J499" s="32"/>
      <c r="K499" s="32"/>
      <c r="L499" s="17"/>
      <c r="M499" s="17"/>
      <c r="N499" s="20"/>
      <c r="O499" s="17"/>
      <c r="P499" s="33"/>
      <c r="Q499" s="17"/>
      <c r="R499" s="17"/>
      <c r="S499" s="30"/>
      <c r="T499" s="34"/>
      <c r="U499" s="34"/>
      <c r="V499" s="34"/>
    </row>
    <row r="500" spans="1:22" x14ac:dyDescent="0.25">
      <c r="A500" s="35"/>
      <c r="B500" s="14"/>
      <c r="C500" s="15"/>
      <c r="D500" s="15"/>
      <c r="E500" s="13"/>
      <c r="F500" s="31"/>
      <c r="G500" s="41"/>
      <c r="H500" s="13"/>
      <c r="I500" s="13"/>
      <c r="J500" s="32"/>
      <c r="K500" s="32"/>
      <c r="L500" s="17"/>
      <c r="M500" s="17"/>
      <c r="N500" s="20"/>
      <c r="O500" s="17"/>
      <c r="P500" s="33"/>
      <c r="Q500" s="17"/>
      <c r="R500" s="17"/>
      <c r="S500" s="30"/>
      <c r="T500" s="34"/>
      <c r="U500" s="34"/>
      <c r="V500" s="34"/>
    </row>
    <row r="501" spans="1:22" x14ac:dyDescent="0.25">
      <c r="A501" s="35"/>
      <c r="B501" s="14"/>
      <c r="C501" s="15"/>
      <c r="D501" s="15"/>
      <c r="E501" s="13"/>
      <c r="F501" s="31"/>
      <c r="G501" s="41"/>
      <c r="H501" s="13"/>
      <c r="I501" s="13"/>
      <c r="J501" s="32"/>
      <c r="K501" s="32"/>
      <c r="L501" s="17"/>
      <c r="M501" s="17"/>
      <c r="N501" s="20"/>
      <c r="O501" s="17"/>
      <c r="P501" s="33"/>
      <c r="Q501" s="17"/>
      <c r="R501" s="17"/>
      <c r="S501" s="30"/>
      <c r="T501" s="34"/>
      <c r="U501" s="34"/>
      <c r="V501" s="34"/>
    </row>
    <row r="502" spans="1:22" x14ac:dyDescent="0.25">
      <c r="A502" s="35"/>
      <c r="B502" s="14"/>
      <c r="C502" s="15"/>
      <c r="D502" s="15"/>
      <c r="E502" s="13"/>
      <c r="F502" s="31"/>
      <c r="G502" s="41"/>
      <c r="H502" s="13"/>
      <c r="I502" s="13"/>
      <c r="J502" s="32"/>
      <c r="K502" s="32"/>
      <c r="L502" s="17"/>
      <c r="M502" s="17"/>
      <c r="N502" s="20"/>
      <c r="O502" s="17"/>
      <c r="P502" s="33"/>
      <c r="Q502" s="17"/>
      <c r="R502" s="17"/>
      <c r="S502" s="30"/>
      <c r="T502" s="34"/>
      <c r="U502" s="34"/>
      <c r="V502" s="34"/>
    </row>
    <row r="503" spans="1:22" x14ac:dyDescent="0.25">
      <c r="A503" s="35"/>
      <c r="B503" s="14"/>
      <c r="C503" s="15"/>
      <c r="D503" s="15"/>
      <c r="E503" s="13"/>
      <c r="F503" s="31"/>
      <c r="G503" s="41"/>
      <c r="H503" s="13"/>
      <c r="I503" s="13"/>
      <c r="J503" s="32"/>
      <c r="K503" s="32"/>
      <c r="L503" s="17"/>
      <c r="M503" s="17"/>
      <c r="N503" s="20"/>
      <c r="O503" s="17"/>
      <c r="P503" s="33"/>
      <c r="Q503" s="17"/>
      <c r="R503" s="17"/>
      <c r="S503" s="30"/>
      <c r="T503" s="34"/>
      <c r="U503" s="34"/>
      <c r="V503" s="34"/>
    </row>
  </sheetData>
  <sortState xmlns:xlrd2="http://schemas.microsoft.com/office/spreadsheetml/2017/richdata2" ref="A11:V199">
    <sortCondition ref="A11:A199"/>
  </sortState>
  <mergeCells count="1">
    <mergeCell ref="H2:V6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K274"/>
  <sheetViews>
    <sheetView zoomScale="85" zoomScaleNormal="85" workbookViewId="0">
      <pane ySplit="10" topLeftCell="A267" activePane="bottomLeft" state="frozen"/>
      <selection pane="bottomLeft" activeCell="H274" sqref="H274"/>
    </sheetView>
  </sheetViews>
  <sheetFormatPr baseColWidth="10" defaultColWidth="11.42578125" defaultRowHeight="15" x14ac:dyDescent="0.25"/>
  <cols>
    <col min="1" max="1" width="10.85546875" style="1" bestFit="1" customWidth="1"/>
    <col min="2" max="2" width="34.5703125" style="1" bestFit="1" customWidth="1"/>
    <col min="3" max="3" width="11.42578125" style="1"/>
    <col min="4" max="4" width="20.28515625" style="1" bestFit="1" customWidth="1"/>
    <col min="5" max="5" width="12.42578125" style="1" bestFit="1" customWidth="1"/>
    <col min="6" max="6" width="20.28515625" style="1" bestFit="1" customWidth="1"/>
    <col min="7" max="7" width="20.85546875" style="1" bestFit="1" customWidth="1"/>
    <col min="8" max="8" width="19.140625" style="62" bestFit="1" customWidth="1"/>
    <col min="9" max="9" width="29" style="1" customWidth="1"/>
    <col min="10" max="10" width="18.5703125" style="1" bestFit="1" customWidth="1"/>
    <col min="11" max="16384" width="11.42578125" style="1"/>
  </cols>
  <sheetData>
    <row r="1" spans="1:8" x14ac:dyDescent="0.25">
      <c r="A1" s="36"/>
      <c r="B1" s="2"/>
      <c r="F1" s="3"/>
      <c r="G1" s="3"/>
      <c r="H1" s="61"/>
    </row>
    <row r="2" spans="1:8" ht="15" customHeight="1" x14ac:dyDescent="0.25">
      <c r="A2" s="36"/>
      <c r="B2" s="2"/>
      <c r="E2" s="83" t="s">
        <v>337</v>
      </c>
      <c r="F2" s="83"/>
      <c r="G2" s="83"/>
      <c r="H2" s="83"/>
    </row>
    <row r="3" spans="1:8" ht="15" customHeight="1" x14ac:dyDescent="0.25">
      <c r="A3" s="36"/>
      <c r="B3" s="2"/>
      <c r="E3" s="83"/>
      <c r="F3" s="83"/>
      <c r="G3" s="83"/>
      <c r="H3" s="83"/>
    </row>
    <row r="4" spans="1:8" ht="14.25" customHeight="1" x14ac:dyDescent="0.25">
      <c r="A4" s="36"/>
      <c r="B4" s="2"/>
      <c r="E4" s="83"/>
      <c r="F4" s="83"/>
      <c r="G4" s="83"/>
      <c r="H4" s="83"/>
    </row>
    <row r="5" spans="1:8" x14ac:dyDescent="0.25">
      <c r="A5" s="36"/>
      <c r="B5" s="2"/>
      <c r="E5" s="83"/>
      <c r="F5" s="83"/>
      <c r="G5" s="83"/>
      <c r="H5" s="83"/>
    </row>
    <row r="6" spans="1:8" x14ac:dyDescent="0.25">
      <c r="A6" s="36"/>
      <c r="B6" s="2"/>
      <c r="E6" s="83"/>
      <c r="F6" s="83"/>
      <c r="G6" s="83"/>
      <c r="H6" s="83"/>
    </row>
    <row r="7" spans="1:8" x14ac:dyDescent="0.25">
      <c r="E7" s="37" t="s">
        <v>341</v>
      </c>
    </row>
    <row r="10" spans="1:8" ht="15" customHeight="1" x14ac:dyDescent="0.25">
      <c r="A10" s="4" t="s">
        <v>18</v>
      </c>
      <c r="B10" s="4" t="s">
        <v>335</v>
      </c>
      <c r="C10" s="4" t="s">
        <v>314</v>
      </c>
      <c r="D10" s="4" t="s">
        <v>306</v>
      </c>
      <c r="E10" s="4" t="s">
        <v>1</v>
      </c>
      <c r="F10" s="4" t="s">
        <v>312</v>
      </c>
      <c r="G10" s="4" t="s">
        <v>313</v>
      </c>
      <c r="H10" s="63" t="s">
        <v>336</v>
      </c>
    </row>
    <row r="11" spans="1:8" x14ac:dyDescent="0.25">
      <c r="A11" s="13">
        <v>41751</v>
      </c>
      <c r="B11" s="35" t="s">
        <v>332</v>
      </c>
      <c r="C11" s="15">
        <v>14</v>
      </c>
      <c r="D11" s="1" t="s">
        <v>307</v>
      </c>
      <c r="E11" s="13">
        <v>43992</v>
      </c>
      <c r="F11" s="32">
        <v>10.008219178082191</v>
      </c>
      <c r="G11" s="32">
        <v>6.13972602739726</v>
      </c>
      <c r="H11" s="57">
        <v>-419.85</v>
      </c>
    </row>
    <row r="12" spans="1:8" x14ac:dyDescent="0.25">
      <c r="A12" s="13">
        <v>42215</v>
      </c>
      <c r="B12" s="35" t="s">
        <v>332</v>
      </c>
      <c r="C12" s="15">
        <v>12</v>
      </c>
      <c r="D12" s="1" t="s">
        <v>307</v>
      </c>
      <c r="E12" s="13">
        <v>43897</v>
      </c>
      <c r="F12" s="32">
        <v>12.008219178082191</v>
      </c>
      <c r="G12" s="32">
        <v>4.6082191780821917</v>
      </c>
      <c r="H12" s="57">
        <v>-33.696390000000001</v>
      </c>
    </row>
    <row r="13" spans="1:8" x14ac:dyDescent="0.25">
      <c r="A13" s="13">
        <v>42215</v>
      </c>
      <c r="B13" s="35" t="s">
        <v>332</v>
      </c>
      <c r="C13" s="15">
        <v>14</v>
      </c>
      <c r="D13" s="1" t="s">
        <v>307</v>
      </c>
      <c r="E13" s="13">
        <v>43992</v>
      </c>
      <c r="F13" s="32">
        <v>10.008219178082191</v>
      </c>
      <c r="G13" s="32">
        <v>4.8684931506849312</v>
      </c>
      <c r="H13" s="57">
        <v>-206.58276799999999</v>
      </c>
    </row>
    <row r="14" spans="1:8" x14ac:dyDescent="0.25">
      <c r="A14" s="13">
        <v>42907</v>
      </c>
      <c r="B14" s="35" t="s">
        <v>332</v>
      </c>
      <c r="C14" s="15">
        <v>12</v>
      </c>
      <c r="D14" s="1" t="s">
        <v>307</v>
      </c>
      <c r="E14" s="13">
        <v>43897</v>
      </c>
      <c r="F14" s="32">
        <v>12.008219178082191</v>
      </c>
      <c r="G14" s="32">
        <v>2.7123287671232879</v>
      </c>
      <c r="H14" s="57">
        <v>-5.0999999999999996</v>
      </c>
    </row>
    <row r="15" spans="1:8" x14ac:dyDescent="0.25">
      <c r="A15" s="13">
        <v>42907</v>
      </c>
      <c r="B15" s="35" t="s">
        <v>332</v>
      </c>
      <c r="C15" s="15">
        <v>21</v>
      </c>
      <c r="D15" s="1" t="s">
        <v>307</v>
      </c>
      <c r="E15" s="13">
        <v>45987</v>
      </c>
      <c r="F15" s="32">
        <v>11.008219178082191</v>
      </c>
      <c r="G15" s="32">
        <v>8.4383561643835616</v>
      </c>
      <c r="H15" s="57">
        <v>-61.9</v>
      </c>
    </row>
    <row r="16" spans="1:8" x14ac:dyDescent="0.25">
      <c r="A16" s="13">
        <v>43166</v>
      </c>
      <c r="B16" s="35" t="s">
        <v>333</v>
      </c>
      <c r="C16" s="15">
        <v>12</v>
      </c>
      <c r="D16" s="1" t="s">
        <v>307</v>
      </c>
      <c r="E16" s="13">
        <v>43897</v>
      </c>
      <c r="F16" s="32">
        <v>12.008219178082191</v>
      </c>
      <c r="G16" s="32">
        <v>2.0027397260273974</v>
      </c>
      <c r="H16" s="57">
        <v>-428.72120333333299</v>
      </c>
    </row>
    <row r="17" spans="1:8" x14ac:dyDescent="0.25">
      <c r="A17" s="13">
        <v>43427</v>
      </c>
      <c r="B17" s="35" t="s">
        <v>332</v>
      </c>
      <c r="C17" s="15">
        <v>12</v>
      </c>
      <c r="D17" s="1" t="s">
        <v>307</v>
      </c>
      <c r="E17" s="13">
        <v>43897</v>
      </c>
      <c r="F17" s="32">
        <v>12.008219178082191</v>
      </c>
      <c r="G17" s="32">
        <v>1.2876712328767124</v>
      </c>
      <c r="H17" s="57">
        <v>-123.3719</v>
      </c>
    </row>
    <row r="18" spans="1:8" x14ac:dyDescent="0.25">
      <c r="A18" s="13">
        <v>43427</v>
      </c>
      <c r="B18" s="35" t="s">
        <v>332</v>
      </c>
      <c r="C18" s="15">
        <v>20</v>
      </c>
      <c r="D18" s="1" t="s">
        <v>307</v>
      </c>
      <c r="E18" s="13">
        <v>43951</v>
      </c>
      <c r="F18" s="32">
        <v>6.0054794520547947</v>
      </c>
      <c r="G18" s="32">
        <v>1.4356164383561645</v>
      </c>
      <c r="H18" s="57">
        <v>-151.55000000000001</v>
      </c>
    </row>
    <row r="19" spans="1:8" x14ac:dyDescent="0.25">
      <c r="A19" s="13">
        <v>43531</v>
      </c>
      <c r="B19" s="35" t="s">
        <v>333</v>
      </c>
      <c r="C19" s="15">
        <v>12</v>
      </c>
      <c r="D19" s="1" t="s">
        <v>307</v>
      </c>
      <c r="E19" s="13">
        <v>43897</v>
      </c>
      <c r="F19" s="32">
        <v>12.008219178082191</v>
      </c>
      <c r="G19" s="32">
        <v>1.0027397260273974</v>
      </c>
      <c r="H19" s="57">
        <v>-367.03525354999999</v>
      </c>
    </row>
    <row r="20" spans="1:8" x14ac:dyDescent="0.25">
      <c r="A20" s="13">
        <v>43599</v>
      </c>
      <c r="B20" s="35" t="s">
        <v>332</v>
      </c>
      <c r="C20" s="15">
        <v>12</v>
      </c>
      <c r="D20" s="1" t="s">
        <v>307</v>
      </c>
      <c r="E20" s="13">
        <v>43897</v>
      </c>
      <c r="F20" s="32">
        <v>12.008219178082191</v>
      </c>
      <c r="G20" s="32">
        <v>0.81643835616438354</v>
      </c>
      <c r="H20" s="57">
        <v>-123.6079</v>
      </c>
    </row>
    <row r="21" spans="1:8" x14ac:dyDescent="0.25">
      <c r="A21" s="13">
        <v>43599</v>
      </c>
      <c r="B21" s="35" t="s">
        <v>332</v>
      </c>
      <c r="C21" s="15">
        <v>14</v>
      </c>
      <c r="D21" s="1" t="s">
        <v>307</v>
      </c>
      <c r="E21" s="13">
        <v>43992</v>
      </c>
      <c r="F21" s="32">
        <v>10.008219178082191</v>
      </c>
      <c r="G21" s="32">
        <v>1.0767123287671232</v>
      </c>
      <c r="H21" s="57">
        <v>-668.68330000000003</v>
      </c>
    </row>
    <row r="22" spans="1:8" x14ac:dyDescent="0.25">
      <c r="A22" s="13">
        <v>43599</v>
      </c>
      <c r="B22" s="35" t="s">
        <v>332</v>
      </c>
      <c r="C22" s="15">
        <v>20</v>
      </c>
      <c r="D22" s="1" t="s">
        <v>307</v>
      </c>
      <c r="E22" s="13">
        <v>43951</v>
      </c>
      <c r="F22" s="32">
        <v>6.0054794520547947</v>
      </c>
      <c r="G22" s="32">
        <v>0.96438356164383565</v>
      </c>
      <c r="H22" s="57">
        <v>-249.81399999999999</v>
      </c>
    </row>
    <row r="23" spans="1:8" x14ac:dyDescent="0.25">
      <c r="A23" s="13">
        <v>43663</v>
      </c>
      <c r="B23" s="35" t="s">
        <v>332</v>
      </c>
      <c r="C23" s="15">
        <v>12</v>
      </c>
      <c r="D23" s="1" t="s">
        <v>307</v>
      </c>
      <c r="E23" s="13">
        <v>43897</v>
      </c>
      <c r="F23" s="32">
        <v>12.008219178082191</v>
      </c>
      <c r="G23" s="32">
        <v>0.64109589041095894</v>
      </c>
      <c r="H23" s="57">
        <v>-42.392426999999998</v>
      </c>
    </row>
    <row r="24" spans="1:8" x14ac:dyDescent="0.25">
      <c r="A24" s="13">
        <v>43663</v>
      </c>
      <c r="B24" s="35" t="s">
        <v>332</v>
      </c>
      <c r="C24" s="15">
        <v>14</v>
      </c>
      <c r="D24" s="1" t="s">
        <v>307</v>
      </c>
      <c r="E24" s="13">
        <v>43992</v>
      </c>
      <c r="F24" s="32">
        <v>10.008219178082191</v>
      </c>
      <c r="G24" s="32">
        <v>0.90136986301369859</v>
      </c>
      <c r="H24" s="57">
        <v>-5.1100820000000002</v>
      </c>
    </row>
    <row r="25" spans="1:8" x14ac:dyDescent="0.25">
      <c r="A25" s="13">
        <v>43663</v>
      </c>
      <c r="B25" s="35" t="s">
        <v>332</v>
      </c>
      <c r="C25" s="15">
        <v>20</v>
      </c>
      <c r="D25" s="1" t="s">
        <v>307</v>
      </c>
      <c r="E25" s="13">
        <v>43951</v>
      </c>
      <c r="F25" s="32">
        <v>6.0054794520547947</v>
      </c>
      <c r="G25" s="32">
        <v>0.78904109589041094</v>
      </c>
      <c r="H25" s="57">
        <v>-93.576791999999998</v>
      </c>
    </row>
    <row r="26" spans="1:8" x14ac:dyDescent="0.25">
      <c r="A26" s="13">
        <v>43677</v>
      </c>
      <c r="B26" s="35" t="s">
        <v>332</v>
      </c>
      <c r="C26" s="15">
        <v>12</v>
      </c>
      <c r="D26" s="1" t="s">
        <v>307</v>
      </c>
      <c r="E26" s="13">
        <v>43897</v>
      </c>
      <c r="F26" s="32">
        <v>12.008219178082191</v>
      </c>
      <c r="G26" s="32">
        <v>0.60273972602739723</v>
      </c>
      <c r="H26" s="57">
        <v>-20.614999999999998</v>
      </c>
    </row>
    <row r="27" spans="1:8" x14ac:dyDescent="0.25">
      <c r="A27" s="13">
        <v>43677</v>
      </c>
      <c r="B27" s="35" t="s">
        <v>332</v>
      </c>
      <c r="C27" s="15">
        <v>14</v>
      </c>
      <c r="D27" s="1" t="s">
        <v>307</v>
      </c>
      <c r="E27" s="13">
        <v>43992</v>
      </c>
      <c r="F27" s="32">
        <v>10.008219178082191</v>
      </c>
      <c r="G27" s="32">
        <v>0.86301369863013699</v>
      </c>
      <c r="H27" s="57">
        <v>-26.713072</v>
      </c>
    </row>
    <row r="28" spans="1:8" x14ac:dyDescent="0.25">
      <c r="A28" s="13">
        <v>43677</v>
      </c>
      <c r="B28" s="35" t="s">
        <v>332</v>
      </c>
      <c r="C28" s="15">
        <v>20</v>
      </c>
      <c r="D28" s="1" t="s">
        <v>307</v>
      </c>
      <c r="E28" s="13">
        <v>43951</v>
      </c>
      <c r="F28" s="32">
        <v>6.0054794520547947</v>
      </c>
      <c r="G28" s="32">
        <v>0.75068493150684934</v>
      </c>
      <c r="H28" s="57">
        <v>-47.609766</v>
      </c>
    </row>
    <row r="29" spans="1:8" x14ac:dyDescent="0.25">
      <c r="A29" s="13">
        <v>43691</v>
      </c>
      <c r="B29" s="35" t="s">
        <v>332</v>
      </c>
      <c r="C29" s="15">
        <v>14</v>
      </c>
      <c r="D29" s="1" t="s">
        <v>307</v>
      </c>
      <c r="E29" s="13">
        <v>43992</v>
      </c>
      <c r="F29" s="32">
        <v>10.008219178082191</v>
      </c>
      <c r="G29" s="32">
        <v>0.8246575342465754</v>
      </c>
      <c r="H29" s="57">
        <v>-206.93380099999999</v>
      </c>
    </row>
    <row r="30" spans="1:8" x14ac:dyDescent="0.25">
      <c r="A30" s="13">
        <v>43691</v>
      </c>
      <c r="B30" s="35" t="s">
        <v>332</v>
      </c>
      <c r="C30" s="15">
        <v>20</v>
      </c>
      <c r="D30" s="1" t="s">
        <v>307</v>
      </c>
      <c r="E30" s="13">
        <v>43951</v>
      </c>
      <c r="F30" s="32">
        <v>6.0054794520547947</v>
      </c>
      <c r="G30" s="32">
        <v>0.71232876712328763</v>
      </c>
      <c r="H30" s="57">
        <v>-0.21792900000000001</v>
      </c>
    </row>
    <row r="31" spans="1:8" x14ac:dyDescent="0.25">
      <c r="A31" s="13">
        <v>43698</v>
      </c>
      <c r="B31" s="35" t="s">
        <v>332</v>
      </c>
      <c r="C31" s="15">
        <v>12</v>
      </c>
      <c r="D31" s="1" t="s">
        <v>307</v>
      </c>
      <c r="E31" s="13">
        <v>43897</v>
      </c>
      <c r="F31" s="32">
        <v>12.008219178082191</v>
      </c>
      <c r="G31" s="32">
        <v>0.54520547945205478</v>
      </c>
      <c r="H31" s="57">
        <v>-34.537999999999997</v>
      </c>
    </row>
    <row r="32" spans="1:8" x14ac:dyDescent="0.25">
      <c r="A32" s="13">
        <v>43698</v>
      </c>
      <c r="B32" s="35" t="s">
        <v>332</v>
      </c>
      <c r="C32" s="15">
        <v>12</v>
      </c>
      <c r="D32" s="1" t="s">
        <v>307</v>
      </c>
      <c r="E32" s="13">
        <v>43897</v>
      </c>
      <c r="F32" s="32">
        <v>12.008219178082191</v>
      </c>
      <c r="G32" s="32">
        <v>0.54520547945205478</v>
      </c>
      <c r="H32" s="57">
        <v>-13.26</v>
      </c>
    </row>
    <row r="33" spans="1:8" x14ac:dyDescent="0.25">
      <c r="A33" s="13">
        <v>43698</v>
      </c>
      <c r="B33" s="35" t="s">
        <v>332</v>
      </c>
      <c r="C33" s="15">
        <v>14</v>
      </c>
      <c r="D33" s="1" t="s">
        <v>307</v>
      </c>
      <c r="E33" s="13">
        <v>43992</v>
      </c>
      <c r="F33" s="32">
        <v>10.008219178082191</v>
      </c>
      <c r="G33" s="32">
        <v>0.80547945205479454</v>
      </c>
      <c r="H33" s="57">
        <v>-13.613941000000001</v>
      </c>
    </row>
    <row r="34" spans="1:8" x14ac:dyDescent="0.25">
      <c r="A34" s="13">
        <v>43705</v>
      </c>
      <c r="B34" s="35" t="s">
        <v>332</v>
      </c>
      <c r="C34" s="15">
        <v>14</v>
      </c>
      <c r="D34" s="1" t="s">
        <v>307</v>
      </c>
      <c r="E34" s="13">
        <v>43992</v>
      </c>
      <c r="F34" s="32">
        <v>10.008219178082191</v>
      </c>
      <c r="G34" s="32">
        <v>0.78630136986301369</v>
      </c>
      <c r="H34" s="57">
        <v>-48.750430999999999</v>
      </c>
    </row>
    <row r="35" spans="1:8" x14ac:dyDescent="0.25">
      <c r="A35" s="13">
        <v>43726</v>
      </c>
      <c r="B35" s="35" t="s">
        <v>332</v>
      </c>
      <c r="C35" s="15">
        <v>14</v>
      </c>
      <c r="D35" s="1" t="s">
        <v>307</v>
      </c>
      <c r="E35" s="13">
        <v>43992</v>
      </c>
      <c r="F35" s="32">
        <v>10.008219178082191</v>
      </c>
      <c r="G35" s="32">
        <v>0.72876712328767124</v>
      </c>
      <c r="H35" s="57">
        <v>-82.511694000000006</v>
      </c>
    </row>
    <row r="36" spans="1:8" x14ac:dyDescent="0.25">
      <c r="A36" s="13">
        <v>43754</v>
      </c>
      <c r="B36" s="35" t="s">
        <v>332</v>
      </c>
      <c r="C36" s="15">
        <v>14</v>
      </c>
      <c r="D36" s="1" t="s">
        <v>307</v>
      </c>
      <c r="E36" s="13">
        <v>43992</v>
      </c>
      <c r="F36" s="32">
        <v>10.008219178082191</v>
      </c>
      <c r="G36" s="32">
        <v>0.65205479452054793</v>
      </c>
      <c r="H36" s="57">
        <v>-0.24675</v>
      </c>
    </row>
    <row r="37" spans="1:8" x14ac:dyDescent="0.25">
      <c r="A37" s="13">
        <v>43761</v>
      </c>
      <c r="B37" s="35" t="s">
        <v>332</v>
      </c>
      <c r="C37" s="15">
        <v>14</v>
      </c>
      <c r="D37" s="1" t="s">
        <v>307</v>
      </c>
      <c r="E37" s="13">
        <v>43992</v>
      </c>
      <c r="F37" s="32">
        <v>10.008219178082191</v>
      </c>
      <c r="G37" s="32">
        <v>0.63287671232876708</v>
      </c>
      <c r="H37" s="57">
        <v>-73.8</v>
      </c>
    </row>
    <row r="38" spans="1:8" x14ac:dyDescent="0.25">
      <c r="A38" s="13">
        <v>43784</v>
      </c>
      <c r="B38" s="35" t="s">
        <v>332</v>
      </c>
      <c r="C38" s="15">
        <v>14</v>
      </c>
      <c r="D38" s="1" t="s">
        <v>307</v>
      </c>
      <c r="E38" s="13">
        <v>43992</v>
      </c>
      <c r="F38" s="32">
        <v>10.008219178082191</v>
      </c>
      <c r="G38" s="32">
        <v>0.56986301369863013</v>
      </c>
      <c r="H38" s="57">
        <v>-0.154255</v>
      </c>
    </row>
    <row r="39" spans="1:8" x14ac:dyDescent="0.25">
      <c r="A39" s="13">
        <v>43789</v>
      </c>
      <c r="B39" s="35" t="s">
        <v>332</v>
      </c>
      <c r="C39" s="15">
        <v>14</v>
      </c>
      <c r="D39" s="1" t="s">
        <v>307</v>
      </c>
      <c r="E39" s="13">
        <v>43992</v>
      </c>
      <c r="F39" s="32">
        <v>10.008219178082191</v>
      </c>
      <c r="G39" s="32">
        <v>0.55616438356164388</v>
      </c>
      <c r="H39" s="57">
        <v>-25.622188000000001</v>
      </c>
    </row>
    <row r="40" spans="1:8" x14ac:dyDescent="0.25">
      <c r="A40" s="13">
        <v>43789</v>
      </c>
      <c r="B40" s="35" t="s">
        <v>332</v>
      </c>
      <c r="C40" s="15">
        <v>20</v>
      </c>
      <c r="D40" s="1" t="s">
        <v>307</v>
      </c>
      <c r="E40" s="13">
        <v>43951</v>
      </c>
      <c r="F40" s="32">
        <v>6.0054794520547947</v>
      </c>
      <c r="G40" s="32">
        <v>0.44383561643835617</v>
      </c>
      <c r="H40" s="57">
        <v>-21.9</v>
      </c>
    </row>
    <row r="41" spans="1:8" x14ac:dyDescent="0.25">
      <c r="A41" s="13">
        <v>43803</v>
      </c>
      <c r="B41" s="35" t="s">
        <v>332</v>
      </c>
      <c r="C41" s="15">
        <v>20</v>
      </c>
      <c r="D41" s="1" t="s">
        <v>307</v>
      </c>
      <c r="E41" s="13">
        <v>43951</v>
      </c>
      <c r="F41" s="32">
        <v>6.0054794520547947</v>
      </c>
      <c r="G41" s="32">
        <v>0.40547945205479452</v>
      </c>
      <c r="H41" s="57">
        <v>-62.39123567520258</v>
      </c>
    </row>
    <row r="42" spans="1:8" x14ac:dyDescent="0.25">
      <c r="A42" s="13">
        <v>43810</v>
      </c>
      <c r="B42" s="35" t="s">
        <v>332</v>
      </c>
      <c r="C42" s="15">
        <v>14</v>
      </c>
      <c r="D42" s="1" t="s">
        <v>307</v>
      </c>
      <c r="E42" s="13">
        <v>43992</v>
      </c>
      <c r="F42" s="32">
        <v>10.008219178082191</v>
      </c>
      <c r="G42" s="32">
        <v>0.49863013698630138</v>
      </c>
      <c r="H42" s="57">
        <v>-14.401774</v>
      </c>
    </row>
    <row r="43" spans="1:8" x14ac:dyDescent="0.25">
      <c r="A43" s="13">
        <v>43857</v>
      </c>
      <c r="B43" s="35" t="s">
        <v>332</v>
      </c>
      <c r="C43" s="15">
        <v>14</v>
      </c>
      <c r="D43" s="1" t="s">
        <v>307</v>
      </c>
      <c r="E43" s="13">
        <v>43992</v>
      </c>
      <c r="F43" s="32">
        <v>10.008219178082191</v>
      </c>
      <c r="G43" s="32">
        <v>0.36986301369863012</v>
      </c>
      <c r="H43" s="57">
        <v>-24.188265000000001</v>
      </c>
    </row>
    <row r="44" spans="1:8" x14ac:dyDescent="0.25">
      <c r="A44" s="13">
        <v>43857</v>
      </c>
      <c r="B44" s="35" t="s">
        <v>332</v>
      </c>
      <c r="C44" s="15">
        <v>19</v>
      </c>
      <c r="D44" s="1" t="s">
        <v>307</v>
      </c>
      <c r="E44" s="13">
        <v>44831</v>
      </c>
      <c r="F44" s="32">
        <v>10.005479452054795</v>
      </c>
      <c r="G44" s="32">
        <v>2.6684931506849314</v>
      </c>
      <c r="H44" s="57">
        <v>-0.05</v>
      </c>
    </row>
    <row r="45" spans="1:8" x14ac:dyDescent="0.25">
      <c r="A45" s="13">
        <v>43857</v>
      </c>
      <c r="B45" s="35" t="s">
        <v>332</v>
      </c>
      <c r="C45" s="15">
        <v>20</v>
      </c>
      <c r="D45" s="1" t="s">
        <v>307</v>
      </c>
      <c r="E45" s="13">
        <v>43951</v>
      </c>
      <c r="F45" s="32">
        <v>6.0054794520547947</v>
      </c>
      <c r="G45" s="32">
        <v>0.25753424657534246</v>
      </c>
      <c r="H45" s="57">
        <v>-3.7909649999999999</v>
      </c>
    </row>
    <row r="46" spans="1:8" x14ac:dyDescent="0.25">
      <c r="A46" s="13">
        <v>43857</v>
      </c>
      <c r="B46" s="35" t="s">
        <v>332</v>
      </c>
      <c r="C46" s="15">
        <v>24</v>
      </c>
      <c r="D46" s="1" t="s">
        <v>307</v>
      </c>
      <c r="E46" s="13">
        <v>44559</v>
      </c>
      <c r="F46" s="32">
        <v>5.5041095890410956</v>
      </c>
      <c r="G46" s="32">
        <v>1.9232876712328768</v>
      </c>
      <c r="H46" s="57">
        <v>-617.39609800000005</v>
      </c>
    </row>
    <row r="47" spans="1:8" x14ac:dyDescent="0.25">
      <c r="A47" s="13">
        <v>43859</v>
      </c>
      <c r="B47" s="35" t="s">
        <v>332</v>
      </c>
      <c r="C47" s="15">
        <v>20</v>
      </c>
      <c r="D47" s="1" t="s">
        <v>307</v>
      </c>
      <c r="E47" s="13">
        <v>43951</v>
      </c>
      <c r="F47" s="32">
        <v>6.0054794520547947</v>
      </c>
      <c r="G47" s="32">
        <v>0.25205479452054796</v>
      </c>
      <c r="H47" s="57">
        <v>-0.19178200000000001</v>
      </c>
    </row>
    <row r="48" spans="1:8" x14ac:dyDescent="0.25">
      <c r="A48" s="13">
        <v>43897</v>
      </c>
      <c r="B48" s="35" t="s">
        <v>333</v>
      </c>
      <c r="C48" s="15">
        <v>12</v>
      </c>
      <c r="D48" s="1" t="s">
        <v>307</v>
      </c>
      <c r="E48" s="13">
        <v>43897</v>
      </c>
      <c r="F48" s="32">
        <v>12.008219178082191</v>
      </c>
      <c r="G48" s="32">
        <v>0</v>
      </c>
      <c r="H48" s="57">
        <v>-132.621926116667</v>
      </c>
    </row>
    <row r="49" spans="1:8" x14ac:dyDescent="0.25">
      <c r="A49" s="13">
        <v>43922</v>
      </c>
      <c r="B49" s="35" t="s">
        <v>332</v>
      </c>
      <c r="C49" s="15">
        <v>20</v>
      </c>
      <c r="D49" s="1" t="s">
        <v>307</v>
      </c>
      <c r="E49" s="13">
        <v>43951</v>
      </c>
      <c r="F49" s="32">
        <v>6.0054794520547947</v>
      </c>
      <c r="G49" s="32">
        <v>7.9452054794520555E-2</v>
      </c>
      <c r="H49" s="57">
        <v>-5.1009149999999996</v>
      </c>
    </row>
    <row r="50" spans="1:8" x14ac:dyDescent="0.25">
      <c r="A50" s="13">
        <v>43950</v>
      </c>
      <c r="B50" s="35" t="s">
        <v>332</v>
      </c>
      <c r="C50" s="15">
        <v>14</v>
      </c>
      <c r="D50" s="1" t="s">
        <v>307</v>
      </c>
      <c r="E50" s="13">
        <v>43992</v>
      </c>
      <c r="F50" s="32">
        <v>10.008219178082191</v>
      </c>
      <c r="G50" s="32">
        <v>0.11506849315068493</v>
      </c>
      <c r="H50" s="57">
        <v>-13.880464999999999</v>
      </c>
    </row>
    <row r="51" spans="1:8" x14ac:dyDescent="0.25">
      <c r="A51" s="13">
        <v>43950</v>
      </c>
      <c r="B51" s="35" t="s">
        <v>332</v>
      </c>
      <c r="C51" s="15">
        <v>20</v>
      </c>
      <c r="D51" s="1" t="s">
        <v>307</v>
      </c>
      <c r="E51" s="13">
        <v>43951</v>
      </c>
      <c r="F51" s="32">
        <v>6.0054794520547947</v>
      </c>
      <c r="G51" s="32">
        <v>2.7397260273972603E-3</v>
      </c>
      <c r="H51" s="57">
        <v>-330.43216000000001</v>
      </c>
    </row>
    <row r="52" spans="1:8" x14ac:dyDescent="0.25">
      <c r="A52" s="13">
        <v>43951</v>
      </c>
      <c r="B52" s="35" t="s">
        <v>333</v>
      </c>
      <c r="C52" s="15">
        <v>20</v>
      </c>
      <c r="D52" s="1" t="s">
        <v>307</v>
      </c>
      <c r="E52" s="13">
        <v>43951</v>
      </c>
      <c r="F52" s="32">
        <v>6.0054794520547947</v>
      </c>
      <c r="G52" s="32">
        <v>0</v>
      </c>
      <c r="H52" s="57">
        <v>-2474.7244553248001</v>
      </c>
    </row>
    <row r="53" spans="1:8" x14ac:dyDescent="0.25">
      <c r="A53" s="13">
        <v>43991</v>
      </c>
      <c r="B53" s="35" t="s">
        <v>332</v>
      </c>
      <c r="C53" s="15">
        <v>14</v>
      </c>
      <c r="D53" s="1" t="s">
        <v>307</v>
      </c>
      <c r="E53" s="13">
        <v>43992</v>
      </c>
      <c r="F53" s="32">
        <v>10.008219178082191</v>
      </c>
      <c r="G53" s="32">
        <v>2.7397260273972603E-3</v>
      </c>
      <c r="H53" s="57">
        <v>-1482.4657669999999</v>
      </c>
    </row>
    <row r="54" spans="1:8" x14ac:dyDescent="0.25">
      <c r="A54" s="13">
        <v>43991</v>
      </c>
      <c r="B54" s="35" t="s">
        <v>332</v>
      </c>
      <c r="C54" s="15">
        <v>24</v>
      </c>
      <c r="D54" s="1" t="s">
        <v>307</v>
      </c>
      <c r="E54" s="13">
        <v>44559</v>
      </c>
      <c r="F54" s="32">
        <v>5.5041095890410956</v>
      </c>
      <c r="G54" s="32">
        <v>1.5561643835616439</v>
      </c>
      <c r="H54" s="57">
        <v>-274.57947100000001</v>
      </c>
    </row>
    <row r="55" spans="1:8" x14ac:dyDescent="0.25">
      <c r="A55" s="13">
        <v>43992</v>
      </c>
      <c r="B55" s="35" t="s">
        <v>333</v>
      </c>
      <c r="C55" s="15">
        <v>14</v>
      </c>
      <c r="D55" s="1" t="s">
        <v>307</v>
      </c>
      <c r="E55" s="13">
        <v>43992</v>
      </c>
      <c r="F55" s="32">
        <v>10.008219178082191</v>
      </c>
      <c r="G55" s="32">
        <v>0</v>
      </c>
      <c r="H55" s="57">
        <v>-2357.9914469999999</v>
      </c>
    </row>
    <row r="56" spans="1:8" x14ac:dyDescent="0.25">
      <c r="A56" s="13">
        <v>44040</v>
      </c>
      <c r="B56" s="35" t="s">
        <v>332</v>
      </c>
      <c r="C56" s="15">
        <v>24</v>
      </c>
      <c r="D56" s="1" t="s">
        <v>307</v>
      </c>
      <c r="E56" s="13">
        <v>44559</v>
      </c>
      <c r="F56" s="32">
        <v>5.5041095890410956</v>
      </c>
      <c r="G56" s="32">
        <v>1.4219178082191781</v>
      </c>
      <c r="H56" s="57">
        <v>-485.95585499999999</v>
      </c>
    </row>
    <row r="57" spans="1:8" x14ac:dyDescent="0.25">
      <c r="A57" s="13">
        <v>44118</v>
      </c>
      <c r="B57" s="35" t="s">
        <v>332</v>
      </c>
      <c r="C57" s="15">
        <v>24</v>
      </c>
      <c r="D57" s="1" t="s">
        <v>307</v>
      </c>
      <c r="E57" s="13">
        <v>44559</v>
      </c>
      <c r="F57" s="32">
        <v>5.5041095890410956</v>
      </c>
      <c r="G57" s="32">
        <v>1.2082191780821918</v>
      </c>
      <c r="H57" s="57">
        <v>-108.459642</v>
      </c>
    </row>
    <row r="58" spans="1:8" x14ac:dyDescent="0.25">
      <c r="A58" s="13">
        <v>44132</v>
      </c>
      <c r="B58" s="35" t="s">
        <v>332</v>
      </c>
      <c r="C58" s="15">
        <v>24</v>
      </c>
      <c r="D58" s="1" t="s">
        <v>307</v>
      </c>
      <c r="E58" s="13">
        <v>44559</v>
      </c>
      <c r="F58" s="32">
        <v>5.5041095890410956</v>
      </c>
      <c r="G58" s="32">
        <v>1.1698630136986301</v>
      </c>
      <c r="H58" s="57">
        <v>-196.897672</v>
      </c>
    </row>
    <row r="59" spans="1:8" x14ac:dyDescent="0.25">
      <c r="A59" s="13">
        <v>44160</v>
      </c>
      <c r="B59" s="35" t="s">
        <v>332</v>
      </c>
      <c r="C59" s="15">
        <v>24</v>
      </c>
      <c r="D59" s="1" t="s">
        <v>307</v>
      </c>
      <c r="E59" s="13">
        <v>44559</v>
      </c>
      <c r="F59" s="32">
        <v>5.5041095890410956</v>
      </c>
      <c r="G59" s="32">
        <v>1.0931506849315069</v>
      </c>
      <c r="H59" s="57">
        <v>-196.953304</v>
      </c>
    </row>
    <row r="60" spans="1:8" x14ac:dyDescent="0.25">
      <c r="A60" s="13">
        <v>44174</v>
      </c>
      <c r="B60" s="35" t="s">
        <v>332</v>
      </c>
      <c r="C60" s="15">
        <v>24</v>
      </c>
      <c r="D60" s="1" t="s">
        <v>307</v>
      </c>
      <c r="E60" s="13">
        <v>44559</v>
      </c>
      <c r="F60" s="32">
        <v>5.5041095890410956</v>
      </c>
      <c r="G60" s="32">
        <v>1.0547945205479452</v>
      </c>
      <c r="H60" s="57">
        <v>-117.283637</v>
      </c>
    </row>
    <row r="61" spans="1:8" x14ac:dyDescent="0.25">
      <c r="A61" s="13">
        <v>44188</v>
      </c>
      <c r="B61" s="35" t="s">
        <v>332</v>
      </c>
      <c r="C61" s="15">
        <v>24</v>
      </c>
      <c r="D61" s="1" t="s">
        <v>307</v>
      </c>
      <c r="E61" s="13">
        <v>44559</v>
      </c>
      <c r="F61" s="32">
        <v>5.5041095890410956</v>
      </c>
      <c r="G61" s="32">
        <v>1.0164383561643835</v>
      </c>
      <c r="H61" s="57">
        <v>-159.51312899999999</v>
      </c>
    </row>
    <row r="62" spans="1:8" x14ac:dyDescent="0.25">
      <c r="A62" s="13">
        <v>44216</v>
      </c>
      <c r="B62" s="35" t="s">
        <v>332</v>
      </c>
      <c r="C62" s="15">
        <v>24</v>
      </c>
      <c r="D62" s="1" t="s">
        <v>307</v>
      </c>
      <c r="E62" s="13">
        <v>44559</v>
      </c>
      <c r="F62" s="32">
        <v>5.5041095890410956</v>
      </c>
      <c r="G62" s="32">
        <v>0.9397260273972603</v>
      </c>
      <c r="H62" s="57">
        <v>-35.189149</v>
      </c>
    </row>
    <row r="63" spans="1:8" x14ac:dyDescent="0.25">
      <c r="A63" s="13">
        <v>44237</v>
      </c>
      <c r="B63" s="35" t="s">
        <v>332</v>
      </c>
      <c r="C63" s="15">
        <v>19</v>
      </c>
      <c r="D63" s="1" t="s">
        <v>307</v>
      </c>
      <c r="E63" s="13">
        <v>44831</v>
      </c>
      <c r="F63" s="32">
        <v>10.005479452054795</v>
      </c>
      <c r="G63" s="32">
        <v>1.6273972602739726</v>
      </c>
      <c r="H63" s="57">
        <v>-87.587068000000002</v>
      </c>
    </row>
    <row r="64" spans="1:8" x14ac:dyDescent="0.25">
      <c r="A64" s="13">
        <v>44237</v>
      </c>
      <c r="B64" s="35" t="s">
        <v>332</v>
      </c>
      <c r="C64" s="15">
        <v>24</v>
      </c>
      <c r="D64" s="1" t="s">
        <v>307</v>
      </c>
      <c r="E64" s="13">
        <v>44559</v>
      </c>
      <c r="F64" s="32">
        <v>5.5041095890410956</v>
      </c>
      <c r="G64" s="32">
        <v>0.88219178082191785</v>
      </c>
      <c r="H64" s="57">
        <v>-11.7</v>
      </c>
    </row>
    <row r="65" spans="1:8" x14ac:dyDescent="0.25">
      <c r="A65" s="13">
        <v>44270</v>
      </c>
      <c r="B65" s="35" t="s">
        <v>332</v>
      </c>
      <c r="C65" s="15">
        <v>13</v>
      </c>
      <c r="D65" s="1" t="s">
        <v>307</v>
      </c>
      <c r="E65" s="13">
        <v>45802</v>
      </c>
      <c r="F65" s="32">
        <v>15.010958904109589</v>
      </c>
      <c r="G65" s="32">
        <v>4.1972602739726028</v>
      </c>
      <c r="H65" s="57">
        <v>-65.090999999999994</v>
      </c>
    </row>
    <row r="66" spans="1:8" x14ac:dyDescent="0.25">
      <c r="A66" s="13">
        <v>44270</v>
      </c>
      <c r="B66" s="35" t="s">
        <v>332</v>
      </c>
      <c r="C66" s="15">
        <v>26</v>
      </c>
      <c r="D66" s="1" t="s">
        <v>307</v>
      </c>
      <c r="E66" s="13">
        <v>45059</v>
      </c>
      <c r="F66" s="32">
        <v>4.0027397260273974</v>
      </c>
      <c r="G66" s="32">
        <v>2.1616438356164385</v>
      </c>
      <c r="H66" s="57">
        <v>-32.627234999999999</v>
      </c>
    </row>
    <row r="67" spans="1:8" x14ac:dyDescent="0.25">
      <c r="A67" s="13">
        <v>44272</v>
      </c>
      <c r="B67" s="35" t="s">
        <v>332</v>
      </c>
      <c r="C67" s="15">
        <v>24</v>
      </c>
      <c r="D67" s="1" t="s">
        <v>307</v>
      </c>
      <c r="E67" s="13">
        <v>44559</v>
      </c>
      <c r="F67" s="32">
        <v>5.5041095890410956</v>
      </c>
      <c r="G67" s="32">
        <v>0.78630136986301369</v>
      </c>
      <c r="H67" s="57">
        <v>-3.421665</v>
      </c>
    </row>
    <row r="68" spans="1:8" x14ac:dyDescent="0.25">
      <c r="A68" s="13">
        <v>44307</v>
      </c>
      <c r="B68" s="35" t="s">
        <v>332</v>
      </c>
      <c r="C68" s="15">
        <v>24</v>
      </c>
      <c r="D68" s="1" t="s">
        <v>307</v>
      </c>
      <c r="E68" s="13">
        <v>44559</v>
      </c>
      <c r="F68" s="32">
        <v>5.5041095890410956</v>
      </c>
      <c r="G68" s="32">
        <v>0.69041095890410964</v>
      </c>
      <c r="H68" s="57">
        <v>-116.08054199999999</v>
      </c>
    </row>
    <row r="69" spans="1:8" x14ac:dyDescent="0.25">
      <c r="A69" s="13">
        <v>44314</v>
      </c>
      <c r="B69" s="35" t="s">
        <v>332</v>
      </c>
      <c r="C69" s="15">
        <v>19</v>
      </c>
      <c r="D69" s="1" t="s">
        <v>307</v>
      </c>
      <c r="E69" s="13">
        <v>44831</v>
      </c>
      <c r="F69" s="32">
        <v>10.005479452054795</v>
      </c>
      <c r="G69" s="32">
        <v>1.4164383561643836</v>
      </c>
      <c r="H69" s="57">
        <v>-155.36430999999999</v>
      </c>
    </row>
    <row r="70" spans="1:8" x14ac:dyDescent="0.25">
      <c r="A70" s="13">
        <v>44314</v>
      </c>
      <c r="B70" s="35" t="s">
        <v>332</v>
      </c>
      <c r="C70" s="15">
        <v>24</v>
      </c>
      <c r="D70" s="1" t="s">
        <v>307</v>
      </c>
      <c r="E70" s="13">
        <v>44559</v>
      </c>
      <c r="F70" s="32">
        <v>5.5041095890410956</v>
      </c>
      <c r="G70" s="32">
        <v>0.67123287671232879</v>
      </c>
      <c r="H70" s="57">
        <v>-0.29595500000000002</v>
      </c>
    </row>
    <row r="71" spans="1:8" x14ac:dyDescent="0.25">
      <c r="A71" s="13">
        <v>44329</v>
      </c>
      <c r="B71" s="35" t="s">
        <v>332</v>
      </c>
      <c r="C71" s="15">
        <v>19</v>
      </c>
      <c r="D71" s="1" t="s">
        <v>307</v>
      </c>
      <c r="E71" s="13">
        <v>44831</v>
      </c>
      <c r="F71" s="32">
        <v>10.005479452054795</v>
      </c>
      <c r="G71" s="32">
        <v>1.3753424657534246</v>
      </c>
      <c r="H71" s="57">
        <v>-172.775622</v>
      </c>
    </row>
    <row r="72" spans="1:8" x14ac:dyDescent="0.25">
      <c r="A72" s="13">
        <v>44329</v>
      </c>
      <c r="B72" s="35" t="s">
        <v>332</v>
      </c>
      <c r="C72" s="15">
        <v>24</v>
      </c>
      <c r="D72" s="1" t="s">
        <v>307</v>
      </c>
      <c r="E72" s="13">
        <v>44559</v>
      </c>
      <c r="F72" s="32">
        <v>5.5041095890410956</v>
      </c>
      <c r="G72" s="32">
        <v>0.63013698630136983</v>
      </c>
      <c r="H72" s="57">
        <v>-27.877838000000001</v>
      </c>
    </row>
    <row r="73" spans="1:8" x14ac:dyDescent="0.25">
      <c r="A73" s="13">
        <v>44329</v>
      </c>
      <c r="B73" s="35" t="s">
        <v>338</v>
      </c>
      <c r="C73" s="15">
        <v>26</v>
      </c>
      <c r="D73" s="1" t="s">
        <v>307</v>
      </c>
      <c r="E73" s="13">
        <v>45059</v>
      </c>
      <c r="F73" s="32">
        <v>4.0027397260273974</v>
      </c>
      <c r="G73" s="32">
        <v>2</v>
      </c>
      <c r="H73" s="57">
        <v>-2051.5975883333299</v>
      </c>
    </row>
    <row r="74" spans="1:8" x14ac:dyDescent="0.25">
      <c r="A74" s="13">
        <v>44363</v>
      </c>
      <c r="B74" s="35" t="s">
        <v>332</v>
      </c>
      <c r="C74" s="15">
        <v>24</v>
      </c>
      <c r="D74" s="1" t="s">
        <v>307</v>
      </c>
      <c r="E74" s="13">
        <v>44559</v>
      </c>
      <c r="F74" s="32">
        <v>5.5041095890410956</v>
      </c>
      <c r="G74" s="32">
        <v>0.53698630136986303</v>
      </c>
      <c r="H74" s="57">
        <v>-98.717601000000002</v>
      </c>
    </row>
    <row r="75" spans="1:8" x14ac:dyDescent="0.25">
      <c r="A75" s="13">
        <v>44377</v>
      </c>
      <c r="B75" s="35" t="s">
        <v>332</v>
      </c>
      <c r="C75" s="15">
        <v>24</v>
      </c>
      <c r="D75" s="1" t="s">
        <v>307</v>
      </c>
      <c r="E75" s="13">
        <v>44559</v>
      </c>
      <c r="F75" s="32">
        <v>5.5041095890410956</v>
      </c>
      <c r="G75" s="32">
        <f t="shared" ref="G75:G92" si="0">+(E75-A75)/365</f>
        <v>0.49863013698630138</v>
      </c>
      <c r="H75" s="57">
        <v>-0.178703</v>
      </c>
    </row>
    <row r="76" spans="1:8" x14ac:dyDescent="0.25">
      <c r="A76" s="13">
        <v>44398</v>
      </c>
      <c r="B76" s="35" t="s">
        <v>332</v>
      </c>
      <c r="C76" s="15">
        <v>24</v>
      </c>
      <c r="D76" s="1" t="s">
        <v>307</v>
      </c>
      <c r="E76" s="13">
        <v>44559</v>
      </c>
      <c r="F76" s="32">
        <v>5.5041095890410956</v>
      </c>
      <c r="G76" s="32">
        <f t="shared" si="0"/>
        <v>0.44109589041095892</v>
      </c>
      <c r="H76" s="57">
        <v>-0.379938</v>
      </c>
    </row>
    <row r="77" spans="1:8" x14ac:dyDescent="0.25">
      <c r="A77" s="13">
        <v>44426</v>
      </c>
      <c r="B77" s="35" t="s">
        <v>332</v>
      </c>
      <c r="C77" s="15">
        <v>19</v>
      </c>
      <c r="D77" s="1" t="s">
        <v>307</v>
      </c>
      <c r="E77" s="13">
        <v>44831</v>
      </c>
      <c r="F77" s="32">
        <v>10.005479452054795</v>
      </c>
      <c r="G77" s="32">
        <f t="shared" si="0"/>
        <v>1.1095890410958904</v>
      </c>
      <c r="H77" s="57">
        <v>-0.41122999999999998</v>
      </c>
    </row>
    <row r="78" spans="1:8" x14ac:dyDescent="0.25">
      <c r="A78" s="13">
        <v>44426</v>
      </c>
      <c r="B78" s="35" t="s">
        <v>332</v>
      </c>
      <c r="C78" s="15">
        <v>24</v>
      </c>
      <c r="D78" s="1" t="s">
        <v>307</v>
      </c>
      <c r="E78" s="13">
        <v>44559</v>
      </c>
      <c r="F78" s="32">
        <v>5.5041095890410956</v>
      </c>
      <c r="G78" s="32">
        <f t="shared" si="0"/>
        <v>0.36438356164383562</v>
      </c>
      <c r="H78" s="57">
        <v>-131.84455</v>
      </c>
    </row>
    <row r="79" spans="1:8" x14ac:dyDescent="0.25">
      <c r="A79" s="13">
        <v>44426</v>
      </c>
      <c r="B79" s="35" t="s">
        <v>332</v>
      </c>
      <c r="C79" s="15">
        <v>26</v>
      </c>
      <c r="D79" s="1" t="s">
        <v>307</v>
      </c>
      <c r="E79" s="13">
        <v>45059</v>
      </c>
      <c r="F79" s="32">
        <v>4.0027397260273974</v>
      </c>
      <c r="G79" s="32">
        <f t="shared" si="0"/>
        <v>1.7342465753424658</v>
      </c>
      <c r="H79" s="57">
        <v>-84.804191000000003</v>
      </c>
    </row>
    <row r="80" spans="1:8" x14ac:dyDescent="0.25">
      <c r="A80" s="13">
        <v>44432</v>
      </c>
      <c r="B80" s="35" t="s">
        <v>332</v>
      </c>
      <c r="C80" s="15">
        <v>19</v>
      </c>
      <c r="D80" s="1" t="s">
        <v>307</v>
      </c>
      <c r="E80" s="13">
        <v>44831</v>
      </c>
      <c r="F80" s="32">
        <v>10.005479452054795</v>
      </c>
      <c r="G80" s="32">
        <f t="shared" si="0"/>
        <v>1.0931506849315069</v>
      </c>
      <c r="H80" s="57">
        <v>-9.2099E-2</v>
      </c>
    </row>
    <row r="81" spans="1:8" x14ac:dyDescent="0.25">
      <c r="A81" s="13">
        <v>44432</v>
      </c>
      <c r="B81" s="35" t="s">
        <v>332</v>
      </c>
      <c r="C81" s="15">
        <v>24</v>
      </c>
      <c r="D81" s="1" t="s">
        <v>307</v>
      </c>
      <c r="E81" s="13">
        <v>44559</v>
      </c>
      <c r="F81" s="32">
        <v>5.5041095890410956</v>
      </c>
      <c r="G81" s="32">
        <f t="shared" si="0"/>
        <v>0.34794520547945207</v>
      </c>
      <c r="H81" s="57">
        <v>-10.466794999999999</v>
      </c>
    </row>
    <row r="82" spans="1:8" x14ac:dyDescent="0.25">
      <c r="A82" s="13">
        <v>44432</v>
      </c>
      <c r="B82" s="35" t="s">
        <v>332</v>
      </c>
      <c r="C82" s="15">
        <v>26</v>
      </c>
      <c r="D82" s="1" t="s">
        <v>307</v>
      </c>
      <c r="E82" s="13">
        <v>45059</v>
      </c>
      <c r="F82" s="32">
        <v>4.0027397260273974</v>
      </c>
      <c r="G82" s="32">
        <f t="shared" si="0"/>
        <v>1.7178082191780821</v>
      </c>
      <c r="H82" s="57">
        <v>-15.406758</v>
      </c>
    </row>
    <row r="83" spans="1:8" x14ac:dyDescent="0.25">
      <c r="A83" s="13">
        <v>44440</v>
      </c>
      <c r="B83" s="35" t="s">
        <v>332</v>
      </c>
      <c r="C83" s="15">
        <v>19</v>
      </c>
      <c r="D83" s="1" t="s">
        <v>307</v>
      </c>
      <c r="E83" s="13">
        <v>44831</v>
      </c>
      <c r="F83" s="32">
        <v>10.005479452054795</v>
      </c>
      <c r="G83" s="32">
        <f t="shared" si="0"/>
        <v>1.0712328767123287</v>
      </c>
      <c r="H83" s="57">
        <v>-85.139626000000007</v>
      </c>
    </row>
    <row r="84" spans="1:8" x14ac:dyDescent="0.25">
      <c r="A84" s="13">
        <v>44440</v>
      </c>
      <c r="B84" s="35" t="s">
        <v>332</v>
      </c>
      <c r="C84" s="15">
        <v>24</v>
      </c>
      <c r="D84" s="1" t="s">
        <v>307</v>
      </c>
      <c r="E84" s="13">
        <v>44559</v>
      </c>
      <c r="F84" s="32">
        <v>5.5041095890410956</v>
      </c>
      <c r="G84" s="32">
        <f t="shared" si="0"/>
        <v>0.32602739726027397</v>
      </c>
      <c r="H84" s="57">
        <v>-100</v>
      </c>
    </row>
    <row r="85" spans="1:8" x14ac:dyDescent="0.25">
      <c r="A85" s="13">
        <v>44461</v>
      </c>
      <c r="B85" s="35" t="s">
        <v>332</v>
      </c>
      <c r="C85" s="15">
        <v>19</v>
      </c>
      <c r="D85" s="1" t="s">
        <v>307</v>
      </c>
      <c r="E85" s="13">
        <v>44831</v>
      </c>
      <c r="F85" s="32">
        <v>10.005479452054795</v>
      </c>
      <c r="G85" s="32">
        <f t="shared" si="0"/>
        <v>1.0136986301369864</v>
      </c>
      <c r="H85" s="57">
        <v>-56.840429999999998</v>
      </c>
    </row>
    <row r="86" spans="1:8" x14ac:dyDescent="0.25">
      <c r="A86" s="13">
        <v>44461</v>
      </c>
      <c r="B86" s="35" t="s">
        <v>332</v>
      </c>
      <c r="C86" s="15">
        <v>24</v>
      </c>
      <c r="D86" s="1" t="s">
        <v>307</v>
      </c>
      <c r="E86" s="13">
        <v>44559</v>
      </c>
      <c r="F86" s="32">
        <v>5.5041095890410956</v>
      </c>
      <c r="G86" s="32">
        <f t="shared" si="0"/>
        <v>0.26849315068493151</v>
      </c>
      <c r="H86" s="57">
        <v>-713.77831600000002</v>
      </c>
    </row>
    <row r="87" spans="1:8" x14ac:dyDescent="0.25">
      <c r="A87" s="13">
        <v>44461</v>
      </c>
      <c r="B87" s="35" t="s">
        <v>332</v>
      </c>
      <c r="C87" s="15">
        <v>26</v>
      </c>
      <c r="D87" s="1" t="s">
        <v>307</v>
      </c>
      <c r="E87" s="13">
        <v>45059</v>
      </c>
      <c r="F87" s="32">
        <v>4.0027397260273974</v>
      </c>
      <c r="G87" s="32">
        <f t="shared" si="0"/>
        <v>1.6383561643835616</v>
      </c>
      <c r="H87" s="57">
        <v>-11.962558</v>
      </c>
    </row>
    <row r="88" spans="1:8" x14ac:dyDescent="0.25">
      <c r="A88" s="13">
        <v>44468</v>
      </c>
      <c r="B88" s="35" t="s">
        <v>332</v>
      </c>
      <c r="C88" s="15">
        <v>19</v>
      </c>
      <c r="D88" s="1" t="s">
        <v>307</v>
      </c>
      <c r="E88" s="13">
        <v>44831</v>
      </c>
      <c r="F88" s="32">
        <v>10.005479452054795</v>
      </c>
      <c r="G88" s="32">
        <f t="shared" si="0"/>
        <v>0.9945205479452055</v>
      </c>
      <c r="H88" s="57">
        <v>-110.10351300000001</v>
      </c>
    </row>
    <row r="89" spans="1:8" x14ac:dyDescent="0.25">
      <c r="A89" s="13">
        <v>44468</v>
      </c>
      <c r="B89" s="35" t="s">
        <v>332</v>
      </c>
      <c r="C89" s="15">
        <v>24</v>
      </c>
      <c r="D89" s="1" t="s">
        <v>307</v>
      </c>
      <c r="E89" s="13">
        <v>44559</v>
      </c>
      <c r="F89" s="32">
        <v>5.5041095890410956</v>
      </c>
      <c r="G89" s="32">
        <f t="shared" si="0"/>
        <v>0.24931506849315069</v>
      </c>
      <c r="H89" s="57">
        <v>-50.305880000000002</v>
      </c>
    </row>
    <row r="90" spans="1:8" x14ac:dyDescent="0.25">
      <c r="A90" s="13">
        <v>44470</v>
      </c>
      <c r="B90" s="35" t="s">
        <v>332</v>
      </c>
      <c r="C90" s="15">
        <v>24</v>
      </c>
      <c r="D90" s="1" t="s">
        <v>307</v>
      </c>
      <c r="E90" s="13">
        <v>44559</v>
      </c>
      <c r="F90" s="32">
        <v>5.5041095890410956</v>
      </c>
      <c r="G90" s="32">
        <f t="shared" si="0"/>
        <v>0.24383561643835616</v>
      </c>
      <c r="H90" s="57">
        <v>-6.6950000000000003</v>
      </c>
    </row>
    <row r="91" spans="1:8" x14ac:dyDescent="0.25">
      <c r="A91" s="13">
        <v>44482</v>
      </c>
      <c r="B91" s="35" t="s">
        <v>332</v>
      </c>
      <c r="C91" s="15">
        <v>19</v>
      </c>
      <c r="D91" s="1" t="s">
        <v>307</v>
      </c>
      <c r="E91" s="13">
        <v>44831</v>
      </c>
      <c r="F91" s="32">
        <v>10.005479452054795</v>
      </c>
      <c r="G91" s="32">
        <f t="shared" si="0"/>
        <v>0.95616438356164379</v>
      </c>
      <c r="H91" s="57">
        <v>-56.852187000000001</v>
      </c>
    </row>
    <row r="92" spans="1:8" x14ac:dyDescent="0.25">
      <c r="A92" s="13">
        <v>44482</v>
      </c>
      <c r="B92" s="35" t="s">
        <v>332</v>
      </c>
      <c r="C92" s="15">
        <v>26</v>
      </c>
      <c r="D92" s="1" t="s">
        <v>307</v>
      </c>
      <c r="E92" s="13">
        <v>45059</v>
      </c>
      <c r="F92" s="32">
        <v>4.0027397260273974</v>
      </c>
      <c r="G92" s="32">
        <f t="shared" si="0"/>
        <v>1.5808219178082192</v>
      </c>
      <c r="H92" s="57">
        <v>-65.999695000000003</v>
      </c>
    </row>
    <row r="93" spans="1:8" x14ac:dyDescent="0.25">
      <c r="A93" s="13">
        <v>44489</v>
      </c>
      <c r="B93" s="35" t="s">
        <v>332</v>
      </c>
      <c r="C93" s="15">
        <v>19</v>
      </c>
      <c r="D93" s="1" t="s">
        <v>307</v>
      </c>
      <c r="E93" s="13">
        <v>44831</v>
      </c>
      <c r="F93" s="32">
        <v>10.005479452054795</v>
      </c>
      <c r="G93" s="32">
        <f t="shared" ref="G93:G95" si="1">+(E93-A93)/365</f>
        <v>0.93698630136986305</v>
      </c>
      <c r="H93" s="57">
        <v>-0.17610000000000001</v>
      </c>
    </row>
    <row r="94" spans="1:8" x14ac:dyDescent="0.25">
      <c r="A94" s="13">
        <v>44489</v>
      </c>
      <c r="B94" s="35" t="s">
        <v>332</v>
      </c>
      <c r="C94" s="15">
        <v>24</v>
      </c>
      <c r="D94" s="1" t="s">
        <v>307</v>
      </c>
      <c r="E94" s="13">
        <v>44559</v>
      </c>
      <c r="F94" s="32">
        <v>5.5041095890410956</v>
      </c>
      <c r="G94" s="32">
        <f t="shared" si="1"/>
        <v>0.19178082191780821</v>
      </c>
      <c r="H94" s="57">
        <v>-4.6216530000000002</v>
      </c>
    </row>
    <row r="95" spans="1:8" x14ac:dyDescent="0.25">
      <c r="A95" s="13">
        <v>44489</v>
      </c>
      <c r="B95" s="35" t="s">
        <v>332</v>
      </c>
      <c r="C95" s="15">
        <v>26</v>
      </c>
      <c r="D95" s="1" t="s">
        <v>307</v>
      </c>
      <c r="E95" s="13">
        <v>45059</v>
      </c>
      <c r="F95" s="32">
        <v>4.0027397260273974</v>
      </c>
      <c r="G95" s="32">
        <f t="shared" si="1"/>
        <v>1.5616438356164384</v>
      </c>
      <c r="H95" s="57">
        <v>-67.783575999999996</v>
      </c>
    </row>
    <row r="96" spans="1:8" x14ac:dyDescent="0.25">
      <c r="A96" s="13">
        <v>44496</v>
      </c>
      <c r="B96" s="35" t="s">
        <v>332</v>
      </c>
      <c r="C96" s="15">
        <v>24</v>
      </c>
      <c r="D96" s="1" t="s">
        <v>307</v>
      </c>
      <c r="E96" s="13">
        <v>44559</v>
      </c>
      <c r="F96" s="32">
        <v>5.5041095890410956</v>
      </c>
      <c r="G96" s="32">
        <f t="shared" ref="G96:G98" si="2">+(E96-A96)/365</f>
        <v>0.17260273972602741</v>
      </c>
      <c r="H96" s="57">
        <v>-99.672619999999995</v>
      </c>
    </row>
    <row r="97" spans="1:9" x14ac:dyDescent="0.25">
      <c r="A97" s="13">
        <v>44496</v>
      </c>
      <c r="B97" s="35" t="s">
        <v>332</v>
      </c>
      <c r="C97" s="15">
        <v>26</v>
      </c>
      <c r="D97" s="1" t="s">
        <v>307</v>
      </c>
      <c r="E97" s="13">
        <v>45059</v>
      </c>
      <c r="F97" s="32">
        <v>4.0027397260273974</v>
      </c>
      <c r="G97" s="32">
        <f t="shared" si="2"/>
        <v>1.5424657534246575</v>
      </c>
      <c r="H97" s="57">
        <v>-6.1915740000000001</v>
      </c>
    </row>
    <row r="98" spans="1:9" x14ac:dyDescent="0.25">
      <c r="A98" s="13">
        <v>44524</v>
      </c>
      <c r="B98" s="35" t="s">
        <v>332</v>
      </c>
      <c r="C98" s="15">
        <v>19</v>
      </c>
      <c r="D98" s="1" t="s">
        <v>307</v>
      </c>
      <c r="E98" s="13">
        <v>44831</v>
      </c>
      <c r="F98" s="32">
        <v>10.005479452054795</v>
      </c>
      <c r="G98" s="32">
        <f t="shared" si="2"/>
        <v>0.84109589041095889</v>
      </c>
      <c r="H98" s="57">
        <v>-2.3051680000000001</v>
      </c>
    </row>
    <row r="99" spans="1:9" x14ac:dyDescent="0.25">
      <c r="A99" s="13">
        <v>44524</v>
      </c>
      <c r="B99" s="35" t="s">
        <v>332</v>
      </c>
      <c r="C99" s="15">
        <v>24</v>
      </c>
      <c r="D99" s="1" t="s">
        <v>307</v>
      </c>
      <c r="E99" s="13">
        <v>44559</v>
      </c>
      <c r="F99" s="32">
        <v>5.5041095890410956</v>
      </c>
      <c r="G99" s="32">
        <f t="shared" ref="G99:G100" si="3">+(E99-A99)/365</f>
        <v>9.5890410958904104E-2</v>
      </c>
      <c r="H99" s="57">
        <v>-509.37045999999998</v>
      </c>
    </row>
    <row r="100" spans="1:9" x14ac:dyDescent="0.25">
      <c r="A100" s="13">
        <v>44531</v>
      </c>
      <c r="B100" s="35" t="s">
        <v>332</v>
      </c>
      <c r="C100" s="15">
        <v>26</v>
      </c>
      <c r="D100" s="1" t="s">
        <v>307</v>
      </c>
      <c r="E100" s="13">
        <v>45059</v>
      </c>
      <c r="F100" s="32">
        <v>4.0027397260273974</v>
      </c>
      <c r="G100" s="32">
        <f t="shared" si="3"/>
        <v>1.4465753424657535</v>
      </c>
      <c r="H100" s="57">
        <v>-184.977813</v>
      </c>
    </row>
    <row r="101" spans="1:9" x14ac:dyDescent="0.25">
      <c r="A101" s="13">
        <v>44538</v>
      </c>
      <c r="B101" s="35" t="s">
        <v>332</v>
      </c>
      <c r="C101" s="15">
        <v>26</v>
      </c>
      <c r="D101" s="1" t="s">
        <v>307</v>
      </c>
      <c r="E101" s="13">
        <v>45059</v>
      </c>
      <c r="F101" s="32">
        <v>4.0027397260273974</v>
      </c>
      <c r="G101" s="32">
        <f t="shared" ref="G101:G102" si="4">+(E101-A101)/365</f>
        <v>1.4273972602739726</v>
      </c>
      <c r="H101" s="57">
        <v>-152.497716</v>
      </c>
    </row>
    <row r="102" spans="1:9" x14ac:dyDescent="0.25">
      <c r="A102" s="13">
        <v>44545</v>
      </c>
      <c r="B102" s="35" t="s">
        <v>332</v>
      </c>
      <c r="C102" s="15">
        <v>24</v>
      </c>
      <c r="D102" s="1" t="s">
        <v>307</v>
      </c>
      <c r="E102" s="13">
        <v>44559</v>
      </c>
      <c r="F102" s="32">
        <v>5.5041095890410956</v>
      </c>
      <c r="G102" s="32">
        <f t="shared" si="4"/>
        <v>3.8356164383561646E-2</v>
      </c>
      <c r="H102" s="57">
        <v>-236.00233299999999</v>
      </c>
    </row>
    <row r="103" spans="1:9" x14ac:dyDescent="0.25">
      <c r="A103" s="13">
        <v>44552</v>
      </c>
      <c r="B103" s="35" t="s">
        <v>332</v>
      </c>
      <c r="C103" s="15">
        <v>24</v>
      </c>
      <c r="D103" s="1" t="s">
        <v>307</v>
      </c>
      <c r="E103" s="13">
        <v>44559</v>
      </c>
      <c r="F103" s="32">
        <v>5.5041095890410956</v>
      </c>
      <c r="G103" s="32">
        <f t="shared" ref="G103:G105" si="5">+(E103-A103)/365</f>
        <v>1.9178082191780823E-2</v>
      </c>
      <c r="H103" s="57">
        <v>-1013.0760320000001</v>
      </c>
    </row>
    <row r="104" spans="1:9" x14ac:dyDescent="0.25">
      <c r="A104" s="13">
        <v>44580</v>
      </c>
      <c r="B104" s="35" t="s">
        <v>332</v>
      </c>
      <c r="C104" s="15">
        <v>27</v>
      </c>
      <c r="D104" s="1" t="s">
        <v>307</v>
      </c>
      <c r="E104" s="13">
        <v>45452</v>
      </c>
      <c r="F104" s="32">
        <v>4</v>
      </c>
      <c r="G104" s="32">
        <f t="shared" si="5"/>
        <v>2.3890410958904109</v>
      </c>
      <c r="H104" s="57">
        <v>-0.45736700000000002</v>
      </c>
    </row>
    <row r="105" spans="1:9" x14ac:dyDescent="0.25">
      <c r="A105" s="13">
        <v>44599</v>
      </c>
      <c r="B105" s="35" t="s">
        <v>332</v>
      </c>
      <c r="C105" s="15">
        <v>19</v>
      </c>
      <c r="D105" s="1" t="s">
        <v>307</v>
      </c>
      <c r="E105" s="13">
        <v>44831</v>
      </c>
      <c r="F105" s="32">
        <v>10</v>
      </c>
      <c r="G105" s="32">
        <f t="shared" si="5"/>
        <v>0.63561643835616444</v>
      </c>
      <c r="H105" s="57">
        <v>-186.299792</v>
      </c>
    </row>
    <row r="106" spans="1:9" x14ac:dyDescent="0.25">
      <c r="A106" s="13">
        <v>44608</v>
      </c>
      <c r="B106" s="35" t="s">
        <v>332</v>
      </c>
      <c r="C106" s="15">
        <v>19</v>
      </c>
      <c r="D106" s="1" t="s">
        <v>307</v>
      </c>
      <c r="E106" s="13">
        <v>44831</v>
      </c>
      <c r="F106" s="32">
        <v>10</v>
      </c>
      <c r="G106" s="32">
        <f t="shared" ref="G106:G113" si="6">+(E106-A106)/365</f>
        <v>0.61095890410958908</v>
      </c>
      <c r="H106" s="57">
        <v>-259.51037700000001</v>
      </c>
    </row>
    <row r="107" spans="1:9" x14ac:dyDescent="0.25">
      <c r="A107" s="13">
        <v>44608</v>
      </c>
      <c r="B107" s="35" t="s">
        <v>332</v>
      </c>
      <c r="C107" s="15">
        <v>26</v>
      </c>
      <c r="D107" s="1" t="s">
        <v>307</v>
      </c>
      <c r="E107" s="13">
        <v>45059</v>
      </c>
      <c r="F107" s="32">
        <v>4.0027397260273974</v>
      </c>
      <c r="G107" s="32">
        <f t="shared" si="6"/>
        <v>1.2356164383561643</v>
      </c>
      <c r="H107" s="57">
        <v>-7.2259999999999998E-3</v>
      </c>
    </row>
    <row r="108" spans="1:9" x14ac:dyDescent="0.25">
      <c r="A108" s="13">
        <v>44608</v>
      </c>
      <c r="B108" s="35" t="s">
        <v>332</v>
      </c>
      <c r="C108" s="15">
        <v>27</v>
      </c>
      <c r="D108" s="1" t="s">
        <v>307</v>
      </c>
      <c r="E108" s="13">
        <v>45452</v>
      </c>
      <c r="F108" s="32">
        <v>4</v>
      </c>
      <c r="G108" s="32">
        <f t="shared" si="6"/>
        <v>2.3123287671232875</v>
      </c>
      <c r="H108" s="57">
        <v>-0.66478000000000004</v>
      </c>
    </row>
    <row r="109" spans="1:9" x14ac:dyDescent="0.25">
      <c r="A109" s="13">
        <v>44615</v>
      </c>
      <c r="B109" s="35" t="s">
        <v>332</v>
      </c>
      <c r="C109" s="15">
        <v>19</v>
      </c>
      <c r="D109" s="1" t="s">
        <v>307</v>
      </c>
      <c r="E109" s="13">
        <v>44831</v>
      </c>
      <c r="F109" s="32">
        <v>10</v>
      </c>
      <c r="G109" s="32">
        <f t="shared" si="6"/>
        <v>0.59178082191780823</v>
      </c>
      <c r="H109" s="57">
        <v>-22.363827000000001</v>
      </c>
    </row>
    <row r="110" spans="1:9" x14ac:dyDescent="0.25">
      <c r="A110" s="13">
        <v>44615</v>
      </c>
      <c r="B110" s="35" t="s">
        <v>332</v>
      </c>
      <c r="C110" s="15">
        <v>26</v>
      </c>
      <c r="D110" s="1" t="s">
        <v>307</v>
      </c>
      <c r="E110" s="13">
        <v>45059</v>
      </c>
      <c r="F110" s="32">
        <v>4.0027397260273974</v>
      </c>
      <c r="G110" s="32">
        <f t="shared" si="6"/>
        <v>1.2164383561643837</v>
      </c>
      <c r="H110" s="57">
        <v>-26.170857000000002</v>
      </c>
    </row>
    <row r="111" spans="1:9" x14ac:dyDescent="0.25">
      <c r="A111" s="13">
        <v>44671</v>
      </c>
      <c r="B111" s="35" t="s">
        <v>332</v>
      </c>
      <c r="C111" s="15">
        <v>19</v>
      </c>
      <c r="D111" s="1" t="s">
        <v>307</v>
      </c>
      <c r="E111" s="13">
        <v>44831</v>
      </c>
      <c r="F111" s="32">
        <v>10</v>
      </c>
      <c r="G111" s="32">
        <f t="shared" si="6"/>
        <v>0.43835616438356162</v>
      </c>
      <c r="H111" s="57">
        <v>-41.99785</v>
      </c>
      <c r="I111" s="54"/>
    </row>
    <row r="112" spans="1:9" x14ac:dyDescent="0.25">
      <c r="A112" s="13">
        <v>44671</v>
      </c>
      <c r="B112" s="35" t="s">
        <v>332</v>
      </c>
      <c r="C112" s="15">
        <v>26</v>
      </c>
      <c r="D112" s="1" t="s">
        <v>307</v>
      </c>
      <c r="E112" s="13">
        <v>45059</v>
      </c>
      <c r="F112" s="32">
        <v>4</v>
      </c>
      <c r="G112" s="32">
        <f t="shared" si="6"/>
        <v>1.0630136986301371</v>
      </c>
      <c r="H112" s="57">
        <v>-88.209366000000003</v>
      </c>
      <c r="I112" s="54"/>
    </row>
    <row r="113" spans="1:11" x14ac:dyDescent="0.25">
      <c r="A113" s="13">
        <v>44671</v>
      </c>
      <c r="B113" s="35" t="s">
        <v>332</v>
      </c>
      <c r="C113" s="15">
        <v>27</v>
      </c>
      <c r="D113" s="1" t="s">
        <v>307</v>
      </c>
      <c r="E113" s="13">
        <v>45452</v>
      </c>
      <c r="F113" s="32">
        <v>4</v>
      </c>
      <c r="G113" s="32">
        <f t="shared" si="6"/>
        <v>2.1397260273972605</v>
      </c>
      <c r="H113" s="57">
        <v>-93.321608999999995</v>
      </c>
      <c r="I113" s="54"/>
    </row>
    <row r="114" spans="1:11" x14ac:dyDescent="0.25">
      <c r="A114" s="13">
        <v>44678</v>
      </c>
      <c r="B114" s="35" t="s">
        <v>332</v>
      </c>
      <c r="C114" s="15">
        <v>27</v>
      </c>
      <c r="D114" s="1" t="s">
        <v>307</v>
      </c>
      <c r="E114" s="13">
        <v>45452</v>
      </c>
      <c r="F114" s="32">
        <v>4</v>
      </c>
      <c r="G114" s="32">
        <f t="shared" ref="G114:G116" si="7">+(E114-A114)/365</f>
        <v>2.1205479452054794</v>
      </c>
      <c r="H114" s="57">
        <v>-1.2418659999999999</v>
      </c>
    </row>
    <row r="115" spans="1:11" x14ac:dyDescent="0.25">
      <c r="A115" s="13">
        <v>44694</v>
      </c>
      <c r="B115" s="35" t="s">
        <v>338</v>
      </c>
      <c r="C115" s="15">
        <v>26</v>
      </c>
      <c r="D115" s="1" t="s">
        <v>307</v>
      </c>
      <c r="E115" s="13">
        <v>45059</v>
      </c>
      <c r="F115" s="32">
        <v>4.0027397260273974</v>
      </c>
      <c r="G115" s="32">
        <f t="shared" si="7"/>
        <v>1</v>
      </c>
      <c r="H115" s="57">
        <v>-1699.5919226866699</v>
      </c>
      <c r="J115" s="56"/>
    </row>
    <row r="116" spans="1:11" x14ac:dyDescent="0.25">
      <c r="A116" s="13">
        <v>44721</v>
      </c>
      <c r="B116" s="35" t="s">
        <v>338</v>
      </c>
      <c r="C116" s="15">
        <v>27</v>
      </c>
      <c r="D116" s="1" t="s">
        <v>307</v>
      </c>
      <c r="E116" s="13">
        <v>45452</v>
      </c>
      <c r="F116" s="32">
        <v>4</v>
      </c>
      <c r="G116" s="32">
        <f t="shared" si="7"/>
        <v>2.0027397260273974</v>
      </c>
      <c r="H116" s="57">
        <v>-2559.2947924299992</v>
      </c>
      <c r="I116" s="60"/>
    </row>
    <row r="117" spans="1:11" x14ac:dyDescent="0.25">
      <c r="A117" s="13">
        <v>44727</v>
      </c>
      <c r="B117" s="35" t="s">
        <v>332</v>
      </c>
      <c r="C117" s="15">
        <v>27</v>
      </c>
      <c r="D117" s="1" t="s">
        <v>307</v>
      </c>
      <c r="E117" s="13">
        <v>45452</v>
      </c>
      <c r="F117" s="32">
        <v>4</v>
      </c>
      <c r="G117" s="32">
        <f t="shared" ref="G117:G129" si="8">+(E117-A117)/365</f>
        <v>1.9863013698630136</v>
      </c>
      <c r="H117" s="57">
        <v>-67.907253499999996</v>
      </c>
      <c r="K117" s="2"/>
    </row>
    <row r="118" spans="1:11" x14ac:dyDescent="0.25">
      <c r="A118" s="13">
        <v>44734</v>
      </c>
      <c r="B118" s="35" t="s">
        <v>332</v>
      </c>
      <c r="C118" s="15">
        <v>19</v>
      </c>
      <c r="D118" s="1" t="s">
        <v>307</v>
      </c>
      <c r="E118" s="13">
        <v>44831</v>
      </c>
      <c r="F118" s="32">
        <v>10</v>
      </c>
      <c r="G118" s="32">
        <f t="shared" si="8"/>
        <v>0.26575342465753427</v>
      </c>
      <c r="H118" s="57">
        <v>-6.7086999999999994E-2</v>
      </c>
      <c r="K118" s="54"/>
    </row>
    <row r="119" spans="1:11" x14ac:dyDescent="0.25">
      <c r="A119" s="13">
        <v>44734</v>
      </c>
      <c r="B119" s="35" t="s">
        <v>332</v>
      </c>
      <c r="C119" s="15">
        <v>26</v>
      </c>
      <c r="D119" s="1" t="s">
        <v>307</v>
      </c>
      <c r="E119" s="13">
        <v>45059</v>
      </c>
      <c r="F119" s="32">
        <v>4.0027397260273974</v>
      </c>
      <c r="G119" s="32">
        <f t="shared" si="8"/>
        <v>0.8904109589041096</v>
      </c>
      <c r="H119" s="57">
        <v>-0.17244200000000001</v>
      </c>
    </row>
    <row r="120" spans="1:11" x14ac:dyDescent="0.25">
      <c r="A120" s="13">
        <v>44790</v>
      </c>
      <c r="B120" s="35" t="s">
        <v>332</v>
      </c>
      <c r="C120" s="15">
        <v>27</v>
      </c>
      <c r="D120" s="1" t="s">
        <v>307</v>
      </c>
      <c r="E120" s="13">
        <v>45452</v>
      </c>
      <c r="F120" s="32">
        <v>4</v>
      </c>
      <c r="G120" s="32">
        <f t="shared" si="8"/>
        <v>1.8136986301369864</v>
      </c>
      <c r="H120" s="57">
        <v>-22.89504531</v>
      </c>
    </row>
    <row r="121" spans="1:11" x14ac:dyDescent="0.25">
      <c r="A121" s="13">
        <v>44797</v>
      </c>
      <c r="B121" s="35" t="s">
        <v>332</v>
      </c>
      <c r="C121" s="15">
        <v>26</v>
      </c>
      <c r="D121" s="1" t="s">
        <v>307</v>
      </c>
      <c r="E121" s="13">
        <v>45059</v>
      </c>
      <c r="F121" s="32">
        <v>4.0027397260273974</v>
      </c>
      <c r="G121" s="32">
        <f t="shared" si="8"/>
        <v>0.71780821917808224</v>
      </c>
      <c r="H121" s="57">
        <v>-0.116994</v>
      </c>
    </row>
    <row r="122" spans="1:11" x14ac:dyDescent="0.25">
      <c r="A122" s="13">
        <v>44797</v>
      </c>
      <c r="B122" s="35" t="s">
        <v>332</v>
      </c>
      <c r="C122" s="15">
        <v>27</v>
      </c>
      <c r="D122" s="1" t="s">
        <v>307</v>
      </c>
      <c r="E122" s="13">
        <v>45452</v>
      </c>
      <c r="F122" s="32">
        <v>4</v>
      </c>
      <c r="G122" s="32">
        <f t="shared" si="8"/>
        <v>1.7945205479452055</v>
      </c>
      <c r="H122" s="57">
        <v>-35.812246000000002</v>
      </c>
    </row>
    <row r="123" spans="1:11" x14ac:dyDescent="0.25">
      <c r="A123" s="13">
        <v>44825</v>
      </c>
      <c r="B123" s="35" t="s">
        <v>332</v>
      </c>
      <c r="C123" s="15">
        <v>19</v>
      </c>
      <c r="D123" s="1" t="s">
        <v>307</v>
      </c>
      <c r="E123" s="13">
        <v>44831</v>
      </c>
      <c r="F123" s="32">
        <v>10</v>
      </c>
      <c r="G123" s="32">
        <f t="shared" si="8"/>
        <v>1.643835616438356E-2</v>
      </c>
      <c r="H123" s="57">
        <v>-4.3999449999999998</v>
      </c>
    </row>
    <row r="124" spans="1:11" x14ac:dyDescent="0.25">
      <c r="A124" s="13">
        <v>44825</v>
      </c>
      <c r="B124" s="35" t="s">
        <v>332</v>
      </c>
      <c r="C124" s="15">
        <v>26</v>
      </c>
      <c r="D124" s="1" t="s">
        <v>307</v>
      </c>
      <c r="E124" s="13">
        <v>45059</v>
      </c>
      <c r="F124" s="32">
        <v>4.0027397260273974</v>
      </c>
      <c r="G124" s="32">
        <f t="shared" si="8"/>
        <v>0.64109589041095894</v>
      </c>
      <c r="H124" s="57">
        <v>-4.826333</v>
      </c>
    </row>
    <row r="125" spans="1:11" x14ac:dyDescent="0.25">
      <c r="A125" s="13">
        <v>44825</v>
      </c>
      <c r="B125" s="35" t="s">
        <v>332</v>
      </c>
      <c r="C125" s="15">
        <v>27</v>
      </c>
      <c r="D125" s="1" t="s">
        <v>307</v>
      </c>
      <c r="E125" s="13">
        <v>45452</v>
      </c>
      <c r="F125" s="32">
        <v>4</v>
      </c>
      <c r="G125" s="32">
        <f t="shared" si="8"/>
        <v>1.7178082191780821</v>
      </c>
      <c r="H125" s="57">
        <v>-0.70210099999999998</v>
      </c>
    </row>
    <row r="126" spans="1:11" x14ac:dyDescent="0.25">
      <c r="A126" s="13">
        <v>44853</v>
      </c>
      <c r="B126" s="35" t="s">
        <v>332</v>
      </c>
      <c r="C126" s="15">
        <v>27</v>
      </c>
      <c r="D126" s="1" t="s">
        <v>307</v>
      </c>
      <c r="E126" s="13">
        <v>45452</v>
      </c>
      <c r="F126" s="32">
        <v>4</v>
      </c>
      <c r="G126" s="32">
        <f t="shared" si="8"/>
        <v>1.6410958904109589</v>
      </c>
      <c r="H126" s="57">
        <v>-215.1472</v>
      </c>
    </row>
    <row r="127" spans="1:11" x14ac:dyDescent="0.25">
      <c r="A127" s="13">
        <v>44888</v>
      </c>
      <c r="B127" s="35" t="s">
        <v>332</v>
      </c>
      <c r="C127" s="15">
        <v>27</v>
      </c>
      <c r="D127" s="1" t="s">
        <v>307</v>
      </c>
      <c r="E127" s="13">
        <v>45452</v>
      </c>
      <c r="F127" s="32">
        <v>4</v>
      </c>
      <c r="G127" s="32">
        <f t="shared" si="8"/>
        <v>1.5452054794520549</v>
      </c>
      <c r="H127" s="57">
        <v>-0.19336500000000001</v>
      </c>
    </row>
    <row r="128" spans="1:11" x14ac:dyDescent="0.25">
      <c r="A128" s="13">
        <v>44895</v>
      </c>
      <c r="B128" s="35" t="s">
        <v>332</v>
      </c>
      <c r="C128" s="15">
        <v>27</v>
      </c>
      <c r="D128" s="1" t="s">
        <v>307</v>
      </c>
      <c r="E128" s="13">
        <v>45452</v>
      </c>
      <c r="F128" s="32">
        <v>4</v>
      </c>
      <c r="G128" s="32">
        <f t="shared" si="8"/>
        <v>1.526027397260274</v>
      </c>
      <c r="H128" s="57">
        <v>-102.220336</v>
      </c>
    </row>
    <row r="129" spans="1:9" x14ac:dyDescent="0.25">
      <c r="A129" s="13">
        <v>44902</v>
      </c>
      <c r="B129" s="35" t="s">
        <v>332</v>
      </c>
      <c r="C129" s="15">
        <v>27</v>
      </c>
      <c r="D129" s="1" t="s">
        <v>307</v>
      </c>
      <c r="E129" s="13">
        <v>45452</v>
      </c>
      <c r="F129" s="32">
        <v>4</v>
      </c>
      <c r="G129" s="32">
        <f t="shared" si="8"/>
        <v>1.5068493150684932</v>
      </c>
      <c r="H129" s="57">
        <v>-45.696291000000002</v>
      </c>
    </row>
    <row r="130" spans="1:9" x14ac:dyDescent="0.25">
      <c r="A130" s="13">
        <v>44909</v>
      </c>
      <c r="B130" s="35" t="s">
        <v>332</v>
      </c>
      <c r="C130" s="15">
        <v>27</v>
      </c>
      <c r="D130" s="1" t="s">
        <v>307</v>
      </c>
      <c r="E130" s="13">
        <v>45452</v>
      </c>
      <c r="F130" s="32">
        <v>4</v>
      </c>
      <c r="G130" s="32">
        <f>+(E130-A130)/365</f>
        <v>1.4876712328767123</v>
      </c>
      <c r="H130" s="57">
        <v>-35.819153350000001</v>
      </c>
    </row>
    <row r="131" spans="1:9" x14ac:dyDescent="0.25">
      <c r="A131" s="13">
        <v>44916</v>
      </c>
      <c r="B131" s="35" t="s">
        <v>332</v>
      </c>
      <c r="C131" s="15">
        <v>26</v>
      </c>
      <c r="D131" s="1" t="s">
        <v>307</v>
      </c>
      <c r="E131" s="13">
        <v>45059</v>
      </c>
      <c r="F131" s="32">
        <v>4.0027397260273974</v>
      </c>
      <c r="G131" s="32">
        <f>+(E131-A131)/365</f>
        <v>0.39178082191780822</v>
      </c>
      <c r="H131" s="57">
        <v>-48.217117620000003</v>
      </c>
    </row>
    <row r="132" spans="1:9" x14ac:dyDescent="0.25">
      <c r="A132" s="13">
        <v>44916</v>
      </c>
      <c r="B132" s="35" t="s">
        <v>332</v>
      </c>
      <c r="C132" s="15">
        <v>27</v>
      </c>
      <c r="D132" s="1" t="s">
        <v>307</v>
      </c>
      <c r="E132" s="13">
        <v>45452</v>
      </c>
      <c r="F132" s="32">
        <v>4.0027397260273974</v>
      </c>
      <c r="G132" s="32">
        <f>+(E132-A132)/365</f>
        <v>1.4684931506849315</v>
      </c>
      <c r="H132" s="57">
        <v>-132.51558539999999</v>
      </c>
    </row>
    <row r="133" spans="1:9" x14ac:dyDescent="0.25">
      <c r="A133" s="13">
        <v>44944</v>
      </c>
      <c r="B133" s="35" t="s">
        <v>332</v>
      </c>
      <c r="C133" s="15">
        <v>13</v>
      </c>
      <c r="D133" s="1" t="s">
        <v>307</v>
      </c>
      <c r="E133" s="13">
        <v>45802</v>
      </c>
      <c r="F133" s="32">
        <v>15</v>
      </c>
      <c r="G133" s="32">
        <f>+(E133-A133)/365</f>
        <v>2.3506849315068492</v>
      </c>
      <c r="H133" s="57">
        <v>-0.257799</v>
      </c>
    </row>
    <row r="134" spans="1:9" x14ac:dyDescent="0.25">
      <c r="A134" s="13">
        <v>44944</v>
      </c>
      <c r="B134" s="35" t="s">
        <v>332</v>
      </c>
      <c r="C134" s="15">
        <v>26</v>
      </c>
      <c r="D134" s="1" t="s">
        <v>307</v>
      </c>
      <c r="E134" s="13">
        <v>45059</v>
      </c>
      <c r="F134" s="32">
        <v>4.0027397260273974</v>
      </c>
      <c r="G134" s="32">
        <f t="shared" ref="G134" si="9">+(E134-A134)/365</f>
        <v>0.31506849315068491</v>
      </c>
      <c r="H134" s="57">
        <v>-49.421649330000001</v>
      </c>
    </row>
    <row r="135" spans="1:9" x14ac:dyDescent="0.25">
      <c r="A135" s="13">
        <v>44944</v>
      </c>
      <c r="B135" s="35" t="s">
        <v>332</v>
      </c>
      <c r="C135" s="15">
        <v>27</v>
      </c>
      <c r="D135" s="1" t="s">
        <v>307</v>
      </c>
      <c r="E135" s="13">
        <v>45452</v>
      </c>
      <c r="F135" s="32">
        <v>4.0027397260273974</v>
      </c>
      <c r="G135" s="32">
        <f>+(E135-A135)/365</f>
        <v>1.3917808219178083</v>
      </c>
      <c r="H135" s="57">
        <v>-1.0499563300000001</v>
      </c>
    </row>
    <row r="136" spans="1:9" x14ac:dyDescent="0.25">
      <c r="A136" s="13">
        <v>44974</v>
      </c>
      <c r="B136" s="35" t="s">
        <v>700</v>
      </c>
      <c r="C136" s="15">
        <v>13</v>
      </c>
      <c r="D136" s="1" t="s">
        <v>307</v>
      </c>
      <c r="E136" s="13">
        <v>45802</v>
      </c>
      <c r="F136" s="32">
        <v>15</v>
      </c>
      <c r="G136" s="32">
        <f>+(E136-A136)/365</f>
        <v>2.2684931506849315</v>
      </c>
      <c r="H136" s="57">
        <v>-1661.4933149999999</v>
      </c>
    </row>
    <row r="137" spans="1:9" x14ac:dyDescent="0.25">
      <c r="A137" s="13">
        <v>44974</v>
      </c>
      <c r="B137" s="35" t="s">
        <v>700</v>
      </c>
      <c r="C137" s="15">
        <v>26</v>
      </c>
      <c r="D137" s="1" t="s">
        <v>307</v>
      </c>
      <c r="E137" s="13">
        <v>45059</v>
      </c>
      <c r="F137" s="32">
        <v>4.0027397260273974</v>
      </c>
      <c r="G137" s="32">
        <f t="shared" ref="G137" si="10">+(E137-A137)/365</f>
        <v>0.23287671232876711</v>
      </c>
      <c r="H137" s="57">
        <v>-0.47261566999999999</v>
      </c>
    </row>
    <row r="138" spans="1:9" x14ac:dyDescent="0.25">
      <c r="A138" s="13">
        <v>44974</v>
      </c>
      <c r="B138" s="35" t="s">
        <v>700</v>
      </c>
      <c r="C138" s="15">
        <v>27</v>
      </c>
      <c r="D138" s="1" t="s">
        <v>307</v>
      </c>
      <c r="E138" s="13">
        <v>45452</v>
      </c>
      <c r="F138" s="32">
        <v>4.0027397260273974</v>
      </c>
      <c r="G138" s="32">
        <f>+(E138-A138)/365</f>
        <v>1.3095890410958904</v>
      </c>
      <c r="H138" s="57">
        <v>-212.29558599999999</v>
      </c>
    </row>
    <row r="139" spans="1:9" x14ac:dyDescent="0.25">
      <c r="A139" s="13">
        <v>44974</v>
      </c>
      <c r="B139" s="35" t="s">
        <v>700</v>
      </c>
      <c r="C139" s="15">
        <v>1</v>
      </c>
      <c r="D139" s="1" t="s">
        <v>322</v>
      </c>
      <c r="E139" s="13">
        <v>45863</v>
      </c>
      <c r="F139" s="32">
        <v>7</v>
      </c>
      <c r="G139" s="32">
        <f>+(E139-A139)/365</f>
        <v>2.4356164383561643</v>
      </c>
      <c r="H139" s="57">
        <v>-4839.4733370000004</v>
      </c>
    </row>
    <row r="140" spans="1:9" x14ac:dyDescent="0.25">
      <c r="A140" s="13">
        <v>45000</v>
      </c>
      <c r="B140" s="35" t="s">
        <v>332</v>
      </c>
      <c r="C140" s="15">
        <v>26</v>
      </c>
      <c r="D140" s="1" t="s">
        <v>307</v>
      </c>
      <c r="E140" s="13">
        <v>45059</v>
      </c>
      <c r="F140" s="32">
        <v>4.0027397260273974</v>
      </c>
      <c r="G140" s="32">
        <f t="shared" ref="G140" si="11">+(E140-A140)/365</f>
        <v>0.16164383561643836</v>
      </c>
      <c r="H140" s="19">
        <v>-2.4702000000000002E-2</v>
      </c>
    </row>
    <row r="141" spans="1:9" x14ac:dyDescent="0.25">
      <c r="A141" s="13">
        <v>45000</v>
      </c>
      <c r="B141" s="35" t="s">
        <v>332</v>
      </c>
      <c r="C141" s="15">
        <v>27</v>
      </c>
      <c r="D141" s="1" t="s">
        <v>307</v>
      </c>
      <c r="E141" s="13">
        <v>45452</v>
      </c>
      <c r="F141" s="32">
        <v>4.0027397260273974</v>
      </c>
      <c r="G141" s="32">
        <f t="shared" ref="G141:G146" si="12">+(E141-A141)/365</f>
        <v>1.2383561643835617</v>
      </c>
      <c r="H141" s="57">
        <v>-47.411186669999999</v>
      </c>
    </row>
    <row r="142" spans="1:9" x14ac:dyDescent="0.25">
      <c r="A142" s="13">
        <v>45028</v>
      </c>
      <c r="B142" s="35" t="s">
        <v>332</v>
      </c>
      <c r="C142" s="15">
        <v>13</v>
      </c>
      <c r="D142" s="1" t="s">
        <v>307</v>
      </c>
      <c r="E142" s="13">
        <v>45802</v>
      </c>
      <c r="F142" s="32">
        <v>15</v>
      </c>
      <c r="G142" s="32">
        <f t="shared" si="12"/>
        <v>2.1205479452054794</v>
      </c>
      <c r="H142" s="57">
        <v>-32.354402</v>
      </c>
    </row>
    <row r="143" spans="1:9" x14ac:dyDescent="0.25">
      <c r="A143" s="13">
        <v>45028</v>
      </c>
      <c r="B143" s="35" t="s">
        <v>332</v>
      </c>
      <c r="C143" s="15">
        <v>27</v>
      </c>
      <c r="D143" s="1" t="s">
        <v>307</v>
      </c>
      <c r="E143" s="13">
        <v>45452</v>
      </c>
      <c r="F143" s="32">
        <v>4.0027397260273974</v>
      </c>
      <c r="G143" s="32">
        <f t="shared" si="12"/>
        <v>1.1616438356164382</v>
      </c>
      <c r="H143" s="57">
        <v>-150</v>
      </c>
    </row>
    <row r="144" spans="1:9" x14ac:dyDescent="0.25">
      <c r="A144" s="13">
        <v>45035</v>
      </c>
      <c r="B144" s="35" t="s">
        <v>332</v>
      </c>
      <c r="C144" s="15">
        <v>13</v>
      </c>
      <c r="D144" s="1" t="s">
        <v>307</v>
      </c>
      <c r="E144" s="13">
        <v>45802</v>
      </c>
      <c r="F144" s="32">
        <v>15</v>
      </c>
      <c r="G144" s="32">
        <f t="shared" si="12"/>
        <v>2.1013698630136988</v>
      </c>
      <c r="H144" s="57">
        <v>-17.880500999999999</v>
      </c>
      <c r="I144" s="64"/>
    </row>
    <row r="145" spans="1:9" x14ac:dyDescent="0.25">
      <c r="A145" s="13">
        <v>45035</v>
      </c>
      <c r="B145" s="35" t="s">
        <v>332</v>
      </c>
      <c r="C145" s="15">
        <v>1</v>
      </c>
      <c r="D145" s="1" t="s">
        <v>322</v>
      </c>
      <c r="E145" s="13">
        <v>45863</v>
      </c>
      <c r="F145" s="32">
        <v>7</v>
      </c>
      <c r="G145" s="32">
        <f t="shared" si="12"/>
        <v>2.2684931506849315</v>
      </c>
      <c r="H145" s="57">
        <v>-692.57006100000001</v>
      </c>
      <c r="I145" s="54"/>
    </row>
    <row r="146" spans="1:9" x14ac:dyDescent="0.25">
      <c r="A146" s="13">
        <v>45056</v>
      </c>
      <c r="B146" s="35" t="s">
        <v>332</v>
      </c>
      <c r="C146" s="15">
        <v>13</v>
      </c>
      <c r="D146" s="1" t="s">
        <v>307</v>
      </c>
      <c r="E146" s="13">
        <v>45802</v>
      </c>
      <c r="F146" s="32">
        <v>15</v>
      </c>
      <c r="G146" s="32">
        <f t="shared" si="12"/>
        <v>2.043835616438356</v>
      </c>
      <c r="H146" s="57">
        <v>-11.856026999999999</v>
      </c>
      <c r="I146" s="65"/>
    </row>
    <row r="147" spans="1:9" x14ac:dyDescent="0.25">
      <c r="A147" s="13">
        <v>45056</v>
      </c>
      <c r="B147" s="35" t="s">
        <v>332</v>
      </c>
      <c r="C147" s="15">
        <v>26</v>
      </c>
      <c r="D147" s="1" t="s">
        <v>307</v>
      </c>
      <c r="E147" s="13">
        <v>45059</v>
      </c>
      <c r="F147" s="32">
        <v>4.0027397260273974</v>
      </c>
      <c r="G147" s="32">
        <f t="shared" ref="G147" si="13">+(E147-A147)/365</f>
        <v>8.21917808219178E-3</v>
      </c>
      <c r="H147" s="57">
        <v>-44.22954764</v>
      </c>
      <c r="I147" s="54"/>
    </row>
    <row r="148" spans="1:9" x14ac:dyDescent="0.25">
      <c r="A148" s="13">
        <v>45056</v>
      </c>
      <c r="B148" s="35" t="s">
        <v>332</v>
      </c>
      <c r="C148" s="15">
        <v>27</v>
      </c>
      <c r="D148" s="1" t="s">
        <v>307</v>
      </c>
      <c r="E148" s="13">
        <v>45452</v>
      </c>
      <c r="F148" s="32">
        <v>4.0027397260273974</v>
      </c>
      <c r="G148" s="32">
        <f t="shared" ref="G148:G153" si="14">+(E148-A148)/365</f>
        <v>1.0849315068493151</v>
      </c>
      <c r="H148" s="57">
        <v>-122.26903939</v>
      </c>
      <c r="I148" s="54"/>
    </row>
    <row r="149" spans="1:9" x14ac:dyDescent="0.25">
      <c r="A149" s="13">
        <v>45063</v>
      </c>
      <c r="B149" s="35" t="s">
        <v>332</v>
      </c>
      <c r="C149" s="15">
        <v>13</v>
      </c>
      <c r="D149" s="1" t="s">
        <v>307</v>
      </c>
      <c r="E149" s="13">
        <v>45802</v>
      </c>
      <c r="F149" s="32">
        <v>15</v>
      </c>
      <c r="G149" s="32">
        <f t="shared" si="14"/>
        <v>2.0246575342465754</v>
      </c>
      <c r="H149" s="57">
        <v>-148.89400000000001</v>
      </c>
      <c r="I149" s="54"/>
    </row>
    <row r="150" spans="1:9" x14ac:dyDescent="0.25">
      <c r="A150" s="13">
        <v>45063</v>
      </c>
      <c r="B150" s="35" t="s">
        <v>332</v>
      </c>
      <c r="C150" s="15">
        <v>1</v>
      </c>
      <c r="D150" s="1" t="s">
        <v>322</v>
      </c>
      <c r="E150" s="13">
        <v>45863</v>
      </c>
      <c r="F150" s="32">
        <v>7</v>
      </c>
      <c r="G150" s="32">
        <f t="shared" si="14"/>
        <v>2.1917808219178081</v>
      </c>
      <c r="H150" s="57">
        <v>-1009.853833</v>
      </c>
    </row>
    <row r="151" spans="1:9" x14ac:dyDescent="0.25">
      <c r="A151" s="13">
        <v>45059</v>
      </c>
      <c r="B151" s="35" t="s">
        <v>338</v>
      </c>
      <c r="C151" s="15">
        <v>26</v>
      </c>
      <c r="D151" s="1" t="s">
        <v>307</v>
      </c>
      <c r="E151" s="13">
        <v>45059</v>
      </c>
      <c r="F151" s="32">
        <v>4</v>
      </c>
      <c r="G151" s="32">
        <f t="shared" si="14"/>
        <v>0</v>
      </c>
      <c r="H151" s="57">
        <v>-1552.1105219999999</v>
      </c>
    </row>
    <row r="152" spans="1:9" x14ac:dyDescent="0.25">
      <c r="A152" s="13">
        <v>45071</v>
      </c>
      <c r="B152" s="35" t="s">
        <v>338</v>
      </c>
      <c r="C152" s="15">
        <v>13</v>
      </c>
      <c r="D152" s="1" t="s">
        <v>307</v>
      </c>
      <c r="E152" s="13">
        <v>45802</v>
      </c>
      <c r="F152" s="32">
        <v>15</v>
      </c>
      <c r="G152" s="32">
        <f t="shared" si="14"/>
        <v>2.0027397260273974</v>
      </c>
      <c r="H152" s="57">
        <v>-2563.3109829999999</v>
      </c>
    </row>
    <row r="153" spans="1:9" x14ac:dyDescent="0.25">
      <c r="A153" s="13">
        <v>45086</v>
      </c>
      <c r="B153" s="35" t="s">
        <v>338</v>
      </c>
      <c r="C153" s="15">
        <v>27</v>
      </c>
      <c r="D153" s="1" t="s">
        <v>307</v>
      </c>
      <c r="E153" s="13">
        <v>45452</v>
      </c>
      <c r="F153" s="32">
        <v>4</v>
      </c>
      <c r="G153" s="32">
        <f t="shared" si="14"/>
        <v>1.0027397260273974</v>
      </c>
      <c r="H153" s="57">
        <v>-1963.327618</v>
      </c>
    </row>
    <row r="154" spans="1:9" x14ac:dyDescent="0.25">
      <c r="A154" s="13">
        <v>45091</v>
      </c>
      <c r="B154" s="35" t="s">
        <v>332</v>
      </c>
      <c r="C154" s="15">
        <v>13</v>
      </c>
      <c r="D154" s="1" t="s">
        <v>307</v>
      </c>
      <c r="E154" s="13">
        <v>45802</v>
      </c>
      <c r="F154" s="32">
        <v>15</v>
      </c>
      <c r="G154" s="32">
        <f t="shared" ref="G154:G156" si="15">+(E154-A154)/365</f>
        <v>1.9479452054794522</v>
      </c>
      <c r="H154" s="57">
        <v>-32.925370020000003</v>
      </c>
    </row>
    <row r="155" spans="1:9" x14ac:dyDescent="0.25">
      <c r="A155" s="13">
        <v>45091</v>
      </c>
      <c r="B155" s="35" t="s">
        <v>332</v>
      </c>
      <c r="C155" s="15">
        <v>27</v>
      </c>
      <c r="D155" s="1" t="s">
        <v>307</v>
      </c>
      <c r="E155" s="13">
        <v>45452</v>
      </c>
      <c r="F155" s="32">
        <v>4</v>
      </c>
      <c r="G155" s="32">
        <f t="shared" si="15"/>
        <v>0.989041095890411</v>
      </c>
      <c r="H155" s="57">
        <v>-37.217926299999995</v>
      </c>
    </row>
    <row r="156" spans="1:9" x14ac:dyDescent="0.25">
      <c r="A156" s="13">
        <v>45098</v>
      </c>
      <c r="B156" s="35" t="s">
        <v>332</v>
      </c>
      <c r="C156" s="15">
        <v>1</v>
      </c>
      <c r="D156" s="1" t="s">
        <v>322</v>
      </c>
      <c r="E156" s="13">
        <v>45863</v>
      </c>
      <c r="F156" s="32">
        <v>7</v>
      </c>
      <c r="G156" s="32">
        <f t="shared" si="15"/>
        <v>2.095890410958904</v>
      </c>
      <c r="H156" s="57">
        <v>-1624.681523</v>
      </c>
    </row>
    <row r="157" spans="1:9" x14ac:dyDescent="0.25">
      <c r="A157" s="13">
        <v>45127</v>
      </c>
      <c r="B157" s="35" t="s">
        <v>332</v>
      </c>
      <c r="C157" s="15">
        <v>27</v>
      </c>
      <c r="D157" s="1" t="s">
        <v>307</v>
      </c>
      <c r="E157" s="13">
        <v>45452</v>
      </c>
      <c r="F157" s="32">
        <v>4</v>
      </c>
      <c r="G157" s="32">
        <f t="shared" ref="G157:G163" si="16">+(E157-A157)/365</f>
        <v>0.8904109589041096</v>
      </c>
      <c r="H157" s="57">
        <v>-6.41971867</v>
      </c>
    </row>
    <row r="158" spans="1:9" x14ac:dyDescent="0.25">
      <c r="A158" s="13">
        <v>45127</v>
      </c>
      <c r="B158" s="35" t="s">
        <v>332</v>
      </c>
      <c r="C158" s="15">
        <v>1</v>
      </c>
      <c r="D158" s="1" t="s">
        <v>322</v>
      </c>
      <c r="E158" s="13">
        <v>45863</v>
      </c>
      <c r="F158" s="32">
        <v>7</v>
      </c>
      <c r="G158" s="32">
        <f t="shared" si="16"/>
        <v>2.0164383561643837</v>
      </c>
      <c r="H158" s="57">
        <v>-900.15966900000001</v>
      </c>
    </row>
    <row r="159" spans="1:9" x14ac:dyDescent="0.25">
      <c r="A159" s="13">
        <v>45133</v>
      </c>
      <c r="B159" s="35" t="s">
        <v>332</v>
      </c>
      <c r="C159" s="15">
        <v>13</v>
      </c>
      <c r="D159" s="1" t="s">
        <v>307</v>
      </c>
      <c r="E159" s="13">
        <v>45802</v>
      </c>
      <c r="F159" s="32">
        <v>15</v>
      </c>
      <c r="G159" s="32">
        <f t="shared" si="16"/>
        <v>1.832876712328767</v>
      </c>
      <c r="H159" s="57">
        <v>-9.1635999999999995E-2</v>
      </c>
    </row>
    <row r="160" spans="1:9" x14ac:dyDescent="0.25">
      <c r="A160" s="13">
        <v>45133</v>
      </c>
      <c r="B160" s="35" t="s">
        <v>332</v>
      </c>
      <c r="C160" s="15">
        <v>27</v>
      </c>
      <c r="D160" s="1" t="s">
        <v>307</v>
      </c>
      <c r="E160" s="13">
        <v>45452</v>
      </c>
      <c r="F160" s="32">
        <v>4</v>
      </c>
      <c r="G160" s="32">
        <f t="shared" si="16"/>
        <v>0.87397260273972599</v>
      </c>
      <c r="H160" s="57">
        <v>-212.25256609000002</v>
      </c>
    </row>
    <row r="161" spans="1:10" x14ac:dyDescent="0.25">
      <c r="A161" s="13">
        <v>45138</v>
      </c>
      <c r="B161" s="35" t="s">
        <v>338</v>
      </c>
      <c r="C161" s="15">
        <v>1</v>
      </c>
      <c r="D161" s="1" t="s">
        <v>322</v>
      </c>
      <c r="E161" s="13">
        <v>45863</v>
      </c>
      <c r="F161" s="32">
        <v>7</v>
      </c>
      <c r="G161" s="32">
        <f t="shared" si="16"/>
        <v>1.9863013698630136</v>
      </c>
      <c r="H161" s="57">
        <v>-2803.8672120000001</v>
      </c>
    </row>
    <row r="162" spans="1:10" x14ac:dyDescent="0.25">
      <c r="A162" s="13">
        <v>45147</v>
      </c>
      <c r="B162" s="35" t="s">
        <v>332</v>
      </c>
      <c r="C162" s="15">
        <v>13</v>
      </c>
      <c r="D162" s="1" t="s">
        <v>307</v>
      </c>
      <c r="E162" s="13">
        <v>45802</v>
      </c>
      <c r="F162" s="32">
        <v>15</v>
      </c>
      <c r="G162" s="32">
        <f t="shared" si="16"/>
        <v>1.7945205479452055</v>
      </c>
      <c r="H162" s="57">
        <v>-0.52799333000000004</v>
      </c>
    </row>
    <row r="163" spans="1:10" x14ac:dyDescent="0.25">
      <c r="A163" s="13">
        <v>45147</v>
      </c>
      <c r="B163" s="35" t="s">
        <v>332</v>
      </c>
      <c r="C163" s="15">
        <v>27</v>
      </c>
      <c r="D163" s="1" t="s">
        <v>307</v>
      </c>
      <c r="E163" s="13">
        <v>45452</v>
      </c>
      <c r="F163" s="32">
        <v>4</v>
      </c>
      <c r="G163" s="32">
        <f t="shared" si="16"/>
        <v>0.83561643835616439</v>
      </c>
      <c r="H163" s="57">
        <v>-47.097583419999999</v>
      </c>
    </row>
    <row r="164" spans="1:10" x14ac:dyDescent="0.25">
      <c r="A164" s="13">
        <v>45154</v>
      </c>
      <c r="B164" s="35" t="s">
        <v>332</v>
      </c>
      <c r="C164" s="15">
        <v>13</v>
      </c>
      <c r="D164" s="1" t="s">
        <v>307</v>
      </c>
      <c r="E164" s="13">
        <v>45802</v>
      </c>
      <c r="F164" s="32">
        <v>15</v>
      </c>
      <c r="G164" s="32">
        <f t="shared" ref="G164:G165" si="17">+(E164-A164)/365</f>
        <v>1.7753424657534247</v>
      </c>
      <c r="H164" s="57">
        <v>-105.68349072999999</v>
      </c>
    </row>
    <row r="165" spans="1:10" x14ac:dyDescent="0.25">
      <c r="A165" s="13">
        <v>45154</v>
      </c>
      <c r="B165" s="35" t="s">
        <v>332</v>
      </c>
      <c r="C165" s="15">
        <v>27</v>
      </c>
      <c r="D165" s="1" t="s">
        <v>307</v>
      </c>
      <c r="E165" s="13">
        <v>45452</v>
      </c>
      <c r="F165" s="32">
        <v>4</v>
      </c>
      <c r="G165" s="32">
        <f t="shared" si="17"/>
        <v>0.81643835616438354</v>
      </c>
      <c r="H165" s="57">
        <v>-28.616009719999997</v>
      </c>
    </row>
    <row r="166" spans="1:10" x14ac:dyDescent="0.25">
      <c r="A166" s="13">
        <v>45161</v>
      </c>
      <c r="B166" s="35" t="s">
        <v>332</v>
      </c>
      <c r="C166" s="15">
        <v>1</v>
      </c>
      <c r="D166" s="1" t="s">
        <v>322</v>
      </c>
      <c r="E166" s="13">
        <v>45863</v>
      </c>
      <c r="F166" s="32">
        <v>7</v>
      </c>
      <c r="G166" s="32">
        <f>+(E166-A166)/365</f>
        <v>1.9232876712328768</v>
      </c>
      <c r="H166" s="57">
        <v>-914.62506045000009</v>
      </c>
      <c r="I166" s="54"/>
      <c r="J166" s="54"/>
    </row>
    <row r="167" spans="1:10" x14ac:dyDescent="0.25">
      <c r="A167" s="13">
        <v>45182</v>
      </c>
      <c r="B167" s="35" t="s">
        <v>332</v>
      </c>
      <c r="C167" s="15">
        <v>13</v>
      </c>
      <c r="D167" s="1" t="s">
        <v>307</v>
      </c>
      <c r="E167" s="13">
        <v>45802</v>
      </c>
      <c r="F167" s="32">
        <v>15</v>
      </c>
      <c r="G167" s="32">
        <f t="shared" ref="G167:G171" si="18">+(E167-A167)/365</f>
        <v>1.6986301369863013</v>
      </c>
      <c r="H167" s="57">
        <v>-153.86199808000001</v>
      </c>
    </row>
    <row r="168" spans="1:10" x14ac:dyDescent="0.25">
      <c r="A168" s="13">
        <v>45189</v>
      </c>
      <c r="B168" s="35" t="s">
        <v>332</v>
      </c>
      <c r="C168" s="15">
        <v>27</v>
      </c>
      <c r="D168" s="1" t="s">
        <v>307</v>
      </c>
      <c r="E168" s="13">
        <v>45452</v>
      </c>
      <c r="F168" s="32">
        <v>4</v>
      </c>
      <c r="G168" s="32">
        <f t="shared" si="18"/>
        <v>0.72054794520547949</v>
      </c>
      <c r="H168" s="57">
        <v>-85.768747579999996</v>
      </c>
    </row>
    <row r="169" spans="1:10" x14ac:dyDescent="0.25">
      <c r="A169" s="13">
        <v>45210</v>
      </c>
      <c r="B169" s="35" t="s">
        <v>332</v>
      </c>
      <c r="C169" s="15">
        <v>13</v>
      </c>
      <c r="D169" s="1" t="s">
        <v>307</v>
      </c>
      <c r="E169" s="13">
        <v>45802</v>
      </c>
      <c r="F169" s="32">
        <v>15</v>
      </c>
      <c r="G169" s="32">
        <f t="shared" si="18"/>
        <v>1.6219178082191781</v>
      </c>
      <c r="H169" s="57">
        <v>-10.445510000000001</v>
      </c>
    </row>
    <row r="170" spans="1:10" x14ac:dyDescent="0.25">
      <c r="A170" s="13">
        <v>45224</v>
      </c>
      <c r="B170" s="35" t="s">
        <v>332</v>
      </c>
      <c r="C170" s="15">
        <v>1</v>
      </c>
      <c r="D170" s="1" t="s">
        <v>322</v>
      </c>
      <c r="E170" s="13">
        <v>45863</v>
      </c>
      <c r="F170" s="32">
        <v>7</v>
      </c>
      <c r="G170" s="32">
        <f t="shared" si="18"/>
        <v>1.7506849315068493</v>
      </c>
      <c r="H170" s="57">
        <v>-702.38793835000001</v>
      </c>
      <c r="I170" s="54"/>
      <c r="J170" s="54"/>
    </row>
    <row r="171" spans="1:10" x14ac:dyDescent="0.25">
      <c r="A171" s="13">
        <v>45245</v>
      </c>
      <c r="B171" s="35" t="s">
        <v>332</v>
      </c>
      <c r="C171" s="15">
        <v>1</v>
      </c>
      <c r="D171" s="1" t="s">
        <v>322</v>
      </c>
      <c r="E171" s="13">
        <v>45863</v>
      </c>
      <c r="F171" s="32">
        <v>7</v>
      </c>
      <c r="G171" s="32">
        <f t="shared" si="18"/>
        <v>1.6931506849315068</v>
      </c>
      <c r="H171" s="57">
        <v>-807.82352574000004</v>
      </c>
      <c r="I171" s="54"/>
      <c r="J171" s="54"/>
    </row>
    <row r="172" spans="1:10" x14ac:dyDescent="0.25">
      <c r="A172" s="13">
        <v>45252</v>
      </c>
      <c r="B172" s="35" t="s">
        <v>332</v>
      </c>
      <c r="C172" s="15">
        <v>27</v>
      </c>
      <c r="D172" s="1" t="s">
        <v>307</v>
      </c>
      <c r="E172" s="13">
        <v>45452</v>
      </c>
      <c r="F172" s="32">
        <v>4</v>
      </c>
      <c r="G172" s="32">
        <f t="shared" ref="G172:G173" si="19">+(E172-A172)/365</f>
        <v>0.54794520547945202</v>
      </c>
      <c r="H172" s="57">
        <v>-338.64812499999999</v>
      </c>
    </row>
    <row r="173" spans="1:10" x14ac:dyDescent="0.25">
      <c r="A173" s="13">
        <v>45308</v>
      </c>
      <c r="B173" s="35" t="s">
        <v>332</v>
      </c>
      <c r="C173" s="15">
        <v>13</v>
      </c>
      <c r="D173" s="1" t="s">
        <v>307</v>
      </c>
      <c r="E173" s="13">
        <v>45802</v>
      </c>
      <c r="F173" s="32">
        <v>15</v>
      </c>
      <c r="G173" s="32">
        <f t="shared" si="19"/>
        <v>1.3534246575342466</v>
      </c>
      <c r="H173" s="57">
        <v>-32.297059329999996</v>
      </c>
    </row>
    <row r="174" spans="1:10" x14ac:dyDescent="0.25">
      <c r="A174" s="13">
        <v>45311</v>
      </c>
      <c r="B174" s="35" t="s">
        <v>338</v>
      </c>
      <c r="C174" s="15">
        <v>28</v>
      </c>
      <c r="D174" s="1" t="s">
        <v>307</v>
      </c>
      <c r="E174" s="13">
        <v>46042</v>
      </c>
      <c r="F174" s="32">
        <v>5</v>
      </c>
      <c r="G174" s="32">
        <f t="shared" ref="G174" si="20">+(E174-A174)/365</f>
        <v>2.0027397260273974</v>
      </c>
      <c r="H174" s="57">
        <v>-2357.3699976426301</v>
      </c>
    </row>
    <row r="175" spans="1:10" x14ac:dyDescent="0.25">
      <c r="A175" s="13">
        <v>45315</v>
      </c>
      <c r="B175" s="35" t="s">
        <v>332</v>
      </c>
      <c r="C175" s="15">
        <v>9</v>
      </c>
      <c r="D175" s="1" t="s">
        <v>641</v>
      </c>
      <c r="E175" s="13">
        <v>45887</v>
      </c>
      <c r="F175" s="32">
        <v>4</v>
      </c>
      <c r="G175" s="32">
        <f t="shared" ref="G175:G179" si="21">+(E175-A175)/365</f>
        <v>1.5671232876712329</v>
      </c>
      <c r="H175" s="57">
        <v>-567.79999999999995</v>
      </c>
    </row>
    <row r="176" spans="1:10" x14ac:dyDescent="0.25">
      <c r="A176" s="13">
        <v>45315</v>
      </c>
      <c r="B176" s="35" t="s">
        <v>332</v>
      </c>
      <c r="C176" s="15">
        <v>27</v>
      </c>
      <c r="D176" s="1" t="s">
        <v>307</v>
      </c>
      <c r="E176" s="13">
        <v>45452</v>
      </c>
      <c r="F176" s="32">
        <v>4</v>
      </c>
      <c r="G176" s="32">
        <f t="shared" si="21"/>
        <v>0.37534246575342467</v>
      </c>
      <c r="H176" s="19">
        <v>-0.03</v>
      </c>
    </row>
    <row r="177" spans="1:10" x14ac:dyDescent="0.25">
      <c r="A177" s="13">
        <v>45315</v>
      </c>
      <c r="B177" s="35" t="s">
        <v>332</v>
      </c>
      <c r="C177" s="15">
        <v>28</v>
      </c>
      <c r="D177" s="1" t="s">
        <v>307</v>
      </c>
      <c r="E177" s="13">
        <v>46042</v>
      </c>
      <c r="F177" s="32">
        <v>5</v>
      </c>
      <c r="G177" s="32">
        <f t="shared" si="21"/>
        <v>1.9917808219178081</v>
      </c>
      <c r="H177" s="19">
        <v>-0.09</v>
      </c>
      <c r="J177" s="1" t="s">
        <v>1012</v>
      </c>
    </row>
    <row r="178" spans="1:10" x14ac:dyDescent="0.25">
      <c r="A178" s="2">
        <v>45343</v>
      </c>
      <c r="B178" s="35" t="s">
        <v>332</v>
      </c>
      <c r="C178" s="15">
        <v>13</v>
      </c>
      <c r="D178" s="1" t="s">
        <v>307</v>
      </c>
      <c r="E178" s="13">
        <v>45802</v>
      </c>
      <c r="F178" s="32">
        <v>15</v>
      </c>
      <c r="G178" s="32">
        <f t="shared" si="21"/>
        <v>1.2575342465753425</v>
      </c>
      <c r="H178" s="19">
        <v>-98.698313999999996</v>
      </c>
    </row>
    <row r="179" spans="1:10" x14ac:dyDescent="0.25">
      <c r="A179" s="2">
        <v>45343</v>
      </c>
      <c r="B179" s="35" t="s">
        <v>332</v>
      </c>
      <c r="C179" s="15">
        <v>28</v>
      </c>
      <c r="D179" s="1" t="s">
        <v>307</v>
      </c>
      <c r="E179" s="13">
        <v>46042</v>
      </c>
      <c r="F179" s="32">
        <v>5</v>
      </c>
      <c r="G179" s="32">
        <f t="shared" si="21"/>
        <v>1.9150684931506849</v>
      </c>
      <c r="H179" s="19">
        <v>-5.3486339999999997</v>
      </c>
    </row>
    <row r="180" spans="1:10" x14ac:dyDescent="0.25">
      <c r="A180" s="2">
        <v>45350</v>
      </c>
      <c r="B180" s="35" t="s">
        <v>332</v>
      </c>
      <c r="C180" s="15">
        <v>13</v>
      </c>
      <c r="D180" s="1" t="s">
        <v>307</v>
      </c>
      <c r="E180" s="13">
        <v>45802</v>
      </c>
      <c r="F180" s="32">
        <v>15</v>
      </c>
      <c r="G180" s="32">
        <f t="shared" ref="G180:G186" si="22">+(E180-A180)/365</f>
        <v>1.2383561643835617</v>
      </c>
      <c r="H180" s="19">
        <v>-78.175898669999995</v>
      </c>
      <c r="I180" s="54"/>
      <c r="J180" s="54"/>
    </row>
    <row r="181" spans="1:10" x14ac:dyDescent="0.25">
      <c r="A181" s="2">
        <v>45350</v>
      </c>
      <c r="B181" s="35" t="s">
        <v>332</v>
      </c>
      <c r="C181" s="15">
        <v>27</v>
      </c>
      <c r="D181" s="1" t="s">
        <v>307</v>
      </c>
      <c r="E181" s="13">
        <v>45452</v>
      </c>
      <c r="F181" s="32">
        <v>4</v>
      </c>
      <c r="G181" s="32">
        <f t="shared" si="22"/>
        <v>0.27945205479452057</v>
      </c>
      <c r="H181" s="19">
        <v>-0.21576699999999999</v>
      </c>
    </row>
    <row r="182" spans="1:10" x14ac:dyDescent="0.25">
      <c r="A182" s="2">
        <v>45350</v>
      </c>
      <c r="B182" s="35" t="s">
        <v>332</v>
      </c>
      <c r="C182" s="15">
        <v>28</v>
      </c>
      <c r="D182" s="1" t="s">
        <v>307</v>
      </c>
      <c r="E182" s="13">
        <v>46042</v>
      </c>
      <c r="F182" s="32">
        <v>5</v>
      </c>
      <c r="G182" s="32">
        <f t="shared" si="22"/>
        <v>1.8958904109589041</v>
      </c>
      <c r="H182" s="19">
        <v>-0.15314</v>
      </c>
    </row>
    <row r="183" spans="1:10" x14ac:dyDescent="0.25">
      <c r="A183" s="2">
        <v>45357</v>
      </c>
      <c r="B183" s="35" t="s">
        <v>332</v>
      </c>
      <c r="C183" s="15">
        <v>9</v>
      </c>
      <c r="D183" s="1" t="s">
        <v>641</v>
      </c>
      <c r="E183" s="13">
        <v>45887</v>
      </c>
      <c r="F183" s="32">
        <v>4</v>
      </c>
      <c r="G183" s="32">
        <f t="shared" si="22"/>
        <v>1.452054794520548</v>
      </c>
      <c r="H183" s="19">
        <v>-323.27999999999997</v>
      </c>
    </row>
    <row r="184" spans="1:10" x14ac:dyDescent="0.25">
      <c r="A184" s="2">
        <v>45357</v>
      </c>
      <c r="B184" s="35" t="s">
        <v>332</v>
      </c>
      <c r="C184" s="15">
        <v>27</v>
      </c>
      <c r="D184" s="1" t="s">
        <v>307</v>
      </c>
      <c r="E184" s="13">
        <v>45452</v>
      </c>
      <c r="F184" s="32">
        <v>4</v>
      </c>
      <c r="G184" s="32">
        <f t="shared" si="22"/>
        <v>0.26027397260273971</v>
      </c>
      <c r="H184" s="19">
        <v>-58.864712670000003</v>
      </c>
    </row>
    <row r="185" spans="1:10" x14ac:dyDescent="0.25">
      <c r="A185" s="2">
        <v>45357</v>
      </c>
      <c r="B185" s="35" t="s">
        <v>332</v>
      </c>
      <c r="C185" s="15">
        <v>28</v>
      </c>
      <c r="D185" s="1" t="s">
        <v>307</v>
      </c>
      <c r="E185" s="13">
        <v>46042</v>
      </c>
      <c r="F185" s="32">
        <v>5</v>
      </c>
      <c r="G185" s="32">
        <f t="shared" si="22"/>
        <v>1.8767123287671232</v>
      </c>
      <c r="H185" s="19">
        <v>-198.28862332999998</v>
      </c>
    </row>
    <row r="186" spans="1:10" x14ac:dyDescent="0.25">
      <c r="A186" s="2">
        <v>45364</v>
      </c>
      <c r="B186" s="35" t="s">
        <v>332</v>
      </c>
      <c r="C186" s="15">
        <v>13</v>
      </c>
      <c r="D186" s="1" t="s">
        <v>307</v>
      </c>
      <c r="E186" s="13">
        <v>45802</v>
      </c>
      <c r="F186" s="32">
        <v>15</v>
      </c>
      <c r="G186" s="32">
        <f t="shared" si="22"/>
        <v>1.2</v>
      </c>
      <c r="H186" s="19">
        <v>-76.840549999999993</v>
      </c>
    </row>
    <row r="187" spans="1:10" x14ac:dyDescent="0.25">
      <c r="A187" s="2">
        <v>45371</v>
      </c>
      <c r="B187" s="35" t="s">
        <v>332</v>
      </c>
      <c r="C187" s="15">
        <v>13</v>
      </c>
      <c r="D187" s="1" t="s">
        <v>307</v>
      </c>
      <c r="E187" s="13">
        <v>45802</v>
      </c>
      <c r="F187" s="32">
        <v>15</v>
      </c>
      <c r="G187" s="32">
        <f t="shared" ref="G187:G189" si="23">+(E187-A187)/365</f>
        <v>1.1808219178082191</v>
      </c>
      <c r="H187" s="19">
        <v>-164.61160999000001</v>
      </c>
      <c r="I187" s="68"/>
      <c r="J187" s="68"/>
    </row>
    <row r="188" spans="1:10" x14ac:dyDescent="0.25">
      <c r="A188" s="2">
        <v>45371</v>
      </c>
      <c r="B188" s="35" t="s">
        <v>332</v>
      </c>
      <c r="C188" s="15">
        <v>27</v>
      </c>
      <c r="D188" s="1" t="s">
        <v>307</v>
      </c>
      <c r="E188" s="13">
        <v>45452</v>
      </c>
      <c r="F188" s="32">
        <v>4</v>
      </c>
      <c r="G188" s="32">
        <f t="shared" si="23"/>
        <v>0.22191780821917809</v>
      </c>
      <c r="H188" s="19">
        <v>-1.62787733</v>
      </c>
    </row>
    <row r="189" spans="1:10" x14ac:dyDescent="0.25">
      <c r="A189" s="2">
        <v>45371</v>
      </c>
      <c r="B189" s="35" t="s">
        <v>332</v>
      </c>
      <c r="C189" s="15">
        <v>28</v>
      </c>
      <c r="D189" s="1" t="s">
        <v>307</v>
      </c>
      <c r="E189" s="13">
        <v>46042</v>
      </c>
      <c r="F189" s="32">
        <v>5</v>
      </c>
      <c r="G189" s="32">
        <f t="shared" si="23"/>
        <v>1.8383561643835618</v>
      </c>
      <c r="H189" s="19">
        <v>-59.99000333</v>
      </c>
    </row>
    <row r="190" spans="1:10" x14ac:dyDescent="0.25">
      <c r="A190" s="2">
        <v>45399</v>
      </c>
      <c r="B190" s="35" t="s">
        <v>332</v>
      </c>
      <c r="C190" s="15">
        <v>13</v>
      </c>
      <c r="D190" s="1" t="s">
        <v>307</v>
      </c>
      <c r="E190" s="13">
        <v>45802</v>
      </c>
      <c r="F190" s="32">
        <v>15</v>
      </c>
      <c r="G190" s="32">
        <f t="shared" ref="G190:G193" si="24">+(E190-A190)/365</f>
        <v>1.1041095890410959</v>
      </c>
      <c r="H190" s="19">
        <v>-44.916698670000002</v>
      </c>
    </row>
    <row r="191" spans="1:10" x14ac:dyDescent="0.25">
      <c r="A191" s="2">
        <v>45399</v>
      </c>
      <c r="B191" s="35" t="s">
        <v>332</v>
      </c>
      <c r="C191" s="15">
        <v>28</v>
      </c>
      <c r="D191" s="1" t="s">
        <v>307</v>
      </c>
      <c r="E191" s="13">
        <v>46042</v>
      </c>
      <c r="F191" s="32">
        <v>5</v>
      </c>
      <c r="G191" s="32">
        <f t="shared" si="24"/>
        <v>1.7616438356164383</v>
      </c>
      <c r="H191" s="19">
        <v>-257.59128466999999</v>
      </c>
    </row>
    <row r="192" spans="1:10" x14ac:dyDescent="0.25">
      <c r="A192" s="2">
        <v>45406</v>
      </c>
      <c r="B192" s="35" t="s">
        <v>332</v>
      </c>
      <c r="C192" s="15">
        <v>13</v>
      </c>
      <c r="D192" s="1" t="s">
        <v>307</v>
      </c>
      <c r="E192" s="13">
        <v>45802</v>
      </c>
      <c r="F192" s="32">
        <v>15</v>
      </c>
      <c r="G192" s="32">
        <f t="shared" si="24"/>
        <v>1.0849315068493151</v>
      </c>
      <c r="H192" s="19">
        <v>-33.554828669999999</v>
      </c>
    </row>
    <row r="193" spans="1:8" x14ac:dyDescent="0.25">
      <c r="A193" s="2">
        <v>45414</v>
      </c>
      <c r="B193" s="35" t="s">
        <v>332</v>
      </c>
      <c r="C193" s="15">
        <v>13</v>
      </c>
      <c r="D193" s="1" t="s">
        <v>307</v>
      </c>
      <c r="E193" s="13">
        <v>45802</v>
      </c>
      <c r="F193" s="32">
        <v>15</v>
      </c>
      <c r="G193" s="32">
        <f t="shared" si="24"/>
        <v>1.0630136986301371</v>
      </c>
      <c r="H193" s="19">
        <v>-73.583603999999994</v>
      </c>
    </row>
    <row r="194" spans="1:8" x14ac:dyDescent="0.25">
      <c r="A194" s="2">
        <v>45414</v>
      </c>
      <c r="B194" s="35" t="s">
        <v>332</v>
      </c>
      <c r="C194" s="15">
        <v>28</v>
      </c>
      <c r="D194" s="1" t="s">
        <v>307</v>
      </c>
      <c r="E194" s="13">
        <v>46042</v>
      </c>
      <c r="F194" s="32">
        <v>5</v>
      </c>
      <c r="G194" s="32">
        <f t="shared" ref="G194:G195" si="25">+(E194-A194)/365</f>
        <v>1.7205479452054795</v>
      </c>
      <c r="H194" s="19">
        <v>-39.987560000000002</v>
      </c>
    </row>
    <row r="195" spans="1:8" x14ac:dyDescent="0.25">
      <c r="A195" s="2">
        <v>45426</v>
      </c>
      <c r="B195" s="35" t="s">
        <v>700</v>
      </c>
      <c r="C195" s="15">
        <v>27</v>
      </c>
      <c r="D195" s="1" t="s">
        <v>307</v>
      </c>
      <c r="E195" s="13">
        <v>45452</v>
      </c>
      <c r="F195" s="32">
        <v>4</v>
      </c>
      <c r="G195" s="32">
        <f t="shared" si="25"/>
        <v>7.1232876712328766E-2</v>
      </c>
      <c r="H195" s="19">
        <v>-52.817833</v>
      </c>
    </row>
    <row r="196" spans="1:8" x14ac:dyDescent="0.25">
      <c r="A196" s="2">
        <v>45426</v>
      </c>
      <c r="B196" s="35" t="s">
        <v>700</v>
      </c>
      <c r="C196" s="15">
        <v>13</v>
      </c>
      <c r="D196" s="1" t="s">
        <v>307</v>
      </c>
      <c r="E196" s="13">
        <v>45802</v>
      </c>
      <c r="F196" s="32">
        <v>15</v>
      </c>
      <c r="G196" s="32">
        <f t="shared" ref="G196" si="26">+(E196-A196)/365</f>
        <v>1.0301369863013699</v>
      </c>
      <c r="H196" s="19">
        <v>-484.762788</v>
      </c>
    </row>
    <row r="197" spans="1:8" x14ac:dyDescent="0.25">
      <c r="A197" s="2">
        <v>45437</v>
      </c>
      <c r="B197" s="35" t="s">
        <v>338</v>
      </c>
      <c r="C197" s="15">
        <v>13</v>
      </c>
      <c r="D197" s="1" t="s">
        <v>307</v>
      </c>
      <c r="E197" s="13">
        <v>45802</v>
      </c>
      <c r="F197" s="32">
        <v>15</v>
      </c>
      <c r="G197" s="32">
        <f t="shared" ref="G197:G203" si="27">+(E197-A197)/365</f>
        <v>1</v>
      </c>
      <c r="H197" s="19">
        <v>-1867.8223117550001</v>
      </c>
    </row>
    <row r="198" spans="1:8" x14ac:dyDescent="0.25">
      <c r="A198" s="2">
        <v>45441</v>
      </c>
      <c r="B198" s="35" t="s">
        <v>332</v>
      </c>
      <c r="C198" s="15">
        <v>28</v>
      </c>
      <c r="D198" s="1" t="s">
        <v>307</v>
      </c>
      <c r="E198" s="13">
        <v>46042</v>
      </c>
      <c r="F198" s="32">
        <v>5</v>
      </c>
      <c r="G198" s="32">
        <f t="shared" si="27"/>
        <v>1.6465753424657534</v>
      </c>
      <c r="H198" s="19">
        <v>-200</v>
      </c>
    </row>
    <row r="199" spans="1:8" x14ac:dyDescent="0.25">
      <c r="A199" s="2">
        <v>45441</v>
      </c>
      <c r="B199" s="35" t="s">
        <v>332</v>
      </c>
      <c r="C199" s="15">
        <v>27</v>
      </c>
      <c r="D199" s="1" t="s">
        <v>307</v>
      </c>
      <c r="E199" s="13">
        <v>45452</v>
      </c>
      <c r="F199" s="32">
        <v>4</v>
      </c>
      <c r="G199" s="32">
        <f t="shared" si="27"/>
        <v>3.0136986301369864E-2</v>
      </c>
      <c r="H199" s="19">
        <v>-0.14208299999999999</v>
      </c>
    </row>
    <row r="200" spans="1:8" x14ac:dyDescent="0.25">
      <c r="A200" s="13">
        <v>45452</v>
      </c>
      <c r="B200" s="35" t="s">
        <v>338</v>
      </c>
      <c r="C200" s="15">
        <v>27</v>
      </c>
      <c r="D200" s="1" t="s">
        <v>307</v>
      </c>
      <c r="E200" s="13">
        <v>45452</v>
      </c>
      <c r="F200" s="32">
        <v>4</v>
      </c>
      <c r="G200" s="32">
        <f t="shared" si="27"/>
        <v>0</v>
      </c>
      <c r="H200" s="57">
        <v>-1093.6086728400001</v>
      </c>
    </row>
    <row r="201" spans="1:8" x14ac:dyDescent="0.25">
      <c r="A201" s="13">
        <v>45455</v>
      </c>
      <c r="B201" s="35" t="s">
        <v>332</v>
      </c>
      <c r="C201" s="15">
        <v>28</v>
      </c>
      <c r="D201" s="1" t="s">
        <v>307</v>
      </c>
      <c r="E201" s="13">
        <v>46042</v>
      </c>
      <c r="F201" s="32">
        <v>5</v>
      </c>
      <c r="G201" s="32">
        <f t="shared" si="27"/>
        <v>1.6082191780821917</v>
      </c>
      <c r="H201" s="57">
        <v>-20.189035329999999</v>
      </c>
    </row>
    <row r="202" spans="1:8" x14ac:dyDescent="0.25">
      <c r="A202" s="13">
        <v>45490</v>
      </c>
      <c r="B202" s="35" t="s">
        <v>332</v>
      </c>
      <c r="C202" s="15">
        <v>21</v>
      </c>
      <c r="D202" s="1" t="s">
        <v>307</v>
      </c>
      <c r="E202" s="13">
        <v>45987</v>
      </c>
      <c r="F202" s="32">
        <v>11</v>
      </c>
      <c r="G202" s="32">
        <f t="shared" si="27"/>
        <v>1.3616438356164384</v>
      </c>
      <c r="H202" s="57">
        <v>-355.12203499999998</v>
      </c>
    </row>
    <row r="203" spans="1:8" x14ac:dyDescent="0.25">
      <c r="A203" s="13">
        <v>45497</v>
      </c>
      <c r="B203" s="35" t="s">
        <v>332</v>
      </c>
      <c r="C203" s="15">
        <v>21</v>
      </c>
      <c r="D203" s="1" t="s">
        <v>307</v>
      </c>
      <c r="E203" s="13">
        <v>45987</v>
      </c>
      <c r="F203" s="32">
        <v>11</v>
      </c>
      <c r="G203" s="32">
        <f t="shared" si="27"/>
        <v>1.3424657534246576</v>
      </c>
      <c r="H203" s="57">
        <v>-39.479999999999997</v>
      </c>
    </row>
    <row r="204" spans="1:8" x14ac:dyDescent="0.25">
      <c r="A204" s="13">
        <v>45498</v>
      </c>
      <c r="B204" s="35" t="s">
        <v>338</v>
      </c>
      <c r="C204" s="15">
        <v>1</v>
      </c>
      <c r="D204" s="1" t="s">
        <v>322</v>
      </c>
      <c r="E204" s="13">
        <v>45863</v>
      </c>
      <c r="F204" s="32">
        <v>7</v>
      </c>
      <c r="G204" s="32">
        <f>+(E204-A204)/365</f>
        <v>1</v>
      </c>
      <c r="H204" s="57">
        <v>-1591.4489202300001</v>
      </c>
    </row>
    <row r="205" spans="1:8" x14ac:dyDescent="0.25">
      <c r="A205" s="13">
        <v>45504</v>
      </c>
      <c r="B205" s="35" t="s">
        <v>332</v>
      </c>
      <c r="C205" s="15">
        <v>28</v>
      </c>
      <c r="D205" s="1" t="s">
        <v>307</v>
      </c>
      <c r="E205" s="13">
        <v>46042</v>
      </c>
      <c r="F205" s="32">
        <v>5</v>
      </c>
      <c r="G205" s="32">
        <f>+(E205-A205)/365</f>
        <v>1.473972602739726</v>
      </c>
      <c r="H205" s="57">
        <v>-134.97300000000001</v>
      </c>
    </row>
    <row r="206" spans="1:8" x14ac:dyDescent="0.25">
      <c r="A206" s="13">
        <v>45518</v>
      </c>
      <c r="B206" s="35" t="s">
        <v>332</v>
      </c>
      <c r="C206" s="15">
        <v>28</v>
      </c>
      <c r="D206" s="1" t="s">
        <v>307</v>
      </c>
      <c r="E206" s="13">
        <v>46042</v>
      </c>
      <c r="F206" s="32">
        <v>5</v>
      </c>
      <c r="G206" s="32">
        <f>+(E206-A206)/365</f>
        <v>1.4356164383561645</v>
      </c>
      <c r="H206" s="57">
        <v>-13.090999999999999</v>
      </c>
    </row>
    <row r="207" spans="1:8" x14ac:dyDescent="0.25">
      <c r="A207" s="13">
        <v>45525</v>
      </c>
      <c r="B207" s="35" t="s">
        <v>332</v>
      </c>
      <c r="C207" s="15">
        <v>13</v>
      </c>
      <c r="D207" s="1" t="s">
        <v>307</v>
      </c>
      <c r="E207" s="13">
        <v>45802</v>
      </c>
      <c r="F207" s="32">
        <v>15</v>
      </c>
      <c r="G207" s="32">
        <f t="shared" ref="G207:G211" si="28">+(E207-A207)/365</f>
        <v>0.75890410958904109</v>
      </c>
      <c r="H207" s="57">
        <v>-24.200013719999998</v>
      </c>
    </row>
    <row r="208" spans="1:8" x14ac:dyDescent="0.25">
      <c r="A208" s="13">
        <v>45525</v>
      </c>
      <c r="B208" s="35" t="s">
        <v>332</v>
      </c>
      <c r="C208" s="15">
        <v>21</v>
      </c>
      <c r="D208" s="1" t="s">
        <v>307</v>
      </c>
      <c r="E208" s="13">
        <v>45987</v>
      </c>
      <c r="F208" s="32">
        <v>11</v>
      </c>
      <c r="G208" s="32">
        <f t="shared" si="28"/>
        <v>1.2657534246575342</v>
      </c>
      <c r="H208" s="57">
        <v>-33.047027</v>
      </c>
    </row>
    <row r="209" spans="1:8" x14ac:dyDescent="0.25">
      <c r="A209" s="13">
        <v>45525</v>
      </c>
      <c r="B209" s="35" t="s">
        <v>332</v>
      </c>
      <c r="C209" s="15">
        <v>28</v>
      </c>
      <c r="D209" s="1" t="s">
        <v>307</v>
      </c>
      <c r="E209" s="13">
        <v>46042</v>
      </c>
      <c r="F209" s="32">
        <v>5</v>
      </c>
      <c r="G209" s="32">
        <f t="shared" si="28"/>
        <v>1.4164383561643836</v>
      </c>
      <c r="H209" s="57">
        <v>-31.524289329999998</v>
      </c>
    </row>
    <row r="210" spans="1:8" x14ac:dyDescent="0.25">
      <c r="A210" s="13">
        <v>45531</v>
      </c>
      <c r="B210" s="35" t="s">
        <v>332</v>
      </c>
      <c r="C210" s="15">
        <v>21</v>
      </c>
      <c r="D210" s="1" t="s">
        <v>307</v>
      </c>
      <c r="E210" s="13">
        <v>45987</v>
      </c>
      <c r="F210" s="32">
        <v>11</v>
      </c>
      <c r="G210" s="32">
        <f t="shared" si="28"/>
        <v>1.2493150684931507</v>
      </c>
      <c r="H210" s="57">
        <v>-130.6</v>
      </c>
    </row>
    <row r="211" spans="1:8" x14ac:dyDescent="0.25">
      <c r="A211" s="13">
        <v>45546</v>
      </c>
      <c r="B211" s="35" t="s">
        <v>332</v>
      </c>
      <c r="C211" s="15">
        <v>13</v>
      </c>
      <c r="D211" s="1" t="s">
        <v>307</v>
      </c>
      <c r="E211" s="13">
        <v>45802</v>
      </c>
      <c r="F211" s="32">
        <v>15</v>
      </c>
      <c r="G211" s="32">
        <f t="shared" si="28"/>
        <v>0.70136986301369864</v>
      </c>
      <c r="H211" s="19">
        <v>-30</v>
      </c>
    </row>
    <row r="212" spans="1:8" x14ac:dyDescent="0.25">
      <c r="A212" s="13">
        <v>45546</v>
      </c>
      <c r="B212" s="35" t="s">
        <v>332</v>
      </c>
      <c r="C212" s="15">
        <v>21</v>
      </c>
      <c r="D212" s="1" t="s">
        <v>307</v>
      </c>
      <c r="E212" s="13">
        <v>45987</v>
      </c>
      <c r="F212" s="32">
        <v>11</v>
      </c>
      <c r="G212" s="32">
        <f t="shared" ref="G212:G213" si="29">+(E212-A212)/365</f>
        <v>1.2082191780821918</v>
      </c>
      <c r="H212" s="57">
        <v>-25.392102000000001</v>
      </c>
    </row>
    <row r="213" spans="1:8" x14ac:dyDescent="0.25">
      <c r="A213" s="13">
        <v>45560</v>
      </c>
      <c r="B213" s="35" t="s">
        <v>332</v>
      </c>
      <c r="C213" s="15">
        <v>21</v>
      </c>
      <c r="D213" s="1" t="s">
        <v>307</v>
      </c>
      <c r="E213" s="13">
        <v>45987</v>
      </c>
      <c r="F213" s="32">
        <v>11</v>
      </c>
      <c r="G213" s="32">
        <f t="shared" si="29"/>
        <v>1.1698630136986301</v>
      </c>
      <c r="H213" s="57">
        <v>-100.562934</v>
      </c>
    </row>
    <row r="214" spans="1:8" x14ac:dyDescent="0.25">
      <c r="A214" s="13">
        <v>45560</v>
      </c>
      <c r="B214" s="35" t="s">
        <v>332</v>
      </c>
      <c r="C214" s="15">
        <v>28</v>
      </c>
      <c r="D214" s="1" t="s">
        <v>307</v>
      </c>
      <c r="E214" s="13">
        <v>46042</v>
      </c>
      <c r="F214" s="32">
        <v>5</v>
      </c>
      <c r="G214" s="32">
        <f>+(E214-A214)/365</f>
        <v>1.3205479452054794</v>
      </c>
      <c r="H214" s="57">
        <v>-155.013428</v>
      </c>
    </row>
    <row r="215" spans="1:8" x14ac:dyDescent="0.25">
      <c r="A215" s="13">
        <v>45581</v>
      </c>
      <c r="B215" s="35" t="s">
        <v>332</v>
      </c>
      <c r="C215" s="15">
        <v>13</v>
      </c>
      <c r="D215" s="1" t="s">
        <v>307</v>
      </c>
      <c r="E215" s="13">
        <v>45802</v>
      </c>
      <c r="F215" s="32">
        <v>15</v>
      </c>
      <c r="G215" s="32">
        <f t="shared" ref="G215:G216" si="30">+(E215-A215)/365</f>
        <v>0.60547945205479448</v>
      </c>
      <c r="H215" s="19">
        <v>-28.569338999999999</v>
      </c>
    </row>
    <row r="216" spans="1:8" x14ac:dyDescent="0.25">
      <c r="A216" s="13">
        <v>45581</v>
      </c>
      <c r="B216" s="35" t="s">
        <v>332</v>
      </c>
      <c r="C216" s="15">
        <v>21</v>
      </c>
      <c r="D216" s="1" t="s">
        <v>307</v>
      </c>
      <c r="E216" s="13">
        <v>45987</v>
      </c>
      <c r="F216" s="32">
        <v>11</v>
      </c>
      <c r="G216" s="32">
        <f t="shared" si="30"/>
        <v>1.1123287671232878</v>
      </c>
      <c r="H216" s="57">
        <v>-120.491101</v>
      </c>
    </row>
    <row r="217" spans="1:8" x14ac:dyDescent="0.25">
      <c r="A217" s="13">
        <v>45588</v>
      </c>
      <c r="B217" s="35" t="s">
        <v>332</v>
      </c>
      <c r="C217" s="15">
        <v>21</v>
      </c>
      <c r="D217" s="1" t="s">
        <v>307</v>
      </c>
      <c r="E217" s="13">
        <v>45987</v>
      </c>
      <c r="F217" s="32">
        <v>11</v>
      </c>
      <c r="G217" s="32">
        <f t="shared" ref="G217:G234" si="31">+(E217-A217)/365</f>
        <v>1.0931506849315069</v>
      </c>
      <c r="H217" s="19">
        <v>-93.487232000000006</v>
      </c>
    </row>
    <row r="218" spans="1:8" x14ac:dyDescent="0.25">
      <c r="A218" s="13">
        <v>45609</v>
      </c>
      <c r="B218" s="35" t="s">
        <v>332</v>
      </c>
      <c r="C218" s="15">
        <v>13</v>
      </c>
      <c r="D218" s="1" t="s">
        <v>307</v>
      </c>
      <c r="E218" s="13">
        <v>45802</v>
      </c>
      <c r="F218" s="32">
        <v>15</v>
      </c>
      <c r="G218" s="32">
        <f t="shared" si="31"/>
        <v>0.52876712328767128</v>
      </c>
      <c r="H218" s="19">
        <v>-0.107</v>
      </c>
    </row>
    <row r="219" spans="1:8" x14ac:dyDescent="0.25">
      <c r="A219" s="13">
        <v>45609</v>
      </c>
      <c r="B219" s="35" t="s">
        <v>332</v>
      </c>
      <c r="C219" s="15">
        <v>28</v>
      </c>
      <c r="D219" s="1" t="s">
        <v>307</v>
      </c>
      <c r="E219" s="13">
        <v>46042</v>
      </c>
      <c r="F219" s="32">
        <v>5</v>
      </c>
      <c r="G219" s="32">
        <f t="shared" si="31"/>
        <v>1.1863013698630136</v>
      </c>
      <c r="H219" s="57">
        <v>-21.738634000000001</v>
      </c>
    </row>
    <row r="220" spans="1:8" x14ac:dyDescent="0.25">
      <c r="A220" s="13">
        <v>45609</v>
      </c>
      <c r="B220" s="35" t="s">
        <v>332</v>
      </c>
      <c r="C220" s="15">
        <v>1</v>
      </c>
      <c r="D220" s="1" t="s">
        <v>322</v>
      </c>
      <c r="E220" s="13">
        <v>45863</v>
      </c>
      <c r="F220" s="32">
        <v>7</v>
      </c>
      <c r="G220" s="32">
        <f t="shared" si="31"/>
        <v>0.69589041095890414</v>
      </c>
      <c r="H220" s="19">
        <v>-6.1909999999999998</v>
      </c>
    </row>
    <row r="221" spans="1:8" x14ac:dyDescent="0.25">
      <c r="A221" s="13">
        <v>45616</v>
      </c>
      <c r="B221" s="35" t="s">
        <v>332</v>
      </c>
      <c r="C221" s="15">
        <v>28</v>
      </c>
      <c r="D221" s="1" t="s">
        <v>307</v>
      </c>
      <c r="E221" s="13">
        <v>46042</v>
      </c>
      <c r="F221" s="32">
        <v>5</v>
      </c>
      <c r="G221" s="32">
        <f t="shared" si="31"/>
        <v>1.167123287671233</v>
      </c>
      <c r="H221" s="19">
        <v>-72.429367999999997</v>
      </c>
    </row>
    <row r="222" spans="1:8" x14ac:dyDescent="0.25">
      <c r="A222" s="13">
        <v>45630</v>
      </c>
      <c r="B222" s="35" t="s">
        <v>332</v>
      </c>
      <c r="C222" s="15">
        <v>21</v>
      </c>
      <c r="D222" s="1" t="s">
        <v>307</v>
      </c>
      <c r="E222" s="13">
        <v>45987</v>
      </c>
      <c r="F222" s="32">
        <v>11</v>
      </c>
      <c r="G222" s="32">
        <f t="shared" si="31"/>
        <v>0.9780821917808219</v>
      </c>
      <c r="H222" s="19">
        <v>-7.7046520000000003</v>
      </c>
    </row>
    <row r="223" spans="1:8" x14ac:dyDescent="0.25">
      <c r="A223" s="13">
        <v>45637</v>
      </c>
      <c r="B223" s="35" t="s">
        <v>332</v>
      </c>
      <c r="C223" s="15">
        <v>13</v>
      </c>
      <c r="D223" s="1" t="s">
        <v>307</v>
      </c>
      <c r="E223" s="13">
        <v>45802</v>
      </c>
      <c r="F223" s="32">
        <v>15</v>
      </c>
      <c r="G223" s="32">
        <f t="shared" si="31"/>
        <v>0.45205479452054792</v>
      </c>
      <c r="H223" s="19">
        <v>-0.384517</v>
      </c>
    </row>
    <row r="224" spans="1:8" x14ac:dyDescent="0.25">
      <c r="A224" s="13">
        <v>45637</v>
      </c>
      <c r="B224" s="35" t="s">
        <v>332</v>
      </c>
      <c r="C224" s="15">
        <v>21</v>
      </c>
      <c r="D224" s="1" t="s">
        <v>307</v>
      </c>
      <c r="E224" s="13">
        <v>45987</v>
      </c>
      <c r="F224" s="32">
        <v>11</v>
      </c>
      <c r="G224" s="32">
        <f t="shared" si="31"/>
        <v>0.95890410958904104</v>
      </c>
      <c r="H224" s="19">
        <v>-103.53223800000001</v>
      </c>
    </row>
    <row r="225" spans="1:11" x14ac:dyDescent="0.25">
      <c r="A225" s="2">
        <v>45644</v>
      </c>
      <c r="B225" s="35" t="s">
        <v>332</v>
      </c>
      <c r="C225" s="15">
        <v>28</v>
      </c>
      <c r="D225" s="1" t="s">
        <v>307</v>
      </c>
      <c r="E225" s="13">
        <v>46042</v>
      </c>
      <c r="F225" s="32">
        <v>5</v>
      </c>
      <c r="G225" s="32">
        <f t="shared" si="31"/>
        <v>1.0904109589041096</v>
      </c>
      <c r="H225" s="19">
        <v>-113.67309</v>
      </c>
    </row>
    <row r="226" spans="1:11" x14ac:dyDescent="0.25">
      <c r="A226" s="2">
        <v>45672</v>
      </c>
      <c r="B226" s="35" t="s">
        <v>332</v>
      </c>
      <c r="C226" s="15">
        <v>28</v>
      </c>
      <c r="D226" s="1" t="s">
        <v>307</v>
      </c>
      <c r="E226" s="13">
        <v>46042</v>
      </c>
      <c r="F226" s="32">
        <v>5</v>
      </c>
      <c r="G226" s="32">
        <f t="shared" si="31"/>
        <v>1.0136986301369864</v>
      </c>
      <c r="H226" s="19">
        <v>-294.70883600000002</v>
      </c>
    </row>
    <row r="227" spans="1:11" x14ac:dyDescent="0.25">
      <c r="A227" s="2">
        <v>45672</v>
      </c>
      <c r="B227" s="35" t="s">
        <v>332</v>
      </c>
      <c r="C227" s="15">
        <v>21</v>
      </c>
      <c r="D227" s="1" t="s">
        <v>307</v>
      </c>
      <c r="E227" s="13">
        <v>45987</v>
      </c>
      <c r="F227" s="32">
        <v>11</v>
      </c>
      <c r="G227" s="32">
        <f t="shared" si="31"/>
        <v>0.86301369863013699</v>
      </c>
      <c r="H227" s="19">
        <v>-4.3330279999999997</v>
      </c>
    </row>
    <row r="228" spans="1:11" x14ac:dyDescent="0.25">
      <c r="A228" s="2">
        <v>45677</v>
      </c>
      <c r="B228" s="35" t="s">
        <v>338</v>
      </c>
      <c r="C228" s="15">
        <v>28</v>
      </c>
      <c r="D228" s="1" t="s">
        <v>307</v>
      </c>
      <c r="E228" s="13">
        <v>46042</v>
      </c>
      <c r="F228" s="32">
        <v>5</v>
      </c>
      <c r="G228" s="32">
        <f t="shared" ref="G228" si="32">+(E228-A228)/365</f>
        <v>1</v>
      </c>
      <c r="H228" s="19">
        <v>-1547.9743101600006</v>
      </c>
    </row>
    <row r="229" spans="1:11" x14ac:dyDescent="0.25">
      <c r="A229" s="2">
        <v>45686</v>
      </c>
      <c r="B229" s="35" t="s">
        <v>332</v>
      </c>
      <c r="C229" s="15">
        <v>28</v>
      </c>
      <c r="D229" s="1" t="s">
        <v>307</v>
      </c>
      <c r="E229" s="13">
        <v>46042</v>
      </c>
      <c r="F229" s="32">
        <v>5</v>
      </c>
      <c r="G229" s="32">
        <f t="shared" si="31"/>
        <v>0.97534246575342465</v>
      </c>
      <c r="H229" s="19">
        <v>-14.227784</v>
      </c>
    </row>
    <row r="230" spans="1:11" x14ac:dyDescent="0.25">
      <c r="A230" s="2">
        <v>45700</v>
      </c>
      <c r="B230" s="35" t="s">
        <v>332</v>
      </c>
      <c r="C230" s="15">
        <v>9</v>
      </c>
      <c r="D230" s="1" t="s">
        <v>641</v>
      </c>
      <c r="E230" s="13">
        <v>45887</v>
      </c>
      <c r="F230" s="32">
        <v>4</v>
      </c>
      <c r="G230" s="32">
        <f t="shared" si="31"/>
        <v>0.51232876712328768</v>
      </c>
      <c r="H230" s="19">
        <v>-160.80000000000001</v>
      </c>
    </row>
    <row r="231" spans="1:11" x14ac:dyDescent="0.25">
      <c r="A231" s="2">
        <v>45707</v>
      </c>
      <c r="B231" s="35" t="s">
        <v>332</v>
      </c>
      <c r="C231" s="15">
        <v>13</v>
      </c>
      <c r="D231" s="1" t="s">
        <v>307</v>
      </c>
      <c r="E231" s="13">
        <v>45802</v>
      </c>
      <c r="F231" s="32">
        <v>15</v>
      </c>
      <c r="G231" s="32">
        <f t="shared" si="31"/>
        <v>0.26027397260273971</v>
      </c>
      <c r="H231" s="19">
        <v>-0.63228099999999998</v>
      </c>
    </row>
    <row r="232" spans="1:11" x14ac:dyDescent="0.25">
      <c r="A232" s="2">
        <v>45707</v>
      </c>
      <c r="B232" s="35" t="s">
        <v>332</v>
      </c>
      <c r="C232" s="15">
        <v>21</v>
      </c>
      <c r="D232" s="1" t="s">
        <v>307</v>
      </c>
      <c r="E232" s="13">
        <v>45987</v>
      </c>
      <c r="F232" s="32">
        <v>11</v>
      </c>
      <c r="G232" s="32">
        <f t="shared" si="31"/>
        <v>0.76712328767123283</v>
      </c>
      <c r="H232" s="19">
        <v>-11.9</v>
      </c>
    </row>
    <row r="233" spans="1:11" x14ac:dyDescent="0.25">
      <c r="A233" s="2">
        <v>45707</v>
      </c>
      <c r="B233" s="35" t="s">
        <v>332</v>
      </c>
      <c r="C233" s="15">
        <v>28</v>
      </c>
      <c r="D233" s="1" t="s">
        <v>307</v>
      </c>
      <c r="E233" s="13">
        <v>46042</v>
      </c>
      <c r="F233" s="32">
        <v>5</v>
      </c>
      <c r="G233" s="32">
        <f t="shared" si="31"/>
        <v>0.9178082191780822</v>
      </c>
      <c r="H233" s="19">
        <v>-4.7739609999999999</v>
      </c>
    </row>
    <row r="234" spans="1:11" x14ac:dyDescent="0.25">
      <c r="A234" s="2">
        <v>45714</v>
      </c>
      <c r="B234" s="35" t="s">
        <v>332</v>
      </c>
      <c r="C234" s="15">
        <v>21</v>
      </c>
      <c r="D234" s="1" t="s">
        <v>307</v>
      </c>
      <c r="E234" s="13">
        <v>45987</v>
      </c>
      <c r="F234" s="32">
        <v>11</v>
      </c>
      <c r="G234" s="32">
        <f t="shared" si="31"/>
        <v>0.74794520547945209</v>
      </c>
      <c r="H234" s="19">
        <v>-71.656501000000006</v>
      </c>
    </row>
    <row r="235" spans="1:11" x14ac:dyDescent="0.25">
      <c r="A235" s="2">
        <v>45735</v>
      </c>
      <c r="B235" s="35" t="s">
        <v>332</v>
      </c>
      <c r="C235" s="15">
        <v>21</v>
      </c>
      <c r="D235" s="1" t="s">
        <v>307</v>
      </c>
      <c r="E235" s="13">
        <v>45987</v>
      </c>
      <c r="F235" s="32">
        <v>11</v>
      </c>
      <c r="G235" s="32">
        <f t="shared" ref="G235:G243" si="33">+(E235-A235)/365</f>
        <v>0.69041095890410964</v>
      </c>
      <c r="H235" s="19">
        <v>-51.017763000000002</v>
      </c>
    </row>
    <row r="236" spans="1:11" x14ac:dyDescent="0.25">
      <c r="A236" s="2">
        <v>45735</v>
      </c>
      <c r="B236" s="35" t="s">
        <v>332</v>
      </c>
      <c r="C236" s="15">
        <v>28</v>
      </c>
      <c r="D236" s="1" t="s">
        <v>307</v>
      </c>
      <c r="E236" s="13">
        <v>46042</v>
      </c>
      <c r="F236" s="32">
        <v>5</v>
      </c>
      <c r="G236" s="32">
        <f t="shared" si="33"/>
        <v>0.84109589041095889</v>
      </c>
      <c r="H236" s="19">
        <v>-45.871217999999999</v>
      </c>
    </row>
    <row r="237" spans="1:11" x14ac:dyDescent="0.25">
      <c r="A237" s="2">
        <v>45756</v>
      </c>
      <c r="B237" s="35" t="s">
        <v>332</v>
      </c>
      <c r="C237" s="15">
        <v>13</v>
      </c>
      <c r="D237" s="1" t="s">
        <v>307</v>
      </c>
      <c r="E237" s="13">
        <v>45802</v>
      </c>
      <c r="F237" s="32">
        <v>15</v>
      </c>
      <c r="G237" s="32">
        <f t="shared" si="33"/>
        <v>0.12602739726027398</v>
      </c>
      <c r="H237" s="19">
        <v>-1.5</v>
      </c>
      <c r="K237"/>
    </row>
    <row r="238" spans="1:11" x14ac:dyDescent="0.25">
      <c r="A238" s="2">
        <v>45756</v>
      </c>
      <c r="B238" s="35" t="s">
        <v>332</v>
      </c>
      <c r="C238" s="15">
        <v>21</v>
      </c>
      <c r="D238" s="1" t="s">
        <v>307</v>
      </c>
      <c r="E238" s="13">
        <v>45987</v>
      </c>
      <c r="F238" s="32">
        <v>11</v>
      </c>
      <c r="G238" s="32">
        <f t="shared" si="33"/>
        <v>0.63287671232876708</v>
      </c>
      <c r="H238" s="19">
        <v>-2.9937390000000001</v>
      </c>
    </row>
    <row r="239" spans="1:11" x14ac:dyDescent="0.25">
      <c r="A239" s="2">
        <v>45777</v>
      </c>
      <c r="B239" s="35" t="s">
        <v>332</v>
      </c>
      <c r="C239" s="15">
        <v>21</v>
      </c>
      <c r="D239" s="1" t="s">
        <v>307</v>
      </c>
      <c r="E239" s="13">
        <v>45987</v>
      </c>
      <c r="F239" s="32">
        <v>11</v>
      </c>
      <c r="G239" s="32">
        <f t="shared" si="33"/>
        <v>0.57534246575342463</v>
      </c>
      <c r="H239" s="19">
        <v>-346.85345100000001</v>
      </c>
    </row>
    <row r="240" spans="1:11" x14ac:dyDescent="0.25">
      <c r="A240" s="2">
        <v>45777</v>
      </c>
      <c r="B240" s="35" t="s">
        <v>332</v>
      </c>
      <c r="C240" s="15">
        <v>28</v>
      </c>
      <c r="D240" s="1" t="s">
        <v>307</v>
      </c>
      <c r="E240" s="13">
        <v>46042</v>
      </c>
      <c r="F240" s="32">
        <v>5</v>
      </c>
      <c r="G240" s="32">
        <f t="shared" si="33"/>
        <v>0.72602739726027399</v>
      </c>
      <c r="H240" s="19">
        <v>-26.129600329999999</v>
      </c>
    </row>
    <row r="241" spans="1:8" x14ac:dyDescent="0.25">
      <c r="A241" s="2">
        <v>45791</v>
      </c>
      <c r="B241" s="35" t="s">
        <v>332</v>
      </c>
      <c r="C241" s="15">
        <v>13</v>
      </c>
      <c r="D241" s="1" t="s">
        <v>307</v>
      </c>
      <c r="E241" s="13">
        <v>45802</v>
      </c>
      <c r="F241" s="32">
        <v>15</v>
      </c>
      <c r="G241" s="32">
        <f t="shared" si="33"/>
        <v>3.0136986301369864E-2</v>
      </c>
      <c r="H241" s="19">
        <v>-7.1628812999999996</v>
      </c>
    </row>
    <row r="242" spans="1:8" x14ac:dyDescent="0.25">
      <c r="A242" s="2">
        <v>45791</v>
      </c>
      <c r="B242" s="35" t="s">
        <v>332</v>
      </c>
      <c r="C242" s="15">
        <v>21</v>
      </c>
      <c r="D242" s="1" t="s">
        <v>307</v>
      </c>
      <c r="E242" s="13">
        <v>45987</v>
      </c>
      <c r="F242" s="32">
        <v>11</v>
      </c>
      <c r="G242" s="32">
        <f t="shared" si="33"/>
        <v>0.53698630136986303</v>
      </c>
      <c r="H242" s="19">
        <v>-1.7882640000000001</v>
      </c>
    </row>
    <row r="243" spans="1:8" x14ac:dyDescent="0.25">
      <c r="A243" s="2">
        <v>45791</v>
      </c>
      <c r="B243" s="35" t="s">
        <v>332</v>
      </c>
      <c r="C243" s="15">
        <v>28</v>
      </c>
      <c r="D243" s="1" t="s">
        <v>307</v>
      </c>
      <c r="E243" s="13">
        <v>46042</v>
      </c>
      <c r="F243" s="32">
        <v>5</v>
      </c>
      <c r="G243" s="32">
        <f t="shared" si="33"/>
        <v>0.68767123287671228</v>
      </c>
      <c r="H243" s="19">
        <v>-0.12354900000000001</v>
      </c>
    </row>
    <row r="244" spans="1:8" x14ac:dyDescent="0.25">
      <c r="A244" s="2">
        <v>45798</v>
      </c>
      <c r="B244" s="35" t="s">
        <v>332</v>
      </c>
      <c r="C244" s="15">
        <v>13</v>
      </c>
      <c r="D244" s="1" t="s">
        <v>307</v>
      </c>
      <c r="E244" s="13">
        <v>45802</v>
      </c>
      <c r="F244" s="32">
        <v>15</v>
      </c>
      <c r="G244" s="32">
        <f t="shared" ref="G244:G248" si="34">+(E244-A244)/365</f>
        <v>1.0958904109589041E-2</v>
      </c>
      <c r="H244" s="19">
        <v>-365.26593608999997</v>
      </c>
    </row>
    <row r="245" spans="1:8" x14ac:dyDescent="0.25">
      <c r="A245" s="2">
        <v>45802</v>
      </c>
      <c r="B245" s="35" t="s">
        <v>338</v>
      </c>
      <c r="C245" s="15">
        <v>13</v>
      </c>
      <c r="D245" s="1" t="s">
        <v>307</v>
      </c>
      <c r="E245" s="13">
        <v>45802</v>
      </c>
      <c r="F245" s="32">
        <v>15</v>
      </c>
      <c r="G245" s="32">
        <f t="shared" si="34"/>
        <v>0</v>
      </c>
      <c r="H245" s="17">
        <v>-1410.0003436450008</v>
      </c>
    </row>
    <row r="246" spans="1:8" x14ac:dyDescent="0.25">
      <c r="A246" s="2">
        <v>45805</v>
      </c>
      <c r="B246" s="35" t="s">
        <v>332</v>
      </c>
      <c r="C246" s="15">
        <v>21</v>
      </c>
      <c r="D246" s="1" t="s">
        <v>307</v>
      </c>
      <c r="E246" s="13">
        <v>45987</v>
      </c>
      <c r="F246" s="32">
        <v>11</v>
      </c>
      <c r="G246" s="32">
        <f t="shared" si="34"/>
        <v>0.49863013698630138</v>
      </c>
      <c r="H246" s="17">
        <v>-312.55977300000001</v>
      </c>
    </row>
    <row r="247" spans="1:8" x14ac:dyDescent="0.25">
      <c r="A247" s="2">
        <v>45805</v>
      </c>
      <c r="B247" s="35" t="s">
        <v>332</v>
      </c>
      <c r="C247" s="15">
        <v>28</v>
      </c>
      <c r="D247" s="1" t="s">
        <v>307</v>
      </c>
      <c r="E247" s="13">
        <v>46042</v>
      </c>
      <c r="F247" s="32">
        <v>5</v>
      </c>
      <c r="G247" s="32">
        <f t="shared" si="34"/>
        <v>0.64931506849315068</v>
      </c>
      <c r="H247" s="17">
        <v>-61.242896999999999</v>
      </c>
    </row>
    <row r="248" spans="1:8" x14ac:dyDescent="0.25">
      <c r="A248" s="2">
        <v>45833</v>
      </c>
      <c r="B248" s="35" t="s">
        <v>332</v>
      </c>
      <c r="C248" s="15">
        <v>21</v>
      </c>
      <c r="D248" s="1" t="s">
        <v>307</v>
      </c>
      <c r="E248" s="13">
        <v>45987</v>
      </c>
      <c r="F248" s="32">
        <v>11</v>
      </c>
      <c r="G248" s="32">
        <f t="shared" si="34"/>
        <v>0.42191780821917807</v>
      </c>
      <c r="H248" s="17">
        <v>-95.498990000000006</v>
      </c>
    </row>
    <row r="249" spans="1:8" x14ac:dyDescent="0.25">
      <c r="A249" s="2">
        <v>45861</v>
      </c>
      <c r="B249" s="35" t="s">
        <v>332</v>
      </c>
      <c r="C249" s="15">
        <v>28</v>
      </c>
      <c r="D249" s="1" t="s">
        <v>307</v>
      </c>
      <c r="E249" s="13">
        <v>46042</v>
      </c>
      <c r="F249" s="32">
        <v>5</v>
      </c>
      <c r="G249" s="32">
        <f t="shared" ref="G249:G254" si="35">+(E249-A249)/365</f>
        <v>0.49589041095890413</v>
      </c>
      <c r="H249" s="17">
        <v>-59.488849999999999</v>
      </c>
    </row>
    <row r="250" spans="1:8" x14ac:dyDescent="0.25">
      <c r="A250" s="2">
        <v>45863</v>
      </c>
      <c r="B250" s="35" t="s">
        <v>338</v>
      </c>
      <c r="C250" s="15">
        <v>1</v>
      </c>
      <c r="D250" s="1" t="s">
        <v>322</v>
      </c>
      <c r="E250" s="13">
        <v>45863</v>
      </c>
      <c r="F250" s="32">
        <v>7</v>
      </c>
      <c r="G250" s="32">
        <f t="shared" si="35"/>
        <v>0</v>
      </c>
      <c r="H250" s="17">
        <v>-1585.2579202300012</v>
      </c>
    </row>
    <row r="251" spans="1:8" x14ac:dyDescent="0.25">
      <c r="A251" s="2">
        <v>45868</v>
      </c>
      <c r="B251" s="35" t="s">
        <v>332</v>
      </c>
      <c r="C251" s="15">
        <v>28</v>
      </c>
      <c r="D251" s="1" t="s">
        <v>307</v>
      </c>
      <c r="E251" s="13">
        <v>46042</v>
      </c>
      <c r="F251" s="32">
        <v>5</v>
      </c>
      <c r="G251" s="32">
        <f t="shared" si="35"/>
        <v>0.47671232876712327</v>
      </c>
      <c r="H251" s="17">
        <v>-80.388535000000005</v>
      </c>
    </row>
    <row r="252" spans="1:8" x14ac:dyDescent="0.25">
      <c r="A252" s="2">
        <v>45875</v>
      </c>
      <c r="B252" s="35" t="s">
        <v>332</v>
      </c>
      <c r="C252" s="15">
        <v>9</v>
      </c>
      <c r="D252" s="1" t="s">
        <v>641</v>
      </c>
      <c r="E252" s="13">
        <v>45887</v>
      </c>
      <c r="F252" s="32">
        <v>4</v>
      </c>
      <c r="G252" s="32">
        <f t="shared" si="35"/>
        <v>3.287671232876712E-2</v>
      </c>
      <c r="H252" s="17">
        <v>-581.59324100000003</v>
      </c>
    </row>
    <row r="253" spans="1:8" x14ac:dyDescent="0.25">
      <c r="A253" s="2">
        <v>45875</v>
      </c>
      <c r="B253" s="35" t="s">
        <v>332</v>
      </c>
      <c r="C253" s="15">
        <v>21</v>
      </c>
      <c r="D253" s="1" t="s">
        <v>307</v>
      </c>
      <c r="E253" s="13">
        <v>45987</v>
      </c>
      <c r="F253" s="32">
        <v>11</v>
      </c>
      <c r="G253" s="32">
        <f t="shared" si="35"/>
        <v>0.30684931506849317</v>
      </c>
      <c r="H253" s="17">
        <v>-132.232203</v>
      </c>
    </row>
    <row r="254" spans="1:8" x14ac:dyDescent="0.25">
      <c r="A254" s="2">
        <v>45875</v>
      </c>
      <c r="B254" s="35" t="s">
        <v>332</v>
      </c>
      <c r="C254" s="15">
        <v>28</v>
      </c>
      <c r="D254" s="1" t="s">
        <v>307</v>
      </c>
      <c r="E254" s="13">
        <v>46042</v>
      </c>
      <c r="F254" s="32">
        <v>5</v>
      </c>
      <c r="G254" s="32">
        <f t="shared" si="35"/>
        <v>0.45753424657534247</v>
      </c>
      <c r="H254" s="17">
        <v>-5.85529338</v>
      </c>
    </row>
    <row r="255" spans="1:8" x14ac:dyDescent="0.25">
      <c r="A255" s="2">
        <v>45889</v>
      </c>
      <c r="B255" s="35" t="s">
        <v>332</v>
      </c>
      <c r="C255" s="15">
        <v>21</v>
      </c>
      <c r="D255" s="1" t="s">
        <v>307</v>
      </c>
      <c r="E255" s="13">
        <v>45987</v>
      </c>
      <c r="F255" s="32">
        <v>11</v>
      </c>
      <c r="G255" s="32">
        <f t="shared" ref="G255:G265" si="36">+(E255-A255)/365</f>
        <v>0.26849315068493151</v>
      </c>
      <c r="H255" s="17">
        <v>-205.04178400000001</v>
      </c>
    </row>
    <row r="256" spans="1:8" x14ac:dyDescent="0.25">
      <c r="A256" s="2">
        <v>45910</v>
      </c>
      <c r="B256" s="35" t="s">
        <v>332</v>
      </c>
      <c r="C256" s="15">
        <v>21</v>
      </c>
      <c r="D256" s="1" t="s">
        <v>307</v>
      </c>
      <c r="E256" s="13">
        <v>45987</v>
      </c>
      <c r="F256" s="32">
        <v>11</v>
      </c>
      <c r="G256" s="32">
        <f t="shared" si="36"/>
        <v>0.21095890410958903</v>
      </c>
      <c r="H256" s="17">
        <v>-69.101445999999996</v>
      </c>
    </row>
    <row r="257" spans="1:8" x14ac:dyDescent="0.25">
      <c r="A257" s="2">
        <v>45910</v>
      </c>
      <c r="B257" s="35" t="s">
        <v>332</v>
      </c>
      <c r="C257" s="15">
        <v>28</v>
      </c>
      <c r="D257" s="1" t="s">
        <v>307</v>
      </c>
      <c r="E257" s="13">
        <v>46042</v>
      </c>
      <c r="F257" s="32">
        <v>5</v>
      </c>
      <c r="G257" s="32">
        <f t="shared" si="36"/>
        <v>0.36164383561643837</v>
      </c>
      <c r="H257" s="17">
        <v>-34.203705579999998</v>
      </c>
    </row>
    <row r="258" spans="1:8" x14ac:dyDescent="0.25">
      <c r="A258" s="2">
        <v>45917</v>
      </c>
      <c r="B258" s="35" t="s">
        <v>332</v>
      </c>
      <c r="C258" s="15">
        <v>21</v>
      </c>
      <c r="D258" s="1" t="s">
        <v>307</v>
      </c>
      <c r="E258" s="13">
        <v>45987</v>
      </c>
      <c r="F258" s="32">
        <v>11</v>
      </c>
      <c r="G258" s="32">
        <f t="shared" si="36"/>
        <v>0.19178082191780821</v>
      </c>
      <c r="H258" s="17">
        <v>-96.666346000000004</v>
      </c>
    </row>
    <row r="259" spans="1:8" x14ac:dyDescent="0.25">
      <c r="A259" s="2">
        <v>45917</v>
      </c>
      <c r="B259" s="35" t="s">
        <v>332</v>
      </c>
      <c r="C259" s="15">
        <v>28</v>
      </c>
      <c r="D259" s="1" t="s">
        <v>307</v>
      </c>
      <c r="E259" s="13">
        <v>46042</v>
      </c>
      <c r="F259" s="32">
        <v>5</v>
      </c>
      <c r="G259" s="32">
        <f t="shared" si="36"/>
        <v>0.34246575342465752</v>
      </c>
      <c r="H259" s="17">
        <v>-1.0157780000000001</v>
      </c>
    </row>
    <row r="260" spans="1:8" x14ac:dyDescent="0.25">
      <c r="A260" s="2">
        <v>45945</v>
      </c>
      <c r="B260" s="35" t="s">
        <v>332</v>
      </c>
      <c r="C260" s="15">
        <v>28</v>
      </c>
      <c r="D260" s="1" t="s">
        <v>307</v>
      </c>
      <c r="E260" s="13">
        <v>46042</v>
      </c>
      <c r="F260" s="32">
        <v>5</v>
      </c>
      <c r="G260" s="32">
        <f t="shared" si="36"/>
        <v>0.26575342465753427</v>
      </c>
      <c r="H260" s="17">
        <v>-16.447112669999999</v>
      </c>
    </row>
    <row r="261" spans="1:8" x14ac:dyDescent="0.25">
      <c r="A261" s="2">
        <v>45957</v>
      </c>
      <c r="B261" s="35" t="s">
        <v>700</v>
      </c>
      <c r="C261" s="15">
        <v>11</v>
      </c>
      <c r="D261" s="1" t="s">
        <v>701</v>
      </c>
      <c r="E261" s="13">
        <v>46363</v>
      </c>
      <c r="F261" s="32">
        <v>2.8328767123287673</v>
      </c>
      <c r="G261" s="32">
        <f t="shared" si="36"/>
        <v>1.1123287671232878</v>
      </c>
      <c r="H261" s="17">
        <v>-1841.4348669999999</v>
      </c>
    </row>
    <row r="262" spans="1:8" x14ac:dyDescent="0.25">
      <c r="A262" s="2">
        <v>45957</v>
      </c>
      <c r="B262" s="35" t="s">
        <v>700</v>
      </c>
      <c r="C262" s="15">
        <v>10</v>
      </c>
      <c r="D262" s="1" t="s">
        <v>701</v>
      </c>
      <c r="E262" s="13">
        <v>47150</v>
      </c>
      <c r="F262" s="32">
        <v>7</v>
      </c>
      <c r="G262" s="32">
        <f t="shared" si="36"/>
        <v>3.2684931506849315</v>
      </c>
      <c r="H262" s="17">
        <v>-517.67999999999995</v>
      </c>
    </row>
    <row r="263" spans="1:8" x14ac:dyDescent="0.25">
      <c r="A263" s="2">
        <v>45959</v>
      </c>
      <c r="B263" s="35" t="s">
        <v>332</v>
      </c>
      <c r="C263" s="15">
        <v>21</v>
      </c>
      <c r="D263" s="1" t="s">
        <v>307</v>
      </c>
      <c r="E263" s="13">
        <v>45987</v>
      </c>
      <c r="F263" s="32">
        <v>11</v>
      </c>
      <c r="G263" s="32">
        <f t="shared" si="36"/>
        <v>7.6712328767123292E-2</v>
      </c>
      <c r="H263" s="17">
        <v>-2.0299170000000002</v>
      </c>
    </row>
    <row r="264" spans="1:8" x14ac:dyDescent="0.25">
      <c r="A264" s="2">
        <v>45959</v>
      </c>
      <c r="B264" s="35" t="s">
        <v>332</v>
      </c>
      <c r="C264" s="15">
        <v>28</v>
      </c>
      <c r="D264" s="1" t="s">
        <v>307</v>
      </c>
      <c r="E264" s="13">
        <v>46042</v>
      </c>
      <c r="F264" s="32">
        <v>5</v>
      </c>
      <c r="G264" s="32">
        <f t="shared" si="36"/>
        <v>0.22739726027397261</v>
      </c>
      <c r="H264" s="57">
        <v>-0.20899999999999999</v>
      </c>
    </row>
    <row r="265" spans="1:8" x14ac:dyDescent="0.25">
      <c r="A265" s="2">
        <v>45973</v>
      </c>
      <c r="B265" s="35" t="s">
        <v>332</v>
      </c>
      <c r="C265" s="15">
        <v>28</v>
      </c>
      <c r="D265" s="1" t="s">
        <v>307</v>
      </c>
      <c r="E265" s="13">
        <v>46042</v>
      </c>
      <c r="F265" s="32">
        <v>5</v>
      </c>
      <c r="G265" s="32">
        <f t="shared" si="36"/>
        <v>0.18904109589041096</v>
      </c>
      <c r="H265" s="57">
        <v>-3.07338033</v>
      </c>
    </row>
    <row r="266" spans="1:8" x14ac:dyDescent="0.25">
      <c r="A266" s="2">
        <v>45973</v>
      </c>
      <c r="B266" s="35" t="s">
        <v>332</v>
      </c>
      <c r="C266" s="15">
        <v>11</v>
      </c>
      <c r="D266" s="1" t="s">
        <v>701</v>
      </c>
      <c r="E266" s="13">
        <v>46363</v>
      </c>
      <c r="F266" s="32">
        <v>2.8328767123287673</v>
      </c>
      <c r="G266" s="32">
        <f t="shared" ref="G266:G269" si="37">+(E266-A266)/365</f>
        <v>1.0684931506849316</v>
      </c>
      <c r="H266" s="57">
        <v>-448.75947300000001</v>
      </c>
    </row>
    <row r="267" spans="1:8" x14ac:dyDescent="0.25">
      <c r="A267" s="2">
        <v>45980</v>
      </c>
      <c r="B267" s="35" t="s">
        <v>332</v>
      </c>
      <c r="C267" s="15">
        <v>21</v>
      </c>
      <c r="D267" s="1" t="s">
        <v>307</v>
      </c>
      <c r="E267" s="13">
        <v>45987</v>
      </c>
      <c r="F267" s="32">
        <v>11</v>
      </c>
      <c r="G267" s="32">
        <f t="shared" si="37"/>
        <v>1.9178082191780823E-2</v>
      </c>
      <c r="H267" s="57">
        <v>-12.0564</v>
      </c>
    </row>
    <row r="268" spans="1:8" x14ac:dyDescent="0.25">
      <c r="A268" s="2">
        <v>45980</v>
      </c>
      <c r="B268" s="35" t="s">
        <v>332</v>
      </c>
      <c r="C268" s="15">
        <v>28</v>
      </c>
      <c r="D268" s="1" t="s">
        <v>307</v>
      </c>
      <c r="E268" s="13">
        <v>46042</v>
      </c>
      <c r="F268" s="32">
        <v>5</v>
      </c>
      <c r="G268" s="32">
        <f t="shared" si="37"/>
        <v>0.16986301369863013</v>
      </c>
      <c r="H268" s="57">
        <v>-0.15087999999999999</v>
      </c>
    </row>
    <row r="269" spans="1:8" x14ac:dyDescent="0.25">
      <c r="A269" s="2">
        <v>45987</v>
      </c>
      <c r="B269" s="35" t="s">
        <v>332</v>
      </c>
      <c r="C269" s="15">
        <v>11</v>
      </c>
      <c r="D269" s="1" t="s">
        <v>701</v>
      </c>
      <c r="E269" s="13">
        <v>46363</v>
      </c>
      <c r="F269" s="32">
        <v>2.8328767123287673</v>
      </c>
      <c r="G269" s="32">
        <f t="shared" si="37"/>
        <v>1.0301369863013699</v>
      </c>
      <c r="H269" s="57">
        <v>-735.03730299999995</v>
      </c>
    </row>
    <row r="270" spans="1:8" x14ac:dyDescent="0.25">
      <c r="A270" s="2">
        <v>45987</v>
      </c>
      <c r="B270" s="35" t="s">
        <v>332</v>
      </c>
      <c r="C270" s="15">
        <v>28</v>
      </c>
      <c r="D270" s="1" t="s">
        <v>307</v>
      </c>
      <c r="E270" s="13">
        <v>46042</v>
      </c>
      <c r="F270" s="32">
        <v>5</v>
      </c>
      <c r="G270" s="32">
        <f>+(E270-A270)/365</f>
        <v>0.15068493150684931</v>
      </c>
      <c r="H270" s="57">
        <v>-64.488982120000003</v>
      </c>
    </row>
    <row r="271" spans="1:8" x14ac:dyDescent="0.25">
      <c r="A271" s="2">
        <v>46001</v>
      </c>
      <c r="B271" s="35" t="s">
        <v>332</v>
      </c>
      <c r="C271" s="15">
        <v>28</v>
      </c>
      <c r="D271" s="1" t="s">
        <v>307</v>
      </c>
      <c r="E271" s="13">
        <v>46042</v>
      </c>
      <c r="F271" s="32">
        <v>5</v>
      </c>
      <c r="G271" s="32">
        <f>+(E271-A271)/365</f>
        <v>0.11232876712328767</v>
      </c>
      <c r="H271" s="57">
        <v>-149.54501089999999</v>
      </c>
    </row>
    <row r="272" spans="1:8" x14ac:dyDescent="0.25">
      <c r="A272" s="2">
        <v>46001</v>
      </c>
      <c r="B272" s="35" t="s">
        <v>332</v>
      </c>
      <c r="C272" s="15">
        <v>11</v>
      </c>
      <c r="D272" s="1" t="s">
        <v>701</v>
      </c>
      <c r="E272" s="13">
        <v>46363</v>
      </c>
      <c r="F272" s="32">
        <v>2.8328767123287673</v>
      </c>
      <c r="G272" s="32">
        <f>+(E272-A272)/365</f>
        <v>0.99178082191780825</v>
      </c>
      <c r="H272" s="57">
        <v>-464.66638799999998</v>
      </c>
    </row>
    <row r="273" spans="1:8" x14ac:dyDescent="0.25">
      <c r="A273" s="2">
        <v>46001</v>
      </c>
      <c r="B273" s="35" t="s">
        <v>332</v>
      </c>
      <c r="C273" s="15">
        <v>28</v>
      </c>
      <c r="D273" s="1" t="s">
        <v>307</v>
      </c>
      <c r="E273" s="13">
        <v>46042</v>
      </c>
      <c r="F273" s="32">
        <v>5</v>
      </c>
      <c r="G273" s="32">
        <f>+(E273-A273)/365</f>
        <v>0.11232876712328767</v>
      </c>
      <c r="H273" s="57">
        <v>-41.199069379999997</v>
      </c>
    </row>
    <row r="274" spans="1:8" x14ac:dyDescent="0.25">
      <c r="A274" s="2">
        <v>46050</v>
      </c>
      <c r="B274" s="35" t="s">
        <v>332</v>
      </c>
      <c r="C274" s="15">
        <v>11</v>
      </c>
      <c r="D274" s="1" t="s">
        <v>701</v>
      </c>
      <c r="E274" s="13">
        <v>46363</v>
      </c>
      <c r="F274" s="32">
        <v>2.8328767123287673</v>
      </c>
      <c r="G274" s="32">
        <f>+(E274-A274)/365</f>
        <v>0.8575342465753425</v>
      </c>
      <c r="H274" s="57">
        <v>-1944.153523</v>
      </c>
    </row>
  </sheetData>
  <sortState xmlns:xlrd2="http://schemas.microsoft.com/office/spreadsheetml/2017/richdata2" ref="A11:H92">
    <sortCondition ref="A11:A92"/>
  </sortState>
  <mergeCells count="1">
    <mergeCell ref="E2:H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1C64DE16148448BC1354D1F0A2F122" ma:contentTypeVersion="2" ma:contentTypeDescription="Crear nuevo documento." ma:contentTypeScope="" ma:versionID="5eb49e34e9646a28ee40a1984e325221">
  <xsd:schema xmlns:xsd="http://www.w3.org/2001/XMLSchema" xmlns:xs="http://www.w3.org/2001/XMLSchema" xmlns:p="http://schemas.microsoft.com/office/2006/metadata/properties" xmlns:ns2="a920c358-e860-40bc-800a-c71437c68475" targetNamespace="http://schemas.microsoft.com/office/2006/metadata/properties" ma:root="true" ma:fieldsID="1c81edb9fef632fa63869b89abeecf1b" ns2:_="">
    <xsd:import namespace="a920c358-e860-40bc-800a-c71437c6847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0c358-e860-40bc-800a-c71437c6847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a920c358-e860-40bc-800a-c71437c68475">ZVC2WEHRZH33-245-2321</_dlc_DocId>
    <_dlc_DocIdUrl xmlns="a920c358-e860-40bc-800a-c71437c68475">
      <Url>https://itrio:37788/Politica-Economica-y-Mercados/_layouts/15/DocIdRedir.aspx?ID=ZVC2WEHRZH33-245-2321</Url>
      <Description>ZVC2WEHRZH33-245-2321</Description>
    </_dlc_DocIdUrl>
    <_dlc_DocIdPersistId xmlns="a920c358-e860-40bc-800a-c71437c68475">false</_dlc_DocIdPersistId>
    <SharedWithUsers xmlns="a920c358-e860-40bc-800a-c71437c68475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F14FF9D-A359-45FF-B60D-B5D34C4505EC}"/>
</file>

<file path=customXml/itemProps2.xml><?xml version="1.0" encoding="utf-8"?>
<ds:datastoreItem xmlns:ds="http://schemas.openxmlformats.org/officeDocument/2006/customXml" ds:itemID="{DFBE5B05-67D6-4869-8EA5-2020E3EDCB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07E96D-8EB8-4A97-8414-AC141303CBF1}">
  <ds:schemaRefs>
    <ds:schemaRef ds:uri="http://schemas.microsoft.com/office/2006/metadata/properties"/>
    <ds:schemaRef ds:uri="http://schemas.microsoft.com/office/infopath/2007/PartnerControls"/>
    <ds:schemaRef ds:uri="a920c358-e860-40bc-800a-c71437c68475"/>
  </ds:schemaRefs>
</ds:datastoreItem>
</file>

<file path=customXml/itemProps4.xml><?xml version="1.0" encoding="utf-8"?>
<ds:datastoreItem xmlns:ds="http://schemas.openxmlformats.org/officeDocument/2006/customXml" ds:itemID="{3CB33E8C-9F86-4E5E-9DD1-B93C58D43A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DIN</vt:lpstr>
      <vt:lpstr>LRM</vt:lpstr>
      <vt:lpstr>LRM bajas</vt:lpstr>
      <vt:lpstr>NT MEF</vt:lpstr>
      <vt:lpstr>NT bajas</vt:lpstr>
    </vt:vector>
  </TitlesOfParts>
  <Company>BCU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Soporte</dc:creator>
  <cp:lastModifiedBy>Diego Cuervo Barreix</cp:lastModifiedBy>
  <dcterms:created xsi:type="dcterms:W3CDTF">2021-06-01T17:02:56Z</dcterms:created>
  <dcterms:modified xsi:type="dcterms:W3CDTF">2026-02-10T20:00:50Z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58f9d606-80e2-4a3e-af56-4b7ec0d66ec6</vt:lpwstr>
  </property>
  <property fmtid="{D5CDD505-2E9C-101B-9397-08002B2CF9AE}" pid="3" name="ContentTypeId">
    <vt:lpwstr>0x0101003B1C64DE16148448BC1354D1F0A2F122</vt:lpwstr>
  </property>
  <property fmtid="{D5CDD505-2E9C-101B-9397-08002B2CF9AE}" pid="4" name="Order">
    <vt:r8>232100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</Properties>
</file>