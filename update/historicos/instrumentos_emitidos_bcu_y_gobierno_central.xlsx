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BF762D82-D4DC-4691-8395-C9B8E7092486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DIN!$A$9:$H$2597</definedName>
    <definedName name="_xlnm._FilterDatabase" localSheetId="1" hidden="1">LRM!$A$10:$AD$1307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622" i="2" l="1"/>
  <c r="D2622" i="2"/>
  <c r="D2625" i="2" l="1"/>
  <c r="D2624" i="2"/>
  <c r="D2623" i="2"/>
  <c r="K355" i="5"/>
  <c r="J355" i="5"/>
  <c r="Z1307" i="1"/>
  <c r="X1307" i="1"/>
  <c r="S1307" i="1"/>
  <c r="Q1307" i="1"/>
  <c r="L1307" i="1"/>
  <c r="J1307" i="1"/>
  <c r="Z1306" i="1"/>
  <c r="X1306" i="1"/>
  <c r="S1306" i="1"/>
  <c r="Q1306" i="1"/>
  <c r="L1306" i="1"/>
  <c r="J1306" i="1"/>
  <c r="D2621" i="2" l="1"/>
  <c r="D2620" i="2"/>
  <c r="D2619" i="2"/>
  <c r="Z1305" i="1"/>
  <c r="X1305" i="1"/>
  <c r="Q1305" i="1"/>
  <c r="S1305" i="1"/>
  <c r="L1305" i="1"/>
  <c r="J1305" i="1"/>
  <c r="D2618" i="2"/>
  <c r="D2617" i="2"/>
  <c r="D2616" i="2"/>
  <c r="D2615" i="2"/>
  <c r="Z1304" i="1"/>
  <c r="X1304" i="1"/>
  <c r="S1304" i="1"/>
  <c r="Q1304" i="1"/>
  <c r="L1304" i="1"/>
  <c r="J1304" i="1"/>
  <c r="D2614" i="2" l="1"/>
  <c r="D2613" i="2"/>
  <c r="Z1303" i="1"/>
  <c r="X1303" i="1"/>
  <c r="S1303" i="1"/>
  <c r="Q1303" i="1"/>
  <c r="L1303" i="1"/>
  <c r="J1303" i="1"/>
  <c r="D2612" i="2"/>
  <c r="D2611" i="2"/>
  <c r="D2607" i="2" l="1"/>
  <c r="D2610" i="2" l="1"/>
  <c r="D2609" i="2"/>
  <c r="D2608" i="2"/>
  <c r="Z1302" i="1"/>
  <c r="X1302" i="1"/>
  <c r="S1302" i="1"/>
  <c r="Q1302" i="1"/>
  <c r="L1302" i="1"/>
  <c r="J1302" i="1"/>
  <c r="F308" i="8"/>
  <c r="F309" i="8"/>
  <c r="F310" i="8"/>
  <c r="F311" i="8"/>
  <c r="F312" i="8"/>
  <c r="F313" i="8"/>
  <c r="F314" i="8"/>
  <c r="D2606" i="2"/>
  <c r="D2605" i="2"/>
  <c r="V354" i="5"/>
  <c r="N354" i="5"/>
  <c r="D2604" i="2" l="1"/>
  <c r="D2603" i="2"/>
  <c r="D2602" i="2"/>
  <c r="K354" i="5"/>
  <c r="J354" i="5"/>
  <c r="Z1301" i="1"/>
  <c r="X1301" i="1"/>
  <c r="S1301" i="1"/>
  <c r="Q1301" i="1"/>
  <c r="L1301" i="1"/>
  <c r="J1301" i="1"/>
  <c r="D2601" i="2"/>
  <c r="D2600" i="2"/>
  <c r="D2599" i="2"/>
  <c r="D2598" i="2"/>
  <c r="D2597" i="2"/>
  <c r="D2596" i="2"/>
  <c r="D2595" i="2"/>
  <c r="D2594" i="2"/>
  <c r="D2593" i="2"/>
  <c r="Z1300" i="1" l="1"/>
  <c r="X1300" i="1"/>
  <c r="S1300" i="1"/>
  <c r="Q1300" i="1"/>
  <c r="L1300" i="1"/>
  <c r="J1300" i="1"/>
  <c r="D2592" i="2"/>
  <c r="D2591" i="2"/>
  <c r="D2590" i="2"/>
  <c r="D2589" i="2"/>
  <c r="Z1299" i="1"/>
  <c r="X1299" i="1"/>
  <c r="S1299" i="1"/>
  <c r="Q1299" i="1"/>
  <c r="L1299" i="1"/>
  <c r="J1299" i="1"/>
  <c r="F301" i="8"/>
  <c r="F302" i="8"/>
  <c r="F303" i="8"/>
  <c r="F304" i="8"/>
  <c r="F305" i="8"/>
  <c r="F306" i="8"/>
  <c r="F307" i="8"/>
  <c r="G276" i="6"/>
  <c r="D2588" i="2"/>
  <c r="D2587" i="2"/>
  <c r="D2586" i="2"/>
  <c r="D2585" i="2"/>
  <c r="D2584" i="2"/>
  <c r="V353" i="5"/>
  <c r="N353" i="5"/>
  <c r="D2583" i="2"/>
  <c r="D2582" i="2"/>
  <c r="D2581" i="2"/>
  <c r="D2580" i="2"/>
  <c r="K353" i="5"/>
  <c r="J353" i="5"/>
  <c r="Z1298" i="1"/>
  <c r="X1298" i="1"/>
  <c r="Q1298" i="1"/>
  <c r="S1298" i="1"/>
  <c r="L1298" i="1"/>
  <c r="J1298" i="1"/>
  <c r="D2579" i="2"/>
  <c r="D2578" i="2"/>
  <c r="D2577" i="2"/>
  <c r="Z1297" i="1"/>
  <c r="X1297" i="1"/>
  <c r="S1297" i="1"/>
  <c r="Q1297" i="1"/>
  <c r="L1297" i="1"/>
  <c r="D2576" i="2" l="1"/>
  <c r="D2575" i="2"/>
  <c r="D2574" i="2"/>
  <c r="D2573" i="2"/>
  <c r="D2572" i="2"/>
  <c r="D2571" i="2"/>
  <c r="D2570" i="2"/>
  <c r="Z1296" i="1"/>
  <c r="X1296" i="1"/>
  <c r="S1296" i="1"/>
  <c r="Q1296" i="1"/>
  <c r="J1294" i="1"/>
  <c r="J1295" i="1"/>
  <c r="J1296" i="1"/>
  <c r="L1296" i="1"/>
  <c r="F297" i="8"/>
  <c r="F298" i="8"/>
  <c r="F299" i="8"/>
  <c r="F300" i="8"/>
  <c r="D2569" i="2"/>
  <c r="D2568" i="2"/>
  <c r="D2567" i="2"/>
  <c r="V352" i="5"/>
  <c r="N352" i="5"/>
  <c r="D2566" i="2"/>
  <c r="D2565" i="2"/>
  <c r="D2564" i="2"/>
  <c r="K352" i="5"/>
  <c r="Z1295" i="1"/>
  <c r="X1295" i="1"/>
  <c r="S1295" i="1"/>
  <c r="Q1295" i="1"/>
  <c r="L1295" i="1"/>
  <c r="Z1294" i="1"/>
  <c r="X1294" i="1"/>
  <c r="S1294" i="1"/>
  <c r="Q1294" i="1"/>
  <c r="L1294" i="1"/>
  <c r="D2563" i="2"/>
  <c r="D2562" i="2"/>
  <c r="D2561" i="2"/>
  <c r="D2560" i="2"/>
  <c r="S1292" i="1"/>
  <c r="AD1293" i="1"/>
  <c r="V1293" i="1"/>
  <c r="Z1293" i="1" s="1"/>
  <c r="S1293" i="1"/>
  <c r="Q1293" i="1"/>
  <c r="L1293" i="1"/>
  <c r="J1293" i="1"/>
  <c r="D2559" i="2"/>
  <c r="D2558" i="2"/>
  <c r="D2557" i="2"/>
  <c r="D2556" i="2"/>
  <c r="X1293" i="1" l="1"/>
  <c r="D2555" i="2"/>
  <c r="D2554" i="2"/>
  <c r="D2553" i="2"/>
  <c r="D2552" i="2"/>
  <c r="F294" i="8" l="1"/>
  <c r="F295" i="8"/>
  <c r="F296" i="8"/>
  <c r="F293" i="8"/>
  <c r="G275" i="6"/>
  <c r="D2551" i="2"/>
  <c r="D2550" i="2"/>
  <c r="D2549" i="2"/>
  <c r="V351" i="5"/>
  <c r="N351" i="5"/>
  <c r="D2548" i="2"/>
  <c r="D2547" i="2"/>
  <c r="D2546" i="2"/>
  <c r="K351" i="5"/>
  <c r="J351" i="5"/>
  <c r="D2545" i="2"/>
  <c r="D2544" i="2"/>
  <c r="D2543" i="2"/>
  <c r="D2541" i="2" l="1"/>
  <c r="D2542" i="2"/>
  <c r="D2540" i="2"/>
  <c r="D2539" i="2"/>
  <c r="D2537" i="2"/>
  <c r="D2538" i="2"/>
  <c r="D2536" i="2"/>
  <c r="D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H169" i="2"/>
  <c r="T191" i="5"/>
  <c r="V225" i="5"/>
  <c r="H288" i="2" l="1"/>
  <c r="H2625" i="2"/>
  <c r="H2624" i="2"/>
  <c r="H2623" i="2"/>
  <c r="H892" i="2"/>
  <c r="H2618" i="2"/>
  <c r="H2616" i="2"/>
  <c r="H2615" i="2"/>
  <c r="H2621" i="2"/>
  <c r="H2620" i="2"/>
  <c r="H2619" i="2"/>
  <c r="H2617" i="2"/>
  <c r="H2613" i="2"/>
  <c r="H2614" i="2"/>
  <c r="H2611" i="2"/>
  <c r="H2612" i="2"/>
  <c r="H2605" i="2"/>
  <c r="H2606" i="2"/>
  <c r="H2607" i="2"/>
  <c r="H2608" i="2"/>
  <c r="H2610" i="2"/>
  <c r="H2609" i="2"/>
  <c r="H594" i="2"/>
  <c r="H359" i="2"/>
  <c r="H281" i="2"/>
  <c r="H490" i="2"/>
  <c r="H2532" i="2"/>
  <c r="H2596" i="2"/>
  <c r="H2599" i="2"/>
  <c r="H2600" i="2"/>
  <c r="H2594" i="2"/>
  <c r="H2604" i="2"/>
  <c r="H2595" i="2"/>
  <c r="H2603" i="2"/>
  <c r="H2602" i="2"/>
  <c r="H2598" i="2"/>
  <c r="H2597" i="2"/>
  <c r="H2601" i="2"/>
  <c r="H2593" i="2"/>
  <c r="H2586" i="2"/>
  <c r="H2577" i="2"/>
  <c r="H2591" i="2"/>
  <c r="H2578" i="2"/>
  <c r="H2590" i="2"/>
  <c r="H2579" i="2"/>
  <c r="H2581" i="2"/>
  <c r="H2585" i="2"/>
  <c r="H2584" i="2"/>
  <c r="H2583" i="2"/>
  <c r="H2589" i="2"/>
  <c r="H2588" i="2"/>
  <c r="H2582" i="2"/>
  <c r="H2592" i="2"/>
  <c r="H2587" i="2"/>
  <c r="H2580" i="2"/>
  <c r="H2562" i="2"/>
  <c r="H2572" i="2"/>
  <c r="H2557" i="2"/>
  <c r="H2559" i="2"/>
  <c r="H2576" i="2"/>
  <c r="H2561" i="2"/>
  <c r="H2565" i="2"/>
  <c r="H2560" i="2"/>
  <c r="H2566" i="2"/>
  <c r="H2571" i="2"/>
  <c r="H2556" i="2"/>
  <c r="H2569" i="2"/>
  <c r="H2575" i="2"/>
  <c r="H2563" i="2"/>
  <c r="H2568" i="2"/>
  <c r="H2574" i="2"/>
  <c r="H2570" i="2"/>
  <c r="H2573" i="2"/>
  <c r="H2567" i="2"/>
  <c r="H2564" i="2"/>
  <c r="H2558" i="2"/>
  <c r="H2555" i="2"/>
  <c r="H2554" i="2"/>
  <c r="H2553" i="2"/>
  <c r="H2552" i="2"/>
  <c r="H2548" i="2"/>
  <c r="H2547" i="2"/>
  <c r="H2549" i="2"/>
  <c r="H2544" i="2"/>
  <c r="H2545" i="2"/>
  <c r="H2551" i="2"/>
  <c r="H2543" i="2"/>
  <c r="H2550" i="2"/>
  <c r="H2546" i="2"/>
  <c r="H2542" i="2"/>
  <c r="H2541" i="2"/>
  <c r="H2529" i="2"/>
  <c r="H2537" i="2"/>
  <c r="H2536" i="2"/>
  <c r="H2540" i="2"/>
  <c r="H2538" i="2"/>
  <c r="H2539" i="2"/>
  <c r="H462" i="2"/>
  <c r="H573" i="2"/>
  <c r="H588" i="2"/>
  <c r="H268" i="2"/>
  <c r="H12" i="2"/>
  <c r="H11" i="2"/>
  <c r="H822" i="2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<sst xmlns="http://schemas.openxmlformats.org/spreadsheetml/2006/main" count="7281" uniqueCount="1566">
  <si>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</si>
  <si>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</si>
  <si>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</si>
  <si>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</si>
  <si>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</si>
  <si>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</si>
  <si>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</si>
  <si>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</si>
  <si>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</si>
  <si>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</si>
  <si>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</si>
  <si>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</si>
  <si>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</si>
  <si>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</si>
  <si>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</si>
  <si>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</si>
  <si>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</si>
  <si>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</si>
  <si>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</si>
  <si>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</si>
  <si>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</si>
  <si>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</si>
  <si>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</si>
  <si>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</si>
  <si>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</si>
  <si>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</si>
  <si>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</si>
  <si>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</si>
  <si>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</si>
  <si>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</si>
  <si>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</si>
  <si>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</si>
  <si>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</si>
  <si>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</si>
  <si>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</si>
  <si>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</si>
  <si>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</si>
  <si>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</si>
  <si>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</si>
  <si>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</si>
  <si>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</si>
  <si>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</si>
  <si>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</si>
  <si>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</si>
  <si>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</si>
  <si>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</si>
  <si>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</si>
  <si>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</si>
  <si>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</si>
  <si>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</si>
  <si>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</si>
  <si>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</si>
  <si>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</si>
  <si>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</si>
  <si>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</si>
  <si>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</si>
  <si>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</si>
  <si>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</si>
  <si>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</si>
  <si>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</si>
  <si>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</si>
  <si>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</si>
  <si>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</si>
  <si>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</si>
  <si>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</si>
  <si>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</si>
  <si>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</si>
  <si>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</si>
  <si>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</si>
  <si>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</si>
  <si>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</si>
  <si>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</si>
  <si>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</si>
  <si>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</si>
  <si>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</si>
  <si>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</si>
  <si>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</si>
  <si>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</si>
  <si>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</si>
  <si>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</si>
  <si>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</si>
  <si>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</si>
  <si>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</si>
  <si>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</si>
  <si>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</si>
  <si>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</si>
  <si>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</si>
  <si>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</si>
  <si>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</si>
  <si>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</si>
  <si>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</si>
  <si>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</si>
  <si>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</si>
  <si>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</si>
  <si>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</si>
  <si>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</si>
  <si>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</si>
  <si>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</si>
  <si>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</si>
  <si>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</si>
  <si>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</si>
  <si>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</si>
  <si>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</si>
  <si>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</si>
  <si>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</si>
  <si>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</si>
  <si>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</si>
  <si>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</si>
  <si>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</si>
  <si>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</si>
  <si>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</si>
  <si>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</si>
  <si>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</si>
  <si>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</si>
  <si>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</si>
  <si>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</si>
  <si>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</si>
  <si>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</si>
  <si>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</si>
  <si>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</si>
  <si>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</si>
  <si>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</si>
  <si>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</si>
  <si>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</si>
  <si>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</si>
  <si>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</si>
  <si>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</si>
  <si>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</si>
  <si>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</si>
  <si>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</si>
  <si>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</si>
  <si>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</si>
  <si>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</si>
  <si>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</si>
  <si>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</si>
  <si>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</si>
  <si>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</si>
  <si>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</si>
  <si>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</si>
  <si>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</si>
  <si>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</si>
  <si>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</si>
  <si>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</si>
  <si>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</si>
  <si>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</si>
  <si>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</si>
  <si>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</si>
  <si>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</si>
  <si>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</si>
  <si>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</si>
  <si>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</si>
  <si>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</si>
  <si>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</si>
  <si>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</si>
  <si>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</si>
  <si>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</si>
  <si>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</si>
  <si>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</si>
  <si>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</si>
  <si>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</si>
  <si>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</si>
  <si>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</si>
  <si>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</si>
  <si>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</si>
  <si>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</si>
  <si>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</si>
  <si>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</si>
  <si>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</si>
  <si>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</si>
  <si>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</si>
  <si>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</si>
  <si>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</si>
  <si>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</si>
  <si>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</si>
  <si>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</si>
  <si>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</si>
  <si>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</si>
  <si>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</si>
  <si>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</si>
  <si>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</si>
  <si>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</si>
  <si>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</si>
  <si>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</si>
  <si>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</si>
  <si>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</si>
  <si>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</si>
  <si>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</si>
  <si>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</si>
  <si>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</si>
  <si>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</si>
  <si>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</si>
  <si>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</si>
  <si>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</si>
  <si>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</si>
  <si>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</si>
  <si>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</si>
  <si>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</si>
  <si>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</si>
  <si>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</si>
  <si>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</si>
  <si>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</si>
  <si>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</si>
  <si>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</si>
  <si>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</si>
  <si>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</si>
  <si>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</si>
  <si>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</si>
  <si>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</si>
  <si>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</si>
  <si>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</si>
  <si>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</si>
  <si>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</si>
  <si>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</si>
  <si>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</si>
  <si>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</si>
  <si>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</si>
  <si>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</si>
  <si>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</si>
  <si>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</si>
  <si>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</si>
  <si>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</si>
  <si>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</si>
  <si>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</si>
  <si>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</si>
  <si>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</si>
  <si>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</si>
  <si>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</si>
  <si>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</si>
  <si>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</si>
  <si>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</si>
  <si>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</si>
  <si>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</si>
  <si>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</si>
  <si>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</si>
  <si>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</si>
  <si>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</si>
  <si>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</si>
  <si>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</si>
  <si>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</si>
  <si>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</si>
  <si>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</si>
  <si>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</si>
  <si>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</si>
  <si>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</si>
  <si>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</si>
  <si>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</si>
  <si>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</si>
  <si>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</si>
  <si>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</si>
  <si>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</si>
  <si>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</si>
  <si>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</si>
  <si>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</si>
  <si>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</si>
  <si>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</si>
  <si>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</si>
  <si>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</si>
  <si>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</si>
  <si>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</si>
  <si>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</si>
  <si>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</si>
  <si>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</si>
  <si>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</si>
  <si>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</si>
  <si>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</si>
  <si>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</si>
  <si>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</si>
  <si>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</si>
  <si>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</si>
  <si>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</si>
  <si>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</si>
  <si>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</si>
  <si>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</si>
  <si>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</si>
  <si>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</si>
  <si>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</si>
  <si>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</si>
  <si>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</si>
  <si>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</si>
  <si>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</si>
  <si>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</si>
  <si>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</si>
  <si>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</si>
  <si>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</si>
  <si>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</si>
  <si>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</si>
  <si>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</si>
  <si>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</si>
  <si>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</si>
  <si>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</si>
  <si>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</si>
  <si>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</si>
  <si>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</si>
  <si>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</si>
  <si>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</si>
  <si>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</si>
  <si>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</si>
  <si>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</si>
  <si>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</si>
  <si>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</si>
  <si>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</si>
  <si>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</si>
  <si>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</si>
  <si>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</si>
  <si>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</si>
  <si>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</si>
  <si>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</si>
  <si>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</si>
  <si>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</si>
  <si>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</si>
  <si>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</si>
  <si>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</si>
  <si>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</si>
  <si>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</si>
  <si>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</si>
  <si>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</si>
  <si>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</si>
  <si>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</si>
  <si>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</si>
  <si>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</si>
  <si>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</si>
  <si>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</si>
  <si>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</si>
  <si>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</si>
  <si>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</si>
  <si>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</si>
  <si>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</si>
  <si>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</si>
  <si>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</si>
  <si>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</si>
  <si>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</si>
  <si>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</si>
  <si>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</si>
  <si>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</si>
  <si>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</si>
  <si>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</si>
  <si>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</si>
  <si>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</si>
  <si>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</si>
  <si>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</si>
  <si>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</si>
  <si>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</si>
  <si>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</si>
  <si>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</si>
  <si>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</si>
  <si>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</si>
  <si>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</si>
  <si>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</si>
  <si>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</si>
  <si>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</si>
  <si>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</si>
  <si>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</si>
  <si>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</si>
  <si>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</si>
  <si>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</si>
  <si>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</si>
  <si>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</si>
  <si>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</si>
  <si>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</si>
  <si>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</si>
  <si>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</si>
  <si>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</si>
  <si>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</si>
  <si>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</si>
  <si>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</si>
  <si>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</si>
  <si>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</si>
  <si>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</si>
  <si>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</si>
  <si>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</si>
  <si>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</si>
  <si>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</si>
  <si>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</si>
  <si>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</si>
  <si>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</si>
  <si>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</si>
  <si>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</si>
  <si>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</si>
  <si>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</si>
  <si>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</si>
  <si>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</si>
  <si>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</si>
  <si>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</si>
  <si>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</si>
  <si>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</si>
  <si>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</si>
  <si>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</si>
  <si>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</si>
  <si>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</si>
  <si>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</si>
  <si>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</si>
  <si>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</si>
  <si>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</si>
  <si>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</si>
  <si>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</si>
  <si>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</si>
  <si>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</si>
  <si>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</si>
  <si>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</si>
  <si>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</si>
  <si>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</si>
  <si>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</si>
  <si>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</si>
  <si>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</si>
  <si>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</si>
  <si>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</si>
  <si>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</si>
  <si>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</si>
  <si>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</si>
  <si>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</si>
  <si>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</si>
  <si>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</si>
  <si>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</si>
  <si>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</si>
  <si>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</si>
  <si>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</si>
  <si>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</si>
  <si>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</si>
  <si>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</si>
  <si>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</si>
  <si>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</si>
  <si>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</si>
  <si>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</si>
  <si>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</si>
  <si>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</si>
  <si>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</si>
  <si>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</si>
  <si>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</si>
  <si>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</si>
  <si>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</si>
  <si>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</si>
  <si>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</si>
  <si>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</si>
  <si>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</si>
  <si>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</si>
  <si>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</si>
  <si>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</si>
  <si>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</si>
  <si>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</si>
  <si>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</si>
  <si>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</si>
  <si>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</si>
  <si>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</si>
  <si>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</si>
  <si>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</si>
  <si>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</si>
  <si>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</si>
  <si>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</si>
  <si>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</si>
  <si>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</si>
  <si>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</si>
  <si>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</si>
  <si>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</si>
  <si>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</si>
  <si>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</si>
  <si>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</si>
  <si>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</si>
  <si>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</si>
  <si>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</si>
  <si>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</si>
  <si>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</si>
  <si>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</si>
  <si>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</si>
  <si>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</si>
  <si>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</si>
  <si>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</si>
  <si>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</si>
  <si>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</si>
  <si>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</si>
  <si>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</si>
  <si>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</si>
  <si>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</si>
  <si>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</si>
  <si>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</si>
  <si>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</si>
  <si>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</si>
  <si>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</si>
  <si>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</si>
  <si>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</si>
  <si>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</si>
  <si>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</si>
  <si>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</si>
  <si>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</si>
  <si>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</si>
  <si>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</si>
  <si>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</si>
  <si>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</si>
  <si>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</si>
  <si>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</si>
  <si>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</si>
  <si>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</si>
  <si>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</si>
  <si>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</si>
  <si>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</si>
  <si>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</si>
  <si>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</si>
  <si>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</si>
  <si>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</si>
  <si>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</si>
  <si>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</si>
  <si>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</si>
  <si>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</si>
  <si>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</si>
  <si>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</si>
  <si>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</si>
  <si>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</si>
  <si>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</si>
  <si>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</si>
  <si>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</si>
  <si>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</si>
  <si>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</si>
  <si>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</si>
  <si>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</si>
  <si>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</si>
  <si>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</si>
  <si>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</si>
  <si>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</si>
  <si>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</si>
  <si>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</si>
  <si>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</si>
  <si>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</si>
  <si>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</si>
  <si>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</si>
  <si>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</si>
  <si>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</si>
  <si>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</si>
  <si>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</si>
  <si>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</si>
  <si>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</si>
  <si>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</si>
  <si>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</si>
  <si>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</si>
  <si>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</si>
  <si>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</si>
  <si>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</si>
  <si>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</si>
  <si>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</si>
  <si>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</si>
  <si>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</si>
  <si>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</si>
  <si>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</si>
  <si>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</si>
  <si>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</si>
  <si>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</si>
  <si>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</si>
  <si>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</si>
  <si>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</si>
  <si>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</si>
  <si>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</si>
  <si>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</si>
  <si>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</si>
  <si>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</si>
  <si>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</si>
  <si>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</si>
  <si>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</si>
  <si>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</si>
  <si>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</si>
  <si>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</si>
  <si>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</si>
  <si>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</si>
  <si>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</si>
  <si>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</si>
  <si>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</si>
  <si>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</si>
  <si>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</si>
  <si>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</si>
  <si>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</si>
  <si>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</si>
  <si>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</si>
  <si>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</si>
  <si>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</si>
  <si>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</si>
  <si>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</si>
  <si>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</si>
  <si>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</si>
  <si>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</si>
  <si>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</si>
  <si>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</si>
  <si>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</si>
  <si>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</si>
  <si>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</si>
  <si>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</si>
  <si>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</si>
  <si>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</si>
  <si>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</si>
  <si>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</si>
  <si>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</si>
  <si>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</si>
  <si>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</si>
  <si>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</si>
  <si>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</si>
  <si>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</si>
  <si>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</si>
  <si>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</si>
  <si>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</si>
  <si>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</si>
  <si>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</si>
  <si>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</si>
  <si>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</si>
  <si>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</si>
  <si>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</si>
  <si>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</si>
  <si>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</si>
  <si>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</si>
  <si>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</si>
  <si>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</si>
  <si>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</si>
  <si>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</si>
  <si>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</si>
  <si>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</si>
  <si>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</si>
  <si>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</si>
  <si>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</si>
  <si>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</si>
  <si>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</si>
  <si>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</si>
  <si>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</si>
  <si>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</si>
  <si>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</si>
  <si>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</si>
  <si>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</si>
  <si>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</si>
  <si>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</si>
  <si>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</si>
  <si>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</si>
  <si>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</si>
  <si>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</si>
  <si>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</si>
  <si>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</si>
  <si>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</si>
  <si>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</si>
  <si>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</si>
  <si>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</si>
  <si>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</si>
  <si>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</si>
  <si>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</si>
  <si>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</si>
  <si>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</si>
  <si>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</si>
  <si>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</si>
  <si>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</si>
  <si>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</si>
  <si>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</si>
  <si>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</si>
  <si>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</si>
  <si>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</si>
  <si>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</si>
  <si>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</si>
  <si>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</si>
  <si>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</si>
  <si>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</si>
  <si>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</si>
  <si>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</si>
  <si>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</si>
  <si>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</si>
  <si>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</si>
  <si>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</si>
  <si>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</si>
  <si>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</si>
  <si>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</si>
  <si>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</si>
  <si>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</si>
  <si>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</si>
  <si>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</si>
  <si>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</si>
  <si>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</si>
  <si>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</si>
  <si>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</si>
  <si>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</si>
  <si>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</si>
  <si>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</si>
  <si>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</si>
  <si>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</si>
  <si>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</si>
  <si>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</si>
  <si>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</si>
  <si>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</si>
  <si>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</si>
  <si>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</si>
  <si>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</si>
  <si>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</si>
  <si>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</si>
  <si>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</si>
  <si>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</si>
  <si>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</si>
  <si>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</si>
  <si>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</si>
  <si>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</si>
  <si>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</si>
  <si>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</si>
  <si>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</si>
  <si>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</si>
  <si>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</si>
  <si>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</si>
  <si>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</si>
  <si>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</si>
  <si>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</si>
  <si>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</si>
  <si>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</si>
  <si>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</si>
  <si>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</si>
  <si>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</si>
  <si>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</si>
  <si>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</si>
  <si>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</si>
  <si>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</si>
  <si>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</si>
  <si>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</si>
  <si>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</si>
  <si>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</si>
  <si>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</si>
  <si>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</si>
  <si>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</si>
  <si>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</si>
  <si>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</si>
  <si>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</si>
  <si>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</si>
  <si>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</si>
  <si>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</si>
  <si>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</si>
  <si>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</si>
  <si>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</si>
  <si>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</si>
  <si>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</si>
  <si>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</si>
  <si>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</si>
  <si>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</si>
  <si>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</si>
  <si>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</si>
  <si>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</si>
  <si>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</si>
  <si>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</si>
  <si>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</si>
  <si>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</si>
  <si>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</si>
  <si>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</si>
  <si>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</si>
  <si>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</si>
  <si>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</si>
  <si>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</si>
  <si>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</si>
  <si>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</si>
  <si>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</si>
  <si>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</si>
  <si>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</si>
  <si>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</si>
  <si>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</si>
  <si>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</si>
  <si>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</si>
  <si>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</si>
  <si>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</si>
  <si>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</si>
  <si>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</si>
  <si>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</si>
  <si>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</si>
  <si>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</si>
  <si>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</si>
  <si>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</si>
  <si>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</si>
  <si>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</si>
  <si>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</si>
  <si>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</si>
  <si>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</si>
  <si>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</si>
  <si>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</si>
  <si>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</si>
  <si>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</si>
  <si>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</si>
  <si>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</si>
  <si>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</si>
  <si>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</si>
  <si>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</si>
  <si>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</si>
  <si>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</si>
  <si>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</si>
  <si>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</si>
  <si>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</si>
  <si>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</si>
  <si>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</si>
  <si>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</si>
  <si>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</si>
  <si>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</si>
  <si>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</si>
  <si>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</si>
  <si>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</si>
  <si>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</si>
  <si>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</si>
  <si>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</si>
  <si>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</si>
  <si>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</si>
  <si>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</si>
  <si>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</si>
  <si>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</si>
  <si>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</si>
  <si>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</si>
  <si>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</si>
  <si>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</si>
  <si>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</si>
  <si>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</si>
  <si>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</si>
  <si>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</si>
  <si>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</si>
  <si>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</si>
  <si>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</si>
  <si>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</si>
  <si>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</si>
  <si>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</si>
  <si>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</si>
  <si>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</si>
  <si>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</si>
  <si>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</si>
  <si>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</si>
  <si>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</si>
  <si>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</si>
  <si>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</si>
  <si>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</si>
  <si>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</si>
  <si>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</si>
  <si>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</si>
  <si>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</si>
  <si>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</si>
  <si>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</si>
  <si>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</si>
  <si>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</si>
  <si>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</si>
  <si>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</si>
  <si>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</si>
  <si>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</si>
  <si>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</si>
  <si>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</si>
  <si>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</si>
  <si>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</si>
  <si>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</si>
  <si>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</si>
  <si>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</si>
  <si>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</si>
  <si>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</si>
  <si>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</si>
  <si>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</si>
  <si>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</si>
  <si>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</si>
  <si>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</si>
  <si>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</si>
  <si>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</si>
  <si>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</si>
  <si>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</si>
  <si>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</si>
  <si>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</si>
  <si>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</si>
  <si>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</si>
  <si>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</si>
  <si>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</si>
  <si>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</si>
  <si>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</si>
  <si>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</si>
  <si>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</si>
  <si>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</si>
  <si>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</si>
  <si>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</si>
  <si>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</si>
  <si>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</si>
  <si>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</si>
  <si>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</si>
  <si>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</si>
  <si>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</si>
  <si>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</si>
  <si>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</si>
  <si>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</si>
  <si>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</si>
  <si>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</si>
  <si>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</si>
  <si>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</si>
  <si>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</si>
  <si>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</si>
  <si>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</si>
  <si>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</si>
  <si>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</si>
  <si>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</si>
  <si>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</si>
  <si>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</si>
  <si>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</si>
  <si>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</si>
  <si>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</si>
  <si>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</si>
  <si>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</si>
  <si>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</si>
  <si>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</si>
  <si>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</si>
  <si>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</si>
  <si>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</si>
  <si>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</si>
  <si>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</si>
  <si>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</si>
  <si>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</si>
  <si>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</si>
  <si>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</si>
  <si>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</si>
  <si>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</si>
  <si>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</si>
  <si>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</si>
  <si>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</si>
  <si>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</si>
  <si>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</si>
  <si>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</si>
  <si>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</si>
  <si>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</si>
  <si>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</si>
  <si>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</si>
  <si>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</si>
  <si>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</si>
  <si>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</si>
  <si>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</si>
  <si>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</si>
  <si>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</si>
  <si>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</si>
  <si>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</si>
  <si>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</si>
  <si>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</si>
  <si>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</si>
  <si>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</si>
  <si>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</si>
  <si>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</si>
  <si>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</si>
  <si>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</si>
  <si>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</si>
  <si>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</si>
  <si>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</si>
  <si>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</si>
  <si>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</si>
  <si>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</si>
  <si>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</si>
  <si>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</si>
  <si>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</si>
  <si>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</si>
  <si>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</si>
  <si>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</si>
  <si>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</si>
  <si>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</si>
  <si>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</si>
  <si>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</si>
  <si>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</si>
  <si>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</si>
  <si>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</si>
  <si>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</si>
  <si>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</si>
  <si>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</si>
  <si>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</si>
  <si>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</si>
  <si>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</si>
  <si>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</si>
  <si>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</si>
  <si>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</si>
  <si>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</si>
  <si>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</si>
  <si>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</si>
  <si>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</si>
  <si>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</si>
  <si>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</si>
  <si>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</si>
  <si>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</si>
  <si>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</si>
  <si>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</si>
  <si>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</si>
  <si>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</si>
  <si>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</si>
  <si>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</si>
  <si>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</si>
  <si>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</si>
  <si>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</si>
  <si>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</si>
  <si>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</si>
  <si>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</si>
  <si>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</si>
  <si>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</si>
  <si>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</si>
  <si>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</si>
  <si>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</si>
  <si>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</si>
  <si>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</si>
  <si>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</si>
  <si>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</si>
  <si>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</si>
  <si>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</si>
  <si>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</si>
  <si>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</si>
  <si>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</si>
  <si>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</si>
  <si>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</si>
  <si>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</si>
  <si>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</si>
  <si>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</si>
  <si>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</si>
  <si>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</si>
  <si>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</si>
  <si>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</si>
  <si>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</si>
  <si>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</si>
  <si>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</si>
  <si>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</si>
  <si>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</si>
  <si>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</si>
  <si>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</si>
  <si>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</si>
  <si>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</si>
  <si>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</si>
  <si>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</si>
  <si>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</si>
  <si>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</si>
  <si>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</si>
  <si>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</si>
  <si>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</si>
  <si>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</si>
  <si>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</si>
  <si>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</si>
  <si>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</si>
  <si>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</si>
  <si>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</si>
  <si>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</si>
  <si>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</si>
  <si>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</si>
  <si>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</si>
  <si>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</si>
  <si>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</si>
  <si>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</si>
  <si>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</si>
  <si>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</si>
  <si>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</si>
  <si>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</si>
  <si>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</si>
  <si>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</si>
  <si>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</si>
  <si>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</si>
  <si>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</si>
  <si>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</si>
  <si>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</si>
  <si>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</si>
  <si>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</si>
  <si>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</si>
  <si>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</si>
  <si>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</si>
  <si>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</si>
  <si>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</si>
  <si>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</si>
  <si>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</si>
  <si>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</si>
  <si>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</si>
  <si>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</si>
  <si>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</si>
  <si>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</si>
  <si>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</si>
  <si>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</si>
  <si>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</si>
  <si>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</si>
  <si>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</si>
  <si>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</si>
  <si>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</si>
  <si>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</si>
  <si>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</si>
  <si>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</si>
  <si>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</si>
  <si>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</si>
  <si>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</si>
  <si>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</si>
  <si>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</si>
  <si>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</si>
  <si>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</si>
  <si>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</si>
  <si>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</si>
  <si>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</si>
  <si>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</si>
  <si>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</si>
  <si>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</si>
  <si>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</si>
  <si>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</si>
  <si>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</si>
  <si>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</si>
  <si>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</si>
  <si>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</si>
  <si>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</si>
  <si>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</si>
  <si>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</si>
  <si>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</si>
  <si>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</si>
  <si>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</si>
  <si>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</si>
  <si>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</si>
  <si>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</si>
  <si>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</si>
  <si>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</si>
  <si>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</si>
  <si>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</si>
  <si>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</si>
  <si>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</si>
  <si>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</si>
  <si>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</si>
  <si>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</si>
  <si>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</si>
  <si>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</si>
  <si>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</si>
  <si>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</si>
  <si>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</si>
  <si>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</si>
  <si>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</si>
  <si>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</si>
  <si>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</si>
  <si>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</si>
  <si>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</si>
  <si>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</si>
  <si>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</si>
  <si>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</si>
  <si>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</si>
  <si>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</si>
  <si>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</si>
  <si>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</si>
  <si>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</si>
  <si>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</si>
  <si>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</si>
  <si>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</si>
  <si>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</si>
  <si>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</si>
  <si>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</si>
  <si>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</si>
  <si>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</si>
  <si>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</si>
  <si>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</si>
  <si>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</si>
  <si>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</si>
  <si>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</si>
  <si>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</si>
  <si>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</si>
  <si>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</si>
  <si>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</si>
  <si>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</si>
  <si>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</si>
  <si>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</si>
  <si>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</si>
  <si>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</si>
  <si>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</si>
  <si>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</si>
  <si>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</si>
  <si>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</si>
  <si>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</si>
  <si>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</si>
  <si>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</si>
  <si>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</si>
  <si>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</si>
  <si>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</si>
  <si>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</si>
  <si>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</si>
  <si>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</si>
  <si>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</si>
  <si>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</si>
  <si>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</si>
  <si>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</si>
  <si>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</si>
  <si>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</si>
  <si>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</si>
  <si>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</si>
  <si>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</si>
  <si>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</si>
  <si>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</si>
  <si>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</si>
  <si>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</si>
  <si>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</si>
  <si>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</si>
  <si>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</si>
  <si>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</si>
  <si>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</si>
  <si>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</si>
  <si>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</si>
  <si>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</si>
  <si>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</si>
  <si>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</si>
  <si>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</si>
  <si>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</si>
  <si>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</si>
  <si>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</si>
  <si>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</si>
  <si>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</si>
  <si>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</si>
  <si>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</si>
  <si>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</si>
  <si>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</si>
  <si>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</si>
  <si>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</si>
  <si>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</si>
  <si>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</si>
  <si>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</si>
  <si>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</si>
  <si>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</si>
  <si>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</si>
  <si>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</si>
  <si>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</si>
  <si>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</si>
  <si>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</si>
  <si>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</si>
  <si>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</si>
  <si>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</si>
  <si>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</si>
  <si>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</si>
  <si>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</si>
  <si>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</si>
  <si>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</si>
  <si>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</si>
  <si>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</si>
  <si>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</si>
  <si>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</si>
  <si>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</si>
  <si>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</si>
  <si>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</si>
  <si>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</si>
  <si>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</si>
  <si>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</si>
  <si>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</si>
  <si>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</si>
  <si>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</si>
  <si>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</si>
  <si>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</si>
  <si>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</si>
  <si>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</si>
  <si>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</si>
  <si>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</si>
  <si>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</si>
  <si>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</si>
  <si>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</si>
  <si>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</si>
  <si>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</si>
  <si>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</si>
  <si>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</si>
  <si>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</si>
  <si>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</si>
  <si>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</si>
  <si>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</si>
  <si>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</si>
  <si>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</si>
  <si>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</si>
  <si>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</si>
  <si>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</si>
  <si>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</si>
  <si>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</si>
  <si>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</si>
  <si>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</si>
  <si>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</si>
  <si>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</si>
  <si>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</si>
  <si>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</si>
  <si>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</si>
  <si>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</si>
  <si>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</si>
  <si>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</si>
  <si>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</si>
  <si>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</si>
  <si>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</si>
  <si>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</si>
  <si>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</si>
  <si>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</si>
  <si>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</si>
  <si>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</si>
  <si>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</si>
  <si>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</si>
  <si>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</si>
  <si>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</si>
  <si>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</si>
  <si>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</si>
  <si>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</si>
  <si>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</si>
  <si>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</si>
  <si>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</si>
  <si>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</si>
  <si>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</si>
  <si>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</si>
  <si>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</si>
  <si>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</si>
  <si>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</si>
  <si>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</si>
  <si>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</si>
  <si>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</si>
  <si>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</si>
  <si>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</si>
  <si>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</si>
  <si>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</si>
  <si>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</si>
  <si>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</si>
  <si>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</si>
  <si>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</si>
  <si>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</si>
  <si>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</si>
  <si>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</si>
  <si>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</si>
  <si>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</si>
  <si>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</si>
  <si>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</si>
  <si>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</si>
  <si>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</si>
  <si>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</si>
  <si>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</si>
  <si>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</si>
  <si>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</si>
  <si>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</si>
  <si>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</si>
  <si>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</si>
  <si>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</si>
  <si>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</si>
  <si>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</si>
  <si>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</si>
  <si>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</si>
  <si>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</si>
  <si>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</si>
  <si>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</si>
  <si>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</si>
  <si>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</si>
  <si>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</si>
  <si>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</si>
  <si>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</si>
  <si>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</si>
  <si>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</si>
  <si>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</si>
  <si>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</si>
  <si>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</si>
  <si>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</si>
  <si>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</si>
  <si>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</si>
  <si>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</si>
  <si>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</si>
  <si>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</si>
  <si>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</si>
  <si>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</si>
  <si>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</si>
  <si>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</si>
  <si>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</si>
  <si>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</si>
  <si>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</si>
  <si>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</si>
  <si>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</si>
  <si>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</si>
  <si>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</si>
  <si>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</si>
  <si>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</si>
  <si>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</si>
  <si>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</si>
  <si>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</si>
  <si>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</si>
  <si>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</si>
  <si>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</si>
  <si>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</si>
  <si>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</si>
  <si>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</si>
  <si>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</si>
  <si>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</si>
  <si>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</si>
  <si>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</si>
  <si>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</si>
  <si>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</si>
  <si>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</si>
  <si>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</si>
  <si>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</si>
  <si>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</si>
  <si>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</si>
  <si>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</si>
  <si>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</si>
  <si>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</si>
  <si>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</si>
  <si>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</si>
  <si>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</si>
  <si>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</si>
  <si>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</si>
  <si>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</si>
  <si>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</si>
  <si>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</si>
  <si>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</si>
  <si>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</si>
  <si>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</si>
  <si>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</si>
  <si>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</si>
  <si>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</si>
  <si>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</si>
  <si>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</si>
  <si>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</si>
  <si>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</si>
  <si>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</si>
  <si>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</si>
  <si>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</si>
  <si>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</si>
  <si>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</si>
  <si>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</si>
  <si>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</si>
  <si>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</si>
  <si>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</si>
  <si>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</si>
  <si>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</si>
  <si>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</si>
  <si>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</si>
  <si>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</si>
  <si>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</si>
  <si>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</si>
  <si>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</si>
  <si>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</si>
  <si>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</si>
  <si>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</si>
  <si>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</si>
  <si>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</si>
  <si>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</si>
  <si>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</si>
  <si>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</si>
  <si>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</si>
  <si>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</si>
  <si>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</si>
  <si>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</si>
  <si>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</si>
  <si>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</si>
  <si>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</si>
  <si>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</si>
  <si>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</si>
  <si>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</si>
  <si>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</si>
  <si>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</si>
  <si>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</si>
  <si>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</si>
  <si>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</si>
  <si>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</si>
  <si>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</si>
  <si>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</si>
  <si>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</si>
  <si>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</si>
  <si>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</si>
  <si>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</si>
  <si>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</si>
  <si>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</si>
  <si>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</si>
  <si>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</si>
  <si>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</si>
  <si>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</si>
  <si>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</si>
  <si>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</si>
  <si>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</si>
  <si>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</si>
  <si>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</si>
  <si>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</si>
  <si>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</si>
  <si>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</si>
  <si>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</si>
  <si>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</si>
  <si>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</si>
  <si>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</si>
  <si>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</si>
  <si>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</si>
  <si>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</si>
  <si>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</si>
  <si>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</si>
  <si>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</si>
  <si>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</si>
  <si>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</si>
  <si>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</si>
  <si>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</si>
  <si>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</si>
  <si>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</si>
  <si>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</si>
  <si>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</si>
  <si>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</si>
  <si>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</si>
  <si>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</si>
  <si>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</si>
  <si>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</si>
  <si>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</si>
  <si>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</si>
  <si>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</si>
  <si>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</si>
  <si>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</si>
  <si>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</si>
  <si>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</si>
  <si>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</si>
  <si>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</si>
  <si>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</si>
  <si>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</si>
  <si>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</si>
  <si>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</si>
  <si>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</si>
  <si>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</si>
  <si>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</si>
  <si>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</si>
  <si>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</si>
  <si>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</si>
  <si>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</si>
  <si>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</si>
  <si>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</si>
  <si>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</si>
  <si>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</si>
  <si>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</si>
  <si>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</si>
  <si>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</si>
  <si>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</si>
  <si>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</si>
  <si>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</si>
  <si>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</si>
  <si>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</si>
  <si>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</si>
  <si>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</si>
  <si>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</si>
  <si>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</si>
  <si>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</si>
  <si>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</si>
  <si>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</si>
  <si>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</si>
  <si>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</si>
  <si>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</si>
  <si>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</si>
  <si>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</si>
  <si>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</si>
  <si>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</si>
  <si>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</si>
  <si>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</si>
  <si>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</si>
  <si>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</si>
  <si>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</si>
  <si>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</si>
  <si>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</si>
  <si>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</si>
  <si>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</si>
  <si>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</si>
  <si>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</si>
  <si>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</si>
  <si>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</si>
  <si>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</si>
  <si>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</si>
  <si>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</si>
  <si>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</si>
  <si>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</si>
  <si>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</si>
  <si>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</si>
  <si>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</si>
  <si>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</si>
  <si>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</si>
  <si>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</si>
  <si>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</si>
  <si>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</si>
  <si>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</si>
  <si>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</si>
  <si>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</si>
  <si>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</si>
  <si>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</si>
  <si>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</si>
  <si>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</si>
  <si>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</si>
  <si>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</si>
  <si>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</si>
  <si>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</si>
  <si>
    <t>13802-2</t>
  </si>
  <si>
    <t>13801-3</t>
  </si>
  <si>
    <t>13803-1</t>
  </si>
  <si>
    <t>13804-1</t>
  </si>
  <si>
    <t>13805-1</t>
  </si>
  <si>
    <t>13800-3</t>
  </si>
  <si>
    <t>13804-2</t>
  </si>
  <si>
    <t>13805-2</t>
  </si>
  <si>
    <t>13801 - integración</t>
  </si>
  <si>
    <t>13802 - integración</t>
  </si>
  <si>
    <t>13787 - integración</t>
  </si>
  <si>
    <t>13803-2</t>
  </si>
  <si>
    <t>13806-1</t>
  </si>
  <si>
    <t>13807-1</t>
  </si>
  <si>
    <t>13800 - integración</t>
  </si>
  <si>
    <t>13768-3</t>
  </si>
  <si>
    <t>13806-2</t>
  </si>
  <si>
    <t>13808-1</t>
  </si>
  <si>
    <t>13807-2</t>
  </si>
  <si>
    <t>13809-1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</si>
</sst>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2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78" fontId="0" fillId="6" borderId="7" xfId="9" applyNumberFormat="1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2" borderId="0" xfId="4" applyFont="1" applyFill="1" applyAlignment="1">
      <alignment horizontal="center" vertical="center" wrapText="1"/>
    </xf>
    <xf numFmtId="0" fontId="4" fillId="2" borderId="0" xfId="4" applyFont="1" applyFill="1" applyAlignment="1">
      <alignment horizontal="left" vertical="center" wrapText="1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239933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1782454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625"/>
  <sheetViews>
    <sheetView tabSelected="1" zoomScale="90" zoomScaleNormal="90" workbookViewId="0">
      <pane ySplit="9" topLeftCell="A2611" activePane="bottomLeft" state="frozen"/>
      <selection pane="bottomLeft" activeCell="E2623" sqref="E2623"/>
    </sheetView>
  </sheetViews>
  <sheetFormatPr baseColWidth="10" defaultColWidth="11.44140625" defaultRowHeight="14.4" x14ac:dyDescent="0.3"/>
  <cols>
    <col min="1" max="1" width="11.6640625" style="2" customWidth="1"/>
    <col min="2" max="2" width="17.88671875" style="1" bestFit="1" customWidth="1"/>
    <col min="3" max="3" width="6.44140625" style="3" bestFit="1" customWidth="1"/>
    <col min="4" max="4" width="13.5546875" style="3" bestFit="1" customWidth="1"/>
    <col min="5" max="5" width="39.33203125" style="3" bestFit="1" customWidth="1"/>
    <col min="6" max="6" width="14.109375" style="3" bestFit="1" customWidth="1"/>
    <col min="7" max="7" width="13.5546875" style="3" bestFit="1" customWidth="1"/>
    <col min="8" max="8" width="31.6640625" style="3" bestFit="1" customWidth="1"/>
    <col min="9" max="16384" width="11.44140625" style="1"/>
  </cols>
  <sheetData>
    <row r="1" spans="1:8" x14ac:dyDescent="0.3">
      <c r="H1" s="1"/>
    </row>
    <row r="2" spans="1:8" ht="15" customHeight="1" x14ac:dyDescent="0.3">
      <c r="E2" s="80" t="s">
        <v>299</v>
      </c>
      <c r="F2" s="80"/>
      <c r="G2" s="80"/>
      <c r="H2" s="1"/>
    </row>
    <row r="3" spans="1:8" x14ac:dyDescent="0.3">
      <c r="E3" s="80"/>
      <c r="F3" s="80"/>
      <c r="G3" s="80"/>
      <c r="H3" s="1"/>
    </row>
    <row r="4" spans="1:8" x14ac:dyDescent="0.3">
      <c r="E4" s="80"/>
      <c r="F4" s="80"/>
      <c r="G4" s="80"/>
      <c r="H4" s="1"/>
    </row>
    <row r="5" spans="1:8" x14ac:dyDescent="0.3">
      <c r="E5" s="80"/>
      <c r="F5" s="80"/>
      <c r="G5" s="80"/>
      <c r="H5" s="1"/>
    </row>
    <row r="6" spans="1:8" x14ac:dyDescent="0.3">
      <c r="E6" s="80"/>
      <c r="F6" s="80"/>
      <c r="G6" s="80"/>
      <c r="H6" s="1"/>
    </row>
    <row r="7" spans="1:8" x14ac:dyDescent="0.3">
      <c r="H7" s="1"/>
    </row>
    <row r="8" spans="1:8" x14ac:dyDescent="0.3">
      <c r="H8" s="1"/>
    </row>
    <row r="9" spans="1:8" ht="15" customHeight="1" x14ac:dyDescent="0.3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3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+SUMIFS($E$10:$E$4506,$A$10:$A$4506,"&lt;="&amp;A10,$D$10:$D$4506,"&gt;"&amp;A10)</f>
        <v>-360</v>
      </c>
    </row>
    <row r="11" spans="1:8" x14ac:dyDescent="0.3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3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3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3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3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3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3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3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3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3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3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3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3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3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3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3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3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3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3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3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3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3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3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3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3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3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3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3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3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3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3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3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3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3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3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3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3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3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3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3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3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3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3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3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3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3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3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3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3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3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3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3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3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3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3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3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3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3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3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3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3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3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3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3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+SUMIFS($E$10:$E$4506,$A$10:$A$4506,"&lt;="&amp;A74,$D$10:$D$4506,"&gt;"&amp;A74)</f>
        <v>-2840</v>
      </c>
    </row>
    <row r="75" spans="1:8" x14ac:dyDescent="0.3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3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3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3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3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3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3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3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3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3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3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3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3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3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3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3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3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3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3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3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3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3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3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3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3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3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3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3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3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3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3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3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3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3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3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3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3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3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3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3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3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3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3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3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3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3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3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3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3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3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3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3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3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3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3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3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3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3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3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3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3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3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3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3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+SUMIFS($E$10:$E$4506,$A$10:$A$4506,"&lt;="&amp;A138,$D$10:$D$4506,"&gt;"&amp;A138)</f>
        <v>2100</v>
      </c>
    </row>
    <row r="139" spans="1:8" x14ac:dyDescent="0.3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3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3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3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3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3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3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3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3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3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3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3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3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3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3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3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3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3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3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3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3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3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3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3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3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3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3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3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3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3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3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3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3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3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3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3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3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3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3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3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3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3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3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3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3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3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3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3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3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3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3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3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3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3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3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3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3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3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3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3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3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3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3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3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+SUMIFS($E$10:$E$4506,$A$10:$A$4506,"&lt;="&amp;A202,$D$10:$D$4506,"&gt;"&amp;A202)</f>
        <v>6600</v>
      </c>
    </row>
    <row r="203" spans="1:8" x14ac:dyDescent="0.3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3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3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3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3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3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3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3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3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3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3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3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3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3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3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3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3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3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3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3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3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3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3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3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3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3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3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3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3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3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3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3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3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3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3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3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3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3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3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3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3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3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3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3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3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3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3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3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3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3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3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3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3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3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3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3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3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3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3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3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3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3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3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3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+SUMIFS($E$10:$E$4506,$A$10:$A$4506,"&lt;="&amp;A266,$D$10:$D$4506,"&gt;"&amp;A266)</f>
        <v>11500</v>
      </c>
    </row>
    <row r="267" spans="1:8" x14ac:dyDescent="0.3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3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3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3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3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3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3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3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3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3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3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3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3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3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3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3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3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3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3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3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3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3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3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3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3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3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3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3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3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3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3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3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3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3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3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3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3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3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3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3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3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3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3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3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3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3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3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3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3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3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3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3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3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3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3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3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3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3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3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3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3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3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3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3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+SUMIFS($E$10:$E$4506,$A$10:$A$4506,"&lt;="&amp;A330,$D$10:$D$4506,"&gt;"&amp;A330)</f>
        <v>13250</v>
      </c>
    </row>
    <row r="331" spans="1:8" x14ac:dyDescent="0.3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3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3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3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3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3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3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3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3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3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3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3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3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3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3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3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3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3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3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3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3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3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3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3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3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3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3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3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3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3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3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3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3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3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3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3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3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3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3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3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3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3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3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3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3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3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3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3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3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3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3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3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3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3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3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3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3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3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3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3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3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3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3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3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+SUMIFS($E$10:$E$4506,$A$10:$A$4506,"&lt;="&amp;A394,$D$10:$D$4506,"&gt;"&amp;A394)</f>
        <v>13700</v>
      </c>
    </row>
    <row r="395" spans="1:8" x14ac:dyDescent="0.3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3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3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3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3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3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3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3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3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3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3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3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3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3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3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3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3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3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3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3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3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3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3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3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3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3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3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3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3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3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3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3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3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3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3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3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3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3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3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3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3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3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3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3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3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3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3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3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3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3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3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3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3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3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3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3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3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3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3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3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3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3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3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3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+SUMIFS($E$10:$E$4506,$A$10:$A$4506,"&lt;="&amp;A458,$D$10:$D$4506,"&gt;"&amp;A458)</f>
        <v>11630</v>
      </c>
    </row>
    <row r="459" spans="1:8" x14ac:dyDescent="0.3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3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3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3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3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3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3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3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3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3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3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3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3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3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3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3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3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3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3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3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3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3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3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3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3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3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3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3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3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3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3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3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3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3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3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3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3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3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3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3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3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3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3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3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3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3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3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3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3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3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3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3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3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3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3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3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3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3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3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3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3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3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3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3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+SUMIFS($E$10:$E$4506,$A$10:$A$4506,"&lt;="&amp;A522,$D$10:$D$4506,"&gt;"&amp;A522)</f>
        <v>10950</v>
      </c>
    </row>
    <row r="523" spans="1:8" x14ac:dyDescent="0.3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3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3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3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3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3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3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3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3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3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3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3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3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3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3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3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3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3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3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3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3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3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3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3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3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3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3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3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3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3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3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3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3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3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3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3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3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3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3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3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3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3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3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3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3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3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3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3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3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3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3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3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3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3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3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3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3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3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3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3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3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3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3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3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+SUMIFS($E$10:$E$4506,$A$10:$A$4506,"&lt;="&amp;A586,$D$10:$D$4506,"&gt;"&amp;A586)</f>
        <v>14200</v>
      </c>
    </row>
    <row r="587" spans="1:8" x14ac:dyDescent="0.3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3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3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3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3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3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3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3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3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3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3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3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3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3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3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3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3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3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3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3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3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3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3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3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3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3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3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3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3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3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3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3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3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3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3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3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3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3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3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3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3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3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3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3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3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3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3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3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3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3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3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3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3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3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3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3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3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3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3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3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3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3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3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3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+SUMIFS($E$10:$E$4506,$A$10:$A$4506,"&lt;="&amp;A650,$D$10:$D$4506,"&gt;"&amp;A650)</f>
        <v>-7300</v>
      </c>
    </row>
    <row r="651" spans="1:8" x14ac:dyDescent="0.3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3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3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3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3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3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3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3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3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3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3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3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3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3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3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3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3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3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3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3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3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3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3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3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3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3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3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3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3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3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3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3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3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3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3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3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3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3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3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3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3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3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3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3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3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3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3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3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3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3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3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3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3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3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3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3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3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3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3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3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3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3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3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3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+SUMIFS($E$10:$E$4506,$A$10:$A$4506,"&lt;="&amp;A714,$D$10:$D$4506,"&gt;"&amp;A714)</f>
        <v>13400</v>
      </c>
    </row>
    <row r="715" spans="1:8" x14ac:dyDescent="0.3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3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3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3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3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3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3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3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3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3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3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3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3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3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3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3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3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3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3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3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3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3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3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3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3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3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3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3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3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3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3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3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3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3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3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3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3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3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3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3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3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3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3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3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3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3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3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3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3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3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3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3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3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3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3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3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3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3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3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3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3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3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3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3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+SUMIFS($E$10:$E$4506,$A$10:$A$4506,"&lt;="&amp;A778,$D$10:$D$4506,"&gt;"&amp;A778)</f>
        <v>3000</v>
      </c>
    </row>
    <row r="779" spans="1:8" x14ac:dyDescent="0.3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3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3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3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3">
      <c r="A783" s="13">
        <v>44638</v>
      </c>
      <c r="B783" s="15" t="s">
        <v>21</v>
      </c>
      <c r="C783" s="3">
        <v>5</v>
      </c>
      <c r="D783" s="13">
        <f t="shared" ref="D783" si="24"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3">
      <c r="A784" s="13">
        <v>44638</v>
      </c>
      <c r="B784" s="15" t="s">
        <v>21</v>
      </c>
      <c r="C784" s="3">
        <v>7</v>
      </c>
      <c r="D784" s="13">
        <f t="shared" ref="D784:D822" si="25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3">
      <c r="A785" s="13">
        <v>44641</v>
      </c>
      <c r="B785" s="15" t="s">
        <v>21</v>
      </c>
      <c r="C785" s="3">
        <v>1</v>
      </c>
      <c r="D785" s="13">
        <f t="shared" si="25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3">
      <c r="A786" s="13">
        <v>44641</v>
      </c>
      <c r="B786" s="15" t="s">
        <v>21</v>
      </c>
      <c r="C786" s="3">
        <v>2</v>
      </c>
      <c r="D786" s="13">
        <f t="shared" si="25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3">
      <c r="A787" s="13">
        <v>44641</v>
      </c>
      <c r="B787" s="15" t="s">
        <v>21</v>
      </c>
      <c r="C787" s="3">
        <v>3</v>
      </c>
      <c r="D787" s="13">
        <f t="shared" si="25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3">
      <c r="A788" s="13">
        <v>44641</v>
      </c>
      <c r="B788" s="15" t="s">
        <v>21</v>
      </c>
      <c r="C788" s="3">
        <v>4</v>
      </c>
      <c r="D788" s="13">
        <f t="shared" si="25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3">
      <c r="A789" s="13">
        <v>44641</v>
      </c>
      <c r="B789" s="15" t="s">
        <v>21</v>
      </c>
      <c r="C789" s="3">
        <v>7</v>
      </c>
      <c r="D789" s="13">
        <f t="shared" si="25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3">
      <c r="A790" s="13">
        <v>44642</v>
      </c>
      <c r="B790" s="15" t="s">
        <v>21</v>
      </c>
      <c r="C790" s="3">
        <v>2</v>
      </c>
      <c r="D790" s="13">
        <f t="shared" si="25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3">
      <c r="A791" s="13">
        <v>44642</v>
      </c>
      <c r="B791" s="15" t="s">
        <v>21</v>
      </c>
      <c r="C791" s="3">
        <v>6</v>
      </c>
      <c r="D791" s="13">
        <f t="shared" si="25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3">
      <c r="A792" s="13">
        <v>44642</v>
      </c>
      <c r="B792" s="15" t="s">
        <v>21</v>
      </c>
      <c r="C792" s="3">
        <v>7</v>
      </c>
      <c r="D792" s="13">
        <f t="shared" si="25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3">
      <c r="A793" s="13">
        <v>44643</v>
      </c>
      <c r="B793" s="15" t="s">
        <v>21</v>
      </c>
      <c r="C793" s="3">
        <v>2</v>
      </c>
      <c r="D793" s="13">
        <f t="shared" si="25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3">
      <c r="A794" s="13">
        <v>44643</v>
      </c>
      <c r="B794" s="15" t="s">
        <v>21</v>
      </c>
      <c r="C794" s="3">
        <v>7</v>
      </c>
      <c r="D794" s="13">
        <f t="shared" si="25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3">
      <c r="A795" s="13">
        <v>44643</v>
      </c>
      <c r="B795" s="15" t="s">
        <v>21</v>
      </c>
      <c r="C795" s="3">
        <v>8</v>
      </c>
      <c r="D795" s="13">
        <f t="shared" si="25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3">
      <c r="A796" s="13">
        <v>44644</v>
      </c>
      <c r="B796" s="15" t="s">
        <v>21</v>
      </c>
      <c r="C796" s="3">
        <v>1</v>
      </c>
      <c r="D796" s="13">
        <f t="shared" si="25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3">
      <c r="A797" s="13">
        <v>44644</v>
      </c>
      <c r="B797" s="15" t="s">
        <v>21</v>
      </c>
      <c r="C797" s="3">
        <v>4</v>
      </c>
      <c r="D797" s="13">
        <f t="shared" si="25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3">
      <c r="A798" s="13">
        <v>44645</v>
      </c>
      <c r="B798" s="15" t="s">
        <v>21</v>
      </c>
      <c r="C798" s="3">
        <v>3</v>
      </c>
      <c r="D798" s="13">
        <f t="shared" si="25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3">
      <c r="A799" s="13">
        <v>44645</v>
      </c>
      <c r="B799" s="15" t="s">
        <v>21</v>
      </c>
      <c r="C799" s="3">
        <v>4</v>
      </c>
      <c r="D799" s="13">
        <f t="shared" si="25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3">
      <c r="A800" s="13">
        <v>44645</v>
      </c>
      <c r="B800" s="15" t="s">
        <v>21</v>
      </c>
      <c r="C800" s="3">
        <v>5</v>
      </c>
      <c r="D800" s="13">
        <f t="shared" si="25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3">
      <c r="A801" s="13">
        <v>44645</v>
      </c>
      <c r="B801" s="15" t="s">
        <v>21</v>
      </c>
      <c r="C801" s="3">
        <v>6</v>
      </c>
      <c r="D801" s="13">
        <f t="shared" si="25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3">
      <c r="A802" s="13">
        <v>44645</v>
      </c>
      <c r="B802" s="15" t="s">
        <v>21</v>
      </c>
      <c r="C802" s="3">
        <v>7</v>
      </c>
      <c r="D802" s="13">
        <f t="shared" si="25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3">
      <c r="A803" s="13">
        <v>44648</v>
      </c>
      <c r="B803" s="15" t="s">
        <v>21</v>
      </c>
      <c r="C803" s="3">
        <v>2</v>
      </c>
      <c r="D803" s="13">
        <f t="shared" si="25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3">
      <c r="A804" s="13">
        <v>44648</v>
      </c>
      <c r="B804" s="15" t="s">
        <v>21</v>
      </c>
      <c r="C804" s="3">
        <v>3</v>
      </c>
      <c r="D804" s="13">
        <f t="shared" si="25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3">
      <c r="A805" s="13">
        <v>44648</v>
      </c>
      <c r="B805" s="15" t="s">
        <v>21</v>
      </c>
      <c r="C805" s="3">
        <v>4</v>
      </c>
      <c r="D805" s="13">
        <f t="shared" si="25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3">
      <c r="A806" s="13">
        <v>44649</v>
      </c>
      <c r="B806" s="15" t="s">
        <v>21</v>
      </c>
      <c r="C806" s="3">
        <v>2</v>
      </c>
      <c r="D806" s="13">
        <f t="shared" si="25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3">
      <c r="A807" s="13">
        <v>44649</v>
      </c>
      <c r="B807" s="15" t="s">
        <v>21</v>
      </c>
      <c r="C807" s="3">
        <v>3</v>
      </c>
      <c r="D807" s="13">
        <f t="shared" si="25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3">
      <c r="A808" s="13">
        <v>44650</v>
      </c>
      <c r="B808" s="15" t="s">
        <v>21</v>
      </c>
      <c r="C808" s="3">
        <v>2</v>
      </c>
      <c r="D808" s="13">
        <f t="shared" si="25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3">
      <c r="A809" s="13">
        <v>44651</v>
      </c>
      <c r="B809" s="15" t="s">
        <v>21</v>
      </c>
      <c r="C809" s="3">
        <v>4</v>
      </c>
      <c r="D809" s="13">
        <f t="shared" si="25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3">
      <c r="A810" s="13">
        <v>44655</v>
      </c>
      <c r="B810" s="15" t="s">
        <v>21</v>
      </c>
      <c r="C810" s="3">
        <v>3</v>
      </c>
      <c r="D810" s="13">
        <f t="shared" si="25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3">
      <c r="A811" s="13">
        <v>44655</v>
      </c>
      <c r="B811" s="15" t="s">
        <v>21</v>
      </c>
      <c r="C811" s="3">
        <v>4</v>
      </c>
      <c r="D811" s="13">
        <f t="shared" si="25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3">
      <c r="A812" s="13">
        <v>44656</v>
      </c>
      <c r="B812" s="15" t="s">
        <v>21</v>
      </c>
      <c r="C812" s="3">
        <v>3</v>
      </c>
      <c r="D812" s="13">
        <f t="shared" si="25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3">
      <c r="A813" s="13">
        <v>44656</v>
      </c>
      <c r="B813" s="15" t="s">
        <v>21</v>
      </c>
      <c r="C813" s="3">
        <v>7</v>
      </c>
      <c r="D813" s="13">
        <f t="shared" si="25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3">
      <c r="A814" s="13">
        <v>44657</v>
      </c>
      <c r="B814" s="15" t="s">
        <v>21</v>
      </c>
      <c r="C814" s="3">
        <v>5</v>
      </c>
      <c r="D814" s="13">
        <f t="shared" si="25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3">
      <c r="A815" s="13">
        <v>44657</v>
      </c>
      <c r="B815" s="15" t="s">
        <v>21</v>
      </c>
      <c r="C815" s="3">
        <v>6</v>
      </c>
      <c r="D815" s="13">
        <f t="shared" si="25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3">
      <c r="A816" s="13">
        <v>44657</v>
      </c>
      <c r="B816" s="15" t="s">
        <v>21</v>
      </c>
      <c r="C816" s="3">
        <v>7</v>
      </c>
      <c r="D816" s="13">
        <f t="shared" si="25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3">
      <c r="A817" s="13">
        <v>44658</v>
      </c>
      <c r="B817" s="15" t="s">
        <v>21</v>
      </c>
      <c r="C817" s="3">
        <v>4</v>
      </c>
      <c r="D817" s="13">
        <f t="shared" si="25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3">
      <c r="A818" s="13">
        <v>44658</v>
      </c>
      <c r="B818" s="15" t="s">
        <v>21</v>
      </c>
      <c r="C818" s="3">
        <v>6</v>
      </c>
      <c r="D818" s="13">
        <f t="shared" si="25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3">
      <c r="A819" s="13">
        <v>44659</v>
      </c>
      <c r="B819" s="15" t="s">
        <v>21</v>
      </c>
      <c r="C819" s="3">
        <v>4</v>
      </c>
      <c r="D819" s="13">
        <f t="shared" si="25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3">
      <c r="A820" s="13">
        <v>44659</v>
      </c>
      <c r="B820" s="15" t="s">
        <v>21</v>
      </c>
      <c r="C820" s="3">
        <v>5</v>
      </c>
      <c r="D820" s="13">
        <f t="shared" si="25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3">
      <c r="A821" s="13">
        <v>44659</v>
      </c>
      <c r="B821" s="15" t="s">
        <v>21</v>
      </c>
      <c r="C821" s="3">
        <v>11</v>
      </c>
      <c r="D821" s="13">
        <f t="shared" si="25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3">
      <c r="A822" s="13">
        <v>44662</v>
      </c>
      <c r="B822" s="15" t="s">
        <v>21</v>
      </c>
      <c r="C822" s="3">
        <v>1</v>
      </c>
      <c r="D822" s="13">
        <f t="shared" si="25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3">
      <c r="A823" s="13">
        <v>44662</v>
      </c>
      <c r="B823" s="15" t="s">
        <v>21</v>
      </c>
      <c r="C823" s="3">
        <v>8</v>
      </c>
      <c r="D823" s="13">
        <f t="shared" ref="D823:D917" si="26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3">
      <c r="A824" s="13">
        <v>44662</v>
      </c>
      <c r="B824" s="15" t="s">
        <v>21</v>
      </c>
      <c r="C824" s="3">
        <v>9</v>
      </c>
      <c r="D824" s="13">
        <f t="shared" si="26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3">
      <c r="A825" s="13">
        <v>44663</v>
      </c>
      <c r="B825" s="15" t="s">
        <v>21</v>
      </c>
      <c r="C825" s="3">
        <v>7</v>
      </c>
      <c r="D825" s="13">
        <f t="shared" si="26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3">
      <c r="A826" s="13">
        <v>44663</v>
      </c>
      <c r="B826" s="15" t="s">
        <v>21</v>
      </c>
      <c r="C826" s="3">
        <v>8</v>
      </c>
      <c r="D826" s="13">
        <f t="shared" si="26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3">
      <c r="A827" s="13">
        <v>44663</v>
      </c>
      <c r="B827" s="15" t="s">
        <v>21</v>
      </c>
      <c r="C827" s="3">
        <v>9</v>
      </c>
      <c r="D827" s="13">
        <f t="shared" si="26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3">
      <c r="A828" s="13">
        <v>44664</v>
      </c>
      <c r="B828" s="15" t="s">
        <v>21</v>
      </c>
      <c r="C828" s="3">
        <v>8</v>
      </c>
      <c r="D828" s="13">
        <f t="shared" si="26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3">
      <c r="A829" s="13">
        <v>44664</v>
      </c>
      <c r="B829" s="15" t="s">
        <v>21</v>
      </c>
      <c r="C829" s="3">
        <v>9</v>
      </c>
      <c r="D829" s="13">
        <f t="shared" si="26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3">
      <c r="A830" s="13">
        <v>44670</v>
      </c>
      <c r="B830" s="15" t="s">
        <v>21</v>
      </c>
      <c r="C830" s="3">
        <v>2</v>
      </c>
      <c r="D830" s="13">
        <f t="shared" si="26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3">
      <c r="A831" s="13">
        <v>44670</v>
      </c>
      <c r="B831" s="15" t="s">
        <v>21</v>
      </c>
      <c r="C831" s="3">
        <v>6</v>
      </c>
      <c r="D831" s="13">
        <f t="shared" si="26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3">
      <c r="A832" s="13">
        <v>44670</v>
      </c>
      <c r="B832" s="15" t="s">
        <v>21</v>
      </c>
      <c r="C832" s="3">
        <v>7</v>
      </c>
      <c r="D832" s="13">
        <f t="shared" si="26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3">
      <c r="A833" s="13">
        <v>44670</v>
      </c>
      <c r="B833" s="15" t="s">
        <v>21</v>
      </c>
      <c r="C833" s="3">
        <v>10</v>
      </c>
      <c r="D833" s="13">
        <f t="shared" si="26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3">
      <c r="A834" s="13">
        <v>44671</v>
      </c>
      <c r="B834" s="15" t="s">
        <v>21</v>
      </c>
      <c r="C834" s="3">
        <v>2</v>
      </c>
      <c r="D834" s="13">
        <f t="shared" si="26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3">
      <c r="A835" s="13">
        <v>44671</v>
      </c>
      <c r="B835" s="15" t="s">
        <v>21</v>
      </c>
      <c r="C835" s="3">
        <v>5</v>
      </c>
      <c r="D835" s="13">
        <f t="shared" si="26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3">
      <c r="A836" s="13">
        <v>44671</v>
      </c>
      <c r="B836" s="15" t="s">
        <v>21</v>
      </c>
      <c r="C836" s="3">
        <v>9</v>
      </c>
      <c r="D836" s="13">
        <f t="shared" si="26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3">
      <c r="A837" s="13">
        <v>44672</v>
      </c>
      <c r="B837" s="15" t="s">
        <v>21</v>
      </c>
      <c r="C837" s="3">
        <v>4</v>
      </c>
      <c r="D837" s="13">
        <f t="shared" si="26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3">
      <c r="A838" s="13">
        <v>44672</v>
      </c>
      <c r="B838" s="15" t="s">
        <v>21</v>
      </c>
      <c r="C838" s="3">
        <v>6</v>
      </c>
      <c r="D838" s="13">
        <f t="shared" si="26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3">
      <c r="A839" s="13">
        <v>44672</v>
      </c>
      <c r="B839" s="15" t="s">
        <v>21</v>
      </c>
      <c r="C839" s="3">
        <v>8</v>
      </c>
      <c r="D839" s="13">
        <f t="shared" si="26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3">
      <c r="A840" s="13">
        <v>44673</v>
      </c>
      <c r="B840" s="15" t="s">
        <v>21</v>
      </c>
      <c r="C840" s="3">
        <v>3</v>
      </c>
      <c r="D840" s="13">
        <f t="shared" si="26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3">
      <c r="A841" s="13">
        <v>44673</v>
      </c>
      <c r="B841" s="15" t="s">
        <v>21</v>
      </c>
      <c r="C841" s="3">
        <v>4</v>
      </c>
      <c r="D841" s="13">
        <f t="shared" si="26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3">
      <c r="A842" s="13">
        <v>44673</v>
      </c>
      <c r="B842" s="15" t="s">
        <v>21</v>
      </c>
      <c r="C842" s="3">
        <v>7</v>
      </c>
      <c r="D842" s="13">
        <f t="shared" si="26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7">+SUMIFS($E$10:$E$4506,$A$10:$A$4506,"&lt;="&amp;A842,$D$10:$D$4506,"&gt;"&amp;A842)</f>
        <v>20800</v>
      </c>
    </row>
    <row r="843" spans="1:8" x14ac:dyDescent="0.3">
      <c r="A843" s="13">
        <v>44676</v>
      </c>
      <c r="B843" s="15" t="s">
        <v>21</v>
      </c>
      <c r="C843" s="3">
        <v>1</v>
      </c>
      <c r="D843" s="13">
        <f t="shared" si="26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7"/>
        <v>23900</v>
      </c>
    </row>
    <row r="844" spans="1:8" x14ac:dyDescent="0.3">
      <c r="A844" s="13">
        <v>44676</v>
      </c>
      <c r="B844" s="15" t="s">
        <v>21</v>
      </c>
      <c r="C844" s="3">
        <v>2</v>
      </c>
      <c r="D844" s="13">
        <f t="shared" si="26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7"/>
        <v>23900</v>
      </c>
    </row>
    <row r="845" spans="1:8" x14ac:dyDescent="0.3">
      <c r="A845" s="13">
        <v>44676</v>
      </c>
      <c r="B845" s="15" t="s">
        <v>21</v>
      </c>
      <c r="C845" s="3">
        <v>4</v>
      </c>
      <c r="D845" s="13">
        <f t="shared" si="26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7"/>
        <v>23900</v>
      </c>
    </row>
    <row r="846" spans="1:8" x14ac:dyDescent="0.3">
      <c r="A846" s="13">
        <v>44677</v>
      </c>
      <c r="B846" s="15" t="s">
        <v>21</v>
      </c>
      <c r="C846" s="3">
        <v>2</v>
      </c>
      <c r="D846" s="13">
        <f t="shared" si="26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7"/>
        <v>18250</v>
      </c>
    </row>
    <row r="847" spans="1:8" x14ac:dyDescent="0.3">
      <c r="A847" s="13">
        <v>44677</v>
      </c>
      <c r="B847" s="15" t="s">
        <v>21</v>
      </c>
      <c r="C847" s="3">
        <v>3</v>
      </c>
      <c r="D847" s="13">
        <f t="shared" si="26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7"/>
        <v>18250</v>
      </c>
    </row>
    <row r="848" spans="1:8" x14ac:dyDescent="0.3">
      <c r="A848" s="13">
        <v>44677</v>
      </c>
      <c r="B848" s="15" t="s">
        <v>21</v>
      </c>
      <c r="C848" s="3">
        <v>6</v>
      </c>
      <c r="D848" s="13">
        <f t="shared" si="26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7"/>
        <v>18250</v>
      </c>
    </row>
    <row r="849" spans="1:8" x14ac:dyDescent="0.3">
      <c r="A849" s="13">
        <v>44678</v>
      </c>
      <c r="B849" s="15" t="s">
        <v>21</v>
      </c>
      <c r="C849" s="3">
        <v>1</v>
      </c>
      <c r="D849" s="13">
        <f t="shared" si="26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7"/>
        <v>10050</v>
      </c>
    </row>
    <row r="850" spans="1:8" x14ac:dyDescent="0.3">
      <c r="A850" s="13">
        <v>44678</v>
      </c>
      <c r="B850" s="15" t="s">
        <v>21</v>
      </c>
      <c r="C850" s="3">
        <v>2</v>
      </c>
      <c r="D850" s="13">
        <f t="shared" si="26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7"/>
        <v>10050</v>
      </c>
    </row>
    <row r="851" spans="1:8" x14ac:dyDescent="0.3">
      <c r="A851" s="13">
        <v>44679</v>
      </c>
      <c r="B851" s="15" t="s">
        <v>21</v>
      </c>
      <c r="C851" s="3">
        <v>1</v>
      </c>
      <c r="D851" s="13">
        <f t="shared" si="26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7"/>
        <v>7650</v>
      </c>
    </row>
    <row r="852" spans="1:8" x14ac:dyDescent="0.3">
      <c r="A852" s="13">
        <v>44679</v>
      </c>
      <c r="B852" s="15" t="s">
        <v>21</v>
      </c>
      <c r="C852" s="3">
        <v>4</v>
      </c>
      <c r="D852" s="13">
        <f t="shared" si="26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7"/>
        <v>7650</v>
      </c>
    </row>
    <row r="853" spans="1:8" x14ac:dyDescent="0.3">
      <c r="A853" s="13">
        <v>44683</v>
      </c>
      <c r="B853" s="15" t="s">
        <v>21</v>
      </c>
      <c r="C853" s="3">
        <v>2</v>
      </c>
      <c r="D853" s="13">
        <f t="shared" si="26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7"/>
        <v>1000</v>
      </c>
    </row>
    <row r="854" spans="1:8" x14ac:dyDescent="0.3">
      <c r="A854" s="13">
        <v>44683</v>
      </c>
      <c r="B854" s="15" t="s">
        <v>21</v>
      </c>
      <c r="C854" s="3">
        <v>3</v>
      </c>
      <c r="D854" s="13">
        <f t="shared" si="26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7"/>
        <v>1000</v>
      </c>
    </row>
    <row r="855" spans="1:8" x14ac:dyDescent="0.3">
      <c r="A855" s="13">
        <v>44684</v>
      </c>
      <c r="B855" s="15" t="s">
        <v>21</v>
      </c>
      <c r="C855" s="3">
        <v>2</v>
      </c>
      <c r="D855" s="13">
        <f t="shared" si="26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7"/>
        <v>2000</v>
      </c>
    </row>
    <row r="856" spans="1:8" x14ac:dyDescent="0.3">
      <c r="A856" s="13">
        <v>44684</v>
      </c>
      <c r="B856" s="15" t="s">
        <v>21</v>
      </c>
      <c r="C856" s="3">
        <v>3</v>
      </c>
      <c r="D856" s="13">
        <f t="shared" si="26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7"/>
        <v>2000</v>
      </c>
    </row>
    <row r="857" spans="1:8" x14ac:dyDescent="0.3">
      <c r="A857" s="13">
        <v>44685</v>
      </c>
      <c r="B857" s="15" t="s">
        <v>21</v>
      </c>
      <c r="C857" s="3">
        <v>2</v>
      </c>
      <c r="D857" s="13">
        <f t="shared" si="26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7"/>
        <v>2400</v>
      </c>
    </row>
    <row r="858" spans="1:8" x14ac:dyDescent="0.3">
      <c r="A858" s="13">
        <v>44685</v>
      </c>
      <c r="B858" s="15" t="s">
        <v>21</v>
      </c>
      <c r="C858" s="3">
        <v>6</v>
      </c>
      <c r="D858" s="13">
        <f t="shared" si="26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7"/>
        <v>2400</v>
      </c>
    </row>
    <row r="859" spans="1:8" x14ac:dyDescent="0.3">
      <c r="A859" s="13">
        <v>44686</v>
      </c>
      <c r="B859" s="15" t="s">
        <v>21</v>
      </c>
      <c r="C859" s="3">
        <v>4</v>
      </c>
      <c r="D859" s="13">
        <f t="shared" si="26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7"/>
        <v>3600</v>
      </c>
    </row>
    <row r="860" spans="1:8" x14ac:dyDescent="0.3">
      <c r="A860" s="13">
        <v>44686</v>
      </c>
      <c r="B860" s="15" t="s">
        <v>21</v>
      </c>
      <c r="C860" s="3">
        <v>5</v>
      </c>
      <c r="D860" s="13">
        <f t="shared" si="26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7"/>
        <v>3600</v>
      </c>
    </row>
    <row r="861" spans="1:8" x14ac:dyDescent="0.3">
      <c r="A861" s="13">
        <v>44686</v>
      </c>
      <c r="B861" s="15" t="s">
        <v>21</v>
      </c>
      <c r="C861" s="3">
        <v>6</v>
      </c>
      <c r="D861" s="13">
        <f t="shared" si="26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7"/>
        <v>3600</v>
      </c>
    </row>
    <row r="862" spans="1:8" x14ac:dyDescent="0.3">
      <c r="A862" s="13">
        <v>44687</v>
      </c>
      <c r="B862" s="15" t="s">
        <v>21</v>
      </c>
      <c r="C862" s="3">
        <v>3</v>
      </c>
      <c r="D862" s="13">
        <f t="shared" si="26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7"/>
        <v>5600</v>
      </c>
    </row>
    <row r="863" spans="1:8" x14ac:dyDescent="0.3">
      <c r="A863" s="13">
        <v>44687</v>
      </c>
      <c r="B863" s="15" t="s">
        <v>21</v>
      </c>
      <c r="C863" s="3">
        <v>4</v>
      </c>
      <c r="D863" s="13">
        <f t="shared" si="26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7"/>
        <v>5600</v>
      </c>
    </row>
    <row r="864" spans="1:8" x14ac:dyDescent="0.3">
      <c r="A864" s="13">
        <v>44687</v>
      </c>
      <c r="B864" s="15" t="s">
        <v>21</v>
      </c>
      <c r="C864" s="3">
        <v>5</v>
      </c>
      <c r="D864" s="13">
        <f t="shared" si="26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7"/>
        <v>5600</v>
      </c>
    </row>
    <row r="865" spans="1:8" x14ac:dyDescent="0.3">
      <c r="A865" s="13">
        <v>44687</v>
      </c>
      <c r="B865" s="15" t="s">
        <v>21</v>
      </c>
      <c r="C865" s="3">
        <v>6</v>
      </c>
      <c r="D865" s="13">
        <f t="shared" si="26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7"/>
        <v>5600</v>
      </c>
    </row>
    <row r="866" spans="1:8" x14ac:dyDescent="0.3">
      <c r="A866" s="13">
        <v>44690</v>
      </c>
      <c r="B866" s="15" t="s">
        <v>21</v>
      </c>
      <c r="C866" s="3">
        <v>2</v>
      </c>
      <c r="D866" s="13">
        <f t="shared" si="26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7"/>
        <v>7800</v>
      </c>
    </row>
    <row r="867" spans="1:8" x14ac:dyDescent="0.3">
      <c r="A867" s="13">
        <v>44690</v>
      </c>
      <c r="B867" s="15" t="s">
        <v>21</v>
      </c>
      <c r="C867" s="3">
        <v>3</v>
      </c>
      <c r="D867" s="13">
        <f t="shared" si="26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7"/>
        <v>7800</v>
      </c>
    </row>
    <row r="868" spans="1:8" x14ac:dyDescent="0.3">
      <c r="A868" s="13">
        <v>44690</v>
      </c>
      <c r="B868" s="15" t="s">
        <v>21</v>
      </c>
      <c r="C868" s="3">
        <v>4</v>
      </c>
      <c r="D868" s="13">
        <f t="shared" si="26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7"/>
        <v>7800</v>
      </c>
    </row>
    <row r="869" spans="1:8" x14ac:dyDescent="0.3">
      <c r="A869" s="13">
        <v>44690</v>
      </c>
      <c r="B869" s="15" t="s">
        <v>21</v>
      </c>
      <c r="C869" s="3">
        <v>8</v>
      </c>
      <c r="D869" s="13">
        <f t="shared" si="26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7"/>
        <v>7800</v>
      </c>
    </row>
    <row r="870" spans="1:8" x14ac:dyDescent="0.3">
      <c r="A870" s="13">
        <v>44691</v>
      </c>
      <c r="B870" s="15" t="s">
        <v>21</v>
      </c>
      <c r="C870" s="3">
        <v>1</v>
      </c>
      <c r="D870" s="13">
        <f t="shared" si="26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7"/>
        <v>9700</v>
      </c>
    </row>
    <row r="871" spans="1:8" x14ac:dyDescent="0.3">
      <c r="A871" s="13">
        <v>44691</v>
      </c>
      <c r="B871" s="15" t="s">
        <v>21</v>
      </c>
      <c r="C871" s="3">
        <v>2</v>
      </c>
      <c r="D871" s="13">
        <f t="shared" si="26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7"/>
        <v>9700</v>
      </c>
    </row>
    <row r="872" spans="1:8" x14ac:dyDescent="0.3">
      <c r="A872" s="13">
        <v>44691</v>
      </c>
      <c r="B872" s="15" t="s">
        <v>21</v>
      </c>
      <c r="C872" s="3">
        <v>3</v>
      </c>
      <c r="D872" s="13">
        <f t="shared" si="26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7"/>
        <v>9700</v>
      </c>
    </row>
    <row r="873" spans="1:8" x14ac:dyDescent="0.3">
      <c r="A873" s="13">
        <v>44691</v>
      </c>
      <c r="B873" s="15" t="s">
        <v>21</v>
      </c>
      <c r="C873" s="3">
        <v>7</v>
      </c>
      <c r="D873" s="13">
        <f t="shared" si="26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7"/>
        <v>9700</v>
      </c>
    </row>
    <row r="874" spans="1:8" x14ac:dyDescent="0.3">
      <c r="A874" s="13">
        <v>44691</v>
      </c>
      <c r="B874" s="15" t="s">
        <v>21</v>
      </c>
      <c r="C874" s="3">
        <v>8</v>
      </c>
      <c r="D874" s="13">
        <f t="shared" si="26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7"/>
        <v>9700</v>
      </c>
    </row>
    <row r="875" spans="1:8" x14ac:dyDescent="0.3">
      <c r="A875" s="13">
        <v>44692</v>
      </c>
      <c r="B875" s="15" t="s">
        <v>21</v>
      </c>
      <c r="C875" s="3">
        <v>1</v>
      </c>
      <c r="D875" s="13">
        <f t="shared" si="26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7"/>
        <v>12450</v>
      </c>
    </row>
    <row r="876" spans="1:8" x14ac:dyDescent="0.3">
      <c r="A876" s="13">
        <v>44692</v>
      </c>
      <c r="B876" s="15" t="s">
        <v>21</v>
      </c>
      <c r="C876" s="3">
        <v>2</v>
      </c>
      <c r="D876" s="13">
        <f t="shared" si="26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7"/>
        <v>12450</v>
      </c>
    </row>
    <row r="877" spans="1:8" x14ac:dyDescent="0.3">
      <c r="A877" s="13">
        <v>44692</v>
      </c>
      <c r="B877" s="15" t="s">
        <v>21</v>
      </c>
      <c r="C877" s="3">
        <v>6</v>
      </c>
      <c r="D877" s="13">
        <f t="shared" si="26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7"/>
        <v>12450</v>
      </c>
    </row>
    <row r="878" spans="1:8" x14ac:dyDescent="0.3">
      <c r="A878" s="13">
        <v>44692</v>
      </c>
      <c r="B878" s="15" t="s">
        <v>21</v>
      </c>
      <c r="C878" s="3">
        <v>7</v>
      </c>
      <c r="D878" s="13">
        <f t="shared" si="26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7"/>
        <v>12450</v>
      </c>
    </row>
    <row r="879" spans="1:8" x14ac:dyDescent="0.3">
      <c r="A879" s="13">
        <v>44693</v>
      </c>
      <c r="B879" s="15" t="s">
        <v>21</v>
      </c>
      <c r="C879" s="3">
        <v>5</v>
      </c>
      <c r="D879" s="13">
        <f t="shared" si="26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7"/>
        <v>13200</v>
      </c>
    </row>
    <row r="880" spans="1:8" x14ac:dyDescent="0.3">
      <c r="A880" s="13">
        <v>44693</v>
      </c>
      <c r="B880" s="15" t="s">
        <v>21</v>
      </c>
      <c r="C880" s="3">
        <v>6</v>
      </c>
      <c r="D880" s="13">
        <f t="shared" si="26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7"/>
        <v>13200</v>
      </c>
    </row>
    <row r="881" spans="1:8" x14ac:dyDescent="0.3">
      <c r="A881" s="13">
        <v>44694</v>
      </c>
      <c r="B881" s="15" t="s">
        <v>21</v>
      </c>
      <c r="C881" s="3">
        <v>4</v>
      </c>
      <c r="D881" s="13">
        <f t="shared" si="26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7"/>
        <v>15900</v>
      </c>
    </row>
    <row r="882" spans="1:8" x14ac:dyDescent="0.3">
      <c r="A882" s="13">
        <v>44694</v>
      </c>
      <c r="B882" s="15" t="s">
        <v>21</v>
      </c>
      <c r="C882" s="3">
        <v>5</v>
      </c>
      <c r="D882" s="13">
        <f t="shared" si="26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7"/>
        <v>15900</v>
      </c>
    </row>
    <row r="883" spans="1:8" x14ac:dyDescent="0.3">
      <c r="A883" s="13">
        <v>44694</v>
      </c>
      <c r="B883" s="15" t="s">
        <v>21</v>
      </c>
      <c r="C883" s="3">
        <v>6</v>
      </c>
      <c r="D883" s="13">
        <f t="shared" si="26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7"/>
        <v>15900</v>
      </c>
    </row>
    <row r="884" spans="1:8" x14ac:dyDescent="0.3">
      <c r="A884" s="13">
        <v>44698</v>
      </c>
      <c r="B884" s="15" t="s">
        <v>21</v>
      </c>
      <c r="C884" s="3">
        <v>1</v>
      </c>
      <c r="D884" s="13">
        <f t="shared" si="26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7"/>
        <v>14800</v>
      </c>
    </row>
    <row r="885" spans="1:8" x14ac:dyDescent="0.3">
      <c r="A885" s="13">
        <v>44698</v>
      </c>
      <c r="B885" s="15" t="s">
        <v>21</v>
      </c>
      <c r="C885" s="3">
        <v>2</v>
      </c>
      <c r="D885" s="13">
        <f t="shared" si="26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7"/>
        <v>14800</v>
      </c>
    </row>
    <row r="886" spans="1:8" x14ac:dyDescent="0.3">
      <c r="A886" s="13">
        <v>44699</v>
      </c>
      <c r="B886" s="15" t="s">
        <v>21</v>
      </c>
      <c r="C886" s="3">
        <v>1</v>
      </c>
      <c r="D886" s="13">
        <f t="shared" si="26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7"/>
        <v>14740</v>
      </c>
    </row>
    <row r="887" spans="1:8" x14ac:dyDescent="0.3">
      <c r="A887" s="13">
        <v>44699</v>
      </c>
      <c r="B887" s="15" t="s">
        <v>21</v>
      </c>
      <c r="C887" s="3">
        <v>2</v>
      </c>
      <c r="D887" s="13">
        <f t="shared" si="26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7"/>
        <v>14740</v>
      </c>
    </row>
    <row r="888" spans="1:8" x14ac:dyDescent="0.3">
      <c r="A888" s="13">
        <v>44699</v>
      </c>
      <c r="B888" s="15" t="s">
        <v>21</v>
      </c>
      <c r="C888" s="3">
        <v>5</v>
      </c>
      <c r="D888" s="13">
        <f t="shared" si="26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7"/>
        <v>14740</v>
      </c>
    </row>
    <row r="889" spans="1:8" x14ac:dyDescent="0.3">
      <c r="A889" s="13">
        <v>44699</v>
      </c>
      <c r="B889" s="15" t="s">
        <v>21</v>
      </c>
      <c r="C889" s="3">
        <v>7</v>
      </c>
      <c r="D889" s="13">
        <f t="shared" si="26"/>
        <v>44706</v>
      </c>
      <c r="E889" s="15">
        <v>3790</v>
      </c>
      <c r="F889" s="9">
        <v>9.35E-2</v>
      </c>
      <c r="G889" s="9">
        <v>9.35E-2</v>
      </c>
      <c r="H889" s="15">
        <f t="shared" si="27"/>
        <v>14740</v>
      </c>
    </row>
    <row r="890" spans="1:8" x14ac:dyDescent="0.3">
      <c r="A890" s="13">
        <v>44700</v>
      </c>
      <c r="B890" s="15" t="s">
        <v>21</v>
      </c>
      <c r="C890" s="3">
        <v>1</v>
      </c>
      <c r="D890" s="13">
        <f t="shared" si="26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7"/>
        <v>14050</v>
      </c>
    </row>
    <row r="891" spans="1:8" x14ac:dyDescent="0.3">
      <c r="A891" s="13">
        <v>44700</v>
      </c>
      <c r="B891" s="15" t="s">
        <v>21</v>
      </c>
      <c r="C891" s="3">
        <v>4</v>
      </c>
      <c r="D891" s="13">
        <f t="shared" si="26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7"/>
        <v>14050</v>
      </c>
    </row>
    <row r="892" spans="1:8" x14ac:dyDescent="0.3">
      <c r="A892" s="13">
        <v>44700</v>
      </c>
      <c r="B892" s="15" t="s">
        <v>21</v>
      </c>
      <c r="C892" s="3">
        <v>5</v>
      </c>
      <c r="D892" s="13">
        <f t="shared" si="26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7"/>
        <v>14050</v>
      </c>
    </row>
    <row r="893" spans="1:8" x14ac:dyDescent="0.3">
      <c r="A893" s="13">
        <v>44700</v>
      </c>
      <c r="B893" s="15" t="s">
        <v>21</v>
      </c>
      <c r="C893" s="3">
        <v>7</v>
      </c>
      <c r="D893" s="13">
        <f t="shared" si="26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7"/>
        <v>14050</v>
      </c>
    </row>
    <row r="894" spans="1:8" x14ac:dyDescent="0.3">
      <c r="A894" s="13">
        <v>44700</v>
      </c>
      <c r="B894" s="15" t="s">
        <v>21</v>
      </c>
      <c r="C894" s="3">
        <v>13</v>
      </c>
      <c r="D894" s="13">
        <f t="shared" si="26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7"/>
        <v>14050</v>
      </c>
    </row>
    <row r="895" spans="1:8" x14ac:dyDescent="0.3">
      <c r="A895" s="13">
        <v>44701</v>
      </c>
      <c r="B895" s="15" t="s">
        <v>21</v>
      </c>
      <c r="C895" s="3">
        <v>3</v>
      </c>
      <c r="D895" s="13">
        <f t="shared" si="26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7"/>
        <v>15150</v>
      </c>
    </row>
    <row r="896" spans="1:8" x14ac:dyDescent="0.3">
      <c r="A896" s="13">
        <v>44701</v>
      </c>
      <c r="B896" s="15" t="s">
        <v>21</v>
      </c>
      <c r="C896" s="3">
        <v>4</v>
      </c>
      <c r="D896" s="13">
        <f t="shared" si="26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7"/>
        <v>15150</v>
      </c>
    </row>
    <row r="897" spans="1:8" x14ac:dyDescent="0.3">
      <c r="A897" s="13">
        <v>44701</v>
      </c>
      <c r="B897" s="15" t="s">
        <v>21</v>
      </c>
      <c r="C897" s="3">
        <v>5</v>
      </c>
      <c r="D897" s="13">
        <f t="shared" si="26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7"/>
        <v>15150</v>
      </c>
    </row>
    <row r="898" spans="1:8" x14ac:dyDescent="0.3">
      <c r="A898" s="13">
        <v>44704</v>
      </c>
      <c r="B898" s="15" t="s">
        <v>21</v>
      </c>
      <c r="C898" s="3">
        <v>1</v>
      </c>
      <c r="D898" s="13">
        <f t="shared" si="26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7"/>
        <v>19050</v>
      </c>
    </row>
    <row r="899" spans="1:8" x14ac:dyDescent="0.3">
      <c r="A899" s="13">
        <v>44704</v>
      </c>
      <c r="B899" s="15" t="s">
        <v>21</v>
      </c>
      <c r="C899" s="3">
        <v>2</v>
      </c>
      <c r="D899" s="13">
        <f t="shared" si="26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7"/>
        <v>19050</v>
      </c>
    </row>
    <row r="900" spans="1:8" x14ac:dyDescent="0.3">
      <c r="A900" s="13">
        <v>44704</v>
      </c>
      <c r="B900" s="15" t="s">
        <v>21</v>
      </c>
      <c r="C900" s="3">
        <v>3</v>
      </c>
      <c r="D900" s="13">
        <f t="shared" si="26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7"/>
        <v>19050</v>
      </c>
    </row>
    <row r="901" spans="1:8" x14ac:dyDescent="0.3">
      <c r="A901" s="13">
        <v>44704</v>
      </c>
      <c r="B901" s="15" t="s">
        <v>21</v>
      </c>
      <c r="C901" s="3">
        <v>7</v>
      </c>
      <c r="D901" s="13">
        <f t="shared" si="26"/>
        <v>44711</v>
      </c>
      <c r="E901" s="15">
        <v>20</v>
      </c>
      <c r="F901" s="9">
        <v>9.35E-2</v>
      </c>
      <c r="G901" s="9">
        <v>9.35E-2</v>
      </c>
      <c r="H901" s="15">
        <f t="shared" si="27"/>
        <v>19050</v>
      </c>
    </row>
    <row r="902" spans="1:8" x14ac:dyDescent="0.3">
      <c r="A902" s="13">
        <v>44704</v>
      </c>
      <c r="B902" s="15" t="s">
        <v>21</v>
      </c>
      <c r="C902" s="3">
        <v>8</v>
      </c>
      <c r="D902" s="13">
        <f t="shared" si="26"/>
        <v>44712</v>
      </c>
      <c r="E902" s="15">
        <v>600</v>
      </c>
      <c r="F902" s="9">
        <v>9.4E-2</v>
      </c>
      <c r="G902" s="9">
        <v>9.4E-2</v>
      </c>
      <c r="H902" s="15">
        <f t="shared" si="27"/>
        <v>19050</v>
      </c>
    </row>
    <row r="903" spans="1:8" x14ac:dyDescent="0.3">
      <c r="A903" s="13">
        <v>44704</v>
      </c>
      <c r="B903" s="15" t="s">
        <v>21</v>
      </c>
      <c r="C903" s="3">
        <v>9</v>
      </c>
      <c r="D903" s="13">
        <f t="shared" si="26"/>
        <v>44713</v>
      </c>
      <c r="E903" s="15">
        <v>400</v>
      </c>
      <c r="F903" s="9">
        <v>9.4E-2</v>
      </c>
      <c r="G903" s="9">
        <v>9.4E-2</v>
      </c>
      <c r="H903" s="15">
        <f t="shared" si="27"/>
        <v>19050</v>
      </c>
    </row>
    <row r="904" spans="1:8" x14ac:dyDescent="0.3">
      <c r="A904" s="13">
        <v>44705</v>
      </c>
      <c r="B904" s="15" t="s">
        <v>21</v>
      </c>
      <c r="C904" s="3">
        <v>1</v>
      </c>
      <c r="D904" s="13">
        <f t="shared" si="26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7"/>
        <v>17750</v>
      </c>
    </row>
    <row r="905" spans="1:8" x14ac:dyDescent="0.3">
      <c r="A905" s="13">
        <v>44705</v>
      </c>
      <c r="B905" s="15" t="s">
        <v>21</v>
      </c>
      <c r="C905" s="3">
        <v>2</v>
      </c>
      <c r="D905" s="13">
        <f t="shared" si="26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7"/>
        <v>17750</v>
      </c>
    </row>
    <row r="906" spans="1:8" x14ac:dyDescent="0.3">
      <c r="A906" s="13">
        <v>44705</v>
      </c>
      <c r="B906" s="15" t="s">
        <v>21</v>
      </c>
      <c r="C906" s="3">
        <v>3</v>
      </c>
      <c r="D906" s="13">
        <f t="shared" si="26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8">+SUMIFS($E$10:$E$4506,$A$10:$A$4506,"&lt;="&amp;A906,$D$10:$D$4506,"&gt;"&amp;A906)</f>
        <v>17750</v>
      </c>
    </row>
    <row r="907" spans="1:8" x14ac:dyDescent="0.3">
      <c r="A907" s="13">
        <v>44705</v>
      </c>
      <c r="B907" s="15" t="s">
        <v>21</v>
      </c>
      <c r="C907" s="3">
        <v>8</v>
      </c>
      <c r="D907" s="13">
        <f t="shared" si="26"/>
        <v>44713</v>
      </c>
      <c r="E907" s="15">
        <v>400</v>
      </c>
      <c r="F907" s="9">
        <v>9.4E-2</v>
      </c>
      <c r="G907" s="9">
        <v>9.4E-2</v>
      </c>
      <c r="H907" s="15">
        <f t="shared" si="28"/>
        <v>17750</v>
      </c>
    </row>
    <row r="908" spans="1:8" x14ac:dyDescent="0.3">
      <c r="A908" s="13">
        <v>44706</v>
      </c>
      <c r="B908" s="15" t="s">
        <v>21</v>
      </c>
      <c r="C908" s="3">
        <v>1</v>
      </c>
      <c r="D908" s="13">
        <f t="shared" si="26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8"/>
        <v>6420</v>
      </c>
    </row>
    <row r="909" spans="1:8" x14ac:dyDescent="0.3">
      <c r="A909" s="13">
        <v>44706</v>
      </c>
      <c r="B909" s="15" t="s">
        <v>21</v>
      </c>
      <c r="C909" s="3">
        <v>2</v>
      </c>
      <c r="D909" s="13">
        <f t="shared" si="26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8"/>
        <v>6420</v>
      </c>
    </row>
    <row r="910" spans="1:8" x14ac:dyDescent="0.3">
      <c r="A910" s="13">
        <v>44706</v>
      </c>
      <c r="B910" s="15" t="s">
        <v>21</v>
      </c>
      <c r="C910" s="3">
        <v>7</v>
      </c>
      <c r="D910" s="13">
        <f t="shared" si="26"/>
        <v>44713</v>
      </c>
      <c r="E910" s="15">
        <v>800</v>
      </c>
      <c r="F910" s="9">
        <v>9.35E-2</v>
      </c>
      <c r="G910" s="9">
        <v>9.35E-2</v>
      </c>
      <c r="H910" s="15">
        <f t="shared" si="28"/>
        <v>6420</v>
      </c>
    </row>
    <row r="911" spans="1:8" x14ac:dyDescent="0.3">
      <c r="A911" s="13">
        <v>44707</v>
      </c>
      <c r="B911" s="15" t="s">
        <v>21</v>
      </c>
      <c r="C911" s="3">
        <v>4</v>
      </c>
      <c r="D911" s="13">
        <f t="shared" si="26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8"/>
        <v>5520</v>
      </c>
    </row>
    <row r="912" spans="1:8" x14ac:dyDescent="0.3">
      <c r="A912" s="13">
        <v>44707</v>
      </c>
      <c r="B912" s="15" t="s">
        <v>21</v>
      </c>
      <c r="C912" s="3">
        <v>6</v>
      </c>
      <c r="D912" s="13">
        <f t="shared" si="26"/>
        <v>44713</v>
      </c>
      <c r="E912" s="15">
        <v>600</v>
      </c>
      <c r="F912" s="9">
        <v>9.35E-2</v>
      </c>
      <c r="G912" s="9">
        <v>9.35E-2</v>
      </c>
      <c r="H912" s="15">
        <f t="shared" si="28"/>
        <v>5520</v>
      </c>
    </row>
    <row r="913" spans="1:8" x14ac:dyDescent="0.3">
      <c r="A913" s="13">
        <v>44708</v>
      </c>
      <c r="B913" s="15" t="s">
        <v>21</v>
      </c>
      <c r="C913" s="3">
        <v>3</v>
      </c>
      <c r="D913" s="13">
        <f t="shared" si="26"/>
        <v>44711</v>
      </c>
      <c r="E913" s="15">
        <v>-400</v>
      </c>
      <c r="F913" s="9">
        <v>9.4E-2</v>
      </c>
      <c r="G913" s="9">
        <v>9.4E-2</v>
      </c>
      <c r="H913" s="15">
        <f t="shared" si="28"/>
        <v>4920</v>
      </c>
    </row>
    <row r="914" spans="1:8" x14ac:dyDescent="0.3">
      <c r="A914" s="13">
        <v>44708</v>
      </c>
      <c r="B914" s="15" t="s">
        <v>21</v>
      </c>
      <c r="C914" s="3">
        <v>4</v>
      </c>
      <c r="D914" s="13">
        <f t="shared" si="26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8"/>
        <v>4920</v>
      </c>
    </row>
    <row r="915" spans="1:8" x14ac:dyDescent="0.3">
      <c r="A915" s="13">
        <v>44708</v>
      </c>
      <c r="B915" s="15" t="s">
        <v>21</v>
      </c>
      <c r="C915" s="3">
        <v>5</v>
      </c>
      <c r="D915" s="13">
        <f t="shared" si="26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8"/>
        <v>4920</v>
      </c>
    </row>
    <row r="916" spans="1:8" x14ac:dyDescent="0.3">
      <c r="A916" s="13">
        <v>44711</v>
      </c>
      <c r="B916" s="15" t="s">
        <v>21</v>
      </c>
      <c r="C916" s="3">
        <v>1</v>
      </c>
      <c r="D916" s="13">
        <f t="shared" si="26"/>
        <v>44712</v>
      </c>
      <c r="E916" s="15">
        <v>-1260</v>
      </c>
      <c r="F916" s="9">
        <v>9.4E-2</v>
      </c>
      <c r="G916" s="9">
        <v>9.4E-2</v>
      </c>
      <c r="H916" s="15">
        <f t="shared" si="28"/>
        <v>3040</v>
      </c>
    </row>
    <row r="917" spans="1:8" x14ac:dyDescent="0.3">
      <c r="A917" s="13">
        <v>44711</v>
      </c>
      <c r="B917" s="15" t="s">
        <v>21</v>
      </c>
      <c r="C917" s="3">
        <v>2</v>
      </c>
      <c r="D917" s="13">
        <f t="shared" si="26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8"/>
        <v>3040</v>
      </c>
    </row>
    <row r="918" spans="1:8" x14ac:dyDescent="0.3">
      <c r="A918" s="13">
        <v>44711</v>
      </c>
      <c r="B918" s="15" t="s">
        <v>21</v>
      </c>
      <c r="C918" s="3">
        <v>2</v>
      </c>
      <c r="D918" s="13">
        <f t="shared" ref="D918:D976" si="29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8"/>
        <v>3040</v>
      </c>
    </row>
    <row r="919" spans="1:8" x14ac:dyDescent="0.3">
      <c r="A919" s="13">
        <v>44712</v>
      </c>
      <c r="B919" s="15" t="s">
        <v>21</v>
      </c>
      <c r="C919" s="3">
        <v>3</v>
      </c>
      <c r="D919" s="13">
        <f t="shared" si="29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8"/>
        <v>3000</v>
      </c>
    </row>
    <row r="920" spans="1:8" x14ac:dyDescent="0.3">
      <c r="A920" s="13">
        <v>44714</v>
      </c>
      <c r="B920" s="15" t="s">
        <v>21</v>
      </c>
      <c r="C920" s="3">
        <v>4</v>
      </c>
      <c r="D920" s="13">
        <f t="shared" si="29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8"/>
        <v>500</v>
      </c>
    </row>
    <row r="921" spans="1:8" x14ac:dyDescent="0.3">
      <c r="A921" s="13">
        <v>44715</v>
      </c>
      <c r="B921" s="15" t="s">
        <v>21</v>
      </c>
      <c r="C921" s="3">
        <v>4</v>
      </c>
      <c r="D921" s="13">
        <f t="shared" si="29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8"/>
        <v>1000</v>
      </c>
    </row>
    <row r="922" spans="1:8" x14ac:dyDescent="0.3">
      <c r="A922" s="13">
        <v>44719</v>
      </c>
      <c r="B922" s="15" t="s">
        <v>21</v>
      </c>
      <c r="C922" s="3">
        <v>2</v>
      </c>
      <c r="D922" s="13">
        <f t="shared" si="29"/>
        <v>44721</v>
      </c>
      <c r="E922" s="15">
        <v>-800</v>
      </c>
      <c r="F922" s="9">
        <v>9.4E-2</v>
      </c>
      <c r="G922" s="9">
        <v>9.4E-2</v>
      </c>
      <c r="H922" s="15">
        <f t="shared" si="28"/>
        <v>-2600</v>
      </c>
    </row>
    <row r="923" spans="1:8" x14ac:dyDescent="0.3">
      <c r="A923" s="13">
        <v>44719</v>
      </c>
      <c r="B923" s="15" t="s">
        <v>21</v>
      </c>
      <c r="C923" s="3">
        <v>7</v>
      </c>
      <c r="D923" s="13">
        <f t="shared" si="29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8"/>
        <v>-2600</v>
      </c>
    </row>
    <row r="924" spans="1:8" x14ac:dyDescent="0.3">
      <c r="A924" s="13">
        <v>44721</v>
      </c>
      <c r="B924" s="15" t="s">
        <v>21</v>
      </c>
      <c r="C924" s="3">
        <v>1</v>
      </c>
      <c r="D924" s="13">
        <f t="shared" si="29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8"/>
        <v>-1400</v>
      </c>
    </row>
    <row r="925" spans="1:8" x14ac:dyDescent="0.3">
      <c r="A925" s="13">
        <v>44721</v>
      </c>
      <c r="B925" s="15" t="s">
        <v>21</v>
      </c>
      <c r="C925" s="3">
        <v>4</v>
      </c>
      <c r="D925" s="13">
        <f t="shared" si="29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8"/>
        <v>-1400</v>
      </c>
    </row>
    <row r="926" spans="1:8" x14ac:dyDescent="0.3">
      <c r="A926" s="13">
        <v>44721</v>
      </c>
      <c r="B926" s="15" t="s">
        <v>21</v>
      </c>
      <c r="C926" s="3">
        <v>5</v>
      </c>
      <c r="D926" s="13">
        <f t="shared" si="29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8"/>
        <v>-1400</v>
      </c>
    </row>
    <row r="927" spans="1:8" x14ac:dyDescent="0.3">
      <c r="A927" s="13">
        <v>44722</v>
      </c>
      <c r="B927" s="15" t="s">
        <v>21</v>
      </c>
      <c r="C927" s="3">
        <v>3</v>
      </c>
      <c r="D927" s="13">
        <f t="shared" si="29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8"/>
        <v>2500</v>
      </c>
    </row>
    <row r="928" spans="1:8" x14ac:dyDescent="0.3">
      <c r="A928" s="13">
        <v>44722</v>
      </c>
      <c r="B928" s="15" t="s">
        <v>21</v>
      </c>
      <c r="C928" s="3">
        <v>4</v>
      </c>
      <c r="D928" s="13">
        <f t="shared" si="29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8"/>
        <v>2500</v>
      </c>
    </row>
    <row r="929" spans="1:8" x14ac:dyDescent="0.3">
      <c r="A929" s="13">
        <v>44722</v>
      </c>
      <c r="B929" s="15" t="s">
        <v>21</v>
      </c>
      <c r="C929" s="3">
        <v>6</v>
      </c>
      <c r="D929" s="13">
        <f t="shared" si="29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8"/>
        <v>2500</v>
      </c>
    </row>
    <row r="930" spans="1:8" x14ac:dyDescent="0.3">
      <c r="A930" s="13">
        <v>44725</v>
      </c>
      <c r="B930" s="15" t="s">
        <v>21</v>
      </c>
      <c r="C930" s="3">
        <v>2</v>
      </c>
      <c r="D930" s="13">
        <f t="shared" si="29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8"/>
        <v>11200</v>
      </c>
    </row>
    <row r="931" spans="1:8" x14ac:dyDescent="0.3">
      <c r="A931" s="13">
        <v>44725</v>
      </c>
      <c r="B931" s="15" t="s">
        <v>21</v>
      </c>
      <c r="C931" s="3">
        <v>4</v>
      </c>
      <c r="D931" s="13">
        <f t="shared" si="29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8"/>
        <v>11200</v>
      </c>
    </row>
    <row r="932" spans="1:8" x14ac:dyDescent="0.3">
      <c r="A932" s="13">
        <v>44725</v>
      </c>
      <c r="B932" s="15" t="s">
        <v>21</v>
      </c>
      <c r="C932" s="3">
        <v>7</v>
      </c>
      <c r="D932" s="13">
        <f t="shared" si="29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8"/>
        <v>11200</v>
      </c>
    </row>
    <row r="933" spans="1:8" x14ac:dyDescent="0.3">
      <c r="A933" s="13">
        <v>44725</v>
      </c>
      <c r="B933" s="15" t="s">
        <v>21</v>
      </c>
      <c r="C933" s="3">
        <v>8</v>
      </c>
      <c r="D933" s="13">
        <f t="shared" si="29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8"/>
        <v>11200</v>
      </c>
    </row>
    <row r="934" spans="1:8" x14ac:dyDescent="0.3">
      <c r="A934" s="13">
        <v>44726</v>
      </c>
      <c r="B934" s="15" t="s">
        <v>21</v>
      </c>
      <c r="C934" s="3">
        <v>2</v>
      </c>
      <c r="D934" s="13">
        <f t="shared" si="29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8"/>
        <v>14500</v>
      </c>
    </row>
    <row r="935" spans="1:8" x14ac:dyDescent="0.3">
      <c r="A935" s="13">
        <v>44726</v>
      </c>
      <c r="B935" s="15" t="s">
        <v>21</v>
      </c>
      <c r="C935" s="3">
        <v>3</v>
      </c>
      <c r="D935" s="13">
        <f t="shared" si="29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8"/>
        <v>14500</v>
      </c>
    </row>
    <row r="936" spans="1:8" x14ac:dyDescent="0.3">
      <c r="A936" s="13">
        <v>44726</v>
      </c>
      <c r="B936" s="15" t="s">
        <v>21</v>
      </c>
      <c r="C936" s="3">
        <v>6</v>
      </c>
      <c r="D936" s="13">
        <f t="shared" si="29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8"/>
        <v>14500</v>
      </c>
    </row>
    <row r="937" spans="1:8" x14ac:dyDescent="0.3">
      <c r="A937" s="13">
        <v>44726</v>
      </c>
      <c r="B937" s="15" t="s">
        <v>21</v>
      </c>
      <c r="C937" s="3">
        <v>7</v>
      </c>
      <c r="D937" s="13">
        <f t="shared" si="29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8"/>
        <v>14500</v>
      </c>
    </row>
    <row r="938" spans="1:8" x14ac:dyDescent="0.3">
      <c r="A938" s="13">
        <v>44727</v>
      </c>
      <c r="B938" s="15" t="s">
        <v>21</v>
      </c>
      <c r="C938" s="3">
        <v>1</v>
      </c>
      <c r="D938" s="13">
        <f t="shared" si="29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8"/>
        <v>18800</v>
      </c>
    </row>
    <row r="939" spans="1:8" x14ac:dyDescent="0.3">
      <c r="A939" s="13">
        <v>44727</v>
      </c>
      <c r="B939" s="15" t="s">
        <v>21</v>
      </c>
      <c r="C939" s="3">
        <v>2</v>
      </c>
      <c r="D939" s="13">
        <f t="shared" si="29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8"/>
        <v>18800</v>
      </c>
    </row>
    <row r="940" spans="1:8" x14ac:dyDescent="0.3">
      <c r="A940" s="13">
        <v>44727</v>
      </c>
      <c r="B940" s="15" t="s">
        <v>21</v>
      </c>
      <c r="C940" s="3">
        <v>5</v>
      </c>
      <c r="D940" s="13">
        <f t="shared" si="29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8"/>
        <v>18800</v>
      </c>
    </row>
    <row r="941" spans="1:8" x14ac:dyDescent="0.3">
      <c r="A941" s="13">
        <v>44727</v>
      </c>
      <c r="B941" s="15" t="s">
        <v>21</v>
      </c>
      <c r="C941" s="3">
        <v>7</v>
      </c>
      <c r="D941" s="13">
        <f t="shared" si="29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8"/>
        <v>18800</v>
      </c>
    </row>
    <row r="942" spans="1:8" x14ac:dyDescent="0.3">
      <c r="A942" s="13">
        <v>44728</v>
      </c>
      <c r="B942" s="15" t="s">
        <v>21</v>
      </c>
      <c r="C942" s="3">
        <v>6</v>
      </c>
      <c r="D942" s="13">
        <f t="shared" si="29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8"/>
        <v>19600</v>
      </c>
    </row>
    <row r="943" spans="1:8" x14ac:dyDescent="0.3">
      <c r="A943" s="13">
        <v>44728</v>
      </c>
      <c r="B943" s="15" t="s">
        <v>21</v>
      </c>
      <c r="C943" s="3">
        <v>7</v>
      </c>
      <c r="D943" s="13">
        <f t="shared" si="29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8"/>
        <v>19600</v>
      </c>
    </row>
    <row r="944" spans="1:8" x14ac:dyDescent="0.3">
      <c r="A944" s="13">
        <v>44729</v>
      </c>
      <c r="B944" s="15" t="s">
        <v>21</v>
      </c>
      <c r="C944" s="3">
        <v>3</v>
      </c>
      <c r="D944" s="13">
        <f t="shared" si="29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8"/>
        <v>18400</v>
      </c>
    </row>
    <row r="945" spans="1:8" x14ac:dyDescent="0.3">
      <c r="A945" s="13">
        <v>44729</v>
      </c>
      <c r="B945" s="15" t="s">
        <v>21</v>
      </c>
      <c r="C945" s="3">
        <v>5</v>
      </c>
      <c r="D945" s="13">
        <f t="shared" si="29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8"/>
        <v>18400</v>
      </c>
    </row>
    <row r="946" spans="1:8" x14ac:dyDescent="0.3">
      <c r="A946" s="13">
        <v>44729</v>
      </c>
      <c r="B946" s="15" t="s">
        <v>21</v>
      </c>
      <c r="C946" s="3">
        <v>7</v>
      </c>
      <c r="D946" s="13">
        <f t="shared" si="29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8"/>
        <v>18400</v>
      </c>
    </row>
    <row r="947" spans="1:8" x14ac:dyDescent="0.3">
      <c r="A947" s="13">
        <v>44729</v>
      </c>
      <c r="B947" s="15" t="s">
        <v>21</v>
      </c>
      <c r="C947" s="3">
        <v>11</v>
      </c>
      <c r="D947" s="13">
        <f t="shared" si="29"/>
        <v>44740</v>
      </c>
      <c r="E947" s="15">
        <v>400</v>
      </c>
      <c r="F947" s="9">
        <v>9.35E-2</v>
      </c>
      <c r="G947" s="9">
        <v>9.35E-2</v>
      </c>
      <c r="H947" s="15">
        <f t="shared" si="28"/>
        <v>18400</v>
      </c>
    </row>
    <row r="948" spans="1:8" x14ac:dyDescent="0.3">
      <c r="A948" s="13">
        <v>44732</v>
      </c>
      <c r="B948" s="15" t="s">
        <v>21</v>
      </c>
      <c r="C948" s="3">
        <v>2</v>
      </c>
      <c r="D948" s="13">
        <f t="shared" si="29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8"/>
        <v>13500</v>
      </c>
    </row>
    <row r="949" spans="1:8" x14ac:dyDescent="0.3">
      <c r="A949" s="13">
        <v>44732</v>
      </c>
      <c r="B949" s="15" t="s">
        <v>21</v>
      </c>
      <c r="C949" s="3">
        <v>3</v>
      </c>
      <c r="D949" s="13">
        <f t="shared" si="29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8"/>
        <v>13500</v>
      </c>
    </row>
    <row r="950" spans="1:8" x14ac:dyDescent="0.3">
      <c r="A950" s="13">
        <v>44732</v>
      </c>
      <c r="B950" s="15" t="s">
        <v>21</v>
      </c>
      <c r="C950" s="3">
        <v>7</v>
      </c>
      <c r="D950" s="13">
        <f t="shared" si="29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8"/>
        <v>13500</v>
      </c>
    </row>
    <row r="951" spans="1:8" x14ac:dyDescent="0.3">
      <c r="A951" s="13">
        <v>44733</v>
      </c>
      <c r="B951" s="15" t="s">
        <v>21</v>
      </c>
      <c r="C951" s="3">
        <v>1</v>
      </c>
      <c r="D951" s="13">
        <f t="shared" si="29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8"/>
        <v>14100</v>
      </c>
    </row>
    <row r="952" spans="1:8" x14ac:dyDescent="0.3">
      <c r="A952" s="13">
        <v>44733</v>
      </c>
      <c r="B952" s="15" t="s">
        <v>21</v>
      </c>
      <c r="C952" s="3">
        <v>2</v>
      </c>
      <c r="D952" s="13">
        <f t="shared" si="29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8"/>
        <v>14100</v>
      </c>
    </row>
    <row r="953" spans="1:8" x14ac:dyDescent="0.3">
      <c r="A953" s="13">
        <v>44733</v>
      </c>
      <c r="B953" s="15" t="s">
        <v>21</v>
      </c>
      <c r="C953" s="3">
        <v>3</v>
      </c>
      <c r="D953" s="13">
        <f t="shared" si="29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8"/>
        <v>14100</v>
      </c>
    </row>
    <row r="954" spans="1:8" x14ac:dyDescent="0.3">
      <c r="A954" s="13">
        <v>44733</v>
      </c>
      <c r="B954" s="15" t="s">
        <v>21</v>
      </c>
      <c r="C954" s="3">
        <v>7</v>
      </c>
      <c r="D954" s="13">
        <f t="shared" si="29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8"/>
        <v>14100</v>
      </c>
    </row>
    <row r="955" spans="1:8" x14ac:dyDescent="0.3">
      <c r="A955" s="13">
        <v>44734</v>
      </c>
      <c r="B955" s="15" t="s">
        <v>21</v>
      </c>
      <c r="C955" s="3">
        <v>7</v>
      </c>
      <c r="D955" s="13">
        <f t="shared" si="29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8"/>
        <v>10800</v>
      </c>
    </row>
    <row r="956" spans="1:8" x14ac:dyDescent="0.3">
      <c r="A956" s="13">
        <v>44735</v>
      </c>
      <c r="B956" s="15" t="s">
        <v>21</v>
      </c>
      <c r="C956" s="3">
        <v>1</v>
      </c>
      <c r="D956" s="13">
        <f t="shared" si="29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8"/>
        <v>10600</v>
      </c>
    </row>
    <row r="957" spans="1:8" x14ac:dyDescent="0.3">
      <c r="A957" s="13">
        <v>44735</v>
      </c>
      <c r="B957" s="15" t="s">
        <v>21</v>
      </c>
      <c r="C957" s="3">
        <v>4</v>
      </c>
      <c r="D957" s="13">
        <f t="shared" si="29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8"/>
        <v>10600</v>
      </c>
    </row>
    <row r="958" spans="1:8" x14ac:dyDescent="0.3">
      <c r="A958" s="13">
        <v>44735</v>
      </c>
      <c r="B958" s="15" t="s">
        <v>21</v>
      </c>
      <c r="C958" s="3">
        <v>5</v>
      </c>
      <c r="D958" s="13">
        <f t="shared" si="29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8"/>
        <v>10600</v>
      </c>
    </row>
    <row r="959" spans="1:8" x14ac:dyDescent="0.3">
      <c r="A959" s="13">
        <v>44735</v>
      </c>
      <c r="B959" s="15" t="s">
        <v>21</v>
      </c>
      <c r="C959" s="3">
        <v>7</v>
      </c>
      <c r="D959" s="13">
        <f t="shared" si="29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8"/>
        <v>10600</v>
      </c>
    </row>
    <row r="960" spans="1:8" x14ac:dyDescent="0.3">
      <c r="A960" s="13">
        <v>44736</v>
      </c>
      <c r="B960" s="15" t="s">
        <v>21</v>
      </c>
      <c r="C960" s="3">
        <v>3</v>
      </c>
      <c r="D960" s="13">
        <f t="shared" si="29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8"/>
        <v>13000</v>
      </c>
    </row>
    <row r="961" spans="1:8" x14ac:dyDescent="0.3">
      <c r="A961" s="13">
        <v>44736</v>
      </c>
      <c r="B961" s="15" t="s">
        <v>21</v>
      </c>
      <c r="C961" s="3">
        <v>4</v>
      </c>
      <c r="D961" s="13">
        <f t="shared" si="29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8"/>
        <v>13000</v>
      </c>
    </row>
    <row r="962" spans="1:8" x14ac:dyDescent="0.3">
      <c r="A962" s="13">
        <v>44736</v>
      </c>
      <c r="B962" s="15" t="s">
        <v>21</v>
      </c>
      <c r="C962" s="3">
        <v>5</v>
      </c>
      <c r="D962" s="13">
        <f t="shared" si="29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8"/>
        <v>13000</v>
      </c>
    </row>
    <row r="963" spans="1:8" x14ac:dyDescent="0.3">
      <c r="A963" s="13">
        <v>44736</v>
      </c>
      <c r="B963" s="15" t="s">
        <v>21</v>
      </c>
      <c r="C963" s="3">
        <v>7</v>
      </c>
      <c r="D963" s="13">
        <f t="shared" si="29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8"/>
        <v>13000</v>
      </c>
    </row>
    <row r="964" spans="1:8" x14ac:dyDescent="0.3">
      <c r="A964" s="13">
        <v>44739</v>
      </c>
      <c r="B964" s="15" t="s">
        <v>21</v>
      </c>
      <c r="C964" s="3">
        <v>2</v>
      </c>
      <c r="D964" s="13">
        <f t="shared" si="29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8"/>
        <v>14900</v>
      </c>
    </row>
    <row r="965" spans="1:8" x14ac:dyDescent="0.3">
      <c r="A965" s="13">
        <v>44739</v>
      </c>
      <c r="B965" s="15" t="s">
        <v>21</v>
      </c>
      <c r="C965" s="3">
        <v>3</v>
      </c>
      <c r="D965" s="13">
        <f t="shared" si="29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8"/>
        <v>14900</v>
      </c>
    </row>
    <row r="966" spans="1:8" x14ac:dyDescent="0.3">
      <c r="A966" s="13">
        <v>44739</v>
      </c>
      <c r="B966" s="15" t="s">
        <v>21</v>
      </c>
      <c r="C966" s="3">
        <v>4</v>
      </c>
      <c r="D966" s="13">
        <f t="shared" si="29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8"/>
        <v>14900</v>
      </c>
    </row>
    <row r="967" spans="1:8" x14ac:dyDescent="0.3">
      <c r="A967" s="13">
        <v>44740</v>
      </c>
      <c r="B967" s="15" t="s">
        <v>21</v>
      </c>
      <c r="C967" s="3">
        <v>1</v>
      </c>
      <c r="D967" s="13">
        <f t="shared" si="29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8"/>
        <v>14300</v>
      </c>
    </row>
    <row r="968" spans="1:8" x14ac:dyDescent="0.3">
      <c r="A968" s="13">
        <v>44740</v>
      </c>
      <c r="B968" s="15" t="s">
        <v>21</v>
      </c>
      <c r="C968" s="3">
        <v>2</v>
      </c>
      <c r="D968" s="13">
        <f t="shared" si="29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8"/>
        <v>14300</v>
      </c>
    </row>
    <row r="969" spans="1:8" x14ac:dyDescent="0.3">
      <c r="A969" s="13">
        <v>44740</v>
      </c>
      <c r="B969" s="15" t="s">
        <v>21</v>
      </c>
      <c r="C969" s="3">
        <v>3</v>
      </c>
      <c r="D969" s="13">
        <f t="shared" si="29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8"/>
        <v>14300</v>
      </c>
    </row>
    <row r="970" spans="1:8" x14ac:dyDescent="0.3">
      <c r="A970" s="13">
        <v>44741</v>
      </c>
      <c r="B970" s="15" t="s">
        <v>21</v>
      </c>
      <c r="C970" s="3">
        <v>2</v>
      </c>
      <c r="D970" s="13">
        <f t="shared" si="29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30">+SUMIFS($E$10:$E$4506,$A$10:$A$4506,"&lt;="&amp;A970,$D$10:$D$4506,"&gt;"&amp;A970)</f>
        <v>13500</v>
      </c>
    </row>
    <row r="971" spans="1:8" x14ac:dyDescent="0.3">
      <c r="A971" s="13">
        <v>44742</v>
      </c>
      <c r="B971" s="15" t="s">
        <v>21</v>
      </c>
      <c r="C971" s="3">
        <v>1</v>
      </c>
      <c r="D971" s="13">
        <f t="shared" si="29"/>
        <v>44743</v>
      </c>
      <c r="E971" s="15">
        <v>1400</v>
      </c>
      <c r="F971" s="9">
        <v>0.09</v>
      </c>
      <c r="G971" s="9">
        <v>0.09</v>
      </c>
      <c r="H971" s="15">
        <f t="shared" si="30"/>
        <v>13200</v>
      </c>
    </row>
    <row r="972" spans="1:8" x14ac:dyDescent="0.3">
      <c r="A972" s="13">
        <v>44742</v>
      </c>
      <c r="B972" s="15" t="s">
        <v>21</v>
      </c>
      <c r="C972" s="3">
        <v>4</v>
      </c>
      <c r="D972" s="13">
        <f t="shared" si="29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30"/>
        <v>13200</v>
      </c>
    </row>
    <row r="973" spans="1:8" x14ac:dyDescent="0.3">
      <c r="A973" s="13">
        <v>44746</v>
      </c>
      <c r="B973" s="15" t="s">
        <v>21</v>
      </c>
      <c r="C973" s="3">
        <v>2</v>
      </c>
      <c r="D973" s="13">
        <f t="shared" si="29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30"/>
        <v>1900</v>
      </c>
    </row>
    <row r="974" spans="1:8" x14ac:dyDescent="0.3">
      <c r="A974" s="13">
        <v>44746</v>
      </c>
      <c r="B974" s="15" t="s">
        <v>21</v>
      </c>
      <c r="C974" s="3">
        <v>7</v>
      </c>
      <c r="D974" s="13">
        <f t="shared" si="29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30"/>
        <v>1900</v>
      </c>
    </row>
    <row r="975" spans="1:8" x14ac:dyDescent="0.3">
      <c r="A975" s="13">
        <v>44747</v>
      </c>
      <c r="B975" s="15" t="s">
        <v>21</v>
      </c>
      <c r="C975" s="3">
        <v>2</v>
      </c>
      <c r="D975" s="13">
        <f t="shared" si="29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30"/>
        <v>2800</v>
      </c>
    </row>
    <row r="976" spans="1:8" x14ac:dyDescent="0.3">
      <c r="A976" s="13">
        <v>44747</v>
      </c>
      <c r="B976" s="15" t="s">
        <v>21</v>
      </c>
      <c r="C976" s="3">
        <v>7</v>
      </c>
      <c r="D976" s="13">
        <f t="shared" si="29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30"/>
        <v>2800</v>
      </c>
    </row>
    <row r="977" spans="1:8" x14ac:dyDescent="0.3">
      <c r="A977" s="13">
        <v>44749</v>
      </c>
      <c r="B977" s="15" t="s">
        <v>21</v>
      </c>
      <c r="C977" s="3">
        <v>1</v>
      </c>
      <c r="D977" s="13">
        <f t="shared" ref="D977:D1077" si="31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30"/>
        <v>9900</v>
      </c>
    </row>
    <row r="978" spans="1:8" x14ac:dyDescent="0.3">
      <c r="A978" s="13">
        <v>44749</v>
      </c>
      <c r="B978" s="15" t="s">
        <v>21</v>
      </c>
      <c r="C978" s="3">
        <v>4</v>
      </c>
      <c r="D978" s="13">
        <f t="shared" si="31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30"/>
        <v>9900</v>
      </c>
    </row>
    <row r="979" spans="1:8" x14ac:dyDescent="0.3">
      <c r="A979" s="13">
        <v>44749</v>
      </c>
      <c r="B979" s="15" t="s">
        <v>21</v>
      </c>
      <c r="C979" s="3">
        <v>7</v>
      </c>
      <c r="D979" s="13">
        <f t="shared" si="31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30"/>
        <v>9900</v>
      </c>
    </row>
    <row r="980" spans="1:8" x14ac:dyDescent="0.3">
      <c r="A980" s="13">
        <v>44749</v>
      </c>
      <c r="B980" s="15" t="s">
        <v>21</v>
      </c>
      <c r="C980" s="3">
        <v>8</v>
      </c>
      <c r="D980" s="13">
        <f t="shared" si="31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30"/>
        <v>9900</v>
      </c>
    </row>
    <row r="981" spans="1:8" x14ac:dyDescent="0.3">
      <c r="A981" s="13">
        <v>44750</v>
      </c>
      <c r="B981" s="15" t="s">
        <v>21</v>
      </c>
      <c r="C981" s="3">
        <v>3</v>
      </c>
      <c r="D981" s="13">
        <f t="shared" si="31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30"/>
        <v>17100</v>
      </c>
    </row>
    <row r="982" spans="1:8" x14ac:dyDescent="0.3">
      <c r="A982" s="13">
        <v>44750</v>
      </c>
      <c r="B982" s="15" t="s">
        <v>21</v>
      </c>
      <c r="C982" s="3">
        <v>4</v>
      </c>
      <c r="D982" s="13">
        <f t="shared" si="31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30"/>
        <v>17100</v>
      </c>
    </row>
    <row r="983" spans="1:8" x14ac:dyDescent="0.3">
      <c r="A983" s="13">
        <v>44750</v>
      </c>
      <c r="B983" s="15" t="s">
        <v>21</v>
      </c>
      <c r="C983" s="3">
        <v>5</v>
      </c>
      <c r="D983" s="13">
        <f t="shared" si="31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30"/>
        <v>17100</v>
      </c>
    </row>
    <row r="984" spans="1:8" x14ac:dyDescent="0.3">
      <c r="A984" s="13">
        <v>44750</v>
      </c>
      <c r="B984" s="15" t="s">
        <v>21</v>
      </c>
      <c r="C984" s="3">
        <v>7</v>
      </c>
      <c r="D984" s="13">
        <f t="shared" si="31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30"/>
        <v>17100</v>
      </c>
    </row>
    <row r="985" spans="1:8" x14ac:dyDescent="0.3">
      <c r="A985" s="13">
        <v>44750</v>
      </c>
      <c r="B985" s="15" t="s">
        <v>21</v>
      </c>
      <c r="C985" s="3">
        <v>11</v>
      </c>
      <c r="D985" s="13">
        <f t="shared" si="31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30"/>
        <v>17100</v>
      </c>
    </row>
    <row r="986" spans="1:8" x14ac:dyDescent="0.3">
      <c r="A986" s="13">
        <v>44753</v>
      </c>
      <c r="B986" s="15" t="s">
        <v>21</v>
      </c>
      <c r="C986" s="3">
        <v>2</v>
      </c>
      <c r="D986" s="13">
        <f t="shared" si="31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30"/>
        <v>17000</v>
      </c>
    </row>
    <row r="987" spans="1:8" x14ac:dyDescent="0.3">
      <c r="A987" s="13">
        <v>44753</v>
      </c>
      <c r="B987" s="15" t="s">
        <v>21</v>
      </c>
      <c r="C987" s="3">
        <v>3</v>
      </c>
      <c r="D987" s="13">
        <f t="shared" si="31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30"/>
        <v>17000</v>
      </c>
    </row>
    <row r="988" spans="1:8" x14ac:dyDescent="0.3">
      <c r="A988" s="13">
        <v>44753</v>
      </c>
      <c r="B988" s="15" t="s">
        <v>21</v>
      </c>
      <c r="C988" s="3">
        <v>8</v>
      </c>
      <c r="D988" s="13">
        <f t="shared" si="31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30"/>
        <v>17000</v>
      </c>
    </row>
    <row r="989" spans="1:8" x14ac:dyDescent="0.3">
      <c r="A989" s="13">
        <v>44754</v>
      </c>
      <c r="B989" s="15" t="s">
        <v>21</v>
      </c>
      <c r="C989" s="3">
        <v>1</v>
      </c>
      <c r="D989" s="13">
        <f t="shared" si="31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30"/>
        <v>17200</v>
      </c>
    </row>
    <row r="990" spans="1:8" x14ac:dyDescent="0.3">
      <c r="A990" s="13">
        <v>44754</v>
      </c>
      <c r="B990" s="15" t="s">
        <v>21</v>
      </c>
      <c r="C990" s="3">
        <v>2</v>
      </c>
      <c r="D990" s="13">
        <f t="shared" si="31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30"/>
        <v>17200</v>
      </c>
    </row>
    <row r="991" spans="1:8" x14ac:dyDescent="0.3">
      <c r="A991" s="13">
        <v>44754</v>
      </c>
      <c r="B991" s="15" t="s">
        <v>21</v>
      </c>
      <c r="C991" s="3">
        <v>3</v>
      </c>
      <c r="D991" s="13">
        <f t="shared" si="31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30"/>
        <v>17200</v>
      </c>
    </row>
    <row r="992" spans="1:8" x14ac:dyDescent="0.3">
      <c r="A992" s="13">
        <v>44754</v>
      </c>
      <c r="B992" s="15" t="s">
        <v>21</v>
      </c>
      <c r="C992" s="3">
        <v>7</v>
      </c>
      <c r="D992" s="13">
        <f t="shared" si="31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30"/>
        <v>17200</v>
      </c>
    </row>
    <row r="993" spans="1:8" x14ac:dyDescent="0.3">
      <c r="A993" s="13">
        <v>44755</v>
      </c>
      <c r="B993" s="15" t="s">
        <v>21</v>
      </c>
      <c r="C993" s="3">
        <v>6</v>
      </c>
      <c r="D993" s="13">
        <f t="shared" si="31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30"/>
        <v>14900</v>
      </c>
    </row>
    <row r="994" spans="1:8" x14ac:dyDescent="0.3">
      <c r="A994" s="13">
        <v>44755</v>
      </c>
      <c r="B994" s="15" t="s">
        <v>21</v>
      </c>
      <c r="C994" s="3">
        <v>7</v>
      </c>
      <c r="D994" s="13">
        <f t="shared" si="31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30"/>
        <v>14900</v>
      </c>
    </row>
    <row r="995" spans="1:8" x14ac:dyDescent="0.3">
      <c r="A995" s="13">
        <v>44756</v>
      </c>
      <c r="B995" s="15" t="s">
        <v>21</v>
      </c>
      <c r="C995" s="3">
        <v>5</v>
      </c>
      <c r="D995" s="13">
        <f t="shared" si="31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30"/>
        <v>14700</v>
      </c>
    </row>
    <row r="996" spans="1:8" x14ac:dyDescent="0.3">
      <c r="A996" s="13">
        <v>44756</v>
      </c>
      <c r="B996" s="15" t="s">
        <v>21</v>
      </c>
      <c r="C996" s="3">
        <v>6</v>
      </c>
      <c r="D996" s="13">
        <f t="shared" si="31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30"/>
        <v>14700</v>
      </c>
    </row>
    <row r="997" spans="1:8" x14ac:dyDescent="0.3">
      <c r="A997" s="13">
        <v>44756</v>
      </c>
      <c r="B997" s="15" t="s">
        <v>21</v>
      </c>
      <c r="C997" s="3">
        <v>7</v>
      </c>
      <c r="D997" s="13">
        <f t="shared" si="31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30"/>
        <v>14700</v>
      </c>
    </row>
    <row r="998" spans="1:8" x14ac:dyDescent="0.3">
      <c r="A998" s="13">
        <v>44757</v>
      </c>
      <c r="B998" s="15" t="s">
        <v>21</v>
      </c>
      <c r="C998" s="3">
        <v>4</v>
      </c>
      <c r="D998" s="13">
        <f t="shared" si="31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30"/>
        <v>18800</v>
      </c>
    </row>
    <row r="999" spans="1:8" x14ac:dyDescent="0.3">
      <c r="A999" s="13">
        <v>44757</v>
      </c>
      <c r="B999" s="15" t="s">
        <v>21</v>
      </c>
      <c r="C999" s="3">
        <v>5</v>
      </c>
      <c r="D999" s="13">
        <f t="shared" si="31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30"/>
        <v>18800</v>
      </c>
    </row>
    <row r="1000" spans="1:8" x14ac:dyDescent="0.3">
      <c r="A1000" s="13">
        <v>44757</v>
      </c>
      <c r="B1000" s="15" t="s">
        <v>21</v>
      </c>
      <c r="C1000" s="3">
        <v>6</v>
      </c>
      <c r="D1000" s="13">
        <f t="shared" si="31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30"/>
        <v>18800</v>
      </c>
    </row>
    <row r="1001" spans="1:8" x14ac:dyDescent="0.3">
      <c r="A1001" s="13">
        <v>44757</v>
      </c>
      <c r="B1001" s="15" t="s">
        <v>21</v>
      </c>
      <c r="C1001" s="3">
        <v>7</v>
      </c>
      <c r="D1001" s="13">
        <f t="shared" si="31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30"/>
        <v>18800</v>
      </c>
    </row>
    <row r="1002" spans="1:8" x14ac:dyDescent="0.3">
      <c r="A1002" s="13">
        <v>44757</v>
      </c>
      <c r="B1002" s="15" t="s">
        <v>21</v>
      </c>
      <c r="C1002" s="3">
        <v>14</v>
      </c>
      <c r="D1002" s="13">
        <f t="shared" si="31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30"/>
        <v>18800</v>
      </c>
    </row>
    <row r="1003" spans="1:8" x14ac:dyDescent="0.3">
      <c r="A1003" s="13">
        <v>44761</v>
      </c>
      <c r="B1003" s="15" t="s">
        <v>21</v>
      </c>
      <c r="C1003" s="3">
        <v>2</v>
      </c>
      <c r="D1003" s="13">
        <f t="shared" si="31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30"/>
        <v>17200</v>
      </c>
    </row>
    <row r="1004" spans="1:8" x14ac:dyDescent="0.3">
      <c r="A1004" s="13">
        <v>44761</v>
      </c>
      <c r="B1004" s="15" t="s">
        <v>21</v>
      </c>
      <c r="C1004" s="3">
        <v>3</v>
      </c>
      <c r="D1004" s="13">
        <f t="shared" si="31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30"/>
        <v>17200</v>
      </c>
    </row>
    <row r="1005" spans="1:8" x14ac:dyDescent="0.3">
      <c r="A1005" s="13">
        <v>44761</v>
      </c>
      <c r="B1005" s="15" t="s">
        <v>21</v>
      </c>
      <c r="C1005" s="3">
        <v>6</v>
      </c>
      <c r="D1005" s="13">
        <f t="shared" si="31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30"/>
        <v>17200</v>
      </c>
    </row>
    <row r="1006" spans="1:8" x14ac:dyDescent="0.3">
      <c r="A1006" s="13">
        <v>44762</v>
      </c>
      <c r="B1006" s="15" t="s">
        <v>21</v>
      </c>
      <c r="C1006" s="3">
        <v>2</v>
      </c>
      <c r="D1006" s="13">
        <f t="shared" si="31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30"/>
        <v>17250</v>
      </c>
    </row>
    <row r="1007" spans="1:8" x14ac:dyDescent="0.3">
      <c r="A1007" s="13">
        <v>44762</v>
      </c>
      <c r="B1007" s="15" t="s">
        <v>21</v>
      </c>
      <c r="C1007" s="3">
        <v>5</v>
      </c>
      <c r="D1007" s="13">
        <f t="shared" si="31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30"/>
        <v>17250</v>
      </c>
    </row>
    <row r="1008" spans="1:8" x14ac:dyDescent="0.3">
      <c r="A1008" s="13">
        <v>44762</v>
      </c>
      <c r="B1008" s="15" t="s">
        <v>21</v>
      </c>
      <c r="C1008" s="3">
        <v>7</v>
      </c>
      <c r="D1008" s="13">
        <f t="shared" si="31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30"/>
        <v>17250</v>
      </c>
    </row>
    <row r="1009" spans="1:8" x14ac:dyDescent="0.3">
      <c r="A1009" s="13">
        <v>44763</v>
      </c>
      <c r="B1009" s="15" t="s">
        <v>21</v>
      </c>
      <c r="C1009" s="3">
        <v>4</v>
      </c>
      <c r="D1009" s="13">
        <f t="shared" si="31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30"/>
        <v>16550</v>
      </c>
    </row>
    <row r="1010" spans="1:8" x14ac:dyDescent="0.3">
      <c r="A1010" s="13">
        <v>44763</v>
      </c>
      <c r="B1010" s="15" t="s">
        <v>21</v>
      </c>
      <c r="C1010" s="3">
        <v>5</v>
      </c>
      <c r="D1010" s="13">
        <f t="shared" si="31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30"/>
        <v>16550</v>
      </c>
    </row>
    <row r="1011" spans="1:8" x14ac:dyDescent="0.3">
      <c r="A1011" s="13">
        <v>44763</v>
      </c>
      <c r="B1011" s="15" t="s">
        <v>21</v>
      </c>
      <c r="C1011" s="3">
        <v>7</v>
      </c>
      <c r="D1011" s="13">
        <f t="shared" si="31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30"/>
        <v>16550</v>
      </c>
    </row>
    <row r="1012" spans="1:8" x14ac:dyDescent="0.3">
      <c r="A1012" s="13">
        <v>44764</v>
      </c>
      <c r="B1012" s="15" t="s">
        <v>21</v>
      </c>
      <c r="C1012" s="3">
        <v>4</v>
      </c>
      <c r="D1012" s="13">
        <f t="shared" si="31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30"/>
        <v>17350</v>
      </c>
    </row>
    <row r="1013" spans="1:8" x14ac:dyDescent="0.3">
      <c r="A1013" s="13">
        <v>44764</v>
      </c>
      <c r="B1013" s="15" t="s">
        <v>21</v>
      </c>
      <c r="C1013" s="3">
        <v>5</v>
      </c>
      <c r="D1013" s="13">
        <f t="shared" si="31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30"/>
        <v>17350</v>
      </c>
    </row>
    <row r="1014" spans="1:8" x14ac:dyDescent="0.3">
      <c r="A1014" s="13">
        <v>44764</v>
      </c>
      <c r="B1014" s="15" t="s">
        <v>21</v>
      </c>
      <c r="C1014" s="3">
        <v>6</v>
      </c>
      <c r="D1014" s="13">
        <f t="shared" si="31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30"/>
        <v>17350</v>
      </c>
    </row>
    <row r="1015" spans="1:8" x14ac:dyDescent="0.3">
      <c r="A1015" s="13">
        <v>44764</v>
      </c>
      <c r="B1015" s="15" t="s">
        <v>21</v>
      </c>
      <c r="C1015" s="3">
        <v>7</v>
      </c>
      <c r="D1015" s="13">
        <f t="shared" si="31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30"/>
        <v>17350</v>
      </c>
    </row>
    <row r="1016" spans="1:8" x14ac:dyDescent="0.3">
      <c r="A1016" s="13">
        <v>44767</v>
      </c>
      <c r="B1016" s="15" t="s">
        <v>21</v>
      </c>
      <c r="C1016" s="3">
        <v>1</v>
      </c>
      <c r="D1016" s="13">
        <f t="shared" si="31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30"/>
        <v>16650</v>
      </c>
    </row>
    <row r="1017" spans="1:8" x14ac:dyDescent="0.3">
      <c r="A1017" s="13">
        <v>44767</v>
      </c>
      <c r="B1017" s="15" t="s">
        <v>21</v>
      </c>
      <c r="C1017" s="3">
        <v>2</v>
      </c>
      <c r="D1017" s="13">
        <f t="shared" si="31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30"/>
        <v>16650</v>
      </c>
    </row>
    <row r="1018" spans="1:8" x14ac:dyDescent="0.3">
      <c r="A1018" s="13">
        <v>44767</v>
      </c>
      <c r="B1018" s="15" t="s">
        <v>21</v>
      </c>
      <c r="C1018" s="3">
        <v>7</v>
      </c>
      <c r="D1018" s="13">
        <f t="shared" si="31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30"/>
        <v>16650</v>
      </c>
    </row>
    <row r="1019" spans="1:8" x14ac:dyDescent="0.3">
      <c r="A1019" s="13">
        <v>44769</v>
      </c>
      <c r="B1019" s="15" t="s">
        <v>21</v>
      </c>
      <c r="C1019" s="3">
        <v>5</v>
      </c>
      <c r="D1019" s="13">
        <f t="shared" si="31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30"/>
        <v>5300</v>
      </c>
    </row>
    <row r="1020" spans="1:8" x14ac:dyDescent="0.3">
      <c r="A1020" s="13">
        <v>44770</v>
      </c>
      <c r="B1020" s="15" t="s">
        <v>21</v>
      </c>
      <c r="C1020" s="3">
        <v>1</v>
      </c>
      <c r="D1020" s="13">
        <f t="shared" si="31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30"/>
        <v>3300</v>
      </c>
    </row>
    <row r="1021" spans="1:8" x14ac:dyDescent="0.3">
      <c r="A1021" s="13">
        <v>44771</v>
      </c>
      <c r="B1021" s="15" t="s">
        <v>21</v>
      </c>
      <c r="C1021" s="3">
        <v>3</v>
      </c>
      <c r="D1021" s="13">
        <f t="shared" si="31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30"/>
        <v>5300</v>
      </c>
    </row>
    <row r="1022" spans="1:8" x14ac:dyDescent="0.3">
      <c r="A1022" s="13">
        <v>44771</v>
      </c>
      <c r="B1022" s="15" t="s">
        <v>21</v>
      </c>
      <c r="C1022" s="3">
        <v>4</v>
      </c>
      <c r="D1022" s="13">
        <f t="shared" si="31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30"/>
        <v>5300</v>
      </c>
    </row>
    <row r="1023" spans="1:8" x14ac:dyDescent="0.3">
      <c r="A1023" s="13">
        <v>44774</v>
      </c>
      <c r="B1023" s="15" t="s">
        <v>21</v>
      </c>
      <c r="C1023" s="3">
        <v>1</v>
      </c>
      <c r="D1023" s="13">
        <f t="shared" si="31"/>
        <v>44775</v>
      </c>
      <c r="E1023" s="15">
        <v>-2000</v>
      </c>
      <c r="F1023" s="9">
        <v>9.9500000000000005E-2</v>
      </c>
      <c r="G1023" s="9">
        <v>0.1</v>
      </c>
      <c r="H1023" s="15">
        <f t="shared" si="30"/>
        <v>-1800</v>
      </c>
    </row>
    <row r="1024" spans="1:8" x14ac:dyDescent="0.3">
      <c r="A1024" s="13">
        <v>44774</v>
      </c>
      <c r="B1024" s="15" t="s">
        <v>21</v>
      </c>
      <c r="C1024" s="3">
        <v>2</v>
      </c>
      <c r="D1024" s="13">
        <f t="shared" si="31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30"/>
        <v>-1800</v>
      </c>
    </row>
    <row r="1025" spans="1:8" x14ac:dyDescent="0.3">
      <c r="A1025" s="13">
        <v>44775</v>
      </c>
      <c r="B1025" s="15" t="s">
        <v>21</v>
      </c>
      <c r="C1025" s="3">
        <v>1</v>
      </c>
      <c r="D1025" s="13">
        <f t="shared" si="31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30"/>
        <v>-2900</v>
      </c>
    </row>
    <row r="1026" spans="1:8" x14ac:dyDescent="0.3">
      <c r="A1026" s="13">
        <v>44776</v>
      </c>
      <c r="B1026" s="15" t="s">
        <v>21</v>
      </c>
      <c r="C1026" s="3">
        <v>1</v>
      </c>
      <c r="D1026" s="13">
        <f t="shared" si="31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30"/>
        <v>-550</v>
      </c>
    </row>
    <row r="1027" spans="1:8" x14ac:dyDescent="0.3">
      <c r="A1027" s="13">
        <v>44777</v>
      </c>
      <c r="B1027" s="15" t="s">
        <v>21</v>
      </c>
      <c r="C1027" s="3">
        <v>1</v>
      </c>
      <c r="D1027" s="13">
        <f t="shared" si="31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30"/>
        <v>-1200</v>
      </c>
    </row>
    <row r="1028" spans="1:8" x14ac:dyDescent="0.3">
      <c r="A1028" s="13">
        <v>44778</v>
      </c>
      <c r="B1028" s="15" t="s">
        <v>21</v>
      </c>
      <c r="C1028" s="3">
        <v>3</v>
      </c>
      <c r="D1028" s="13">
        <f t="shared" si="31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30"/>
        <v>-1000</v>
      </c>
    </row>
    <row r="1029" spans="1:8" x14ac:dyDescent="0.3">
      <c r="A1029" s="13">
        <v>44781</v>
      </c>
      <c r="B1029" s="15" t="s">
        <v>21</v>
      </c>
      <c r="C1029" s="3">
        <v>1</v>
      </c>
      <c r="D1029" s="13">
        <f t="shared" si="31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30"/>
        <v>-600</v>
      </c>
    </row>
    <row r="1030" spans="1:8" x14ac:dyDescent="0.3">
      <c r="A1030" s="13">
        <v>44781</v>
      </c>
      <c r="B1030" s="15" t="s">
        <v>21</v>
      </c>
      <c r="C1030" s="3">
        <v>3</v>
      </c>
      <c r="D1030" s="13">
        <f t="shared" si="31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30"/>
        <v>-600</v>
      </c>
    </row>
    <row r="1031" spans="1:8" x14ac:dyDescent="0.3">
      <c r="A1031" s="13">
        <v>44784</v>
      </c>
      <c r="B1031" s="15" t="s">
        <v>21</v>
      </c>
      <c r="C1031" s="3">
        <v>1</v>
      </c>
      <c r="D1031" s="13">
        <f t="shared" si="31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30"/>
        <v>-200</v>
      </c>
    </row>
    <row r="1032" spans="1:8" x14ac:dyDescent="0.3">
      <c r="A1032" s="13">
        <v>44784</v>
      </c>
      <c r="B1032" s="15" t="s">
        <v>21</v>
      </c>
      <c r="C1032" s="3">
        <v>4</v>
      </c>
      <c r="D1032" s="13">
        <f t="shared" si="31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30"/>
        <v>-200</v>
      </c>
    </row>
    <row r="1033" spans="1:8" x14ac:dyDescent="0.3">
      <c r="A1033" s="13">
        <v>44784</v>
      </c>
      <c r="B1033" s="15" t="s">
        <v>21</v>
      </c>
      <c r="C1033" s="3">
        <v>5</v>
      </c>
      <c r="D1033" s="13">
        <f t="shared" si="31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30"/>
        <v>-200</v>
      </c>
    </row>
    <row r="1034" spans="1:8" x14ac:dyDescent="0.3">
      <c r="A1034" s="13">
        <v>44785</v>
      </c>
      <c r="B1034" s="15" t="s">
        <v>21</v>
      </c>
      <c r="C1034" s="3">
        <v>3</v>
      </c>
      <c r="D1034" s="13">
        <f t="shared" si="31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2">+SUMIFS($E$10:$E$4506,$A$10:$A$4506,"&lt;="&amp;A1034,$D$10:$D$4506,"&gt;"&amp;A1034)</f>
        <v>4000</v>
      </c>
    </row>
    <row r="1035" spans="1:8" x14ac:dyDescent="0.3">
      <c r="A1035" s="13">
        <v>44785</v>
      </c>
      <c r="B1035" s="15" t="s">
        <v>21</v>
      </c>
      <c r="C1035" s="3">
        <v>4</v>
      </c>
      <c r="D1035" s="13">
        <f t="shared" si="31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2"/>
        <v>4000</v>
      </c>
    </row>
    <row r="1036" spans="1:8" x14ac:dyDescent="0.3">
      <c r="A1036" s="13">
        <v>44788</v>
      </c>
      <c r="B1036" s="15" t="s">
        <v>21</v>
      </c>
      <c r="C1036" s="3">
        <v>1</v>
      </c>
      <c r="D1036" s="13">
        <f t="shared" si="31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2"/>
        <v>3700</v>
      </c>
    </row>
    <row r="1037" spans="1:8" x14ac:dyDescent="0.3">
      <c r="A1037" s="13">
        <v>44788</v>
      </c>
      <c r="B1037" s="15" t="s">
        <v>21</v>
      </c>
      <c r="C1037" s="3">
        <v>2</v>
      </c>
      <c r="D1037" s="13">
        <f t="shared" si="31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2"/>
        <v>3700</v>
      </c>
    </row>
    <row r="1038" spans="1:8" x14ac:dyDescent="0.3">
      <c r="A1038" s="13">
        <v>44789</v>
      </c>
      <c r="B1038" s="15" t="s">
        <v>21</v>
      </c>
      <c r="C1038" s="3">
        <v>2</v>
      </c>
      <c r="D1038" s="13">
        <f t="shared" si="31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2"/>
        <v>12300</v>
      </c>
    </row>
    <row r="1039" spans="1:8" x14ac:dyDescent="0.3">
      <c r="A1039" s="13">
        <v>44789</v>
      </c>
      <c r="B1039" s="15" t="s">
        <v>21</v>
      </c>
      <c r="C1039" s="3">
        <v>3</v>
      </c>
      <c r="D1039" s="13">
        <f t="shared" si="31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2"/>
        <v>12300</v>
      </c>
    </row>
    <row r="1040" spans="1:8" x14ac:dyDescent="0.3">
      <c r="A1040" s="13">
        <v>44789</v>
      </c>
      <c r="B1040" s="15" t="s">
        <v>21</v>
      </c>
      <c r="C1040" s="3">
        <v>6</v>
      </c>
      <c r="D1040" s="13">
        <f t="shared" si="31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2"/>
        <v>12300</v>
      </c>
    </row>
    <row r="1041" spans="1:8" x14ac:dyDescent="0.3">
      <c r="A1041" s="13">
        <v>44790</v>
      </c>
      <c r="B1041" s="15" t="s">
        <v>21</v>
      </c>
      <c r="C1041" s="3">
        <v>2</v>
      </c>
      <c r="D1041" s="13">
        <f t="shared" si="31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2"/>
        <v>14600</v>
      </c>
    </row>
    <row r="1042" spans="1:8" x14ac:dyDescent="0.3">
      <c r="A1042" s="13">
        <v>44790</v>
      </c>
      <c r="B1042" s="15" t="s">
        <v>21</v>
      </c>
      <c r="C1042" s="3">
        <v>5</v>
      </c>
      <c r="D1042" s="13">
        <f t="shared" si="31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2"/>
        <v>14600</v>
      </c>
    </row>
    <row r="1043" spans="1:8" x14ac:dyDescent="0.3">
      <c r="A1043" s="13">
        <v>44790</v>
      </c>
      <c r="B1043" s="15" t="s">
        <v>21</v>
      </c>
      <c r="C1043" s="3">
        <v>7</v>
      </c>
      <c r="D1043" s="13">
        <f t="shared" si="31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2"/>
        <v>14600</v>
      </c>
    </row>
    <row r="1044" spans="1:8" x14ac:dyDescent="0.3">
      <c r="A1044" s="13">
        <v>44792</v>
      </c>
      <c r="B1044" s="15" t="s">
        <v>21</v>
      </c>
      <c r="C1044" s="3">
        <v>3</v>
      </c>
      <c r="D1044" s="13">
        <f t="shared" si="31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2"/>
        <v>19020</v>
      </c>
    </row>
    <row r="1045" spans="1:8" x14ac:dyDescent="0.3">
      <c r="A1045" s="13">
        <v>44792</v>
      </c>
      <c r="B1045" s="15" t="s">
        <v>21</v>
      </c>
      <c r="C1045" s="3">
        <v>4</v>
      </c>
      <c r="D1045" s="13">
        <f t="shared" si="31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2"/>
        <v>19020</v>
      </c>
    </row>
    <row r="1046" spans="1:8" x14ac:dyDescent="0.3">
      <c r="A1046" s="13">
        <v>44792</v>
      </c>
      <c r="B1046" s="15" t="s">
        <v>21</v>
      </c>
      <c r="C1046" s="3">
        <v>5</v>
      </c>
      <c r="D1046" s="13">
        <f t="shared" si="31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2"/>
        <v>19020</v>
      </c>
    </row>
    <row r="1047" spans="1:8" x14ac:dyDescent="0.3">
      <c r="A1047" s="13">
        <v>44792</v>
      </c>
      <c r="B1047" s="15" t="s">
        <v>21</v>
      </c>
      <c r="C1047" s="3">
        <v>7</v>
      </c>
      <c r="D1047" s="13">
        <f t="shared" si="31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2"/>
        <v>19020</v>
      </c>
    </row>
    <row r="1048" spans="1:8" x14ac:dyDescent="0.3">
      <c r="A1048" s="13">
        <v>44792</v>
      </c>
      <c r="B1048" s="15" t="s">
        <v>21</v>
      </c>
      <c r="C1048" s="3">
        <v>13</v>
      </c>
      <c r="D1048" s="13">
        <f t="shared" si="31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2"/>
        <v>19020</v>
      </c>
    </row>
    <row r="1049" spans="1:8" x14ac:dyDescent="0.3">
      <c r="A1049" s="13">
        <v>44795</v>
      </c>
      <c r="B1049" s="15" t="s">
        <v>21</v>
      </c>
      <c r="C1049" s="3">
        <v>1</v>
      </c>
      <c r="D1049" s="13">
        <f t="shared" si="31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2"/>
        <v>16170</v>
      </c>
    </row>
    <row r="1050" spans="1:8" x14ac:dyDescent="0.3">
      <c r="A1050" s="13">
        <v>44795</v>
      </c>
      <c r="B1050" s="15" t="s">
        <v>21</v>
      </c>
      <c r="C1050" s="3">
        <v>2</v>
      </c>
      <c r="D1050" s="13">
        <f t="shared" si="31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2"/>
        <v>16170</v>
      </c>
    </row>
    <row r="1051" spans="1:8" x14ac:dyDescent="0.3">
      <c r="A1051" s="13">
        <v>44795</v>
      </c>
      <c r="B1051" s="15" t="s">
        <v>21</v>
      </c>
      <c r="C1051" s="3">
        <v>4</v>
      </c>
      <c r="D1051" s="13">
        <f t="shared" si="31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2"/>
        <v>16170</v>
      </c>
    </row>
    <row r="1052" spans="1:8" x14ac:dyDescent="0.3">
      <c r="A1052" s="13">
        <v>44795</v>
      </c>
      <c r="B1052" s="15" t="s">
        <v>21</v>
      </c>
      <c r="C1052" s="3">
        <v>7</v>
      </c>
      <c r="D1052" s="13">
        <f t="shared" si="31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2"/>
        <v>16170</v>
      </c>
    </row>
    <row r="1053" spans="1:8" x14ac:dyDescent="0.3">
      <c r="A1053" s="13">
        <v>44796</v>
      </c>
      <c r="B1053" s="15" t="s">
        <v>21</v>
      </c>
      <c r="C1053" s="3">
        <v>1</v>
      </c>
      <c r="D1053" s="13">
        <f t="shared" si="31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2"/>
        <v>20770</v>
      </c>
    </row>
    <row r="1054" spans="1:8" x14ac:dyDescent="0.3">
      <c r="A1054" s="13">
        <v>44796</v>
      </c>
      <c r="B1054" s="15" t="s">
        <v>21</v>
      </c>
      <c r="C1054" s="3">
        <v>3</v>
      </c>
      <c r="D1054" s="13">
        <f t="shared" si="31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2"/>
        <v>20770</v>
      </c>
    </row>
    <row r="1055" spans="1:8" x14ac:dyDescent="0.3">
      <c r="A1055" s="13">
        <v>44796</v>
      </c>
      <c r="B1055" s="15" t="s">
        <v>21</v>
      </c>
      <c r="C1055" s="3">
        <v>9</v>
      </c>
      <c r="D1055" s="13">
        <f t="shared" si="31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2"/>
        <v>20770</v>
      </c>
    </row>
    <row r="1056" spans="1:8" x14ac:dyDescent="0.3">
      <c r="A1056" s="13">
        <v>44799</v>
      </c>
      <c r="B1056" s="15" t="s">
        <v>21</v>
      </c>
      <c r="C1056" s="3">
        <v>3</v>
      </c>
      <c r="D1056" s="13">
        <f t="shared" si="31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2"/>
        <v>4970</v>
      </c>
    </row>
    <row r="1057" spans="1:8" x14ac:dyDescent="0.3">
      <c r="A1057" s="13">
        <v>44799</v>
      </c>
      <c r="B1057" s="15" t="s">
        <v>21</v>
      </c>
      <c r="C1057" s="3">
        <v>4</v>
      </c>
      <c r="D1057" s="13">
        <f t="shared" si="31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2"/>
        <v>4970</v>
      </c>
    </row>
    <row r="1058" spans="1:8" x14ac:dyDescent="0.3">
      <c r="A1058" s="13">
        <v>44799</v>
      </c>
      <c r="B1058" s="15" t="s">
        <v>21</v>
      </c>
      <c r="C1058" s="3">
        <v>6</v>
      </c>
      <c r="D1058" s="13">
        <f t="shared" si="31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2"/>
        <v>4970</v>
      </c>
    </row>
    <row r="1059" spans="1:8" x14ac:dyDescent="0.3">
      <c r="A1059" s="13">
        <v>44803</v>
      </c>
      <c r="B1059" s="15" t="s">
        <v>21</v>
      </c>
      <c r="C1059" s="3">
        <v>1</v>
      </c>
      <c r="D1059" s="13">
        <f t="shared" si="31"/>
        <v>44804</v>
      </c>
      <c r="E1059" s="15">
        <v>-800</v>
      </c>
      <c r="F1059" s="9">
        <v>0.1045</v>
      </c>
      <c r="G1059" s="9">
        <v>0.1045</v>
      </c>
      <c r="H1059" s="15">
        <f t="shared" si="32"/>
        <v>2570</v>
      </c>
    </row>
    <row r="1060" spans="1:8" x14ac:dyDescent="0.3">
      <c r="A1060" s="13">
        <v>44804</v>
      </c>
      <c r="B1060" s="15" t="s">
        <v>21</v>
      </c>
      <c r="C1060" s="3">
        <v>1</v>
      </c>
      <c r="D1060" s="13">
        <f t="shared" si="31"/>
        <v>44805</v>
      </c>
      <c r="E1060" s="15">
        <v>-900</v>
      </c>
      <c r="F1060" s="9">
        <v>0.104</v>
      </c>
      <c r="G1060" s="9">
        <v>0.104</v>
      </c>
      <c r="H1060" s="15">
        <f t="shared" si="32"/>
        <v>3270</v>
      </c>
    </row>
    <row r="1061" spans="1:8" x14ac:dyDescent="0.3">
      <c r="A1061" s="13">
        <v>44804</v>
      </c>
      <c r="B1061" s="15" t="s">
        <v>21</v>
      </c>
      <c r="C1061" s="3">
        <v>1</v>
      </c>
      <c r="D1061" s="13">
        <f t="shared" si="31"/>
        <v>44805</v>
      </c>
      <c r="E1061" s="15">
        <v>800</v>
      </c>
      <c r="F1061" s="9">
        <v>0.1</v>
      </c>
      <c r="G1061" s="9">
        <v>0.1</v>
      </c>
      <c r="H1061" s="15">
        <f t="shared" si="32"/>
        <v>3270</v>
      </c>
    </row>
    <row r="1062" spans="1:8" x14ac:dyDescent="0.3">
      <c r="A1062" s="13">
        <v>44805</v>
      </c>
      <c r="B1062" s="15" t="s">
        <v>21</v>
      </c>
      <c r="C1062" s="3">
        <v>1</v>
      </c>
      <c r="D1062" s="13">
        <f t="shared" si="31"/>
        <v>44806</v>
      </c>
      <c r="E1062" s="15">
        <v>-1200</v>
      </c>
      <c r="F1062" s="9">
        <v>0.1045</v>
      </c>
      <c r="G1062" s="9">
        <v>0.1045</v>
      </c>
      <c r="H1062" s="15">
        <f t="shared" si="32"/>
        <v>-1200</v>
      </c>
    </row>
    <row r="1063" spans="1:8" x14ac:dyDescent="0.3">
      <c r="A1063" s="13">
        <v>44812</v>
      </c>
      <c r="B1063" s="15" t="s">
        <v>21</v>
      </c>
      <c r="C1063" s="3">
        <v>4</v>
      </c>
      <c r="D1063" s="13">
        <f t="shared" si="31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2"/>
        <v>2200</v>
      </c>
    </row>
    <row r="1064" spans="1:8" x14ac:dyDescent="0.3">
      <c r="A1064" s="13">
        <v>44812</v>
      </c>
      <c r="B1064" s="15" t="s">
        <v>21</v>
      </c>
      <c r="C1064" s="3">
        <v>6</v>
      </c>
      <c r="D1064" s="13">
        <f t="shared" si="31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2"/>
        <v>2200</v>
      </c>
    </row>
    <row r="1065" spans="1:8" x14ac:dyDescent="0.3">
      <c r="A1065" s="13">
        <v>44816</v>
      </c>
      <c r="B1065" s="15" t="s">
        <v>21</v>
      </c>
      <c r="C1065" s="3">
        <v>7</v>
      </c>
      <c r="D1065" s="13">
        <f t="shared" si="31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2"/>
        <v>1400</v>
      </c>
    </row>
    <row r="1066" spans="1:8" x14ac:dyDescent="0.3">
      <c r="A1066" s="13">
        <v>44816</v>
      </c>
      <c r="B1066" s="15" t="s">
        <v>21</v>
      </c>
      <c r="C1066" s="3">
        <v>11</v>
      </c>
      <c r="D1066" s="13">
        <f t="shared" si="31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2"/>
        <v>1400</v>
      </c>
    </row>
    <row r="1067" spans="1:8" x14ac:dyDescent="0.3">
      <c r="A1067" s="13">
        <v>44817</v>
      </c>
      <c r="B1067" s="15" t="s">
        <v>21</v>
      </c>
      <c r="C1067" s="3">
        <v>1</v>
      </c>
      <c r="D1067" s="13">
        <f t="shared" si="31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2"/>
        <v>2600</v>
      </c>
    </row>
    <row r="1068" spans="1:8" x14ac:dyDescent="0.3">
      <c r="A1068" s="13">
        <v>44817</v>
      </c>
      <c r="B1068" s="15" t="s">
        <v>21</v>
      </c>
      <c r="C1068" s="3">
        <v>6</v>
      </c>
      <c r="D1068" s="13">
        <f t="shared" si="31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2"/>
        <v>2600</v>
      </c>
    </row>
    <row r="1069" spans="1:8" x14ac:dyDescent="0.3">
      <c r="A1069" s="13">
        <v>44817</v>
      </c>
      <c r="B1069" s="15" t="s">
        <v>21</v>
      </c>
      <c r="C1069" s="3">
        <v>13</v>
      </c>
      <c r="D1069" s="13">
        <f t="shared" si="31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2"/>
        <v>2600</v>
      </c>
    </row>
    <row r="1070" spans="1:8" x14ac:dyDescent="0.3">
      <c r="A1070" s="13">
        <v>44818</v>
      </c>
      <c r="B1070" s="15" t="s">
        <v>21</v>
      </c>
      <c r="C1070" s="3">
        <v>12</v>
      </c>
      <c r="D1070" s="13">
        <f t="shared" si="31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2"/>
        <v>2300</v>
      </c>
    </row>
    <row r="1071" spans="1:8" x14ac:dyDescent="0.3">
      <c r="A1071" s="13">
        <v>44819</v>
      </c>
      <c r="B1071" s="15" t="s">
        <v>21</v>
      </c>
      <c r="C1071" s="3">
        <v>11</v>
      </c>
      <c r="D1071" s="13">
        <f t="shared" si="31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2"/>
        <v>2600</v>
      </c>
    </row>
    <row r="1072" spans="1:8" x14ac:dyDescent="0.3">
      <c r="A1072" s="13">
        <v>44820</v>
      </c>
      <c r="B1072" s="15" t="s">
        <v>21</v>
      </c>
      <c r="C1072" s="3">
        <v>3</v>
      </c>
      <c r="D1072" s="13">
        <f t="shared" si="31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2"/>
        <v>3900</v>
      </c>
    </row>
    <row r="1073" spans="1:8" x14ac:dyDescent="0.3">
      <c r="A1073" s="13">
        <v>44820</v>
      </c>
      <c r="B1073" s="15" t="s">
        <v>21</v>
      </c>
      <c r="C1073" s="3">
        <v>4</v>
      </c>
      <c r="D1073" s="13">
        <f t="shared" si="31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2"/>
        <v>3900</v>
      </c>
    </row>
    <row r="1074" spans="1:8" x14ac:dyDescent="0.3">
      <c r="A1074" s="13">
        <v>44820</v>
      </c>
      <c r="B1074" s="15" t="s">
        <v>21</v>
      </c>
      <c r="C1074" s="3">
        <v>10</v>
      </c>
      <c r="D1074" s="13">
        <f t="shared" si="31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2"/>
        <v>3900</v>
      </c>
    </row>
    <row r="1075" spans="1:8" x14ac:dyDescent="0.3">
      <c r="A1075" s="13">
        <v>44823</v>
      </c>
      <c r="B1075" s="15" t="s">
        <v>21</v>
      </c>
      <c r="C1075" s="3">
        <v>1</v>
      </c>
      <c r="D1075" s="13">
        <f t="shared" si="31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2"/>
        <v>6800</v>
      </c>
    </row>
    <row r="1076" spans="1:8" x14ac:dyDescent="0.3">
      <c r="A1076" s="13">
        <v>44823</v>
      </c>
      <c r="B1076" s="15" t="s">
        <v>21</v>
      </c>
      <c r="C1076" s="3">
        <v>2</v>
      </c>
      <c r="D1076" s="13">
        <f t="shared" si="31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2"/>
        <v>6800</v>
      </c>
    </row>
    <row r="1077" spans="1:8" x14ac:dyDescent="0.3">
      <c r="A1077" s="13">
        <v>44823</v>
      </c>
      <c r="B1077" s="15" t="s">
        <v>21</v>
      </c>
      <c r="C1077" s="3">
        <v>3</v>
      </c>
      <c r="D1077" s="13">
        <f t="shared" si="31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2"/>
        <v>6800</v>
      </c>
    </row>
    <row r="1078" spans="1:8" x14ac:dyDescent="0.3">
      <c r="A1078" s="13">
        <v>44823</v>
      </c>
      <c r="B1078" s="15" t="s">
        <v>21</v>
      </c>
      <c r="C1078" s="3">
        <v>7</v>
      </c>
      <c r="D1078" s="13">
        <f t="shared" ref="D1078:D1102" si="33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2"/>
        <v>6800</v>
      </c>
    </row>
    <row r="1079" spans="1:8" x14ac:dyDescent="0.3">
      <c r="A1079" s="13">
        <v>44825</v>
      </c>
      <c r="B1079" s="15" t="s">
        <v>21</v>
      </c>
      <c r="C1079" s="3">
        <v>2</v>
      </c>
      <c r="D1079" s="13">
        <f t="shared" si="33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2"/>
        <v>3800</v>
      </c>
    </row>
    <row r="1080" spans="1:8" x14ac:dyDescent="0.3">
      <c r="A1080" s="13">
        <v>44825</v>
      </c>
      <c r="B1080" s="15" t="s">
        <v>21</v>
      </c>
      <c r="C1080" s="3">
        <v>5</v>
      </c>
      <c r="D1080" s="13">
        <f t="shared" si="33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2"/>
        <v>3800</v>
      </c>
    </row>
    <row r="1081" spans="1:8" x14ac:dyDescent="0.3">
      <c r="A1081" s="13">
        <v>44826</v>
      </c>
      <c r="B1081" s="15" t="s">
        <v>21</v>
      </c>
      <c r="C1081" s="3">
        <v>1</v>
      </c>
      <c r="D1081" s="13">
        <f t="shared" si="33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2"/>
        <v>6900</v>
      </c>
    </row>
    <row r="1082" spans="1:8" x14ac:dyDescent="0.3">
      <c r="A1082" s="13">
        <v>44826</v>
      </c>
      <c r="B1082" s="15" t="s">
        <v>21</v>
      </c>
      <c r="C1082" s="3">
        <v>4</v>
      </c>
      <c r="D1082" s="13">
        <f t="shared" si="33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2"/>
        <v>6900</v>
      </c>
    </row>
    <row r="1083" spans="1:8" x14ac:dyDescent="0.3">
      <c r="A1083" s="13">
        <v>44826</v>
      </c>
      <c r="B1083" s="15" t="s">
        <v>21</v>
      </c>
      <c r="C1083" s="3">
        <v>5</v>
      </c>
      <c r="D1083" s="13">
        <f t="shared" si="33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2"/>
        <v>6900</v>
      </c>
    </row>
    <row r="1084" spans="1:8" x14ac:dyDescent="0.3">
      <c r="A1084" s="13">
        <v>44826</v>
      </c>
      <c r="B1084" s="15" t="s">
        <v>21</v>
      </c>
      <c r="C1084" s="3">
        <v>6</v>
      </c>
      <c r="D1084" s="13">
        <f t="shared" si="33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2"/>
        <v>6900</v>
      </c>
    </row>
    <row r="1085" spans="1:8" x14ac:dyDescent="0.3">
      <c r="A1085" s="13">
        <v>44826</v>
      </c>
      <c r="B1085" s="15" t="s">
        <v>21</v>
      </c>
      <c r="C1085" s="3">
        <v>7</v>
      </c>
      <c r="D1085" s="13">
        <f t="shared" si="33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2"/>
        <v>6900</v>
      </c>
    </row>
    <row r="1086" spans="1:8" x14ac:dyDescent="0.3">
      <c r="A1086" s="13">
        <v>44827</v>
      </c>
      <c r="B1086" s="15" t="s">
        <v>21</v>
      </c>
      <c r="C1086" s="3">
        <v>3</v>
      </c>
      <c r="D1086" s="13">
        <f t="shared" si="33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2"/>
        <v>8850</v>
      </c>
    </row>
    <row r="1087" spans="1:8" x14ac:dyDescent="0.3">
      <c r="A1087" s="13">
        <v>44827</v>
      </c>
      <c r="B1087" s="15" t="s">
        <v>21</v>
      </c>
      <c r="C1087" s="3">
        <v>4</v>
      </c>
      <c r="D1087" s="13">
        <f t="shared" si="33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2"/>
        <v>8850</v>
      </c>
    </row>
    <row r="1088" spans="1:8" x14ac:dyDescent="0.3">
      <c r="A1088" s="13">
        <v>44827</v>
      </c>
      <c r="B1088" s="15" t="s">
        <v>21</v>
      </c>
      <c r="C1088" s="3">
        <v>5</v>
      </c>
      <c r="D1088" s="13">
        <f t="shared" si="33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2"/>
        <v>8850</v>
      </c>
    </row>
    <row r="1089" spans="1:8" x14ac:dyDescent="0.3">
      <c r="A1089" s="13">
        <v>44827</v>
      </c>
      <c r="B1089" s="15" t="s">
        <v>21</v>
      </c>
      <c r="C1089" s="3">
        <v>7</v>
      </c>
      <c r="D1089" s="13">
        <f t="shared" si="33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2"/>
        <v>8850</v>
      </c>
    </row>
    <row r="1090" spans="1:8" x14ac:dyDescent="0.3">
      <c r="A1090" s="13">
        <v>44830</v>
      </c>
      <c r="B1090" s="15" t="s">
        <v>21</v>
      </c>
      <c r="C1090" s="3">
        <v>1</v>
      </c>
      <c r="D1090" s="13">
        <f t="shared" si="33"/>
        <v>44831</v>
      </c>
      <c r="E1090" s="15">
        <v>-200</v>
      </c>
      <c r="F1090" s="9">
        <v>0.104</v>
      </c>
      <c r="G1090" s="9">
        <v>0.104</v>
      </c>
      <c r="H1090" s="15">
        <f t="shared" si="32"/>
        <v>2600</v>
      </c>
    </row>
    <row r="1091" spans="1:8" x14ac:dyDescent="0.3">
      <c r="A1091" s="13">
        <v>44831</v>
      </c>
      <c r="B1091" s="15" t="s">
        <v>21</v>
      </c>
      <c r="C1091" s="3">
        <v>3</v>
      </c>
      <c r="D1091" s="13">
        <f t="shared" si="33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2"/>
        <v>2500</v>
      </c>
    </row>
    <row r="1092" spans="1:8" x14ac:dyDescent="0.3">
      <c r="A1092" s="13">
        <v>44831</v>
      </c>
      <c r="B1092" s="15" t="s">
        <v>21</v>
      </c>
      <c r="C1092" s="3">
        <v>6</v>
      </c>
      <c r="D1092" s="13">
        <f t="shared" si="33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2"/>
        <v>2500</v>
      </c>
    </row>
    <row r="1093" spans="1:8" x14ac:dyDescent="0.3">
      <c r="A1093" s="13">
        <v>44832</v>
      </c>
      <c r="B1093" s="15" t="s">
        <v>21</v>
      </c>
      <c r="C1093" s="3">
        <v>2</v>
      </c>
      <c r="D1093" s="13">
        <f t="shared" si="33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2"/>
        <v>5700</v>
      </c>
    </row>
    <row r="1094" spans="1:8" x14ac:dyDescent="0.3">
      <c r="A1094" s="13">
        <v>44837</v>
      </c>
      <c r="B1094" s="15" t="s">
        <v>21</v>
      </c>
      <c r="C1094" s="3">
        <v>1</v>
      </c>
      <c r="D1094" s="13">
        <f t="shared" si="33"/>
        <v>44838</v>
      </c>
      <c r="E1094" s="15">
        <v>-1800</v>
      </c>
      <c r="F1094" s="9">
        <v>0.105</v>
      </c>
      <c r="G1094" s="9">
        <v>0.105</v>
      </c>
      <c r="H1094" s="15">
        <f t="shared" si="32"/>
        <v>-1800</v>
      </c>
    </row>
    <row r="1095" spans="1:8" x14ac:dyDescent="0.3">
      <c r="A1095" s="13">
        <v>44838</v>
      </c>
      <c r="B1095" s="15" t="s">
        <v>21</v>
      </c>
      <c r="C1095" s="3">
        <v>1</v>
      </c>
      <c r="D1095" s="13">
        <f t="shared" si="33"/>
        <v>44839</v>
      </c>
      <c r="E1095" s="15">
        <v>-7200</v>
      </c>
      <c r="F1095" s="9">
        <v>0.104</v>
      </c>
      <c r="G1095" s="9">
        <v>0.106</v>
      </c>
      <c r="H1095" s="15">
        <f t="shared" si="32"/>
        <v>-7200</v>
      </c>
    </row>
    <row r="1096" spans="1:8" x14ac:dyDescent="0.3">
      <c r="A1096" s="13">
        <v>44839</v>
      </c>
      <c r="B1096" s="15" t="s">
        <v>21</v>
      </c>
      <c r="C1096" s="3">
        <v>1</v>
      </c>
      <c r="D1096" s="13">
        <f t="shared" si="33"/>
        <v>44840</v>
      </c>
      <c r="E1096" s="15">
        <v>-4400</v>
      </c>
      <c r="F1096" s="9">
        <v>0.105</v>
      </c>
      <c r="G1096" s="9">
        <v>0.105</v>
      </c>
      <c r="H1096" s="15">
        <f t="shared" si="32"/>
        <v>-4400</v>
      </c>
    </row>
    <row r="1097" spans="1:8" x14ac:dyDescent="0.3">
      <c r="A1097" s="13">
        <v>44840</v>
      </c>
      <c r="B1097" s="15" t="s">
        <v>21</v>
      </c>
      <c r="C1097" s="3">
        <v>1</v>
      </c>
      <c r="D1097" s="13">
        <f t="shared" si="33"/>
        <v>44841</v>
      </c>
      <c r="E1097" s="15">
        <v>-3900</v>
      </c>
      <c r="F1097" s="9">
        <v>0.105</v>
      </c>
      <c r="G1097" s="9">
        <v>0.1055</v>
      </c>
      <c r="H1097" s="15">
        <f t="shared" si="32"/>
        <v>-3900</v>
      </c>
    </row>
    <row r="1098" spans="1:8" x14ac:dyDescent="0.3">
      <c r="A1098" s="13">
        <v>44841</v>
      </c>
      <c r="B1098" s="15" t="s">
        <v>21</v>
      </c>
      <c r="C1098" s="3">
        <v>5</v>
      </c>
      <c r="D1098" s="13">
        <f t="shared" si="33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4">+SUMIFS($E$10:$E$4506,$A$10:$A$4506,"&lt;="&amp;A1098,$D$10:$D$4506,"&gt;"&amp;A1098)</f>
        <v>3500</v>
      </c>
    </row>
    <row r="1099" spans="1:8" x14ac:dyDescent="0.3">
      <c r="A1099" s="13">
        <v>44841</v>
      </c>
      <c r="B1099" s="15" t="s">
        <v>21</v>
      </c>
      <c r="C1099" s="3">
        <v>6</v>
      </c>
      <c r="D1099" s="13">
        <f t="shared" si="33"/>
        <v>44847</v>
      </c>
      <c r="E1099" s="15">
        <v>1000</v>
      </c>
      <c r="F1099" s="9">
        <v>0.1075</v>
      </c>
      <c r="G1099" s="9">
        <v>0.1075</v>
      </c>
      <c r="H1099" s="15">
        <f t="shared" si="34"/>
        <v>3500</v>
      </c>
    </row>
    <row r="1100" spans="1:8" x14ac:dyDescent="0.3">
      <c r="A1100" s="13">
        <v>44845</v>
      </c>
      <c r="B1100" s="15" t="s">
        <v>21</v>
      </c>
      <c r="C1100" s="3">
        <v>2</v>
      </c>
      <c r="D1100" s="13">
        <f t="shared" si="33"/>
        <v>44847</v>
      </c>
      <c r="E1100" s="15">
        <v>400</v>
      </c>
      <c r="F1100" s="9">
        <v>0.1075</v>
      </c>
      <c r="G1100" s="9">
        <v>0.1075</v>
      </c>
      <c r="H1100" s="15">
        <f t="shared" si="34"/>
        <v>4300</v>
      </c>
    </row>
    <row r="1101" spans="1:8" x14ac:dyDescent="0.3">
      <c r="A1101" s="13">
        <v>44845</v>
      </c>
      <c r="B1101" s="15" t="s">
        <v>21</v>
      </c>
      <c r="C1101" s="3">
        <v>7</v>
      </c>
      <c r="D1101" s="13">
        <f t="shared" si="33"/>
        <v>44852</v>
      </c>
      <c r="E1101" s="15">
        <v>400</v>
      </c>
      <c r="F1101" s="9">
        <v>0.108</v>
      </c>
      <c r="G1101" s="9">
        <v>0.108</v>
      </c>
      <c r="H1101" s="15">
        <f t="shared" si="34"/>
        <v>4300</v>
      </c>
    </row>
    <row r="1102" spans="1:8" x14ac:dyDescent="0.3">
      <c r="A1102" s="13">
        <v>44851</v>
      </c>
      <c r="B1102" s="15" t="s">
        <v>21</v>
      </c>
      <c r="C1102" s="3">
        <v>2</v>
      </c>
      <c r="D1102" s="13">
        <f t="shared" si="33"/>
        <v>44853</v>
      </c>
      <c r="E1102" s="15">
        <v>200</v>
      </c>
      <c r="F1102" s="9">
        <v>0.1075</v>
      </c>
      <c r="G1102" s="9">
        <v>0.1075</v>
      </c>
      <c r="H1102" s="15">
        <f t="shared" si="34"/>
        <v>3850</v>
      </c>
    </row>
    <row r="1103" spans="1:8" x14ac:dyDescent="0.3">
      <c r="A1103" s="13">
        <v>44851</v>
      </c>
      <c r="B1103" s="15" t="s">
        <v>21</v>
      </c>
      <c r="C1103" s="3">
        <v>3</v>
      </c>
      <c r="D1103" s="13">
        <f t="shared" ref="D1103:D1166" si="35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4"/>
        <v>3850</v>
      </c>
    </row>
    <row r="1104" spans="1:8" x14ac:dyDescent="0.3">
      <c r="A1104" s="13">
        <v>44851</v>
      </c>
      <c r="B1104" s="15" t="s">
        <v>21</v>
      </c>
      <c r="C1104" s="3">
        <v>4</v>
      </c>
      <c r="D1104" s="13">
        <f t="shared" si="35"/>
        <v>44855</v>
      </c>
      <c r="E1104" s="15">
        <v>2000</v>
      </c>
      <c r="F1104" s="9">
        <v>0.1075</v>
      </c>
      <c r="G1104" s="9">
        <v>0.1075</v>
      </c>
      <c r="H1104" s="15">
        <f t="shared" si="34"/>
        <v>3850</v>
      </c>
    </row>
    <row r="1105" spans="1:8" x14ac:dyDescent="0.3">
      <c r="A1105" s="13">
        <v>44851</v>
      </c>
      <c r="B1105" s="15" t="s">
        <v>21</v>
      </c>
      <c r="C1105" s="3">
        <v>7</v>
      </c>
      <c r="D1105" s="13">
        <f t="shared" si="35"/>
        <v>44858</v>
      </c>
      <c r="E1105" s="15">
        <v>1050</v>
      </c>
      <c r="F1105" s="9">
        <v>0.108</v>
      </c>
      <c r="G1105" s="9">
        <v>0.108</v>
      </c>
      <c r="H1105" s="15">
        <f t="shared" si="34"/>
        <v>3850</v>
      </c>
    </row>
    <row r="1106" spans="1:8" x14ac:dyDescent="0.3">
      <c r="A1106" s="13">
        <v>44858</v>
      </c>
      <c r="B1106" s="15" t="s">
        <v>21</v>
      </c>
      <c r="C1106" s="3">
        <v>1</v>
      </c>
      <c r="D1106" s="13">
        <f t="shared" si="35"/>
        <v>44859</v>
      </c>
      <c r="E1106" s="15">
        <v>500</v>
      </c>
      <c r="F1106" s="9">
        <v>0.107</v>
      </c>
      <c r="G1106" s="9">
        <v>0.1075</v>
      </c>
      <c r="H1106" s="15">
        <f t="shared" si="34"/>
        <v>6900</v>
      </c>
    </row>
    <row r="1107" spans="1:8" x14ac:dyDescent="0.3">
      <c r="A1107" s="13">
        <v>44858</v>
      </c>
      <c r="B1107" s="15" t="s">
        <v>21</v>
      </c>
      <c r="C1107" s="3">
        <v>2</v>
      </c>
      <c r="D1107" s="13">
        <f t="shared" si="35"/>
        <v>44860</v>
      </c>
      <c r="E1107" s="15">
        <v>3000</v>
      </c>
      <c r="F1107" s="9">
        <v>0.1075</v>
      </c>
      <c r="G1107" s="9">
        <v>0.1075</v>
      </c>
      <c r="H1107" s="15">
        <f t="shared" si="34"/>
        <v>6900</v>
      </c>
    </row>
    <row r="1108" spans="1:8" x14ac:dyDescent="0.3">
      <c r="A1108" s="13">
        <v>44858</v>
      </c>
      <c r="B1108" s="15" t="s">
        <v>21</v>
      </c>
      <c r="C1108" s="3">
        <v>4</v>
      </c>
      <c r="D1108" s="13">
        <f t="shared" si="35"/>
        <v>44862</v>
      </c>
      <c r="E1108" s="15">
        <v>2800</v>
      </c>
      <c r="F1108" s="9">
        <v>0.108</v>
      </c>
      <c r="G1108" s="9">
        <v>0.108</v>
      </c>
      <c r="H1108" s="15">
        <f t="shared" si="34"/>
        <v>6900</v>
      </c>
    </row>
    <row r="1109" spans="1:8" x14ac:dyDescent="0.3">
      <c r="A1109" s="13">
        <v>44858</v>
      </c>
      <c r="B1109" s="15" t="s">
        <v>21</v>
      </c>
      <c r="C1109" s="3">
        <v>7</v>
      </c>
      <c r="D1109" s="13">
        <f t="shared" si="35"/>
        <v>44865</v>
      </c>
      <c r="E1109" s="15">
        <v>600</v>
      </c>
      <c r="F1109" s="9">
        <v>0.108</v>
      </c>
      <c r="G1109" s="9">
        <v>0.108</v>
      </c>
      <c r="H1109" s="15">
        <f t="shared" si="34"/>
        <v>6900</v>
      </c>
    </row>
    <row r="1110" spans="1:8" x14ac:dyDescent="0.3">
      <c r="A1110" s="13">
        <v>44859</v>
      </c>
      <c r="B1110" s="15" t="s">
        <v>21</v>
      </c>
      <c r="C1110" s="3">
        <v>2</v>
      </c>
      <c r="D1110" s="13">
        <f t="shared" si="35"/>
        <v>44861</v>
      </c>
      <c r="E1110" s="15">
        <v>600</v>
      </c>
      <c r="F1110" s="9">
        <v>0.1075</v>
      </c>
      <c r="G1110" s="9">
        <v>0.1075</v>
      </c>
      <c r="H1110" s="15">
        <f t="shared" si="34"/>
        <v>7400</v>
      </c>
    </row>
    <row r="1111" spans="1:8" x14ac:dyDescent="0.3">
      <c r="A1111" s="13">
        <v>44859</v>
      </c>
      <c r="B1111" s="15" t="s">
        <v>21</v>
      </c>
      <c r="C1111" s="3">
        <v>6</v>
      </c>
      <c r="D1111" s="13">
        <f t="shared" si="35"/>
        <v>44865</v>
      </c>
      <c r="E1111" s="15">
        <v>400</v>
      </c>
      <c r="F1111" s="9">
        <v>0.1075</v>
      </c>
      <c r="G1111" s="9">
        <v>0.1075</v>
      </c>
      <c r="H1111" s="15">
        <f t="shared" si="34"/>
        <v>7400</v>
      </c>
    </row>
    <row r="1112" spans="1:8" x14ac:dyDescent="0.3">
      <c r="A1112" s="13">
        <v>44860</v>
      </c>
      <c r="B1112" s="15" t="s">
        <v>21</v>
      </c>
      <c r="C1112" s="3">
        <v>1</v>
      </c>
      <c r="D1112" s="13">
        <f t="shared" si="35"/>
        <v>44861</v>
      </c>
      <c r="E1112" s="15">
        <v>-4200</v>
      </c>
      <c r="F1112" s="9">
        <v>0.109</v>
      </c>
      <c r="G1112" s="9">
        <v>0.1095</v>
      </c>
      <c r="H1112" s="15">
        <f t="shared" si="34"/>
        <v>200</v>
      </c>
    </row>
    <row r="1113" spans="1:8" x14ac:dyDescent="0.3">
      <c r="A1113" s="13">
        <v>44861</v>
      </c>
      <c r="B1113" s="15" t="s">
        <v>21</v>
      </c>
      <c r="C1113" s="3">
        <v>1</v>
      </c>
      <c r="D1113" s="13">
        <f t="shared" si="35"/>
        <v>44862</v>
      </c>
      <c r="E1113" s="15">
        <v>-5550</v>
      </c>
      <c r="F1113" s="9">
        <v>0.1095</v>
      </c>
      <c r="G1113" s="9">
        <v>0.1095</v>
      </c>
      <c r="H1113" s="15">
        <f t="shared" si="34"/>
        <v>-2250</v>
      </c>
    </row>
    <row r="1114" spans="1:8" x14ac:dyDescent="0.3">
      <c r="A1114" s="13">
        <v>44861</v>
      </c>
      <c r="B1114" s="15" t="s">
        <v>21</v>
      </c>
      <c r="C1114" s="3">
        <v>4</v>
      </c>
      <c r="D1114" s="13">
        <f t="shared" si="35"/>
        <v>44865</v>
      </c>
      <c r="E1114" s="15">
        <v>-500</v>
      </c>
      <c r="F1114" s="9">
        <v>0.11</v>
      </c>
      <c r="G1114" s="9">
        <v>0.11</v>
      </c>
      <c r="H1114" s="15">
        <f t="shared" si="34"/>
        <v>-2250</v>
      </c>
    </row>
    <row r="1115" spans="1:8" x14ac:dyDescent="0.3">
      <c r="A1115" s="13">
        <v>44862</v>
      </c>
      <c r="B1115" s="15" t="s">
        <v>21</v>
      </c>
      <c r="C1115" s="3">
        <v>3</v>
      </c>
      <c r="D1115" s="13">
        <f t="shared" si="35"/>
        <v>44865</v>
      </c>
      <c r="E1115" s="15">
        <v>-8000</v>
      </c>
      <c r="F1115" s="9">
        <v>0.109</v>
      </c>
      <c r="G1115" s="9">
        <v>0.11</v>
      </c>
      <c r="H1115" s="15">
        <f t="shared" si="34"/>
        <v>-10600</v>
      </c>
    </row>
    <row r="1116" spans="1:8" x14ac:dyDescent="0.3">
      <c r="A1116" s="13">
        <v>44862</v>
      </c>
      <c r="B1116" s="15" t="s">
        <v>21</v>
      </c>
      <c r="C1116" s="3">
        <v>4</v>
      </c>
      <c r="D1116" s="13">
        <f t="shared" si="35"/>
        <v>44866</v>
      </c>
      <c r="E1116" s="15">
        <v>-3100</v>
      </c>
      <c r="F1116" s="9">
        <v>0.11</v>
      </c>
      <c r="G1116" s="9">
        <v>0.1105</v>
      </c>
      <c r="H1116" s="15">
        <f t="shared" si="34"/>
        <v>-10600</v>
      </c>
    </row>
    <row r="1117" spans="1:8" x14ac:dyDescent="0.3">
      <c r="A1117" s="13">
        <v>44865</v>
      </c>
      <c r="B1117" s="15" t="s">
        <v>21</v>
      </c>
      <c r="C1117" s="3">
        <v>1</v>
      </c>
      <c r="D1117" s="13">
        <f t="shared" si="35"/>
        <v>44866</v>
      </c>
      <c r="E1117" s="15">
        <v>-2050</v>
      </c>
      <c r="F1117" s="9">
        <v>0.109</v>
      </c>
      <c r="G1117" s="9">
        <v>0.1095</v>
      </c>
      <c r="H1117" s="15">
        <f t="shared" si="34"/>
        <v>-5150</v>
      </c>
    </row>
    <row r="1118" spans="1:8" x14ac:dyDescent="0.3">
      <c r="A1118" s="13">
        <v>44866</v>
      </c>
      <c r="B1118" s="15" t="s">
        <v>21</v>
      </c>
      <c r="C1118" s="3">
        <v>2</v>
      </c>
      <c r="D1118" s="13">
        <f t="shared" si="35"/>
        <v>44868</v>
      </c>
      <c r="E1118" s="15">
        <v>-5400</v>
      </c>
      <c r="F1118" s="9">
        <v>0.1095</v>
      </c>
      <c r="G1118" s="9">
        <v>0.1095</v>
      </c>
      <c r="H1118" s="15">
        <f t="shared" si="34"/>
        <v>-5400</v>
      </c>
    </row>
    <row r="1119" spans="1:8" x14ac:dyDescent="0.3">
      <c r="A1119" s="13">
        <v>44868</v>
      </c>
      <c r="B1119" s="15" t="s">
        <v>21</v>
      </c>
      <c r="C1119" s="3">
        <v>1</v>
      </c>
      <c r="D1119" s="13">
        <f t="shared" si="35"/>
        <v>44869</v>
      </c>
      <c r="E1119" s="15">
        <v>-4900</v>
      </c>
      <c r="F1119" s="9">
        <v>0.1095</v>
      </c>
      <c r="G1119" s="9">
        <v>0.1095</v>
      </c>
      <c r="H1119" s="15">
        <f t="shared" si="34"/>
        <v>-4900</v>
      </c>
    </row>
    <row r="1120" spans="1:8" x14ac:dyDescent="0.3">
      <c r="A1120" s="13">
        <v>44869</v>
      </c>
      <c r="B1120" s="15" t="s">
        <v>21</v>
      </c>
      <c r="C1120" s="3">
        <v>3</v>
      </c>
      <c r="D1120" s="13">
        <f t="shared" si="35"/>
        <v>44872</v>
      </c>
      <c r="E1120" s="15">
        <v>-3400</v>
      </c>
      <c r="F1120" s="9">
        <v>0.1095</v>
      </c>
      <c r="G1120" s="9">
        <v>0.1095</v>
      </c>
      <c r="H1120" s="15">
        <f t="shared" si="34"/>
        <v>-3400</v>
      </c>
    </row>
    <row r="1121" spans="1:8" x14ac:dyDescent="0.3">
      <c r="A1121" s="13">
        <v>44872</v>
      </c>
      <c r="B1121" s="15" t="s">
        <v>21</v>
      </c>
      <c r="C1121" s="3">
        <v>1</v>
      </c>
      <c r="D1121" s="13">
        <f t="shared" si="35"/>
        <v>44873</v>
      </c>
      <c r="E1121" s="15">
        <v>-1700</v>
      </c>
      <c r="F1121" s="9">
        <v>0.1095</v>
      </c>
      <c r="G1121" s="9">
        <v>0.11</v>
      </c>
      <c r="H1121" s="15">
        <f t="shared" si="34"/>
        <v>-1700</v>
      </c>
    </row>
    <row r="1122" spans="1:8" x14ac:dyDescent="0.3">
      <c r="A1122" s="13">
        <v>44873</v>
      </c>
      <c r="B1122" s="15" t="s">
        <v>21</v>
      </c>
      <c r="C1122" s="3">
        <v>1</v>
      </c>
      <c r="D1122" s="13">
        <f t="shared" si="35"/>
        <v>44874</v>
      </c>
      <c r="E1122" s="15">
        <v>-2700</v>
      </c>
      <c r="F1122" s="9">
        <v>0.109</v>
      </c>
      <c r="G1122" s="9">
        <v>0.109</v>
      </c>
      <c r="H1122" s="15">
        <f t="shared" si="34"/>
        <v>-2700</v>
      </c>
    </row>
    <row r="1123" spans="1:8" x14ac:dyDescent="0.3">
      <c r="A1123" s="13">
        <v>44874</v>
      </c>
      <c r="B1123" s="15" t="s">
        <v>21</v>
      </c>
      <c r="C1123" s="3">
        <v>1</v>
      </c>
      <c r="D1123" s="13">
        <f t="shared" si="35"/>
        <v>44875</v>
      </c>
      <c r="E1123" s="15">
        <v>-4000</v>
      </c>
      <c r="F1123" s="9">
        <v>0.109</v>
      </c>
      <c r="G1123" s="9">
        <v>0.109</v>
      </c>
      <c r="H1123" s="15">
        <f t="shared" si="34"/>
        <v>-4000</v>
      </c>
    </row>
    <row r="1124" spans="1:8" x14ac:dyDescent="0.3">
      <c r="A1124" s="13">
        <v>44875</v>
      </c>
      <c r="B1124" s="15" t="s">
        <v>21</v>
      </c>
      <c r="C1124" s="3">
        <v>1</v>
      </c>
      <c r="D1124" s="13">
        <f t="shared" si="35"/>
        <v>44876</v>
      </c>
      <c r="E1124" s="15">
        <v>-1700</v>
      </c>
      <c r="F1124" s="9">
        <v>0.109</v>
      </c>
      <c r="G1124" s="9">
        <v>0.1095</v>
      </c>
      <c r="H1124" s="15">
        <f t="shared" si="34"/>
        <v>-1700</v>
      </c>
    </row>
    <row r="1125" spans="1:8" x14ac:dyDescent="0.3">
      <c r="A1125" s="13">
        <v>44876</v>
      </c>
      <c r="B1125" s="15" t="s">
        <v>21</v>
      </c>
      <c r="C1125" s="3">
        <v>3</v>
      </c>
      <c r="D1125" s="13">
        <f t="shared" si="35"/>
        <v>44879</v>
      </c>
      <c r="E1125" s="15">
        <v>-1100</v>
      </c>
      <c r="F1125" s="9">
        <v>0.109</v>
      </c>
      <c r="G1125" s="9">
        <v>0.109</v>
      </c>
      <c r="H1125" s="15">
        <f t="shared" si="34"/>
        <v>-1100</v>
      </c>
    </row>
    <row r="1126" spans="1:8" x14ac:dyDescent="0.3">
      <c r="A1126" s="13">
        <v>44879</v>
      </c>
      <c r="B1126" s="15" t="s">
        <v>21</v>
      </c>
      <c r="C1126" s="3">
        <v>1</v>
      </c>
      <c r="D1126" s="13">
        <f t="shared" si="35"/>
        <v>44880</v>
      </c>
      <c r="E1126" s="15">
        <v>-1000</v>
      </c>
      <c r="F1126" s="9">
        <v>0.109</v>
      </c>
      <c r="G1126" s="9">
        <v>0.109</v>
      </c>
      <c r="H1126" s="15">
        <f t="shared" si="34"/>
        <v>-1000</v>
      </c>
    </row>
    <row r="1127" spans="1:8" x14ac:dyDescent="0.3">
      <c r="A1127" s="13">
        <v>44881</v>
      </c>
      <c r="B1127" s="15" t="s">
        <v>21</v>
      </c>
      <c r="C1127" s="3">
        <v>2</v>
      </c>
      <c r="D1127" s="13">
        <f t="shared" si="35"/>
        <v>44883</v>
      </c>
      <c r="E1127" s="15">
        <v>1000</v>
      </c>
      <c r="F1127" s="9">
        <v>0.112</v>
      </c>
      <c r="G1127" s="9">
        <v>0.112</v>
      </c>
      <c r="H1127" s="15">
        <f t="shared" si="34"/>
        <v>4050</v>
      </c>
    </row>
    <row r="1128" spans="1:8" x14ac:dyDescent="0.3">
      <c r="A1128" s="13">
        <v>44881</v>
      </c>
      <c r="B1128" s="15" t="s">
        <v>21</v>
      </c>
      <c r="C1128" s="3">
        <v>7</v>
      </c>
      <c r="D1128" s="13">
        <f t="shared" si="35"/>
        <v>44888</v>
      </c>
      <c r="E1128" s="15">
        <v>1850</v>
      </c>
      <c r="F1128" s="9">
        <v>0.1125</v>
      </c>
      <c r="G1128" s="9">
        <v>0.113</v>
      </c>
      <c r="H1128" s="15">
        <f t="shared" si="34"/>
        <v>4050</v>
      </c>
    </row>
    <row r="1129" spans="1:8" x14ac:dyDescent="0.3">
      <c r="A1129" s="13">
        <v>44881</v>
      </c>
      <c r="B1129" s="15" t="s">
        <v>21</v>
      </c>
      <c r="C1129" s="3">
        <v>8</v>
      </c>
      <c r="D1129" s="13">
        <f t="shared" si="35"/>
        <v>44889</v>
      </c>
      <c r="E1129" s="15">
        <v>200</v>
      </c>
      <c r="F1129" s="9">
        <v>0.113</v>
      </c>
      <c r="G1129" s="9">
        <v>0.113</v>
      </c>
      <c r="H1129" s="15">
        <f t="shared" si="34"/>
        <v>4050</v>
      </c>
    </row>
    <row r="1130" spans="1:8" x14ac:dyDescent="0.3">
      <c r="A1130" s="13">
        <v>44881</v>
      </c>
      <c r="B1130" s="15" t="s">
        <v>21</v>
      </c>
      <c r="C1130" s="3">
        <v>9</v>
      </c>
      <c r="D1130" s="13">
        <f t="shared" si="35"/>
        <v>44890</v>
      </c>
      <c r="E1130" s="15">
        <v>200</v>
      </c>
      <c r="F1130" s="9">
        <v>0.113</v>
      </c>
      <c r="G1130" s="9">
        <v>0.113</v>
      </c>
      <c r="H1130" s="15">
        <f t="shared" si="34"/>
        <v>4050</v>
      </c>
    </row>
    <row r="1131" spans="1:8" x14ac:dyDescent="0.3">
      <c r="A1131" s="13">
        <v>44881</v>
      </c>
      <c r="B1131" s="15" t="s">
        <v>21</v>
      </c>
      <c r="C1131" s="3">
        <v>14</v>
      </c>
      <c r="D1131" s="13">
        <f t="shared" si="35"/>
        <v>44895</v>
      </c>
      <c r="E1131" s="15">
        <v>800</v>
      </c>
      <c r="F1131" s="9">
        <v>0.1135</v>
      </c>
      <c r="G1131" s="9">
        <v>0.1135</v>
      </c>
      <c r="H1131" s="15">
        <f t="shared" si="34"/>
        <v>4050</v>
      </c>
    </row>
    <row r="1132" spans="1:8" x14ac:dyDescent="0.3">
      <c r="A1132" s="13">
        <v>44882</v>
      </c>
      <c r="B1132" s="15" t="s">
        <v>21</v>
      </c>
      <c r="C1132" s="3">
        <v>1</v>
      </c>
      <c r="D1132" s="13">
        <f t="shared" si="35"/>
        <v>44883</v>
      </c>
      <c r="E1132" s="15">
        <v>200</v>
      </c>
      <c r="F1132" s="9">
        <v>0.112</v>
      </c>
      <c r="G1132" s="9">
        <v>0.112</v>
      </c>
      <c r="H1132" s="15">
        <f t="shared" si="34"/>
        <v>4950</v>
      </c>
    </row>
    <row r="1133" spans="1:8" x14ac:dyDescent="0.3">
      <c r="A1133" s="13">
        <v>44882</v>
      </c>
      <c r="B1133" s="15" t="s">
        <v>21</v>
      </c>
      <c r="C1133" s="3">
        <v>5</v>
      </c>
      <c r="D1133" s="13">
        <f t="shared" si="35"/>
        <v>44887</v>
      </c>
      <c r="E1133" s="15">
        <v>700</v>
      </c>
      <c r="F1133" s="9">
        <v>0.1125</v>
      </c>
      <c r="G1133" s="9">
        <v>0.1125</v>
      </c>
      <c r="H1133" s="15">
        <f t="shared" si="34"/>
        <v>4950</v>
      </c>
    </row>
    <row r="1134" spans="1:8" x14ac:dyDescent="0.3">
      <c r="A1134" s="13">
        <v>44883</v>
      </c>
      <c r="B1134" s="15" t="s">
        <v>21</v>
      </c>
      <c r="C1134" s="3">
        <v>7</v>
      </c>
      <c r="D1134" s="13">
        <f t="shared" si="35"/>
        <v>44890</v>
      </c>
      <c r="E1134" s="15">
        <v>400</v>
      </c>
      <c r="F1134" s="9">
        <v>0.1125</v>
      </c>
      <c r="G1134" s="9">
        <v>0.1125</v>
      </c>
      <c r="H1134" s="15">
        <f t="shared" si="34"/>
        <v>4750</v>
      </c>
    </row>
    <row r="1135" spans="1:8" x14ac:dyDescent="0.3">
      <c r="A1135" s="13">
        <v>44883</v>
      </c>
      <c r="B1135" s="15" t="s">
        <v>21</v>
      </c>
      <c r="C1135" s="3">
        <v>5</v>
      </c>
      <c r="D1135" s="13">
        <f t="shared" si="35"/>
        <v>44888</v>
      </c>
      <c r="E1135" s="15">
        <v>400</v>
      </c>
      <c r="F1135" s="9">
        <v>0.112</v>
      </c>
      <c r="G1135" s="9">
        <v>0.112</v>
      </c>
      <c r="H1135" s="15">
        <f t="shared" si="34"/>
        <v>4750</v>
      </c>
    </row>
    <row r="1136" spans="1:8" x14ac:dyDescent="0.3">
      <c r="A1136" s="13">
        <v>44883</v>
      </c>
      <c r="B1136" s="15" t="s">
        <v>21</v>
      </c>
      <c r="C1136" s="3">
        <v>4</v>
      </c>
      <c r="D1136" s="13">
        <f t="shared" si="35"/>
        <v>44887</v>
      </c>
      <c r="E1136" s="15">
        <v>200</v>
      </c>
      <c r="F1136" s="9">
        <v>0.112</v>
      </c>
      <c r="G1136" s="9">
        <v>0.112</v>
      </c>
      <c r="H1136" s="15">
        <f t="shared" si="34"/>
        <v>4750</v>
      </c>
    </row>
    <row r="1137" spans="1:8" x14ac:dyDescent="0.3">
      <c r="A1137" s="13">
        <v>44886</v>
      </c>
      <c r="B1137" s="15" t="s">
        <v>21</v>
      </c>
      <c r="C1137" s="3">
        <v>1</v>
      </c>
      <c r="D1137" s="13">
        <f t="shared" si="35"/>
        <v>44887</v>
      </c>
      <c r="E1137" s="15">
        <v>600</v>
      </c>
      <c r="F1137" s="9">
        <v>0.112</v>
      </c>
      <c r="G1137" s="9">
        <v>0.112</v>
      </c>
      <c r="H1137" s="15">
        <f t="shared" si="34"/>
        <v>10300</v>
      </c>
    </row>
    <row r="1138" spans="1:8" x14ac:dyDescent="0.3">
      <c r="A1138" s="13">
        <v>44886</v>
      </c>
      <c r="B1138" s="15" t="s">
        <v>21</v>
      </c>
      <c r="C1138" s="3">
        <v>2</v>
      </c>
      <c r="D1138" s="13">
        <f t="shared" si="35"/>
        <v>44888</v>
      </c>
      <c r="E1138" s="15">
        <v>400</v>
      </c>
      <c r="F1138" s="9">
        <v>0.112</v>
      </c>
      <c r="G1138" s="9">
        <v>0.112</v>
      </c>
      <c r="H1138" s="15">
        <f t="shared" si="34"/>
        <v>10300</v>
      </c>
    </row>
    <row r="1139" spans="1:8" x14ac:dyDescent="0.3">
      <c r="A1139" s="13">
        <v>44886</v>
      </c>
      <c r="B1139" s="15" t="s">
        <v>21</v>
      </c>
      <c r="C1139" s="3">
        <v>3</v>
      </c>
      <c r="D1139" s="13">
        <f t="shared" si="35"/>
        <v>44889</v>
      </c>
      <c r="E1139" s="15">
        <v>1000</v>
      </c>
      <c r="F1139" s="9">
        <v>0.1125</v>
      </c>
      <c r="G1139" s="9">
        <v>0.1125</v>
      </c>
      <c r="H1139" s="15">
        <f t="shared" si="34"/>
        <v>10300</v>
      </c>
    </row>
    <row r="1140" spans="1:8" x14ac:dyDescent="0.3">
      <c r="A1140" s="13">
        <v>44886</v>
      </c>
      <c r="B1140" s="15" t="s">
        <v>21</v>
      </c>
      <c r="C1140" s="3">
        <v>4</v>
      </c>
      <c r="D1140" s="13">
        <f t="shared" si="35"/>
        <v>44890</v>
      </c>
      <c r="E1140" s="15">
        <v>3000</v>
      </c>
      <c r="F1140" s="9">
        <v>0.1125</v>
      </c>
      <c r="G1140" s="9">
        <v>0.1125</v>
      </c>
      <c r="H1140" s="15">
        <f t="shared" si="34"/>
        <v>10300</v>
      </c>
    </row>
    <row r="1141" spans="1:8" x14ac:dyDescent="0.3">
      <c r="A1141" s="13">
        <v>44886</v>
      </c>
      <c r="B1141" s="15" t="s">
        <v>21</v>
      </c>
      <c r="C1141" s="3">
        <v>7</v>
      </c>
      <c r="D1141" s="13">
        <f t="shared" si="35"/>
        <v>44893</v>
      </c>
      <c r="E1141" s="15">
        <v>550</v>
      </c>
      <c r="F1141" s="9">
        <v>0.113</v>
      </c>
      <c r="G1141" s="9">
        <v>0.113</v>
      </c>
      <c r="H1141" s="15">
        <f t="shared" si="34"/>
        <v>10300</v>
      </c>
    </row>
    <row r="1142" spans="1:8" x14ac:dyDescent="0.3">
      <c r="A1142" s="13">
        <v>44887</v>
      </c>
      <c r="B1142" s="15" t="s">
        <v>21</v>
      </c>
      <c r="C1142" s="3">
        <v>2</v>
      </c>
      <c r="D1142" s="13">
        <f t="shared" si="35"/>
        <v>44889</v>
      </c>
      <c r="E1142" s="15">
        <v>780</v>
      </c>
      <c r="F1142" s="9">
        <v>0.112</v>
      </c>
      <c r="G1142" s="9">
        <v>0.112</v>
      </c>
      <c r="H1142" s="15">
        <f t="shared" si="34"/>
        <v>11980</v>
      </c>
    </row>
    <row r="1143" spans="1:8" x14ac:dyDescent="0.3">
      <c r="A1143" s="13">
        <v>44887</v>
      </c>
      <c r="B1143" s="15" t="s">
        <v>21</v>
      </c>
      <c r="C1143" s="3">
        <v>3</v>
      </c>
      <c r="D1143" s="13">
        <f t="shared" si="35"/>
        <v>44890</v>
      </c>
      <c r="E1143" s="15">
        <v>2400</v>
      </c>
      <c r="F1143" s="9">
        <v>0.1125</v>
      </c>
      <c r="G1143" s="9">
        <v>0.1125</v>
      </c>
      <c r="H1143" s="15">
        <f t="shared" si="34"/>
        <v>11980</v>
      </c>
    </row>
    <row r="1144" spans="1:8" x14ac:dyDescent="0.3">
      <c r="A1144" s="13">
        <v>44888</v>
      </c>
      <c r="B1144" s="15" t="s">
        <v>21</v>
      </c>
      <c r="C1144" s="3">
        <v>1</v>
      </c>
      <c r="D1144" s="13">
        <f t="shared" si="35"/>
        <v>44889</v>
      </c>
      <c r="E1144" s="15">
        <v>1200</v>
      </c>
      <c r="F1144" s="9">
        <v>0.1115</v>
      </c>
      <c r="G1144" s="9">
        <v>0.1115</v>
      </c>
      <c r="H1144" s="15">
        <f t="shared" si="34"/>
        <v>15530</v>
      </c>
    </row>
    <row r="1145" spans="1:8" x14ac:dyDescent="0.3">
      <c r="A1145" s="13">
        <v>44888</v>
      </c>
      <c r="B1145" s="15" t="s">
        <v>21</v>
      </c>
      <c r="C1145" s="3">
        <v>2</v>
      </c>
      <c r="D1145" s="13">
        <f t="shared" si="35"/>
        <v>44890</v>
      </c>
      <c r="E1145" s="15">
        <v>600</v>
      </c>
      <c r="F1145" s="9">
        <v>0.112</v>
      </c>
      <c r="G1145" s="9">
        <v>0.112</v>
      </c>
      <c r="H1145" s="15">
        <f t="shared" si="34"/>
        <v>15530</v>
      </c>
    </row>
    <row r="1146" spans="1:8" x14ac:dyDescent="0.3">
      <c r="A1146" s="13">
        <v>44888</v>
      </c>
      <c r="B1146" s="15" t="s">
        <v>21</v>
      </c>
      <c r="C1146" s="3">
        <v>5</v>
      </c>
      <c r="D1146" s="13">
        <f t="shared" si="35"/>
        <v>44893</v>
      </c>
      <c r="E1146" s="15">
        <v>2600</v>
      </c>
      <c r="F1146" s="9">
        <v>0.1125</v>
      </c>
      <c r="G1146" s="9">
        <v>0.1125</v>
      </c>
      <c r="H1146" s="15">
        <f t="shared" si="34"/>
        <v>15530</v>
      </c>
    </row>
    <row r="1147" spans="1:8" x14ac:dyDescent="0.3">
      <c r="A1147" s="13">
        <v>44888</v>
      </c>
      <c r="B1147" s="15" t="s">
        <v>21</v>
      </c>
      <c r="C1147" s="3">
        <v>7</v>
      </c>
      <c r="D1147" s="13">
        <f t="shared" si="35"/>
        <v>44895</v>
      </c>
      <c r="E1147" s="15">
        <v>1800</v>
      </c>
      <c r="F1147" s="9">
        <v>0.113</v>
      </c>
      <c r="G1147" s="9">
        <v>0.113</v>
      </c>
      <c r="H1147" s="15">
        <f t="shared" si="34"/>
        <v>15530</v>
      </c>
    </row>
    <row r="1148" spans="1:8" x14ac:dyDescent="0.3">
      <c r="A1148" s="13">
        <v>44889</v>
      </c>
      <c r="B1148" s="15" t="s">
        <v>21</v>
      </c>
      <c r="C1148" s="3">
        <v>6</v>
      </c>
      <c r="D1148" s="13">
        <f t="shared" si="35"/>
        <v>44895</v>
      </c>
      <c r="E1148" s="15">
        <v>500</v>
      </c>
      <c r="F1148" s="9">
        <v>0.1115</v>
      </c>
      <c r="G1148" s="9">
        <v>0.1115</v>
      </c>
      <c r="H1148" s="15">
        <f t="shared" si="34"/>
        <v>12850</v>
      </c>
    </row>
    <row r="1149" spans="1:8" x14ac:dyDescent="0.3">
      <c r="A1149" s="13">
        <v>44893</v>
      </c>
      <c r="B1149" s="15" t="s">
        <v>21</v>
      </c>
      <c r="C1149" s="3">
        <v>1</v>
      </c>
      <c r="D1149" s="13">
        <f t="shared" si="35"/>
        <v>44894</v>
      </c>
      <c r="E1149" s="15">
        <v>1450</v>
      </c>
      <c r="F1149" s="9">
        <v>0.1115</v>
      </c>
      <c r="G1149" s="9">
        <v>0.1115</v>
      </c>
      <c r="H1149" s="15">
        <f t="shared" si="34"/>
        <v>9050</v>
      </c>
    </row>
    <row r="1150" spans="1:8" x14ac:dyDescent="0.3">
      <c r="A1150" s="13">
        <v>44893</v>
      </c>
      <c r="B1150" s="15" t="s">
        <v>21</v>
      </c>
      <c r="C1150" s="3">
        <v>2</v>
      </c>
      <c r="D1150" s="13">
        <f t="shared" si="35"/>
        <v>44895</v>
      </c>
      <c r="E1150" s="15">
        <v>300</v>
      </c>
      <c r="F1150" s="9">
        <v>0.112</v>
      </c>
      <c r="G1150" s="9">
        <v>0.112</v>
      </c>
      <c r="H1150" s="15">
        <f t="shared" si="34"/>
        <v>9050</v>
      </c>
    </row>
    <row r="1151" spans="1:8" x14ac:dyDescent="0.3">
      <c r="A1151" s="13">
        <v>44893</v>
      </c>
      <c r="B1151" s="15" t="s">
        <v>21</v>
      </c>
      <c r="C1151" s="3">
        <v>3</v>
      </c>
      <c r="D1151" s="13">
        <f t="shared" si="35"/>
        <v>44896</v>
      </c>
      <c r="E1151" s="15">
        <v>4200</v>
      </c>
      <c r="F1151" s="9">
        <v>0.1125</v>
      </c>
      <c r="G1151" s="9">
        <v>0.1125</v>
      </c>
      <c r="H1151" s="15">
        <f t="shared" si="34"/>
        <v>9050</v>
      </c>
    </row>
    <row r="1152" spans="1:8" x14ac:dyDescent="0.3">
      <c r="A1152" s="13">
        <v>44894</v>
      </c>
      <c r="B1152" s="15" t="s">
        <v>21</v>
      </c>
      <c r="C1152" s="3">
        <v>2</v>
      </c>
      <c r="D1152" s="13">
        <f t="shared" si="35"/>
        <v>44896</v>
      </c>
      <c r="E1152" s="15">
        <v>3000</v>
      </c>
      <c r="F1152" s="9">
        <v>0.112</v>
      </c>
      <c r="G1152" s="9">
        <v>0.112</v>
      </c>
      <c r="H1152" s="15">
        <f t="shared" si="34"/>
        <v>10600</v>
      </c>
    </row>
    <row r="1153" spans="1:8" x14ac:dyDescent="0.3">
      <c r="A1153" s="13">
        <v>44895</v>
      </c>
      <c r="B1153" s="15" t="s">
        <v>21</v>
      </c>
      <c r="C1153" s="3">
        <v>1</v>
      </c>
      <c r="D1153" s="13">
        <f t="shared" si="35"/>
        <v>44896</v>
      </c>
      <c r="E1153" s="15">
        <v>-400</v>
      </c>
      <c r="F1153" s="9">
        <v>0.113</v>
      </c>
      <c r="G1153" s="9">
        <v>0.113</v>
      </c>
      <c r="H1153" s="15">
        <f t="shared" si="34"/>
        <v>6800</v>
      </c>
    </row>
    <row r="1154" spans="1:8" x14ac:dyDescent="0.3">
      <c r="A1154" s="13">
        <v>44896</v>
      </c>
      <c r="B1154" s="15" t="s">
        <v>21</v>
      </c>
      <c r="C1154" s="3">
        <v>4</v>
      </c>
      <c r="D1154" s="13">
        <f t="shared" si="35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4"/>
        <v>-3400</v>
      </c>
    </row>
    <row r="1155" spans="1:8" x14ac:dyDescent="0.3">
      <c r="A1155" s="13">
        <v>44896</v>
      </c>
      <c r="B1155" s="15" t="s">
        <v>21</v>
      </c>
      <c r="C1155" s="3">
        <v>6</v>
      </c>
      <c r="D1155" s="13">
        <f t="shared" si="35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4"/>
        <v>-3400</v>
      </c>
    </row>
    <row r="1156" spans="1:8" x14ac:dyDescent="0.3">
      <c r="A1156" s="13">
        <v>44896</v>
      </c>
      <c r="B1156" s="15" t="s">
        <v>21</v>
      </c>
      <c r="C1156" s="3">
        <v>7</v>
      </c>
      <c r="D1156" s="13">
        <f t="shared" si="35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4"/>
        <v>-3400</v>
      </c>
    </row>
    <row r="1157" spans="1:8" x14ac:dyDescent="0.3">
      <c r="A1157" s="13">
        <v>44901</v>
      </c>
      <c r="B1157" s="15" t="s">
        <v>21</v>
      </c>
      <c r="C1157" s="3">
        <v>6</v>
      </c>
      <c r="D1157" s="13">
        <f t="shared" si="35"/>
        <v>44907</v>
      </c>
      <c r="E1157" s="15">
        <v>800</v>
      </c>
      <c r="F1157" s="9">
        <v>0.1125</v>
      </c>
      <c r="G1157" s="9">
        <v>0.1125</v>
      </c>
      <c r="H1157" s="15">
        <f t="shared" si="34"/>
        <v>-1800</v>
      </c>
    </row>
    <row r="1158" spans="1:8" x14ac:dyDescent="0.3">
      <c r="A1158" s="13">
        <v>44902</v>
      </c>
      <c r="B1158" s="15" t="s">
        <v>21</v>
      </c>
      <c r="C1158" s="3">
        <v>2</v>
      </c>
      <c r="D1158" s="13">
        <f t="shared" si="35"/>
        <v>44904</v>
      </c>
      <c r="E1158" s="15">
        <v>-1400</v>
      </c>
      <c r="F1158" s="9">
        <v>0.115</v>
      </c>
      <c r="G1158" s="9">
        <v>0.115</v>
      </c>
      <c r="H1158" s="15">
        <f t="shared" si="34"/>
        <v>-1300</v>
      </c>
    </row>
    <row r="1159" spans="1:8" x14ac:dyDescent="0.3">
      <c r="A1159" s="13">
        <v>44904</v>
      </c>
      <c r="B1159" s="15" t="s">
        <v>21</v>
      </c>
      <c r="C1159" s="3">
        <v>3</v>
      </c>
      <c r="D1159" s="13">
        <f t="shared" si="35"/>
        <v>44907</v>
      </c>
      <c r="E1159" s="15">
        <v>-1200</v>
      </c>
      <c r="F1159" s="9">
        <v>0.1145</v>
      </c>
      <c r="G1159" s="9">
        <v>0.1145</v>
      </c>
      <c r="H1159" s="15">
        <f t="shared" si="34"/>
        <v>-2000</v>
      </c>
    </row>
    <row r="1160" spans="1:8" x14ac:dyDescent="0.3">
      <c r="A1160" s="13">
        <v>44904</v>
      </c>
      <c r="B1160" s="15" t="s">
        <v>21</v>
      </c>
      <c r="C1160" s="3">
        <v>4</v>
      </c>
      <c r="D1160" s="13">
        <f t="shared" si="35"/>
        <v>44908</v>
      </c>
      <c r="E1160" s="15">
        <v>-1600</v>
      </c>
      <c r="F1160" s="9">
        <v>0.115</v>
      </c>
      <c r="G1160" s="9">
        <v>0.115</v>
      </c>
      <c r="H1160" s="15">
        <f t="shared" si="34"/>
        <v>-2000</v>
      </c>
    </row>
    <row r="1161" spans="1:8" x14ac:dyDescent="0.3">
      <c r="A1161" s="13">
        <v>44907</v>
      </c>
      <c r="B1161" s="15" t="s">
        <v>21</v>
      </c>
      <c r="C1161" s="3">
        <v>1</v>
      </c>
      <c r="D1161" s="13">
        <f t="shared" si="35"/>
        <v>44908</v>
      </c>
      <c r="E1161" s="15">
        <v>-700</v>
      </c>
      <c r="F1161" s="9">
        <v>0.1145</v>
      </c>
      <c r="G1161" s="9">
        <v>0.1145</v>
      </c>
      <c r="H1161" s="15">
        <f t="shared" si="34"/>
        <v>-2300</v>
      </c>
    </row>
    <row r="1162" spans="1:8" x14ac:dyDescent="0.3">
      <c r="A1162" s="13">
        <v>44910</v>
      </c>
      <c r="B1162" s="15" t="s">
        <v>21</v>
      </c>
      <c r="C1162" s="3">
        <v>6</v>
      </c>
      <c r="D1162" s="13">
        <f t="shared" si="35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6">+SUMIFS($E$10:$E$4506,$A$10:$A$4506,"&lt;="&amp;A1162,$D$10:$D$4506,"&gt;"&amp;A1162)</f>
        <v>1000</v>
      </c>
    </row>
    <row r="1163" spans="1:8" x14ac:dyDescent="0.3">
      <c r="A1163" s="13">
        <v>44910</v>
      </c>
      <c r="B1163" s="15" t="s">
        <v>21</v>
      </c>
      <c r="C1163" s="3">
        <v>7</v>
      </c>
      <c r="D1163" s="13">
        <f t="shared" si="35"/>
        <v>44917</v>
      </c>
      <c r="E1163" s="15">
        <v>400</v>
      </c>
      <c r="F1163" s="9">
        <v>0.1125</v>
      </c>
      <c r="G1163" s="9">
        <v>0.1125</v>
      </c>
      <c r="H1163" s="15">
        <f t="shared" si="36"/>
        <v>1000</v>
      </c>
    </row>
    <row r="1164" spans="1:8" x14ac:dyDescent="0.3">
      <c r="A1164" s="13">
        <v>44914</v>
      </c>
      <c r="B1164" s="15" t="s">
        <v>21</v>
      </c>
      <c r="C1164" s="3">
        <v>1</v>
      </c>
      <c r="D1164" s="13">
        <f t="shared" si="35"/>
        <v>44915</v>
      </c>
      <c r="E1164" s="15">
        <v>450</v>
      </c>
      <c r="F1164" s="9">
        <v>0.1115</v>
      </c>
      <c r="G1164" s="9">
        <v>0.112</v>
      </c>
      <c r="H1164" s="15">
        <f t="shared" si="36"/>
        <v>6050</v>
      </c>
    </row>
    <row r="1165" spans="1:8" x14ac:dyDescent="0.3">
      <c r="A1165" s="13">
        <v>44914</v>
      </c>
      <c r="B1165" s="15" t="s">
        <v>21</v>
      </c>
      <c r="C1165" s="3">
        <v>2</v>
      </c>
      <c r="D1165" s="13">
        <f t="shared" si="35"/>
        <v>44916</v>
      </c>
      <c r="E1165" s="15">
        <v>900</v>
      </c>
      <c r="F1165" s="9">
        <v>0.112</v>
      </c>
      <c r="G1165" s="9">
        <v>0.112</v>
      </c>
      <c r="H1165" s="15">
        <f t="shared" si="36"/>
        <v>6050</v>
      </c>
    </row>
    <row r="1166" spans="1:8" x14ac:dyDescent="0.3">
      <c r="A1166" s="13">
        <v>44914</v>
      </c>
      <c r="B1166" s="15" t="s">
        <v>21</v>
      </c>
      <c r="C1166" s="3">
        <v>3</v>
      </c>
      <c r="D1166" s="13">
        <f t="shared" si="35"/>
        <v>44917</v>
      </c>
      <c r="E1166" s="15">
        <v>900</v>
      </c>
      <c r="F1166" s="9">
        <v>0.112</v>
      </c>
      <c r="G1166" s="9">
        <v>0.1125</v>
      </c>
      <c r="H1166" s="15">
        <f t="shared" si="36"/>
        <v>6050</v>
      </c>
    </row>
    <row r="1167" spans="1:8" x14ac:dyDescent="0.3">
      <c r="A1167" s="13">
        <v>44914</v>
      </c>
      <c r="B1167" s="15" t="s">
        <v>21</v>
      </c>
      <c r="C1167" s="3">
        <v>4</v>
      </c>
      <c r="D1167" s="13">
        <f t="shared" ref="D1167:D1247" si="37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6"/>
        <v>6050</v>
      </c>
    </row>
    <row r="1168" spans="1:8" x14ac:dyDescent="0.3">
      <c r="A1168" s="13">
        <v>44914</v>
      </c>
      <c r="B1168" s="15" t="s">
        <v>21</v>
      </c>
      <c r="C1168" s="3">
        <v>7</v>
      </c>
      <c r="D1168" s="13">
        <f t="shared" si="37"/>
        <v>44921</v>
      </c>
      <c r="E1168" s="15">
        <v>2000</v>
      </c>
      <c r="F1168" s="9">
        <v>0.1125</v>
      </c>
      <c r="G1168" s="9">
        <v>0.1125</v>
      </c>
      <c r="H1168" s="15">
        <f t="shared" si="36"/>
        <v>6050</v>
      </c>
    </row>
    <row r="1169" spans="1:8" x14ac:dyDescent="0.3">
      <c r="A1169" s="13">
        <v>44915</v>
      </c>
      <c r="B1169" s="15" t="s">
        <v>21</v>
      </c>
      <c r="C1169" s="3">
        <v>1</v>
      </c>
      <c r="D1169" s="13">
        <f t="shared" si="37"/>
        <v>44916</v>
      </c>
      <c r="E1169" s="15">
        <v>400</v>
      </c>
      <c r="F1169" s="9">
        <v>0.1115</v>
      </c>
      <c r="G1169" s="9">
        <v>0.1115</v>
      </c>
      <c r="H1169" s="15">
        <f t="shared" si="36"/>
        <v>8000</v>
      </c>
    </row>
    <row r="1170" spans="1:8" x14ac:dyDescent="0.3">
      <c r="A1170" s="13">
        <v>44915</v>
      </c>
      <c r="B1170" s="15" t="s">
        <v>21</v>
      </c>
      <c r="C1170" s="3">
        <v>3</v>
      </c>
      <c r="D1170" s="13">
        <f t="shared" si="37"/>
        <v>44918</v>
      </c>
      <c r="E1170" s="15">
        <v>600</v>
      </c>
      <c r="F1170" s="9">
        <v>0.112</v>
      </c>
      <c r="G1170" s="9">
        <v>0.112</v>
      </c>
      <c r="H1170" s="15">
        <f t="shared" si="36"/>
        <v>8000</v>
      </c>
    </row>
    <row r="1171" spans="1:8" x14ac:dyDescent="0.3">
      <c r="A1171" s="13">
        <v>44915</v>
      </c>
      <c r="B1171" s="15" t="s">
        <v>21</v>
      </c>
      <c r="C1171" s="3">
        <v>7</v>
      </c>
      <c r="D1171" s="13">
        <f t="shared" si="37"/>
        <v>44922</v>
      </c>
      <c r="E1171" s="15">
        <v>1400</v>
      </c>
      <c r="F1171" s="9">
        <v>0.1125</v>
      </c>
      <c r="G1171" s="9">
        <v>0.1125</v>
      </c>
      <c r="H1171" s="15">
        <f t="shared" si="36"/>
        <v>8000</v>
      </c>
    </row>
    <row r="1172" spans="1:8" x14ac:dyDescent="0.3">
      <c r="A1172" s="13">
        <v>44916</v>
      </c>
      <c r="B1172" s="15" t="s">
        <v>21</v>
      </c>
      <c r="C1172" s="3">
        <v>1</v>
      </c>
      <c r="D1172" s="13">
        <f t="shared" si="37"/>
        <v>44917</v>
      </c>
      <c r="E1172" s="15">
        <v>1600</v>
      </c>
      <c r="F1172" s="9">
        <v>0.1115</v>
      </c>
      <c r="G1172" s="9">
        <v>0.1115</v>
      </c>
      <c r="H1172" s="15">
        <f t="shared" si="36"/>
        <v>8700</v>
      </c>
    </row>
    <row r="1173" spans="1:8" x14ac:dyDescent="0.3">
      <c r="A1173" s="13">
        <v>44916</v>
      </c>
      <c r="B1173" s="15" t="s">
        <v>21</v>
      </c>
      <c r="C1173" s="3">
        <v>7</v>
      </c>
      <c r="D1173" s="13">
        <f t="shared" si="37"/>
        <v>44923</v>
      </c>
      <c r="E1173" s="15">
        <v>1000</v>
      </c>
      <c r="F1173" s="9">
        <v>0.1125</v>
      </c>
      <c r="G1173" s="9">
        <v>0.1125</v>
      </c>
      <c r="H1173" s="15">
        <f t="shared" si="36"/>
        <v>8700</v>
      </c>
    </row>
    <row r="1174" spans="1:8" x14ac:dyDescent="0.3">
      <c r="A1174" s="13">
        <v>44917</v>
      </c>
      <c r="B1174" s="15" t="s">
        <v>21</v>
      </c>
      <c r="C1174" s="3">
        <v>1</v>
      </c>
      <c r="D1174" s="13">
        <f t="shared" si="37"/>
        <v>44918</v>
      </c>
      <c r="E1174" s="15">
        <v>3500</v>
      </c>
      <c r="F1174" s="9">
        <v>0.11</v>
      </c>
      <c r="G1174" s="9">
        <v>0.1115</v>
      </c>
      <c r="H1174" s="15">
        <f t="shared" si="36"/>
        <v>14000</v>
      </c>
    </row>
    <row r="1175" spans="1:8" x14ac:dyDescent="0.3">
      <c r="A1175" s="13">
        <v>44917</v>
      </c>
      <c r="B1175" s="15" t="s">
        <v>21</v>
      </c>
      <c r="C1175" s="3">
        <v>4</v>
      </c>
      <c r="D1175" s="13">
        <f t="shared" si="37"/>
        <v>44921</v>
      </c>
      <c r="E1175" s="15">
        <v>1900</v>
      </c>
      <c r="F1175" s="9">
        <v>0.112</v>
      </c>
      <c r="G1175" s="9">
        <v>0.112</v>
      </c>
      <c r="H1175" s="15">
        <f t="shared" si="36"/>
        <v>14000</v>
      </c>
    </row>
    <row r="1176" spans="1:8" x14ac:dyDescent="0.3">
      <c r="A1176" s="13">
        <v>44917</v>
      </c>
      <c r="B1176" s="15" t="s">
        <v>21</v>
      </c>
      <c r="C1176" s="3">
        <v>7</v>
      </c>
      <c r="D1176" s="13">
        <f t="shared" si="37"/>
        <v>44924</v>
      </c>
      <c r="E1176" s="15">
        <v>2800</v>
      </c>
      <c r="F1176" s="9">
        <v>0.1125</v>
      </c>
      <c r="G1176" s="9">
        <v>0.1125</v>
      </c>
      <c r="H1176" s="15">
        <f t="shared" si="36"/>
        <v>14000</v>
      </c>
    </row>
    <row r="1177" spans="1:8" x14ac:dyDescent="0.3">
      <c r="A1177" s="13">
        <v>44918</v>
      </c>
      <c r="B1177" s="15" t="s">
        <v>21</v>
      </c>
      <c r="C1177" s="3">
        <v>3</v>
      </c>
      <c r="D1177" s="13">
        <f t="shared" si="37"/>
        <v>44921</v>
      </c>
      <c r="E1177" s="15">
        <v>1000</v>
      </c>
      <c r="F1177" s="9">
        <v>0.1115</v>
      </c>
      <c r="G1177" s="9">
        <v>0.1115</v>
      </c>
      <c r="H1177" s="15">
        <f t="shared" si="36"/>
        <v>15000</v>
      </c>
    </row>
    <row r="1178" spans="1:8" x14ac:dyDescent="0.3">
      <c r="A1178" s="13">
        <v>44918</v>
      </c>
      <c r="B1178" s="15" t="s">
        <v>21</v>
      </c>
      <c r="C1178" s="3">
        <v>4</v>
      </c>
      <c r="D1178" s="13">
        <f t="shared" si="37"/>
        <v>44922</v>
      </c>
      <c r="E1178" s="15">
        <v>1300</v>
      </c>
      <c r="F1178" s="9">
        <v>0.112</v>
      </c>
      <c r="G1178" s="9">
        <v>0.112</v>
      </c>
      <c r="H1178" s="15">
        <f t="shared" si="36"/>
        <v>15000</v>
      </c>
    </row>
    <row r="1179" spans="1:8" x14ac:dyDescent="0.3">
      <c r="A1179" s="13">
        <v>44918</v>
      </c>
      <c r="B1179" s="15" t="s">
        <v>21</v>
      </c>
      <c r="C1179" s="3">
        <v>7</v>
      </c>
      <c r="D1179" s="13">
        <f t="shared" si="37"/>
        <v>44925</v>
      </c>
      <c r="E1179" s="15">
        <v>3600</v>
      </c>
      <c r="F1179" s="9">
        <v>0.1125</v>
      </c>
      <c r="G1179" s="9">
        <v>0.1125</v>
      </c>
      <c r="H1179" s="15">
        <f t="shared" si="36"/>
        <v>15000</v>
      </c>
    </row>
    <row r="1180" spans="1:8" x14ac:dyDescent="0.3">
      <c r="A1180" s="13">
        <v>44921</v>
      </c>
      <c r="B1180" s="15" t="s">
        <v>21</v>
      </c>
      <c r="C1180" s="3">
        <v>7</v>
      </c>
      <c r="D1180" s="13">
        <f t="shared" si="37"/>
        <v>44928</v>
      </c>
      <c r="E1180" s="15">
        <v>2800</v>
      </c>
      <c r="F1180" s="9">
        <v>0.1125</v>
      </c>
      <c r="G1180" s="9">
        <v>0.1125</v>
      </c>
      <c r="H1180" s="15">
        <f t="shared" si="36"/>
        <v>12900</v>
      </c>
    </row>
    <row r="1181" spans="1:8" x14ac:dyDescent="0.3">
      <c r="A1181" s="13">
        <v>44922</v>
      </c>
      <c r="B1181" s="15" t="s">
        <v>21</v>
      </c>
      <c r="C1181" s="3">
        <v>6</v>
      </c>
      <c r="D1181" s="13">
        <f t="shared" si="37"/>
        <v>44928</v>
      </c>
      <c r="E1181" s="15">
        <v>7250</v>
      </c>
      <c r="F1181" s="9">
        <v>0.112</v>
      </c>
      <c r="G1181" s="9">
        <v>0.1125</v>
      </c>
      <c r="H1181" s="15">
        <f t="shared" si="36"/>
        <v>17450</v>
      </c>
    </row>
    <row r="1182" spans="1:8" x14ac:dyDescent="0.3">
      <c r="A1182" s="13">
        <v>44923</v>
      </c>
      <c r="B1182" s="15" t="s">
        <v>21</v>
      </c>
      <c r="C1182" s="3">
        <v>1</v>
      </c>
      <c r="D1182" s="13">
        <f t="shared" si="37"/>
        <v>44924</v>
      </c>
      <c r="E1182" s="15">
        <v>200</v>
      </c>
      <c r="F1182" s="9">
        <v>0.111</v>
      </c>
      <c r="G1182" s="9">
        <v>0.111</v>
      </c>
      <c r="H1182" s="15">
        <f t="shared" si="36"/>
        <v>21220</v>
      </c>
    </row>
    <row r="1183" spans="1:8" x14ac:dyDescent="0.3">
      <c r="A1183" s="13">
        <v>44923</v>
      </c>
      <c r="B1183" s="15" t="s">
        <v>21</v>
      </c>
      <c r="C1183" s="3">
        <v>2</v>
      </c>
      <c r="D1183" s="13">
        <f t="shared" si="37"/>
        <v>44925</v>
      </c>
      <c r="E1183" s="15">
        <v>3200</v>
      </c>
      <c r="F1183" s="9">
        <v>0.111</v>
      </c>
      <c r="G1183" s="9">
        <v>0.111</v>
      </c>
      <c r="H1183" s="15">
        <f t="shared" si="36"/>
        <v>21220</v>
      </c>
    </row>
    <row r="1184" spans="1:8" x14ac:dyDescent="0.3">
      <c r="A1184" s="13">
        <v>44923</v>
      </c>
      <c r="B1184" s="15" t="s">
        <v>21</v>
      </c>
      <c r="C1184" s="3">
        <v>5</v>
      </c>
      <c r="D1184" s="13">
        <f t="shared" si="37"/>
        <v>44928</v>
      </c>
      <c r="E1184" s="15">
        <v>1370</v>
      </c>
      <c r="F1184" s="9">
        <v>0.112</v>
      </c>
      <c r="G1184" s="9">
        <v>0.112</v>
      </c>
      <c r="H1184" s="15">
        <f t="shared" si="36"/>
        <v>21220</v>
      </c>
    </row>
    <row r="1185" spans="1:8" x14ac:dyDescent="0.3">
      <c r="A1185" s="13">
        <v>44924</v>
      </c>
      <c r="B1185" s="15" t="s">
        <v>21</v>
      </c>
      <c r="C1185" s="3">
        <v>4</v>
      </c>
      <c r="D1185" s="13">
        <f t="shared" si="37"/>
        <v>44928</v>
      </c>
      <c r="E1185" s="15">
        <v>3600</v>
      </c>
      <c r="F1185" s="9">
        <v>0.112</v>
      </c>
      <c r="G1185" s="9">
        <v>0.112</v>
      </c>
      <c r="H1185" s="15">
        <f t="shared" si="36"/>
        <v>21820</v>
      </c>
    </row>
    <row r="1186" spans="1:8" x14ac:dyDescent="0.3">
      <c r="A1186" s="13">
        <v>44925</v>
      </c>
      <c r="B1186" s="15" t="s">
        <v>21</v>
      </c>
      <c r="C1186" s="3">
        <v>3</v>
      </c>
      <c r="D1186" s="13">
        <f t="shared" si="37"/>
        <v>44928</v>
      </c>
      <c r="E1186" s="15">
        <v>-500</v>
      </c>
      <c r="F1186" s="9">
        <v>0.1145</v>
      </c>
      <c r="G1186" s="9">
        <v>0.1145</v>
      </c>
      <c r="H1186" s="15">
        <f t="shared" si="36"/>
        <v>14520</v>
      </c>
    </row>
    <row r="1187" spans="1:8" x14ac:dyDescent="0.3">
      <c r="A1187" s="13">
        <v>44930</v>
      </c>
      <c r="B1187" s="15" t="s">
        <v>21</v>
      </c>
      <c r="C1187" s="3">
        <v>5</v>
      </c>
      <c r="D1187" s="13">
        <f t="shared" si="37"/>
        <v>44935</v>
      </c>
      <c r="E1187" s="15">
        <v>1300</v>
      </c>
      <c r="F1187" s="9">
        <v>0.115</v>
      </c>
      <c r="G1187" s="9">
        <v>0.115</v>
      </c>
      <c r="H1187" s="15">
        <f t="shared" si="36"/>
        <v>1300</v>
      </c>
    </row>
    <row r="1188" spans="1:8" x14ac:dyDescent="0.3">
      <c r="A1188" s="13">
        <v>44936</v>
      </c>
      <c r="B1188" s="15" t="s">
        <v>21</v>
      </c>
      <c r="C1188" s="3">
        <v>3</v>
      </c>
      <c r="D1188" s="13">
        <f t="shared" si="37"/>
        <v>44939</v>
      </c>
      <c r="E1188" s="15">
        <v>1200</v>
      </c>
      <c r="F1188" s="9">
        <v>0.115</v>
      </c>
      <c r="G1188" s="9">
        <v>0.115</v>
      </c>
      <c r="H1188" s="15">
        <f t="shared" si="36"/>
        <v>2000</v>
      </c>
    </row>
    <row r="1189" spans="1:8" x14ac:dyDescent="0.3">
      <c r="A1189" s="13">
        <v>44936</v>
      </c>
      <c r="B1189" s="15" t="s">
        <v>21</v>
      </c>
      <c r="C1189" s="3">
        <v>7</v>
      </c>
      <c r="D1189" s="13">
        <f t="shared" si="37"/>
        <v>44943</v>
      </c>
      <c r="E1189" s="15">
        <v>800</v>
      </c>
      <c r="F1189" s="9">
        <v>0.115</v>
      </c>
      <c r="G1189" s="9">
        <v>0.115</v>
      </c>
      <c r="H1189" s="15">
        <f t="shared" si="36"/>
        <v>2000</v>
      </c>
    </row>
    <row r="1190" spans="1:8" x14ac:dyDescent="0.3">
      <c r="A1190" s="13">
        <v>44937</v>
      </c>
      <c r="B1190" s="15" t="s">
        <v>21</v>
      </c>
      <c r="C1190" s="3">
        <v>2</v>
      </c>
      <c r="D1190" s="13">
        <f t="shared" si="37"/>
        <v>44939</v>
      </c>
      <c r="E1190" s="15">
        <v>2100</v>
      </c>
      <c r="F1190" s="9">
        <v>0.115</v>
      </c>
      <c r="G1190" s="9">
        <v>0.115</v>
      </c>
      <c r="H1190" s="15">
        <f t="shared" si="36"/>
        <v>5900</v>
      </c>
    </row>
    <row r="1191" spans="1:8" x14ac:dyDescent="0.3">
      <c r="A1191" s="13">
        <v>44937</v>
      </c>
      <c r="B1191" s="15" t="s">
        <v>21</v>
      </c>
      <c r="C1191" s="3">
        <v>5</v>
      </c>
      <c r="D1191" s="13">
        <f t="shared" si="37"/>
        <v>44942</v>
      </c>
      <c r="E1191" s="15">
        <v>200</v>
      </c>
      <c r="F1191" s="9">
        <v>0.115</v>
      </c>
      <c r="G1191" s="9">
        <v>0.115</v>
      </c>
      <c r="H1191" s="15">
        <f t="shared" si="36"/>
        <v>5900</v>
      </c>
    </row>
    <row r="1192" spans="1:8" x14ac:dyDescent="0.3">
      <c r="A1192" s="13">
        <v>44937</v>
      </c>
      <c r="B1192" s="15" t="s">
        <v>21</v>
      </c>
      <c r="C1192" s="3">
        <v>7</v>
      </c>
      <c r="D1192" s="13">
        <f t="shared" si="37"/>
        <v>44944</v>
      </c>
      <c r="E1192" s="15">
        <v>1600</v>
      </c>
      <c r="F1192" s="9">
        <v>0.115</v>
      </c>
      <c r="G1192" s="9">
        <v>0.115</v>
      </c>
      <c r="H1192" s="15">
        <f t="shared" si="36"/>
        <v>5900</v>
      </c>
    </row>
    <row r="1193" spans="1:8" x14ac:dyDescent="0.3">
      <c r="A1193" s="13">
        <v>44938</v>
      </c>
      <c r="B1193" s="15" t="s">
        <v>21</v>
      </c>
      <c r="C1193" s="3">
        <v>4</v>
      </c>
      <c r="D1193" s="13">
        <f t="shared" si="37"/>
        <v>44942</v>
      </c>
      <c r="E1193" s="15">
        <v>800</v>
      </c>
      <c r="F1193" s="9">
        <v>0.115</v>
      </c>
      <c r="G1193" s="9">
        <v>0.115</v>
      </c>
      <c r="H1193" s="15">
        <f t="shared" si="36"/>
        <v>7900</v>
      </c>
    </row>
    <row r="1194" spans="1:8" x14ac:dyDescent="0.3">
      <c r="A1194" s="13">
        <v>44938</v>
      </c>
      <c r="B1194" s="15" t="s">
        <v>21</v>
      </c>
      <c r="C1194" s="3">
        <v>6</v>
      </c>
      <c r="D1194" s="13">
        <f t="shared" si="37"/>
        <v>44944</v>
      </c>
      <c r="E1194" s="15">
        <v>1000</v>
      </c>
      <c r="F1194" s="9">
        <v>0.115</v>
      </c>
      <c r="G1194" s="9">
        <v>0.115</v>
      </c>
      <c r="H1194" s="15">
        <f t="shared" si="36"/>
        <v>7900</v>
      </c>
    </row>
    <row r="1195" spans="1:8" x14ac:dyDescent="0.3">
      <c r="A1195" s="13">
        <v>44938</v>
      </c>
      <c r="B1195" s="15" t="s">
        <v>21</v>
      </c>
      <c r="C1195" s="3">
        <v>8</v>
      </c>
      <c r="D1195" s="13">
        <f t="shared" si="37"/>
        <v>44946</v>
      </c>
      <c r="E1195" s="15">
        <v>200</v>
      </c>
      <c r="F1195" s="9">
        <v>0.115</v>
      </c>
      <c r="G1195" s="9">
        <v>0.115</v>
      </c>
      <c r="H1195" s="15">
        <f t="shared" si="36"/>
        <v>7900</v>
      </c>
    </row>
    <row r="1196" spans="1:8" x14ac:dyDescent="0.3">
      <c r="A1196" s="13">
        <v>44939</v>
      </c>
      <c r="B1196" s="15" t="s">
        <v>21</v>
      </c>
      <c r="C1196" s="3">
        <v>4</v>
      </c>
      <c r="D1196" s="13">
        <f t="shared" si="37"/>
        <v>44943</v>
      </c>
      <c r="E1196" s="15">
        <v>400</v>
      </c>
      <c r="F1196" s="9">
        <v>0.115</v>
      </c>
      <c r="G1196" s="9">
        <v>0.115</v>
      </c>
      <c r="H1196" s="15">
        <f t="shared" si="36"/>
        <v>6700</v>
      </c>
    </row>
    <row r="1197" spans="1:8" x14ac:dyDescent="0.3">
      <c r="A1197" s="13">
        <v>44939</v>
      </c>
      <c r="B1197" s="15" t="s">
        <v>21</v>
      </c>
      <c r="C1197" s="3">
        <v>7</v>
      </c>
      <c r="D1197" s="13">
        <f t="shared" si="37"/>
        <v>44946</v>
      </c>
      <c r="E1197" s="15">
        <v>1700</v>
      </c>
      <c r="F1197" s="9">
        <v>0.115</v>
      </c>
      <c r="G1197" s="9">
        <v>0.115</v>
      </c>
      <c r="H1197" s="15">
        <f t="shared" si="36"/>
        <v>6700</v>
      </c>
    </row>
    <row r="1198" spans="1:8" x14ac:dyDescent="0.3">
      <c r="A1198" s="13">
        <v>44942</v>
      </c>
      <c r="B1198" s="15" t="s">
        <v>21</v>
      </c>
      <c r="C1198" s="3">
        <v>2</v>
      </c>
      <c r="D1198" s="13">
        <f t="shared" si="37"/>
        <v>44944</v>
      </c>
      <c r="E1198" s="15">
        <v>3100</v>
      </c>
      <c r="F1198" s="9">
        <v>0.115</v>
      </c>
      <c r="G1198" s="9">
        <v>0.115</v>
      </c>
      <c r="H1198" s="15">
        <f t="shared" si="36"/>
        <v>8800</v>
      </c>
    </row>
    <row r="1199" spans="1:8" x14ac:dyDescent="0.3">
      <c r="A1199" s="13">
        <v>44943</v>
      </c>
      <c r="B1199" s="15" t="s">
        <v>21</v>
      </c>
      <c r="C1199" s="3">
        <v>2</v>
      </c>
      <c r="D1199" s="13">
        <f t="shared" si="37"/>
        <v>44945</v>
      </c>
      <c r="E1199" s="15">
        <v>1400</v>
      </c>
      <c r="F1199" s="9">
        <v>0.115</v>
      </c>
      <c r="G1199" s="9">
        <v>0.115</v>
      </c>
      <c r="H1199" s="15">
        <f t="shared" si="36"/>
        <v>9800</v>
      </c>
    </row>
    <row r="1200" spans="1:8" x14ac:dyDescent="0.3">
      <c r="A1200" s="13">
        <v>44943</v>
      </c>
      <c r="B1200" s="15" t="s">
        <v>21</v>
      </c>
      <c r="C1200" s="3">
        <v>3</v>
      </c>
      <c r="D1200" s="13">
        <f t="shared" si="37"/>
        <v>44946</v>
      </c>
      <c r="E1200" s="15">
        <v>400</v>
      </c>
      <c r="F1200" s="9">
        <v>0.115</v>
      </c>
      <c r="G1200" s="9">
        <v>0.115</v>
      </c>
      <c r="H1200" s="15">
        <f t="shared" si="36"/>
        <v>9800</v>
      </c>
    </row>
    <row r="1201" spans="1:8" x14ac:dyDescent="0.3">
      <c r="A1201" s="13">
        <v>44943</v>
      </c>
      <c r="B1201" s="15" t="s">
        <v>21</v>
      </c>
      <c r="C1201" s="3">
        <v>7</v>
      </c>
      <c r="D1201" s="13">
        <f t="shared" si="37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6"/>
        <v>9800</v>
      </c>
    </row>
    <row r="1202" spans="1:8" x14ac:dyDescent="0.3">
      <c r="A1202" s="13">
        <v>44944</v>
      </c>
      <c r="B1202" s="15" t="s">
        <v>21</v>
      </c>
      <c r="C1202" s="3">
        <v>2</v>
      </c>
      <c r="D1202" s="13">
        <f t="shared" si="37"/>
        <v>44946</v>
      </c>
      <c r="E1202" s="15">
        <v>2200</v>
      </c>
      <c r="F1202" s="9">
        <v>0.115</v>
      </c>
      <c r="G1202" s="9">
        <v>0.115</v>
      </c>
      <c r="H1202" s="15">
        <f t="shared" si="36"/>
        <v>7000</v>
      </c>
    </row>
    <row r="1203" spans="1:8" x14ac:dyDescent="0.3">
      <c r="A1203" s="13">
        <v>44944</v>
      </c>
      <c r="B1203" s="15" t="s">
        <v>21</v>
      </c>
      <c r="C1203" s="3">
        <v>5</v>
      </c>
      <c r="D1203" s="13">
        <f t="shared" si="37"/>
        <v>44949</v>
      </c>
      <c r="E1203" s="15">
        <v>700</v>
      </c>
      <c r="F1203" s="9">
        <v>0.115</v>
      </c>
      <c r="G1203" s="9">
        <v>0.115</v>
      </c>
      <c r="H1203" s="15">
        <f t="shared" si="36"/>
        <v>7000</v>
      </c>
    </row>
    <row r="1204" spans="1:8" x14ac:dyDescent="0.3">
      <c r="A1204" s="13">
        <v>44945</v>
      </c>
      <c r="B1204" s="15" t="s">
        <v>21</v>
      </c>
      <c r="C1204" s="3">
        <v>7</v>
      </c>
      <c r="D1204" s="13">
        <f t="shared" si="37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6"/>
        <v>6000</v>
      </c>
    </row>
    <row r="1205" spans="1:8" x14ac:dyDescent="0.3">
      <c r="A1205" s="13">
        <v>44946</v>
      </c>
      <c r="B1205" s="15" t="s">
        <v>21</v>
      </c>
      <c r="C1205" s="3">
        <v>4</v>
      </c>
      <c r="D1205" s="13">
        <f t="shared" si="37"/>
        <v>44950</v>
      </c>
      <c r="E1205" s="15">
        <v>1850</v>
      </c>
      <c r="F1205" s="9">
        <v>0.115</v>
      </c>
      <c r="G1205" s="9">
        <v>0.115</v>
      </c>
      <c r="H1205" s="15">
        <f t="shared" si="36"/>
        <v>7050</v>
      </c>
    </row>
    <row r="1206" spans="1:8" x14ac:dyDescent="0.3">
      <c r="A1206" s="13">
        <v>44946</v>
      </c>
      <c r="B1206" s="15" t="s">
        <v>21</v>
      </c>
      <c r="C1206" s="3">
        <v>7</v>
      </c>
      <c r="D1206" s="13">
        <f t="shared" si="37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6"/>
        <v>7050</v>
      </c>
    </row>
    <row r="1207" spans="1:8" x14ac:dyDescent="0.3">
      <c r="A1207" s="13">
        <v>44946</v>
      </c>
      <c r="B1207" s="15" t="s">
        <v>21</v>
      </c>
      <c r="C1207" s="3">
        <v>12</v>
      </c>
      <c r="D1207" s="13">
        <f t="shared" si="37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6"/>
        <v>7050</v>
      </c>
    </row>
    <row r="1208" spans="1:8" x14ac:dyDescent="0.3">
      <c r="A1208" s="13">
        <v>44949</v>
      </c>
      <c r="B1208" s="15" t="s">
        <v>21</v>
      </c>
      <c r="C1208" s="3">
        <v>1</v>
      </c>
      <c r="D1208" s="13">
        <f t="shared" si="37"/>
        <v>44950</v>
      </c>
      <c r="E1208" s="15">
        <v>700</v>
      </c>
      <c r="F1208" s="9">
        <v>0.115</v>
      </c>
      <c r="G1208" s="9">
        <v>0.115</v>
      </c>
      <c r="H1208" s="15">
        <f t="shared" si="36"/>
        <v>8550</v>
      </c>
    </row>
    <row r="1209" spans="1:8" x14ac:dyDescent="0.3">
      <c r="A1209" s="13">
        <v>44949</v>
      </c>
      <c r="B1209" s="15" t="s">
        <v>21</v>
      </c>
      <c r="C1209" s="3">
        <v>2</v>
      </c>
      <c r="D1209" s="13">
        <f t="shared" si="37"/>
        <v>44951</v>
      </c>
      <c r="E1209" s="15">
        <v>1500</v>
      </c>
      <c r="F1209" s="9">
        <v>0.115</v>
      </c>
      <c r="G1209" s="9">
        <v>0.115</v>
      </c>
      <c r="H1209" s="15">
        <f t="shared" si="36"/>
        <v>8550</v>
      </c>
    </row>
    <row r="1210" spans="1:8" x14ac:dyDescent="0.3">
      <c r="A1210" s="13">
        <v>44950</v>
      </c>
      <c r="B1210" s="15" t="s">
        <v>21</v>
      </c>
      <c r="C1210" s="3">
        <v>1</v>
      </c>
      <c r="D1210" s="13">
        <f t="shared" si="37"/>
        <v>44951</v>
      </c>
      <c r="E1210" s="15">
        <v>600</v>
      </c>
      <c r="F1210" s="9">
        <v>0.115</v>
      </c>
      <c r="G1210" s="9">
        <v>0.115</v>
      </c>
      <c r="H1210" s="15">
        <f t="shared" si="36"/>
        <v>8200</v>
      </c>
    </row>
    <row r="1211" spans="1:8" x14ac:dyDescent="0.3">
      <c r="A1211" s="13">
        <v>44950</v>
      </c>
      <c r="B1211" s="15" t="s">
        <v>21</v>
      </c>
      <c r="C1211" s="3">
        <v>8</v>
      </c>
      <c r="D1211" s="13">
        <f t="shared" si="37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6"/>
        <v>8200</v>
      </c>
    </row>
    <row r="1212" spans="1:8" x14ac:dyDescent="0.3">
      <c r="A1212" s="13">
        <v>44952</v>
      </c>
      <c r="B1212" s="15" t="s">
        <v>21</v>
      </c>
      <c r="C1212" s="3">
        <v>4</v>
      </c>
      <c r="D1212" s="13">
        <f t="shared" si="37"/>
        <v>44956</v>
      </c>
      <c r="E1212" s="15">
        <v>700</v>
      </c>
      <c r="F1212" s="9">
        <v>0.113</v>
      </c>
      <c r="G1212" s="9">
        <v>0.114</v>
      </c>
      <c r="H1212" s="15">
        <f t="shared" si="36"/>
        <v>8800</v>
      </c>
    </row>
    <row r="1213" spans="1:8" x14ac:dyDescent="0.3">
      <c r="A1213" s="13">
        <v>44952</v>
      </c>
      <c r="B1213" s="15" t="s">
        <v>21</v>
      </c>
      <c r="C1213" s="3">
        <v>5</v>
      </c>
      <c r="D1213" s="13">
        <f t="shared" si="37"/>
        <v>44957</v>
      </c>
      <c r="E1213" s="15">
        <v>2400</v>
      </c>
      <c r="F1213" s="9">
        <v>0.113</v>
      </c>
      <c r="G1213" s="9">
        <v>0.114</v>
      </c>
      <c r="H1213" s="15">
        <f t="shared" si="36"/>
        <v>8800</v>
      </c>
    </row>
    <row r="1214" spans="1:8" x14ac:dyDescent="0.3">
      <c r="A1214" s="13">
        <v>44953</v>
      </c>
      <c r="B1214" s="15" t="s">
        <v>21</v>
      </c>
      <c r="C1214" s="3">
        <v>4</v>
      </c>
      <c r="D1214" s="13">
        <f t="shared" si="37"/>
        <v>44957</v>
      </c>
      <c r="E1214" s="15">
        <v>3700</v>
      </c>
      <c r="F1214" s="9">
        <v>0.114</v>
      </c>
      <c r="G1214" s="9">
        <v>0.115</v>
      </c>
      <c r="H1214" s="15">
        <f t="shared" si="36"/>
        <v>9300</v>
      </c>
    </row>
    <row r="1215" spans="1:8" x14ac:dyDescent="0.3">
      <c r="A1215" s="13">
        <v>44957</v>
      </c>
      <c r="B1215" s="15" t="s">
        <v>21</v>
      </c>
      <c r="C1215" s="3">
        <v>1</v>
      </c>
      <c r="D1215" s="13">
        <f t="shared" si="37"/>
        <v>44958</v>
      </c>
      <c r="E1215" s="15">
        <v>4500</v>
      </c>
      <c r="F1215" s="9">
        <v>0.113</v>
      </c>
      <c r="G1215" s="9">
        <v>0.114</v>
      </c>
      <c r="H1215" s="15">
        <f t="shared" si="36"/>
        <v>9900</v>
      </c>
    </row>
    <row r="1216" spans="1:8" x14ac:dyDescent="0.3">
      <c r="A1216" s="13">
        <v>44957</v>
      </c>
      <c r="B1216" s="15" t="s">
        <v>21</v>
      </c>
      <c r="C1216" s="3">
        <v>2</v>
      </c>
      <c r="D1216" s="13">
        <f t="shared" si="37"/>
        <v>44959</v>
      </c>
      <c r="E1216" s="15">
        <v>2900</v>
      </c>
      <c r="F1216" s="9">
        <v>0.1145</v>
      </c>
      <c r="G1216" s="9">
        <v>0.115</v>
      </c>
      <c r="H1216" s="15">
        <f t="shared" si="36"/>
        <v>9900</v>
      </c>
    </row>
    <row r="1217" spans="1:8" x14ac:dyDescent="0.3">
      <c r="A1217" s="13">
        <v>44958</v>
      </c>
      <c r="B1217" s="15" t="s">
        <v>21</v>
      </c>
      <c r="C1217" s="3">
        <v>1</v>
      </c>
      <c r="D1217" s="13">
        <f t="shared" si="37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6"/>
        <v>2600</v>
      </c>
    </row>
    <row r="1218" spans="1:8" x14ac:dyDescent="0.3">
      <c r="A1218" s="13">
        <v>44959</v>
      </c>
      <c r="B1218" s="15" t="s">
        <v>21</v>
      </c>
      <c r="C1218" s="3">
        <v>1</v>
      </c>
      <c r="D1218" s="13">
        <f t="shared" si="37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6"/>
        <v>-300</v>
      </c>
    </row>
    <row r="1219" spans="1:8" x14ac:dyDescent="0.3">
      <c r="A1219" s="13">
        <v>44963</v>
      </c>
      <c r="B1219" s="15" t="s">
        <v>21</v>
      </c>
      <c r="C1219" s="3">
        <v>7</v>
      </c>
      <c r="D1219" s="13">
        <f t="shared" si="37"/>
        <v>44970</v>
      </c>
      <c r="E1219" s="15">
        <v>3000</v>
      </c>
      <c r="F1219" s="9">
        <v>0.115</v>
      </c>
      <c r="G1219" s="9">
        <v>0.115</v>
      </c>
      <c r="H1219" s="15">
        <f t="shared" si="36"/>
        <v>4640</v>
      </c>
    </row>
    <row r="1220" spans="1:8" x14ac:dyDescent="0.3">
      <c r="A1220" s="13">
        <v>44963</v>
      </c>
      <c r="B1220" s="15" t="s">
        <v>21</v>
      </c>
      <c r="C1220" s="3">
        <v>8</v>
      </c>
      <c r="D1220" s="13">
        <f t="shared" si="37"/>
        <v>44971</v>
      </c>
      <c r="E1220" s="15">
        <v>640</v>
      </c>
      <c r="F1220" s="9">
        <v>0.115</v>
      </c>
      <c r="G1220" s="9">
        <v>0.115</v>
      </c>
      <c r="H1220" s="15">
        <f t="shared" si="36"/>
        <v>4640</v>
      </c>
    </row>
    <row r="1221" spans="1:8" x14ac:dyDescent="0.3">
      <c r="A1221" s="13">
        <v>44963</v>
      </c>
      <c r="B1221" s="15" t="s">
        <v>21</v>
      </c>
      <c r="C1221" s="3">
        <v>16</v>
      </c>
      <c r="D1221" s="13">
        <f t="shared" si="37"/>
        <v>44979</v>
      </c>
      <c r="E1221" s="15">
        <v>1000</v>
      </c>
      <c r="F1221" s="9">
        <v>0.115</v>
      </c>
      <c r="G1221" s="9">
        <v>0.115</v>
      </c>
      <c r="H1221" s="15">
        <f t="shared" si="36"/>
        <v>4640</v>
      </c>
    </row>
    <row r="1222" spans="1:8" x14ac:dyDescent="0.3">
      <c r="A1222" s="13">
        <v>44965</v>
      </c>
      <c r="B1222" s="15" t="s">
        <v>21</v>
      </c>
      <c r="C1222" s="3">
        <v>7</v>
      </c>
      <c r="D1222" s="13">
        <f t="shared" si="37"/>
        <v>44972</v>
      </c>
      <c r="E1222" s="15">
        <v>4100</v>
      </c>
      <c r="F1222" s="9">
        <v>0.115</v>
      </c>
      <c r="G1222" s="9">
        <v>0.115</v>
      </c>
      <c r="H1222" s="15">
        <f t="shared" si="36"/>
        <v>8740</v>
      </c>
    </row>
    <row r="1223" spans="1:8" x14ac:dyDescent="0.3">
      <c r="A1223" s="13">
        <v>44966</v>
      </c>
      <c r="B1223" s="15" t="s">
        <v>21</v>
      </c>
      <c r="C1223" s="3">
        <v>7</v>
      </c>
      <c r="D1223" s="13">
        <f t="shared" si="37"/>
        <v>44973</v>
      </c>
      <c r="E1223" s="15">
        <v>4000</v>
      </c>
      <c r="F1223" s="9">
        <v>0.115</v>
      </c>
      <c r="G1223" s="9">
        <v>0.115</v>
      </c>
      <c r="H1223" s="15">
        <f t="shared" si="36"/>
        <v>12940</v>
      </c>
    </row>
    <row r="1224" spans="1:8" x14ac:dyDescent="0.3">
      <c r="A1224" s="13">
        <v>44966</v>
      </c>
      <c r="B1224" s="15" t="s">
        <v>21</v>
      </c>
      <c r="C1224" s="3">
        <v>8</v>
      </c>
      <c r="D1224" s="13">
        <f t="shared" si="37"/>
        <v>44974</v>
      </c>
      <c r="E1224" s="15">
        <v>200</v>
      </c>
      <c r="F1224" s="9">
        <v>0.115</v>
      </c>
      <c r="G1224" s="9">
        <v>0.115</v>
      </c>
      <c r="H1224" s="15">
        <f t="shared" si="36"/>
        <v>12940</v>
      </c>
    </row>
    <row r="1225" spans="1:8" x14ac:dyDescent="0.3">
      <c r="A1225" s="13">
        <v>44967</v>
      </c>
      <c r="B1225" s="15" t="s">
        <v>21</v>
      </c>
      <c r="C1225" s="3">
        <v>3</v>
      </c>
      <c r="D1225" s="13">
        <f t="shared" si="37"/>
        <v>44970</v>
      </c>
      <c r="E1225" s="15">
        <v>300</v>
      </c>
      <c r="F1225" s="9">
        <v>0.114</v>
      </c>
      <c r="G1225" s="9">
        <v>0.114</v>
      </c>
      <c r="H1225" s="15">
        <f t="shared" si="36"/>
        <v>15240</v>
      </c>
    </row>
    <row r="1226" spans="1:8" x14ac:dyDescent="0.3">
      <c r="A1226" s="13">
        <v>44967</v>
      </c>
      <c r="B1226" s="15" t="s">
        <v>21</v>
      </c>
      <c r="C1226" s="3">
        <v>7</v>
      </c>
      <c r="D1226" s="13">
        <f t="shared" si="37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8">+SUMIFS($E$10:$E$4506,$A$10:$A$4506,"&lt;="&amp;A1226,$D$10:$D$4506,"&gt;"&amp;A1226)</f>
        <v>15240</v>
      </c>
    </row>
    <row r="1227" spans="1:8" x14ac:dyDescent="0.3">
      <c r="A1227" s="13">
        <v>44970</v>
      </c>
      <c r="B1227" s="15" t="s">
        <v>21</v>
      </c>
      <c r="C1227" s="3">
        <v>9</v>
      </c>
      <c r="D1227" s="13">
        <f t="shared" si="37"/>
        <v>44979</v>
      </c>
      <c r="E1227" s="15">
        <v>3400</v>
      </c>
      <c r="F1227" s="9">
        <v>0.114</v>
      </c>
      <c r="G1227" s="9">
        <v>0.114</v>
      </c>
      <c r="H1227" s="15">
        <f t="shared" si="38"/>
        <v>15340</v>
      </c>
    </row>
    <row r="1228" spans="1:8" x14ac:dyDescent="0.3">
      <c r="A1228" s="13">
        <v>44971</v>
      </c>
      <c r="B1228" s="15" t="s">
        <v>21</v>
      </c>
      <c r="C1228" s="3">
        <v>1</v>
      </c>
      <c r="D1228" s="13">
        <f t="shared" si="37"/>
        <v>44972</v>
      </c>
      <c r="E1228" s="15">
        <v>600</v>
      </c>
      <c r="F1228" s="9">
        <v>0.1125</v>
      </c>
      <c r="G1228" s="9">
        <v>0.113</v>
      </c>
      <c r="H1228" s="15">
        <f t="shared" si="38"/>
        <v>19500</v>
      </c>
    </row>
    <row r="1229" spans="1:8" x14ac:dyDescent="0.3">
      <c r="A1229" s="13">
        <v>44971</v>
      </c>
      <c r="B1229" s="15" t="s">
        <v>21</v>
      </c>
      <c r="C1229" s="3">
        <v>8</v>
      </c>
      <c r="D1229" s="13">
        <f t="shared" si="37"/>
        <v>44979</v>
      </c>
      <c r="E1229" s="15">
        <v>2700</v>
      </c>
      <c r="F1229" s="9">
        <v>0.114</v>
      </c>
      <c r="G1229" s="9">
        <v>0.114</v>
      </c>
      <c r="H1229" s="15">
        <f t="shared" si="38"/>
        <v>19500</v>
      </c>
    </row>
    <row r="1230" spans="1:8" x14ac:dyDescent="0.3">
      <c r="A1230" s="13">
        <v>44971</v>
      </c>
      <c r="B1230" s="15" t="s">
        <v>21</v>
      </c>
      <c r="C1230" s="3">
        <v>9</v>
      </c>
      <c r="D1230" s="13">
        <f t="shared" si="37"/>
        <v>44980</v>
      </c>
      <c r="E1230" s="15">
        <v>1500</v>
      </c>
      <c r="F1230" s="9">
        <v>0.114</v>
      </c>
      <c r="G1230" s="9">
        <v>0.114</v>
      </c>
      <c r="H1230" s="15">
        <f t="shared" si="38"/>
        <v>19500</v>
      </c>
    </row>
    <row r="1231" spans="1:8" x14ac:dyDescent="0.3">
      <c r="A1231" s="13">
        <v>44973</v>
      </c>
      <c r="B1231" s="15" t="s">
        <v>21</v>
      </c>
      <c r="C1231" s="3">
        <v>1</v>
      </c>
      <c r="D1231" s="13">
        <f t="shared" si="37"/>
        <v>44974</v>
      </c>
      <c r="E1231" s="15">
        <v>550</v>
      </c>
      <c r="F1231" s="9">
        <v>0.1125</v>
      </c>
      <c r="G1231" s="9">
        <v>0.1125</v>
      </c>
      <c r="H1231" s="15">
        <f t="shared" si="38"/>
        <v>17650</v>
      </c>
    </row>
    <row r="1232" spans="1:8" x14ac:dyDescent="0.3">
      <c r="A1232" s="13">
        <v>44973</v>
      </c>
      <c r="B1232" s="15" t="s">
        <v>21</v>
      </c>
      <c r="C1232" s="3">
        <v>6</v>
      </c>
      <c r="D1232" s="13">
        <f t="shared" si="37"/>
        <v>44979</v>
      </c>
      <c r="E1232" s="15">
        <v>1300</v>
      </c>
      <c r="F1232" s="9">
        <v>0.114</v>
      </c>
      <c r="G1232" s="9">
        <v>0.114</v>
      </c>
      <c r="H1232" s="15">
        <f t="shared" si="38"/>
        <v>17650</v>
      </c>
    </row>
    <row r="1233" spans="1:8" x14ac:dyDescent="0.3">
      <c r="A1233" s="13">
        <v>44973</v>
      </c>
      <c r="B1233" s="15" t="s">
        <v>21</v>
      </c>
      <c r="C1233" s="3">
        <v>7</v>
      </c>
      <c r="D1233" s="13">
        <f t="shared" si="37"/>
        <v>44980</v>
      </c>
      <c r="E1233" s="15">
        <v>5000</v>
      </c>
      <c r="F1233" s="9">
        <v>0.114</v>
      </c>
      <c r="G1233" s="9">
        <v>0.114</v>
      </c>
      <c r="H1233" s="15">
        <f t="shared" si="38"/>
        <v>17650</v>
      </c>
    </row>
    <row r="1234" spans="1:8" x14ac:dyDescent="0.3">
      <c r="A1234" s="13">
        <v>44974</v>
      </c>
      <c r="B1234" s="15" t="s">
        <v>21</v>
      </c>
      <c r="C1234" s="3">
        <v>5</v>
      </c>
      <c r="D1234" s="13">
        <f t="shared" si="37"/>
        <v>44979</v>
      </c>
      <c r="E1234" s="15">
        <v>700</v>
      </c>
      <c r="F1234" s="9">
        <v>0.114</v>
      </c>
      <c r="G1234" s="9">
        <v>0.114</v>
      </c>
      <c r="H1234" s="15">
        <f t="shared" si="38"/>
        <v>19700</v>
      </c>
    </row>
    <row r="1235" spans="1:8" x14ac:dyDescent="0.3">
      <c r="A1235" s="13">
        <v>44974</v>
      </c>
      <c r="B1235" s="15" t="s">
        <v>21</v>
      </c>
      <c r="C1235" s="3">
        <v>6</v>
      </c>
      <c r="D1235" s="13">
        <f t="shared" si="37"/>
        <v>44980</v>
      </c>
      <c r="E1235" s="15">
        <v>800</v>
      </c>
      <c r="F1235" s="9">
        <v>0.114</v>
      </c>
      <c r="G1235" s="9">
        <v>0.114</v>
      </c>
      <c r="H1235" s="15">
        <f t="shared" si="38"/>
        <v>19700</v>
      </c>
    </row>
    <row r="1236" spans="1:8" x14ac:dyDescent="0.3">
      <c r="A1236" s="13">
        <v>44974</v>
      </c>
      <c r="B1236" s="15" t="s">
        <v>21</v>
      </c>
      <c r="C1236" s="3">
        <v>7</v>
      </c>
      <c r="D1236" s="13">
        <f t="shared" si="37"/>
        <v>44981</v>
      </c>
      <c r="E1236" s="15">
        <v>2300</v>
      </c>
      <c r="F1236" s="9">
        <v>0.11</v>
      </c>
      <c r="G1236" s="9">
        <v>0.114</v>
      </c>
      <c r="H1236" s="15">
        <f t="shared" si="38"/>
        <v>19700</v>
      </c>
    </row>
    <row r="1237" spans="1:8" x14ac:dyDescent="0.3">
      <c r="A1237" s="13">
        <v>44974</v>
      </c>
      <c r="B1237" s="15" t="s">
        <v>21</v>
      </c>
      <c r="C1237" s="3">
        <v>12</v>
      </c>
      <c r="D1237" s="13">
        <f t="shared" si="37"/>
        <v>44986</v>
      </c>
      <c r="E1237" s="15">
        <v>1000</v>
      </c>
      <c r="F1237" s="9">
        <v>0.113</v>
      </c>
      <c r="G1237" s="9">
        <v>0.113</v>
      </c>
      <c r="H1237" s="15">
        <f t="shared" si="38"/>
        <v>19700</v>
      </c>
    </row>
    <row r="1238" spans="1:8" x14ac:dyDescent="0.3">
      <c r="A1238" s="13">
        <v>44979</v>
      </c>
      <c r="B1238" s="15" t="s">
        <v>21</v>
      </c>
      <c r="C1238" s="3">
        <v>5</v>
      </c>
      <c r="D1238" s="13">
        <f t="shared" si="37"/>
        <v>44984</v>
      </c>
      <c r="E1238" s="15">
        <v>4800</v>
      </c>
      <c r="F1238" s="9">
        <v>0.114</v>
      </c>
      <c r="G1238" s="9">
        <v>0.114</v>
      </c>
      <c r="H1238" s="15">
        <f t="shared" si="38"/>
        <v>18400</v>
      </c>
    </row>
    <row r="1239" spans="1:8" x14ac:dyDescent="0.3">
      <c r="A1239" s="13">
        <v>44979</v>
      </c>
      <c r="B1239" s="15" t="s">
        <v>21</v>
      </c>
      <c r="C1239" s="3">
        <v>7</v>
      </c>
      <c r="D1239" s="13">
        <f t="shared" si="37"/>
        <v>44986</v>
      </c>
      <c r="E1239" s="15">
        <v>3000</v>
      </c>
      <c r="F1239" s="9">
        <v>0.115</v>
      </c>
      <c r="G1239" s="9">
        <v>0.115</v>
      </c>
      <c r="H1239" s="15">
        <f t="shared" si="38"/>
        <v>18400</v>
      </c>
    </row>
    <row r="1240" spans="1:8" x14ac:dyDescent="0.3">
      <c r="A1240" s="13">
        <v>44980</v>
      </c>
      <c r="B1240" s="15" t="s">
        <v>21</v>
      </c>
      <c r="C1240" s="3">
        <v>1</v>
      </c>
      <c r="D1240" s="13">
        <f t="shared" si="37"/>
        <v>44981</v>
      </c>
      <c r="E1240" s="15">
        <v>300</v>
      </c>
      <c r="F1240" s="9">
        <v>0.112</v>
      </c>
      <c r="G1240" s="9">
        <v>0.112</v>
      </c>
      <c r="H1240" s="15">
        <f t="shared" si="38"/>
        <v>14700</v>
      </c>
    </row>
    <row r="1241" spans="1:8" x14ac:dyDescent="0.3">
      <c r="A1241" s="13">
        <v>44980</v>
      </c>
      <c r="B1241" s="15" t="s">
        <v>21</v>
      </c>
      <c r="C1241" s="3">
        <v>4</v>
      </c>
      <c r="D1241" s="13">
        <f t="shared" si="37"/>
        <v>44984</v>
      </c>
      <c r="E1241" s="15">
        <v>2300</v>
      </c>
      <c r="F1241" s="9">
        <v>0.1135</v>
      </c>
      <c r="G1241" s="9">
        <v>0.1135</v>
      </c>
      <c r="H1241" s="15">
        <f t="shared" si="38"/>
        <v>14700</v>
      </c>
    </row>
    <row r="1242" spans="1:8" x14ac:dyDescent="0.3">
      <c r="A1242" s="13">
        <v>44980</v>
      </c>
      <c r="B1242" s="15" t="s">
        <v>21</v>
      </c>
      <c r="C1242" s="3">
        <v>6</v>
      </c>
      <c r="D1242" s="13">
        <f t="shared" si="37"/>
        <v>44986</v>
      </c>
      <c r="E1242" s="15">
        <v>1000</v>
      </c>
      <c r="F1242" s="9">
        <v>0.114</v>
      </c>
      <c r="G1242" s="9">
        <v>0.114</v>
      </c>
      <c r="H1242" s="15">
        <f t="shared" si="38"/>
        <v>14700</v>
      </c>
    </row>
    <row r="1243" spans="1:8" x14ac:dyDescent="0.3">
      <c r="A1243" s="13">
        <v>44985</v>
      </c>
      <c r="B1243" s="15" t="s">
        <v>21</v>
      </c>
      <c r="C1243" s="3">
        <v>2</v>
      </c>
      <c r="D1243" s="13">
        <f t="shared" si="37"/>
        <v>44987</v>
      </c>
      <c r="E1243" s="15">
        <v>1500</v>
      </c>
      <c r="F1243" s="9">
        <v>0.1125</v>
      </c>
      <c r="G1243" s="9">
        <v>0.1125</v>
      </c>
      <c r="H1243" s="15">
        <f t="shared" si="38"/>
        <v>6500</v>
      </c>
    </row>
    <row r="1244" spans="1:8" x14ac:dyDescent="0.3">
      <c r="A1244" s="13">
        <v>44986</v>
      </c>
      <c r="B1244" s="15" t="s">
        <v>21</v>
      </c>
      <c r="C1244" s="3">
        <v>1</v>
      </c>
      <c r="D1244" s="13">
        <f t="shared" si="37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8"/>
        <v>300</v>
      </c>
    </row>
    <row r="1245" spans="1:8" x14ac:dyDescent="0.3">
      <c r="A1245" s="13">
        <v>44987</v>
      </c>
      <c r="B1245" s="15" t="s">
        <v>21</v>
      </c>
      <c r="C1245" s="3">
        <v>1</v>
      </c>
      <c r="D1245" s="13">
        <f t="shared" si="37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8"/>
        <v>-700</v>
      </c>
    </row>
    <row r="1246" spans="1:8" x14ac:dyDescent="0.3">
      <c r="A1246" s="13">
        <v>44991</v>
      </c>
      <c r="B1246" s="15" t="s">
        <v>21</v>
      </c>
      <c r="C1246" s="3">
        <v>1</v>
      </c>
      <c r="D1246" s="13">
        <f t="shared" si="37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8"/>
        <v>-400</v>
      </c>
    </row>
    <row r="1247" spans="1:8" x14ac:dyDescent="0.3">
      <c r="A1247" s="13">
        <v>45005</v>
      </c>
      <c r="B1247" s="15" t="s">
        <v>21</v>
      </c>
      <c r="C1247" s="3">
        <v>2</v>
      </c>
      <c r="D1247" s="13">
        <f t="shared" si="37"/>
        <v>45007</v>
      </c>
      <c r="E1247" s="15">
        <v>500</v>
      </c>
      <c r="F1247" s="9">
        <v>0.115</v>
      </c>
      <c r="G1247" s="9">
        <v>0.115</v>
      </c>
      <c r="H1247" s="15">
        <f t="shared" si="38"/>
        <v>4200</v>
      </c>
    </row>
    <row r="1248" spans="1:8" x14ac:dyDescent="0.3">
      <c r="A1248" s="13">
        <v>45005</v>
      </c>
      <c r="B1248" s="15" t="s">
        <v>21</v>
      </c>
      <c r="C1248" s="3">
        <v>3</v>
      </c>
      <c r="D1248" s="13">
        <f t="shared" ref="D1248:D1317" si="39">+A1248+C1248</f>
        <v>45008</v>
      </c>
      <c r="E1248" s="15">
        <v>300</v>
      </c>
      <c r="F1248" s="9">
        <v>0.115</v>
      </c>
      <c r="G1248" s="9">
        <v>0.115</v>
      </c>
      <c r="H1248" s="15">
        <f t="shared" si="38"/>
        <v>4200</v>
      </c>
    </row>
    <row r="1249" spans="1:8" x14ac:dyDescent="0.3">
      <c r="A1249" s="13">
        <v>45005</v>
      </c>
      <c r="B1249" s="15" t="s">
        <v>21</v>
      </c>
      <c r="C1249" s="3">
        <v>4</v>
      </c>
      <c r="D1249" s="13">
        <f t="shared" si="39"/>
        <v>45009</v>
      </c>
      <c r="E1249" s="15">
        <v>3400</v>
      </c>
      <c r="F1249" s="9">
        <v>0.115</v>
      </c>
      <c r="G1249" s="9">
        <v>0.115</v>
      </c>
      <c r="H1249" s="15">
        <f t="shared" si="38"/>
        <v>4200</v>
      </c>
    </row>
    <row r="1250" spans="1:8" x14ac:dyDescent="0.3">
      <c r="A1250" s="13">
        <v>45014</v>
      </c>
      <c r="B1250" s="15" t="s">
        <v>21</v>
      </c>
      <c r="C1250" s="3">
        <v>2</v>
      </c>
      <c r="D1250" s="13">
        <f t="shared" si="39"/>
        <v>45016</v>
      </c>
      <c r="E1250" s="15">
        <v>5200</v>
      </c>
      <c r="F1250" s="9">
        <v>0.1125</v>
      </c>
      <c r="G1250" s="9">
        <v>0.113</v>
      </c>
      <c r="H1250" s="15">
        <f t="shared" si="38"/>
        <v>5200</v>
      </c>
    </row>
    <row r="1251" spans="1:8" x14ac:dyDescent="0.3">
      <c r="A1251" s="13">
        <v>45021</v>
      </c>
      <c r="B1251" s="15" t="s">
        <v>21</v>
      </c>
      <c r="C1251" s="3">
        <v>5</v>
      </c>
      <c r="D1251" s="13">
        <f t="shared" si="39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8"/>
        <v>-2300</v>
      </c>
    </row>
    <row r="1252" spans="1:8" x14ac:dyDescent="0.3">
      <c r="A1252" s="13">
        <v>45030</v>
      </c>
      <c r="B1252" s="15" t="s">
        <v>21</v>
      </c>
      <c r="C1252" s="3">
        <v>5</v>
      </c>
      <c r="D1252" s="13">
        <f t="shared" si="39"/>
        <v>45035</v>
      </c>
      <c r="E1252" s="15">
        <v>2000</v>
      </c>
      <c r="F1252" s="9">
        <v>0.115</v>
      </c>
      <c r="G1252" s="9">
        <v>0.115</v>
      </c>
      <c r="H1252" s="15">
        <f t="shared" si="38"/>
        <v>4000</v>
      </c>
    </row>
    <row r="1253" spans="1:8" x14ac:dyDescent="0.3">
      <c r="A1253" s="13">
        <v>45030</v>
      </c>
      <c r="B1253" s="15" t="s">
        <v>21</v>
      </c>
      <c r="C1253" s="3">
        <v>7</v>
      </c>
      <c r="D1253" s="13">
        <f t="shared" si="39"/>
        <v>45037</v>
      </c>
      <c r="E1253" s="15">
        <v>2000</v>
      </c>
      <c r="F1253" s="9">
        <v>0.115</v>
      </c>
      <c r="G1253" s="9">
        <v>0.115</v>
      </c>
      <c r="H1253" s="15">
        <f t="shared" si="38"/>
        <v>4000</v>
      </c>
    </row>
    <row r="1254" spans="1:8" x14ac:dyDescent="0.3">
      <c r="A1254" s="13">
        <v>45036</v>
      </c>
      <c r="B1254" s="15" t="s">
        <v>21</v>
      </c>
      <c r="C1254" s="3">
        <v>1</v>
      </c>
      <c r="D1254" s="13">
        <f t="shared" si="39"/>
        <v>45037</v>
      </c>
      <c r="E1254" s="15">
        <v>600</v>
      </c>
      <c r="F1254" s="9">
        <v>0.1115</v>
      </c>
      <c r="G1254" s="9">
        <v>0.1115</v>
      </c>
      <c r="H1254" s="15">
        <f t="shared" si="38"/>
        <v>7700</v>
      </c>
    </row>
    <row r="1255" spans="1:8" x14ac:dyDescent="0.3">
      <c r="A1255" s="13">
        <v>45036</v>
      </c>
      <c r="B1255" s="15" t="s">
        <v>21</v>
      </c>
      <c r="C1255" s="3">
        <v>4</v>
      </c>
      <c r="D1255" s="13">
        <f t="shared" si="39"/>
        <v>45040</v>
      </c>
      <c r="E1255" s="15">
        <v>3000</v>
      </c>
      <c r="F1255" s="9">
        <v>0.1125</v>
      </c>
      <c r="G1255" s="9">
        <v>0.1125</v>
      </c>
      <c r="H1255" s="15">
        <f t="shared" si="38"/>
        <v>7700</v>
      </c>
    </row>
    <row r="1256" spans="1:8" x14ac:dyDescent="0.3">
      <c r="A1256" s="13">
        <v>45036</v>
      </c>
      <c r="B1256" s="15" t="s">
        <v>21</v>
      </c>
      <c r="C1256" s="3">
        <v>5</v>
      </c>
      <c r="D1256" s="13">
        <f t="shared" si="39"/>
        <v>45041</v>
      </c>
      <c r="E1256" s="15">
        <v>1100</v>
      </c>
      <c r="F1256" s="9">
        <v>0.1125</v>
      </c>
      <c r="G1256" s="9">
        <v>0.1125</v>
      </c>
      <c r="H1256" s="15">
        <f t="shared" si="38"/>
        <v>7700</v>
      </c>
    </row>
    <row r="1257" spans="1:8" x14ac:dyDescent="0.3">
      <c r="A1257" s="13">
        <v>45036</v>
      </c>
      <c r="B1257" s="15" t="s">
        <v>21</v>
      </c>
      <c r="C1257" s="3">
        <v>7</v>
      </c>
      <c r="D1257" s="13">
        <f t="shared" si="39"/>
        <v>45043</v>
      </c>
      <c r="E1257" s="15">
        <v>1000</v>
      </c>
      <c r="F1257" s="9">
        <v>0.1125</v>
      </c>
      <c r="G1257" s="9">
        <v>0.1125</v>
      </c>
      <c r="H1257" s="15">
        <f t="shared" si="38"/>
        <v>7700</v>
      </c>
    </row>
    <row r="1258" spans="1:8" x14ac:dyDescent="0.3">
      <c r="A1258" s="13">
        <v>45037</v>
      </c>
      <c r="B1258" s="15" t="s">
        <v>21</v>
      </c>
      <c r="C1258" s="3">
        <v>3</v>
      </c>
      <c r="D1258" s="13">
        <f t="shared" si="39"/>
        <v>45040</v>
      </c>
      <c r="E1258" s="15">
        <v>600</v>
      </c>
      <c r="F1258" s="9">
        <v>0.1125</v>
      </c>
      <c r="G1258" s="9">
        <v>0.1125</v>
      </c>
      <c r="H1258" s="15">
        <f t="shared" si="38"/>
        <v>10100</v>
      </c>
    </row>
    <row r="1259" spans="1:8" x14ac:dyDescent="0.3">
      <c r="A1259" s="13">
        <v>45037</v>
      </c>
      <c r="B1259" s="15" t="s">
        <v>21</v>
      </c>
      <c r="C1259" s="3">
        <v>3</v>
      </c>
      <c r="D1259" s="13">
        <f t="shared" si="39"/>
        <v>45040</v>
      </c>
      <c r="E1259" s="15">
        <v>-400</v>
      </c>
      <c r="F1259" s="9">
        <v>0.1145</v>
      </c>
      <c r="G1259" s="9">
        <v>0.1145</v>
      </c>
      <c r="H1259" s="15">
        <f t="shared" si="38"/>
        <v>10100</v>
      </c>
    </row>
    <row r="1260" spans="1:8" x14ac:dyDescent="0.3">
      <c r="A1260" s="13">
        <v>45037</v>
      </c>
      <c r="B1260" s="15" t="s">
        <v>21</v>
      </c>
      <c r="C1260" s="3">
        <v>4</v>
      </c>
      <c r="D1260" s="13">
        <f t="shared" si="39"/>
        <v>45041</v>
      </c>
      <c r="E1260" s="15">
        <v>400</v>
      </c>
      <c r="F1260" s="9">
        <v>0.1125</v>
      </c>
      <c r="G1260" s="9">
        <v>0.1125</v>
      </c>
      <c r="H1260" s="15">
        <f t="shared" si="38"/>
        <v>10100</v>
      </c>
    </row>
    <row r="1261" spans="1:8" x14ac:dyDescent="0.3">
      <c r="A1261" s="13">
        <v>45037</v>
      </c>
      <c r="B1261" s="15" t="s">
        <v>21</v>
      </c>
      <c r="C1261" s="3">
        <v>5</v>
      </c>
      <c r="D1261" s="13">
        <f t="shared" si="39"/>
        <v>45042</v>
      </c>
      <c r="E1261" s="15">
        <v>900</v>
      </c>
      <c r="F1261" s="9">
        <v>0.1125</v>
      </c>
      <c r="G1261" s="9">
        <v>0.1125</v>
      </c>
      <c r="H1261" s="15">
        <f t="shared" si="38"/>
        <v>10100</v>
      </c>
    </row>
    <row r="1262" spans="1:8" x14ac:dyDescent="0.3">
      <c r="A1262" s="13">
        <v>45037</v>
      </c>
      <c r="B1262" s="15" t="s">
        <v>21</v>
      </c>
      <c r="C1262" s="3">
        <v>7</v>
      </c>
      <c r="D1262" s="13">
        <f t="shared" si="39"/>
        <v>45044</v>
      </c>
      <c r="E1262" s="15">
        <v>3500</v>
      </c>
      <c r="F1262" s="9">
        <v>0.1125</v>
      </c>
      <c r="G1262" s="9">
        <v>0.1125</v>
      </c>
      <c r="H1262" s="15">
        <f t="shared" si="38"/>
        <v>10100</v>
      </c>
    </row>
    <row r="1263" spans="1:8" x14ac:dyDescent="0.3">
      <c r="A1263" s="13">
        <v>45040</v>
      </c>
      <c r="B1263" s="15" t="s">
        <v>21</v>
      </c>
      <c r="C1263" s="3">
        <v>4</v>
      </c>
      <c r="D1263" s="13">
        <f t="shared" si="39"/>
        <v>45044</v>
      </c>
      <c r="E1263" s="15">
        <v>5500</v>
      </c>
      <c r="F1263" s="9">
        <v>0.1125</v>
      </c>
      <c r="G1263" s="9">
        <v>0.1125</v>
      </c>
      <c r="H1263" s="15">
        <f t="shared" si="38"/>
        <v>12400</v>
      </c>
    </row>
    <row r="1264" spans="1:8" x14ac:dyDescent="0.3">
      <c r="A1264" s="13">
        <v>45041</v>
      </c>
      <c r="B1264" s="15" t="s">
        <v>21</v>
      </c>
      <c r="C1264" s="3">
        <v>1</v>
      </c>
      <c r="D1264" s="13">
        <f t="shared" si="39"/>
        <v>45042</v>
      </c>
      <c r="E1264" s="15">
        <v>700</v>
      </c>
      <c r="F1264" s="9">
        <v>0.112</v>
      </c>
      <c r="G1264" s="9">
        <v>0.112</v>
      </c>
      <c r="H1264" s="15">
        <f t="shared" si="38"/>
        <v>12700</v>
      </c>
    </row>
    <row r="1265" spans="1:8" x14ac:dyDescent="0.3">
      <c r="A1265" s="13">
        <v>45041</v>
      </c>
      <c r="B1265" s="15" t="s">
        <v>21</v>
      </c>
      <c r="C1265" s="3">
        <v>2</v>
      </c>
      <c r="D1265" s="13">
        <f t="shared" si="39"/>
        <v>45043</v>
      </c>
      <c r="E1265" s="15">
        <v>100</v>
      </c>
      <c r="F1265" s="9">
        <v>0.1125</v>
      </c>
      <c r="G1265" s="9">
        <v>0.1125</v>
      </c>
      <c r="H1265" s="15">
        <f t="shared" si="38"/>
        <v>12700</v>
      </c>
    </row>
    <row r="1266" spans="1:8" x14ac:dyDescent="0.3">
      <c r="A1266" s="13">
        <v>45041</v>
      </c>
      <c r="B1266" s="15" t="s">
        <v>21</v>
      </c>
      <c r="C1266" s="3">
        <v>3</v>
      </c>
      <c r="D1266" s="13">
        <f t="shared" si="39"/>
        <v>45044</v>
      </c>
      <c r="E1266" s="15">
        <v>1000</v>
      </c>
      <c r="F1266" s="9">
        <v>0.112</v>
      </c>
      <c r="G1266" s="9">
        <v>0.112</v>
      </c>
      <c r="H1266" s="15">
        <f t="shared" si="38"/>
        <v>12700</v>
      </c>
    </row>
    <row r="1267" spans="1:8" x14ac:dyDescent="0.3">
      <c r="A1267" s="13">
        <v>45042</v>
      </c>
      <c r="B1267" s="15" t="s">
        <v>21</v>
      </c>
      <c r="C1267" s="3">
        <v>2</v>
      </c>
      <c r="D1267" s="13">
        <f t="shared" si="39"/>
        <v>45044</v>
      </c>
      <c r="E1267" s="15">
        <v>1000</v>
      </c>
      <c r="F1267" s="9">
        <v>0.1125</v>
      </c>
      <c r="G1267" s="9">
        <v>0.1125</v>
      </c>
      <c r="H1267" s="15">
        <f t="shared" si="38"/>
        <v>12600</v>
      </c>
    </row>
    <row r="1268" spans="1:8" x14ac:dyDescent="0.3">
      <c r="A1268" s="13">
        <v>45042</v>
      </c>
      <c r="B1268" s="15" t="s">
        <v>21</v>
      </c>
      <c r="C1268" s="3">
        <v>6</v>
      </c>
      <c r="D1268" s="13">
        <f t="shared" si="39"/>
        <v>45048</v>
      </c>
      <c r="E1268" s="15">
        <v>500</v>
      </c>
      <c r="F1268" s="9">
        <v>0.1125</v>
      </c>
      <c r="G1268" s="9">
        <v>0.1125</v>
      </c>
      <c r="H1268" s="15">
        <f t="shared" si="38"/>
        <v>12600</v>
      </c>
    </row>
    <row r="1269" spans="1:8" x14ac:dyDescent="0.3">
      <c r="A1269" s="13">
        <v>45044</v>
      </c>
      <c r="B1269" s="15" t="s">
        <v>21</v>
      </c>
      <c r="C1269" s="3">
        <v>4</v>
      </c>
      <c r="D1269" s="13">
        <f t="shared" si="39"/>
        <v>45048</v>
      </c>
      <c r="E1269" s="15">
        <v>-4800</v>
      </c>
      <c r="F1269" s="9">
        <v>0.115</v>
      </c>
      <c r="G1269" s="9">
        <v>0.114</v>
      </c>
      <c r="H1269" s="15">
        <f t="shared" si="38"/>
        <v>-4300</v>
      </c>
    </row>
    <row r="1270" spans="1:8" x14ac:dyDescent="0.3">
      <c r="A1270" s="13">
        <v>45048</v>
      </c>
      <c r="B1270" s="15" t="s">
        <v>21</v>
      </c>
      <c r="C1270" s="3">
        <v>1</v>
      </c>
      <c r="D1270" s="13">
        <f t="shared" si="39"/>
        <v>45049</v>
      </c>
      <c r="E1270" s="15">
        <v>-3700</v>
      </c>
      <c r="F1270" s="9">
        <v>0.1145</v>
      </c>
      <c r="G1270" s="9">
        <v>0.1145</v>
      </c>
      <c r="H1270" s="15">
        <f t="shared" si="38"/>
        <v>-5200</v>
      </c>
    </row>
    <row r="1271" spans="1:8" x14ac:dyDescent="0.3">
      <c r="A1271" s="13">
        <v>45048</v>
      </c>
      <c r="B1271" s="15" t="s">
        <v>21</v>
      </c>
      <c r="C1271" s="3">
        <v>2</v>
      </c>
      <c r="D1271" s="13">
        <f t="shared" si="39"/>
        <v>45050</v>
      </c>
      <c r="E1271" s="15">
        <v>-1100</v>
      </c>
      <c r="F1271" s="9">
        <v>0.114</v>
      </c>
      <c r="G1271" s="9">
        <v>0.114</v>
      </c>
      <c r="H1271" s="15">
        <f t="shared" si="38"/>
        <v>-5200</v>
      </c>
    </row>
    <row r="1272" spans="1:8" x14ac:dyDescent="0.3">
      <c r="A1272" s="13">
        <v>45048</v>
      </c>
      <c r="B1272" s="15" t="s">
        <v>21</v>
      </c>
      <c r="C1272" s="3">
        <v>3</v>
      </c>
      <c r="D1272" s="13">
        <f t="shared" si="39"/>
        <v>45051</v>
      </c>
      <c r="E1272" s="15">
        <v>-400</v>
      </c>
      <c r="F1272" s="9">
        <v>0.114</v>
      </c>
      <c r="G1272" s="9">
        <v>0.114</v>
      </c>
      <c r="H1272" s="15">
        <f t="shared" si="38"/>
        <v>-5200</v>
      </c>
    </row>
    <row r="1273" spans="1:8" x14ac:dyDescent="0.3">
      <c r="A1273" s="13">
        <v>45049</v>
      </c>
      <c r="B1273" s="15" t="s">
        <v>21</v>
      </c>
      <c r="C1273" s="3">
        <v>1</v>
      </c>
      <c r="D1273" s="13">
        <f t="shared" si="39"/>
        <v>45050</v>
      </c>
      <c r="E1273" s="15">
        <v>-4600</v>
      </c>
      <c r="F1273" s="9">
        <v>0.1145</v>
      </c>
      <c r="G1273" s="9">
        <v>0.1145</v>
      </c>
      <c r="H1273" s="15">
        <f t="shared" si="38"/>
        <v>-10800</v>
      </c>
    </row>
    <row r="1274" spans="1:8" x14ac:dyDescent="0.3">
      <c r="A1274" s="13">
        <v>45049</v>
      </c>
      <c r="B1274" s="15" t="s">
        <v>21</v>
      </c>
      <c r="C1274" s="3">
        <v>2</v>
      </c>
      <c r="D1274" s="13">
        <f t="shared" si="39"/>
        <v>45051</v>
      </c>
      <c r="E1274" s="15">
        <v>-4700</v>
      </c>
      <c r="F1274" s="9">
        <v>0.1145</v>
      </c>
      <c r="G1274" s="9">
        <v>0.114</v>
      </c>
      <c r="H1274" s="15">
        <f t="shared" si="38"/>
        <v>-10800</v>
      </c>
    </row>
    <row r="1275" spans="1:8" x14ac:dyDescent="0.3">
      <c r="A1275" s="13">
        <v>45050</v>
      </c>
      <c r="B1275" s="15" t="s">
        <v>21</v>
      </c>
      <c r="C1275" s="3">
        <v>4</v>
      </c>
      <c r="D1275" s="13">
        <f t="shared" si="39"/>
        <v>45054</v>
      </c>
      <c r="E1275" s="15">
        <v>-5300</v>
      </c>
      <c r="F1275" s="9">
        <v>0.1145</v>
      </c>
      <c r="G1275" s="9">
        <v>0.114</v>
      </c>
      <c r="H1275" s="15">
        <f t="shared" si="38"/>
        <v>-10800</v>
      </c>
    </row>
    <row r="1276" spans="1:8" x14ac:dyDescent="0.3">
      <c r="A1276" s="13">
        <v>45050</v>
      </c>
      <c r="B1276" s="15" t="s">
        <v>21</v>
      </c>
      <c r="C1276" s="3">
        <v>5</v>
      </c>
      <c r="D1276" s="13">
        <f t="shared" si="39"/>
        <v>45055</v>
      </c>
      <c r="E1276" s="15">
        <v>-400</v>
      </c>
      <c r="F1276" s="9">
        <v>0.114</v>
      </c>
      <c r="G1276" s="9">
        <v>0.114</v>
      </c>
      <c r="H1276" s="15">
        <f t="shared" si="38"/>
        <v>-10800</v>
      </c>
    </row>
    <row r="1277" spans="1:8" x14ac:dyDescent="0.3">
      <c r="A1277" s="13">
        <v>45051</v>
      </c>
      <c r="B1277" s="15" t="s">
        <v>21</v>
      </c>
      <c r="C1277" s="3">
        <v>4</v>
      </c>
      <c r="D1277" s="13">
        <f t="shared" si="39"/>
        <v>45055</v>
      </c>
      <c r="E1277" s="15">
        <v>-3550</v>
      </c>
      <c r="F1277" s="9">
        <v>0.114</v>
      </c>
      <c r="G1277" s="9">
        <v>0.114</v>
      </c>
      <c r="H1277" s="15">
        <f t="shared" si="38"/>
        <v>-9650</v>
      </c>
    </row>
    <row r="1278" spans="1:8" x14ac:dyDescent="0.3">
      <c r="A1278" s="13">
        <v>45051</v>
      </c>
      <c r="B1278" s="15" t="s">
        <v>21</v>
      </c>
      <c r="C1278" s="3">
        <v>5</v>
      </c>
      <c r="D1278" s="13">
        <f t="shared" si="39"/>
        <v>45056</v>
      </c>
      <c r="E1278" s="15">
        <v>-400</v>
      </c>
      <c r="F1278" s="9">
        <v>0.1145</v>
      </c>
      <c r="G1278" s="9">
        <v>0.1145</v>
      </c>
      <c r="H1278" s="15">
        <f t="shared" si="38"/>
        <v>-9650</v>
      </c>
    </row>
    <row r="1279" spans="1:8" x14ac:dyDescent="0.3">
      <c r="A1279" s="13">
        <v>45054</v>
      </c>
      <c r="B1279" s="15" t="s">
        <v>21</v>
      </c>
      <c r="C1279" s="3">
        <v>2</v>
      </c>
      <c r="D1279" s="13">
        <f t="shared" si="39"/>
        <v>45056</v>
      </c>
      <c r="E1279" s="15">
        <v>-3000</v>
      </c>
      <c r="F1279" s="9">
        <v>0.114</v>
      </c>
      <c r="G1279" s="9">
        <v>0.114</v>
      </c>
      <c r="H1279" s="15">
        <f t="shared" si="38"/>
        <v>-8350</v>
      </c>
    </row>
    <row r="1280" spans="1:8" x14ac:dyDescent="0.3">
      <c r="A1280" s="13">
        <v>45054</v>
      </c>
      <c r="B1280" s="15" t="s">
        <v>21</v>
      </c>
      <c r="C1280" s="3">
        <v>3</v>
      </c>
      <c r="D1280" s="13">
        <f t="shared" si="39"/>
        <v>45057</v>
      </c>
      <c r="E1280" s="15">
        <v>-1000</v>
      </c>
      <c r="F1280" s="9">
        <v>0.114</v>
      </c>
      <c r="G1280" s="9">
        <v>0.114</v>
      </c>
      <c r="H1280" s="15">
        <f t="shared" si="38"/>
        <v>-8350</v>
      </c>
    </row>
    <row r="1281" spans="1:8" x14ac:dyDescent="0.3">
      <c r="A1281" s="13">
        <v>45055</v>
      </c>
      <c r="B1281" s="15" t="s">
        <v>21</v>
      </c>
      <c r="C1281" s="3">
        <v>1</v>
      </c>
      <c r="D1281" s="13">
        <f t="shared" si="39"/>
        <v>45056</v>
      </c>
      <c r="E1281" s="15">
        <v>-200</v>
      </c>
      <c r="F1281" s="9">
        <v>0.115</v>
      </c>
      <c r="G1281" s="9">
        <v>0.115</v>
      </c>
      <c r="H1281" s="15">
        <f t="shared" si="38"/>
        <v>-7100</v>
      </c>
    </row>
    <row r="1282" spans="1:8" x14ac:dyDescent="0.3">
      <c r="A1282" s="13">
        <v>45055</v>
      </c>
      <c r="B1282" s="15" t="s">
        <v>21</v>
      </c>
      <c r="C1282" s="3">
        <v>2</v>
      </c>
      <c r="D1282" s="13">
        <f t="shared" si="39"/>
        <v>45057</v>
      </c>
      <c r="E1282" s="15">
        <v>-2000</v>
      </c>
      <c r="F1282" s="9">
        <v>0.115</v>
      </c>
      <c r="G1282" s="9">
        <v>0.115</v>
      </c>
      <c r="H1282" s="15">
        <f t="shared" si="38"/>
        <v>-7100</v>
      </c>
    </row>
    <row r="1283" spans="1:8" x14ac:dyDescent="0.3">
      <c r="A1283" s="13">
        <v>45055</v>
      </c>
      <c r="B1283" s="15" t="s">
        <v>21</v>
      </c>
      <c r="C1283" s="3">
        <v>3</v>
      </c>
      <c r="D1283" s="13">
        <f t="shared" si="39"/>
        <v>45058</v>
      </c>
      <c r="E1283" s="15">
        <v>-500</v>
      </c>
      <c r="F1283" s="9">
        <v>0.115</v>
      </c>
      <c r="G1283" s="9">
        <v>0.115</v>
      </c>
      <c r="H1283" s="15">
        <f t="shared" si="38"/>
        <v>-7100</v>
      </c>
    </row>
    <row r="1284" spans="1:8" x14ac:dyDescent="0.3">
      <c r="A1284" s="13">
        <v>45056</v>
      </c>
      <c r="B1284" s="15" t="s">
        <v>21</v>
      </c>
      <c r="C1284" s="3">
        <v>2</v>
      </c>
      <c r="D1284" s="13">
        <f t="shared" si="39"/>
        <v>45058</v>
      </c>
      <c r="E1284" s="15">
        <v>-4000</v>
      </c>
      <c r="F1284" s="9">
        <v>0.114</v>
      </c>
      <c r="G1284" s="9">
        <v>0.114</v>
      </c>
      <c r="H1284" s="15">
        <f t="shared" si="38"/>
        <v>-7500</v>
      </c>
    </row>
    <row r="1285" spans="1:8" x14ac:dyDescent="0.3">
      <c r="A1285" s="13">
        <v>45057</v>
      </c>
      <c r="B1285" s="15" t="s">
        <v>21</v>
      </c>
      <c r="C1285" s="3">
        <v>1</v>
      </c>
      <c r="D1285" s="13">
        <f t="shared" si="39"/>
        <v>45058</v>
      </c>
      <c r="E1285" s="15">
        <v>-1200</v>
      </c>
      <c r="F1285" s="9">
        <v>0.1145</v>
      </c>
      <c r="G1285" s="9">
        <v>0.1145</v>
      </c>
      <c r="H1285" s="15">
        <f t="shared" si="38"/>
        <v>-7800</v>
      </c>
    </row>
    <row r="1286" spans="1:8" x14ac:dyDescent="0.3">
      <c r="A1286" s="13">
        <v>45057</v>
      </c>
      <c r="B1286" s="15" t="s">
        <v>21</v>
      </c>
      <c r="C1286" s="3">
        <v>4</v>
      </c>
      <c r="D1286" s="13">
        <f t="shared" si="39"/>
        <v>45061</v>
      </c>
      <c r="E1286" s="15">
        <v>-2100</v>
      </c>
      <c r="F1286" s="9">
        <v>0.114</v>
      </c>
      <c r="G1286" s="9">
        <v>0.114</v>
      </c>
      <c r="H1286" s="15">
        <f t="shared" si="38"/>
        <v>-7800</v>
      </c>
    </row>
    <row r="1287" spans="1:8" x14ac:dyDescent="0.3">
      <c r="A1287" s="13">
        <v>45058</v>
      </c>
      <c r="B1287" s="15" t="s">
        <v>21</v>
      </c>
      <c r="C1287" s="3">
        <v>4</v>
      </c>
      <c r="D1287" s="13">
        <f t="shared" si="39"/>
        <v>45062</v>
      </c>
      <c r="E1287" s="15">
        <v>-1600</v>
      </c>
      <c r="F1287" s="9">
        <v>0.114</v>
      </c>
      <c r="G1287" s="9">
        <v>0.114</v>
      </c>
      <c r="H1287" s="15">
        <f t="shared" si="38"/>
        <v>-3700</v>
      </c>
    </row>
    <row r="1288" spans="1:8" x14ac:dyDescent="0.3">
      <c r="A1288" s="13">
        <v>45062</v>
      </c>
      <c r="B1288" s="15" t="s">
        <v>21</v>
      </c>
      <c r="C1288" s="3">
        <v>1</v>
      </c>
      <c r="D1288" s="13">
        <f t="shared" si="39"/>
        <v>45063</v>
      </c>
      <c r="E1288" s="15">
        <v>500</v>
      </c>
      <c r="F1288" s="9">
        <v>0.11</v>
      </c>
      <c r="G1288" s="9">
        <v>0.1105</v>
      </c>
      <c r="H1288" s="15">
        <f t="shared" si="38"/>
        <v>1700</v>
      </c>
    </row>
    <row r="1289" spans="1:8" x14ac:dyDescent="0.3">
      <c r="A1289" s="13">
        <v>45062</v>
      </c>
      <c r="B1289" s="15" t="s">
        <v>21</v>
      </c>
      <c r="C1289" s="3">
        <v>2</v>
      </c>
      <c r="D1289" s="13">
        <f t="shared" si="39"/>
        <v>45064</v>
      </c>
      <c r="E1289" s="15">
        <v>400</v>
      </c>
      <c r="F1289" s="9">
        <v>0.11</v>
      </c>
      <c r="G1289" s="9">
        <v>0.11</v>
      </c>
      <c r="H1289" s="15">
        <f t="shared" si="38"/>
        <v>1700</v>
      </c>
    </row>
    <row r="1290" spans="1:8" x14ac:dyDescent="0.3">
      <c r="A1290" s="13">
        <v>45062</v>
      </c>
      <c r="B1290" s="15" t="s">
        <v>21</v>
      </c>
      <c r="C1290" s="3">
        <v>3</v>
      </c>
      <c r="D1290" s="13">
        <f t="shared" si="39"/>
        <v>45065</v>
      </c>
      <c r="E1290" s="15">
        <v>500</v>
      </c>
      <c r="F1290" s="9">
        <v>0.11</v>
      </c>
      <c r="G1290" s="9">
        <v>0.11</v>
      </c>
      <c r="H1290" s="15">
        <f t="shared" ref="H1290:H1353" si="40">+SUMIFS($E$10:$E$4506,$A$10:$A$4506,"&lt;="&amp;A1290,$D$10:$D$4506,"&gt;"&amp;A1290)</f>
        <v>1700</v>
      </c>
    </row>
    <row r="1291" spans="1:8" x14ac:dyDescent="0.3">
      <c r="A1291" s="13">
        <v>45062</v>
      </c>
      <c r="B1291" s="15" t="s">
        <v>21</v>
      </c>
      <c r="C1291" s="3">
        <v>7</v>
      </c>
      <c r="D1291" s="13">
        <f t="shared" si="39"/>
        <v>45069</v>
      </c>
      <c r="E1291" s="15">
        <v>300</v>
      </c>
      <c r="F1291" s="9">
        <v>0.11</v>
      </c>
      <c r="G1291" s="9">
        <v>0.11</v>
      </c>
      <c r="H1291" s="15">
        <f t="shared" si="40"/>
        <v>1700</v>
      </c>
    </row>
    <row r="1292" spans="1:8" x14ac:dyDescent="0.3">
      <c r="A1292" s="13">
        <v>45063</v>
      </c>
      <c r="B1292" s="15" t="s">
        <v>21</v>
      </c>
      <c r="C1292" s="3">
        <v>2</v>
      </c>
      <c r="D1292" s="13">
        <f t="shared" si="39"/>
        <v>45065</v>
      </c>
      <c r="E1292" s="15">
        <v>500</v>
      </c>
      <c r="F1292" s="9">
        <v>0.1115</v>
      </c>
      <c r="G1292" s="9">
        <v>0.1115</v>
      </c>
      <c r="H1292" s="15">
        <f t="shared" si="40"/>
        <v>3000</v>
      </c>
    </row>
    <row r="1293" spans="1:8" x14ac:dyDescent="0.3">
      <c r="A1293" s="13">
        <v>45063</v>
      </c>
      <c r="B1293" s="15" t="s">
        <v>21</v>
      </c>
      <c r="C1293" s="3">
        <v>6</v>
      </c>
      <c r="D1293" s="13">
        <f t="shared" si="39"/>
        <v>45069</v>
      </c>
      <c r="E1293" s="15">
        <v>800</v>
      </c>
      <c r="F1293" s="9">
        <v>0.1115</v>
      </c>
      <c r="G1293" s="9">
        <v>0.1115</v>
      </c>
      <c r="H1293" s="15">
        <f t="shared" si="40"/>
        <v>3000</v>
      </c>
    </row>
    <row r="1294" spans="1:8" x14ac:dyDescent="0.3">
      <c r="A1294" s="13">
        <v>45063</v>
      </c>
      <c r="B1294" s="15" t="s">
        <v>21</v>
      </c>
      <c r="C1294" s="3">
        <v>15</v>
      </c>
      <c r="D1294" s="13">
        <f t="shared" si="39"/>
        <v>45078</v>
      </c>
      <c r="E1294" s="15">
        <v>500</v>
      </c>
      <c r="F1294" s="9">
        <v>0.112</v>
      </c>
      <c r="G1294" s="9">
        <v>0.112</v>
      </c>
      <c r="H1294" s="15">
        <f t="shared" si="40"/>
        <v>3000</v>
      </c>
    </row>
    <row r="1295" spans="1:8" x14ac:dyDescent="0.3">
      <c r="A1295" s="13">
        <v>45064</v>
      </c>
      <c r="B1295" s="15" t="s">
        <v>21</v>
      </c>
      <c r="C1295" s="3">
        <v>5</v>
      </c>
      <c r="D1295" s="13">
        <f t="shared" si="39"/>
        <v>45069</v>
      </c>
      <c r="E1295" s="15">
        <v>1500</v>
      </c>
      <c r="F1295" s="9">
        <v>0.1125</v>
      </c>
      <c r="G1295" s="9">
        <v>0.1125</v>
      </c>
      <c r="H1295" s="15">
        <f t="shared" si="40"/>
        <v>7850</v>
      </c>
    </row>
    <row r="1296" spans="1:8" x14ac:dyDescent="0.3">
      <c r="A1296" s="13">
        <v>45064</v>
      </c>
      <c r="B1296" s="15" t="s">
        <v>21</v>
      </c>
      <c r="C1296" s="3">
        <v>6</v>
      </c>
      <c r="D1296" s="13">
        <f t="shared" si="39"/>
        <v>45070</v>
      </c>
      <c r="E1296" s="15">
        <v>1700</v>
      </c>
      <c r="F1296" s="9">
        <v>0.1125</v>
      </c>
      <c r="G1296" s="9">
        <v>0.1125</v>
      </c>
      <c r="H1296" s="15">
        <f t="shared" si="40"/>
        <v>7850</v>
      </c>
    </row>
    <row r="1297" spans="1:8" x14ac:dyDescent="0.3">
      <c r="A1297" s="13">
        <v>45064</v>
      </c>
      <c r="B1297" s="15" t="s">
        <v>21</v>
      </c>
      <c r="C1297" s="3">
        <v>7</v>
      </c>
      <c r="D1297" s="13">
        <f t="shared" si="39"/>
        <v>45071</v>
      </c>
      <c r="E1297" s="15">
        <v>500</v>
      </c>
      <c r="F1297" s="9">
        <v>0.1125</v>
      </c>
      <c r="G1297" s="9">
        <v>0.1125</v>
      </c>
      <c r="H1297" s="15">
        <f t="shared" si="40"/>
        <v>7850</v>
      </c>
    </row>
    <row r="1298" spans="1:8" x14ac:dyDescent="0.3">
      <c r="A1298" s="13">
        <v>45064</v>
      </c>
      <c r="B1298" s="15" t="s">
        <v>21</v>
      </c>
      <c r="C1298" s="3">
        <v>14</v>
      </c>
      <c r="D1298" s="13">
        <f t="shared" si="39"/>
        <v>45078</v>
      </c>
      <c r="E1298" s="15">
        <v>1550</v>
      </c>
      <c r="F1298" s="9">
        <v>0.1125</v>
      </c>
      <c r="G1298" s="9">
        <v>0.1125</v>
      </c>
      <c r="H1298" s="15">
        <f t="shared" si="40"/>
        <v>7850</v>
      </c>
    </row>
    <row r="1299" spans="1:8" x14ac:dyDescent="0.3">
      <c r="A1299" s="13">
        <v>45065</v>
      </c>
      <c r="B1299" s="15" t="s">
        <v>21</v>
      </c>
      <c r="C1299" s="3">
        <v>4</v>
      </c>
      <c r="D1299" s="13">
        <f t="shared" si="39"/>
        <v>45069</v>
      </c>
      <c r="E1299" s="15">
        <v>-1300</v>
      </c>
      <c r="F1299" s="9">
        <v>0.115</v>
      </c>
      <c r="G1299" s="9">
        <v>0.115</v>
      </c>
      <c r="H1299" s="15">
        <f t="shared" si="40"/>
        <v>5550</v>
      </c>
    </row>
    <row r="1300" spans="1:8" x14ac:dyDescent="0.3">
      <c r="A1300" s="13">
        <v>45071</v>
      </c>
      <c r="B1300" s="15" t="s">
        <v>21</v>
      </c>
      <c r="C1300" s="3">
        <v>6</v>
      </c>
      <c r="D1300" s="13">
        <f t="shared" si="39"/>
        <v>45077</v>
      </c>
      <c r="E1300" s="15">
        <v>100</v>
      </c>
      <c r="F1300" s="9">
        <v>0.1125</v>
      </c>
      <c r="G1300" s="9">
        <v>0.1125</v>
      </c>
      <c r="H1300" s="15">
        <f t="shared" si="40"/>
        <v>2650</v>
      </c>
    </row>
    <row r="1301" spans="1:8" x14ac:dyDescent="0.3">
      <c r="A1301" s="13">
        <v>45071</v>
      </c>
      <c r="B1301" s="15" t="s">
        <v>21</v>
      </c>
      <c r="C1301" s="3">
        <v>7</v>
      </c>
      <c r="D1301" s="13">
        <f t="shared" si="39"/>
        <v>45078</v>
      </c>
      <c r="E1301" s="15">
        <v>500</v>
      </c>
      <c r="F1301" s="9">
        <v>0.1125</v>
      </c>
      <c r="G1301" s="9">
        <v>0.1125</v>
      </c>
      <c r="H1301" s="15">
        <f t="shared" si="40"/>
        <v>2650</v>
      </c>
    </row>
    <row r="1302" spans="1:8" x14ac:dyDescent="0.3">
      <c r="A1302" s="13">
        <v>45075</v>
      </c>
      <c r="B1302" s="15" t="s">
        <v>21</v>
      </c>
      <c r="C1302" s="3">
        <v>1</v>
      </c>
      <c r="D1302" s="13">
        <f t="shared" si="39"/>
        <v>45076</v>
      </c>
      <c r="E1302" s="15">
        <v>-600</v>
      </c>
      <c r="F1302" s="9">
        <v>0.1145</v>
      </c>
      <c r="G1302" s="9">
        <v>0.1145</v>
      </c>
      <c r="H1302" s="15">
        <f t="shared" si="40"/>
        <v>850</v>
      </c>
    </row>
    <row r="1303" spans="1:8" x14ac:dyDescent="0.3">
      <c r="A1303" s="13">
        <v>45075</v>
      </c>
      <c r="B1303" s="15" t="s">
        <v>21</v>
      </c>
      <c r="C1303" s="3">
        <v>2</v>
      </c>
      <c r="D1303" s="13">
        <f t="shared" si="39"/>
        <v>45077</v>
      </c>
      <c r="E1303" s="15">
        <v>-1200</v>
      </c>
      <c r="F1303" s="9">
        <v>0.115</v>
      </c>
      <c r="G1303" s="9">
        <v>0.115</v>
      </c>
      <c r="H1303" s="15">
        <f t="shared" si="40"/>
        <v>850</v>
      </c>
    </row>
    <row r="1304" spans="1:8" x14ac:dyDescent="0.3">
      <c r="A1304" s="13">
        <v>45077</v>
      </c>
      <c r="B1304" s="15" t="s">
        <v>21</v>
      </c>
      <c r="C1304" s="3">
        <v>1</v>
      </c>
      <c r="D1304" s="13">
        <f t="shared" si="39"/>
        <v>45078</v>
      </c>
      <c r="E1304" s="15">
        <v>-1000</v>
      </c>
      <c r="F1304" s="9">
        <v>0.1145</v>
      </c>
      <c r="G1304" s="9">
        <v>0.115</v>
      </c>
      <c r="H1304" s="15">
        <f t="shared" si="40"/>
        <v>1550</v>
      </c>
    </row>
    <row r="1305" spans="1:8" x14ac:dyDescent="0.3">
      <c r="A1305" s="13">
        <v>45078</v>
      </c>
      <c r="B1305" s="15" t="s">
        <v>21</v>
      </c>
      <c r="C1305" s="3">
        <v>1</v>
      </c>
      <c r="D1305" s="13">
        <f t="shared" si="39"/>
        <v>45079</v>
      </c>
      <c r="E1305" s="15">
        <v>-2500</v>
      </c>
      <c r="F1305" s="9">
        <v>0.115</v>
      </c>
      <c r="G1305" s="9">
        <v>0.115</v>
      </c>
      <c r="H1305" s="15">
        <f t="shared" si="40"/>
        <v>-2500</v>
      </c>
    </row>
    <row r="1306" spans="1:8" x14ac:dyDescent="0.3">
      <c r="A1306" s="13">
        <v>45079</v>
      </c>
      <c r="B1306" s="15" t="s">
        <v>21</v>
      </c>
      <c r="C1306" s="3">
        <v>3</v>
      </c>
      <c r="D1306" s="13">
        <f t="shared" si="39"/>
        <v>45082</v>
      </c>
      <c r="E1306" s="15">
        <v>-1300</v>
      </c>
      <c r="F1306" s="9">
        <v>0.115</v>
      </c>
      <c r="G1306" s="9">
        <v>0.115</v>
      </c>
      <c r="H1306" s="15">
        <f t="shared" si="40"/>
        <v>-1300</v>
      </c>
    </row>
    <row r="1307" spans="1:8" x14ac:dyDescent="0.3">
      <c r="A1307" s="13">
        <v>45083</v>
      </c>
      <c r="B1307" s="15" t="s">
        <v>21</v>
      </c>
      <c r="C1307" s="3">
        <v>1</v>
      </c>
      <c r="D1307" s="13">
        <f t="shared" si="39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40"/>
        <v>-300</v>
      </c>
    </row>
    <row r="1308" spans="1:8" x14ac:dyDescent="0.3">
      <c r="A1308" s="13">
        <v>45089</v>
      </c>
      <c r="B1308" s="15" t="s">
        <v>21</v>
      </c>
      <c r="C1308" s="3">
        <v>2</v>
      </c>
      <c r="D1308" s="13">
        <f t="shared" si="39"/>
        <v>45091</v>
      </c>
      <c r="E1308" s="15">
        <v>300</v>
      </c>
      <c r="F1308" s="9">
        <v>0.1125</v>
      </c>
      <c r="G1308" s="9">
        <v>0.1125</v>
      </c>
      <c r="H1308" s="15">
        <f t="shared" si="40"/>
        <v>6500</v>
      </c>
    </row>
    <row r="1309" spans="1:8" x14ac:dyDescent="0.3">
      <c r="A1309" s="13">
        <v>45089</v>
      </c>
      <c r="B1309" s="15" t="s">
        <v>21</v>
      </c>
      <c r="C1309" s="3">
        <v>4</v>
      </c>
      <c r="D1309" s="13">
        <f t="shared" si="39"/>
        <v>45093</v>
      </c>
      <c r="E1309" s="15">
        <v>3400</v>
      </c>
      <c r="F1309" s="9">
        <v>0.1125</v>
      </c>
      <c r="G1309" s="9">
        <v>0.1125</v>
      </c>
      <c r="H1309" s="15">
        <f t="shared" si="40"/>
        <v>6500</v>
      </c>
    </row>
    <row r="1310" spans="1:8" x14ac:dyDescent="0.3">
      <c r="A1310" s="13">
        <v>45089</v>
      </c>
      <c r="B1310" s="15" t="s">
        <v>21</v>
      </c>
      <c r="C1310" s="3">
        <v>8</v>
      </c>
      <c r="D1310" s="13">
        <f t="shared" si="39"/>
        <v>45097</v>
      </c>
      <c r="E1310" s="15">
        <v>2800</v>
      </c>
      <c r="F1310" s="9">
        <v>0.113</v>
      </c>
      <c r="G1310" s="9">
        <v>0.113</v>
      </c>
      <c r="H1310" s="15">
        <f t="shared" si="40"/>
        <v>6500</v>
      </c>
    </row>
    <row r="1311" spans="1:8" x14ac:dyDescent="0.3">
      <c r="A1311" s="13">
        <v>45090</v>
      </c>
      <c r="B1311" s="15" t="s">
        <v>21</v>
      </c>
      <c r="C1311" s="3">
        <v>3</v>
      </c>
      <c r="D1311" s="13">
        <f t="shared" si="39"/>
        <v>45093</v>
      </c>
      <c r="E1311" s="15">
        <v>1100</v>
      </c>
      <c r="F1311" s="9">
        <v>0.1125</v>
      </c>
      <c r="G1311" s="9">
        <v>0.1125</v>
      </c>
      <c r="H1311" s="15">
        <f t="shared" si="40"/>
        <v>9800</v>
      </c>
    </row>
    <row r="1312" spans="1:8" x14ac:dyDescent="0.3">
      <c r="A1312" s="13">
        <v>45090</v>
      </c>
      <c r="B1312" s="15" t="s">
        <v>21</v>
      </c>
      <c r="C1312" s="3">
        <v>8</v>
      </c>
      <c r="D1312" s="13">
        <f t="shared" si="39"/>
        <v>45098</v>
      </c>
      <c r="E1312" s="15">
        <v>2200</v>
      </c>
      <c r="F1312" s="9">
        <v>0.113</v>
      </c>
      <c r="G1312" s="9">
        <v>0.113</v>
      </c>
      <c r="H1312" s="15">
        <f t="shared" si="40"/>
        <v>9800</v>
      </c>
    </row>
    <row r="1313" spans="1:8" x14ac:dyDescent="0.3">
      <c r="A1313" s="13">
        <v>45091</v>
      </c>
      <c r="B1313" s="15" t="s">
        <v>21</v>
      </c>
      <c r="C1313" s="3">
        <v>6</v>
      </c>
      <c r="D1313" s="13">
        <f t="shared" si="39"/>
        <v>45097</v>
      </c>
      <c r="E1313" s="15">
        <v>1600</v>
      </c>
      <c r="F1313" s="9">
        <v>0.1125</v>
      </c>
      <c r="G1313" s="9">
        <v>0.1125</v>
      </c>
      <c r="H1313" s="15">
        <f t="shared" si="40"/>
        <v>11100</v>
      </c>
    </row>
    <row r="1314" spans="1:8" x14ac:dyDescent="0.3">
      <c r="A1314" s="13">
        <v>45092</v>
      </c>
      <c r="B1314" s="15" t="s">
        <v>21</v>
      </c>
      <c r="C1314" s="3">
        <v>7</v>
      </c>
      <c r="D1314" s="13">
        <f t="shared" si="39"/>
        <v>45099</v>
      </c>
      <c r="E1314" s="15">
        <v>300</v>
      </c>
      <c r="F1314" s="9">
        <v>0.1125</v>
      </c>
      <c r="G1314" s="9">
        <v>0.1125</v>
      </c>
      <c r="H1314" s="15">
        <f t="shared" si="40"/>
        <v>14200</v>
      </c>
    </row>
    <row r="1315" spans="1:8" x14ac:dyDescent="0.3">
      <c r="A1315" s="13">
        <v>45092</v>
      </c>
      <c r="B1315" s="15" t="s">
        <v>21</v>
      </c>
      <c r="C1315" s="3">
        <v>8</v>
      </c>
      <c r="D1315" s="13">
        <f t="shared" si="39"/>
        <v>45100</v>
      </c>
      <c r="E1315" s="15">
        <v>2800</v>
      </c>
      <c r="F1315" s="9">
        <v>0.1125</v>
      </c>
      <c r="G1315" s="9">
        <v>0.1125</v>
      </c>
      <c r="H1315" s="15">
        <f t="shared" si="40"/>
        <v>14200</v>
      </c>
    </row>
    <row r="1316" spans="1:8" x14ac:dyDescent="0.3">
      <c r="A1316" s="13">
        <v>45093</v>
      </c>
      <c r="B1316" s="15" t="s">
        <v>21</v>
      </c>
      <c r="C1316" s="3">
        <v>7</v>
      </c>
      <c r="D1316" s="13">
        <f t="shared" si="39"/>
        <v>45100</v>
      </c>
      <c r="E1316" s="15">
        <v>2900</v>
      </c>
      <c r="F1316" s="9">
        <v>0.1125</v>
      </c>
      <c r="G1316" s="9">
        <v>0.1125</v>
      </c>
      <c r="H1316" s="15">
        <f t="shared" si="40"/>
        <v>12600</v>
      </c>
    </row>
    <row r="1317" spans="1:8" x14ac:dyDescent="0.3">
      <c r="A1317" s="13">
        <v>45097</v>
      </c>
      <c r="B1317" s="15" t="s">
        <v>21</v>
      </c>
      <c r="C1317" s="3">
        <v>2</v>
      </c>
      <c r="D1317" s="13">
        <f t="shared" si="39"/>
        <v>45099</v>
      </c>
      <c r="E1317" s="15">
        <v>400</v>
      </c>
      <c r="F1317" s="9">
        <v>0.111</v>
      </c>
      <c r="G1317" s="9">
        <v>0.111</v>
      </c>
      <c r="H1317" s="15">
        <f t="shared" si="40"/>
        <v>15300</v>
      </c>
    </row>
    <row r="1318" spans="1:8" x14ac:dyDescent="0.3">
      <c r="A1318" s="13">
        <v>45097</v>
      </c>
      <c r="B1318" s="15" t="s">
        <v>21</v>
      </c>
      <c r="C1318" s="3">
        <v>6</v>
      </c>
      <c r="D1318" s="13">
        <f t="shared" ref="D1318:D1386" si="41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40"/>
        <v>15300</v>
      </c>
    </row>
    <row r="1319" spans="1:8" x14ac:dyDescent="0.3">
      <c r="A1319" s="13">
        <v>45097</v>
      </c>
      <c r="B1319" s="15" t="s">
        <v>21</v>
      </c>
      <c r="C1319" s="3">
        <v>7</v>
      </c>
      <c r="D1319" s="13">
        <f t="shared" si="41"/>
        <v>45104</v>
      </c>
      <c r="E1319" s="15">
        <v>4800</v>
      </c>
      <c r="F1319" s="9">
        <v>0.1125</v>
      </c>
      <c r="G1319" s="9">
        <v>0.1125</v>
      </c>
      <c r="H1319" s="15">
        <f t="shared" si="40"/>
        <v>15300</v>
      </c>
    </row>
    <row r="1320" spans="1:8" x14ac:dyDescent="0.3">
      <c r="A1320" s="13">
        <v>45098</v>
      </c>
      <c r="B1320" s="15" t="s">
        <v>21</v>
      </c>
      <c r="C1320" s="3">
        <v>7</v>
      </c>
      <c r="D1320" s="13">
        <f t="shared" si="41"/>
        <v>45105</v>
      </c>
      <c r="E1320" s="15">
        <v>1000</v>
      </c>
      <c r="F1320" s="9">
        <v>0.1115</v>
      </c>
      <c r="G1320" s="9">
        <v>0.1115</v>
      </c>
      <c r="H1320" s="15">
        <f t="shared" si="40"/>
        <v>14100</v>
      </c>
    </row>
    <row r="1321" spans="1:8" x14ac:dyDescent="0.3">
      <c r="A1321" s="13">
        <v>45099</v>
      </c>
      <c r="B1321" s="15" t="s">
        <v>21</v>
      </c>
      <c r="C1321" s="3">
        <v>6</v>
      </c>
      <c r="D1321" s="13">
        <f t="shared" si="41"/>
        <v>45105</v>
      </c>
      <c r="E1321" s="15">
        <v>1000</v>
      </c>
      <c r="F1321" s="9">
        <v>0.1115</v>
      </c>
      <c r="G1321" s="9">
        <v>0.1115</v>
      </c>
      <c r="H1321" s="15">
        <f t="shared" si="40"/>
        <v>18800</v>
      </c>
    </row>
    <row r="1322" spans="1:8" x14ac:dyDescent="0.3">
      <c r="A1322" s="13">
        <v>45099</v>
      </c>
      <c r="B1322" s="15" t="s">
        <v>21</v>
      </c>
      <c r="C1322" s="3">
        <v>7</v>
      </c>
      <c r="D1322" s="13">
        <f t="shared" si="41"/>
        <v>45106</v>
      </c>
      <c r="E1322" s="15">
        <v>4400</v>
      </c>
      <c r="F1322" s="9">
        <v>0.1115</v>
      </c>
      <c r="G1322" s="9">
        <v>0.1115</v>
      </c>
      <c r="H1322" s="15">
        <f t="shared" si="40"/>
        <v>18800</v>
      </c>
    </row>
    <row r="1323" spans="1:8" x14ac:dyDescent="0.3">
      <c r="A1323" s="13">
        <v>45100</v>
      </c>
      <c r="B1323" s="15" t="s">
        <v>21</v>
      </c>
      <c r="C1323" s="3">
        <v>4</v>
      </c>
      <c r="D1323" s="13">
        <f t="shared" si="41"/>
        <v>45104</v>
      </c>
      <c r="E1323" s="15">
        <v>1400</v>
      </c>
      <c r="F1323" s="9">
        <v>0.111</v>
      </c>
      <c r="G1323" s="9">
        <v>0.111</v>
      </c>
      <c r="H1323" s="15">
        <f t="shared" si="40"/>
        <v>17825</v>
      </c>
    </row>
    <row r="1324" spans="1:8" x14ac:dyDescent="0.3">
      <c r="A1324" s="13">
        <v>45100</v>
      </c>
      <c r="B1324" s="15" t="s">
        <v>21</v>
      </c>
      <c r="C1324" s="3">
        <v>7</v>
      </c>
      <c r="D1324" s="13">
        <f t="shared" si="41"/>
        <v>45107</v>
      </c>
      <c r="E1324" s="15">
        <v>3325</v>
      </c>
      <c r="F1324" s="9">
        <v>0.112</v>
      </c>
      <c r="G1324" s="9">
        <v>0.112</v>
      </c>
      <c r="H1324" s="15">
        <f t="shared" si="40"/>
        <v>17825</v>
      </c>
    </row>
    <row r="1325" spans="1:8" x14ac:dyDescent="0.3">
      <c r="A1325" s="13">
        <v>45105</v>
      </c>
      <c r="B1325" s="15" t="s">
        <v>21</v>
      </c>
      <c r="C1325" s="3">
        <v>2</v>
      </c>
      <c r="D1325" s="13">
        <f t="shared" si="41"/>
        <v>45107</v>
      </c>
      <c r="E1325" s="15">
        <v>-1450</v>
      </c>
      <c r="F1325" s="9">
        <v>0.115</v>
      </c>
      <c r="G1325" s="9">
        <v>0.115</v>
      </c>
      <c r="H1325" s="15">
        <f t="shared" si="40"/>
        <v>6275</v>
      </c>
    </row>
    <row r="1326" spans="1:8" x14ac:dyDescent="0.3">
      <c r="A1326" s="13">
        <v>45106</v>
      </c>
      <c r="B1326" s="15" t="s">
        <v>21</v>
      </c>
      <c r="C1326" s="3">
        <v>4</v>
      </c>
      <c r="D1326" s="13">
        <f t="shared" si="41"/>
        <v>45110</v>
      </c>
      <c r="E1326" s="15">
        <v>-2300</v>
      </c>
      <c r="F1326" s="9">
        <v>0.115</v>
      </c>
      <c r="G1326" s="9">
        <v>0.115</v>
      </c>
      <c r="H1326" s="15">
        <f t="shared" si="40"/>
        <v>-425</v>
      </c>
    </row>
    <row r="1327" spans="1:8" x14ac:dyDescent="0.3">
      <c r="A1327" s="13">
        <v>45107</v>
      </c>
      <c r="B1327" s="15" t="s">
        <v>21</v>
      </c>
      <c r="C1327" s="3">
        <v>3</v>
      </c>
      <c r="D1327" s="13">
        <f t="shared" si="41"/>
        <v>45110</v>
      </c>
      <c r="E1327" s="15">
        <v>-6200</v>
      </c>
      <c r="F1327" s="9">
        <v>0.115</v>
      </c>
      <c r="G1327" s="9">
        <v>0.115</v>
      </c>
      <c r="H1327" s="15">
        <f t="shared" si="40"/>
        <v>-8500</v>
      </c>
    </row>
    <row r="1328" spans="1:8" x14ac:dyDescent="0.3">
      <c r="A1328" s="13">
        <v>45110</v>
      </c>
      <c r="B1328" s="15" t="s">
        <v>21</v>
      </c>
      <c r="C1328" s="3">
        <v>1</v>
      </c>
      <c r="D1328" s="13">
        <f t="shared" si="41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40"/>
        <v>-5700</v>
      </c>
    </row>
    <row r="1329" spans="1:8" x14ac:dyDescent="0.3">
      <c r="A1329" s="13">
        <v>45110</v>
      </c>
      <c r="B1329" s="15" t="s">
        <v>21</v>
      </c>
      <c r="C1329" s="3">
        <v>2</v>
      </c>
      <c r="D1329" s="13">
        <f t="shared" si="41"/>
        <v>45112</v>
      </c>
      <c r="E1329" s="15">
        <v>-4700</v>
      </c>
      <c r="F1329" s="9">
        <v>0.115</v>
      </c>
      <c r="G1329" s="9">
        <v>0.11600000000000001</v>
      </c>
      <c r="H1329" s="15">
        <f t="shared" si="40"/>
        <v>-5700</v>
      </c>
    </row>
    <row r="1330" spans="1:8" x14ac:dyDescent="0.3">
      <c r="A1330" s="13">
        <v>45110</v>
      </c>
      <c r="B1330" s="15" t="s">
        <v>21</v>
      </c>
      <c r="C1330" s="3">
        <v>3</v>
      </c>
      <c r="D1330" s="13">
        <f t="shared" si="41"/>
        <v>45113</v>
      </c>
      <c r="E1330" s="15">
        <v>-700</v>
      </c>
      <c r="F1330" s="9">
        <v>0.115</v>
      </c>
      <c r="G1330" s="9">
        <v>0.115</v>
      </c>
      <c r="H1330" s="15">
        <f t="shared" si="40"/>
        <v>-5700</v>
      </c>
    </row>
    <row r="1331" spans="1:8" x14ac:dyDescent="0.3">
      <c r="A1331" s="13">
        <v>45112</v>
      </c>
      <c r="B1331" s="15" t="s">
        <v>21</v>
      </c>
      <c r="C1331" s="3">
        <v>2</v>
      </c>
      <c r="D1331" s="13">
        <f t="shared" si="41"/>
        <v>45114</v>
      </c>
      <c r="E1331" s="15">
        <v>-1500</v>
      </c>
      <c r="F1331" s="9">
        <v>0.114</v>
      </c>
      <c r="G1331" s="9">
        <v>0.115</v>
      </c>
      <c r="H1331" s="15">
        <f t="shared" si="40"/>
        <v>-2200</v>
      </c>
    </row>
    <row r="1332" spans="1:8" x14ac:dyDescent="0.3">
      <c r="A1332" s="13">
        <v>45114</v>
      </c>
      <c r="B1332" s="15" t="s">
        <v>21</v>
      </c>
      <c r="C1332" s="3">
        <v>3</v>
      </c>
      <c r="D1332" s="13">
        <f t="shared" si="41"/>
        <v>45117</v>
      </c>
      <c r="E1332" s="15">
        <v>-900</v>
      </c>
      <c r="F1332" s="9">
        <v>0.11</v>
      </c>
      <c r="G1332" s="9">
        <v>0.11</v>
      </c>
      <c r="H1332" s="15">
        <f t="shared" si="40"/>
        <v>-900</v>
      </c>
    </row>
    <row r="1333" spans="1:8" x14ac:dyDescent="0.3">
      <c r="A1333" s="13">
        <v>45119</v>
      </c>
      <c r="B1333" s="15" t="s">
        <v>21</v>
      </c>
      <c r="C1333" s="3">
        <v>2</v>
      </c>
      <c r="D1333" s="13">
        <f t="shared" si="41"/>
        <v>45121</v>
      </c>
      <c r="E1333" s="15">
        <v>500</v>
      </c>
      <c r="F1333" s="9">
        <v>0.1075</v>
      </c>
      <c r="G1333" s="9">
        <v>0.1075</v>
      </c>
      <c r="H1333" s="15">
        <f t="shared" si="40"/>
        <v>500</v>
      </c>
    </row>
    <row r="1334" spans="1:8" x14ac:dyDescent="0.3">
      <c r="A1334" s="13">
        <v>45120</v>
      </c>
      <c r="B1334" s="15" t="s">
        <v>21</v>
      </c>
      <c r="C1334" s="3">
        <v>4</v>
      </c>
      <c r="D1334" s="13">
        <f t="shared" si="41"/>
        <v>45124</v>
      </c>
      <c r="E1334" s="15">
        <v>1500</v>
      </c>
      <c r="F1334" s="9">
        <v>0.1075</v>
      </c>
      <c r="G1334" s="9">
        <v>0.1075</v>
      </c>
      <c r="H1334" s="15">
        <f t="shared" si="40"/>
        <v>2000</v>
      </c>
    </row>
    <row r="1335" spans="1:8" x14ac:dyDescent="0.3">
      <c r="A1335" s="13">
        <v>45124</v>
      </c>
      <c r="B1335" s="15" t="s">
        <v>21</v>
      </c>
      <c r="C1335" s="3">
        <v>4</v>
      </c>
      <c r="D1335" s="13">
        <f t="shared" si="41"/>
        <v>45128</v>
      </c>
      <c r="E1335" s="15">
        <v>3100</v>
      </c>
      <c r="F1335" s="9">
        <v>0.1075</v>
      </c>
      <c r="G1335" s="9">
        <v>0.1075</v>
      </c>
      <c r="H1335" s="15">
        <f t="shared" si="40"/>
        <v>7300</v>
      </c>
    </row>
    <row r="1336" spans="1:8" x14ac:dyDescent="0.3">
      <c r="A1336" s="13">
        <v>45124</v>
      </c>
      <c r="B1336" s="15" t="s">
        <v>21</v>
      </c>
      <c r="C1336" s="3">
        <v>7</v>
      </c>
      <c r="D1336" s="13">
        <f t="shared" si="41"/>
        <v>45131</v>
      </c>
      <c r="E1336" s="15">
        <v>4200</v>
      </c>
      <c r="F1336" s="9">
        <v>0.1075</v>
      </c>
      <c r="G1336" s="9">
        <v>0.1075</v>
      </c>
      <c r="H1336" s="15">
        <f t="shared" si="40"/>
        <v>7300</v>
      </c>
    </row>
    <row r="1337" spans="1:8" x14ac:dyDescent="0.3">
      <c r="A1337" s="13">
        <v>45126</v>
      </c>
      <c r="B1337" s="15" t="s">
        <v>21</v>
      </c>
      <c r="C1337" s="3">
        <v>1</v>
      </c>
      <c r="D1337" s="13">
        <f t="shared" si="41"/>
        <v>45127</v>
      </c>
      <c r="E1337" s="15">
        <v>200</v>
      </c>
      <c r="F1337" s="9">
        <v>0.1065</v>
      </c>
      <c r="G1337" s="9">
        <v>0.1065</v>
      </c>
      <c r="H1337" s="15">
        <f t="shared" si="40"/>
        <v>18300</v>
      </c>
    </row>
    <row r="1338" spans="1:8" x14ac:dyDescent="0.3">
      <c r="A1338" s="13">
        <v>45126</v>
      </c>
      <c r="B1338" s="15" t="s">
        <v>21</v>
      </c>
      <c r="C1338" s="3">
        <v>2</v>
      </c>
      <c r="D1338" s="13">
        <f t="shared" si="41"/>
        <v>45128</v>
      </c>
      <c r="E1338" s="15">
        <v>3300</v>
      </c>
      <c r="F1338" s="9">
        <v>0.1075</v>
      </c>
      <c r="G1338" s="9">
        <v>0.1075</v>
      </c>
      <c r="H1338" s="15">
        <f t="shared" si="40"/>
        <v>18300</v>
      </c>
    </row>
    <row r="1339" spans="1:8" x14ac:dyDescent="0.3">
      <c r="A1339" s="13">
        <v>45126</v>
      </c>
      <c r="B1339" s="15" t="s">
        <v>21</v>
      </c>
      <c r="C1339" s="3">
        <v>5</v>
      </c>
      <c r="D1339" s="13">
        <f t="shared" si="41"/>
        <v>45131</v>
      </c>
      <c r="E1339" s="15">
        <v>1800</v>
      </c>
      <c r="F1339" s="9">
        <v>0.1075</v>
      </c>
      <c r="G1339" s="9">
        <v>0.1075</v>
      </c>
      <c r="H1339" s="15">
        <f t="shared" si="40"/>
        <v>18300</v>
      </c>
    </row>
    <row r="1340" spans="1:8" x14ac:dyDescent="0.3">
      <c r="A1340" s="13">
        <v>45126</v>
      </c>
      <c r="B1340" s="15" t="s">
        <v>21</v>
      </c>
      <c r="C1340" s="3">
        <v>6</v>
      </c>
      <c r="D1340" s="13">
        <f t="shared" si="41"/>
        <v>45132</v>
      </c>
      <c r="E1340" s="15">
        <v>1000</v>
      </c>
      <c r="F1340" s="9">
        <v>0.1075</v>
      </c>
      <c r="G1340" s="9">
        <v>0.1075</v>
      </c>
      <c r="H1340" s="15">
        <f t="shared" si="40"/>
        <v>18300</v>
      </c>
    </row>
    <row r="1341" spans="1:8" x14ac:dyDescent="0.3">
      <c r="A1341" s="13">
        <v>45126</v>
      </c>
      <c r="B1341" s="15" t="s">
        <v>21</v>
      </c>
      <c r="C1341" s="3">
        <v>7</v>
      </c>
      <c r="D1341" s="13">
        <f t="shared" si="41"/>
        <v>45133</v>
      </c>
      <c r="E1341" s="15">
        <v>4700</v>
      </c>
      <c r="F1341" s="9">
        <v>0.1075</v>
      </c>
      <c r="G1341" s="9">
        <v>0.1075</v>
      </c>
      <c r="H1341" s="15">
        <f t="shared" si="40"/>
        <v>18300</v>
      </c>
    </row>
    <row r="1342" spans="1:8" x14ac:dyDescent="0.3">
      <c r="A1342" s="13">
        <v>45128</v>
      </c>
      <c r="B1342" s="15" t="s">
        <v>21</v>
      </c>
      <c r="C1342" s="3">
        <v>4</v>
      </c>
      <c r="D1342" s="13">
        <f t="shared" si="41"/>
        <v>45132</v>
      </c>
      <c r="E1342" s="15">
        <v>2000</v>
      </c>
      <c r="F1342" s="9">
        <v>0.1075</v>
      </c>
      <c r="G1342" s="9">
        <v>0.1075</v>
      </c>
      <c r="H1342" s="15">
        <f t="shared" si="40"/>
        <v>16500</v>
      </c>
    </row>
    <row r="1343" spans="1:8" x14ac:dyDescent="0.3">
      <c r="A1343" s="13">
        <v>45128</v>
      </c>
      <c r="B1343" s="15" t="s">
        <v>21</v>
      </c>
      <c r="C1343" s="3">
        <v>7</v>
      </c>
      <c r="D1343" s="13">
        <f t="shared" si="41"/>
        <v>45135</v>
      </c>
      <c r="E1343" s="15">
        <v>2800</v>
      </c>
      <c r="F1343" s="9">
        <v>0.1075</v>
      </c>
      <c r="G1343" s="9">
        <v>0.1075</v>
      </c>
      <c r="H1343" s="15">
        <f t="shared" si="40"/>
        <v>16500</v>
      </c>
    </row>
    <row r="1344" spans="1:8" x14ac:dyDescent="0.3">
      <c r="A1344" s="13">
        <v>45131</v>
      </c>
      <c r="B1344" s="15" t="s">
        <v>21</v>
      </c>
      <c r="C1344" s="3">
        <v>2</v>
      </c>
      <c r="D1344" s="13">
        <f t="shared" si="41"/>
        <v>45133</v>
      </c>
      <c r="E1344" s="15">
        <v>700</v>
      </c>
      <c r="F1344" s="9">
        <v>0.1065</v>
      </c>
      <c r="G1344" s="9">
        <v>0.1065</v>
      </c>
      <c r="H1344" s="15">
        <f t="shared" si="40"/>
        <v>11800</v>
      </c>
    </row>
    <row r="1345" spans="1:8" x14ac:dyDescent="0.3">
      <c r="A1345" s="13">
        <v>45131</v>
      </c>
      <c r="B1345" s="15" t="s">
        <v>21</v>
      </c>
      <c r="C1345" s="3">
        <v>7</v>
      </c>
      <c r="D1345" s="13">
        <f t="shared" si="41"/>
        <v>45138</v>
      </c>
      <c r="E1345" s="15">
        <v>600</v>
      </c>
      <c r="F1345" s="9">
        <v>0.1075</v>
      </c>
      <c r="G1345" s="9">
        <v>0.1075</v>
      </c>
      <c r="H1345" s="15">
        <f t="shared" si="40"/>
        <v>11800</v>
      </c>
    </row>
    <row r="1346" spans="1:8" x14ac:dyDescent="0.3">
      <c r="A1346" s="13">
        <v>45132</v>
      </c>
      <c r="B1346" s="15" t="s">
        <v>21</v>
      </c>
      <c r="C1346" s="3">
        <v>6</v>
      </c>
      <c r="D1346" s="13">
        <f t="shared" si="41"/>
        <v>45138</v>
      </c>
      <c r="E1346" s="15">
        <v>700</v>
      </c>
      <c r="F1346" s="9">
        <v>0.1075</v>
      </c>
      <c r="G1346" s="9">
        <v>0.1075</v>
      </c>
      <c r="H1346" s="15">
        <f t="shared" si="40"/>
        <v>9500</v>
      </c>
    </row>
    <row r="1347" spans="1:8" x14ac:dyDescent="0.3">
      <c r="A1347" s="13">
        <v>45133</v>
      </c>
      <c r="B1347" s="15" t="s">
        <v>21</v>
      </c>
      <c r="C1347" s="3">
        <v>6</v>
      </c>
      <c r="D1347" s="13">
        <f t="shared" si="41"/>
        <v>45139</v>
      </c>
      <c r="E1347" s="15">
        <v>2200</v>
      </c>
      <c r="F1347" s="9">
        <v>0.1075</v>
      </c>
      <c r="G1347" s="9">
        <v>0.1075</v>
      </c>
      <c r="H1347" s="15">
        <f t="shared" si="40"/>
        <v>6300</v>
      </c>
    </row>
    <row r="1348" spans="1:8" x14ac:dyDescent="0.3">
      <c r="A1348" s="13">
        <v>45135</v>
      </c>
      <c r="B1348" s="15" t="s">
        <v>21</v>
      </c>
      <c r="C1348" s="3">
        <v>3</v>
      </c>
      <c r="D1348" s="13">
        <f t="shared" si="41"/>
        <v>45138</v>
      </c>
      <c r="E1348" s="15">
        <v>-500</v>
      </c>
      <c r="F1348" s="9">
        <v>0.11</v>
      </c>
      <c r="G1348" s="9">
        <v>0.11</v>
      </c>
      <c r="H1348" s="15">
        <f t="shared" si="40"/>
        <v>1000</v>
      </c>
    </row>
    <row r="1349" spans="1:8" x14ac:dyDescent="0.3">
      <c r="A1349" s="13">
        <v>45135</v>
      </c>
      <c r="B1349" s="15" t="s">
        <v>21</v>
      </c>
      <c r="C1349" s="3">
        <v>5</v>
      </c>
      <c r="D1349" s="13">
        <f t="shared" si="41"/>
        <v>45140</v>
      </c>
      <c r="E1349" s="15">
        <v>-2000</v>
      </c>
      <c r="F1349" s="9">
        <v>0.11</v>
      </c>
      <c r="G1349" s="9">
        <v>0.11</v>
      </c>
      <c r="H1349" s="15">
        <f t="shared" si="40"/>
        <v>1000</v>
      </c>
    </row>
    <row r="1350" spans="1:8" x14ac:dyDescent="0.3">
      <c r="A1350" s="13">
        <v>45138</v>
      </c>
      <c r="B1350" s="15" t="s">
        <v>21</v>
      </c>
      <c r="C1350" s="3">
        <v>4</v>
      </c>
      <c r="D1350" s="13">
        <f t="shared" si="41"/>
        <v>45142</v>
      </c>
      <c r="E1350" s="15">
        <v>3400</v>
      </c>
      <c r="F1350" s="9">
        <v>0.1075</v>
      </c>
      <c r="G1350" s="9">
        <v>0.1075</v>
      </c>
      <c r="H1350" s="15">
        <f t="shared" si="40"/>
        <v>4900</v>
      </c>
    </row>
    <row r="1351" spans="1:8" x14ac:dyDescent="0.3">
      <c r="A1351" s="13">
        <v>45138</v>
      </c>
      <c r="B1351" s="15" t="s">
        <v>21</v>
      </c>
      <c r="C1351" s="3">
        <v>7</v>
      </c>
      <c r="D1351" s="13">
        <f t="shared" si="41"/>
        <v>45145</v>
      </c>
      <c r="E1351" s="15">
        <v>1300</v>
      </c>
      <c r="F1351" s="9">
        <v>0.1075</v>
      </c>
      <c r="G1351" s="9">
        <v>0.1075</v>
      </c>
      <c r="H1351" s="15">
        <f t="shared" si="40"/>
        <v>4900</v>
      </c>
    </row>
    <row r="1352" spans="1:8" x14ac:dyDescent="0.3">
      <c r="A1352" s="13">
        <v>45139</v>
      </c>
      <c r="B1352" s="15" t="s">
        <v>21</v>
      </c>
      <c r="C1352" s="3">
        <v>1</v>
      </c>
      <c r="D1352" s="13">
        <f t="shared" si="41"/>
        <v>45140</v>
      </c>
      <c r="E1352" s="15">
        <v>-3500</v>
      </c>
      <c r="F1352" s="9">
        <v>0.11</v>
      </c>
      <c r="G1352" s="9">
        <v>0.1125</v>
      </c>
      <c r="H1352" s="15">
        <f t="shared" si="40"/>
        <v>-1800</v>
      </c>
    </row>
    <row r="1353" spans="1:8" x14ac:dyDescent="0.3">
      <c r="A1353" s="13">
        <v>45139</v>
      </c>
      <c r="B1353" s="15" t="s">
        <v>21</v>
      </c>
      <c r="C1353" s="3">
        <v>2</v>
      </c>
      <c r="D1353" s="13">
        <f t="shared" si="41"/>
        <v>45141</v>
      </c>
      <c r="E1353" s="15">
        <v>-1000</v>
      </c>
      <c r="F1353" s="9">
        <v>0.11</v>
      </c>
      <c r="G1353" s="9">
        <v>0.11</v>
      </c>
      <c r="H1353" s="15">
        <f t="shared" si="40"/>
        <v>-1800</v>
      </c>
    </row>
    <row r="1354" spans="1:8" x14ac:dyDescent="0.3">
      <c r="A1354" s="13">
        <v>45140</v>
      </c>
      <c r="B1354" s="15" t="s">
        <v>21</v>
      </c>
      <c r="C1354" s="3">
        <v>1</v>
      </c>
      <c r="D1354" s="13">
        <f t="shared" si="41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2">+SUMIFS($E$10:$E$4506,$A$10:$A$4506,"&lt;="&amp;A1354,$D$10:$D$4506,"&gt;"&amp;A1354)</f>
        <v>1300</v>
      </c>
    </row>
    <row r="1355" spans="1:8" x14ac:dyDescent="0.3">
      <c r="A1355" s="13">
        <v>45140</v>
      </c>
      <c r="B1355" s="15" t="s">
        <v>21</v>
      </c>
      <c r="C1355" s="3">
        <v>2</v>
      </c>
      <c r="D1355" s="13">
        <f t="shared" si="41"/>
        <v>45142</v>
      </c>
      <c r="E1355" s="15">
        <v>-2000</v>
      </c>
      <c r="F1355" s="9">
        <v>0.1125</v>
      </c>
      <c r="G1355" s="9">
        <v>0.1125</v>
      </c>
      <c r="H1355" s="15">
        <f t="shared" si="42"/>
        <v>1300</v>
      </c>
    </row>
    <row r="1356" spans="1:8" x14ac:dyDescent="0.3">
      <c r="A1356" s="13">
        <v>45141</v>
      </c>
      <c r="B1356" s="15" t="s">
        <v>21</v>
      </c>
      <c r="C1356" s="3">
        <v>4</v>
      </c>
      <c r="D1356" s="13">
        <f t="shared" si="41"/>
        <v>45145</v>
      </c>
      <c r="E1356" s="15">
        <v>-1150</v>
      </c>
      <c r="F1356" s="9">
        <v>0.1115</v>
      </c>
      <c r="G1356" s="9">
        <v>0.1105</v>
      </c>
      <c r="H1356" s="15">
        <f t="shared" si="42"/>
        <v>1550</v>
      </c>
    </row>
    <row r="1357" spans="1:8" x14ac:dyDescent="0.3">
      <c r="A1357" s="13">
        <v>45142</v>
      </c>
      <c r="B1357" s="15" t="s">
        <v>21</v>
      </c>
      <c r="C1357" s="3">
        <v>4</v>
      </c>
      <c r="D1357" s="13">
        <f t="shared" si="41"/>
        <v>45146</v>
      </c>
      <c r="E1357" s="15">
        <v>-800</v>
      </c>
      <c r="F1357" s="9">
        <v>0.1115</v>
      </c>
      <c r="G1357" s="9">
        <v>0.1115</v>
      </c>
      <c r="H1357" s="15">
        <f t="shared" si="42"/>
        <v>-650</v>
      </c>
    </row>
    <row r="1358" spans="1:8" x14ac:dyDescent="0.3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2"/>
        <v>-1700</v>
      </c>
    </row>
    <row r="1359" spans="1:8" x14ac:dyDescent="0.3">
      <c r="A1359" s="13">
        <v>45146</v>
      </c>
      <c r="B1359" s="15" t="s">
        <v>21</v>
      </c>
      <c r="C1359" s="3">
        <v>3</v>
      </c>
      <c r="D1359" s="13">
        <f t="shared" si="41"/>
        <v>45149</v>
      </c>
      <c r="E1359" s="15">
        <v>-1000</v>
      </c>
      <c r="F1359" s="9">
        <v>0.11</v>
      </c>
      <c r="G1359" s="9">
        <v>0.11</v>
      </c>
      <c r="H1359" s="15">
        <f t="shared" si="42"/>
        <v>-1200</v>
      </c>
    </row>
    <row r="1360" spans="1:8" x14ac:dyDescent="0.3">
      <c r="A1360" s="13">
        <v>45146</v>
      </c>
      <c r="B1360" s="15" t="s">
        <v>21</v>
      </c>
      <c r="C1360" s="3">
        <v>7</v>
      </c>
      <c r="D1360" s="13">
        <f t="shared" si="41"/>
        <v>45153</v>
      </c>
      <c r="E1360" s="15">
        <v>-200</v>
      </c>
      <c r="F1360" s="9">
        <v>0.112</v>
      </c>
      <c r="G1360" s="9">
        <v>0.112</v>
      </c>
      <c r="H1360" s="15">
        <f t="shared" si="42"/>
        <v>-1200</v>
      </c>
    </row>
    <row r="1361" spans="1:8" x14ac:dyDescent="0.3">
      <c r="A1361" s="13">
        <v>45147</v>
      </c>
      <c r="B1361" s="15" t="s">
        <v>21</v>
      </c>
      <c r="C1361" s="3">
        <v>1</v>
      </c>
      <c r="D1361" s="13">
        <f t="shared" si="41"/>
        <v>45148</v>
      </c>
      <c r="E1361" s="15">
        <v>950</v>
      </c>
      <c r="F1361" s="9">
        <v>0.1075</v>
      </c>
      <c r="G1361" s="9">
        <v>0.1075</v>
      </c>
      <c r="H1361" s="15">
        <f t="shared" si="42"/>
        <v>550</v>
      </c>
    </row>
    <row r="1362" spans="1:8" x14ac:dyDescent="0.3">
      <c r="A1362" s="13">
        <v>45147</v>
      </c>
      <c r="B1362" s="15" t="s">
        <v>21</v>
      </c>
      <c r="C1362" s="3">
        <v>2</v>
      </c>
      <c r="D1362" s="13">
        <f t="shared" si="41"/>
        <v>45149</v>
      </c>
      <c r="E1362" s="15">
        <v>800</v>
      </c>
      <c r="F1362" s="9">
        <v>0.1075</v>
      </c>
      <c r="G1362" s="9">
        <v>0.1075</v>
      </c>
      <c r="H1362" s="15">
        <f t="shared" si="42"/>
        <v>550</v>
      </c>
    </row>
    <row r="1363" spans="1:8" x14ac:dyDescent="0.3">
      <c r="A1363" s="13">
        <v>45148</v>
      </c>
      <c r="B1363" s="15" t="s">
        <v>21</v>
      </c>
      <c r="C1363" s="3">
        <v>1</v>
      </c>
      <c r="D1363" s="13">
        <f t="shared" si="41"/>
        <v>45149</v>
      </c>
      <c r="E1363" s="15">
        <v>1600</v>
      </c>
      <c r="F1363" s="9">
        <v>0.105</v>
      </c>
      <c r="G1363" s="9">
        <v>0.105</v>
      </c>
      <c r="H1363" s="15">
        <f t="shared" si="42"/>
        <v>1600</v>
      </c>
    </row>
    <row r="1364" spans="1:8" x14ac:dyDescent="0.3">
      <c r="A1364" s="13">
        <v>45148</v>
      </c>
      <c r="B1364" s="15" t="s">
        <v>21</v>
      </c>
      <c r="C1364" s="3">
        <v>4</v>
      </c>
      <c r="D1364" s="13">
        <f t="shared" si="41"/>
        <v>45152</v>
      </c>
      <c r="E1364" s="15">
        <v>400</v>
      </c>
      <c r="F1364" s="9">
        <v>0.105</v>
      </c>
      <c r="G1364" s="9">
        <v>0.105</v>
      </c>
      <c r="H1364" s="15">
        <f t="shared" si="42"/>
        <v>1600</v>
      </c>
    </row>
    <row r="1365" spans="1:8" x14ac:dyDescent="0.3">
      <c r="A1365" s="13">
        <v>45149</v>
      </c>
      <c r="B1365" s="15" t="s">
        <v>21</v>
      </c>
      <c r="C1365" s="3">
        <v>3</v>
      </c>
      <c r="D1365" s="13">
        <f t="shared" si="41"/>
        <v>45152</v>
      </c>
      <c r="E1365" s="15">
        <v>600</v>
      </c>
      <c r="F1365" s="9">
        <v>0.105</v>
      </c>
      <c r="G1365" s="9">
        <v>0.105</v>
      </c>
      <c r="H1365" s="15">
        <f t="shared" si="42"/>
        <v>1600</v>
      </c>
    </row>
    <row r="1366" spans="1:8" x14ac:dyDescent="0.3">
      <c r="A1366" s="13">
        <v>45149</v>
      </c>
      <c r="B1366" s="15" t="s">
        <v>21</v>
      </c>
      <c r="C1366" s="3">
        <v>4</v>
      </c>
      <c r="D1366" s="13">
        <f t="shared" si="41"/>
        <v>45153</v>
      </c>
      <c r="E1366" s="15">
        <v>800</v>
      </c>
      <c r="F1366" s="9">
        <v>0.105</v>
      </c>
      <c r="G1366" s="9">
        <v>0.105</v>
      </c>
      <c r="H1366" s="15">
        <f t="shared" si="42"/>
        <v>1600</v>
      </c>
    </row>
    <row r="1367" spans="1:8" x14ac:dyDescent="0.3">
      <c r="A1367" s="13">
        <v>45152</v>
      </c>
      <c r="B1367" s="15" t="s">
        <v>21</v>
      </c>
      <c r="C1367" s="3">
        <v>2</v>
      </c>
      <c r="D1367" s="13">
        <f t="shared" si="41"/>
        <v>45154</v>
      </c>
      <c r="E1367" s="15">
        <v>-2400</v>
      </c>
      <c r="F1367" s="9">
        <v>0.109</v>
      </c>
      <c r="G1367" s="9">
        <v>0.109</v>
      </c>
      <c r="H1367" s="15">
        <f t="shared" si="42"/>
        <v>-1800</v>
      </c>
    </row>
    <row r="1368" spans="1:8" x14ac:dyDescent="0.3">
      <c r="A1368" s="13">
        <v>45154</v>
      </c>
      <c r="B1368" s="15" t="s">
        <v>21</v>
      </c>
      <c r="C1368" s="3">
        <v>2</v>
      </c>
      <c r="D1368" s="13">
        <f t="shared" si="41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2"/>
        <v>-2400</v>
      </c>
    </row>
    <row r="1369" spans="1:8" x14ac:dyDescent="0.3">
      <c r="A1369" s="13">
        <v>45159</v>
      </c>
      <c r="B1369" s="15" t="s">
        <v>21</v>
      </c>
      <c r="C1369" s="3">
        <v>2</v>
      </c>
      <c r="D1369" s="13">
        <f t="shared" si="41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2"/>
        <v>7000</v>
      </c>
    </row>
    <row r="1370" spans="1:8" x14ac:dyDescent="0.3">
      <c r="A1370" s="13">
        <v>45159</v>
      </c>
      <c r="B1370" s="15" t="s">
        <v>21</v>
      </c>
      <c r="C1370" s="3">
        <v>7</v>
      </c>
      <c r="D1370" s="13">
        <f t="shared" si="41"/>
        <v>45166</v>
      </c>
      <c r="E1370" s="15">
        <v>2000</v>
      </c>
      <c r="F1370" s="9">
        <v>0.1</v>
      </c>
      <c r="G1370" s="9">
        <v>0.1</v>
      </c>
      <c r="H1370" s="15">
        <f t="shared" si="42"/>
        <v>7000</v>
      </c>
    </row>
    <row r="1371" spans="1:8" x14ac:dyDescent="0.3">
      <c r="A1371" s="13">
        <v>45159</v>
      </c>
      <c r="B1371" s="15" t="s">
        <v>21</v>
      </c>
      <c r="C1371" s="3">
        <v>10</v>
      </c>
      <c r="D1371" s="13">
        <f t="shared" si="41"/>
        <v>45169</v>
      </c>
      <c r="E1371" s="15">
        <v>4000</v>
      </c>
      <c r="F1371" s="9">
        <v>0.1</v>
      </c>
      <c r="G1371" s="9">
        <v>0.1</v>
      </c>
      <c r="H1371" s="15">
        <f t="shared" si="42"/>
        <v>7000</v>
      </c>
    </row>
    <row r="1372" spans="1:8" x14ac:dyDescent="0.3">
      <c r="A1372" s="13">
        <v>45160</v>
      </c>
      <c r="B1372" s="15" t="s">
        <v>21</v>
      </c>
      <c r="C1372" s="3">
        <v>2</v>
      </c>
      <c r="D1372" s="13">
        <f t="shared" si="41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2"/>
        <v>7500</v>
      </c>
    </row>
    <row r="1373" spans="1:8" x14ac:dyDescent="0.3">
      <c r="A1373" s="13">
        <v>45161</v>
      </c>
      <c r="B1373" s="15" t="s">
        <v>21</v>
      </c>
      <c r="C1373" s="3">
        <v>8</v>
      </c>
      <c r="D1373" s="13">
        <f t="shared" si="41"/>
        <v>45169</v>
      </c>
      <c r="E1373" s="15">
        <v>1500</v>
      </c>
      <c r="F1373" s="9">
        <v>0.1</v>
      </c>
      <c r="G1373" s="9">
        <v>0.1</v>
      </c>
      <c r="H1373" s="15">
        <f t="shared" si="42"/>
        <v>10000</v>
      </c>
    </row>
    <row r="1374" spans="1:8" x14ac:dyDescent="0.3">
      <c r="A1374" s="13">
        <v>45161</v>
      </c>
      <c r="B1374" s="15" t="s">
        <v>21</v>
      </c>
      <c r="C1374" s="3">
        <v>9</v>
      </c>
      <c r="D1374" s="13">
        <f t="shared" si="41"/>
        <v>45170</v>
      </c>
      <c r="E1374" s="15">
        <v>2000</v>
      </c>
      <c r="F1374" s="9">
        <v>0.1</v>
      </c>
      <c r="G1374" s="9">
        <v>0.1</v>
      </c>
      <c r="H1374" s="15">
        <f t="shared" si="42"/>
        <v>10000</v>
      </c>
    </row>
    <row r="1375" spans="1:8" x14ac:dyDescent="0.3">
      <c r="A1375" s="13">
        <v>45166</v>
      </c>
      <c r="B1375" s="15" t="s">
        <v>21</v>
      </c>
      <c r="C1375" s="3">
        <v>2</v>
      </c>
      <c r="D1375" s="13">
        <f t="shared" si="41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2"/>
        <v>4650</v>
      </c>
    </row>
    <row r="1376" spans="1:8" x14ac:dyDescent="0.3">
      <c r="A1376" s="13">
        <v>45167</v>
      </c>
      <c r="B1376" s="15" t="s">
        <v>21</v>
      </c>
      <c r="C1376" s="3">
        <v>2</v>
      </c>
      <c r="D1376" s="13">
        <f t="shared" si="41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2"/>
        <v>4050</v>
      </c>
    </row>
    <row r="1377" spans="1:8" x14ac:dyDescent="0.3">
      <c r="A1377" s="13">
        <v>45170</v>
      </c>
      <c r="B1377" s="15" t="s">
        <v>21</v>
      </c>
      <c r="C1377" s="3">
        <v>4</v>
      </c>
      <c r="D1377" s="13">
        <f t="shared" si="41"/>
        <v>45174</v>
      </c>
      <c r="E1377" s="15">
        <v>-4700</v>
      </c>
      <c r="F1377" s="9">
        <v>0.1045</v>
      </c>
      <c r="G1377" s="9">
        <v>0.1045</v>
      </c>
      <c r="H1377" s="15">
        <f t="shared" si="42"/>
        <v>-4700</v>
      </c>
    </row>
    <row r="1378" spans="1:8" x14ac:dyDescent="0.3">
      <c r="A1378" s="13">
        <v>45174</v>
      </c>
      <c r="B1378" s="15" t="s">
        <v>21</v>
      </c>
      <c r="C1378" s="3">
        <v>2</v>
      </c>
      <c r="D1378" s="13">
        <f t="shared" si="41"/>
        <v>45176</v>
      </c>
      <c r="E1378" s="15">
        <v>-1400</v>
      </c>
      <c r="F1378" s="9">
        <v>0.1045</v>
      </c>
      <c r="G1378" s="9">
        <v>0.1045</v>
      </c>
      <c r="H1378" s="15">
        <f t="shared" si="42"/>
        <v>-1400</v>
      </c>
    </row>
    <row r="1379" spans="1:8" x14ac:dyDescent="0.3">
      <c r="A1379" s="13">
        <v>45177</v>
      </c>
      <c r="B1379" s="15" t="s">
        <v>21</v>
      </c>
      <c r="C1379" s="3">
        <v>4</v>
      </c>
      <c r="D1379" s="13">
        <f t="shared" si="41"/>
        <v>45181</v>
      </c>
      <c r="E1379" s="15">
        <v>2200</v>
      </c>
      <c r="F1379" s="9">
        <v>9.9500000000000005E-2</v>
      </c>
      <c r="G1379" s="9">
        <v>0.1</v>
      </c>
      <c r="H1379" s="15">
        <f t="shared" si="42"/>
        <v>2200</v>
      </c>
    </row>
    <row r="1380" spans="1:8" x14ac:dyDescent="0.3">
      <c r="A1380" s="13">
        <v>45180</v>
      </c>
      <c r="B1380" s="15" t="s">
        <v>21</v>
      </c>
      <c r="C1380" s="3">
        <v>9</v>
      </c>
      <c r="D1380" s="13">
        <f t="shared" si="41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2"/>
        <v>5100</v>
      </c>
    </row>
    <row r="1381" spans="1:8" x14ac:dyDescent="0.3">
      <c r="A1381" s="13">
        <v>45180</v>
      </c>
      <c r="B1381" s="15" t="s">
        <v>21</v>
      </c>
      <c r="C1381" s="3">
        <v>10</v>
      </c>
      <c r="D1381" s="13">
        <f t="shared" si="41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2"/>
        <v>5100</v>
      </c>
    </row>
    <row r="1382" spans="1:8" x14ac:dyDescent="0.3">
      <c r="A1382" s="13">
        <v>45180</v>
      </c>
      <c r="B1382" s="15" t="s">
        <v>21</v>
      </c>
      <c r="C1382" s="3">
        <v>18</v>
      </c>
      <c r="D1382" s="13">
        <f t="shared" si="41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2"/>
        <v>5100</v>
      </c>
    </row>
    <row r="1383" spans="1:8" x14ac:dyDescent="0.3">
      <c r="A1383" s="13">
        <v>45181</v>
      </c>
      <c r="B1383" s="15" t="s">
        <v>21</v>
      </c>
      <c r="C1383" s="3">
        <v>7</v>
      </c>
      <c r="D1383" s="13">
        <f t="shared" si="41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2"/>
        <v>4700</v>
      </c>
    </row>
    <row r="1384" spans="1:8" x14ac:dyDescent="0.3">
      <c r="A1384" s="13">
        <v>45181</v>
      </c>
      <c r="B1384" s="15" t="s">
        <v>21</v>
      </c>
      <c r="C1384" s="3">
        <v>13</v>
      </c>
      <c r="D1384" s="13">
        <f t="shared" si="41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2"/>
        <v>4700</v>
      </c>
    </row>
    <row r="1385" spans="1:8" x14ac:dyDescent="0.3">
      <c r="A1385" s="13">
        <v>45183</v>
      </c>
      <c r="B1385" s="15" t="s">
        <v>21</v>
      </c>
      <c r="C1385" s="3">
        <v>1</v>
      </c>
      <c r="D1385" s="13">
        <f t="shared" si="41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2"/>
        <v>7400</v>
      </c>
    </row>
    <row r="1386" spans="1:8" x14ac:dyDescent="0.3">
      <c r="A1386" s="13">
        <v>45183</v>
      </c>
      <c r="B1386" s="15" t="s">
        <v>21</v>
      </c>
      <c r="C1386" s="3">
        <v>5</v>
      </c>
      <c r="D1386" s="13">
        <f t="shared" si="41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2"/>
        <v>7400</v>
      </c>
    </row>
    <row r="1387" spans="1:8" x14ac:dyDescent="0.3">
      <c r="A1387" s="13">
        <v>45183</v>
      </c>
      <c r="B1387" s="15" t="s">
        <v>21</v>
      </c>
      <c r="C1387" s="3">
        <v>11</v>
      </c>
      <c r="D1387" s="13">
        <f t="shared" ref="D1387:D1466" si="43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2"/>
        <v>7400</v>
      </c>
    </row>
    <row r="1388" spans="1:8" x14ac:dyDescent="0.3">
      <c r="A1388" s="13">
        <v>45183</v>
      </c>
      <c r="B1388" s="15" t="s">
        <v>21</v>
      </c>
      <c r="C1388" s="3">
        <v>15</v>
      </c>
      <c r="D1388" s="13">
        <f t="shared" si="43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2"/>
        <v>7400</v>
      </c>
    </row>
    <row r="1389" spans="1:8" x14ac:dyDescent="0.3">
      <c r="A1389" s="13">
        <v>45184</v>
      </c>
      <c r="B1389" s="15" t="s">
        <v>21</v>
      </c>
      <c r="C1389" s="3">
        <v>4</v>
      </c>
      <c r="D1389" s="13">
        <f t="shared" si="43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2"/>
        <v>13100</v>
      </c>
    </row>
    <row r="1390" spans="1:8" x14ac:dyDescent="0.3">
      <c r="A1390" s="13">
        <v>45184</v>
      </c>
      <c r="B1390" s="15" t="s">
        <v>21</v>
      </c>
      <c r="C1390" s="3">
        <v>5</v>
      </c>
      <c r="D1390" s="13">
        <f t="shared" si="43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2"/>
        <v>13100</v>
      </c>
    </row>
    <row r="1391" spans="1:8" x14ac:dyDescent="0.3">
      <c r="A1391" s="13">
        <v>45184</v>
      </c>
      <c r="B1391" s="15" t="s">
        <v>21</v>
      </c>
      <c r="C1391" s="3">
        <v>14</v>
      </c>
      <c r="D1391" s="13">
        <f t="shared" si="43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2"/>
        <v>13100</v>
      </c>
    </row>
    <row r="1392" spans="1:8" x14ac:dyDescent="0.3">
      <c r="A1392" s="13">
        <v>45184</v>
      </c>
      <c r="B1392" s="15" t="s">
        <v>21</v>
      </c>
      <c r="C1392" s="3">
        <v>17</v>
      </c>
      <c r="D1392" s="13">
        <f t="shared" si="43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2"/>
        <v>13100</v>
      </c>
    </row>
    <row r="1393" spans="1:8" x14ac:dyDescent="0.3">
      <c r="A1393" s="13">
        <v>45187</v>
      </c>
      <c r="B1393" s="15" t="s">
        <v>21</v>
      </c>
      <c r="C1393" s="3">
        <v>2</v>
      </c>
      <c r="D1393" s="13">
        <f t="shared" si="43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2"/>
        <v>21100</v>
      </c>
    </row>
    <row r="1394" spans="1:8" x14ac:dyDescent="0.3">
      <c r="A1394" s="13">
        <v>45187</v>
      </c>
      <c r="B1394" s="15" t="s">
        <v>21</v>
      </c>
      <c r="C1394" s="3">
        <v>3</v>
      </c>
      <c r="D1394" s="13">
        <f t="shared" si="43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2"/>
        <v>21100</v>
      </c>
    </row>
    <row r="1395" spans="1:8" x14ac:dyDescent="0.3">
      <c r="A1395" s="13">
        <v>45187</v>
      </c>
      <c r="B1395" s="15" t="s">
        <v>21</v>
      </c>
      <c r="C1395" s="3">
        <v>14</v>
      </c>
      <c r="D1395" s="13">
        <f t="shared" si="43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2"/>
        <v>21100</v>
      </c>
    </row>
    <row r="1396" spans="1:8" x14ac:dyDescent="0.3">
      <c r="A1396" s="13">
        <v>45188</v>
      </c>
      <c r="B1396" s="15" t="s">
        <v>21</v>
      </c>
      <c r="C1396" s="3">
        <v>2</v>
      </c>
      <c r="D1396" s="13">
        <f t="shared" si="43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2"/>
        <v>22100</v>
      </c>
    </row>
    <row r="1397" spans="1:8" x14ac:dyDescent="0.3">
      <c r="A1397" s="13">
        <v>45188</v>
      </c>
      <c r="B1397" s="15" t="s">
        <v>21</v>
      </c>
      <c r="C1397" s="3">
        <v>3</v>
      </c>
      <c r="D1397" s="13">
        <f t="shared" si="43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2"/>
        <v>22100</v>
      </c>
    </row>
    <row r="1398" spans="1:8" x14ac:dyDescent="0.3">
      <c r="A1398" s="13">
        <v>45188</v>
      </c>
      <c r="B1398" s="15" t="s">
        <v>21</v>
      </c>
      <c r="C1398" s="3">
        <v>7</v>
      </c>
      <c r="D1398" s="13">
        <f t="shared" si="43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2"/>
        <v>22100</v>
      </c>
    </row>
    <row r="1399" spans="1:8" x14ac:dyDescent="0.3">
      <c r="A1399" s="13">
        <v>45188</v>
      </c>
      <c r="B1399" s="15" t="s">
        <v>21</v>
      </c>
      <c r="C1399" s="3">
        <v>13</v>
      </c>
      <c r="D1399" s="13">
        <f t="shared" si="43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2"/>
        <v>22100</v>
      </c>
    </row>
    <row r="1400" spans="1:8" x14ac:dyDescent="0.3">
      <c r="A1400" s="13">
        <v>45189</v>
      </c>
      <c r="B1400" s="15" t="s">
        <v>21</v>
      </c>
      <c r="C1400" s="3">
        <v>2</v>
      </c>
      <c r="D1400" s="13">
        <f t="shared" si="43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2"/>
        <v>19000</v>
      </c>
    </row>
    <row r="1401" spans="1:8" x14ac:dyDescent="0.3">
      <c r="A1401" s="13">
        <v>45189</v>
      </c>
      <c r="B1401" s="15" t="s">
        <v>21</v>
      </c>
      <c r="C1401" s="3">
        <v>5</v>
      </c>
      <c r="D1401" s="13">
        <f t="shared" si="43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2"/>
        <v>19000</v>
      </c>
    </row>
    <row r="1402" spans="1:8" x14ac:dyDescent="0.3">
      <c r="A1402" s="13">
        <v>45189</v>
      </c>
      <c r="B1402" s="15" t="s">
        <v>21</v>
      </c>
      <c r="C1402" s="3">
        <v>12</v>
      </c>
      <c r="D1402" s="13">
        <f t="shared" si="43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2"/>
        <v>19000</v>
      </c>
    </row>
    <row r="1403" spans="1:8" x14ac:dyDescent="0.3">
      <c r="A1403" s="13">
        <v>45190</v>
      </c>
      <c r="B1403" s="15" t="s">
        <v>21</v>
      </c>
      <c r="C1403" s="3">
        <v>1</v>
      </c>
      <c r="D1403" s="13">
        <f t="shared" si="43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2"/>
        <v>18650</v>
      </c>
    </row>
    <row r="1404" spans="1:8" x14ac:dyDescent="0.3">
      <c r="A1404" s="13">
        <v>45190</v>
      </c>
      <c r="B1404" s="15" t="s">
        <v>21</v>
      </c>
      <c r="C1404" s="3">
        <v>4</v>
      </c>
      <c r="D1404" s="13">
        <f t="shared" si="43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2"/>
        <v>18650</v>
      </c>
    </row>
    <row r="1405" spans="1:8" x14ac:dyDescent="0.3">
      <c r="A1405" s="13">
        <v>45190</v>
      </c>
      <c r="B1405" s="15" t="s">
        <v>21</v>
      </c>
      <c r="C1405" s="3">
        <v>5</v>
      </c>
      <c r="D1405" s="13">
        <f t="shared" si="43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2"/>
        <v>18650</v>
      </c>
    </row>
    <row r="1406" spans="1:8" x14ac:dyDescent="0.3">
      <c r="A1406" s="13">
        <v>45190</v>
      </c>
      <c r="B1406" s="15" t="s">
        <v>21</v>
      </c>
      <c r="C1406" s="3">
        <v>8</v>
      </c>
      <c r="D1406" s="13">
        <f t="shared" si="43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2"/>
        <v>18650</v>
      </c>
    </row>
    <row r="1407" spans="1:8" x14ac:dyDescent="0.3">
      <c r="A1407" s="13">
        <v>45191</v>
      </c>
      <c r="B1407" s="15" t="s">
        <v>21</v>
      </c>
      <c r="C1407" s="3">
        <v>3</v>
      </c>
      <c r="D1407" s="13">
        <f t="shared" si="43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2"/>
        <v>21000</v>
      </c>
    </row>
    <row r="1408" spans="1:8" x14ac:dyDescent="0.3">
      <c r="A1408" s="13">
        <v>45191</v>
      </c>
      <c r="B1408" s="15" t="s">
        <v>21</v>
      </c>
      <c r="C1408" s="3">
        <v>4</v>
      </c>
      <c r="D1408" s="13">
        <f t="shared" si="43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2"/>
        <v>21000</v>
      </c>
    </row>
    <row r="1409" spans="1:8" x14ac:dyDescent="0.3">
      <c r="A1409" s="13">
        <v>45191</v>
      </c>
      <c r="B1409" s="15" t="s">
        <v>21</v>
      </c>
      <c r="C1409" s="3">
        <v>7</v>
      </c>
      <c r="D1409" s="13">
        <f t="shared" si="43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2"/>
        <v>21000</v>
      </c>
    </row>
    <row r="1410" spans="1:8" x14ac:dyDescent="0.3">
      <c r="A1410" s="13">
        <v>45191</v>
      </c>
      <c r="B1410" s="15" t="s">
        <v>21</v>
      </c>
      <c r="C1410" s="3">
        <v>10</v>
      </c>
      <c r="D1410" s="13">
        <f t="shared" si="43"/>
        <v>45201</v>
      </c>
      <c r="E1410" s="15">
        <v>500</v>
      </c>
      <c r="F1410" s="9">
        <v>0.1</v>
      </c>
      <c r="G1410" s="9">
        <v>0.1</v>
      </c>
      <c r="H1410" s="15">
        <f t="shared" si="42"/>
        <v>21000</v>
      </c>
    </row>
    <row r="1411" spans="1:8" x14ac:dyDescent="0.3">
      <c r="A1411" s="13">
        <v>45194</v>
      </c>
      <c r="B1411" s="15" t="s">
        <v>21</v>
      </c>
      <c r="C1411" s="3">
        <v>2</v>
      </c>
      <c r="D1411" s="13">
        <f t="shared" si="43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2"/>
        <v>17100</v>
      </c>
    </row>
    <row r="1412" spans="1:8" x14ac:dyDescent="0.3">
      <c r="A1412" s="13">
        <v>45194</v>
      </c>
      <c r="B1412" s="15" t="s">
        <v>21</v>
      </c>
      <c r="C1412" s="3">
        <v>3</v>
      </c>
      <c r="D1412" s="13">
        <f t="shared" si="43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2"/>
        <v>17100</v>
      </c>
    </row>
    <row r="1413" spans="1:8" x14ac:dyDescent="0.3">
      <c r="A1413" s="13">
        <v>45194</v>
      </c>
      <c r="B1413" s="15" t="s">
        <v>21</v>
      </c>
      <c r="C1413" s="3">
        <v>7</v>
      </c>
      <c r="D1413" s="13">
        <f t="shared" si="43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2"/>
        <v>17100</v>
      </c>
    </row>
    <row r="1414" spans="1:8" x14ac:dyDescent="0.3">
      <c r="A1414" s="13">
        <v>45195</v>
      </c>
      <c r="B1414" s="15" t="s">
        <v>21</v>
      </c>
      <c r="C1414" s="3">
        <v>1</v>
      </c>
      <c r="D1414" s="13">
        <f t="shared" si="43"/>
        <v>45196</v>
      </c>
      <c r="E1414" s="15">
        <v>-200</v>
      </c>
      <c r="F1414" s="9">
        <v>0.104</v>
      </c>
      <c r="G1414" s="9">
        <v>0.104</v>
      </c>
      <c r="H1414" s="15">
        <f t="shared" si="42"/>
        <v>13100</v>
      </c>
    </row>
    <row r="1415" spans="1:8" x14ac:dyDescent="0.3">
      <c r="A1415" s="13">
        <v>45196</v>
      </c>
      <c r="B1415" s="15" t="s">
        <v>21</v>
      </c>
      <c r="C1415" s="3">
        <v>2</v>
      </c>
      <c r="D1415" s="13">
        <f t="shared" si="43"/>
        <v>45198</v>
      </c>
      <c r="E1415" s="15">
        <v>-400</v>
      </c>
      <c r="F1415" s="9">
        <v>0.106</v>
      </c>
      <c r="G1415" s="9">
        <v>0.106</v>
      </c>
      <c r="H1415" s="15">
        <f t="shared" si="42"/>
        <v>12200</v>
      </c>
    </row>
    <row r="1416" spans="1:8" x14ac:dyDescent="0.3">
      <c r="A1416" s="13">
        <v>45198</v>
      </c>
      <c r="B1416" s="15" t="s">
        <v>21</v>
      </c>
      <c r="C1416" s="3">
        <v>3</v>
      </c>
      <c r="D1416" s="13">
        <f t="shared" si="43"/>
        <v>45201</v>
      </c>
      <c r="E1416" s="15">
        <v>-4100</v>
      </c>
      <c r="F1416" s="9">
        <v>0.105</v>
      </c>
      <c r="G1416" s="9">
        <v>0.106</v>
      </c>
      <c r="H1416" s="15">
        <f t="shared" si="42"/>
        <v>4600</v>
      </c>
    </row>
    <row r="1417" spans="1:8" x14ac:dyDescent="0.3">
      <c r="A1417" s="13">
        <v>45198</v>
      </c>
      <c r="B1417" s="15" t="s">
        <v>21</v>
      </c>
      <c r="C1417" s="3">
        <v>4</v>
      </c>
      <c r="D1417" s="13">
        <f t="shared" si="43"/>
        <v>45202</v>
      </c>
      <c r="E1417" s="15">
        <v>-600</v>
      </c>
      <c r="F1417" s="9">
        <v>0.106</v>
      </c>
      <c r="G1417" s="9">
        <v>0.106</v>
      </c>
      <c r="H1417" s="15">
        <f t="shared" si="42"/>
        <v>4600</v>
      </c>
    </row>
    <row r="1418" spans="1:8" x14ac:dyDescent="0.3">
      <c r="A1418" s="13">
        <v>45202</v>
      </c>
      <c r="B1418" s="15" t="s">
        <v>21</v>
      </c>
      <c r="C1418" s="3">
        <v>1</v>
      </c>
      <c r="D1418" s="13">
        <f t="shared" si="43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4">+SUMIFS($E$10:$E$4506,$A$10:$A$4506,"&lt;="&amp;A1418,$D$10:$D$4506,"&gt;"&amp;A1418)</f>
        <v>-800</v>
      </c>
    </row>
    <row r="1419" spans="1:8" x14ac:dyDescent="0.3">
      <c r="A1419" s="13">
        <v>45212</v>
      </c>
      <c r="B1419" s="15" t="s">
        <v>21</v>
      </c>
      <c r="C1419" s="3">
        <v>7</v>
      </c>
      <c r="D1419" s="13">
        <f t="shared" si="43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4"/>
        <v>2200</v>
      </c>
    </row>
    <row r="1420" spans="1:8" x14ac:dyDescent="0.3">
      <c r="A1420" s="13">
        <v>45212</v>
      </c>
      <c r="B1420" s="15" t="s">
        <v>21</v>
      </c>
      <c r="C1420" s="3">
        <v>11</v>
      </c>
      <c r="D1420" s="13">
        <f t="shared" si="43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4"/>
        <v>2200</v>
      </c>
    </row>
    <row r="1421" spans="1:8" x14ac:dyDescent="0.3">
      <c r="A1421" s="13">
        <v>45216</v>
      </c>
      <c r="B1421" s="15" t="s">
        <v>21</v>
      </c>
      <c r="C1421" s="3">
        <v>6</v>
      </c>
      <c r="D1421" s="13">
        <f t="shared" si="43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4"/>
        <v>5200</v>
      </c>
    </row>
    <row r="1422" spans="1:8" x14ac:dyDescent="0.3">
      <c r="A1422" s="13">
        <v>45217</v>
      </c>
      <c r="B1422" s="15" t="s">
        <v>21</v>
      </c>
      <c r="C1422" s="3">
        <v>2</v>
      </c>
      <c r="D1422" s="13">
        <f t="shared" si="43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4"/>
        <v>10400</v>
      </c>
    </row>
    <row r="1423" spans="1:8" x14ac:dyDescent="0.3">
      <c r="A1423" s="13">
        <v>45217</v>
      </c>
      <c r="B1423" s="15" t="s">
        <v>21</v>
      </c>
      <c r="C1423" s="3">
        <v>5</v>
      </c>
      <c r="D1423" s="13">
        <f t="shared" si="43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4"/>
        <v>10400</v>
      </c>
    </row>
    <row r="1424" spans="1:8" x14ac:dyDescent="0.3">
      <c r="A1424" s="13">
        <v>45217</v>
      </c>
      <c r="B1424" s="15" t="s">
        <v>21</v>
      </c>
      <c r="C1424" s="3">
        <v>7</v>
      </c>
      <c r="D1424" s="13">
        <f t="shared" si="43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4"/>
        <v>10400</v>
      </c>
    </row>
    <row r="1425" spans="1:14" x14ac:dyDescent="0.3">
      <c r="A1425" s="13">
        <v>45218</v>
      </c>
      <c r="B1425" s="15" t="s">
        <v>21</v>
      </c>
      <c r="C1425" s="3">
        <v>4</v>
      </c>
      <c r="D1425" s="13">
        <f t="shared" si="43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4"/>
        <v>11200</v>
      </c>
    </row>
    <row r="1426" spans="1:14" x14ac:dyDescent="0.3">
      <c r="A1426" s="13">
        <v>45218</v>
      </c>
      <c r="B1426" s="15" t="s">
        <v>21</v>
      </c>
      <c r="C1426" s="3">
        <v>7</v>
      </c>
      <c r="D1426" s="13">
        <f t="shared" si="43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4"/>
        <v>11200</v>
      </c>
    </row>
    <row r="1427" spans="1:14" x14ac:dyDescent="0.3">
      <c r="A1427" s="13">
        <v>45219</v>
      </c>
      <c r="B1427" s="15" t="s">
        <v>21</v>
      </c>
      <c r="C1427" s="3">
        <v>4</v>
      </c>
      <c r="D1427" s="13">
        <f t="shared" si="43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4"/>
        <v>11800</v>
      </c>
    </row>
    <row r="1428" spans="1:14" x14ac:dyDescent="0.3">
      <c r="A1428" s="13">
        <v>45219</v>
      </c>
      <c r="B1428" s="15" t="s">
        <v>21</v>
      </c>
      <c r="C1428" s="3">
        <v>5</v>
      </c>
      <c r="D1428" s="13">
        <f t="shared" si="43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4"/>
        <v>11800</v>
      </c>
    </row>
    <row r="1429" spans="1:14" x14ac:dyDescent="0.3">
      <c r="A1429" s="13">
        <v>45219</v>
      </c>
      <c r="B1429" s="15" t="s">
        <v>21</v>
      </c>
      <c r="C1429" s="3">
        <v>6</v>
      </c>
      <c r="D1429" s="13">
        <f t="shared" si="43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4"/>
        <v>11800</v>
      </c>
    </row>
    <row r="1430" spans="1:14" x14ac:dyDescent="0.3">
      <c r="A1430" s="13">
        <v>45222</v>
      </c>
      <c r="B1430" s="15" t="s">
        <v>21</v>
      </c>
      <c r="C1430" s="3">
        <v>2</v>
      </c>
      <c r="D1430" s="13">
        <f t="shared" si="43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4"/>
        <v>10400</v>
      </c>
    </row>
    <row r="1431" spans="1:14" x14ac:dyDescent="0.3">
      <c r="A1431" s="13">
        <v>45222</v>
      </c>
      <c r="B1431" s="15" t="s">
        <v>21</v>
      </c>
      <c r="C1431" s="3">
        <v>4</v>
      </c>
      <c r="D1431" s="13">
        <f t="shared" si="43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4"/>
        <v>10400</v>
      </c>
    </row>
    <row r="1432" spans="1:14" x14ac:dyDescent="0.3">
      <c r="A1432" s="13">
        <v>45222</v>
      </c>
      <c r="B1432" s="15" t="s">
        <v>21</v>
      </c>
      <c r="C1432" s="3">
        <v>7</v>
      </c>
      <c r="D1432" s="13">
        <f t="shared" si="43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4"/>
        <v>10400</v>
      </c>
    </row>
    <row r="1433" spans="1:14" x14ac:dyDescent="0.3">
      <c r="A1433" s="13">
        <v>45222</v>
      </c>
      <c r="B1433" s="15" t="s">
        <v>21</v>
      </c>
      <c r="C1433" s="3">
        <v>8</v>
      </c>
      <c r="D1433" s="13">
        <f t="shared" si="43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4"/>
        <v>10400</v>
      </c>
    </row>
    <row r="1434" spans="1:14" x14ac:dyDescent="0.3">
      <c r="A1434" s="13">
        <v>45223</v>
      </c>
      <c r="B1434" s="15" t="s">
        <v>21</v>
      </c>
      <c r="C1434" s="3">
        <v>8</v>
      </c>
      <c r="D1434" s="13">
        <f t="shared" si="43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4"/>
        <v>9200</v>
      </c>
    </row>
    <row r="1435" spans="1:14" x14ac:dyDescent="0.3">
      <c r="A1435" s="13">
        <v>45225</v>
      </c>
      <c r="B1435" s="15" t="s">
        <v>21</v>
      </c>
      <c r="C1435" s="3">
        <v>5</v>
      </c>
      <c r="D1435" s="13">
        <f t="shared" si="43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4"/>
        <v>6800</v>
      </c>
    </row>
    <row r="1436" spans="1:14" x14ac:dyDescent="0.3">
      <c r="A1436" s="13">
        <v>45225</v>
      </c>
      <c r="B1436" s="15" t="s">
        <v>21</v>
      </c>
      <c r="C1436" s="3">
        <v>6</v>
      </c>
      <c r="D1436" s="13">
        <f t="shared" si="43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4"/>
        <v>6800</v>
      </c>
    </row>
    <row r="1437" spans="1:14" x14ac:dyDescent="0.3">
      <c r="A1437" s="13">
        <v>45226</v>
      </c>
      <c r="B1437" s="15" t="s">
        <v>21</v>
      </c>
      <c r="C1437" s="3">
        <v>5</v>
      </c>
      <c r="D1437" s="13">
        <f t="shared" si="43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4"/>
        <v>8600</v>
      </c>
    </row>
    <row r="1438" spans="1:14" x14ac:dyDescent="0.3">
      <c r="A1438" s="13">
        <v>45231</v>
      </c>
      <c r="B1438" s="15" t="s">
        <v>21</v>
      </c>
      <c r="C1438" s="3">
        <v>2</v>
      </c>
      <c r="D1438" s="13">
        <f t="shared" si="43"/>
        <v>45233</v>
      </c>
      <c r="E1438" s="15">
        <v>-3200</v>
      </c>
      <c r="F1438" s="9">
        <v>0.1</v>
      </c>
      <c r="G1438" s="9">
        <v>0.1</v>
      </c>
      <c r="H1438" s="15">
        <f t="shared" si="44"/>
        <v>-3200</v>
      </c>
      <c r="N1438" s="1" t="s">
        <v>1012</v>
      </c>
    </row>
    <row r="1439" spans="1:14" x14ac:dyDescent="0.3">
      <c r="A1439" s="13">
        <v>45237</v>
      </c>
      <c r="B1439" s="15" t="s">
        <v>21</v>
      </c>
      <c r="C1439" s="3">
        <v>3</v>
      </c>
      <c r="D1439" s="13">
        <f t="shared" si="43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4"/>
        <v>4200</v>
      </c>
    </row>
    <row r="1440" spans="1:14" x14ac:dyDescent="0.3">
      <c r="A1440" s="13">
        <v>45237</v>
      </c>
      <c r="B1440" s="15" t="s">
        <v>21</v>
      </c>
      <c r="C1440" s="3">
        <v>13</v>
      </c>
      <c r="D1440" s="13">
        <f t="shared" si="43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4"/>
        <v>4200</v>
      </c>
    </row>
    <row r="1441" spans="1:8" x14ac:dyDescent="0.3">
      <c r="A1441" s="13">
        <v>45238</v>
      </c>
      <c r="B1441" s="15" t="s">
        <v>21</v>
      </c>
      <c r="C1441" s="3">
        <v>2</v>
      </c>
      <c r="D1441" s="13">
        <f t="shared" si="43"/>
        <v>45240</v>
      </c>
      <c r="E1441" s="15">
        <v>200</v>
      </c>
      <c r="F1441" s="9">
        <v>9.4E-2</v>
      </c>
      <c r="G1441" s="9">
        <v>9.4E-2</v>
      </c>
      <c r="H1441" s="15">
        <f t="shared" si="44"/>
        <v>5800</v>
      </c>
    </row>
    <row r="1442" spans="1:8" x14ac:dyDescent="0.3">
      <c r="A1442" s="13">
        <v>45238</v>
      </c>
      <c r="B1442" s="15" t="s">
        <v>21</v>
      </c>
      <c r="C1442" s="3">
        <v>12</v>
      </c>
      <c r="D1442" s="13">
        <f t="shared" si="43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4"/>
        <v>5800</v>
      </c>
    </row>
    <row r="1443" spans="1:8" x14ac:dyDescent="0.3">
      <c r="A1443" s="13">
        <v>45239</v>
      </c>
      <c r="B1443" s="15" t="s">
        <v>21</v>
      </c>
      <c r="C1443" s="3">
        <v>4</v>
      </c>
      <c r="D1443" s="13">
        <f t="shared" si="43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4"/>
        <v>9800</v>
      </c>
    </row>
    <row r="1444" spans="1:8" x14ac:dyDescent="0.3">
      <c r="A1444" s="13">
        <v>45239</v>
      </c>
      <c r="B1444" s="15" t="s">
        <v>21</v>
      </c>
      <c r="C1444" s="3">
        <v>11</v>
      </c>
      <c r="D1444" s="13">
        <f t="shared" si="43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4"/>
        <v>9800</v>
      </c>
    </row>
    <row r="1445" spans="1:8" x14ac:dyDescent="0.3">
      <c r="A1445" s="13">
        <v>45243</v>
      </c>
      <c r="B1445" s="15" t="s">
        <v>21</v>
      </c>
      <c r="C1445" s="3">
        <v>4</v>
      </c>
      <c r="D1445" s="13">
        <f t="shared" si="43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4"/>
        <v>9700</v>
      </c>
    </row>
    <row r="1446" spans="1:8" x14ac:dyDescent="0.3">
      <c r="A1446" s="13">
        <v>45243</v>
      </c>
      <c r="B1446" s="15" t="s">
        <v>21</v>
      </c>
      <c r="C1446" s="3">
        <v>7</v>
      </c>
      <c r="D1446" s="13">
        <f t="shared" si="43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4"/>
        <v>9700</v>
      </c>
    </row>
    <row r="1447" spans="1:8" x14ac:dyDescent="0.3">
      <c r="A1447" s="13">
        <v>45243</v>
      </c>
      <c r="B1447" s="15" t="s">
        <v>21</v>
      </c>
      <c r="C1447" s="3">
        <v>14</v>
      </c>
      <c r="D1447" s="13">
        <f t="shared" si="43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4"/>
        <v>9700</v>
      </c>
    </row>
    <row r="1448" spans="1:8" x14ac:dyDescent="0.3">
      <c r="A1448" s="13">
        <v>45244</v>
      </c>
      <c r="B1448" s="15" t="s">
        <v>21</v>
      </c>
      <c r="C1448" s="3">
        <v>6</v>
      </c>
      <c r="D1448" s="13">
        <f t="shared" si="43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4"/>
        <v>12800</v>
      </c>
    </row>
    <row r="1449" spans="1:8" x14ac:dyDescent="0.3">
      <c r="A1449" s="13">
        <v>45244</v>
      </c>
      <c r="B1449" s="15" t="s">
        <v>21</v>
      </c>
      <c r="C1449" s="3">
        <v>10</v>
      </c>
      <c r="D1449" s="13">
        <f t="shared" si="43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4"/>
        <v>12800</v>
      </c>
    </row>
    <row r="1450" spans="1:8" x14ac:dyDescent="0.3">
      <c r="A1450" s="13">
        <v>45251</v>
      </c>
      <c r="B1450" s="15" t="s">
        <v>21</v>
      </c>
      <c r="C1450" s="3">
        <v>6</v>
      </c>
      <c r="D1450" s="13">
        <f t="shared" si="43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4"/>
        <v>4700</v>
      </c>
    </row>
    <row r="1451" spans="1:8" x14ac:dyDescent="0.3">
      <c r="A1451" s="13">
        <v>45251</v>
      </c>
      <c r="B1451" s="15" t="s">
        <v>21</v>
      </c>
      <c r="C1451" s="3">
        <v>10</v>
      </c>
      <c r="D1451" s="13">
        <f t="shared" si="43"/>
        <v>45261</v>
      </c>
      <c r="E1451" s="15">
        <v>600</v>
      </c>
      <c r="F1451" s="9">
        <v>9.35E-2</v>
      </c>
      <c r="G1451" s="9">
        <v>9.35E-2</v>
      </c>
      <c r="H1451" s="15">
        <f t="shared" si="44"/>
        <v>4700</v>
      </c>
    </row>
    <row r="1452" spans="1:8" x14ac:dyDescent="0.3">
      <c r="A1452" s="13">
        <v>45252</v>
      </c>
      <c r="B1452" s="15" t="s">
        <v>21</v>
      </c>
      <c r="C1452" s="3">
        <v>5</v>
      </c>
      <c r="D1452" s="13">
        <f t="shared" si="43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4"/>
        <v>5700</v>
      </c>
    </row>
    <row r="1453" spans="1:8" x14ac:dyDescent="0.3">
      <c r="A1453" s="13">
        <v>45253</v>
      </c>
      <c r="B1453" s="15" t="s">
        <v>21</v>
      </c>
      <c r="C1453" s="3">
        <v>8</v>
      </c>
      <c r="D1453" s="13">
        <f t="shared" si="43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4"/>
        <v>7700</v>
      </c>
    </row>
    <row r="1454" spans="1:8" x14ac:dyDescent="0.3">
      <c r="A1454" s="13">
        <v>45258</v>
      </c>
      <c r="B1454" s="15" t="s">
        <v>21</v>
      </c>
      <c r="C1454" s="3">
        <v>3</v>
      </c>
      <c r="D1454" s="13">
        <f t="shared" si="43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4"/>
        <v>5785</v>
      </c>
    </row>
    <row r="1455" spans="1:8" x14ac:dyDescent="0.3">
      <c r="A1455" s="13">
        <v>45259</v>
      </c>
      <c r="B1455" s="15" t="s">
        <v>21</v>
      </c>
      <c r="C1455" s="3">
        <v>2</v>
      </c>
      <c r="D1455" s="13">
        <f t="shared" si="43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4"/>
        <v>2485</v>
      </c>
    </row>
    <row r="1456" spans="1:8" x14ac:dyDescent="0.3">
      <c r="A1456" s="13">
        <v>45259</v>
      </c>
      <c r="B1456" s="15" t="s">
        <v>21</v>
      </c>
      <c r="C1456" s="3">
        <v>7</v>
      </c>
      <c r="D1456" s="13">
        <f t="shared" si="43"/>
        <v>45266</v>
      </c>
      <c r="E1456" s="15">
        <v>-300</v>
      </c>
      <c r="F1456" s="9">
        <v>9.35E-2</v>
      </c>
      <c r="G1456" s="9">
        <v>9.35E-2</v>
      </c>
      <c r="H1456" s="15">
        <f t="shared" si="44"/>
        <v>2485</v>
      </c>
    </row>
    <row r="1457" spans="1:8" x14ac:dyDescent="0.3">
      <c r="A1457" s="13">
        <v>45260</v>
      </c>
      <c r="B1457" s="15" t="s">
        <v>21</v>
      </c>
      <c r="C1457" s="3">
        <v>4</v>
      </c>
      <c r="D1457" s="13">
        <f t="shared" si="43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4"/>
        <v>2085</v>
      </c>
    </row>
    <row r="1458" spans="1:8" x14ac:dyDescent="0.3">
      <c r="A1458" s="13">
        <v>45261</v>
      </c>
      <c r="B1458" s="15" t="s">
        <v>21</v>
      </c>
      <c r="C1458" s="3">
        <v>3</v>
      </c>
      <c r="D1458" s="13">
        <f t="shared" si="43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4"/>
        <v>-4600</v>
      </c>
    </row>
    <row r="1459" spans="1:8" x14ac:dyDescent="0.3">
      <c r="A1459" s="13">
        <v>45261</v>
      </c>
      <c r="B1459" s="15" t="s">
        <v>21</v>
      </c>
      <c r="C1459" s="3">
        <v>4</v>
      </c>
      <c r="D1459" s="13">
        <f t="shared" si="43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4"/>
        <v>-4600</v>
      </c>
    </row>
    <row r="1460" spans="1:8" x14ac:dyDescent="0.3">
      <c r="A1460" s="13">
        <v>45264</v>
      </c>
      <c r="B1460" s="15" t="s">
        <v>21</v>
      </c>
      <c r="C1460" s="3">
        <v>2</v>
      </c>
      <c r="D1460" s="13">
        <f t="shared" si="43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4"/>
        <v>-4400</v>
      </c>
    </row>
    <row r="1461" spans="1:8" x14ac:dyDescent="0.3">
      <c r="A1461" s="13">
        <v>45265</v>
      </c>
      <c r="B1461" s="15" t="s">
        <v>21</v>
      </c>
      <c r="C1461" s="3">
        <v>1</v>
      </c>
      <c r="D1461" s="13">
        <f t="shared" si="43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4"/>
        <v>-3000</v>
      </c>
    </row>
    <row r="1462" spans="1:8" x14ac:dyDescent="0.3">
      <c r="A1462" s="13">
        <v>45266</v>
      </c>
      <c r="B1462" s="15" t="s">
        <v>21</v>
      </c>
      <c r="C1462" s="3">
        <v>1</v>
      </c>
      <c r="D1462" s="13">
        <f t="shared" si="43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4"/>
        <v>-2500</v>
      </c>
    </row>
    <row r="1463" spans="1:8" x14ac:dyDescent="0.3">
      <c r="A1463" s="13">
        <v>45267</v>
      </c>
      <c r="B1463" s="15" t="s">
        <v>21</v>
      </c>
      <c r="C1463" s="3">
        <v>1</v>
      </c>
      <c r="D1463" s="13">
        <f t="shared" si="43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4"/>
        <v>-1900</v>
      </c>
    </row>
    <row r="1464" spans="1:8" x14ac:dyDescent="0.3">
      <c r="A1464" s="13">
        <v>45268</v>
      </c>
      <c r="B1464" s="15" t="s">
        <v>21</v>
      </c>
      <c r="C1464" s="3">
        <v>3</v>
      </c>
      <c r="D1464" s="13">
        <f t="shared" si="43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4"/>
        <v>-600</v>
      </c>
    </row>
    <row r="1465" spans="1:8" x14ac:dyDescent="0.3">
      <c r="A1465" s="13">
        <v>45272</v>
      </c>
      <c r="B1465" s="15" t="s">
        <v>21</v>
      </c>
      <c r="C1465" s="3">
        <v>3</v>
      </c>
      <c r="D1465" s="13">
        <f t="shared" si="43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4"/>
        <v>2800</v>
      </c>
    </row>
    <row r="1466" spans="1:8" x14ac:dyDescent="0.3">
      <c r="A1466" s="13">
        <v>45272</v>
      </c>
      <c r="B1466" s="15" t="s">
        <v>21</v>
      </c>
      <c r="C1466" s="3">
        <v>8</v>
      </c>
      <c r="D1466" s="13">
        <f t="shared" si="43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4"/>
        <v>2800</v>
      </c>
    </row>
    <row r="1467" spans="1:8" x14ac:dyDescent="0.3">
      <c r="A1467" s="13">
        <v>45272</v>
      </c>
      <c r="B1467" s="15" t="s">
        <v>21</v>
      </c>
      <c r="C1467" s="3">
        <v>10</v>
      </c>
      <c r="D1467" s="13">
        <f t="shared" ref="D1467:D1503" si="45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4"/>
        <v>2800</v>
      </c>
    </row>
    <row r="1468" spans="1:8" x14ac:dyDescent="0.3">
      <c r="A1468" s="13">
        <v>45273</v>
      </c>
      <c r="B1468" s="15" t="s">
        <v>21</v>
      </c>
      <c r="C1468" s="3">
        <v>5</v>
      </c>
      <c r="D1468" s="13">
        <f t="shared" si="45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4"/>
        <v>5200</v>
      </c>
    </row>
    <row r="1469" spans="1:8" x14ac:dyDescent="0.3">
      <c r="A1469" s="13">
        <v>45274</v>
      </c>
      <c r="B1469" s="15" t="s">
        <v>21</v>
      </c>
      <c r="C1469" s="3">
        <v>4</v>
      </c>
      <c r="D1469" s="13">
        <f t="shared" si="45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4"/>
        <v>6000</v>
      </c>
    </row>
    <row r="1470" spans="1:8" x14ac:dyDescent="0.3">
      <c r="A1470" s="13">
        <v>45275</v>
      </c>
      <c r="B1470" s="15" t="s">
        <v>21</v>
      </c>
      <c r="C1470" s="3">
        <v>4</v>
      </c>
      <c r="D1470" s="13">
        <f t="shared" si="45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4"/>
        <v>16000</v>
      </c>
    </row>
    <row r="1471" spans="1:8" x14ac:dyDescent="0.3">
      <c r="A1471" s="13">
        <v>45275</v>
      </c>
      <c r="B1471" s="15" t="s">
        <v>21</v>
      </c>
      <c r="C1471" s="3">
        <v>5</v>
      </c>
      <c r="D1471" s="13">
        <f t="shared" si="45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4"/>
        <v>16000</v>
      </c>
    </row>
    <row r="1472" spans="1:8" x14ac:dyDescent="0.3">
      <c r="A1472" s="13">
        <v>45275</v>
      </c>
      <c r="B1472" s="15" t="s">
        <v>21</v>
      </c>
      <c r="C1472" s="3">
        <v>7</v>
      </c>
      <c r="D1472" s="13">
        <f t="shared" si="45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4"/>
        <v>16000</v>
      </c>
    </row>
    <row r="1473" spans="1:8" x14ac:dyDescent="0.3">
      <c r="A1473" s="13">
        <v>45275</v>
      </c>
      <c r="B1473" s="15" t="s">
        <v>21</v>
      </c>
      <c r="C1473" s="3">
        <v>14</v>
      </c>
      <c r="D1473" s="13">
        <f t="shared" si="45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4"/>
        <v>16000</v>
      </c>
    </row>
    <row r="1474" spans="1:8" x14ac:dyDescent="0.3">
      <c r="A1474" s="13">
        <v>45278</v>
      </c>
      <c r="B1474" s="15" t="s">
        <v>21</v>
      </c>
      <c r="C1474" s="3">
        <v>3</v>
      </c>
      <c r="D1474" s="13">
        <f t="shared" si="45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4"/>
        <v>16700</v>
      </c>
    </row>
    <row r="1475" spans="1:8" x14ac:dyDescent="0.3">
      <c r="A1475" s="13">
        <v>45278</v>
      </c>
      <c r="B1475" s="15" t="s">
        <v>21</v>
      </c>
      <c r="C1475" s="3">
        <v>4</v>
      </c>
      <c r="D1475" s="13">
        <f t="shared" si="45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4"/>
        <v>16700</v>
      </c>
    </row>
    <row r="1476" spans="1:8" x14ac:dyDescent="0.3">
      <c r="A1476" s="13">
        <v>45278</v>
      </c>
      <c r="B1476" s="15" t="s">
        <v>21</v>
      </c>
      <c r="C1476" s="3">
        <v>8</v>
      </c>
      <c r="D1476" s="13">
        <f t="shared" si="45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4"/>
        <v>16700</v>
      </c>
    </row>
    <row r="1477" spans="1:8" x14ac:dyDescent="0.3">
      <c r="A1477" s="13">
        <v>45279</v>
      </c>
      <c r="B1477" s="15" t="s">
        <v>21</v>
      </c>
      <c r="C1477" s="3">
        <v>2</v>
      </c>
      <c r="D1477" s="13">
        <f t="shared" si="45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4"/>
        <v>19050</v>
      </c>
    </row>
    <row r="1478" spans="1:8" x14ac:dyDescent="0.3">
      <c r="A1478" s="13">
        <v>45279</v>
      </c>
      <c r="B1478" s="15" t="s">
        <v>21</v>
      </c>
      <c r="C1478" s="3">
        <v>3</v>
      </c>
      <c r="D1478" s="13">
        <f t="shared" si="45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4"/>
        <v>19050</v>
      </c>
    </row>
    <row r="1479" spans="1:8" x14ac:dyDescent="0.3">
      <c r="A1479" s="13">
        <v>45279</v>
      </c>
      <c r="B1479" s="15" t="s">
        <v>21</v>
      </c>
      <c r="C1479" s="3">
        <v>10</v>
      </c>
      <c r="D1479" s="13">
        <f t="shared" si="45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4"/>
        <v>19050</v>
      </c>
    </row>
    <row r="1480" spans="1:8" x14ac:dyDescent="0.3">
      <c r="A1480" s="13">
        <v>45280</v>
      </c>
      <c r="B1480" s="15" t="s">
        <v>21</v>
      </c>
      <c r="C1480" s="3">
        <v>6</v>
      </c>
      <c r="D1480" s="13">
        <f t="shared" si="45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4"/>
        <v>17000</v>
      </c>
    </row>
    <row r="1481" spans="1:8" x14ac:dyDescent="0.3">
      <c r="A1481" s="13">
        <v>45280</v>
      </c>
      <c r="B1481" s="15" t="s">
        <v>21</v>
      </c>
      <c r="C1481" s="3">
        <v>7</v>
      </c>
      <c r="D1481" s="13">
        <f t="shared" si="45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4"/>
        <v>17000</v>
      </c>
    </row>
    <row r="1482" spans="1:8" x14ac:dyDescent="0.3">
      <c r="A1482" s="13">
        <v>45280</v>
      </c>
      <c r="B1482" s="15" t="s">
        <v>21</v>
      </c>
      <c r="C1482" s="3">
        <v>9</v>
      </c>
      <c r="D1482" s="13">
        <f t="shared" si="45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6">+SUMIFS($E$10:$E$4506,$A$10:$A$4506,"&lt;="&amp;A1482,$D$10:$D$4506,"&gt;"&amp;A1482)</f>
        <v>17000</v>
      </c>
    </row>
    <row r="1483" spans="1:8" x14ac:dyDescent="0.3">
      <c r="A1483" s="13">
        <v>45281</v>
      </c>
      <c r="B1483" s="15" t="s">
        <v>21</v>
      </c>
      <c r="C1483" s="3">
        <v>5</v>
      </c>
      <c r="D1483" s="13">
        <f t="shared" si="45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6"/>
        <v>22600</v>
      </c>
    </row>
    <row r="1484" spans="1:8" x14ac:dyDescent="0.3">
      <c r="A1484" s="13">
        <v>45281</v>
      </c>
      <c r="B1484" s="15" t="s">
        <v>21</v>
      </c>
      <c r="C1484" s="3">
        <v>7</v>
      </c>
      <c r="D1484" s="13">
        <f t="shared" si="45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6"/>
        <v>22600</v>
      </c>
    </row>
    <row r="1485" spans="1:8" x14ac:dyDescent="0.3">
      <c r="A1485" s="13">
        <v>45281</v>
      </c>
      <c r="B1485" s="15" t="s">
        <v>21</v>
      </c>
      <c r="C1485" s="3">
        <v>8</v>
      </c>
      <c r="D1485" s="13">
        <f t="shared" si="45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6"/>
        <v>22600</v>
      </c>
    </row>
    <row r="1486" spans="1:8" x14ac:dyDescent="0.3">
      <c r="A1486" s="13">
        <v>45281</v>
      </c>
      <c r="B1486" s="15" t="s">
        <v>21</v>
      </c>
      <c r="C1486" s="3">
        <v>12</v>
      </c>
      <c r="D1486" s="13">
        <f t="shared" si="45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6"/>
        <v>22600</v>
      </c>
    </row>
    <row r="1487" spans="1:8" x14ac:dyDescent="0.3">
      <c r="A1487" s="13">
        <v>45282</v>
      </c>
      <c r="B1487" s="15" t="s">
        <v>21</v>
      </c>
      <c r="C1487" s="3">
        <v>5</v>
      </c>
      <c r="D1487" s="13">
        <f t="shared" si="45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6"/>
        <v>25550</v>
      </c>
    </row>
    <row r="1488" spans="1:8" x14ac:dyDescent="0.3">
      <c r="A1488" s="13">
        <v>45282</v>
      </c>
      <c r="B1488" s="15" t="s">
        <v>21</v>
      </c>
      <c r="C1488" s="3">
        <v>6</v>
      </c>
      <c r="D1488" s="13">
        <f t="shared" si="45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6"/>
        <v>25550</v>
      </c>
    </row>
    <row r="1489" spans="1:8" x14ac:dyDescent="0.3">
      <c r="A1489" s="13">
        <v>45282</v>
      </c>
      <c r="B1489" s="15" t="s">
        <v>21</v>
      </c>
      <c r="C1489" s="3">
        <v>7</v>
      </c>
      <c r="D1489" s="13">
        <f t="shared" si="45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6"/>
        <v>25550</v>
      </c>
    </row>
    <row r="1490" spans="1:8" x14ac:dyDescent="0.3">
      <c r="A1490" s="13">
        <v>45282</v>
      </c>
      <c r="B1490" s="15" t="s">
        <v>21</v>
      </c>
      <c r="C1490" s="3">
        <v>11</v>
      </c>
      <c r="D1490" s="13">
        <f t="shared" si="45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6"/>
        <v>25550</v>
      </c>
    </row>
    <row r="1491" spans="1:8" x14ac:dyDescent="0.3">
      <c r="A1491" s="13">
        <v>45287</v>
      </c>
      <c r="B1491" s="15" t="s">
        <v>21</v>
      </c>
      <c r="C1491" s="3">
        <v>6</v>
      </c>
      <c r="D1491" s="13">
        <f t="shared" si="45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6"/>
        <v>16400</v>
      </c>
    </row>
    <row r="1492" spans="1:8" x14ac:dyDescent="0.3">
      <c r="A1492" s="13">
        <v>45289</v>
      </c>
      <c r="B1492" s="15" t="s">
        <v>21</v>
      </c>
      <c r="C1492" s="3">
        <v>5</v>
      </c>
      <c r="D1492" s="13">
        <f t="shared" si="45"/>
        <v>45294</v>
      </c>
      <c r="E1492" s="15">
        <v>4700</v>
      </c>
      <c r="F1492" s="9">
        <v>0.09</v>
      </c>
      <c r="G1492" s="9">
        <v>0.09</v>
      </c>
      <c r="H1492" s="15">
        <f t="shared" si="46"/>
        <v>7900</v>
      </c>
    </row>
    <row r="1493" spans="1:8" x14ac:dyDescent="0.3">
      <c r="A1493" s="13">
        <v>45294</v>
      </c>
      <c r="B1493" s="15" t="s">
        <v>21</v>
      </c>
      <c r="C1493" s="3">
        <v>2</v>
      </c>
      <c r="D1493" s="13">
        <f t="shared" si="45"/>
        <v>45296</v>
      </c>
      <c r="E1493" s="15">
        <v>500</v>
      </c>
      <c r="F1493" s="9">
        <v>0.09</v>
      </c>
      <c r="G1493" s="9">
        <v>0.09</v>
      </c>
      <c r="H1493" s="15">
        <f t="shared" si="46"/>
        <v>2300</v>
      </c>
    </row>
    <row r="1494" spans="1:8" x14ac:dyDescent="0.3">
      <c r="A1494" s="13">
        <v>45294</v>
      </c>
      <c r="B1494" s="15" t="s">
        <v>21</v>
      </c>
      <c r="C1494" s="3">
        <v>19</v>
      </c>
      <c r="D1494" s="13">
        <f t="shared" si="45"/>
        <v>45313</v>
      </c>
      <c r="E1494" s="15">
        <v>1800</v>
      </c>
      <c r="F1494" s="9">
        <v>0.09</v>
      </c>
      <c r="G1494" s="9">
        <v>0.09</v>
      </c>
      <c r="H1494" s="15">
        <f t="shared" si="46"/>
        <v>2300</v>
      </c>
    </row>
    <row r="1495" spans="1:8" x14ac:dyDescent="0.3">
      <c r="A1495" s="13">
        <v>45295</v>
      </c>
      <c r="B1495" s="15" t="s">
        <v>21</v>
      </c>
      <c r="C1495" s="3">
        <v>4</v>
      </c>
      <c r="D1495" s="13">
        <f t="shared" si="45"/>
        <v>45299</v>
      </c>
      <c r="E1495" s="15">
        <v>2800</v>
      </c>
      <c r="F1495" s="9">
        <v>0.09</v>
      </c>
      <c r="G1495" s="9">
        <v>0.09</v>
      </c>
      <c r="H1495" s="15">
        <f t="shared" si="46"/>
        <v>6300</v>
      </c>
    </row>
    <row r="1496" spans="1:8" x14ac:dyDescent="0.3">
      <c r="A1496" s="13">
        <v>45295</v>
      </c>
      <c r="B1496" s="15" t="s">
        <v>21</v>
      </c>
      <c r="C1496" s="3">
        <v>6</v>
      </c>
      <c r="D1496" s="13">
        <f t="shared" si="45"/>
        <v>45301</v>
      </c>
      <c r="E1496" s="15">
        <v>200</v>
      </c>
      <c r="F1496" s="9">
        <v>0.09</v>
      </c>
      <c r="G1496" s="9">
        <v>0.09</v>
      </c>
      <c r="H1496" s="15">
        <f t="shared" si="46"/>
        <v>6300</v>
      </c>
    </row>
    <row r="1497" spans="1:8" x14ac:dyDescent="0.3">
      <c r="A1497" s="13">
        <v>45295</v>
      </c>
      <c r="B1497" s="15" t="s">
        <v>21</v>
      </c>
      <c r="C1497" s="3">
        <v>27</v>
      </c>
      <c r="D1497" s="13">
        <f t="shared" si="45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6"/>
        <v>6300</v>
      </c>
    </row>
    <row r="1498" spans="1:8" x14ac:dyDescent="0.3">
      <c r="A1498" s="13">
        <v>45296</v>
      </c>
      <c r="B1498" s="15" t="s">
        <v>21</v>
      </c>
      <c r="C1498" s="3">
        <v>5</v>
      </c>
      <c r="D1498" s="13">
        <f t="shared" si="45"/>
        <v>45301</v>
      </c>
      <c r="E1498" s="15">
        <v>400</v>
      </c>
      <c r="F1498" s="9">
        <v>0.09</v>
      </c>
      <c r="G1498" s="9">
        <v>0.09</v>
      </c>
      <c r="H1498" s="15">
        <f t="shared" si="46"/>
        <v>6600</v>
      </c>
    </row>
    <row r="1499" spans="1:8" x14ac:dyDescent="0.3">
      <c r="A1499" s="13">
        <v>45296</v>
      </c>
      <c r="B1499" s="15" t="s">
        <v>21</v>
      </c>
      <c r="C1499" s="3">
        <v>19</v>
      </c>
      <c r="D1499" s="13">
        <f t="shared" si="45"/>
        <v>45315</v>
      </c>
      <c r="E1499" s="15">
        <v>400</v>
      </c>
      <c r="F1499" s="9">
        <v>0.09</v>
      </c>
      <c r="G1499" s="9">
        <v>0.09</v>
      </c>
      <c r="H1499" s="15">
        <f t="shared" si="46"/>
        <v>6600</v>
      </c>
    </row>
    <row r="1500" spans="1:8" x14ac:dyDescent="0.3">
      <c r="A1500" s="13">
        <v>45299</v>
      </c>
      <c r="B1500" s="15" t="s">
        <v>21</v>
      </c>
      <c r="C1500" s="3">
        <v>2</v>
      </c>
      <c r="D1500" s="13">
        <f t="shared" si="45"/>
        <v>45301</v>
      </c>
      <c r="E1500" s="15">
        <v>2000</v>
      </c>
      <c r="F1500" s="9">
        <v>0.09</v>
      </c>
      <c r="G1500" s="9">
        <v>0.09</v>
      </c>
      <c r="H1500" s="15">
        <f t="shared" si="46"/>
        <v>6200</v>
      </c>
    </row>
    <row r="1501" spans="1:8" x14ac:dyDescent="0.3">
      <c r="A1501" s="13">
        <v>45299</v>
      </c>
      <c r="B1501" s="15" t="s">
        <v>21</v>
      </c>
      <c r="C1501" s="3">
        <v>7</v>
      </c>
      <c r="D1501" s="13">
        <f t="shared" si="45"/>
        <v>45306</v>
      </c>
      <c r="E1501" s="15">
        <v>400</v>
      </c>
      <c r="F1501" s="9">
        <v>0.09</v>
      </c>
      <c r="G1501" s="9">
        <v>0.09</v>
      </c>
      <c r="H1501" s="15">
        <f t="shared" si="46"/>
        <v>6200</v>
      </c>
    </row>
    <row r="1502" spans="1:8" x14ac:dyDescent="0.3">
      <c r="A1502" s="13">
        <v>45300</v>
      </c>
      <c r="B1502" s="15" t="s">
        <v>21</v>
      </c>
      <c r="C1502" s="3">
        <v>2</v>
      </c>
      <c r="D1502" s="13">
        <f t="shared" si="45"/>
        <v>45302</v>
      </c>
      <c r="E1502" s="15">
        <v>1800</v>
      </c>
      <c r="F1502" s="9">
        <v>0.09</v>
      </c>
      <c r="G1502" s="9">
        <v>0.09</v>
      </c>
      <c r="H1502" s="15">
        <f t="shared" si="46"/>
        <v>10100</v>
      </c>
    </row>
    <row r="1503" spans="1:8" x14ac:dyDescent="0.3">
      <c r="A1503" s="13">
        <v>45300</v>
      </c>
      <c r="B1503" s="15" t="s">
        <v>21</v>
      </c>
      <c r="C1503" s="3">
        <v>3</v>
      </c>
      <c r="D1503" s="13">
        <f t="shared" si="45"/>
        <v>45303</v>
      </c>
      <c r="E1503" s="15">
        <v>500</v>
      </c>
      <c r="F1503" s="9">
        <v>0.09</v>
      </c>
      <c r="G1503" s="9">
        <v>0.09</v>
      </c>
      <c r="H1503" s="15">
        <f t="shared" si="46"/>
        <v>10100</v>
      </c>
    </row>
    <row r="1504" spans="1:8" x14ac:dyDescent="0.3">
      <c r="A1504" s="13">
        <v>45300</v>
      </c>
      <c r="B1504" s="15" t="s">
        <v>21</v>
      </c>
      <c r="C1504" s="3">
        <v>7</v>
      </c>
      <c r="D1504" s="13">
        <f t="shared" ref="D1504:D1580" si="47">+A1504+C1504</f>
        <v>45307</v>
      </c>
      <c r="E1504" s="15">
        <v>1600</v>
      </c>
      <c r="F1504" s="9">
        <v>0.09</v>
      </c>
      <c r="G1504" s="9">
        <v>0.09</v>
      </c>
      <c r="H1504" s="15">
        <f t="shared" si="46"/>
        <v>10100</v>
      </c>
    </row>
    <row r="1505" spans="1:8" x14ac:dyDescent="0.3">
      <c r="A1505" s="13">
        <v>45301</v>
      </c>
      <c r="B1505" s="15" t="s">
        <v>21</v>
      </c>
      <c r="C1505" s="3">
        <v>5</v>
      </c>
      <c r="D1505" s="13">
        <f t="shared" si="47"/>
        <v>45306</v>
      </c>
      <c r="E1505" s="15">
        <v>2000</v>
      </c>
      <c r="F1505" s="9">
        <v>0.09</v>
      </c>
      <c r="G1505" s="9">
        <v>0.09</v>
      </c>
      <c r="H1505" s="15">
        <f t="shared" si="46"/>
        <v>9500</v>
      </c>
    </row>
    <row r="1506" spans="1:8" x14ac:dyDescent="0.3">
      <c r="A1506" s="13">
        <v>45302</v>
      </c>
      <c r="B1506" s="15" t="s">
        <v>21</v>
      </c>
      <c r="C1506" s="3">
        <v>4</v>
      </c>
      <c r="D1506" s="13">
        <f t="shared" si="47"/>
        <v>45306</v>
      </c>
      <c r="E1506" s="15">
        <v>1000</v>
      </c>
      <c r="F1506" s="9">
        <v>0.09</v>
      </c>
      <c r="G1506" s="9">
        <v>0.09</v>
      </c>
      <c r="H1506" s="15">
        <f t="shared" si="46"/>
        <v>8700</v>
      </c>
    </row>
    <row r="1507" spans="1:8" x14ac:dyDescent="0.3">
      <c r="A1507" s="13">
        <v>45306</v>
      </c>
      <c r="B1507" s="15" t="s">
        <v>21</v>
      </c>
      <c r="C1507" s="3">
        <v>9</v>
      </c>
      <c r="D1507" s="13">
        <f t="shared" si="47"/>
        <v>45315</v>
      </c>
      <c r="E1507" s="15">
        <v>1000</v>
      </c>
      <c r="F1507" s="9">
        <v>0.09</v>
      </c>
      <c r="G1507" s="9">
        <v>0.09</v>
      </c>
      <c r="H1507" s="15">
        <f t="shared" si="46"/>
        <v>5800</v>
      </c>
    </row>
    <row r="1508" spans="1:8" x14ac:dyDescent="0.3">
      <c r="A1508" s="13">
        <v>45308</v>
      </c>
      <c r="B1508" s="15" t="s">
        <v>21</v>
      </c>
      <c r="C1508" s="3">
        <v>5</v>
      </c>
      <c r="D1508" s="13">
        <f t="shared" si="47"/>
        <v>45313</v>
      </c>
      <c r="E1508" s="15">
        <v>500</v>
      </c>
      <c r="F1508" s="9">
        <v>0.09</v>
      </c>
      <c r="G1508" s="9">
        <v>0.09</v>
      </c>
      <c r="H1508" s="15">
        <f t="shared" si="46"/>
        <v>5100</v>
      </c>
    </row>
    <row r="1509" spans="1:8" x14ac:dyDescent="0.3">
      <c r="A1509" s="13">
        <v>45308</v>
      </c>
      <c r="B1509" s="15" t="s">
        <v>21</v>
      </c>
      <c r="C1509" s="3">
        <v>6</v>
      </c>
      <c r="D1509" s="13">
        <f t="shared" si="47"/>
        <v>45314</v>
      </c>
      <c r="E1509" s="15">
        <v>400</v>
      </c>
      <c r="F1509" s="9">
        <v>0.09</v>
      </c>
      <c r="G1509" s="9">
        <v>0.09</v>
      </c>
      <c r="H1509" s="15">
        <f t="shared" si="46"/>
        <v>5100</v>
      </c>
    </row>
    <row r="1510" spans="1:8" x14ac:dyDescent="0.3">
      <c r="A1510" s="13">
        <v>45309</v>
      </c>
      <c r="B1510" s="15" t="s">
        <v>21</v>
      </c>
      <c r="C1510" s="3">
        <v>4</v>
      </c>
      <c r="D1510" s="13">
        <f t="shared" si="47"/>
        <v>45313</v>
      </c>
      <c r="E1510" s="15">
        <v>800</v>
      </c>
      <c r="F1510" s="9">
        <v>0.09</v>
      </c>
      <c r="G1510" s="9">
        <v>0.09</v>
      </c>
      <c r="H1510" s="15">
        <f t="shared" si="46"/>
        <v>10400</v>
      </c>
    </row>
    <row r="1511" spans="1:8" x14ac:dyDescent="0.3">
      <c r="A1511" s="13">
        <v>45309</v>
      </c>
      <c r="B1511" s="15" t="s">
        <v>21</v>
      </c>
      <c r="C1511" s="3">
        <v>5</v>
      </c>
      <c r="D1511" s="13">
        <f t="shared" si="47"/>
        <v>45314</v>
      </c>
      <c r="E1511" s="15">
        <v>3500</v>
      </c>
      <c r="F1511" s="9">
        <v>0.09</v>
      </c>
      <c r="G1511" s="9">
        <v>0.09</v>
      </c>
      <c r="H1511" s="15">
        <f t="shared" si="46"/>
        <v>10400</v>
      </c>
    </row>
    <row r="1512" spans="1:8" x14ac:dyDescent="0.3">
      <c r="A1512" s="13">
        <v>45309</v>
      </c>
      <c r="B1512" s="15" t="s">
        <v>21</v>
      </c>
      <c r="C1512" s="3">
        <v>6</v>
      </c>
      <c r="D1512" s="13">
        <f t="shared" si="47"/>
        <v>45315</v>
      </c>
      <c r="E1512" s="15">
        <v>1000</v>
      </c>
      <c r="F1512" s="9">
        <v>0.09</v>
      </c>
      <c r="G1512" s="9">
        <v>0.09</v>
      </c>
      <c r="H1512" s="15">
        <f t="shared" si="46"/>
        <v>10400</v>
      </c>
    </row>
    <row r="1513" spans="1:8" x14ac:dyDescent="0.3">
      <c r="A1513" s="13">
        <v>45310</v>
      </c>
      <c r="B1513" s="15" t="s">
        <v>21</v>
      </c>
      <c r="C1513" s="3">
        <v>5</v>
      </c>
      <c r="D1513" s="13">
        <f t="shared" si="47"/>
        <v>45315</v>
      </c>
      <c r="E1513" s="15">
        <v>2000</v>
      </c>
      <c r="F1513" s="9">
        <v>0.09</v>
      </c>
      <c r="G1513" s="9">
        <v>0.09</v>
      </c>
      <c r="H1513" s="15">
        <f t="shared" si="46"/>
        <v>12400</v>
      </c>
    </row>
    <row r="1514" spans="1:8" x14ac:dyDescent="0.3">
      <c r="A1514" s="13">
        <v>45314</v>
      </c>
      <c r="B1514" s="15" t="s">
        <v>21</v>
      </c>
      <c r="C1514" s="3">
        <v>3</v>
      </c>
      <c r="D1514" s="13">
        <f t="shared" si="47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6"/>
        <v>5800</v>
      </c>
    </row>
    <row r="1515" spans="1:8" x14ac:dyDescent="0.3">
      <c r="A1515" s="13">
        <v>45317</v>
      </c>
      <c r="B1515" s="15" t="s">
        <v>21</v>
      </c>
      <c r="C1515" s="3">
        <v>4</v>
      </c>
      <c r="D1515" s="13">
        <f t="shared" si="47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6"/>
        <v>-1400</v>
      </c>
    </row>
    <row r="1516" spans="1:8" x14ac:dyDescent="0.3">
      <c r="A1516" s="13">
        <v>45321</v>
      </c>
      <c r="B1516" s="15" t="s">
        <v>21</v>
      </c>
      <c r="C1516" s="3">
        <v>2</v>
      </c>
      <c r="D1516" s="13">
        <f t="shared" si="47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6"/>
        <v>500</v>
      </c>
    </row>
    <row r="1517" spans="1:8" x14ac:dyDescent="0.3">
      <c r="A1517" s="13">
        <v>45322</v>
      </c>
      <c r="B1517" s="15" t="s">
        <v>21</v>
      </c>
      <c r="C1517" s="3">
        <v>2</v>
      </c>
      <c r="D1517" s="13">
        <f t="shared" si="47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6"/>
        <v>-1500</v>
      </c>
    </row>
    <row r="1518" spans="1:8" x14ac:dyDescent="0.3">
      <c r="A1518" s="13">
        <v>45323</v>
      </c>
      <c r="B1518" s="15" t="s">
        <v>21</v>
      </c>
      <c r="C1518" s="3">
        <v>1</v>
      </c>
      <c r="D1518" s="13">
        <f t="shared" si="47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6"/>
        <v>-2800</v>
      </c>
    </row>
    <row r="1519" spans="1:8" x14ac:dyDescent="0.3">
      <c r="A1519" s="13">
        <v>45323</v>
      </c>
      <c r="B1519" s="15" t="s">
        <v>21</v>
      </c>
      <c r="C1519" s="3">
        <v>4</v>
      </c>
      <c r="D1519" s="13">
        <f t="shared" si="47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6"/>
        <v>-2800</v>
      </c>
    </row>
    <row r="1520" spans="1:8" x14ac:dyDescent="0.3">
      <c r="A1520" s="13">
        <v>45329</v>
      </c>
      <c r="B1520" s="15" t="s">
        <v>21</v>
      </c>
      <c r="C1520" s="3">
        <v>7</v>
      </c>
      <c r="D1520" s="13">
        <f t="shared" si="47"/>
        <v>45336</v>
      </c>
      <c r="E1520" s="15">
        <v>2500</v>
      </c>
      <c r="F1520" s="9">
        <v>0.09</v>
      </c>
      <c r="G1520" s="9">
        <v>0.09</v>
      </c>
      <c r="H1520" s="15">
        <f t="shared" si="46"/>
        <v>2500</v>
      </c>
    </row>
    <row r="1521" spans="1:8" x14ac:dyDescent="0.3">
      <c r="A1521" s="13">
        <v>45330</v>
      </c>
      <c r="B1521" s="15" t="s">
        <v>21</v>
      </c>
      <c r="C1521" s="3">
        <v>6</v>
      </c>
      <c r="D1521" s="13">
        <f t="shared" si="47"/>
        <v>45336</v>
      </c>
      <c r="E1521" s="15">
        <v>3000</v>
      </c>
      <c r="F1521" s="9">
        <v>0.09</v>
      </c>
      <c r="G1521" s="9">
        <v>0.09</v>
      </c>
      <c r="H1521" s="15">
        <f t="shared" si="46"/>
        <v>5500</v>
      </c>
    </row>
    <row r="1522" spans="1:8" x14ac:dyDescent="0.3">
      <c r="A1522" s="13">
        <v>45336</v>
      </c>
      <c r="B1522" s="15" t="s">
        <v>21</v>
      </c>
      <c r="C1522" s="3">
        <v>5</v>
      </c>
      <c r="D1522" s="13">
        <f t="shared" si="47"/>
        <v>45341</v>
      </c>
      <c r="E1522" s="15">
        <v>3400</v>
      </c>
      <c r="F1522" s="9">
        <v>0.09</v>
      </c>
      <c r="G1522" s="9">
        <v>0.09</v>
      </c>
      <c r="H1522" s="15">
        <f t="shared" si="46"/>
        <v>3400</v>
      </c>
    </row>
    <row r="1523" spans="1:8" x14ac:dyDescent="0.3">
      <c r="A1523" s="13">
        <v>45337</v>
      </c>
      <c r="B1523" s="15" t="s">
        <v>21</v>
      </c>
      <c r="C1523" s="3">
        <v>4</v>
      </c>
      <c r="D1523" s="13">
        <f t="shared" si="47"/>
        <v>45341</v>
      </c>
      <c r="E1523" s="15">
        <v>2900</v>
      </c>
      <c r="F1523" s="9">
        <v>0.09</v>
      </c>
      <c r="G1523" s="9">
        <v>0.09</v>
      </c>
      <c r="H1523" s="15">
        <f t="shared" si="46"/>
        <v>6300</v>
      </c>
    </row>
    <row r="1524" spans="1:8" x14ac:dyDescent="0.3">
      <c r="A1524" s="13">
        <v>45338</v>
      </c>
      <c r="B1524" s="15" t="s">
        <v>21</v>
      </c>
      <c r="C1524" s="3">
        <v>5</v>
      </c>
      <c r="D1524" s="13">
        <f t="shared" si="47"/>
        <v>45343</v>
      </c>
      <c r="E1524" s="15">
        <v>2200</v>
      </c>
      <c r="F1524" s="9">
        <v>0.09</v>
      </c>
      <c r="G1524" s="9">
        <v>0.09</v>
      </c>
      <c r="H1524" s="15">
        <f t="shared" si="46"/>
        <v>12600</v>
      </c>
    </row>
    <row r="1525" spans="1:8" x14ac:dyDescent="0.3">
      <c r="A1525" s="13">
        <v>45338</v>
      </c>
      <c r="B1525" s="15" t="s">
        <v>21</v>
      </c>
      <c r="C1525" s="3">
        <v>7</v>
      </c>
      <c r="D1525" s="13">
        <f t="shared" si="47"/>
        <v>45345</v>
      </c>
      <c r="E1525" s="15">
        <v>1400</v>
      </c>
      <c r="F1525" s="9">
        <v>0.09</v>
      </c>
      <c r="G1525" s="9">
        <v>0.09</v>
      </c>
      <c r="H1525" s="15">
        <f t="shared" si="46"/>
        <v>12600</v>
      </c>
    </row>
    <row r="1526" spans="1:8" x14ac:dyDescent="0.3">
      <c r="A1526" s="13">
        <v>45338</v>
      </c>
      <c r="B1526" s="15" t="s">
        <v>21</v>
      </c>
      <c r="C1526" s="3">
        <v>10</v>
      </c>
      <c r="D1526" s="13">
        <f t="shared" si="47"/>
        <v>45348</v>
      </c>
      <c r="E1526" s="15">
        <v>2700</v>
      </c>
      <c r="F1526" s="9">
        <v>0.09</v>
      </c>
      <c r="G1526" s="9">
        <v>0.09</v>
      </c>
      <c r="H1526" s="15">
        <f t="shared" si="46"/>
        <v>12600</v>
      </c>
    </row>
    <row r="1527" spans="1:8" x14ac:dyDescent="0.3">
      <c r="A1527" s="13">
        <v>45341</v>
      </c>
      <c r="B1527" s="15" t="s">
        <v>21</v>
      </c>
      <c r="C1527" s="3">
        <v>4</v>
      </c>
      <c r="D1527" s="13">
        <f t="shared" si="47"/>
        <v>45345</v>
      </c>
      <c r="E1527" s="15">
        <v>1600</v>
      </c>
      <c r="F1527" s="9">
        <v>0.09</v>
      </c>
      <c r="G1527" s="9">
        <v>0.09</v>
      </c>
      <c r="H1527" s="15">
        <f t="shared" si="46"/>
        <v>9900</v>
      </c>
    </row>
    <row r="1528" spans="1:8" x14ac:dyDescent="0.3">
      <c r="A1528" s="13">
        <v>45341</v>
      </c>
      <c r="B1528" s="15" t="s">
        <v>21</v>
      </c>
      <c r="C1528" s="3">
        <v>7</v>
      </c>
      <c r="D1528" s="13">
        <f t="shared" si="47"/>
        <v>45348</v>
      </c>
      <c r="E1528" s="15">
        <v>2000</v>
      </c>
      <c r="F1528" s="9">
        <v>0.09</v>
      </c>
      <c r="G1528" s="9">
        <v>0.09</v>
      </c>
      <c r="H1528" s="15">
        <f t="shared" si="46"/>
        <v>9900</v>
      </c>
    </row>
    <row r="1529" spans="1:8" x14ac:dyDescent="0.3">
      <c r="A1529" s="13">
        <v>45342</v>
      </c>
      <c r="B1529" s="15" t="s">
        <v>21</v>
      </c>
      <c r="C1529" s="3">
        <v>6</v>
      </c>
      <c r="D1529" s="13">
        <f t="shared" si="47"/>
        <v>45348</v>
      </c>
      <c r="E1529" s="15">
        <v>4400</v>
      </c>
      <c r="F1529" s="9">
        <v>0.09</v>
      </c>
      <c r="G1529" s="9">
        <v>0.09</v>
      </c>
      <c r="H1529" s="15">
        <f t="shared" si="46"/>
        <v>15700</v>
      </c>
    </row>
    <row r="1530" spans="1:8" x14ac:dyDescent="0.3">
      <c r="A1530" s="13">
        <v>45342</v>
      </c>
      <c r="B1530" s="15" t="s">
        <v>21</v>
      </c>
      <c r="C1530" s="3">
        <v>9</v>
      </c>
      <c r="D1530" s="13">
        <f t="shared" si="47"/>
        <v>45351</v>
      </c>
      <c r="E1530" s="15">
        <v>1400</v>
      </c>
      <c r="F1530" s="9">
        <v>0.09</v>
      </c>
      <c r="G1530" s="9">
        <v>0.09</v>
      </c>
      <c r="H1530" s="15">
        <f t="shared" si="46"/>
        <v>15700</v>
      </c>
    </row>
    <row r="1531" spans="1:8" x14ac:dyDescent="0.3">
      <c r="A1531" s="13">
        <v>45343</v>
      </c>
      <c r="B1531" s="15" t="s">
        <v>21</v>
      </c>
      <c r="C1531" s="3">
        <v>5</v>
      </c>
      <c r="D1531" s="13">
        <f t="shared" si="47"/>
        <v>45348</v>
      </c>
      <c r="E1531" s="15">
        <v>4300</v>
      </c>
      <c r="F1531" s="9">
        <v>0.09</v>
      </c>
      <c r="G1531" s="9">
        <v>0.09</v>
      </c>
      <c r="H1531" s="15">
        <f t="shared" si="46"/>
        <v>18300</v>
      </c>
    </row>
    <row r="1532" spans="1:8" x14ac:dyDescent="0.3">
      <c r="A1532" s="13">
        <v>45343</v>
      </c>
      <c r="B1532" s="15" t="s">
        <v>21</v>
      </c>
      <c r="C1532" s="3">
        <v>6</v>
      </c>
      <c r="D1532" s="13">
        <f t="shared" si="47"/>
        <v>45349</v>
      </c>
      <c r="E1532" s="15">
        <v>200</v>
      </c>
      <c r="F1532" s="9">
        <v>0.09</v>
      </c>
      <c r="G1532" s="9">
        <v>0.09</v>
      </c>
      <c r="H1532" s="15">
        <f t="shared" si="46"/>
        <v>18300</v>
      </c>
    </row>
    <row r="1533" spans="1:8" x14ac:dyDescent="0.3">
      <c r="A1533" s="13">
        <v>45343</v>
      </c>
      <c r="B1533" s="15" t="s">
        <v>21</v>
      </c>
      <c r="C1533" s="3">
        <v>7</v>
      </c>
      <c r="D1533" s="13">
        <f t="shared" si="47"/>
        <v>45350</v>
      </c>
      <c r="E1533" s="15">
        <v>300</v>
      </c>
      <c r="F1533" s="9">
        <v>0.09</v>
      </c>
      <c r="G1533" s="9">
        <v>0.09</v>
      </c>
      <c r="H1533" s="15">
        <f t="shared" si="46"/>
        <v>18300</v>
      </c>
    </row>
    <row r="1534" spans="1:8" x14ac:dyDescent="0.3">
      <c r="A1534" s="13">
        <v>45344</v>
      </c>
      <c r="B1534" s="15" t="s">
        <v>21</v>
      </c>
      <c r="C1534" s="3">
        <v>4</v>
      </c>
      <c r="D1534" s="13">
        <f t="shared" si="47"/>
        <v>45348</v>
      </c>
      <c r="E1534" s="15">
        <v>1000</v>
      </c>
      <c r="F1534" s="9">
        <v>0.09</v>
      </c>
      <c r="G1534" s="9">
        <v>0.09</v>
      </c>
      <c r="H1534" s="15">
        <f t="shared" si="46"/>
        <v>19300</v>
      </c>
    </row>
    <row r="1535" spans="1:8" x14ac:dyDescent="0.3">
      <c r="A1535" s="13">
        <v>45345</v>
      </c>
      <c r="B1535" s="15" t="s">
        <v>21</v>
      </c>
      <c r="C1535" s="3">
        <v>6</v>
      </c>
      <c r="D1535" s="13">
        <f t="shared" si="47"/>
        <v>45351</v>
      </c>
      <c r="E1535" s="15">
        <v>5000</v>
      </c>
      <c r="F1535" s="9">
        <v>0.09</v>
      </c>
      <c r="G1535" s="9">
        <v>0.09</v>
      </c>
      <c r="H1535" s="15">
        <f t="shared" si="46"/>
        <v>21300</v>
      </c>
    </row>
    <row r="1536" spans="1:8" x14ac:dyDescent="0.3">
      <c r="A1536" s="13">
        <v>45348</v>
      </c>
      <c r="B1536" s="15" t="s">
        <v>21</v>
      </c>
      <c r="C1536" s="3">
        <v>1</v>
      </c>
      <c r="D1536" s="13">
        <f t="shared" si="47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6"/>
        <v>6500</v>
      </c>
    </row>
    <row r="1537" spans="1:8" x14ac:dyDescent="0.3">
      <c r="A1537" s="13">
        <v>45348</v>
      </c>
      <c r="B1537" s="15" t="s">
        <v>21</v>
      </c>
      <c r="C1537" s="3">
        <v>2</v>
      </c>
      <c r="D1537" s="13">
        <f t="shared" si="47"/>
        <v>45350</v>
      </c>
      <c r="E1537" s="15">
        <v>600</v>
      </c>
      <c r="F1537" s="9">
        <v>0.09</v>
      </c>
      <c r="G1537" s="9">
        <v>0.09</v>
      </c>
      <c r="H1537" s="15">
        <f t="shared" si="46"/>
        <v>6500</v>
      </c>
    </row>
    <row r="1538" spans="1:8" x14ac:dyDescent="0.3">
      <c r="A1538" s="13">
        <v>45349</v>
      </c>
      <c r="B1538" s="15" t="s">
        <v>21</v>
      </c>
      <c r="C1538" s="3">
        <v>2</v>
      </c>
      <c r="D1538" s="13">
        <f t="shared" si="47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6"/>
        <v>8100</v>
      </c>
    </row>
    <row r="1539" spans="1:8" x14ac:dyDescent="0.3">
      <c r="A1539" s="13">
        <v>45349</v>
      </c>
      <c r="B1539" s="15" t="s">
        <v>21</v>
      </c>
      <c r="C1539" s="3">
        <v>3</v>
      </c>
      <c r="D1539" s="13">
        <f t="shared" si="47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6"/>
        <v>8100</v>
      </c>
    </row>
    <row r="1540" spans="1:8" x14ac:dyDescent="0.3">
      <c r="A1540" s="13">
        <v>45350</v>
      </c>
      <c r="B1540" s="15" t="s">
        <v>21</v>
      </c>
      <c r="C1540" s="3">
        <v>1</v>
      </c>
      <c r="D1540" s="13">
        <f t="shared" si="47"/>
        <v>45351</v>
      </c>
      <c r="E1540" s="15">
        <v>100</v>
      </c>
      <c r="F1540" s="9">
        <v>0.09</v>
      </c>
      <c r="G1540" s="9">
        <v>0.09</v>
      </c>
      <c r="H1540" s="15">
        <f t="shared" si="46"/>
        <v>8700</v>
      </c>
    </row>
    <row r="1541" spans="1:8" x14ac:dyDescent="0.3">
      <c r="A1541" s="13">
        <v>45350</v>
      </c>
      <c r="B1541" s="15" t="s">
        <v>21</v>
      </c>
      <c r="C1541" s="3">
        <v>2</v>
      </c>
      <c r="D1541" s="13">
        <f t="shared" si="47"/>
        <v>45352</v>
      </c>
      <c r="E1541" s="15">
        <v>1400</v>
      </c>
      <c r="F1541" s="9">
        <v>0.09</v>
      </c>
      <c r="G1541" s="9">
        <v>0.09</v>
      </c>
      <c r="H1541" s="15">
        <f t="shared" si="46"/>
        <v>8700</v>
      </c>
    </row>
    <row r="1542" spans="1:8" x14ac:dyDescent="0.3">
      <c r="A1542" s="13">
        <v>45351</v>
      </c>
      <c r="B1542" s="15" t="s">
        <v>21</v>
      </c>
      <c r="C1542" s="3">
        <v>1</v>
      </c>
      <c r="D1542" s="13">
        <f t="shared" si="47"/>
        <v>45352</v>
      </c>
      <c r="E1542" s="15">
        <v>9000</v>
      </c>
      <c r="F1542" s="9">
        <v>0.09</v>
      </c>
      <c r="G1542" s="9">
        <v>0.09</v>
      </c>
      <c r="H1542" s="15">
        <f t="shared" si="46"/>
        <v>10800</v>
      </c>
    </row>
    <row r="1543" spans="1:8" x14ac:dyDescent="0.3">
      <c r="A1543" s="13">
        <v>45355</v>
      </c>
      <c r="B1543" s="15" t="s">
        <v>21</v>
      </c>
      <c r="C1543" s="3">
        <v>2</v>
      </c>
      <c r="D1543" s="13">
        <f t="shared" si="47"/>
        <v>45357</v>
      </c>
      <c r="E1543" s="15">
        <v>3400</v>
      </c>
      <c r="F1543" s="9">
        <v>0.09</v>
      </c>
      <c r="G1543" s="9">
        <v>0.09</v>
      </c>
      <c r="H1543" s="15">
        <f t="shared" si="46"/>
        <v>6200</v>
      </c>
    </row>
    <row r="1544" spans="1:8" x14ac:dyDescent="0.3">
      <c r="A1544" s="13">
        <v>45355</v>
      </c>
      <c r="B1544" s="15" t="s">
        <v>21</v>
      </c>
      <c r="C1544" s="3">
        <v>4</v>
      </c>
      <c r="D1544" s="13">
        <f t="shared" si="47"/>
        <v>45359</v>
      </c>
      <c r="E1544" s="15">
        <v>800</v>
      </c>
      <c r="F1544" s="9">
        <v>0.09</v>
      </c>
      <c r="G1544" s="9">
        <v>0.09</v>
      </c>
      <c r="H1544" s="15">
        <f t="shared" si="46"/>
        <v>6200</v>
      </c>
    </row>
    <row r="1545" spans="1:8" x14ac:dyDescent="0.3">
      <c r="A1545" s="13">
        <v>45355</v>
      </c>
      <c r="B1545" s="15" t="s">
        <v>21</v>
      </c>
      <c r="C1545" s="3">
        <v>7</v>
      </c>
      <c r="D1545" s="13">
        <f t="shared" si="47"/>
        <v>45362</v>
      </c>
      <c r="E1545" s="15">
        <v>2000</v>
      </c>
      <c r="F1545" s="9">
        <v>0.09</v>
      </c>
      <c r="G1545" s="9">
        <v>0.09</v>
      </c>
      <c r="H1545" s="15">
        <f t="shared" si="46"/>
        <v>6200</v>
      </c>
    </row>
    <row r="1546" spans="1:8" x14ac:dyDescent="0.3">
      <c r="A1546" s="13">
        <v>45356</v>
      </c>
      <c r="B1546" s="15" t="s">
        <v>21</v>
      </c>
      <c r="C1546" s="3">
        <v>6</v>
      </c>
      <c r="D1546" s="13">
        <f t="shared" si="47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8">+SUMIFS($E$10:$E$4506,$A$10:$A$4506,"&lt;="&amp;A1546,$D$10:$D$4506,"&gt;"&amp;A1546)</f>
        <v>9200</v>
      </c>
    </row>
    <row r="1547" spans="1:8" x14ac:dyDescent="0.3">
      <c r="A1547" s="13">
        <v>45357</v>
      </c>
      <c r="B1547" s="15" t="s">
        <v>21</v>
      </c>
      <c r="C1547" s="3">
        <v>2</v>
      </c>
      <c r="D1547" s="13">
        <f t="shared" si="47"/>
        <v>45359</v>
      </c>
      <c r="E1547" s="15">
        <v>900</v>
      </c>
      <c r="F1547" s="9">
        <v>0.09</v>
      </c>
      <c r="G1547" s="9">
        <v>0.09</v>
      </c>
      <c r="H1547" s="15">
        <f t="shared" si="48"/>
        <v>8500</v>
      </c>
    </row>
    <row r="1548" spans="1:8" x14ac:dyDescent="0.3">
      <c r="A1548" s="13">
        <v>45357</v>
      </c>
      <c r="B1548" s="15" t="s">
        <v>21</v>
      </c>
      <c r="C1548" s="3">
        <v>5</v>
      </c>
      <c r="D1548" s="13">
        <f t="shared" si="47"/>
        <v>45362</v>
      </c>
      <c r="E1548" s="15">
        <v>400</v>
      </c>
      <c r="F1548" s="9">
        <v>0.09</v>
      </c>
      <c r="G1548" s="9">
        <v>0.09</v>
      </c>
      <c r="H1548" s="15">
        <f t="shared" si="48"/>
        <v>8500</v>
      </c>
    </row>
    <row r="1549" spans="1:8" x14ac:dyDescent="0.3">
      <c r="A1549" s="13">
        <v>45357</v>
      </c>
      <c r="B1549" s="15" t="s">
        <v>21</v>
      </c>
      <c r="C1549" s="3">
        <v>7</v>
      </c>
      <c r="D1549" s="13">
        <f t="shared" si="47"/>
        <v>45364</v>
      </c>
      <c r="E1549" s="15">
        <v>1400</v>
      </c>
      <c r="F1549" s="9">
        <v>0.09</v>
      </c>
      <c r="G1549" s="9">
        <v>0.09</v>
      </c>
      <c r="H1549" s="15">
        <f t="shared" si="48"/>
        <v>8500</v>
      </c>
    </row>
    <row r="1550" spans="1:8" x14ac:dyDescent="0.3">
      <c r="A1550" s="13">
        <v>45358</v>
      </c>
      <c r="B1550" s="15" t="s">
        <v>21</v>
      </c>
      <c r="C1550" s="3">
        <v>1</v>
      </c>
      <c r="D1550" s="13">
        <f t="shared" si="47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8"/>
        <v>11900</v>
      </c>
    </row>
    <row r="1551" spans="1:8" x14ac:dyDescent="0.3">
      <c r="A1551" s="13">
        <v>45358</v>
      </c>
      <c r="B1551" s="15" t="s">
        <v>21</v>
      </c>
      <c r="C1551" s="3">
        <v>4</v>
      </c>
      <c r="D1551" s="13">
        <f t="shared" si="47"/>
        <v>45362</v>
      </c>
      <c r="E1551" s="15">
        <v>1600</v>
      </c>
      <c r="F1551" s="9">
        <v>0.09</v>
      </c>
      <c r="G1551" s="9">
        <v>0.09</v>
      </c>
      <c r="H1551" s="15">
        <f t="shared" si="48"/>
        <v>11900</v>
      </c>
    </row>
    <row r="1552" spans="1:8" x14ac:dyDescent="0.3">
      <c r="A1552" s="13">
        <v>45358</v>
      </c>
      <c r="B1552" s="15" t="s">
        <v>21</v>
      </c>
      <c r="C1552" s="3">
        <v>5</v>
      </c>
      <c r="D1552" s="13">
        <f t="shared" si="47"/>
        <v>45363</v>
      </c>
      <c r="E1552" s="15">
        <v>300</v>
      </c>
      <c r="F1552" s="9">
        <v>0.09</v>
      </c>
      <c r="G1552" s="9">
        <v>0.09</v>
      </c>
      <c r="H1552" s="15">
        <f t="shared" si="48"/>
        <v>11900</v>
      </c>
    </row>
    <row r="1553" spans="1:8" x14ac:dyDescent="0.3">
      <c r="A1553" s="13">
        <v>45358</v>
      </c>
      <c r="B1553" s="15" t="s">
        <v>21</v>
      </c>
      <c r="C1553" s="3">
        <v>6</v>
      </c>
      <c r="D1553" s="13">
        <f t="shared" si="47"/>
        <v>45364</v>
      </c>
      <c r="E1553" s="15">
        <v>300</v>
      </c>
      <c r="F1553" s="9">
        <v>0.09</v>
      </c>
      <c r="G1553" s="9">
        <v>0.09</v>
      </c>
      <c r="H1553" s="15">
        <f t="shared" si="48"/>
        <v>11900</v>
      </c>
    </row>
    <row r="1554" spans="1:8" x14ac:dyDescent="0.3">
      <c r="A1554" s="13">
        <v>45358</v>
      </c>
      <c r="B1554" s="15" t="s">
        <v>21</v>
      </c>
      <c r="C1554" s="3">
        <v>8</v>
      </c>
      <c r="D1554" s="13">
        <f t="shared" si="47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8"/>
        <v>11900</v>
      </c>
    </row>
    <row r="1555" spans="1:8" x14ac:dyDescent="0.3">
      <c r="A1555" s="13">
        <v>45359</v>
      </c>
      <c r="B1555" s="15" t="s">
        <v>21</v>
      </c>
      <c r="C1555" s="3">
        <v>4</v>
      </c>
      <c r="D1555" s="13">
        <f t="shared" si="47"/>
        <v>45363</v>
      </c>
      <c r="E1555" s="15">
        <v>300</v>
      </c>
      <c r="F1555" s="9">
        <v>0.09</v>
      </c>
      <c r="G1555" s="9">
        <v>0.09</v>
      </c>
      <c r="H1555" s="15">
        <f t="shared" si="48"/>
        <v>11700</v>
      </c>
    </row>
    <row r="1556" spans="1:8" x14ac:dyDescent="0.3">
      <c r="A1556" s="13">
        <v>45359</v>
      </c>
      <c r="B1556" s="15" t="s">
        <v>21</v>
      </c>
      <c r="C1556" s="3">
        <v>5</v>
      </c>
      <c r="D1556" s="13">
        <f t="shared" si="47"/>
        <v>45364</v>
      </c>
      <c r="E1556" s="15">
        <v>1400</v>
      </c>
      <c r="F1556" s="9">
        <v>0.09</v>
      </c>
      <c r="G1556" s="9">
        <v>0.09</v>
      </c>
      <c r="H1556" s="15">
        <f t="shared" si="48"/>
        <v>11700</v>
      </c>
    </row>
    <row r="1557" spans="1:8" x14ac:dyDescent="0.3">
      <c r="A1557" s="13">
        <v>45362</v>
      </c>
      <c r="B1557" s="15" t="s">
        <v>21</v>
      </c>
      <c r="C1557" s="3">
        <v>2</v>
      </c>
      <c r="D1557" s="13">
        <f t="shared" si="47"/>
        <v>45364</v>
      </c>
      <c r="E1557" s="15">
        <v>1000</v>
      </c>
      <c r="F1557" s="9">
        <v>0.09</v>
      </c>
      <c r="G1557" s="9">
        <v>0.09</v>
      </c>
      <c r="H1557" s="15">
        <f t="shared" si="48"/>
        <v>12800</v>
      </c>
    </row>
    <row r="1558" spans="1:8" x14ac:dyDescent="0.3">
      <c r="A1558" s="13">
        <v>45362</v>
      </c>
      <c r="B1558" s="15" t="s">
        <v>21</v>
      </c>
      <c r="C1558" s="3">
        <v>3</v>
      </c>
      <c r="D1558" s="13">
        <f t="shared" si="47"/>
        <v>45365</v>
      </c>
      <c r="E1558" s="15">
        <v>500</v>
      </c>
      <c r="F1558" s="9">
        <v>0.09</v>
      </c>
      <c r="G1558" s="9">
        <v>0.09</v>
      </c>
      <c r="H1558" s="15">
        <f t="shared" si="48"/>
        <v>12800</v>
      </c>
    </row>
    <row r="1559" spans="1:8" x14ac:dyDescent="0.3">
      <c r="A1559" s="13">
        <v>45362</v>
      </c>
      <c r="B1559" s="15" t="s">
        <v>21</v>
      </c>
      <c r="C1559" s="3">
        <v>4</v>
      </c>
      <c r="D1559" s="13">
        <f t="shared" si="47"/>
        <v>45366</v>
      </c>
      <c r="E1559" s="15">
        <v>5000</v>
      </c>
      <c r="F1559" s="9">
        <v>0.09</v>
      </c>
      <c r="G1559" s="9">
        <v>0.09</v>
      </c>
      <c r="H1559" s="15">
        <f t="shared" si="48"/>
        <v>12800</v>
      </c>
    </row>
    <row r="1560" spans="1:8" x14ac:dyDescent="0.3">
      <c r="A1560" s="13">
        <v>45362</v>
      </c>
      <c r="B1560" s="15" t="s">
        <v>21</v>
      </c>
      <c r="C1560" s="3">
        <v>7</v>
      </c>
      <c r="D1560" s="13">
        <f t="shared" si="47"/>
        <v>45369</v>
      </c>
      <c r="E1560" s="15">
        <v>1600</v>
      </c>
      <c r="F1560" s="9">
        <v>0.09</v>
      </c>
      <c r="G1560" s="9">
        <v>0.09</v>
      </c>
      <c r="H1560" s="15">
        <f t="shared" si="48"/>
        <v>12800</v>
      </c>
    </row>
    <row r="1561" spans="1:8" x14ac:dyDescent="0.3">
      <c r="A1561" s="13">
        <v>45363</v>
      </c>
      <c r="B1561" s="15" t="s">
        <v>21</v>
      </c>
      <c r="C1561" s="3">
        <v>2</v>
      </c>
      <c r="D1561" s="13">
        <f t="shared" si="47"/>
        <v>45365</v>
      </c>
      <c r="E1561" s="15">
        <v>800</v>
      </c>
      <c r="F1561" s="9">
        <v>0.09</v>
      </c>
      <c r="G1561" s="9">
        <v>0.09</v>
      </c>
      <c r="H1561" s="15">
        <f t="shared" si="48"/>
        <v>18300</v>
      </c>
    </row>
    <row r="1562" spans="1:8" x14ac:dyDescent="0.3">
      <c r="A1562" s="13">
        <v>45363</v>
      </c>
      <c r="B1562" s="15" t="s">
        <v>21</v>
      </c>
      <c r="C1562" s="3">
        <v>6</v>
      </c>
      <c r="D1562" s="13">
        <f t="shared" si="47"/>
        <v>45369</v>
      </c>
      <c r="E1562" s="15">
        <v>5300</v>
      </c>
      <c r="F1562" s="9">
        <v>0.09</v>
      </c>
      <c r="G1562" s="9">
        <v>0.09</v>
      </c>
      <c r="H1562" s="15">
        <f t="shared" si="48"/>
        <v>18300</v>
      </c>
    </row>
    <row r="1563" spans="1:8" x14ac:dyDescent="0.3">
      <c r="A1563" s="13">
        <v>45364</v>
      </c>
      <c r="B1563" s="15" t="s">
        <v>21</v>
      </c>
      <c r="C1563" s="3">
        <v>5</v>
      </c>
      <c r="D1563" s="13">
        <f t="shared" si="47"/>
        <v>45369</v>
      </c>
      <c r="E1563" s="15">
        <v>1200</v>
      </c>
      <c r="F1563" s="9">
        <v>0.09</v>
      </c>
      <c r="G1563" s="9">
        <v>0.09</v>
      </c>
      <c r="H1563" s="15">
        <f t="shared" si="48"/>
        <v>15400</v>
      </c>
    </row>
    <row r="1564" spans="1:8" x14ac:dyDescent="0.3">
      <c r="A1564" s="13">
        <v>45365</v>
      </c>
      <c r="B1564" s="15" t="s">
        <v>21</v>
      </c>
      <c r="C1564" s="3">
        <v>5</v>
      </c>
      <c r="D1564" s="13">
        <f t="shared" si="47"/>
        <v>45370</v>
      </c>
      <c r="E1564" s="15">
        <v>1000</v>
      </c>
      <c r="F1564" s="9">
        <v>0.09</v>
      </c>
      <c r="G1564" s="9">
        <v>0.09</v>
      </c>
      <c r="H1564" s="15">
        <f t="shared" si="48"/>
        <v>15100</v>
      </c>
    </row>
    <row r="1565" spans="1:8" x14ac:dyDescent="0.3">
      <c r="A1565" s="13">
        <v>45366</v>
      </c>
      <c r="B1565" s="15" t="s">
        <v>21</v>
      </c>
      <c r="C1565" s="3">
        <v>4</v>
      </c>
      <c r="D1565" s="13">
        <f t="shared" si="47"/>
        <v>45370</v>
      </c>
      <c r="E1565" s="15">
        <v>500</v>
      </c>
      <c r="F1565" s="9">
        <v>0.09</v>
      </c>
      <c r="G1565" s="9">
        <v>0.09</v>
      </c>
      <c r="H1565" s="15">
        <f t="shared" si="48"/>
        <v>10600</v>
      </c>
    </row>
    <row r="1566" spans="1:8" x14ac:dyDescent="0.3">
      <c r="A1566" s="13">
        <v>45366</v>
      </c>
      <c r="B1566" s="15" t="s">
        <v>21</v>
      </c>
      <c r="C1566" s="3">
        <v>5</v>
      </c>
      <c r="D1566" s="13">
        <f t="shared" si="47"/>
        <v>45371</v>
      </c>
      <c r="E1566" s="15">
        <v>1000</v>
      </c>
      <c r="F1566" s="9">
        <v>0.09</v>
      </c>
      <c r="G1566" s="9">
        <v>0.09</v>
      </c>
      <c r="H1566" s="15">
        <f t="shared" si="48"/>
        <v>10600</v>
      </c>
    </row>
    <row r="1567" spans="1:8" x14ac:dyDescent="0.3">
      <c r="A1567" s="13">
        <v>45369</v>
      </c>
      <c r="B1567" s="15" t="s">
        <v>21</v>
      </c>
      <c r="C1567" s="3">
        <v>3</v>
      </c>
      <c r="D1567" s="13">
        <f t="shared" si="47"/>
        <v>45372</v>
      </c>
      <c r="E1567" s="15">
        <v>3100</v>
      </c>
      <c r="F1567" s="9">
        <v>0.09</v>
      </c>
      <c r="G1567" s="9">
        <v>0.09</v>
      </c>
      <c r="H1567" s="15">
        <f t="shared" si="48"/>
        <v>6400</v>
      </c>
    </row>
    <row r="1568" spans="1:8" x14ac:dyDescent="0.3">
      <c r="A1568" s="13">
        <v>45369</v>
      </c>
      <c r="B1568" s="15" t="s">
        <v>21</v>
      </c>
      <c r="C1568" s="3">
        <v>7</v>
      </c>
      <c r="D1568" s="13">
        <f t="shared" si="47"/>
        <v>45376</v>
      </c>
      <c r="E1568" s="15">
        <v>800</v>
      </c>
      <c r="F1568" s="9">
        <v>0.09</v>
      </c>
      <c r="G1568" s="9">
        <v>0.09</v>
      </c>
      <c r="H1568" s="15">
        <f t="shared" si="48"/>
        <v>6400</v>
      </c>
    </row>
    <row r="1569" spans="1:8" x14ac:dyDescent="0.3">
      <c r="A1569" s="13">
        <v>45370</v>
      </c>
      <c r="B1569" s="15" t="s">
        <v>21</v>
      </c>
      <c r="C1569" s="3">
        <v>3</v>
      </c>
      <c r="D1569" s="13">
        <f t="shared" si="47"/>
        <v>45373</v>
      </c>
      <c r="E1569" s="15">
        <v>2200</v>
      </c>
      <c r="F1569" s="9">
        <v>0.09</v>
      </c>
      <c r="G1569" s="9">
        <v>0.09</v>
      </c>
      <c r="H1569" s="15">
        <f t="shared" si="48"/>
        <v>8700</v>
      </c>
    </row>
    <row r="1570" spans="1:8" x14ac:dyDescent="0.3">
      <c r="A1570" s="13">
        <v>45370</v>
      </c>
      <c r="B1570" s="15" t="s">
        <v>21</v>
      </c>
      <c r="C1570" s="3">
        <v>6</v>
      </c>
      <c r="D1570" s="13">
        <f t="shared" si="47"/>
        <v>45376</v>
      </c>
      <c r="E1570" s="15">
        <v>1600</v>
      </c>
      <c r="F1570" s="9">
        <v>0.09</v>
      </c>
      <c r="G1570" s="9">
        <v>0.09</v>
      </c>
      <c r="H1570" s="15">
        <f t="shared" si="48"/>
        <v>8700</v>
      </c>
    </row>
    <row r="1571" spans="1:8" x14ac:dyDescent="0.3">
      <c r="A1571" s="13">
        <v>45371</v>
      </c>
      <c r="B1571" s="15" t="s">
        <v>21</v>
      </c>
      <c r="C1571" s="3">
        <v>2</v>
      </c>
      <c r="D1571" s="13">
        <f t="shared" si="47"/>
        <v>45373</v>
      </c>
      <c r="E1571" s="15">
        <v>1000</v>
      </c>
      <c r="F1571" s="9">
        <v>0.09</v>
      </c>
      <c r="G1571" s="9">
        <v>0.09</v>
      </c>
      <c r="H1571" s="15">
        <f t="shared" si="48"/>
        <v>10900</v>
      </c>
    </row>
    <row r="1572" spans="1:8" x14ac:dyDescent="0.3">
      <c r="A1572" s="13">
        <v>45371</v>
      </c>
      <c r="B1572" s="15" t="s">
        <v>21</v>
      </c>
      <c r="C1572" s="3">
        <v>5</v>
      </c>
      <c r="D1572" s="13">
        <f t="shared" si="47"/>
        <v>45376</v>
      </c>
      <c r="E1572" s="15">
        <v>2200</v>
      </c>
      <c r="F1572" s="9">
        <v>0.09</v>
      </c>
      <c r="G1572" s="9">
        <v>0.09</v>
      </c>
      <c r="H1572" s="15">
        <f t="shared" si="48"/>
        <v>10900</v>
      </c>
    </row>
    <row r="1573" spans="1:8" x14ac:dyDescent="0.3">
      <c r="A1573" s="13">
        <v>45372</v>
      </c>
      <c r="B1573" s="15" t="s">
        <v>21</v>
      </c>
      <c r="C1573" s="3">
        <v>4</v>
      </c>
      <c r="D1573" s="13">
        <f t="shared" si="47"/>
        <v>45376</v>
      </c>
      <c r="E1573" s="15">
        <v>1400</v>
      </c>
      <c r="F1573" s="9">
        <v>0.09</v>
      </c>
      <c r="G1573" s="9">
        <v>0.09</v>
      </c>
      <c r="H1573" s="15">
        <f t="shared" si="48"/>
        <v>9400</v>
      </c>
    </row>
    <row r="1574" spans="1:8" x14ac:dyDescent="0.3">
      <c r="A1574" s="13">
        <v>45372</v>
      </c>
      <c r="B1574" s="15" t="s">
        <v>21</v>
      </c>
      <c r="C1574" s="3">
        <v>5</v>
      </c>
      <c r="D1574" s="13">
        <f t="shared" si="47"/>
        <v>45377</v>
      </c>
      <c r="E1574" s="15">
        <v>200</v>
      </c>
      <c r="F1574" s="9">
        <v>0.09</v>
      </c>
      <c r="G1574" s="9">
        <v>0.09</v>
      </c>
      <c r="H1574" s="15">
        <f t="shared" si="48"/>
        <v>9400</v>
      </c>
    </row>
    <row r="1575" spans="1:8" x14ac:dyDescent="0.3">
      <c r="A1575" s="13">
        <v>45373</v>
      </c>
      <c r="B1575" s="15" t="s">
        <v>21</v>
      </c>
      <c r="C1575" s="3">
        <v>4</v>
      </c>
      <c r="D1575" s="13">
        <f t="shared" si="47"/>
        <v>45377</v>
      </c>
      <c r="E1575" s="15">
        <v>2400</v>
      </c>
      <c r="F1575" s="9">
        <v>0.09</v>
      </c>
      <c r="G1575" s="9">
        <v>0.09</v>
      </c>
      <c r="H1575" s="15">
        <f t="shared" si="48"/>
        <v>8800</v>
      </c>
    </row>
    <row r="1576" spans="1:8" x14ac:dyDescent="0.3">
      <c r="A1576" s="13">
        <v>45373</v>
      </c>
      <c r="B1576" s="15" t="s">
        <v>21</v>
      </c>
      <c r="C1576" s="3">
        <v>10</v>
      </c>
      <c r="D1576" s="13">
        <f t="shared" si="47"/>
        <v>45383</v>
      </c>
      <c r="E1576" s="15">
        <v>200</v>
      </c>
      <c r="F1576" s="9">
        <v>0.09</v>
      </c>
      <c r="G1576" s="9">
        <v>0.09</v>
      </c>
      <c r="H1576" s="15">
        <f t="shared" si="48"/>
        <v>8800</v>
      </c>
    </row>
    <row r="1577" spans="1:8" x14ac:dyDescent="0.3">
      <c r="A1577" s="13">
        <v>45376</v>
      </c>
      <c r="B1577" s="15" t="s">
        <v>21</v>
      </c>
      <c r="C1577" s="3">
        <v>1</v>
      </c>
      <c r="D1577" s="13">
        <f t="shared" si="47"/>
        <v>45377</v>
      </c>
      <c r="E1577" s="15">
        <v>500</v>
      </c>
      <c r="F1577" s="9">
        <v>0.09</v>
      </c>
      <c r="G1577" s="9">
        <v>0.09</v>
      </c>
      <c r="H1577" s="15">
        <f t="shared" si="48"/>
        <v>5100</v>
      </c>
    </row>
    <row r="1578" spans="1:8" x14ac:dyDescent="0.3">
      <c r="A1578" s="13">
        <v>45376</v>
      </c>
      <c r="B1578" s="15" t="s">
        <v>21</v>
      </c>
      <c r="C1578" s="3">
        <v>2</v>
      </c>
      <c r="D1578" s="13">
        <f t="shared" si="47"/>
        <v>45378</v>
      </c>
      <c r="E1578" s="15">
        <v>400</v>
      </c>
      <c r="F1578" s="9">
        <v>0.09</v>
      </c>
      <c r="G1578" s="9">
        <v>0.09</v>
      </c>
      <c r="H1578" s="15">
        <f t="shared" si="48"/>
        <v>5100</v>
      </c>
    </row>
    <row r="1579" spans="1:8" x14ac:dyDescent="0.3">
      <c r="A1579" s="13">
        <v>45376</v>
      </c>
      <c r="B1579" s="15" t="s">
        <v>21</v>
      </c>
      <c r="C1579" s="3">
        <v>7</v>
      </c>
      <c r="D1579" s="13">
        <f t="shared" si="47"/>
        <v>45383</v>
      </c>
      <c r="E1579" s="15">
        <v>1400</v>
      </c>
      <c r="F1579" s="9">
        <v>0.09</v>
      </c>
      <c r="G1579" s="9">
        <v>0.09</v>
      </c>
      <c r="H1579" s="15">
        <f t="shared" si="48"/>
        <v>5100</v>
      </c>
    </row>
    <row r="1580" spans="1:8" x14ac:dyDescent="0.3">
      <c r="A1580" s="13">
        <v>45377</v>
      </c>
      <c r="B1580" s="15" t="s">
        <v>21</v>
      </c>
      <c r="C1580" s="3">
        <v>1</v>
      </c>
      <c r="D1580" s="13">
        <f t="shared" si="47"/>
        <v>45378</v>
      </c>
      <c r="E1580" s="15">
        <v>500</v>
      </c>
      <c r="F1580" s="9">
        <v>0.09</v>
      </c>
      <c r="G1580" s="9">
        <v>0.09</v>
      </c>
      <c r="H1580" s="15">
        <f t="shared" si="48"/>
        <v>1700</v>
      </c>
    </row>
    <row r="1581" spans="1:8" x14ac:dyDescent="0.3">
      <c r="A1581" s="13">
        <v>45377</v>
      </c>
      <c r="B1581" s="15" t="s">
        <v>21</v>
      </c>
      <c r="C1581" s="3">
        <v>1</v>
      </c>
      <c r="D1581" s="13">
        <f t="shared" ref="D1581:D1610" si="49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8"/>
        <v>1700</v>
      </c>
    </row>
    <row r="1582" spans="1:8" x14ac:dyDescent="0.3">
      <c r="A1582" s="13">
        <v>45378</v>
      </c>
      <c r="B1582" s="15" t="s">
        <v>21</v>
      </c>
      <c r="C1582" s="3">
        <v>5</v>
      </c>
      <c r="D1582" s="13">
        <f t="shared" si="49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8"/>
        <v>665</v>
      </c>
    </row>
    <row r="1583" spans="1:8" x14ac:dyDescent="0.3">
      <c r="A1583" s="13">
        <v>45378</v>
      </c>
      <c r="B1583" s="15" t="s">
        <v>21</v>
      </c>
      <c r="C1583" s="3">
        <v>5</v>
      </c>
      <c r="D1583" s="13">
        <f t="shared" si="49"/>
        <v>45383</v>
      </c>
      <c r="E1583" s="15">
        <v>500</v>
      </c>
      <c r="F1583" s="9">
        <v>0.09</v>
      </c>
      <c r="G1583" s="9">
        <v>0.09</v>
      </c>
      <c r="H1583" s="15">
        <f t="shared" si="48"/>
        <v>665</v>
      </c>
    </row>
    <row r="1584" spans="1:8" x14ac:dyDescent="0.3">
      <c r="A1584" s="13">
        <v>45383</v>
      </c>
      <c r="B1584" s="15" t="s">
        <v>21</v>
      </c>
      <c r="C1584" s="3">
        <v>1</v>
      </c>
      <c r="D1584" s="13">
        <f t="shared" si="49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8"/>
        <v>-2300</v>
      </c>
    </row>
    <row r="1585" spans="1:12" x14ac:dyDescent="0.3">
      <c r="A1585" s="13">
        <v>45383</v>
      </c>
      <c r="B1585" s="15" t="s">
        <v>21</v>
      </c>
      <c r="C1585" s="3">
        <v>2</v>
      </c>
      <c r="D1585" s="13">
        <f t="shared" si="49"/>
        <v>45385</v>
      </c>
      <c r="E1585" s="15">
        <v>200</v>
      </c>
      <c r="F1585" s="9">
        <v>0.09</v>
      </c>
      <c r="G1585" s="9">
        <v>0.09</v>
      </c>
      <c r="H1585" s="15">
        <f t="shared" si="48"/>
        <v>-2300</v>
      </c>
    </row>
    <row r="1586" spans="1:12" x14ac:dyDescent="0.3">
      <c r="A1586" s="13">
        <v>45384</v>
      </c>
      <c r="B1586" s="15" t="s">
        <v>21</v>
      </c>
      <c r="C1586" s="3">
        <v>1</v>
      </c>
      <c r="D1586" s="13">
        <f t="shared" si="49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8"/>
        <v>-1800</v>
      </c>
    </row>
    <row r="1587" spans="1:12" x14ac:dyDescent="0.3">
      <c r="A1587" s="13">
        <v>45387</v>
      </c>
      <c r="B1587" s="15" t="s">
        <v>21</v>
      </c>
      <c r="C1587" s="3">
        <v>4</v>
      </c>
      <c r="D1587" s="13">
        <f t="shared" si="49"/>
        <v>45391</v>
      </c>
      <c r="E1587" s="15">
        <v>2200</v>
      </c>
      <c r="F1587" s="9">
        <v>0.09</v>
      </c>
      <c r="G1587" s="9">
        <v>0.09</v>
      </c>
      <c r="H1587" s="15">
        <f t="shared" si="48"/>
        <v>2200</v>
      </c>
    </row>
    <row r="1588" spans="1:12" x14ac:dyDescent="0.3">
      <c r="A1588" s="13">
        <v>45390</v>
      </c>
      <c r="B1588" s="15" t="s">
        <v>21</v>
      </c>
      <c r="C1588" s="3">
        <v>2</v>
      </c>
      <c r="D1588" s="13">
        <f t="shared" si="49"/>
        <v>45392</v>
      </c>
      <c r="E1588" s="15">
        <v>800</v>
      </c>
      <c r="F1588" s="9">
        <v>0.09</v>
      </c>
      <c r="G1588" s="9">
        <v>0.09</v>
      </c>
      <c r="H1588" s="15">
        <f t="shared" si="48"/>
        <v>3000</v>
      </c>
    </row>
    <row r="1589" spans="1:12" x14ac:dyDescent="0.3">
      <c r="A1589" s="13">
        <v>45391</v>
      </c>
      <c r="B1589" s="15" t="s">
        <v>21</v>
      </c>
      <c r="C1589" s="3">
        <v>2</v>
      </c>
      <c r="D1589" s="13">
        <f t="shared" si="49"/>
        <v>45393</v>
      </c>
      <c r="E1589" s="15">
        <v>600</v>
      </c>
      <c r="F1589" s="9">
        <v>0.09</v>
      </c>
      <c r="G1589" s="9">
        <v>0.09</v>
      </c>
      <c r="H1589" s="15">
        <f t="shared" si="48"/>
        <v>1400</v>
      </c>
    </row>
    <row r="1590" spans="1:12" x14ac:dyDescent="0.3">
      <c r="A1590" s="13">
        <v>45393</v>
      </c>
      <c r="B1590" s="15" t="s">
        <v>21</v>
      </c>
      <c r="C1590" s="3">
        <v>6</v>
      </c>
      <c r="D1590" s="13">
        <f t="shared" si="49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8"/>
        <v>3000</v>
      </c>
    </row>
    <row r="1591" spans="1:12" x14ac:dyDescent="0.3">
      <c r="A1591" s="13">
        <v>45393</v>
      </c>
      <c r="B1591" s="15" t="s">
        <v>21</v>
      </c>
      <c r="C1591" s="3">
        <v>7</v>
      </c>
      <c r="D1591" s="13">
        <f t="shared" si="49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8"/>
        <v>3000</v>
      </c>
    </row>
    <row r="1592" spans="1:12" x14ac:dyDescent="0.3">
      <c r="A1592" s="13">
        <v>45394</v>
      </c>
      <c r="B1592" s="15" t="s">
        <v>21</v>
      </c>
      <c r="C1592" s="3">
        <v>5</v>
      </c>
      <c r="D1592" s="13">
        <f t="shared" si="49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8"/>
        <v>6500</v>
      </c>
    </row>
    <row r="1593" spans="1:12" x14ac:dyDescent="0.3">
      <c r="A1593" s="13">
        <v>45394</v>
      </c>
      <c r="B1593" s="15" t="s">
        <v>21</v>
      </c>
      <c r="C1593" s="3">
        <v>6</v>
      </c>
      <c r="D1593" s="13">
        <f t="shared" si="49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8"/>
        <v>6500</v>
      </c>
    </row>
    <row r="1594" spans="1:12" x14ac:dyDescent="0.3">
      <c r="A1594" s="13">
        <v>45394</v>
      </c>
      <c r="B1594" s="15" t="s">
        <v>21</v>
      </c>
      <c r="C1594" s="3">
        <v>7</v>
      </c>
      <c r="D1594" s="13">
        <f t="shared" si="49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8"/>
        <v>6500</v>
      </c>
      <c r="L1594" s="1" t="s">
        <v>1012</v>
      </c>
    </row>
    <row r="1595" spans="1:12" x14ac:dyDescent="0.3">
      <c r="A1595" s="13">
        <v>45397</v>
      </c>
      <c r="B1595" s="15" t="s">
        <v>21</v>
      </c>
      <c r="C1595" s="3">
        <v>8</v>
      </c>
      <c r="D1595" s="13">
        <f t="shared" si="49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8"/>
        <v>8900</v>
      </c>
    </row>
    <row r="1596" spans="1:12" x14ac:dyDescent="0.3">
      <c r="A1596" s="13">
        <v>45398</v>
      </c>
      <c r="B1596" s="15" t="s">
        <v>21</v>
      </c>
      <c r="C1596" s="3">
        <v>3</v>
      </c>
      <c r="D1596" s="13">
        <f t="shared" si="49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8"/>
        <v>9525</v>
      </c>
    </row>
    <row r="1597" spans="1:12" x14ac:dyDescent="0.3">
      <c r="A1597" s="13">
        <v>45398</v>
      </c>
      <c r="B1597" s="15" t="s">
        <v>21</v>
      </c>
      <c r="C1597" s="3">
        <v>7</v>
      </c>
      <c r="D1597" s="13">
        <f t="shared" si="49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8"/>
        <v>9525</v>
      </c>
    </row>
    <row r="1598" spans="1:12" x14ac:dyDescent="0.3">
      <c r="A1598" s="13">
        <v>45399</v>
      </c>
      <c r="B1598" s="15" t="s">
        <v>21</v>
      </c>
      <c r="C1598" s="3">
        <v>2</v>
      </c>
      <c r="D1598" s="13">
        <f t="shared" si="49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8"/>
        <v>9625</v>
      </c>
    </row>
    <row r="1599" spans="1:12" x14ac:dyDescent="0.3">
      <c r="A1599" s="13">
        <v>45399</v>
      </c>
      <c r="B1599" s="15" t="s">
        <v>21</v>
      </c>
      <c r="C1599" s="3">
        <v>6</v>
      </c>
      <c r="D1599" s="13">
        <f t="shared" si="49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8"/>
        <v>9625</v>
      </c>
    </row>
    <row r="1600" spans="1:12" x14ac:dyDescent="0.3">
      <c r="A1600" s="13">
        <v>45400</v>
      </c>
      <c r="B1600" s="15" t="s">
        <v>21</v>
      </c>
      <c r="C1600" s="3">
        <v>6</v>
      </c>
      <c r="D1600" s="13">
        <f t="shared" si="49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8"/>
        <v>8525</v>
      </c>
    </row>
    <row r="1601" spans="1:8" x14ac:dyDescent="0.3">
      <c r="A1601" s="13">
        <v>45400</v>
      </c>
      <c r="B1601" s="15" t="s">
        <v>21</v>
      </c>
      <c r="C1601" s="3">
        <v>7</v>
      </c>
      <c r="D1601" s="13">
        <f t="shared" si="49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8"/>
        <v>8525</v>
      </c>
    </row>
    <row r="1602" spans="1:8" x14ac:dyDescent="0.3">
      <c r="A1602" s="13">
        <v>45401</v>
      </c>
      <c r="B1602" s="15" t="s">
        <v>21</v>
      </c>
      <c r="C1602" s="3">
        <v>5</v>
      </c>
      <c r="D1602" s="13">
        <f t="shared" si="49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8"/>
        <v>8500</v>
      </c>
    </row>
    <row r="1603" spans="1:8" x14ac:dyDescent="0.3">
      <c r="A1603" s="13">
        <v>45405</v>
      </c>
      <c r="B1603" s="15" t="s">
        <v>21</v>
      </c>
      <c r="C1603" s="3">
        <v>1</v>
      </c>
      <c r="D1603" s="13">
        <f t="shared" si="49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8"/>
        <v>10200</v>
      </c>
    </row>
    <row r="1604" spans="1:8" x14ac:dyDescent="0.3">
      <c r="A1604" s="13">
        <v>45405</v>
      </c>
      <c r="B1604" s="15" t="s">
        <v>21</v>
      </c>
      <c r="C1604" s="3">
        <v>2</v>
      </c>
      <c r="D1604" s="13">
        <f t="shared" si="49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8"/>
        <v>10200</v>
      </c>
    </row>
    <row r="1605" spans="1:8" x14ac:dyDescent="0.3">
      <c r="A1605" s="13">
        <v>45405</v>
      </c>
      <c r="B1605" s="15" t="s">
        <v>21</v>
      </c>
      <c r="C1605" s="3">
        <v>3</v>
      </c>
      <c r="D1605" s="13">
        <f t="shared" si="49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8"/>
        <v>10200</v>
      </c>
    </row>
    <row r="1606" spans="1:8" x14ac:dyDescent="0.3">
      <c r="A1606" s="13">
        <v>45405</v>
      </c>
      <c r="B1606" s="15" t="s">
        <v>21</v>
      </c>
      <c r="C1606" s="3">
        <v>6</v>
      </c>
      <c r="D1606" s="13">
        <f t="shared" si="49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8"/>
        <v>10200</v>
      </c>
    </row>
    <row r="1607" spans="1:8" x14ac:dyDescent="0.3">
      <c r="A1607" s="13">
        <v>45406</v>
      </c>
      <c r="B1607" s="15" t="s">
        <v>21</v>
      </c>
      <c r="C1607" s="3">
        <v>2</v>
      </c>
      <c r="D1607" s="13">
        <f t="shared" si="49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8"/>
        <v>9500</v>
      </c>
    </row>
    <row r="1608" spans="1:8" x14ac:dyDescent="0.3">
      <c r="A1608" s="13">
        <v>45406</v>
      </c>
      <c r="B1608" s="15" t="s">
        <v>21</v>
      </c>
      <c r="C1608" s="3">
        <v>5</v>
      </c>
      <c r="D1608" s="13">
        <f t="shared" si="49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8"/>
        <v>9500</v>
      </c>
    </row>
    <row r="1609" spans="1:8" x14ac:dyDescent="0.3">
      <c r="A1609" s="13">
        <v>45408</v>
      </c>
      <c r="B1609" s="15" t="s">
        <v>21</v>
      </c>
      <c r="C1609" s="3">
        <v>3</v>
      </c>
      <c r="D1609" s="13">
        <f t="shared" si="49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8"/>
        <v>6500</v>
      </c>
    </row>
    <row r="1610" spans="1:8" x14ac:dyDescent="0.3">
      <c r="A1610" s="13">
        <v>45408</v>
      </c>
      <c r="B1610" s="15" t="s">
        <v>21</v>
      </c>
      <c r="C1610" s="3">
        <v>3</v>
      </c>
      <c r="D1610" s="13">
        <f t="shared" si="49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50">+SUMIFS($E$10:$E$4506,$A$10:$A$4506,"&lt;="&amp;A1610,$D$10:$D$4506,"&gt;"&amp;A1610)</f>
        <v>6500</v>
      </c>
    </row>
    <row r="1611" spans="1:8" x14ac:dyDescent="0.3">
      <c r="A1611" s="13">
        <v>45408</v>
      </c>
      <c r="B1611" s="15" t="s">
        <v>21</v>
      </c>
      <c r="C1611" s="3">
        <v>4</v>
      </c>
      <c r="D1611" s="13">
        <f t="shared" ref="D1611:D1697" si="51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50"/>
        <v>6500</v>
      </c>
    </row>
    <row r="1612" spans="1:8" x14ac:dyDescent="0.3">
      <c r="A1612" s="13">
        <v>45411</v>
      </c>
      <c r="B1612" s="15" t="s">
        <v>21</v>
      </c>
      <c r="C1612" s="3">
        <v>1</v>
      </c>
      <c r="D1612" s="13">
        <f t="shared" si="51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50"/>
        <v>5700</v>
      </c>
    </row>
    <row r="1613" spans="1:8" x14ac:dyDescent="0.3">
      <c r="A1613" s="13">
        <v>45411</v>
      </c>
      <c r="B1613" s="15" t="s">
        <v>21</v>
      </c>
      <c r="C1613" s="3">
        <v>3</v>
      </c>
      <c r="D1613" s="13">
        <f t="shared" si="51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50"/>
        <v>5700</v>
      </c>
    </row>
    <row r="1614" spans="1:8" x14ac:dyDescent="0.3">
      <c r="A1614" s="13">
        <v>45412</v>
      </c>
      <c r="B1614" s="15" t="s">
        <v>21</v>
      </c>
      <c r="C1614" s="3">
        <v>2</v>
      </c>
      <c r="D1614" s="13">
        <f t="shared" si="51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50"/>
        <v>-1000</v>
      </c>
    </row>
    <row r="1615" spans="1:8" x14ac:dyDescent="0.3">
      <c r="A1615" s="13">
        <v>45414</v>
      </c>
      <c r="B1615" s="15" t="s">
        <v>21</v>
      </c>
      <c r="C1615" s="3">
        <v>1</v>
      </c>
      <c r="D1615" s="13">
        <f t="shared" si="51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50"/>
        <v>-2500</v>
      </c>
    </row>
    <row r="1616" spans="1:8" x14ac:dyDescent="0.3">
      <c r="A1616" s="13">
        <v>45418</v>
      </c>
      <c r="B1616" s="15" t="s">
        <v>21</v>
      </c>
      <c r="C1616" s="3">
        <v>2</v>
      </c>
      <c r="D1616" s="13">
        <f t="shared" si="51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50"/>
        <v>600</v>
      </c>
    </row>
    <row r="1617" spans="1:8" x14ac:dyDescent="0.3">
      <c r="A1617" s="13">
        <v>45419</v>
      </c>
      <c r="B1617" s="15" t="s">
        <v>21</v>
      </c>
      <c r="C1617" s="3">
        <v>6</v>
      </c>
      <c r="D1617" s="13">
        <f t="shared" si="51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50"/>
        <v>1000</v>
      </c>
    </row>
    <row r="1618" spans="1:8" x14ac:dyDescent="0.3">
      <c r="A1618" s="13">
        <v>45420</v>
      </c>
      <c r="B1618" s="15" t="s">
        <v>21</v>
      </c>
      <c r="C1618" s="3">
        <v>2</v>
      </c>
      <c r="D1618" s="13">
        <f t="shared" si="51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50"/>
        <v>3800</v>
      </c>
    </row>
    <row r="1619" spans="1:8" x14ac:dyDescent="0.3">
      <c r="A1619" s="13">
        <v>45420</v>
      </c>
      <c r="B1619" s="15" t="s">
        <v>21</v>
      </c>
      <c r="C1619" s="3">
        <v>5</v>
      </c>
      <c r="D1619" s="13">
        <f t="shared" si="51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50"/>
        <v>3800</v>
      </c>
    </row>
    <row r="1620" spans="1:8" x14ac:dyDescent="0.3">
      <c r="A1620" s="13">
        <v>45420</v>
      </c>
      <c r="B1620" s="15" t="s">
        <v>21</v>
      </c>
      <c r="C1620" s="3">
        <v>12</v>
      </c>
      <c r="D1620" s="13">
        <f t="shared" si="51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50"/>
        <v>3800</v>
      </c>
    </row>
    <row r="1621" spans="1:8" x14ac:dyDescent="0.3">
      <c r="A1621" s="13">
        <v>45421</v>
      </c>
      <c r="B1621" s="15" t="s">
        <v>21</v>
      </c>
      <c r="C1621" s="3">
        <v>4</v>
      </c>
      <c r="D1621" s="13">
        <f t="shared" si="51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50"/>
        <v>6600</v>
      </c>
    </row>
    <row r="1622" spans="1:8" x14ac:dyDescent="0.3">
      <c r="A1622" s="13">
        <v>45422</v>
      </c>
      <c r="B1622" s="15" t="s">
        <v>21</v>
      </c>
      <c r="C1622" s="3">
        <v>4</v>
      </c>
      <c r="D1622" s="13">
        <f t="shared" si="51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50"/>
        <v>12500</v>
      </c>
    </row>
    <row r="1623" spans="1:8" x14ac:dyDescent="0.3">
      <c r="A1623" s="13">
        <v>45422</v>
      </c>
      <c r="B1623" s="15" t="s">
        <v>21</v>
      </c>
      <c r="C1623" s="3">
        <v>5</v>
      </c>
      <c r="D1623" s="13">
        <f t="shared" si="51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50"/>
        <v>12500</v>
      </c>
    </row>
    <row r="1624" spans="1:8" x14ac:dyDescent="0.3">
      <c r="A1624" s="13">
        <v>45422</v>
      </c>
      <c r="B1624" s="15" t="s">
        <v>21</v>
      </c>
      <c r="C1624" s="3">
        <v>7</v>
      </c>
      <c r="D1624" s="13">
        <f t="shared" si="51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50"/>
        <v>12500</v>
      </c>
    </row>
    <row r="1625" spans="1:8" x14ac:dyDescent="0.3">
      <c r="A1625" s="13">
        <v>45425</v>
      </c>
      <c r="B1625" s="15" t="s">
        <v>21</v>
      </c>
      <c r="C1625" s="3">
        <v>2</v>
      </c>
      <c r="D1625" s="13">
        <f t="shared" si="51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50"/>
        <v>12200</v>
      </c>
    </row>
    <row r="1626" spans="1:8" x14ac:dyDescent="0.3">
      <c r="A1626" s="13">
        <v>45425</v>
      </c>
      <c r="B1626" s="15" t="s">
        <v>21</v>
      </c>
      <c r="C1626" s="3">
        <v>3</v>
      </c>
      <c r="D1626" s="13">
        <f t="shared" si="51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50"/>
        <v>12200</v>
      </c>
    </row>
    <row r="1627" spans="1:8" x14ac:dyDescent="0.3">
      <c r="A1627" s="13">
        <v>45425</v>
      </c>
      <c r="B1627" s="15" t="s">
        <v>21</v>
      </c>
      <c r="C1627" s="3">
        <v>4</v>
      </c>
      <c r="D1627" s="13">
        <f t="shared" si="51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50"/>
        <v>12200</v>
      </c>
    </row>
    <row r="1628" spans="1:8" x14ac:dyDescent="0.3">
      <c r="A1628" s="13">
        <v>45426</v>
      </c>
      <c r="B1628" s="15" t="s">
        <v>21</v>
      </c>
      <c r="C1628" s="3">
        <v>2</v>
      </c>
      <c r="D1628" s="13">
        <f t="shared" si="51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50"/>
        <v>12900</v>
      </c>
    </row>
    <row r="1629" spans="1:8" x14ac:dyDescent="0.3">
      <c r="A1629" s="13">
        <v>45426</v>
      </c>
      <c r="B1629" s="15" t="s">
        <v>21</v>
      </c>
      <c r="C1629" s="3">
        <v>6</v>
      </c>
      <c r="D1629" s="13">
        <f t="shared" si="51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50"/>
        <v>12900</v>
      </c>
    </row>
    <row r="1630" spans="1:8" x14ac:dyDescent="0.3">
      <c r="A1630" s="13">
        <v>45427</v>
      </c>
      <c r="B1630" s="15" t="s">
        <v>21</v>
      </c>
      <c r="C1630" s="3">
        <v>2</v>
      </c>
      <c r="D1630" s="13">
        <f t="shared" si="51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50"/>
        <v>13100</v>
      </c>
    </row>
    <row r="1631" spans="1:8" x14ac:dyDescent="0.3">
      <c r="A1631" s="13">
        <v>45428</v>
      </c>
      <c r="B1631" s="15" t="s">
        <v>21</v>
      </c>
      <c r="C1631" s="3">
        <v>4</v>
      </c>
      <c r="D1631" s="13">
        <f t="shared" si="51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50"/>
        <v>13700</v>
      </c>
    </row>
    <row r="1632" spans="1:8" x14ac:dyDescent="0.3">
      <c r="A1632" s="13">
        <v>45429</v>
      </c>
      <c r="B1632" s="15" t="s">
        <v>21</v>
      </c>
      <c r="C1632" s="3">
        <v>4</v>
      </c>
      <c r="D1632" s="13">
        <f t="shared" si="51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50"/>
        <v>9400</v>
      </c>
    </row>
    <row r="1633" spans="1:8" x14ac:dyDescent="0.3">
      <c r="A1633" s="13">
        <v>45429</v>
      </c>
      <c r="B1633" s="15" t="s">
        <v>21</v>
      </c>
      <c r="C1633" s="3">
        <v>5</v>
      </c>
      <c r="D1633" s="13">
        <f t="shared" si="51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50"/>
        <v>9400</v>
      </c>
    </row>
    <row r="1634" spans="1:8" x14ac:dyDescent="0.3">
      <c r="A1634" s="13">
        <v>45429</v>
      </c>
      <c r="B1634" s="15" t="s">
        <v>21</v>
      </c>
      <c r="C1634" s="3">
        <v>6</v>
      </c>
      <c r="D1634" s="13">
        <f t="shared" si="51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50"/>
        <v>9400</v>
      </c>
    </row>
    <row r="1635" spans="1:8" x14ac:dyDescent="0.3">
      <c r="A1635" s="13">
        <v>45429</v>
      </c>
      <c r="B1635" s="15" t="s">
        <v>21</v>
      </c>
      <c r="C1635" s="3">
        <v>7</v>
      </c>
      <c r="D1635" s="13">
        <f t="shared" si="51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50"/>
        <v>9400</v>
      </c>
    </row>
    <row r="1636" spans="1:8" x14ac:dyDescent="0.3">
      <c r="A1636" s="13">
        <v>45432</v>
      </c>
      <c r="B1636" s="15" t="s">
        <v>21</v>
      </c>
      <c r="C1636" s="3">
        <v>1</v>
      </c>
      <c r="D1636" s="13">
        <f t="shared" si="51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50"/>
        <v>9100</v>
      </c>
    </row>
    <row r="1637" spans="1:8" x14ac:dyDescent="0.3">
      <c r="A1637" s="13">
        <v>45432</v>
      </c>
      <c r="B1637" s="15" t="s">
        <v>21</v>
      </c>
      <c r="C1637" s="3">
        <v>2</v>
      </c>
      <c r="D1637" s="13">
        <f t="shared" si="51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50"/>
        <v>9100</v>
      </c>
    </row>
    <row r="1638" spans="1:8" x14ac:dyDescent="0.3">
      <c r="A1638" s="13">
        <v>45432</v>
      </c>
      <c r="B1638" s="15" t="s">
        <v>21</v>
      </c>
      <c r="C1638" s="3">
        <v>3</v>
      </c>
      <c r="D1638" s="13">
        <f t="shared" si="51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50"/>
        <v>9100</v>
      </c>
    </row>
    <row r="1639" spans="1:8" x14ac:dyDescent="0.3">
      <c r="A1639" s="13">
        <v>45432</v>
      </c>
      <c r="B1639" s="15" t="s">
        <v>21</v>
      </c>
      <c r="C1639" s="3">
        <v>4</v>
      </c>
      <c r="D1639" s="13">
        <f t="shared" si="51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50"/>
        <v>9100</v>
      </c>
    </row>
    <row r="1640" spans="1:8" x14ac:dyDescent="0.3">
      <c r="A1640" s="13">
        <v>45433</v>
      </c>
      <c r="B1640" s="15" t="s">
        <v>21</v>
      </c>
      <c r="C1640" s="3">
        <v>1</v>
      </c>
      <c r="D1640" s="13">
        <f t="shared" si="51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50"/>
        <v>11700</v>
      </c>
    </row>
    <row r="1641" spans="1:8" x14ac:dyDescent="0.3">
      <c r="A1641" s="13">
        <v>45433</v>
      </c>
      <c r="B1641" s="15" t="s">
        <v>21</v>
      </c>
      <c r="C1641" s="3">
        <v>2</v>
      </c>
      <c r="D1641" s="13">
        <f t="shared" si="51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50"/>
        <v>11700</v>
      </c>
    </row>
    <row r="1642" spans="1:8" x14ac:dyDescent="0.3">
      <c r="A1642" s="13">
        <v>45433</v>
      </c>
      <c r="B1642" s="15" t="s">
        <v>21</v>
      </c>
      <c r="C1642" s="3">
        <v>3</v>
      </c>
      <c r="D1642" s="13">
        <f t="shared" si="51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50"/>
        <v>11700</v>
      </c>
    </row>
    <row r="1643" spans="1:8" x14ac:dyDescent="0.3">
      <c r="A1643" s="13">
        <v>45433</v>
      </c>
      <c r="B1643" s="15" t="s">
        <v>21</v>
      </c>
      <c r="C1643" s="3">
        <v>6</v>
      </c>
      <c r="D1643" s="13">
        <f t="shared" si="51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50"/>
        <v>11700</v>
      </c>
    </row>
    <row r="1644" spans="1:8" x14ac:dyDescent="0.3">
      <c r="A1644" s="13">
        <v>45433</v>
      </c>
      <c r="B1644" s="15" t="s">
        <v>21</v>
      </c>
      <c r="C1644" s="3">
        <v>7</v>
      </c>
      <c r="D1644" s="13">
        <f t="shared" si="51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50"/>
        <v>11700</v>
      </c>
    </row>
    <row r="1645" spans="1:8" x14ac:dyDescent="0.3">
      <c r="A1645" s="13">
        <v>45433</v>
      </c>
      <c r="B1645" s="15" t="s">
        <v>21</v>
      </c>
      <c r="C1645" s="3">
        <v>10</v>
      </c>
      <c r="D1645" s="13">
        <f t="shared" si="51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50"/>
        <v>11700</v>
      </c>
    </row>
    <row r="1646" spans="1:8" x14ac:dyDescent="0.3">
      <c r="A1646" s="13">
        <v>45434</v>
      </c>
      <c r="B1646" s="15" t="s">
        <v>21</v>
      </c>
      <c r="C1646" s="3">
        <v>1</v>
      </c>
      <c r="D1646" s="13">
        <f t="shared" si="51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50"/>
        <v>12500</v>
      </c>
    </row>
    <row r="1647" spans="1:8" x14ac:dyDescent="0.3">
      <c r="A1647" s="13">
        <v>45434</v>
      </c>
      <c r="B1647" s="15" t="s">
        <v>21</v>
      </c>
      <c r="C1647" s="3">
        <v>2</v>
      </c>
      <c r="D1647" s="13">
        <f t="shared" si="51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50"/>
        <v>12500</v>
      </c>
    </row>
    <row r="1648" spans="1:8" x14ac:dyDescent="0.3">
      <c r="A1648" s="13">
        <v>45434</v>
      </c>
      <c r="B1648" s="15" t="s">
        <v>21</v>
      </c>
      <c r="C1648" s="3">
        <v>5</v>
      </c>
      <c r="D1648" s="13">
        <f t="shared" si="51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50"/>
        <v>12500</v>
      </c>
    </row>
    <row r="1649" spans="1:8" x14ac:dyDescent="0.3">
      <c r="A1649" s="13">
        <v>45434</v>
      </c>
      <c r="B1649" s="15" t="s">
        <v>21</v>
      </c>
      <c r="C1649" s="3">
        <v>9</v>
      </c>
      <c r="D1649" s="13">
        <f t="shared" si="51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50"/>
        <v>12500</v>
      </c>
    </row>
    <row r="1650" spans="1:8" x14ac:dyDescent="0.3">
      <c r="A1650" s="13">
        <v>45436</v>
      </c>
      <c r="B1650" s="15" t="s">
        <v>21</v>
      </c>
      <c r="C1650" s="3">
        <v>3</v>
      </c>
      <c r="D1650" s="13">
        <f t="shared" si="51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50"/>
        <v>-1300</v>
      </c>
    </row>
    <row r="1651" spans="1:8" x14ac:dyDescent="0.3">
      <c r="A1651" s="13">
        <v>45439</v>
      </c>
      <c r="B1651" s="15" t="s">
        <v>21</v>
      </c>
      <c r="C1651" s="3">
        <v>2</v>
      </c>
      <c r="D1651" s="13">
        <f t="shared" si="51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50"/>
        <v>1300</v>
      </c>
    </row>
    <row r="1652" spans="1:8" x14ac:dyDescent="0.3">
      <c r="A1652" s="13">
        <v>45440</v>
      </c>
      <c r="B1652" s="15" t="s">
        <v>21</v>
      </c>
      <c r="C1652" s="3">
        <v>2</v>
      </c>
      <c r="D1652" s="13">
        <f t="shared" si="51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50"/>
        <v>1600</v>
      </c>
    </row>
    <row r="1653" spans="1:8" x14ac:dyDescent="0.3">
      <c r="A1653" s="13">
        <v>45442</v>
      </c>
      <c r="B1653" s="15" t="s">
        <v>21</v>
      </c>
      <c r="C1653" s="3">
        <v>1</v>
      </c>
      <c r="D1653" s="13">
        <f t="shared" si="51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50"/>
        <v>700</v>
      </c>
    </row>
    <row r="1654" spans="1:8" x14ac:dyDescent="0.3">
      <c r="A1654" s="13">
        <v>45443</v>
      </c>
      <c r="B1654" s="15" t="s">
        <v>21</v>
      </c>
      <c r="C1654" s="3">
        <v>3</v>
      </c>
      <c r="D1654" s="13">
        <f t="shared" si="51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50"/>
        <v>-1000</v>
      </c>
    </row>
    <row r="1655" spans="1:8" x14ac:dyDescent="0.3">
      <c r="A1655" s="13">
        <v>45449</v>
      </c>
      <c r="B1655" s="15" t="s">
        <v>21</v>
      </c>
      <c r="C1655" s="3">
        <v>4</v>
      </c>
      <c r="D1655" s="13">
        <f t="shared" si="51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50"/>
        <v>200</v>
      </c>
    </row>
    <row r="1656" spans="1:8" x14ac:dyDescent="0.3">
      <c r="A1656" s="13">
        <v>45450</v>
      </c>
      <c r="B1656" s="15" t="s">
        <v>21</v>
      </c>
      <c r="C1656" s="3">
        <v>4</v>
      </c>
      <c r="D1656" s="13">
        <f t="shared" si="51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50"/>
        <v>3400</v>
      </c>
    </row>
    <row r="1657" spans="1:8" x14ac:dyDescent="0.3">
      <c r="A1657" s="13">
        <v>45450</v>
      </c>
      <c r="B1657" s="15" t="s">
        <v>21</v>
      </c>
      <c r="C1657" s="3">
        <v>4</v>
      </c>
      <c r="D1657" s="13">
        <f t="shared" si="51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50"/>
        <v>3400</v>
      </c>
    </row>
    <row r="1658" spans="1:8" x14ac:dyDescent="0.3">
      <c r="A1658" s="13">
        <v>45450</v>
      </c>
      <c r="B1658" s="15" t="s">
        <v>21</v>
      </c>
      <c r="C1658" s="3">
        <v>5</v>
      </c>
      <c r="D1658" s="13">
        <f t="shared" si="51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50"/>
        <v>3400</v>
      </c>
    </row>
    <row r="1659" spans="1:8" x14ac:dyDescent="0.3">
      <c r="A1659" s="13">
        <v>45450</v>
      </c>
      <c r="B1659" s="15" t="s">
        <v>21</v>
      </c>
      <c r="C1659" s="3">
        <v>10</v>
      </c>
      <c r="D1659" s="13">
        <f t="shared" si="51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50"/>
        <v>3400</v>
      </c>
    </row>
    <row r="1660" spans="1:8" x14ac:dyDescent="0.3">
      <c r="A1660" s="13">
        <v>45453</v>
      </c>
      <c r="B1660" s="15" t="s">
        <v>21</v>
      </c>
      <c r="C1660" s="3">
        <v>2</v>
      </c>
      <c r="D1660" s="13">
        <f t="shared" si="51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50"/>
        <v>5000</v>
      </c>
    </row>
    <row r="1661" spans="1:8" x14ac:dyDescent="0.3">
      <c r="A1661" s="13">
        <v>45453</v>
      </c>
      <c r="B1661" s="15" t="s">
        <v>21</v>
      </c>
      <c r="C1661" s="3">
        <v>3</v>
      </c>
      <c r="D1661" s="13">
        <f t="shared" si="51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50"/>
        <v>5000</v>
      </c>
    </row>
    <row r="1662" spans="1:8" x14ac:dyDescent="0.3">
      <c r="A1662" s="13">
        <v>45453</v>
      </c>
      <c r="B1662" s="15" t="s">
        <v>21</v>
      </c>
      <c r="C1662" s="3">
        <v>4</v>
      </c>
      <c r="D1662" s="13">
        <f t="shared" si="51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50"/>
        <v>5000</v>
      </c>
    </row>
    <row r="1663" spans="1:8" x14ac:dyDescent="0.3">
      <c r="A1663" s="13">
        <v>45454</v>
      </c>
      <c r="B1663" s="15" t="s">
        <v>21</v>
      </c>
      <c r="C1663" s="3">
        <v>2</v>
      </c>
      <c r="D1663" s="13">
        <f t="shared" si="51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50"/>
        <v>9800</v>
      </c>
    </row>
    <row r="1664" spans="1:8" x14ac:dyDescent="0.3">
      <c r="A1664" s="13">
        <v>45454</v>
      </c>
      <c r="B1664" s="15" t="s">
        <v>21</v>
      </c>
      <c r="C1664" s="3">
        <v>3</v>
      </c>
      <c r="D1664" s="13">
        <f t="shared" si="51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50"/>
        <v>9800</v>
      </c>
    </row>
    <row r="1665" spans="1:8" x14ac:dyDescent="0.3">
      <c r="A1665" s="13">
        <v>45454</v>
      </c>
      <c r="B1665" s="15" t="s">
        <v>21</v>
      </c>
      <c r="C1665" s="3">
        <v>10</v>
      </c>
      <c r="D1665" s="13">
        <f t="shared" si="51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50"/>
        <v>9800</v>
      </c>
    </row>
    <row r="1666" spans="1:8" x14ac:dyDescent="0.3">
      <c r="A1666" s="13">
        <v>45454</v>
      </c>
      <c r="B1666" s="15" t="s">
        <v>21</v>
      </c>
      <c r="C1666" s="3">
        <v>13</v>
      </c>
      <c r="D1666" s="13">
        <f t="shared" si="51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50"/>
        <v>9800</v>
      </c>
    </row>
    <row r="1667" spans="1:8" x14ac:dyDescent="0.3">
      <c r="A1667" s="13">
        <v>45455</v>
      </c>
      <c r="B1667" s="15" t="s">
        <v>21</v>
      </c>
      <c r="C1667" s="3">
        <v>2</v>
      </c>
      <c r="D1667" s="13">
        <f t="shared" si="51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50"/>
        <v>14400</v>
      </c>
    </row>
    <row r="1668" spans="1:8" x14ac:dyDescent="0.3">
      <c r="A1668" s="13">
        <v>45455</v>
      </c>
      <c r="B1668" s="15" t="s">
        <v>21</v>
      </c>
      <c r="C1668" s="3">
        <v>5</v>
      </c>
      <c r="D1668" s="13">
        <f t="shared" si="51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50"/>
        <v>14400</v>
      </c>
    </row>
    <row r="1669" spans="1:8" x14ac:dyDescent="0.3">
      <c r="A1669" s="13">
        <v>45455</v>
      </c>
      <c r="B1669" s="15" t="s">
        <v>21</v>
      </c>
      <c r="C1669" s="3">
        <v>16</v>
      </c>
      <c r="D1669" s="13">
        <f t="shared" si="51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50"/>
        <v>14400</v>
      </c>
    </row>
    <row r="1670" spans="1:8" x14ac:dyDescent="0.3">
      <c r="A1670" s="13">
        <v>45456</v>
      </c>
      <c r="B1670" s="15" t="s">
        <v>21</v>
      </c>
      <c r="C1670" s="3">
        <v>1</v>
      </c>
      <c r="D1670" s="13">
        <f t="shared" si="51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50"/>
        <v>17700</v>
      </c>
    </row>
    <row r="1671" spans="1:8" x14ac:dyDescent="0.3">
      <c r="A1671" s="13">
        <v>45456</v>
      </c>
      <c r="B1671" s="15" t="s">
        <v>21</v>
      </c>
      <c r="C1671" s="3">
        <v>4</v>
      </c>
      <c r="D1671" s="13">
        <f t="shared" si="51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50"/>
        <v>17700</v>
      </c>
    </row>
    <row r="1672" spans="1:8" x14ac:dyDescent="0.3">
      <c r="A1672" s="13">
        <v>45456</v>
      </c>
      <c r="B1672" s="15" t="s">
        <v>21</v>
      </c>
      <c r="C1672" s="3">
        <v>5</v>
      </c>
      <c r="D1672" s="13">
        <f t="shared" si="51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50"/>
        <v>17700</v>
      </c>
    </row>
    <row r="1673" spans="1:8" x14ac:dyDescent="0.3">
      <c r="A1673" s="13">
        <v>45456</v>
      </c>
      <c r="B1673" s="15" t="s">
        <v>21</v>
      </c>
      <c r="C1673" s="3">
        <v>7</v>
      </c>
      <c r="D1673" s="13">
        <f t="shared" si="51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50"/>
        <v>17700</v>
      </c>
    </row>
    <row r="1674" spans="1:8" x14ac:dyDescent="0.3">
      <c r="A1674" s="13">
        <v>45456</v>
      </c>
      <c r="B1674" s="15" t="s">
        <v>21</v>
      </c>
      <c r="C1674" s="3">
        <v>8</v>
      </c>
      <c r="D1674" s="13">
        <f t="shared" si="51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2">+SUMIFS($E$10:$E$4506,$A$10:$A$4506,"&lt;="&amp;A1674,$D$10:$D$4506,"&gt;"&amp;A1674)</f>
        <v>17700</v>
      </c>
    </row>
    <row r="1675" spans="1:8" x14ac:dyDescent="0.3">
      <c r="A1675" s="13">
        <v>45456</v>
      </c>
      <c r="B1675" s="15" t="s">
        <v>21</v>
      </c>
      <c r="C1675" s="3">
        <v>15</v>
      </c>
      <c r="D1675" s="13">
        <f t="shared" si="51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2"/>
        <v>17700</v>
      </c>
    </row>
    <row r="1676" spans="1:8" x14ac:dyDescent="0.3">
      <c r="A1676" s="13">
        <v>45457</v>
      </c>
      <c r="B1676" s="15" t="s">
        <v>21</v>
      </c>
      <c r="C1676" s="3">
        <v>4</v>
      </c>
      <c r="D1676" s="13">
        <f t="shared" si="51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2"/>
        <v>15000</v>
      </c>
    </row>
    <row r="1677" spans="1:8" x14ac:dyDescent="0.3">
      <c r="A1677" s="13">
        <v>45457</v>
      </c>
      <c r="B1677" s="15" t="s">
        <v>21</v>
      </c>
      <c r="C1677" s="3">
        <v>14</v>
      </c>
      <c r="D1677" s="13">
        <f t="shared" si="51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2"/>
        <v>15000</v>
      </c>
    </row>
    <row r="1678" spans="1:8" x14ac:dyDescent="0.3">
      <c r="A1678" s="13">
        <v>45460</v>
      </c>
      <c r="B1678" s="15" t="s">
        <v>21</v>
      </c>
      <c r="C1678" s="3">
        <v>3</v>
      </c>
      <c r="D1678" s="13">
        <f t="shared" si="51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2"/>
        <v>15100</v>
      </c>
    </row>
    <row r="1679" spans="1:8" x14ac:dyDescent="0.3">
      <c r="A1679" s="13">
        <v>45460</v>
      </c>
      <c r="B1679" s="15" t="s">
        <v>21</v>
      </c>
      <c r="C1679" s="3">
        <v>4</v>
      </c>
      <c r="D1679" s="13">
        <f t="shared" si="51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2"/>
        <v>15100</v>
      </c>
    </row>
    <row r="1680" spans="1:8" x14ac:dyDescent="0.3">
      <c r="A1680" s="13">
        <v>45463</v>
      </c>
      <c r="B1680" s="15" t="s">
        <v>21</v>
      </c>
      <c r="C1680" s="3">
        <v>4</v>
      </c>
      <c r="D1680" s="13">
        <f t="shared" si="51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2"/>
        <v>12300</v>
      </c>
    </row>
    <row r="1681" spans="1:12" x14ac:dyDescent="0.3">
      <c r="A1681" s="13">
        <v>45463</v>
      </c>
      <c r="B1681" s="15" t="s">
        <v>21</v>
      </c>
      <c r="C1681" s="3">
        <v>5</v>
      </c>
      <c r="D1681" s="13">
        <f t="shared" si="51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2"/>
        <v>12300</v>
      </c>
    </row>
    <row r="1682" spans="1:12" x14ac:dyDescent="0.3">
      <c r="A1682" s="13">
        <v>45464</v>
      </c>
      <c r="B1682" s="15" t="s">
        <v>21</v>
      </c>
      <c r="C1682" s="3">
        <v>3</v>
      </c>
      <c r="D1682" s="13">
        <f t="shared" si="51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2"/>
        <v>11500</v>
      </c>
    </row>
    <row r="1683" spans="1:12" x14ac:dyDescent="0.3">
      <c r="A1683" s="13">
        <v>45464</v>
      </c>
      <c r="B1683" s="15" t="s">
        <v>21</v>
      </c>
      <c r="C1683" s="3">
        <v>4</v>
      </c>
      <c r="D1683" s="13">
        <f t="shared" si="51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2"/>
        <v>11500</v>
      </c>
    </row>
    <row r="1684" spans="1:12" x14ac:dyDescent="0.3">
      <c r="A1684" s="13">
        <v>45464</v>
      </c>
      <c r="B1684" s="15" t="s">
        <v>21</v>
      </c>
      <c r="C1684" s="3">
        <v>6</v>
      </c>
      <c r="D1684" s="13">
        <f t="shared" si="51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2"/>
        <v>11500</v>
      </c>
      <c r="L1684" s="1" t="s">
        <v>1012</v>
      </c>
    </row>
    <row r="1685" spans="1:12" x14ac:dyDescent="0.3">
      <c r="A1685" s="13">
        <v>45467</v>
      </c>
      <c r="B1685" s="15" t="s">
        <v>21</v>
      </c>
      <c r="C1685" s="3">
        <v>2</v>
      </c>
      <c r="D1685" s="13">
        <f t="shared" si="51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2"/>
        <v>12200</v>
      </c>
    </row>
    <row r="1686" spans="1:12" x14ac:dyDescent="0.3">
      <c r="A1686" s="13">
        <v>45467</v>
      </c>
      <c r="B1686" s="15" t="s">
        <v>21</v>
      </c>
      <c r="C1686" s="3">
        <v>3</v>
      </c>
      <c r="D1686" s="13">
        <f t="shared" si="51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2"/>
        <v>12200</v>
      </c>
    </row>
    <row r="1687" spans="1:12" x14ac:dyDescent="0.3">
      <c r="A1687" s="13">
        <v>45467</v>
      </c>
      <c r="B1687" s="15" t="s">
        <v>21</v>
      </c>
      <c r="C1687" s="3">
        <v>4</v>
      </c>
      <c r="D1687" s="13">
        <f t="shared" si="51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2"/>
        <v>12200</v>
      </c>
    </row>
    <row r="1688" spans="1:12" x14ac:dyDescent="0.3">
      <c r="A1688" s="13">
        <v>45468</v>
      </c>
      <c r="B1688" s="15" t="s">
        <v>21</v>
      </c>
      <c r="C1688" s="3">
        <v>2</v>
      </c>
      <c r="D1688" s="13">
        <f t="shared" si="51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2"/>
        <v>16800</v>
      </c>
    </row>
    <row r="1689" spans="1:12" x14ac:dyDescent="0.3">
      <c r="A1689" s="13">
        <v>45468</v>
      </c>
      <c r="B1689" s="15" t="s">
        <v>21</v>
      </c>
      <c r="C1689" s="3">
        <v>3</v>
      </c>
      <c r="D1689" s="13">
        <f t="shared" si="51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2"/>
        <v>16800</v>
      </c>
    </row>
    <row r="1690" spans="1:12" x14ac:dyDescent="0.3">
      <c r="A1690" s="13">
        <v>45468</v>
      </c>
      <c r="B1690" s="15" t="s">
        <v>21</v>
      </c>
      <c r="C1690" s="3">
        <v>6</v>
      </c>
      <c r="D1690" s="13">
        <f t="shared" si="51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2"/>
        <v>16800</v>
      </c>
    </row>
    <row r="1691" spans="1:12" x14ac:dyDescent="0.3">
      <c r="A1691" s="13">
        <v>45469</v>
      </c>
      <c r="B1691" s="15" t="s">
        <v>21</v>
      </c>
      <c r="C1691" s="3">
        <v>2</v>
      </c>
      <c r="D1691" s="13">
        <f t="shared" si="51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2"/>
        <v>16100</v>
      </c>
    </row>
    <row r="1692" spans="1:12" x14ac:dyDescent="0.3">
      <c r="A1692" s="13">
        <v>45469</v>
      </c>
      <c r="B1692" s="15" t="s">
        <v>21</v>
      </c>
      <c r="C1692" s="3">
        <v>5</v>
      </c>
      <c r="D1692" s="13">
        <f t="shared" si="51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2"/>
        <v>16100</v>
      </c>
    </row>
    <row r="1693" spans="1:12" x14ac:dyDescent="0.3">
      <c r="A1693" s="13">
        <v>45470</v>
      </c>
      <c r="B1693" s="15" t="s">
        <v>21</v>
      </c>
      <c r="C1693" s="3">
        <v>4</v>
      </c>
      <c r="D1693" s="13">
        <f t="shared" si="51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2"/>
        <v>12500</v>
      </c>
    </row>
    <row r="1694" spans="1:12" x14ac:dyDescent="0.3">
      <c r="A1694" s="13">
        <v>45471</v>
      </c>
      <c r="B1694" s="15" t="s">
        <v>21</v>
      </c>
      <c r="C1694" s="3">
        <v>4</v>
      </c>
      <c r="D1694" s="13">
        <f t="shared" si="51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2"/>
        <v>9315</v>
      </c>
    </row>
    <row r="1695" spans="1:12" x14ac:dyDescent="0.3">
      <c r="A1695" s="13">
        <v>45474</v>
      </c>
      <c r="B1695" s="15" t="s">
        <v>21</v>
      </c>
      <c r="C1695" s="3">
        <v>1</v>
      </c>
      <c r="D1695" s="13">
        <f t="shared" si="51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2"/>
        <v>1315</v>
      </c>
    </row>
    <row r="1696" spans="1:12" x14ac:dyDescent="0.3">
      <c r="A1696" s="13">
        <v>45475</v>
      </c>
      <c r="B1696" s="15" t="s">
        <v>21</v>
      </c>
      <c r="C1696" s="3">
        <v>2</v>
      </c>
      <c r="D1696" s="13">
        <f t="shared" si="51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2"/>
        <v>1300</v>
      </c>
    </row>
    <row r="1697" spans="1:8" x14ac:dyDescent="0.3">
      <c r="A1697" s="13">
        <v>45475</v>
      </c>
      <c r="B1697" s="15" t="s">
        <v>21</v>
      </c>
      <c r="C1697" s="3">
        <v>3</v>
      </c>
      <c r="D1697" s="13">
        <f t="shared" si="51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2"/>
        <v>1300</v>
      </c>
    </row>
    <row r="1698" spans="1:8" x14ac:dyDescent="0.3">
      <c r="A1698" s="13">
        <v>45475</v>
      </c>
      <c r="B1698" s="15" t="s">
        <v>21</v>
      </c>
      <c r="C1698" s="3">
        <v>21</v>
      </c>
      <c r="D1698" s="13">
        <f t="shared" ref="D1698:D1780" si="53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2"/>
        <v>1300</v>
      </c>
    </row>
    <row r="1699" spans="1:8" x14ac:dyDescent="0.3">
      <c r="A1699" s="13">
        <v>45476</v>
      </c>
      <c r="B1699" s="15" t="s">
        <v>21</v>
      </c>
      <c r="C1699" s="3">
        <v>2</v>
      </c>
      <c r="D1699" s="13">
        <f t="shared" si="53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2"/>
        <v>5000</v>
      </c>
    </row>
    <row r="1700" spans="1:8" x14ac:dyDescent="0.3">
      <c r="A1700" s="13">
        <v>45476</v>
      </c>
      <c r="B1700" s="15" t="s">
        <v>21</v>
      </c>
      <c r="C1700" s="3">
        <v>19</v>
      </c>
      <c r="D1700" s="13">
        <f t="shared" si="53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2"/>
        <v>5000</v>
      </c>
    </row>
    <row r="1701" spans="1:8" x14ac:dyDescent="0.3">
      <c r="A1701" s="13">
        <v>45477</v>
      </c>
      <c r="B1701" s="15" t="s">
        <v>21</v>
      </c>
      <c r="C1701" s="3">
        <v>4</v>
      </c>
      <c r="D1701" s="13">
        <f t="shared" si="53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2"/>
        <v>9100</v>
      </c>
    </row>
    <row r="1702" spans="1:8" x14ac:dyDescent="0.3">
      <c r="A1702" s="13">
        <v>45478</v>
      </c>
      <c r="B1702" s="15" t="s">
        <v>21</v>
      </c>
      <c r="C1702" s="3">
        <v>4</v>
      </c>
      <c r="D1702" s="13">
        <f t="shared" si="53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2"/>
        <v>9000</v>
      </c>
    </row>
    <row r="1703" spans="1:8" x14ac:dyDescent="0.3">
      <c r="A1703" s="13">
        <v>45478</v>
      </c>
      <c r="B1703" s="15" t="s">
        <v>21</v>
      </c>
      <c r="C1703" s="3">
        <v>5</v>
      </c>
      <c r="D1703" s="13">
        <f t="shared" si="53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2"/>
        <v>9000</v>
      </c>
    </row>
    <row r="1704" spans="1:8" x14ac:dyDescent="0.3">
      <c r="A1704" s="13">
        <v>45478</v>
      </c>
      <c r="B1704" s="15" t="s">
        <v>21</v>
      </c>
      <c r="C1704" s="3">
        <v>7</v>
      </c>
      <c r="D1704" s="13">
        <f t="shared" si="53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2"/>
        <v>9000</v>
      </c>
    </row>
    <row r="1705" spans="1:8" x14ac:dyDescent="0.3">
      <c r="A1705" s="13">
        <v>45481</v>
      </c>
      <c r="B1705" s="15" t="s">
        <v>21</v>
      </c>
      <c r="C1705" s="3">
        <v>1</v>
      </c>
      <c r="D1705" s="13">
        <f t="shared" si="53"/>
        <v>45482</v>
      </c>
      <c r="E1705" s="15">
        <v>1400</v>
      </c>
      <c r="F1705" s="9">
        <v>0.08</v>
      </c>
      <c r="G1705" s="9">
        <v>8.5000000000000006E-2</v>
      </c>
      <c r="H1705" s="15">
        <f t="shared" si="52"/>
        <v>7100</v>
      </c>
    </row>
    <row r="1706" spans="1:8" x14ac:dyDescent="0.3">
      <c r="A1706" s="13">
        <v>45481</v>
      </c>
      <c r="B1706" s="15" t="s">
        <v>21</v>
      </c>
      <c r="C1706" s="3">
        <v>2</v>
      </c>
      <c r="D1706" s="13">
        <f t="shared" si="53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2"/>
        <v>7100</v>
      </c>
    </row>
    <row r="1707" spans="1:8" x14ac:dyDescent="0.3">
      <c r="A1707" s="13">
        <v>45481</v>
      </c>
      <c r="B1707" s="15" t="s">
        <v>21</v>
      </c>
      <c r="C1707" s="3">
        <v>3</v>
      </c>
      <c r="D1707" s="13">
        <f t="shared" si="53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2"/>
        <v>7100</v>
      </c>
    </row>
    <row r="1708" spans="1:8" x14ac:dyDescent="0.3">
      <c r="A1708" s="13">
        <v>45481</v>
      </c>
      <c r="B1708" s="15" t="s">
        <v>21</v>
      </c>
      <c r="C1708" s="3">
        <v>4</v>
      </c>
      <c r="D1708" s="13">
        <f t="shared" si="53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2"/>
        <v>7100</v>
      </c>
    </row>
    <row r="1709" spans="1:8" x14ac:dyDescent="0.3">
      <c r="A1709" s="13">
        <v>45482</v>
      </c>
      <c r="B1709" s="15" t="s">
        <v>21</v>
      </c>
      <c r="C1709" s="3">
        <v>1</v>
      </c>
      <c r="D1709" s="13">
        <f t="shared" si="53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2"/>
        <v>6900</v>
      </c>
    </row>
    <row r="1710" spans="1:8" x14ac:dyDescent="0.3">
      <c r="A1710" s="13">
        <v>45482</v>
      </c>
      <c r="B1710" s="15" t="s">
        <v>21</v>
      </c>
      <c r="C1710" s="3">
        <v>2</v>
      </c>
      <c r="D1710" s="13">
        <f t="shared" si="53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2"/>
        <v>6900</v>
      </c>
    </row>
    <row r="1711" spans="1:8" x14ac:dyDescent="0.3">
      <c r="A1711" s="13">
        <v>45482</v>
      </c>
      <c r="B1711" s="15" t="s">
        <v>21</v>
      </c>
      <c r="C1711" s="3">
        <v>3</v>
      </c>
      <c r="D1711" s="13">
        <f t="shared" si="53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2"/>
        <v>6900</v>
      </c>
    </row>
    <row r="1712" spans="1:8" x14ac:dyDescent="0.3">
      <c r="A1712" s="13">
        <v>45483</v>
      </c>
      <c r="B1712" s="15" t="s">
        <v>21</v>
      </c>
      <c r="C1712" s="3">
        <v>1</v>
      </c>
      <c r="D1712" s="13">
        <f t="shared" si="53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2"/>
        <v>11700</v>
      </c>
    </row>
    <row r="1713" spans="1:8" x14ac:dyDescent="0.3">
      <c r="A1713" s="13">
        <v>45483</v>
      </c>
      <c r="B1713" s="15" t="s">
        <v>21</v>
      </c>
      <c r="C1713" s="3">
        <v>2</v>
      </c>
      <c r="D1713" s="13">
        <f t="shared" si="53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2"/>
        <v>11700</v>
      </c>
    </row>
    <row r="1714" spans="1:8" x14ac:dyDescent="0.3">
      <c r="A1714" s="13">
        <v>45483</v>
      </c>
      <c r="B1714" s="15" t="s">
        <v>21</v>
      </c>
      <c r="C1714" s="3">
        <v>5</v>
      </c>
      <c r="D1714" s="13">
        <f t="shared" si="53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2"/>
        <v>11700</v>
      </c>
    </row>
    <row r="1715" spans="1:8" x14ac:dyDescent="0.3">
      <c r="A1715" s="13">
        <v>45483</v>
      </c>
      <c r="B1715" s="15" t="s">
        <v>21</v>
      </c>
      <c r="C1715" s="3">
        <v>13</v>
      </c>
      <c r="D1715" s="13">
        <f t="shared" si="53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2"/>
        <v>11700</v>
      </c>
    </row>
    <row r="1716" spans="1:8" x14ac:dyDescent="0.3">
      <c r="A1716" s="13">
        <v>45484</v>
      </c>
      <c r="B1716" s="15" t="s">
        <v>21</v>
      </c>
      <c r="C1716" s="3">
        <v>1</v>
      </c>
      <c r="D1716" s="13">
        <f t="shared" si="53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2"/>
        <v>12800</v>
      </c>
    </row>
    <row r="1717" spans="1:8" x14ac:dyDescent="0.3">
      <c r="A1717" s="13">
        <v>45484</v>
      </c>
      <c r="B1717" s="15" t="s">
        <v>21</v>
      </c>
      <c r="C1717" s="3">
        <v>4</v>
      </c>
      <c r="D1717" s="13">
        <f t="shared" si="53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2"/>
        <v>12800</v>
      </c>
    </row>
    <row r="1718" spans="1:8" x14ac:dyDescent="0.3">
      <c r="A1718" s="13">
        <v>45484</v>
      </c>
      <c r="B1718" s="15" t="s">
        <v>21</v>
      </c>
      <c r="C1718" s="3">
        <v>5</v>
      </c>
      <c r="D1718" s="13">
        <f t="shared" si="53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2"/>
        <v>12800</v>
      </c>
    </row>
    <row r="1719" spans="1:8" x14ac:dyDescent="0.3">
      <c r="A1719" s="13">
        <v>45484</v>
      </c>
      <c r="B1719" s="15" t="s">
        <v>21</v>
      </c>
      <c r="C1719" s="3">
        <v>6</v>
      </c>
      <c r="D1719" s="13">
        <f t="shared" si="53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2"/>
        <v>12800</v>
      </c>
    </row>
    <row r="1720" spans="1:8" x14ac:dyDescent="0.3">
      <c r="A1720" s="13">
        <v>45484</v>
      </c>
      <c r="B1720" s="15" t="s">
        <v>21</v>
      </c>
      <c r="C1720" s="3">
        <v>11</v>
      </c>
      <c r="D1720" s="13">
        <f t="shared" si="53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2"/>
        <v>12800</v>
      </c>
    </row>
    <row r="1721" spans="1:8" x14ac:dyDescent="0.3">
      <c r="A1721" s="13">
        <v>45485</v>
      </c>
      <c r="B1721" s="15" t="s">
        <v>21</v>
      </c>
      <c r="C1721" s="3">
        <v>3</v>
      </c>
      <c r="D1721" s="13">
        <f t="shared" si="53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2"/>
        <v>15800</v>
      </c>
    </row>
    <row r="1722" spans="1:8" x14ac:dyDescent="0.3">
      <c r="A1722" s="13">
        <v>45485</v>
      </c>
      <c r="B1722" s="15" t="s">
        <v>21</v>
      </c>
      <c r="C1722" s="3">
        <v>4</v>
      </c>
      <c r="D1722" s="13">
        <f t="shared" si="53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2"/>
        <v>15800</v>
      </c>
    </row>
    <row r="1723" spans="1:8" x14ac:dyDescent="0.3">
      <c r="A1723" s="13">
        <v>45485</v>
      </c>
      <c r="B1723" s="15" t="s">
        <v>21</v>
      </c>
      <c r="C1723" s="3">
        <v>5</v>
      </c>
      <c r="D1723" s="13">
        <f t="shared" si="53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2"/>
        <v>15800</v>
      </c>
    </row>
    <row r="1724" spans="1:8" x14ac:dyDescent="0.3">
      <c r="A1724" s="13">
        <v>45485</v>
      </c>
      <c r="B1724" s="15" t="s">
        <v>21</v>
      </c>
      <c r="C1724" s="3">
        <v>7</v>
      </c>
      <c r="D1724" s="13">
        <f t="shared" si="53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2"/>
        <v>15800</v>
      </c>
    </row>
    <row r="1725" spans="1:8" x14ac:dyDescent="0.3">
      <c r="A1725" s="13">
        <v>45488</v>
      </c>
      <c r="B1725" s="15" t="s">
        <v>21</v>
      </c>
      <c r="C1725" s="3">
        <v>1</v>
      </c>
      <c r="D1725" s="13">
        <f t="shared" si="53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2"/>
        <v>14000</v>
      </c>
    </row>
    <row r="1726" spans="1:8" x14ac:dyDescent="0.3">
      <c r="A1726" s="13">
        <v>45488</v>
      </c>
      <c r="B1726" s="15" t="s">
        <v>21</v>
      </c>
      <c r="C1726" s="3">
        <v>2</v>
      </c>
      <c r="D1726" s="13">
        <f t="shared" si="53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2"/>
        <v>14000</v>
      </c>
    </row>
    <row r="1727" spans="1:8" x14ac:dyDescent="0.3">
      <c r="A1727" s="13">
        <v>45488</v>
      </c>
      <c r="B1727" s="15" t="s">
        <v>21</v>
      </c>
      <c r="C1727" s="3">
        <v>4</v>
      </c>
      <c r="D1727" s="13">
        <f t="shared" si="53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2"/>
        <v>14000</v>
      </c>
    </row>
    <row r="1728" spans="1:8" x14ac:dyDescent="0.3">
      <c r="A1728" s="13">
        <v>45489</v>
      </c>
      <c r="B1728" s="15" t="s">
        <v>21</v>
      </c>
      <c r="C1728" s="3">
        <v>1</v>
      </c>
      <c r="D1728" s="13">
        <f t="shared" si="53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2"/>
        <v>15700</v>
      </c>
    </row>
    <row r="1729" spans="1:11" x14ac:dyDescent="0.3">
      <c r="A1729" s="13">
        <v>45489</v>
      </c>
      <c r="B1729" s="15" t="s">
        <v>21</v>
      </c>
      <c r="C1729" s="3">
        <v>3</v>
      </c>
      <c r="D1729" s="13">
        <f t="shared" si="53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2"/>
        <v>15700</v>
      </c>
    </row>
    <row r="1730" spans="1:11" x14ac:dyDescent="0.3">
      <c r="A1730" s="13">
        <v>45489</v>
      </c>
      <c r="B1730" s="15" t="s">
        <v>21</v>
      </c>
      <c r="C1730" s="3">
        <v>6</v>
      </c>
      <c r="D1730" s="13">
        <f t="shared" si="53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2"/>
        <v>15700</v>
      </c>
    </row>
    <row r="1731" spans="1:11" x14ac:dyDescent="0.3">
      <c r="A1731" s="13">
        <v>45490</v>
      </c>
      <c r="B1731" s="15" t="s">
        <v>21</v>
      </c>
      <c r="C1731" s="3">
        <v>2</v>
      </c>
      <c r="D1731" s="13">
        <f t="shared" si="53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2"/>
        <v>13600</v>
      </c>
    </row>
    <row r="1732" spans="1:11" x14ac:dyDescent="0.3">
      <c r="A1732" s="13">
        <v>45490</v>
      </c>
      <c r="B1732" s="15" t="s">
        <v>21</v>
      </c>
      <c r="C1732" s="3">
        <v>5</v>
      </c>
      <c r="D1732" s="13">
        <f t="shared" si="53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2"/>
        <v>13600</v>
      </c>
    </row>
    <row r="1733" spans="1:11" x14ac:dyDescent="0.3">
      <c r="A1733" s="13">
        <v>45490</v>
      </c>
      <c r="B1733" s="15" t="s">
        <v>21</v>
      </c>
      <c r="C1733" s="3">
        <v>6</v>
      </c>
      <c r="D1733" s="13">
        <f t="shared" si="53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2"/>
        <v>13600</v>
      </c>
    </row>
    <row r="1734" spans="1:11" x14ac:dyDescent="0.3">
      <c r="A1734" s="13">
        <v>45492</v>
      </c>
      <c r="B1734" s="15" t="s">
        <v>21</v>
      </c>
      <c r="C1734" s="3">
        <v>3</v>
      </c>
      <c r="D1734" s="13">
        <f t="shared" si="53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2"/>
        <v>13100</v>
      </c>
    </row>
    <row r="1735" spans="1:11" x14ac:dyDescent="0.3">
      <c r="A1735" s="13">
        <v>45492</v>
      </c>
      <c r="B1735" s="15" t="s">
        <v>21</v>
      </c>
      <c r="C1735" s="3">
        <v>4</v>
      </c>
      <c r="D1735" s="13">
        <f t="shared" si="53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2"/>
        <v>13100</v>
      </c>
    </row>
    <row r="1736" spans="1:11" x14ac:dyDescent="0.3">
      <c r="A1736" s="13">
        <v>45492</v>
      </c>
      <c r="B1736" s="15" t="s">
        <v>21</v>
      </c>
      <c r="C1736" s="3">
        <v>5</v>
      </c>
      <c r="D1736" s="13">
        <f t="shared" si="53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2"/>
        <v>13100</v>
      </c>
    </row>
    <row r="1737" spans="1:11" x14ac:dyDescent="0.3">
      <c r="A1737" s="13">
        <v>45495</v>
      </c>
      <c r="B1737" s="15" t="s">
        <v>21</v>
      </c>
      <c r="C1737" s="3">
        <v>2</v>
      </c>
      <c r="D1737" s="13">
        <f t="shared" si="53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2"/>
        <v>12000</v>
      </c>
    </row>
    <row r="1738" spans="1:11" x14ac:dyDescent="0.3">
      <c r="A1738" s="13">
        <v>45495</v>
      </c>
      <c r="B1738" s="15" t="s">
        <v>21</v>
      </c>
      <c r="C1738" s="3">
        <v>4</v>
      </c>
      <c r="D1738" s="13">
        <f t="shared" si="53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4">+SUMIFS($E$10:$E$4506,$A$10:$A$4506,"&lt;="&amp;A1738,$D$10:$D$4506,"&gt;"&amp;A1738)</f>
        <v>12000</v>
      </c>
      <c r="K1738" s="1" t="s">
        <v>1012</v>
      </c>
    </row>
    <row r="1739" spans="1:11" x14ac:dyDescent="0.3">
      <c r="A1739" s="13">
        <v>45496</v>
      </c>
      <c r="B1739" s="15" t="s">
        <v>21</v>
      </c>
      <c r="C1739" s="3">
        <v>1</v>
      </c>
      <c r="D1739" s="13">
        <f t="shared" si="53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4"/>
        <v>12800</v>
      </c>
    </row>
    <row r="1740" spans="1:11" x14ac:dyDescent="0.3">
      <c r="A1740" s="13">
        <v>45496</v>
      </c>
      <c r="B1740" s="15" t="s">
        <v>21</v>
      </c>
      <c r="C1740" s="3">
        <v>2</v>
      </c>
      <c r="D1740" s="13">
        <f t="shared" si="53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4"/>
        <v>12800</v>
      </c>
    </row>
    <row r="1741" spans="1:11" x14ac:dyDescent="0.3">
      <c r="A1741" s="13">
        <v>45496</v>
      </c>
      <c r="B1741" s="15" t="s">
        <v>21</v>
      </c>
      <c r="C1741" s="3">
        <v>3</v>
      </c>
      <c r="D1741" s="13">
        <f t="shared" si="53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4"/>
        <v>12800</v>
      </c>
    </row>
    <row r="1742" spans="1:11" x14ac:dyDescent="0.3">
      <c r="A1742" s="13">
        <v>45497</v>
      </c>
      <c r="B1742" s="15" t="s">
        <v>21</v>
      </c>
      <c r="C1742" s="3">
        <v>1</v>
      </c>
      <c r="D1742" s="13">
        <f t="shared" si="53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4"/>
        <v>5400</v>
      </c>
    </row>
    <row r="1743" spans="1:11" x14ac:dyDescent="0.3">
      <c r="A1743" s="13">
        <v>45499</v>
      </c>
      <c r="B1743" s="15" t="s">
        <v>21</v>
      </c>
      <c r="C1743" s="3">
        <v>5</v>
      </c>
      <c r="D1743" s="13">
        <f t="shared" si="53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4"/>
        <v>5200</v>
      </c>
    </row>
    <row r="1744" spans="1:11" x14ac:dyDescent="0.3">
      <c r="A1744" s="13">
        <v>45499</v>
      </c>
      <c r="B1744" s="15" t="s">
        <v>21</v>
      </c>
      <c r="C1744" s="3">
        <v>4</v>
      </c>
      <c r="D1744" s="13">
        <f t="shared" si="53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4"/>
        <v>5200</v>
      </c>
    </row>
    <row r="1745" spans="1:8" x14ac:dyDescent="0.3">
      <c r="A1745" s="13">
        <v>45502</v>
      </c>
      <c r="B1745" s="15" t="s">
        <v>21</v>
      </c>
      <c r="C1745" s="3">
        <v>2</v>
      </c>
      <c r="D1745" s="13">
        <f t="shared" si="53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4"/>
        <v>6000</v>
      </c>
    </row>
    <row r="1746" spans="1:8" x14ac:dyDescent="0.3">
      <c r="A1746" s="13">
        <v>45502</v>
      </c>
      <c r="B1746" s="15" t="s">
        <v>21</v>
      </c>
      <c r="C1746" s="3">
        <v>3</v>
      </c>
      <c r="D1746" s="13">
        <f t="shared" si="53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4"/>
        <v>6000</v>
      </c>
    </row>
    <row r="1747" spans="1:8" x14ac:dyDescent="0.3">
      <c r="A1747" s="13">
        <v>45505</v>
      </c>
      <c r="B1747" s="15" t="s">
        <v>21</v>
      </c>
      <c r="C1747" s="3">
        <v>1</v>
      </c>
      <c r="D1747" s="13">
        <f t="shared" si="53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4"/>
        <v>-600</v>
      </c>
    </row>
    <row r="1748" spans="1:8" x14ac:dyDescent="0.3">
      <c r="A1748" s="13">
        <v>45510</v>
      </c>
      <c r="B1748" s="15" t="s">
        <v>21</v>
      </c>
      <c r="C1748" s="3">
        <v>3</v>
      </c>
      <c r="D1748" s="13">
        <f t="shared" si="53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4"/>
        <v>1200</v>
      </c>
    </row>
    <row r="1749" spans="1:8" x14ac:dyDescent="0.3">
      <c r="A1749" s="13">
        <v>45510</v>
      </c>
      <c r="B1749" s="15" t="s">
        <v>21</v>
      </c>
      <c r="C1749" s="3">
        <v>2</v>
      </c>
      <c r="D1749" s="13">
        <f t="shared" si="53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4"/>
        <v>1200</v>
      </c>
    </row>
    <row r="1750" spans="1:8" x14ac:dyDescent="0.3">
      <c r="A1750" s="13">
        <v>45512</v>
      </c>
      <c r="B1750" s="15" t="s">
        <v>21</v>
      </c>
      <c r="C1750" s="3">
        <v>4</v>
      </c>
      <c r="D1750" s="13">
        <f t="shared" si="53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4"/>
        <v>7800</v>
      </c>
    </row>
    <row r="1751" spans="1:8" x14ac:dyDescent="0.3">
      <c r="A1751" s="13">
        <v>45512</v>
      </c>
      <c r="B1751" s="15" t="s">
        <v>21</v>
      </c>
      <c r="C1751" s="3">
        <v>5</v>
      </c>
      <c r="D1751" s="13">
        <f t="shared" si="53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4"/>
        <v>7800</v>
      </c>
    </row>
    <row r="1752" spans="1:8" x14ac:dyDescent="0.3">
      <c r="A1752" s="13">
        <v>45513</v>
      </c>
      <c r="B1752" s="15" t="s">
        <v>21</v>
      </c>
      <c r="C1752" s="3">
        <v>4</v>
      </c>
      <c r="D1752" s="13">
        <f t="shared" si="53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4"/>
        <v>10500</v>
      </c>
    </row>
    <row r="1753" spans="1:8" x14ac:dyDescent="0.3">
      <c r="A1753" s="13">
        <v>45513</v>
      </c>
      <c r="B1753" s="15" t="s">
        <v>21</v>
      </c>
      <c r="C1753" s="3">
        <v>5</v>
      </c>
      <c r="D1753" s="13">
        <f t="shared" si="53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4"/>
        <v>10500</v>
      </c>
    </row>
    <row r="1754" spans="1:8" x14ac:dyDescent="0.3">
      <c r="A1754" s="13">
        <v>45516</v>
      </c>
      <c r="B1754" s="15" t="s">
        <v>21</v>
      </c>
      <c r="C1754" s="3">
        <v>7</v>
      </c>
      <c r="D1754" s="13">
        <f t="shared" si="53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4"/>
        <v>8100</v>
      </c>
    </row>
    <row r="1755" spans="1:8" x14ac:dyDescent="0.3">
      <c r="A1755" s="13">
        <v>45517</v>
      </c>
      <c r="B1755" s="15" t="s">
        <v>21</v>
      </c>
      <c r="C1755" s="3">
        <v>3</v>
      </c>
      <c r="D1755" s="13">
        <f t="shared" si="53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4"/>
        <v>8400</v>
      </c>
    </row>
    <row r="1756" spans="1:8" x14ac:dyDescent="0.3">
      <c r="A1756" s="13">
        <v>45517</v>
      </c>
      <c r="B1756" s="15" t="s">
        <v>21</v>
      </c>
      <c r="C1756" s="3">
        <v>6</v>
      </c>
      <c r="D1756" s="13">
        <f t="shared" si="53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4"/>
        <v>8400</v>
      </c>
    </row>
    <row r="1757" spans="1:8" x14ac:dyDescent="0.3">
      <c r="A1757" s="13">
        <v>45518</v>
      </c>
      <c r="B1757" s="15" t="s">
        <v>21</v>
      </c>
      <c r="C1757" s="3">
        <v>5</v>
      </c>
      <c r="D1757" s="13">
        <f t="shared" si="53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4"/>
        <v>10800</v>
      </c>
    </row>
    <row r="1758" spans="1:8" x14ac:dyDescent="0.3">
      <c r="A1758" s="13">
        <v>45518</v>
      </c>
      <c r="B1758" s="15" t="s">
        <v>21</v>
      </c>
      <c r="C1758" s="3">
        <v>6</v>
      </c>
      <c r="D1758" s="13">
        <f t="shared" si="53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4"/>
        <v>10800</v>
      </c>
    </row>
    <row r="1759" spans="1:8" x14ac:dyDescent="0.3">
      <c r="A1759" s="13">
        <v>45519</v>
      </c>
      <c r="B1759" s="15" t="s">
        <v>21</v>
      </c>
      <c r="C1759" s="3">
        <v>4</v>
      </c>
      <c r="D1759" s="13">
        <f t="shared" si="53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4"/>
        <v>14000</v>
      </c>
    </row>
    <row r="1760" spans="1:8" x14ac:dyDescent="0.3">
      <c r="A1760" s="13">
        <v>45519</v>
      </c>
      <c r="B1760" s="15" t="s">
        <v>21</v>
      </c>
      <c r="C1760" s="3">
        <v>5</v>
      </c>
      <c r="D1760" s="13">
        <f t="shared" si="53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4"/>
        <v>14000</v>
      </c>
    </row>
    <row r="1761" spans="1:8" x14ac:dyDescent="0.3">
      <c r="A1761" s="13">
        <v>45520</v>
      </c>
      <c r="B1761" s="15" t="s">
        <v>21</v>
      </c>
      <c r="C1761" s="3">
        <v>5</v>
      </c>
      <c r="D1761" s="13">
        <f t="shared" si="53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4"/>
        <v>14000</v>
      </c>
    </row>
    <row r="1762" spans="1:8" x14ac:dyDescent="0.3">
      <c r="A1762" s="13">
        <v>45520</v>
      </c>
      <c r="B1762" s="15" t="s">
        <v>21</v>
      </c>
      <c r="C1762" s="3">
        <v>6</v>
      </c>
      <c r="D1762" s="13">
        <f t="shared" si="53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4"/>
        <v>14000</v>
      </c>
    </row>
    <row r="1763" spans="1:8" x14ac:dyDescent="0.3">
      <c r="A1763" s="13">
        <v>45523</v>
      </c>
      <c r="B1763" s="15" t="s">
        <v>21</v>
      </c>
      <c r="C1763" s="3">
        <v>2</v>
      </c>
      <c r="D1763" s="13">
        <f t="shared" si="53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4"/>
        <v>5700</v>
      </c>
    </row>
    <row r="1764" spans="1:8" x14ac:dyDescent="0.3">
      <c r="A1764" s="13">
        <v>45523</v>
      </c>
      <c r="B1764" s="15" t="s">
        <v>21</v>
      </c>
      <c r="C1764" s="3">
        <v>3</v>
      </c>
      <c r="D1764" s="13">
        <f t="shared" si="53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4"/>
        <v>5700</v>
      </c>
    </row>
    <row r="1765" spans="1:8" x14ac:dyDescent="0.3">
      <c r="A1765" s="13">
        <v>45523</v>
      </c>
      <c r="B1765" s="15" t="s">
        <v>21</v>
      </c>
      <c r="C1765" s="3">
        <v>4</v>
      </c>
      <c r="D1765" s="13">
        <f t="shared" si="53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4"/>
        <v>5700</v>
      </c>
    </row>
    <row r="1766" spans="1:8" x14ac:dyDescent="0.3">
      <c r="A1766" s="13">
        <v>45524</v>
      </c>
      <c r="B1766" s="15" t="s">
        <v>21</v>
      </c>
      <c r="C1766" s="3">
        <v>3</v>
      </c>
      <c r="D1766" s="13">
        <f t="shared" si="53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4"/>
        <v>13350</v>
      </c>
    </row>
    <row r="1767" spans="1:8" x14ac:dyDescent="0.3">
      <c r="A1767" s="13">
        <v>45524</v>
      </c>
      <c r="B1767" s="15" t="s">
        <v>21</v>
      </c>
      <c r="C1767" s="3">
        <v>6</v>
      </c>
      <c r="D1767" s="13">
        <f t="shared" si="53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4"/>
        <v>13350</v>
      </c>
    </row>
    <row r="1768" spans="1:8" x14ac:dyDescent="0.3">
      <c r="A1768" s="13">
        <v>45524</v>
      </c>
      <c r="B1768" s="15" t="s">
        <v>21</v>
      </c>
      <c r="C1768" s="3">
        <v>13</v>
      </c>
      <c r="D1768" s="13">
        <f t="shared" si="53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4"/>
        <v>13350</v>
      </c>
    </row>
    <row r="1769" spans="1:8" x14ac:dyDescent="0.3">
      <c r="A1769" s="13">
        <v>45525</v>
      </c>
      <c r="B1769" s="15" t="s">
        <v>21</v>
      </c>
      <c r="C1769" s="3">
        <v>1</v>
      </c>
      <c r="D1769" s="13">
        <f t="shared" si="53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4"/>
        <v>21150</v>
      </c>
    </row>
    <row r="1770" spans="1:8" x14ac:dyDescent="0.3">
      <c r="A1770" s="13">
        <v>45525</v>
      </c>
      <c r="B1770" s="15" t="s">
        <v>21</v>
      </c>
      <c r="C1770" s="3">
        <v>2</v>
      </c>
      <c r="D1770" s="13">
        <f t="shared" si="53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4"/>
        <v>21150</v>
      </c>
    </row>
    <row r="1771" spans="1:8" x14ac:dyDescent="0.3">
      <c r="A1771" s="13">
        <v>45525</v>
      </c>
      <c r="B1771" s="15" t="s">
        <v>21</v>
      </c>
      <c r="C1771" s="3">
        <v>5</v>
      </c>
      <c r="D1771" s="13">
        <f t="shared" si="53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4"/>
        <v>21150</v>
      </c>
    </row>
    <row r="1772" spans="1:8" x14ac:dyDescent="0.3">
      <c r="A1772" s="13">
        <v>45526</v>
      </c>
      <c r="B1772" s="15" t="s">
        <v>21</v>
      </c>
      <c r="C1772" s="3">
        <v>4</v>
      </c>
      <c r="D1772" s="13">
        <f t="shared" si="53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4"/>
        <v>23250</v>
      </c>
    </row>
    <row r="1773" spans="1:8" x14ac:dyDescent="0.3">
      <c r="A1773" s="13">
        <v>45526</v>
      </c>
      <c r="B1773" s="15" t="s">
        <v>21</v>
      </c>
      <c r="C1773" s="3">
        <v>5</v>
      </c>
      <c r="D1773" s="13">
        <f t="shared" si="53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4"/>
        <v>23250</v>
      </c>
    </row>
    <row r="1774" spans="1:8" x14ac:dyDescent="0.3">
      <c r="A1774" s="13">
        <v>45527</v>
      </c>
      <c r="B1774" s="15" t="s">
        <v>21</v>
      </c>
      <c r="C1774" s="3">
        <v>4</v>
      </c>
      <c r="D1774" s="13">
        <f t="shared" si="53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4"/>
        <v>21700</v>
      </c>
    </row>
    <row r="1775" spans="1:8" x14ac:dyDescent="0.3">
      <c r="A1775" s="13">
        <v>45530</v>
      </c>
      <c r="B1775" s="15" t="s">
        <v>21</v>
      </c>
      <c r="C1775" s="3">
        <v>4</v>
      </c>
      <c r="D1775" s="13">
        <f t="shared" si="53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4"/>
        <v>9700</v>
      </c>
    </row>
    <row r="1776" spans="1:8" x14ac:dyDescent="0.3">
      <c r="A1776" s="13">
        <v>45530</v>
      </c>
      <c r="B1776" s="15" t="s">
        <v>21</v>
      </c>
      <c r="C1776" s="3">
        <v>7</v>
      </c>
      <c r="D1776" s="13">
        <f t="shared" si="53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4"/>
        <v>9700</v>
      </c>
    </row>
    <row r="1777" spans="1:8" x14ac:dyDescent="0.3">
      <c r="A1777" s="13">
        <v>45531</v>
      </c>
      <c r="B1777" s="15" t="s">
        <v>21</v>
      </c>
      <c r="C1777" s="3">
        <v>3</v>
      </c>
      <c r="D1777" s="13">
        <f t="shared" si="53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4"/>
        <v>6700</v>
      </c>
    </row>
    <row r="1778" spans="1:8" x14ac:dyDescent="0.3">
      <c r="A1778" s="13">
        <v>45532</v>
      </c>
      <c r="B1778" s="15" t="s">
        <v>21</v>
      </c>
      <c r="C1778" s="3">
        <v>2</v>
      </c>
      <c r="D1778" s="13">
        <f t="shared" si="53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4"/>
        <v>10000</v>
      </c>
    </row>
    <row r="1779" spans="1:8" x14ac:dyDescent="0.3">
      <c r="A1779" s="13">
        <v>45532</v>
      </c>
      <c r="B1779" s="15" t="s">
        <v>21</v>
      </c>
      <c r="C1779" s="3">
        <v>5</v>
      </c>
      <c r="D1779" s="13">
        <f t="shared" si="53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4"/>
        <v>10000</v>
      </c>
    </row>
    <row r="1780" spans="1:8" x14ac:dyDescent="0.3">
      <c r="A1780" s="13">
        <v>45533</v>
      </c>
      <c r="B1780" s="15" t="s">
        <v>21</v>
      </c>
      <c r="C1780" s="3">
        <v>4</v>
      </c>
      <c r="D1780" s="13">
        <f t="shared" si="53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4"/>
        <v>10700</v>
      </c>
    </row>
    <row r="1781" spans="1:8" x14ac:dyDescent="0.3">
      <c r="A1781" s="13">
        <v>45534</v>
      </c>
      <c r="B1781" s="15" t="s">
        <v>21</v>
      </c>
      <c r="C1781" s="3">
        <v>3</v>
      </c>
      <c r="D1781" s="13">
        <f t="shared" ref="D1781:D1811" si="55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4"/>
        <v>6700</v>
      </c>
    </row>
    <row r="1782" spans="1:8" x14ac:dyDescent="0.3">
      <c r="A1782" s="13">
        <v>45537</v>
      </c>
      <c r="B1782" s="15" t="s">
        <v>303</v>
      </c>
      <c r="C1782" s="3">
        <v>1</v>
      </c>
      <c r="D1782" s="13">
        <f t="shared" si="55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4"/>
        <v>-600</v>
      </c>
    </row>
    <row r="1783" spans="1:8" x14ac:dyDescent="0.3">
      <c r="A1783" s="13">
        <v>45537</v>
      </c>
      <c r="B1783" s="15" t="s">
        <v>21</v>
      </c>
      <c r="C1783" s="3">
        <v>1</v>
      </c>
      <c r="D1783" s="13">
        <f t="shared" si="55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4"/>
        <v>-600</v>
      </c>
    </row>
    <row r="1784" spans="1:8" x14ac:dyDescent="0.3">
      <c r="A1784" s="13">
        <v>45539</v>
      </c>
      <c r="B1784" s="15" t="s">
        <v>21</v>
      </c>
      <c r="C1784" s="3">
        <v>1</v>
      </c>
      <c r="D1784" s="13">
        <f t="shared" si="55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4"/>
        <v>-900</v>
      </c>
    </row>
    <row r="1785" spans="1:8" x14ac:dyDescent="0.3">
      <c r="A1785" s="13">
        <v>45540</v>
      </c>
      <c r="B1785" s="15" t="s">
        <v>21</v>
      </c>
      <c r="C1785" s="3">
        <v>1</v>
      </c>
      <c r="D1785" s="13">
        <f t="shared" si="55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4"/>
        <v>-600</v>
      </c>
    </row>
    <row r="1786" spans="1:8" x14ac:dyDescent="0.3">
      <c r="A1786" s="13">
        <v>45541</v>
      </c>
      <c r="B1786" s="15" t="s">
        <v>21</v>
      </c>
      <c r="C1786" s="3">
        <v>3</v>
      </c>
      <c r="D1786" s="13">
        <f t="shared" si="55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4"/>
        <v>-400</v>
      </c>
    </row>
    <row r="1787" spans="1:8" x14ac:dyDescent="0.3">
      <c r="A1787" s="13">
        <v>45544</v>
      </c>
      <c r="B1787" s="15" t="s">
        <v>21</v>
      </c>
      <c r="C1787" s="3">
        <v>1</v>
      </c>
      <c r="D1787" s="13">
        <f t="shared" si="55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4"/>
        <v>700</v>
      </c>
    </row>
    <row r="1788" spans="1:8" x14ac:dyDescent="0.3">
      <c r="A1788" s="13">
        <v>45544</v>
      </c>
      <c r="B1788" s="15" t="s">
        <v>21</v>
      </c>
      <c r="C1788" s="3">
        <v>2</v>
      </c>
      <c r="D1788" s="13">
        <f t="shared" si="55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4"/>
        <v>700</v>
      </c>
    </row>
    <row r="1789" spans="1:8" x14ac:dyDescent="0.3">
      <c r="A1789" s="13">
        <v>45544</v>
      </c>
      <c r="B1789" s="15" t="s">
        <v>21</v>
      </c>
      <c r="C1789" s="3">
        <v>3</v>
      </c>
      <c r="D1789" s="13">
        <f t="shared" si="55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4"/>
        <v>700</v>
      </c>
    </row>
    <row r="1790" spans="1:8" x14ac:dyDescent="0.3">
      <c r="A1790" s="13">
        <v>45545</v>
      </c>
      <c r="B1790" s="15" t="s">
        <v>21</v>
      </c>
      <c r="C1790" s="3">
        <v>2</v>
      </c>
      <c r="D1790" s="13">
        <f t="shared" si="55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4"/>
        <v>4500</v>
      </c>
    </row>
    <row r="1791" spans="1:8" x14ac:dyDescent="0.3">
      <c r="A1791" s="13">
        <v>45545</v>
      </c>
      <c r="B1791" s="15" t="s">
        <v>21</v>
      </c>
      <c r="C1791" s="3">
        <v>3</v>
      </c>
      <c r="D1791" s="13">
        <f t="shared" si="55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4"/>
        <v>4500</v>
      </c>
    </row>
    <row r="1792" spans="1:8" x14ac:dyDescent="0.3">
      <c r="A1792" s="13">
        <v>45546</v>
      </c>
      <c r="B1792" s="15" t="s">
        <v>21</v>
      </c>
      <c r="C1792" s="3">
        <v>5</v>
      </c>
      <c r="D1792" s="13">
        <f t="shared" si="55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4"/>
        <v>11200</v>
      </c>
    </row>
    <row r="1793" spans="1:8" x14ac:dyDescent="0.3">
      <c r="A1793" s="13">
        <v>45546</v>
      </c>
      <c r="B1793" s="15" t="s">
        <v>21</v>
      </c>
      <c r="C1793" s="3">
        <v>2</v>
      </c>
      <c r="D1793" s="13">
        <f t="shared" si="55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4"/>
        <v>11200</v>
      </c>
    </row>
    <row r="1794" spans="1:8" x14ac:dyDescent="0.3">
      <c r="A1794" s="13">
        <v>45547</v>
      </c>
      <c r="B1794" s="15" t="s">
        <v>21</v>
      </c>
      <c r="C1794" s="3">
        <v>4</v>
      </c>
      <c r="D1794" s="13">
        <f t="shared" si="55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4"/>
        <v>12400</v>
      </c>
    </row>
    <row r="1795" spans="1:8" x14ac:dyDescent="0.3">
      <c r="A1795" s="13">
        <v>45547</v>
      </c>
      <c r="B1795" s="15" t="s">
        <v>21</v>
      </c>
      <c r="C1795" s="3">
        <v>5</v>
      </c>
      <c r="D1795" s="13">
        <f t="shared" si="55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4"/>
        <v>12400</v>
      </c>
    </row>
    <row r="1796" spans="1:8" x14ac:dyDescent="0.3">
      <c r="A1796" s="13">
        <v>45548</v>
      </c>
      <c r="B1796" s="15" t="s">
        <v>21</v>
      </c>
      <c r="C1796" s="3">
        <v>3</v>
      </c>
      <c r="D1796" s="13">
        <f t="shared" si="55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4"/>
        <v>16500</v>
      </c>
    </row>
    <row r="1797" spans="1:8" x14ac:dyDescent="0.3">
      <c r="A1797" s="13">
        <v>45548</v>
      </c>
      <c r="B1797" s="15" t="s">
        <v>21</v>
      </c>
      <c r="C1797" s="3">
        <v>4</v>
      </c>
      <c r="D1797" s="13">
        <f t="shared" si="55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4"/>
        <v>16500</v>
      </c>
    </row>
    <row r="1798" spans="1:8" x14ac:dyDescent="0.3">
      <c r="A1798" s="13">
        <v>45548</v>
      </c>
      <c r="B1798" s="15" t="s">
        <v>21</v>
      </c>
      <c r="C1798" s="3">
        <v>5</v>
      </c>
      <c r="D1798" s="13">
        <f t="shared" si="55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4"/>
        <v>16500</v>
      </c>
    </row>
    <row r="1799" spans="1:8" x14ac:dyDescent="0.3">
      <c r="A1799" s="13">
        <v>45551</v>
      </c>
      <c r="B1799" s="15" t="s">
        <v>21</v>
      </c>
      <c r="C1799" s="3">
        <v>2</v>
      </c>
      <c r="D1799" s="13">
        <f t="shared" si="55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4"/>
        <v>16500</v>
      </c>
    </row>
    <row r="1800" spans="1:8" x14ac:dyDescent="0.3">
      <c r="A1800" s="13">
        <v>45551</v>
      </c>
      <c r="B1800" s="15" t="s">
        <v>21</v>
      </c>
      <c r="C1800" s="3">
        <v>3</v>
      </c>
      <c r="D1800" s="13">
        <f t="shared" si="55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4"/>
        <v>16500</v>
      </c>
    </row>
    <row r="1801" spans="1:8" x14ac:dyDescent="0.3">
      <c r="A1801" s="13">
        <v>45551</v>
      </c>
      <c r="B1801" s="15" t="s">
        <v>21</v>
      </c>
      <c r="C1801" s="3">
        <v>4</v>
      </c>
      <c r="D1801" s="13">
        <f t="shared" si="55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4"/>
        <v>16500</v>
      </c>
    </row>
    <row r="1802" spans="1:8" x14ac:dyDescent="0.3">
      <c r="A1802" s="13">
        <v>45551</v>
      </c>
      <c r="B1802" s="15" t="s">
        <v>21</v>
      </c>
      <c r="C1802" s="3">
        <v>7</v>
      </c>
      <c r="D1802" s="13">
        <f t="shared" si="55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6">+SUMIFS($E$10:$E$4506,$A$10:$A$4506,"&lt;="&amp;A1802,$D$10:$D$4506,"&gt;"&amp;A1802)</f>
        <v>16500</v>
      </c>
    </row>
    <row r="1803" spans="1:8" x14ac:dyDescent="0.3">
      <c r="A1803" s="13">
        <v>45552</v>
      </c>
      <c r="B1803" s="15" t="s">
        <v>21</v>
      </c>
      <c r="C1803" s="3">
        <v>2</v>
      </c>
      <c r="D1803" s="13">
        <f t="shared" si="55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6"/>
        <v>20300</v>
      </c>
    </row>
    <row r="1804" spans="1:8" x14ac:dyDescent="0.3">
      <c r="A1804" s="13">
        <v>45552</v>
      </c>
      <c r="B1804" s="15" t="s">
        <v>21</v>
      </c>
      <c r="C1804" s="3">
        <v>3</v>
      </c>
      <c r="D1804" s="13">
        <f t="shared" si="55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6"/>
        <v>20300</v>
      </c>
    </row>
    <row r="1805" spans="1:8" x14ac:dyDescent="0.3">
      <c r="A1805" s="13">
        <v>45552</v>
      </c>
      <c r="B1805" s="15" t="s">
        <v>21</v>
      </c>
      <c r="C1805" s="3">
        <v>6</v>
      </c>
      <c r="D1805" s="13">
        <f t="shared" si="55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6"/>
        <v>20300</v>
      </c>
    </row>
    <row r="1806" spans="1:8" x14ac:dyDescent="0.3">
      <c r="A1806" s="13">
        <v>45553</v>
      </c>
      <c r="B1806" s="15" t="s">
        <v>21</v>
      </c>
      <c r="C1806" s="3">
        <v>2</v>
      </c>
      <c r="D1806" s="13">
        <f t="shared" si="55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6"/>
        <v>22300</v>
      </c>
    </row>
    <row r="1807" spans="1:8" x14ac:dyDescent="0.3">
      <c r="A1807" s="13">
        <v>45553</v>
      </c>
      <c r="B1807" s="15" t="s">
        <v>21</v>
      </c>
      <c r="C1807" s="3">
        <v>5</v>
      </c>
      <c r="D1807" s="13">
        <f t="shared" si="55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6"/>
        <v>22300</v>
      </c>
    </row>
    <row r="1808" spans="1:8" x14ac:dyDescent="0.3">
      <c r="A1808" s="13">
        <v>45554</v>
      </c>
      <c r="B1808" s="15" t="s">
        <v>21</v>
      </c>
      <c r="C1808" s="3">
        <v>4</v>
      </c>
      <c r="D1808" s="13">
        <f t="shared" si="55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6"/>
        <v>24600</v>
      </c>
    </row>
    <row r="1809" spans="1:8" x14ac:dyDescent="0.3">
      <c r="A1809" s="13">
        <v>45554</v>
      </c>
      <c r="B1809" s="15" t="s">
        <v>21</v>
      </c>
      <c r="C1809" s="3">
        <v>5</v>
      </c>
      <c r="D1809" s="13">
        <f t="shared" si="55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6"/>
        <v>24600</v>
      </c>
    </row>
    <row r="1810" spans="1:8" x14ac:dyDescent="0.3">
      <c r="A1810" s="13">
        <v>45554</v>
      </c>
      <c r="B1810" s="15" t="s">
        <v>21</v>
      </c>
      <c r="C1810" s="3">
        <v>6</v>
      </c>
      <c r="D1810" s="13">
        <f t="shared" si="55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6"/>
        <v>24600</v>
      </c>
    </row>
    <row r="1811" spans="1:8" x14ac:dyDescent="0.3">
      <c r="A1811" s="13">
        <v>45554</v>
      </c>
      <c r="B1811" s="15" t="s">
        <v>21</v>
      </c>
      <c r="C1811" s="3">
        <v>11</v>
      </c>
      <c r="D1811" s="13">
        <f t="shared" si="55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6"/>
        <v>24600</v>
      </c>
    </row>
    <row r="1812" spans="1:8" x14ac:dyDescent="0.3">
      <c r="A1812" s="13">
        <v>45555</v>
      </c>
      <c r="B1812" s="15" t="s">
        <v>21</v>
      </c>
      <c r="C1812" s="3">
        <v>3</v>
      </c>
      <c r="D1812" s="13">
        <f t="shared" ref="D1812" si="57"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6"/>
        <v>27800</v>
      </c>
    </row>
    <row r="1813" spans="1:8" x14ac:dyDescent="0.3">
      <c r="A1813" s="13">
        <v>45555</v>
      </c>
      <c r="B1813" s="15" t="s">
        <v>21</v>
      </c>
      <c r="C1813" s="3">
        <v>4</v>
      </c>
      <c r="D1813" s="13">
        <f t="shared" ref="D1813:D1847" si="58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6"/>
        <v>27800</v>
      </c>
    </row>
    <row r="1814" spans="1:8" x14ac:dyDescent="0.3">
      <c r="A1814" s="13">
        <v>45555</v>
      </c>
      <c r="B1814" s="15" t="s">
        <v>21</v>
      </c>
      <c r="C1814" s="3">
        <v>5</v>
      </c>
      <c r="D1814" s="13">
        <f t="shared" si="58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6"/>
        <v>27800</v>
      </c>
    </row>
    <row r="1815" spans="1:8" x14ac:dyDescent="0.3">
      <c r="A1815" s="13">
        <v>45555</v>
      </c>
      <c r="B1815" s="15" t="s">
        <v>21</v>
      </c>
      <c r="C1815" s="3">
        <v>6</v>
      </c>
      <c r="D1815" s="13">
        <f t="shared" si="58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6"/>
        <v>27800</v>
      </c>
    </row>
    <row r="1816" spans="1:8" x14ac:dyDescent="0.3">
      <c r="A1816" s="13">
        <v>45558</v>
      </c>
      <c r="B1816" s="15" t="s">
        <v>21</v>
      </c>
      <c r="C1816" s="3">
        <v>1</v>
      </c>
      <c r="D1816" s="13">
        <f t="shared" si="58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6"/>
        <v>18700</v>
      </c>
    </row>
    <row r="1817" spans="1:8" x14ac:dyDescent="0.3">
      <c r="A1817" s="13">
        <v>45558</v>
      </c>
      <c r="B1817" s="15" t="s">
        <v>21</v>
      </c>
      <c r="C1817" s="3">
        <v>2</v>
      </c>
      <c r="D1817" s="13">
        <f t="shared" si="58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6"/>
        <v>18700</v>
      </c>
    </row>
    <row r="1818" spans="1:8" x14ac:dyDescent="0.3">
      <c r="A1818" s="13">
        <v>45558</v>
      </c>
      <c r="B1818" s="15" t="s">
        <v>21</v>
      </c>
      <c r="C1818" s="3">
        <v>3</v>
      </c>
      <c r="D1818" s="13">
        <f t="shared" si="58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6"/>
        <v>18700</v>
      </c>
    </row>
    <row r="1819" spans="1:8" x14ac:dyDescent="0.3">
      <c r="A1819" s="13">
        <v>45558</v>
      </c>
      <c r="B1819" s="15" t="s">
        <v>21</v>
      </c>
      <c r="C1819" s="3">
        <v>4</v>
      </c>
      <c r="D1819" s="13">
        <f t="shared" si="58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6"/>
        <v>18700</v>
      </c>
    </row>
    <row r="1820" spans="1:8" x14ac:dyDescent="0.3">
      <c r="A1820" s="13">
        <v>45558</v>
      </c>
      <c r="B1820" s="15" t="s">
        <v>21</v>
      </c>
      <c r="C1820" s="3">
        <v>7</v>
      </c>
      <c r="D1820" s="13">
        <f t="shared" si="58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6"/>
        <v>18700</v>
      </c>
    </row>
    <row r="1821" spans="1:8" x14ac:dyDescent="0.3">
      <c r="A1821" s="13">
        <v>45559</v>
      </c>
      <c r="B1821" s="15" t="s">
        <v>21</v>
      </c>
      <c r="C1821" s="3">
        <v>1</v>
      </c>
      <c r="D1821" s="13">
        <f t="shared" si="58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6"/>
        <v>19500</v>
      </c>
    </row>
    <row r="1822" spans="1:8" x14ac:dyDescent="0.3">
      <c r="A1822" s="13">
        <v>45559</v>
      </c>
      <c r="B1822" s="15" t="s">
        <v>21</v>
      </c>
      <c r="C1822" s="3">
        <v>2</v>
      </c>
      <c r="D1822" s="13">
        <f t="shared" si="58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6"/>
        <v>19500</v>
      </c>
    </row>
    <row r="1823" spans="1:8" x14ac:dyDescent="0.3">
      <c r="A1823" s="13">
        <v>45559</v>
      </c>
      <c r="B1823" s="15" t="s">
        <v>21</v>
      </c>
      <c r="C1823" s="3">
        <v>3</v>
      </c>
      <c r="D1823" s="13">
        <f t="shared" si="58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6"/>
        <v>19500</v>
      </c>
    </row>
    <row r="1824" spans="1:8" x14ac:dyDescent="0.3">
      <c r="A1824" s="13">
        <v>45559</v>
      </c>
      <c r="B1824" s="15" t="s">
        <v>21</v>
      </c>
      <c r="C1824" s="3">
        <v>6</v>
      </c>
      <c r="D1824" s="13">
        <f t="shared" si="58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6"/>
        <v>19500</v>
      </c>
    </row>
    <row r="1825" spans="1:8" x14ac:dyDescent="0.3">
      <c r="A1825" s="13">
        <v>45560</v>
      </c>
      <c r="B1825" s="15" t="s">
        <v>21</v>
      </c>
      <c r="C1825" s="3">
        <v>2</v>
      </c>
      <c r="D1825" s="13">
        <f t="shared" si="58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6"/>
        <v>17600</v>
      </c>
    </row>
    <row r="1826" spans="1:8" x14ac:dyDescent="0.3">
      <c r="A1826" s="13">
        <v>45560</v>
      </c>
      <c r="B1826" s="15" t="s">
        <v>21</v>
      </c>
      <c r="C1826" s="3">
        <v>5</v>
      </c>
      <c r="D1826" s="13">
        <f t="shared" si="58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6"/>
        <v>17600</v>
      </c>
    </row>
    <row r="1827" spans="1:8" x14ac:dyDescent="0.3">
      <c r="A1827" s="13">
        <v>45561</v>
      </c>
      <c r="B1827" s="15" t="s">
        <v>21</v>
      </c>
      <c r="C1827" s="3">
        <v>4</v>
      </c>
      <c r="D1827" s="13">
        <f t="shared" si="58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6"/>
        <v>17200</v>
      </c>
    </row>
    <row r="1828" spans="1:8" x14ac:dyDescent="0.3">
      <c r="A1828" s="13">
        <v>45561</v>
      </c>
      <c r="B1828" s="15" t="s">
        <v>21</v>
      </c>
      <c r="C1828" s="3">
        <v>5</v>
      </c>
      <c r="D1828" s="13">
        <f t="shared" si="58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6"/>
        <v>17200</v>
      </c>
    </row>
    <row r="1829" spans="1:8" x14ac:dyDescent="0.3">
      <c r="A1829" s="13">
        <v>45562</v>
      </c>
      <c r="B1829" s="15" t="s">
        <v>21</v>
      </c>
      <c r="C1829" s="3">
        <v>3</v>
      </c>
      <c r="D1829" s="13">
        <f t="shared" si="58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6"/>
        <v>16200</v>
      </c>
    </row>
    <row r="1830" spans="1:8" x14ac:dyDescent="0.3">
      <c r="A1830" s="13">
        <v>45562</v>
      </c>
      <c r="B1830" s="15" t="s">
        <v>21</v>
      </c>
      <c r="C1830" s="3">
        <v>4</v>
      </c>
      <c r="D1830" s="13">
        <f t="shared" si="58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6"/>
        <v>16200</v>
      </c>
    </row>
    <row r="1831" spans="1:8" x14ac:dyDescent="0.3">
      <c r="A1831" s="13">
        <v>45565</v>
      </c>
      <c r="B1831" s="15" t="s">
        <v>21</v>
      </c>
      <c r="C1831" s="3">
        <v>1</v>
      </c>
      <c r="D1831" s="13">
        <f t="shared" si="58"/>
        <v>45566</v>
      </c>
      <c r="E1831" s="15">
        <v>2300</v>
      </c>
      <c r="F1831" s="9">
        <v>0.08</v>
      </c>
      <c r="G1831" s="9">
        <v>8.5000000000000006E-2</v>
      </c>
      <c r="H1831" s="15">
        <f t="shared" si="56"/>
        <v>11700</v>
      </c>
    </row>
    <row r="1832" spans="1:8" x14ac:dyDescent="0.3">
      <c r="A1832" s="13">
        <v>45565</v>
      </c>
      <c r="B1832" s="15" t="s">
        <v>21</v>
      </c>
      <c r="C1832" s="3">
        <v>2</v>
      </c>
      <c r="D1832" s="13">
        <f t="shared" si="58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6"/>
        <v>11700</v>
      </c>
    </row>
    <row r="1833" spans="1:8" x14ac:dyDescent="0.3">
      <c r="A1833" s="13">
        <v>45565</v>
      </c>
      <c r="B1833" s="15" t="s">
        <v>21</v>
      </c>
      <c r="C1833" s="3">
        <v>4</v>
      </c>
      <c r="D1833" s="13">
        <f t="shared" si="58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6"/>
        <v>11700</v>
      </c>
    </row>
    <row r="1834" spans="1:8" x14ac:dyDescent="0.3">
      <c r="A1834" s="13">
        <v>45566</v>
      </c>
      <c r="B1834" s="15" t="s">
        <v>21</v>
      </c>
      <c r="C1834" s="3">
        <v>2</v>
      </c>
      <c r="D1834" s="13">
        <f t="shared" si="58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6"/>
        <v>5400</v>
      </c>
    </row>
    <row r="1835" spans="1:8" x14ac:dyDescent="0.3">
      <c r="A1835" s="13">
        <v>45566</v>
      </c>
      <c r="B1835" s="15" t="s">
        <v>21</v>
      </c>
      <c r="C1835" s="3">
        <v>3</v>
      </c>
      <c r="D1835" s="13">
        <f t="shared" si="58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6"/>
        <v>5400</v>
      </c>
    </row>
    <row r="1836" spans="1:8" x14ac:dyDescent="0.3">
      <c r="A1836" s="13">
        <v>45566</v>
      </c>
      <c r="B1836" s="15" t="s">
        <v>21</v>
      </c>
      <c r="C1836" s="3">
        <v>6</v>
      </c>
      <c r="D1836" s="13">
        <f t="shared" si="58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6"/>
        <v>5400</v>
      </c>
    </row>
    <row r="1837" spans="1:8" x14ac:dyDescent="0.3">
      <c r="A1837" s="13">
        <v>45567</v>
      </c>
      <c r="B1837" s="15" t="s">
        <v>21</v>
      </c>
      <c r="C1837" s="3">
        <v>1</v>
      </c>
      <c r="D1837" s="13">
        <f t="shared" si="58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6"/>
        <v>7200</v>
      </c>
    </row>
    <row r="1838" spans="1:8" x14ac:dyDescent="0.3">
      <c r="A1838" s="13">
        <v>45567</v>
      </c>
      <c r="B1838" s="15" t="s">
        <v>21</v>
      </c>
      <c r="C1838" s="3">
        <v>1</v>
      </c>
      <c r="D1838" s="13">
        <f t="shared" si="58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6"/>
        <v>7200</v>
      </c>
    </row>
    <row r="1839" spans="1:8" x14ac:dyDescent="0.3">
      <c r="A1839" s="13">
        <v>45567</v>
      </c>
      <c r="B1839" s="15" t="s">
        <v>21</v>
      </c>
      <c r="C1839" s="3">
        <v>2</v>
      </c>
      <c r="D1839" s="13">
        <f t="shared" si="58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6"/>
        <v>7200</v>
      </c>
    </row>
    <row r="1840" spans="1:8" x14ac:dyDescent="0.3">
      <c r="A1840" s="13">
        <v>45567</v>
      </c>
      <c r="B1840" s="15" t="s">
        <v>21</v>
      </c>
      <c r="C1840" s="3">
        <v>5</v>
      </c>
      <c r="D1840" s="13">
        <f t="shared" si="58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6"/>
        <v>7200</v>
      </c>
    </row>
    <row r="1841" spans="1:8" x14ac:dyDescent="0.3">
      <c r="A1841" s="13">
        <v>45568</v>
      </c>
      <c r="B1841" s="15" t="s">
        <v>21</v>
      </c>
      <c r="C1841" s="3">
        <v>1</v>
      </c>
      <c r="D1841" s="13">
        <f t="shared" si="58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6"/>
        <v>8700</v>
      </c>
    </row>
    <row r="1842" spans="1:8" x14ac:dyDescent="0.3">
      <c r="A1842" s="13">
        <v>45568</v>
      </c>
      <c r="B1842" s="15" t="s">
        <v>21</v>
      </c>
      <c r="C1842" s="3">
        <v>4</v>
      </c>
      <c r="D1842" s="13">
        <f t="shared" si="58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6"/>
        <v>8700</v>
      </c>
    </row>
    <row r="1843" spans="1:8" x14ac:dyDescent="0.3">
      <c r="A1843" s="13">
        <v>45569</v>
      </c>
      <c r="B1843" s="15" t="s">
        <v>21</v>
      </c>
      <c r="C1843" s="3">
        <v>3</v>
      </c>
      <c r="D1843" s="13">
        <f t="shared" si="58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6"/>
        <v>12400</v>
      </c>
    </row>
    <row r="1844" spans="1:8" x14ac:dyDescent="0.3">
      <c r="A1844" s="13">
        <v>45569</v>
      </c>
      <c r="B1844" s="15" t="s">
        <v>21</v>
      </c>
      <c r="C1844" s="3">
        <v>4</v>
      </c>
      <c r="D1844" s="13">
        <f t="shared" si="58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6"/>
        <v>12400</v>
      </c>
    </row>
    <row r="1845" spans="1:8" x14ac:dyDescent="0.3">
      <c r="A1845" s="13">
        <v>45569</v>
      </c>
      <c r="B1845" s="15" t="s">
        <v>21</v>
      </c>
      <c r="C1845" s="3">
        <v>5</v>
      </c>
      <c r="D1845" s="13">
        <f t="shared" si="58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6"/>
        <v>12400</v>
      </c>
    </row>
    <row r="1846" spans="1:8" x14ac:dyDescent="0.3">
      <c r="A1846" s="13">
        <v>45569</v>
      </c>
      <c r="B1846" s="15" t="s">
        <v>21</v>
      </c>
      <c r="C1846" s="3">
        <v>14</v>
      </c>
      <c r="D1846" s="13">
        <f t="shared" si="58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6"/>
        <v>12400</v>
      </c>
    </row>
    <row r="1847" spans="1:8" x14ac:dyDescent="0.3">
      <c r="A1847" s="13">
        <v>45572</v>
      </c>
      <c r="B1847" s="15" t="s">
        <v>21</v>
      </c>
      <c r="C1847" s="3">
        <v>1</v>
      </c>
      <c r="D1847" s="13">
        <f t="shared" si="58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6"/>
        <v>15950</v>
      </c>
    </row>
    <row r="1848" spans="1:8" x14ac:dyDescent="0.3">
      <c r="A1848" s="13">
        <v>45572</v>
      </c>
      <c r="B1848" s="15" t="s">
        <v>21</v>
      </c>
      <c r="C1848" s="3">
        <v>2</v>
      </c>
      <c r="D1848" s="13">
        <f t="shared" ref="D1848:D1900" si="59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6"/>
        <v>15950</v>
      </c>
    </row>
    <row r="1849" spans="1:8" x14ac:dyDescent="0.3">
      <c r="A1849" s="13">
        <v>45572</v>
      </c>
      <c r="B1849" s="15" t="s">
        <v>21</v>
      </c>
      <c r="C1849" s="3">
        <v>3</v>
      </c>
      <c r="D1849" s="13">
        <f t="shared" si="59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6"/>
        <v>15950</v>
      </c>
    </row>
    <row r="1850" spans="1:8" x14ac:dyDescent="0.3">
      <c r="A1850" s="13">
        <v>45572</v>
      </c>
      <c r="B1850" s="15" t="s">
        <v>21</v>
      </c>
      <c r="C1850" s="3">
        <v>4</v>
      </c>
      <c r="D1850" s="13">
        <f t="shared" si="59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6"/>
        <v>15950</v>
      </c>
    </row>
    <row r="1851" spans="1:8" x14ac:dyDescent="0.3">
      <c r="A1851" s="13">
        <v>45572</v>
      </c>
      <c r="B1851" s="15" t="s">
        <v>21</v>
      </c>
      <c r="C1851" s="3">
        <v>7</v>
      </c>
      <c r="D1851" s="13">
        <f t="shared" si="59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6"/>
        <v>15950</v>
      </c>
    </row>
    <row r="1852" spans="1:8" x14ac:dyDescent="0.3">
      <c r="A1852" s="13">
        <v>45573</v>
      </c>
      <c r="B1852" s="15" t="s">
        <v>21</v>
      </c>
      <c r="C1852" s="3">
        <v>1</v>
      </c>
      <c r="D1852" s="13">
        <f t="shared" si="59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6"/>
        <v>19150</v>
      </c>
    </row>
    <row r="1853" spans="1:8" x14ac:dyDescent="0.3">
      <c r="A1853" s="13">
        <v>45573</v>
      </c>
      <c r="B1853" s="15" t="s">
        <v>21</v>
      </c>
      <c r="C1853" s="3">
        <v>2</v>
      </c>
      <c r="D1853" s="13">
        <f t="shared" si="59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6"/>
        <v>19150</v>
      </c>
    </row>
    <row r="1854" spans="1:8" x14ac:dyDescent="0.3">
      <c r="A1854" s="13">
        <v>45573</v>
      </c>
      <c r="B1854" s="15" t="s">
        <v>21</v>
      </c>
      <c r="C1854" s="3">
        <v>3</v>
      </c>
      <c r="D1854" s="13">
        <f t="shared" si="59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6"/>
        <v>19150</v>
      </c>
    </row>
    <row r="1855" spans="1:8" x14ac:dyDescent="0.3">
      <c r="A1855" s="13">
        <v>45573</v>
      </c>
      <c r="B1855" s="15" t="s">
        <v>21</v>
      </c>
      <c r="C1855" s="3">
        <v>6</v>
      </c>
      <c r="D1855" s="13">
        <f t="shared" si="59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6"/>
        <v>19150</v>
      </c>
    </row>
    <row r="1856" spans="1:8" x14ac:dyDescent="0.3">
      <c r="A1856" s="13">
        <v>45574</v>
      </c>
      <c r="B1856" s="15" t="s">
        <v>21</v>
      </c>
      <c r="C1856" s="3">
        <v>1</v>
      </c>
      <c r="D1856" s="13">
        <f t="shared" si="59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6"/>
        <v>29050</v>
      </c>
    </row>
    <row r="1857" spans="1:8" x14ac:dyDescent="0.3">
      <c r="A1857" s="13">
        <v>45574</v>
      </c>
      <c r="B1857" s="15" t="s">
        <v>21</v>
      </c>
      <c r="C1857" s="3">
        <v>2</v>
      </c>
      <c r="D1857" s="13">
        <f t="shared" si="59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6"/>
        <v>29050</v>
      </c>
    </row>
    <row r="1858" spans="1:8" x14ac:dyDescent="0.3">
      <c r="A1858" s="13">
        <v>45574</v>
      </c>
      <c r="B1858" s="15" t="s">
        <v>21</v>
      </c>
      <c r="C1858" s="3">
        <v>5</v>
      </c>
      <c r="D1858" s="13">
        <f t="shared" si="59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6"/>
        <v>29050</v>
      </c>
    </row>
    <row r="1859" spans="1:8" x14ac:dyDescent="0.3">
      <c r="A1859" s="13">
        <v>45574</v>
      </c>
      <c r="B1859" s="15" t="s">
        <v>21</v>
      </c>
      <c r="C1859" s="3">
        <v>6</v>
      </c>
      <c r="D1859" s="13">
        <f t="shared" si="59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6"/>
        <v>29050</v>
      </c>
    </row>
    <row r="1860" spans="1:8" x14ac:dyDescent="0.3">
      <c r="A1860" s="13">
        <v>45574</v>
      </c>
      <c r="B1860" s="15" t="s">
        <v>21</v>
      </c>
      <c r="C1860" s="3">
        <v>7</v>
      </c>
      <c r="D1860" s="13">
        <f t="shared" si="59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6"/>
        <v>29050</v>
      </c>
    </row>
    <row r="1861" spans="1:8" x14ac:dyDescent="0.3">
      <c r="A1861" s="13">
        <v>45574</v>
      </c>
      <c r="B1861" s="15" t="s">
        <v>21</v>
      </c>
      <c r="C1861" s="3">
        <v>13</v>
      </c>
      <c r="D1861" s="13">
        <f t="shared" si="59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6"/>
        <v>29050</v>
      </c>
    </row>
    <row r="1862" spans="1:8" x14ac:dyDescent="0.3">
      <c r="A1862" s="13">
        <v>45574</v>
      </c>
      <c r="B1862" s="15" t="s">
        <v>21</v>
      </c>
      <c r="C1862" s="3">
        <v>19</v>
      </c>
      <c r="D1862" s="13">
        <f t="shared" si="59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6"/>
        <v>29050</v>
      </c>
    </row>
    <row r="1863" spans="1:8" x14ac:dyDescent="0.3">
      <c r="A1863" s="13">
        <v>45575</v>
      </c>
      <c r="B1863" s="15" t="s">
        <v>21</v>
      </c>
      <c r="C1863" s="3">
        <v>1</v>
      </c>
      <c r="D1863" s="13">
        <f t="shared" si="59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6"/>
        <v>32750</v>
      </c>
    </row>
    <row r="1864" spans="1:8" x14ac:dyDescent="0.3">
      <c r="A1864" s="13">
        <v>45575</v>
      </c>
      <c r="B1864" s="15" t="s">
        <v>21</v>
      </c>
      <c r="C1864" s="3">
        <v>4</v>
      </c>
      <c r="D1864" s="13">
        <f t="shared" si="59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6"/>
        <v>32750</v>
      </c>
    </row>
    <row r="1865" spans="1:8" x14ac:dyDescent="0.3">
      <c r="A1865" s="13">
        <v>45575</v>
      </c>
      <c r="B1865" s="15" t="s">
        <v>21</v>
      </c>
      <c r="C1865" s="3">
        <v>5</v>
      </c>
      <c r="D1865" s="13">
        <f t="shared" si="59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6"/>
        <v>32750</v>
      </c>
    </row>
    <row r="1866" spans="1:8" x14ac:dyDescent="0.3">
      <c r="A1866" s="13">
        <v>45575</v>
      </c>
      <c r="B1866" s="15" t="s">
        <v>21</v>
      </c>
      <c r="C1866" s="3">
        <v>6</v>
      </c>
      <c r="D1866" s="13">
        <f t="shared" si="59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60">+SUMIFS($E$10:$E$4506,$A$10:$A$4506,"&lt;="&amp;A1866,$D$10:$D$4506,"&gt;"&amp;A1866)</f>
        <v>32750</v>
      </c>
    </row>
    <row r="1867" spans="1:8" x14ac:dyDescent="0.3">
      <c r="A1867" s="13">
        <v>45575</v>
      </c>
      <c r="B1867" s="15" t="s">
        <v>21</v>
      </c>
      <c r="C1867" s="3">
        <v>7</v>
      </c>
      <c r="D1867" s="13">
        <f t="shared" si="59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60"/>
        <v>32750</v>
      </c>
    </row>
    <row r="1868" spans="1:8" x14ac:dyDescent="0.3">
      <c r="A1868" s="13">
        <v>45575</v>
      </c>
      <c r="B1868" s="15" t="s">
        <v>21</v>
      </c>
      <c r="C1868" s="3">
        <v>11</v>
      </c>
      <c r="D1868" s="13">
        <f t="shared" si="59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60"/>
        <v>32750</v>
      </c>
    </row>
    <row r="1869" spans="1:8" x14ac:dyDescent="0.3">
      <c r="A1869" s="13">
        <v>45575</v>
      </c>
      <c r="B1869" s="15" t="s">
        <v>21</v>
      </c>
      <c r="C1869" s="3">
        <v>18</v>
      </c>
      <c r="D1869" s="13">
        <f t="shared" si="59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60"/>
        <v>32750</v>
      </c>
    </row>
    <row r="1870" spans="1:8" x14ac:dyDescent="0.3">
      <c r="A1870" s="13">
        <v>45576</v>
      </c>
      <c r="B1870" s="15" t="s">
        <v>21</v>
      </c>
      <c r="C1870" s="3">
        <v>3</v>
      </c>
      <c r="D1870" s="13">
        <f t="shared" si="59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60"/>
        <v>32300</v>
      </c>
    </row>
    <row r="1871" spans="1:8" x14ac:dyDescent="0.3">
      <c r="A1871" s="13">
        <v>45576</v>
      </c>
      <c r="B1871" s="15" t="s">
        <v>21</v>
      </c>
      <c r="C1871" s="3">
        <v>3</v>
      </c>
      <c r="D1871" s="13">
        <f t="shared" si="59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60"/>
        <v>32300</v>
      </c>
    </row>
    <row r="1872" spans="1:8" x14ac:dyDescent="0.3">
      <c r="A1872" s="13">
        <v>45576</v>
      </c>
      <c r="B1872" s="15" t="s">
        <v>21</v>
      </c>
      <c r="C1872" s="3">
        <v>4</v>
      </c>
      <c r="D1872" s="13">
        <f t="shared" si="59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60"/>
        <v>32300</v>
      </c>
    </row>
    <row r="1873" spans="1:8" x14ac:dyDescent="0.3">
      <c r="A1873" s="13">
        <v>45576</v>
      </c>
      <c r="B1873" s="15" t="s">
        <v>21</v>
      </c>
      <c r="C1873" s="3">
        <v>5</v>
      </c>
      <c r="D1873" s="13">
        <f t="shared" si="59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60"/>
        <v>32300</v>
      </c>
    </row>
    <row r="1874" spans="1:8" x14ac:dyDescent="0.3">
      <c r="A1874" s="13">
        <v>45576</v>
      </c>
      <c r="B1874" s="15" t="s">
        <v>21</v>
      </c>
      <c r="C1874" s="3">
        <v>6</v>
      </c>
      <c r="D1874" s="13">
        <f t="shared" si="59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60"/>
        <v>32300</v>
      </c>
    </row>
    <row r="1875" spans="1:8" x14ac:dyDescent="0.3">
      <c r="A1875" s="13">
        <v>45576</v>
      </c>
      <c r="B1875" s="15" t="s">
        <v>21</v>
      </c>
      <c r="C1875" s="3">
        <v>7</v>
      </c>
      <c r="D1875" s="13">
        <f t="shared" si="59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60"/>
        <v>32300</v>
      </c>
    </row>
    <row r="1876" spans="1:8" x14ac:dyDescent="0.3">
      <c r="A1876" s="13">
        <v>45576</v>
      </c>
      <c r="B1876" s="15" t="s">
        <v>21</v>
      </c>
      <c r="C1876" s="3">
        <v>10</v>
      </c>
      <c r="D1876" s="13">
        <f t="shared" si="59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60"/>
        <v>32300</v>
      </c>
    </row>
    <row r="1877" spans="1:8" x14ac:dyDescent="0.3">
      <c r="A1877" s="13">
        <v>45576</v>
      </c>
      <c r="B1877" s="15" t="s">
        <v>21</v>
      </c>
      <c r="C1877" s="3">
        <v>17</v>
      </c>
      <c r="D1877" s="13">
        <f t="shared" si="59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60"/>
        <v>32300</v>
      </c>
    </row>
    <row r="1878" spans="1:8" x14ac:dyDescent="0.3">
      <c r="A1878" s="13">
        <v>45579</v>
      </c>
      <c r="B1878" s="15" t="s">
        <v>21</v>
      </c>
      <c r="C1878" s="3">
        <v>1</v>
      </c>
      <c r="D1878" s="13">
        <f t="shared" si="59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60"/>
        <v>29600</v>
      </c>
    </row>
    <row r="1879" spans="1:8" x14ac:dyDescent="0.3">
      <c r="A1879" s="13">
        <v>45579</v>
      </c>
      <c r="B1879" s="15" t="s">
        <v>21</v>
      </c>
      <c r="C1879" s="3">
        <v>2</v>
      </c>
      <c r="D1879" s="13">
        <f t="shared" si="59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60"/>
        <v>29600</v>
      </c>
    </row>
    <row r="1880" spans="1:8" x14ac:dyDescent="0.3">
      <c r="A1880" s="13">
        <v>45579</v>
      </c>
      <c r="B1880" s="15" t="s">
        <v>21</v>
      </c>
      <c r="C1880" s="3">
        <v>3</v>
      </c>
      <c r="D1880" s="13">
        <f t="shared" si="59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60"/>
        <v>29600</v>
      </c>
    </row>
    <row r="1881" spans="1:8" x14ac:dyDescent="0.3">
      <c r="A1881" s="13">
        <v>45579</v>
      </c>
      <c r="B1881" s="15" t="s">
        <v>21</v>
      </c>
      <c r="C1881" s="3">
        <v>7</v>
      </c>
      <c r="D1881" s="13">
        <f t="shared" si="59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60"/>
        <v>29600</v>
      </c>
    </row>
    <row r="1882" spans="1:8" x14ac:dyDescent="0.3">
      <c r="A1882" s="13">
        <v>45579</v>
      </c>
      <c r="B1882" s="15" t="s">
        <v>21</v>
      </c>
      <c r="C1882" s="3">
        <v>14</v>
      </c>
      <c r="D1882" s="13">
        <f t="shared" si="59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60"/>
        <v>29600</v>
      </c>
    </row>
    <row r="1883" spans="1:8" x14ac:dyDescent="0.3">
      <c r="A1883" s="13">
        <v>45580</v>
      </c>
      <c r="B1883" s="15" t="s">
        <v>21</v>
      </c>
      <c r="C1883" s="3">
        <v>1</v>
      </c>
      <c r="D1883" s="13">
        <f t="shared" si="59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60"/>
        <v>33900</v>
      </c>
    </row>
    <row r="1884" spans="1:8" x14ac:dyDescent="0.3">
      <c r="A1884" s="13">
        <v>45580</v>
      </c>
      <c r="B1884" s="15" t="s">
        <v>21</v>
      </c>
      <c r="C1884" s="3">
        <v>2</v>
      </c>
      <c r="D1884" s="13">
        <f t="shared" si="59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60"/>
        <v>33900</v>
      </c>
    </row>
    <row r="1885" spans="1:8" x14ac:dyDescent="0.3">
      <c r="A1885" s="13">
        <v>45580</v>
      </c>
      <c r="B1885" s="15" t="s">
        <v>21</v>
      </c>
      <c r="C1885" s="3">
        <v>3</v>
      </c>
      <c r="D1885" s="13">
        <f t="shared" si="59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60"/>
        <v>33900</v>
      </c>
    </row>
    <row r="1886" spans="1:8" x14ac:dyDescent="0.3">
      <c r="A1886" s="13">
        <v>45580</v>
      </c>
      <c r="B1886" s="15" t="s">
        <v>21</v>
      </c>
      <c r="C1886" s="3">
        <v>6</v>
      </c>
      <c r="D1886" s="13">
        <f t="shared" si="59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60"/>
        <v>33900</v>
      </c>
    </row>
    <row r="1887" spans="1:8" x14ac:dyDescent="0.3">
      <c r="A1887" s="13">
        <v>45580</v>
      </c>
      <c r="B1887" s="15" t="s">
        <v>21</v>
      </c>
      <c r="C1887" s="3">
        <v>13</v>
      </c>
      <c r="D1887" s="13">
        <f t="shared" si="59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60"/>
        <v>33900</v>
      </c>
    </row>
    <row r="1888" spans="1:8" x14ac:dyDescent="0.3">
      <c r="A1888" s="13">
        <v>45581</v>
      </c>
      <c r="B1888" s="15" t="s">
        <v>21</v>
      </c>
      <c r="C1888" s="3">
        <v>2</v>
      </c>
      <c r="D1888" s="13">
        <f t="shared" si="59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60"/>
        <v>33300</v>
      </c>
    </row>
    <row r="1889" spans="1:8" x14ac:dyDescent="0.3">
      <c r="A1889" s="13">
        <v>45581</v>
      </c>
      <c r="B1889" s="15" t="s">
        <v>21</v>
      </c>
      <c r="C1889" s="3">
        <v>5</v>
      </c>
      <c r="D1889" s="13">
        <f t="shared" si="59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60"/>
        <v>33300</v>
      </c>
    </row>
    <row r="1890" spans="1:8" x14ac:dyDescent="0.3">
      <c r="A1890" s="13">
        <v>45581</v>
      </c>
      <c r="B1890" s="15" t="s">
        <v>21</v>
      </c>
      <c r="C1890" s="3">
        <v>6</v>
      </c>
      <c r="D1890" s="13">
        <f t="shared" si="59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60"/>
        <v>33300</v>
      </c>
    </row>
    <row r="1891" spans="1:8" x14ac:dyDescent="0.3">
      <c r="A1891" s="13">
        <v>45581</v>
      </c>
      <c r="B1891" s="15" t="s">
        <v>21</v>
      </c>
      <c r="C1891" s="3">
        <v>12</v>
      </c>
      <c r="D1891" s="13">
        <f t="shared" si="59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60"/>
        <v>33300</v>
      </c>
    </row>
    <row r="1892" spans="1:8" x14ac:dyDescent="0.3">
      <c r="A1892" s="13">
        <v>45582</v>
      </c>
      <c r="B1892" s="15" t="s">
        <v>21</v>
      </c>
      <c r="C1892" s="3">
        <v>1</v>
      </c>
      <c r="D1892" s="13">
        <f t="shared" si="59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60"/>
        <v>35300</v>
      </c>
    </row>
    <row r="1893" spans="1:8" x14ac:dyDescent="0.3">
      <c r="A1893" s="13">
        <v>45582</v>
      </c>
      <c r="B1893" s="15" t="s">
        <v>21</v>
      </c>
      <c r="C1893" s="3">
        <v>4</v>
      </c>
      <c r="D1893" s="13">
        <f t="shared" si="59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60"/>
        <v>35300</v>
      </c>
    </row>
    <row r="1894" spans="1:8" x14ac:dyDescent="0.3">
      <c r="A1894" s="13">
        <v>45582</v>
      </c>
      <c r="B1894" s="15" t="s">
        <v>21</v>
      </c>
      <c r="C1894" s="3">
        <v>5</v>
      </c>
      <c r="D1894" s="13">
        <f t="shared" si="59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60"/>
        <v>35300</v>
      </c>
    </row>
    <row r="1895" spans="1:8" x14ac:dyDescent="0.3">
      <c r="A1895" s="13">
        <v>45582</v>
      </c>
      <c r="B1895" s="15" t="s">
        <v>21</v>
      </c>
      <c r="C1895" s="3">
        <v>6</v>
      </c>
      <c r="D1895" s="13">
        <f t="shared" si="59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60"/>
        <v>35300</v>
      </c>
    </row>
    <row r="1896" spans="1:8" x14ac:dyDescent="0.3">
      <c r="A1896" s="13">
        <v>45582</v>
      </c>
      <c r="B1896" s="15" t="s">
        <v>21</v>
      </c>
      <c r="C1896" s="3">
        <v>11</v>
      </c>
      <c r="D1896" s="13">
        <f t="shared" si="59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60"/>
        <v>35300</v>
      </c>
    </row>
    <row r="1897" spans="1:8" x14ac:dyDescent="0.3">
      <c r="A1897" s="13">
        <v>45583</v>
      </c>
      <c r="B1897" s="15" t="s">
        <v>21</v>
      </c>
      <c r="C1897" s="3">
        <v>3</v>
      </c>
      <c r="D1897" s="13">
        <f t="shared" si="59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60"/>
        <v>36900</v>
      </c>
    </row>
    <row r="1898" spans="1:8" x14ac:dyDescent="0.3">
      <c r="A1898" s="13">
        <v>45583</v>
      </c>
      <c r="B1898" s="15" t="s">
        <v>21</v>
      </c>
      <c r="C1898" s="3">
        <v>4</v>
      </c>
      <c r="D1898" s="13">
        <f t="shared" si="59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60"/>
        <v>36900</v>
      </c>
    </row>
    <row r="1899" spans="1:8" x14ac:dyDescent="0.3">
      <c r="A1899" s="13">
        <v>45583</v>
      </c>
      <c r="B1899" s="15" t="s">
        <v>21</v>
      </c>
      <c r="C1899" s="3">
        <v>5</v>
      </c>
      <c r="D1899" s="13">
        <f t="shared" si="59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60"/>
        <v>36900</v>
      </c>
    </row>
    <row r="1900" spans="1:8" x14ac:dyDescent="0.3">
      <c r="A1900" s="13">
        <v>45583</v>
      </c>
      <c r="B1900" s="15" t="s">
        <v>21</v>
      </c>
      <c r="C1900" s="3">
        <v>6</v>
      </c>
      <c r="D1900" s="13">
        <f t="shared" si="59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60"/>
        <v>36900</v>
      </c>
    </row>
    <row r="1901" spans="1:8" x14ac:dyDescent="0.3">
      <c r="A1901" s="13">
        <v>45583</v>
      </c>
      <c r="B1901" s="15" t="s">
        <v>21</v>
      </c>
      <c r="C1901" s="3">
        <v>10</v>
      </c>
      <c r="D1901" s="13">
        <f t="shared" ref="D1901:D1981" si="61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60"/>
        <v>36900</v>
      </c>
    </row>
    <row r="1902" spans="1:8" x14ac:dyDescent="0.3">
      <c r="A1902" s="13">
        <v>45586</v>
      </c>
      <c r="B1902" s="15" t="s">
        <v>21</v>
      </c>
      <c r="C1902" s="3">
        <v>1</v>
      </c>
      <c r="D1902" s="13">
        <f t="shared" si="61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60"/>
        <v>36600</v>
      </c>
    </row>
    <row r="1903" spans="1:8" x14ac:dyDescent="0.3">
      <c r="A1903" s="13">
        <v>45586</v>
      </c>
      <c r="B1903" s="15" t="s">
        <v>21</v>
      </c>
      <c r="C1903" s="3">
        <v>2</v>
      </c>
      <c r="D1903" s="13">
        <f t="shared" si="61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60"/>
        <v>36600</v>
      </c>
    </row>
    <row r="1904" spans="1:8" x14ac:dyDescent="0.3">
      <c r="A1904" s="13">
        <v>45586</v>
      </c>
      <c r="B1904" s="15" t="s">
        <v>21</v>
      </c>
      <c r="C1904" s="3">
        <v>3</v>
      </c>
      <c r="D1904" s="13">
        <f t="shared" si="61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60"/>
        <v>36600</v>
      </c>
    </row>
    <row r="1905" spans="1:8" x14ac:dyDescent="0.3">
      <c r="A1905" s="13">
        <v>45586</v>
      </c>
      <c r="B1905" s="15" t="s">
        <v>21</v>
      </c>
      <c r="C1905" s="3">
        <v>4</v>
      </c>
      <c r="D1905" s="13">
        <f t="shared" si="61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60"/>
        <v>36600</v>
      </c>
    </row>
    <row r="1906" spans="1:8" x14ac:dyDescent="0.3">
      <c r="A1906" s="13">
        <v>45586</v>
      </c>
      <c r="B1906" s="15" t="s">
        <v>21</v>
      </c>
      <c r="C1906" s="3">
        <v>7</v>
      </c>
      <c r="D1906" s="13">
        <f t="shared" si="61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60"/>
        <v>36600</v>
      </c>
    </row>
    <row r="1907" spans="1:8" x14ac:dyDescent="0.3">
      <c r="A1907" s="13">
        <v>45587</v>
      </c>
      <c r="B1907" s="15" t="s">
        <v>21</v>
      </c>
      <c r="C1907" s="3">
        <v>1</v>
      </c>
      <c r="D1907" s="13">
        <f t="shared" si="61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60"/>
        <v>36600</v>
      </c>
    </row>
    <row r="1908" spans="1:8" x14ac:dyDescent="0.3">
      <c r="A1908" s="13">
        <v>45587</v>
      </c>
      <c r="B1908" s="15" t="s">
        <v>21</v>
      </c>
      <c r="C1908" s="3">
        <v>2</v>
      </c>
      <c r="D1908" s="13">
        <f t="shared" si="61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60"/>
        <v>36600</v>
      </c>
    </row>
    <row r="1909" spans="1:8" x14ac:dyDescent="0.3">
      <c r="A1909" s="13">
        <v>45587</v>
      </c>
      <c r="B1909" s="15" t="s">
        <v>21</v>
      </c>
      <c r="C1909" s="3">
        <v>3</v>
      </c>
      <c r="D1909" s="13">
        <f t="shared" si="61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60"/>
        <v>36600</v>
      </c>
    </row>
    <row r="1910" spans="1:8" x14ac:dyDescent="0.3">
      <c r="A1910" s="13">
        <v>45587</v>
      </c>
      <c r="B1910" s="15" t="s">
        <v>21</v>
      </c>
      <c r="C1910" s="3">
        <v>6</v>
      </c>
      <c r="D1910" s="13">
        <f t="shared" si="61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60"/>
        <v>36600</v>
      </c>
    </row>
    <row r="1911" spans="1:8" x14ac:dyDescent="0.3">
      <c r="A1911" s="13">
        <v>45588</v>
      </c>
      <c r="B1911" s="15" t="s">
        <v>21</v>
      </c>
      <c r="C1911" s="3">
        <v>1</v>
      </c>
      <c r="D1911" s="13">
        <f t="shared" si="61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60"/>
        <v>31900</v>
      </c>
    </row>
    <row r="1912" spans="1:8" x14ac:dyDescent="0.3">
      <c r="A1912" s="13">
        <v>45588</v>
      </c>
      <c r="B1912" s="15" t="s">
        <v>21</v>
      </c>
      <c r="C1912" s="3">
        <v>2</v>
      </c>
      <c r="D1912" s="13">
        <f t="shared" si="61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60"/>
        <v>31900</v>
      </c>
    </row>
    <row r="1913" spans="1:8" x14ac:dyDescent="0.3">
      <c r="A1913" s="13">
        <v>45588</v>
      </c>
      <c r="B1913" s="15" t="s">
        <v>21</v>
      </c>
      <c r="C1913" s="3">
        <v>5</v>
      </c>
      <c r="D1913" s="13">
        <f t="shared" si="61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60"/>
        <v>31900</v>
      </c>
    </row>
    <row r="1914" spans="1:8" x14ac:dyDescent="0.3">
      <c r="A1914" s="13">
        <v>45589</v>
      </c>
      <c r="B1914" s="15" t="s">
        <v>21</v>
      </c>
      <c r="C1914" s="3">
        <v>1</v>
      </c>
      <c r="D1914" s="13">
        <f t="shared" si="61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60"/>
        <v>25500</v>
      </c>
    </row>
    <row r="1915" spans="1:8" x14ac:dyDescent="0.3">
      <c r="A1915" s="13">
        <v>45589</v>
      </c>
      <c r="B1915" s="15" t="s">
        <v>21</v>
      </c>
      <c r="C1915" s="3">
        <v>1</v>
      </c>
      <c r="D1915" s="13">
        <f t="shared" si="61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60"/>
        <v>25500</v>
      </c>
    </row>
    <row r="1916" spans="1:8" x14ac:dyDescent="0.3">
      <c r="A1916" s="13">
        <v>45589</v>
      </c>
      <c r="B1916" s="15" t="s">
        <v>21</v>
      </c>
      <c r="C1916" s="3">
        <v>5</v>
      </c>
      <c r="D1916" s="13">
        <f t="shared" si="61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60"/>
        <v>25500</v>
      </c>
    </row>
    <row r="1917" spans="1:8" x14ac:dyDescent="0.3">
      <c r="A1917" s="13">
        <v>45590</v>
      </c>
      <c r="B1917" s="15" t="s">
        <v>21</v>
      </c>
      <c r="C1917" s="3">
        <v>3</v>
      </c>
      <c r="D1917" s="13">
        <f t="shared" si="61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60"/>
        <v>18400</v>
      </c>
    </row>
    <row r="1918" spans="1:8" x14ac:dyDescent="0.3">
      <c r="A1918" s="13">
        <v>45593</v>
      </c>
      <c r="B1918" s="15" t="s">
        <v>21</v>
      </c>
      <c r="C1918" s="3">
        <v>1</v>
      </c>
      <c r="D1918" s="13">
        <f t="shared" si="61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60"/>
        <v>26200</v>
      </c>
    </row>
    <row r="1919" spans="1:8" x14ac:dyDescent="0.3">
      <c r="A1919" s="13">
        <v>45593</v>
      </c>
      <c r="B1919" s="15" t="s">
        <v>21</v>
      </c>
      <c r="C1919" s="3">
        <v>2</v>
      </c>
      <c r="D1919" s="13">
        <f t="shared" si="61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60"/>
        <v>26200</v>
      </c>
    </row>
    <row r="1920" spans="1:8" x14ac:dyDescent="0.3">
      <c r="A1920" s="13">
        <v>45593</v>
      </c>
      <c r="B1920" s="15" t="s">
        <v>21</v>
      </c>
      <c r="C1920" s="3">
        <v>3</v>
      </c>
      <c r="D1920" s="13">
        <f t="shared" si="61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60"/>
        <v>26200</v>
      </c>
    </row>
    <row r="1921" spans="1:8" x14ac:dyDescent="0.3">
      <c r="A1921" s="13">
        <v>45593</v>
      </c>
      <c r="B1921" s="15" t="s">
        <v>21</v>
      </c>
      <c r="C1921" s="3">
        <v>4</v>
      </c>
      <c r="D1921" s="13">
        <f t="shared" si="61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60"/>
        <v>26200</v>
      </c>
    </row>
    <row r="1922" spans="1:8" x14ac:dyDescent="0.3">
      <c r="A1922" s="13">
        <v>45594</v>
      </c>
      <c r="B1922" s="15" t="s">
        <v>21</v>
      </c>
      <c r="C1922" s="3">
        <v>1</v>
      </c>
      <c r="D1922" s="13">
        <f t="shared" si="61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60"/>
        <v>27800</v>
      </c>
    </row>
    <row r="1923" spans="1:8" x14ac:dyDescent="0.3">
      <c r="A1923" s="13">
        <v>45594</v>
      </c>
      <c r="B1923" s="15" t="s">
        <v>21</v>
      </c>
      <c r="C1923" s="3">
        <v>2</v>
      </c>
      <c r="D1923" s="13">
        <f t="shared" si="61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60"/>
        <v>27800</v>
      </c>
    </row>
    <row r="1924" spans="1:8" x14ac:dyDescent="0.3">
      <c r="A1924" s="13">
        <v>45594</v>
      </c>
      <c r="B1924" s="15" t="s">
        <v>21</v>
      </c>
      <c r="C1924" s="3">
        <v>3</v>
      </c>
      <c r="D1924" s="13">
        <f t="shared" si="61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60"/>
        <v>27800</v>
      </c>
    </row>
    <row r="1925" spans="1:8" x14ac:dyDescent="0.3">
      <c r="A1925" s="13">
        <v>45594</v>
      </c>
      <c r="B1925" s="15" t="s">
        <v>21</v>
      </c>
      <c r="C1925" s="3">
        <v>6</v>
      </c>
      <c r="D1925" s="13">
        <f t="shared" si="61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60"/>
        <v>27800</v>
      </c>
    </row>
    <row r="1926" spans="1:8" x14ac:dyDescent="0.3">
      <c r="A1926" s="13">
        <v>45595</v>
      </c>
      <c r="B1926" s="15" t="s">
        <v>21</v>
      </c>
      <c r="C1926" s="3">
        <v>1</v>
      </c>
      <c r="D1926" s="13">
        <f t="shared" si="61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60"/>
        <v>19500</v>
      </c>
    </row>
    <row r="1927" spans="1:8" x14ac:dyDescent="0.3">
      <c r="A1927" s="13">
        <v>45595</v>
      </c>
      <c r="B1927" s="15" t="s">
        <v>21</v>
      </c>
      <c r="C1927" s="3">
        <v>2</v>
      </c>
      <c r="D1927" s="13">
        <f t="shared" si="61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60"/>
        <v>19500</v>
      </c>
    </row>
    <row r="1928" spans="1:8" x14ac:dyDescent="0.3">
      <c r="A1928" s="13">
        <v>45595</v>
      </c>
      <c r="B1928" s="15" t="s">
        <v>21</v>
      </c>
      <c r="C1928" s="3">
        <v>5</v>
      </c>
      <c r="D1928" s="13">
        <f t="shared" si="61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60"/>
        <v>19500</v>
      </c>
    </row>
    <row r="1929" spans="1:8" x14ac:dyDescent="0.3">
      <c r="A1929" s="13">
        <v>45596</v>
      </c>
      <c r="B1929" s="15" t="s">
        <v>21</v>
      </c>
      <c r="C1929" s="3">
        <v>1</v>
      </c>
      <c r="D1929" s="13">
        <f t="shared" si="61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60"/>
        <v>17900</v>
      </c>
    </row>
    <row r="1930" spans="1:8" x14ac:dyDescent="0.3">
      <c r="A1930" s="13">
        <v>45596</v>
      </c>
      <c r="B1930" s="15" t="s">
        <v>21</v>
      </c>
      <c r="C1930" s="3">
        <v>4</v>
      </c>
      <c r="D1930" s="13">
        <f t="shared" si="61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2">+SUMIFS($E$10:$E$4506,$A$10:$A$4506,"&lt;="&amp;A1930,$D$10:$D$4506,"&gt;"&amp;A1930)</f>
        <v>17900</v>
      </c>
    </row>
    <row r="1931" spans="1:8" x14ac:dyDescent="0.3">
      <c r="A1931" s="13">
        <v>45597</v>
      </c>
      <c r="B1931" s="15" t="s">
        <v>21</v>
      </c>
      <c r="C1931" s="3">
        <v>3</v>
      </c>
      <c r="D1931" s="13">
        <f t="shared" si="61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2"/>
        <v>9300</v>
      </c>
    </row>
    <row r="1932" spans="1:8" x14ac:dyDescent="0.3">
      <c r="A1932" s="13">
        <v>45597</v>
      </c>
      <c r="B1932" s="15" t="s">
        <v>21</v>
      </c>
      <c r="C1932" s="3">
        <v>5</v>
      </c>
      <c r="D1932" s="13">
        <f t="shared" si="61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2"/>
        <v>9300</v>
      </c>
    </row>
    <row r="1933" spans="1:8" x14ac:dyDescent="0.3">
      <c r="A1933" s="13">
        <v>45600</v>
      </c>
      <c r="B1933" s="15" t="s">
        <v>21</v>
      </c>
      <c r="C1933" s="3">
        <v>2</v>
      </c>
      <c r="D1933" s="13">
        <f t="shared" si="61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2"/>
        <v>14800</v>
      </c>
    </row>
    <row r="1934" spans="1:8" x14ac:dyDescent="0.3">
      <c r="A1934" s="13">
        <v>45600</v>
      </c>
      <c r="B1934" s="15" t="s">
        <v>21</v>
      </c>
      <c r="C1934" s="3">
        <v>4</v>
      </c>
      <c r="D1934" s="13">
        <f t="shared" si="61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2"/>
        <v>14800</v>
      </c>
    </row>
    <row r="1935" spans="1:8" x14ac:dyDescent="0.3">
      <c r="A1935" s="13">
        <v>45601</v>
      </c>
      <c r="B1935" s="15" t="s">
        <v>21</v>
      </c>
      <c r="C1935" s="3">
        <v>1</v>
      </c>
      <c r="D1935" s="13">
        <f t="shared" si="61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2"/>
        <v>17400</v>
      </c>
    </row>
    <row r="1936" spans="1:8" x14ac:dyDescent="0.3">
      <c r="A1936" s="13">
        <v>45601</v>
      </c>
      <c r="B1936" s="15" t="s">
        <v>21</v>
      </c>
      <c r="C1936" s="3">
        <v>2</v>
      </c>
      <c r="D1936" s="13">
        <f t="shared" ref="D1936" si="63"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2"/>
        <v>17400</v>
      </c>
    </row>
    <row r="1937" spans="1:8" x14ac:dyDescent="0.3">
      <c r="A1937" s="13">
        <v>45601</v>
      </c>
      <c r="B1937" s="15" t="s">
        <v>21</v>
      </c>
      <c r="C1937" s="3">
        <v>3</v>
      </c>
      <c r="D1937" s="13">
        <f t="shared" si="61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2"/>
        <v>17400</v>
      </c>
    </row>
    <row r="1938" spans="1:8" x14ac:dyDescent="0.3">
      <c r="A1938" s="13">
        <v>45602</v>
      </c>
      <c r="B1938" s="15" t="s">
        <v>21</v>
      </c>
      <c r="C1938" s="3">
        <v>1</v>
      </c>
      <c r="D1938" s="13">
        <f t="shared" si="61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2"/>
        <v>16600</v>
      </c>
    </row>
    <row r="1939" spans="1:8" x14ac:dyDescent="0.3">
      <c r="A1939" s="13">
        <v>45602</v>
      </c>
      <c r="B1939" s="15" t="s">
        <v>21</v>
      </c>
      <c r="C1939" s="3">
        <v>2</v>
      </c>
      <c r="D1939" s="13">
        <f t="shared" si="61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2"/>
        <v>16600</v>
      </c>
    </row>
    <row r="1940" spans="1:8" x14ac:dyDescent="0.3">
      <c r="A1940" s="13">
        <v>45602</v>
      </c>
      <c r="B1940" s="15" t="s">
        <v>21</v>
      </c>
      <c r="C1940" s="3">
        <v>5</v>
      </c>
      <c r="D1940" s="13">
        <f t="shared" si="61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2"/>
        <v>16600</v>
      </c>
    </row>
    <row r="1941" spans="1:8" x14ac:dyDescent="0.3">
      <c r="A1941" s="13">
        <v>45603</v>
      </c>
      <c r="B1941" s="15" t="s">
        <v>21</v>
      </c>
      <c r="C1941" s="3">
        <v>1</v>
      </c>
      <c r="D1941" s="13">
        <f t="shared" si="61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2"/>
        <v>18200</v>
      </c>
    </row>
    <row r="1942" spans="1:8" x14ac:dyDescent="0.3">
      <c r="A1942" s="13">
        <v>45603</v>
      </c>
      <c r="B1942" s="15" t="s">
        <v>21</v>
      </c>
      <c r="C1942" s="3">
        <v>4</v>
      </c>
      <c r="D1942" s="13">
        <f t="shared" si="61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2"/>
        <v>18200</v>
      </c>
    </row>
    <row r="1943" spans="1:8" x14ac:dyDescent="0.3">
      <c r="A1943" s="13">
        <v>45603</v>
      </c>
      <c r="B1943" s="15" t="s">
        <v>21</v>
      </c>
      <c r="C1943" s="3">
        <v>6</v>
      </c>
      <c r="D1943" s="13">
        <f t="shared" si="61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2"/>
        <v>18200</v>
      </c>
    </row>
    <row r="1944" spans="1:8" x14ac:dyDescent="0.3">
      <c r="A1944" s="13">
        <v>45604</v>
      </c>
      <c r="B1944" s="15" t="s">
        <v>21</v>
      </c>
      <c r="C1944" s="3">
        <v>3</v>
      </c>
      <c r="D1944" s="13">
        <f t="shared" si="61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2"/>
        <v>16750</v>
      </c>
    </row>
    <row r="1945" spans="1:8" x14ac:dyDescent="0.3">
      <c r="A1945" s="13">
        <v>45604</v>
      </c>
      <c r="B1945" s="15" t="s">
        <v>21</v>
      </c>
      <c r="C1945" s="3">
        <v>4</v>
      </c>
      <c r="D1945" s="13">
        <f t="shared" si="61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2"/>
        <v>16750</v>
      </c>
    </row>
    <row r="1946" spans="1:8" x14ac:dyDescent="0.3">
      <c r="A1946" s="13">
        <v>45607</v>
      </c>
      <c r="B1946" s="15" t="s">
        <v>21</v>
      </c>
      <c r="C1946" s="3">
        <v>1</v>
      </c>
      <c r="D1946" s="13">
        <f t="shared" si="61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2"/>
        <v>13500</v>
      </c>
    </row>
    <row r="1947" spans="1:8" x14ac:dyDescent="0.3">
      <c r="A1947" s="13">
        <v>45607</v>
      </c>
      <c r="B1947" s="15" t="s">
        <v>21</v>
      </c>
      <c r="C1947" s="3">
        <v>2</v>
      </c>
      <c r="D1947" s="13">
        <f t="shared" si="61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2"/>
        <v>13500</v>
      </c>
    </row>
    <row r="1948" spans="1:8" x14ac:dyDescent="0.3">
      <c r="A1948" s="13">
        <v>45608</v>
      </c>
      <c r="B1948" s="15" t="s">
        <v>21</v>
      </c>
      <c r="C1948" s="3">
        <v>1</v>
      </c>
      <c r="D1948" s="13">
        <f t="shared" si="61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2"/>
        <v>17900</v>
      </c>
    </row>
    <row r="1949" spans="1:8" x14ac:dyDescent="0.3">
      <c r="A1949" s="13">
        <v>45608</v>
      </c>
      <c r="B1949" s="15" t="s">
        <v>21</v>
      </c>
      <c r="C1949" s="3">
        <v>2</v>
      </c>
      <c r="D1949" s="13">
        <f t="shared" si="61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2"/>
        <v>17900</v>
      </c>
    </row>
    <row r="1950" spans="1:8" x14ac:dyDescent="0.3">
      <c r="A1950" s="13">
        <v>45608</v>
      </c>
      <c r="B1950" s="15" t="s">
        <v>21</v>
      </c>
      <c r="C1950" s="3">
        <v>3</v>
      </c>
      <c r="D1950" s="13">
        <f t="shared" si="61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2"/>
        <v>17900</v>
      </c>
    </row>
    <row r="1951" spans="1:8" x14ac:dyDescent="0.3">
      <c r="A1951" s="13">
        <v>45609</v>
      </c>
      <c r="B1951" s="15" t="s">
        <v>21</v>
      </c>
      <c r="C1951" s="3">
        <v>2</v>
      </c>
      <c r="D1951" s="13">
        <f t="shared" si="61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2"/>
        <v>13300</v>
      </c>
    </row>
    <row r="1952" spans="1:8" x14ac:dyDescent="0.3">
      <c r="A1952" s="13">
        <v>45609</v>
      </c>
      <c r="B1952" s="15" t="s">
        <v>21</v>
      </c>
      <c r="C1952" s="3">
        <v>1</v>
      </c>
      <c r="D1952" s="13">
        <f t="shared" si="61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2"/>
        <v>13300</v>
      </c>
    </row>
    <row r="1953" spans="1:8" x14ac:dyDescent="0.3">
      <c r="A1953" s="13">
        <v>45610</v>
      </c>
      <c r="B1953" s="15" t="s">
        <v>21</v>
      </c>
      <c r="C1953" s="3">
        <v>1</v>
      </c>
      <c r="D1953" s="13">
        <f t="shared" si="61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2"/>
        <v>14700</v>
      </c>
    </row>
    <row r="1954" spans="1:8" x14ac:dyDescent="0.3">
      <c r="A1954" s="13">
        <v>45610</v>
      </c>
      <c r="B1954" s="15" t="s">
        <v>21</v>
      </c>
      <c r="C1954" s="3">
        <v>4</v>
      </c>
      <c r="D1954" s="13">
        <f t="shared" si="61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2"/>
        <v>14700</v>
      </c>
    </row>
    <row r="1955" spans="1:8" x14ac:dyDescent="0.3">
      <c r="A1955" s="13">
        <v>45610</v>
      </c>
      <c r="B1955" s="15" t="s">
        <v>21</v>
      </c>
      <c r="C1955" s="3">
        <v>6</v>
      </c>
      <c r="D1955" s="13">
        <f t="shared" si="61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2"/>
        <v>14700</v>
      </c>
    </row>
    <row r="1956" spans="1:8" x14ac:dyDescent="0.3">
      <c r="A1956" s="13">
        <v>45611</v>
      </c>
      <c r="B1956" s="15" t="s">
        <v>21</v>
      </c>
      <c r="C1956" s="3">
        <v>4</v>
      </c>
      <c r="D1956" s="13">
        <f t="shared" si="61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2"/>
        <v>14200</v>
      </c>
    </row>
    <row r="1957" spans="1:8" x14ac:dyDescent="0.3">
      <c r="A1957" s="13">
        <v>45611</v>
      </c>
      <c r="B1957" s="15" t="s">
        <v>21</v>
      </c>
      <c r="C1957" s="3">
        <v>5</v>
      </c>
      <c r="D1957" s="13">
        <f t="shared" si="61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2"/>
        <v>14200</v>
      </c>
    </row>
    <row r="1958" spans="1:8" x14ac:dyDescent="0.3">
      <c r="A1958" s="13">
        <v>45611</v>
      </c>
      <c r="B1958" s="15" t="s">
        <v>21</v>
      </c>
      <c r="C1958" s="3">
        <v>3</v>
      </c>
      <c r="D1958" s="13">
        <f t="shared" si="61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2"/>
        <v>14200</v>
      </c>
    </row>
    <row r="1959" spans="1:8" x14ac:dyDescent="0.3">
      <c r="A1959" s="13">
        <v>45611</v>
      </c>
      <c r="B1959" s="15" t="s">
        <v>21</v>
      </c>
      <c r="C1959" s="3">
        <v>6</v>
      </c>
      <c r="D1959" s="13">
        <f t="shared" si="61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2"/>
        <v>14200</v>
      </c>
    </row>
    <row r="1960" spans="1:8" x14ac:dyDescent="0.3">
      <c r="A1960" s="13">
        <v>45611</v>
      </c>
      <c r="B1960" s="15" t="s">
        <v>21</v>
      </c>
      <c r="C1960" s="3">
        <v>10</v>
      </c>
      <c r="D1960" s="13">
        <f t="shared" si="61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2"/>
        <v>14200</v>
      </c>
    </row>
    <row r="1961" spans="1:8" x14ac:dyDescent="0.3">
      <c r="A1961" s="13">
        <v>45614</v>
      </c>
      <c r="B1961" s="15" t="s">
        <v>21</v>
      </c>
      <c r="C1961" s="3">
        <v>1</v>
      </c>
      <c r="D1961" s="13">
        <f t="shared" si="61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2"/>
        <v>22500</v>
      </c>
    </row>
    <row r="1962" spans="1:8" x14ac:dyDescent="0.3">
      <c r="A1962" s="13">
        <v>45614</v>
      </c>
      <c r="B1962" s="15" t="s">
        <v>21</v>
      </c>
      <c r="C1962" s="3">
        <v>2</v>
      </c>
      <c r="D1962" s="13">
        <f t="shared" si="61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2"/>
        <v>22500</v>
      </c>
    </row>
    <row r="1963" spans="1:8" x14ac:dyDescent="0.3">
      <c r="A1963" s="13">
        <v>45614</v>
      </c>
      <c r="B1963" s="15" t="s">
        <v>21</v>
      </c>
      <c r="C1963" s="3">
        <v>3</v>
      </c>
      <c r="D1963" s="13">
        <f t="shared" si="61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2"/>
        <v>22500</v>
      </c>
    </row>
    <row r="1964" spans="1:8" x14ac:dyDescent="0.3">
      <c r="A1964" s="13">
        <v>45614</v>
      </c>
      <c r="B1964" s="15" t="s">
        <v>21</v>
      </c>
      <c r="C1964" s="3">
        <v>4</v>
      </c>
      <c r="D1964" s="13">
        <f t="shared" si="61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2"/>
        <v>22500</v>
      </c>
    </row>
    <row r="1965" spans="1:8" x14ac:dyDescent="0.3">
      <c r="A1965" s="13">
        <v>45614</v>
      </c>
      <c r="B1965" s="15" t="s">
        <v>21</v>
      </c>
      <c r="C1965" s="3">
        <v>11</v>
      </c>
      <c r="D1965" s="13">
        <f t="shared" si="61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2"/>
        <v>22500</v>
      </c>
    </row>
    <row r="1966" spans="1:8" x14ac:dyDescent="0.3">
      <c r="A1966" s="13">
        <v>45615</v>
      </c>
      <c r="B1966" s="15" t="s">
        <v>21</v>
      </c>
      <c r="C1966" s="3">
        <v>1</v>
      </c>
      <c r="D1966" s="13">
        <f t="shared" si="61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2"/>
        <v>28500</v>
      </c>
    </row>
    <row r="1967" spans="1:8" x14ac:dyDescent="0.3">
      <c r="A1967" s="13">
        <v>45615</v>
      </c>
      <c r="B1967" s="15" t="s">
        <v>21</v>
      </c>
      <c r="C1967" s="3">
        <v>2</v>
      </c>
      <c r="D1967" s="13">
        <f t="shared" si="61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2"/>
        <v>28500</v>
      </c>
    </row>
    <row r="1968" spans="1:8" x14ac:dyDescent="0.3">
      <c r="A1968" s="13">
        <v>45615</v>
      </c>
      <c r="B1968" s="15" t="s">
        <v>21</v>
      </c>
      <c r="C1968" s="3">
        <v>3</v>
      </c>
      <c r="D1968" s="13">
        <f t="shared" si="61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2"/>
        <v>28500</v>
      </c>
    </row>
    <row r="1969" spans="1:8" x14ac:dyDescent="0.3">
      <c r="A1969" s="13">
        <v>45615</v>
      </c>
      <c r="B1969" s="15" t="s">
        <v>21</v>
      </c>
      <c r="C1969" s="3">
        <v>6</v>
      </c>
      <c r="D1969" s="13">
        <f t="shared" si="61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2"/>
        <v>28500</v>
      </c>
    </row>
    <row r="1970" spans="1:8" x14ac:dyDescent="0.3">
      <c r="A1970" s="13">
        <v>45616</v>
      </c>
      <c r="B1970" s="15" t="s">
        <v>21</v>
      </c>
      <c r="C1970" s="3">
        <v>1</v>
      </c>
      <c r="D1970" s="13">
        <f t="shared" si="61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2"/>
        <v>20000</v>
      </c>
    </row>
    <row r="1971" spans="1:8" x14ac:dyDescent="0.3">
      <c r="A1971" s="13">
        <v>45616</v>
      </c>
      <c r="B1971" s="15" t="s">
        <v>21</v>
      </c>
      <c r="C1971" s="3">
        <v>2</v>
      </c>
      <c r="D1971" s="13">
        <f t="shared" si="61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2"/>
        <v>20000</v>
      </c>
    </row>
    <row r="1972" spans="1:8" x14ac:dyDescent="0.3">
      <c r="A1972" s="13">
        <v>45616</v>
      </c>
      <c r="B1972" s="15" t="s">
        <v>21</v>
      </c>
      <c r="C1972" s="3">
        <v>5</v>
      </c>
      <c r="D1972" s="13">
        <f t="shared" si="61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2"/>
        <v>20000</v>
      </c>
    </row>
    <row r="1973" spans="1:8" x14ac:dyDescent="0.3">
      <c r="A1973" s="13">
        <v>45616</v>
      </c>
      <c r="B1973" s="15" t="s">
        <v>21</v>
      </c>
      <c r="C1973" s="3">
        <v>6</v>
      </c>
      <c r="D1973" s="13">
        <f t="shared" si="61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2"/>
        <v>20000</v>
      </c>
    </row>
    <row r="1974" spans="1:8" x14ac:dyDescent="0.3">
      <c r="A1974" s="13">
        <v>45617</v>
      </c>
      <c r="B1974" s="15" t="s">
        <v>21</v>
      </c>
      <c r="C1974" s="3">
        <v>1</v>
      </c>
      <c r="D1974" s="13">
        <f t="shared" si="61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2"/>
        <v>24400</v>
      </c>
    </row>
    <row r="1975" spans="1:8" x14ac:dyDescent="0.3">
      <c r="A1975" s="13">
        <v>45617</v>
      </c>
      <c r="B1975" s="15" t="s">
        <v>21</v>
      </c>
      <c r="C1975" s="3">
        <v>4</v>
      </c>
      <c r="D1975" s="13">
        <f t="shared" si="61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2"/>
        <v>24400</v>
      </c>
    </row>
    <row r="1976" spans="1:8" x14ac:dyDescent="0.3">
      <c r="A1976" s="13">
        <v>45617</v>
      </c>
      <c r="B1976" s="15" t="s">
        <v>21</v>
      </c>
      <c r="C1976" s="3">
        <v>5</v>
      </c>
      <c r="D1976" s="13">
        <f t="shared" si="61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2"/>
        <v>24400</v>
      </c>
    </row>
    <row r="1977" spans="1:8" x14ac:dyDescent="0.3">
      <c r="A1977" s="13">
        <v>45617</v>
      </c>
      <c r="B1977" s="15" t="s">
        <v>21</v>
      </c>
      <c r="C1977" s="3">
        <v>6</v>
      </c>
      <c r="D1977" s="13">
        <f t="shared" si="61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2"/>
        <v>24400</v>
      </c>
    </row>
    <row r="1978" spans="1:8" x14ac:dyDescent="0.3">
      <c r="A1978" s="13">
        <v>45617</v>
      </c>
      <c r="B1978" s="15" t="s">
        <v>21</v>
      </c>
      <c r="C1978" s="3">
        <v>7</v>
      </c>
      <c r="D1978" s="13">
        <f t="shared" si="61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2"/>
        <v>24400</v>
      </c>
    </row>
    <row r="1979" spans="1:8" x14ac:dyDescent="0.3">
      <c r="A1979" s="13">
        <v>45618</v>
      </c>
      <c r="B1979" s="15" t="s">
        <v>21</v>
      </c>
      <c r="C1979" s="3">
        <v>3</v>
      </c>
      <c r="D1979" s="13">
        <f t="shared" si="61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2"/>
        <v>21200</v>
      </c>
    </row>
    <row r="1980" spans="1:8" x14ac:dyDescent="0.3">
      <c r="A1980" s="13">
        <v>45618</v>
      </c>
      <c r="B1980" s="15" t="s">
        <v>21</v>
      </c>
      <c r="C1980" s="3">
        <v>5</v>
      </c>
      <c r="D1980" s="13">
        <f t="shared" si="61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2"/>
        <v>21200</v>
      </c>
    </row>
    <row r="1981" spans="1:8" x14ac:dyDescent="0.3">
      <c r="A1981" s="13">
        <v>45618</v>
      </c>
      <c r="B1981" s="15" t="s">
        <v>21</v>
      </c>
      <c r="C1981" s="3">
        <v>6</v>
      </c>
      <c r="D1981" s="13">
        <f t="shared" si="61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2"/>
        <v>21200</v>
      </c>
    </row>
    <row r="1982" spans="1:8" x14ac:dyDescent="0.3">
      <c r="A1982" s="13">
        <v>45618</v>
      </c>
      <c r="B1982" s="15" t="s">
        <v>21</v>
      </c>
      <c r="C1982" s="3">
        <v>7</v>
      </c>
      <c r="D1982" s="13">
        <f t="shared" ref="D1982:D2093" si="64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2"/>
        <v>21200</v>
      </c>
    </row>
    <row r="1983" spans="1:8" x14ac:dyDescent="0.3">
      <c r="A1983" s="13">
        <v>45621</v>
      </c>
      <c r="B1983" s="15" t="s">
        <v>21</v>
      </c>
      <c r="C1983" s="3">
        <v>1</v>
      </c>
      <c r="D1983" s="13">
        <f t="shared" si="64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2"/>
        <v>14300</v>
      </c>
    </row>
    <row r="1984" spans="1:8" x14ac:dyDescent="0.3">
      <c r="A1984" s="13">
        <v>45621</v>
      </c>
      <c r="B1984" s="15" t="s">
        <v>21</v>
      </c>
      <c r="C1984" s="3">
        <v>2</v>
      </c>
      <c r="D1984" s="13">
        <f t="shared" si="64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2"/>
        <v>14300</v>
      </c>
    </row>
    <row r="1985" spans="1:8" x14ac:dyDescent="0.3">
      <c r="A1985" s="13">
        <v>45621</v>
      </c>
      <c r="B1985" s="15" t="s">
        <v>21</v>
      </c>
      <c r="C1985" s="3">
        <v>3</v>
      </c>
      <c r="D1985" s="13">
        <f t="shared" si="64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2"/>
        <v>14300</v>
      </c>
    </row>
    <row r="1986" spans="1:8" x14ac:dyDescent="0.3">
      <c r="A1986" s="13">
        <v>45622</v>
      </c>
      <c r="B1986" s="15" t="s">
        <v>21</v>
      </c>
      <c r="C1986" s="3">
        <v>1</v>
      </c>
      <c r="D1986" s="13">
        <f t="shared" si="64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2"/>
        <v>12600</v>
      </c>
    </row>
    <row r="1987" spans="1:8" x14ac:dyDescent="0.3">
      <c r="A1987" s="13">
        <v>45622</v>
      </c>
      <c r="B1987" s="15" t="s">
        <v>21</v>
      </c>
      <c r="C1987" s="3">
        <v>2</v>
      </c>
      <c r="D1987" s="13">
        <f t="shared" si="64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2"/>
        <v>12600</v>
      </c>
    </row>
    <row r="1988" spans="1:8" x14ac:dyDescent="0.3">
      <c r="A1988" s="13">
        <v>45622</v>
      </c>
      <c r="B1988" s="15" t="s">
        <v>21</v>
      </c>
      <c r="C1988" s="3">
        <v>3</v>
      </c>
      <c r="D1988" s="13">
        <f t="shared" si="64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2"/>
        <v>12600</v>
      </c>
    </row>
    <row r="1989" spans="1:8" x14ac:dyDescent="0.3">
      <c r="A1989" s="13">
        <v>45623</v>
      </c>
      <c r="B1989" s="15" t="s">
        <v>21</v>
      </c>
      <c r="C1989" s="3">
        <v>1</v>
      </c>
      <c r="D1989" s="13">
        <f t="shared" si="64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2"/>
        <v>10900</v>
      </c>
    </row>
    <row r="1990" spans="1:8" x14ac:dyDescent="0.3">
      <c r="A1990" s="13">
        <v>45623</v>
      </c>
      <c r="B1990" s="15" t="s">
        <v>21</v>
      </c>
      <c r="C1990" s="3">
        <v>2</v>
      </c>
      <c r="D1990" s="13">
        <f t="shared" si="64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2"/>
        <v>10900</v>
      </c>
    </row>
    <row r="1991" spans="1:8" x14ac:dyDescent="0.3">
      <c r="A1991" s="13">
        <v>45624</v>
      </c>
      <c r="B1991" s="15" t="s">
        <v>21</v>
      </c>
      <c r="C1991" s="3">
        <v>1</v>
      </c>
      <c r="D1991" s="13">
        <f t="shared" si="64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2"/>
        <v>10800</v>
      </c>
    </row>
    <row r="1992" spans="1:8" x14ac:dyDescent="0.3">
      <c r="A1992" s="13">
        <v>45624</v>
      </c>
      <c r="B1992" s="15" t="s">
        <v>21</v>
      </c>
      <c r="C1992" s="3">
        <v>4</v>
      </c>
      <c r="D1992" s="13">
        <f t="shared" si="64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2"/>
        <v>10800</v>
      </c>
    </row>
    <row r="1993" spans="1:8" x14ac:dyDescent="0.3">
      <c r="A1993" s="13">
        <v>45625</v>
      </c>
      <c r="B1993" s="15" t="s">
        <v>21</v>
      </c>
      <c r="C1993" s="3">
        <v>3</v>
      </c>
      <c r="D1993" s="13">
        <f t="shared" si="64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2"/>
        <v>3200</v>
      </c>
    </row>
    <row r="1994" spans="1:8" x14ac:dyDescent="0.3">
      <c r="A1994" s="13">
        <v>45625</v>
      </c>
      <c r="B1994" s="15" t="s">
        <v>21</v>
      </c>
      <c r="C1994" s="3">
        <v>7</v>
      </c>
      <c r="D1994" s="13">
        <f t="shared" si="64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5">+SUMIFS($E$10:$E$4506,$A$10:$A$4506,"&lt;="&amp;A1994,$D$10:$D$4506,"&gt;"&amp;A1994)</f>
        <v>3200</v>
      </c>
    </row>
    <row r="1995" spans="1:8" x14ac:dyDescent="0.3">
      <c r="A1995" s="13">
        <v>45628</v>
      </c>
      <c r="B1995" s="15" t="s">
        <v>21</v>
      </c>
      <c r="C1995" s="3">
        <v>1</v>
      </c>
      <c r="D1995" s="13">
        <f t="shared" si="64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5"/>
        <v>-500</v>
      </c>
    </row>
    <row r="1996" spans="1:8" x14ac:dyDescent="0.3">
      <c r="A1996" s="13">
        <v>45631</v>
      </c>
      <c r="B1996" s="15" t="s">
        <v>21</v>
      </c>
      <c r="C1996" s="3">
        <v>4</v>
      </c>
      <c r="D1996" s="13">
        <f t="shared" si="64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5"/>
        <v>2700</v>
      </c>
    </row>
    <row r="1997" spans="1:8" x14ac:dyDescent="0.3">
      <c r="A1997" s="13">
        <v>45632</v>
      </c>
      <c r="B1997" s="15" t="s">
        <v>21</v>
      </c>
      <c r="C1997" s="3">
        <v>4</v>
      </c>
      <c r="D1997" s="13">
        <f t="shared" si="64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5"/>
        <v>8000</v>
      </c>
    </row>
    <row r="1998" spans="1:8" x14ac:dyDescent="0.3">
      <c r="A1998" s="13">
        <v>45632</v>
      </c>
      <c r="B1998" s="15" t="s">
        <v>21</v>
      </c>
      <c r="C1998" s="3">
        <v>5</v>
      </c>
      <c r="D1998" s="13">
        <f t="shared" si="64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5"/>
        <v>8000</v>
      </c>
    </row>
    <row r="1999" spans="1:8" x14ac:dyDescent="0.3">
      <c r="A1999" s="13">
        <v>45632</v>
      </c>
      <c r="B1999" s="15" t="s">
        <v>21</v>
      </c>
      <c r="C1999" s="3">
        <v>6</v>
      </c>
      <c r="D1999" s="13">
        <f t="shared" si="64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5"/>
        <v>8000</v>
      </c>
    </row>
    <row r="2000" spans="1:8" x14ac:dyDescent="0.3">
      <c r="A2000" s="13">
        <v>45632</v>
      </c>
      <c r="B2000" s="15" t="s">
        <v>21</v>
      </c>
      <c r="C2000" s="3">
        <v>7</v>
      </c>
      <c r="D2000" s="13">
        <f t="shared" si="64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5"/>
        <v>8000</v>
      </c>
    </row>
    <row r="2001" spans="1:8" x14ac:dyDescent="0.3">
      <c r="A2001" s="13">
        <v>45638</v>
      </c>
      <c r="B2001" s="15" t="s">
        <v>21</v>
      </c>
      <c r="C2001" s="3">
        <v>4</v>
      </c>
      <c r="D2001" s="13">
        <f t="shared" si="64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5"/>
        <v>3600</v>
      </c>
    </row>
    <row r="2002" spans="1:8" x14ac:dyDescent="0.3">
      <c r="A2002" s="13">
        <v>45639</v>
      </c>
      <c r="B2002" s="15" t="s">
        <v>21</v>
      </c>
      <c r="C2002" s="3">
        <v>3</v>
      </c>
      <c r="D2002" s="13">
        <f t="shared" si="64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5"/>
        <v>4900</v>
      </c>
    </row>
    <row r="2003" spans="1:8" x14ac:dyDescent="0.3">
      <c r="A2003" s="13">
        <v>45639</v>
      </c>
      <c r="B2003" s="15" t="s">
        <v>21</v>
      </c>
      <c r="C2003" s="3">
        <v>10</v>
      </c>
      <c r="D2003" s="13">
        <f t="shared" si="64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5"/>
        <v>4900</v>
      </c>
    </row>
    <row r="2004" spans="1:8" x14ac:dyDescent="0.3">
      <c r="A2004" s="13">
        <v>45642</v>
      </c>
      <c r="B2004" s="15" t="s">
        <v>21</v>
      </c>
      <c r="C2004" s="3">
        <v>7</v>
      </c>
      <c r="D2004" s="13">
        <f t="shared" si="64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5"/>
        <v>1600</v>
      </c>
    </row>
    <row r="2005" spans="1:8" x14ac:dyDescent="0.3">
      <c r="A2005" s="13">
        <v>45642</v>
      </c>
      <c r="B2005" s="15" t="s">
        <v>21</v>
      </c>
      <c r="C2005" s="3">
        <v>14</v>
      </c>
      <c r="D2005" s="13">
        <f t="shared" si="64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5"/>
        <v>1600</v>
      </c>
    </row>
    <row r="2006" spans="1:8" x14ac:dyDescent="0.3">
      <c r="A2006" s="13">
        <v>45643</v>
      </c>
      <c r="B2006" s="15" t="s">
        <v>21</v>
      </c>
      <c r="C2006" s="3">
        <v>13</v>
      </c>
      <c r="D2006" s="13">
        <f t="shared" si="64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5"/>
        <v>400</v>
      </c>
    </row>
    <row r="2007" spans="1:8" x14ac:dyDescent="0.3">
      <c r="A2007" s="13">
        <v>45643</v>
      </c>
      <c r="B2007" s="15" t="s">
        <v>21</v>
      </c>
      <c r="C2007" s="3">
        <v>1</v>
      </c>
      <c r="D2007" s="13">
        <f t="shared" si="64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5"/>
        <v>400</v>
      </c>
    </row>
    <row r="2008" spans="1:8" x14ac:dyDescent="0.3">
      <c r="A2008" s="13">
        <v>45644</v>
      </c>
      <c r="B2008" s="15" t="s">
        <v>21</v>
      </c>
      <c r="C2008" s="3">
        <v>1</v>
      </c>
      <c r="D2008" s="13">
        <f t="shared" si="64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5"/>
        <v>1200</v>
      </c>
    </row>
    <row r="2009" spans="1:8" x14ac:dyDescent="0.3">
      <c r="A2009" s="13">
        <v>45645</v>
      </c>
      <c r="B2009" s="15" t="s">
        <v>21</v>
      </c>
      <c r="C2009" s="3">
        <v>1</v>
      </c>
      <c r="D2009" s="13">
        <f t="shared" si="64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5"/>
        <v>1000</v>
      </c>
    </row>
    <row r="2010" spans="1:8" x14ac:dyDescent="0.3">
      <c r="A2010" s="13">
        <v>45646</v>
      </c>
      <c r="B2010" s="15" t="s">
        <v>21</v>
      </c>
      <c r="C2010" s="3">
        <v>3</v>
      </c>
      <c r="D2010" s="13">
        <f t="shared" si="64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5"/>
        <v>900</v>
      </c>
    </row>
    <row r="2011" spans="1:8" x14ac:dyDescent="0.3">
      <c r="A2011" s="13">
        <v>45650</v>
      </c>
      <c r="B2011" s="15" t="s">
        <v>21</v>
      </c>
      <c r="C2011" s="3">
        <v>6</v>
      </c>
      <c r="D2011" s="13">
        <f t="shared" si="64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5"/>
        <v>4800</v>
      </c>
    </row>
    <row r="2012" spans="1:8" x14ac:dyDescent="0.3">
      <c r="A2012" s="13">
        <v>45652</v>
      </c>
      <c r="B2012" s="15" t="s">
        <v>21</v>
      </c>
      <c r="C2012" s="3">
        <v>4</v>
      </c>
      <c r="D2012" s="13">
        <f t="shared" si="64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5"/>
        <v>6200</v>
      </c>
    </row>
    <row r="2013" spans="1:8" x14ac:dyDescent="0.3">
      <c r="A2013" s="13">
        <v>45653</v>
      </c>
      <c r="B2013" s="15" t="s">
        <v>21</v>
      </c>
      <c r="C2013" s="3">
        <v>6</v>
      </c>
      <c r="D2013" s="13">
        <f t="shared" si="64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5"/>
        <v>12940</v>
      </c>
    </row>
    <row r="2014" spans="1:8" x14ac:dyDescent="0.3">
      <c r="A2014" s="13">
        <v>45653</v>
      </c>
      <c r="B2014" s="15" t="s">
        <v>21</v>
      </c>
      <c r="C2014" s="3">
        <v>7</v>
      </c>
      <c r="D2014" s="13">
        <f t="shared" si="64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5"/>
        <v>12940</v>
      </c>
    </row>
    <row r="2015" spans="1:8" x14ac:dyDescent="0.3">
      <c r="A2015" s="13">
        <v>45656</v>
      </c>
      <c r="B2015" s="15" t="s">
        <v>21</v>
      </c>
      <c r="C2015" s="3">
        <v>8</v>
      </c>
      <c r="D2015" s="13">
        <f t="shared" si="64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5"/>
        <v>9040</v>
      </c>
    </row>
    <row r="2016" spans="1:8" x14ac:dyDescent="0.3">
      <c r="A2016" s="13">
        <v>45656</v>
      </c>
      <c r="B2016" s="15" t="s">
        <v>21</v>
      </c>
      <c r="C2016" s="3">
        <v>3</v>
      </c>
      <c r="D2016" s="13">
        <f t="shared" si="64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5"/>
        <v>9040</v>
      </c>
    </row>
    <row r="2017" spans="1:8" x14ac:dyDescent="0.3">
      <c r="A2017" s="13">
        <v>45656</v>
      </c>
      <c r="B2017" s="15" t="s">
        <v>21</v>
      </c>
      <c r="C2017" s="3">
        <v>4</v>
      </c>
      <c r="D2017" s="13">
        <f t="shared" si="64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5"/>
        <v>9040</v>
      </c>
    </row>
    <row r="2018" spans="1:8" x14ac:dyDescent="0.3">
      <c r="A2018" s="13">
        <v>45659</v>
      </c>
      <c r="B2018" s="15" t="s">
        <v>21</v>
      </c>
      <c r="C2018" s="3">
        <v>1</v>
      </c>
      <c r="D2018" s="13">
        <f t="shared" si="64"/>
        <v>45660</v>
      </c>
      <c r="E2018" s="15">
        <v>-2000</v>
      </c>
      <c r="F2018" s="9">
        <v>0.09</v>
      </c>
      <c r="G2018" s="9">
        <v>0.09</v>
      </c>
      <c r="H2018" s="15">
        <f t="shared" si="65"/>
        <v>400</v>
      </c>
    </row>
    <row r="2019" spans="1:8" x14ac:dyDescent="0.3">
      <c r="A2019" s="13">
        <v>45660</v>
      </c>
      <c r="B2019" s="15" t="s">
        <v>21</v>
      </c>
      <c r="C2019" s="3">
        <v>4</v>
      </c>
      <c r="D2019" s="13">
        <f t="shared" si="64"/>
        <v>45664</v>
      </c>
      <c r="E2019" s="15">
        <v>-2600</v>
      </c>
      <c r="F2019" s="9">
        <v>0.09</v>
      </c>
      <c r="G2019" s="9">
        <v>0.09</v>
      </c>
      <c r="H2019" s="15">
        <f t="shared" si="65"/>
        <v>-1600</v>
      </c>
    </row>
    <row r="2020" spans="1:8" x14ac:dyDescent="0.3">
      <c r="A2020" s="13">
        <v>45664</v>
      </c>
      <c r="B2020" s="15" t="s">
        <v>21</v>
      </c>
      <c r="C2020" s="3">
        <v>1</v>
      </c>
      <c r="D2020" s="13">
        <f t="shared" si="64"/>
        <v>45665</v>
      </c>
      <c r="E2020" s="15">
        <v>-400</v>
      </c>
      <c r="F2020" s="9">
        <v>0.09</v>
      </c>
      <c r="G2020" s="9">
        <v>0.09</v>
      </c>
      <c r="H2020" s="15">
        <f t="shared" si="65"/>
        <v>-400</v>
      </c>
    </row>
    <row r="2021" spans="1:8" x14ac:dyDescent="0.3">
      <c r="A2021" s="13">
        <v>45666</v>
      </c>
      <c r="B2021" s="15" t="s">
        <v>21</v>
      </c>
      <c r="C2021" s="3">
        <v>4</v>
      </c>
      <c r="D2021" s="13">
        <f t="shared" si="64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5"/>
        <v>2200</v>
      </c>
    </row>
    <row r="2022" spans="1:8" x14ac:dyDescent="0.3">
      <c r="A2022" s="13">
        <v>45667</v>
      </c>
      <c r="B2022" s="15" t="s">
        <v>21</v>
      </c>
      <c r="C2022" s="3">
        <v>5</v>
      </c>
      <c r="D2022" s="13">
        <f t="shared" si="64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5"/>
        <v>3800</v>
      </c>
    </row>
    <row r="2023" spans="1:8" x14ac:dyDescent="0.3">
      <c r="A2023" s="13">
        <v>45670</v>
      </c>
      <c r="B2023" s="15" t="s">
        <v>21</v>
      </c>
      <c r="C2023" s="3">
        <v>1</v>
      </c>
      <c r="D2023" s="13">
        <f t="shared" si="64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5"/>
        <v>6400</v>
      </c>
    </row>
    <row r="2024" spans="1:8" x14ac:dyDescent="0.3">
      <c r="A2024" s="13">
        <v>45670</v>
      </c>
      <c r="B2024" s="15" t="s">
        <v>21</v>
      </c>
      <c r="C2024" s="3">
        <v>2</v>
      </c>
      <c r="D2024" s="13">
        <f t="shared" si="64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5"/>
        <v>6400</v>
      </c>
    </row>
    <row r="2025" spans="1:8" x14ac:dyDescent="0.3">
      <c r="A2025" s="13">
        <v>45670</v>
      </c>
      <c r="B2025" s="15" t="s">
        <v>21</v>
      </c>
      <c r="C2025" s="3">
        <v>7</v>
      </c>
      <c r="D2025" s="13">
        <f t="shared" si="64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5"/>
        <v>6400</v>
      </c>
    </row>
    <row r="2026" spans="1:8" x14ac:dyDescent="0.3">
      <c r="A2026" s="13">
        <v>45671</v>
      </c>
      <c r="B2026" s="15" t="s">
        <v>21</v>
      </c>
      <c r="C2026" s="3">
        <v>1</v>
      </c>
      <c r="D2026" s="13">
        <f t="shared" si="64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5"/>
        <v>7200</v>
      </c>
    </row>
    <row r="2027" spans="1:8" x14ac:dyDescent="0.3">
      <c r="A2027" s="13">
        <v>45671</v>
      </c>
      <c r="B2027" s="15" t="s">
        <v>21</v>
      </c>
      <c r="C2027" s="3">
        <v>3</v>
      </c>
      <c r="D2027" s="13">
        <f t="shared" si="64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5"/>
        <v>7200</v>
      </c>
    </row>
    <row r="2028" spans="1:8" x14ac:dyDescent="0.3">
      <c r="A2028" s="13">
        <v>45672</v>
      </c>
      <c r="B2028" s="15" t="s">
        <v>21</v>
      </c>
      <c r="C2028" s="3">
        <v>2</v>
      </c>
      <c r="D2028" s="13">
        <f t="shared" si="64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5"/>
        <v>11100</v>
      </c>
    </row>
    <row r="2029" spans="1:8" x14ac:dyDescent="0.3">
      <c r="A2029" s="13">
        <v>45672</v>
      </c>
      <c r="B2029" s="15" t="s">
        <v>21</v>
      </c>
      <c r="C2029" s="3">
        <v>5</v>
      </c>
      <c r="D2029" s="13">
        <f t="shared" si="64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5"/>
        <v>11100</v>
      </c>
    </row>
    <row r="2030" spans="1:8" x14ac:dyDescent="0.3">
      <c r="A2030" s="13">
        <v>45673</v>
      </c>
      <c r="B2030" s="15" t="s">
        <v>21</v>
      </c>
      <c r="C2030" s="3">
        <v>4</v>
      </c>
      <c r="D2030" s="13">
        <f t="shared" si="64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5"/>
        <v>13700</v>
      </c>
    </row>
    <row r="2031" spans="1:8" x14ac:dyDescent="0.3">
      <c r="A2031" s="13">
        <v>45674</v>
      </c>
      <c r="B2031" s="15" t="s">
        <v>21</v>
      </c>
      <c r="C2031" s="3">
        <v>4</v>
      </c>
      <c r="D2031" s="13">
        <f t="shared" si="64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5"/>
        <v>11000</v>
      </c>
    </row>
    <row r="2032" spans="1:8" x14ac:dyDescent="0.3">
      <c r="A2032" s="13">
        <v>45674</v>
      </c>
      <c r="B2032" s="15" t="s">
        <v>21</v>
      </c>
      <c r="C2032" s="3">
        <v>5</v>
      </c>
      <c r="D2032" s="13">
        <f t="shared" si="64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5"/>
        <v>11000</v>
      </c>
    </row>
    <row r="2033" spans="1:8" x14ac:dyDescent="0.3">
      <c r="A2033" s="13">
        <v>45677</v>
      </c>
      <c r="B2033" s="15" t="s">
        <v>21</v>
      </c>
      <c r="C2033" s="3">
        <v>2</v>
      </c>
      <c r="D2033" s="13">
        <f t="shared" si="64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5"/>
        <v>15800</v>
      </c>
    </row>
    <row r="2034" spans="1:8" x14ac:dyDescent="0.3">
      <c r="A2034" s="13">
        <v>45677</v>
      </c>
      <c r="B2034" s="15" t="s">
        <v>21</v>
      </c>
      <c r="C2034" s="3">
        <v>3</v>
      </c>
      <c r="D2034" s="13">
        <f t="shared" si="64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5"/>
        <v>15800</v>
      </c>
    </row>
    <row r="2035" spans="1:8" x14ac:dyDescent="0.3">
      <c r="A2035" s="13">
        <v>45677</v>
      </c>
      <c r="B2035" s="15" t="s">
        <v>21</v>
      </c>
      <c r="C2035" s="3">
        <v>7</v>
      </c>
      <c r="D2035" s="13">
        <f t="shared" si="64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5"/>
        <v>15800</v>
      </c>
    </row>
    <row r="2036" spans="1:8" x14ac:dyDescent="0.3">
      <c r="A2036" s="13">
        <v>45678</v>
      </c>
      <c r="B2036" s="15" t="s">
        <v>21</v>
      </c>
      <c r="C2036" s="3">
        <v>2</v>
      </c>
      <c r="D2036" s="13">
        <f t="shared" si="64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5"/>
        <v>18000</v>
      </c>
    </row>
    <row r="2037" spans="1:8" x14ac:dyDescent="0.3">
      <c r="A2037" s="13">
        <v>45679</v>
      </c>
      <c r="B2037" s="15" t="s">
        <v>21</v>
      </c>
      <c r="C2037" s="3">
        <v>2</v>
      </c>
      <c r="D2037" s="13">
        <f t="shared" si="64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5"/>
        <v>11700</v>
      </c>
    </row>
    <row r="2038" spans="1:8" x14ac:dyDescent="0.3">
      <c r="A2038" s="13">
        <v>45680</v>
      </c>
      <c r="B2038" s="15" t="s">
        <v>21</v>
      </c>
      <c r="C2038" s="3">
        <v>4</v>
      </c>
      <c r="D2038" s="13">
        <f t="shared" si="64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5"/>
        <v>9150</v>
      </c>
    </row>
    <row r="2039" spans="1:8" x14ac:dyDescent="0.3">
      <c r="A2039" s="13">
        <v>45680</v>
      </c>
      <c r="B2039" s="15" t="s">
        <v>21</v>
      </c>
      <c r="C2039" s="3">
        <v>8</v>
      </c>
      <c r="D2039" s="13">
        <f t="shared" si="64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5"/>
        <v>9150</v>
      </c>
    </row>
    <row r="2040" spans="1:8" x14ac:dyDescent="0.3">
      <c r="A2040" s="13">
        <v>45681</v>
      </c>
      <c r="B2040" s="15" t="s">
        <v>21</v>
      </c>
      <c r="C2040" s="3">
        <v>5</v>
      </c>
      <c r="D2040" s="13">
        <f t="shared" si="64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5"/>
        <v>12050</v>
      </c>
    </row>
    <row r="2041" spans="1:8" x14ac:dyDescent="0.3">
      <c r="A2041" s="13">
        <v>45684</v>
      </c>
      <c r="B2041" s="15" t="s">
        <v>21</v>
      </c>
      <c r="C2041" s="3">
        <v>2</v>
      </c>
      <c r="D2041" s="13">
        <f t="shared" si="64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5"/>
        <v>6800</v>
      </c>
    </row>
    <row r="2042" spans="1:8" x14ac:dyDescent="0.3">
      <c r="A2042" s="13">
        <v>45685</v>
      </c>
      <c r="B2042" s="15" t="s">
        <v>21</v>
      </c>
      <c r="C2042" s="3">
        <v>2</v>
      </c>
      <c r="D2042" s="13">
        <f t="shared" si="64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5"/>
        <v>11000</v>
      </c>
    </row>
    <row r="2043" spans="1:8" x14ac:dyDescent="0.3">
      <c r="A2043" s="13">
        <v>45686</v>
      </c>
      <c r="B2043" s="15" t="s">
        <v>21</v>
      </c>
      <c r="C2043" s="3">
        <v>2</v>
      </c>
      <c r="D2043" s="13">
        <f t="shared" si="64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5"/>
        <v>10400</v>
      </c>
    </row>
    <row r="2044" spans="1:8" x14ac:dyDescent="0.3">
      <c r="A2044" s="13">
        <v>45687</v>
      </c>
      <c r="B2044" s="15" t="s">
        <v>21</v>
      </c>
      <c r="C2044" s="3">
        <v>4</v>
      </c>
      <c r="D2044" s="13">
        <f t="shared" si="64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5"/>
        <v>9600</v>
      </c>
    </row>
    <row r="2045" spans="1:8" x14ac:dyDescent="0.3">
      <c r="A2045" s="13">
        <v>45688</v>
      </c>
      <c r="B2045" s="15" t="s">
        <v>21</v>
      </c>
      <c r="C2045" s="3">
        <v>3</v>
      </c>
      <c r="D2045" s="13">
        <f t="shared" si="64"/>
        <v>45691</v>
      </c>
      <c r="E2045" s="15">
        <v>-3000</v>
      </c>
      <c r="F2045" s="9">
        <v>0.09</v>
      </c>
      <c r="G2045" s="9">
        <v>0.09</v>
      </c>
      <c r="H2045" s="15">
        <f t="shared" si="65"/>
        <v>400</v>
      </c>
    </row>
    <row r="2046" spans="1:8" x14ac:dyDescent="0.3">
      <c r="A2046" s="13">
        <v>45698</v>
      </c>
      <c r="B2046" s="15" t="s">
        <v>21</v>
      </c>
      <c r="C2046" s="3">
        <v>4</v>
      </c>
      <c r="D2046" s="13">
        <f t="shared" si="64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5"/>
        <v>3700</v>
      </c>
    </row>
    <row r="2047" spans="1:8" x14ac:dyDescent="0.3">
      <c r="A2047" s="13">
        <v>45698</v>
      </c>
      <c r="B2047" s="15" t="s">
        <v>21</v>
      </c>
      <c r="C2047" s="3">
        <v>2</v>
      </c>
      <c r="D2047" s="13">
        <f t="shared" si="64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5"/>
        <v>3700</v>
      </c>
    </row>
    <row r="2048" spans="1:8" x14ac:dyDescent="0.3">
      <c r="A2048" s="13">
        <v>45698</v>
      </c>
      <c r="B2048" s="15" t="s">
        <v>21</v>
      </c>
      <c r="C2048" s="3">
        <v>3</v>
      </c>
      <c r="D2048" s="13">
        <f t="shared" si="64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5"/>
        <v>3700</v>
      </c>
    </row>
    <row r="2049" spans="1:8" x14ac:dyDescent="0.3">
      <c r="A2049" s="13">
        <v>45699</v>
      </c>
      <c r="B2049" s="15" t="s">
        <v>21</v>
      </c>
      <c r="C2049" s="3">
        <v>2</v>
      </c>
      <c r="D2049" s="13">
        <f t="shared" si="64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5"/>
        <v>9000</v>
      </c>
    </row>
    <row r="2050" spans="1:8" x14ac:dyDescent="0.3">
      <c r="A2050" s="13">
        <v>45699</v>
      </c>
      <c r="B2050" s="15" t="s">
        <v>21</v>
      </c>
      <c r="C2050" s="3">
        <v>3</v>
      </c>
      <c r="D2050" s="13">
        <f t="shared" si="64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5"/>
        <v>9000</v>
      </c>
    </row>
    <row r="2051" spans="1:8" x14ac:dyDescent="0.3">
      <c r="A2051" s="13">
        <v>45700</v>
      </c>
      <c r="B2051" s="15" t="s">
        <v>21</v>
      </c>
      <c r="C2051" s="3">
        <v>2</v>
      </c>
      <c r="D2051" s="13">
        <f t="shared" si="64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5"/>
        <v>13800</v>
      </c>
    </row>
    <row r="2052" spans="1:8" x14ac:dyDescent="0.3">
      <c r="A2052" s="13">
        <v>45700</v>
      </c>
      <c r="B2052" s="15" t="s">
        <v>21</v>
      </c>
      <c r="C2052" s="3">
        <v>5</v>
      </c>
      <c r="D2052" s="13">
        <f t="shared" si="64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5"/>
        <v>13800</v>
      </c>
    </row>
    <row r="2053" spans="1:8" x14ac:dyDescent="0.3">
      <c r="A2053" s="13">
        <v>45701</v>
      </c>
      <c r="B2053" s="15" t="s">
        <v>21</v>
      </c>
      <c r="C2053" s="3">
        <v>1</v>
      </c>
      <c r="D2053" s="13">
        <f t="shared" si="64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5"/>
        <v>10700</v>
      </c>
    </row>
    <row r="2054" spans="1:8" x14ac:dyDescent="0.3">
      <c r="A2054" s="13">
        <v>45701</v>
      </c>
      <c r="B2054" s="15" t="s">
        <v>21</v>
      </c>
      <c r="C2054" s="3">
        <v>4</v>
      </c>
      <c r="D2054" s="13">
        <f t="shared" si="64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5"/>
        <v>10700</v>
      </c>
    </row>
    <row r="2055" spans="1:8" x14ac:dyDescent="0.3">
      <c r="A2055" s="13">
        <v>45702</v>
      </c>
      <c r="B2055" s="15" t="s">
        <v>21</v>
      </c>
      <c r="C2055" s="3">
        <v>4</v>
      </c>
      <c r="D2055" s="13">
        <f t="shared" si="64"/>
        <v>45706</v>
      </c>
      <c r="E2055" s="15">
        <v>2100</v>
      </c>
      <c r="F2055" s="9">
        <v>0.09</v>
      </c>
      <c r="G2055" s="9">
        <v>0.09</v>
      </c>
      <c r="H2055" s="15">
        <f t="shared" si="65"/>
        <v>20000</v>
      </c>
    </row>
    <row r="2056" spans="1:8" x14ac:dyDescent="0.3">
      <c r="A2056" s="13">
        <v>45702</v>
      </c>
      <c r="B2056" s="15" t="s">
        <v>21</v>
      </c>
      <c r="C2056" s="3">
        <v>5</v>
      </c>
      <c r="D2056" s="13">
        <f t="shared" si="64"/>
        <v>45707</v>
      </c>
      <c r="E2056" s="15">
        <v>7600</v>
      </c>
      <c r="F2056" s="9">
        <v>0.09</v>
      </c>
      <c r="G2056" s="9">
        <v>0.09</v>
      </c>
      <c r="H2056" s="15">
        <f t="shared" si="65"/>
        <v>20000</v>
      </c>
    </row>
    <row r="2057" spans="1:8" x14ac:dyDescent="0.3">
      <c r="A2057" s="13">
        <v>45702</v>
      </c>
      <c r="B2057" s="15" t="s">
        <v>21</v>
      </c>
      <c r="C2057" s="3">
        <v>6</v>
      </c>
      <c r="D2057" s="13">
        <f t="shared" si="64"/>
        <v>45708</v>
      </c>
      <c r="E2057" s="15">
        <v>4700</v>
      </c>
      <c r="F2057" s="9">
        <v>0.09</v>
      </c>
      <c r="G2057" s="9">
        <v>0.09</v>
      </c>
      <c r="H2057" s="15">
        <f t="shared" si="65"/>
        <v>20000</v>
      </c>
    </row>
    <row r="2058" spans="1:8" x14ac:dyDescent="0.3">
      <c r="A2058" s="13">
        <v>45702</v>
      </c>
      <c r="B2058" s="15" t="s">
        <v>21</v>
      </c>
      <c r="C2058" s="3">
        <v>7</v>
      </c>
      <c r="D2058" s="13">
        <f t="shared" si="64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6">+SUMIFS($E$10:$E$4506,$A$10:$A$4506,"&lt;="&amp;A2058,$D$10:$D$4506,"&gt;"&amp;A2058)</f>
        <v>20000</v>
      </c>
    </row>
    <row r="2059" spans="1:8" x14ac:dyDescent="0.3">
      <c r="A2059" s="13">
        <v>45702</v>
      </c>
      <c r="B2059" s="15" t="s">
        <v>21</v>
      </c>
      <c r="C2059" s="3">
        <v>3</v>
      </c>
      <c r="D2059" s="13">
        <f t="shared" si="64"/>
        <v>45705</v>
      </c>
      <c r="E2059" s="15">
        <v>400</v>
      </c>
      <c r="F2059" s="9">
        <v>8.6999999999999994E-2</v>
      </c>
      <c r="G2059" s="9">
        <v>0.09</v>
      </c>
      <c r="H2059" s="15">
        <f t="shared" si="66"/>
        <v>20000</v>
      </c>
    </row>
    <row r="2060" spans="1:8" x14ac:dyDescent="0.3">
      <c r="A2060" s="13">
        <v>45702</v>
      </c>
      <c r="B2060" s="15" t="s">
        <v>21</v>
      </c>
      <c r="C2060" s="3">
        <v>10</v>
      </c>
      <c r="D2060" s="13">
        <f t="shared" si="64"/>
        <v>45712</v>
      </c>
      <c r="E2060" s="15">
        <v>1000</v>
      </c>
      <c r="F2060" s="9">
        <v>0.09</v>
      </c>
      <c r="G2060" s="9">
        <v>0.09</v>
      </c>
      <c r="H2060" s="15">
        <f t="shared" si="66"/>
        <v>20000</v>
      </c>
    </row>
    <row r="2061" spans="1:8" x14ac:dyDescent="0.3">
      <c r="A2061" s="13">
        <v>45705</v>
      </c>
      <c r="B2061" s="15" t="s">
        <v>21</v>
      </c>
      <c r="C2061" s="3">
        <v>2</v>
      </c>
      <c r="D2061" s="13">
        <f t="shared" si="64"/>
        <v>45707</v>
      </c>
      <c r="E2061" s="15">
        <v>1400</v>
      </c>
      <c r="F2061" s="9">
        <v>0.09</v>
      </c>
      <c r="G2061" s="9">
        <v>0.09</v>
      </c>
      <c r="H2061" s="15">
        <f t="shared" si="66"/>
        <v>21700</v>
      </c>
    </row>
    <row r="2062" spans="1:8" x14ac:dyDescent="0.3">
      <c r="A2062" s="13">
        <v>45705</v>
      </c>
      <c r="B2062" s="15" t="s">
        <v>21</v>
      </c>
      <c r="C2062" s="3">
        <v>3</v>
      </c>
      <c r="D2062" s="13">
        <f t="shared" si="64"/>
        <v>45708</v>
      </c>
      <c r="E2062" s="15">
        <v>500</v>
      </c>
      <c r="F2062" s="9">
        <v>0.09</v>
      </c>
      <c r="G2062" s="9">
        <v>0.09</v>
      </c>
      <c r="H2062" s="15">
        <f t="shared" si="66"/>
        <v>21700</v>
      </c>
    </row>
    <row r="2063" spans="1:8" x14ac:dyDescent="0.3">
      <c r="A2063" s="13">
        <v>45705</v>
      </c>
      <c r="B2063" s="15" t="s">
        <v>21</v>
      </c>
      <c r="C2063" s="3">
        <v>4</v>
      </c>
      <c r="D2063" s="13">
        <f t="shared" si="64"/>
        <v>45709</v>
      </c>
      <c r="E2063" s="15">
        <v>500</v>
      </c>
      <c r="F2063" s="9">
        <v>0.09</v>
      </c>
      <c r="G2063" s="9">
        <v>0.09</v>
      </c>
      <c r="H2063" s="15">
        <f t="shared" si="66"/>
        <v>21700</v>
      </c>
    </row>
    <row r="2064" spans="1:8" x14ac:dyDescent="0.3">
      <c r="A2064" s="13">
        <v>45705</v>
      </c>
      <c r="B2064" s="15" t="s">
        <v>21</v>
      </c>
      <c r="C2064" s="3">
        <v>7</v>
      </c>
      <c r="D2064" s="13">
        <f t="shared" si="64"/>
        <v>45712</v>
      </c>
      <c r="E2064" s="15">
        <v>200</v>
      </c>
      <c r="F2064" s="9">
        <v>0.09</v>
      </c>
      <c r="G2064" s="9">
        <v>0.09</v>
      </c>
      <c r="H2064" s="15">
        <f t="shared" si="66"/>
        <v>21700</v>
      </c>
    </row>
    <row r="2065" spans="1:8" x14ac:dyDescent="0.3">
      <c r="A2065" s="13">
        <v>45706</v>
      </c>
      <c r="B2065" s="15" t="s">
        <v>21</v>
      </c>
      <c r="C2065" s="3">
        <v>2</v>
      </c>
      <c r="D2065" s="13">
        <f t="shared" si="64"/>
        <v>45708</v>
      </c>
      <c r="E2065" s="15">
        <v>300</v>
      </c>
      <c r="F2065" s="9">
        <v>0.09</v>
      </c>
      <c r="G2065" s="9">
        <v>0.09</v>
      </c>
      <c r="H2065" s="15">
        <f t="shared" si="66"/>
        <v>22200</v>
      </c>
    </row>
    <row r="2066" spans="1:8" x14ac:dyDescent="0.3">
      <c r="A2066" s="13">
        <v>45706</v>
      </c>
      <c r="B2066" s="15" t="s">
        <v>21</v>
      </c>
      <c r="C2066" s="3">
        <v>3</v>
      </c>
      <c r="D2066" s="13">
        <f t="shared" si="64"/>
        <v>45709</v>
      </c>
      <c r="E2066" s="15">
        <v>500</v>
      </c>
      <c r="F2066" s="9">
        <v>0.09</v>
      </c>
      <c r="G2066" s="9">
        <v>0.09</v>
      </c>
      <c r="H2066" s="15">
        <f t="shared" si="66"/>
        <v>22200</v>
      </c>
    </row>
    <row r="2067" spans="1:8" x14ac:dyDescent="0.3">
      <c r="A2067" s="13">
        <v>45706</v>
      </c>
      <c r="B2067" s="15" t="s">
        <v>21</v>
      </c>
      <c r="C2067" s="3">
        <v>6</v>
      </c>
      <c r="D2067" s="13">
        <f t="shared" si="64"/>
        <v>45712</v>
      </c>
      <c r="E2067" s="15">
        <v>1500</v>
      </c>
      <c r="F2067" s="9">
        <v>0.09</v>
      </c>
      <c r="G2067" s="9">
        <v>0.09</v>
      </c>
      <c r="H2067" s="15">
        <f t="shared" si="66"/>
        <v>22200</v>
      </c>
    </row>
    <row r="2068" spans="1:8" x14ac:dyDescent="0.3">
      <c r="A2068" s="13">
        <v>45706</v>
      </c>
      <c r="B2068" s="15" t="s">
        <v>21</v>
      </c>
      <c r="C2068" s="3">
        <v>1</v>
      </c>
      <c r="D2068" s="13">
        <f t="shared" si="64"/>
        <v>45707</v>
      </c>
      <c r="E2068" s="15">
        <v>800</v>
      </c>
      <c r="F2068" s="9">
        <v>8.7499999999999994E-2</v>
      </c>
      <c r="G2068" s="9">
        <v>0.09</v>
      </c>
      <c r="H2068" s="15">
        <f t="shared" si="66"/>
        <v>22200</v>
      </c>
    </row>
    <row r="2069" spans="1:8" x14ac:dyDescent="0.3">
      <c r="A2069" s="13">
        <v>45706</v>
      </c>
      <c r="B2069" s="15" t="s">
        <v>21</v>
      </c>
      <c r="C2069" s="3">
        <v>1</v>
      </c>
      <c r="D2069" s="13">
        <f t="shared" si="64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6"/>
        <v>22200</v>
      </c>
    </row>
    <row r="2070" spans="1:8" x14ac:dyDescent="0.3">
      <c r="A2070" s="13">
        <v>45707</v>
      </c>
      <c r="B2070" s="15" t="s">
        <v>21</v>
      </c>
      <c r="C2070" s="3">
        <v>1</v>
      </c>
      <c r="D2070" s="13">
        <f t="shared" si="64"/>
        <v>45708</v>
      </c>
      <c r="E2070" s="15">
        <v>1600</v>
      </c>
      <c r="F2070" s="9">
        <v>8.7499999999999994E-2</v>
      </c>
      <c r="G2070" s="9">
        <v>0.09</v>
      </c>
      <c r="H2070" s="15">
        <f t="shared" si="66"/>
        <v>14500</v>
      </c>
    </row>
    <row r="2071" spans="1:8" x14ac:dyDescent="0.3">
      <c r="A2071" s="13">
        <v>45708</v>
      </c>
      <c r="B2071" s="15" t="s">
        <v>21</v>
      </c>
      <c r="C2071" s="3">
        <v>1</v>
      </c>
      <c r="D2071" s="13">
        <f t="shared" si="64"/>
        <v>45709</v>
      </c>
      <c r="E2071" s="15">
        <v>700</v>
      </c>
      <c r="F2071" s="9">
        <v>8.8999999999999996E-2</v>
      </c>
      <c r="G2071" s="9">
        <v>0.09</v>
      </c>
      <c r="H2071" s="15">
        <f t="shared" si="66"/>
        <v>10900</v>
      </c>
    </row>
    <row r="2072" spans="1:8" x14ac:dyDescent="0.3">
      <c r="A2072" s="13">
        <v>45708</v>
      </c>
      <c r="B2072" s="15" t="s">
        <v>21</v>
      </c>
      <c r="C2072" s="3">
        <v>4</v>
      </c>
      <c r="D2072" s="13">
        <f t="shared" si="64"/>
        <v>45712</v>
      </c>
      <c r="E2072" s="15">
        <v>2200</v>
      </c>
      <c r="F2072" s="9">
        <v>0.09</v>
      </c>
      <c r="G2072" s="9">
        <v>0.09</v>
      </c>
      <c r="H2072" s="15">
        <f t="shared" si="66"/>
        <v>10900</v>
      </c>
    </row>
    <row r="2073" spans="1:8" x14ac:dyDescent="0.3">
      <c r="A2073" s="13">
        <v>45708</v>
      </c>
      <c r="B2073" s="15" t="s">
        <v>21</v>
      </c>
      <c r="C2073" s="3">
        <v>5</v>
      </c>
      <c r="D2073" s="13">
        <f t="shared" si="64"/>
        <v>45713</v>
      </c>
      <c r="E2073" s="15">
        <v>600</v>
      </c>
      <c r="F2073" s="9">
        <v>0.09</v>
      </c>
      <c r="G2073" s="9">
        <v>0.09</v>
      </c>
      <c r="H2073" s="15">
        <f t="shared" si="66"/>
        <v>10900</v>
      </c>
    </row>
    <row r="2074" spans="1:8" x14ac:dyDescent="0.3">
      <c r="A2074" s="13">
        <v>45709</v>
      </c>
      <c r="B2074" s="15" t="s">
        <v>21</v>
      </c>
      <c r="C2074" s="3">
        <v>4</v>
      </c>
      <c r="D2074" s="13">
        <f t="shared" si="64"/>
        <v>45713</v>
      </c>
      <c r="E2074" s="15">
        <v>6400</v>
      </c>
      <c r="F2074" s="9">
        <v>0.09</v>
      </c>
      <c r="G2074" s="9">
        <v>0.09</v>
      </c>
      <c r="H2074" s="15">
        <f t="shared" si="66"/>
        <v>16700</v>
      </c>
    </row>
    <row r="2075" spans="1:8" x14ac:dyDescent="0.3">
      <c r="A2075" s="13">
        <v>45709</v>
      </c>
      <c r="B2075" s="15" t="s">
        <v>21</v>
      </c>
      <c r="C2075" s="3">
        <v>5</v>
      </c>
      <c r="D2075" s="13">
        <f t="shared" si="64"/>
        <v>45714</v>
      </c>
      <c r="E2075" s="15">
        <v>2000</v>
      </c>
      <c r="F2075" s="9">
        <v>0.09</v>
      </c>
      <c r="G2075" s="9">
        <v>0.09</v>
      </c>
      <c r="H2075" s="15">
        <f t="shared" si="66"/>
        <v>16700</v>
      </c>
    </row>
    <row r="2076" spans="1:8" x14ac:dyDescent="0.3">
      <c r="A2076" s="13">
        <v>45709</v>
      </c>
      <c r="B2076" s="15" t="s">
        <v>21</v>
      </c>
      <c r="C2076" s="3">
        <v>3</v>
      </c>
      <c r="D2076" s="13">
        <f t="shared" si="64"/>
        <v>45712</v>
      </c>
      <c r="E2076" s="15">
        <v>1200</v>
      </c>
      <c r="F2076" s="9">
        <v>0.09</v>
      </c>
      <c r="G2076" s="9">
        <v>0.09</v>
      </c>
      <c r="H2076" s="15">
        <f t="shared" si="66"/>
        <v>16700</v>
      </c>
    </row>
    <row r="2077" spans="1:8" x14ac:dyDescent="0.3">
      <c r="A2077" s="13">
        <v>45709</v>
      </c>
      <c r="B2077" s="15" t="s">
        <v>21</v>
      </c>
      <c r="C2077" s="3">
        <v>6</v>
      </c>
      <c r="D2077" s="13">
        <f t="shared" si="64"/>
        <v>45715</v>
      </c>
      <c r="E2077" s="15">
        <v>800</v>
      </c>
      <c r="F2077" s="9">
        <v>0.09</v>
      </c>
      <c r="G2077" s="9">
        <v>0.09</v>
      </c>
      <c r="H2077" s="15">
        <f t="shared" si="66"/>
        <v>16700</v>
      </c>
    </row>
    <row r="2078" spans="1:8" x14ac:dyDescent="0.3">
      <c r="A2078" s="13">
        <v>45709</v>
      </c>
      <c r="B2078" s="15" t="s">
        <v>21</v>
      </c>
      <c r="C2078" s="3">
        <v>7</v>
      </c>
      <c r="D2078" s="13">
        <f t="shared" si="64"/>
        <v>45716</v>
      </c>
      <c r="E2078" s="15">
        <v>800</v>
      </c>
      <c r="F2078" s="9">
        <v>0.09</v>
      </c>
      <c r="G2078" s="9">
        <v>0.09</v>
      </c>
      <c r="H2078" s="15">
        <f t="shared" si="66"/>
        <v>16700</v>
      </c>
    </row>
    <row r="2079" spans="1:8" x14ac:dyDescent="0.3">
      <c r="A2079" s="13">
        <v>45712</v>
      </c>
      <c r="B2079" s="15" t="s">
        <v>21</v>
      </c>
      <c r="C2079" s="3">
        <v>2</v>
      </c>
      <c r="D2079" s="13">
        <f t="shared" si="64"/>
        <v>45714</v>
      </c>
      <c r="E2079" s="15">
        <v>2000</v>
      </c>
      <c r="F2079" s="9">
        <v>0.09</v>
      </c>
      <c r="G2079" s="9">
        <v>0.09</v>
      </c>
      <c r="H2079" s="15">
        <f t="shared" si="66"/>
        <v>14100</v>
      </c>
    </row>
    <row r="2080" spans="1:8" x14ac:dyDescent="0.3">
      <c r="A2080" s="13">
        <v>45712</v>
      </c>
      <c r="B2080" s="15" t="s">
        <v>21</v>
      </c>
      <c r="C2080" s="3">
        <v>3</v>
      </c>
      <c r="D2080" s="13">
        <f t="shared" si="64"/>
        <v>45715</v>
      </c>
      <c r="E2080" s="15">
        <v>1500</v>
      </c>
      <c r="F2080" s="9">
        <v>0.09</v>
      </c>
      <c r="G2080" s="9">
        <v>0.09</v>
      </c>
      <c r="H2080" s="15">
        <f t="shared" si="66"/>
        <v>14100</v>
      </c>
    </row>
    <row r="2081" spans="1:8" x14ac:dyDescent="0.3">
      <c r="A2081" s="13">
        <v>45713</v>
      </c>
      <c r="B2081" s="15" t="s">
        <v>21</v>
      </c>
      <c r="C2081" s="3">
        <v>1</v>
      </c>
      <c r="D2081" s="13">
        <f t="shared" si="64"/>
        <v>45714</v>
      </c>
      <c r="E2081" s="15">
        <v>700</v>
      </c>
      <c r="F2081" s="9">
        <v>0.09</v>
      </c>
      <c r="G2081" s="9">
        <v>0.09</v>
      </c>
      <c r="H2081" s="15">
        <f t="shared" si="66"/>
        <v>11450</v>
      </c>
    </row>
    <row r="2082" spans="1:8" x14ac:dyDescent="0.3">
      <c r="A2082" s="13">
        <v>45713</v>
      </c>
      <c r="B2082" s="15" t="s">
        <v>21</v>
      </c>
      <c r="C2082" s="3">
        <v>2</v>
      </c>
      <c r="D2082" s="13">
        <f t="shared" si="64"/>
        <v>45715</v>
      </c>
      <c r="E2082" s="15">
        <v>2650</v>
      </c>
      <c r="F2082" s="9">
        <v>0.09</v>
      </c>
      <c r="G2082" s="9">
        <v>0.09</v>
      </c>
      <c r="H2082" s="15">
        <f t="shared" si="66"/>
        <v>11450</v>
      </c>
    </row>
    <row r="2083" spans="1:8" x14ac:dyDescent="0.3">
      <c r="A2083" s="13">
        <v>45713</v>
      </c>
      <c r="B2083" s="15" t="s">
        <v>21</v>
      </c>
      <c r="C2083" s="3">
        <v>3</v>
      </c>
      <c r="D2083" s="13">
        <f t="shared" si="64"/>
        <v>45716</v>
      </c>
      <c r="E2083" s="15">
        <v>1000</v>
      </c>
      <c r="F2083" s="9">
        <v>0.09</v>
      </c>
      <c r="G2083" s="9">
        <v>0.09</v>
      </c>
      <c r="H2083" s="15">
        <f t="shared" si="66"/>
        <v>11450</v>
      </c>
    </row>
    <row r="2084" spans="1:8" x14ac:dyDescent="0.3">
      <c r="A2084" s="13">
        <v>45714</v>
      </c>
      <c r="B2084" s="15" t="s">
        <v>21</v>
      </c>
      <c r="C2084" s="3">
        <v>1</v>
      </c>
      <c r="D2084" s="13">
        <f t="shared" si="64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6"/>
        <v>4150</v>
      </c>
    </row>
    <row r="2085" spans="1:8" x14ac:dyDescent="0.3">
      <c r="A2085" s="13">
        <v>45715</v>
      </c>
      <c r="B2085" s="15" t="s">
        <v>21</v>
      </c>
      <c r="C2085" s="3">
        <v>6</v>
      </c>
      <c r="D2085" s="13">
        <f t="shared" si="64"/>
        <v>45721</v>
      </c>
      <c r="E2085" s="15">
        <v>1300</v>
      </c>
      <c r="F2085" s="9">
        <v>0.09</v>
      </c>
      <c r="G2085" s="9">
        <v>0.09</v>
      </c>
      <c r="H2085" s="15">
        <f t="shared" si="66"/>
        <v>3100</v>
      </c>
    </row>
    <row r="2086" spans="1:8" x14ac:dyDescent="0.3">
      <c r="A2086" s="13">
        <v>45716</v>
      </c>
      <c r="B2086" s="15" t="s">
        <v>21</v>
      </c>
      <c r="C2086" s="3">
        <v>5</v>
      </c>
      <c r="D2086" s="13">
        <f t="shared" si="64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6"/>
        <v>-3600</v>
      </c>
    </row>
    <row r="2087" spans="1:8" x14ac:dyDescent="0.3">
      <c r="A2087" s="13">
        <v>45721</v>
      </c>
      <c r="B2087" s="15" t="s">
        <v>21</v>
      </c>
      <c r="C2087" s="3">
        <v>1</v>
      </c>
      <c r="D2087" s="13">
        <f t="shared" si="64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6"/>
        <v>-1800</v>
      </c>
    </row>
    <row r="2088" spans="1:8" x14ac:dyDescent="0.3">
      <c r="A2088" s="13">
        <v>45722</v>
      </c>
      <c r="B2088" s="15" t="s">
        <v>21</v>
      </c>
      <c r="C2088" s="3">
        <v>1</v>
      </c>
      <c r="D2088" s="13">
        <f t="shared" si="64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6"/>
        <v>-1800</v>
      </c>
    </row>
    <row r="2089" spans="1:8" x14ac:dyDescent="0.3">
      <c r="A2089" s="13">
        <v>45728</v>
      </c>
      <c r="B2089" s="15" t="s">
        <v>21</v>
      </c>
      <c r="C2089" s="3">
        <v>6</v>
      </c>
      <c r="D2089" s="13">
        <f t="shared" si="64"/>
        <v>45734</v>
      </c>
      <c r="E2089" s="15">
        <v>1500</v>
      </c>
      <c r="F2089" s="9">
        <v>0.09</v>
      </c>
      <c r="G2089" s="9">
        <v>0.09</v>
      </c>
      <c r="H2089" s="15">
        <f t="shared" si="66"/>
        <v>1500</v>
      </c>
    </row>
    <row r="2090" spans="1:8" x14ac:dyDescent="0.3">
      <c r="A2090" s="13">
        <v>45734</v>
      </c>
      <c r="B2090" s="15" t="s">
        <v>21</v>
      </c>
      <c r="C2090" s="3">
        <v>6</v>
      </c>
      <c r="D2090" s="13">
        <f t="shared" si="64"/>
        <v>45740</v>
      </c>
      <c r="E2090" s="15">
        <v>950</v>
      </c>
      <c r="F2090" s="9">
        <v>0.09</v>
      </c>
      <c r="G2090" s="9">
        <v>0.09</v>
      </c>
      <c r="H2090" s="15">
        <f t="shared" si="66"/>
        <v>2150</v>
      </c>
    </row>
    <row r="2091" spans="1:8" x14ac:dyDescent="0.3">
      <c r="A2091" s="13">
        <v>45734</v>
      </c>
      <c r="B2091" s="15" t="s">
        <v>21</v>
      </c>
      <c r="C2091" s="3">
        <v>3</v>
      </c>
      <c r="D2091" s="13">
        <f t="shared" si="64"/>
        <v>45737</v>
      </c>
      <c r="E2091" s="15">
        <v>1200</v>
      </c>
      <c r="F2091" s="9">
        <v>0.09</v>
      </c>
      <c r="G2091" s="9">
        <v>0.09</v>
      </c>
      <c r="H2091" s="15">
        <f t="shared" si="66"/>
        <v>2150</v>
      </c>
    </row>
    <row r="2092" spans="1:8" x14ac:dyDescent="0.3">
      <c r="A2092" s="13">
        <v>45735</v>
      </c>
      <c r="B2092" s="15" t="s">
        <v>21</v>
      </c>
      <c r="C2092" s="3">
        <v>1</v>
      </c>
      <c r="D2092" s="13">
        <f t="shared" ref="D2092" si="67"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6"/>
        <v>5750</v>
      </c>
    </row>
    <row r="2093" spans="1:8" x14ac:dyDescent="0.3">
      <c r="A2093" s="13">
        <v>45735</v>
      </c>
      <c r="B2093" s="15" t="s">
        <v>21</v>
      </c>
      <c r="C2093" s="3">
        <v>5</v>
      </c>
      <c r="D2093" s="13">
        <f t="shared" si="64"/>
        <v>45740</v>
      </c>
      <c r="E2093" s="15">
        <v>2000</v>
      </c>
      <c r="F2093" s="9">
        <v>0.09</v>
      </c>
      <c r="G2093" s="9">
        <v>0.09</v>
      </c>
      <c r="H2093" s="15">
        <f t="shared" si="66"/>
        <v>5750</v>
      </c>
    </row>
    <row r="2094" spans="1:8" x14ac:dyDescent="0.3">
      <c r="A2094" s="13">
        <v>45735</v>
      </c>
      <c r="B2094" s="15" t="s">
        <v>21</v>
      </c>
      <c r="C2094" s="3">
        <v>12</v>
      </c>
      <c r="D2094" s="13">
        <f t="shared" ref="D2094:D2105" si="68">+A2094+C2094</f>
        <v>45747</v>
      </c>
      <c r="E2094" s="15">
        <v>1000</v>
      </c>
      <c r="F2094" s="9">
        <v>0.09</v>
      </c>
      <c r="G2094" s="9">
        <v>0.09</v>
      </c>
      <c r="H2094" s="15">
        <f t="shared" si="66"/>
        <v>5750</v>
      </c>
    </row>
    <row r="2095" spans="1:8" x14ac:dyDescent="0.3">
      <c r="A2095" s="13">
        <v>45736</v>
      </c>
      <c r="B2095" s="15" t="s">
        <v>21</v>
      </c>
      <c r="C2095" s="3">
        <v>5</v>
      </c>
      <c r="D2095" s="13">
        <f t="shared" si="68"/>
        <v>45741</v>
      </c>
      <c r="E2095" s="15">
        <v>1000</v>
      </c>
      <c r="F2095" s="9">
        <v>0.09</v>
      </c>
      <c r="G2095" s="9">
        <v>0.09</v>
      </c>
      <c r="H2095" s="15">
        <f t="shared" si="66"/>
        <v>7650</v>
      </c>
    </row>
    <row r="2096" spans="1:8" x14ac:dyDescent="0.3">
      <c r="A2096" s="13">
        <v>45736</v>
      </c>
      <c r="B2096" s="15" t="s">
        <v>21</v>
      </c>
      <c r="C2096" s="3">
        <v>6</v>
      </c>
      <c r="D2096" s="13">
        <f t="shared" si="68"/>
        <v>45742</v>
      </c>
      <c r="E2096" s="15">
        <v>500</v>
      </c>
      <c r="F2096" s="9">
        <v>0.09</v>
      </c>
      <c r="G2096" s="9">
        <v>0.09</v>
      </c>
      <c r="H2096" s="15">
        <f t="shared" si="66"/>
        <v>7650</v>
      </c>
    </row>
    <row r="2097" spans="1:8" x14ac:dyDescent="0.3">
      <c r="A2097" s="13">
        <v>45736</v>
      </c>
      <c r="B2097" s="15" t="s">
        <v>21</v>
      </c>
      <c r="C2097" s="3">
        <v>11</v>
      </c>
      <c r="D2097" s="13">
        <f t="shared" si="68"/>
        <v>45747</v>
      </c>
      <c r="E2097" s="15">
        <v>1000</v>
      </c>
      <c r="F2097" s="9">
        <v>0.09</v>
      </c>
      <c r="G2097" s="9">
        <v>0.09</v>
      </c>
      <c r="H2097" s="15">
        <f t="shared" si="66"/>
        <v>7650</v>
      </c>
    </row>
    <row r="2098" spans="1:8" x14ac:dyDescent="0.3">
      <c r="A2098" s="13">
        <v>45737</v>
      </c>
      <c r="B2098" s="15" t="s">
        <v>21</v>
      </c>
      <c r="C2098" s="3">
        <v>3</v>
      </c>
      <c r="D2098" s="13">
        <f t="shared" si="68"/>
        <v>45740</v>
      </c>
      <c r="E2098" s="15">
        <v>-500</v>
      </c>
      <c r="F2098" s="9">
        <v>0.09</v>
      </c>
      <c r="G2098" s="9">
        <v>0.09</v>
      </c>
      <c r="H2098" s="15">
        <f t="shared" si="66"/>
        <v>5950</v>
      </c>
    </row>
    <row r="2099" spans="1:8" x14ac:dyDescent="0.3">
      <c r="A2099" s="13">
        <v>45740</v>
      </c>
      <c r="B2099" s="15" t="s">
        <v>21</v>
      </c>
      <c r="C2099" s="3">
        <v>7</v>
      </c>
      <c r="D2099" s="13">
        <f t="shared" si="68"/>
        <v>45747</v>
      </c>
      <c r="E2099" s="15">
        <v>1200</v>
      </c>
      <c r="F2099" s="9">
        <v>0.09</v>
      </c>
      <c r="G2099" s="9">
        <v>0.09</v>
      </c>
      <c r="H2099" s="15">
        <f t="shared" si="66"/>
        <v>5000</v>
      </c>
    </row>
    <row r="2100" spans="1:8" x14ac:dyDescent="0.3">
      <c r="A2100" s="13">
        <v>45740</v>
      </c>
      <c r="B2100" s="15" t="s">
        <v>21</v>
      </c>
      <c r="C2100" s="3">
        <v>8</v>
      </c>
      <c r="D2100" s="13">
        <f t="shared" si="68"/>
        <v>45748</v>
      </c>
      <c r="E2100" s="15">
        <v>300</v>
      </c>
      <c r="F2100" s="9">
        <v>0.09</v>
      </c>
      <c r="G2100" s="9">
        <v>0.09</v>
      </c>
      <c r="H2100" s="15">
        <f t="shared" si="66"/>
        <v>5000</v>
      </c>
    </row>
    <row r="2101" spans="1:8" x14ac:dyDescent="0.3">
      <c r="A2101" s="13">
        <v>45741</v>
      </c>
      <c r="B2101" s="15" t="s">
        <v>21</v>
      </c>
      <c r="C2101" s="3">
        <v>1</v>
      </c>
      <c r="D2101" s="13">
        <f t="shared" si="68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6"/>
        <v>11800</v>
      </c>
    </row>
    <row r="2102" spans="1:8" x14ac:dyDescent="0.3">
      <c r="A2102" s="13">
        <v>45741</v>
      </c>
      <c r="B2102" s="15" t="s">
        <v>21</v>
      </c>
      <c r="C2102" s="3">
        <v>2</v>
      </c>
      <c r="D2102" s="13">
        <f t="shared" si="68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6"/>
        <v>11800</v>
      </c>
    </row>
    <row r="2103" spans="1:8" x14ac:dyDescent="0.3">
      <c r="A2103" s="13">
        <v>45741</v>
      </c>
      <c r="B2103" s="15" t="s">
        <v>21</v>
      </c>
      <c r="C2103" s="3">
        <v>3</v>
      </c>
      <c r="D2103" s="13">
        <f t="shared" si="68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6"/>
        <v>11800</v>
      </c>
    </row>
    <row r="2104" spans="1:8" x14ac:dyDescent="0.3">
      <c r="A2104" s="13">
        <v>45741</v>
      </c>
      <c r="B2104" s="15" t="s">
        <v>21</v>
      </c>
      <c r="C2104" s="3">
        <v>6</v>
      </c>
      <c r="D2104" s="13">
        <f t="shared" si="68"/>
        <v>45747</v>
      </c>
      <c r="E2104" s="15">
        <v>1800</v>
      </c>
      <c r="F2104" s="9">
        <v>0.09</v>
      </c>
      <c r="G2104" s="9">
        <v>0.09</v>
      </c>
      <c r="H2104" s="15">
        <f t="shared" si="66"/>
        <v>11800</v>
      </c>
    </row>
    <row r="2105" spans="1:8" x14ac:dyDescent="0.3">
      <c r="A2105" s="13">
        <v>45741</v>
      </c>
      <c r="B2105" s="15" t="s">
        <v>21</v>
      </c>
      <c r="C2105" s="3">
        <v>7</v>
      </c>
      <c r="D2105" s="13">
        <f t="shared" si="68"/>
        <v>45748</v>
      </c>
      <c r="E2105" s="15">
        <v>1300</v>
      </c>
      <c r="F2105" s="9">
        <v>0.09</v>
      </c>
      <c r="G2105" s="9">
        <v>0.09</v>
      </c>
      <c r="H2105" s="15">
        <f t="shared" si="66"/>
        <v>11800</v>
      </c>
    </row>
    <row r="2106" spans="1:8" x14ac:dyDescent="0.3">
      <c r="A2106" s="13">
        <v>45742</v>
      </c>
      <c r="B2106" s="15" t="s">
        <v>21</v>
      </c>
      <c r="C2106" s="3">
        <v>2</v>
      </c>
      <c r="D2106" s="13">
        <f t="shared" ref="D2106" si="69">+A2106+C2106</f>
        <v>45744</v>
      </c>
      <c r="E2106" s="15">
        <v>-300</v>
      </c>
      <c r="F2106" s="9">
        <v>0.09</v>
      </c>
      <c r="G2106" s="9">
        <v>0.09</v>
      </c>
      <c r="H2106" s="15">
        <f t="shared" si="66"/>
        <v>9200</v>
      </c>
    </row>
    <row r="2107" spans="1:8" x14ac:dyDescent="0.3">
      <c r="A2107" s="13">
        <v>45742</v>
      </c>
      <c r="B2107" s="15" t="s">
        <v>21</v>
      </c>
      <c r="C2107" s="3">
        <v>5</v>
      </c>
      <c r="D2107" s="13">
        <f t="shared" ref="D2107:D2178" si="70">+A2107+C2107</f>
        <v>45747</v>
      </c>
      <c r="E2107" s="15">
        <v>-300</v>
      </c>
      <c r="F2107" s="9">
        <v>0.09</v>
      </c>
      <c r="G2107" s="9">
        <v>0.09</v>
      </c>
      <c r="H2107" s="15">
        <f t="shared" si="66"/>
        <v>9200</v>
      </c>
    </row>
    <row r="2108" spans="1:8" x14ac:dyDescent="0.3">
      <c r="A2108" s="13">
        <v>45743</v>
      </c>
      <c r="B2108" s="15" t="s">
        <v>21</v>
      </c>
      <c r="C2108" s="3">
        <v>4</v>
      </c>
      <c r="D2108" s="13">
        <f t="shared" si="70"/>
        <v>45747</v>
      </c>
      <c r="E2108" s="15">
        <v>-4800</v>
      </c>
      <c r="F2108" s="9">
        <v>0.09</v>
      </c>
      <c r="G2108" s="9">
        <v>0.09</v>
      </c>
      <c r="H2108" s="15">
        <f t="shared" si="66"/>
        <v>3200</v>
      </c>
    </row>
    <row r="2109" spans="1:8" x14ac:dyDescent="0.3">
      <c r="A2109" s="13">
        <v>45744</v>
      </c>
      <c r="B2109" s="15" t="s">
        <v>21</v>
      </c>
      <c r="C2109" s="3">
        <v>4</v>
      </c>
      <c r="D2109" s="13">
        <f t="shared" si="70"/>
        <v>45748</v>
      </c>
      <c r="E2109" s="15">
        <v>-1200</v>
      </c>
      <c r="F2109" s="9">
        <v>0.09</v>
      </c>
      <c r="G2109" s="9">
        <v>0.09</v>
      </c>
      <c r="H2109" s="15">
        <f t="shared" si="66"/>
        <v>300</v>
      </c>
    </row>
    <row r="2110" spans="1:8" x14ac:dyDescent="0.3">
      <c r="A2110" s="13">
        <v>45748</v>
      </c>
      <c r="B2110" s="15" t="s">
        <v>21</v>
      </c>
      <c r="C2110" s="3">
        <v>1</v>
      </c>
      <c r="D2110" s="13">
        <f t="shared" si="70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6"/>
        <v>-7000</v>
      </c>
    </row>
    <row r="2111" spans="1:8" x14ac:dyDescent="0.3">
      <c r="A2111" s="13">
        <v>45749</v>
      </c>
      <c r="B2111" s="15" t="s">
        <v>21</v>
      </c>
      <c r="C2111" s="3">
        <v>1</v>
      </c>
      <c r="D2111" s="13">
        <f t="shared" si="70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6"/>
        <v>-5000</v>
      </c>
    </row>
    <row r="2112" spans="1:8" x14ac:dyDescent="0.3">
      <c r="A2112" s="13">
        <v>45750</v>
      </c>
      <c r="B2112" s="15" t="s">
        <v>21</v>
      </c>
      <c r="C2112" s="3">
        <v>1</v>
      </c>
      <c r="D2112" s="13">
        <f t="shared" si="70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6"/>
        <v>-5800</v>
      </c>
    </row>
    <row r="2113" spans="1:8" x14ac:dyDescent="0.3">
      <c r="A2113" s="13">
        <v>45751</v>
      </c>
      <c r="B2113" s="15" t="s">
        <v>21</v>
      </c>
      <c r="C2113" s="3">
        <v>3</v>
      </c>
      <c r="D2113" s="13">
        <f t="shared" si="70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6"/>
        <v>-6160</v>
      </c>
    </row>
    <row r="2114" spans="1:8" x14ac:dyDescent="0.3">
      <c r="A2114" s="13">
        <v>45751</v>
      </c>
      <c r="B2114" s="15" t="s">
        <v>21</v>
      </c>
      <c r="C2114" s="3">
        <v>4</v>
      </c>
      <c r="D2114" s="13">
        <f t="shared" si="70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6"/>
        <v>-6160</v>
      </c>
    </row>
    <row r="2115" spans="1:8" x14ac:dyDescent="0.3">
      <c r="A2115" s="13">
        <v>45754</v>
      </c>
      <c r="B2115" s="15" t="s">
        <v>21</v>
      </c>
      <c r="C2115" s="3">
        <v>1</v>
      </c>
      <c r="D2115" s="13">
        <f t="shared" si="70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6"/>
        <v>-6360</v>
      </c>
    </row>
    <row r="2116" spans="1:8" x14ac:dyDescent="0.3">
      <c r="A2116" s="13">
        <v>45755</v>
      </c>
      <c r="B2116" s="15" t="s">
        <v>21</v>
      </c>
      <c r="C2116" s="3">
        <v>1</v>
      </c>
      <c r="D2116" s="13">
        <f t="shared" si="70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6"/>
        <v>-4500</v>
      </c>
    </row>
    <row r="2117" spans="1:8" x14ac:dyDescent="0.3">
      <c r="A2117" s="13">
        <v>45755</v>
      </c>
      <c r="B2117" s="15" t="s">
        <v>21</v>
      </c>
      <c r="C2117" s="3">
        <v>2</v>
      </c>
      <c r="D2117" s="13">
        <f t="shared" si="70"/>
        <v>45757</v>
      </c>
      <c r="E2117" s="15">
        <v>-500</v>
      </c>
      <c r="F2117" s="9">
        <v>9.4E-2</v>
      </c>
      <c r="G2117" s="9">
        <v>9.4E-2</v>
      </c>
      <c r="H2117" s="15">
        <f t="shared" si="66"/>
        <v>-4500</v>
      </c>
    </row>
    <row r="2118" spans="1:8" x14ac:dyDescent="0.3">
      <c r="A2118" s="13">
        <v>45756</v>
      </c>
      <c r="B2118" s="15" t="s">
        <v>21</v>
      </c>
      <c r="C2118" s="3">
        <v>1</v>
      </c>
      <c r="D2118" s="13">
        <f t="shared" si="70"/>
        <v>45757</v>
      </c>
      <c r="E2118" s="15">
        <v>-4300</v>
      </c>
      <c r="F2118" s="9">
        <v>9.4E-2</v>
      </c>
      <c r="G2118" s="9">
        <v>9.4E-2</v>
      </c>
      <c r="H2118" s="15">
        <f t="shared" si="66"/>
        <v>-4800</v>
      </c>
    </row>
    <row r="2119" spans="1:8" x14ac:dyDescent="0.3">
      <c r="A2119" s="13">
        <v>45757</v>
      </c>
      <c r="B2119" s="15" t="s">
        <v>21</v>
      </c>
      <c r="C2119" s="3">
        <v>1</v>
      </c>
      <c r="D2119" s="13">
        <f t="shared" si="70"/>
        <v>45758</v>
      </c>
      <c r="E2119" s="15">
        <v>-3500</v>
      </c>
      <c r="F2119" s="9">
        <v>9.4E-2</v>
      </c>
      <c r="G2119" s="9">
        <v>9.4E-2</v>
      </c>
      <c r="H2119" s="15">
        <f t="shared" si="66"/>
        <v>-3500</v>
      </c>
    </row>
    <row r="2120" spans="1:8" x14ac:dyDescent="0.3">
      <c r="A2120" s="13">
        <v>45758</v>
      </c>
      <c r="B2120" s="15" t="s">
        <v>21</v>
      </c>
      <c r="C2120" s="3">
        <v>3</v>
      </c>
      <c r="D2120" s="13">
        <f t="shared" si="70"/>
        <v>45761</v>
      </c>
      <c r="E2120" s="15">
        <v>-1800</v>
      </c>
      <c r="F2120" s="9">
        <v>9.4E-2</v>
      </c>
      <c r="G2120" s="9">
        <v>9.4E-2</v>
      </c>
      <c r="H2120" s="15">
        <f t="shared" si="66"/>
        <v>-1800</v>
      </c>
    </row>
    <row r="2121" spans="1:8" x14ac:dyDescent="0.3">
      <c r="A2121" s="13">
        <v>45763</v>
      </c>
      <c r="B2121" s="15" t="s">
        <v>21</v>
      </c>
      <c r="C2121" s="3">
        <v>5</v>
      </c>
      <c r="D2121" s="13">
        <f t="shared" si="70"/>
        <v>45768</v>
      </c>
      <c r="E2121" s="15">
        <v>-1000</v>
      </c>
      <c r="F2121" s="9">
        <v>9.4E-2</v>
      </c>
      <c r="G2121" s="9">
        <v>9.4E-2</v>
      </c>
      <c r="H2121" s="15">
        <f t="shared" si="66"/>
        <v>-1000</v>
      </c>
    </row>
    <row r="2122" spans="1:8" x14ac:dyDescent="0.3">
      <c r="A2122" s="13">
        <v>45768</v>
      </c>
      <c r="B2122" s="15" t="s">
        <v>21</v>
      </c>
      <c r="C2122" s="3">
        <v>1</v>
      </c>
      <c r="D2122" s="13">
        <f t="shared" si="70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71">+SUMIFS($E$10:$E$4506,$A$10:$A$4506,"&lt;="&amp;A2122,$D$10:$D$4506,"&gt;"&amp;A2122)</f>
        <v>1800</v>
      </c>
    </row>
    <row r="2123" spans="1:8" x14ac:dyDescent="0.3">
      <c r="A2123" s="13">
        <v>45769</v>
      </c>
      <c r="B2123" s="15" t="s">
        <v>21</v>
      </c>
      <c r="C2123" s="3">
        <v>1</v>
      </c>
      <c r="D2123" s="13">
        <f t="shared" si="70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71"/>
        <v>11800</v>
      </c>
    </row>
    <row r="2124" spans="1:8" x14ac:dyDescent="0.3">
      <c r="A2124" s="13">
        <v>45769</v>
      </c>
      <c r="B2124" s="15" t="s">
        <v>21</v>
      </c>
      <c r="C2124" s="3">
        <v>2</v>
      </c>
      <c r="D2124" s="13">
        <f t="shared" si="70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71"/>
        <v>11800</v>
      </c>
    </row>
    <row r="2125" spans="1:8" x14ac:dyDescent="0.3">
      <c r="A2125" s="13">
        <v>45769</v>
      </c>
      <c r="B2125" s="15" t="s">
        <v>21</v>
      </c>
      <c r="C2125" s="3">
        <v>3</v>
      </c>
      <c r="D2125" s="13">
        <f t="shared" si="70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71"/>
        <v>11800</v>
      </c>
    </row>
    <row r="2126" spans="1:8" x14ac:dyDescent="0.3">
      <c r="A2126" s="13">
        <v>45769</v>
      </c>
      <c r="B2126" s="15" t="s">
        <v>21</v>
      </c>
      <c r="C2126" s="3">
        <v>8</v>
      </c>
      <c r="D2126" s="13">
        <f t="shared" si="70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71"/>
        <v>11800</v>
      </c>
    </row>
    <row r="2127" spans="1:8" x14ac:dyDescent="0.3">
      <c r="A2127" s="13">
        <v>45770</v>
      </c>
      <c r="B2127" s="15" t="s">
        <v>21</v>
      </c>
      <c r="C2127" s="3">
        <v>2</v>
      </c>
      <c r="D2127" s="13">
        <f t="shared" si="70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71"/>
        <v>9600</v>
      </c>
    </row>
    <row r="2128" spans="1:8" x14ac:dyDescent="0.3">
      <c r="A2128" s="13">
        <v>45770</v>
      </c>
      <c r="B2128" s="15" t="s">
        <v>21</v>
      </c>
      <c r="C2128" s="3">
        <v>5</v>
      </c>
      <c r="D2128" s="13">
        <f t="shared" si="70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71"/>
        <v>9600</v>
      </c>
    </row>
    <row r="2129" spans="1:8" x14ac:dyDescent="0.3">
      <c r="A2129" s="13">
        <v>45771</v>
      </c>
      <c r="B2129" s="15" t="s">
        <v>21</v>
      </c>
      <c r="C2129" s="3">
        <v>1</v>
      </c>
      <c r="D2129" s="13">
        <f t="shared" si="70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71"/>
        <v>7700</v>
      </c>
    </row>
    <row r="2130" spans="1:8" x14ac:dyDescent="0.3">
      <c r="A2130" s="13">
        <v>45772</v>
      </c>
      <c r="B2130" s="15" t="s">
        <v>21</v>
      </c>
      <c r="C2130" s="3">
        <v>4</v>
      </c>
      <c r="D2130" s="13">
        <f t="shared" si="70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71"/>
        <v>3600</v>
      </c>
    </row>
    <row r="2131" spans="1:8" x14ac:dyDescent="0.3">
      <c r="A2131" s="13">
        <v>45776</v>
      </c>
      <c r="B2131" s="15" t="s">
        <v>21</v>
      </c>
      <c r="C2131" s="3">
        <v>1</v>
      </c>
      <c r="D2131" s="13">
        <f t="shared" si="70"/>
        <v>45777</v>
      </c>
      <c r="E2131" s="15">
        <v>2300</v>
      </c>
      <c r="F2131" s="9">
        <v>0.09</v>
      </c>
      <c r="G2131" s="9">
        <v>9.0999999999999998E-2</v>
      </c>
      <c r="H2131" s="15">
        <f t="shared" si="71"/>
        <v>4600</v>
      </c>
    </row>
    <row r="2132" spans="1:8" x14ac:dyDescent="0.3">
      <c r="A2132" s="13">
        <v>45779</v>
      </c>
      <c r="B2132" s="15" t="s">
        <v>21</v>
      </c>
      <c r="C2132" s="3">
        <v>3</v>
      </c>
      <c r="D2132" s="13">
        <f t="shared" si="70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71"/>
        <v>-1000</v>
      </c>
    </row>
    <row r="2133" spans="1:8" x14ac:dyDescent="0.3">
      <c r="A2133" s="13">
        <v>45782</v>
      </c>
      <c r="B2133" s="15" t="s">
        <v>21</v>
      </c>
      <c r="C2133" s="3">
        <v>1</v>
      </c>
      <c r="D2133" s="13">
        <f t="shared" si="70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71"/>
        <v>-800</v>
      </c>
    </row>
    <row r="2134" spans="1:8" x14ac:dyDescent="0.3">
      <c r="A2134" s="13">
        <v>45784</v>
      </c>
      <c r="B2134" s="15" t="s">
        <v>21</v>
      </c>
      <c r="C2134" s="3">
        <v>2</v>
      </c>
      <c r="D2134" s="13">
        <f t="shared" si="70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71"/>
        <v>3400</v>
      </c>
    </row>
    <row r="2135" spans="1:8" x14ac:dyDescent="0.3">
      <c r="A2135" s="13">
        <v>45784</v>
      </c>
      <c r="B2135" s="15" t="s">
        <v>21</v>
      </c>
      <c r="C2135" s="3">
        <v>5</v>
      </c>
      <c r="D2135" s="13">
        <f t="shared" si="70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71"/>
        <v>3400</v>
      </c>
    </row>
    <row r="2136" spans="1:8" x14ac:dyDescent="0.3">
      <c r="A2136" s="13">
        <v>45784</v>
      </c>
      <c r="B2136" s="15" t="s">
        <v>21</v>
      </c>
      <c r="C2136" s="3">
        <v>6</v>
      </c>
      <c r="D2136" s="13">
        <f t="shared" si="70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71"/>
        <v>3400</v>
      </c>
    </row>
    <row r="2137" spans="1:8" x14ac:dyDescent="0.3">
      <c r="A2137" s="13">
        <v>45785</v>
      </c>
      <c r="B2137" s="15" t="s">
        <v>21</v>
      </c>
      <c r="C2137" s="3">
        <v>4</v>
      </c>
      <c r="D2137" s="13">
        <f t="shared" si="70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71"/>
        <v>5000</v>
      </c>
    </row>
    <row r="2138" spans="1:8" x14ac:dyDescent="0.3">
      <c r="A2138" s="13">
        <v>45786</v>
      </c>
      <c r="B2138" s="15" t="s">
        <v>21</v>
      </c>
      <c r="C2138" s="3">
        <v>3</v>
      </c>
      <c r="D2138" s="13">
        <f t="shared" si="70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71"/>
        <v>6900</v>
      </c>
    </row>
    <row r="2139" spans="1:8" x14ac:dyDescent="0.3">
      <c r="A2139" s="13">
        <v>45786</v>
      </c>
      <c r="B2139" s="15" t="s">
        <v>21</v>
      </c>
      <c r="C2139" s="3">
        <v>4</v>
      </c>
      <c r="D2139" s="13">
        <f t="shared" si="70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71"/>
        <v>6900</v>
      </c>
    </row>
    <row r="2140" spans="1:8" x14ac:dyDescent="0.3">
      <c r="A2140" s="13">
        <v>45789</v>
      </c>
      <c r="B2140" s="15" t="s">
        <v>21</v>
      </c>
      <c r="C2140" s="3">
        <v>1</v>
      </c>
      <c r="D2140" s="13">
        <f t="shared" si="70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71"/>
        <v>4900</v>
      </c>
    </row>
    <row r="2141" spans="1:8" x14ac:dyDescent="0.3">
      <c r="A2141" s="13">
        <v>45789</v>
      </c>
      <c r="B2141" s="15" t="s">
        <v>21</v>
      </c>
      <c r="C2141" s="3">
        <v>2</v>
      </c>
      <c r="D2141" s="13">
        <f t="shared" si="70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71"/>
        <v>4900</v>
      </c>
    </row>
    <row r="2142" spans="1:8" x14ac:dyDescent="0.3">
      <c r="A2142" s="13">
        <v>45790</v>
      </c>
      <c r="B2142" s="15" t="s">
        <v>21</v>
      </c>
      <c r="C2142" s="3">
        <v>2</v>
      </c>
      <c r="D2142" s="13">
        <f t="shared" si="70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71"/>
        <v>800</v>
      </c>
    </row>
    <row r="2143" spans="1:8" x14ac:dyDescent="0.3">
      <c r="A2143" s="13">
        <v>45791</v>
      </c>
      <c r="B2143" s="15" t="s">
        <v>21</v>
      </c>
      <c r="C2143" s="3">
        <v>1</v>
      </c>
      <c r="D2143" s="13">
        <f t="shared" si="70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71"/>
        <v>-350</v>
      </c>
    </row>
    <row r="2144" spans="1:8" x14ac:dyDescent="0.3">
      <c r="A2144" s="13">
        <v>45792</v>
      </c>
      <c r="B2144" s="15" t="s">
        <v>21</v>
      </c>
      <c r="C2144" s="3">
        <v>1</v>
      </c>
      <c r="D2144" s="13">
        <f t="shared" si="70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71"/>
        <v>0</v>
      </c>
    </row>
    <row r="2145" spans="1:8" x14ac:dyDescent="0.3">
      <c r="A2145" s="13">
        <v>45792</v>
      </c>
      <c r="B2145" s="15" t="s">
        <v>21</v>
      </c>
      <c r="C2145" s="3">
        <v>4</v>
      </c>
      <c r="D2145" s="13">
        <f t="shared" si="70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71"/>
        <v>0</v>
      </c>
    </row>
    <row r="2146" spans="1:8" x14ac:dyDescent="0.3">
      <c r="A2146" s="13">
        <v>45793</v>
      </c>
      <c r="B2146" s="15" t="s">
        <v>21</v>
      </c>
      <c r="C2146" s="3">
        <v>4</v>
      </c>
      <c r="D2146" s="13">
        <f t="shared" si="70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71"/>
        <v>2100</v>
      </c>
    </row>
    <row r="2147" spans="1:8" x14ac:dyDescent="0.3">
      <c r="A2147" s="13">
        <v>45793</v>
      </c>
      <c r="B2147" s="15" t="s">
        <v>21</v>
      </c>
      <c r="C2147" s="3">
        <v>5</v>
      </c>
      <c r="D2147" s="13">
        <f t="shared" si="70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71"/>
        <v>2100</v>
      </c>
    </row>
    <row r="2148" spans="1:8" x14ac:dyDescent="0.3">
      <c r="A2148" s="13">
        <v>45796</v>
      </c>
      <c r="B2148" s="15" t="s">
        <v>21</v>
      </c>
      <c r="C2148" s="3">
        <v>2</v>
      </c>
      <c r="D2148" s="13">
        <f t="shared" si="70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71"/>
        <v>2100</v>
      </c>
    </row>
    <row r="2149" spans="1:8" x14ac:dyDescent="0.3">
      <c r="A2149" s="13">
        <v>45797</v>
      </c>
      <c r="B2149" s="15" t="s">
        <v>21</v>
      </c>
      <c r="C2149" s="3">
        <v>2</v>
      </c>
      <c r="D2149" s="13">
        <f t="shared" si="70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71"/>
        <v>2100</v>
      </c>
    </row>
    <row r="2150" spans="1:8" x14ac:dyDescent="0.3">
      <c r="A2150" s="13">
        <v>45799</v>
      </c>
      <c r="B2150" s="15" t="s">
        <v>21</v>
      </c>
      <c r="C2150" s="3">
        <v>1</v>
      </c>
      <c r="D2150" s="13">
        <f t="shared" si="70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71"/>
        <v>4200</v>
      </c>
    </row>
    <row r="2151" spans="1:8" x14ac:dyDescent="0.3">
      <c r="A2151" s="13">
        <v>45799</v>
      </c>
      <c r="B2151" s="15" t="s">
        <v>21</v>
      </c>
      <c r="C2151" s="3">
        <v>4</v>
      </c>
      <c r="D2151" s="13">
        <f t="shared" si="70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71"/>
        <v>4200</v>
      </c>
    </row>
    <row r="2152" spans="1:8" x14ac:dyDescent="0.3">
      <c r="A2152" s="13">
        <v>45799</v>
      </c>
      <c r="B2152" s="15" t="s">
        <v>21</v>
      </c>
      <c r="C2152" s="3">
        <v>5</v>
      </c>
      <c r="D2152" s="13">
        <f t="shared" si="70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71"/>
        <v>4200</v>
      </c>
    </row>
    <row r="2153" spans="1:8" x14ac:dyDescent="0.3">
      <c r="A2153" s="13">
        <v>45800</v>
      </c>
      <c r="B2153" s="15" t="s">
        <v>21</v>
      </c>
      <c r="C2153" s="3">
        <v>3</v>
      </c>
      <c r="D2153" s="13">
        <f t="shared" si="70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71"/>
        <v>11900</v>
      </c>
    </row>
    <row r="2154" spans="1:8" x14ac:dyDescent="0.3">
      <c r="A2154" s="13">
        <v>45800</v>
      </c>
      <c r="B2154" s="15" t="s">
        <v>21</v>
      </c>
      <c r="C2154" s="3">
        <v>4</v>
      </c>
      <c r="D2154" s="13">
        <f t="shared" si="70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71"/>
        <v>11900</v>
      </c>
    </row>
    <row r="2155" spans="1:8" x14ac:dyDescent="0.3">
      <c r="A2155" s="13">
        <v>45803</v>
      </c>
      <c r="B2155" s="15" t="s">
        <v>21</v>
      </c>
      <c r="C2155" s="3">
        <v>2</v>
      </c>
      <c r="D2155" s="13">
        <f t="shared" si="70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71"/>
        <v>5000</v>
      </c>
    </row>
    <row r="2156" spans="1:8" x14ac:dyDescent="0.3">
      <c r="A2156" s="13">
        <v>45804</v>
      </c>
      <c r="B2156" s="15" t="s">
        <v>21</v>
      </c>
      <c r="C2156" s="3">
        <v>2</v>
      </c>
      <c r="D2156" s="13">
        <f t="shared" si="70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71"/>
        <v>5000</v>
      </c>
    </row>
    <row r="2157" spans="1:8" x14ac:dyDescent="0.3">
      <c r="A2157" s="13">
        <v>45804</v>
      </c>
      <c r="B2157" s="15" t="s">
        <v>21</v>
      </c>
      <c r="C2157" s="3">
        <v>3</v>
      </c>
      <c r="D2157" s="13">
        <f t="shared" si="70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71"/>
        <v>5000</v>
      </c>
    </row>
    <row r="2158" spans="1:8" x14ac:dyDescent="0.3">
      <c r="A2158" s="13">
        <v>45805</v>
      </c>
      <c r="B2158" s="15" t="s">
        <v>21</v>
      </c>
      <c r="C2158" s="3">
        <v>2</v>
      </c>
      <c r="D2158" s="13">
        <f t="shared" si="70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71"/>
        <v>6600</v>
      </c>
    </row>
    <row r="2159" spans="1:8" x14ac:dyDescent="0.3">
      <c r="A2159" s="13">
        <v>45806</v>
      </c>
      <c r="B2159" s="15" t="s">
        <v>21</v>
      </c>
      <c r="C2159" s="3">
        <v>4</v>
      </c>
      <c r="D2159" s="13">
        <f t="shared" si="70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71"/>
        <v>7840</v>
      </c>
    </row>
    <row r="2160" spans="1:8" x14ac:dyDescent="0.3">
      <c r="A2160" s="13">
        <v>45807</v>
      </c>
      <c r="B2160" s="15" t="s">
        <v>21</v>
      </c>
      <c r="C2160" s="3">
        <v>3</v>
      </c>
      <c r="D2160" s="13">
        <f t="shared" si="70"/>
        <v>45810</v>
      </c>
      <c r="E2160" s="15">
        <v>-500</v>
      </c>
      <c r="F2160" s="9">
        <v>9.35E-2</v>
      </c>
      <c r="G2160" s="9">
        <v>9.35E-2</v>
      </c>
      <c r="H2160" s="15">
        <f t="shared" si="71"/>
        <v>1940</v>
      </c>
    </row>
    <row r="2161" spans="1:9" x14ac:dyDescent="0.3">
      <c r="A2161" s="13">
        <v>45811</v>
      </c>
      <c r="B2161" s="15" t="s">
        <v>21</v>
      </c>
      <c r="C2161" s="3">
        <v>1</v>
      </c>
      <c r="D2161" s="13">
        <f t="shared" si="70"/>
        <v>45812</v>
      </c>
      <c r="E2161" s="15">
        <v>-1200</v>
      </c>
      <c r="F2161" s="9">
        <v>9.4E-2</v>
      </c>
      <c r="G2161" s="9">
        <v>9.4E-2</v>
      </c>
      <c r="H2161" s="15">
        <f t="shared" si="71"/>
        <v>-1200</v>
      </c>
    </row>
    <row r="2162" spans="1:9" x14ac:dyDescent="0.3">
      <c r="A2162" s="13">
        <v>45812</v>
      </c>
      <c r="B2162" s="15" t="s">
        <v>21</v>
      </c>
      <c r="C2162" s="3">
        <v>2</v>
      </c>
      <c r="D2162" s="13">
        <f t="shared" si="70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71"/>
        <v>600</v>
      </c>
    </row>
    <row r="2163" spans="1:9" x14ac:dyDescent="0.3">
      <c r="A2163" s="13">
        <v>45813</v>
      </c>
      <c r="B2163" s="15" t="s">
        <v>21</v>
      </c>
      <c r="C2163" s="3">
        <v>4</v>
      </c>
      <c r="D2163" s="13">
        <f t="shared" si="70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71"/>
        <v>3400</v>
      </c>
    </row>
    <row r="2164" spans="1:9" x14ac:dyDescent="0.3">
      <c r="A2164" s="13">
        <v>45814</v>
      </c>
      <c r="B2164" s="15" t="s">
        <v>21</v>
      </c>
      <c r="C2164" s="3">
        <v>4</v>
      </c>
      <c r="D2164" s="13">
        <f t="shared" si="70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71"/>
        <v>3900</v>
      </c>
    </row>
    <row r="2165" spans="1:9" x14ac:dyDescent="0.3">
      <c r="A2165" s="13">
        <v>45817</v>
      </c>
      <c r="B2165" s="15" t="s">
        <v>21</v>
      </c>
      <c r="C2165" s="3">
        <v>3</v>
      </c>
      <c r="D2165" s="13">
        <f t="shared" si="70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71"/>
        <v>3700</v>
      </c>
      <c r="I2165" s="73"/>
    </row>
    <row r="2166" spans="1:9" x14ac:dyDescent="0.3">
      <c r="A2166" s="13">
        <v>45817</v>
      </c>
      <c r="B2166" s="15" t="s">
        <v>21</v>
      </c>
      <c r="C2166" s="3">
        <v>4</v>
      </c>
      <c r="D2166" s="13">
        <f t="shared" si="70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71"/>
        <v>3700</v>
      </c>
    </row>
    <row r="2167" spans="1:9" x14ac:dyDescent="0.3">
      <c r="A2167" s="13">
        <v>45818</v>
      </c>
      <c r="B2167" s="15" t="s">
        <v>21</v>
      </c>
      <c r="C2167" s="3">
        <v>3</v>
      </c>
      <c r="D2167" s="13">
        <f t="shared" si="70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71"/>
        <v>4800</v>
      </c>
    </row>
    <row r="2168" spans="1:9" x14ac:dyDescent="0.3">
      <c r="A2168" s="13">
        <v>45818</v>
      </c>
      <c r="B2168" s="15" t="s">
        <v>21</v>
      </c>
      <c r="C2168" s="3">
        <v>6</v>
      </c>
      <c r="D2168" s="13">
        <f t="shared" si="70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71"/>
        <v>4800</v>
      </c>
    </row>
    <row r="2169" spans="1:9" x14ac:dyDescent="0.3">
      <c r="A2169" s="13">
        <v>45819</v>
      </c>
      <c r="B2169" s="15" t="s">
        <v>21</v>
      </c>
      <c r="C2169" s="3">
        <v>1</v>
      </c>
      <c r="D2169" s="13">
        <f t="shared" si="70"/>
        <v>45820</v>
      </c>
      <c r="E2169" s="15">
        <v>-700</v>
      </c>
      <c r="F2169" s="9">
        <v>9.35E-2</v>
      </c>
      <c r="G2169" s="9">
        <v>9.35E-2</v>
      </c>
      <c r="H2169" s="15">
        <f t="shared" si="71"/>
        <v>4100</v>
      </c>
    </row>
    <row r="2170" spans="1:9" x14ac:dyDescent="0.3">
      <c r="A2170" s="13">
        <v>45824</v>
      </c>
      <c r="B2170" s="15" t="s">
        <v>21</v>
      </c>
      <c r="C2170" s="3">
        <v>2</v>
      </c>
      <c r="D2170" s="13">
        <f t="shared" si="70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71"/>
        <v>6600</v>
      </c>
    </row>
    <row r="2171" spans="1:9" x14ac:dyDescent="0.3">
      <c r="A2171" s="13">
        <v>45824</v>
      </c>
      <c r="B2171" s="15" t="s">
        <v>21</v>
      </c>
      <c r="C2171" s="3">
        <v>4</v>
      </c>
      <c r="D2171" s="13">
        <f t="shared" si="70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71"/>
        <v>6600</v>
      </c>
    </row>
    <row r="2172" spans="1:9" x14ac:dyDescent="0.3">
      <c r="A2172" s="13">
        <v>45824</v>
      </c>
      <c r="B2172" s="15" t="s">
        <v>21</v>
      </c>
      <c r="C2172" s="3">
        <v>7</v>
      </c>
      <c r="D2172" s="13">
        <f t="shared" si="70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71"/>
        <v>6600</v>
      </c>
    </row>
    <row r="2173" spans="1:9" x14ac:dyDescent="0.3">
      <c r="A2173" s="13">
        <v>45825</v>
      </c>
      <c r="B2173" s="15" t="s">
        <v>21</v>
      </c>
      <c r="C2173" s="3">
        <v>3</v>
      </c>
      <c r="D2173" s="13">
        <f t="shared" si="70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71"/>
        <v>7600</v>
      </c>
    </row>
    <row r="2174" spans="1:9" x14ac:dyDescent="0.3">
      <c r="A2174" s="13">
        <v>45826</v>
      </c>
      <c r="B2174" s="15" t="s">
        <v>21</v>
      </c>
      <c r="C2174" s="3">
        <v>5</v>
      </c>
      <c r="D2174" s="13">
        <f t="shared" si="70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71"/>
        <v>15900</v>
      </c>
    </row>
    <row r="2175" spans="1:9" x14ac:dyDescent="0.3">
      <c r="A2175" s="13">
        <v>45826</v>
      </c>
      <c r="B2175" s="15" t="s">
        <v>21</v>
      </c>
      <c r="C2175" s="3">
        <v>6</v>
      </c>
      <c r="D2175" s="13">
        <f t="shared" si="70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71"/>
        <v>15900</v>
      </c>
    </row>
    <row r="2176" spans="1:9" x14ac:dyDescent="0.3">
      <c r="A2176" s="13">
        <v>45826</v>
      </c>
      <c r="B2176" s="15" t="s">
        <v>21</v>
      </c>
      <c r="C2176" s="3">
        <v>7</v>
      </c>
      <c r="D2176" s="13">
        <f t="shared" si="70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71"/>
        <v>15900</v>
      </c>
    </row>
    <row r="2177" spans="1:8" x14ac:dyDescent="0.3">
      <c r="A2177" s="13">
        <v>45828</v>
      </c>
      <c r="B2177" s="15" t="s">
        <v>21</v>
      </c>
      <c r="C2177" s="3">
        <v>4</v>
      </c>
      <c r="D2177" s="13">
        <f t="shared" si="70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71"/>
        <v>16100</v>
      </c>
    </row>
    <row r="2178" spans="1:8" x14ac:dyDescent="0.3">
      <c r="A2178" s="13">
        <v>45828</v>
      </c>
      <c r="B2178" s="15" t="s">
        <v>21</v>
      </c>
      <c r="C2178" s="3">
        <v>5</v>
      </c>
      <c r="D2178" s="13">
        <f t="shared" si="70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71"/>
        <v>16100</v>
      </c>
    </row>
    <row r="2179" spans="1:8" x14ac:dyDescent="0.3">
      <c r="A2179" s="13">
        <v>45828</v>
      </c>
      <c r="B2179" s="15" t="s">
        <v>21</v>
      </c>
      <c r="C2179" s="3">
        <v>6</v>
      </c>
      <c r="D2179" s="13">
        <f t="shared" ref="D2179:D2284" si="72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71"/>
        <v>16100</v>
      </c>
    </row>
    <row r="2180" spans="1:8" x14ac:dyDescent="0.3">
      <c r="A2180" s="13">
        <v>45831</v>
      </c>
      <c r="B2180" s="15" t="s">
        <v>21</v>
      </c>
      <c r="C2180" s="3">
        <v>1</v>
      </c>
      <c r="D2180" s="13">
        <f t="shared" si="72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71"/>
        <v>20600</v>
      </c>
    </row>
    <row r="2181" spans="1:8" x14ac:dyDescent="0.3">
      <c r="A2181" s="13">
        <v>45831</v>
      </c>
      <c r="B2181" s="15" t="s">
        <v>21</v>
      </c>
      <c r="C2181" s="3">
        <v>2</v>
      </c>
      <c r="D2181" s="13">
        <f t="shared" si="72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71"/>
        <v>20600</v>
      </c>
    </row>
    <row r="2182" spans="1:8" x14ac:dyDescent="0.3">
      <c r="A2182" s="13">
        <v>45831</v>
      </c>
      <c r="B2182" s="15" t="s">
        <v>21</v>
      </c>
      <c r="C2182" s="3">
        <v>3</v>
      </c>
      <c r="D2182" s="13">
        <f t="shared" si="72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71"/>
        <v>20600</v>
      </c>
    </row>
    <row r="2183" spans="1:8" x14ac:dyDescent="0.3">
      <c r="A2183" s="13">
        <v>45831</v>
      </c>
      <c r="B2183" s="15" t="s">
        <v>21</v>
      </c>
      <c r="C2183" s="3">
        <v>4</v>
      </c>
      <c r="D2183" s="13">
        <f t="shared" si="72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71"/>
        <v>20600</v>
      </c>
    </row>
    <row r="2184" spans="1:8" x14ac:dyDescent="0.3">
      <c r="A2184" s="13">
        <v>45831</v>
      </c>
      <c r="B2184" s="15" t="s">
        <v>21</v>
      </c>
      <c r="C2184" s="3">
        <v>7</v>
      </c>
      <c r="D2184" s="13">
        <f t="shared" si="72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71"/>
        <v>20600</v>
      </c>
    </row>
    <row r="2185" spans="1:8" x14ac:dyDescent="0.3">
      <c r="A2185" s="13">
        <v>45832</v>
      </c>
      <c r="B2185" s="15" t="s">
        <v>21</v>
      </c>
      <c r="C2185" s="3">
        <v>1</v>
      </c>
      <c r="D2185" s="13">
        <f t="shared" si="72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71"/>
        <v>24400</v>
      </c>
    </row>
    <row r="2186" spans="1:8" x14ac:dyDescent="0.3">
      <c r="A2186" s="13">
        <v>45832</v>
      </c>
      <c r="B2186" s="15" t="s">
        <v>21</v>
      </c>
      <c r="C2186" s="3">
        <v>2</v>
      </c>
      <c r="D2186" s="13">
        <f t="shared" si="72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73">+SUMIFS($E$10:$E$4506,$A$10:$A$4506,"&lt;="&amp;A2186,$D$10:$D$4506,"&gt;"&amp;A2186)</f>
        <v>24400</v>
      </c>
    </row>
    <row r="2187" spans="1:8" x14ac:dyDescent="0.3">
      <c r="A2187" s="13">
        <v>45832</v>
      </c>
      <c r="B2187" s="15" t="s">
        <v>21</v>
      </c>
      <c r="C2187" s="3">
        <v>3</v>
      </c>
      <c r="D2187" s="13">
        <f t="shared" si="72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73"/>
        <v>24400</v>
      </c>
    </row>
    <row r="2188" spans="1:8" x14ac:dyDescent="0.3">
      <c r="A2188" s="13">
        <v>45832</v>
      </c>
      <c r="B2188" s="15" t="s">
        <v>21</v>
      </c>
      <c r="C2188" s="3">
        <v>6</v>
      </c>
      <c r="D2188" s="13">
        <f t="shared" si="72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73"/>
        <v>24400</v>
      </c>
    </row>
    <row r="2189" spans="1:8" x14ac:dyDescent="0.3">
      <c r="A2189" s="13">
        <v>45833</v>
      </c>
      <c r="B2189" s="15" t="s">
        <v>21</v>
      </c>
      <c r="C2189" s="3">
        <v>1</v>
      </c>
      <c r="D2189" s="13">
        <f t="shared" si="72"/>
        <v>45834</v>
      </c>
      <c r="E2189" s="15">
        <v>-900</v>
      </c>
      <c r="F2189" s="9">
        <v>9.35E-2</v>
      </c>
      <c r="G2189" s="9">
        <v>9.35E-2</v>
      </c>
      <c r="H2189" s="15">
        <f t="shared" si="73"/>
        <v>16400</v>
      </c>
    </row>
    <row r="2190" spans="1:8" x14ac:dyDescent="0.3">
      <c r="A2190" s="13">
        <v>45834</v>
      </c>
      <c r="B2190" s="15" t="s">
        <v>21</v>
      </c>
      <c r="C2190" s="3">
        <v>1</v>
      </c>
      <c r="D2190" s="13">
        <f t="shared" si="72"/>
        <v>45835</v>
      </c>
      <c r="E2190" s="15">
        <v>-1200</v>
      </c>
      <c r="F2190" s="9">
        <v>9.35E-2</v>
      </c>
      <c r="G2190" s="9">
        <v>9.35E-2</v>
      </c>
      <c r="H2190" s="15">
        <f t="shared" si="73"/>
        <v>9700</v>
      </c>
    </row>
    <row r="2191" spans="1:8" x14ac:dyDescent="0.3">
      <c r="A2191" s="13">
        <v>45834</v>
      </c>
      <c r="B2191" s="15" t="s">
        <v>21</v>
      </c>
      <c r="C2191" s="3">
        <v>4</v>
      </c>
      <c r="D2191" s="13">
        <f t="shared" si="72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73"/>
        <v>9700</v>
      </c>
    </row>
    <row r="2192" spans="1:8" x14ac:dyDescent="0.3">
      <c r="A2192" s="13">
        <v>45835</v>
      </c>
      <c r="B2192" s="15" t="s">
        <v>21</v>
      </c>
      <c r="C2192" s="3">
        <v>3</v>
      </c>
      <c r="D2192" s="13">
        <f t="shared" si="72"/>
        <v>45838</v>
      </c>
      <c r="E2192" s="15">
        <v>-4500</v>
      </c>
      <c r="F2192" s="9">
        <v>9.35E-2</v>
      </c>
      <c r="G2192" s="9">
        <v>9.35E-2</v>
      </c>
      <c r="H2192" s="15">
        <f t="shared" si="73"/>
        <v>3000</v>
      </c>
    </row>
    <row r="2193" spans="1:8" x14ac:dyDescent="0.3">
      <c r="A2193" s="13">
        <v>45839</v>
      </c>
      <c r="B2193" s="15" t="s">
        <v>21</v>
      </c>
      <c r="C2193" s="3">
        <v>1</v>
      </c>
      <c r="D2193" s="13">
        <f t="shared" si="72"/>
        <v>45840</v>
      </c>
      <c r="E2193" s="15">
        <v>-800</v>
      </c>
      <c r="F2193" s="9">
        <v>9.4E-2</v>
      </c>
      <c r="G2193" s="9">
        <v>9.4E-2</v>
      </c>
      <c r="H2193" s="15">
        <f t="shared" si="73"/>
        <v>-1400</v>
      </c>
    </row>
    <row r="2194" spans="1:8" x14ac:dyDescent="0.3">
      <c r="A2194" s="13">
        <v>45839</v>
      </c>
      <c r="B2194" s="15" t="s">
        <v>21</v>
      </c>
      <c r="C2194" s="3">
        <v>6</v>
      </c>
      <c r="D2194" s="13">
        <f t="shared" si="72"/>
        <v>45845</v>
      </c>
      <c r="E2194" s="15">
        <v>-600</v>
      </c>
      <c r="F2194" s="9">
        <v>9.4E-2</v>
      </c>
      <c r="G2194" s="9">
        <v>9.4E-2</v>
      </c>
      <c r="H2194" s="15">
        <f t="shared" si="73"/>
        <v>-1400</v>
      </c>
    </row>
    <row r="2195" spans="1:8" x14ac:dyDescent="0.3">
      <c r="A2195" s="13">
        <v>45840</v>
      </c>
      <c r="B2195" s="15" t="s">
        <v>21</v>
      </c>
      <c r="C2195" s="3">
        <v>1</v>
      </c>
      <c r="D2195" s="13">
        <f t="shared" si="72"/>
        <v>45841</v>
      </c>
      <c r="E2195" s="15">
        <v>300</v>
      </c>
      <c r="F2195" s="9">
        <v>0.09</v>
      </c>
      <c r="G2195" s="9">
        <v>0.09</v>
      </c>
      <c r="H2195" s="15">
        <f t="shared" si="73"/>
        <v>4500</v>
      </c>
    </row>
    <row r="2196" spans="1:8" x14ac:dyDescent="0.3">
      <c r="A2196" s="13">
        <v>45840</v>
      </c>
      <c r="B2196" s="15" t="s">
        <v>21</v>
      </c>
      <c r="C2196" s="3">
        <v>2</v>
      </c>
      <c r="D2196" s="13">
        <f t="shared" si="72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73"/>
        <v>4500</v>
      </c>
    </row>
    <row r="2197" spans="1:8" x14ac:dyDescent="0.3">
      <c r="A2197" s="13">
        <v>45840</v>
      </c>
      <c r="B2197" s="15" t="s">
        <v>21</v>
      </c>
      <c r="C2197" s="3">
        <v>5</v>
      </c>
      <c r="D2197" s="13">
        <f t="shared" si="72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73"/>
        <v>4500</v>
      </c>
    </row>
    <row r="2198" spans="1:8" x14ac:dyDescent="0.3">
      <c r="A2198" s="13">
        <v>45840</v>
      </c>
      <c r="B2198" s="15" t="s">
        <v>21</v>
      </c>
      <c r="C2198" s="3">
        <v>7</v>
      </c>
      <c r="D2198" s="13">
        <f t="shared" si="72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73"/>
        <v>4500</v>
      </c>
    </row>
    <row r="2199" spans="1:8" x14ac:dyDescent="0.3">
      <c r="A2199" s="13">
        <v>45841</v>
      </c>
      <c r="B2199" s="15" t="s">
        <v>21</v>
      </c>
      <c r="C2199" s="3">
        <v>4</v>
      </c>
      <c r="D2199" s="13">
        <f t="shared" si="72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73"/>
        <v>7700</v>
      </c>
    </row>
    <row r="2200" spans="1:8" x14ac:dyDescent="0.3">
      <c r="A2200" s="13">
        <v>45841</v>
      </c>
      <c r="B2200" s="15" t="s">
        <v>21</v>
      </c>
      <c r="C2200" s="3">
        <v>5</v>
      </c>
      <c r="D2200" s="13">
        <f t="shared" si="72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73"/>
        <v>7700</v>
      </c>
    </row>
    <row r="2201" spans="1:8" x14ac:dyDescent="0.3">
      <c r="A2201" s="13">
        <v>45841</v>
      </c>
      <c r="B2201" s="15" t="s">
        <v>21</v>
      </c>
      <c r="C2201" s="3">
        <v>6</v>
      </c>
      <c r="D2201" s="13">
        <f t="shared" si="72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73"/>
        <v>7700</v>
      </c>
    </row>
    <row r="2202" spans="1:8" x14ac:dyDescent="0.3">
      <c r="A2202" s="13">
        <v>45842</v>
      </c>
      <c r="B2202" s="15" t="s">
        <v>21</v>
      </c>
      <c r="C2202" s="3">
        <v>3</v>
      </c>
      <c r="D2202" s="13">
        <f t="shared" si="72"/>
        <v>45845</v>
      </c>
      <c r="E2202" s="15">
        <v>640</v>
      </c>
      <c r="F2202" s="9">
        <v>0.09</v>
      </c>
      <c r="G2202" s="9">
        <v>9.2499999999999999E-2</v>
      </c>
      <c r="H2202" s="15">
        <f t="shared" si="73"/>
        <v>16840</v>
      </c>
    </row>
    <row r="2203" spans="1:8" x14ac:dyDescent="0.3">
      <c r="A2203" s="13">
        <v>45842</v>
      </c>
      <c r="B2203" s="15" t="s">
        <v>21</v>
      </c>
      <c r="C2203" s="3">
        <v>4</v>
      </c>
      <c r="D2203" s="13">
        <f t="shared" si="72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73"/>
        <v>16840</v>
      </c>
    </row>
    <row r="2204" spans="1:8" x14ac:dyDescent="0.3">
      <c r="A2204" s="13">
        <v>45842</v>
      </c>
      <c r="B2204" s="15" t="s">
        <v>21</v>
      </c>
      <c r="C2204" s="3">
        <v>5</v>
      </c>
      <c r="D2204" s="13">
        <f t="shared" si="72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73"/>
        <v>16840</v>
      </c>
    </row>
    <row r="2205" spans="1:8" x14ac:dyDescent="0.3">
      <c r="A2205" s="13">
        <v>45845</v>
      </c>
      <c r="B2205" s="15" t="s">
        <v>21</v>
      </c>
      <c r="C2205" s="3">
        <v>1</v>
      </c>
      <c r="D2205" s="13">
        <f t="shared" si="72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73"/>
        <v>18050</v>
      </c>
    </row>
    <row r="2206" spans="1:8" x14ac:dyDescent="0.3">
      <c r="A2206" s="13">
        <v>45845</v>
      </c>
      <c r="B2206" s="15" t="s">
        <v>21</v>
      </c>
      <c r="C2206" s="3">
        <v>2</v>
      </c>
      <c r="D2206" s="13">
        <f t="shared" si="72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73"/>
        <v>18050</v>
      </c>
    </row>
    <row r="2207" spans="1:8" x14ac:dyDescent="0.3">
      <c r="A2207" s="13">
        <v>45846</v>
      </c>
      <c r="B2207" s="15" t="s">
        <v>21</v>
      </c>
      <c r="C2207" s="3">
        <v>1</v>
      </c>
      <c r="D2207" s="13">
        <f t="shared" si="72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73"/>
        <v>19100</v>
      </c>
    </row>
    <row r="2208" spans="1:8" x14ac:dyDescent="0.3">
      <c r="A2208" s="13">
        <v>45847</v>
      </c>
      <c r="B2208" s="15" t="s">
        <v>21</v>
      </c>
      <c r="C2208" s="3">
        <v>2</v>
      </c>
      <c r="D2208" s="13">
        <f t="shared" si="72"/>
        <v>45849</v>
      </c>
      <c r="E2208" s="15">
        <v>3300</v>
      </c>
      <c r="F2208" s="9">
        <v>0.09</v>
      </c>
      <c r="G2208" s="9">
        <v>0.09</v>
      </c>
      <c r="H2208" s="15">
        <f t="shared" si="73"/>
        <v>7800</v>
      </c>
    </row>
    <row r="2209" spans="1:8" x14ac:dyDescent="0.3">
      <c r="A2209" s="13">
        <v>45847</v>
      </c>
      <c r="B2209" s="15" t="s">
        <v>21</v>
      </c>
      <c r="C2209" s="3">
        <v>5</v>
      </c>
      <c r="D2209" s="13">
        <f t="shared" si="72"/>
        <v>45852</v>
      </c>
      <c r="E2209" s="15">
        <v>4000</v>
      </c>
      <c r="F2209" s="9">
        <v>0.09</v>
      </c>
      <c r="G2209" s="9">
        <v>0.09</v>
      </c>
      <c r="H2209" s="15">
        <f t="shared" si="73"/>
        <v>7800</v>
      </c>
    </row>
    <row r="2210" spans="1:8" x14ac:dyDescent="0.3">
      <c r="A2210" s="13">
        <v>45847</v>
      </c>
      <c r="B2210" s="15" t="s">
        <v>21</v>
      </c>
      <c r="C2210" s="3">
        <v>6</v>
      </c>
      <c r="D2210" s="13">
        <f t="shared" si="72"/>
        <v>45853</v>
      </c>
      <c r="E2210" s="15">
        <v>500</v>
      </c>
      <c r="F2210" s="9">
        <v>0.09</v>
      </c>
      <c r="G2210" s="9">
        <v>0.09</v>
      </c>
      <c r="H2210" s="15">
        <f t="shared" si="73"/>
        <v>7800</v>
      </c>
    </row>
    <row r="2211" spans="1:8" x14ac:dyDescent="0.3">
      <c r="A2211" s="13">
        <v>45848</v>
      </c>
      <c r="B2211" s="15" t="s">
        <v>21</v>
      </c>
      <c r="C2211" s="3">
        <v>4</v>
      </c>
      <c r="D2211" s="13">
        <f t="shared" si="72"/>
        <v>45852</v>
      </c>
      <c r="E2211" s="15">
        <v>400</v>
      </c>
      <c r="F2211" s="9">
        <v>0.09</v>
      </c>
      <c r="G2211" s="9">
        <v>0.09</v>
      </c>
      <c r="H2211" s="15">
        <f t="shared" si="73"/>
        <v>8200</v>
      </c>
    </row>
    <row r="2212" spans="1:8" x14ac:dyDescent="0.3">
      <c r="A2212" s="13">
        <v>45849</v>
      </c>
      <c r="B2212" s="15" t="s">
        <v>21</v>
      </c>
      <c r="C2212" s="3">
        <v>3</v>
      </c>
      <c r="D2212" s="13">
        <f t="shared" si="72"/>
        <v>45852</v>
      </c>
      <c r="E2212" s="15">
        <v>500</v>
      </c>
      <c r="F2212" s="9">
        <v>0.09</v>
      </c>
      <c r="G2212" s="9">
        <v>0.09</v>
      </c>
      <c r="H2212" s="15">
        <f t="shared" si="73"/>
        <v>15200</v>
      </c>
    </row>
    <row r="2213" spans="1:8" x14ac:dyDescent="0.3">
      <c r="A2213" s="13">
        <v>45849</v>
      </c>
      <c r="B2213" s="15" t="s">
        <v>21</v>
      </c>
      <c r="C2213" s="3">
        <v>4</v>
      </c>
      <c r="D2213" s="13">
        <f t="shared" si="72"/>
        <v>45853</v>
      </c>
      <c r="E2213" s="15">
        <v>3800</v>
      </c>
      <c r="F2213" s="9">
        <v>0.09</v>
      </c>
      <c r="G2213" s="9">
        <v>0.09</v>
      </c>
      <c r="H2213" s="15">
        <f t="shared" si="73"/>
        <v>15200</v>
      </c>
    </row>
    <row r="2214" spans="1:8" x14ac:dyDescent="0.3">
      <c r="A2214" s="13">
        <v>45849</v>
      </c>
      <c r="B2214" s="15" t="s">
        <v>21</v>
      </c>
      <c r="C2214" s="3">
        <v>5</v>
      </c>
      <c r="D2214" s="13">
        <f t="shared" si="72"/>
        <v>45854</v>
      </c>
      <c r="E2214" s="15">
        <v>2000</v>
      </c>
      <c r="F2214" s="9">
        <v>0.09</v>
      </c>
      <c r="G2214" s="9">
        <v>0.09</v>
      </c>
      <c r="H2214" s="15">
        <f t="shared" si="73"/>
        <v>15200</v>
      </c>
    </row>
    <row r="2215" spans="1:8" x14ac:dyDescent="0.3">
      <c r="A2215" s="13">
        <v>45849</v>
      </c>
      <c r="B2215" s="15" t="s">
        <v>21</v>
      </c>
      <c r="C2215" s="3">
        <v>10</v>
      </c>
      <c r="D2215" s="13">
        <f t="shared" si="72"/>
        <v>45859</v>
      </c>
      <c r="E2215" s="15">
        <v>4000</v>
      </c>
      <c r="F2215" s="9">
        <v>0.09</v>
      </c>
      <c r="G2215" s="9">
        <v>0.09</v>
      </c>
      <c r="H2215" s="15">
        <f t="shared" si="73"/>
        <v>15200</v>
      </c>
    </row>
    <row r="2216" spans="1:8" x14ac:dyDescent="0.3">
      <c r="A2216" s="13">
        <v>45852</v>
      </c>
      <c r="B2216" s="15" t="s">
        <v>21</v>
      </c>
      <c r="C2216" s="3">
        <v>1</v>
      </c>
      <c r="D2216" s="13">
        <f t="shared" si="72"/>
        <v>45853</v>
      </c>
      <c r="E2216" s="15">
        <v>800</v>
      </c>
      <c r="F2216" s="9">
        <v>0.09</v>
      </c>
      <c r="G2216" s="9">
        <v>0.09</v>
      </c>
      <c r="H2216" s="15">
        <f t="shared" si="73"/>
        <v>19100</v>
      </c>
    </row>
    <row r="2217" spans="1:8" x14ac:dyDescent="0.3">
      <c r="A2217" s="13">
        <v>45852</v>
      </c>
      <c r="B2217" s="15" t="s">
        <v>21</v>
      </c>
      <c r="C2217" s="3">
        <v>2</v>
      </c>
      <c r="D2217" s="13">
        <f t="shared" si="72"/>
        <v>45854</v>
      </c>
      <c r="E2217" s="15">
        <v>2200</v>
      </c>
      <c r="F2217" s="9">
        <v>0.09</v>
      </c>
      <c r="G2217" s="9">
        <v>0.09</v>
      </c>
      <c r="H2217" s="15">
        <f t="shared" si="73"/>
        <v>19100</v>
      </c>
    </row>
    <row r="2218" spans="1:8" x14ac:dyDescent="0.3">
      <c r="A2218" s="13">
        <v>45852</v>
      </c>
      <c r="B2218" s="15" t="s">
        <v>21</v>
      </c>
      <c r="C2218" s="3">
        <v>3</v>
      </c>
      <c r="D2218" s="13">
        <f t="shared" si="72"/>
        <v>45855</v>
      </c>
      <c r="E2218" s="15">
        <v>1300</v>
      </c>
      <c r="F2218" s="9">
        <v>0.09</v>
      </c>
      <c r="G2218" s="9">
        <v>0.09</v>
      </c>
      <c r="H2218" s="15">
        <f t="shared" si="73"/>
        <v>19100</v>
      </c>
    </row>
    <row r="2219" spans="1:8" x14ac:dyDescent="0.3">
      <c r="A2219" s="13">
        <v>45852</v>
      </c>
      <c r="B2219" s="15" t="s">
        <v>21</v>
      </c>
      <c r="C2219" s="3">
        <v>7</v>
      </c>
      <c r="D2219" s="13">
        <f t="shared" si="72"/>
        <v>45859</v>
      </c>
      <c r="E2219" s="15">
        <v>3500</v>
      </c>
      <c r="F2219" s="9">
        <v>0.09</v>
      </c>
      <c r="G2219" s="9">
        <v>0.09</v>
      </c>
      <c r="H2219" s="15">
        <f t="shared" si="73"/>
        <v>19100</v>
      </c>
    </row>
    <row r="2220" spans="1:8" x14ac:dyDescent="0.3">
      <c r="A2220" s="13">
        <v>45852</v>
      </c>
      <c r="B2220" s="15" t="s">
        <v>21</v>
      </c>
      <c r="C2220" s="3">
        <v>8</v>
      </c>
      <c r="D2220" s="13">
        <f t="shared" si="72"/>
        <v>45860</v>
      </c>
      <c r="E2220" s="15">
        <v>1000</v>
      </c>
      <c r="F2220" s="9">
        <v>0.09</v>
      </c>
      <c r="G2220" s="9">
        <v>0.09</v>
      </c>
      <c r="H2220" s="15">
        <f t="shared" si="73"/>
        <v>19100</v>
      </c>
    </row>
    <row r="2221" spans="1:8" x14ac:dyDescent="0.3">
      <c r="A2221" s="13">
        <v>45853</v>
      </c>
      <c r="B2221" s="15" t="s">
        <v>21</v>
      </c>
      <c r="C2221" s="3">
        <v>1</v>
      </c>
      <c r="D2221" s="13">
        <f t="shared" si="72"/>
        <v>45854</v>
      </c>
      <c r="E2221" s="15">
        <v>400</v>
      </c>
      <c r="F2221" s="9">
        <v>0.09</v>
      </c>
      <c r="G2221" s="9">
        <v>0.09</v>
      </c>
      <c r="H2221" s="15">
        <f t="shared" si="73"/>
        <v>20300</v>
      </c>
    </row>
    <row r="2222" spans="1:8" x14ac:dyDescent="0.3">
      <c r="A2222" s="13">
        <v>45853</v>
      </c>
      <c r="B2222" s="15" t="s">
        <v>21</v>
      </c>
      <c r="C2222" s="3">
        <v>2</v>
      </c>
      <c r="D2222" s="13">
        <f t="shared" si="72"/>
        <v>45855</v>
      </c>
      <c r="E2222" s="15">
        <v>400</v>
      </c>
      <c r="F2222" s="9">
        <v>0.09</v>
      </c>
      <c r="G2222" s="9">
        <v>0.09</v>
      </c>
      <c r="H2222" s="15">
        <f t="shared" si="73"/>
        <v>20300</v>
      </c>
    </row>
    <row r="2223" spans="1:8" x14ac:dyDescent="0.3">
      <c r="A2223" s="13">
        <v>45853</v>
      </c>
      <c r="B2223" s="15" t="s">
        <v>21</v>
      </c>
      <c r="C2223" s="3">
        <v>6</v>
      </c>
      <c r="D2223" s="13">
        <f t="shared" si="72"/>
        <v>45859</v>
      </c>
      <c r="E2223" s="15">
        <v>2200</v>
      </c>
      <c r="F2223" s="9">
        <v>0.09</v>
      </c>
      <c r="G2223" s="9">
        <v>0.09</v>
      </c>
      <c r="H2223" s="15">
        <f t="shared" si="73"/>
        <v>20300</v>
      </c>
    </row>
    <row r="2224" spans="1:8" x14ac:dyDescent="0.3">
      <c r="A2224" s="13">
        <v>45853</v>
      </c>
      <c r="B2224" s="15" t="s">
        <v>21</v>
      </c>
      <c r="C2224" s="3">
        <v>7</v>
      </c>
      <c r="D2224" s="13">
        <f t="shared" si="72"/>
        <v>45860</v>
      </c>
      <c r="E2224" s="15">
        <v>1600</v>
      </c>
      <c r="F2224" s="9">
        <v>0.09</v>
      </c>
      <c r="G2224" s="9">
        <v>0.09</v>
      </c>
      <c r="H2224" s="15">
        <f t="shared" si="73"/>
        <v>20300</v>
      </c>
    </row>
    <row r="2225" spans="1:8" x14ac:dyDescent="0.3">
      <c r="A2225" s="13">
        <v>45853</v>
      </c>
      <c r="B2225" s="15" t="s">
        <v>21</v>
      </c>
      <c r="C2225" s="3">
        <v>8</v>
      </c>
      <c r="D2225" s="13">
        <f t="shared" si="72"/>
        <v>45861</v>
      </c>
      <c r="E2225" s="15">
        <v>200</v>
      </c>
      <c r="F2225" s="9">
        <v>0.09</v>
      </c>
      <c r="G2225" s="9">
        <v>0.09</v>
      </c>
      <c r="H2225" s="15">
        <f t="shared" si="73"/>
        <v>20300</v>
      </c>
    </row>
    <row r="2226" spans="1:8" x14ac:dyDescent="0.3">
      <c r="A2226" s="13">
        <v>45853</v>
      </c>
      <c r="B2226" s="15" t="s">
        <v>21</v>
      </c>
      <c r="C2226" s="3">
        <v>16</v>
      </c>
      <c r="D2226" s="13">
        <f t="shared" si="72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73"/>
        <v>20300</v>
      </c>
    </row>
    <row r="2227" spans="1:8" x14ac:dyDescent="0.3">
      <c r="A2227" s="13">
        <v>45854</v>
      </c>
      <c r="B2227" s="15" t="s">
        <v>21</v>
      </c>
      <c r="C2227" s="3">
        <v>1</v>
      </c>
      <c r="D2227" s="13">
        <f t="shared" si="72"/>
        <v>45855</v>
      </c>
      <c r="E2227" s="15">
        <v>500</v>
      </c>
      <c r="F2227" s="9">
        <v>0.09</v>
      </c>
      <c r="G2227" s="9">
        <v>0.09</v>
      </c>
      <c r="H2227" s="15">
        <f t="shared" si="73"/>
        <v>26200</v>
      </c>
    </row>
    <row r="2228" spans="1:8" x14ac:dyDescent="0.3">
      <c r="A2228" s="13">
        <v>45854</v>
      </c>
      <c r="B2228" s="15" t="s">
        <v>21</v>
      </c>
      <c r="C2228" s="3">
        <v>5</v>
      </c>
      <c r="D2228" s="13">
        <f t="shared" si="72"/>
        <v>45859</v>
      </c>
      <c r="E2228" s="15">
        <v>1500</v>
      </c>
      <c r="F2228" s="9">
        <v>0.09</v>
      </c>
      <c r="G2228" s="9">
        <v>0.09</v>
      </c>
      <c r="H2228" s="15">
        <f t="shared" si="73"/>
        <v>26200</v>
      </c>
    </row>
    <row r="2229" spans="1:8" x14ac:dyDescent="0.3">
      <c r="A2229" s="13">
        <v>45854</v>
      </c>
      <c r="B2229" s="15" t="s">
        <v>21</v>
      </c>
      <c r="C2229" s="3">
        <v>6</v>
      </c>
      <c r="D2229" s="13">
        <f t="shared" si="72"/>
        <v>45860</v>
      </c>
      <c r="E2229" s="15">
        <v>500</v>
      </c>
      <c r="F2229" s="9">
        <v>0.09</v>
      </c>
      <c r="G2229" s="9">
        <v>0.09</v>
      </c>
      <c r="H2229" s="15">
        <f t="shared" si="73"/>
        <v>26200</v>
      </c>
    </row>
    <row r="2230" spans="1:8" x14ac:dyDescent="0.3">
      <c r="A2230" s="13">
        <v>45854</v>
      </c>
      <c r="B2230" s="15" t="s">
        <v>21</v>
      </c>
      <c r="C2230" s="3">
        <v>7</v>
      </c>
      <c r="D2230" s="13">
        <f t="shared" si="72"/>
        <v>45861</v>
      </c>
      <c r="E2230" s="15">
        <v>2000</v>
      </c>
      <c r="F2230" s="9">
        <v>0.09</v>
      </c>
      <c r="G2230" s="9">
        <v>0.09</v>
      </c>
      <c r="H2230" s="15">
        <f t="shared" si="73"/>
        <v>26200</v>
      </c>
    </row>
    <row r="2231" spans="1:8" x14ac:dyDescent="0.3">
      <c r="A2231" s="13">
        <v>45854</v>
      </c>
      <c r="B2231" s="15" t="s">
        <v>21</v>
      </c>
      <c r="C2231" s="3">
        <v>8</v>
      </c>
      <c r="D2231" s="13">
        <f t="shared" si="72"/>
        <v>45862</v>
      </c>
      <c r="E2231" s="15">
        <v>1500</v>
      </c>
      <c r="F2231" s="9">
        <v>0.09</v>
      </c>
      <c r="G2231" s="9">
        <v>0.09</v>
      </c>
      <c r="H2231" s="15">
        <f t="shared" si="73"/>
        <v>26200</v>
      </c>
    </row>
    <row r="2232" spans="1:8" x14ac:dyDescent="0.3">
      <c r="A2232" s="13">
        <v>45854</v>
      </c>
      <c r="B2232" s="15" t="s">
        <v>21</v>
      </c>
      <c r="C2232" s="3">
        <v>15</v>
      </c>
      <c r="D2232" s="13">
        <f t="shared" si="72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73"/>
        <v>26200</v>
      </c>
    </row>
    <row r="2233" spans="1:8" x14ac:dyDescent="0.3">
      <c r="A2233" s="13">
        <v>45854</v>
      </c>
      <c r="B2233" s="15" t="s">
        <v>21</v>
      </c>
      <c r="C2233" s="3">
        <v>16</v>
      </c>
      <c r="D2233" s="13">
        <f t="shared" si="72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73"/>
        <v>26200</v>
      </c>
    </row>
    <row r="2234" spans="1:8" x14ac:dyDescent="0.3">
      <c r="A2234" s="13">
        <v>45855</v>
      </c>
      <c r="B2234" s="15" t="s">
        <v>21</v>
      </c>
      <c r="C2234" s="3">
        <v>6</v>
      </c>
      <c r="D2234" s="13">
        <f t="shared" si="72"/>
        <v>45861</v>
      </c>
      <c r="E2234" s="15">
        <v>1000</v>
      </c>
      <c r="F2234" s="9">
        <v>0.09</v>
      </c>
      <c r="G2234" s="9">
        <v>0.09</v>
      </c>
      <c r="H2234" s="15">
        <f t="shared" si="73"/>
        <v>25500</v>
      </c>
    </row>
    <row r="2235" spans="1:8" x14ac:dyDescent="0.3">
      <c r="A2235" s="13">
        <v>45855</v>
      </c>
      <c r="B2235" s="15" t="s">
        <v>21</v>
      </c>
      <c r="C2235" s="3">
        <v>7</v>
      </c>
      <c r="D2235" s="13">
        <f t="shared" si="72"/>
        <v>45862</v>
      </c>
      <c r="E2235" s="15">
        <v>500</v>
      </c>
      <c r="F2235" s="9">
        <v>0.09</v>
      </c>
      <c r="G2235" s="9">
        <v>0.09</v>
      </c>
      <c r="H2235" s="15">
        <f t="shared" si="73"/>
        <v>25500</v>
      </c>
    </row>
    <row r="2236" spans="1:8" x14ac:dyDescent="0.3">
      <c r="A2236" s="13">
        <v>45859</v>
      </c>
      <c r="B2236" s="15" t="s">
        <v>21</v>
      </c>
      <c r="C2236" s="3">
        <v>2</v>
      </c>
      <c r="D2236" s="13">
        <f t="shared" si="72"/>
        <v>45861</v>
      </c>
      <c r="E2236" s="15">
        <v>2000</v>
      </c>
      <c r="F2236" s="9">
        <v>0.09</v>
      </c>
      <c r="G2236" s="9">
        <v>0.09</v>
      </c>
      <c r="H2236" s="15">
        <f t="shared" si="73"/>
        <v>17300</v>
      </c>
    </row>
    <row r="2237" spans="1:8" x14ac:dyDescent="0.3">
      <c r="A2237" s="13">
        <v>45859</v>
      </c>
      <c r="B2237" s="15" t="s">
        <v>21</v>
      </c>
      <c r="C2237" s="3">
        <v>3</v>
      </c>
      <c r="D2237" s="13">
        <f t="shared" si="72"/>
        <v>45862</v>
      </c>
      <c r="E2237" s="15">
        <v>200</v>
      </c>
      <c r="F2237" s="9">
        <v>0.09</v>
      </c>
      <c r="G2237" s="9">
        <v>0.09</v>
      </c>
      <c r="H2237" s="15">
        <f t="shared" si="73"/>
        <v>17300</v>
      </c>
    </row>
    <row r="2238" spans="1:8" x14ac:dyDescent="0.3">
      <c r="A2238" s="13">
        <v>45859</v>
      </c>
      <c r="B2238" s="15" t="s">
        <v>21</v>
      </c>
      <c r="C2238" s="3">
        <v>4</v>
      </c>
      <c r="D2238" s="13">
        <f t="shared" si="72"/>
        <v>45863</v>
      </c>
      <c r="E2238" s="15">
        <v>200</v>
      </c>
      <c r="F2238" s="9">
        <v>0.09</v>
      </c>
      <c r="G2238" s="9">
        <v>0.09</v>
      </c>
      <c r="H2238" s="15">
        <f t="shared" si="73"/>
        <v>17300</v>
      </c>
    </row>
    <row r="2239" spans="1:8" x14ac:dyDescent="0.3">
      <c r="A2239" s="13">
        <v>45859</v>
      </c>
      <c r="B2239" s="15" t="s">
        <v>21</v>
      </c>
      <c r="C2239" s="3">
        <v>7</v>
      </c>
      <c r="D2239" s="13">
        <f t="shared" si="72"/>
        <v>45866</v>
      </c>
      <c r="E2239" s="15">
        <v>400</v>
      </c>
      <c r="F2239" s="9">
        <v>0.09</v>
      </c>
      <c r="G2239" s="9">
        <v>0.09</v>
      </c>
      <c r="H2239" s="15">
        <f t="shared" si="73"/>
        <v>17300</v>
      </c>
    </row>
    <row r="2240" spans="1:8" x14ac:dyDescent="0.3">
      <c r="A2240" s="13">
        <v>45859</v>
      </c>
      <c r="B2240" s="15" t="s">
        <v>21</v>
      </c>
      <c r="C2240" s="3">
        <v>10</v>
      </c>
      <c r="D2240" s="13">
        <f t="shared" si="72"/>
        <v>45869</v>
      </c>
      <c r="E2240" s="15">
        <v>200</v>
      </c>
      <c r="F2240" s="9">
        <v>0.09</v>
      </c>
      <c r="G2240" s="9">
        <v>0.09</v>
      </c>
      <c r="H2240" s="15">
        <f t="shared" si="73"/>
        <v>17300</v>
      </c>
    </row>
    <row r="2241" spans="1:8" x14ac:dyDescent="0.3">
      <c r="A2241" s="13">
        <v>45860</v>
      </c>
      <c r="B2241" s="15" t="s">
        <v>21</v>
      </c>
      <c r="C2241" s="3">
        <v>2</v>
      </c>
      <c r="D2241" s="13">
        <f t="shared" si="72"/>
        <v>45862</v>
      </c>
      <c r="E2241" s="15">
        <v>2300</v>
      </c>
      <c r="F2241" s="9">
        <v>0.09</v>
      </c>
      <c r="G2241" s="9">
        <v>0.09</v>
      </c>
      <c r="H2241" s="15">
        <f t="shared" si="73"/>
        <v>22000</v>
      </c>
    </row>
    <row r="2242" spans="1:8" x14ac:dyDescent="0.3">
      <c r="A2242" s="13">
        <v>45860</v>
      </c>
      <c r="B2242" s="15" t="s">
        <v>21</v>
      </c>
      <c r="C2242" s="3">
        <v>3</v>
      </c>
      <c r="D2242" s="13">
        <f t="shared" si="72"/>
        <v>45863</v>
      </c>
      <c r="E2242" s="15">
        <v>2000</v>
      </c>
      <c r="F2242" s="9">
        <v>0.09</v>
      </c>
      <c r="G2242" s="9">
        <v>0.09</v>
      </c>
      <c r="H2242" s="15">
        <f t="shared" si="73"/>
        <v>22000</v>
      </c>
    </row>
    <row r="2243" spans="1:8" x14ac:dyDescent="0.3">
      <c r="A2243" s="13">
        <v>45860</v>
      </c>
      <c r="B2243" s="15" t="s">
        <v>21</v>
      </c>
      <c r="C2243" s="3">
        <v>6</v>
      </c>
      <c r="D2243" s="13">
        <f t="shared" si="72"/>
        <v>45866</v>
      </c>
      <c r="E2243" s="15">
        <v>2000</v>
      </c>
      <c r="F2243" s="9">
        <v>0.09</v>
      </c>
      <c r="G2243" s="9">
        <v>0.09</v>
      </c>
      <c r="H2243" s="15">
        <f t="shared" si="73"/>
        <v>22000</v>
      </c>
    </row>
    <row r="2244" spans="1:8" x14ac:dyDescent="0.3">
      <c r="A2244" s="13">
        <v>45860</v>
      </c>
      <c r="B2244" s="15" t="s">
        <v>21</v>
      </c>
      <c r="C2244" s="3">
        <v>7</v>
      </c>
      <c r="D2244" s="13">
        <f t="shared" si="72"/>
        <v>45867</v>
      </c>
      <c r="E2244" s="15">
        <v>1500</v>
      </c>
      <c r="F2244" s="9">
        <v>0.09</v>
      </c>
      <c r="G2244" s="9">
        <v>0.09</v>
      </c>
      <c r="H2244" s="15">
        <f t="shared" si="73"/>
        <v>22000</v>
      </c>
    </row>
    <row r="2245" spans="1:8" x14ac:dyDescent="0.3">
      <c r="A2245" s="13">
        <v>45862</v>
      </c>
      <c r="B2245" s="15" t="s">
        <v>21</v>
      </c>
      <c r="C2245" s="3">
        <v>1</v>
      </c>
      <c r="D2245" s="13">
        <f t="shared" si="72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73"/>
        <v>11900</v>
      </c>
    </row>
    <row r="2246" spans="1:8" x14ac:dyDescent="0.3">
      <c r="A2246" s="13">
        <v>45866</v>
      </c>
      <c r="B2246" s="15" t="s">
        <v>21</v>
      </c>
      <c r="C2246" s="3">
        <v>2</v>
      </c>
      <c r="D2246" s="13">
        <f t="shared" si="72"/>
        <v>45868</v>
      </c>
      <c r="E2246" s="15">
        <v>3200</v>
      </c>
      <c r="F2246" s="9">
        <v>0.09</v>
      </c>
      <c r="G2246" s="9">
        <v>0.09</v>
      </c>
      <c r="H2246" s="15">
        <f t="shared" si="73"/>
        <v>18600</v>
      </c>
    </row>
    <row r="2247" spans="1:8" x14ac:dyDescent="0.3">
      <c r="A2247" s="13">
        <v>45866</v>
      </c>
      <c r="B2247" s="15" t="s">
        <v>21</v>
      </c>
      <c r="C2247" s="3">
        <v>3</v>
      </c>
      <c r="D2247" s="13">
        <f t="shared" si="72"/>
        <v>45869</v>
      </c>
      <c r="E2247" s="15">
        <v>1500</v>
      </c>
      <c r="F2247" s="9">
        <v>0.09</v>
      </c>
      <c r="G2247" s="9">
        <v>0.09</v>
      </c>
      <c r="H2247" s="15">
        <f t="shared" si="73"/>
        <v>18600</v>
      </c>
    </row>
    <row r="2248" spans="1:8" x14ac:dyDescent="0.3">
      <c r="A2248" s="13">
        <v>45866</v>
      </c>
      <c r="B2248" s="15" t="s">
        <v>21</v>
      </c>
      <c r="C2248" s="3">
        <v>4</v>
      </c>
      <c r="D2248" s="13">
        <f t="shared" si="72"/>
        <v>45870</v>
      </c>
      <c r="E2248" s="15">
        <v>6200</v>
      </c>
      <c r="F2248" s="9">
        <v>0.09</v>
      </c>
      <c r="G2248" s="9">
        <v>0.09</v>
      </c>
      <c r="H2248" s="15">
        <f t="shared" si="73"/>
        <v>18600</v>
      </c>
    </row>
    <row r="2249" spans="1:8" x14ac:dyDescent="0.3">
      <c r="A2249" s="13">
        <v>45867</v>
      </c>
      <c r="B2249" s="15" t="s">
        <v>21</v>
      </c>
      <c r="C2249" s="3">
        <v>2</v>
      </c>
      <c r="D2249" s="13">
        <f t="shared" si="72"/>
        <v>45869</v>
      </c>
      <c r="E2249" s="15">
        <v>1000</v>
      </c>
      <c r="F2249" s="9">
        <v>0.09</v>
      </c>
      <c r="G2249" s="9">
        <v>0.09</v>
      </c>
      <c r="H2249" s="15">
        <f t="shared" si="73"/>
        <v>22400</v>
      </c>
    </row>
    <row r="2250" spans="1:8" x14ac:dyDescent="0.3">
      <c r="A2250" s="13">
        <v>45867</v>
      </c>
      <c r="B2250" s="15" t="s">
        <v>21</v>
      </c>
      <c r="C2250" s="3">
        <v>3</v>
      </c>
      <c r="D2250" s="13">
        <f t="shared" si="72"/>
        <v>45870</v>
      </c>
      <c r="E2250" s="15">
        <v>1500</v>
      </c>
      <c r="F2250" s="9">
        <v>0.09</v>
      </c>
      <c r="G2250" s="9">
        <v>0.09</v>
      </c>
      <c r="H2250" s="15">
        <f t="shared" ref="H2250:H2313" si="74">+SUMIFS($E$10:$E$4506,$A$10:$A$4506,"&lt;="&amp;A2250,$D$10:$D$4506,"&gt;"&amp;A2250)</f>
        <v>22400</v>
      </c>
    </row>
    <row r="2251" spans="1:8" x14ac:dyDescent="0.3">
      <c r="A2251" s="13">
        <v>45867</v>
      </c>
      <c r="B2251" s="15" t="s">
        <v>21</v>
      </c>
      <c r="C2251" s="3">
        <v>10</v>
      </c>
      <c r="D2251" s="13">
        <f t="shared" si="72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74"/>
        <v>22400</v>
      </c>
    </row>
    <row r="2252" spans="1:8" x14ac:dyDescent="0.3">
      <c r="A2252" s="13">
        <v>45869</v>
      </c>
      <c r="B2252" s="15" t="s">
        <v>21</v>
      </c>
      <c r="C2252" s="3">
        <v>4</v>
      </c>
      <c r="D2252" s="13">
        <f t="shared" si="72"/>
        <v>45873</v>
      </c>
      <c r="E2252" s="15">
        <v>2000</v>
      </c>
      <c r="F2252" s="9">
        <v>0.09</v>
      </c>
      <c r="G2252" s="9">
        <v>0.09</v>
      </c>
      <c r="H2252" s="15">
        <f t="shared" si="74"/>
        <v>13300</v>
      </c>
    </row>
    <row r="2253" spans="1:8" x14ac:dyDescent="0.3">
      <c r="A2253" s="13">
        <v>45873</v>
      </c>
      <c r="B2253" s="15" t="s">
        <v>21</v>
      </c>
      <c r="C2253" s="3">
        <v>2</v>
      </c>
      <c r="D2253" s="13">
        <f t="shared" si="72"/>
        <v>45875</v>
      </c>
      <c r="E2253" s="15">
        <v>2900</v>
      </c>
      <c r="F2253" s="9">
        <v>0.09</v>
      </c>
      <c r="G2253" s="9">
        <v>0.09</v>
      </c>
      <c r="H2253" s="15">
        <f t="shared" si="74"/>
        <v>12200</v>
      </c>
    </row>
    <row r="2254" spans="1:8" x14ac:dyDescent="0.3">
      <c r="A2254" s="13">
        <v>45873</v>
      </c>
      <c r="B2254" s="15" t="s">
        <v>21</v>
      </c>
      <c r="C2254" s="3">
        <v>7</v>
      </c>
      <c r="D2254" s="13">
        <f t="shared" si="72"/>
        <v>45880</v>
      </c>
      <c r="E2254" s="15">
        <v>1000</v>
      </c>
      <c r="F2254" s="9">
        <v>0.09</v>
      </c>
      <c r="G2254" s="9">
        <v>0.09</v>
      </c>
      <c r="H2254" s="15">
        <f t="shared" si="74"/>
        <v>12200</v>
      </c>
    </row>
    <row r="2255" spans="1:8" x14ac:dyDescent="0.3">
      <c r="A2255" s="13">
        <v>45873</v>
      </c>
      <c r="B2255" s="15" t="s">
        <v>21</v>
      </c>
      <c r="C2255" s="3">
        <v>9</v>
      </c>
      <c r="D2255" s="13">
        <f t="shared" si="72"/>
        <v>45882</v>
      </c>
      <c r="E2255" s="15">
        <v>200</v>
      </c>
      <c r="F2255" s="9">
        <v>0.09</v>
      </c>
      <c r="G2255" s="9">
        <v>0.09</v>
      </c>
      <c r="H2255" s="15">
        <f t="shared" si="74"/>
        <v>12200</v>
      </c>
    </row>
    <row r="2256" spans="1:8" x14ac:dyDescent="0.3">
      <c r="A2256" s="13">
        <v>45873</v>
      </c>
      <c r="B2256" s="15" t="s">
        <v>21</v>
      </c>
      <c r="C2256" s="3">
        <v>16</v>
      </c>
      <c r="D2256" s="13">
        <f t="shared" si="72"/>
        <v>45889</v>
      </c>
      <c r="E2256" s="15">
        <v>2300</v>
      </c>
      <c r="F2256" s="9">
        <v>0.09</v>
      </c>
      <c r="G2256" s="9">
        <v>0.09</v>
      </c>
      <c r="H2256" s="15">
        <f t="shared" si="74"/>
        <v>12200</v>
      </c>
    </row>
    <row r="2257" spans="1:17" x14ac:dyDescent="0.3">
      <c r="A2257" s="13">
        <v>45873</v>
      </c>
      <c r="B2257" s="15" t="s">
        <v>21</v>
      </c>
      <c r="C2257" s="3">
        <v>18</v>
      </c>
      <c r="D2257" s="13">
        <f t="shared" si="72"/>
        <v>45891</v>
      </c>
      <c r="E2257" s="15">
        <v>2000</v>
      </c>
      <c r="F2257" s="9">
        <v>0.09</v>
      </c>
      <c r="G2257" s="9">
        <v>0.09</v>
      </c>
      <c r="H2257" s="15">
        <f t="shared" si="74"/>
        <v>12200</v>
      </c>
    </row>
    <row r="2258" spans="1:17" x14ac:dyDescent="0.3">
      <c r="A2258" s="13">
        <v>45873</v>
      </c>
      <c r="B2258" s="15" t="s">
        <v>21</v>
      </c>
      <c r="C2258" s="3">
        <v>22</v>
      </c>
      <c r="D2258" s="13">
        <f t="shared" si="72"/>
        <v>45895</v>
      </c>
      <c r="E2258" s="15">
        <v>1000</v>
      </c>
      <c r="F2258" s="9">
        <v>0.09</v>
      </c>
      <c r="G2258" s="9">
        <v>0.09</v>
      </c>
      <c r="H2258" s="15">
        <f t="shared" si="74"/>
        <v>12200</v>
      </c>
    </row>
    <row r="2259" spans="1:17" x14ac:dyDescent="0.3">
      <c r="A2259" s="13">
        <v>45874</v>
      </c>
      <c r="B2259" s="15" t="s">
        <v>21</v>
      </c>
      <c r="C2259" s="3">
        <v>2</v>
      </c>
      <c r="D2259" s="13">
        <f t="shared" si="72"/>
        <v>45876</v>
      </c>
      <c r="E2259" s="15">
        <v>600</v>
      </c>
      <c r="F2259" s="9">
        <v>8.8999999999999996E-2</v>
      </c>
      <c r="G2259" s="9">
        <v>0.09</v>
      </c>
      <c r="H2259" s="15">
        <f t="shared" si="74"/>
        <v>18700</v>
      </c>
    </row>
    <row r="2260" spans="1:17" x14ac:dyDescent="0.3">
      <c r="A2260" s="13">
        <v>45874</v>
      </c>
      <c r="B2260" s="15" t="s">
        <v>21</v>
      </c>
      <c r="C2260" s="3">
        <v>3</v>
      </c>
      <c r="D2260" s="13">
        <f t="shared" si="72"/>
        <v>45877</v>
      </c>
      <c r="E2260" s="15">
        <v>600</v>
      </c>
      <c r="F2260" s="9">
        <v>0.09</v>
      </c>
      <c r="G2260" s="9">
        <v>0.09</v>
      </c>
      <c r="H2260" s="15">
        <f t="shared" si="74"/>
        <v>18700</v>
      </c>
    </row>
    <row r="2261" spans="1:17" x14ac:dyDescent="0.3">
      <c r="A2261" s="13">
        <v>45874</v>
      </c>
      <c r="B2261" s="15" t="s">
        <v>21</v>
      </c>
      <c r="C2261" s="3">
        <v>6</v>
      </c>
      <c r="D2261" s="13">
        <f t="shared" si="72"/>
        <v>45880</v>
      </c>
      <c r="E2261" s="15">
        <v>600</v>
      </c>
      <c r="F2261" s="9">
        <v>0.09</v>
      </c>
      <c r="G2261" s="9">
        <v>0.09</v>
      </c>
      <c r="H2261" s="15">
        <f t="shared" si="74"/>
        <v>18700</v>
      </c>
    </row>
    <row r="2262" spans="1:17" x14ac:dyDescent="0.3">
      <c r="A2262" s="13">
        <v>45874</v>
      </c>
      <c r="B2262" s="15" t="s">
        <v>21</v>
      </c>
      <c r="C2262" s="3">
        <v>14</v>
      </c>
      <c r="D2262" s="13">
        <f t="shared" si="72"/>
        <v>45888</v>
      </c>
      <c r="E2262" s="15">
        <v>1500</v>
      </c>
      <c r="F2262" s="9">
        <v>0.09</v>
      </c>
      <c r="G2262" s="9">
        <v>0.09</v>
      </c>
      <c r="H2262" s="15">
        <f t="shared" si="74"/>
        <v>18700</v>
      </c>
      <c r="J2262" s="1" t="s">
        <v>1012</v>
      </c>
    </row>
    <row r="2263" spans="1:17" x14ac:dyDescent="0.3">
      <c r="A2263" s="13">
        <v>45874</v>
      </c>
      <c r="B2263" s="15" t="s">
        <v>21</v>
      </c>
      <c r="C2263" s="3">
        <v>16</v>
      </c>
      <c r="D2263" s="13">
        <f t="shared" si="72"/>
        <v>45890</v>
      </c>
      <c r="E2263" s="15">
        <v>3000</v>
      </c>
      <c r="F2263" s="9">
        <v>0.09</v>
      </c>
      <c r="G2263" s="9">
        <v>0.09</v>
      </c>
      <c r="H2263" s="15">
        <f t="shared" si="74"/>
        <v>18700</v>
      </c>
    </row>
    <row r="2264" spans="1:17" x14ac:dyDescent="0.3">
      <c r="A2264" s="13">
        <v>45874</v>
      </c>
      <c r="B2264" s="15" t="s">
        <v>21</v>
      </c>
      <c r="C2264" s="3">
        <v>17</v>
      </c>
      <c r="D2264" s="13">
        <f t="shared" si="72"/>
        <v>45891</v>
      </c>
      <c r="E2264" s="15">
        <v>200</v>
      </c>
      <c r="F2264" s="9">
        <v>0.09</v>
      </c>
      <c r="G2264" s="9">
        <v>0.09</v>
      </c>
      <c r="H2264" s="15">
        <f t="shared" si="74"/>
        <v>18700</v>
      </c>
    </row>
    <row r="2265" spans="1:17" x14ac:dyDescent="0.3">
      <c r="A2265" s="13">
        <v>45875</v>
      </c>
      <c r="B2265" s="15" t="s">
        <v>21</v>
      </c>
      <c r="C2265" s="3">
        <v>2</v>
      </c>
      <c r="D2265" s="13">
        <f t="shared" si="72"/>
        <v>45877</v>
      </c>
      <c r="E2265" s="15">
        <v>1900</v>
      </c>
      <c r="F2265" s="9">
        <v>0.09</v>
      </c>
      <c r="G2265" s="9">
        <v>0.09</v>
      </c>
      <c r="H2265" s="15">
        <f t="shared" si="74"/>
        <v>25200</v>
      </c>
    </row>
    <row r="2266" spans="1:17" x14ac:dyDescent="0.3">
      <c r="A2266" s="13">
        <v>45875</v>
      </c>
      <c r="B2266" s="15" t="s">
        <v>21</v>
      </c>
      <c r="C2266" s="3">
        <v>5</v>
      </c>
      <c r="D2266" s="13">
        <f t="shared" si="72"/>
        <v>45880</v>
      </c>
      <c r="E2266" s="15">
        <v>2500</v>
      </c>
      <c r="F2266" s="9">
        <v>0.09</v>
      </c>
      <c r="G2266" s="9">
        <v>0.09</v>
      </c>
      <c r="H2266" s="15">
        <f t="shared" si="74"/>
        <v>25200</v>
      </c>
    </row>
    <row r="2267" spans="1:17" x14ac:dyDescent="0.3">
      <c r="A2267" s="13">
        <v>45875</v>
      </c>
      <c r="B2267" s="15" t="s">
        <v>21</v>
      </c>
      <c r="C2267" s="3">
        <v>6</v>
      </c>
      <c r="D2267" s="13">
        <f t="shared" si="72"/>
        <v>45881</v>
      </c>
      <c r="E2267" s="15">
        <v>1000</v>
      </c>
      <c r="F2267" s="9">
        <v>0.09</v>
      </c>
      <c r="G2267" s="9">
        <v>0.09</v>
      </c>
      <c r="H2267" s="15">
        <f t="shared" si="74"/>
        <v>25200</v>
      </c>
    </row>
    <row r="2268" spans="1:17" x14ac:dyDescent="0.3">
      <c r="A2268" s="13">
        <v>45875</v>
      </c>
      <c r="B2268" s="15" t="s">
        <v>21</v>
      </c>
      <c r="C2268" s="3">
        <v>12</v>
      </c>
      <c r="D2268" s="13">
        <f t="shared" si="72"/>
        <v>45887</v>
      </c>
      <c r="E2268" s="15">
        <v>4000</v>
      </c>
      <c r="F2268" s="9">
        <v>0.09</v>
      </c>
      <c r="G2268" s="9">
        <v>0.09</v>
      </c>
      <c r="H2268" s="15">
        <f t="shared" si="74"/>
        <v>25200</v>
      </c>
    </row>
    <row r="2269" spans="1:17" x14ac:dyDescent="0.3">
      <c r="A2269" s="13">
        <v>45876</v>
      </c>
      <c r="B2269" s="15" t="s">
        <v>21</v>
      </c>
      <c r="C2269" s="3">
        <v>4</v>
      </c>
      <c r="D2269" s="13">
        <f t="shared" si="72"/>
        <v>45880</v>
      </c>
      <c r="E2269" s="15">
        <v>1600</v>
      </c>
      <c r="F2269" s="9">
        <v>0.09</v>
      </c>
      <c r="G2269" s="9">
        <v>0.09</v>
      </c>
      <c r="H2269" s="15">
        <f t="shared" si="74"/>
        <v>26400</v>
      </c>
    </row>
    <row r="2270" spans="1:17" x14ac:dyDescent="0.3">
      <c r="A2270" s="13">
        <v>45876</v>
      </c>
      <c r="B2270" s="15" t="s">
        <v>21</v>
      </c>
      <c r="C2270" s="3">
        <v>5</v>
      </c>
      <c r="D2270" s="13">
        <f t="shared" si="72"/>
        <v>45881</v>
      </c>
      <c r="E2270" s="15">
        <v>200</v>
      </c>
      <c r="F2270" s="9">
        <v>0.09</v>
      </c>
      <c r="G2270" s="9">
        <v>0.09</v>
      </c>
      <c r="H2270" s="15">
        <f t="shared" si="74"/>
        <v>26400</v>
      </c>
      <c r="Q2270" s="1" t="s">
        <v>1422</v>
      </c>
    </row>
    <row r="2271" spans="1:17" x14ac:dyDescent="0.3">
      <c r="A2271" s="13">
        <v>45877</v>
      </c>
      <c r="B2271" s="15" t="s">
        <v>21</v>
      </c>
      <c r="C2271" s="3">
        <v>4</v>
      </c>
      <c r="D2271" s="13">
        <f t="shared" si="72"/>
        <v>45881</v>
      </c>
      <c r="E2271" s="15">
        <v>1700</v>
      </c>
      <c r="F2271" s="9">
        <v>0.09</v>
      </c>
      <c r="G2271" s="9">
        <v>0.09</v>
      </c>
      <c r="H2271" s="15">
        <f t="shared" si="74"/>
        <v>25200</v>
      </c>
    </row>
    <row r="2272" spans="1:17" x14ac:dyDescent="0.3">
      <c r="A2272" s="13">
        <v>45877</v>
      </c>
      <c r="B2272" s="15" t="s">
        <v>21</v>
      </c>
      <c r="C2272" s="3">
        <v>5</v>
      </c>
      <c r="D2272" s="13">
        <f t="shared" si="72"/>
        <v>45882</v>
      </c>
      <c r="E2272" s="15">
        <v>1900</v>
      </c>
      <c r="F2272" s="9">
        <v>0.09</v>
      </c>
      <c r="G2272" s="9">
        <v>0.09</v>
      </c>
      <c r="H2272" s="15">
        <f t="shared" si="74"/>
        <v>25200</v>
      </c>
    </row>
    <row r="2273" spans="1:8" x14ac:dyDescent="0.3">
      <c r="A2273" s="13">
        <v>45877</v>
      </c>
      <c r="B2273" s="15" t="s">
        <v>21</v>
      </c>
      <c r="C2273" s="3">
        <v>6</v>
      </c>
      <c r="D2273" s="13">
        <f t="shared" si="72"/>
        <v>45883</v>
      </c>
      <c r="E2273" s="15">
        <v>500</v>
      </c>
      <c r="F2273" s="9">
        <v>0.09</v>
      </c>
      <c r="G2273" s="9">
        <v>0.09</v>
      </c>
      <c r="H2273" s="15">
        <f t="shared" si="74"/>
        <v>25200</v>
      </c>
    </row>
    <row r="2274" spans="1:8" x14ac:dyDescent="0.3">
      <c r="A2274" s="13">
        <v>45880</v>
      </c>
      <c r="B2274" s="15" t="s">
        <v>21</v>
      </c>
      <c r="C2274" s="3">
        <v>2</v>
      </c>
      <c r="D2274" s="13">
        <f t="shared" si="72"/>
        <v>45882</v>
      </c>
      <c r="E2274" s="15">
        <v>1300</v>
      </c>
      <c r="F2274" s="9">
        <v>8.8999999999999996E-2</v>
      </c>
      <c r="G2274" s="9">
        <v>0.09</v>
      </c>
      <c r="H2274" s="15">
        <f t="shared" si="74"/>
        <v>23100</v>
      </c>
    </row>
    <row r="2275" spans="1:8" x14ac:dyDescent="0.3">
      <c r="A2275" s="13">
        <v>45880</v>
      </c>
      <c r="B2275" s="15" t="s">
        <v>21</v>
      </c>
      <c r="C2275" s="3">
        <v>3</v>
      </c>
      <c r="D2275" s="13">
        <f t="shared" si="72"/>
        <v>45883</v>
      </c>
      <c r="E2275" s="15">
        <v>1500</v>
      </c>
      <c r="F2275" s="9">
        <v>0.09</v>
      </c>
      <c r="G2275" s="9">
        <v>0.09</v>
      </c>
      <c r="H2275" s="15">
        <f t="shared" si="74"/>
        <v>23100</v>
      </c>
    </row>
    <row r="2276" spans="1:8" x14ac:dyDescent="0.3">
      <c r="A2276" s="13">
        <v>45880</v>
      </c>
      <c r="B2276" s="15" t="s">
        <v>21</v>
      </c>
      <c r="C2276" s="3">
        <v>4</v>
      </c>
      <c r="D2276" s="13">
        <f t="shared" si="72"/>
        <v>45884</v>
      </c>
      <c r="E2276" s="15">
        <v>800</v>
      </c>
      <c r="F2276" s="9">
        <v>0.09</v>
      </c>
      <c r="G2276" s="9">
        <v>0.09</v>
      </c>
      <c r="H2276" s="15">
        <f t="shared" si="74"/>
        <v>23100</v>
      </c>
    </row>
    <row r="2277" spans="1:8" x14ac:dyDescent="0.3">
      <c r="A2277" s="13">
        <v>45881</v>
      </c>
      <c r="B2277" s="15" t="s">
        <v>21</v>
      </c>
      <c r="C2277" s="3">
        <v>1</v>
      </c>
      <c r="D2277" s="13">
        <f t="shared" si="72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74"/>
        <v>25500</v>
      </c>
    </row>
    <row r="2278" spans="1:8" x14ac:dyDescent="0.3">
      <c r="A2278" s="13">
        <v>45881</v>
      </c>
      <c r="B2278" s="15" t="s">
        <v>21</v>
      </c>
      <c r="C2278" s="3">
        <v>2</v>
      </c>
      <c r="D2278" s="13">
        <f t="shared" si="72"/>
        <v>45883</v>
      </c>
      <c r="E2278" s="15">
        <v>500</v>
      </c>
      <c r="F2278" s="9">
        <v>0.09</v>
      </c>
      <c r="G2278" s="9">
        <v>0.09</v>
      </c>
      <c r="H2278" s="15">
        <f t="shared" si="74"/>
        <v>25500</v>
      </c>
    </row>
    <row r="2279" spans="1:8" x14ac:dyDescent="0.3">
      <c r="A2279" s="13">
        <v>45881</v>
      </c>
      <c r="B2279" s="15" t="s">
        <v>21</v>
      </c>
      <c r="C2279" s="3">
        <v>3</v>
      </c>
      <c r="D2279" s="13">
        <f t="shared" si="72"/>
        <v>45884</v>
      </c>
      <c r="E2279" s="15">
        <v>4200</v>
      </c>
      <c r="F2279" s="9">
        <v>0.09</v>
      </c>
      <c r="G2279" s="9">
        <v>0.09</v>
      </c>
      <c r="H2279" s="15">
        <f t="shared" si="74"/>
        <v>25500</v>
      </c>
    </row>
    <row r="2280" spans="1:8" x14ac:dyDescent="0.3">
      <c r="A2280" s="13">
        <v>45881</v>
      </c>
      <c r="B2280" s="15" t="s">
        <v>21</v>
      </c>
      <c r="C2280" s="3">
        <v>6</v>
      </c>
      <c r="D2280" s="13">
        <f t="shared" si="72"/>
        <v>45887</v>
      </c>
      <c r="E2280" s="15">
        <v>500</v>
      </c>
      <c r="F2280" s="9">
        <v>0.09</v>
      </c>
      <c r="G2280" s="9">
        <v>0.09</v>
      </c>
      <c r="H2280" s="15">
        <f t="shared" si="74"/>
        <v>25500</v>
      </c>
    </row>
    <row r="2281" spans="1:8" x14ac:dyDescent="0.3">
      <c r="A2281" s="13">
        <v>45882</v>
      </c>
      <c r="B2281" s="15" t="s">
        <v>21</v>
      </c>
      <c r="C2281" s="3">
        <v>2</v>
      </c>
      <c r="D2281" s="13">
        <f t="shared" si="72"/>
        <v>45884</v>
      </c>
      <c r="E2281" s="15">
        <v>300</v>
      </c>
      <c r="F2281" s="9">
        <v>0.09</v>
      </c>
      <c r="G2281" s="9">
        <v>0.09</v>
      </c>
      <c r="H2281" s="15">
        <f t="shared" si="74"/>
        <v>30300</v>
      </c>
    </row>
    <row r="2282" spans="1:8" x14ac:dyDescent="0.3">
      <c r="A2282" s="13">
        <v>45882</v>
      </c>
      <c r="B2282" s="15" t="s">
        <v>21</v>
      </c>
      <c r="C2282" s="3">
        <v>5</v>
      </c>
      <c r="D2282" s="13">
        <f t="shared" si="72"/>
        <v>45887</v>
      </c>
      <c r="E2282" s="15">
        <v>2500</v>
      </c>
      <c r="F2282" s="9">
        <v>0.09</v>
      </c>
      <c r="G2282" s="9">
        <v>0.09</v>
      </c>
      <c r="H2282" s="15">
        <f t="shared" si="74"/>
        <v>30300</v>
      </c>
    </row>
    <row r="2283" spans="1:8" x14ac:dyDescent="0.3">
      <c r="A2283" s="13">
        <v>45882</v>
      </c>
      <c r="B2283" s="15" t="s">
        <v>21</v>
      </c>
      <c r="C2283" s="3">
        <v>6</v>
      </c>
      <c r="D2283" s="13">
        <f t="shared" si="72"/>
        <v>45888</v>
      </c>
      <c r="E2283" s="15">
        <v>2000</v>
      </c>
      <c r="F2283" s="9">
        <v>0.09</v>
      </c>
      <c r="G2283" s="9">
        <v>0.09</v>
      </c>
      <c r="H2283" s="15">
        <f t="shared" si="74"/>
        <v>30300</v>
      </c>
    </row>
    <row r="2284" spans="1:8" x14ac:dyDescent="0.3">
      <c r="A2284" s="13">
        <v>45882</v>
      </c>
      <c r="B2284" s="15" t="s">
        <v>21</v>
      </c>
      <c r="C2284" s="3">
        <v>7</v>
      </c>
      <c r="D2284" s="13">
        <f t="shared" si="72"/>
        <v>45889</v>
      </c>
      <c r="E2284" s="15">
        <v>3500</v>
      </c>
      <c r="F2284" s="9">
        <v>0.09</v>
      </c>
      <c r="G2284" s="9">
        <v>0.09</v>
      </c>
      <c r="H2284" s="15">
        <f t="shared" si="74"/>
        <v>30300</v>
      </c>
    </row>
    <row r="2285" spans="1:8" x14ac:dyDescent="0.3">
      <c r="A2285" s="13">
        <v>45883</v>
      </c>
      <c r="B2285" s="15" t="s">
        <v>21</v>
      </c>
      <c r="C2285" s="3">
        <v>4</v>
      </c>
      <c r="D2285" s="13">
        <f t="shared" ref="D2285:D2342" si="75">+A2285+C2285</f>
        <v>45887</v>
      </c>
      <c r="E2285" s="15">
        <v>2600</v>
      </c>
      <c r="F2285" s="9">
        <v>0.09</v>
      </c>
      <c r="G2285" s="9">
        <v>0.09</v>
      </c>
      <c r="H2285" s="15">
        <f t="shared" si="74"/>
        <v>30700</v>
      </c>
    </row>
    <row r="2286" spans="1:8" x14ac:dyDescent="0.3">
      <c r="A2286" s="13">
        <v>45883</v>
      </c>
      <c r="B2286" s="15" t="s">
        <v>21</v>
      </c>
      <c r="C2286" s="3">
        <v>5</v>
      </c>
      <c r="D2286" s="13">
        <f t="shared" si="75"/>
        <v>45888</v>
      </c>
      <c r="E2286" s="15">
        <v>300</v>
      </c>
      <c r="F2286" s="9">
        <v>0.09</v>
      </c>
      <c r="G2286" s="9">
        <v>0.09</v>
      </c>
      <c r="H2286" s="15">
        <f t="shared" si="74"/>
        <v>30700</v>
      </c>
    </row>
    <row r="2287" spans="1:8" x14ac:dyDescent="0.3">
      <c r="A2287" s="13">
        <v>45884</v>
      </c>
      <c r="B2287" s="15" t="s">
        <v>21</v>
      </c>
      <c r="C2287" s="3">
        <v>3</v>
      </c>
      <c r="D2287" s="13">
        <f t="shared" si="75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74"/>
        <v>28800</v>
      </c>
    </row>
    <row r="2288" spans="1:8" x14ac:dyDescent="0.3">
      <c r="A2288" s="13">
        <v>45884</v>
      </c>
      <c r="B2288" s="15" t="s">
        <v>21</v>
      </c>
      <c r="C2288" s="3">
        <v>4</v>
      </c>
      <c r="D2288" s="13">
        <f t="shared" si="75"/>
        <v>45888</v>
      </c>
      <c r="E2288" s="15">
        <v>1100</v>
      </c>
      <c r="F2288" s="9">
        <v>8.8999999999999996E-2</v>
      </c>
      <c r="G2288" s="9">
        <v>0.09</v>
      </c>
      <c r="H2288" s="15">
        <f t="shared" si="74"/>
        <v>28800</v>
      </c>
    </row>
    <row r="2289" spans="1:8" x14ac:dyDescent="0.3">
      <c r="A2289" s="13">
        <v>45884</v>
      </c>
      <c r="B2289" s="15" t="s">
        <v>21</v>
      </c>
      <c r="C2289" s="3">
        <v>5</v>
      </c>
      <c r="D2289" s="13">
        <f t="shared" si="75"/>
        <v>45889</v>
      </c>
      <c r="E2289" s="15">
        <v>300</v>
      </c>
      <c r="F2289" s="9">
        <v>0.09</v>
      </c>
      <c r="G2289" s="9">
        <v>0.09</v>
      </c>
      <c r="H2289" s="15">
        <f t="shared" si="74"/>
        <v>28800</v>
      </c>
    </row>
    <row r="2290" spans="1:8" x14ac:dyDescent="0.3">
      <c r="A2290" s="13">
        <v>45887</v>
      </c>
      <c r="B2290" s="15" t="s">
        <v>21</v>
      </c>
      <c r="C2290" s="3">
        <v>1</v>
      </c>
      <c r="D2290" s="13">
        <f t="shared" si="75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74"/>
        <v>29700</v>
      </c>
    </row>
    <row r="2291" spans="1:8" x14ac:dyDescent="0.3">
      <c r="A2291" s="13">
        <v>45887</v>
      </c>
      <c r="B2291" s="15" t="s">
        <v>21</v>
      </c>
      <c r="C2291" s="3">
        <v>2</v>
      </c>
      <c r="D2291" s="13">
        <f t="shared" si="75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74"/>
        <v>29700</v>
      </c>
    </row>
    <row r="2292" spans="1:8" x14ac:dyDescent="0.3">
      <c r="A2292" s="13">
        <v>45888</v>
      </c>
      <c r="B2292" s="15" t="s">
        <v>21</v>
      </c>
      <c r="C2292" s="3">
        <v>1</v>
      </c>
      <c r="D2292" s="13">
        <f t="shared" si="75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74"/>
        <v>29800</v>
      </c>
    </row>
    <row r="2293" spans="1:8" x14ac:dyDescent="0.3">
      <c r="A2293" s="13">
        <v>45889</v>
      </c>
      <c r="B2293" s="15" t="s">
        <v>21</v>
      </c>
      <c r="C2293" s="3">
        <v>2</v>
      </c>
      <c r="D2293" s="13">
        <f t="shared" si="75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74"/>
        <v>14200</v>
      </c>
    </row>
    <row r="2294" spans="1:8" x14ac:dyDescent="0.3">
      <c r="A2294" s="13">
        <v>45889</v>
      </c>
      <c r="B2294" s="15" t="s">
        <v>21</v>
      </c>
      <c r="C2294" s="3">
        <v>6</v>
      </c>
      <c r="D2294" s="13">
        <f t="shared" si="75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74"/>
        <v>14200</v>
      </c>
    </row>
    <row r="2295" spans="1:8" x14ac:dyDescent="0.3">
      <c r="A2295" s="13">
        <v>45889</v>
      </c>
      <c r="B2295" s="15" t="s">
        <v>21</v>
      </c>
      <c r="C2295" s="3">
        <v>7</v>
      </c>
      <c r="D2295" s="13">
        <f t="shared" si="75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74"/>
        <v>14200</v>
      </c>
    </row>
    <row r="2296" spans="1:8" x14ac:dyDescent="0.3">
      <c r="A2296" s="13">
        <v>45890</v>
      </c>
      <c r="B2296" s="15" t="s">
        <v>21</v>
      </c>
      <c r="C2296" s="3">
        <v>5</v>
      </c>
      <c r="D2296" s="13">
        <f t="shared" si="75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74"/>
        <v>21700</v>
      </c>
    </row>
    <row r="2297" spans="1:8" x14ac:dyDescent="0.3">
      <c r="A2297" s="13">
        <v>45890</v>
      </c>
      <c r="B2297" s="15" t="s">
        <v>21</v>
      </c>
      <c r="C2297" s="3">
        <v>7</v>
      </c>
      <c r="D2297" s="13">
        <f t="shared" si="75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74"/>
        <v>21700</v>
      </c>
    </row>
    <row r="2298" spans="1:8" x14ac:dyDescent="0.3">
      <c r="A2298" s="13">
        <v>45890</v>
      </c>
      <c r="B2298" s="15" t="s">
        <v>21</v>
      </c>
      <c r="C2298" s="3">
        <v>11</v>
      </c>
      <c r="D2298" s="13">
        <f t="shared" si="75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74"/>
        <v>21700</v>
      </c>
    </row>
    <row r="2299" spans="1:8" x14ac:dyDescent="0.3">
      <c r="A2299" s="13">
        <v>45891</v>
      </c>
      <c r="B2299" s="15" t="s">
        <v>21</v>
      </c>
      <c r="C2299" s="3">
        <v>5</v>
      </c>
      <c r="D2299" s="13">
        <f t="shared" si="75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74"/>
        <v>22100</v>
      </c>
    </row>
    <row r="2300" spans="1:8" x14ac:dyDescent="0.3">
      <c r="A2300" s="13">
        <v>45891</v>
      </c>
      <c r="B2300" s="15" t="s">
        <v>21</v>
      </c>
      <c r="C2300" s="3">
        <v>7</v>
      </c>
      <c r="D2300" s="13">
        <f t="shared" si="75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74"/>
        <v>22100</v>
      </c>
    </row>
    <row r="2301" spans="1:8" x14ac:dyDescent="0.3">
      <c r="A2301" s="13">
        <v>45895</v>
      </c>
      <c r="B2301" s="15" t="s">
        <v>21</v>
      </c>
      <c r="C2301" s="3">
        <v>2</v>
      </c>
      <c r="D2301" s="13">
        <f t="shared" si="75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74"/>
        <v>22300</v>
      </c>
    </row>
    <row r="2302" spans="1:8" x14ac:dyDescent="0.3">
      <c r="A2302" s="13">
        <v>45895</v>
      </c>
      <c r="B2302" s="15" t="s">
        <v>21</v>
      </c>
      <c r="C2302" s="3">
        <v>3</v>
      </c>
      <c r="D2302" s="13">
        <f t="shared" si="75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74"/>
        <v>22300</v>
      </c>
    </row>
    <row r="2303" spans="1:8" x14ac:dyDescent="0.3">
      <c r="A2303" s="13">
        <v>45895</v>
      </c>
      <c r="B2303" s="15" t="s">
        <v>21</v>
      </c>
      <c r="C2303" s="3">
        <v>6</v>
      </c>
      <c r="D2303" s="13">
        <f t="shared" si="75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74"/>
        <v>22300</v>
      </c>
    </row>
    <row r="2304" spans="1:8" x14ac:dyDescent="0.3">
      <c r="A2304" s="13">
        <v>45896</v>
      </c>
      <c r="B2304" s="15" t="s">
        <v>21</v>
      </c>
      <c r="C2304" s="3">
        <v>2</v>
      </c>
      <c r="D2304" s="13">
        <f t="shared" si="75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74"/>
        <v>15200</v>
      </c>
    </row>
    <row r="2305" spans="1:8" x14ac:dyDescent="0.3">
      <c r="A2305" s="13">
        <v>45896</v>
      </c>
      <c r="B2305" s="15" t="s">
        <v>21</v>
      </c>
      <c r="C2305" s="3">
        <v>6</v>
      </c>
      <c r="D2305" s="13">
        <f t="shared" si="75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74"/>
        <v>15200</v>
      </c>
    </row>
    <row r="2306" spans="1:8" x14ac:dyDescent="0.3">
      <c r="A2306" s="13">
        <v>45898</v>
      </c>
      <c r="B2306" s="15" t="s">
        <v>21</v>
      </c>
      <c r="C2306" s="3">
        <v>3</v>
      </c>
      <c r="D2306" s="13">
        <f t="shared" si="75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74"/>
        <v>3000</v>
      </c>
    </row>
    <row r="2307" spans="1:8" x14ac:dyDescent="0.3">
      <c r="A2307" s="13">
        <v>45901</v>
      </c>
      <c r="B2307" s="15" t="s">
        <v>21</v>
      </c>
      <c r="C2307" s="3">
        <v>2</v>
      </c>
      <c r="D2307" s="13">
        <f t="shared" si="75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74"/>
        <v>-1600</v>
      </c>
    </row>
    <row r="2308" spans="1:8" x14ac:dyDescent="0.3">
      <c r="A2308" s="13">
        <v>45902</v>
      </c>
      <c r="B2308" s="15" t="s">
        <v>21</v>
      </c>
      <c r="C2308" s="3">
        <v>3</v>
      </c>
      <c r="D2308" s="13">
        <f t="shared" si="75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74"/>
        <v>1100</v>
      </c>
    </row>
    <row r="2309" spans="1:8" x14ac:dyDescent="0.3">
      <c r="A2309" s="13">
        <v>45902</v>
      </c>
      <c r="B2309" s="15" t="s">
        <v>21</v>
      </c>
      <c r="C2309" s="3">
        <v>6</v>
      </c>
      <c r="D2309" s="13">
        <f t="shared" si="75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74"/>
        <v>1100</v>
      </c>
    </row>
    <row r="2310" spans="1:8" x14ac:dyDescent="0.3">
      <c r="A2310" s="13">
        <v>45903</v>
      </c>
      <c r="B2310" s="15" t="s">
        <v>21</v>
      </c>
      <c r="C2310" s="3">
        <v>2</v>
      </c>
      <c r="D2310" s="13">
        <f t="shared" si="75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74"/>
        <v>2400</v>
      </c>
    </row>
    <row r="2311" spans="1:8" x14ac:dyDescent="0.3">
      <c r="A2311" s="13">
        <v>45903</v>
      </c>
      <c r="B2311" s="15" t="s">
        <v>21</v>
      </c>
      <c r="C2311" s="3">
        <v>5</v>
      </c>
      <c r="D2311" s="13">
        <f t="shared" si="75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74"/>
        <v>2400</v>
      </c>
    </row>
    <row r="2312" spans="1:8" x14ac:dyDescent="0.3">
      <c r="A2312" s="13">
        <v>45904</v>
      </c>
      <c r="B2312" s="15" t="s">
        <v>21</v>
      </c>
      <c r="C2312" s="3">
        <v>8</v>
      </c>
      <c r="D2312" s="13">
        <f t="shared" si="75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74"/>
        <v>4400</v>
      </c>
    </row>
    <row r="2313" spans="1:8" x14ac:dyDescent="0.3">
      <c r="A2313" s="13">
        <v>45905</v>
      </c>
      <c r="B2313" s="15" t="s">
        <v>21</v>
      </c>
      <c r="C2313" s="3">
        <v>3</v>
      </c>
      <c r="D2313" s="13">
        <f t="shared" si="75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74"/>
        <v>3300</v>
      </c>
    </row>
    <row r="2314" spans="1:8" x14ac:dyDescent="0.3">
      <c r="A2314" s="13">
        <v>45908</v>
      </c>
      <c r="B2314" s="15" t="s">
        <v>21</v>
      </c>
      <c r="C2314" s="3">
        <v>2</v>
      </c>
      <c r="D2314" s="13">
        <f t="shared" si="75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6">+SUMIFS($E$10:$E$4506,$A$10:$A$4506,"&lt;="&amp;A2314,$D$10:$D$4506,"&gt;"&amp;A2314)</f>
        <v>14000</v>
      </c>
    </row>
    <row r="2315" spans="1:8" x14ac:dyDescent="0.3">
      <c r="A2315" s="13">
        <v>45908</v>
      </c>
      <c r="B2315" s="15" t="s">
        <v>21</v>
      </c>
      <c r="C2315" s="3">
        <v>3</v>
      </c>
      <c r="D2315" s="13">
        <f t="shared" si="75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6"/>
        <v>14000</v>
      </c>
    </row>
    <row r="2316" spans="1:8" x14ac:dyDescent="0.3">
      <c r="A2316" s="13">
        <v>45908</v>
      </c>
      <c r="B2316" s="15" t="s">
        <v>21</v>
      </c>
      <c r="C2316" s="3">
        <v>4</v>
      </c>
      <c r="D2316" s="13">
        <f t="shared" si="75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6"/>
        <v>14000</v>
      </c>
    </row>
    <row r="2317" spans="1:8" x14ac:dyDescent="0.3">
      <c r="A2317" s="13">
        <v>45908</v>
      </c>
      <c r="B2317" s="15" t="s">
        <v>21</v>
      </c>
      <c r="C2317" s="3">
        <v>9</v>
      </c>
      <c r="D2317" s="13">
        <f t="shared" si="75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6"/>
        <v>14000</v>
      </c>
    </row>
    <row r="2318" spans="1:8" x14ac:dyDescent="0.3">
      <c r="A2318" s="13">
        <v>45908</v>
      </c>
      <c r="B2318" s="15" t="s">
        <v>21</v>
      </c>
      <c r="C2318" s="3">
        <v>14</v>
      </c>
      <c r="D2318" s="13">
        <f t="shared" si="75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6"/>
        <v>14000</v>
      </c>
    </row>
    <row r="2319" spans="1:8" x14ac:dyDescent="0.3">
      <c r="A2319" s="13">
        <v>45908</v>
      </c>
      <c r="B2319" s="15" t="s">
        <v>21</v>
      </c>
      <c r="C2319" s="3">
        <v>15</v>
      </c>
      <c r="D2319" s="13">
        <f t="shared" si="75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6"/>
        <v>14000</v>
      </c>
    </row>
    <row r="2320" spans="1:8" x14ac:dyDescent="0.3">
      <c r="A2320" s="13">
        <v>45909</v>
      </c>
      <c r="B2320" s="15" t="s">
        <v>21</v>
      </c>
      <c r="C2320" s="3">
        <v>3</v>
      </c>
      <c r="D2320" s="13">
        <f t="shared" si="75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6"/>
        <v>17000</v>
      </c>
    </row>
    <row r="2321" spans="1:8" x14ac:dyDescent="0.3">
      <c r="A2321" s="13">
        <v>45909</v>
      </c>
      <c r="B2321" s="15" t="s">
        <v>21</v>
      </c>
      <c r="C2321" s="3">
        <v>6</v>
      </c>
      <c r="D2321" s="13">
        <f t="shared" si="75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6"/>
        <v>17000</v>
      </c>
    </row>
    <row r="2322" spans="1:8" x14ac:dyDescent="0.3">
      <c r="A2322" s="13">
        <v>45909</v>
      </c>
      <c r="B2322" s="15" t="s">
        <v>21</v>
      </c>
      <c r="C2322" s="3">
        <v>7</v>
      </c>
      <c r="D2322" s="13">
        <f t="shared" si="75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6"/>
        <v>17000</v>
      </c>
    </row>
    <row r="2323" spans="1:8" x14ac:dyDescent="0.3">
      <c r="A2323" s="13">
        <v>45910</v>
      </c>
      <c r="B2323" s="15" t="s">
        <v>21</v>
      </c>
      <c r="C2323" s="3">
        <v>2</v>
      </c>
      <c r="D2323" s="13">
        <f t="shared" si="75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6"/>
        <v>17100</v>
      </c>
    </row>
    <row r="2324" spans="1:8" x14ac:dyDescent="0.3">
      <c r="A2324" s="13">
        <v>45910</v>
      </c>
      <c r="B2324" s="15" t="s">
        <v>21</v>
      </c>
      <c r="C2324" s="3">
        <v>5</v>
      </c>
      <c r="D2324" s="13">
        <f t="shared" si="75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6"/>
        <v>17100</v>
      </c>
    </row>
    <row r="2325" spans="1:8" x14ac:dyDescent="0.3">
      <c r="A2325" s="13">
        <v>45911</v>
      </c>
      <c r="B2325" s="15" t="s">
        <v>21</v>
      </c>
      <c r="C2325" s="3">
        <v>4</v>
      </c>
      <c r="D2325" s="13">
        <f t="shared" si="75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6"/>
        <v>18600</v>
      </c>
    </row>
    <row r="2326" spans="1:8" x14ac:dyDescent="0.3">
      <c r="A2326" s="13">
        <v>45911</v>
      </c>
      <c r="B2326" s="15" t="s">
        <v>21</v>
      </c>
      <c r="C2326" s="3">
        <v>6</v>
      </c>
      <c r="D2326" s="13">
        <f t="shared" si="75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6"/>
        <v>18600</v>
      </c>
    </row>
    <row r="2327" spans="1:8" x14ac:dyDescent="0.3">
      <c r="A2327" s="13">
        <v>45912</v>
      </c>
      <c r="B2327" s="15" t="s">
        <v>21</v>
      </c>
      <c r="C2327" s="3">
        <v>4</v>
      </c>
      <c r="D2327" s="13">
        <f t="shared" si="75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6"/>
        <v>14100</v>
      </c>
    </row>
    <row r="2328" spans="1:8" x14ac:dyDescent="0.3">
      <c r="A2328" s="13">
        <v>45912</v>
      </c>
      <c r="B2328" s="15" t="s">
        <v>21</v>
      </c>
      <c r="C2328" s="3">
        <v>5</v>
      </c>
      <c r="D2328" s="13">
        <f t="shared" si="75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6"/>
        <v>14100</v>
      </c>
    </row>
    <row r="2329" spans="1:8" x14ac:dyDescent="0.3">
      <c r="A2329" s="13">
        <v>45916</v>
      </c>
      <c r="B2329" s="15" t="s">
        <v>21</v>
      </c>
      <c r="C2329" s="3">
        <v>3</v>
      </c>
      <c r="D2329" s="13">
        <f t="shared" si="75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6"/>
        <v>12500</v>
      </c>
    </row>
    <row r="2330" spans="1:8" x14ac:dyDescent="0.3">
      <c r="A2330" s="13">
        <v>45916</v>
      </c>
      <c r="B2330" s="15" t="s">
        <v>21</v>
      </c>
      <c r="C2330" s="3">
        <v>6</v>
      </c>
      <c r="D2330" s="13">
        <f t="shared" si="75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6"/>
        <v>12500</v>
      </c>
    </row>
    <row r="2331" spans="1:8" x14ac:dyDescent="0.3">
      <c r="A2331" s="13">
        <v>45916</v>
      </c>
      <c r="B2331" s="15" t="s">
        <v>21</v>
      </c>
      <c r="C2331" s="3">
        <v>8</v>
      </c>
      <c r="D2331" s="13">
        <f t="shared" si="75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6"/>
        <v>12500</v>
      </c>
    </row>
    <row r="2332" spans="1:8" x14ac:dyDescent="0.3">
      <c r="A2332" s="13">
        <v>45917</v>
      </c>
      <c r="B2332" s="15" t="s">
        <v>21</v>
      </c>
      <c r="C2332" s="3">
        <v>2</v>
      </c>
      <c r="D2332" s="13">
        <f t="shared" si="75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6"/>
        <v>12600</v>
      </c>
    </row>
    <row r="2333" spans="1:8" x14ac:dyDescent="0.3">
      <c r="A2333" s="13">
        <v>45917</v>
      </c>
      <c r="B2333" s="15" t="s">
        <v>21</v>
      </c>
      <c r="C2333" s="3">
        <v>5</v>
      </c>
      <c r="D2333" s="13">
        <f t="shared" si="75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6"/>
        <v>12600</v>
      </c>
    </row>
    <row r="2334" spans="1:8" x14ac:dyDescent="0.3">
      <c r="A2334" s="13">
        <v>45918</v>
      </c>
      <c r="B2334" s="15" t="s">
        <v>21</v>
      </c>
      <c r="C2334" s="3">
        <v>4</v>
      </c>
      <c r="D2334" s="13">
        <f t="shared" si="75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6"/>
        <v>14800</v>
      </c>
    </row>
    <row r="2335" spans="1:8" x14ac:dyDescent="0.3">
      <c r="A2335" s="13">
        <v>45918</v>
      </c>
      <c r="B2335" s="15" t="s">
        <v>21</v>
      </c>
      <c r="C2335" s="3">
        <v>13</v>
      </c>
      <c r="D2335" s="13">
        <f t="shared" si="75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6"/>
        <v>14800</v>
      </c>
    </row>
    <row r="2336" spans="1:8" x14ac:dyDescent="0.3">
      <c r="A2336" s="13">
        <v>45919</v>
      </c>
      <c r="B2336" s="15" t="s">
        <v>21</v>
      </c>
      <c r="C2336" s="3">
        <v>4</v>
      </c>
      <c r="D2336" s="13">
        <f t="shared" si="75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6"/>
        <v>15200</v>
      </c>
    </row>
    <row r="2337" spans="1:8" x14ac:dyDescent="0.3">
      <c r="A2337" s="13">
        <v>45919</v>
      </c>
      <c r="B2337" s="15" t="s">
        <v>21</v>
      </c>
      <c r="C2337" s="3">
        <v>5</v>
      </c>
      <c r="D2337" s="13">
        <f t="shared" si="75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6"/>
        <v>15200</v>
      </c>
    </row>
    <row r="2338" spans="1:8" x14ac:dyDescent="0.3">
      <c r="A2338" s="13">
        <v>45919</v>
      </c>
      <c r="B2338" s="15" t="s">
        <v>21</v>
      </c>
      <c r="C2338" s="3">
        <v>7</v>
      </c>
      <c r="D2338" s="13">
        <f t="shared" si="75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6"/>
        <v>15200</v>
      </c>
    </row>
    <row r="2339" spans="1:8" x14ac:dyDescent="0.3">
      <c r="A2339" s="13">
        <v>45922</v>
      </c>
      <c r="B2339" s="15" t="s">
        <v>21</v>
      </c>
      <c r="C2339" s="3">
        <v>2</v>
      </c>
      <c r="D2339" s="13">
        <f t="shared" si="75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6"/>
        <v>15400</v>
      </c>
    </row>
    <row r="2340" spans="1:8" x14ac:dyDescent="0.3">
      <c r="A2340" s="13">
        <v>45922</v>
      </c>
      <c r="B2340" s="15" t="s">
        <v>21</v>
      </c>
      <c r="C2340" s="3">
        <v>3</v>
      </c>
      <c r="D2340" s="13">
        <f t="shared" si="75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6"/>
        <v>15400</v>
      </c>
    </row>
    <row r="2341" spans="1:8" x14ac:dyDescent="0.3">
      <c r="A2341" s="13">
        <v>45923</v>
      </c>
      <c r="B2341" s="15" t="s">
        <v>21</v>
      </c>
      <c r="C2341" s="3">
        <v>2</v>
      </c>
      <c r="D2341" s="13">
        <f t="shared" si="75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6"/>
        <v>11700</v>
      </c>
    </row>
    <row r="2342" spans="1:8" x14ac:dyDescent="0.3">
      <c r="A2342" s="13">
        <v>45923</v>
      </c>
      <c r="B2342" s="15" t="s">
        <v>21</v>
      </c>
      <c r="C2342" s="3">
        <v>3</v>
      </c>
      <c r="D2342" s="13">
        <f t="shared" si="75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6"/>
        <v>11700</v>
      </c>
    </row>
    <row r="2343" spans="1:8" x14ac:dyDescent="0.3">
      <c r="A2343" s="13">
        <v>45923</v>
      </c>
      <c r="B2343" s="15" t="s">
        <v>21</v>
      </c>
      <c r="C2343" s="3">
        <v>6</v>
      </c>
      <c r="D2343" s="13">
        <f t="shared" ref="D2343:D2401" si="77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6"/>
        <v>11700</v>
      </c>
    </row>
    <row r="2344" spans="1:8" x14ac:dyDescent="0.3">
      <c r="A2344" s="13">
        <v>45924</v>
      </c>
      <c r="B2344" s="15" t="s">
        <v>21</v>
      </c>
      <c r="C2344" s="3">
        <v>1</v>
      </c>
      <c r="D2344" s="13">
        <f t="shared" si="77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6"/>
        <v>4680</v>
      </c>
    </row>
    <row r="2345" spans="1:8" x14ac:dyDescent="0.3">
      <c r="A2345" s="13">
        <v>45924</v>
      </c>
      <c r="B2345" s="15" t="s">
        <v>21</v>
      </c>
      <c r="C2345" s="3">
        <v>1</v>
      </c>
      <c r="D2345" s="13">
        <f t="shared" si="77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6"/>
        <v>4680</v>
      </c>
    </row>
    <row r="2346" spans="1:8" x14ac:dyDescent="0.3">
      <c r="A2346" s="13">
        <v>45926</v>
      </c>
      <c r="B2346" s="15" t="s">
        <v>21</v>
      </c>
      <c r="C2346" s="3">
        <v>3</v>
      </c>
      <c r="D2346" s="13">
        <f t="shared" si="77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6"/>
        <v>2800</v>
      </c>
    </row>
    <row r="2347" spans="1:8" x14ac:dyDescent="0.3">
      <c r="A2347" s="13">
        <v>45926</v>
      </c>
      <c r="B2347" s="15" t="s">
        <v>21</v>
      </c>
      <c r="C2347" s="3">
        <v>4</v>
      </c>
      <c r="D2347" s="13">
        <f t="shared" si="77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6"/>
        <v>2800</v>
      </c>
    </row>
    <row r="2348" spans="1:8" x14ac:dyDescent="0.3">
      <c r="A2348" s="13">
        <v>45930</v>
      </c>
      <c r="B2348" s="15" t="s">
        <v>21</v>
      </c>
      <c r="C2348" s="3">
        <v>2</v>
      </c>
      <c r="D2348" s="13">
        <f t="shared" si="77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6"/>
        <v>6200</v>
      </c>
    </row>
    <row r="2349" spans="1:8" x14ac:dyDescent="0.3">
      <c r="A2349" s="13">
        <v>45930</v>
      </c>
      <c r="B2349" s="15" t="s">
        <v>21</v>
      </c>
      <c r="C2349" s="3">
        <v>3</v>
      </c>
      <c r="D2349" s="13">
        <f t="shared" si="77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6"/>
        <v>6200</v>
      </c>
    </row>
    <row r="2350" spans="1:8" x14ac:dyDescent="0.3">
      <c r="A2350" s="13">
        <v>45931</v>
      </c>
      <c r="B2350" s="15" t="s">
        <v>21</v>
      </c>
      <c r="C2350" s="3">
        <v>1</v>
      </c>
      <c r="D2350" s="13">
        <f t="shared" si="77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6"/>
        <v>700</v>
      </c>
    </row>
    <row r="2351" spans="1:8" x14ac:dyDescent="0.3">
      <c r="A2351" s="13">
        <v>45931</v>
      </c>
      <c r="B2351" s="15" t="s">
        <v>21</v>
      </c>
      <c r="C2351" s="3">
        <v>2</v>
      </c>
      <c r="D2351" s="13">
        <f t="shared" si="77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6"/>
        <v>700</v>
      </c>
    </row>
    <row r="2352" spans="1:8" x14ac:dyDescent="0.3">
      <c r="A2352" s="13">
        <v>45932</v>
      </c>
      <c r="B2352" s="15" t="s">
        <v>21</v>
      </c>
      <c r="C2352" s="3">
        <v>4</v>
      </c>
      <c r="D2352" s="13">
        <f t="shared" si="77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6"/>
        <v>5400</v>
      </c>
    </row>
    <row r="2353" spans="1:8" x14ac:dyDescent="0.3">
      <c r="A2353" s="13">
        <v>45932</v>
      </c>
      <c r="B2353" s="15" t="s">
        <v>21</v>
      </c>
      <c r="C2353" s="3">
        <v>5</v>
      </c>
      <c r="D2353" s="13">
        <f t="shared" si="77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6"/>
        <v>5400</v>
      </c>
    </row>
    <row r="2354" spans="1:8" x14ac:dyDescent="0.3">
      <c r="A2354" s="13">
        <v>45933</v>
      </c>
      <c r="B2354" s="15" t="s">
        <v>21</v>
      </c>
      <c r="C2354" s="3">
        <v>3</v>
      </c>
      <c r="D2354" s="13">
        <f t="shared" si="77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6"/>
        <v>8200</v>
      </c>
    </row>
    <row r="2355" spans="1:8" x14ac:dyDescent="0.3">
      <c r="A2355" s="13">
        <v>45933</v>
      </c>
      <c r="B2355" s="15" t="s">
        <v>21</v>
      </c>
      <c r="C2355" s="3">
        <v>4</v>
      </c>
      <c r="D2355" s="13">
        <f t="shared" si="77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6"/>
        <v>8200</v>
      </c>
    </row>
    <row r="2356" spans="1:8" x14ac:dyDescent="0.3">
      <c r="A2356" s="13">
        <v>45933</v>
      </c>
      <c r="B2356" s="15" t="s">
        <v>21</v>
      </c>
      <c r="C2356" s="3">
        <v>5</v>
      </c>
      <c r="D2356" s="13">
        <f t="shared" si="77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6"/>
        <v>8200</v>
      </c>
    </row>
    <row r="2357" spans="1:8" x14ac:dyDescent="0.3">
      <c r="A2357" s="13">
        <v>45936</v>
      </c>
      <c r="B2357" s="15" t="s">
        <v>21</v>
      </c>
      <c r="C2357" s="3">
        <v>2</v>
      </c>
      <c r="D2357" s="13">
        <f t="shared" si="77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6"/>
        <v>9100</v>
      </c>
    </row>
    <row r="2358" spans="1:8" x14ac:dyDescent="0.3">
      <c r="A2358" s="13">
        <v>45938</v>
      </c>
      <c r="B2358" s="15" t="s">
        <v>21</v>
      </c>
      <c r="C2358" s="3">
        <v>2</v>
      </c>
      <c r="D2358" s="13">
        <f t="shared" si="77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6"/>
        <v>3500</v>
      </c>
    </row>
    <row r="2359" spans="1:8" x14ac:dyDescent="0.3">
      <c r="A2359" s="13">
        <v>45938</v>
      </c>
      <c r="B2359" s="15" t="s">
        <v>21</v>
      </c>
      <c r="C2359" s="3">
        <v>5</v>
      </c>
      <c r="D2359" s="13">
        <f t="shared" si="77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6"/>
        <v>3500</v>
      </c>
    </row>
    <row r="2360" spans="1:8" x14ac:dyDescent="0.3">
      <c r="A2360" s="13">
        <v>45939</v>
      </c>
      <c r="B2360" s="15" t="s">
        <v>21</v>
      </c>
      <c r="C2360" s="3">
        <v>4</v>
      </c>
      <c r="D2360" s="13">
        <f t="shared" si="77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6"/>
        <v>6500</v>
      </c>
    </row>
    <row r="2361" spans="1:8" x14ac:dyDescent="0.3">
      <c r="A2361" s="13">
        <v>45940</v>
      </c>
      <c r="B2361" s="15" t="s">
        <v>21</v>
      </c>
      <c r="C2361" s="3">
        <v>4</v>
      </c>
      <c r="D2361" s="13">
        <f t="shared" si="77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6"/>
        <v>9450</v>
      </c>
    </row>
    <row r="2362" spans="1:8" x14ac:dyDescent="0.3">
      <c r="A2362" s="13">
        <v>45940</v>
      </c>
      <c r="B2362" s="15" t="s">
        <v>21</v>
      </c>
      <c r="C2362" s="3">
        <v>5</v>
      </c>
      <c r="D2362" s="13">
        <f t="shared" si="77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6"/>
        <v>9450</v>
      </c>
    </row>
    <row r="2363" spans="1:8" x14ac:dyDescent="0.3">
      <c r="A2363" s="13">
        <v>45943</v>
      </c>
      <c r="B2363" s="15" t="s">
        <v>21</v>
      </c>
      <c r="C2363" s="3">
        <v>2</v>
      </c>
      <c r="D2363" s="13">
        <f t="shared" si="77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6"/>
        <v>13450</v>
      </c>
    </row>
    <row r="2364" spans="1:8" x14ac:dyDescent="0.3">
      <c r="A2364" s="13">
        <v>45944</v>
      </c>
      <c r="B2364" s="15" t="s">
        <v>21</v>
      </c>
      <c r="C2364" s="3">
        <v>3</v>
      </c>
      <c r="D2364" s="13">
        <f t="shared" si="77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6"/>
        <v>15000</v>
      </c>
    </row>
    <row r="2365" spans="1:8" x14ac:dyDescent="0.3">
      <c r="A2365" s="13">
        <v>45944</v>
      </c>
      <c r="B2365" s="15" t="s">
        <v>21</v>
      </c>
      <c r="C2365" s="3">
        <v>6</v>
      </c>
      <c r="D2365" s="13">
        <f t="shared" si="77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6"/>
        <v>15000</v>
      </c>
    </row>
    <row r="2366" spans="1:8" x14ac:dyDescent="0.3">
      <c r="A2366" s="13">
        <v>45945</v>
      </c>
      <c r="B2366" s="15" t="s">
        <v>21</v>
      </c>
      <c r="C2366" s="3">
        <v>2</v>
      </c>
      <c r="D2366" s="13">
        <f t="shared" si="77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6"/>
        <v>17100</v>
      </c>
    </row>
    <row r="2367" spans="1:8" x14ac:dyDescent="0.3">
      <c r="A2367" s="13">
        <v>45945</v>
      </c>
      <c r="B2367" s="15" t="s">
        <v>21</v>
      </c>
      <c r="C2367" s="3">
        <v>5</v>
      </c>
      <c r="D2367" s="13">
        <f t="shared" si="77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6"/>
        <v>17100</v>
      </c>
    </row>
    <row r="2368" spans="1:8" x14ac:dyDescent="0.3">
      <c r="A2368" s="13">
        <v>45946</v>
      </c>
      <c r="B2368" s="15" t="s">
        <v>21</v>
      </c>
      <c r="C2368" s="3">
        <v>4</v>
      </c>
      <c r="D2368" s="13">
        <f t="shared" si="77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6"/>
        <v>22700</v>
      </c>
    </row>
    <row r="2369" spans="1:8" x14ac:dyDescent="0.3">
      <c r="A2369" s="13">
        <v>45946</v>
      </c>
      <c r="B2369" s="15" t="s">
        <v>21</v>
      </c>
      <c r="C2369" s="3">
        <v>5</v>
      </c>
      <c r="D2369" s="13">
        <f t="shared" si="77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6"/>
        <v>22700</v>
      </c>
    </row>
    <row r="2370" spans="1:8" x14ac:dyDescent="0.3">
      <c r="A2370" s="13">
        <v>45946</v>
      </c>
      <c r="B2370" s="15" t="s">
        <v>21</v>
      </c>
      <c r="C2370" s="3">
        <v>6</v>
      </c>
      <c r="D2370" s="13">
        <f t="shared" si="77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6"/>
        <v>22700</v>
      </c>
    </row>
    <row r="2371" spans="1:8" x14ac:dyDescent="0.3">
      <c r="A2371" s="13">
        <v>45947</v>
      </c>
      <c r="B2371" s="15" t="s">
        <v>21</v>
      </c>
      <c r="C2371" s="3">
        <v>4</v>
      </c>
      <c r="D2371" s="13">
        <f t="shared" si="77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6"/>
        <v>21900</v>
      </c>
    </row>
    <row r="2372" spans="1:8" x14ac:dyDescent="0.3">
      <c r="A2372" s="13">
        <v>45947</v>
      </c>
      <c r="B2372" s="15" t="s">
        <v>21</v>
      </c>
      <c r="C2372" s="3">
        <v>5</v>
      </c>
      <c r="D2372" s="13">
        <f t="shared" si="77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6"/>
        <v>21900</v>
      </c>
    </row>
    <row r="2373" spans="1:8" x14ac:dyDescent="0.3">
      <c r="A2373" s="13">
        <v>45950</v>
      </c>
      <c r="B2373" s="15" t="s">
        <v>21</v>
      </c>
      <c r="C2373" s="3">
        <v>2</v>
      </c>
      <c r="D2373" s="13">
        <f t="shared" si="77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6"/>
        <v>17600</v>
      </c>
    </row>
    <row r="2374" spans="1:8" x14ac:dyDescent="0.3">
      <c r="A2374" s="13">
        <v>45950</v>
      </c>
      <c r="B2374" s="15" t="s">
        <v>21</v>
      </c>
      <c r="C2374" s="3">
        <v>3</v>
      </c>
      <c r="D2374" s="13">
        <f t="shared" si="77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6"/>
        <v>17600</v>
      </c>
    </row>
    <row r="2375" spans="1:8" x14ac:dyDescent="0.3">
      <c r="A2375" s="13">
        <v>45950</v>
      </c>
      <c r="B2375" s="15" t="s">
        <v>21</v>
      </c>
      <c r="C2375" s="3">
        <v>4</v>
      </c>
      <c r="D2375" s="13">
        <f t="shared" si="77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6"/>
        <v>17600</v>
      </c>
    </row>
    <row r="2376" spans="1:8" x14ac:dyDescent="0.3">
      <c r="A2376" s="13">
        <v>45950</v>
      </c>
      <c r="B2376" s="15" t="s">
        <v>21</v>
      </c>
      <c r="C2376" s="3">
        <v>7</v>
      </c>
      <c r="D2376" s="13">
        <f t="shared" si="77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6"/>
        <v>17600</v>
      </c>
    </row>
    <row r="2377" spans="1:8" x14ac:dyDescent="0.3">
      <c r="A2377" s="13">
        <v>45951</v>
      </c>
      <c r="B2377" s="15" t="s">
        <v>21</v>
      </c>
      <c r="C2377" s="3">
        <v>1</v>
      </c>
      <c r="D2377" s="13">
        <f t="shared" si="77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6"/>
        <v>23000</v>
      </c>
    </row>
    <row r="2378" spans="1:8" x14ac:dyDescent="0.3">
      <c r="A2378" s="13">
        <v>45951</v>
      </c>
      <c r="B2378" s="15" t="s">
        <v>21</v>
      </c>
      <c r="C2378" s="3">
        <v>2</v>
      </c>
      <c r="D2378" s="13">
        <f t="shared" si="77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441" si="78">+SUMIFS($E$10:$E$4506,$A$10:$A$4506,"&lt;="&amp;A2378,$D$10:$D$4506,"&gt;"&amp;A2378)</f>
        <v>23000</v>
      </c>
    </row>
    <row r="2379" spans="1:8" x14ac:dyDescent="0.3">
      <c r="A2379" s="13">
        <v>45951</v>
      </c>
      <c r="B2379" s="15" t="s">
        <v>21</v>
      </c>
      <c r="C2379" s="3">
        <v>3</v>
      </c>
      <c r="D2379" s="13">
        <f t="shared" si="77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8"/>
        <v>23000</v>
      </c>
    </row>
    <row r="2380" spans="1:8" x14ac:dyDescent="0.3">
      <c r="A2380" s="13">
        <v>45951</v>
      </c>
      <c r="B2380" s="15" t="s">
        <v>21</v>
      </c>
      <c r="C2380" s="3">
        <v>6</v>
      </c>
      <c r="D2380" s="13">
        <f t="shared" si="77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8"/>
        <v>23000</v>
      </c>
    </row>
    <row r="2381" spans="1:8" x14ac:dyDescent="0.3">
      <c r="A2381" s="13">
        <v>45952</v>
      </c>
      <c r="B2381" s="15" t="s">
        <v>21</v>
      </c>
      <c r="C2381" s="3">
        <v>1</v>
      </c>
      <c r="D2381" s="13">
        <f t="shared" si="77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8"/>
        <v>20800</v>
      </c>
    </row>
    <row r="2382" spans="1:8" x14ac:dyDescent="0.3">
      <c r="A2382" s="13">
        <v>45952</v>
      </c>
      <c r="B2382" s="15" t="s">
        <v>21</v>
      </c>
      <c r="C2382" s="3">
        <v>2</v>
      </c>
      <c r="D2382" s="13">
        <f t="shared" si="77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8"/>
        <v>20800</v>
      </c>
    </row>
    <row r="2383" spans="1:8" x14ac:dyDescent="0.3">
      <c r="A2383" s="13">
        <v>45952</v>
      </c>
      <c r="B2383" s="15" t="s">
        <v>21</v>
      </c>
      <c r="C2383" s="3">
        <v>5</v>
      </c>
      <c r="D2383" s="13">
        <f t="shared" si="77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8"/>
        <v>20800</v>
      </c>
    </row>
    <row r="2384" spans="1:8" x14ac:dyDescent="0.3">
      <c r="A2384" s="13">
        <v>45952</v>
      </c>
      <c r="B2384" s="15" t="s">
        <v>21</v>
      </c>
      <c r="C2384" s="3">
        <v>6</v>
      </c>
      <c r="D2384" s="13">
        <f t="shared" si="77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8"/>
        <v>20800</v>
      </c>
    </row>
    <row r="2385" spans="1:8" x14ac:dyDescent="0.3">
      <c r="A2385" s="13">
        <v>45953</v>
      </c>
      <c r="B2385" s="15" t="s">
        <v>21</v>
      </c>
      <c r="C2385" s="3">
        <v>1</v>
      </c>
      <c r="D2385" s="13">
        <f t="shared" ref="D2385" si="79"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8"/>
        <v>18100</v>
      </c>
    </row>
    <row r="2386" spans="1:8" x14ac:dyDescent="0.3">
      <c r="A2386" s="13">
        <v>45953</v>
      </c>
      <c r="B2386" s="15" t="s">
        <v>21</v>
      </c>
      <c r="C2386" s="3">
        <v>4</v>
      </c>
      <c r="D2386" s="13">
        <f t="shared" si="77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8"/>
        <v>18100</v>
      </c>
    </row>
    <row r="2387" spans="1:8" x14ac:dyDescent="0.3">
      <c r="A2387" s="13">
        <v>45953</v>
      </c>
      <c r="B2387" s="15" t="s">
        <v>21</v>
      </c>
      <c r="C2387" s="3">
        <v>6</v>
      </c>
      <c r="D2387" s="13">
        <f t="shared" si="77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8"/>
        <v>18100</v>
      </c>
    </row>
    <row r="2388" spans="1:8" x14ac:dyDescent="0.3">
      <c r="A2388" s="13">
        <v>45953</v>
      </c>
      <c r="B2388" s="15" t="s">
        <v>21</v>
      </c>
      <c r="C2388" s="3">
        <v>7</v>
      </c>
      <c r="D2388" s="13">
        <f t="shared" si="77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8"/>
        <v>18100</v>
      </c>
    </row>
    <row r="2389" spans="1:8" x14ac:dyDescent="0.3">
      <c r="A2389" s="13">
        <v>45954</v>
      </c>
      <c r="B2389" s="15" t="s">
        <v>21</v>
      </c>
      <c r="C2389" s="3">
        <v>3</v>
      </c>
      <c r="D2389" s="13">
        <f t="shared" si="77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8"/>
        <v>12900</v>
      </c>
    </row>
    <row r="2390" spans="1:8" x14ac:dyDescent="0.3">
      <c r="A2390" s="13">
        <v>45954</v>
      </c>
      <c r="B2390" s="15" t="s">
        <v>21</v>
      </c>
      <c r="C2390" s="3">
        <v>4</v>
      </c>
      <c r="D2390" s="13">
        <f t="shared" si="77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8"/>
        <v>12900</v>
      </c>
    </row>
    <row r="2391" spans="1:8" x14ac:dyDescent="0.3">
      <c r="A2391" s="13">
        <v>45957</v>
      </c>
      <c r="B2391" s="15" t="s">
        <v>21</v>
      </c>
      <c r="C2391" s="3">
        <v>1</v>
      </c>
      <c r="D2391" s="13">
        <f t="shared" si="77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8"/>
        <v>11400</v>
      </c>
    </row>
    <row r="2392" spans="1:8" x14ac:dyDescent="0.3">
      <c r="A2392" s="13">
        <v>45957</v>
      </c>
      <c r="B2392" s="15" t="s">
        <v>21</v>
      </c>
      <c r="C2392" s="3">
        <v>2</v>
      </c>
      <c r="D2392" s="13">
        <f t="shared" si="77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8"/>
        <v>11400</v>
      </c>
    </row>
    <row r="2393" spans="1:8" x14ac:dyDescent="0.3">
      <c r="A2393" s="13">
        <v>45957</v>
      </c>
      <c r="B2393" s="15" t="s">
        <v>21</v>
      </c>
      <c r="C2393" s="3">
        <v>3</v>
      </c>
      <c r="D2393" s="13">
        <f t="shared" si="77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8"/>
        <v>11400</v>
      </c>
    </row>
    <row r="2394" spans="1:8" x14ac:dyDescent="0.3">
      <c r="A2394" s="13">
        <v>45957</v>
      </c>
      <c r="B2394" s="15" t="s">
        <v>21</v>
      </c>
      <c r="C2394" s="3">
        <v>4</v>
      </c>
      <c r="D2394" s="13">
        <f t="shared" si="77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8"/>
        <v>11400</v>
      </c>
    </row>
    <row r="2395" spans="1:8" x14ac:dyDescent="0.3">
      <c r="A2395" s="13">
        <v>45958</v>
      </c>
      <c r="B2395" s="15" t="s">
        <v>21</v>
      </c>
      <c r="C2395" s="3">
        <v>2</v>
      </c>
      <c r="D2395" s="13">
        <f t="shared" si="77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8"/>
        <v>15300</v>
      </c>
    </row>
    <row r="2396" spans="1:8" x14ac:dyDescent="0.3">
      <c r="A2396" s="13">
        <v>45958</v>
      </c>
      <c r="B2396" s="15" t="s">
        <v>21</v>
      </c>
      <c r="C2396" s="3">
        <v>3</v>
      </c>
      <c r="D2396" s="13">
        <f t="shared" si="77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8"/>
        <v>15300</v>
      </c>
    </row>
    <row r="2397" spans="1:8" x14ac:dyDescent="0.3">
      <c r="A2397" s="13">
        <v>45959</v>
      </c>
      <c r="B2397" s="15" t="s">
        <v>21</v>
      </c>
      <c r="C2397" s="3">
        <v>1</v>
      </c>
      <c r="D2397" s="13">
        <f t="shared" si="77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8"/>
        <v>11700</v>
      </c>
    </row>
    <row r="2398" spans="1:8" x14ac:dyDescent="0.3">
      <c r="A2398" s="13">
        <v>45959</v>
      </c>
      <c r="B2398" s="15" t="s">
        <v>21</v>
      </c>
      <c r="C2398" s="3">
        <v>2</v>
      </c>
      <c r="D2398" s="13">
        <f t="shared" si="77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8"/>
        <v>11700</v>
      </c>
    </row>
    <row r="2399" spans="1:8" x14ac:dyDescent="0.3">
      <c r="A2399" s="13">
        <v>45960</v>
      </c>
      <c r="B2399" s="15" t="s">
        <v>21</v>
      </c>
      <c r="C2399" s="3">
        <v>1</v>
      </c>
      <c r="D2399" s="13">
        <f t="shared" si="77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8"/>
        <v>1300</v>
      </c>
    </row>
    <row r="2400" spans="1:8" x14ac:dyDescent="0.3">
      <c r="A2400" s="13">
        <v>45960</v>
      </c>
      <c r="B2400" s="15" t="s">
        <v>21</v>
      </c>
      <c r="C2400" s="3">
        <v>4</v>
      </c>
      <c r="D2400" s="13">
        <f t="shared" si="77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si="78"/>
        <v>1300</v>
      </c>
    </row>
    <row r="2401" spans="1:8" x14ac:dyDescent="0.3">
      <c r="A2401" s="13">
        <v>45961</v>
      </c>
      <c r="B2401" s="15" t="s">
        <v>303</v>
      </c>
      <c r="C2401" s="3">
        <v>3</v>
      </c>
      <c r="D2401" s="13">
        <f t="shared" si="77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78"/>
        <v>-4200</v>
      </c>
    </row>
    <row r="2402" spans="1:8" x14ac:dyDescent="0.3">
      <c r="A2402" s="13">
        <v>45961</v>
      </c>
      <c r="B2402" s="15" t="s">
        <v>21</v>
      </c>
      <c r="C2402" s="3">
        <v>3</v>
      </c>
      <c r="D2402" s="13">
        <f t="shared" ref="D2402:D2404" si="80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si="78"/>
        <v>-4200</v>
      </c>
    </row>
    <row r="2403" spans="1:8" x14ac:dyDescent="0.3">
      <c r="A2403" s="13">
        <v>45965</v>
      </c>
      <c r="B2403" s="15" t="s">
        <v>21</v>
      </c>
      <c r="C2403" s="3">
        <v>1</v>
      </c>
      <c r="D2403" s="13">
        <f t="shared" si="80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78"/>
        <v>-1000</v>
      </c>
    </row>
    <row r="2404" spans="1:8" x14ac:dyDescent="0.3">
      <c r="A2404" s="13">
        <v>45966</v>
      </c>
      <c r="B2404" s="15" t="s">
        <v>21</v>
      </c>
      <c r="C2404" s="3">
        <v>1</v>
      </c>
      <c r="D2404" s="13">
        <f t="shared" si="80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78"/>
        <v>-450</v>
      </c>
    </row>
    <row r="2405" spans="1:8" x14ac:dyDescent="0.3">
      <c r="A2405" s="13">
        <v>45967</v>
      </c>
      <c r="B2405" s="15" t="s">
        <v>21</v>
      </c>
      <c r="C2405" s="3">
        <v>4</v>
      </c>
      <c r="D2405" s="13">
        <f t="shared" ref="D2405:D2409" si="81">+A2405+C2405</f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si="78"/>
        <v>-700</v>
      </c>
    </row>
    <row r="2406" spans="1:8" x14ac:dyDescent="0.3">
      <c r="A2406" s="13">
        <v>45968</v>
      </c>
      <c r="B2406" s="15" t="s">
        <v>21</v>
      </c>
      <c r="C2406" s="3">
        <v>4</v>
      </c>
      <c r="D2406" s="13">
        <f t="shared" si="81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78"/>
        <v>6300</v>
      </c>
    </row>
    <row r="2407" spans="1:8" x14ac:dyDescent="0.3">
      <c r="A2407" s="13">
        <v>45968</v>
      </c>
      <c r="B2407" s="15" t="s">
        <v>21</v>
      </c>
      <c r="C2407" s="3">
        <v>5</v>
      </c>
      <c r="D2407" s="13">
        <f t="shared" si="81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78"/>
        <v>6300</v>
      </c>
    </row>
    <row r="2408" spans="1:8" x14ac:dyDescent="0.3">
      <c r="A2408" s="13">
        <v>45968</v>
      </c>
      <c r="B2408" s="15" t="s">
        <v>21</v>
      </c>
      <c r="C2408" s="3">
        <v>6</v>
      </c>
      <c r="D2408" s="13">
        <f t="shared" si="81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78"/>
        <v>6300</v>
      </c>
    </row>
    <row r="2409" spans="1:8" x14ac:dyDescent="0.3">
      <c r="A2409" s="13">
        <v>45973</v>
      </c>
      <c r="B2409" s="15" t="s">
        <v>21</v>
      </c>
      <c r="C2409" s="3">
        <v>5</v>
      </c>
      <c r="D2409" s="13">
        <f t="shared" si="81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78"/>
        <v>5500</v>
      </c>
    </row>
    <row r="2410" spans="1:8" x14ac:dyDescent="0.3">
      <c r="A2410" s="13">
        <v>45974</v>
      </c>
      <c r="B2410" s="15" t="s">
        <v>21</v>
      </c>
      <c r="C2410" s="3">
        <v>4</v>
      </c>
      <c r="D2410" s="13">
        <f t="shared" ref="D2410" si="82">+A2410+C2410</f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si="78"/>
        <v>8300</v>
      </c>
    </row>
    <row r="2411" spans="1:8" x14ac:dyDescent="0.3">
      <c r="A2411" s="13">
        <v>45974</v>
      </c>
      <c r="B2411" s="15" t="s">
        <v>21</v>
      </c>
      <c r="C2411" s="3">
        <v>5</v>
      </c>
      <c r="D2411" s="13">
        <f t="shared" ref="D2411:D2432" si="83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si="78"/>
        <v>8300</v>
      </c>
    </row>
    <row r="2412" spans="1:8" x14ac:dyDescent="0.3">
      <c r="A2412" s="13">
        <v>45975</v>
      </c>
      <c r="B2412" s="15" t="s">
        <v>21</v>
      </c>
      <c r="C2412" s="3">
        <v>5</v>
      </c>
      <c r="D2412" s="13">
        <f t="shared" si="83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78"/>
        <v>14700</v>
      </c>
    </row>
    <row r="2413" spans="1:8" x14ac:dyDescent="0.3">
      <c r="A2413" s="13">
        <v>45978</v>
      </c>
      <c r="B2413" s="15" t="s">
        <v>21</v>
      </c>
      <c r="C2413" s="3">
        <v>2</v>
      </c>
      <c r="D2413" s="13">
        <f t="shared" si="83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78"/>
        <v>18600</v>
      </c>
    </row>
    <row r="2414" spans="1:8" x14ac:dyDescent="0.3">
      <c r="A2414" s="13">
        <v>45980</v>
      </c>
      <c r="B2414" s="15" t="s">
        <v>21</v>
      </c>
      <c r="C2414" s="3">
        <v>2</v>
      </c>
      <c r="D2414" s="13">
        <f t="shared" si="83"/>
        <v>45982</v>
      </c>
      <c r="E2414" s="15">
        <v>3900</v>
      </c>
      <c r="F2414" s="9">
        <v>0.08</v>
      </c>
      <c r="G2414" s="9">
        <v>0.08</v>
      </c>
      <c r="H2414" s="15">
        <f t="shared" si="78"/>
        <v>4400</v>
      </c>
    </row>
    <row r="2415" spans="1:8" x14ac:dyDescent="0.3">
      <c r="A2415" s="13">
        <v>45980</v>
      </c>
      <c r="B2415" s="15" t="s">
        <v>21</v>
      </c>
      <c r="C2415" s="3">
        <v>5</v>
      </c>
      <c r="D2415" s="13">
        <f t="shared" si="83"/>
        <v>45985</v>
      </c>
      <c r="E2415" s="15">
        <v>500</v>
      </c>
      <c r="F2415" s="9">
        <v>0.08</v>
      </c>
      <c r="G2415" s="9">
        <v>0.08</v>
      </c>
      <c r="H2415" s="15">
        <f t="shared" si="78"/>
        <v>4400</v>
      </c>
    </row>
    <row r="2416" spans="1:8" x14ac:dyDescent="0.3">
      <c r="A2416" s="13">
        <v>45981</v>
      </c>
      <c r="B2416" s="15" t="s">
        <v>21</v>
      </c>
      <c r="C2416" s="3">
        <v>4</v>
      </c>
      <c r="D2416" s="13">
        <f t="shared" si="83"/>
        <v>45985</v>
      </c>
      <c r="E2416" s="15">
        <v>8300</v>
      </c>
      <c r="F2416" s="9">
        <v>0.08</v>
      </c>
      <c r="G2416" s="9">
        <v>0.08</v>
      </c>
      <c r="H2416" s="15">
        <f t="shared" si="78"/>
        <v>13700</v>
      </c>
    </row>
    <row r="2417" spans="1:8" x14ac:dyDescent="0.3">
      <c r="A2417" s="13">
        <v>45981</v>
      </c>
      <c r="B2417" s="15" t="s">
        <v>21</v>
      </c>
      <c r="C2417" s="3">
        <v>1</v>
      </c>
      <c r="D2417" s="13">
        <f t="shared" si="83"/>
        <v>45982</v>
      </c>
      <c r="E2417" s="15">
        <v>1000</v>
      </c>
      <c r="F2417" s="9">
        <v>0.08</v>
      </c>
      <c r="G2417" s="9">
        <v>0.08</v>
      </c>
      <c r="H2417" s="15">
        <f t="shared" si="78"/>
        <v>13700</v>
      </c>
    </row>
    <row r="2418" spans="1:8" x14ac:dyDescent="0.3">
      <c r="A2418" s="13">
        <v>45982</v>
      </c>
      <c r="B2418" s="15" t="s">
        <v>21</v>
      </c>
      <c r="C2418" s="3">
        <v>3</v>
      </c>
      <c r="D2418" s="13">
        <f t="shared" si="83"/>
        <v>45985</v>
      </c>
      <c r="E2418" s="15">
        <v>1000</v>
      </c>
      <c r="F2418" s="9">
        <v>0.08</v>
      </c>
      <c r="G2418" s="9">
        <v>0.08</v>
      </c>
      <c r="H2418" s="15">
        <f t="shared" si="78"/>
        <v>19700</v>
      </c>
    </row>
    <row r="2419" spans="1:8" x14ac:dyDescent="0.3">
      <c r="A2419" s="13">
        <v>45982</v>
      </c>
      <c r="B2419" s="15" t="s">
        <v>21</v>
      </c>
      <c r="C2419" s="3">
        <v>4</v>
      </c>
      <c r="D2419" s="13">
        <f t="shared" si="83"/>
        <v>45986</v>
      </c>
      <c r="E2419" s="15">
        <v>3900</v>
      </c>
      <c r="F2419" s="9">
        <v>0.08</v>
      </c>
      <c r="G2419" s="9">
        <v>0.08</v>
      </c>
      <c r="H2419" s="15">
        <f t="shared" si="78"/>
        <v>19700</v>
      </c>
    </row>
    <row r="2420" spans="1:8" x14ac:dyDescent="0.3">
      <c r="A2420" s="13">
        <v>45982</v>
      </c>
      <c r="B2420" s="15" t="s">
        <v>21</v>
      </c>
      <c r="C2420" s="3">
        <v>5</v>
      </c>
      <c r="D2420" s="13">
        <f t="shared" si="83"/>
        <v>45987</v>
      </c>
      <c r="E2420" s="15">
        <v>3500</v>
      </c>
      <c r="F2420" s="9">
        <v>0.08</v>
      </c>
      <c r="G2420" s="9">
        <v>0.08</v>
      </c>
      <c r="H2420" s="15">
        <f t="shared" si="78"/>
        <v>19700</v>
      </c>
    </row>
    <row r="2421" spans="1:8" x14ac:dyDescent="0.3">
      <c r="A2421" s="13">
        <v>45982</v>
      </c>
      <c r="B2421" s="15" t="s">
        <v>21</v>
      </c>
      <c r="C2421" s="3">
        <v>6</v>
      </c>
      <c r="D2421" s="13">
        <f t="shared" si="83"/>
        <v>45988</v>
      </c>
      <c r="E2421" s="15">
        <v>500</v>
      </c>
      <c r="F2421" s="9">
        <v>0.08</v>
      </c>
      <c r="G2421" s="9">
        <v>0.08</v>
      </c>
      <c r="H2421" s="15">
        <f t="shared" si="78"/>
        <v>19700</v>
      </c>
    </row>
    <row r="2422" spans="1:8" x14ac:dyDescent="0.3">
      <c r="A2422" s="13">
        <v>45982</v>
      </c>
      <c r="B2422" s="15" t="s">
        <v>21</v>
      </c>
      <c r="C2422" s="3">
        <v>10</v>
      </c>
      <c r="D2422" s="13">
        <f t="shared" si="83"/>
        <v>45992</v>
      </c>
      <c r="E2422" s="15">
        <v>2000</v>
      </c>
      <c r="F2422" s="9">
        <v>0.08</v>
      </c>
      <c r="G2422" s="9">
        <v>0.08</v>
      </c>
      <c r="H2422" s="15">
        <f t="shared" si="78"/>
        <v>19700</v>
      </c>
    </row>
    <row r="2423" spans="1:8" x14ac:dyDescent="0.3">
      <c r="A2423" s="13">
        <v>45985</v>
      </c>
      <c r="B2423" s="15" t="s">
        <v>21</v>
      </c>
      <c r="C2423" s="3">
        <v>1</v>
      </c>
      <c r="D2423" s="13">
        <f t="shared" si="83"/>
        <v>45986</v>
      </c>
      <c r="E2423" s="15">
        <v>500</v>
      </c>
      <c r="F2423" s="9">
        <v>7.8E-2</v>
      </c>
      <c r="G2423" s="9">
        <v>7.8E-2</v>
      </c>
      <c r="H2423" s="15">
        <f t="shared" si="78"/>
        <v>19400</v>
      </c>
    </row>
    <row r="2424" spans="1:8" x14ac:dyDescent="0.3">
      <c r="A2424" s="13">
        <v>45985</v>
      </c>
      <c r="B2424" s="15" t="s">
        <v>21</v>
      </c>
      <c r="C2424" s="3">
        <v>2</v>
      </c>
      <c r="D2424" s="13">
        <f t="shared" si="83"/>
        <v>45987</v>
      </c>
      <c r="E2424" s="15">
        <v>5000</v>
      </c>
      <c r="F2424" s="9">
        <v>0.08</v>
      </c>
      <c r="G2424" s="9">
        <v>0.08</v>
      </c>
      <c r="H2424" s="15">
        <f t="shared" si="78"/>
        <v>19400</v>
      </c>
    </row>
    <row r="2425" spans="1:8" x14ac:dyDescent="0.3">
      <c r="A2425" s="13">
        <v>45985</v>
      </c>
      <c r="B2425" s="15" t="s">
        <v>21</v>
      </c>
      <c r="C2425" s="3">
        <v>3</v>
      </c>
      <c r="D2425" s="13">
        <f t="shared" si="83"/>
        <v>45988</v>
      </c>
      <c r="E2425" s="15">
        <v>2500</v>
      </c>
      <c r="F2425" s="9">
        <v>0.08</v>
      </c>
      <c r="G2425" s="9">
        <v>0.08</v>
      </c>
      <c r="H2425" s="15">
        <f t="shared" si="78"/>
        <v>19400</v>
      </c>
    </row>
    <row r="2426" spans="1:8" x14ac:dyDescent="0.3">
      <c r="A2426" s="13">
        <v>45985</v>
      </c>
      <c r="B2426" s="15" t="s">
        <v>21</v>
      </c>
      <c r="C2426" s="3">
        <v>4</v>
      </c>
      <c r="D2426" s="13">
        <f t="shared" si="83"/>
        <v>45989</v>
      </c>
      <c r="E2426" s="15">
        <v>500</v>
      </c>
      <c r="F2426" s="9">
        <v>0.08</v>
      </c>
      <c r="G2426" s="9">
        <v>0.08</v>
      </c>
      <c r="H2426" s="15">
        <f t="shared" si="78"/>
        <v>19400</v>
      </c>
    </row>
    <row r="2427" spans="1:8" x14ac:dyDescent="0.3">
      <c r="A2427" s="13">
        <v>45985</v>
      </c>
      <c r="B2427" s="15" t="s">
        <v>21</v>
      </c>
      <c r="C2427" s="3">
        <v>7</v>
      </c>
      <c r="D2427" s="13">
        <f t="shared" si="83"/>
        <v>45992</v>
      </c>
      <c r="E2427" s="15">
        <v>1000</v>
      </c>
      <c r="F2427" s="9">
        <v>0.08</v>
      </c>
      <c r="G2427" s="9">
        <v>0.08</v>
      </c>
      <c r="H2427" s="15">
        <f t="shared" si="78"/>
        <v>19400</v>
      </c>
    </row>
    <row r="2428" spans="1:8" x14ac:dyDescent="0.3">
      <c r="A2428" s="13">
        <v>45986</v>
      </c>
      <c r="B2428" s="15" t="s">
        <v>21</v>
      </c>
      <c r="C2428" s="3">
        <v>1</v>
      </c>
      <c r="D2428" s="13">
        <f t="shared" si="83"/>
        <v>45987</v>
      </c>
      <c r="E2428" s="15">
        <v>900</v>
      </c>
      <c r="F2428" s="9">
        <v>7.5999999999999998E-2</v>
      </c>
      <c r="G2428" s="9">
        <v>0.08</v>
      </c>
      <c r="H2428" s="15">
        <f t="shared" si="78"/>
        <v>25100</v>
      </c>
    </row>
    <row r="2429" spans="1:8" x14ac:dyDescent="0.3">
      <c r="A2429" s="13">
        <v>45986</v>
      </c>
      <c r="B2429" s="15" t="s">
        <v>21</v>
      </c>
      <c r="C2429" s="3">
        <v>2</v>
      </c>
      <c r="D2429" s="13">
        <f t="shared" si="83"/>
        <v>45988</v>
      </c>
      <c r="E2429" s="15">
        <v>2000</v>
      </c>
      <c r="F2429" s="9">
        <v>0.08</v>
      </c>
      <c r="G2429" s="9">
        <v>0.08</v>
      </c>
      <c r="H2429" s="15">
        <f t="shared" si="78"/>
        <v>25100</v>
      </c>
    </row>
    <row r="2430" spans="1:8" x14ac:dyDescent="0.3">
      <c r="A2430" s="13">
        <v>45986</v>
      </c>
      <c r="B2430" s="15" t="s">
        <v>21</v>
      </c>
      <c r="C2430" s="3">
        <v>3</v>
      </c>
      <c r="D2430" s="13">
        <f t="shared" si="83"/>
        <v>45989</v>
      </c>
      <c r="E2430" s="15">
        <v>3200</v>
      </c>
      <c r="F2430" s="9">
        <v>0.08</v>
      </c>
      <c r="G2430" s="9">
        <v>0.08</v>
      </c>
      <c r="H2430" s="15">
        <f t="shared" si="78"/>
        <v>25100</v>
      </c>
    </row>
    <row r="2431" spans="1:8" x14ac:dyDescent="0.3">
      <c r="A2431" s="13">
        <v>45986</v>
      </c>
      <c r="B2431" s="15" t="s">
        <v>21</v>
      </c>
      <c r="C2431" s="3">
        <v>6</v>
      </c>
      <c r="D2431" s="13">
        <f t="shared" si="83"/>
        <v>45992</v>
      </c>
      <c r="E2431" s="15">
        <v>4000</v>
      </c>
      <c r="F2431" s="9">
        <v>0.08</v>
      </c>
      <c r="G2431" s="9">
        <v>0.08</v>
      </c>
      <c r="H2431" s="15">
        <f t="shared" si="78"/>
        <v>25100</v>
      </c>
    </row>
    <row r="2432" spans="1:8" x14ac:dyDescent="0.3">
      <c r="A2432" s="13">
        <v>45987</v>
      </c>
      <c r="B2432" s="15" t="s">
        <v>21</v>
      </c>
      <c r="C2432" s="3">
        <v>2</v>
      </c>
      <c r="D2432" s="13">
        <f t="shared" si="83"/>
        <v>45989</v>
      </c>
      <c r="E2432" s="15">
        <v>400</v>
      </c>
      <c r="F2432" s="9">
        <v>0.08</v>
      </c>
      <c r="G2432" s="9">
        <v>0.08</v>
      </c>
      <c r="H2432" s="15">
        <f t="shared" si="78"/>
        <v>16100</v>
      </c>
    </row>
    <row r="2433" spans="1:8" x14ac:dyDescent="0.3">
      <c r="A2433" s="13">
        <v>45989</v>
      </c>
      <c r="B2433" s="15" t="s">
        <v>21</v>
      </c>
      <c r="C2433" s="3">
        <v>3</v>
      </c>
      <c r="D2433" s="13">
        <f t="shared" ref="D2433:D2487" si="84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si="78"/>
        <v>5300</v>
      </c>
    </row>
    <row r="2434" spans="1:8" x14ac:dyDescent="0.3">
      <c r="A2434" s="13">
        <v>45992</v>
      </c>
      <c r="B2434" s="15" t="s">
        <v>21</v>
      </c>
      <c r="C2434" s="3">
        <v>1</v>
      </c>
      <c r="D2434" s="13">
        <f t="shared" si="84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78"/>
        <v>-1500</v>
      </c>
    </row>
    <row r="2435" spans="1:8" x14ac:dyDescent="0.3">
      <c r="A2435" s="13">
        <v>45999</v>
      </c>
      <c r="B2435" s="15" t="s">
        <v>21</v>
      </c>
      <c r="C2435" s="3">
        <v>2</v>
      </c>
      <c r="D2435" s="13">
        <f t="shared" si="84"/>
        <v>46001</v>
      </c>
      <c r="E2435" s="15">
        <v>500</v>
      </c>
      <c r="F2435" s="9">
        <v>0.08</v>
      </c>
      <c r="G2435" s="9">
        <v>0.08</v>
      </c>
      <c r="H2435" s="15">
        <f t="shared" si="78"/>
        <v>5300</v>
      </c>
    </row>
    <row r="2436" spans="1:8" x14ac:dyDescent="0.3">
      <c r="A2436" s="13">
        <v>45999</v>
      </c>
      <c r="B2436" s="15" t="s">
        <v>21</v>
      </c>
      <c r="C2436" s="3">
        <v>3</v>
      </c>
      <c r="D2436" s="13">
        <f t="shared" si="84"/>
        <v>46002</v>
      </c>
      <c r="E2436" s="15">
        <v>1000</v>
      </c>
      <c r="F2436" s="9">
        <v>0.08</v>
      </c>
      <c r="G2436" s="9">
        <v>0.08</v>
      </c>
      <c r="H2436" s="15">
        <f t="shared" si="78"/>
        <v>5300</v>
      </c>
    </row>
    <row r="2437" spans="1:8" x14ac:dyDescent="0.3">
      <c r="A2437" s="13">
        <v>45999</v>
      </c>
      <c r="B2437" s="15" t="s">
        <v>21</v>
      </c>
      <c r="C2437" s="3">
        <v>4</v>
      </c>
      <c r="D2437" s="13">
        <f t="shared" si="84"/>
        <v>46003</v>
      </c>
      <c r="E2437" s="15">
        <v>2500</v>
      </c>
      <c r="F2437" s="9">
        <v>0.08</v>
      </c>
      <c r="G2437" s="9">
        <v>0.08</v>
      </c>
      <c r="H2437" s="15">
        <f t="shared" si="78"/>
        <v>5300</v>
      </c>
    </row>
    <row r="2438" spans="1:8" x14ac:dyDescent="0.3">
      <c r="A2438" s="13">
        <v>45999</v>
      </c>
      <c r="B2438" s="15" t="s">
        <v>21</v>
      </c>
      <c r="C2438" s="3">
        <v>7</v>
      </c>
      <c r="D2438" s="13">
        <f t="shared" si="84"/>
        <v>46006</v>
      </c>
      <c r="E2438" s="15">
        <v>1300</v>
      </c>
      <c r="F2438" s="9">
        <v>0.08</v>
      </c>
      <c r="G2438" s="9">
        <v>0.08</v>
      </c>
      <c r="H2438" s="15">
        <f t="shared" si="78"/>
        <v>5300</v>
      </c>
    </row>
    <row r="2439" spans="1:8" x14ac:dyDescent="0.3">
      <c r="A2439" s="13">
        <v>46000</v>
      </c>
      <c r="B2439" s="15" t="s">
        <v>21</v>
      </c>
      <c r="C2439" s="3">
        <v>3</v>
      </c>
      <c r="D2439" s="13">
        <f t="shared" si="84"/>
        <v>46003</v>
      </c>
      <c r="E2439" s="15">
        <v>1400</v>
      </c>
      <c r="F2439" s="9">
        <v>0.08</v>
      </c>
      <c r="G2439" s="9">
        <v>0.08</v>
      </c>
      <c r="H2439" s="15">
        <f t="shared" si="78"/>
        <v>8400</v>
      </c>
    </row>
    <row r="2440" spans="1:8" x14ac:dyDescent="0.3">
      <c r="A2440" s="13">
        <v>46000</v>
      </c>
      <c r="B2440" s="15" t="s">
        <v>21</v>
      </c>
      <c r="C2440" s="3">
        <v>6</v>
      </c>
      <c r="D2440" s="13">
        <f t="shared" si="84"/>
        <v>46006</v>
      </c>
      <c r="E2440" s="15">
        <v>700</v>
      </c>
      <c r="F2440" s="9">
        <v>0.08</v>
      </c>
      <c r="G2440" s="9">
        <v>0.08</v>
      </c>
      <c r="H2440" s="15">
        <f t="shared" si="78"/>
        <v>8400</v>
      </c>
    </row>
    <row r="2441" spans="1:8" x14ac:dyDescent="0.3">
      <c r="A2441" s="13">
        <v>46000</v>
      </c>
      <c r="B2441" s="15" t="s">
        <v>21</v>
      </c>
      <c r="C2441" s="3">
        <v>7</v>
      </c>
      <c r="D2441" s="13">
        <f t="shared" si="84"/>
        <v>46007</v>
      </c>
      <c r="E2441" s="15">
        <v>1000</v>
      </c>
      <c r="F2441" s="9">
        <v>0.08</v>
      </c>
      <c r="G2441" s="9">
        <v>0.08</v>
      </c>
      <c r="H2441" s="15">
        <f t="shared" si="78"/>
        <v>8400</v>
      </c>
    </row>
    <row r="2442" spans="1:8" x14ac:dyDescent="0.3">
      <c r="A2442" s="13">
        <v>46001</v>
      </c>
      <c r="B2442" s="15" t="s">
        <v>21</v>
      </c>
      <c r="C2442" s="3">
        <v>5</v>
      </c>
      <c r="D2442" s="13">
        <f t="shared" si="84"/>
        <v>46006</v>
      </c>
      <c r="E2442" s="15">
        <v>1000</v>
      </c>
      <c r="F2442" s="9">
        <v>0.08</v>
      </c>
      <c r="G2442" s="9">
        <v>0.08</v>
      </c>
      <c r="H2442" s="15">
        <f t="shared" ref="H2442:H2505" si="85">+SUMIFS($E$10:$E$4506,$A$10:$A$4506,"&lt;="&amp;A2442,$D$10:$D$4506,"&gt;"&amp;A2442)</f>
        <v>8900</v>
      </c>
    </row>
    <row r="2443" spans="1:8" x14ac:dyDescent="0.3">
      <c r="A2443" s="13">
        <v>46003</v>
      </c>
      <c r="B2443" s="15" t="s">
        <v>21</v>
      </c>
      <c r="C2443" s="3">
        <v>4</v>
      </c>
      <c r="D2443" s="13">
        <f t="shared" si="84"/>
        <v>46007</v>
      </c>
      <c r="E2443" s="15">
        <v>1000</v>
      </c>
      <c r="F2443" s="9">
        <v>0.08</v>
      </c>
      <c r="G2443" s="9">
        <v>0.08</v>
      </c>
      <c r="H2443" s="15">
        <f t="shared" si="85"/>
        <v>9000</v>
      </c>
    </row>
    <row r="2444" spans="1:8" x14ac:dyDescent="0.3">
      <c r="A2444" s="13">
        <v>46003</v>
      </c>
      <c r="B2444" s="15" t="s">
        <v>21</v>
      </c>
      <c r="C2444" s="3">
        <v>5</v>
      </c>
      <c r="D2444" s="13">
        <f t="shared" si="84"/>
        <v>46008</v>
      </c>
      <c r="E2444" s="15">
        <v>3000</v>
      </c>
      <c r="F2444" s="9">
        <v>0.08</v>
      </c>
      <c r="G2444" s="9">
        <v>0.08</v>
      </c>
      <c r="H2444" s="15">
        <f t="shared" si="85"/>
        <v>9000</v>
      </c>
    </row>
    <row r="2445" spans="1:8" x14ac:dyDescent="0.3">
      <c r="A2445" s="13">
        <v>46003</v>
      </c>
      <c r="B2445" s="15" t="s">
        <v>21</v>
      </c>
      <c r="C2445" s="3">
        <v>6</v>
      </c>
      <c r="D2445" s="13">
        <f t="shared" si="84"/>
        <v>46009</v>
      </c>
      <c r="E2445" s="15">
        <v>500</v>
      </c>
      <c r="F2445" s="9">
        <v>0.08</v>
      </c>
      <c r="G2445" s="9">
        <v>0.08</v>
      </c>
      <c r="H2445" s="15">
        <f t="shared" si="85"/>
        <v>9000</v>
      </c>
    </row>
    <row r="2446" spans="1:8" x14ac:dyDescent="0.3">
      <c r="A2446" s="13">
        <v>46003</v>
      </c>
      <c r="B2446" s="15" t="s">
        <v>21</v>
      </c>
      <c r="C2446" s="3">
        <v>7</v>
      </c>
      <c r="D2446" s="13">
        <f t="shared" si="84"/>
        <v>46010</v>
      </c>
      <c r="E2446" s="15">
        <v>500</v>
      </c>
      <c r="F2446" s="9">
        <v>0.08</v>
      </c>
      <c r="G2446" s="9">
        <v>0.08</v>
      </c>
      <c r="H2446" s="15">
        <f t="shared" si="85"/>
        <v>9000</v>
      </c>
    </row>
    <row r="2447" spans="1:8" x14ac:dyDescent="0.3">
      <c r="A2447" s="13">
        <v>46008</v>
      </c>
      <c r="B2447" s="15" t="s">
        <v>21</v>
      </c>
      <c r="C2447" s="3">
        <v>5</v>
      </c>
      <c r="D2447" s="13">
        <f t="shared" si="84"/>
        <v>46013</v>
      </c>
      <c r="E2447" s="15">
        <v>3800</v>
      </c>
      <c r="F2447" s="9">
        <v>0.08</v>
      </c>
      <c r="G2447" s="9">
        <v>0.08</v>
      </c>
      <c r="H2447" s="15">
        <f t="shared" si="85"/>
        <v>6400</v>
      </c>
    </row>
    <row r="2448" spans="1:8" x14ac:dyDescent="0.3">
      <c r="A2448" s="13">
        <v>46008</v>
      </c>
      <c r="B2448" s="15" t="s">
        <v>21</v>
      </c>
      <c r="C2448" s="3">
        <v>6</v>
      </c>
      <c r="D2448" s="13">
        <f t="shared" si="84"/>
        <v>46014</v>
      </c>
      <c r="E2448" s="15">
        <v>1600</v>
      </c>
      <c r="F2448" s="9">
        <v>0.08</v>
      </c>
      <c r="G2448" s="9">
        <v>0.08</v>
      </c>
      <c r="H2448" s="15">
        <f t="shared" si="85"/>
        <v>6400</v>
      </c>
    </row>
    <row r="2449" spans="1:8" x14ac:dyDescent="0.3">
      <c r="A2449" s="13">
        <v>46009</v>
      </c>
      <c r="B2449" s="15" t="s">
        <v>21</v>
      </c>
      <c r="C2449" s="3">
        <v>5</v>
      </c>
      <c r="D2449" s="13">
        <f t="shared" si="84"/>
        <v>46014</v>
      </c>
      <c r="E2449" s="15">
        <v>2000</v>
      </c>
      <c r="F2449" s="9">
        <v>0.08</v>
      </c>
      <c r="G2449" s="9">
        <v>0.08</v>
      </c>
      <c r="H2449" s="15">
        <f t="shared" si="85"/>
        <v>7900</v>
      </c>
    </row>
    <row r="2450" spans="1:8" x14ac:dyDescent="0.3">
      <c r="A2450" s="13">
        <v>46010</v>
      </c>
      <c r="B2450" s="15" t="s">
        <v>21</v>
      </c>
      <c r="C2450" s="3">
        <v>3</v>
      </c>
      <c r="D2450" s="13">
        <f t="shared" si="84"/>
        <v>46013</v>
      </c>
      <c r="E2450" s="15">
        <v>300</v>
      </c>
      <c r="F2450" s="9">
        <v>0.08</v>
      </c>
      <c r="G2450" s="9">
        <v>0.08</v>
      </c>
      <c r="H2450" s="15">
        <f t="shared" si="85"/>
        <v>15300</v>
      </c>
    </row>
    <row r="2451" spans="1:8" x14ac:dyDescent="0.3">
      <c r="A2451" s="13">
        <v>46010</v>
      </c>
      <c r="B2451" s="15" t="s">
        <v>21</v>
      </c>
      <c r="C2451" s="3">
        <v>4</v>
      </c>
      <c r="D2451" s="13">
        <f t="shared" si="84"/>
        <v>46014</v>
      </c>
      <c r="E2451" s="15">
        <v>6200</v>
      </c>
      <c r="F2451" s="9">
        <v>0.08</v>
      </c>
      <c r="G2451" s="9">
        <v>0.08</v>
      </c>
      <c r="H2451" s="15">
        <f t="shared" si="85"/>
        <v>15300</v>
      </c>
    </row>
    <row r="2452" spans="1:8" x14ac:dyDescent="0.3">
      <c r="A2452" s="13">
        <v>46010</v>
      </c>
      <c r="B2452" s="15" t="s">
        <v>21</v>
      </c>
      <c r="C2452" s="3">
        <v>5</v>
      </c>
      <c r="D2452" s="13">
        <f t="shared" si="84"/>
        <v>46015</v>
      </c>
      <c r="E2452" s="15">
        <v>1400</v>
      </c>
      <c r="F2452" s="9">
        <v>0.08</v>
      </c>
      <c r="G2452" s="9">
        <v>0.08</v>
      </c>
      <c r="H2452" s="15">
        <f t="shared" si="85"/>
        <v>15300</v>
      </c>
    </row>
    <row r="2453" spans="1:8" x14ac:dyDescent="0.3">
      <c r="A2453" s="13">
        <v>46013</v>
      </c>
      <c r="B2453" s="15" t="s">
        <v>21</v>
      </c>
      <c r="C2453" s="3">
        <v>1</v>
      </c>
      <c r="D2453" s="13">
        <f t="shared" si="84"/>
        <v>46014</v>
      </c>
      <c r="E2453" s="15">
        <v>500</v>
      </c>
      <c r="F2453" s="9">
        <v>0.08</v>
      </c>
      <c r="G2453" s="9">
        <v>0.08</v>
      </c>
      <c r="H2453" s="15">
        <f t="shared" si="85"/>
        <v>23500</v>
      </c>
    </row>
    <row r="2454" spans="1:8" x14ac:dyDescent="0.3">
      <c r="A2454" s="13">
        <v>46013</v>
      </c>
      <c r="B2454" s="15" t="s">
        <v>21</v>
      </c>
      <c r="C2454" s="3">
        <v>2</v>
      </c>
      <c r="D2454" s="13">
        <f t="shared" si="84"/>
        <v>46015</v>
      </c>
      <c r="E2454" s="15">
        <v>11800</v>
      </c>
      <c r="F2454" s="9">
        <v>0.08</v>
      </c>
      <c r="G2454" s="9">
        <v>0.08</v>
      </c>
      <c r="H2454" s="15">
        <f t="shared" si="85"/>
        <v>23500</v>
      </c>
    </row>
    <row r="2455" spans="1:8" x14ac:dyDescent="0.3">
      <c r="A2455" s="13">
        <v>46015</v>
      </c>
      <c r="B2455" s="15" t="s">
        <v>21</v>
      </c>
      <c r="C2455" s="3">
        <v>5</v>
      </c>
      <c r="D2455" s="13">
        <f t="shared" si="84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85"/>
        <v>6000</v>
      </c>
    </row>
    <row r="2456" spans="1:8" x14ac:dyDescent="0.3">
      <c r="A2456" s="13">
        <v>46015</v>
      </c>
      <c r="B2456" s="15" t="s">
        <v>21</v>
      </c>
      <c r="C2456" s="3">
        <v>9</v>
      </c>
      <c r="D2456" s="13">
        <f t="shared" si="84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85"/>
        <v>6000</v>
      </c>
    </row>
    <row r="2457" spans="1:8" x14ac:dyDescent="0.3">
      <c r="A2457" s="13">
        <v>46017</v>
      </c>
      <c r="B2457" s="15" t="s">
        <v>21</v>
      </c>
      <c r="C2457" s="3">
        <v>4</v>
      </c>
      <c r="D2457" s="13">
        <f t="shared" si="84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85"/>
        <v>8300</v>
      </c>
    </row>
    <row r="2458" spans="1:8" x14ac:dyDescent="0.3">
      <c r="A2458" s="13">
        <v>46020</v>
      </c>
      <c r="B2458" s="15" t="s">
        <v>21</v>
      </c>
      <c r="C2458" s="3">
        <v>1</v>
      </c>
      <c r="D2458" s="13">
        <f t="shared" si="84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85"/>
        <v>12100</v>
      </c>
    </row>
    <row r="2459" spans="1:8" x14ac:dyDescent="0.3">
      <c r="A2459" s="13">
        <v>46020</v>
      </c>
      <c r="B2459" s="15" t="s">
        <v>21</v>
      </c>
      <c r="C2459" s="3">
        <v>4</v>
      </c>
      <c r="D2459" s="13">
        <f t="shared" si="84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85"/>
        <v>12100</v>
      </c>
    </row>
    <row r="2460" spans="1:8" x14ac:dyDescent="0.3">
      <c r="A2460" s="13">
        <v>46021</v>
      </c>
      <c r="B2460" s="15" t="s">
        <v>21</v>
      </c>
      <c r="C2460" s="3">
        <v>6</v>
      </c>
      <c r="D2460" s="13">
        <f t="shared" si="84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85"/>
        <v>14300</v>
      </c>
    </row>
    <row r="2461" spans="1:8" x14ac:dyDescent="0.3">
      <c r="A2461" s="13">
        <v>46024</v>
      </c>
      <c r="B2461" s="15" t="s">
        <v>21</v>
      </c>
      <c r="C2461" s="3">
        <v>3</v>
      </c>
      <c r="D2461" s="13">
        <f t="shared" si="84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si="85"/>
        <v>3850</v>
      </c>
    </row>
    <row r="2462" spans="1:8" x14ac:dyDescent="0.3">
      <c r="A2462" s="13">
        <v>46027</v>
      </c>
      <c r="B2462" s="15" t="s">
        <v>21</v>
      </c>
      <c r="C2462" s="3">
        <v>2</v>
      </c>
      <c r="D2462" s="13">
        <f t="shared" si="84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85"/>
        <v>11500</v>
      </c>
    </row>
    <row r="2463" spans="1:8" x14ac:dyDescent="0.3">
      <c r="A2463" s="13">
        <v>46027</v>
      </c>
      <c r="B2463" s="15" t="s">
        <v>21</v>
      </c>
      <c r="C2463" s="3">
        <v>3</v>
      </c>
      <c r="D2463" s="13">
        <f t="shared" si="84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85"/>
        <v>11500</v>
      </c>
    </row>
    <row r="2464" spans="1:8" x14ac:dyDescent="0.3">
      <c r="A2464" s="13">
        <v>46027</v>
      </c>
      <c r="B2464" s="15" t="s">
        <v>21</v>
      </c>
      <c r="C2464" s="3">
        <v>4</v>
      </c>
      <c r="D2464" s="13">
        <f t="shared" si="84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85"/>
        <v>11500</v>
      </c>
    </row>
    <row r="2465" spans="1:8" x14ac:dyDescent="0.3">
      <c r="A2465" s="13">
        <v>46027</v>
      </c>
      <c r="B2465" s="15" t="s">
        <v>21</v>
      </c>
      <c r="C2465" s="3">
        <v>7</v>
      </c>
      <c r="D2465" s="13">
        <f t="shared" si="84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85"/>
        <v>11500</v>
      </c>
    </row>
    <row r="2466" spans="1:8" x14ac:dyDescent="0.3">
      <c r="A2466" s="13">
        <v>46029</v>
      </c>
      <c r="B2466" s="15" t="s">
        <v>21</v>
      </c>
      <c r="C2466" s="3">
        <v>2</v>
      </c>
      <c r="D2466" s="13">
        <f t="shared" si="84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85"/>
        <v>18700</v>
      </c>
    </row>
    <row r="2467" spans="1:8" x14ac:dyDescent="0.3">
      <c r="A2467" s="13">
        <v>46029</v>
      </c>
      <c r="B2467" s="15" t="s">
        <v>21</v>
      </c>
      <c r="C2467" s="3">
        <v>5</v>
      </c>
      <c r="D2467" s="13">
        <f t="shared" si="84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85"/>
        <v>18700</v>
      </c>
    </row>
    <row r="2468" spans="1:8" x14ac:dyDescent="0.3">
      <c r="A2468" s="13">
        <v>46029</v>
      </c>
      <c r="B2468" s="15" t="s">
        <v>21</v>
      </c>
      <c r="C2468" s="3">
        <v>6</v>
      </c>
      <c r="D2468" s="13">
        <f t="shared" si="84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85"/>
        <v>18700</v>
      </c>
    </row>
    <row r="2469" spans="1:8" x14ac:dyDescent="0.3">
      <c r="A2469" s="13">
        <v>46030</v>
      </c>
      <c r="B2469" s="15" t="s">
        <v>21</v>
      </c>
      <c r="C2469" s="3">
        <v>4</v>
      </c>
      <c r="D2469" s="13">
        <f t="shared" si="84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85"/>
        <v>20900</v>
      </c>
    </row>
    <row r="2470" spans="1:8" x14ac:dyDescent="0.3">
      <c r="A2470" s="13">
        <v>46030</v>
      </c>
      <c r="B2470" s="15" t="s">
        <v>21</v>
      </c>
      <c r="C2470" s="3">
        <v>5</v>
      </c>
      <c r="D2470" s="13">
        <f t="shared" si="84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85"/>
        <v>20900</v>
      </c>
    </row>
    <row r="2471" spans="1:8" x14ac:dyDescent="0.3">
      <c r="A2471" s="13">
        <v>46030</v>
      </c>
      <c r="B2471" s="15" t="s">
        <v>21</v>
      </c>
      <c r="C2471" s="3">
        <v>6</v>
      </c>
      <c r="D2471" s="13">
        <f t="shared" si="84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85"/>
        <v>20900</v>
      </c>
    </row>
    <row r="2472" spans="1:8" x14ac:dyDescent="0.3">
      <c r="A2472" s="13">
        <v>46031</v>
      </c>
      <c r="B2472" s="15" t="s">
        <v>21</v>
      </c>
      <c r="C2472" s="3">
        <v>4</v>
      </c>
      <c r="D2472" s="13">
        <f t="shared" si="84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85"/>
        <v>21800</v>
      </c>
    </row>
    <row r="2473" spans="1:8" x14ac:dyDescent="0.3">
      <c r="A2473" s="13">
        <v>46031</v>
      </c>
      <c r="B2473" s="15" t="s">
        <v>21</v>
      </c>
      <c r="C2473" s="3">
        <v>5</v>
      </c>
      <c r="D2473" s="13">
        <f t="shared" si="84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85"/>
        <v>21800</v>
      </c>
    </row>
    <row r="2474" spans="1:8" x14ac:dyDescent="0.3">
      <c r="A2474" s="13">
        <v>46031</v>
      </c>
      <c r="B2474" s="15" t="s">
        <v>21</v>
      </c>
      <c r="C2474" s="3">
        <v>6</v>
      </c>
      <c r="D2474" s="13">
        <f t="shared" si="84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85"/>
        <v>21800</v>
      </c>
    </row>
    <row r="2475" spans="1:8" x14ac:dyDescent="0.3">
      <c r="A2475" s="13">
        <v>46034</v>
      </c>
      <c r="B2475" s="15" t="s">
        <v>21</v>
      </c>
      <c r="C2475" s="3">
        <v>1</v>
      </c>
      <c r="D2475" s="13">
        <f t="shared" si="84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85"/>
        <v>21400</v>
      </c>
    </row>
    <row r="2476" spans="1:8" x14ac:dyDescent="0.3">
      <c r="A2476" s="13">
        <v>46034</v>
      </c>
      <c r="B2476" s="15" t="s">
        <v>21</v>
      </c>
      <c r="C2476" s="3">
        <v>2</v>
      </c>
      <c r="D2476" s="13">
        <f t="shared" si="84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85"/>
        <v>21400</v>
      </c>
    </row>
    <row r="2477" spans="1:8" x14ac:dyDescent="0.3">
      <c r="A2477" s="13">
        <v>46034</v>
      </c>
      <c r="B2477" s="15" t="s">
        <v>21</v>
      </c>
      <c r="C2477" s="3">
        <v>3</v>
      </c>
      <c r="D2477" s="13">
        <f t="shared" si="84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85"/>
        <v>21400</v>
      </c>
    </row>
    <row r="2478" spans="1:8" x14ac:dyDescent="0.3">
      <c r="A2478" s="13">
        <v>46034</v>
      </c>
      <c r="B2478" s="15" t="s">
        <v>21</v>
      </c>
      <c r="C2478" s="3">
        <v>4</v>
      </c>
      <c r="D2478" s="13">
        <f t="shared" si="84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85"/>
        <v>21400</v>
      </c>
    </row>
    <row r="2479" spans="1:8" x14ac:dyDescent="0.3">
      <c r="A2479" s="13">
        <v>46035</v>
      </c>
      <c r="B2479" s="15" t="s">
        <v>21</v>
      </c>
      <c r="C2479" s="3">
        <v>2</v>
      </c>
      <c r="D2479" s="13">
        <f t="shared" si="84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85"/>
        <v>24400</v>
      </c>
    </row>
    <row r="2480" spans="1:8" x14ac:dyDescent="0.3">
      <c r="A2480" s="13">
        <v>46035</v>
      </c>
      <c r="B2480" s="15" t="s">
        <v>21</v>
      </c>
      <c r="C2480" s="3">
        <v>6</v>
      </c>
      <c r="D2480" s="13">
        <f t="shared" si="84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85"/>
        <v>24400</v>
      </c>
    </row>
    <row r="2481" spans="1:8" x14ac:dyDescent="0.3">
      <c r="A2481" s="13">
        <v>46035</v>
      </c>
      <c r="B2481" s="15" t="s">
        <v>21</v>
      </c>
      <c r="C2481" s="3">
        <v>7</v>
      </c>
      <c r="D2481" s="13">
        <f t="shared" si="84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85"/>
        <v>24400</v>
      </c>
    </row>
    <row r="2482" spans="1:8" x14ac:dyDescent="0.3">
      <c r="A2482" s="13">
        <v>46036</v>
      </c>
      <c r="B2482" s="15" t="s">
        <v>21</v>
      </c>
      <c r="C2482" s="3">
        <v>2</v>
      </c>
      <c r="D2482" s="13">
        <f t="shared" si="84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85"/>
        <v>20900</v>
      </c>
    </row>
    <row r="2483" spans="1:8" x14ac:dyDescent="0.3">
      <c r="A2483" s="13">
        <v>46036</v>
      </c>
      <c r="B2483" s="15" t="s">
        <v>21</v>
      </c>
      <c r="C2483" s="3">
        <v>5</v>
      </c>
      <c r="D2483" s="13">
        <f t="shared" si="84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85"/>
        <v>20900</v>
      </c>
    </row>
    <row r="2484" spans="1:8" x14ac:dyDescent="0.3">
      <c r="A2484" s="13">
        <v>46036</v>
      </c>
      <c r="B2484" s="15" t="s">
        <v>21</v>
      </c>
      <c r="C2484" s="3">
        <v>7</v>
      </c>
      <c r="D2484" s="13">
        <f t="shared" si="84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85"/>
        <v>20900</v>
      </c>
    </row>
    <row r="2485" spans="1:8" x14ac:dyDescent="0.3">
      <c r="A2485" s="13">
        <v>46037</v>
      </c>
      <c r="B2485" s="15" t="s">
        <v>21</v>
      </c>
      <c r="C2485" s="3">
        <v>1</v>
      </c>
      <c r="D2485" s="13">
        <f t="shared" si="84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85"/>
        <v>18300</v>
      </c>
    </row>
    <row r="2486" spans="1:8" x14ac:dyDescent="0.3">
      <c r="A2486" s="13">
        <v>46037</v>
      </c>
      <c r="B2486" s="15" t="s">
        <v>21</v>
      </c>
      <c r="C2486" s="3">
        <v>4</v>
      </c>
      <c r="D2486" s="13">
        <f t="shared" si="84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85"/>
        <v>18300</v>
      </c>
    </row>
    <row r="2487" spans="1:8" x14ac:dyDescent="0.3">
      <c r="A2487" s="13">
        <v>46037</v>
      </c>
      <c r="B2487" s="15" t="s">
        <v>21</v>
      </c>
      <c r="C2487" s="3">
        <v>5</v>
      </c>
      <c r="D2487" s="13">
        <f t="shared" si="84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85"/>
        <v>18300</v>
      </c>
    </row>
    <row r="2488" spans="1:8" x14ac:dyDescent="0.3">
      <c r="A2488" s="13">
        <v>46037</v>
      </c>
      <c r="B2488" s="15" t="s">
        <v>21</v>
      </c>
      <c r="C2488" s="3">
        <v>6</v>
      </c>
      <c r="D2488" s="13">
        <f t="shared" ref="D2488" si="86"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si="85"/>
        <v>18300</v>
      </c>
    </row>
    <row r="2489" spans="1:8" x14ac:dyDescent="0.3">
      <c r="A2489" s="13">
        <v>46037</v>
      </c>
      <c r="B2489" s="15" t="s">
        <v>21</v>
      </c>
      <c r="C2489" s="3">
        <v>7</v>
      </c>
      <c r="D2489" s="13">
        <f t="shared" ref="D2489:D2510" si="87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si="85"/>
        <v>18300</v>
      </c>
    </row>
    <row r="2490" spans="1:8" x14ac:dyDescent="0.3">
      <c r="A2490" s="13">
        <v>46038</v>
      </c>
      <c r="B2490" s="15" t="s">
        <v>21</v>
      </c>
      <c r="C2490" s="3">
        <v>3</v>
      </c>
      <c r="D2490" s="13">
        <f t="shared" si="87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85"/>
        <v>15400</v>
      </c>
    </row>
    <row r="2491" spans="1:8" x14ac:dyDescent="0.3">
      <c r="A2491" s="13">
        <v>46038</v>
      </c>
      <c r="B2491" s="15" t="s">
        <v>21</v>
      </c>
      <c r="C2491" s="3">
        <v>4</v>
      </c>
      <c r="D2491" s="13">
        <f t="shared" si="87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85"/>
        <v>15400</v>
      </c>
    </row>
    <row r="2492" spans="1:8" x14ac:dyDescent="0.3">
      <c r="A2492" s="13">
        <v>46041</v>
      </c>
      <c r="B2492" s="15" t="s">
        <v>21</v>
      </c>
      <c r="C2492" s="3">
        <v>1</v>
      </c>
      <c r="D2492" s="13">
        <f t="shared" si="87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85"/>
        <v>20800</v>
      </c>
    </row>
    <row r="2493" spans="1:8" x14ac:dyDescent="0.3">
      <c r="A2493" s="13">
        <v>46041</v>
      </c>
      <c r="B2493" s="15" t="s">
        <v>21</v>
      </c>
      <c r="C2493" s="3">
        <v>2</v>
      </c>
      <c r="D2493" s="13">
        <f t="shared" si="87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85"/>
        <v>20800</v>
      </c>
    </row>
    <row r="2494" spans="1:8" x14ac:dyDescent="0.3">
      <c r="A2494" s="13">
        <v>46042</v>
      </c>
      <c r="B2494" s="15" t="s">
        <v>21</v>
      </c>
      <c r="C2494" s="3">
        <v>2</v>
      </c>
      <c r="D2494" s="13">
        <f t="shared" si="87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85"/>
        <v>25100</v>
      </c>
    </row>
    <row r="2495" spans="1:8" x14ac:dyDescent="0.3">
      <c r="A2495" s="13">
        <v>46042</v>
      </c>
      <c r="B2495" s="15" t="s">
        <v>21</v>
      </c>
      <c r="C2495" s="3">
        <v>3</v>
      </c>
      <c r="D2495" s="13">
        <f t="shared" si="87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85"/>
        <v>25100</v>
      </c>
    </row>
    <row r="2496" spans="1:8" x14ac:dyDescent="0.3">
      <c r="A2496" s="13">
        <v>46042</v>
      </c>
      <c r="B2496" s="15" t="s">
        <v>21</v>
      </c>
      <c r="C2496" s="3">
        <v>6</v>
      </c>
      <c r="D2496" s="13">
        <f t="shared" si="87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85"/>
        <v>25100</v>
      </c>
    </row>
    <row r="2497" spans="1:8" x14ac:dyDescent="0.3">
      <c r="A2497" s="13">
        <v>46043</v>
      </c>
      <c r="B2497" s="15" t="s">
        <v>21</v>
      </c>
      <c r="C2497" s="3">
        <v>2</v>
      </c>
      <c r="D2497" s="13">
        <f t="shared" si="87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85"/>
        <v>25000</v>
      </c>
    </row>
    <row r="2498" spans="1:8" x14ac:dyDescent="0.3">
      <c r="A2498" s="13">
        <v>46043</v>
      </c>
      <c r="B2498" s="15" t="s">
        <v>21</v>
      </c>
      <c r="C2498" s="3">
        <v>5</v>
      </c>
      <c r="D2498" s="13">
        <f t="shared" si="87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85"/>
        <v>25000</v>
      </c>
    </row>
    <row r="2499" spans="1:8" x14ac:dyDescent="0.3">
      <c r="A2499" s="13">
        <v>46043</v>
      </c>
      <c r="B2499" s="15" t="s">
        <v>21</v>
      </c>
      <c r="C2499" s="3">
        <v>6</v>
      </c>
      <c r="D2499" s="13">
        <f t="shared" si="87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85"/>
        <v>25000</v>
      </c>
    </row>
    <row r="2500" spans="1:8" x14ac:dyDescent="0.3">
      <c r="A2500" s="13">
        <v>46044</v>
      </c>
      <c r="B2500" s="15" t="s">
        <v>21</v>
      </c>
      <c r="C2500" s="3">
        <v>4</v>
      </c>
      <c r="D2500" s="13">
        <f t="shared" si="87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85"/>
        <v>31000</v>
      </c>
    </row>
    <row r="2501" spans="1:8" x14ac:dyDescent="0.3">
      <c r="A2501" s="13">
        <v>46044</v>
      </c>
      <c r="B2501" s="15" t="s">
        <v>21</v>
      </c>
      <c r="C2501" s="3">
        <v>5</v>
      </c>
      <c r="D2501" s="13">
        <f t="shared" si="87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85"/>
        <v>31000</v>
      </c>
    </row>
    <row r="2502" spans="1:8" x14ac:dyDescent="0.3">
      <c r="A2502" s="13">
        <v>46044</v>
      </c>
      <c r="B2502" s="15" t="s">
        <v>21</v>
      </c>
      <c r="C2502" s="3">
        <v>6</v>
      </c>
      <c r="D2502" s="13">
        <f t="shared" si="87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85"/>
        <v>31000</v>
      </c>
    </row>
    <row r="2503" spans="1:8" x14ac:dyDescent="0.3">
      <c r="A2503" s="13">
        <v>46045</v>
      </c>
      <c r="B2503" s="15" t="s">
        <v>21</v>
      </c>
      <c r="C2503" s="3">
        <v>3</v>
      </c>
      <c r="D2503" s="13">
        <f t="shared" si="87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85"/>
        <v>34500</v>
      </c>
    </row>
    <row r="2504" spans="1:8" x14ac:dyDescent="0.3">
      <c r="A2504" s="13">
        <v>46045</v>
      </c>
      <c r="B2504" s="15" t="s">
        <v>21</v>
      </c>
      <c r="C2504" s="3">
        <v>4</v>
      </c>
      <c r="D2504" s="13">
        <f t="shared" si="87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85"/>
        <v>34500</v>
      </c>
    </row>
    <row r="2505" spans="1:8" x14ac:dyDescent="0.3">
      <c r="A2505" s="13">
        <v>46048</v>
      </c>
      <c r="B2505" s="15" t="s">
        <v>21</v>
      </c>
      <c r="C2505" s="3">
        <v>1</v>
      </c>
      <c r="D2505" s="13">
        <f t="shared" si="87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85"/>
        <v>20500</v>
      </c>
    </row>
    <row r="2506" spans="1:8" x14ac:dyDescent="0.3">
      <c r="A2506" s="13">
        <v>46048</v>
      </c>
      <c r="B2506" s="15" t="s">
        <v>21</v>
      </c>
      <c r="C2506" s="3">
        <v>2</v>
      </c>
      <c r="D2506" s="13">
        <f t="shared" si="87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ref="H2506:H2569" si="88">+SUMIFS($E$10:$E$4506,$A$10:$A$4506,"&lt;="&amp;A2506,$D$10:$D$4506,"&gt;"&amp;A2506)</f>
        <v>20500</v>
      </c>
    </row>
    <row r="2507" spans="1:8" x14ac:dyDescent="0.3">
      <c r="A2507" s="13">
        <v>46049</v>
      </c>
      <c r="B2507" s="15" t="s">
        <v>21</v>
      </c>
      <c r="C2507" s="3">
        <v>1</v>
      </c>
      <c r="D2507" s="13">
        <f t="shared" si="87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88"/>
        <v>20500</v>
      </c>
    </row>
    <row r="2508" spans="1:8" x14ac:dyDescent="0.3">
      <c r="A2508" s="13">
        <v>46049</v>
      </c>
      <c r="B2508" s="15" t="s">
        <v>21</v>
      </c>
      <c r="C2508" s="3">
        <v>2</v>
      </c>
      <c r="D2508" s="13">
        <f t="shared" si="87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88"/>
        <v>20500</v>
      </c>
    </row>
    <row r="2509" spans="1:8" x14ac:dyDescent="0.3">
      <c r="A2509" s="13">
        <v>46049</v>
      </c>
      <c r="B2509" s="15" t="s">
        <v>21</v>
      </c>
      <c r="C2509" s="3">
        <v>3</v>
      </c>
      <c r="D2509" s="13">
        <f t="shared" si="87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88"/>
        <v>20500</v>
      </c>
    </row>
    <row r="2510" spans="1:8" x14ac:dyDescent="0.3">
      <c r="A2510" s="13">
        <v>46051</v>
      </c>
      <c r="B2510" s="15" t="s">
        <v>21</v>
      </c>
      <c r="C2510" s="3">
        <v>4</v>
      </c>
      <c r="D2510" s="13">
        <f t="shared" si="87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88"/>
        <v>1300</v>
      </c>
    </row>
    <row r="2511" spans="1:8" x14ac:dyDescent="0.3">
      <c r="A2511" s="13">
        <v>46051</v>
      </c>
      <c r="B2511" s="15" t="s">
        <v>21</v>
      </c>
      <c r="C2511" s="3">
        <v>5</v>
      </c>
      <c r="D2511" s="13">
        <f t="shared" ref="D2511:D2625" si="89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si="88"/>
        <v>1300</v>
      </c>
    </row>
    <row r="2512" spans="1:8" x14ac:dyDescent="0.3">
      <c r="A2512" s="13">
        <v>46055</v>
      </c>
      <c r="B2512" s="15" t="s">
        <v>21</v>
      </c>
      <c r="C2512" s="3">
        <v>3</v>
      </c>
      <c r="D2512" s="13">
        <f t="shared" si="89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88"/>
        <v>100</v>
      </c>
    </row>
    <row r="2513" spans="1:8" x14ac:dyDescent="0.3">
      <c r="A2513" s="13">
        <v>46059</v>
      </c>
      <c r="B2513" s="15" t="s">
        <v>21</v>
      </c>
      <c r="C2513" s="3">
        <v>4</v>
      </c>
      <c r="D2513" s="13">
        <f t="shared" si="89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88"/>
        <v>4700</v>
      </c>
    </row>
    <row r="2514" spans="1:8" x14ac:dyDescent="0.3">
      <c r="A2514" s="13">
        <v>46059</v>
      </c>
      <c r="B2514" s="15" t="s">
        <v>21</v>
      </c>
      <c r="C2514" s="3">
        <v>5</v>
      </c>
      <c r="D2514" s="13">
        <f t="shared" si="89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88"/>
        <v>4700</v>
      </c>
    </row>
    <row r="2515" spans="1:8" x14ac:dyDescent="0.3">
      <c r="A2515" s="13">
        <v>46059</v>
      </c>
      <c r="B2515" s="15" t="s">
        <v>21</v>
      </c>
      <c r="C2515" s="3">
        <v>6</v>
      </c>
      <c r="D2515" s="13">
        <f t="shared" si="89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88"/>
        <v>4700</v>
      </c>
    </row>
    <row r="2516" spans="1:8" x14ac:dyDescent="0.3">
      <c r="A2516" s="13">
        <v>46062</v>
      </c>
      <c r="B2516" s="15" t="s">
        <v>21</v>
      </c>
      <c r="C2516" s="3">
        <v>4</v>
      </c>
      <c r="D2516" s="13">
        <f t="shared" si="89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88"/>
        <v>6200</v>
      </c>
    </row>
    <row r="2517" spans="1:8" x14ac:dyDescent="0.3">
      <c r="A2517" s="13">
        <v>46062</v>
      </c>
      <c r="B2517" s="15" t="s">
        <v>21</v>
      </c>
      <c r="C2517" s="3">
        <v>9</v>
      </c>
      <c r="D2517" s="13">
        <f t="shared" si="89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88"/>
        <v>6200</v>
      </c>
    </row>
    <row r="2518" spans="1:8" x14ac:dyDescent="0.3">
      <c r="A2518" s="13">
        <v>46063</v>
      </c>
      <c r="B2518" s="15" t="s">
        <v>21</v>
      </c>
      <c r="C2518" s="3">
        <v>8</v>
      </c>
      <c r="D2518" s="13">
        <f t="shared" si="89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88"/>
        <v>9600</v>
      </c>
    </row>
    <row r="2519" spans="1:8" x14ac:dyDescent="0.3">
      <c r="A2519" s="13">
        <v>46063</v>
      </c>
      <c r="B2519" s="15" t="s">
        <v>21</v>
      </c>
      <c r="C2519" s="3">
        <v>9</v>
      </c>
      <c r="D2519" s="13">
        <f t="shared" si="89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88"/>
        <v>9600</v>
      </c>
    </row>
    <row r="2520" spans="1:8" x14ac:dyDescent="0.3">
      <c r="A2520" s="13">
        <v>46064</v>
      </c>
      <c r="B2520" s="15" t="s">
        <v>21</v>
      </c>
      <c r="C2520" s="3">
        <v>2</v>
      </c>
      <c r="D2520" s="13">
        <f t="shared" si="89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88"/>
        <v>19000</v>
      </c>
    </row>
    <row r="2521" spans="1:8" x14ac:dyDescent="0.3">
      <c r="A2521" s="13">
        <v>46064</v>
      </c>
      <c r="B2521" s="15" t="s">
        <v>21</v>
      </c>
      <c r="C2521" s="3">
        <v>7</v>
      </c>
      <c r="D2521" s="13">
        <f t="shared" si="89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88"/>
        <v>19000</v>
      </c>
    </row>
    <row r="2522" spans="1:8" x14ac:dyDescent="0.3">
      <c r="A2522" s="13">
        <v>46064</v>
      </c>
      <c r="B2522" s="15" t="s">
        <v>21</v>
      </c>
      <c r="C2522" s="3">
        <v>8</v>
      </c>
      <c r="D2522" s="13">
        <f t="shared" si="89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88"/>
        <v>19000</v>
      </c>
    </row>
    <row r="2523" spans="1:8" x14ac:dyDescent="0.3">
      <c r="A2523" s="13">
        <v>46064</v>
      </c>
      <c r="B2523" s="15" t="s">
        <v>21</v>
      </c>
      <c r="C2523" s="3">
        <v>9</v>
      </c>
      <c r="D2523" s="13">
        <f t="shared" si="89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88"/>
        <v>19000</v>
      </c>
    </row>
    <row r="2524" spans="1:8" x14ac:dyDescent="0.3">
      <c r="A2524" s="13">
        <v>46064</v>
      </c>
      <c r="B2524" s="15" t="s">
        <v>21</v>
      </c>
      <c r="C2524" s="3">
        <v>12</v>
      </c>
      <c r="D2524" s="13">
        <f t="shared" si="89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88"/>
        <v>19000</v>
      </c>
    </row>
    <row r="2525" spans="1:8" x14ac:dyDescent="0.3">
      <c r="A2525" s="13">
        <v>46065</v>
      </c>
      <c r="B2525" s="15" t="s">
        <v>21</v>
      </c>
      <c r="C2525" s="3">
        <v>6</v>
      </c>
      <c r="D2525" s="13">
        <f t="shared" si="89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88"/>
        <v>23700</v>
      </c>
    </row>
    <row r="2526" spans="1:8" x14ac:dyDescent="0.3">
      <c r="A2526" s="13">
        <v>46065</v>
      </c>
      <c r="B2526" s="15" t="s">
        <v>21</v>
      </c>
      <c r="C2526" s="3">
        <v>7</v>
      </c>
      <c r="D2526" s="13">
        <f t="shared" si="89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88"/>
        <v>23700</v>
      </c>
    </row>
    <row r="2527" spans="1:8" x14ac:dyDescent="0.3">
      <c r="A2527" s="13">
        <v>46065</v>
      </c>
      <c r="B2527" s="15" t="s">
        <v>21</v>
      </c>
      <c r="C2527" s="3">
        <v>8</v>
      </c>
      <c r="D2527" s="13">
        <f t="shared" si="89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88"/>
        <v>23700</v>
      </c>
    </row>
    <row r="2528" spans="1:8" x14ac:dyDescent="0.3">
      <c r="A2528" s="13">
        <v>46065</v>
      </c>
      <c r="B2528" s="15" t="s">
        <v>21</v>
      </c>
      <c r="C2528" s="3">
        <v>11</v>
      </c>
      <c r="D2528" s="13">
        <f t="shared" si="89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88"/>
        <v>23700</v>
      </c>
    </row>
    <row r="2529" spans="1:8" x14ac:dyDescent="0.3">
      <c r="A2529" s="13">
        <v>46066</v>
      </c>
      <c r="B2529" s="15" t="s">
        <v>21</v>
      </c>
      <c r="C2529" s="3">
        <v>5</v>
      </c>
      <c r="D2529" s="13">
        <f t="shared" si="89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88"/>
        <v>28800</v>
      </c>
    </row>
    <row r="2530" spans="1:8" x14ac:dyDescent="0.3">
      <c r="A2530" s="13">
        <v>46066</v>
      </c>
      <c r="B2530" s="15" t="s">
        <v>21</v>
      </c>
      <c r="C2530" s="3">
        <v>7</v>
      </c>
      <c r="D2530" s="13">
        <f t="shared" si="89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88"/>
        <v>28800</v>
      </c>
    </row>
    <row r="2531" spans="1:8" x14ac:dyDescent="0.3">
      <c r="A2531" s="13">
        <v>46066</v>
      </c>
      <c r="B2531" s="15" t="s">
        <v>21</v>
      </c>
      <c r="C2531" s="3">
        <v>10</v>
      </c>
      <c r="D2531" s="13">
        <f t="shared" si="89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88"/>
        <v>28800</v>
      </c>
    </row>
    <row r="2532" spans="1:8" x14ac:dyDescent="0.3">
      <c r="A2532" s="13">
        <v>46066</v>
      </c>
      <c r="B2532" s="15" t="s">
        <v>21</v>
      </c>
      <c r="C2532" s="3">
        <v>11</v>
      </c>
      <c r="D2532" s="13">
        <f t="shared" si="89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88"/>
        <v>28800</v>
      </c>
    </row>
    <row r="2533" spans="1:8" x14ac:dyDescent="0.3">
      <c r="A2533" s="13">
        <v>46066</v>
      </c>
      <c r="B2533" s="15" t="s">
        <v>21</v>
      </c>
      <c r="C2533" s="3">
        <v>12</v>
      </c>
      <c r="D2533" s="13">
        <f t="shared" si="89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88"/>
        <v>28800</v>
      </c>
    </row>
    <row r="2534" spans="1:8" x14ac:dyDescent="0.3">
      <c r="A2534" s="13">
        <v>46066</v>
      </c>
      <c r="B2534" s="15" t="s">
        <v>21</v>
      </c>
      <c r="C2534" s="3">
        <v>13</v>
      </c>
      <c r="D2534" s="13">
        <f t="shared" si="89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88"/>
        <v>28800</v>
      </c>
    </row>
    <row r="2535" spans="1:8" x14ac:dyDescent="0.3">
      <c r="A2535" s="13">
        <v>46066</v>
      </c>
      <c r="B2535" s="15" t="s">
        <v>21</v>
      </c>
      <c r="C2535" s="3">
        <v>14</v>
      </c>
      <c r="D2535" s="13">
        <f t="shared" si="89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88"/>
        <v>28800</v>
      </c>
    </row>
    <row r="2536" spans="1:8" x14ac:dyDescent="0.3">
      <c r="A2536" s="13">
        <v>46071</v>
      </c>
      <c r="B2536" s="15" t="s">
        <v>21</v>
      </c>
      <c r="C2536" s="3">
        <v>2</v>
      </c>
      <c r="D2536" s="13">
        <f t="shared" si="89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88"/>
        <v>29500</v>
      </c>
    </row>
    <row r="2537" spans="1:8" x14ac:dyDescent="0.3">
      <c r="A2537" s="13">
        <v>46071</v>
      </c>
      <c r="B2537" s="15" t="s">
        <v>21</v>
      </c>
      <c r="C2537" s="3">
        <v>6</v>
      </c>
      <c r="D2537" s="13">
        <f t="shared" si="89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88"/>
        <v>29500</v>
      </c>
    </row>
    <row r="2538" spans="1:8" x14ac:dyDescent="0.3">
      <c r="A2538" s="13">
        <v>46071</v>
      </c>
      <c r="B2538" s="15" t="s">
        <v>21</v>
      </c>
      <c r="C2538" s="3">
        <v>7</v>
      </c>
      <c r="D2538" s="13">
        <f t="shared" si="89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88"/>
        <v>29500</v>
      </c>
    </row>
    <row r="2539" spans="1:8" x14ac:dyDescent="0.3">
      <c r="A2539" s="13">
        <v>46072</v>
      </c>
      <c r="B2539" s="15" t="s">
        <v>21</v>
      </c>
      <c r="C2539" s="3">
        <v>4</v>
      </c>
      <c r="D2539" s="13">
        <f t="shared" si="89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88"/>
        <v>26400</v>
      </c>
    </row>
    <row r="2540" spans="1:8" x14ac:dyDescent="0.3">
      <c r="A2540" s="13">
        <v>46072</v>
      </c>
      <c r="B2540" s="15" t="s">
        <v>21</v>
      </c>
      <c r="C2540" s="3">
        <v>5</v>
      </c>
      <c r="D2540" s="13">
        <f t="shared" si="89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88"/>
        <v>26400</v>
      </c>
    </row>
    <row r="2541" spans="1:8" x14ac:dyDescent="0.3">
      <c r="A2541" s="13">
        <v>46072</v>
      </c>
      <c r="B2541" s="15" t="s">
        <v>21</v>
      </c>
      <c r="C2541" s="3">
        <v>6</v>
      </c>
      <c r="D2541" s="13">
        <f t="shared" si="89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88"/>
        <v>26400</v>
      </c>
    </row>
    <row r="2542" spans="1:8" x14ac:dyDescent="0.3">
      <c r="A2542" s="13">
        <v>46072</v>
      </c>
      <c r="B2542" s="15" t="s">
        <v>21</v>
      </c>
      <c r="C2542" s="3">
        <v>7</v>
      </c>
      <c r="D2542" s="13">
        <f t="shared" si="89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88"/>
        <v>26400</v>
      </c>
    </row>
    <row r="2543" spans="1:8" x14ac:dyDescent="0.3">
      <c r="A2543" s="13">
        <v>46073</v>
      </c>
      <c r="B2543" s="15" t="s">
        <v>21</v>
      </c>
      <c r="C2543" s="3">
        <v>4</v>
      </c>
      <c r="D2543" s="13">
        <f t="shared" si="89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88"/>
        <v>26100</v>
      </c>
    </row>
    <row r="2544" spans="1:8" x14ac:dyDescent="0.3">
      <c r="A2544" s="13">
        <v>46073</v>
      </c>
      <c r="B2544" s="15" t="s">
        <v>21</v>
      </c>
      <c r="C2544" s="3">
        <v>5</v>
      </c>
      <c r="D2544" s="13">
        <f t="shared" si="89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88"/>
        <v>26100</v>
      </c>
    </row>
    <row r="2545" spans="1:8" x14ac:dyDescent="0.3">
      <c r="A2545" s="13">
        <v>46073</v>
      </c>
      <c r="B2545" s="15" t="s">
        <v>21</v>
      </c>
      <c r="C2545" s="3">
        <v>6</v>
      </c>
      <c r="D2545" s="13">
        <f t="shared" si="89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88"/>
        <v>26100</v>
      </c>
    </row>
    <row r="2546" spans="1:8" x14ac:dyDescent="0.3">
      <c r="A2546" s="13">
        <v>46076</v>
      </c>
      <c r="B2546" s="15" t="s">
        <v>21</v>
      </c>
      <c r="C2546" s="3">
        <v>2</v>
      </c>
      <c r="D2546" s="13">
        <f t="shared" si="89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88"/>
        <v>26700</v>
      </c>
    </row>
    <row r="2547" spans="1:8" x14ac:dyDescent="0.3">
      <c r="A2547" s="13">
        <v>46076</v>
      </c>
      <c r="B2547" s="15" t="s">
        <v>21</v>
      </c>
      <c r="C2547" s="3">
        <v>3</v>
      </c>
      <c r="D2547" s="13">
        <f t="shared" si="89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88"/>
        <v>26700</v>
      </c>
    </row>
    <row r="2548" spans="1:8" x14ac:dyDescent="0.3">
      <c r="A2548" s="13">
        <v>46076</v>
      </c>
      <c r="B2548" s="15" t="s">
        <v>21</v>
      </c>
      <c r="C2548" s="3">
        <v>4</v>
      </c>
      <c r="D2548" s="13">
        <f t="shared" si="89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88"/>
        <v>26700</v>
      </c>
    </row>
    <row r="2549" spans="1:8" x14ac:dyDescent="0.3">
      <c r="A2549" s="13">
        <v>46077</v>
      </c>
      <c r="B2549" s="15" t="s">
        <v>21</v>
      </c>
      <c r="C2549" s="3">
        <v>2</v>
      </c>
      <c r="D2549" s="13">
        <f t="shared" si="89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88"/>
        <v>26500</v>
      </c>
    </row>
    <row r="2550" spans="1:8" x14ac:dyDescent="0.3">
      <c r="A2550" s="13">
        <v>46077</v>
      </c>
      <c r="B2550" s="15" t="s">
        <v>21</v>
      </c>
      <c r="C2550" s="3">
        <v>3</v>
      </c>
      <c r="D2550" s="13">
        <f t="shared" si="89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88"/>
        <v>26500</v>
      </c>
    </row>
    <row r="2551" spans="1:8" x14ac:dyDescent="0.3">
      <c r="A2551" s="13">
        <v>46077</v>
      </c>
      <c r="B2551" s="15" t="s">
        <v>21</v>
      </c>
      <c r="C2551" s="3">
        <v>10</v>
      </c>
      <c r="D2551" s="13">
        <f t="shared" si="89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88"/>
        <v>26500</v>
      </c>
    </row>
    <row r="2552" spans="1:8" x14ac:dyDescent="0.3">
      <c r="A2552" s="13">
        <v>46078</v>
      </c>
      <c r="B2552" s="15" t="s">
        <v>21</v>
      </c>
      <c r="C2552" s="3">
        <v>2</v>
      </c>
      <c r="D2552" s="13">
        <f t="shared" si="89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88"/>
        <v>26500</v>
      </c>
    </row>
    <row r="2553" spans="1:8" x14ac:dyDescent="0.3">
      <c r="A2553" s="13">
        <v>46078</v>
      </c>
      <c r="B2553" s="15" t="s">
        <v>21</v>
      </c>
      <c r="C2553" s="3">
        <v>5</v>
      </c>
      <c r="D2553" s="13">
        <f t="shared" si="89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88"/>
        <v>26500</v>
      </c>
    </row>
    <row r="2554" spans="1:8" x14ac:dyDescent="0.3">
      <c r="A2554" s="13">
        <v>46078</v>
      </c>
      <c r="B2554" s="15" t="s">
        <v>21</v>
      </c>
      <c r="C2554" s="3">
        <v>6</v>
      </c>
      <c r="D2554" s="13">
        <f t="shared" si="89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88"/>
        <v>26500</v>
      </c>
    </row>
    <row r="2555" spans="1:8" x14ac:dyDescent="0.3">
      <c r="A2555" s="13">
        <v>46078</v>
      </c>
      <c r="B2555" s="15" t="s">
        <v>21</v>
      </c>
      <c r="C2555" s="3">
        <v>7</v>
      </c>
      <c r="D2555" s="13">
        <f t="shared" si="89"/>
        <v>46085</v>
      </c>
      <c r="E2555" s="15">
        <v>4500</v>
      </c>
      <c r="F2555" s="9">
        <v>6.5000000000000002E-2</v>
      </c>
      <c r="G2555" s="9">
        <v>6.5000000000000002E-2</v>
      </c>
      <c r="H2555" s="15">
        <f t="shared" si="88"/>
        <v>26500</v>
      </c>
    </row>
    <row r="2556" spans="1:8" x14ac:dyDescent="0.3">
      <c r="A2556" s="13">
        <v>46079</v>
      </c>
      <c r="B2556" s="15" t="s">
        <v>21</v>
      </c>
      <c r="C2556" s="3">
        <v>4</v>
      </c>
      <c r="D2556" s="13">
        <f t="shared" si="89"/>
        <v>46083</v>
      </c>
      <c r="E2556" s="15">
        <v>3000</v>
      </c>
      <c r="F2556" s="9">
        <v>6.5000000000000002E-2</v>
      </c>
      <c r="G2556" s="9">
        <v>6.5000000000000002E-2</v>
      </c>
      <c r="H2556" s="15">
        <f t="shared" si="88"/>
        <v>23600</v>
      </c>
    </row>
    <row r="2557" spans="1:8" x14ac:dyDescent="0.3">
      <c r="A2557" s="13">
        <v>46079</v>
      </c>
      <c r="B2557" s="15" t="s">
        <v>21</v>
      </c>
      <c r="C2557" s="3">
        <v>5</v>
      </c>
      <c r="D2557" s="13">
        <f t="shared" si="89"/>
        <v>46084</v>
      </c>
      <c r="E2557" s="15">
        <v>500</v>
      </c>
      <c r="F2557" s="9">
        <v>6.5000000000000002E-2</v>
      </c>
      <c r="G2557" s="9">
        <v>6.5000000000000002E-2</v>
      </c>
      <c r="H2557" s="15">
        <f t="shared" si="88"/>
        <v>23600</v>
      </c>
    </row>
    <row r="2558" spans="1:8" x14ac:dyDescent="0.3">
      <c r="A2558" s="13">
        <v>46080</v>
      </c>
      <c r="B2558" s="15" t="s">
        <v>21</v>
      </c>
      <c r="C2558" s="3">
        <v>4</v>
      </c>
      <c r="D2558" s="13">
        <f t="shared" si="89"/>
        <v>46084</v>
      </c>
      <c r="E2558" s="15">
        <v>3500</v>
      </c>
      <c r="F2558" s="9">
        <v>6.5000000000000002E-2</v>
      </c>
      <c r="G2558" s="9">
        <v>6.5000000000000002E-2</v>
      </c>
      <c r="H2558" s="15">
        <f t="shared" si="88"/>
        <v>22500</v>
      </c>
    </row>
    <row r="2559" spans="1:8" x14ac:dyDescent="0.3">
      <c r="A2559" s="13">
        <v>46080</v>
      </c>
      <c r="B2559" s="15" t="s">
        <v>21</v>
      </c>
      <c r="C2559" s="3">
        <v>5</v>
      </c>
      <c r="D2559" s="13">
        <f t="shared" si="89"/>
        <v>46085</v>
      </c>
      <c r="E2559" s="15">
        <v>4000</v>
      </c>
      <c r="F2559" s="9">
        <v>6.5000000000000002E-2</v>
      </c>
      <c r="G2559" s="9">
        <v>6.5000000000000002E-2</v>
      </c>
      <c r="H2559" s="15">
        <f t="shared" si="88"/>
        <v>22500</v>
      </c>
    </row>
    <row r="2560" spans="1:8" x14ac:dyDescent="0.3">
      <c r="A2560" s="13">
        <v>46085</v>
      </c>
      <c r="B2560" s="15" t="s">
        <v>21</v>
      </c>
      <c r="C2560" s="3">
        <v>5</v>
      </c>
      <c r="D2560" s="13">
        <f t="shared" si="89"/>
        <v>46090</v>
      </c>
      <c r="E2560" s="15">
        <v>3000</v>
      </c>
      <c r="F2560" s="9">
        <v>5.7500000000000002E-2</v>
      </c>
      <c r="G2560" s="9">
        <v>5.7500000000000002E-2</v>
      </c>
      <c r="H2560" s="15">
        <f t="shared" si="88"/>
        <v>10000</v>
      </c>
    </row>
    <row r="2561" spans="1:8" x14ac:dyDescent="0.3">
      <c r="A2561" s="13">
        <v>46085</v>
      </c>
      <c r="B2561" s="15" t="s">
        <v>21</v>
      </c>
      <c r="C2561" s="3">
        <v>6</v>
      </c>
      <c r="D2561" s="13">
        <f t="shared" si="89"/>
        <v>46091</v>
      </c>
      <c r="E2561" s="15">
        <v>3000</v>
      </c>
      <c r="F2561" s="9">
        <v>5.7500000000000002E-2</v>
      </c>
      <c r="G2561" s="9">
        <v>5.7500000000000002E-2</v>
      </c>
      <c r="H2561" s="15">
        <f t="shared" si="88"/>
        <v>10000</v>
      </c>
    </row>
    <row r="2562" spans="1:8" x14ac:dyDescent="0.3">
      <c r="A2562" s="13">
        <v>46085</v>
      </c>
      <c r="B2562" s="15" t="s">
        <v>21</v>
      </c>
      <c r="C2562" s="3">
        <v>7</v>
      </c>
      <c r="D2562" s="13">
        <f t="shared" si="89"/>
        <v>46092</v>
      </c>
      <c r="E2562" s="15">
        <v>2500</v>
      </c>
      <c r="F2562" s="9">
        <v>5.7500000000000002E-2</v>
      </c>
      <c r="G2562" s="9">
        <v>5.7500000000000002E-2</v>
      </c>
      <c r="H2562" s="15">
        <f t="shared" si="88"/>
        <v>10000</v>
      </c>
    </row>
    <row r="2563" spans="1:8" x14ac:dyDescent="0.3">
      <c r="A2563" s="13">
        <v>46085</v>
      </c>
      <c r="B2563" s="15" t="s">
        <v>21</v>
      </c>
      <c r="C2563" s="3">
        <v>8</v>
      </c>
      <c r="D2563" s="13">
        <f t="shared" si="89"/>
        <v>46093</v>
      </c>
      <c r="E2563" s="15">
        <v>1000</v>
      </c>
      <c r="F2563" s="9">
        <v>5.7500000000000002E-2</v>
      </c>
      <c r="G2563" s="9">
        <v>5.7500000000000002E-2</v>
      </c>
      <c r="H2563" s="15">
        <f t="shared" si="88"/>
        <v>10000</v>
      </c>
    </row>
    <row r="2564" spans="1:8" x14ac:dyDescent="0.3">
      <c r="A2564" s="13">
        <v>46090</v>
      </c>
      <c r="B2564" s="15" t="s">
        <v>21</v>
      </c>
      <c r="C2564" s="3">
        <v>2</v>
      </c>
      <c r="D2564" s="13">
        <f t="shared" si="89"/>
        <v>46092</v>
      </c>
      <c r="E2564" s="15">
        <v>4300</v>
      </c>
      <c r="F2564" s="9">
        <v>5.7500000000000002E-2</v>
      </c>
      <c r="G2564" s="9">
        <v>5.7500000000000002E-2</v>
      </c>
      <c r="H2564" s="15">
        <f t="shared" si="88"/>
        <v>14300</v>
      </c>
    </row>
    <row r="2565" spans="1:8" x14ac:dyDescent="0.3">
      <c r="A2565" s="13">
        <v>46090</v>
      </c>
      <c r="B2565" s="15" t="s">
        <v>21</v>
      </c>
      <c r="C2565" s="3">
        <v>3</v>
      </c>
      <c r="D2565" s="13">
        <f t="shared" si="89"/>
        <v>46093</v>
      </c>
      <c r="E2565" s="15">
        <v>2500</v>
      </c>
      <c r="F2565" s="9">
        <v>5.7500000000000002E-2</v>
      </c>
      <c r="G2565" s="9">
        <v>5.7500000000000002E-2</v>
      </c>
      <c r="H2565" s="15">
        <f t="shared" si="88"/>
        <v>14300</v>
      </c>
    </row>
    <row r="2566" spans="1:8" x14ac:dyDescent="0.3">
      <c r="A2566" s="13">
        <v>46090</v>
      </c>
      <c r="B2566" s="15" t="s">
        <v>21</v>
      </c>
      <c r="C2566" s="3">
        <v>4</v>
      </c>
      <c r="D2566" s="13">
        <f t="shared" si="89"/>
        <v>46094</v>
      </c>
      <c r="E2566" s="15">
        <v>1000</v>
      </c>
      <c r="F2566" s="9">
        <v>5.7500000000000002E-2</v>
      </c>
      <c r="G2566" s="9">
        <v>5.7500000000000002E-2</v>
      </c>
      <c r="H2566" s="15">
        <f t="shared" si="88"/>
        <v>14300</v>
      </c>
    </row>
    <row r="2567" spans="1:8" x14ac:dyDescent="0.3">
      <c r="A2567" s="13">
        <v>46091</v>
      </c>
      <c r="B2567" s="15" t="s">
        <v>21</v>
      </c>
      <c r="C2567" s="3">
        <v>2</v>
      </c>
      <c r="D2567" s="13">
        <f t="shared" si="89"/>
        <v>46093</v>
      </c>
      <c r="E2567" s="15">
        <v>2000</v>
      </c>
      <c r="F2567" s="9">
        <v>5.7500000000000002E-2</v>
      </c>
      <c r="G2567" s="9">
        <v>5.7500000000000002E-2</v>
      </c>
      <c r="H2567" s="15">
        <f t="shared" si="88"/>
        <v>22300</v>
      </c>
    </row>
    <row r="2568" spans="1:8" x14ac:dyDescent="0.3">
      <c r="A2568" s="13">
        <v>46091</v>
      </c>
      <c r="B2568" s="15" t="s">
        <v>21</v>
      </c>
      <c r="C2568" s="3">
        <v>3</v>
      </c>
      <c r="D2568" s="13">
        <f t="shared" si="89"/>
        <v>46094</v>
      </c>
      <c r="E2568" s="15">
        <v>8500</v>
      </c>
      <c r="F2568" s="9">
        <v>5.7500000000000002E-2</v>
      </c>
      <c r="G2568" s="9">
        <v>5.7500000000000002E-2</v>
      </c>
      <c r="H2568" s="15">
        <f t="shared" si="88"/>
        <v>22300</v>
      </c>
    </row>
    <row r="2569" spans="1:8" x14ac:dyDescent="0.3">
      <c r="A2569" s="13">
        <v>46091</v>
      </c>
      <c r="B2569" s="15" t="s">
        <v>21</v>
      </c>
      <c r="C2569" s="3">
        <v>6</v>
      </c>
      <c r="D2569" s="13">
        <f t="shared" si="89"/>
        <v>46097</v>
      </c>
      <c r="E2569" s="15">
        <v>500</v>
      </c>
      <c r="F2569" s="9">
        <v>5.7500000000000002E-2</v>
      </c>
      <c r="G2569" s="9">
        <v>5.7500000000000002E-2</v>
      </c>
      <c r="H2569" s="15">
        <f t="shared" si="88"/>
        <v>22300</v>
      </c>
    </row>
    <row r="2570" spans="1:8" x14ac:dyDescent="0.3">
      <c r="A2570" s="13">
        <v>46092</v>
      </c>
      <c r="B2570" s="15" t="s">
        <v>21</v>
      </c>
      <c r="C2570" s="3">
        <v>2</v>
      </c>
      <c r="D2570" s="13">
        <f t="shared" si="89"/>
        <v>46094</v>
      </c>
      <c r="E2570" s="15">
        <v>1000</v>
      </c>
      <c r="F2570" s="9">
        <v>5.7500000000000002E-2</v>
      </c>
      <c r="G2570" s="9">
        <v>5.7500000000000002E-2</v>
      </c>
      <c r="H2570" s="15">
        <f t="shared" ref="H2570:H2625" si="90">+SUMIFS($E$10:$E$4506,$A$10:$A$4506,"&lt;="&amp;A2570,$D$10:$D$4506,"&gt;"&amp;A2570)</f>
        <v>24900</v>
      </c>
    </row>
    <row r="2571" spans="1:8" x14ac:dyDescent="0.3">
      <c r="A2571" s="13">
        <v>46092</v>
      </c>
      <c r="B2571" s="15" t="s">
        <v>21</v>
      </c>
      <c r="C2571" s="3">
        <v>5</v>
      </c>
      <c r="D2571" s="13">
        <f t="shared" si="89"/>
        <v>46097</v>
      </c>
      <c r="E2571" s="15">
        <v>4500</v>
      </c>
      <c r="F2571" s="9">
        <v>5.7500000000000002E-2</v>
      </c>
      <c r="G2571" s="9">
        <v>5.7500000000000002E-2</v>
      </c>
      <c r="H2571" s="15">
        <f t="shared" si="90"/>
        <v>24900</v>
      </c>
    </row>
    <row r="2572" spans="1:8" x14ac:dyDescent="0.3">
      <c r="A2572" s="13">
        <v>46092</v>
      </c>
      <c r="B2572" s="15" t="s">
        <v>21</v>
      </c>
      <c r="C2572" s="3">
        <v>6</v>
      </c>
      <c r="D2572" s="13">
        <f t="shared" si="89"/>
        <v>46098</v>
      </c>
      <c r="E2572" s="15">
        <v>1000</v>
      </c>
      <c r="F2572" s="9">
        <v>5.7500000000000002E-2</v>
      </c>
      <c r="G2572" s="9">
        <v>5.7500000000000002E-2</v>
      </c>
      <c r="H2572" s="15">
        <f t="shared" si="90"/>
        <v>24900</v>
      </c>
    </row>
    <row r="2573" spans="1:8" x14ac:dyDescent="0.3">
      <c r="A2573" s="13">
        <v>46092</v>
      </c>
      <c r="B2573" s="15" t="s">
        <v>21</v>
      </c>
      <c r="C2573" s="3">
        <v>7</v>
      </c>
      <c r="D2573" s="13">
        <f t="shared" si="89"/>
        <v>46099</v>
      </c>
      <c r="E2573" s="15">
        <v>2900</v>
      </c>
      <c r="F2573" s="9">
        <v>5.7500000000000002E-2</v>
      </c>
      <c r="G2573" s="9">
        <v>5.7500000000000002E-2</v>
      </c>
      <c r="H2573" s="15">
        <f t="shared" si="90"/>
        <v>24900</v>
      </c>
    </row>
    <row r="2574" spans="1:8" x14ac:dyDescent="0.3">
      <c r="A2574" s="13">
        <v>46093</v>
      </c>
      <c r="B2574" s="15" t="s">
        <v>21</v>
      </c>
      <c r="C2574" s="3">
        <v>4</v>
      </c>
      <c r="D2574" s="13">
        <f t="shared" si="89"/>
        <v>46097</v>
      </c>
      <c r="E2574" s="15">
        <v>2500</v>
      </c>
      <c r="F2574" s="9">
        <v>5.7500000000000002E-2</v>
      </c>
      <c r="G2574" s="9">
        <v>5.7500000000000002E-2</v>
      </c>
      <c r="H2574" s="15">
        <f t="shared" si="90"/>
        <v>26900</v>
      </c>
    </row>
    <row r="2575" spans="1:8" x14ac:dyDescent="0.3">
      <c r="A2575" s="13">
        <v>46093</v>
      </c>
      <c r="B2575" s="15" t="s">
        <v>21</v>
      </c>
      <c r="C2575" s="3">
        <v>5</v>
      </c>
      <c r="D2575" s="13">
        <f t="shared" si="89"/>
        <v>46098</v>
      </c>
      <c r="E2575" s="15">
        <v>4500</v>
      </c>
      <c r="F2575" s="9">
        <v>5.7500000000000002E-2</v>
      </c>
      <c r="G2575" s="9">
        <v>5.7500000000000002E-2</v>
      </c>
      <c r="H2575" s="15">
        <f t="shared" si="90"/>
        <v>26900</v>
      </c>
    </row>
    <row r="2576" spans="1:8" x14ac:dyDescent="0.3">
      <c r="A2576" s="13">
        <v>46093</v>
      </c>
      <c r="B2576" s="15" t="s">
        <v>21</v>
      </c>
      <c r="C2576" s="3">
        <v>6</v>
      </c>
      <c r="D2576" s="13">
        <f t="shared" si="89"/>
        <v>46099</v>
      </c>
      <c r="E2576" s="15">
        <v>500</v>
      </c>
      <c r="F2576" s="9">
        <v>5.7500000000000002E-2</v>
      </c>
      <c r="G2576" s="9">
        <v>5.7500000000000002E-2</v>
      </c>
      <c r="H2576" s="15">
        <f t="shared" si="90"/>
        <v>26900</v>
      </c>
    </row>
    <row r="2577" spans="1:8" x14ac:dyDescent="0.3">
      <c r="A2577" s="13">
        <v>46094</v>
      </c>
      <c r="B2577" s="15" t="s">
        <v>21</v>
      </c>
      <c r="C2577" s="3">
        <v>4</v>
      </c>
      <c r="D2577" s="13">
        <f t="shared" si="89"/>
        <v>46098</v>
      </c>
      <c r="E2577" s="15">
        <v>1800</v>
      </c>
      <c r="F2577" s="9">
        <v>5.7500000000000002E-2</v>
      </c>
      <c r="G2577" s="9">
        <v>5.7500000000000002E-2</v>
      </c>
      <c r="H2577" s="15">
        <f t="shared" si="90"/>
        <v>21700</v>
      </c>
    </row>
    <row r="2578" spans="1:8" x14ac:dyDescent="0.3">
      <c r="A2578" s="13">
        <v>46094</v>
      </c>
      <c r="B2578" s="15" t="s">
        <v>21</v>
      </c>
      <c r="C2578" s="3">
        <v>5</v>
      </c>
      <c r="D2578" s="13">
        <f t="shared" si="89"/>
        <v>46099</v>
      </c>
      <c r="E2578" s="15">
        <v>2500</v>
      </c>
      <c r="F2578" s="9">
        <v>5.7500000000000002E-2</v>
      </c>
      <c r="G2578" s="9">
        <v>5.7500000000000002E-2</v>
      </c>
      <c r="H2578" s="15">
        <f t="shared" si="90"/>
        <v>21700</v>
      </c>
    </row>
    <row r="2579" spans="1:8" x14ac:dyDescent="0.3">
      <c r="A2579" s="13">
        <v>46094</v>
      </c>
      <c r="B2579" s="15" t="s">
        <v>21</v>
      </c>
      <c r="C2579" s="3">
        <v>6</v>
      </c>
      <c r="D2579" s="13">
        <f t="shared" si="89"/>
        <v>46100</v>
      </c>
      <c r="E2579" s="15">
        <v>1000</v>
      </c>
      <c r="F2579" s="9">
        <v>5.7500000000000002E-2</v>
      </c>
      <c r="G2579" s="9">
        <v>5.7500000000000002E-2</v>
      </c>
      <c r="H2579" s="15">
        <f t="shared" si="90"/>
        <v>21700</v>
      </c>
    </row>
    <row r="2580" spans="1:8" x14ac:dyDescent="0.3">
      <c r="A2580" s="13">
        <v>46097</v>
      </c>
      <c r="B2580" s="15" t="s">
        <v>21</v>
      </c>
      <c r="C2580" s="3">
        <v>2</v>
      </c>
      <c r="D2580" s="13">
        <f t="shared" si="89"/>
        <v>46099</v>
      </c>
      <c r="E2580" s="15">
        <v>3500</v>
      </c>
      <c r="F2580" s="9">
        <v>5.7500000000000002E-2</v>
      </c>
      <c r="G2580" s="9">
        <v>5.7500000000000002E-2</v>
      </c>
      <c r="H2580" s="15">
        <f t="shared" si="90"/>
        <v>23400</v>
      </c>
    </row>
    <row r="2581" spans="1:8" x14ac:dyDescent="0.3">
      <c r="A2581" s="13">
        <v>46097</v>
      </c>
      <c r="B2581" s="15" t="s">
        <v>21</v>
      </c>
      <c r="C2581" s="3">
        <v>3</v>
      </c>
      <c r="D2581" s="13">
        <f t="shared" si="89"/>
        <v>46100</v>
      </c>
      <c r="E2581" s="15">
        <v>500</v>
      </c>
      <c r="F2581" s="9">
        <v>5.7500000000000002E-2</v>
      </c>
      <c r="G2581" s="9">
        <v>5.7500000000000002E-2</v>
      </c>
      <c r="H2581" s="15">
        <f t="shared" si="90"/>
        <v>23400</v>
      </c>
    </row>
    <row r="2582" spans="1:8" x14ac:dyDescent="0.3">
      <c r="A2582" s="13">
        <v>46097</v>
      </c>
      <c r="B2582" s="15" t="s">
        <v>21</v>
      </c>
      <c r="C2582" s="3">
        <v>4</v>
      </c>
      <c r="D2582" s="13">
        <f t="shared" si="89"/>
        <v>46101</v>
      </c>
      <c r="E2582" s="15">
        <v>4700</v>
      </c>
      <c r="F2582" s="9">
        <v>5.7500000000000002E-2</v>
      </c>
      <c r="G2582" s="9">
        <v>5.7500000000000002E-2</v>
      </c>
      <c r="H2582" s="15">
        <f t="shared" si="90"/>
        <v>23400</v>
      </c>
    </row>
    <row r="2583" spans="1:8" x14ac:dyDescent="0.3">
      <c r="A2583" s="13">
        <v>46097</v>
      </c>
      <c r="B2583" s="15" t="s">
        <v>21</v>
      </c>
      <c r="C2583" s="3">
        <v>10</v>
      </c>
      <c r="D2583" s="13">
        <f t="shared" si="89"/>
        <v>46107</v>
      </c>
      <c r="E2583" s="15">
        <v>500</v>
      </c>
      <c r="F2583" s="9">
        <v>5.7500000000000002E-2</v>
      </c>
      <c r="G2583" s="9">
        <v>5.7500000000000002E-2</v>
      </c>
      <c r="H2583" s="15">
        <f t="shared" si="90"/>
        <v>23400</v>
      </c>
    </row>
    <row r="2584" spans="1:8" x14ac:dyDescent="0.3">
      <c r="A2584" s="13">
        <v>46098</v>
      </c>
      <c r="B2584" s="15" t="s">
        <v>21</v>
      </c>
      <c r="C2584" s="3">
        <v>2</v>
      </c>
      <c r="D2584" s="13">
        <f t="shared" si="89"/>
        <v>46100</v>
      </c>
      <c r="E2584" s="15">
        <v>3500</v>
      </c>
      <c r="F2584" s="9">
        <v>5.7500000000000002E-2</v>
      </c>
      <c r="G2584" s="9">
        <v>5.7500000000000002E-2</v>
      </c>
      <c r="H2584" s="15">
        <f t="shared" si="90"/>
        <v>27600</v>
      </c>
    </row>
    <row r="2585" spans="1:8" x14ac:dyDescent="0.3">
      <c r="A2585" s="13">
        <v>46098</v>
      </c>
      <c r="B2585" s="15" t="s">
        <v>21</v>
      </c>
      <c r="C2585" s="3">
        <v>3</v>
      </c>
      <c r="D2585" s="13">
        <f t="shared" si="89"/>
        <v>46101</v>
      </c>
      <c r="E2585" s="15">
        <v>1500</v>
      </c>
      <c r="F2585" s="9">
        <v>5.7500000000000002E-2</v>
      </c>
      <c r="G2585" s="9">
        <v>5.7500000000000002E-2</v>
      </c>
      <c r="H2585" s="15">
        <f t="shared" si="90"/>
        <v>27600</v>
      </c>
    </row>
    <row r="2586" spans="1:8" x14ac:dyDescent="0.3">
      <c r="A2586" s="13">
        <v>46098</v>
      </c>
      <c r="B2586" s="15" t="s">
        <v>21</v>
      </c>
      <c r="C2586" s="3">
        <v>6</v>
      </c>
      <c r="D2586" s="13">
        <f t="shared" si="89"/>
        <v>46104</v>
      </c>
      <c r="E2586" s="15">
        <v>2500</v>
      </c>
      <c r="F2586" s="9">
        <v>5.7500000000000002E-2</v>
      </c>
      <c r="G2586" s="9">
        <v>5.7500000000000002E-2</v>
      </c>
      <c r="H2586" s="15">
        <f t="shared" si="90"/>
        <v>27600</v>
      </c>
    </row>
    <row r="2587" spans="1:8" x14ac:dyDescent="0.3">
      <c r="A2587" s="13">
        <v>46098</v>
      </c>
      <c r="B2587" s="15" t="s">
        <v>21</v>
      </c>
      <c r="C2587" s="3">
        <v>7</v>
      </c>
      <c r="D2587" s="13">
        <f t="shared" si="89"/>
        <v>46105</v>
      </c>
      <c r="E2587" s="15">
        <v>2000</v>
      </c>
      <c r="F2587" s="9">
        <v>5.7500000000000002E-2</v>
      </c>
      <c r="G2587" s="9">
        <v>5.7500000000000002E-2</v>
      </c>
      <c r="H2587" s="15">
        <f t="shared" si="90"/>
        <v>27600</v>
      </c>
    </row>
    <row r="2588" spans="1:8" x14ac:dyDescent="0.3">
      <c r="A2588" s="13">
        <v>46098</v>
      </c>
      <c r="B2588" s="15" t="s">
        <v>21</v>
      </c>
      <c r="C2588" s="3">
        <v>9</v>
      </c>
      <c r="D2588" s="13">
        <f t="shared" si="89"/>
        <v>46107</v>
      </c>
      <c r="E2588" s="15">
        <v>2000</v>
      </c>
      <c r="F2588" s="9">
        <v>5.7500000000000002E-2</v>
      </c>
      <c r="G2588" s="9">
        <v>5.7500000000000002E-2</v>
      </c>
      <c r="H2588" s="15">
        <f t="shared" si="90"/>
        <v>27600</v>
      </c>
    </row>
    <row r="2589" spans="1:8" x14ac:dyDescent="0.3">
      <c r="A2589" s="13">
        <v>46099</v>
      </c>
      <c r="B2589" s="15" t="s">
        <v>21</v>
      </c>
      <c r="C2589" s="3">
        <v>2</v>
      </c>
      <c r="D2589" s="13">
        <f t="shared" si="89"/>
        <v>46101</v>
      </c>
      <c r="E2589" s="15">
        <v>5000</v>
      </c>
      <c r="F2589" s="9">
        <v>5.7500000000000002E-2</v>
      </c>
      <c r="G2589" s="9">
        <v>5.7500000000000002E-2</v>
      </c>
      <c r="H2589" s="15">
        <f t="shared" si="90"/>
        <v>31400</v>
      </c>
    </row>
    <row r="2590" spans="1:8" x14ac:dyDescent="0.3">
      <c r="A2590" s="13">
        <v>46099</v>
      </c>
      <c r="B2590" s="15" t="s">
        <v>21</v>
      </c>
      <c r="C2590" s="3">
        <v>5</v>
      </c>
      <c r="D2590" s="13">
        <f t="shared" si="89"/>
        <v>46104</v>
      </c>
      <c r="E2590" s="15">
        <v>2500</v>
      </c>
      <c r="F2590" s="9">
        <v>5.7500000000000002E-2</v>
      </c>
      <c r="G2590" s="9">
        <v>5.7500000000000002E-2</v>
      </c>
      <c r="H2590" s="15">
        <f t="shared" si="90"/>
        <v>31400</v>
      </c>
    </row>
    <row r="2591" spans="1:8" x14ac:dyDescent="0.3">
      <c r="A2591" s="13">
        <v>46099</v>
      </c>
      <c r="B2591" s="15" t="s">
        <v>21</v>
      </c>
      <c r="C2591" s="3">
        <v>7</v>
      </c>
      <c r="D2591" s="13">
        <f t="shared" si="89"/>
        <v>46106</v>
      </c>
      <c r="E2591" s="15">
        <v>5000</v>
      </c>
      <c r="F2591" s="9">
        <v>5.7500000000000002E-2</v>
      </c>
      <c r="G2591" s="9">
        <v>5.7500000000000002E-2</v>
      </c>
      <c r="H2591" s="15">
        <f t="shared" si="90"/>
        <v>31400</v>
      </c>
    </row>
    <row r="2592" spans="1:8" x14ac:dyDescent="0.3">
      <c r="A2592" s="13">
        <v>46099</v>
      </c>
      <c r="B2592" s="15" t="s">
        <v>21</v>
      </c>
      <c r="C2592" s="3">
        <v>9</v>
      </c>
      <c r="D2592" s="13">
        <f t="shared" si="89"/>
        <v>46108</v>
      </c>
      <c r="E2592" s="15">
        <v>700</v>
      </c>
      <c r="F2592" s="9">
        <v>5.7500000000000002E-2</v>
      </c>
      <c r="G2592" s="9">
        <v>5.7500000000000002E-2</v>
      </c>
      <c r="H2592" s="15">
        <f t="shared" si="90"/>
        <v>31400</v>
      </c>
    </row>
    <row r="2593" spans="1:8" x14ac:dyDescent="0.3">
      <c r="A2593" s="13">
        <v>46100</v>
      </c>
      <c r="B2593" s="15" t="s">
        <v>21</v>
      </c>
      <c r="C2593" s="3">
        <v>1</v>
      </c>
      <c r="D2593" s="13">
        <f t="shared" si="89"/>
        <v>46101</v>
      </c>
      <c r="E2593" s="15">
        <v>100</v>
      </c>
      <c r="F2593" s="9">
        <v>5.7000000000000002E-2</v>
      </c>
      <c r="G2593" s="9">
        <v>5.7000000000000002E-2</v>
      </c>
      <c r="H2593" s="15">
        <f t="shared" si="90"/>
        <v>36500</v>
      </c>
    </row>
    <row r="2594" spans="1:8" x14ac:dyDescent="0.3">
      <c r="A2594" s="13">
        <v>46100</v>
      </c>
      <c r="B2594" s="15" t="s">
        <v>21</v>
      </c>
      <c r="C2594" s="3">
        <v>4</v>
      </c>
      <c r="D2594" s="13">
        <f t="shared" si="89"/>
        <v>46104</v>
      </c>
      <c r="E2594" s="15">
        <v>2500</v>
      </c>
      <c r="F2594" s="9">
        <v>5.7500000000000002E-2</v>
      </c>
      <c r="G2594" s="9">
        <v>5.7500000000000002E-2</v>
      </c>
      <c r="H2594" s="15">
        <f t="shared" si="90"/>
        <v>36500</v>
      </c>
    </row>
    <row r="2595" spans="1:8" x14ac:dyDescent="0.3">
      <c r="A2595" s="13">
        <v>46100</v>
      </c>
      <c r="B2595" s="15" t="s">
        <v>21</v>
      </c>
      <c r="C2595" s="3">
        <v>5</v>
      </c>
      <c r="D2595" s="13">
        <f t="shared" si="89"/>
        <v>46105</v>
      </c>
      <c r="E2595" s="15">
        <v>2000</v>
      </c>
      <c r="F2595" s="9">
        <v>5.7500000000000002E-2</v>
      </c>
      <c r="G2595" s="9">
        <v>5.7500000000000002E-2</v>
      </c>
      <c r="H2595" s="15">
        <f t="shared" si="90"/>
        <v>36500</v>
      </c>
    </row>
    <row r="2596" spans="1:8" x14ac:dyDescent="0.3">
      <c r="A2596" s="13">
        <v>46100</v>
      </c>
      <c r="B2596" s="15" t="s">
        <v>21</v>
      </c>
      <c r="C2596" s="3">
        <v>7</v>
      </c>
      <c r="D2596" s="13">
        <f t="shared" si="89"/>
        <v>46107</v>
      </c>
      <c r="E2596" s="15">
        <v>4000</v>
      </c>
      <c r="F2596" s="9">
        <v>5.7500000000000002E-2</v>
      </c>
      <c r="G2596" s="9">
        <v>5.7500000000000002E-2</v>
      </c>
      <c r="H2596" s="15">
        <f t="shared" si="90"/>
        <v>36500</v>
      </c>
    </row>
    <row r="2597" spans="1:8" x14ac:dyDescent="0.3">
      <c r="A2597" s="13">
        <v>46100</v>
      </c>
      <c r="B2597" s="15" t="s">
        <v>21</v>
      </c>
      <c r="C2597" s="3">
        <v>8</v>
      </c>
      <c r="D2597" s="13">
        <f t="shared" si="89"/>
        <v>46108</v>
      </c>
      <c r="E2597" s="15">
        <v>1500</v>
      </c>
      <c r="F2597" s="9">
        <v>5.7500000000000002E-2</v>
      </c>
      <c r="G2597" s="9">
        <v>5.7500000000000002E-2</v>
      </c>
      <c r="H2597" s="15">
        <f t="shared" si="90"/>
        <v>36500</v>
      </c>
    </row>
    <row r="2598" spans="1:8" x14ac:dyDescent="0.3">
      <c r="A2598" s="13">
        <v>46101</v>
      </c>
      <c r="B2598" s="15" t="s">
        <v>21</v>
      </c>
      <c r="C2598" s="3">
        <v>3</v>
      </c>
      <c r="D2598" s="13">
        <f t="shared" si="89"/>
        <v>46104</v>
      </c>
      <c r="E2598" s="15">
        <v>1500</v>
      </c>
      <c r="F2598" s="9">
        <v>5.6500000000000002E-2</v>
      </c>
      <c r="G2598" s="9">
        <v>5.6500000000000002E-2</v>
      </c>
      <c r="H2598" s="15">
        <f t="shared" si="90"/>
        <v>35200</v>
      </c>
    </row>
    <row r="2599" spans="1:8" x14ac:dyDescent="0.3">
      <c r="A2599" s="13">
        <v>46101</v>
      </c>
      <c r="B2599" s="15" t="s">
        <v>21</v>
      </c>
      <c r="C2599" s="3">
        <v>4</v>
      </c>
      <c r="D2599" s="13">
        <f t="shared" si="89"/>
        <v>46105</v>
      </c>
      <c r="E2599" s="15">
        <v>5000</v>
      </c>
      <c r="F2599" s="9">
        <v>5.7000000000000002E-2</v>
      </c>
      <c r="G2599" s="9">
        <v>5.7000000000000002E-2</v>
      </c>
      <c r="H2599" s="15">
        <f t="shared" si="90"/>
        <v>35200</v>
      </c>
    </row>
    <row r="2600" spans="1:8" x14ac:dyDescent="0.3">
      <c r="A2600" s="13">
        <v>46101</v>
      </c>
      <c r="B2600" s="15" t="s">
        <v>21</v>
      </c>
      <c r="C2600" s="3">
        <v>5</v>
      </c>
      <c r="D2600" s="13">
        <f t="shared" si="89"/>
        <v>46106</v>
      </c>
      <c r="E2600" s="15">
        <v>3000</v>
      </c>
      <c r="F2600" s="9">
        <v>5.7000000000000002E-2</v>
      </c>
      <c r="G2600" s="9">
        <v>5.7500000000000002E-2</v>
      </c>
      <c r="H2600" s="15">
        <f t="shared" si="90"/>
        <v>35200</v>
      </c>
    </row>
    <row r="2601" spans="1:8" x14ac:dyDescent="0.3">
      <c r="A2601" s="13">
        <v>46101</v>
      </c>
      <c r="B2601" s="15" t="s">
        <v>21</v>
      </c>
      <c r="C2601" s="3">
        <v>6</v>
      </c>
      <c r="D2601" s="13">
        <f t="shared" si="89"/>
        <v>46107</v>
      </c>
      <c r="E2601" s="15">
        <v>500</v>
      </c>
      <c r="F2601" s="9">
        <v>5.7500000000000002E-2</v>
      </c>
      <c r="G2601" s="9">
        <v>5.7500000000000002E-2</v>
      </c>
      <c r="H2601" s="15">
        <f t="shared" si="90"/>
        <v>35200</v>
      </c>
    </row>
    <row r="2602" spans="1:8" x14ac:dyDescent="0.3">
      <c r="A2602" s="13">
        <v>46104</v>
      </c>
      <c r="B2602" s="15" t="s">
        <v>21</v>
      </c>
      <c r="C2602" s="3">
        <v>1</v>
      </c>
      <c r="D2602" s="13">
        <f t="shared" si="89"/>
        <v>46105</v>
      </c>
      <c r="E2602" s="15">
        <v>600</v>
      </c>
      <c r="F2602" s="9">
        <v>5.6500000000000002E-2</v>
      </c>
      <c r="G2602" s="9">
        <v>5.6500000000000002E-2</v>
      </c>
      <c r="H2602" s="15">
        <f t="shared" si="90"/>
        <v>29900</v>
      </c>
    </row>
    <row r="2603" spans="1:8" x14ac:dyDescent="0.3">
      <c r="A2603" s="13">
        <v>46104</v>
      </c>
      <c r="B2603" s="15" t="s">
        <v>21</v>
      </c>
      <c r="C2603" s="3">
        <v>2</v>
      </c>
      <c r="D2603" s="13">
        <f t="shared" si="89"/>
        <v>46106</v>
      </c>
      <c r="E2603" s="15">
        <v>2600</v>
      </c>
      <c r="F2603" s="9">
        <v>5.7500000000000002E-2</v>
      </c>
      <c r="G2603" s="9">
        <v>5.7500000000000002E-2</v>
      </c>
      <c r="H2603" s="15">
        <f t="shared" si="90"/>
        <v>29900</v>
      </c>
    </row>
    <row r="2604" spans="1:8" x14ac:dyDescent="0.3">
      <c r="A2604" s="13">
        <v>46104</v>
      </c>
      <c r="B2604" s="15" t="s">
        <v>21</v>
      </c>
      <c r="C2604" s="3">
        <v>3</v>
      </c>
      <c r="D2604" s="13">
        <f t="shared" si="89"/>
        <v>46107</v>
      </c>
      <c r="E2604" s="15">
        <v>500</v>
      </c>
      <c r="F2604" s="9">
        <v>5.7500000000000002E-2</v>
      </c>
      <c r="G2604" s="9">
        <v>5.7500000000000002E-2</v>
      </c>
      <c r="H2604" s="15">
        <f t="shared" si="90"/>
        <v>29900</v>
      </c>
    </row>
    <row r="2605" spans="1:8" x14ac:dyDescent="0.3">
      <c r="A2605" s="13">
        <v>46105</v>
      </c>
      <c r="B2605" s="15" t="s">
        <v>21</v>
      </c>
      <c r="C2605" s="3">
        <v>2</v>
      </c>
      <c r="D2605" s="13">
        <f t="shared" si="89"/>
        <v>46107</v>
      </c>
      <c r="E2605" s="15">
        <v>500</v>
      </c>
      <c r="F2605" s="9">
        <v>5.7500000000000002E-2</v>
      </c>
      <c r="G2605" s="9">
        <v>5.7500000000000002E-2</v>
      </c>
      <c r="H2605" s="15">
        <f t="shared" si="90"/>
        <v>21100</v>
      </c>
    </row>
    <row r="2606" spans="1:8" x14ac:dyDescent="0.3">
      <c r="A2606" s="13">
        <v>46105</v>
      </c>
      <c r="B2606" s="15" t="s">
        <v>21</v>
      </c>
      <c r="C2606" s="3">
        <v>3</v>
      </c>
      <c r="D2606" s="13">
        <f t="shared" si="89"/>
        <v>46108</v>
      </c>
      <c r="E2606" s="15">
        <v>300</v>
      </c>
      <c r="F2606" s="9">
        <v>5.7500000000000002E-2</v>
      </c>
      <c r="G2606" s="9">
        <v>5.7500000000000002E-2</v>
      </c>
      <c r="H2606" s="15">
        <f t="shared" si="90"/>
        <v>21100</v>
      </c>
    </row>
    <row r="2607" spans="1:8" x14ac:dyDescent="0.3">
      <c r="A2607" s="13">
        <v>46106</v>
      </c>
      <c r="B2607" s="15" t="s">
        <v>21</v>
      </c>
      <c r="C2607" s="3">
        <v>1</v>
      </c>
      <c r="D2607" s="13">
        <f t="shared" ref="D2607" si="91">+A2607+C2607</f>
        <v>46107</v>
      </c>
      <c r="E2607" s="15">
        <v>500</v>
      </c>
      <c r="F2607" s="9">
        <v>5.6500000000000002E-2</v>
      </c>
      <c r="G2607" s="9">
        <v>5.6500000000000002E-2</v>
      </c>
      <c r="H2607" s="15">
        <f t="shared" si="90"/>
        <v>19100</v>
      </c>
    </row>
    <row r="2608" spans="1:8" x14ac:dyDescent="0.3">
      <c r="A2608" s="13">
        <v>46106</v>
      </c>
      <c r="B2608" s="15" t="s">
        <v>21</v>
      </c>
      <c r="C2608" s="3">
        <v>2</v>
      </c>
      <c r="D2608" s="13">
        <f t="shared" si="89"/>
        <v>46108</v>
      </c>
      <c r="E2608" s="15">
        <v>2300</v>
      </c>
      <c r="F2608" s="9">
        <v>5.7500000000000002E-2</v>
      </c>
      <c r="G2608" s="9">
        <v>5.7500000000000002E-2</v>
      </c>
      <c r="H2608" s="15">
        <f t="shared" si="90"/>
        <v>19100</v>
      </c>
    </row>
    <row r="2609" spans="1:8" x14ac:dyDescent="0.3">
      <c r="A2609" s="13">
        <v>46106</v>
      </c>
      <c r="B2609" s="15" t="s">
        <v>21</v>
      </c>
      <c r="C2609" s="3">
        <v>5</v>
      </c>
      <c r="D2609" s="13">
        <f t="shared" si="89"/>
        <v>46111</v>
      </c>
      <c r="E2609" s="15">
        <v>5300</v>
      </c>
      <c r="F2609" s="9">
        <v>5.7500000000000002E-2</v>
      </c>
      <c r="G2609" s="9">
        <v>5.7500000000000002E-2</v>
      </c>
      <c r="H2609" s="15">
        <f t="shared" si="90"/>
        <v>19100</v>
      </c>
    </row>
    <row r="2610" spans="1:8" x14ac:dyDescent="0.3">
      <c r="A2610" s="13">
        <v>46106</v>
      </c>
      <c r="B2610" s="15" t="s">
        <v>21</v>
      </c>
      <c r="C2610" s="3">
        <v>6</v>
      </c>
      <c r="D2610" s="13">
        <f t="shared" si="89"/>
        <v>46112</v>
      </c>
      <c r="E2610" s="15">
        <v>500</v>
      </c>
      <c r="F2610" s="9">
        <v>5.7500000000000002E-2</v>
      </c>
      <c r="G2610" s="9">
        <v>5.7500000000000002E-2</v>
      </c>
      <c r="H2610" s="15">
        <f t="shared" si="90"/>
        <v>19100</v>
      </c>
    </row>
    <row r="2611" spans="1:8" x14ac:dyDescent="0.3">
      <c r="A2611" s="13">
        <v>46107</v>
      </c>
      <c r="B2611" s="15" t="s">
        <v>21</v>
      </c>
      <c r="C2611" s="3">
        <v>4</v>
      </c>
      <c r="D2611" s="13">
        <f t="shared" si="89"/>
        <v>46111</v>
      </c>
      <c r="E2611" s="15">
        <v>4400</v>
      </c>
      <c r="F2611" s="9">
        <v>5.7500000000000002E-2</v>
      </c>
      <c r="G2611" s="9">
        <v>5.7500000000000002E-2</v>
      </c>
      <c r="H2611" s="15">
        <f t="shared" si="90"/>
        <v>16000</v>
      </c>
    </row>
    <row r="2612" spans="1:8" x14ac:dyDescent="0.3">
      <c r="A2612" s="13">
        <v>46107</v>
      </c>
      <c r="B2612" s="15" t="s">
        <v>21</v>
      </c>
      <c r="C2612" s="3">
        <v>5</v>
      </c>
      <c r="D2612" s="13">
        <f t="shared" si="89"/>
        <v>46112</v>
      </c>
      <c r="E2612" s="15">
        <v>1000</v>
      </c>
      <c r="F2612" s="9">
        <v>5.7500000000000002E-2</v>
      </c>
      <c r="G2612" s="9">
        <v>5.7500000000000002E-2</v>
      </c>
      <c r="H2612" s="15">
        <f t="shared" si="90"/>
        <v>16000</v>
      </c>
    </row>
    <row r="2613" spans="1:8" x14ac:dyDescent="0.3">
      <c r="A2613" s="13">
        <v>46108</v>
      </c>
      <c r="B2613" s="15" t="s">
        <v>21</v>
      </c>
      <c r="C2613" s="3">
        <v>4</v>
      </c>
      <c r="D2613" s="13">
        <f t="shared" si="89"/>
        <v>46112</v>
      </c>
      <c r="E2613" s="15">
        <v>10000</v>
      </c>
      <c r="F2613" s="9">
        <v>5.7500000000000002E-2</v>
      </c>
      <c r="G2613" s="9">
        <v>5.7500000000000002E-2</v>
      </c>
      <c r="H2613" s="15">
        <f t="shared" si="90"/>
        <v>26200</v>
      </c>
    </row>
    <row r="2614" spans="1:8" x14ac:dyDescent="0.3">
      <c r="A2614" s="13">
        <v>46108</v>
      </c>
      <c r="B2614" s="15" t="s">
        <v>21</v>
      </c>
      <c r="C2614" s="3">
        <v>5</v>
      </c>
      <c r="D2614" s="13">
        <f t="shared" si="89"/>
        <v>46113</v>
      </c>
      <c r="E2614" s="15">
        <v>5000</v>
      </c>
      <c r="F2614" s="9">
        <v>5.7500000000000002E-2</v>
      </c>
      <c r="G2614" s="9">
        <v>5.7500000000000002E-2</v>
      </c>
      <c r="H2614" s="15">
        <f t="shared" si="90"/>
        <v>26200</v>
      </c>
    </row>
    <row r="2615" spans="1:8" x14ac:dyDescent="0.3">
      <c r="A2615" s="13">
        <v>46111</v>
      </c>
      <c r="B2615" s="15" t="s">
        <v>21</v>
      </c>
      <c r="C2615" s="3">
        <v>1</v>
      </c>
      <c r="D2615" s="13">
        <f t="shared" si="89"/>
        <v>46112</v>
      </c>
      <c r="E2615" s="15">
        <v>2450</v>
      </c>
      <c r="F2615" s="9">
        <v>5.6500000000000002E-2</v>
      </c>
      <c r="G2615" s="9">
        <v>5.7500000000000002E-2</v>
      </c>
      <c r="H2615" s="15">
        <f t="shared" si="90"/>
        <v>34750</v>
      </c>
    </row>
    <row r="2616" spans="1:8" x14ac:dyDescent="0.3">
      <c r="A2616" s="13">
        <v>46111</v>
      </c>
      <c r="B2616" s="15" t="s">
        <v>21</v>
      </c>
      <c r="C2616" s="3">
        <v>2</v>
      </c>
      <c r="D2616" s="13">
        <f t="shared" si="89"/>
        <v>46113</v>
      </c>
      <c r="E2616" s="15">
        <v>6800</v>
      </c>
      <c r="F2616" s="9">
        <v>5.7500000000000002E-2</v>
      </c>
      <c r="G2616" s="9">
        <v>5.7500000000000002E-2</v>
      </c>
      <c r="H2616" s="15">
        <f t="shared" si="90"/>
        <v>34750</v>
      </c>
    </row>
    <row r="2617" spans="1:8" x14ac:dyDescent="0.3">
      <c r="A2617" s="13">
        <v>46111</v>
      </c>
      <c r="B2617" s="15" t="s">
        <v>21</v>
      </c>
      <c r="C2617" s="3">
        <v>7</v>
      </c>
      <c r="D2617" s="13">
        <f t="shared" si="89"/>
        <v>46118</v>
      </c>
      <c r="E2617" s="15">
        <v>8200</v>
      </c>
      <c r="F2617" s="9">
        <v>5.7500000000000002E-2</v>
      </c>
      <c r="G2617" s="9">
        <v>5.7500000000000002E-2</v>
      </c>
      <c r="H2617" s="15">
        <f t="shared" si="90"/>
        <v>34750</v>
      </c>
    </row>
    <row r="2618" spans="1:8" x14ac:dyDescent="0.3">
      <c r="A2618" s="13">
        <v>46111</v>
      </c>
      <c r="B2618" s="15" t="s">
        <v>21</v>
      </c>
      <c r="C2618" s="3">
        <v>10</v>
      </c>
      <c r="D2618" s="13">
        <f t="shared" si="89"/>
        <v>46121</v>
      </c>
      <c r="E2618" s="15">
        <v>800</v>
      </c>
      <c r="F2618" s="9">
        <v>5.7500000000000002E-2</v>
      </c>
      <c r="G2618" s="9">
        <v>5.7500000000000002E-2</v>
      </c>
      <c r="H2618" s="15">
        <f t="shared" si="90"/>
        <v>34750</v>
      </c>
    </row>
    <row r="2619" spans="1:8" x14ac:dyDescent="0.3">
      <c r="A2619" s="13">
        <v>46112</v>
      </c>
      <c r="B2619" s="15" t="s">
        <v>21</v>
      </c>
      <c r="C2619" s="3">
        <v>1</v>
      </c>
      <c r="D2619" s="13">
        <f t="shared" si="89"/>
        <v>46113</v>
      </c>
      <c r="E2619" s="15">
        <v>7900</v>
      </c>
      <c r="F2619" s="9">
        <v>5.6500000000000002E-2</v>
      </c>
      <c r="G2619" s="9">
        <v>5.6500000000000002E-2</v>
      </c>
      <c r="H2619" s="15">
        <f t="shared" si="90"/>
        <v>37600</v>
      </c>
    </row>
    <row r="2620" spans="1:8" x14ac:dyDescent="0.3">
      <c r="A2620" s="13">
        <v>46112</v>
      </c>
      <c r="B2620" s="15" t="s">
        <v>21</v>
      </c>
      <c r="C2620" s="3">
        <v>6</v>
      </c>
      <c r="D2620" s="13">
        <f t="shared" si="89"/>
        <v>46118</v>
      </c>
      <c r="E2620" s="15">
        <v>6400</v>
      </c>
      <c r="F2620" s="9">
        <v>5.7500000000000002E-2</v>
      </c>
      <c r="G2620" s="9">
        <v>5.7500000000000002E-2</v>
      </c>
      <c r="H2620" s="15">
        <f t="shared" si="90"/>
        <v>37600</v>
      </c>
    </row>
    <row r="2621" spans="1:8" x14ac:dyDescent="0.3">
      <c r="A2621" s="13">
        <v>46112</v>
      </c>
      <c r="B2621" s="15" t="s">
        <v>21</v>
      </c>
      <c r="C2621" s="3">
        <v>7</v>
      </c>
      <c r="D2621" s="13">
        <f t="shared" si="89"/>
        <v>46119</v>
      </c>
      <c r="E2621" s="15">
        <v>2500</v>
      </c>
      <c r="F2621" s="9">
        <v>5.7500000000000002E-2</v>
      </c>
      <c r="G2621" s="9">
        <v>5.7500000000000002E-2</v>
      </c>
      <c r="H2621" s="15">
        <f t="shared" si="90"/>
        <v>37600</v>
      </c>
    </row>
    <row r="2622" spans="1:8" x14ac:dyDescent="0.3">
      <c r="A2622" s="13">
        <v>46118</v>
      </c>
      <c r="B2622" s="15" t="s">
        <v>21</v>
      </c>
      <c r="C2622" s="3">
        <v>2</v>
      </c>
      <c r="D2622" s="13">
        <f t="shared" ref="D2622" si="92">+A2622+C2622</f>
        <v>46120</v>
      </c>
      <c r="E2622" s="15">
        <v>800</v>
      </c>
      <c r="F2622" s="9">
        <v>5.7500000000000002E-2</v>
      </c>
      <c r="G2622" s="9">
        <v>5.7500000000000002E-2</v>
      </c>
      <c r="H2622" s="15">
        <f t="shared" ref="H2622" si="93">+SUMIFS($E$10:$E$4506,$A$10:$A$4506,"&lt;="&amp;A2622,$D$10:$D$4506,"&gt;"&amp;A2622)</f>
        <v>12100</v>
      </c>
    </row>
    <row r="2623" spans="1:8" x14ac:dyDescent="0.3">
      <c r="A2623" s="13">
        <v>46118</v>
      </c>
      <c r="B2623" s="15" t="s">
        <v>21</v>
      </c>
      <c r="C2623" s="3">
        <v>3</v>
      </c>
      <c r="D2623" s="13">
        <f t="shared" si="89"/>
        <v>46121</v>
      </c>
      <c r="E2623" s="15">
        <v>3000</v>
      </c>
      <c r="F2623" s="9">
        <v>5.7500000000000002E-2</v>
      </c>
      <c r="G2623" s="9">
        <v>5.7500000000000002E-2</v>
      </c>
      <c r="H2623" s="15">
        <f t="shared" si="90"/>
        <v>12100</v>
      </c>
    </row>
    <row r="2624" spans="1:8" x14ac:dyDescent="0.3">
      <c r="A2624" s="13">
        <v>46118</v>
      </c>
      <c r="B2624" s="15" t="s">
        <v>21</v>
      </c>
      <c r="C2624" s="3">
        <v>4</v>
      </c>
      <c r="D2624" s="13">
        <f t="shared" si="89"/>
        <v>46122</v>
      </c>
      <c r="E2624" s="15">
        <v>3000</v>
      </c>
      <c r="F2624" s="9">
        <v>5.7500000000000002E-2</v>
      </c>
      <c r="G2624" s="9">
        <v>5.7500000000000002E-2</v>
      </c>
      <c r="H2624" s="15">
        <f t="shared" si="90"/>
        <v>12100</v>
      </c>
    </row>
    <row r="2625" spans="1:8" x14ac:dyDescent="0.3">
      <c r="A2625" s="13">
        <v>46118</v>
      </c>
      <c r="B2625" s="15" t="s">
        <v>21</v>
      </c>
      <c r="C2625" s="3">
        <v>7</v>
      </c>
      <c r="D2625" s="13">
        <f t="shared" si="89"/>
        <v>46125</v>
      </c>
      <c r="E2625" s="15">
        <v>2000</v>
      </c>
      <c r="F2625" s="9">
        <v>5.7500000000000002E-2</v>
      </c>
      <c r="G2625" s="9">
        <v>5.7500000000000002E-2</v>
      </c>
      <c r="H2625" s="15">
        <f t="shared" si="90"/>
        <v>12100</v>
      </c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048574"/>
  <sheetViews>
    <sheetView zoomScale="90" zoomScaleNormal="90" workbookViewId="0">
      <pane ySplit="10" topLeftCell="A1301" activePane="bottomLeft" state="frozen"/>
      <selection pane="bottomLeft" activeCell="K1312" sqref="K1312"/>
    </sheetView>
  </sheetViews>
  <sheetFormatPr baseColWidth="10" defaultColWidth="11.44140625" defaultRowHeight="14.4" x14ac:dyDescent="0.3"/>
  <cols>
    <col min="1" max="1" width="12.88671875" style="2" bestFit="1" customWidth="1"/>
    <col min="2" max="2" width="11.6640625" style="44" bestFit="1" customWidth="1"/>
    <col min="3" max="4" width="12.6640625" style="3" bestFit="1" customWidth="1"/>
    <col min="5" max="5" width="15.33203125" style="3" customWidth="1"/>
    <col min="6" max="6" width="10.5546875" style="3" bestFit="1" customWidth="1"/>
    <col min="7" max="7" width="13.5546875" style="3" bestFit="1" customWidth="1"/>
    <col min="8" max="8" width="18.88671875" style="1" customWidth="1"/>
    <col min="9" max="9" width="11.44140625" style="1" customWidth="1"/>
    <col min="10" max="10" width="10" style="3" customWidth="1"/>
    <col min="11" max="11" width="15.109375" style="3" customWidth="1"/>
    <col min="12" max="12" width="17.44140625" style="49" customWidth="1"/>
    <col min="13" max="13" width="13.109375" style="3" customWidth="1"/>
    <col min="14" max="14" width="14.33203125" style="3" customWidth="1"/>
    <col min="15" max="15" width="12" style="3" customWidth="1"/>
    <col min="16" max="16" width="11.44140625" style="3" customWidth="1"/>
    <col min="17" max="17" width="7.6640625" style="3" customWidth="1"/>
    <col min="18" max="18" width="15.109375" style="3" customWidth="1"/>
    <col min="19" max="19" width="17.44140625" style="49" customWidth="1"/>
    <col min="20" max="20" width="13.109375" style="1" customWidth="1"/>
    <col min="21" max="21" width="14.33203125" style="1" customWidth="1"/>
    <col min="22" max="23" width="11.33203125" style="1" customWidth="1"/>
    <col min="24" max="24" width="9.109375" style="47" customWidth="1"/>
    <col min="25" max="25" width="15" style="1" customWidth="1"/>
    <col min="26" max="26" width="14.33203125" style="51" customWidth="1"/>
    <col min="27" max="27" width="14.33203125" style="1" bestFit="1" customWidth="1"/>
    <col min="28" max="28" width="10.5546875" style="1" bestFit="1" customWidth="1"/>
    <col min="29" max="29" width="10.88671875" style="1" bestFit="1" customWidth="1"/>
    <col min="30" max="30" width="11.6640625" style="1" bestFit="1" customWidth="1"/>
    <col min="31" max="31" width="16.5546875" style="1" bestFit="1" customWidth="1"/>
    <col min="32" max="16384" width="11.44140625" style="1"/>
  </cols>
  <sheetData>
    <row r="1" spans="1:30" x14ac:dyDescent="0.3">
      <c r="L1" s="3"/>
      <c r="S1" s="3"/>
      <c r="X1" s="1"/>
      <c r="Z1" s="1"/>
    </row>
    <row r="2" spans="1:30" ht="15" customHeight="1" x14ac:dyDescent="0.3">
      <c r="E2" s="80" t="s">
        <v>294</v>
      </c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</row>
    <row r="3" spans="1:30" x14ac:dyDescent="0.3">
      <c r="E3" s="80"/>
      <c r="F3" s="80"/>
      <c r="G3" s="80"/>
      <c r="H3" s="80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  <c r="W3" s="80"/>
      <c r="X3" s="80"/>
      <c r="Y3" s="80"/>
      <c r="Z3" s="80"/>
      <c r="AA3" s="80"/>
      <c r="AB3" s="80"/>
      <c r="AC3" s="80"/>
      <c r="AD3" s="80"/>
    </row>
    <row r="4" spans="1:30" x14ac:dyDescent="0.3">
      <c r="E4" s="80"/>
      <c r="F4" s="80"/>
      <c r="G4" s="80"/>
      <c r="H4" s="80"/>
      <c r="I4" s="80"/>
      <c r="J4" s="80"/>
      <c r="K4" s="80"/>
      <c r="L4" s="80"/>
      <c r="M4" s="80"/>
      <c r="N4" s="80"/>
      <c r="O4" s="80"/>
      <c r="P4" s="80"/>
      <c r="Q4" s="80"/>
      <c r="R4" s="80"/>
      <c r="S4" s="80"/>
      <c r="T4" s="80"/>
      <c r="U4" s="80"/>
      <c r="V4" s="80"/>
      <c r="W4" s="80"/>
      <c r="X4" s="80"/>
      <c r="Y4" s="80"/>
      <c r="Z4" s="80"/>
      <c r="AA4" s="80"/>
      <c r="AB4" s="80"/>
      <c r="AC4" s="80"/>
      <c r="AD4" s="80"/>
    </row>
    <row r="5" spans="1:30" x14ac:dyDescent="0.3"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  <c r="W5" s="80"/>
      <c r="X5" s="80"/>
      <c r="Y5" s="80"/>
      <c r="Z5" s="80"/>
      <c r="AA5" s="80"/>
      <c r="AB5" s="80"/>
      <c r="AC5" s="80"/>
      <c r="AD5" s="80"/>
    </row>
    <row r="6" spans="1:30" x14ac:dyDescent="0.3">
      <c r="E6" s="80"/>
      <c r="F6" s="80"/>
      <c r="G6" s="8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  <c r="W6" s="80"/>
      <c r="X6" s="80"/>
      <c r="Y6" s="80"/>
      <c r="Z6" s="80"/>
      <c r="AA6" s="80"/>
      <c r="AB6" s="80"/>
      <c r="AC6" s="80"/>
      <c r="AD6" s="80"/>
    </row>
    <row r="7" spans="1:30" x14ac:dyDescent="0.3">
      <c r="L7" s="3"/>
      <c r="S7" s="3"/>
      <c r="X7" s="1"/>
      <c r="Y7" s="66"/>
      <c r="Z7" s="1"/>
    </row>
    <row r="8" spans="1:30" x14ac:dyDescent="0.3">
      <c r="L8" s="3"/>
      <c r="S8" s="3"/>
      <c r="X8" s="1"/>
      <c r="Z8" s="1"/>
    </row>
    <row r="9" spans="1:30" x14ac:dyDescent="0.3">
      <c r="H9" s="77" t="s">
        <v>297</v>
      </c>
      <c r="I9" s="78"/>
      <c r="J9" s="78"/>
      <c r="K9" s="78"/>
      <c r="L9" s="78"/>
      <c r="M9" s="78"/>
      <c r="N9" s="79"/>
      <c r="O9" s="77" t="s">
        <v>298</v>
      </c>
      <c r="P9" s="78"/>
      <c r="Q9" s="78"/>
      <c r="R9" s="78"/>
      <c r="S9" s="78"/>
      <c r="T9" s="78"/>
      <c r="U9" s="79"/>
      <c r="V9" s="77" t="s">
        <v>655</v>
      </c>
      <c r="W9" s="78"/>
      <c r="X9" s="78"/>
      <c r="Y9" s="78"/>
      <c r="Z9" s="79"/>
    </row>
    <row r="10" spans="1:30" ht="15" customHeight="1" x14ac:dyDescent="0.3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3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x14ac:dyDescent="0.3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x14ac:dyDescent="0.3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x14ac:dyDescent="0.3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x14ac:dyDescent="0.3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3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x14ac:dyDescent="0.3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x14ac:dyDescent="0.3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x14ac:dyDescent="0.3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x14ac:dyDescent="0.3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3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x14ac:dyDescent="0.3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x14ac:dyDescent="0.3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x14ac:dyDescent="0.3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x14ac:dyDescent="0.3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3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x14ac:dyDescent="0.3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x14ac:dyDescent="0.3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x14ac:dyDescent="0.3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x14ac:dyDescent="0.3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3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x14ac:dyDescent="0.3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x14ac:dyDescent="0.3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x14ac:dyDescent="0.3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x14ac:dyDescent="0.3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3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x14ac:dyDescent="0.3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x14ac:dyDescent="0.3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x14ac:dyDescent="0.3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x14ac:dyDescent="0.3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3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x14ac:dyDescent="0.3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x14ac:dyDescent="0.3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x14ac:dyDescent="0.3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x14ac:dyDescent="0.3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3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x14ac:dyDescent="0.3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x14ac:dyDescent="0.3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x14ac:dyDescent="0.3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x14ac:dyDescent="0.3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3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x14ac:dyDescent="0.3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x14ac:dyDescent="0.3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x14ac:dyDescent="0.3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x14ac:dyDescent="0.3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3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x14ac:dyDescent="0.3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x14ac:dyDescent="0.3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x14ac:dyDescent="0.3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x14ac:dyDescent="0.3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3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x14ac:dyDescent="0.3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x14ac:dyDescent="0.3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x14ac:dyDescent="0.3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x14ac:dyDescent="0.3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3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x14ac:dyDescent="0.3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x14ac:dyDescent="0.3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x14ac:dyDescent="0.3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x14ac:dyDescent="0.3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3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x14ac:dyDescent="0.3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x14ac:dyDescent="0.3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x14ac:dyDescent="0.3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x14ac:dyDescent="0.3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3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x14ac:dyDescent="0.3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x14ac:dyDescent="0.3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x14ac:dyDescent="0.3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x14ac:dyDescent="0.3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3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x14ac:dyDescent="0.3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x14ac:dyDescent="0.3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x14ac:dyDescent="0.3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x14ac:dyDescent="0.3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3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x14ac:dyDescent="0.3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x14ac:dyDescent="0.3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x14ac:dyDescent="0.3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x14ac:dyDescent="0.3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3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x14ac:dyDescent="0.3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x14ac:dyDescent="0.3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x14ac:dyDescent="0.3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x14ac:dyDescent="0.3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3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x14ac:dyDescent="0.3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x14ac:dyDescent="0.3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x14ac:dyDescent="0.3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x14ac:dyDescent="0.3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3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x14ac:dyDescent="0.3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x14ac:dyDescent="0.3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x14ac:dyDescent="0.3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x14ac:dyDescent="0.3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3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x14ac:dyDescent="0.3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x14ac:dyDescent="0.3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x14ac:dyDescent="0.3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x14ac:dyDescent="0.3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3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x14ac:dyDescent="0.3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x14ac:dyDescent="0.3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x14ac:dyDescent="0.3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x14ac:dyDescent="0.3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3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x14ac:dyDescent="0.3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x14ac:dyDescent="0.3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x14ac:dyDescent="0.3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x14ac:dyDescent="0.3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3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x14ac:dyDescent="0.3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x14ac:dyDescent="0.3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x14ac:dyDescent="0.3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x14ac:dyDescent="0.3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3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x14ac:dyDescent="0.3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x14ac:dyDescent="0.3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x14ac:dyDescent="0.3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x14ac:dyDescent="0.3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3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x14ac:dyDescent="0.3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x14ac:dyDescent="0.3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x14ac:dyDescent="0.3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x14ac:dyDescent="0.3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3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x14ac:dyDescent="0.3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x14ac:dyDescent="0.3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x14ac:dyDescent="0.3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x14ac:dyDescent="0.3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3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x14ac:dyDescent="0.3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x14ac:dyDescent="0.3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x14ac:dyDescent="0.3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x14ac:dyDescent="0.3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3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x14ac:dyDescent="0.3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x14ac:dyDescent="0.3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x14ac:dyDescent="0.3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x14ac:dyDescent="0.3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3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x14ac:dyDescent="0.3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x14ac:dyDescent="0.3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x14ac:dyDescent="0.3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x14ac:dyDescent="0.3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3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x14ac:dyDescent="0.3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x14ac:dyDescent="0.3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x14ac:dyDescent="0.3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x14ac:dyDescent="0.3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3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x14ac:dyDescent="0.3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x14ac:dyDescent="0.3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x14ac:dyDescent="0.3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x14ac:dyDescent="0.3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3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x14ac:dyDescent="0.3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x14ac:dyDescent="0.3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x14ac:dyDescent="0.3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x14ac:dyDescent="0.3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3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x14ac:dyDescent="0.3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x14ac:dyDescent="0.3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x14ac:dyDescent="0.3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x14ac:dyDescent="0.3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3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x14ac:dyDescent="0.3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x14ac:dyDescent="0.3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x14ac:dyDescent="0.3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x14ac:dyDescent="0.3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3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x14ac:dyDescent="0.3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x14ac:dyDescent="0.3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x14ac:dyDescent="0.3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x14ac:dyDescent="0.3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3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x14ac:dyDescent="0.3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x14ac:dyDescent="0.3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x14ac:dyDescent="0.3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x14ac:dyDescent="0.3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3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x14ac:dyDescent="0.3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x14ac:dyDescent="0.3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x14ac:dyDescent="0.3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x14ac:dyDescent="0.3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3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x14ac:dyDescent="0.3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x14ac:dyDescent="0.3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x14ac:dyDescent="0.3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x14ac:dyDescent="0.3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3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x14ac:dyDescent="0.3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x14ac:dyDescent="0.3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x14ac:dyDescent="0.3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x14ac:dyDescent="0.3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3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x14ac:dyDescent="0.3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x14ac:dyDescent="0.3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x14ac:dyDescent="0.3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x14ac:dyDescent="0.3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3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x14ac:dyDescent="0.3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x14ac:dyDescent="0.3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x14ac:dyDescent="0.3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x14ac:dyDescent="0.3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3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x14ac:dyDescent="0.3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x14ac:dyDescent="0.3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x14ac:dyDescent="0.3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3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x14ac:dyDescent="0.3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x14ac:dyDescent="0.3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x14ac:dyDescent="0.3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x14ac:dyDescent="0.3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3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x14ac:dyDescent="0.3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x14ac:dyDescent="0.3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x14ac:dyDescent="0.3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x14ac:dyDescent="0.3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3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x14ac:dyDescent="0.3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x14ac:dyDescent="0.3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x14ac:dyDescent="0.3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x14ac:dyDescent="0.3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3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x14ac:dyDescent="0.3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x14ac:dyDescent="0.3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x14ac:dyDescent="0.3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x14ac:dyDescent="0.3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3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x14ac:dyDescent="0.3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x14ac:dyDescent="0.3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x14ac:dyDescent="0.3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3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x14ac:dyDescent="0.3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x14ac:dyDescent="0.3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x14ac:dyDescent="0.3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3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x14ac:dyDescent="0.3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x14ac:dyDescent="0.3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x14ac:dyDescent="0.3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x14ac:dyDescent="0.3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3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x14ac:dyDescent="0.3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x14ac:dyDescent="0.3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x14ac:dyDescent="0.3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x14ac:dyDescent="0.3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3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x14ac:dyDescent="0.3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x14ac:dyDescent="0.3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x14ac:dyDescent="0.3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x14ac:dyDescent="0.3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3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x14ac:dyDescent="0.3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x14ac:dyDescent="0.3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x14ac:dyDescent="0.3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x14ac:dyDescent="0.3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3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x14ac:dyDescent="0.3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x14ac:dyDescent="0.3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x14ac:dyDescent="0.3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x14ac:dyDescent="0.3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3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x14ac:dyDescent="0.3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x14ac:dyDescent="0.3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x14ac:dyDescent="0.3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3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x14ac:dyDescent="0.3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x14ac:dyDescent="0.3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x14ac:dyDescent="0.3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x14ac:dyDescent="0.3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3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x14ac:dyDescent="0.3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x14ac:dyDescent="0.3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x14ac:dyDescent="0.3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x14ac:dyDescent="0.3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x14ac:dyDescent="0.3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x14ac:dyDescent="0.3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3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x14ac:dyDescent="0.3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x14ac:dyDescent="0.3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x14ac:dyDescent="0.3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x14ac:dyDescent="0.3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3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x14ac:dyDescent="0.3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x14ac:dyDescent="0.3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x14ac:dyDescent="0.3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x14ac:dyDescent="0.3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3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x14ac:dyDescent="0.3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x14ac:dyDescent="0.3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x14ac:dyDescent="0.3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x14ac:dyDescent="0.3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3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x14ac:dyDescent="0.3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x14ac:dyDescent="0.3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x14ac:dyDescent="0.3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x14ac:dyDescent="0.3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3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x14ac:dyDescent="0.3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x14ac:dyDescent="0.3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x14ac:dyDescent="0.3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3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x14ac:dyDescent="0.3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x14ac:dyDescent="0.3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x14ac:dyDescent="0.3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3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x14ac:dyDescent="0.3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x14ac:dyDescent="0.3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x14ac:dyDescent="0.3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3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x14ac:dyDescent="0.3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x14ac:dyDescent="0.3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x14ac:dyDescent="0.3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3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x14ac:dyDescent="0.3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x14ac:dyDescent="0.3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x14ac:dyDescent="0.3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3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x14ac:dyDescent="0.3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x14ac:dyDescent="0.3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x14ac:dyDescent="0.3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3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x14ac:dyDescent="0.3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x14ac:dyDescent="0.3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x14ac:dyDescent="0.3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3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x14ac:dyDescent="0.3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x14ac:dyDescent="0.3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x14ac:dyDescent="0.3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3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x14ac:dyDescent="0.3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x14ac:dyDescent="0.3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x14ac:dyDescent="0.3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3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x14ac:dyDescent="0.3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x14ac:dyDescent="0.3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x14ac:dyDescent="0.3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3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x14ac:dyDescent="0.3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x14ac:dyDescent="0.3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x14ac:dyDescent="0.3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3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x14ac:dyDescent="0.3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x14ac:dyDescent="0.3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x14ac:dyDescent="0.3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3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x14ac:dyDescent="0.3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x14ac:dyDescent="0.3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x14ac:dyDescent="0.3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3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x14ac:dyDescent="0.3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x14ac:dyDescent="0.3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x14ac:dyDescent="0.3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3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x14ac:dyDescent="0.3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x14ac:dyDescent="0.3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x14ac:dyDescent="0.3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3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x14ac:dyDescent="0.3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x14ac:dyDescent="0.3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x14ac:dyDescent="0.3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3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x14ac:dyDescent="0.3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x14ac:dyDescent="0.3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x14ac:dyDescent="0.3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3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x14ac:dyDescent="0.3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x14ac:dyDescent="0.3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x14ac:dyDescent="0.3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3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x14ac:dyDescent="0.3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x14ac:dyDescent="0.3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x14ac:dyDescent="0.3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3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x14ac:dyDescent="0.3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x14ac:dyDescent="0.3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x14ac:dyDescent="0.3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3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x14ac:dyDescent="0.3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x14ac:dyDescent="0.3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x14ac:dyDescent="0.3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3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x14ac:dyDescent="0.3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x14ac:dyDescent="0.3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x14ac:dyDescent="0.3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3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x14ac:dyDescent="0.3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x14ac:dyDescent="0.3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x14ac:dyDescent="0.3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3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x14ac:dyDescent="0.3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x14ac:dyDescent="0.3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x14ac:dyDescent="0.3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3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x14ac:dyDescent="0.3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x14ac:dyDescent="0.3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x14ac:dyDescent="0.3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3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x14ac:dyDescent="0.3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x14ac:dyDescent="0.3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x14ac:dyDescent="0.3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3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x14ac:dyDescent="0.3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x14ac:dyDescent="0.3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x14ac:dyDescent="0.3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3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x14ac:dyDescent="0.3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x14ac:dyDescent="0.3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x14ac:dyDescent="0.3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3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x14ac:dyDescent="0.3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x14ac:dyDescent="0.3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x14ac:dyDescent="0.3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3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x14ac:dyDescent="0.3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x14ac:dyDescent="0.3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x14ac:dyDescent="0.3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3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x14ac:dyDescent="0.3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x14ac:dyDescent="0.3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x14ac:dyDescent="0.3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3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x14ac:dyDescent="0.3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x14ac:dyDescent="0.3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x14ac:dyDescent="0.3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3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x14ac:dyDescent="0.3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x14ac:dyDescent="0.3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3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x14ac:dyDescent="0.3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x14ac:dyDescent="0.3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3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x14ac:dyDescent="0.3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x14ac:dyDescent="0.3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3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x14ac:dyDescent="0.3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x14ac:dyDescent="0.3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3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x14ac:dyDescent="0.3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x14ac:dyDescent="0.3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3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x14ac:dyDescent="0.3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x14ac:dyDescent="0.3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3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x14ac:dyDescent="0.3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x14ac:dyDescent="0.3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3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x14ac:dyDescent="0.3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x14ac:dyDescent="0.3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3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x14ac:dyDescent="0.3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x14ac:dyDescent="0.3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3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x14ac:dyDescent="0.3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x14ac:dyDescent="0.3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3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x14ac:dyDescent="0.3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x14ac:dyDescent="0.3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3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x14ac:dyDescent="0.3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x14ac:dyDescent="0.3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3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x14ac:dyDescent="0.3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x14ac:dyDescent="0.3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3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x14ac:dyDescent="0.3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x14ac:dyDescent="0.3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3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x14ac:dyDescent="0.3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x14ac:dyDescent="0.3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3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x14ac:dyDescent="0.3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x14ac:dyDescent="0.3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3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x14ac:dyDescent="0.3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x14ac:dyDescent="0.3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3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x14ac:dyDescent="0.3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x14ac:dyDescent="0.3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3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x14ac:dyDescent="0.3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x14ac:dyDescent="0.3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3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x14ac:dyDescent="0.3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x14ac:dyDescent="0.3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3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x14ac:dyDescent="0.3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x14ac:dyDescent="0.3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3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x14ac:dyDescent="0.3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x14ac:dyDescent="0.3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3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x14ac:dyDescent="0.3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x14ac:dyDescent="0.3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3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x14ac:dyDescent="0.3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x14ac:dyDescent="0.3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3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x14ac:dyDescent="0.3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x14ac:dyDescent="0.3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3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x14ac:dyDescent="0.3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x14ac:dyDescent="0.3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3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x14ac:dyDescent="0.3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x14ac:dyDescent="0.3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3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x14ac:dyDescent="0.3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x14ac:dyDescent="0.3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3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x14ac:dyDescent="0.3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x14ac:dyDescent="0.3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3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x14ac:dyDescent="0.3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x14ac:dyDescent="0.3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3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x14ac:dyDescent="0.3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x14ac:dyDescent="0.3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3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x14ac:dyDescent="0.3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x14ac:dyDescent="0.3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3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x14ac:dyDescent="0.3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x14ac:dyDescent="0.3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3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x14ac:dyDescent="0.3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x14ac:dyDescent="0.3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3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x14ac:dyDescent="0.3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x14ac:dyDescent="0.3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3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x14ac:dyDescent="0.3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x14ac:dyDescent="0.3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3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x14ac:dyDescent="0.3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x14ac:dyDescent="0.3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3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x14ac:dyDescent="0.3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x14ac:dyDescent="0.3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x14ac:dyDescent="0.3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3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x14ac:dyDescent="0.3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x14ac:dyDescent="0.3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3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x14ac:dyDescent="0.3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x14ac:dyDescent="0.3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3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x14ac:dyDescent="0.3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x14ac:dyDescent="0.3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3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x14ac:dyDescent="0.3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x14ac:dyDescent="0.3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3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x14ac:dyDescent="0.3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x14ac:dyDescent="0.3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x14ac:dyDescent="0.3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3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x14ac:dyDescent="0.3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x14ac:dyDescent="0.3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3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x14ac:dyDescent="0.3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x14ac:dyDescent="0.3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3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x14ac:dyDescent="0.3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x14ac:dyDescent="0.3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3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x14ac:dyDescent="0.3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x14ac:dyDescent="0.3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x14ac:dyDescent="0.3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3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0.47526470588235292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4.7907420013614699E-2</v>
      </c>
    </row>
    <row r="582" spans="1:30" x14ac:dyDescent="0.3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4209.1900000000005</v>
      </c>
      <c r="J582" s="20">
        <v>1.6836760000000006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4239.1900000000005</v>
      </c>
      <c r="X582" s="21">
        <v>1.4130633333333336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6.1146035222928864E-2</v>
      </c>
    </row>
    <row r="583" spans="1:30" x14ac:dyDescent="0.3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1.5824982758620687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3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1.2956714285714288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5.015006973769804E-2</v>
      </c>
    </row>
    <row r="585" spans="1:30" x14ac:dyDescent="0.3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2774.0500000000006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2805.9400000000005</v>
      </c>
      <c r="X585" s="21">
        <v>0.93531333333333355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6.3961056938411337E-2</v>
      </c>
    </row>
    <row r="586" spans="1:30" x14ac:dyDescent="0.3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1.4122050000000002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3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1068.95</v>
      </c>
      <c r="J587" s="20">
        <v>0.21379000000000001</v>
      </c>
      <c r="K587" s="19">
        <v>1068.95</v>
      </c>
      <c r="L587" s="20">
        <v>0.21379000000000001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1099.8500000000001</v>
      </c>
      <c r="X587" s="21">
        <v>0.18330833333333335</v>
      </c>
      <c r="Y587" s="19">
        <v>1099.8500000000001</v>
      </c>
      <c r="Z587" s="20">
        <v>0.18330833333333335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4.8502100191776983E-2</v>
      </c>
    </row>
    <row r="588" spans="1:30" x14ac:dyDescent="0.3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3802.7200000000003</v>
      </c>
      <c r="J588" s="20">
        <v>0.76054400000000022</v>
      </c>
      <c r="K588" s="19">
        <v>3242.7200000000003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3952.7200000000003</v>
      </c>
      <c r="X588" s="21">
        <v>0.65878666666666674</v>
      </c>
      <c r="Y588" s="19">
        <v>3392.7200000000003</v>
      </c>
      <c r="Z588" s="20">
        <v>0.56545333333333336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6.5137222829974306E-2</v>
      </c>
    </row>
    <row r="589" spans="1:30" x14ac:dyDescent="0.3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</v>
      </c>
      <c r="J589" s="20">
        <v>1.1632560000000001</v>
      </c>
      <c r="K589" s="19">
        <v>5042.9800000000005</v>
      </c>
      <c r="L589" s="20">
        <v>1.008596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</v>
      </c>
      <c r="X589" s="21">
        <v>0.96937999999999991</v>
      </c>
      <c r="Y589" s="19">
        <v>5042.9800000000005</v>
      </c>
      <c r="Z589" s="20">
        <v>0.84049666666666678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3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0.23483599999999999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x14ac:dyDescent="0.3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1.0400000000000003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x14ac:dyDescent="0.3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627.25</v>
      </c>
      <c r="L592" s="20">
        <v>0.25090000000000001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627.25</v>
      </c>
      <c r="Z592" s="20">
        <v>0.20908333333333334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x14ac:dyDescent="0.3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</v>
      </c>
      <c r="J593" s="20">
        <v>0.92460303030303048</v>
      </c>
      <c r="K593" s="19">
        <v>2301.19</v>
      </c>
      <c r="L593" s="20">
        <v>0.69733030303030308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</v>
      </c>
      <c r="X593" s="21">
        <v>0.83363383838383842</v>
      </c>
      <c r="Y593" s="19">
        <v>2551.19</v>
      </c>
      <c r="Z593" s="20">
        <v>0.64423989898989897</v>
      </c>
      <c r="AA593" s="30">
        <v>7.189999999999995E-2</v>
      </c>
      <c r="AB593" s="27">
        <v>0.06</v>
      </c>
      <c r="AC593" s="27">
        <v>7.3499999999999996E-2</v>
      </c>
      <c r="AD593" s="11">
        <v>7.0284524070936244E-2</v>
      </c>
    </row>
    <row r="594" spans="1:30" x14ac:dyDescent="0.3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1726.0899999999997</v>
      </c>
      <c r="J594" s="20">
        <v>0.45423421052631574</v>
      </c>
      <c r="K594" s="19">
        <v>1576.0899999999997</v>
      </c>
      <c r="L594" s="20">
        <v>0.41476052631578941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1756.0899999999997</v>
      </c>
      <c r="X594" s="21">
        <v>0.3851074561403508</v>
      </c>
      <c r="Y594" s="19">
        <v>1606.0899999999997</v>
      </c>
      <c r="Z594" s="20">
        <v>0.35221271929824555</v>
      </c>
      <c r="AA594" s="30">
        <v>5.5600000000000011E-2</v>
      </c>
      <c r="AB594" s="27">
        <v>0.04</v>
      </c>
      <c r="AC594" s="27">
        <v>5.8799999999999998E-2</v>
      </c>
      <c r="AD594" s="11">
        <v>5.1491587924152281E-2</v>
      </c>
    </row>
    <row r="595" spans="1:30" x14ac:dyDescent="0.3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1.2641657894736844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6.6785288405293283E-2</v>
      </c>
    </row>
    <row r="596" spans="1:30" x14ac:dyDescent="0.3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1.2009735294117643</v>
      </c>
      <c r="K596" s="19">
        <v>3263.0099999999998</v>
      </c>
      <c r="L596" s="20">
        <v>0.95970882352941167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3263.0099999999998</v>
      </c>
      <c r="Z596" s="20">
        <v>0.79975735294117645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3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3140.0699999999997</v>
      </c>
      <c r="J597" s="20">
        <v>1.0466900000000001</v>
      </c>
      <c r="K597" s="19">
        <v>2340.0699999999997</v>
      </c>
      <c r="L597" s="20">
        <v>0.78002333333333329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3170.0699999999997</v>
      </c>
      <c r="X597" s="21">
        <v>0.88057499999999989</v>
      </c>
      <c r="Y597" s="19">
        <v>2370.0699999999997</v>
      </c>
      <c r="Z597" s="20">
        <v>0.65835277777777768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5.5268229689147061E-2</v>
      </c>
    </row>
    <row r="598" spans="1:30" x14ac:dyDescent="0.3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2.0950666666666669</v>
      </c>
      <c r="K598" s="19">
        <v>3635.2000000000007</v>
      </c>
      <c r="L598" s="20">
        <v>1.2117333333333336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3635.2000000000007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6.7485079233755504E-2</v>
      </c>
    </row>
    <row r="599" spans="1:30" x14ac:dyDescent="0.3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2.8454166666666674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7.1911760784887938E-2</v>
      </c>
    </row>
    <row r="600" spans="1:30" x14ac:dyDescent="0.3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2658.0599999999995</v>
      </c>
      <c r="J600" s="20">
        <v>0.88602000000000003</v>
      </c>
      <c r="K600" s="19">
        <v>2658.0599999999995</v>
      </c>
      <c r="L600" s="20">
        <v>0.88601999999999981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2883.0599999999995</v>
      </c>
      <c r="X600" s="21">
        <v>0.80084999999999984</v>
      </c>
      <c r="Y600" s="19">
        <v>2883.0599999999995</v>
      </c>
      <c r="Z600" s="20">
        <v>0.80084999999999984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5.6795811606961483E-2</v>
      </c>
    </row>
    <row r="601" spans="1:30" x14ac:dyDescent="0.3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2.2036200000000004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x14ac:dyDescent="0.3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3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6.4181652420831112E-2</v>
      </c>
    </row>
    <row r="604" spans="1:30" x14ac:dyDescent="0.3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7.0316702746055504E-2</v>
      </c>
    </row>
    <row r="605" spans="1:30" x14ac:dyDescent="0.3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0.51767142857142878</v>
      </c>
      <c r="K605" s="19">
        <v>1291.8499999999999</v>
      </c>
      <c r="L605" s="20">
        <v>0.36909999999999998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1291.8499999999999</v>
      </c>
      <c r="Z605" s="20">
        <v>0.30758333333333332</v>
      </c>
      <c r="AA605" s="30">
        <v>7.2999999999999968E-2</v>
      </c>
      <c r="AB605" s="27">
        <v>0.05</v>
      </c>
      <c r="AC605" s="27">
        <v>7.4900000000000008E-2</v>
      </c>
      <c r="AD605" s="11">
        <v>7.0168281038717334E-2</v>
      </c>
    </row>
    <row r="606" spans="1:30" x14ac:dyDescent="0.3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x14ac:dyDescent="0.3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x14ac:dyDescent="0.3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7.0179752535924456E-2</v>
      </c>
    </row>
    <row r="609" spans="1:30" x14ac:dyDescent="0.3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0.99471333333333323</v>
      </c>
      <c r="K609" s="19">
        <v>2764.1400000000003</v>
      </c>
      <c r="L609" s="20">
        <v>0.92138000000000009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2764.1400000000003</v>
      </c>
      <c r="Z609" s="20">
        <v>0.7678166666666667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3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5915.1299999999983</v>
      </c>
      <c r="J610" s="20">
        <v>1.8484781250000002</v>
      </c>
      <c r="K610" s="19">
        <v>4915.1299999999992</v>
      </c>
      <c r="L610" s="20">
        <v>1.5359781249999997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5953.1299999999983</v>
      </c>
      <c r="X610" s="21">
        <v>1.5502942708333329</v>
      </c>
      <c r="Y610" s="19">
        <v>4953.1299999999992</v>
      </c>
      <c r="Z610" s="20">
        <v>1.2898776041666664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6.4160545076777709E-2</v>
      </c>
    </row>
    <row r="611" spans="1:30" x14ac:dyDescent="0.3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1.6241968749999998</v>
      </c>
      <c r="K611" s="19">
        <v>4847.4299999999994</v>
      </c>
      <c r="L611" s="20">
        <v>1.5148218749999998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4847.4299999999994</v>
      </c>
      <c r="Z611" s="20">
        <v>1.2623515624999999</v>
      </c>
      <c r="AA611" s="30">
        <v>7.1400000000000033E-2</v>
      </c>
      <c r="AB611" s="27">
        <v>0.06</v>
      </c>
      <c r="AC611" s="27">
        <v>7.2099999999999997E-2</v>
      </c>
      <c r="AD611" s="11">
        <v>6.9620939579753835E-2</v>
      </c>
    </row>
    <row r="612" spans="1:30" x14ac:dyDescent="0.3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3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0.93274250000000014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6.4396417017558438E-2</v>
      </c>
    </row>
    <row r="614" spans="1:30" x14ac:dyDescent="0.3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1.2258542857142856</v>
      </c>
      <c r="K614" s="19">
        <v>3105.4900000000007</v>
      </c>
      <c r="L614" s="20">
        <v>0.88728285714285737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3105.4900000000007</v>
      </c>
      <c r="Z614" s="20">
        <v>0.73940238095238109</v>
      </c>
      <c r="AA614" s="30">
        <v>7.1399999999999991E-2</v>
      </c>
      <c r="AB614" s="27">
        <v>0.06</v>
      </c>
      <c r="AC614" s="27">
        <v>7.5800000000000006E-2</v>
      </c>
      <c r="AD614" s="11">
        <v>7.1046659006313961E-2</v>
      </c>
    </row>
    <row r="615" spans="1:30" x14ac:dyDescent="0.3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1628.8300000000002</v>
      </c>
      <c r="L615" s="20">
        <v>0.3878166666666667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1628.8300000000002</v>
      </c>
      <c r="Z615" s="20">
        <v>0.32318055555555558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3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1.0470124999999997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6.567586824417089E-2</v>
      </c>
    </row>
    <row r="617" spans="1:30" x14ac:dyDescent="0.3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1.7198549999999997</v>
      </c>
      <c r="K617" s="19">
        <v>4255.4199999999992</v>
      </c>
      <c r="L617" s="20">
        <v>1.0638549999999998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4807.5199999999995</v>
      </c>
      <c r="Z617" s="20">
        <v>1.0015666666666665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7.0746375857267063E-2</v>
      </c>
    </row>
    <row r="618" spans="1:30" x14ac:dyDescent="0.3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1.2271949999999998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7.1386255851759492E-2</v>
      </c>
    </row>
    <row r="619" spans="1:30" x14ac:dyDescent="0.3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1.5861380952380952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6.3631647247432352E-2</v>
      </c>
    </row>
    <row r="620" spans="1:30" x14ac:dyDescent="0.3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1.1285639999999999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x14ac:dyDescent="0.3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</v>
      </c>
      <c r="J621" s="20">
        <v>1.4871999999999999</v>
      </c>
      <c r="K621" s="19">
        <v>5676.24</v>
      </c>
      <c r="L621" s="20">
        <v>1.3514857142857142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</v>
      </c>
      <c r="X621" s="21">
        <v>1.3544126984126983</v>
      </c>
      <c r="Y621" s="19">
        <v>6256.24</v>
      </c>
      <c r="Z621" s="20">
        <v>1.2413174603174604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x14ac:dyDescent="0.3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1841.91</v>
      </c>
      <c r="J622" s="20">
        <v>0.43855000000000005</v>
      </c>
      <c r="K622" s="19">
        <v>1841.91</v>
      </c>
      <c r="L622" s="20">
        <v>0.43855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1841.91</v>
      </c>
      <c r="X622" s="21">
        <v>0.36545833333333333</v>
      </c>
      <c r="Y622" s="19">
        <v>1841.91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7.5590924638011633E-2</v>
      </c>
    </row>
    <row r="623" spans="1:30" x14ac:dyDescent="0.3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6.4784186101058822E-2</v>
      </c>
    </row>
    <row r="624" spans="1:30" x14ac:dyDescent="0.3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1.6709000000000005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7.2545574241426755E-2</v>
      </c>
    </row>
    <row r="625" spans="1:30" x14ac:dyDescent="0.3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1.2502357142857139</v>
      </c>
      <c r="K625" s="19">
        <v>5020.99</v>
      </c>
      <c r="L625" s="20">
        <v>1.1954738095238095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5152.1399999999994</v>
      </c>
      <c r="Z625" s="20">
        <v>1.0222499999999999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3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x14ac:dyDescent="0.3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5120.6100000000006</v>
      </c>
      <c r="J627" s="20">
        <v>1.3475289473684207</v>
      </c>
      <c r="K627" s="19">
        <v>4390.6100000000006</v>
      </c>
      <c r="L627" s="20">
        <v>1.1554236842105265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5440.6100000000006</v>
      </c>
      <c r="X627" s="21">
        <v>1.1931162280701755</v>
      </c>
      <c r="Y627" s="19">
        <v>4710.6100000000006</v>
      </c>
      <c r="Z627" s="20">
        <v>1.03302850877193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x14ac:dyDescent="0.3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0.9358236842105262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8.1563089088419152E-2</v>
      </c>
    </row>
    <row r="629" spans="1:30" x14ac:dyDescent="0.3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5345.81</v>
      </c>
      <c r="J629" s="20">
        <v>1.2728119047619044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6500.81</v>
      </c>
      <c r="X629" s="21">
        <v>1.2898432539682541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7.0388033805915282E-2</v>
      </c>
    </row>
    <row r="630" spans="1:30" x14ac:dyDescent="0.3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7.7311814586702707E-2</v>
      </c>
    </row>
    <row r="631" spans="1:30" x14ac:dyDescent="0.3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8.0977865308810071E-2</v>
      </c>
    </row>
    <row r="632" spans="1:30" x14ac:dyDescent="0.3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0.75714285714285712</v>
      </c>
      <c r="R632" s="24">
        <v>349.63400000000001</v>
      </c>
      <c r="S632" s="25">
        <v>0.4994771428571429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x14ac:dyDescent="0.3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2365.6800000000003</v>
      </c>
      <c r="J633" s="20">
        <v>0.67590857142857153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2365.6800000000003</v>
      </c>
      <c r="X633" s="21">
        <v>0.5632571428571429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x14ac:dyDescent="0.3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2011.4600000000003</v>
      </c>
      <c r="J634" s="20">
        <v>0.57470285714285729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2011.4600000000003</v>
      </c>
      <c r="X634" s="21">
        <v>0.47891904761904769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x14ac:dyDescent="0.3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8.4209434019254112E-2</v>
      </c>
    </row>
    <row r="636" spans="1:30" x14ac:dyDescent="0.3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7846.369999999999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7866.369999999999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7.0472923147901517E-2</v>
      </c>
    </row>
    <row r="637" spans="1:30" x14ac:dyDescent="0.3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11165.430000000002</v>
      </c>
      <c r="J637" s="20">
        <v>4.4661719999999985</v>
      </c>
      <c r="K637" s="19">
        <v>4962.4399999999987</v>
      </c>
      <c r="L637" s="20">
        <v>1.9849759999999994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11172.640000000001</v>
      </c>
      <c r="X637" s="21">
        <v>3.7242133333333336</v>
      </c>
      <c r="Y637" s="19">
        <v>4969.6499999999987</v>
      </c>
      <c r="Z637" s="20">
        <v>1.6565499999999995</v>
      </c>
      <c r="AA637" s="30">
        <v>7.6800000000000188E-2</v>
      </c>
      <c r="AB637" s="27">
        <v>0.06</v>
      </c>
      <c r="AC637" s="27">
        <v>8.1500000000000003E-2</v>
      </c>
      <c r="AD637" s="11">
        <v>7.5884208669079439E-2</v>
      </c>
    </row>
    <row r="638" spans="1:30" x14ac:dyDescent="0.3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5863.0300000000007</v>
      </c>
      <c r="J638" s="20">
        <v>2.3452120000000005</v>
      </c>
      <c r="K638" s="19">
        <v>4563.03</v>
      </c>
      <c r="L638" s="20">
        <v>1.8252119999999998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6073.0300000000007</v>
      </c>
      <c r="X638" s="21">
        <v>2.0243433333333334</v>
      </c>
      <c r="Y638" s="19">
        <v>4773.03</v>
      </c>
      <c r="Z638" s="20">
        <v>1.5910099999999998</v>
      </c>
      <c r="AA638" s="30">
        <v>8.1000000000000044E-2</v>
      </c>
      <c r="AB638" s="27">
        <v>0.05</v>
      </c>
      <c r="AC638" s="27">
        <v>8.5500000000000007E-2</v>
      </c>
      <c r="AD638" s="11">
        <v>7.9394239838445305E-2</v>
      </c>
    </row>
    <row r="639" spans="1:30" x14ac:dyDescent="0.3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2.1982666666666661</v>
      </c>
      <c r="K639" s="19">
        <v>3854.28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3874.28</v>
      </c>
      <c r="Z639" s="20">
        <v>0.97835353535353542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x14ac:dyDescent="0.3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2.0850393939393936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7.8791886208094339E-2</v>
      </c>
    </row>
    <row r="641" spans="1:30" x14ac:dyDescent="0.3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</v>
      </c>
      <c r="J641" s="20">
        <v>0.87711212121212112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</v>
      </c>
      <c r="X641" s="21">
        <v>0.73092676767676767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8.5408330367908458E-2</v>
      </c>
    </row>
    <row r="642" spans="1:30" x14ac:dyDescent="0.3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7.5111960640664083E-2</v>
      </c>
    </row>
    <row r="643" spans="1:30" x14ac:dyDescent="0.3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3160.1000000000004</v>
      </c>
      <c r="L643" s="20">
        <v>1.0533666666666668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3760.1000000000004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8.679492528514092E-2</v>
      </c>
    </row>
    <row r="644" spans="1:30" x14ac:dyDescent="0.3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6481.5300000000007</v>
      </c>
      <c r="J644" s="20">
        <v>1.6203824999999996</v>
      </c>
      <c r="K644" s="19">
        <v>4866.5300000000007</v>
      </c>
      <c r="L644" s="20">
        <v>1.2166325000000002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6498.3700000000008</v>
      </c>
      <c r="X644" s="21">
        <v>1.3538270833333335</v>
      </c>
      <c r="Y644" s="19">
        <v>4883.3700000000008</v>
      </c>
      <c r="Z644" s="20">
        <v>1.0173687500000002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x14ac:dyDescent="0.3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3264.8900000000008</v>
      </c>
      <c r="J645" s="20">
        <v>0.81622249999999996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3724.8900000000008</v>
      </c>
      <c r="X645" s="21">
        <v>0.7760187500000002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3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7699.5000000000009</v>
      </c>
      <c r="J646" s="20">
        <v>2.333181818181818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7.5722834599649319E-2</v>
      </c>
    </row>
    <row r="647" spans="1:30" x14ac:dyDescent="0.3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1.2815727272727271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x14ac:dyDescent="0.3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5094.1500000000005</v>
      </c>
      <c r="J648" s="20">
        <v>1.5436818181818179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5754.1500000000005</v>
      </c>
      <c r="X648" s="21">
        <v>1.4530681818181819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8.668735215884886E-2</v>
      </c>
    </row>
    <row r="649" spans="1:30" x14ac:dyDescent="0.3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2.9854939393939373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7.4870329157248214E-2</v>
      </c>
    </row>
    <row r="650" spans="1:30" x14ac:dyDescent="0.3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6477.7400000000007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6509.0700000000006</v>
      </c>
      <c r="X650" s="21">
        <v>1.6437045454545456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8.0470569982740908E-2</v>
      </c>
    </row>
    <row r="651" spans="1:30" x14ac:dyDescent="0.3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1.5532121212121206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8.198540268456378E-2</v>
      </c>
    </row>
    <row r="652" spans="1:30" x14ac:dyDescent="0.3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1.4198030303030302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x14ac:dyDescent="0.3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2102.4899999999998</v>
      </c>
      <c r="J653" s="20">
        <v>0.63711818181818169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2231.7399999999998</v>
      </c>
      <c r="X653" s="21">
        <v>0.563570707070707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x14ac:dyDescent="0.3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0.82580909090909094</v>
      </c>
      <c r="K654" s="19">
        <v>1575.17</v>
      </c>
      <c r="L654" s="20">
        <v>0.47732424242424243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1575.17</v>
      </c>
      <c r="Z654" s="20">
        <v>0.39777020202020202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3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10076.120000000001</v>
      </c>
      <c r="J655" s="20">
        <v>1.7372620689655174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10176.230000000001</v>
      </c>
      <c r="X655" s="21">
        <v>1.4621020114942531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x14ac:dyDescent="0.3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0.95683965517241398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x14ac:dyDescent="0.3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0.69621551724137942</v>
      </c>
      <c r="K657" s="19">
        <v>2238.0500000000002</v>
      </c>
      <c r="L657" s="20">
        <v>0.38587068965517246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2238.0500000000002</v>
      </c>
      <c r="Z657" s="20">
        <v>0.32155890804597703</v>
      </c>
      <c r="AA657" s="30">
        <v>8.4499999999999922E-2</v>
      </c>
      <c r="AB657" s="27">
        <v>0.06</v>
      </c>
      <c r="AC657" s="27">
        <v>8.9399999999999993E-2</v>
      </c>
      <c r="AD657" s="11">
        <v>8.4263699062666397E-2</v>
      </c>
    </row>
    <row r="658" spans="1:30" x14ac:dyDescent="0.3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4258.8</v>
      </c>
      <c r="J658" s="20">
        <v>1.7035200000000006</v>
      </c>
      <c r="K658" s="19">
        <v>3308.8</v>
      </c>
      <c r="L658" s="20">
        <v>1.32352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4258.8</v>
      </c>
      <c r="X658" s="21">
        <v>1.4196</v>
      </c>
      <c r="Y658" s="19">
        <v>3308.8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7.5509220907297822E-2</v>
      </c>
    </row>
    <row r="659" spans="1:30" x14ac:dyDescent="0.3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9.0135761960713573E-2</v>
      </c>
    </row>
    <row r="660" spans="1:30" x14ac:dyDescent="0.3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0.92192800000000008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x14ac:dyDescent="0.3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3836.8900000000003</v>
      </c>
      <c r="J661" s="20">
        <v>1.5347560000000002</v>
      </c>
      <c r="K661" s="19">
        <v>2736.8900000000003</v>
      </c>
      <c r="L661" s="20">
        <v>1.0947560000000001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3836.8900000000003</v>
      </c>
      <c r="X661" s="21">
        <v>1.2789633333333335</v>
      </c>
      <c r="Y661" s="19">
        <v>2736.8900000000003</v>
      </c>
      <c r="Z661" s="20">
        <v>0.91229666666666676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8.811300584588036E-2</v>
      </c>
    </row>
    <row r="662" spans="1:30" x14ac:dyDescent="0.3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x14ac:dyDescent="0.3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1.6110782608695657</v>
      </c>
      <c r="K663" s="19">
        <v>5790.9599999999991</v>
      </c>
      <c r="L663" s="20">
        <v>1.2589043478260868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6499.0599999999995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8.3532662435096147E-2</v>
      </c>
    </row>
    <row r="664" spans="1:30" x14ac:dyDescent="0.3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1.5574326086956529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8.9667224068596729E-2</v>
      </c>
    </row>
    <row r="665" spans="1:30" x14ac:dyDescent="0.3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3.1208547619047615</v>
      </c>
      <c r="K665" s="19">
        <v>4857.1900000000005</v>
      </c>
      <c r="L665" s="20">
        <v>1.1564738095238096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4957.2900000000009</v>
      </c>
      <c r="Z665" s="20">
        <v>0.98358928571428583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x14ac:dyDescent="0.3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5849.9800000000005</v>
      </c>
      <c r="J666" s="20">
        <v>1.392852380952381</v>
      </c>
      <c r="K666" s="19">
        <v>5538.4800000000005</v>
      </c>
      <c r="L666" s="20">
        <v>1.3186857142857145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5999.9800000000005</v>
      </c>
      <c r="X666" s="21">
        <v>1.1904722222222224</v>
      </c>
      <c r="Y666" s="19">
        <v>5688.4800000000005</v>
      </c>
      <c r="Z666" s="20">
        <v>1.1286666666666667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9.2564225860601201E-2</v>
      </c>
    </row>
    <row r="667" spans="1:30" x14ac:dyDescent="0.3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8.9365035658570929E-2</v>
      </c>
    </row>
    <row r="668" spans="1:30" x14ac:dyDescent="0.3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x14ac:dyDescent="0.3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0.73966190476190463</v>
      </c>
      <c r="K669" s="19">
        <v>2736.58</v>
      </c>
      <c r="L669" s="20">
        <v>0.65156666666666663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3036.58</v>
      </c>
      <c r="Z669" s="20">
        <v>0.60249603174603172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x14ac:dyDescent="0.3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9.6649359076149743E-2</v>
      </c>
    </row>
    <row r="671" spans="1:30" x14ac:dyDescent="0.3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x14ac:dyDescent="0.3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0.18924242424242424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x14ac:dyDescent="0.3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2866.2900000000004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2879.01</v>
      </c>
      <c r="X673" s="21">
        <v>0.72702272727272732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x14ac:dyDescent="0.3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3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x14ac:dyDescent="0.3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x14ac:dyDescent="0.3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1.8765026315789468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9.3541698512490307E-2</v>
      </c>
    </row>
    <row r="678" spans="1:30" x14ac:dyDescent="0.3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1.9582980000000008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x14ac:dyDescent="0.3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x14ac:dyDescent="0.3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3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x14ac:dyDescent="0.3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x14ac:dyDescent="0.3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3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x14ac:dyDescent="0.3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x14ac:dyDescent="0.3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3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x14ac:dyDescent="0.3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x14ac:dyDescent="0.3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9.9843069180711452E-2</v>
      </c>
    </row>
    <row r="690" spans="1:30" x14ac:dyDescent="0.3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</v>
      </c>
      <c r="J690" s="20">
        <v>1.5867333333333329</v>
      </c>
      <c r="K690" s="19">
        <v>3246.2200000000003</v>
      </c>
      <c r="L690" s="20">
        <v>0.98370303030303041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</v>
      </c>
      <c r="X690" s="21">
        <v>1.3298535353535355</v>
      </c>
      <c r="Y690" s="19">
        <v>3276.2200000000003</v>
      </c>
      <c r="Z690" s="20">
        <v>0.82732828282828286</v>
      </c>
      <c r="AA690" s="30">
        <v>0.10430000000000009</v>
      </c>
      <c r="AB690" s="27">
        <v>0.08</v>
      </c>
      <c r="AC690" s="27">
        <v>0.11</v>
      </c>
      <c r="AD690" s="11">
        <v>0.10350434282745952</v>
      </c>
    </row>
    <row r="691" spans="1:30" x14ac:dyDescent="0.3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4801.1799999999994</v>
      </c>
      <c r="J691" s="20">
        <v>0.96023600000000009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</v>
      </c>
      <c r="X691" s="21">
        <v>0.80471333333333328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9.410671918153457E-2</v>
      </c>
    </row>
    <row r="692" spans="1:30" x14ac:dyDescent="0.3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</v>
      </c>
      <c r="J692" s="20">
        <v>1.2722020000000003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6401.6100000000006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9.9896425567637809E-2</v>
      </c>
    </row>
    <row r="693" spans="1:30" x14ac:dyDescent="0.3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5756.9600000000009</v>
      </c>
      <c r="J693" s="20">
        <v>1.1513920000000002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6756.9600000000009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0.10749194540173983</v>
      </c>
    </row>
    <row r="694" spans="1:30" x14ac:dyDescent="0.3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8623.2400000000016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1.0351999999999999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9658.4400000000023</v>
      </c>
      <c r="X694" s="21">
        <v>1.6097400000000004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9.4459042076991878E-2</v>
      </c>
    </row>
    <row r="695" spans="1:30" x14ac:dyDescent="0.3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8746.2900000000009</v>
      </c>
      <c r="J695" s="20">
        <v>1.7492580000000004</v>
      </c>
      <c r="K695" s="19">
        <v>6396.2899999999991</v>
      </c>
      <c r="L695" s="20">
        <v>1.2792579999999998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9960.8900000000012</v>
      </c>
      <c r="X695" s="21">
        <v>1.6601483333333336</v>
      </c>
      <c r="Y695" s="19">
        <v>7396.2899999999991</v>
      </c>
      <c r="Z695" s="20">
        <v>1.2327149999999998</v>
      </c>
      <c r="AA695" s="30">
        <v>0.10189999999999987</v>
      </c>
      <c r="AB695" s="27">
        <v>0.08</v>
      </c>
      <c r="AC695" s="27">
        <v>0.1036</v>
      </c>
      <c r="AD695" s="11">
        <v>0.10065743017896728</v>
      </c>
    </row>
    <row r="696" spans="1:30" x14ac:dyDescent="0.3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</v>
      </c>
      <c r="J696" s="20">
        <v>1.2667920000000006</v>
      </c>
      <c r="K696" s="19">
        <v>5183.96</v>
      </c>
      <c r="L696" s="20">
        <v>1.0367919999999999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</v>
      </c>
      <c r="X696" s="21">
        <v>1.0606599999999999</v>
      </c>
      <c r="Y696" s="19">
        <v>5213.96</v>
      </c>
      <c r="Z696" s="20">
        <v>0.86899333333333328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3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7219.0000000000009</v>
      </c>
      <c r="J697" s="20">
        <v>1.4438000000000004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7811.1000000000013</v>
      </c>
      <c r="X697" s="21">
        <v>1.3018500000000002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9.4842943343953462E-2</v>
      </c>
    </row>
    <row r="698" spans="1:30" x14ac:dyDescent="0.3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</v>
      </c>
      <c r="J698" s="20">
        <v>0.95139310344827543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</v>
      </c>
      <c r="X698" s="21">
        <v>0.86827298850574719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0.10132932143064254</v>
      </c>
    </row>
    <row r="699" spans="1:30" x14ac:dyDescent="0.3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5024.6799999999985</v>
      </c>
      <c r="J699" s="20">
        <v>0.73892352941176431</v>
      </c>
      <c r="K699" s="19">
        <v>3094.6799999999994</v>
      </c>
      <c r="L699" s="20">
        <v>0.45509999999999989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5524.6799999999985</v>
      </c>
      <c r="X699" s="21">
        <v>0.67704411764705863</v>
      </c>
      <c r="Y699" s="19">
        <v>3594.6799999999994</v>
      </c>
      <c r="Z699" s="20">
        <v>0.44052450980392149</v>
      </c>
      <c r="AA699" s="30">
        <v>0.10849999999999999</v>
      </c>
      <c r="AB699" s="27">
        <v>9.6500000000000002E-2</v>
      </c>
      <c r="AC699" s="27">
        <v>0.115</v>
      </c>
      <c r="AD699" s="11">
        <v>0.10800170657633923</v>
      </c>
    </row>
    <row r="700" spans="1:30" x14ac:dyDescent="0.3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5211.8099999999995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5231.8099999999995</v>
      </c>
      <c r="X700" s="21">
        <v>1.3211641414141413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9.5858953991031906E-2</v>
      </c>
    </row>
    <row r="701" spans="1:30" x14ac:dyDescent="0.3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2165.5699999999997</v>
      </c>
      <c r="Z701" s="20">
        <v>1.0615539215686274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x14ac:dyDescent="0.3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1.8977999999999997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x14ac:dyDescent="0.3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1.7149606060606057</v>
      </c>
      <c r="K703" s="19">
        <v>3844.37</v>
      </c>
      <c r="L703" s="20">
        <v>1.1649606060606059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1.3484848484848484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</v>
      </c>
      <c r="Z703" s="20">
        <v>1.1374671717171716</v>
      </c>
      <c r="AA703" s="30">
        <v>0.10590000000000008</v>
      </c>
      <c r="AB703" s="27">
        <v>0.09</v>
      </c>
      <c r="AC703" s="27">
        <v>0.11070000000000001</v>
      </c>
      <c r="AD703" s="11">
        <v>0.10486713185389893</v>
      </c>
    </row>
    <row r="704" spans="1:30" x14ac:dyDescent="0.3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10444.780000000001</v>
      </c>
      <c r="J704" s="20">
        <v>2.0889560000000009</v>
      </c>
      <c r="K704" s="19">
        <v>9044.7800000000007</v>
      </c>
      <c r="L704" s="20">
        <v>1.8089560000000002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11400.08</v>
      </c>
      <c r="X704" s="21">
        <v>1.9000133333333333</v>
      </c>
      <c r="Y704" s="19">
        <v>10000.08</v>
      </c>
      <c r="Z704" s="20">
        <v>1.6666799999999999</v>
      </c>
      <c r="AA704" s="30">
        <v>9.8399999999999904E-2</v>
      </c>
      <c r="AB704" s="27">
        <v>0.08</v>
      </c>
      <c r="AC704" s="27">
        <v>0.1</v>
      </c>
      <c r="AD704" s="11">
        <v>9.6107278181062697E-2</v>
      </c>
    </row>
    <row r="705" spans="1:30" x14ac:dyDescent="0.3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8846.8300000000017</v>
      </c>
      <c r="J705" s="20">
        <v>1.7693660000000007</v>
      </c>
      <c r="K705" s="19">
        <v>7796.83</v>
      </c>
      <c r="L705" s="20">
        <v>1.559366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8875.5300000000025</v>
      </c>
      <c r="X705" s="21">
        <v>1.4792550000000004</v>
      </c>
      <c r="Y705" s="19">
        <v>7825.53</v>
      </c>
      <c r="Z705" s="20">
        <v>1.3042549999999999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0.10232760796805179</v>
      </c>
    </row>
    <row r="706" spans="1:30" x14ac:dyDescent="0.3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0.82941000000000031</v>
      </c>
      <c r="K706" s="19">
        <v>2397.0499999999997</v>
      </c>
      <c r="L706" s="20">
        <v>0.47940999999999995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2397.0499999999997</v>
      </c>
      <c r="Z706" s="20">
        <v>0.3995083333333333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3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x14ac:dyDescent="0.3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6663.9200000000019</v>
      </c>
      <c r="J708" s="20">
        <v>1.1489517241379303</v>
      </c>
      <c r="K708" s="19">
        <v>6113.920000000001</v>
      </c>
      <c r="L708" s="20">
        <v>1.0541241379310347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6904.0200000000023</v>
      </c>
      <c r="X708" s="21">
        <v>0.99195689655172448</v>
      </c>
      <c r="Y708" s="19">
        <v>6354.0200000000013</v>
      </c>
      <c r="Z708" s="20">
        <v>0.91293390804597718</v>
      </c>
      <c r="AA708" s="30">
        <v>0.10440000000000003</v>
      </c>
      <c r="AB708" s="27">
        <v>0.09</v>
      </c>
      <c r="AC708" s="27">
        <v>0.106</v>
      </c>
      <c r="AD708" s="11">
        <v>0.10334922553091869</v>
      </c>
    </row>
    <row r="709" spans="1:30" x14ac:dyDescent="0.3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5262.8799999999983</v>
      </c>
      <c r="J709" s="20">
        <v>0.90739310344827606</v>
      </c>
      <c r="K709" s="19">
        <v>3962.8800000000006</v>
      </c>
      <c r="L709" s="20">
        <v>0.68325517241379319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5553.3999999999978</v>
      </c>
      <c r="X709" s="21">
        <v>0.7979022988505744</v>
      </c>
      <c r="Y709" s="19">
        <v>4253.4000000000005</v>
      </c>
      <c r="Z709" s="20">
        <v>0.61112068965517252</v>
      </c>
      <c r="AA709" s="30">
        <v>0.10749999999999994</v>
      </c>
      <c r="AB709" s="27">
        <v>0.09</v>
      </c>
      <c r="AC709" s="27">
        <v>0.115</v>
      </c>
      <c r="AD709" s="11">
        <v>0.10643756992369202</v>
      </c>
    </row>
    <row r="710" spans="1:30" x14ac:dyDescent="0.3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1.1508696969696968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9.932622759599459E-2</v>
      </c>
    </row>
    <row r="711" spans="1:30" x14ac:dyDescent="0.3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0.71867424242424227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x14ac:dyDescent="0.3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3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3637.9300000000003</v>
      </c>
      <c r="J713" s="20">
        <v>0.97011466666666646</v>
      </c>
      <c r="K713" s="19">
        <v>3587.9300000000003</v>
      </c>
      <c r="L713" s="20">
        <v>0.95678133333333337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3740.4300000000003</v>
      </c>
      <c r="X713" s="21">
        <v>0.83120666666666676</v>
      </c>
      <c r="Y713" s="19">
        <v>3690.4300000000003</v>
      </c>
      <c r="Z713" s="20">
        <v>0.82009555555555558</v>
      </c>
      <c r="AA713" s="30">
        <v>0.10250000000000002</v>
      </c>
      <c r="AB713" s="27">
        <v>0.09</v>
      </c>
      <c r="AC713" s="27">
        <v>0.10279999999999999</v>
      </c>
      <c r="AD713" s="11">
        <v>9.8616129227335314E-2</v>
      </c>
    </row>
    <row r="714" spans="1:30" x14ac:dyDescent="0.3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2.3979416666666666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x14ac:dyDescent="0.3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0.87735466666666651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0.10533176700870499</v>
      </c>
    </row>
    <row r="716" spans="1:30" x14ac:dyDescent="0.3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2599.4100000000003</v>
      </c>
      <c r="J716" s="20">
        <v>0.69317599999999968</v>
      </c>
      <c r="K716" s="19">
        <v>2599.4100000000003</v>
      </c>
      <c r="L716" s="20">
        <v>0.69317600000000013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2599.4100000000003</v>
      </c>
      <c r="X716" s="21">
        <v>0.57764666666666675</v>
      </c>
      <c r="Y716" s="19">
        <v>2599.4100000000003</v>
      </c>
      <c r="Z716" s="20">
        <v>0.57764666666666675</v>
      </c>
      <c r="AA716" s="30">
        <v>0.10999999999999997</v>
      </c>
      <c r="AB716" s="27">
        <v>9.5000000000000001E-2</v>
      </c>
      <c r="AC716" s="27">
        <v>0.11</v>
      </c>
      <c r="AD716" s="11">
        <v>0.10584607160855732</v>
      </c>
    </row>
    <row r="717" spans="1:30" x14ac:dyDescent="0.3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</v>
      </c>
      <c r="J717" s="20">
        <v>1.9937800000000001</v>
      </c>
      <c r="K717" s="19">
        <v>7275.12</v>
      </c>
      <c r="L717" s="20">
        <v>1.8187800000000001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8805.119999999999</v>
      </c>
      <c r="X717" s="21">
        <v>1.8343999999999998</v>
      </c>
      <c r="Y717" s="19">
        <v>8075.12</v>
      </c>
      <c r="Z717" s="20">
        <v>1.6823166666666667</v>
      </c>
      <c r="AA717" s="30">
        <v>0.10320000000000008</v>
      </c>
      <c r="AB717" s="27">
        <v>0.04</v>
      </c>
      <c r="AC717" s="27">
        <v>0.1045</v>
      </c>
      <c r="AD717" s="11">
        <v>0.10211966026843483</v>
      </c>
    </row>
    <row r="718" spans="1:30" x14ac:dyDescent="0.3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8293.2999999999993</v>
      </c>
      <c r="J718" s="20">
        <v>2.0733249999999992</v>
      </c>
      <c r="K718" s="19">
        <v>6793.2999999999993</v>
      </c>
      <c r="L718" s="20">
        <v>1.6983249999999999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8635.2999999999993</v>
      </c>
      <c r="X718" s="21">
        <v>1.7990208333333333</v>
      </c>
      <c r="Y718" s="19">
        <v>7135.2999999999993</v>
      </c>
      <c r="Z718" s="20">
        <v>1.4865208333333333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0.10641311215077233</v>
      </c>
    </row>
    <row r="719" spans="1:30" x14ac:dyDescent="0.3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0.93425750000000007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</v>
      </c>
    </row>
    <row r="720" spans="1:30" x14ac:dyDescent="0.3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1.7617396551724134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0.10239129915669165</v>
      </c>
    </row>
    <row r="721" spans="1:30" x14ac:dyDescent="0.3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6492.5399999999991</v>
      </c>
      <c r="J721" s="20">
        <v>1.6231349999999996</v>
      </c>
      <c r="K721" s="19">
        <v>5942.54</v>
      </c>
      <c r="L721" s="20">
        <v>1.485635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6512.5399999999991</v>
      </c>
      <c r="X721" s="21">
        <v>1.3567791666666664</v>
      </c>
      <c r="Y721" s="19">
        <v>5962.54</v>
      </c>
      <c r="Z721" s="20">
        <v>1.2421958333333334</v>
      </c>
      <c r="AA721" s="30">
        <v>0.10949999999999996</v>
      </c>
      <c r="AB721" s="27">
        <v>0.05</v>
      </c>
      <c r="AC721" s="27">
        <v>0.1115</v>
      </c>
      <c r="AD721" s="11">
        <v>0.10787720275885861</v>
      </c>
    </row>
    <row r="722" spans="1:30" x14ac:dyDescent="0.3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0.71230909090909089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3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</v>
      </c>
      <c r="J723" s="20">
        <v>0.90970400000000018</v>
      </c>
      <c r="K723" s="19">
        <v>6052.78</v>
      </c>
      <c r="L723" s="20">
        <v>0.80703733333333327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</v>
      </c>
      <c r="X723" s="21">
        <v>0.76112000000000002</v>
      </c>
      <c r="Y723" s="19">
        <v>6080.08</v>
      </c>
      <c r="Z723" s="20">
        <v>0.67556444444444441</v>
      </c>
      <c r="AA723" s="30">
        <v>0.1051000000000001</v>
      </c>
      <c r="AB723" s="27">
        <v>0.06</v>
      </c>
      <c r="AC723" s="27">
        <v>0.10769999999999999</v>
      </c>
      <c r="AD723" s="11">
        <v>0.10366033933381992</v>
      </c>
    </row>
    <row r="724" spans="1:30" x14ac:dyDescent="0.3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8530.2199999999993</v>
      </c>
      <c r="J724" s="20">
        <v>1.1373626666666665</v>
      </c>
      <c r="K724" s="19">
        <v>7570.2199999999993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</v>
      </c>
      <c r="X724" s="21">
        <v>0.95897111111111111</v>
      </c>
      <c r="Y724" s="19">
        <v>7670.74</v>
      </c>
      <c r="Z724" s="20">
        <v>0.85230444444444442</v>
      </c>
      <c r="AA724" s="30">
        <v>0.1109000000000001</v>
      </c>
      <c r="AB724" s="27">
        <v>0.05</v>
      </c>
      <c r="AC724" s="27">
        <v>0.1119</v>
      </c>
      <c r="AD724" s="11">
        <v>0.10893705906764418</v>
      </c>
    </row>
    <row r="725" spans="1:30" x14ac:dyDescent="0.3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6197.9400000000005</v>
      </c>
      <c r="J725" s="20">
        <v>0.82639199999999968</v>
      </c>
      <c r="K725" s="19">
        <v>5147.9400000000005</v>
      </c>
      <c r="L725" s="20">
        <v>0.68639200000000011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7697.9400000000005</v>
      </c>
      <c r="X725" s="21">
        <v>0.85532666666666668</v>
      </c>
      <c r="Y725" s="19">
        <v>6177.5280000000002</v>
      </c>
      <c r="Z725" s="20">
        <v>0.686392</v>
      </c>
      <c r="AA725" s="30">
        <v>0.11479999999999986</v>
      </c>
      <c r="AB725" s="27">
        <v>0.10249999999999999</v>
      </c>
      <c r="AC725" s="27">
        <v>0.1162</v>
      </c>
      <c r="AD725" s="11">
        <v>0.11317536955827256</v>
      </c>
    </row>
    <row r="726" spans="1:30" x14ac:dyDescent="0.3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0.93928103448275901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2.7749999999999997E-2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0.10412901136782902</v>
      </c>
    </row>
    <row r="727" spans="1:30" x14ac:dyDescent="0.3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4950.4099999999989</v>
      </c>
      <c r="J727" s="20">
        <v>1.5001242424242422</v>
      </c>
      <c r="K727" s="19">
        <v>3650.4099999999994</v>
      </c>
      <c r="L727" s="20">
        <v>1.1061848484848482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5698.1299999999992</v>
      </c>
      <c r="X727" s="21">
        <v>1.438921717171717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0.11067530689377246</v>
      </c>
    </row>
    <row r="728" spans="1:30" x14ac:dyDescent="0.3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</v>
      </c>
      <c r="J728" s="20">
        <v>1.1350424242424242</v>
      </c>
      <c r="K728" s="19">
        <v>3545.64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</v>
      </c>
      <c r="X728" s="21">
        <v>0.97112121212121205</v>
      </c>
      <c r="Y728" s="19">
        <v>3645.64</v>
      </c>
      <c r="Z728" s="20">
        <v>0.92061616161616155</v>
      </c>
      <c r="AA728" s="30">
        <v>0.1128</v>
      </c>
      <c r="AB728" s="27">
        <v>0.09</v>
      </c>
      <c r="AC728" s="27">
        <v>0.1143</v>
      </c>
      <c r="AD728" s="11">
        <v>0.11028778393011605</v>
      </c>
    </row>
    <row r="729" spans="1:30" x14ac:dyDescent="0.3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1.5220272727272726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0.10428168172831685</v>
      </c>
    </row>
    <row r="730" spans="1:30" x14ac:dyDescent="0.3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x14ac:dyDescent="0.3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5364.7300000000005</v>
      </c>
      <c r="J731" s="20">
        <v>1.6256757575757574</v>
      </c>
      <c r="K731" s="19">
        <v>4064.7299999999991</v>
      </c>
      <c r="L731" s="20">
        <v>1.2317363636363634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5385.2800000000007</v>
      </c>
      <c r="X731" s="21">
        <v>1.3599191919191922</v>
      </c>
      <c r="Y731" s="19">
        <v>4085.2799999999993</v>
      </c>
      <c r="Z731" s="20">
        <v>1.0316363636363635</v>
      </c>
      <c r="AA731" s="30">
        <v>0.11179999999999989</v>
      </c>
      <c r="AB731" s="27">
        <v>0.09</v>
      </c>
      <c r="AC731" s="27">
        <v>0.1128</v>
      </c>
      <c r="AD731" s="11">
        <v>0.110723475365955</v>
      </c>
    </row>
    <row r="732" spans="1:30" x14ac:dyDescent="0.3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1.0976040000000005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0.11490354007456245</v>
      </c>
    </row>
    <row r="733" spans="1:30" x14ac:dyDescent="0.3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6717.6399999999994</v>
      </c>
      <c r="J733" s="20">
        <v>1.1582137931034477</v>
      </c>
      <c r="K733" s="19">
        <v>6017.6399999999994</v>
      </c>
      <c r="L733" s="20">
        <v>1.0375241379310345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7147.6399999999994</v>
      </c>
      <c r="X733" s="21">
        <v>1.0269597701149424</v>
      </c>
      <c r="Y733" s="19">
        <v>6447.6399999999994</v>
      </c>
      <c r="Z733" s="20">
        <v>0.92638505747126432</v>
      </c>
      <c r="AA733" s="30">
        <v>0.10689999999999993</v>
      </c>
      <c r="AB733" s="27">
        <v>0.09</v>
      </c>
      <c r="AC733" s="27">
        <v>0.1168</v>
      </c>
      <c r="AD733" s="11">
        <v>0.10567177386701286</v>
      </c>
    </row>
    <row r="734" spans="1:30" x14ac:dyDescent="0.3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</v>
      </c>
      <c r="J734" s="20">
        <v>2.2628706896551725</v>
      </c>
      <c r="K734" s="19">
        <v>10674.65</v>
      </c>
      <c r="L734" s="20">
        <v>1.8404568965517241</v>
      </c>
      <c r="M734" s="21">
        <v>0</v>
      </c>
      <c r="N734" s="19">
        <v>0</v>
      </c>
      <c r="O734" s="23">
        <v>1160</v>
      </c>
      <c r="P734" s="24">
        <v>1137.3600000000001</v>
      </c>
      <c r="Q734" s="25">
        <v>0.98048275862068968</v>
      </c>
      <c r="R734" s="24">
        <v>1137.3600000000001</v>
      </c>
      <c r="S734" s="25">
        <v>0.98048275862068979</v>
      </c>
      <c r="T734" s="26">
        <v>0</v>
      </c>
      <c r="U734" s="24">
        <v>0</v>
      </c>
      <c r="V734" s="19">
        <v>6960</v>
      </c>
      <c r="W734" s="19">
        <v>14262.01</v>
      </c>
      <c r="X734" s="21">
        <v>2.0491393678160921</v>
      </c>
      <c r="Y734" s="19">
        <v>11812.01</v>
      </c>
      <c r="Z734" s="20">
        <v>1.6971278735632185</v>
      </c>
      <c r="AA734" s="30">
        <v>0.11229999999999994</v>
      </c>
      <c r="AB734" s="27">
        <v>0.05</v>
      </c>
      <c r="AC734" s="27">
        <v>0.11349999999999999</v>
      </c>
      <c r="AD734" s="11">
        <v>0.11098369221274471</v>
      </c>
    </row>
    <row r="735" spans="1:30" x14ac:dyDescent="0.3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6498.0999999999995</v>
      </c>
      <c r="J735" s="20">
        <v>1.2996200000000004</v>
      </c>
      <c r="K735" s="19">
        <v>4698.1000000000004</v>
      </c>
      <c r="L735" s="20">
        <v>0.93962000000000012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6918.0999999999995</v>
      </c>
      <c r="X735" s="21">
        <v>1.1530166666666666</v>
      </c>
      <c r="Y735" s="19">
        <v>5118.1000000000004</v>
      </c>
      <c r="Z735" s="20">
        <v>0.85301666666666676</v>
      </c>
      <c r="AA735" s="30">
        <v>0.11439999999999988</v>
      </c>
      <c r="AB735" s="27">
        <v>0.05</v>
      </c>
      <c r="AC735" s="27">
        <v>0.122</v>
      </c>
      <c r="AD735" s="11">
        <v>0.11129107277511888</v>
      </c>
    </row>
    <row r="736" spans="1:30" x14ac:dyDescent="0.3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1.5828559523809518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0.33889880952380957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0.10629400473375807</v>
      </c>
    </row>
    <row r="737" spans="1:30" x14ac:dyDescent="0.3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5289.8199999999988</v>
      </c>
      <c r="J737" s="20">
        <v>0.91203793103448272</v>
      </c>
      <c r="K737" s="19">
        <v>4189.82</v>
      </c>
      <c r="L737" s="20">
        <v>0.72238275862068957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5289.8199999999988</v>
      </c>
      <c r="X737" s="21">
        <v>0.76003160919540214</v>
      </c>
      <c r="Y737" s="19">
        <v>4189.82</v>
      </c>
      <c r="Z737" s="20">
        <v>0.60198563218390799</v>
      </c>
      <c r="AA737" s="30">
        <v>0.11289999999999985</v>
      </c>
      <c r="AB737" s="27">
        <v>0.09</v>
      </c>
      <c r="AC737" s="27">
        <v>0.11699999999999999</v>
      </c>
      <c r="AD737" s="11">
        <v>0.11245536180815226</v>
      </c>
    </row>
    <row r="738" spans="1:30" x14ac:dyDescent="0.3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0.42194827586206896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3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1.4860362068965518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x14ac:dyDescent="0.3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</v>
      </c>
      <c r="K740" s="19">
        <v>6803.97</v>
      </c>
      <c r="L740" s="20">
        <v>1.1730982758620689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</v>
      </c>
      <c r="Z740" s="20">
        <v>1.1112787356321838</v>
      </c>
      <c r="AA740" s="30">
        <v>0.11329999999999996</v>
      </c>
      <c r="AB740" s="27">
        <v>0.1</v>
      </c>
      <c r="AC740" s="27">
        <v>0.1148</v>
      </c>
      <c r="AD740" s="11">
        <v>0.11165684389549194</v>
      </c>
    </row>
    <row r="741" spans="1:30" x14ac:dyDescent="0.3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</v>
      </c>
      <c r="J741" s="20">
        <v>0.6164820000000002</v>
      </c>
      <c r="K741" s="19">
        <v>3082.41</v>
      </c>
      <c r="L741" s="20">
        <v>0.61648199999999997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</v>
      </c>
      <c r="X741" s="21">
        <v>0.52373499999999995</v>
      </c>
      <c r="Y741" s="19">
        <v>3142.41</v>
      </c>
      <c r="Z741" s="20">
        <v>0.52373499999999995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3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0.10687623053028349</v>
      </c>
    </row>
    <row r="743" spans="1:30" x14ac:dyDescent="0.3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1.5965833333333335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0.11901796544704842</v>
      </c>
    </row>
    <row r="744" spans="1:30" x14ac:dyDescent="0.3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1.1866147058823528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745.07</v>
      </c>
      <c r="Q744" s="25">
        <v>1.0956911764705881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0.11340933376957189</v>
      </c>
    </row>
    <row r="745" spans="1:30" x14ac:dyDescent="0.3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</v>
      </c>
      <c r="J745" s="20">
        <v>0.72136470588235302</v>
      </c>
      <c r="K745" s="19">
        <v>2352.64</v>
      </c>
      <c r="L745" s="20">
        <v>0.69195294117647055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3135.5699999999997</v>
      </c>
      <c r="X745" s="21">
        <v>0.76852205882352931</v>
      </c>
      <c r="Y745" s="19">
        <v>2823.1679999999997</v>
      </c>
      <c r="Z745" s="20">
        <v>0.69195294117647055</v>
      </c>
      <c r="AA745" s="30">
        <v>0.11890000000000001</v>
      </c>
      <c r="AB745" s="27">
        <v>0.1</v>
      </c>
      <c r="AC745" s="27">
        <v>0.11939999999999999</v>
      </c>
      <c r="AD745" s="11">
        <v>0.11698468996672974</v>
      </c>
    </row>
    <row r="746" spans="1:30" x14ac:dyDescent="0.3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4912.840000000002</v>
      </c>
      <c r="J746" s="20">
        <v>0.98256800000000033</v>
      </c>
      <c r="K746" s="19">
        <v>4912.840000000002</v>
      </c>
      <c r="L746" s="20">
        <v>0.98256800000000044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5332.840000000002</v>
      </c>
      <c r="X746" s="21">
        <v>0.88880666666666697</v>
      </c>
      <c r="Y746" s="19">
        <v>5332.840000000002</v>
      </c>
      <c r="Z746" s="20">
        <v>0.88880666666666697</v>
      </c>
      <c r="AA746" s="30">
        <v>0.11079999999999991</v>
      </c>
      <c r="AB746" s="27">
        <v>0.09</v>
      </c>
      <c r="AC746" s="27">
        <v>0.1108</v>
      </c>
      <c r="AD746" s="11">
        <v>0.1079359494711816</v>
      </c>
    </row>
    <row r="747" spans="1:30" x14ac:dyDescent="0.3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0.83351333333333344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0.11414204851752022</v>
      </c>
    </row>
    <row r="748" spans="1:30" x14ac:dyDescent="0.3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0.75049482758620689</v>
      </c>
      <c r="K748" s="19">
        <v>3202.8699999999994</v>
      </c>
      <c r="L748" s="20">
        <v>0.55221896551724126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3222.8699999999994</v>
      </c>
      <c r="Z748" s="20">
        <v>0.46305603448275856</v>
      </c>
      <c r="AA748" s="30">
        <v>0.11890000000000001</v>
      </c>
      <c r="AB748" s="27">
        <v>0.1</v>
      </c>
      <c r="AC748" s="27">
        <v>0.12390000000000001</v>
      </c>
      <c r="AD748" s="11">
        <v>0.117224374263417</v>
      </c>
    </row>
    <row r="749" spans="1:30" x14ac:dyDescent="0.3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10010.900000000001</v>
      </c>
      <c r="J749" s="20">
        <v>1.7260172413793113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10399.050000000001</v>
      </c>
      <c r="X749" s="21">
        <v>1.4941163793103449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</v>
      </c>
    </row>
    <row r="750" spans="1:30" x14ac:dyDescent="0.3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</v>
      </c>
      <c r="J750" s="20">
        <v>1.8274620000000001</v>
      </c>
      <c r="K750" s="19">
        <v>7407.31</v>
      </c>
      <c r="L750" s="20">
        <v>1.4814620000000001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</v>
      </c>
      <c r="X750" s="21">
        <v>1.587885</v>
      </c>
      <c r="Y750" s="19">
        <v>7797.31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0.11575001887864154</v>
      </c>
    </row>
    <row r="751" spans="1:30" x14ac:dyDescent="0.3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5007.7899999999991</v>
      </c>
      <c r="J751" s="20">
        <v>1.1923309523809522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5007.9599999999991</v>
      </c>
      <c r="X751" s="21">
        <v>0.99364285714285694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0.11934518220612289</v>
      </c>
    </row>
    <row r="752" spans="1:30" x14ac:dyDescent="0.3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11544.330000000002</v>
      </c>
      <c r="J752" s="20">
        <v>1.7491409090909087</v>
      </c>
      <c r="K752" s="19">
        <v>10294.330000000002</v>
      </c>
      <c r="L752" s="20">
        <v>1.5597469696969699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12142.960000000001</v>
      </c>
      <c r="X752" s="21">
        <v>1.5332020202020202</v>
      </c>
      <c r="Y752" s="19">
        <v>10892.960000000001</v>
      </c>
      <c r="Z752" s="20">
        <v>1.3753737373737376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0.11064780112834614</v>
      </c>
    </row>
    <row r="753" spans="1:30" x14ac:dyDescent="0.3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6431.3500000000013</v>
      </c>
      <c r="J753" s="20">
        <v>1.5312738095238101</v>
      </c>
      <c r="K753" s="19">
        <v>5641.3500000000013</v>
      </c>
      <c r="L753" s="20">
        <v>1.3431785714285718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6734.4500000000016</v>
      </c>
      <c r="X753" s="21">
        <v>1.336200396825397</v>
      </c>
      <c r="Y753" s="19">
        <v>5944.4500000000016</v>
      </c>
      <c r="Z753" s="20">
        <v>1.1794543650793654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x14ac:dyDescent="0.3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1.2495976190476186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3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x14ac:dyDescent="0.3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</v>
      </c>
      <c r="J756" s="20">
        <v>0.79040800000000011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</v>
      </c>
      <c r="X756" s="21">
        <v>0.82533999999999996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0.12182242082570015</v>
      </c>
    </row>
    <row r="757" spans="1:30" x14ac:dyDescent="0.3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4757.2899999999991</v>
      </c>
      <c r="J757" s="20">
        <v>1.1326880952380949</v>
      </c>
      <c r="K757" s="19">
        <v>4657.2899999999991</v>
      </c>
      <c r="L757" s="20">
        <v>1.1088785714285712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4797.3899999999994</v>
      </c>
      <c r="X757" s="21">
        <v>0.95186309523809509</v>
      </c>
      <c r="Y757" s="19">
        <v>4697.3899999999994</v>
      </c>
      <c r="Z757" s="20">
        <v>0.93202182539682532</v>
      </c>
      <c r="AA757" s="30">
        <v>0.11789999999999994</v>
      </c>
      <c r="AB757" s="27">
        <v>0.1</v>
      </c>
      <c r="AC757" s="27">
        <v>0.1183</v>
      </c>
      <c r="AD757" s="11">
        <v>0.11633495960935744</v>
      </c>
    </row>
    <row r="758" spans="1:30" x14ac:dyDescent="0.3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1692.6800000000003</v>
      </c>
      <c r="J758" s="20">
        <v>0.51293333333333346</v>
      </c>
      <c r="K758" s="19">
        <v>1692.6800000000003</v>
      </c>
      <c r="L758" s="20">
        <v>0.51293333333333346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1692.6800000000003</v>
      </c>
      <c r="X758" s="21">
        <v>0.42744444444444452</v>
      </c>
      <c r="Y758" s="19">
        <v>1692.6800000000003</v>
      </c>
      <c r="Z758" s="20">
        <v>0.42744444444444452</v>
      </c>
      <c r="AA758" s="30">
        <v>0.12139999999999998</v>
      </c>
      <c r="AB758" s="27">
        <v>0.1</v>
      </c>
      <c r="AC758" s="27">
        <v>0.12140000000000001</v>
      </c>
      <c r="AD758" s="11">
        <v>0.11993417834440058</v>
      </c>
    </row>
    <row r="759" spans="1:30" x14ac:dyDescent="0.3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0.72007999999999994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0.11168813881790912</v>
      </c>
    </row>
    <row r="760" spans="1:30" x14ac:dyDescent="0.3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0.8741465517241378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x14ac:dyDescent="0.3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1.4078800000000005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0.50102999999999998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0.11870868937693552</v>
      </c>
    </row>
    <row r="762" spans="1:30" x14ac:dyDescent="0.3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1.2482469696969694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x14ac:dyDescent="0.3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7618.82</v>
      </c>
      <c r="J763" s="20">
        <v>1.3135896551724138</v>
      </c>
      <c r="K763" s="19">
        <v>5881.82</v>
      </c>
      <c r="L763" s="20">
        <v>1.0141068965517241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8048.82</v>
      </c>
      <c r="X763" s="21">
        <v>1.1564396551724136</v>
      </c>
      <c r="Y763" s="19">
        <v>6311.82</v>
      </c>
      <c r="Z763" s="20">
        <v>0.90687068965517237</v>
      </c>
      <c r="AA763" s="30">
        <v>0.11890000000000001</v>
      </c>
      <c r="AB763" s="27">
        <v>0.1</v>
      </c>
      <c r="AC763" s="27">
        <v>0.121</v>
      </c>
      <c r="AD763" s="11">
        <v>0.11821897288556495</v>
      </c>
    </row>
    <row r="764" spans="1:30" x14ac:dyDescent="0.3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1.8043928571428569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0.12128679901562983</v>
      </c>
    </row>
    <row r="765" spans="1:30" x14ac:dyDescent="0.3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13394.179999999997</v>
      </c>
      <c r="J765" s="20">
        <v>2.0294212121212118</v>
      </c>
      <c r="K765" s="19">
        <v>12294.179999999997</v>
      </c>
      <c r="L765" s="20">
        <v>1.8627545454545449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13857.479999999996</v>
      </c>
      <c r="X765" s="21">
        <v>1.7496818181818177</v>
      </c>
      <c r="Y765" s="19">
        <v>12757.479999999996</v>
      </c>
      <c r="Z765" s="20">
        <v>1.6107929292929288</v>
      </c>
      <c r="AA765" s="30">
        <v>0.11530000000000012</v>
      </c>
      <c r="AB765" s="27">
        <v>0.09</v>
      </c>
      <c r="AC765" s="27">
        <v>0.11630000000000001</v>
      </c>
      <c r="AD765" s="11">
        <v>0.11417611156487374</v>
      </c>
    </row>
    <row r="766" spans="1:30" x14ac:dyDescent="0.3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0.90897068965517214</v>
      </c>
      <c r="K766" s="19">
        <v>3281.5299999999993</v>
      </c>
      <c r="L766" s="20">
        <v>0.56578103448275852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3283.6199999999994</v>
      </c>
      <c r="Z766" s="20">
        <v>0.47178448275862062</v>
      </c>
      <c r="AA766" s="30">
        <v>0.11890000000000001</v>
      </c>
      <c r="AB766" s="27">
        <v>0.04</v>
      </c>
      <c r="AC766" s="27">
        <v>0.1231</v>
      </c>
      <c r="AD766" s="11">
        <v>0.11808804862643042</v>
      </c>
    </row>
    <row r="767" spans="1:30" x14ac:dyDescent="0.3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0.55894285714285707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0.12015664093782477</v>
      </c>
    </row>
    <row r="768" spans="1:30" x14ac:dyDescent="0.3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4514.9500000000016</v>
      </c>
      <c r="J768" s="20">
        <v>0.90299000000000018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5182.4500000000016</v>
      </c>
      <c r="X768" s="21">
        <v>0.86374166666666696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x14ac:dyDescent="0.3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1.0264840000000002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0.11819993589768571</v>
      </c>
    </row>
    <row r="770" spans="1:30" x14ac:dyDescent="0.3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3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1.1807285714285713</v>
      </c>
      <c r="K771" s="19">
        <v>4009.06</v>
      </c>
      <c r="L771" s="20">
        <v>0.95453809523809519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4119.0599999999995</v>
      </c>
      <c r="Z771" s="20">
        <v>0.81727380952380946</v>
      </c>
      <c r="AA771" s="30">
        <v>0.11569999999999994</v>
      </c>
      <c r="AB771" s="27">
        <v>0.1</v>
      </c>
      <c r="AC771" s="27">
        <v>0.11749999999999999</v>
      </c>
      <c r="AD771" s="11">
        <v>0.11400302678330167</v>
      </c>
    </row>
    <row r="772" spans="1:30" x14ac:dyDescent="0.3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4.5169699999999979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x14ac:dyDescent="0.3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</v>
      </c>
      <c r="J773" s="20">
        <v>0.88849999999999985</v>
      </c>
      <c r="K773" s="19">
        <v>2382.0500000000002</v>
      </c>
      <c r="L773" s="20">
        <v>0.72183333333333344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</v>
      </c>
      <c r="X773" s="21">
        <v>0.74041666666666672</v>
      </c>
      <c r="Y773" s="19">
        <v>2382.0500000000002</v>
      </c>
      <c r="Z773" s="20">
        <v>0.60152777777777777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x14ac:dyDescent="0.3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4539.0700000000024</v>
      </c>
      <c r="J774" s="20">
        <v>1.375475757575757</v>
      </c>
      <c r="K774" s="19">
        <v>4539.0700000000024</v>
      </c>
      <c r="L774" s="20">
        <v>1.3754757575757584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4539.0700000000024</v>
      </c>
      <c r="X774" s="21">
        <v>1.1462297979797986</v>
      </c>
      <c r="Y774" s="19">
        <v>4539.0700000000024</v>
      </c>
      <c r="Z774" s="20">
        <v>1.1462297979797986</v>
      </c>
      <c r="AA774" s="30">
        <v>0.12140000000000017</v>
      </c>
      <c r="AB774" s="27">
        <v>0.1</v>
      </c>
      <c r="AC774" s="27">
        <v>0.12140000000000001</v>
      </c>
      <c r="AD774" s="11">
        <v>0.11872818220472467</v>
      </c>
    </row>
    <row r="775" spans="1:30" x14ac:dyDescent="0.3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6338.3600000000006</v>
      </c>
      <c r="J775" s="20">
        <v>1.509133333333333</v>
      </c>
      <c r="K775" s="19">
        <v>6078.3600000000006</v>
      </c>
      <c r="L775" s="20">
        <v>1.4472285714285715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6683.8600000000006</v>
      </c>
      <c r="X775" s="21">
        <v>1.3261626984126986</v>
      </c>
      <c r="Y775" s="19">
        <v>6423.8600000000006</v>
      </c>
      <c r="Z775" s="20">
        <v>1.274575396825397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0.11502345401649636</v>
      </c>
    </row>
    <row r="776" spans="1:30" x14ac:dyDescent="0.3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1.1660190476190475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0.11873967079685049</v>
      </c>
    </row>
    <row r="777" spans="1:30" x14ac:dyDescent="0.3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3.4520818181818171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0.11958135670438656</v>
      </c>
    </row>
    <row r="778" spans="1:30" x14ac:dyDescent="0.3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4000.1000000000004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4030.1000000000004</v>
      </c>
      <c r="X778" s="21">
        <v>0.67168333333333341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0.11456170595735107</v>
      </c>
    </row>
    <row r="779" spans="1:30" x14ac:dyDescent="0.3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6262.2699999999995</v>
      </c>
      <c r="J779" s="20">
        <v>1.252454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0.54039000000000004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</v>
      </c>
      <c r="X779" s="21">
        <v>1.1337766666666667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0.11828468798055661</v>
      </c>
    </row>
    <row r="780" spans="1:30" x14ac:dyDescent="0.3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5738.75</v>
      </c>
      <c r="J780" s="20">
        <v>1.4346875000000003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5968.75</v>
      </c>
      <c r="X780" s="21">
        <v>1.2434895833333333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3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0.11507088708558297</v>
      </c>
    </row>
    <row r="782" spans="1:30" x14ac:dyDescent="0.3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6185.2300000000005</v>
      </c>
      <c r="J782" s="20">
        <v>1.8743121212121201</v>
      </c>
      <c r="K782" s="19">
        <v>5116.9300000000012</v>
      </c>
      <c r="L782" s="20">
        <v>1.5505848484848488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6726.09</v>
      </c>
      <c r="X782" s="21">
        <v>1.6985075757575758</v>
      </c>
      <c r="Y782" s="19">
        <v>5657.7900000000009</v>
      </c>
      <c r="Z782" s="20">
        <v>1.4287348484848488</v>
      </c>
      <c r="AA782" s="30">
        <v>0.1196000000000001</v>
      </c>
      <c r="AB782" s="27">
        <v>0.05</v>
      </c>
      <c r="AC782" s="27">
        <v>0.12140000000000001</v>
      </c>
      <c r="AD782" s="11">
        <v>0.11734414888371165</v>
      </c>
    </row>
    <row r="783" spans="1:30" x14ac:dyDescent="0.3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2.0140939393939381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0.11924064689588973</v>
      </c>
    </row>
    <row r="784" spans="1:30" x14ac:dyDescent="0.3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1.3778948275862068</v>
      </c>
      <c r="K784" s="19">
        <v>7016.7900000000009</v>
      </c>
      <c r="L784" s="20">
        <v>1.209791379310345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1.1563362068965515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8176.7900000000009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0.11520329112751965</v>
      </c>
    </row>
    <row r="785" spans="1:30" x14ac:dyDescent="0.3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3.5738880000000011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0.11891161468966005</v>
      </c>
    </row>
    <row r="786" spans="1:30" x14ac:dyDescent="0.3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2.0300238095238092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0.11718846412779585</v>
      </c>
    </row>
    <row r="787" spans="1:30" x14ac:dyDescent="0.3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5987.48</v>
      </c>
      <c r="J787" s="20">
        <v>1.4255904761904759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6727.48</v>
      </c>
      <c r="X787" s="21">
        <v>1.3348174603174603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0.11778075467475464</v>
      </c>
    </row>
    <row r="788" spans="1:30" x14ac:dyDescent="0.3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</v>
      </c>
    </row>
    <row r="789" spans="1:30" x14ac:dyDescent="0.3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0.56346470588235287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0.11823618265145268</v>
      </c>
    </row>
    <row r="790" spans="1:30" x14ac:dyDescent="0.3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</v>
      </c>
      <c r="J790" s="20">
        <v>2.0676140000000012</v>
      </c>
      <c r="K790" s="19">
        <v>10000</v>
      </c>
      <c r="L790" s="20">
        <v>2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</v>
      </c>
      <c r="X790" s="21">
        <v>2.1063450000000001</v>
      </c>
      <c r="Y790" s="19">
        <v>11000</v>
      </c>
      <c r="Z790" s="20">
        <v>1.8333333333333333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3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</v>
      </c>
      <c r="J791" s="20">
        <v>1.502702</v>
      </c>
      <c r="K791" s="19">
        <v>6588.51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</v>
      </c>
      <c r="X791" s="21">
        <v>1.3445016666666667</v>
      </c>
      <c r="Y791" s="19">
        <v>7142.01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x14ac:dyDescent="0.3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4872.9400000000014</v>
      </c>
      <c r="J792" s="20">
        <v>0.97458800000000068</v>
      </c>
      <c r="K792" s="19">
        <v>4522.9400000000014</v>
      </c>
      <c r="L792" s="20">
        <v>0.90458800000000028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5873.9600000000009</v>
      </c>
      <c r="X792" s="21">
        <v>0.97899333333333349</v>
      </c>
      <c r="Y792" s="19">
        <v>5427.5280000000012</v>
      </c>
      <c r="Z792" s="20">
        <v>0.90458800000000017</v>
      </c>
      <c r="AA792" s="30">
        <v>0.11950000000000018</v>
      </c>
      <c r="AB792" s="27">
        <v>0.1</v>
      </c>
      <c r="AC792" s="27">
        <v>0.1207</v>
      </c>
      <c r="AD792" s="11">
        <v>0.11749751341079508</v>
      </c>
    </row>
    <row r="793" spans="1:30" x14ac:dyDescent="0.3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4580.8999999999996</v>
      </c>
      <c r="J793" s="20">
        <v>1.0906904761904757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4580.8999999999996</v>
      </c>
      <c r="X793" s="21">
        <v>0.90890873015873008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0.11837994608046459</v>
      </c>
    </row>
    <row r="794" spans="1:30" x14ac:dyDescent="0.3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1.2245620000000002</v>
      </c>
      <c r="K794" s="19">
        <v>5582.81</v>
      </c>
      <c r="L794" s="20">
        <v>1.1165620000000001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6141.6100000000006</v>
      </c>
      <c r="Z794" s="20">
        <v>1.0236016666666667</v>
      </c>
      <c r="AA794" s="30">
        <v>0.11720000000000004</v>
      </c>
      <c r="AB794" s="27">
        <v>0.09</v>
      </c>
      <c r="AC794" s="27">
        <v>0.11849999999999999</v>
      </c>
      <c r="AD794" s="11">
        <v>0.11573364321283855</v>
      </c>
    </row>
    <row r="795" spans="1:30" x14ac:dyDescent="0.3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0.98074848484848431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0.11818373320315034</v>
      </c>
    </row>
    <row r="796" spans="1:30" x14ac:dyDescent="0.3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9561.1800000000021</v>
      </c>
      <c r="J796" s="20">
        <v>1.2748239999999993</v>
      </c>
      <c r="K796" s="19">
        <v>7626.1800000000012</v>
      </c>
      <c r="L796" s="20">
        <v>1.0168240000000002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12561.180000000002</v>
      </c>
      <c r="X796" s="21">
        <v>1.395686666666667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0.11841367540408188</v>
      </c>
    </row>
    <row r="797" spans="1:30" x14ac:dyDescent="0.3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3763.0499999999997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</v>
      </c>
      <c r="Z797" s="20">
        <v>0.95103535353535351</v>
      </c>
      <c r="AA797" s="30">
        <v>0.11730000000000004</v>
      </c>
      <c r="AB797" s="27">
        <v>0.1</v>
      </c>
      <c r="AC797" s="27">
        <v>0.11900000000000001</v>
      </c>
      <c r="AD797" s="11">
        <v>0.11582410492307321</v>
      </c>
    </row>
    <row r="798" spans="1:30" x14ac:dyDescent="0.3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2339.0400000000004</v>
      </c>
      <c r="J798" s="20">
        <v>0.46780800000000006</v>
      </c>
      <c r="K798" s="19">
        <v>2339.0400000000004</v>
      </c>
      <c r="L798" s="20">
        <v>0.46780800000000006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2423.2100000000005</v>
      </c>
      <c r="X798" s="21">
        <v>0.40386833333333344</v>
      </c>
      <c r="Y798" s="19">
        <v>2423.2100000000005</v>
      </c>
      <c r="Z798" s="20">
        <v>0.40386833333333344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x14ac:dyDescent="0.3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0.11842896688101484</v>
      </c>
    </row>
    <row r="800" spans="1:30" x14ac:dyDescent="0.3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1.5409142857142852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0.11534139811861852</v>
      </c>
    </row>
    <row r="801" spans="1:30" x14ac:dyDescent="0.3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496.69200000000001</v>
      </c>
      <c r="S801" s="25">
        <v>0.99338400000000004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0.11690485400596638</v>
      </c>
    </row>
    <row r="802" spans="1:30" x14ac:dyDescent="0.3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4288.22</v>
      </c>
      <c r="J802" s="20">
        <v>2.5224823529411755</v>
      </c>
      <c r="K802" s="19">
        <v>2112.9299999999998</v>
      </c>
      <c r="L802" s="20">
        <v>1.2428999999999999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4371.71</v>
      </c>
      <c r="X802" s="21">
        <v>2.1429950980392158</v>
      </c>
      <c r="Y802" s="19">
        <v>2196.4199999999996</v>
      </c>
      <c r="Z802" s="20">
        <v>1.076676470588235</v>
      </c>
      <c r="AA802" s="30">
        <v>0.11599999999999994</v>
      </c>
      <c r="AB802" s="27">
        <v>0.1</v>
      </c>
      <c r="AC802" s="27">
        <v>0.12039999999999999</v>
      </c>
      <c r="AD802" s="11">
        <v>0.11662509526097073</v>
      </c>
    </row>
    <row r="803" spans="1:30" x14ac:dyDescent="0.3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10616.580000000004</v>
      </c>
      <c r="J803" s="20">
        <v>4.2466320000000026</v>
      </c>
      <c r="K803" s="19">
        <v>5000.0000000000009</v>
      </c>
      <c r="L803" s="20">
        <v>2.0000000000000004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11616.780000000004</v>
      </c>
      <c r="X803" s="21">
        <v>3.8722600000000016</v>
      </c>
      <c r="Y803" s="19">
        <v>5500.0000000000009</v>
      </c>
      <c r="Z803" s="20">
        <v>1.8333333333333337</v>
      </c>
      <c r="AA803" s="30">
        <v>0.11399999999999993</v>
      </c>
      <c r="AB803" s="27">
        <v>0.105</v>
      </c>
      <c r="AC803" s="27">
        <v>0.12029999999999999</v>
      </c>
      <c r="AD803" s="11">
        <v>0.1142655632981619</v>
      </c>
    </row>
    <row r="804" spans="1:30" x14ac:dyDescent="0.3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10755.080000000002</v>
      </c>
      <c r="J804" s="20">
        <v>1.9916814814814814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11205.580000000002</v>
      </c>
      <c r="X804" s="21">
        <v>1.7292561728395064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0.11074036948121255</v>
      </c>
    </row>
    <row r="805" spans="1:30" x14ac:dyDescent="0.3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1.3203055555555547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x14ac:dyDescent="0.3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0.11373922778945847</v>
      </c>
    </row>
    <row r="807" spans="1:30" x14ac:dyDescent="0.3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0.11404269652707162</v>
      </c>
    </row>
    <row r="808" spans="1:30" x14ac:dyDescent="0.3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0.11528109917329459</v>
      </c>
    </row>
    <row r="809" spans="1:30" x14ac:dyDescent="0.3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9294.65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10294.65</v>
      </c>
      <c r="X809" s="21">
        <v>1.7157750000000001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</v>
      </c>
    </row>
    <row r="810" spans="1:30" x14ac:dyDescent="0.3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5079.9000000000005</v>
      </c>
      <c r="J810" s="20">
        <v>1.5393636363636365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5240.0000000000009</v>
      </c>
      <c r="X810" s="21">
        <v>1.3232323232323235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0.11361256560168502</v>
      </c>
    </row>
    <row r="811" spans="1:30" x14ac:dyDescent="0.3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7908.4800000000005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</v>
      </c>
    </row>
    <row r="812" spans="1:30" x14ac:dyDescent="0.3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5778.7099999999982</v>
      </c>
      <c r="J812" s="20">
        <v>2.3114840000000005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5872.0299999999979</v>
      </c>
      <c r="X812" s="21">
        <v>1.9573433333333325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0.11521311174985427</v>
      </c>
    </row>
    <row r="813" spans="1:30" x14ac:dyDescent="0.3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</v>
      </c>
      <c r="J813" s="20">
        <v>3.0940960000000004</v>
      </c>
      <c r="K813" s="19">
        <v>4925.24</v>
      </c>
      <c r="L813" s="20">
        <v>1.9700959999999998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</v>
      </c>
      <c r="X813" s="21">
        <v>2.6451799999999999</v>
      </c>
      <c r="Y813" s="19">
        <v>5125.54</v>
      </c>
      <c r="Z813" s="20">
        <v>1.7085133333333333</v>
      </c>
      <c r="AA813" s="30">
        <v>0.11490000000000017</v>
      </c>
      <c r="AB813" s="27">
        <v>0.1</v>
      </c>
      <c r="AC813" s="27">
        <v>0.1174</v>
      </c>
      <c r="AD813" s="11">
        <v>0.11375076442359902</v>
      </c>
    </row>
    <row r="814" spans="1:30" x14ac:dyDescent="0.3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0.11467807043322327</v>
      </c>
    </row>
    <row r="815" spans="1:30" x14ac:dyDescent="0.3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4.4872058823529404</v>
      </c>
      <c r="K815" s="19">
        <v>3399.9999999999995</v>
      </c>
      <c r="L815" s="20">
        <v>1.9999999999999998</v>
      </c>
      <c r="M815" s="21">
        <v>0.81992952380952389</v>
      </c>
      <c r="N815" s="19">
        <v>0</v>
      </c>
      <c r="O815" s="23">
        <v>340</v>
      </c>
      <c r="P815" s="24">
        <v>408.09000000000003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3739.9999999999995</v>
      </c>
      <c r="Z815" s="20">
        <v>1.833333333333333</v>
      </c>
      <c r="AA815" s="30">
        <v>0.11599999999999987</v>
      </c>
      <c r="AB815" s="27">
        <v>0.05</v>
      </c>
      <c r="AC815" s="27">
        <v>0.1183</v>
      </c>
      <c r="AD815" s="11">
        <v>0.11516189571657982</v>
      </c>
    </row>
    <row r="816" spans="1:30" x14ac:dyDescent="0.3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9760.4500000000025</v>
      </c>
      <c r="J816" s="20">
        <v>1.9520900000000008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10760.450000000003</v>
      </c>
      <c r="X816" s="21">
        <v>1.7934083333333337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0.11289657515790764</v>
      </c>
    </row>
    <row r="817" spans="1:30" x14ac:dyDescent="0.3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</v>
      </c>
      <c r="J817" s="20">
        <v>1.6379359999999996</v>
      </c>
      <c r="K817" s="19">
        <v>7789.68</v>
      </c>
      <c r="L817" s="20">
        <v>1.557936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</v>
      </c>
      <c r="X817" s="21">
        <v>1.3891133333333334</v>
      </c>
      <c r="Y817" s="19">
        <v>7934.68</v>
      </c>
      <c r="Z817" s="20">
        <v>1.3224466666666668</v>
      </c>
      <c r="AA817" s="30">
        <v>0.11610000000000005</v>
      </c>
      <c r="AB817" s="27">
        <v>0.1</v>
      </c>
      <c r="AC817" s="27">
        <v>0.1173</v>
      </c>
      <c r="AD817" s="11">
        <v>0.11343397165701224</v>
      </c>
    </row>
    <row r="818" spans="1:30" x14ac:dyDescent="0.3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1808.3799999999997</v>
      </c>
      <c r="J818" s="20">
        <v>0.54799393939393926</v>
      </c>
      <c r="K818" s="19">
        <v>1808.3799999999997</v>
      </c>
      <c r="L818" s="20">
        <v>0.54799393939393926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1809.2199999999996</v>
      </c>
      <c r="X818" s="21">
        <v>0.45687373737373727</v>
      </c>
      <c r="Y818" s="19">
        <v>1809.2199999999996</v>
      </c>
      <c r="Z818" s="20">
        <v>0.45687373737373727</v>
      </c>
      <c r="AA818" s="30">
        <v>0.11640000000000005</v>
      </c>
      <c r="AB818" s="27">
        <v>0.1</v>
      </c>
      <c r="AC818" s="27">
        <v>0.1164</v>
      </c>
      <c r="AD818" s="11">
        <v>0.11553044824649689</v>
      </c>
    </row>
    <row r="819" spans="1:30" x14ac:dyDescent="0.3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1.0226849999999998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0.11274347770818971</v>
      </c>
    </row>
    <row r="820" spans="1:30" x14ac:dyDescent="0.3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6559.7400000000007</v>
      </c>
      <c r="J820" s="20">
        <v>1.9877999999999996</v>
      </c>
      <c r="K820" s="19">
        <v>6209.7400000000007</v>
      </c>
      <c r="L820" s="20">
        <v>1.881739393939394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6609.89</v>
      </c>
      <c r="X820" s="21">
        <v>1.6691641414141416</v>
      </c>
      <c r="Y820" s="19">
        <v>6259.89</v>
      </c>
      <c r="Z820" s="20">
        <v>1.5807803030303031</v>
      </c>
      <c r="AA820" s="30">
        <v>0.11620000000000005</v>
      </c>
      <c r="AB820" s="27">
        <v>0.1</v>
      </c>
      <c r="AC820" s="27">
        <v>0.11650000000000001</v>
      </c>
      <c r="AD820" s="11">
        <v>0.11485099180760211</v>
      </c>
    </row>
    <row r="821" spans="1:30" x14ac:dyDescent="0.3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3756.4999999999986</v>
      </c>
      <c r="J821" s="20">
        <v>1.5026000000000004</v>
      </c>
      <c r="K821" s="19">
        <v>3056.4999999999991</v>
      </c>
      <c r="L821" s="20">
        <v>1.2225999999999997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3756.4999999999986</v>
      </c>
      <c r="X821" s="21">
        <v>1.2521666666666662</v>
      </c>
      <c r="Y821" s="19">
        <v>3056.4999999999991</v>
      </c>
      <c r="Z821" s="20">
        <v>1.018833333333333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0.11544593983761482</v>
      </c>
    </row>
    <row r="822" spans="1:30" x14ac:dyDescent="0.3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6396.79</v>
      </c>
      <c r="J822" s="20">
        <v>2.5587160000000004</v>
      </c>
      <c r="K822" s="19">
        <v>4845.79</v>
      </c>
      <c r="L822" s="20">
        <v>1.9383159999999999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6924.79</v>
      </c>
      <c r="X822" s="21">
        <v>2.3082633333333331</v>
      </c>
      <c r="Y822" s="19">
        <v>5345.79</v>
      </c>
      <c r="Z822" s="20">
        <v>1.78193</v>
      </c>
      <c r="AA822" s="30">
        <v>0.11350000000000007</v>
      </c>
      <c r="AB822" s="27">
        <v>0.1</v>
      </c>
      <c r="AC822" s="27">
        <v>0.11599999999999999</v>
      </c>
      <c r="AD822" s="11">
        <v>0.11215029850909594</v>
      </c>
    </row>
    <row r="823" spans="1:30" x14ac:dyDescent="0.3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</v>
      </c>
      <c r="J823" s="20">
        <v>1.4248720000000004</v>
      </c>
      <c r="K823" s="19">
        <v>3412.18</v>
      </c>
      <c r="L823" s="20">
        <v>1.3648719999999999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</v>
      </c>
      <c r="X823" s="21">
        <v>1.2477266666666667</v>
      </c>
      <c r="Y823" s="19">
        <v>3593.18</v>
      </c>
      <c r="Z823" s="20">
        <v>1.1977266666666666</v>
      </c>
      <c r="AA823" s="30">
        <v>0.11640000000000003</v>
      </c>
      <c r="AB823" s="27">
        <v>0.1</v>
      </c>
      <c r="AC823" s="27">
        <v>0.11689999999999999</v>
      </c>
      <c r="AD823" s="11">
        <v>0.11548418833411002</v>
      </c>
    </row>
    <row r="824" spans="1:30" x14ac:dyDescent="0.3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4693.25</v>
      </c>
      <c r="J824" s="20">
        <v>1.8773000000000002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5197.25</v>
      </c>
      <c r="X824" s="21">
        <v>1.7324166666666667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0.11126263271720024</v>
      </c>
    </row>
    <row r="825" spans="1:30" x14ac:dyDescent="0.3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0.11290839045727132</v>
      </c>
    </row>
    <row r="826" spans="1:30" x14ac:dyDescent="0.3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4205.4799999999996</v>
      </c>
      <c r="J826" s="20">
        <v>1.6821920000000001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4205.4799999999996</v>
      </c>
      <c r="X826" s="21">
        <v>1.4018266666666666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0.11210236976516358</v>
      </c>
    </row>
    <row r="827" spans="1:30" x14ac:dyDescent="0.3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</v>
      </c>
      <c r="J827" s="20">
        <v>1.4934714285714286</v>
      </c>
      <c r="K827" s="19">
        <v>6072.58</v>
      </c>
      <c r="L827" s="20">
        <v>1.4458523809523809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</v>
      </c>
      <c r="X827" s="21">
        <v>1.3025595238095238</v>
      </c>
      <c r="Y827" s="19">
        <v>6364.9</v>
      </c>
      <c r="Z827" s="20">
        <v>1.262876984126984</v>
      </c>
      <c r="AA827" s="30">
        <v>0.11620000000000007</v>
      </c>
      <c r="AB827" s="27">
        <v>0.09</v>
      </c>
      <c r="AC827" s="27">
        <v>0.1173</v>
      </c>
      <c r="AD827" s="11">
        <v>0.11282767138880651</v>
      </c>
    </row>
    <row r="828" spans="1:30" x14ac:dyDescent="0.3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0.11259896334191595</v>
      </c>
    </row>
    <row r="829" spans="1:30" x14ac:dyDescent="0.3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5222.1599999999989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6062.1599999999989</v>
      </c>
      <c r="X829" s="21">
        <v>1.2028095238095236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0.11203885365442655</v>
      </c>
    </row>
    <row r="830" spans="1:30" x14ac:dyDescent="0.3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6132.4400000000005</v>
      </c>
      <c r="J830" s="20">
        <v>1.4601047619047625</v>
      </c>
      <c r="K830" s="19">
        <v>5182.4399999999996</v>
      </c>
      <c r="L830" s="20">
        <v>1.2339142857142855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</v>
      </c>
      <c r="X830" s="21">
        <v>1.2254484126984126</v>
      </c>
      <c r="Y830" s="19">
        <v>5226.2599999999993</v>
      </c>
      <c r="Z830" s="20">
        <v>1.0369563492063492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x14ac:dyDescent="0.3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3042.1600000000003</v>
      </c>
      <c r="J831" s="20">
        <v>0.72432380952380959</v>
      </c>
      <c r="K831" s="19">
        <v>2392.1600000000003</v>
      </c>
      <c r="L831" s="20">
        <v>0.56956190476190482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3042.1600000000003</v>
      </c>
      <c r="X831" s="21">
        <v>0.6036031746031747</v>
      </c>
      <c r="Y831" s="19">
        <v>2392.1600000000003</v>
      </c>
      <c r="Z831" s="20">
        <v>0.47463492063492069</v>
      </c>
      <c r="AA831" s="30">
        <v>0.11410000000000006</v>
      </c>
      <c r="AB831" s="27">
        <v>0.1</v>
      </c>
      <c r="AC831" s="27">
        <v>0.1158</v>
      </c>
      <c r="AD831" s="11">
        <v>0.11307589443027319</v>
      </c>
    </row>
    <row r="832" spans="1:30" x14ac:dyDescent="0.3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5551.6000000000022</v>
      </c>
      <c r="J832" s="20">
        <v>1.6823030303030295</v>
      </c>
      <c r="K832" s="19">
        <v>3801.6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5772.0300000000025</v>
      </c>
      <c r="X832" s="21">
        <v>1.4575833333333339</v>
      </c>
      <c r="Y832" s="19">
        <v>4022.0299999999997</v>
      </c>
      <c r="Z832" s="20">
        <v>1.0156641414141414</v>
      </c>
      <c r="AA832" s="30">
        <v>0.11300000000000014</v>
      </c>
      <c r="AB832" s="27">
        <v>0.09</v>
      </c>
      <c r="AC832" s="27">
        <v>0.11539999999999999</v>
      </c>
      <c r="AD832" s="11">
        <v>0.11228601718423514</v>
      </c>
    </row>
    <row r="833" spans="1:30" x14ac:dyDescent="0.3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6619.26</v>
      </c>
      <c r="J833" s="20">
        <v>1.5760142857142854</v>
      </c>
      <c r="K833" s="19">
        <v>5989.26</v>
      </c>
      <c r="L833" s="20">
        <v>1.4260142857142857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7499.26</v>
      </c>
      <c r="X833" s="21">
        <v>1.4879484126984128</v>
      </c>
      <c r="Y833" s="19">
        <v>6829.26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0.11444915534364868</v>
      </c>
    </row>
    <row r="834" spans="1:30" x14ac:dyDescent="0.3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1.4779190476190478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0.11234424158163182</v>
      </c>
    </row>
    <row r="835" spans="1:30" x14ac:dyDescent="0.3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10761.880000000003</v>
      </c>
      <c r="J835" s="20">
        <v>3.2611757575757561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12081.880000000003</v>
      </c>
      <c r="X835" s="21">
        <v>3.0509797979797986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0.11022038352035143</v>
      </c>
    </row>
    <row r="836" spans="1:30" x14ac:dyDescent="0.3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1.6136181818181816</v>
      </c>
      <c r="K836" s="19">
        <v>3442.4400000000005</v>
      </c>
      <c r="L836" s="20">
        <v>1.0431636363636365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x14ac:dyDescent="0.3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0.10749035140418634</v>
      </c>
    </row>
    <row r="838" spans="1:30" x14ac:dyDescent="0.3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1.4777119999999995</v>
      </c>
      <c r="K838" s="19">
        <v>3454.2800000000007</v>
      </c>
      <c r="L838" s="20">
        <v>1.3817120000000003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3912.4100000000008</v>
      </c>
      <c r="Z838" s="20">
        <v>1.3041366666666669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x14ac:dyDescent="0.3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</v>
      </c>
      <c r="J839" s="20">
        <v>2.3168160000000002</v>
      </c>
      <c r="K839" s="19">
        <v>4398.4400000000005</v>
      </c>
      <c r="L839" s="20">
        <v>1.7593760000000003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0.91539999999999999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</v>
      </c>
      <c r="X839" s="21">
        <v>2.0832466666666667</v>
      </c>
      <c r="Y839" s="19">
        <v>4856.1400000000003</v>
      </c>
      <c r="Z839" s="20">
        <v>1.6187133333333334</v>
      </c>
      <c r="AA839" s="30">
        <v>0.1109</v>
      </c>
      <c r="AB839" s="27">
        <v>0.09</v>
      </c>
      <c r="AC839" s="27">
        <v>0.11560000000000001</v>
      </c>
      <c r="AD839" s="11">
        <v>0.11046123680085083</v>
      </c>
    </row>
    <row r="840" spans="1:30" x14ac:dyDescent="0.3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1.0458030303030301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x14ac:dyDescent="0.3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3250.5200000000004</v>
      </c>
      <c r="J841" s="20">
        <v>1.3002079999999998</v>
      </c>
      <c r="K841" s="19">
        <v>2515.5200000000004</v>
      </c>
      <c r="L841" s="20">
        <v>1.0062080000000002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3280.5200000000004</v>
      </c>
      <c r="X841" s="21">
        <v>1.0935066666666668</v>
      </c>
      <c r="Y841" s="19">
        <v>2545.5200000000004</v>
      </c>
      <c r="Z841" s="20">
        <v>0.84850666666666685</v>
      </c>
      <c r="AA841" s="30">
        <v>0.11379999999999993</v>
      </c>
      <c r="AB841" s="27">
        <v>0.1</v>
      </c>
      <c r="AC841" s="27">
        <v>0.11689999999999999</v>
      </c>
      <c r="AD841" s="11">
        <v>0.11284513031761073</v>
      </c>
    </row>
    <row r="842" spans="1:30" x14ac:dyDescent="0.3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5422.7000000000007</v>
      </c>
      <c r="J842" s="20">
        <v>1.0845400000000001</v>
      </c>
      <c r="K842" s="19">
        <v>5422.7000000000007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6446.9000000000005</v>
      </c>
      <c r="X842" s="21">
        <v>1.0744833333333335</v>
      </c>
      <c r="Y842" s="19">
        <v>6422.7000000000007</v>
      </c>
      <c r="Z842" s="20">
        <v>1.0704500000000001</v>
      </c>
      <c r="AA842" s="30">
        <v>0.11140000000000005</v>
      </c>
      <c r="AB842" s="27">
        <v>0.09</v>
      </c>
      <c r="AC842" s="27">
        <v>0.1114</v>
      </c>
      <c r="AD842" s="11">
        <v>0.10946350858428458</v>
      </c>
    </row>
    <row r="843" spans="1:30" x14ac:dyDescent="0.3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5628.3899999999994</v>
      </c>
      <c r="J843" s="20">
        <v>1.340092857142857</v>
      </c>
      <c r="K843" s="19">
        <v>4466.3900000000003</v>
      </c>
      <c r="L843" s="20">
        <v>1.0634261904761906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6211.3899999999994</v>
      </c>
      <c r="X843" s="21">
        <v>1.2324186507936508</v>
      </c>
      <c r="Y843" s="19">
        <v>5049.3900000000003</v>
      </c>
      <c r="Z843" s="20">
        <v>1.0018630952380954</v>
      </c>
      <c r="AA843" s="30">
        <v>0.11319999999999998</v>
      </c>
      <c r="AB843" s="27">
        <v>0.09</v>
      </c>
      <c r="AC843" s="27">
        <v>0.11840000000000001</v>
      </c>
      <c r="AD843" s="11">
        <v>0.11126421338961942</v>
      </c>
    </row>
    <row r="844" spans="1:30" x14ac:dyDescent="0.3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3408.9199999999996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3408.9199999999996</v>
      </c>
      <c r="X844" s="21">
        <v>0.86083838383838374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0.11231392288466731</v>
      </c>
    </row>
    <row r="845" spans="1:30" x14ac:dyDescent="0.3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0.92890800000000018</v>
      </c>
      <c r="K845" s="19">
        <v>3844.5400000000004</v>
      </c>
      <c r="L845" s="20">
        <v>0.76890800000000004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3864.7500000000005</v>
      </c>
      <c r="Z845" s="20">
        <v>0.64412500000000006</v>
      </c>
      <c r="AA845" s="30">
        <v>0.11069999999999988</v>
      </c>
      <c r="AB845" s="27">
        <v>0.09</v>
      </c>
      <c r="AC845" s="27">
        <v>0.115</v>
      </c>
      <c r="AD845" s="11">
        <v>0.10865162448810858</v>
      </c>
    </row>
    <row r="846" spans="1:30" x14ac:dyDescent="0.3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6291.1500000000024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7810.1500000000024</v>
      </c>
      <c r="X846" s="21">
        <v>1.9722601010101015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0.11130668812538244</v>
      </c>
    </row>
    <row r="847" spans="1:30" x14ac:dyDescent="0.3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3884.5400000000009</v>
      </c>
      <c r="J847" s="20">
        <v>1.5538160000000008</v>
      </c>
      <c r="K847" s="19">
        <v>2912.5400000000009</v>
      </c>
      <c r="L847" s="20">
        <v>1.1650160000000003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3227.5400000000009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0.11155178193557022</v>
      </c>
    </row>
    <row r="848" spans="1:30" x14ac:dyDescent="0.3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5827.02</v>
      </c>
      <c r="J848" s="20">
        <v>1.765763636363636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7147.02</v>
      </c>
      <c r="X848" s="21">
        <v>1.8048030303030305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0.11120683625592498</v>
      </c>
    </row>
    <row r="849" spans="1:30" x14ac:dyDescent="0.3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4035.73</v>
      </c>
      <c r="L849" s="20">
        <v>1.2229484848484848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0.11088951268855644</v>
      </c>
    </row>
    <row r="850" spans="1:30" x14ac:dyDescent="0.3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0.53297575757575755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x14ac:dyDescent="0.3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2489.2199999999998</v>
      </c>
      <c r="J851" s="20">
        <v>0.59267142857142852</v>
      </c>
      <c r="K851" s="19">
        <v>2389.2199999999998</v>
      </c>
      <c r="L851" s="20">
        <v>0.56886190476190468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2495.5299999999997</v>
      </c>
      <c r="X851" s="21">
        <v>0.49514484126984121</v>
      </c>
      <c r="Y851" s="19">
        <v>2395.5299999999997</v>
      </c>
      <c r="Z851" s="20">
        <v>0.47530357142857138</v>
      </c>
      <c r="AA851" s="30">
        <v>0.1109</v>
      </c>
      <c r="AB851" s="27">
        <v>0.1</v>
      </c>
      <c r="AC851" s="27">
        <v>0.1124</v>
      </c>
      <c r="AD851" s="11">
        <v>0.10844603972328683</v>
      </c>
    </row>
    <row r="852" spans="1:30" x14ac:dyDescent="0.3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5830.619999999999</v>
      </c>
      <c r="J852" s="20">
        <v>2.0105586206896549</v>
      </c>
      <c r="K852" s="19">
        <v>4080.6200000000003</v>
      </c>
      <c r="L852" s="20">
        <v>1.4071103448275863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6421.0199999999986</v>
      </c>
      <c r="X852" s="21">
        <v>1.845120689655172</v>
      </c>
      <c r="Y852" s="19">
        <v>4660.6200000000008</v>
      </c>
      <c r="Z852" s="20">
        <v>1.3392586206896555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0.11084011082869405</v>
      </c>
    </row>
    <row r="853" spans="1:30" x14ac:dyDescent="0.3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4738.9800000000005</v>
      </c>
      <c r="J853" s="20">
        <v>1.6341310344827584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5898.9800000000005</v>
      </c>
      <c r="X853" s="21">
        <v>1.695109195402299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x14ac:dyDescent="0.3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x14ac:dyDescent="0.3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1128.1280000000002</v>
      </c>
      <c r="S855" s="25">
        <v>0.89533968253968266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0.10944535673256935</v>
      </c>
    </row>
    <row r="856" spans="1:30" x14ac:dyDescent="0.3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</v>
      </c>
      <c r="L856" s="20">
        <v>1.2441249999999999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0.81746249999999998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</v>
      </c>
      <c r="Z856" s="20">
        <v>1.1730145833333334</v>
      </c>
      <c r="AA856" s="30">
        <v>0.11220000000000005</v>
      </c>
      <c r="AB856" s="27">
        <v>0.1</v>
      </c>
      <c r="AC856" s="27">
        <v>0.115</v>
      </c>
      <c r="AD856" s="11">
        <v>0.1111608496645187</v>
      </c>
    </row>
    <row r="857" spans="1:30" x14ac:dyDescent="0.3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6455.6500000000005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0.87985000000000002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6983.56</v>
      </c>
      <c r="X857" s="21">
        <v>1.9398777777777778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0.11134068327743914</v>
      </c>
    </row>
    <row r="858" spans="1:30" x14ac:dyDescent="0.3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7889.6999999999989</v>
      </c>
      <c r="J858" s="20">
        <v>1.5779400000000006</v>
      </c>
      <c r="K858" s="19">
        <v>6089.6999999999989</v>
      </c>
      <c r="L858" s="20">
        <v>1.2179399999999998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8993.3399999999983</v>
      </c>
      <c r="X858" s="21">
        <v>1.4988899999999996</v>
      </c>
      <c r="Y858" s="19">
        <v>7089.6999999999989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0.10908395908589688</v>
      </c>
    </row>
    <row r="859" spans="1:30" x14ac:dyDescent="0.3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1.6566310344827584</v>
      </c>
      <c r="K859" s="19">
        <v>7358.4600000000009</v>
      </c>
      <c r="L859" s="20">
        <v>1.2687000000000002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1.2456896551724139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8518.4600000000009</v>
      </c>
      <c r="Z859" s="20">
        <v>1.2239166666666668</v>
      </c>
      <c r="AA859" s="30">
        <v>0.11160000000000006</v>
      </c>
      <c r="AB859" s="27">
        <v>0.1</v>
      </c>
      <c r="AC859" s="27">
        <v>0.1144</v>
      </c>
      <c r="AD859" s="11">
        <v>0.11015968989827718</v>
      </c>
    </row>
    <row r="860" spans="1:30" x14ac:dyDescent="0.3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7079.63</v>
      </c>
      <c r="J860" s="20">
        <v>1.7699074999999997</v>
      </c>
      <c r="K860" s="19">
        <v>5479.6299999999992</v>
      </c>
      <c r="L860" s="20">
        <v>1.3699074999999998</v>
      </c>
      <c r="M860" s="21">
        <v>0</v>
      </c>
      <c r="N860" s="19">
        <v>0</v>
      </c>
      <c r="O860" s="23">
        <v>800</v>
      </c>
      <c r="P860" s="24">
        <v>617.64</v>
      </c>
      <c r="Q860" s="25">
        <v>0.77205000000000001</v>
      </c>
      <c r="R860" s="24">
        <v>617.64</v>
      </c>
      <c r="S860" s="25">
        <v>0.77205000000000001</v>
      </c>
      <c r="T860" s="26">
        <v>0</v>
      </c>
      <c r="U860" s="24">
        <v>0</v>
      </c>
      <c r="V860" s="19">
        <v>4800</v>
      </c>
      <c r="W860" s="19">
        <v>7697.27</v>
      </c>
      <c r="X860" s="21">
        <v>1.6035979166666667</v>
      </c>
      <c r="Y860" s="19">
        <v>6097.2699999999995</v>
      </c>
      <c r="Z860" s="20">
        <v>1.2702645833333333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0.10912518408447902</v>
      </c>
    </row>
    <row r="861" spans="1:30" x14ac:dyDescent="0.3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13380.939999999999</v>
      </c>
      <c r="J861" s="20">
        <v>2.3070586206896548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15043.059999999998</v>
      </c>
      <c r="X861" s="21">
        <v>2.1613591954022984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0.10842845607259285</v>
      </c>
    </row>
    <row r="862" spans="1:30" x14ac:dyDescent="0.3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</v>
      </c>
      <c r="Q862" s="25">
        <v>1.3276120689655171</v>
      </c>
      <c r="R862" s="24">
        <v>1160</v>
      </c>
      <c r="S862" s="25">
        <v>1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0.11058533130230951</v>
      </c>
    </row>
    <row r="863" spans="1:30" x14ac:dyDescent="0.3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</v>
      </c>
      <c r="J863" s="20">
        <v>0.58814047619047627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0.1077812342370425</v>
      </c>
    </row>
    <row r="864" spans="1:30" x14ac:dyDescent="0.3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0.10836644539640547</v>
      </c>
    </row>
    <row r="865" spans="1:30" x14ac:dyDescent="0.3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1.0093357142857142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313.41999999999996</v>
      </c>
      <c r="Q865" s="25">
        <v>0.37311904761904763</v>
      </c>
      <c r="R865" s="24">
        <v>313.41999999999996</v>
      </c>
      <c r="S865" s="25">
        <v>0.37311904761904757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x14ac:dyDescent="0.3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3018.9799999999996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3618.9799999999996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x14ac:dyDescent="0.3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0.29915454545454545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x14ac:dyDescent="0.3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1.0540371428571425</v>
      </c>
      <c r="K868" s="19">
        <v>6971.39</v>
      </c>
      <c r="L868" s="20">
        <v>0.99591285714285716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0.1053802750241927</v>
      </c>
    </row>
    <row r="869" spans="1:30" x14ac:dyDescent="0.3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1.1111913793103447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0.10816820653818285</v>
      </c>
    </row>
    <row r="870" spans="1:30" x14ac:dyDescent="0.3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5751.67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5873.08</v>
      </c>
      <c r="X870" s="21">
        <v>1.9576933333333333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0.10819298864503701</v>
      </c>
    </row>
    <row r="871" spans="1:30" x14ac:dyDescent="0.3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5276.7999999999993</v>
      </c>
      <c r="J871" s="20">
        <v>1.599030303030303</v>
      </c>
      <c r="K871" s="19">
        <v>4075.5</v>
      </c>
      <c r="L871" s="20">
        <v>1.2350000000000001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5671.6399999999994</v>
      </c>
      <c r="X871" s="21">
        <v>1.4322323232323231</v>
      </c>
      <c r="Y871" s="19">
        <v>4470.34</v>
      </c>
      <c r="Z871" s="20">
        <v>1.1288737373737374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3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9448.5899999999965</v>
      </c>
      <c r="J872" s="20">
        <v>1.8897180000000007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9511.9699999999957</v>
      </c>
      <c r="X872" s="21">
        <v>1.5853283333333326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0.10598565457914888</v>
      </c>
    </row>
    <row r="873" spans="1:30" x14ac:dyDescent="0.3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4650.4900000000016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4943.5300000000016</v>
      </c>
      <c r="X873" s="21">
        <v>1.2483661616161621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0.10672408649411133</v>
      </c>
    </row>
    <row r="874" spans="1:30" x14ac:dyDescent="0.3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2.3040928571428565</v>
      </c>
      <c r="K874" s="19">
        <v>4329.4699999999993</v>
      </c>
      <c r="L874" s="20">
        <v>1.0308261904761904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5169.4699999999993</v>
      </c>
      <c r="Z874" s="20">
        <v>1.0256884920634919</v>
      </c>
      <c r="AA874" s="30">
        <v>0.10469999999999999</v>
      </c>
      <c r="AB874" s="27">
        <v>9.5000000000000001E-2</v>
      </c>
      <c r="AC874" s="27">
        <v>0.109</v>
      </c>
      <c r="AD874" s="11">
        <v>0.10443352099111415</v>
      </c>
    </row>
    <row r="875" spans="1:30" x14ac:dyDescent="0.3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0.10422095587255746</v>
      </c>
    </row>
    <row r="876" spans="1:30" x14ac:dyDescent="0.3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8135.5400000000009</v>
      </c>
      <c r="J876" s="20">
        <v>1.9370333333333327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x14ac:dyDescent="0.3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1.7152761904761904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0.10302128714520499</v>
      </c>
    </row>
    <row r="878" spans="1:30" x14ac:dyDescent="0.3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0.91617600000000032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0.10399497476467404</v>
      </c>
    </row>
    <row r="879" spans="1:30" x14ac:dyDescent="0.3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2.9553852941176451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1.7029411764705882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0.10122150889054975</v>
      </c>
    </row>
    <row r="880" spans="1:30" x14ac:dyDescent="0.3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6871.68</v>
      </c>
      <c r="J880" s="20">
        <v>2.0210823529411761</v>
      </c>
      <c r="K880" s="19">
        <v>3921.6799999999994</v>
      </c>
      <c r="L880" s="20">
        <v>1.1534352941176469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6887.84</v>
      </c>
      <c r="X880" s="21">
        <v>1.6881960784313725</v>
      </c>
      <c r="Y880" s="19">
        <v>3937.8399999999992</v>
      </c>
      <c r="Z880" s="20">
        <v>0.96515686274509782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0.10425932959625592</v>
      </c>
    </row>
    <row r="881" spans="1:30" x14ac:dyDescent="0.3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10714.489999999998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11507.489999999998</v>
      </c>
      <c r="X881" s="21">
        <v>2.8204632352941172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0.10183296171819664</v>
      </c>
    </row>
    <row r="882" spans="1:30" x14ac:dyDescent="0.3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</v>
      </c>
      <c r="X882" s="21">
        <v>2.2923908730158731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0.1043275720355335</v>
      </c>
    </row>
    <row r="883" spans="1:30" x14ac:dyDescent="0.3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1.1681714285714284</v>
      </c>
      <c r="K883" s="19">
        <v>3456.32</v>
      </c>
      <c r="L883" s="20">
        <v>0.82293333333333341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3701.9300000000003</v>
      </c>
      <c r="Z883" s="20">
        <v>0.73450992063492071</v>
      </c>
      <c r="AA883" s="30">
        <v>0.10500000000000004</v>
      </c>
      <c r="AB883" s="27">
        <v>8.7499999999999994E-2</v>
      </c>
      <c r="AC883" s="27">
        <v>0.109</v>
      </c>
      <c r="AD883" s="11">
        <v>0.10321501084315741</v>
      </c>
    </row>
    <row r="884" spans="1:30" x14ac:dyDescent="0.3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1.8553238095238094</v>
      </c>
      <c r="K884" s="19">
        <v>4286.5599999999995</v>
      </c>
      <c r="L884" s="20">
        <v>1.0206095238095236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4827.5499999999993</v>
      </c>
      <c r="Z884" s="20">
        <v>0.95784722222222207</v>
      </c>
      <c r="AA884" s="30">
        <v>0.10069999999999986</v>
      </c>
      <c r="AB884" s="27">
        <v>0.04</v>
      </c>
      <c r="AC884" s="27">
        <v>0.1116</v>
      </c>
      <c r="AD884" s="11">
        <v>9.9112285751685E-2</v>
      </c>
    </row>
    <row r="885" spans="1:30" x14ac:dyDescent="0.3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x14ac:dyDescent="0.3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2.2536411764705875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x14ac:dyDescent="0.3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1.8529540000000007</v>
      </c>
      <c r="K887" s="19">
        <v>5042.72</v>
      </c>
      <c r="L887" s="20">
        <v>1.0085440000000001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6042.72</v>
      </c>
      <c r="Z887" s="20">
        <v>1.00712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9.5702372751832965E-2</v>
      </c>
    </row>
    <row r="888" spans="1:30" x14ac:dyDescent="0.3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4644.3500000000004</v>
      </c>
      <c r="J888" s="20">
        <v>1.1057976190476186</v>
      </c>
      <c r="K888" s="19">
        <v>4244.3500000000004</v>
      </c>
      <c r="L888" s="20">
        <v>1.010559523809524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5371.5300000000007</v>
      </c>
      <c r="X888" s="21">
        <v>1.065779761904762</v>
      </c>
      <c r="Y888" s="19">
        <v>4971.5300000000007</v>
      </c>
      <c r="Z888" s="20">
        <v>0.98641468253968267</v>
      </c>
      <c r="AA888" s="30">
        <v>0.10630000000000005</v>
      </c>
      <c r="AB888" s="27">
        <v>0.01</v>
      </c>
      <c r="AC888" s="27">
        <v>0.10800000000000001</v>
      </c>
      <c r="AD888" s="11">
        <v>9.7533637645741578E-2</v>
      </c>
    </row>
    <row r="889" spans="1:30" x14ac:dyDescent="0.3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</v>
      </c>
      <c r="J889" s="20">
        <v>2.2976600000000005</v>
      </c>
      <c r="K889" s="19">
        <v>2944.15</v>
      </c>
      <c r="L889" s="20">
        <v>1.1776599999999999</v>
      </c>
      <c r="M889" s="21">
        <v>0</v>
      </c>
      <c r="N889" s="19">
        <v>0</v>
      </c>
      <c r="O889" s="23">
        <v>500</v>
      </c>
      <c r="P889" s="24">
        <v>558.92999999999995</v>
      </c>
      <c r="Q889" s="25">
        <v>1.1178599999999999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</v>
      </c>
      <c r="X889" s="21">
        <v>2.1010266666666668</v>
      </c>
      <c r="Y889" s="19">
        <v>3444.15</v>
      </c>
      <c r="Z889" s="20">
        <v>1.14805</v>
      </c>
      <c r="AA889" s="30">
        <v>9.9800000000000069E-2</v>
      </c>
      <c r="AB889" s="27">
        <v>0.01</v>
      </c>
      <c r="AC889" s="27">
        <v>0.1056</v>
      </c>
      <c r="AD889" s="11">
        <v>9.8127463071124535E-2</v>
      </c>
    </row>
    <row r="890" spans="1:30" x14ac:dyDescent="0.3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5442.4699999999993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9.2305708070049119E-2</v>
      </c>
    </row>
    <row r="891" spans="1:30" x14ac:dyDescent="0.3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1.9449521739130442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917.03399999999999</v>
      </c>
      <c r="S891" s="25">
        <v>0.99677608695652176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9.7652507159000201E-2</v>
      </c>
    </row>
    <row r="892" spans="1:30" x14ac:dyDescent="0.3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1.0300275862068964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9.7128366163611285E-2</v>
      </c>
    </row>
    <row r="893" spans="1:30" x14ac:dyDescent="0.3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6844.170000000001</v>
      </c>
      <c r="J893" s="20">
        <v>1.1800293103448274</v>
      </c>
      <c r="K893" s="19">
        <v>5644.170000000001</v>
      </c>
      <c r="L893" s="20">
        <v>0.97313275862068982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8163.3400000000011</v>
      </c>
      <c r="X893" s="21">
        <v>1.1728936781609196</v>
      </c>
      <c r="Y893" s="19">
        <v>6773.0040000000008</v>
      </c>
      <c r="Z893" s="20">
        <v>0.97313275862068982</v>
      </c>
      <c r="AA893" s="30">
        <v>9.6200000000000035E-2</v>
      </c>
      <c r="AB893" s="27">
        <v>0.06</v>
      </c>
      <c r="AC893" s="27">
        <v>9.9900000000000003E-2</v>
      </c>
      <c r="AD893" s="11">
        <v>9.4766193563280837E-2</v>
      </c>
    </row>
    <row r="894" spans="1:30" x14ac:dyDescent="0.3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1.1193947368421053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9.6417991635981262E-2</v>
      </c>
    </row>
    <row r="895" spans="1:30" x14ac:dyDescent="0.3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5665.0199999999995</v>
      </c>
      <c r="J895" s="20">
        <v>1.4907947368421048</v>
      </c>
      <c r="K895" s="19">
        <v>3965.02</v>
      </c>
      <c r="L895" s="20">
        <v>1.0434263157894736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6625.0199999999995</v>
      </c>
      <c r="X895" s="21">
        <v>1.4528552631578946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9.307865285559451E-2</v>
      </c>
    </row>
    <row r="896" spans="1:30" x14ac:dyDescent="0.3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0.84982857142857149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1.9022142857142856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9.4140934726331352E-2</v>
      </c>
    </row>
    <row r="897" spans="1:30" x14ac:dyDescent="0.3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0.36633333333333329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9.4652019696309264E-2</v>
      </c>
    </row>
    <row r="898" spans="1:30" ht="15.75" customHeight="1" x14ac:dyDescent="0.3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7136.52</v>
      </c>
      <c r="J898" s="20">
        <v>1.4273040000000001</v>
      </c>
      <c r="K898" s="19">
        <v>5186.5200000000004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1041.2</v>
      </c>
      <c r="Q898" s="25">
        <v>1.0412000000000001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8177.72</v>
      </c>
      <c r="X898" s="21">
        <v>1.3629533333333335</v>
      </c>
      <c r="Y898" s="19">
        <v>6186.52</v>
      </c>
      <c r="Z898" s="20">
        <v>1.0310866666666667</v>
      </c>
      <c r="AA898" s="30">
        <v>9.7900000000000056E-2</v>
      </c>
      <c r="AB898" s="27">
        <v>0.01</v>
      </c>
      <c r="AC898" s="27">
        <v>0.1023</v>
      </c>
      <c r="AD898" s="11">
        <v>9.2375973864012154E-2</v>
      </c>
    </row>
    <row r="899" spans="1:30" x14ac:dyDescent="0.3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8959.4600000000009</v>
      </c>
      <c r="J899" s="20">
        <v>2.714987878787877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796.81000000000006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9756.27</v>
      </c>
      <c r="X899" s="21">
        <v>2.4637045454545454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9.1950953182446268E-2</v>
      </c>
    </row>
    <row r="900" spans="1:30" x14ac:dyDescent="0.3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4505.7999999999993</v>
      </c>
      <c r="L900" s="20">
        <v>1.0728095238095237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</v>
      </c>
      <c r="Z900" s="20">
        <v>1.0530555555555554</v>
      </c>
      <c r="AA900" s="30">
        <v>9.2200000000000046E-2</v>
      </c>
      <c r="AB900" s="27">
        <v>0.01</v>
      </c>
      <c r="AC900" s="27">
        <v>9.9399999999999988E-2</v>
      </c>
      <c r="AD900" s="11">
        <v>8.8721516354912308E-2</v>
      </c>
    </row>
    <row r="901" spans="1:30" x14ac:dyDescent="0.3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9020.3200000000015</v>
      </c>
      <c r="J901" s="20">
        <v>1.8040640000000006</v>
      </c>
      <c r="K901" s="19">
        <v>5120.3200000000006</v>
      </c>
      <c r="L901" s="20">
        <v>1.0240640000000001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</v>
      </c>
      <c r="S901" s="25">
        <v>1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6120.3200000000006</v>
      </c>
      <c r="Z901" s="20">
        <v>1.0200533333333335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x14ac:dyDescent="0.3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</v>
      </c>
      <c r="J902" s="20">
        <v>1.2140333333333329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8.5113246104270526E-2</v>
      </c>
    </row>
    <row r="903" spans="1:30" x14ac:dyDescent="0.3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2.0472047619047622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567.21</v>
      </c>
      <c r="Q903" s="25">
        <v>0.67525000000000002</v>
      </c>
      <c r="R903" s="24">
        <v>567.21</v>
      </c>
      <c r="S903" s="25">
        <v>0.67525000000000002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3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1.1311439999999999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x14ac:dyDescent="0.3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1.0312428571428571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x14ac:dyDescent="0.3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5976.170000000001</v>
      </c>
      <c r="J906" s="20">
        <v>1.1952340000000004</v>
      </c>
      <c r="K906" s="19">
        <v>5326.170000000001</v>
      </c>
      <c r="L906" s="20">
        <v>1.0652340000000002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6077.380000000001</v>
      </c>
      <c r="X906" s="21">
        <v>1.0128966666666668</v>
      </c>
      <c r="Y906" s="19">
        <v>5427.380000000001</v>
      </c>
      <c r="Z906" s="20">
        <v>0.9045633333333335</v>
      </c>
      <c r="AA906" s="30">
        <v>9.5499999999999974E-2</v>
      </c>
      <c r="AB906" s="27">
        <v>0.04</v>
      </c>
      <c r="AC906" s="27">
        <v>9.8299999999999998E-2</v>
      </c>
      <c r="AD906" s="11">
        <v>9.1538703048942738E-2</v>
      </c>
    </row>
    <row r="907" spans="1:30" x14ac:dyDescent="0.3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3805.2100000000005</v>
      </c>
      <c r="L907" s="20">
        <v>0.90600238095238106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4421.0800000000008</v>
      </c>
      <c r="Z907" s="20">
        <v>0.87719841269841281</v>
      </c>
      <c r="AA907" s="30">
        <v>9.8800000000000096E-2</v>
      </c>
      <c r="AB907" s="27">
        <v>0.01</v>
      </c>
      <c r="AC907" s="27">
        <v>0.1</v>
      </c>
      <c r="AD907" s="11">
        <v>9.0980826493027273E-2</v>
      </c>
    </row>
    <row r="908" spans="1:30" x14ac:dyDescent="0.3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1.2897666666666663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x14ac:dyDescent="0.3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5327.6699999999992</v>
      </c>
      <c r="J909" s="20">
        <v>1.8371275862068968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5383.2099999999991</v>
      </c>
      <c r="X909" s="21">
        <v>1.546899425287356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8.5607127318321152E-2</v>
      </c>
    </row>
    <row r="910" spans="1:30" x14ac:dyDescent="0.3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3042.2000000000003</v>
      </c>
      <c r="J910" s="20">
        <v>1.0490344827586209</v>
      </c>
      <c r="K910" s="19">
        <v>2842.2000000000007</v>
      </c>
      <c r="L910" s="20">
        <v>0.98006896551724165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3327.6400000000003</v>
      </c>
      <c r="X910" s="21">
        <v>0.95621839080459781</v>
      </c>
      <c r="Y910" s="19">
        <v>3127.6400000000008</v>
      </c>
      <c r="Z910" s="20">
        <v>0.89874712643678178</v>
      </c>
      <c r="AA910" s="30">
        <v>9.7199999999999967E-2</v>
      </c>
      <c r="AB910" s="27">
        <v>0.01</v>
      </c>
      <c r="AC910" s="27">
        <v>9.9499999999999991E-2</v>
      </c>
      <c r="AD910" s="11">
        <v>8.7512719084872764E-2</v>
      </c>
    </row>
    <row r="911" spans="1:30" x14ac:dyDescent="0.3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1.4339480000000002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9.1141205120408852E-2</v>
      </c>
    </row>
    <row r="912" spans="1:30" x14ac:dyDescent="0.3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3438.4600000000005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3924.0800000000004</v>
      </c>
      <c r="Z912" s="20">
        <v>0.99092929292929299</v>
      </c>
      <c r="AA912" s="30">
        <v>9.7300000000000053E-2</v>
      </c>
      <c r="AB912" s="27">
        <v>0.01</v>
      </c>
      <c r="AC912" s="27">
        <v>9.9900000000000003E-2</v>
      </c>
      <c r="AD912" s="11">
        <v>9.1844210798152651E-2</v>
      </c>
    </row>
    <row r="913" spans="1:30" x14ac:dyDescent="0.3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9.3499882845859084E-2</v>
      </c>
    </row>
    <row r="914" spans="1:30" x14ac:dyDescent="0.3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8.7834844234399342E-2</v>
      </c>
    </row>
    <row r="915" spans="1:30" x14ac:dyDescent="0.3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6082.52</v>
      </c>
      <c r="J915" s="20">
        <v>1.4482190476190471</v>
      </c>
      <c r="K915" s="19">
        <v>4382.5200000000004</v>
      </c>
      <c r="L915" s="20">
        <v>1.0434571428571429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6542.3700000000008</v>
      </c>
      <c r="X915" s="21">
        <v>1.2980892857142858</v>
      </c>
      <c r="Y915" s="19">
        <v>4842.3700000000008</v>
      </c>
      <c r="Z915" s="20">
        <v>0.96078769841269862</v>
      </c>
      <c r="AA915" s="30">
        <v>9.6400000000000027E-2</v>
      </c>
      <c r="AB915" s="27">
        <v>0.01</v>
      </c>
      <c r="AC915" s="27">
        <v>0.1</v>
      </c>
      <c r="AD915" s="11">
        <v>9.1784206381565522E-2</v>
      </c>
    </row>
    <row r="916" spans="1:30" x14ac:dyDescent="0.3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5828.7100000000009</v>
      </c>
      <c r="J916" s="20">
        <v>1.7662757575757575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6179.4700000000012</v>
      </c>
      <c r="X916" s="21">
        <v>1.5604722222222225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9.0444253702791827E-2</v>
      </c>
    </row>
    <row r="917" spans="1:30" x14ac:dyDescent="0.3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8.6221807014184498E-2</v>
      </c>
    </row>
    <row r="918" spans="1:30" x14ac:dyDescent="0.3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3778.07</v>
      </c>
      <c r="J918" s="20">
        <v>0.75561400000000023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0.26063999999999998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4038.71</v>
      </c>
      <c r="X918" s="21">
        <v>0.67311833333333337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9.021520750012571E-2</v>
      </c>
    </row>
    <row r="919" spans="1:30" x14ac:dyDescent="0.3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3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6130.5400000000009</v>
      </c>
      <c r="J920" s="20">
        <v>1.0569896551724141</v>
      </c>
      <c r="K920" s="19">
        <v>5730.5400000000009</v>
      </c>
      <c r="L920" s="20">
        <v>0.98802413793103461</v>
      </c>
      <c r="M920" s="21">
        <v>0</v>
      </c>
      <c r="N920" s="19">
        <v>0</v>
      </c>
      <c r="O920" s="23">
        <v>1160</v>
      </c>
      <c r="P920" s="24">
        <v>473.69</v>
      </c>
      <c r="Q920" s="25">
        <v>0.40835344827586206</v>
      </c>
      <c r="R920" s="24">
        <v>473.69</v>
      </c>
      <c r="S920" s="25">
        <v>0.40835344827586206</v>
      </c>
      <c r="T920" s="26">
        <v>0</v>
      </c>
      <c r="U920" s="24">
        <v>0</v>
      </c>
      <c r="V920" s="19">
        <v>6960</v>
      </c>
      <c r="W920" s="19">
        <v>6604.2300000000005</v>
      </c>
      <c r="X920" s="21">
        <v>0.94888362068965526</v>
      </c>
      <c r="Y920" s="19">
        <v>6204.2300000000005</v>
      </c>
      <c r="Z920" s="20">
        <v>0.89141235632183913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x14ac:dyDescent="0.3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9.2090102819261513E-2</v>
      </c>
    </row>
    <row r="922" spans="1:30" x14ac:dyDescent="0.3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5036.28</v>
      </c>
      <c r="J922" s="20">
        <v>1.1191733333333336</v>
      </c>
      <c r="K922" s="19">
        <v>4626.28</v>
      </c>
      <c r="L922" s="20">
        <v>1.0280622222222222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5388.7</v>
      </c>
      <c r="X922" s="21">
        <v>0.99790740740740735</v>
      </c>
      <c r="Y922" s="19">
        <v>4978.7</v>
      </c>
      <c r="Z922" s="20">
        <v>0.9219814814814814</v>
      </c>
      <c r="AA922" s="30">
        <v>9.7999999999999948E-2</v>
      </c>
      <c r="AB922" s="27">
        <v>0.01</v>
      </c>
      <c r="AC922" s="27">
        <v>9.9299999999999999E-2</v>
      </c>
      <c r="AD922" s="11">
        <v>9.0737698459974425E-2</v>
      </c>
    </row>
    <row r="923" spans="1:30" x14ac:dyDescent="0.3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0.86424888888888896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9.1430385537088071E-2</v>
      </c>
    </row>
    <row r="924" spans="1:30" x14ac:dyDescent="0.3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4281.7800000000007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4584.9100000000008</v>
      </c>
      <c r="X924" s="21">
        <v>1.910379166666667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9.6137217232085723E-2</v>
      </c>
    </row>
    <row r="925" spans="1:30" x14ac:dyDescent="0.3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721.72</v>
      </c>
      <c r="J925" s="20">
        <v>0.90215000000000001</v>
      </c>
      <c r="K925" s="19">
        <v>721.72</v>
      </c>
      <c r="L925" s="20">
        <v>0.90215000000000001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721.72</v>
      </c>
      <c r="X925" s="21">
        <v>0.75179166666666675</v>
      </c>
      <c r="Y925" s="19">
        <v>721.72</v>
      </c>
      <c r="Z925" s="20">
        <v>0.75179166666666675</v>
      </c>
      <c r="AA925" s="30">
        <v>9.8699999999999996E-2</v>
      </c>
      <c r="AB925" s="27">
        <v>0.08</v>
      </c>
      <c r="AC925" s="27">
        <v>9.8699999999999996E-2</v>
      </c>
      <c r="AD925" s="11">
        <v>9.7327536994956484E-2</v>
      </c>
    </row>
    <row r="926" spans="1:30" x14ac:dyDescent="0.3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</v>
      </c>
      <c r="J926" s="20">
        <v>0.6543142857142854</v>
      </c>
      <c r="K926" s="19">
        <v>2398.12</v>
      </c>
      <c r="L926" s="20">
        <v>0.57098095238095237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</v>
      </c>
      <c r="X926" s="21">
        <v>0.63038888888888889</v>
      </c>
      <c r="Y926" s="19">
        <v>2827.16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8.6661718556686043E-2</v>
      </c>
    </row>
    <row r="927" spans="1:30" x14ac:dyDescent="0.3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1.3567106666666668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1.0470399999999997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x14ac:dyDescent="0.3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5836.8300000000008</v>
      </c>
      <c r="J928" s="20">
        <v>1.2970733333333329</v>
      </c>
      <c r="K928" s="19">
        <v>5136.8300000000008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6324.2000000000007</v>
      </c>
      <c r="X928" s="21">
        <v>1.1711481481481483</v>
      </c>
      <c r="Y928" s="19">
        <v>5624.2000000000007</v>
      </c>
      <c r="Z928" s="20">
        <v>1.0415185185185187</v>
      </c>
      <c r="AA928" s="30">
        <v>9.7999999999999948E-2</v>
      </c>
      <c r="AB928" s="27">
        <v>0.01</v>
      </c>
      <c r="AC928" s="27">
        <v>9.9000000000000005E-2</v>
      </c>
      <c r="AD928" s="11">
        <v>9.2247321405625984E-2</v>
      </c>
    </row>
    <row r="929" spans="1:30" x14ac:dyDescent="0.3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</v>
      </c>
      <c r="X929" s="21">
        <v>1.6515921052631579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8.9556709553753625E-2</v>
      </c>
    </row>
    <row r="930" spans="1:30" x14ac:dyDescent="0.3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</v>
      </c>
      <c r="L930" s="20">
        <v>1.1317979999999999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</v>
      </c>
      <c r="Z930" s="20">
        <v>1.0857266666666665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9.4980959025480108E-2</v>
      </c>
    </row>
    <row r="931" spans="1:30" x14ac:dyDescent="0.3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5152.9599999999991</v>
      </c>
      <c r="J931" s="20">
        <v>1.2268952380952383</v>
      </c>
      <c r="K931" s="19">
        <v>4802.9599999999991</v>
      </c>
      <c r="L931" s="20">
        <v>1.1435619047619046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5366.5899999999992</v>
      </c>
      <c r="X931" s="21">
        <v>1.064799603174603</v>
      </c>
      <c r="Y931" s="19">
        <v>5016.5899999999992</v>
      </c>
      <c r="Z931" s="20">
        <v>0.99535515873015856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9.6826035909457903E-2</v>
      </c>
    </row>
    <row r="932" spans="1:30" x14ac:dyDescent="0.3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5218.5900000000011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5572.3300000000008</v>
      </c>
      <c r="X932" s="21">
        <v>1.105621031746032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9.5261496304557325E-2</v>
      </c>
    </row>
    <row r="933" spans="1:30" x14ac:dyDescent="0.3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0.99568199999999984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455.71000000000004</v>
      </c>
      <c r="Q933" s="25">
        <v>0.45571</v>
      </c>
      <c r="R933" s="24">
        <v>455.71000000000004</v>
      </c>
      <c r="S933" s="25">
        <v>0.45571000000000006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8.965621875257361E-2</v>
      </c>
    </row>
    <row r="934" spans="1:30" x14ac:dyDescent="0.3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3390.76</v>
      </c>
      <c r="L934" s="20">
        <v>1.0275030303030304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1.3070757575757574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4050.76</v>
      </c>
      <c r="Z934" s="20">
        <v>1.022919191919192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x14ac:dyDescent="0.3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0.6296166666666666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9.0028874712126408E-2</v>
      </c>
    </row>
    <row r="936" spans="1:30" x14ac:dyDescent="0.3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2867.2200000000003</v>
      </c>
      <c r="J936" s="20">
        <v>0.77492432432432456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3384.8300000000004</v>
      </c>
      <c r="X936" s="21">
        <v>0.7623490990990992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9.3272027608624353E-2</v>
      </c>
    </row>
    <row r="937" spans="1:30" x14ac:dyDescent="0.3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1.6840000000000002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x14ac:dyDescent="0.3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x14ac:dyDescent="0.3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2375.9800000000005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2400.9800000000005</v>
      </c>
      <c r="X939" s="21">
        <v>0.80032666666666685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3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x14ac:dyDescent="0.3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2872.2900000000004</v>
      </c>
      <c r="J941" s="20">
        <v>0.8703909090909091</v>
      </c>
      <c r="K941" s="19">
        <v>2772.2900000000004</v>
      </c>
      <c r="L941" s="20">
        <v>0.84008787878787894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0.24265151515151515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3032.4400000000005</v>
      </c>
      <c r="X941" s="21">
        <v>0.76576767676767687</v>
      </c>
      <c r="Y941" s="19">
        <v>2932.4400000000005</v>
      </c>
      <c r="Z941" s="20">
        <v>0.74051515151515168</v>
      </c>
      <c r="AA941" s="30">
        <v>9.8900000000000002E-2</v>
      </c>
      <c r="AB941" s="27">
        <v>0.01</v>
      </c>
      <c r="AC941" s="27">
        <v>9.9700000000000011E-2</v>
      </c>
      <c r="AD941" s="11">
        <v>9.3205400568884073E-2</v>
      </c>
    </row>
    <row r="942" spans="1:30" x14ac:dyDescent="0.3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4935.6699999999992</v>
      </c>
      <c r="J942" s="20">
        <v>0.98713400000000051</v>
      </c>
      <c r="K942" s="19">
        <v>4835.6699999999992</v>
      </c>
      <c r="L942" s="20">
        <v>0.96713399999999983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4953.2899999999991</v>
      </c>
      <c r="X942" s="21">
        <v>0.82554833333333322</v>
      </c>
      <c r="Y942" s="19">
        <v>4853.2899999999991</v>
      </c>
      <c r="Z942" s="20">
        <v>0.8088816666666665</v>
      </c>
      <c r="AA942" s="30">
        <v>9.8399999999999904E-2</v>
      </c>
      <c r="AB942" s="27">
        <v>0.08</v>
      </c>
      <c r="AC942" s="27">
        <v>9.9299999999999999E-2</v>
      </c>
      <c r="AD942" s="11">
        <v>9.4637046034277014E-2</v>
      </c>
    </row>
    <row r="943" spans="1:30" x14ac:dyDescent="0.3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2.0390696969696962</v>
      </c>
      <c r="K943" s="19">
        <v>4810.49</v>
      </c>
      <c r="L943" s="20">
        <v>1.4577242424242423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5237.54</v>
      </c>
      <c r="Z943" s="20">
        <v>1.3226111111111112</v>
      </c>
      <c r="AA943" s="30">
        <v>9.3999999999999972E-2</v>
      </c>
      <c r="AB943" s="27">
        <v>0.08</v>
      </c>
      <c r="AC943" s="27">
        <v>9.8100000000000007E-2</v>
      </c>
      <c r="AD943" s="11">
        <v>9.2684959124259017E-2</v>
      </c>
    </row>
    <row r="944" spans="1:30" x14ac:dyDescent="0.3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4737.4099999999989</v>
      </c>
      <c r="J944" s="20">
        <v>1.8949640000000003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5139.0599999999986</v>
      </c>
      <c r="X944" s="21">
        <v>1.7130199999999995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x14ac:dyDescent="0.3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2.4777400000000003</v>
      </c>
      <c r="K945" s="19">
        <v>4315.0600000000004</v>
      </c>
      <c r="L945" s="20">
        <v>1.7260240000000002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4515.0600000000004</v>
      </c>
      <c r="Z945" s="20">
        <v>1.50502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9.4573978867839234E-2</v>
      </c>
    </row>
    <row r="946" spans="1:30" x14ac:dyDescent="0.3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9178.07</v>
      </c>
      <c r="J946" s="20">
        <v>2.7812333333333323</v>
      </c>
      <c r="K946" s="19">
        <v>6600</v>
      </c>
      <c r="L946" s="20">
        <v>2</v>
      </c>
      <c r="M946" s="21">
        <v>0.23164428571428572</v>
      </c>
      <c r="N946" s="19">
        <v>0</v>
      </c>
      <c r="O946" s="23">
        <v>660</v>
      </c>
      <c r="P946" s="24">
        <v>1508.5500000000002</v>
      </c>
      <c r="Q946" s="25">
        <v>2.2856818181818186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10686.619999999999</v>
      </c>
      <c r="X946" s="21">
        <v>2.6986414141414139</v>
      </c>
      <c r="Y946" s="19">
        <v>7260</v>
      </c>
      <c r="Z946" s="20">
        <v>1.8333333333333333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9.0876136813077268E-2</v>
      </c>
    </row>
    <row r="947" spans="1:30" x14ac:dyDescent="0.3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6754.8300000000008</v>
      </c>
      <c r="J947" s="20">
        <v>2.7019320000000007</v>
      </c>
      <c r="K947" s="19">
        <v>4954.83</v>
      </c>
      <c r="L947" s="20">
        <v>1.981932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1.4015799999999998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7455.6200000000008</v>
      </c>
      <c r="X947" s="21">
        <v>2.485206666666667</v>
      </c>
      <c r="Y947" s="19">
        <v>5454.83</v>
      </c>
      <c r="Z947" s="20">
        <v>1.8182766666666665</v>
      </c>
      <c r="AA947" s="30">
        <v>9.4699999999999895E-2</v>
      </c>
      <c r="AB947" s="27">
        <v>0.05</v>
      </c>
      <c r="AC947" s="27">
        <v>9.8000000000000004E-2</v>
      </c>
      <c r="AD947" s="11">
        <v>9.1107514770912057E-2</v>
      </c>
    </row>
    <row r="948" spans="1:30" x14ac:dyDescent="0.3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2.9080360000000014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3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6410.0599999999986</v>
      </c>
      <c r="J949" s="20">
        <v>1.5262047619047618</v>
      </c>
      <c r="K949" s="19">
        <v>5359.8099999999986</v>
      </c>
      <c r="L949" s="20">
        <v>1.2761452380952378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6625.0599999999986</v>
      </c>
      <c r="X949" s="21">
        <v>1.3144960317460315</v>
      </c>
      <c r="Y949" s="19">
        <v>5574.8099999999986</v>
      </c>
      <c r="Z949" s="20">
        <v>1.1061130952380949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x14ac:dyDescent="0.3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2931.05</v>
      </c>
      <c r="J950" s="20">
        <v>1.7241470588235295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2931.05</v>
      </c>
      <c r="X950" s="21">
        <v>1.4367892156862745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9.4591127752853055E-2</v>
      </c>
    </row>
    <row r="951" spans="1:30" x14ac:dyDescent="0.3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1.9445303030303029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1.1524848484848487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9.1742124997078026E-2</v>
      </c>
    </row>
    <row r="952" spans="1:30" x14ac:dyDescent="0.3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6952.5499999999993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6975.5499999999993</v>
      </c>
      <c r="X952" s="21">
        <v>1.7615025252525252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9.3919503347692598E-2</v>
      </c>
    </row>
    <row r="953" spans="1:30" x14ac:dyDescent="0.3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7333.2100000000009</v>
      </c>
      <c r="J953" s="20">
        <v>1.7460023809523804</v>
      </c>
      <c r="K953" s="19">
        <v>6483.2100000000009</v>
      </c>
      <c r="L953" s="20">
        <v>1.5436214285714287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8543.2100000000009</v>
      </c>
      <c r="X953" s="21">
        <v>1.6950813492063495</v>
      </c>
      <c r="Y953" s="19">
        <v>7323.2100000000009</v>
      </c>
      <c r="Z953" s="20">
        <v>1.4530178571428574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8.9885119067911606E-2</v>
      </c>
    </row>
    <row r="954" spans="1:30" x14ac:dyDescent="0.3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10518.989999999998</v>
      </c>
      <c r="J954" s="20">
        <v>2.5045214285714281</v>
      </c>
      <c r="K954" s="19">
        <v>7918.9899999999989</v>
      </c>
      <c r="L954" s="20">
        <v>1.8854738095238093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12938.989999999998</v>
      </c>
      <c r="X954" s="21">
        <v>2.5672599206349203</v>
      </c>
      <c r="Y954" s="19">
        <v>8758.989999999998</v>
      </c>
      <c r="Z954" s="20">
        <v>1.737894841269841</v>
      </c>
      <c r="AA954" s="30">
        <v>9.2999999999999985E-2</v>
      </c>
      <c r="AB954" s="27">
        <v>0.08</v>
      </c>
      <c r="AC954" s="27">
        <v>9.8800000000000013E-2</v>
      </c>
      <c r="AD954" s="11">
        <v>9.181395124436853E-2</v>
      </c>
    </row>
    <row r="955" spans="1:30" x14ac:dyDescent="0.3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12508.660000000002</v>
      </c>
      <c r="J955" s="20">
        <v>1.92440923076923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13708.660000000002</v>
      </c>
      <c r="X955" s="21">
        <v>1.7575205128205131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9.1948776527621623E-2</v>
      </c>
    </row>
    <row r="956" spans="1:30" x14ac:dyDescent="0.3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8787.19</v>
      </c>
      <c r="J956" s="20">
        <v>1.51503275862069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10959.29</v>
      </c>
      <c r="X956" s="21">
        <v>1.5746106321839082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8.7947985192080719E-2</v>
      </c>
    </row>
    <row r="957" spans="1:30" x14ac:dyDescent="0.3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7489.2000000000007</v>
      </c>
      <c r="J957" s="20">
        <v>1.4978400000000003</v>
      </c>
      <c r="K957" s="19">
        <v>6214.2000000000007</v>
      </c>
      <c r="L957" s="20">
        <v>1.2428400000000002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1000</v>
      </c>
      <c r="S957" s="25">
        <v>1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7214.2000000000007</v>
      </c>
      <c r="Z957" s="20">
        <v>1.2023666666666668</v>
      </c>
      <c r="AA957" s="30">
        <v>9.2299999999999924E-2</v>
      </c>
      <c r="AB957" s="27">
        <v>0.08</v>
      </c>
      <c r="AC957" s="27">
        <v>9.4E-2</v>
      </c>
      <c r="AD957" s="11">
        <v>9.0637693612134779E-2</v>
      </c>
    </row>
    <row r="958" spans="1:30" x14ac:dyDescent="0.3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3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9.0848291579679885E-2</v>
      </c>
    </row>
    <row r="960" spans="1:30" x14ac:dyDescent="0.3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7249.2799999999988</v>
      </c>
      <c r="J960" s="20">
        <v>1.7260190476190473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1944.0900000000001</v>
      </c>
      <c r="Q960" s="25">
        <v>2.3143928571428574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9.0422858270062731E-2</v>
      </c>
    </row>
    <row r="961" spans="1:30" x14ac:dyDescent="0.3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1.7018320000000005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9.1067410884270603E-2</v>
      </c>
    </row>
    <row r="962" spans="1:30" x14ac:dyDescent="0.3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2.0026839999999999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1.3148000000000002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9.025164788853357E-2</v>
      </c>
    </row>
    <row r="963" spans="1:30" x14ac:dyDescent="0.3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1.2008241379310343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9.0517928060900713E-2</v>
      </c>
    </row>
    <row r="964" spans="1:30" x14ac:dyDescent="0.3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7533.29</v>
      </c>
      <c r="J964" s="20">
        <v>2.2828151515151509</v>
      </c>
      <c r="K964" s="19">
        <v>4475.0700000000015</v>
      </c>
      <c r="L964" s="20">
        <v>1.3560818181818186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8193.2900000000009</v>
      </c>
      <c r="X964" s="21">
        <v>2.0690126262626265</v>
      </c>
      <c r="Y964" s="19">
        <v>5135.0700000000015</v>
      </c>
      <c r="Z964" s="20">
        <v>1.2967348484848489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9.0467345210392791E-2</v>
      </c>
    </row>
    <row r="965" spans="1:30" x14ac:dyDescent="0.3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</v>
      </c>
      <c r="J965" s="20">
        <v>1.2107454545454539</v>
      </c>
      <c r="K965" s="19">
        <v>6840.92</v>
      </c>
      <c r="L965" s="20">
        <v>1.0365030303030303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</v>
      </c>
      <c r="Z965" s="20">
        <v>1.0304191919191918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8.8626642739509334E-2</v>
      </c>
    </row>
    <row r="966" spans="1:30" x14ac:dyDescent="0.3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1.0812465517241379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x14ac:dyDescent="0.3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1.8485363636363628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3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x14ac:dyDescent="0.3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x14ac:dyDescent="0.3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9.0352156571383915E-2</v>
      </c>
    </row>
    <row r="971" spans="1:30" x14ac:dyDescent="0.3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x14ac:dyDescent="0.3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x14ac:dyDescent="0.3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5" customHeight="1" x14ac:dyDescent="0.3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x14ac:dyDescent="0.3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x14ac:dyDescent="0.3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3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x14ac:dyDescent="0.3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x14ac:dyDescent="0.3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3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x14ac:dyDescent="0.3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x14ac:dyDescent="0.3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3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1.6028568965517247</v>
      </c>
      <c r="K983" s="19">
        <v>7096.57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</v>
      </c>
      <c r="Z983" s="20">
        <v>1.1862887931034483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8.793952307141234E-2</v>
      </c>
    </row>
    <row r="984" spans="1:30" x14ac:dyDescent="0.3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6665.55</v>
      </c>
      <c r="J984" s="20">
        <v>1.5870357142857141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8.8484926825243226E-2</v>
      </c>
    </row>
    <row r="985" spans="1:30" x14ac:dyDescent="0.3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3779.2700000000004</v>
      </c>
      <c r="J985" s="20">
        <v>0.89982619047619017</v>
      </c>
      <c r="K985" s="19">
        <v>3179.2700000000004</v>
      </c>
      <c r="L985" s="20">
        <v>0.75696904761904771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635.85399999999993</v>
      </c>
      <c r="S985" s="25">
        <v>0.75696904761904749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3815.1240000000003</v>
      </c>
      <c r="Z985" s="20">
        <v>0.75696904761904771</v>
      </c>
      <c r="AA985" s="30">
        <v>9.1499999999999956E-2</v>
      </c>
      <c r="AB985" s="27">
        <v>0.08</v>
      </c>
      <c r="AC985" s="27">
        <v>9.2399999999999996E-2</v>
      </c>
      <c r="AD985" s="11">
        <v>8.9038664874433404E-2</v>
      </c>
    </row>
    <row r="986" spans="1:30" x14ac:dyDescent="0.3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x14ac:dyDescent="0.3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x14ac:dyDescent="0.3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11962.380000000003</v>
      </c>
      <c r="J988" s="20">
        <v>2.0624793103448282</v>
      </c>
      <c r="K988" s="19">
        <v>8912.380000000001</v>
      </c>
      <c r="L988" s="20">
        <v>1.5366172413793104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13123.880000000003</v>
      </c>
      <c r="X988" s="21">
        <v>1.8856149425287361</v>
      </c>
      <c r="Y988" s="19">
        <v>10072.380000000001</v>
      </c>
      <c r="Z988" s="20">
        <v>1.4471810344827587</v>
      </c>
      <c r="AA988" s="30">
        <v>9.0499999999999914E-2</v>
      </c>
      <c r="AB988" s="27">
        <v>0.06</v>
      </c>
      <c r="AC988" s="27">
        <v>9.2499999999999999E-2</v>
      </c>
      <c r="AD988" s="11">
        <v>8.9642111352423143E-2</v>
      </c>
    </row>
    <row r="989" spans="1:30" x14ac:dyDescent="0.3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9610.2800000000007</v>
      </c>
      <c r="J989" s="20">
        <v>1.922056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11245.980000000001</v>
      </c>
      <c r="X989" s="21">
        <v>1.8743300000000003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8.8944502345405116E-2</v>
      </c>
    </row>
    <row r="990" spans="1:30" x14ac:dyDescent="0.3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2989.67</v>
      </c>
      <c r="J990" s="20">
        <v>0.71182619047619033</v>
      </c>
      <c r="K990" s="19">
        <v>2839.67</v>
      </c>
      <c r="L990" s="20">
        <v>0.67611190476190475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3949.67</v>
      </c>
      <c r="X990" s="21">
        <v>0.78366468253968258</v>
      </c>
      <c r="Y990" s="19">
        <v>3407.6040000000003</v>
      </c>
      <c r="Z990" s="20">
        <v>0.67611190476190486</v>
      </c>
      <c r="AA990" s="30">
        <v>9.1400000000000051E-2</v>
      </c>
      <c r="AB990" s="27">
        <v>0.08</v>
      </c>
      <c r="AC990" s="27">
        <v>9.3100000000000002E-2</v>
      </c>
      <c r="AD990" s="11">
        <v>8.7634658674703228E-2</v>
      </c>
    </row>
    <row r="991" spans="1:30" x14ac:dyDescent="0.3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5067.1600000000008</v>
      </c>
      <c r="J991" s="20">
        <v>1.206466666666667</v>
      </c>
      <c r="K991" s="19">
        <v>4867.1600000000008</v>
      </c>
      <c r="L991" s="20">
        <v>1.1588476190476191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5147.6000000000004</v>
      </c>
      <c r="X991" s="21">
        <v>1.0213492063492065</v>
      </c>
      <c r="Y991" s="19">
        <v>4947.6000000000004</v>
      </c>
      <c r="Z991" s="20">
        <v>0.98166666666666669</v>
      </c>
      <c r="AA991" s="30">
        <v>9.1499999999999942E-2</v>
      </c>
      <c r="AB991" s="27">
        <v>0.06</v>
      </c>
      <c r="AC991" s="27">
        <v>9.4299999999999995E-2</v>
      </c>
      <c r="AD991" s="11">
        <v>8.8927643295258083E-2</v>
      </c>
    </row>
    <row r="992" spans="1:30" x14ac:dyDescent="0.3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1.4665142857142857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x14ac:dyDescent="0.3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1.7077523809523805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2.7395595238095236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8.906617497797166E-2</v>
      </c>
    </row>
    <row r="994" spans="1:30" x14ac:dyDescent="0.3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8.8940461452069297E-2</v>
      </c>
    </row>
    <row r="995" spans="1:30" x14ac:dyDescent="0.3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1.6077333333333337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8.6894998282112626E-2</v>
      </c>
    </row>
    <row r="996" spans="1:30" x14ac:dyDescent="0.3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</v>
      </c>
      <c r="L996" s="20">
        <v>0.98622857142857134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828.43200000000002</v>
      </c>
      <c r="S996" s="25">
        <v>0.98622857142857145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4970.5919999999996</v>
      </c>
      <c r="Z996" s="20">
        <v>0.98622857142857134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8.7554400336773086E-2</v>
      </c>
    </row>
    <row r="997" spans="1:30" x14ac:dyDescent="0.3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2.1916666666666669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8.6071961296313879E-2</v>
      </c>
    </row>
    <row r="998" spans="1:30" x14ac:dyDescent="0.3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7727.130000000001</v>
      </c>
      <c r="J998" s="20">
        <v>1.5454260000000006</v>
      </c>
      <c r="K998" s="19">
        <v>5777.1300000000019</v>
      </c>
      <c r="L998" s="20">
        <v>1.1554260000000003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6777.1300000000019</v>
      </c>
      <c r="Z998" s="20">
        <v>1.129521666666667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x14ac:dyDescent="0.3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4053.8300000000004</v>
      </c>
      <c r="J999" s="20">
        <v>0.81076600000000021</v>
      </c>
      <c r="K999" s="19">
        <v>3148.9000000000005</v>
      </c>
      <c r="L999" s="20">
        <v>0.62978000000000012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5484.31</v>
      </c>
      <c r="X999" s="21">
        <v>0.91405166666666671</v>
      </c>
      <c r="Y999" s="19">
        <v>3778.6800000000003</v>
      </c>
      <c r="Z999" s="20">
        <v>0.62978000000000001</v>
      </c>
      <c r="AA999" s="30">
        <v>8.6899999999999991E-2</v>
      </c>
      <c r="AB999" s="27">
        <v>7.0000000000000007E-2</v>
      </c>
      <c r="AC999" s="27">
        <v>0.09</v>
      </c>
      <c r="AD999" s="11">
        <v>8.434295468729569E-2</v>
      </c>
    </row>
    <row r="1000" spans="1:30" x14ac:dyDescent="0.3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1.3343948275862065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8.5672629591872329E-2</v>
      </c>
    </row>
    <row r="1001" spans="1:30" x14ac:dyDescent="0.3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1.0942780000000003</v>
      </c>
      <c r="K1001" s="19">
        <v>4271.3900000000003</v>
      </c>
      <c r="L1001" s="20">
        <v>0.85427800000000009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2.0422500000000001</v>
      </c>
      <c r="R1001" s="24">
        <v>854.27800000000002</v>
      </c>
      <c r="S1001" s="25">
        <v>0.85427799999999998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5125.6680000000006</v>
      </c>
      <c r="Z1001" s="20">
        <v>0.85427800000000009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x14ac:dyDescent="0.3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5302.4900000000007</v>
      </c>
      <c r="J1002" s="20">
        <v>1.6068151515151512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5992.4900000000007</v>
      </c>
      <c r="X1002" s="21">
        <v>1.5132550505050506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8.5677786662492525E-2</v>
      </c>
    </row>
    <row r="1003" spans="1:30" x14ac:dyDescent="0.3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8.5362210769789212E-2</v>
      </c>
    </row>
    <row r="1004" spans="1:30" x14ac:dyDescent="0.3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1.1378160000000004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x14ac:dyDescent="0.3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0.71448787878787878</v>
      </c>
      <c r="K1005" s="19">
        <v>1557.81</v>
      </c>
      <c r="L1005" s="20">
        <v>0.47206363636363635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1587.81</v>
      </c>
      <c r="Z1005" s="20">
        <v>0.40096212121212121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8.6386533266039262E-2</v>
      </c>
    </row>
    <row r="1006" spans="1:30" x14ac:dyDescent="0.3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5522.2599999999993</v>
      </c>
      <c r="J1006" s="20">
        <v>1.3148238095238092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6562.2599999999993</v>
      </c>
      <c r="X1006" s="21">
        <v>1.3020357142857142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8.6735722693245157E-2</v>
      </c>
    </row>
    <row r="1007" spans="1:30" x14ac:dyDescent="0.3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x14ac:dyDescent="0.3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1000</v>
      </c>
      <c r="S1008" s="25">
        <v>1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8.5366095525977098E-2</v>
      </c>
    </row>
    <row r="1009" spans="1:30" x14ac:dyDescent="0.3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2.2417714285714281</v>
      </c>
      <c r="K1009" s="19">
        <v>6381.15</v>
      </c>
      <c r="L1009" s="20">
        <v>1.5193214285714285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7221.15</v>
      </c>
      <c r="Z1009" s="20">
        <v>1.432767857142857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8.3966966811959934E-2</v>
      </c>
    </row>
    <row r="1010" spans="1:30" x14ac:dyDescent="0.3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1.4347151515151513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</v>
      </c>
      <c r="S1010" s="25">
        <v>1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8904.119999999999</v>
      </c>
      <c r="Z1010" s="20">
        <v>1.1242575757575757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x14ac:dyDescent="0.3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8739.5800000000017</v>
      </c>
      <c r="J1011" s="20">
        <v>1.3241787878787876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10663.060000000001</v>
      </c>
      <c r="X1011" s="21">
        <v>1.3463459595959597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8.4012589277745589E-2</v>
      </c>
    </row>
    <row r="1012" spans="1:30" x14ac:dyDescent="0.3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1.2338409090909088</v>
      </c>
      <c r="K1012" s="19">
        <v>7393.3499999999985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8.5836778598488345E-2</v>
      </c>
    </row>
    <row r="1013" spans="1:30" x14ac:dyDescent="0.3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9603.35</v>
      </c>
      <c r="J1013" s="20">
        <v>1.2804466666666665</v>
      </c>
      <c r="K1013" s="19">
        <v>8223.3499999999985</v>
      </c>
      <c r="L1013" s="20">
        <v>1.0964466666666666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9723.3499999999985</v>
      </c>
      <c r="Z1013" s="20">
        <v>1.0803722222222221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8.3752832605288763E-2</v>
      </c>
    </row>
    <row r="1014" spans="1:30" x14ac:dyDescent="0.3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x14ac:dyDescent="0.3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6887.1999999999989</v>
      </c>
      <c r="J1015" s="20">
        <v>1.1874482758620686</v>
      </c>
      <c r="K1015" s="19">
        <v>5737.1999999999989</v>
      </c>
      <c r="L1015" s="20">
        <v>0.98917241379310328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7072.1999999999989</v>
      </c>
      <c r="X1015" s="21">
        <v>1.0161206896551722</v>
      </c>
      <c r="Y1015" s="19">
        <v>5922.1999999999989</v>
      </c>
      <c r="Z1015" s="20">
        <v>0.85089080459770094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8.5571288767568823E-2</v>
      </c>
    </row>
    <row r="1016" spans="1:30" x14ac:dyDescent="0.3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</v>
      </c>
      <c r="J1016" s="20">
        <v>1.3629357142857141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8.4889043783289916E-2</v>
      </c>
    </row>
    <row r="1017" spans="1:30" x14ac:dyDescent="0.3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1.1076909090909088</v>
      </c>
      <c r="K1017" s="19">
        <v>3255.3799999999997</v>
      </c>
      <c r="L1017" s="20">
        <v>0.98647878787878773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3606.2799999999997</v>
      </c>
      <c r="Z1017" s="20">
        <v>0.91067676767676764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x14ac:dyDescent="0.3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</v>
      </c>
      <c r="J1018" s="20">
        <v>1.0460480000000001</v>
      </c>
      <c r="K1018" s="19">
        <v>4030.24</v>
      </c>
      <c r="L1018" s="20">
        <v>0.80604799999999999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5465.3899999999994</v>
      </c>
      <c r="X1018" s="21">
        <v>0.91089833333333325</v>
      </c>
      <c r="Y1018" s="19">
        <v>4265.3899999999994</v>
      </c>
      <c r="Z1018" s="20">
        <v>0.71089833333333319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8.5546481614610426E-2</v>
      </c>
    </row>
    <row r="1019" spans="1:30" x14ac:dyDescent="0.3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6220.79</v>
      </c>
      <c r="L1019" s="20">
        <v>1.2441580000000001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7220.79</v>
      </c>
      <c r="Z1019" s="20">
        <v>1.203465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8.3441937016179191E-2</v>
      </c>
    </row>
    <row r="1020" spans="1:30" x14ac:dyDescent="0.3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8.4643888585656538E-2</v>
      </c>
    </row>
    <row r="1021" spans="1:30" x14ac:dyDescent="0.3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7877.8600000000006</v>
      </c>
      <c r="J1021" s="20">
        <v>1.8756809523809528</v>
      </c>
      <c r="K1021" s="19">
        <v>5497.8600000000006</v>
      </c>
      <c r="L1021" s="20">
        <v>1.3090142857142859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8577.86</v>
      </c>
      <c r="X1021" s="21">
        <v>1.7019563492063494</v>
      </c>
      <c r="Y1021" s="19">
        <v>6197.8600000000006</v>
      </c>
      <c r="Z1021" s="20">
        <v>1.2297341269841271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8.5326408186994954E-2</v>
      </c>
    </row>
    <row r="1022" spans="1:30" x14ac:dyDescent="0.3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0.74128965517241374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x14ac:dyDescent="0.3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8217.1699999999983</v>
      </c>
      <c r="J1023" s="20">
        <v>1.6434339999999998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0.35317000000000004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8570.3399999999983</v>
      </c>
      <c r="X1023" s="21">
        <v>1.4283899999999998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8.467376907134698E-2</v>
      </c>
    </row>
    <row r="1024" spans="1:30" x14ac:dyDescent="0.3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1.4292560000000003</v>
      </c>
      <c r="K1024" s="19">
        <v>5996.28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5996.28</v>
      </c>
      <c r="Z1024" s="20">
        <v>0.99937999999999994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3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1.1855289156626507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1.8855421686746987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8.4420649011320278E-2</v>
      </c>
    </row>
    <row r="1026" spans="1:30" x14ac:dyDescent="0.3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x14ac:dyDescent="0.3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1.1566388059701491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3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0.89010240963855447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8.4562924396136899E-2</v>
      </c>
    </row>
    <row r="1029" spans="1:30" x14ac:dyDescent="0.3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9138.2400000000034</v>
      </c>
      <c r="J1029" s="20">
        <v>1.3639164179104477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12072.160000000003</v>
      </c>
      <c r="X1029" s="21">
        <v>1.5015124378109457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8.440232604965503E-2</v>
      </c>
    </row>
    <row r="1030" spans="1:30" x14ac:dyDescent="0.3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1.1059740000000005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8.6316183743921665E-2</v>
      </c>
    </row>
    <row r="1031" spans="1:30" x14ac:dyDescent="0.3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</v>
      </c>
      <c r="L1031" s="20">
        <v>1.1725093333333334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</v>
      </c>
      <c r="Z1031" s="20">
        <v>1.1437577777777777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x14ac:dyDescent="0.3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9764.8599999999988</v>
      </c>
      <c r="J1032" s="20">
        <v>1.4574417910447761</v>
      </c>
      <c r="K1032" s="19">
        <v>7114.86</v>
      </c>
      <c r="L1032" s="20">
        <v>1.0619194029850745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11335.439999999999</v>
      </c>
      <c r="X1032" s="21">
        <v>1.4098805970149253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x14ac:dyDescent="0.3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1.4109499999999997</v>
      </c>
      <c r="K1033" s="19">
        <v>5983.5099999999984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7143.5099999999984</v>
      </c>
      <c r="Z1033" s="20">
        <v>1.0263663793103446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8.5515829515696848E-2</v>
      </c>
    </row>
    <row r="1034" spans="1:30" x14ac:dyDescent="0.3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1.0386266666666668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1.6133333333333335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8.4930239932218168E-2</v>
      </c>
    </row>
    <row r="1035" spans="1:30" x14ac:dyDescent="0.3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7266.6100000000006</v>
      </c>
      <c r="J1035" s="20">
        <v>1.2528637931034479</v>
      </c>
      <c r="K1035" s="19">
        <v>5966.6100000000006</v>
      </c>
      <c r="L1035" s="20">
        <v>1.0287258620689657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1.3620689655172413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7126.6100000000006</v>
      </c>
      <c r="Z1035" s="20">
        <v>1.0239382183908048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8.5488496836901906E-2</v>
      </c>
    </row>
    <row r="1036" spans="1:30" x14ac:dyDescent="0.3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5223.7100000000009</v>
      </c>
      <c r="J1036" s="20">
        <v>1.2437404761904762</v>
      </c>
      <c r="K1036" s="19">
        <v>4623.7100000000009</v>
      </c>
      <c r="L1036" s="20">
        <v>1.1008833333333337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5253.7100000000009</v>
      </c>
      <c r="X1036" s="21">
        <v>1.042402777777778</v>
      </c>
      <c r="Y1036" s="19">
        <v>4653.7100000000009</v>
      </c>
      <c r="Z1036" s="20">
        <v>0.92335515873015894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8.6769018379657351E-2</v>
      </c>
    </row>
    <row r="1037" spans="1:30" x14ac:dyDescent="0.3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1.1326012195121955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1640</v>
      </c>
      <c r="S1037" s="25">
        <v>1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8.5232669238629405E-2</v>
      </c>
    </row>
    <row r="1038" spans="1:30" x14ac:dyDescent="0.3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5543.3300000000008</v>
      </c>
      <c r="J1038" s="20">
        <v>0.81519558823529426</v>
      </c>
      <c r="K1038" s="19">
        <v>5193.3300000000008</v>
      </c>
      <c r="L1038" s="20">
        <v>0.7637250000000001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2.0006617647058822</v>
      </c>
      <c r="R1038" s="24">
        <v>1038.6659999999999</v>
      </c>
      <c r="S1038" s="25">
        <v>0.76372499999999999</v>
      </c>
      <c r="T1038" s="26">
        <v>0.38177777777777777</v>
      </c>
      <c r="U1038" s="24">
        <v>0</v>
      </c>
      <c r="V1038" s="19">
        <v>8160</v>
      </c>
      <c r="W1038" s="19">
        <v>8264.2300000000014</v>
      </c>
      <c r="X1038" s="21">
        <v>1.0127732843137256</v>
      </c>
      <c r="Y1038" s="19">
        <v>6231.996000000001</v>
      </c>
      <c r="Z1038" s="20">
        <v>0.7637250000000001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8.5978977798543466E-2</v>
      </c>
    </row>
    <row r="1039" spans="1:30" x14ac:dyDescent="0.3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0.91890689655172408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8.5651198200260459E-2</v>
      </c>
    </row>
    <row r="1040" spans="1:30" x14ac:dyDescent="0.3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10314.790000000001</v>
      </c>
      <c r="J1040" s="20">
        <v>1.3753053333333327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2.3435333333333332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</v>
      </c>
      <c r="X1040" s="21">
        <v>1.5366766666666667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8.5011327811811963E-2</v>
      </c>
    </row>
    <row r="1041" spans="1:30" x14ac:dyDescent="0.3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0.87350600000000012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8.6059743150018422E-2</v>
      </c>
    </row>
    <row r="1042" spans="1:30" x14ac:dyDescent="0.3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1.3574833333333334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3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7232.9900000000007</v>
      </c>
      <c r="J1043" s="20">
        <v>0.87144457831325306</v>
      </c>
      <c r="K1043" s="19">
        <v>7232.9900000000007</v>
      </c>
      <c r="L1043" s="20">
        <v>0.87144457831325306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10022.390000000001</v>
      </c>
      <c r="X1043" s="21">
        <v>1.0062640562248997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8.4586141277673513E-2</v>
      </c>
    </row>
    <row r="1044" spans="1:30" x14ac:dyDescent="0.3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0.96356268656716382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</v>
      </c>
      <c r="S1044" s="25">
        <v>0.88893582089552237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8.6175125893179369E-2</v>
      </c>
    </row>
    <row r="1045" spans="1:30" x14ac:dyDescent="0.3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6344.84</v>
      </c>
      <c r="J1045" s="20">
        <v>1.0939379310344828</v>
      </c>
      <c r="K1045" s="19">
        <v>5894.8400000000011</v>
      </c>
      <c r="L1045" s="20">
        <v>1.0163517241379312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6964.84</v>
      </c>
      <c r="X1045" s="21">
        <v>1.0006954022988506</v>
      </c>
      <c r="Y1045" s="19">
        <v>6514.8400000000011</v>
      </c>
      <c r="Z1045" s="20">
        <v>0.93604022988505764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8.6275077228109773E-2</v>
      </c>
    </row>
    <row r="1046" spans="1:30" x14ac:dyDescent="0.3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10408.499999999998</v>
      </c>
      <c r="J1046" s="20">
        <v>1.254036144578313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12289.399999999998</v>
      </c>
      <c r="X1046" s="21">
        <v>1.2338755020080319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8.5411414132680052E-2</v>
      </c>
    </row>
    <row r="1047" spans="1:30" x14ac:dyDescent="0.3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6166.2600000000029</v>
      </c>
      <c r="J1047" s="20">
        <v>1.2332520000000007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6566.5800000000027</v>
      </c>
      <c r="X1047" s="21">
        <v>1.0944300000000005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8.5720443996847306E-2</v>
      </c>
    </row>
    <row r="1048" spans="1:30" x14ac:dyDescent="0.3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8.7869646245670202E-2</v>
      </c>
    </row>
    <row r="1049" spans="1:30" x14ac:dyDescent="0.3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1.0163060240963857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x14ac:dyDescent="0.3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</v>
      </c>
      <c r="K1050" s="19">
        <v>3414.39</v>
      </c>
      <c r="L1050" s="20">
        <v>0.50961044776119402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4097.268</v>
      </c>
      <c r="Z1050" s="20">
        <v>0.50961044776119402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8.6348859975935777E-2</v>
      </c>
    </row>
    <row r="1051" spans="1:30" x14ac:dyDescent="0.3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1.5005619047619048</v>
      </c>
      <c r="K1051" s="19">
        <v>4702.3600000000006</v>
      </c>
      <c r="L1051" s="20">
        <v>1.1196095238095241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5542.3600000000006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3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0.45952000000000021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</v>
      </c>
      <c r="S1052" s="25">
        <v>0.35952000000000001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x14ac:dyDescent="0.3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10363.569999999996</v>
      </c>
      <c r="J1053" s="20">
        <v>2.0727140000000004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</v>
      </c>
      <c r="R1053" s="24">
        <v>1000.0000000000001</v>
      </c>
      <c r="S1053" s="25">
        <v>1.0000000000000002</v>
      </c>
      <c r="T1053" s="26">
        <v>0.33860606060606063</v>
      </c>
      <c r="U1053" s="24">
        <v>0</v>
      </c>
      <c r="V1053" s="19">
        <v>6000</v>
      </c>
      <c r="W1053" s="19">
        <v>13316.869999999995</v>
      </c>
      <c r="X1053" s="21">
        <v>2.2194783333333326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8.7266607645820907E-2</v>
      </c>
    </row>
    <row r="1054" spans="1:30" x14ac:dyDescent="0.3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7760.5700000000006</v>
      </c>
      <c r="J1054" s="20">
        <v>1.5521140000000007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8.7785141813036927E-2</v>
      </c>
    </row>
    <row r="1055" spans="1:30" x14ac:dyDescent="0.3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0.95088915662650597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8.5520195935826687E-2</v>
      </c>
    </row>
    <row r="1056" spans="1:30" x14ac:dyDescent="0.3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5272.2400000000007</v>
      </c>
      <c r="J1056" s="20">
        <v>1.2552952380952385</v>
      </c>
      <c r="K1056" s="19">
        <v>4822.2400000000007</v>
      </c>
      <c r="L1056" s="20">
        <v>1.148152380952381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6114.9000000000005</v>
      </c>
      <c r="X1056" s="21">
        <v>1.2132738095238096</v>
      </c>
      <c r="Y1056" s="19">
        <v>5662.2400000000007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8.7145541553495312E-2</v>
      </c>
    </row>
    <row r="1057" spans="1:30" x14ac:dyDescent="0.3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0.59216724137931021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8.7425128909878067E-2</v>
      </c>
    </row>
    <row r="1058" spans="1:30" x14ac:dyDescent="0.3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1.1677346666666668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2.3365999999999998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x14ac:dyDescent="0.3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1.2014900000000006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8.7547628361451177E-2</v>
      </c>
    </row>
    <row r="1060" spans="1:30" x14ac:dyDescent="0.3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3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7345.67</v>
      </c>
      <c r="J1061" s="20">
        <v>1.0346014084507038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9813.4700000000012</v>
      </c>
      <c r="X1061" s="21">
        <v>1.1518157276995307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8.6270428701534396E-2</v>
      </c>
    </row>
    <row r="1062" spans="1:30" x14ac:dyDescent="0.3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x14ac:dyDescent="0.3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</v>
      </c>
      <c r="J1063" s="20">
        <v>1.4158117647058821</v>
      </c>
      <c r="K1063" s="19">
        <v>3713.76</v>
      </c>
      <c r="L1063" s="20">
        <v>1.0922823529411765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</v>
      </c>
      <c r="X1063" s="21">
        <v>1.2925882352941176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8.7412087224955123E-2</v>
      </c>
    </row>
    <row r="1064" spans="1:30" x14ac:dyDescent="0.3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4466.6900000000005</v>
      </c>
      <c r="J1064" s="20">
        <v>0.5381554216867469</v>
      </c>
      <c r="K1064" s="19">
        <v>3966.69</v>
      </c>
      <c r="L1064" s="20">
        <v>0.4779144578313253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6126.6900000000005</v>
      </c>
      <c r="X1064" s="21">
        <v>0.61512951807228922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x14ac:dyDescent="0.3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2859.6299999999997</v>
      </c>
      <c r="L1065" s="20">
        <v>0.42681044776119398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</v>
      </c>
      <c r="Z1065" s="20">
        <v>0.38588184079601989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8.6398759421625268E-2</v>
      </c>
    </row>
    <row r="1066" spans="1:30" x14ac:dyDescent="0.3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0.76905200000000018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8.999980365436927E-2</v>
      </c>
    </row>
    <row r="1067" spans="1:30" x14ac:dyDescent="0.3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5629.9199999999992</v>
      </c>
      <c r="J1067" s="20">
        <v>1.1259840000000001</v>
      </c>
      <c r="K1067" s="19">
        <v>5029.9199999999992</v>
      </c>
      <c r="L1067" s="20">
        <v>1.0059839999999998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</v>
      </c>
      <c r="S1067" s="25">
        <v>1</v>
      </c>
      <c r="T1067" s="26">
        <v>0.9007400000000001</v>
      </c>
      <c r="U1067" s="24">
        <v>0</v>
      </c>
      <c r="V1067" s="19">
        <v>6000</v>
      </c>
      <c r="W1067" s="19">
        <v>6740.119999999999</v>
      </c>
      <c r="X1067" s="21">
        <v>1.1233533333333332</v>
      </c>
      <c r="Y1067" s="19">
        <v>6029.9199999999992</v>
      </c>
      <c r="Z1067" s="20">
        <v>1.0049866666666665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8.7389062544405621E-2</v>
      </c>
    </row>
    <row r="1068" spans="1:30" x14ac:dyDescent="0.3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585.00199999999995</v>
      </c>
      <c r="S1068" s="25">
        <v>0.86029705882352936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x14ac:dyDescent="0.3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</v>
      </c>
      <c r="J1069" s="20">
        <v>1.0608764705882352</v>
      </c>
      <c r="K1069" s="19">
        <v>2906.9800000000005</v>
      </c>
      <c r="L1069" s="20">
        <v>0.85499411764705902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</v>
      </c>
      <c r="X1069" s="21">
        <v>0.95269117647058821</v>
      </c>
      <c r="Y1069" s="19">
        <v>3186.9800000000005</v>
      </c>
      <c r="Z1069" s="20">
        <v>0.78112254901960798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3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8573.2199999999993</v>
      </c>
      <c r="J1070" s="20">
        <v>1.4781413793103448</v>
      </c>
      <c r="K1070" s="19">
        <v>6573.2199999999993</v>
      </c>
      <c r="L1070" s="20">
        <v>1.1333137931034483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10073.219999999999</v>
      </c>
      <c r="X1070" s="21">
        <v>1.4473017241379309</v>
      </c>
      <c r="Y1070" s="19">
        <v>7733.2199999999993</v>
      </c>
      <c r="Z1070" s="20">
        <v>1.1110948275862067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8.7300393551081171E-2</v>
      </c>
    </row>
    <row r="1071" spans="1:30" x14ac:dyDescent="0.3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10870.180000000002</v>
      </c>
      <c r="J1071" s="20">
        <v>2.5881380952380941</v>
      </c>
      <c r="K1071" s="19">
        <v>8400.0000000000018</v>
      </c>
      <c r="L1071" s="20">
        <v>2.0000000000000004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11910.180000000002</v>
      </c>
      <c r="X1071" s="21">
        <v>2.3631309523809527</v>
      </c>
      <c r="Y1071" s="19">
        <v>9240.0000000000018</v>
      </c>
      <c r="Z1071" s="20">
        <v>1.8333333333333337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x14ac:dyDescent="0.3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2.8066600000000008</v>
      </c>
      <c r="K1072" s="19">
        <v>5000</v>
      </c>
      <c r="L1072" s="20">
        <v>2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</v>
      </c>
      <c r="Z1072" s="20">
        <v>1.8333333333333333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8.9097149921971319E-2</v>
      </c>
    </row>
    <row r="1073" spans="1:30" x14ac:dyDescent="0.3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8.7177509867041689E-2</v>
      </c>
    </row>
    <row r="1074" spans="1:30" x14ac:dyDescent="0.3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2.9682969696969685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8.7754287531468897E-2</v>
      </c>
    </row>
    <row r="1075" spans="1:30" x14ac:dyDescent="0.3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8167.8999999999987</v>
      </c>
      <c r="J1075" s="20">
        <v>2.4751212121212105</v>
      </c>
      <c r="K1075" s="19">
        <v>6599.9999999999991</v>
      </c>
      <c r="L1075" s="20">
        <v>1.9999999999999998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8827.8999999999978</v>
      </c>
      <c r="X1075" s="21">
        <v>2.2292676767676762</v>
      </c>
      <c r="Y1075" s="19">
        <v>7259.9999999999991</v>
      </c>
      <c r="Z1075" s="20">
        <v>1.833333333333333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8.6723660794084181E-2</v>
      </c>
    </row>
    <row r="1076" spans="1:30" x14ac:dyDescent="0.3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8.6197894064440894E-2</v>
      </c>
    </row>
    <row r="1077" spans="1:30" x14ac:dyDescent="0.3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4531.26</v>
      </c>
      <c r="J1077" s="20">
        <v>0.90625200000000006</v>
      </c>
      <c r="K1077" s="19">
        <v>4531.26</v>
      </c>
      <c r="L1077" s="20">
        <v>0.90625200000000006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5831.26</v>
      </c>
      <c r="X1077" s="21">
        <v>0.97187666666666672</v>
      </c>
      <c r="Y1077" s="19">
        <v>5437.5120000000006</v>
      </c>
      <c r="Z1077" s="20">
        <v>0.90625200000000006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8.7765351579913747E-2</v>
      </c>
    </row>
    <row r="1078" spans="1:30" x14ac:dyDescent="0.3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1.4863172413793102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8.8388570338165148E-2</v>
      </c>
    </row>
    <row r="1079" spans="1:30" x14ac:dyDescent="0.3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</v>
      </c>
      <c r="J1079" s="20">
        <v>0.84768030303030284</v>
      </c>
      <c r="K1079" s="19">
        <v>5594.69</v>
      </c>
      <c r="L1079" s="20">
        <v>0.84768030303030295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</v>
      </c>
      <c r="X1079" s="21">
        <v>0.87306691919191914</v>
      </c>
      <c r="Y1079" s="19">
        <v>6713.6279999999997</v>
      </c>
      <c r="Z1079" s="20">
        <v>0.84768030303030295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8.6721955103857398E-2</v>
      </c>
    </row>
    <row r="1080" spans="1:30" x14ac:dyDescent="0.3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0.97189310344827606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x14ac:dyDescent="0.3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1.2563147058823532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8.7941981800176539E-2</v>
      </c>
    </row>
    <row r="1082" spans="1:30" x14ac:dyDescent="0.3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8.6521833827952657E-2</v>
      </c>
    </row>
    <row r="1083" spans="1:30" x14ac:dyDescent="0.3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0.95075517241379315</v>
      </c>
      <c r="K1083" s="19">
        <v>5014.38</v>
      </c>
      <c r="L1083" s="20">
        <v>0.86454827586206895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6017.2560000000003</v>
      </c>
      <c r="Z1083" s="20">
        <v>0.86454827586206906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x14ac:dyDescent="0.3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</v>
      </c>
      <c r="J1084" s="20">
        <v>0.94155344827586207</v>
      </c>
      <c r="K1084" s="19">
        <v>5261.01</v>
      </c>
      <c r="L1084" s="20">
        <v>0.90707068965517246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</v>
      </c>
      <c r="X1084" s="21">
        <v>0.95230028735632188</v>
      </c>
      <c r="Y1084" s="19">
        <v>6313.2120000000004</v>
      </c>
      <c r="Z1084" s="20">
        <v>0.90707068965517246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3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x14ac:dyDescent="0.3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4607.2</v>
      </c>
      <c r="J1086" s="20">
        <v>0.92144000000000015</v>
      </c>
      <c r="K1086" s="19">
        <v>4607.2</v>
      </c>
      <c r="L1086" s="20">
        <v>0.92143999999999993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5607.3</v>
      </c>
      <c r="X1086" s="21">
        <v>0.93454999999999999</v>
      </c>
      <c r="Y1086" s="19">
        <v>5528.6399999999994</v>
      </c>
      <c r="Z1086" s="20">
        <v>0.92143999999999993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8.7929390302135757E-2</v>
      </c>
    </row>
    <row r="1087" spans="1:30" x14ac:dyDescent="0.3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6522.1699999999983</v>
      </c>
      <c r="J1087" s="20">
        <v>1.3044340000000001</v>
      </c>
      <c r="K1087" s="19">
        <v>5222.1699999999983</v>
      </c>
      <c r="L1087" s="20">
        <v>1.0444339999999996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7322.1699999999983</v>
      </c>
      <c r="X1087" s="21">
        <v>1.2203616666666663</v>
      </c>
      <c r="Y1087" s="19">
        <v>6022.1699999999983</v>
      </c>
      <c r="Z1087" s="20">
        <v>1.0036949999999998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8.7860594556719643E-2</v>
      </c>
    </row>
    <row r="1088" spans="1:30" x14ac:dyDescent="0.3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0.89034399999999991</v>
      </c>
      <c r="K1088" s="19">
        <v>3751.7200000000003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2.0076999999999998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4502.0640000000003</v>
      </c>
      <c r="Z1088" s="20">
        <v>0.75034400000000001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x14ac:dyDescent="0.3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5149.6500000000005</v>
      </c>
      <c r="J1089" s="20">
        <v>1.2261071428571428</v>
      </c>
      <c r="K1089" s="19">
        <v>4949.0400000000009</v>
      </c>
      <c r="L1089" s="20">
        <v>1.1783428571428574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6589.6500000000005</v>
      </c>
      <c r="X1089" s="21">
        <v>1.3074702380952381</v>
      </c>
      <c r="Y1089" s="19">
        <v>5789.0400000000009</v>
      </c>
      <c r="Z1089" s="20">
        <v>1.1486190476190479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8.9156663656753371E-2</v>
      </c>
    </row>
    <row r="1090" spans="1:30" x14ac:dyDescent="0.3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3742.3500000000004</v>
      </c>
      <c r="J1090" s="20">
        <v>0.74847000000000019</v>
      </c>
      <c r="K1090" s="19">
        <v>3592.3500000000004</v>
      </c>
      <c r="L1090" s="20">
        <v>0.71847000000000005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3942.3500000000004</v>
      </c>
      <c r="X1090" s="21">
        <v>0.65705833333333341</v>
      </c>
      <c r="Y1090" s="19">
        <v>3792.3500000000004</v>
      </c>
      <c r="Z1090" s="20">
        <v>0.63205833333333339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8.9049459564177591E-2</v>
      </c>
    </row>
    <row r="1091" spans="1:30" x14ac:dyDescent="0.3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x14ac:dyDescent="0.3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x14ac:dyDescent="0.3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3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x14ac:dyDescent="0.3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x14ac:dyDescent="0.3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3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x14ac:dyDescent="0.3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x14ac:dyDescent="0.3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3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x14ac:dyDescent="0.3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x14ac:dyDescent="0.3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3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x14ac:dyDescent="0.3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x14ac:dyDescent="0.3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3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x14ac:dyDescent="0.3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x14ac:dyDescent="0.3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3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x14ac:dyDescent="0.3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x14ac:dyDescent="0.3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3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x14ac:dyDescent="0.3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x14ac:dyDescent="0.3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3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x14ac:dyDescent="0.3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x14ac:dyDescent="0.3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3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x14ac:dyDescent="0.3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x14ac:dyDescent="0.3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3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x14ac:dyDescent="0.3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x14ac:dyDescent="0.3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3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x14ac:dyDescent="0.3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x14ac:dyDescent="0.3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3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x14ac:dyDescent="0.3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x14ac:dyDescent="0.3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3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x14ac:dyDescent="0.3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x14ac:dyDescent="0.3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3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x14ac:dyDescent="0.3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x14ac:dyDescent="0.3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3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x14ac:dyDescent="0.3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x14ac:dyDescent="0.3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3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x14ac:dyDescent="0.3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x14ac:dyDescent="0.3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3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x14ac:dyDescent="0.3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x14ac:dyDescent="0.3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3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x14ac:dyDescent="0.3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0.92442222222222181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9.5493851843966041E-2</v>
      </c>
    </row>
    <row r="1147" spans="1:30" x14ac:dyDescent="0.3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3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x14ac:dyDescent="0.3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x14ac:dyDescent="0.3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3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x14ac:dyDescent="0.3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x14ac:dyDescent="0.3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3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x14ac:dyDescent="0.3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x14ac:dyDescent="0.3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3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x14ac:dyDescent="0.3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x14ac:dyDescent="0.3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3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x14ac:dyDescent="0.3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x14ac:dyDescent="0.3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3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x14ac:dyDescent="0.3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x14ac:dyDescent="0.3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3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x14ac:dyDescent="0.3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x14ac:dyDescent="0.3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3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x14ac:dyDescent="0.3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x14ac:dyDescent="0.3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3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x14ac:dyDescent="0.3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x14ac:dyDescent="0.3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3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x14ac:dyDescent="0.3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x14ac:dyDescent="0.3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3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x14ac:dyDescent="0.3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x14ac:dyDescent="0.3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3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x14ac:dyDescent="0.3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x14ac:dyDescent="0.3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3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0.79255000000000009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9.5000839364198134E-2</v>
      </c>
    </row>
    <row r="1185" spans="1:30" x14ac:dyDescent="0.3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x14ac:dyDescent="0.3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3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x14ac:dyDescent="0.3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x14ac:dyDescent="0.3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9.1701152238593195E-2</v>
      </c>
    </row>
    <row r="1190" spans="1:30" x14ac:dyDescent="0.3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13140.050000000003</v>
      </c>
      <c r="J1190" s="20">
        <v>1.9909166666666662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1.0387121212121211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14511.150000000003</v>
      </c>
      <c r="X1190" s="21">
        <v>1.8322159090909096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9.082471223473268E-2</v>
      </c>
    </row>
    <row r="1191" spans="1:30" x14ac:dyDescent="0.3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2.3308224137931042</v>
      </c>
      <c r="K1191" s="19">
        <v>5818.7699999999995</v>
      </c>
      <c r="L1191" s="20">
        <v>1.0032362068965517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0.98838793103448286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6965.2999999999993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x14ac:dyDescent="0.3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</v>
      </c>
      <c r="J1192" s="20">
        <v>3.8076640000000017</v>
      </c>
      <c r="K1192" s="19">
        <v>5170.37</v>
      </c>
      <c r="L1192" s="20">
        <v>1.0340739999999999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1000</v>
      </c>
      <c r="S1192" s="25">
        <v>1</v>
      </c>
      <c r="T1192" s="25">
        <v>0.75585799999999992</v>
      </c>
      <c r="U1192" s="24">
        <v>0</v>
      </c>
      <c r="V1192" s="19">
        <v>6000</v>
      </c>
      <c r="W1192" s="19">
        <v>20361.32</v>
      </c>
      <c r="X1192" s="21">
        <v>3.3935533333333332</v>
      </c>
      <c r="Y1192" s="19">
        <v>6170.37</v>
      </c>
      <c r="Z1192" s="20">
        <v>1.0283949999999999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8.8261551807092248E-2</v>
      </c>
    </row>
    <row r="1193" spans="1:30" x14ac:dyDescent="0.3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15169.379999999997</v>
      </c>
      <c r="J1193" s="20">
        <v>2.2983909090909087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1368.9</v>
      </c>
      <c r="Q1193" s="25">
        <v>1.0370454545454546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8.893735043884457E-2</v>
      </c>
    </row>
    <row r="1194" spans="1:30" x14ac:dyDescent="0.3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14105.069999999998</v>
      </c>
      <c r="J1194" s="20">
        <v>2.1371318181818175</v>
      </c>
      <c r="K1194" s="19">
        <v>7153.1799999999985</v>
      </c>
      <c r="L1194" s="20">
        <v>1.0838151515151513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15825.069999999998</v>
      </c>
      <c r="X1194" s="21">
        <v>1.9981148989898987</v>
      </c>
      <c r="Y1194" s="19">
        <v>8473.1799999999985</v>
      </c>
      <c r="Z1194" s="20">
        <v>1.0698459595959593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x14ac:dyDescent="0.3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11903.660000000002</v>
      </c>
      <c r="J1195" s="20">
        <v>2.3807320000000014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12060.660000000002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8.422812454320773E-2</v>
      </c>
    </row>
    <row r="1196" spans="1:30" x14ac:dyDescent="0.3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10663.460000000005</v>
      </c>
      <c r="J1196" s="20">
        <v>1.615675757575757</v>
      </c>
      <c r="K1196" s="19">
        <v>6600.0000000000009</v>
      </c>
      <c r="L1196" s="20">
        <v>1.0000000000000002</v>
      </c>
      <c r="M1196" s="21">
        <v>0.44162149999999994</v>
      </c>
      <c r="N1196" s="19">
        <v>0</v>
      </c>
      <c r="O1196" s="23">
        <v>1320</v>
      </c>
      <c r="P1196" s="24">
        <v>2383.5700000000002</v>
      </c>
      <c r="Q1196" s="25">
        <v>1.8057348484848483</v>
      </c>
      <c r="R1196" s="24">
        <v>1320</v>
      </c>
      <c r="S1196" s="25">
        <v>1</v>
      </c>
      <c r="T1196" s="25">
        <v>0.55379199999999995</v>
      </c>
      <c r="U1196" s="24">
        <v>0</v>
      </c>
      <c r="V1196" s="19">
        <v>7920</v>
      </c>
      <c r="W1196" s="19">
        <v>13047.030000000004</v>
      </c>
      <c r="X1196" s="21">
        <v>1.6473522727272734</v>
      </c>
      <c r="Y1196" s="19">
        <v>7920.0000000000009</v>
      </c>
      <c r="Z1196" s="20">
        <v>1.0000000000000002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8.8115066873228717E-2</v>
      </c>
    </row>
    <row r="1197" spans="1:30" x14ac:dyDescent="0.3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</v>
      </c>
      <c r="L1197" s="20">
        <v>1.052306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x14ac:dyDescent="0.3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13438.029999999999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14780.029999999999</v>
      </c>
      <c r="X1198" s="21">
        <v>1.8661654040404039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3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6242.2199999999993</v>
      </c>
      <c r="L1199" s="20">
        <v>1.0068096774193547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6263.2199999999993</v>
      </c>
      <c r="Z1199" s="20">
        <v>0.84183064516129025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x14ac:dyDescent="0.3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</v>
      </c>
      <c r="J1200" s="20">
        <v>1.8079951612903222</v>
      </c>
      <c r="K1200" s="19">
        <v>6799.57</v>
      </c>
      <c r="L1200" s="20">
        <v>1.0967048387096774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11212.119999999999</v>
      </c>
      <c r="X1200" s="21">
        <v>1.5070053763440858</v>
      </c>
      <c r="Y1200" s="19">
        <v>6802.12</v>
      </c>
      <c r="Z1200" s="20">
        <v>0.91426344086021505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8.7138342059508114E-2</v>
      </c>
    </row>
    <row r="1201" spans="1:30" x14ac:dyDescent="0.3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10674.189999999999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1240.0000000000002</v>
      </c>
      <c r="S1201" s="25">
        <v>1.0000000000000002</v>
      </c>
      <c r="T1201" s="25">
        <v>0.72299999999999998</v>
      </c>
      <c r="U1201" s="24">
        <v>0</v>
      </c>
      <c r="V1201" s="19">
        <v>7440</v>
      </c>
      <c r="W1201" s="19">
        <v>12389.39</v>
      </c>
      <c r="X1201" s="21">
        <v>1.6652405913978494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8.366266601962305E-2</v>
      </c>
    </row>
    <row r="1202" spans="1:30" x14ac:dyDescent="0.3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1.6231096385542172</v>
      </c>
      <c r="K1202" s="19">
        <v>8356.8099999999977</v>
      </c>
      <c r="L1202" s="20">
        <v>1.0068445783132527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10016.809999999998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8.7389892152576379E-2</v>
      </c>
    </row>
    <row r="1203" spans="1:30" x14ac:dyDescent="0.3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17748.740000000002</v>
      </c>
      <c r="J1203" s="20">
        <v>2.6892030303030294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0.74999999999999989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18738.740000000002</v>
      </c>
      <c r="X1203" s="21">
        <v>2.3660025252525254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x14ac:dyDescent="0.3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2.8175844827586212</v>
      </c>
      <c r="K1204" s="19">
        <v>6891.9900000000007</v>
      </c>
      <c r="L1204" s="20">
        <v>1.1882741379310346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8051.9900000000007</v>
      </c>
      <c r="Z1204" s="20">
        <v>1.1568951149425288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8.2354655155216713E-2</v>
      </c>
    </row>
    <row r="1205" spans="1:30" x14ac:dyDescent="0.3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2.2837759036144583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x14ac:dyDescent="0.3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19939.669999999998</v>
      </c>
      <c r="X1206" s="21">
        <v>2.0019748995983933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8.4406176162627689E-2</v>
      </c>
    </row>
    <row r="1207" spans="1:30" x14ac:dyDescent="0.3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8.1303766566774946E-2</v>
      </c>
    </row>
    <row r="1208" spans="1:30" x14ac:dyDescent="0.3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</v>
      </c>
      <c r="J1208" s="20">
        <v>1.5569660000000001</v>
      </c>
      <c r="K1208" s="19">
        <v>10369.660000000002</v>
      </c>
      <c r="L1208" s="20">
        <v>1.0369660000000003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12369.660000000002</v>
      </c>
      <c r="Z1208" s="20">
        <v>1.0308050000000002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8.4985553313302958E-2</v>
      </c>
    </row>
    <row r="1209" spans="1:30" x14ac:dyDescent="0.3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</v>
      </c>
      <c r="J1209" s="20">
        <v>1.2952322222222223</v>
      </c>
      <c r="K1209" s="19">
        <v>9957.09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</v>
      </c>
      <c r="X1209" s="21">
        <v>1.2646398148148148</v>
      </c>
      <c r="Y1209" s="19">
        <v>11757.09</v>
      </c>
      <c r="Z1209" s="20">
        <v>1.0886194444444444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8.4585338193322701E-2</v>
      </c>
    </row>
    <row r="1210" spans="1:30" x14ac:dyDescent="0.3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1.972875903614459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7.8718179564173624E-2</v>
      </c>
    </row>
    <row r="1211" spans="1:30" x14ac:dyDescent="0.3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4980.7400000000007</v>
      </c>
      <c r="L1211" s="20">
        <v>0.66409866666666673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5610.7400000000007</v>
      </c>
      <c r="Z1211" s="20">
        <v>0.62341555555555561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8.6326167078002766E-2</v>
      </c>
    </row>
    <row r="1212" spans="1:30" x14ac:dyDescent="0.3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1.38317380952381</v>
      </c>
      <c r="K1212" s="19">
        <v>9218.66</v>
      </c>
      <c r="L1212" s="20">
        <v>1.0974595238095237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</v>
      </c>
      <c r="Z1212" s="20">
        <v>0.94629563492063495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8.5637916420654325E-2</v>
      </c>
    </row>
    <row r="1213" spans="1:30" x14ac:dyDescent="0.3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6579.2600000000011</v>
      </c>
      <c r="J1213" s="20">
        <v>1.0965433333333336</v>
      </c>
      <c r="K1213" s="19">
        <v>5579.2600000000011</v>
      </c>
      <c r="L1213" s="20">
        <v>0.92987666666666691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7039.2600000000011</v>
      </c>
      <c r="X1213" s="21">
        <v>0.97767500000000018</v>
      </c>
      <c r="Y1213" s="19">
        <v>6039.2600000000011</v>
      </c>
      <c r="Z1213" s="20">
        <v>0.83878611111111123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3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8.6788649223843828E-2</v>
      </c>
    </row>
    <row r="1215" spans="1:30" x14ac:dyDescent="0.3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13453.140000000001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14243.140000000001</v>
      </c>
      <c r="X1215" s="21">
        <v>1.7983762626262627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x14ac:dyDescent="0.3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</v>
      </c>
      <c r="J1216" s="20">
        <v>2.442260344827587</v>
      </c>
      <c r="K1216" s="19">
        <v>9515.11</v>
      </c>
      <c r="L1216" s="20">
        <v>1.6405362068965519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</v>
      </c>
      <c r="X1216" s="21">
        <v>2.3024583333333335</v>
      </c>
      <c r="Y1216" s="19">
        <v>10675.11</v>
      </c>
      <c r="Z1216" s="20">
        <v>1.5337801724137932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3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</v>
      </c>
      <c r="J1217" s="20">
        <v>2.3955378787878785</v>
      </c>
      <c r="K1217" s="19">
        <v>7210.5499999999993</v>
      </c>
      <c r="L1217" s="20">
        <v>1.0925075757575757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8530.5499999999993</v>
      </c>
      <c r="Z1217" s="20">
        <v>1.0770896464646464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8.6239302554307104E-2</v>
      </c>
    </row>
    <row r="1218" spans="1:30" x14ac:dyDescent="0.3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11024.109999999999</v>
      </c>
      <c r="J1218" s="20">
        <v>1.6703196969696963</v>
      </c>
      <c r="K1218" s="19">
        <v>7624.1099999999988</v>
      </c>
      <c r="L1218" s="20">
        <v>1.1551681818181816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12744.109999999999</v>
      </c>
      <c r="X1218" s="21">
        <v>1.6091047979797979</v>
      </c>
      <c r="Y1218" s="19">
        <v>8944.1099999999988</v>
      </c>
      <c r="Z1218" s="20">
        <v>1.129306818181818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8.5140483358747354E-2</v>
      </c>
    </row>
    <row r="1219" spans="1:30" x14ac:dyDescent="0.3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1.6169700000000007</v>
      </c>
      <c r="K1219" s="19">
        <v>7084.8499999999995</v>
      </c>
      <c r="L1219" s="20">
        <v>1.4169699999999998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7584.8499999999995</v>
      </c>
      <c r="Z1219" s="20">
        <v>1.2641416666666665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8.3721431566448373E-2</v>
      </c>
    </row>
    <row r="1220" spans="1:30" x14ac:dyDescent="0.3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8.5650880679762287E-2</v>
      </c>
    </row>
    <row r="1221" spans="1:30" x14ac:dyDescent="0.3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1.0999313253012044</v>
      </c>
      <c r="K1221" s="19">
        <v>6829.4299999999994</v>
      </c>
      <c r="L1221" s="20">
        <v>0.82282289156626498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7829.4299999999994</v>
      </c>
      <c r="Z1221" s="20">
        <v>0.78608734939759028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8.4818720774462369E-2</v>
      </c>
    </row>
    <row r="1222" spans="1:30" x14ac:dyDescent="0.3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12020.550000000001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14020.550000000001</v>
      </c>
      <c r="X1222" s="21">
        <v>1.557838888888889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3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12912.98</v>
      </c>
      <c r="J1223" s="20">
        <v>1.5557807228915665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1.0144578313253012</v>
      </c>
      <c r="R1223" s="24">
        <v>1660</v>
      </c>
      <c r="S1223" s="25">
        <v>1</v>
      </c>
      <c r="T1223" s="25">
        <v>0.98575000000000002</v>
      </c>
      <c r="U1223" s="24">
        <v>0</v>
      </c>
      <c r="V1223" s="19">
        <v>9960</v>
      </c>
      <c r="W1223" s="19">
        <v>14596.98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x14ac:dyDescent="0.3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10013.080000000002</v>
      </c>
      <c r="J1224" s="20">
        <v>1.3350773333333328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10713.220000000001</v>
      </c>
      <c r="X1224" s="21">
        <v>1.1903577777777778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8.5677343235048511E-2</v>
      </c>
    </row>
    <row r="1225" spans="1:30" x14ac:dyDescent="0.3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1.4913793103448278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3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1.4550238805970148</v>
      </c>
      <c r="K1226" s="19">
        <v>7248.66</v>
      </c>
      <c r="L1226" s="20">
        <v>1.0818895522388059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x14ac:dyDescent="0.3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9476.9699999999975</v>
      </c>
      <c r="J1227" s="20">
        <v>1.4144731343283581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9501.9699999999975</v>
      </c>
      <c r="X1227" s="21">
        <v>1.1818370646766165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8.5440518224706843E-2</v>
      </c>
    </row>
    <row r="1228" spans="1:30" x14ac:dyDescent="0.3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8757.2300000000014</v>
      </c>
      <c r="J1228" s="20">
        <v>1.3070492537313436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10297.230000000001</v>
      </c>
      <c r="X1228" s="21">
        <v>1.2807500000000003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8.0159130912400373E-2</v>
      </c>
    </row>
    <row r="1229" spans="1:30" x14ac:dyDescent="0.3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x14ac:dyDescent="0.3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13626.869999999997</v>
      </c>
      <c r="J1230" s="20">
        <v>2.0338611940298512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15651.869999999997</v>
      </c>
      <c r="X1230" s="21">
        <v>1.9467499999999995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8.1315697074970258E-2</v>
      </c>
    </row>
    <row r="1231" spans="1:30" x14ac:dyDescent="0.3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1.7640417910447761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3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2.1557761194029852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8.2356208935383618E-2</v>
      </c>
    </row>
    <row r="1233" spans="1:30" x14ac:dyDescent="0.3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14122.150000000001</v>
      </c>
      <c r="J1233" s="20">
        <v>2.1077835820895516</v>
      </c>
      <c r="K1233" s="19">
        <v>8792.9</v>
      </c>
      <c r="L1233" s="20">
        <v>1.3123731343283582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14992.150000000001</v>
      </c>
      <c r="X1233" s="21">
        <v>1.864695273631841</v>
      </c>
      <c r="Y1233" s="19">
        <v>9662.9</v>
      </c>
      <c r="Z1233" s="20">
        <v>1.2018532338308456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7.8091790839213554E-2</v>
      </c>
    </row>
    <row r="1234" spans="1:30" x14ac:dyDescent="0.3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12310.069999999998</v>
      </c>
      <c r="J1234" s="20">
        <v>1.8373238805970145</v>
      </c>
      <c r="K1234" s="19">
        <v>6709.0699999999988</v>
      </c>
      <c r="L1234" s="20">
        <v>1.0013537313432834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13650.069999999998</v>
      </c>
      <c r="X1234" s="21">
        <v>1.6977699004975122</v>
      </c>
      <c r="Y1234" s="19">
        <v>8049.0699999999988</v>
      </c>
      <c r="Z1234" s="20">
        <v>1.0011281094527362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7.6800345164568531E-2</v>
      </c>
    </row>
    <row r="1235" spans="1:30" x14ac:dyDescent="0.3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15865.210000000005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17915.510000000006</v>
      </c>
      <c r="X1235" s="21">
        <v>1.8206819105691063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x14ac:dyDescent="0.3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10931.94</v>
      </c>
      <c r="J1236" s="20">
        <v>1.8848172413793114</v>
      </c>
      <c r="K1236" s="19">
        <v>6691.94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11591.94</v>
      </c>
      <c r="X1236" s="21">
        <v>1.6655086206896552</v>
      </c>
      <c r="Y1236" s="19">
        <v>7351.94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7.7170848906964351E-2</v>
      </c>
    </row>
    <row r="1237" spans="1:30" x14ac:dyDescent="0.3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1.5733293103448271</v>
      </c>
      <c r="K1237" s="19">
        <v>6779.8899999999994</v>
      </c>
      <c r="L1237" s="20">
        <v>1.1689465517241378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7479.8899999999994</v>
      </c>
      <c r="Z1237" s="20">
        <v>1.0746968390804597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7.744705199056251E-2</v>
      </c>
    </row>
    <row r="1238" spans="1:30" x14ac:dyDescent="0.3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7831.52</v>
      </c>
      <c r="J1238" s="20">
        <v>1.1865939393939393</v>
      </c>
      <c r="K1238" s="19">
        <v>7081.52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8091.52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7.7606013392036266E-2</v>
      </c>
    </row>
    <row r="1239" spans="1:30" x14ac:dyDescent="0.3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9284.369999999999</v>
      </c>
      <c r="J1239" s="20">
        <v>1.6007534482758619</v>
      </c>
      <c r="K1239" s="19">
        <v>7284.3700000000017</v>
      </c>
      <c r="L1239" s="20">
        <v>1.2559258620689657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</v>
      </c>
      <c r="X1239" s="21">
        <v>1.3341077586206895</v>
      </c>
      <c r="Y1239" s="19">
        <v>7285.3900000000021</v>
      </c>
      <c r="Z1239" s="20">
        <v>1.0467514367816095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7.6828152583320153E-2</v>
      </c>
    </row>
    <row r="1240" spans="1:30" x14ac:dyDescent="0.3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6243.7599999999993</v>
      </c>
      <c r="J1240" s="20">
        <v>1.2487520000000001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7573.7599999999993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7.6510582725793461E-2</v>
      </c>
    </row>
    <row r="1241" spans="1:30" x14ac:dyDescent="0.3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x14ac:dyDescent="0.3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6722.8200000000006</v>
      </c>
      <c r="L1242" s="20">
        <v>1.1591068965517242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7266.8200000000006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x14ac:dyDescent="0.3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3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7.8442099044449654E-2</v>
      </c>
    </row>
    <row r="1245" spans="1:30" x14ac:dyDescent="0.3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1.3732850746268652</v>
      </c>
      <c r="K1245" s="19">
        <v>6701.0099999999993</v>
      </c>
      <c r="L1245" s="20">
        <v>1.0001507462686565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7501.0099999999993</v>
      </c>
      <c r="Z1245" s="20">
        <v>0.93296144278606952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x14ac:dyDescent="0.3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10189.610000000002</v>
      </c>
      <c r="J1246" s="20">
        <v>1.5208373134328363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12429.610000000002</v>
      </c>
      <c r="X1246" s="21">
        <v>1.5459713930348262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7.6573601933734442E-2</v>
      </c>
    </row>
    <row r="1247" spans="1:30" x14ac:dyDescent="0.3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0.88615119047619062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7.8676323910114226E-2</v>
      </c>
    </row>
    <row r="1248" spans="1:30" x14ac:dyDescent="0.3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11362.279999999999</v>
      </c>
      <c r="J1248" s="20">
        <v>1.5149706666666669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12639.179999999998</v>
      </c>
      <c r="X1248" s="21">
        <v>1.4043533333333331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7.7371954220455785E-2</v>
      </c>
    </row>
    <row r="1249" spans="1:30" x14ac:dyDescent="0.3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1.6078560606060606</v>
      </c>
      <c r="K1249" s="19">
        <v>8910.82</v>
      </c>
      <c r="L1249" s="20">
        <v>1.3501242424242423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10230.82</v>
      </c>
      <c r="Z1249" s="20">
        <v>1.291770202020202</v>
      </c>
      <c r="AA1249" s="30">
        <v>7.8599999999999906E-2</v>
      </c>
      <c r="AB1249" s="27">
        <v>0.06</v>
      </c>
      <c r="AC1249" s="27">
        <v>8.14E-2</v>
      </c>
      <c r="AD1249" s="11">
        <v>7.6308647973727481E-2</v>
      </c>
    </row>
    <row r="1250" spans="1:30" x14ac:dyDescent="0.3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13683.33</v>
      </c>
      <c r="J1250" s="20">
        <v>1.8244440000000002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15479.73</v>
      </c>
      <c r="X1250" s="21">
        <v>1.71997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x14ac:dyDescent="0.3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11234.290000000005</v>
      </c>
      <c r="J1251" s="20">
        <v>1.4979053333333328</v>
      </c>
      <c r="K1251" s="19">
        <v>9434.2899999999972</v>
      </c>
      <c r="L1251" s="20">
        <v>1.257905333333333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11450.150000000005</v>
      </c>
      <c r="X1251" s="21">
        <v>1.2722388888888894</v>
      </c>
      <c r="Y1251" s="19">
        <v>9650.1499999999978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7.8209185983270826E-2</v>
      </c>
    </row>
    <row r="1252" spans="1:30" x14ac:dyDescent="0.3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12473.18</v>
      </c>
      <c r="X1252" s="21">
        <v>1.5513905472636815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3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</v>
      </c>
      <c r="J1253" s="20">
        <v>1.3745776119402984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</v>
      </c>
      <c r="X1253" s="21">
        <v>1.3136405472636816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x14ac:dyDescent="0.3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</v>
      </c>
      <c r="J1254" s="20">
        <v>1.7098820895522386</v>
      </c>
      <c r="K1254" s="19">
        <v>7751.829999999999</v>
      </c>
      <c r="L1254" s="20">
        <v>1.1569895522388058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</v>
      </c>
      <c r="X1254" s="21">
        <v>1.5741554726368159</v>
      </c>
      <c r="Y1254" s="19">
        <v>8951.8299999999981</v>
      </c>
      <c r="Z1254" s="20">
        <v>1.1134116915422883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7.6680650581649606E-2</v>
      </c>
    </row>
    <row r="1255" spans="1:30" x14ac:dyDescent="0.3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10378.609999999997</v>
      </c>
      <c r="J1255" s="20">
        <v>1.549046268656717</v>
      </c>
      <c r="K1255" s="19">
        <v>7577.1500000000005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1.6156716417910448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12543.609999999997</v>
      </c>
      <c r="X1255" s="21">
        <v>1.5601504975124374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7.6587488497978098E-2</v>
      </c>
    </row>
    <row r="1256" spans="1:30" x14ac:dyDescent="0.3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</v>
      </c>
      <c r="J1256" s="20">
        <v>1.4390919999999998</v>
      </c>
      <c r="K1256" s="19">
        <v>7993.1900000000014</v>
      </c>
      <c r="L1256" s="20">
        <v>1.065758666666667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</v>
      </c>
      <c r="X1256" s="21">
        <v>1.3740211111111111</v>
      </c>
      <c r="Y1256" s="19">
        <v>9493.1900000000023</v>
      </c>
      <c r="Z1256" s="20">
        <v>1.0547988888888891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7.7401712561346564E-2</v>
      </c>
    </row>
    <row r="1257" spans="1:30" x14ac:dyDescent="0.3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9755.2099999999991</v>
      </c>
      <c r="J1257" s="20">
        <v>1.4560014925373135</v>
      </c>
      <c r="K1257" s="19">
        <v>7755.2099999999991</v>
      </c>
      <c r="L1257" s="20">
        <v>1.1574940298507461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10055.209999999999</v>
      </c>
      <c r="X1257" s="21">
        <v>1.2506480099502486</v>
      </c>
      <c r="Y1257" s="19">
        <v>8055.2099999999991</v>
      </c>
      <c r="Z1257" s="20">
        <v>1.001891791044776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7.7356724663026219E-2</v>
      </c>
    </row>
    <row r="1258" spans="1:30" x14ac:dyDescent="0.3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1.8407775862068974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3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8162.4500000000007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1432.49</v>
      </c>
      <c r="S1259" s="25">
        <v>0.85267261904761904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x14ac:dyDescent="0.3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1.2016906666666662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7.6496149092167939E-2</v>
      </c>
    </row>
    <row r="1261" spans="1:30" x14ac:dyDescent="0.3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7933.47</v>
      </c>
      <c r="J1261" s="20">
        <v>1.202040909090909</v>
      </c>
      <c r="K1261" s="19">
        <v>5982.0000000000009</v>
      </c>
      <c r="L1261" s="20">
        <v>0.90636363636363648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8398.85</v>
      </c>
      <c r="X1261" s="21">
        <v>1.0604608585858586</v>
      </c>
      <c r="Y1261" s="19">
        <v>6447.380000000001</v>
      </c>
      <c r="Z1261" s="20">
        <v>0.81406313131313146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7.4416003589854118E-2</v>
      </c>
    </row>
    <row r="1262" spans="1:30" x14ac:dyDescent="0.3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1.4874671641791044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7.6155651347627917E-2</v>
      </c>
    </row>
    <row r="1263" spans="1:30" x14ac:dyDescent="0.3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5919.6599999999989</v>
      </c>
      <c r="L1263" s="20">
        <v>1.1839319999999998</v>
      </c>
      <c r="M1263" s="21">
        <v>0</v>
      </c>
      <c r="N1263" s="19">
        <v>0</v>
      </c>
      <c r="O1263" s="23">
        <v>1000</v>
      </c>
      <c r="P1263" s="24">
        <v>1200.43</v>
      </c>
      <c r="Q1263" s="25">
        <v>1.2004300000000001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6919.6599999999989</v>
      </c>
      <c r="Z1263" s="20">
        <v>1.1532766666666665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7.5479940096347758E-2</v>
      </c>
    </row>
    <row r="1264" spans="1:30" x14ac:dyDescent="0.3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3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</v>
      </c>
      <c r="K1265" s="19">
        <v>6905.0800000000008</v>
      </c>
      <c r="L1265" s="20">
        <v>1.0306089552238806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7325.0800000000008</v>
      </c>
      <c r="Z1265" s="20">
        <v>0.91107960199004989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x14ac:dyDescent="0.3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13030.09</v>
      </c>
      <c r="J1266" s="20">
        <v>2.2465672413793114</v>
      </c>
      <c r="K1266" s="19">
        <v>6599.78</v>
      </c>
      <c r="L1266" s="20">
        <v>1.1378931034482758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14707.720000000001</v>
      </c>
      <c r="X1266" s="21">
        <v>2.1131781609195404</v>
      </c>
      <c r="Y1266" s="19">
        <v>7759.78</v>
      </c>
      <c r="Z1266" s="20">
        <v>1.1149109195402298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7.2787761481309804E-2</v>
      </c>
    </row>
    <row r="1267" spans="1:30" x14ac:dyDescent="0.3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0.76258200000000009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3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13227.109999999997</v>
      </c>
      <c r="L1268" s="20">
        <v>1.2247324074074071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13680.109999999997</v>
      </c>
      <c r="Z1268" s="20">
        <v>1.0555640432098763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7.2488410828736943E-2</v>
      </c>
    </row>
    <row r="1269" spans="1:30" x14ac:dyDescent="0.3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13747.009999999998</v>
      </c>
      <c r="J1269" s="20">
        <v>1.4942402173913043</v>
      </c>
      <c r="K1269" s="19">
        <v>10196.929999999998</v>
      </c>
      <c r="L1269" s="20">
        <v>1.1083619565217389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15977.009999999998</v>
      </c>
      <c r="X1269" s="21">
        <v>1.4471929347826085</v>
      </c>
      <c r="Y1269" s="19">
        <v>12036.929999999998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7.1671651726448155E-2</v>
      </c>
    </row>
    <row r="1270" spans="1:30" x14ac:dyDescent="0.3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8392.42</v>
      </c>
      <c r="L1270" s="20">
        <v>1.4469689655172413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9552.42</v>
      </c>
      <c r="Z1270" s="20">
        <v>1.3724741379310346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3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1.4567761904761907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x14ac:dyDescent="0.3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9992.1999999999989</v>
      </c>
      <c r="J1272" s="20">
        <v>1.3322933333333336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11025.199999999999</v>
      </c>
      <c r="X1272" s="21">
        <v>1.225022222222222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x14ac:dyDescent="0.3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10224.620000000001</v>
      </c>
      <c r="J1273" s="20">
        <v>1.5491848484848483</v>
      </c>
      <c r="K1273" s="19">
        <v>6329.4500000000007</v>
      </c>
      <c r="L1273" s="20">
        <v>0.95900757575757589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13594.62</v>
      </c>
      <c r="X1273" s="21">
        <v>1.7164924242424244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7.0342063861542029E-2</v>
      </c>
    </row>
    <row r="1274" spans="1:30" x14ac:dyDescent="0.3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13904.34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15985.94</v>
      </c>
      <c r="X1274" s="21">
        <v>1.3321616666666667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7.2318969185160897E-2</v>
      </c>
    </row>
    <row r="1275" spans="1:30" x14ac:dyDescent="0.3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x14ac:dyDescent="0.3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13808.029999999999</v>
      </c>
      <c r="J1276" s="20">
        <v>2.5570425925925924</v>
      </c>
      <c r="K1276" s="19">
        <v>5450.27</v>
      </c>
      <c r="L1276" s="20">
        <v>1.0093092592592594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14923.029999999999</v>
      </c>
      <c r="X1276" s="21">
        <v>2.3029367283950615</v>
      </c>
      <c r="Y1276" s="19">
        <v>6530.27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3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10477.51</v>
      </c>
      <c r="J1277" s="20">
        <v>1.563807462686567</v>
      </c>
      <c r="K1277" s="19">
        <v>5850.98</v>
      </c>
      <c r="L1277" s="20">
        <v>0.87328059701492533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10527.51</v>
      </c>
      <c r="X1277" s="21">
        <v>1.3093917910447761</v>
      </c>
      <c r="Y1277" s="19">
        <v>5900.98</v>
      </c>
      <c r="Z1277" s="20">
        <v>0.73395273631840796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6.5537912442937302E-2</v>
      </c>
    </row>
    <row r="1278" spans="1:30" x14ac:dyDescent="0.3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1.5554280000000005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x14ac:dyDescent="0.3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2.1848787878787879</v>
      </c>
      <c r="K1279" s="19">
        <v>4018.8000000000006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4088.8000000000006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6.1226494916852746E-2</v>
      </c>
    </row>
    <row r="1280" spans="1:30" x14ac:dyDescent="0.3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2.2908741379310347</v>
      </c>
      <c r="K1280" s="19">
        <v>8838.6600000000017</v>
      </c>
      <c r="L1280" s="20">
        <v>1.5239068965517244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9311.6600000000017</v>
      </c>
      <c r="Z1280" s="20">
        <v>1.3378821839080461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x14ac:dyDescent="0.3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x14ac:dyDescent="0.3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11626.330000000002</v>
      </c>
      <c r="J1282" s="20">
        <v>3.4195088235294131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12756.330000000002</v>
      </c>
      <c r="X1282" s="21">
        <v>3.1265514705882356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6.1380790756842454E-2</v>
      </c>
    </row>
    <row r="1283" spans="1:30" x14ac:dyDescent="0.3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x14ac:dyDescent="0.3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2.0374462686567161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5.8845329791683929E-2</v>
      </c>
    </row>
    <row r="1285" spans="1:30" x14ac:dyDescent="0.3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2.6726310344827593</v>
      </c>
      <c r="K1285" s="19">
        <v>7326.88</v>
      </c>
      <c r="L1285" s="20">
        <v>1.263255172413793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5.7343990940091322E-2</v>
      </c>
    </row>
    <row r="1286" spans="1:30" x14ac:dyDescent="0.3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5.8678612460706443E-2</v>
      </c>
    </row>
    <row r="1287" spans="1:30" x14ac:dyDescent="0.3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8433.3399999999983</v>
      </c>
      <c r="J1287" s="20">
        <v>2.007938095238095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9083.3399999999983</v>
      </c>
      <c r="X1287" s="21">
        <v>1.8022499999999997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5.6965913860937675E-2</v>
      </c>
    </row>
    <row r="1288" spans="1:30" x14ac:dyDescent="0.3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6158.5199999999986</v>
      </c>
      <c r="J1288" s="20">
        <v>0.91918208955223868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6458.5199999999986</v>
      </c>
      <c r="X1288" s="21">
        <v>0.80329850746268638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5.7536947188610257E-2</v>
      </c>
    </row>
    <row r="1289" spans="1:30" x14ac:dyDescent="0.3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x14ac:dyDescent="0.3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2.5326833333333334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5.6933316913080144E-2</v>
      </c>
    </row>
    <row r="1291" spans="1:30" x14ac:dyDescent="0.3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>
        <v>7151.3600000000006</v>
      </c>
      <c r="J1291" s="20">
        <v>2.8605440000000009</v>
      </c>
      <c r="K1291" s="19">
        <v>4351.3599999999997</v>
      </c>
      <c r="L1291" s="20">
        <v>1.7405439999999999</v>
      </c>
      <c r="M1291" s="21">
        <v>0</v>
      </c>
      <c r="N1291" s="19">
        <v>0</v>
      </c>
      <c r="O1291" s="23">
        <v>500</v>
      </c>
      <c r="P1291" s="24">
        <v>80.5</v>
      </c>
      <c r="Q1291" s="25">
        <v>0.161</v>
      </c>
      <c r="R1291" s="24">
        <v>80.5</v>
      </c>
      <c r="S1291" s="25">
        <v>0.161</v>
      </c>
      <c r="T1291" s="25">
        <v>0</v>
      </c>
      <c r="U1291" s="24">
        <v>0</v>
      </c>
      <c r="V1291" s="19">
        <v>3000</v>
      </c>
      <c r="W1291" s="19">
        <v>7231.8600000000006</v>
      </c>
      <c r="X1291" s="21">
        <v>2.4106200000000002</v>
      </c>
      <c r="Y1291" s="19">
        <v>4431.8599999999997</v>
      </c>
      <c r="Z1291" s="20">
        <v>1.4772866666666666</v>
      </c>
      <c r="AA1291" s="30">
        <v>5.5899999999999991E-2</v>
      </c>
      <c r="AB1291" s="27">
        <v>4.4999999999999998E-2</v>
      </c>
      <c r="AC1291" s="27">
        <v>6.5500000000000003E-2</v>
      </c>
      <c r="AD1291" s="11">
        <v>5.6248989143323803E-2</v>
      </c>
    </row>
    <row r="1292" spans="1:30" x14ac:dyDescent="0.3">
      <c r="A1292" s="13">
        <v>46083</v>
      </c>
      <c r="B1292" s="46" t="s">
        <v>636</v>
      </c>
      <c r="C1292" s="13">
        <v>46083</v>
      </c>
      <c r="D1292" s="15" t="s">
        <v>1546</v>
      </c>
      <c r="E1292" s="15">
        <v>28</v>
      </c>
      <c r="F1292" s="15">
        <v>30</v>
      </c>
      <c r="G1292" s="13">
        <v>46111</v>
      </c>
      <c r="H1292" s="19">
        <v>9200</v>
      </c>
      <c r="I1292" s="19">
        <v>15954.8</v>
      </c>
      <c r="J1292" s="20">
        <v>1.7342173913043477</v>
      </c>
      <c r="K1292" s="19">
        <v>10554.8</v>
      </c>
      <c r="L1292" s="20">
        <v>1.1472608695652173</v>
      </c>
      <c r="M1292" s="21">
        <v>0</v>
      </c>
      <c r="N1292" s="19">
        <v>0</v>
      </c>
      <c r="O1292" s="23">
        <v>1840</v>
      </c>
      <c r="P1292" s="24">
        <v>473</v>
      </c>
      <c r="Q1292" s="25">
        <v>0.25706521739130433</v>
      </c>
      <c r="R1292" s="24">
        <v>473</v>
      </c>
      <c r="S1292" s="25">
        <f t="shared" ref="S1292:S1307" si="0">+R1292/O1292</f>
        <v>0.25706521739130433</v>
      </c>
      <c r="T1292" s="25">
        <v>0</v>
      </c>
      <c r="U1292" s="24">
        <v>0</v>
      </c>
      <c r="V1292" s="19">
        <v>11040</v>
      </c>
      <c r="W1292" s="19">
        <v>16427.8</v>
      </c>
      <c r="X1292" s="21">
        <v>1.4880253623188404</v>
      </c>
      <c r="Y1292" s="19">
        <v>11027.8</v>
      </c>
      <c r="Z1292" s="20">
        <v>0.99889492753623177</v>
      </c>
      <c r="AA1292" s="30">
        <v>5.6000000000000001E-2</v>
      </c>
      <c r="AB1292" s="27">
        <v>4.8800000000000003E-2</v>
      </c>
      <c r="AC1292" s="27">
        <v>6.4899999999999999E-2</v>
      </c>
      <c r="AD1292" s="11">
        <v>5.5843806378017904E-2</v>
      </c>
    </row>
    <row r="1293" spans="1:30" x14ac:dyDescent="0.3">
      <c r="A1293" s="13">
        <v>46085</v>
      </c>
      <c r="B1293" s="46" t="s">
        <v>636</v>
      </c>
      <c r="C1293" s="13">
        <v>46085</v>
      </c>
      <c r="D1293" s="15" t="s">
        <v>1547</v>
      </c>
      <c r="E1293" s="15">
        <v>77</v>
      </c>
      <c r="F1293" s="15">
        <v>90</v>
      </c>
      <c r="G1293" s="13">
        <v>46162</v>
      </c>
      <c r="H1293" s="19">
        <v>9200</v>
      </c>
      <c r="I1293" s="19">
        <v>10936.96</v>
      </c>
      <c r="J1293" s="20">
        <f>+I1293/H1293</f>
        <v>1.1887999999999999</v>
      </c>
      <c r="K1293" s="19">
        <v>9936.9599999999991</v>
      </c>
      <c r="L1293" s="20">
        <f t="shared" ref="L1293:L1307" si="1">+K1293/H1293</f>
        <v>1.0801043478260868</v>
      </c>
      <c r="M1293" s="21">
        <v>0</v>
      </c>
      <c r="N1293" s="19">
        <v>0</v>
      </c>
      <c r="O1293" s="23">
        <v>1840</v>
      </c>
      <c r="P1293" s="24">
        <v>700</v>
      </c>
      <c r="Q1293" s="25">
        <f t="shared" ref="Q1293:Q1307" si="2">+P1293/O1293</f>
        <v>0.38043478260869568</v>
      </c>
      <c r="R1293" s="24">
        <v>700</v>
      </c>
      <c r="S1293" s="25">
        <f t="shared" si="0"/>
        <v>0.38043478260869568</v>
      </c>
      <c r="T1293" s="25">
        <v>0</v>
      </c>
      <c r="U1293" s="24">
        <v>0</v>
      </c>
      <c r="V1293" s="19">
        <f>9200*1.2</f>
        <v>11040</v>
      </c>
      <c r="W1293" s="19">
        <v>11636.96</v>
      </c>
      <c r="X1293" s="21">
        <f t="shared" ref="X1293:X1307" si="3">+W1293/V1293</f>
        <v>1.0540724637681158</v>
      </c>
      <c r="Y1293" s="19">
        <v>10636.96</v>
      </c>
      <c r="Z1293" s="20">
        <f t="shared" ref="Z1293:Z1307" si="4">+Y1293/V1293</f>
        <v>0.96349275362318831</v>
      </c>
      <c r="AA1293" s="30">
        <v>5.79E-2</v>
      </c>
      <c r="AB1293" s="27">
        <v>0.04</v>
      </c>
      <c r="AC1293" s="27">
        <v>5.8999999999999997E-2</v>
      </c>
      <c r="AD1293" s="11">
        <f>5.58016350064369/100</f>
        <v>5.5801635006436895E-2</v>
      </c>
    </row>
    <row r="1294" spans="1:30" x14ac:dyDescent="0.3">
      <c r="A1294" s="13">
        <v>46087</v>
      </c>
      <c r="B1294" s="46" t="s">
        <v>636</v>
      </c>
      <c r="C1294" s="13">
        <v>46087</v>
      </c>
      <c r="D1294" s="15" t="s">
        <v>1548</v>
      </c>
      <c r="E1294" s="15">
        <v>364</v>
      </c>
      <c r="F1294" s="15">
        <v>360</v>
      </c>
      <c r="G1294" s="13">
        <v>46451</v>
      </c>
      <c r="H1294" s="19">
        <v>6600</v>
      </c>
      <c r="I1294" s="19">
        <v>10364.24</v>
      </c>
      <c r="J1294" s="20">
        <f>+I1294/H1294</f>
        <v>1.5703393939393939</v>
      </c>
      <c r="K1294" s="19">
        <v>5364.24</v>
      </c>
      <c r="L1294" s="20">
        <f t="shared" si="1"/>
        <v>0.81276363636363635</v>
      </c>
      <c r="M1294" s="21">
        <v>0</v>
      </c>
      <c r="N1294" s="19">
        <v>0</v>
      </c>
      <c r="O1294" s="23">
        <v>1320</v>
      </c>
      <c r="P1294" s="24">
        <v>600</v>
      </c>
      <c r="Q1294" s="25">
        <f t="shared" si="2"/>
        <v>0.45454545454545453</v>
      </c>
      <c r="R1294" s="24">
        <v>600</v>
      </c>
      <c r="S1294" s="25">
        <f t="shared" si="0"/>
        <v>0.45454545454545453</v>
      </c>
      <c r="T1294" s="25">
        <v>0</v>
      </c>
      <c r="U1294" s="24">
        <v>0</v>
      </c>
      <c r="V1294" s="19">
        <v>7920</v>
      </c>
      <c r="W1294" s="19">
        <v>10964.24</v>
      </c>
      <c r="X1294" s="21">
        <f t="shared" si="3"/>
        <v>1.3843737373737373</v>
      </c>
      <c r="Y1294" s="19">
        <v>5964.24</v>
      </c>
      <c r="Z1294" s="20">
        <f t="shared" si="4"/>
        <v>0.75306060606060599</v>
      </c>
      <c r="AA1294" s="30">
        <v>5.79E-2</v>
      </c>
      <c r="AB1294" s="27">
        <v>0.04</v>
      </c>
      <c r="AC1294" s="27">
        <v>6.4500000000000002E-2</v>
      </c>
      <c r="AD1294" s="11">
        <v>5.809194075011772E-2</v>
      </c>
    </row>
    <row r="1295" spans="1:30" x14ac:dyDescent="0.3">
      <c r="A1295" s="13">
        <v>46090</v>
      </c>
      <c r="B1295" s="46" t="s">
        <v>636</v>
      </c>
      <c r="C1295" s="13">
        <v>46090</v>
      </c>
      <c r="D1295" s="15" t="s">
        <v>1549</v>
      </c>
      <c r="E1295" s="15">
        <v>35</v>
      </c>
      <c r="F1295" s="15">
        <v>30</v>
      </c>
      <c r="G1295" s="13">
        <v>46125</v>
      </c>
      <c r="H1295" s="19">
        <v>6700</v>
      </c>
      <c r="I1295" s="19">
        <v>12125</v>
      </c>
      <c r="J1295" s="20">
        <f>+I1295/H1295</f>
        <v>1.8097014925373134</v>
      </c>
      <c r="K1295" s="19">
        <v>6925</v>
      </c>
      <c r="L1295" s="20">
        <f t="shared" si="1"/>
        <v>1.0335820895522387</v>
      </c>
      <c r="M1295" s="21">
        <v>0</v>
      </c>
      <c r="N1295" s="19">
        <v>0</v>
      </c>
      <c r="O1295" s="23">
        <v>1340</v>
      </c>
      <c r="P1295" s="24">
        <v>3230</v>
      </c>
      <c r="Q1295" s="25">
        <f t="shared" si="2"/>
        <v>2.41044776119403</v>
      </c>
      <c r="R1295" s="24">
        <v>1340</v>
      </c>
      <c r="S1295" s="25">
        <f t="shared" si="0"/>
        <v>1</v>
      </c>
      <c r="T1295" s="25">
        <v>0</v>
      </c>
      <c r="U1295" s="24">
        <v>0</v>
      </c>
      <c r="V1295" s="19">
        <v>8040</v>
      </c>
      <c r="W1295" s="19">
        <v>15355</v>
      </c>
      <c r="X1295" s="21">
        <f t="shared" si="3"/>
        <v>1.9098258706467661</v>
      </c>
      <c r="Y1295" s="19">
        <v>8265</v>
      </c>
      <c r="Z1295" s="20">
        <f t="shared" si="4"/>
        <v>1.0279850746268657</v>
      </c>
      <c r="AA1295" s="30">
        <v>5.79E-2</v>
      </c>
      <c r="AB1295" s="27">
        <v>0.04</v>
      </c>
      <c r="AC1295" s="27">
        <v>6.2799999999999995E-2</v>
      </c>
      <c r="AD1295" s="11">
        <v>5.6950065649484537E-2</v>
      </c>
    </row>
    <row r="1296" spans="1:30" x14ac:dyDescent="0.3">
      <c r="A1296" s="13">
        <v>46092</v>
      </c>
      <c r="B1296" s="46" t="s">
        <v>636</v>
      </c>
      <c r="C1296" s="13">
        <v>46092</v>
      </c>
      <c r="D1296" s="15" t="s">
        <v>1550</v>
      </c>
      <c r="E1296" s="15">
        <v>91</v>
      </c>
      <c r="F1296" s="15">
        <v>90</v>
      </c>
      <c r="G1296" s="13">
        <v>46183</v>
      </c>
      <c r="H1296" s="19">
        <v>6700</v>
      </c>
      <c r="I1296" s="19">
        <v>11366.555</v>
      </c>
      <c r="J1296" s="20">
        <f>+I1296/H1296</f>
        <v>1.6965007462686568</v>
      </c>
      <c r="K1296" s="19">
        <v>7566.5550000000003</v>
      </c>
      <c r="L1296" s="20">
        <f t="shared" si="1"/>
        <v>1.1293365671641791</v>
      </c>
      <c r="M1296" s="21">
        <v>0</v>
      </c>
      <c r="N1296" s="19">
        <v>0</v>
      </c>
      <c r="O1296" s="23">
        <v>1340</v>
      </c>
      <c r="P1296" s="24">
        <v>1765</v>
      </c>
      <c r="Q1296" s="25">
        <f t="shared" si="2"/>
        <v>1.3171641791044777</v>
      </c>
      <c r="R1296" s="24">
        <v>1340</v>
      </c>
      <c r="S1296" s="25">
        <f t="shared" si="0"/>
        <v>1</v>
      </c>
      <c r="T1296" s="25">
        <v>0.75919999999999999</v>
      </c>
      <c r="U1296" s="24">
        <v>0</v>
      </c>
      <c r="V1296" s="19">
        <v>8040</v>
      </c>
      <c r="W1296" s="19">
        <v>13131.555</v>
      </c>
      <c r="X1296" s="21">
        <f t="shared" si="3"/>
        <v>1.6332779850746268</v>
      </c>
      <c r="Y1296" s="19">
        <v>8906.5550000000003</v>
      </c>
      <c r="Z1296" s="20">
        <f t="shared" si="4"/>
        <v>1.1077804726368159</v>
      </c>
      <c r="AA1296" s="30">
        <v>5.79E-2</v>
      </c>
      <c r="AB1296" s="27">
        <v>4.6899999999999997E-2</v>
      </c>
      <c r="AC1296" s="27">
        <v>0.06</v>
      </c>
      <c r="AD1296" s="11">
        <v>5.6421577162121678E-2</v>
      </c>
    </row>
    <row r="1297" spans="1:30" x14ac:dyDescent="0.3">
      <c r="A1297" s="13">
        <v>46094</v>
      </c>
      <c r="B1297" s="46" t="s">
        <v>636</v>
      </c>
      <c r="C1297" s="13">
        <v>46094</v>
      </c>
      <c r="D1297" s="15" t="s">
        <v>1551</v>
      </c>
      <c r="E1297" s="15">
        <v>168</v>
      </c>
      <c r="F1297" s="15">
        <v>180</v>
      </c>
      <c r="G1297" s="13">
        <v>46262</v>
      </c>
      <c r="H1297" s="19">
        <v>4100</v>
      </c>
      <c r="I1297" s="19">
        <v>5931.24</v>
      </c>
      <c r="J1297" s="20">
        <v>1.4466439024390243</v>
      </c>
      <c r="K1297" s="19">
        <v>3181.24</v>
      </c>
      <c r="L1297" s="20">
        <f t="shared" si="1"/>
        <v>0.7759121951219512</v>
      </c>
      <c r="M1297" s="21">
        <v>0</v>
      </c>
      <c r="N1297" s="19">
        <v>0</v>
      </c>
      <c r="O1297" s="23">
        <v>820</v>
      </c>
      <c r="P1297" s="24">
        <v>1120</v>
      </c>
      <c r="Q1297" s="25">
        <f t="shared" si="2"/>
        <v>1.3658536585365855</v>
      </c>
      <c r="R1297" s="24">
        <v>636.24800000000005</v>
      </c>
      <c r="S1297" s="25">
        <f t="shared" si="0"/>
        <v>0.77591219512195131</v>
      </c>
      <c r="T1297" s="25">
        <v>0.56810000000000005</v>
      </c>
      <c r="U1297" s="24">
        <v>0</v>
      </c>
      <c r="V1297" s="19">
        <v>4920</v>
      </c>
      <c r="W1297" s="19">
        <v>7051.24</v>
      </c>
      <c r="X1297" s="21">
        <f t="shared" si="3"/>
        <v>1.4331788617886179</v>
      </c>
      <c r="Y1297" s="19">
        <v>3817.4879999999998</v>
      </c>
      <c r="Z1297" s="20">
        <f t="shared" si="4"/>
        <v>0.7759121951219512</v>
      </c>
      <c r="AA1297" s="30">
        <v>5.7500000000000002E-2</v>
      </c>
      <c r="AB1297" s="27">
        <v>4.4900000000000002E-2</v>
      </c>
      <c r="AC1297" s="27">
        <v>6.1899999999999997E-2</v>
      </c>
      <c r="AD1297" s="11">
        <v>5.7003705127427001E-2</v>
      </c>
    </row>
    <row r="1298" spans="1:30" x14ac:dyDescent="0.3">
      <c r="A1298" s="13">
        <v>46097</v>
      </c>
      <c r="B1298" s="46" t="s">
        <v>636</v>
      </c>
      <c r="C1298" s="13">
        <v>46097</v>
      </c>
      <c r="D1298" s="15" t="s">
        <v>1552</v>
      </c>
      <c r="E1298" s="15">
        <v>28</v>
      </c>
      <c r="F1298" s="15">
        <v>30</v>
      </c>
      <c r="G1298" s="13">
        <v>46125</v>
      </c>
      <c r="H1298" s="19">
        <v>10000</v>
      </c>
      <c r="I1298" s="19">
        <v>12603.62</v>
      </c>
      <c r="J1298" s="20">
        <f t="shared" ref="J1298:J1307" si="5">+I1298/H1298</f>
        <v>1.260362</v>
      </c>
      <c r="K1298" s="19">
        <v>11403.62</v>
      </c>
      <c r="L1298" s="20">
        <f t="shared" si="1"/>
        <v>1.1403620000000001</v>
      </c>
      <c r="M1298" s="21">
        <v>0</v>
      </c>
      <c r="N1298" s="19">
        <v>0</v>
      </c>
      <c r="O1298" s="23">
        <v>2000</v>
      </c>
      <c r="P1298" s="24">
        <v>44</v>
      </c>
      <c r="Q1298" s="25">
        <f t="shared" si="2"/>
        <v>2.1999999999999999E-2</v>
      </c>
      <c r="R1298" s="24">
        <v>44</v>
      </c>
      <c r="S1298" s="25">
        <f t="shared" si="0"/>
        <v>2.1999999999999999E-2</v>
      </c>
      <c r="T1298" s="25">
        <v>0</v>
      </c>
      <c r="U1298" s="24">
        <v>0</v>
      </c>
      <c r="V1298" s="19">
        <v>12000</v>
      </c>
      <c r="W1298" s="19">
        <v>12647.62</v>
      </c>
      <c r="X1298" s="21">
        <f t="shared" si="3"/>
        <v>1.0539683333333334</v>
      </c>
      <c r="Y1298" s="19">
        <v>11447.62</v>
      </c>
      <c r="Z1298" s="20">
        <f t="shared" si="4"/>
        <v>0.95396833333333342</v>
      </c>
      <c r="AA1298" s="30">
        <v>5.8400000000000001E-2</v>
      </c>
      <c r="AB1298" s="27">
        <v>4.6899999999999997E-2</v>
      </c>
      <c r="AC1298" s="27">
        <v>5.9299999999999999E-2</v>
      </c>
      <c r="AD1298" s="11">
        <v>5.5988911360386931E-2</v>
      </c>
    </row>
    <row r="1299" spans="1:30" x14ac:dyDescent="0.3">
      <c r="A1299" s="13">
        <v>46099</v>
      </c>
      <c r="B1299" s="46" t="s">
        <v>636</v>
      </c>
      <c r="C1299" s="13">
        <v>46099</v>
      </c>
      <c r="D1299" s="15" t="s">
        <v>1553</v>
      </c>
      <c r="E1299" s="15">
        <v>84</v>
      </c>
      <c r="F1299" s="15">
        <v>90</v>
      </c>
      <c r="G1299" s="13">
        <v>46183</v>
      </c>
      <c r="H1299" s="19">
        <v>10000</v>
      </c>
      <c r="I1299" s="19">
        <v>11846.89</v>
      </c>
      <c r="J1299" s="20">
        <f t="shared" si="5"/>
        <v>1.1846889999999999</v>
      </c>
      <c r="K1299" s="19">
        <v>9246.89</v>
      </c>
      <c r="L1299" s="20">
        <f t="shared" si="1"/>
        <v>0.92468899999999998</v>
      </c>
      <c r="M1299" s="21">
        <v>0</v>
      </c>
      <c r="N1299" s="19">
        <v>0</v>
      </c>
      <c r="O1299" s="23">
        <v>2000</v>
      </c>
      <c r="P1299" s="24">
        <v>820.6</v>
      </c>
      <c r="Q1299" s="25">
        <f t="shared" si="2"/>
        <v>0.4103</v>
      </c>
      <c r="R1299" s="24">
        <v>820.6</v>
      </c>
      <c r="S1299" s="25">
        <f t="shared" si="0"/>
        <v>0.4103</v>
      </c>
      <c r="T1299" s="25">
        <v>0</v>
      </c>
      <c r="U1299" s="24">
        <v>0</v>
      </c>
      <c r="V1299" s="19">
        <v>12000</v>
      </c>
      <c r="W1299" s="19">
        <v>12667.49</v>
      </c>
      <c r="X1299" s="21">
        <f t="shared" si="3"/>
        <v>1.0556241666666666</v>
      </c>
      <c r="Y1299" s="19">
        <v>10067.49</v>
      </c>
      <c r="Z1299" s="20">
        <f t="shared" si="4"/>
        <v>0.83895750000000002</v>
      </c>
      <c r="AA1299" s="30">
        <v>5.8999999999999997E-2</v>
      </c>
      <c r="AB1299" s="27">
        <v>4.6899999999999997E-2</v>
      </c>
      <c r="AC1299" s="27">
        <v>6.3799999999999996E-2</v>
      </c>
      <c r="AD1299" s="11">
        <v>5.7936195659789191E-2</v>
      </c>
    </row>
    <row r="1300" spans="1:30" x14ac:dyDescent="0.3">
      <c r="A1300" s="13">
        <v>46100</v>
      </c>
      <c r="B1300" s="46" t="s">
        <v>636</v>
      </c>
      <c r="C1300" s="13">
        <v>46101</v>
      </c>
      <c r="D1300" s="15" t="s">
        <v>1557</v>
      </c>
      <c r="E1300" s="15">
        <v>350</v>
      </c>
      <c r="F1300" s="15">
        <v>360</v>
      </c>
      <c r="G1300" s="13">
        <v>46451</v>
      </c>
      <c r="H1300" s="19">
        <v>3300</v>
      </c>
      <c r="I1300" s="19">
        <v>4816.33</v>
      </c>
      <c r="J1300" s="20">
        <f t="shared" si="5"/>
        <v>1.4594939393939395</v>
      </c>
      <c r="K1300" s="19">
        <v>2016.33</v>
      </c>
      <c r="L1300" s="20">
        <f t="shared" si="1"/>
        <v>0.61100909090909084</v>
      </c>
      <c r="M1300" s="21">
        <v>0</v>
      </c>
      <c r="N1300" s="19">
        <v>0</v>
      </c>
      <c r="O1300" s="23">
        <v>660</v>
      </c>
      <c r="P1300" s="24">
        <v>0</v>
      </c>
      <c r="Q1300" s="25">
        <f t="shared" si="2"/>
        <v>0</v>
      </c>
      <c r="R1300" s="24">
        <v>0</v>
      </c>
      <c r="S1300" s="25">
        <f t="shared" si="0"/>
        <v>0</v>
      </c>
      <c r="T1300" s="25">
        <v>0</v>
      </c>
      <c r="U1300" s="24">
        <v>0</v>
      </c>
      <c r="V1300" s="19">
        <v>3960</v>
      </c>
      <c r="W1300" s="19">
        <v>4816.33</v>
      </c>
      <c r="X1300" s="21">
        <f t="shared" si="3"/>
        <v>1.2162449494949494</v>
      </c>
      <c r="Y1300" s="19">
        <v>2016.33</v>
      </c>
      <c r="Z1300" s="20">
        <f t="shared" si="4"/>
        <v>0.50917424242424236</v>
      </c>
      <c r="AA1300" s="30">
        <v>5.8999999999999997E-2</v>
      </c>
      <c r="AB1300" s="27">
        <v>0.05</v>
      </c>
      <c r="AC1300" s="27">
        <v>6.8000000000000005E-2</v>
      </c>
      <c r="AD1300" s="11">
        <v>6.1411982567639675E-2</v>
      </c>
    </row>
    <row r="1301" spans="1:30" x14ac:dyDescent="0.3">
      <c r="A1301" s="13">
        <v>46104</v>
      </c>
      <c r="B1301" s="46" t="s">
        <v>636</v>
      </c>
      <c r="C1301" s="13">
        <v>46104</v>
      </c>
      <c r="D1301" s="15" t="s">
        <v>1558</v>
      </c>
      <c r="E1301" s="15">
        <v>35</v>
      </c>
      <c r="F1301" s="15">
        <v>30</v>
      </c>
      <c r="G1301" s="13">
        <v>46139</v>
      </c>
      <c r="H1301" s="19">
        <v>10000</v>
      </c>
      <c r="I1301" s="19">
        <v>11932.44</v>
      </c>
      <c r="J1301" s="20">
        <f t="shared" si="5"/>
        <v>1.193244</v>
      </c>
      <c r="K1301" s="19">
        <v>10032.44</v>
      </c>
      <c r="L1301" s="20">
        <f t="shared" si="1"/>
        <v>1.003244</v>
      </c>
      <c r="M1301" s="21">
        <v>0</v>
      </c>
      <c r="N1301" s="19">
        <v>0</v>
      </c>
      <c r="O1301" s="23">
        <v>2000</v>
      </c>
      <c r="P1301" s="24">
        <v>2030</v>
      </c>
      <c r="Q1301" s="25">
        <f t="shared" si="2"/>
        <v>1.0149999999999999</v>
      </c>
      <c r="R1301" s="24">
        <v>2000</v>
      </c>
      <c r="S1301" s="25">
        <f t="shared" si="0"/>
        <v>1</v>
      </c>
      <c r="T1301" s="25">
        <v>0</v>
      </c>
      <c r="U1301" s="24">
        <v>0</v>
      </c>
      <c r="V1301" s="19">
        <v>12000</v>
      </c>
      <c r="W1301" s="19">
        <v>13962.44</v>
      </c>
      <c r="X1301" s="21">
        <f t="shared" si="3"/>
        <v>1.1635366666666667</v>
      </c>
      <c r="Y1301" s="19">
        <v>12032.44</v>
      </c>
      <c r="Z1301" s="20">
        <f t="shared" si="4"/>
        <v>1.0027033333333333</v>
      </c>
      <c r="AA1301" s="30">
        <v>5.8900000000000001E-2</v>
      </c>
      <c r="AB1301" s="27">
        <v>0.05</v>
      </c>
      <c r="AC1301" s="27">
        <v>0.06</v>
      </c>
      <c r="AD1301" s="11">
        <v>5.7214517986262654E-2</v>
      </c>
    </row>
    <row r="1302" spans="1:30" x14ac:dyDescent="0.3">
      <c r="A1302" s="13">
        <v>46106</v>
      </c>
      <c r="B1302" s="46" t="s">
        <v>636</v>
      </c>
      <c r="C1302" s="13">
        <v>46106</v>
      </c>
      <c r="D1302" s="15" t="s">
        <v>1559</v>
      </c>
      <c r="E1302" s="15">
        <v>98</v>
      </c>
      <c r="F1302" s="15">
        <v>90</v>
      </c>
      <c r="G1302" s="13">
        <v>46204</v>
      </c>
      <c r="H1302" s="19">
        <v>8400</v>
      </c>
      <c r="I1302" s="19">
        <v>12946.781000000001</v>
      </c>
      <c r="J1302" s="20">
        <f t="shared" si="5"/>
        <v>1.5412834523809524</v>
      </c>
      <c r="K1302" s="19">
        <v>11246.781000000001</v>
      </c>
      <c r="L1302" s="20">
        <f t="shared" si="1"/>
        <v>1.3389025000000001</v>
      </c>
      <c r="M1302" s="21">
        <v>0</v>
      </c>
      <c r="N1302" s="19">
        <v>0</v>
      </c>
      <c r="O1302" s="23">
        <v>1680</v>
      </c>
      <c r="P1302" s="24">
        <v>40</v>
      </c>
      <c r="Q1302" s="25">
        <f t="shared" si="2"/>
        <v>2.3809523809523808E-2</v>
      </c>
      <c r="R1302" s="24">
        <v>40</v>
      </c>
      <c r="S1302" s="25">
        <f t="shared" si="0"/>
        <v>2.3809523809523808E-2</v>
      </c>
      <c r="T1302" s="25">
        <v>0</v>
      </c>
      <c r="U1302" s="24">
        <v>0</v>
      </c>
      <c r="V1302" s="19">
        <v>10080</v>
      </c>
      <c r="W1302" s="19">
        <v>12986.781000000001</v>
      </c>
      <c r="X1302" s="21">
        <f t="shared" si="3"/>
        <v>1.2883711309523811</v>
      </c>
      <c r="Y1302" s="19">
        <v>11286.781000000001</v>
      </c>
      <c r="Z1302" s="20">
        <f t="shared" si="4"/>
        <v>1.1197203373015874</v>
      </c>
      <c r="AA1302" s="30">
        <v>5.9499999999999997E-2</v>
      </c>
      <c r="AB1302" s="27">
        <v>4.8899999999999999E-2</v>
      </c>
      <c r="AC1302" s="27">
        <v>6.1800000000000001E-2</v>
      </c>
      <c r="AD1302" s="11">
        <v>5.6984768337395991E-2</v>
      </c>
    </row>
    <row r="1303" spans="1:30" x14ac:dyDescent="0.3">
      <c r="A1303" s="13">
        <v>46108</v>
      </c>
      <c r="B1303" s="46" t="s">
        <v>636</v>
      </c>
      <c r="C1303" s="13">
        <v>46108</v>
      </c>
      <c r="D1303" s="15" t="s">
        <v>1561</v>
      </c>
      <c r="E1303" s="15">
        <v>189</v>
      </c>
      <c r="F1303" s="15">
        <v>180</v>
      </c>
      <c r="G1303" s="13">
        <v>46297</v>
      </c>
      <c r="H1303" s="19">
        <v>5000</v>
      </c>
      <c r="I1303" s="19">
        <v>7116.28</v>
      </c>
      <c r="J1303" s="20">
        <f t="shared" si="5"/>
        <v>1.4232559999999999</v>
      </c>
      <c r="K1303" s="19">
        <v>6016.28</v>
      </c>
      <c r="L1303" s="20">
        <f t="shared" si="1"/>
        <v>1.2032559999999999</v>
      </c>
      <c r="M1303" s="21">
        <v>0</v>
      </c>
      <c r="N1303" s="19">
        <v>0</v>
      </c>
      <c r="O1303" s="23">
        <v>1000</v>
      </c>
      <c r="P1303" s="24">
        <v>10</v>
      </c>
      <c r="Q1303" s="25">
        <f t="shared" si="2"/>
        <v>0.01</v>
      </c>
      <c r="R1303" s="24">
        <v>10</v>
      </c>
      <c r="S1303" s="25">
        <f t="shared" si="0"/>
        <v>0.01</v>
      </c>
      <c r="T1303" s="25">
        <v>0</v>
      </c>
      <c r="U1303" s="24">
        <v>0</v>
      </c>
      <c r="V1303" s="19">
        <v>6000</v>
      </c>
      <c r="W1303" s="19">
        <v>7126.28</v>
      </c>
      <c r="X1303" s="21">
        <f t="shared" si="3"/>
        <v>1.1877133333333334</v>
      </c>
      <c r="Y1303" s="19">
        <v>6026.28</v>
      </c>
      <c r="Z1303" s="20">
        <f t="shared" si="4"/>
        <v>1.0043800000000001</v>
      </c>
      <c r="AA1303" s="30">
        <v>0.06</v>
      </c>
      <c r="AB1303" s="27">
        <v>4.99E-2</v>
      </c>
      <c r="AC1303" s="27">
        <v>6.2E-2</v>
      </c>
      <c r="AD1303" s="11">
        <v>5.7491586474956016E-2</v>
      </c>
    </row>
    <row r="1304" spans="1:30" x14ac:dyDescent="0.3">
      <c r="A1304" s="13">
        <v>46111</v>
      </c>
      <c r="B1304" s="46" t="s">
        <v>636</v>
      </c>
      <c r="C1304" s="13">
        <v>46111</v>
      </c>
      <c r="D1304" s="15" t="s">
        <v>1562</v>
      </c>
      <c r="E1304" s="15">
        <v>28</v>
      </c>
      <c r="F1304" s="15">
        <v>30</v>
      </c>
      <c r="G1304" s="13">
        <v>46139</v>
      </c>
      <c r="H1304" s="19">
        <v>8300</v>
      </c>
      <c r="I1304" s="19">
        <v>16803.775000000001</v>
      </c>
      <c r="J1304" s="20">
        <f t="shared" si="5"/>
        <v>2.0245512048192773</v>
      </c>
      <c r="K1304" s="19">
        <v>9680.7749999999996</v>
      </c>
      <c r="L1304" s="20">
        <f t="shared" si="1"/>
        <v>1.1663584337349397</v>
      </c>
      <c r="M1304" s="21">
        <v>0</v>
      </c>
      <c r="N1304" s="19">
        <v>0</v>
      </c>
      <c r="O1304" s="23">
        <v>1660</v>
      </c>
      <c r="P1304" s="24">
        <v>580</v>
      </c>
      <c r="Q1304" s="25">
        <f t="shared" si="2"/>
        <v>0.3493975903614458</v>
      </c>
      <c r="R1304" s="24">
        <v>580</v>
      </c>
      <c r="S1304" s="25">
        <f t="shared" si="0"/>
        <v>0.3493975903614458</v>
      </c>
      <c r="T1304" s="25">
        <v>0</v>
      </c>
      <c r="U1304" s="24">
        <v>0</v>
      </c>
      <c r="V1304" s="19">
        <v>9960</v>
      </c>
      <c r="W1304" s="19">
        <v>17383.775000000001</v>
      </c>
      <c r="X1304" s="21">
        <f t="shared" si="3"/>
        <v>1.745358935742972</v>
      </c>
      <c r="Y1304" s="19">
        <v>10260.775</v>
      </c>
      <c r="Z1304" s="20">
        <f t="shared" si="4"/>
        <v>1.0301982931726907</v>
      </c>
      <c r="AA1304" s="30">
        <v>5.7299999999999997E-2</v>
      </c>
      <c r="AB1304" s="27">
        <v>4.8899999999999999E-2</v>
      </c>
      <c r="AC1304" s="27">
        <v>6.2600000000000003E-2</v>
      </c>
      <c r="AD1304" s="11">
        <v>5.6759453218101295E-2</v>
      </c>
    </row>
    <row r="1305" spans="1:30" x14ac:dyDescent="0.3">
      <c r="A1305" s="13">
        <v>46112</v>
      </c>
      <c r="B1305" s="46" t="s">
        <v>636</v>
      </c>
      <c r="C1305" s="13">
        <v>46113</v>
      </c>
      <c r="D1305" s="15" t="s">
        <v>1563</v>
      </c>
      <c r="E1305" s="15">
        <v>366</v>
      </c>
      <c r="F1305" s="15">
        <v>360</v>
      </c>
      <c r="G1305" s="13">
        <v>46479</v>
      </c>
      <c r="H1305" s="19">
        <v>3300</v>
      </c>
      <c r="I1305" s="19">
        <v>3724.72</v>
      </c>
      <c r="J1305" s="20">
        <f t="shared" si="5"/>
        <v>1.1287030303030303</v>
      </c>
      <c r="K1305" s="19">
        <v>2974.72</v>
      </c>
      <c r="L1305" s="20">
        <f t="shared" si="1"/>
        <v>0.90143030303030292</v>
      </c>
      <c r="M1305" s="21">
        <v>0</v>
      </c>
      <c r="N1305" s="19">
        <v>0</v>
      </c>
      <c r="O1305" s="23">
        <v>660</v>
      </c>
      <c r="P1305" s="24">
        <v>0</v>
      </c>
      <c r="Q1305" s="25">
        <f t="shared" si="2"/>
        <v>0</v>
      </c>
      <c r="R1305" s="24">
        <v>0</v>
      </c>
      <c r="S1305" s="25">
        <f t="shared" si="0"/>
        <v>0</v>
      </c>
      <c r="T1305" s="25">
        <v>0</v>
      </c>
      <c r="U1305" s="24">
        <v>0</v>
      </c>
      <c r="V1305" s="19">
        <v>3960</v>
      </c>
      <c r="W1305" s="19">
        <v>3724.72</v>
      </c>
      <c r="X1305" s="21">
        <f t="shared" si="3"/>
        <v>0.94058585858585853</v>
      </c>
      <c r="Y1305" s="19">
        <v>2974.72</v>
      </c>
      <c r="Z1305" s="20">
        <f t="shared" si="4"/>
        <v>0.75119191919191919</v>
      </c>
      <c r="AA1305" s="30">
        <v>6.0299999999999999E-2</v>
      </c>
      <c r="AB1305" s="27">
        <v>4.4999999999999998E-2</v>
      </c>
      <c r="AC1305" s="27">
        <v>6.25E-2</v>
      </c>
      <c r="AD1305" s="11">
        <v>5.8091901673145901E-2</v>
      </c>
    </row>
    <row r="1306" spans="1:30" x14ac:dyDescent="0.3">
      <c r="A1306" s="13">
        <v>46113</v>
      </c>
      <c r="B1306" s="46" t="s">
        <v>636</v>
      </c>
      <c r="C1306" s="13">
        <v>46113</v>
      </c>
      <c r="D1306" s="15" t="s">
        <v>1564</v>
      </c>
      <c r="E1306" s="15">
        <v>91</v>
      </c>
      <c r="F1306" s="15">
        <v>90</v>
      </c>
      <c r="G1306" s="13">
        <v>46204</v>
      </c>
      <c r="H1306" s="19">
        <v>8300</v>
      </c>
      <c r="I1306" s="19">
        <v>12613.108</v>
      </c>
      <c r="J1306" s="20">
        <f t="shared" si="5"/>
        <v>1.5196515662650603</v>
      </c>
      <c r="K1306" s="19">
        <v>10713.108</v>
      </c>
      <c r="L1306" s="20">
        <f t="shared" si="1"/>
        <v>1.2907359036144579</v>
      </c>
      <c r="M1306" s="21">
        <v>0</v>
      </c>
      <c r="N1306" s="19">
        <v>0</v>
      </c>
      <c r="O1306" s="23">
        <v>1660</v>
      </c>
      <c r="P1306" s="24">
        <v>400</v>
      </c>
      <c r="Q1306" s="25">
        <f t="shared" si="2"/>
        <v>0.24096385542168675</v>
      </c>
      <c r="R1306" s="24">
        <v>400</v>
      </c>
      <c r="S1306" s="25">
        <f t="shared" si="0"/>
        <v>0.24096385542168675</v>
      </c>
      <c r="T1306" s="25">
        <v>0</v>
      </c>
      <c r="U1306" s="24">
        <v>0</v>
      </c>
      <c r="V1306" s="19">
        <v>9960</v>
      </c>
      <c r="W1306" s="19">
        <v>13013.108</v>
      </c>
      <c r="X1306" s="21">
        <f t="shared" si="3"/>
        <v>1.3065369477911646</v>
      </c>
      <c r="Y1306" s="19">
        <v>11113.108</v>
      </c>
      <c r="Z1306" s="20">
        <f t="shared" si="4"/>
        <v>1.1157738955823293</v>
      </c>
      <c r="AA1306" s="30">
        <v>5.96E-2</v>
      </c>
      <c r="AB1306" s="27">
        <v>4.8899999999999999E-2</v>
      </c>
      <c r="AC1306" s="27">
        <v>6.3399999999999998E-2</v>
      </c>
      <c r="AD1306" s="11">
        <v>5.6869756050610204E-2</v>
      </c>
    </row>
    <row r="1307" spans="1:30" x14ac:dyDescent="0.3">
      <c r="A1307" s="13">
        <v>46118</v>
      </c>
      <c r="B1307" s="46" t="s">
        <v>636</v>
      </c>
      <c r="C1307" s="13">
        <v>46118</v>
      </c>
      <c r="D1307" s="15" t="s">
        <v>1565</v>
      </c>
      <c r="E1307" s="15">
        <v>35</v>
      </c>
      <c r="F1307" s="15">
        <v>30</v>
      </c>
      <c r="G1307" s="13">
        <v>46153</v>
      </c>
      <c r="H1307" s="19">
        <v>10000</v>
      </c>
      <c r="I1307" s="19">
        <v>8529.5400000000009</v>
      </c>
      <c r="J1307" s="20">
        <f t="shared" si="5"/>
        <v>0.8529540000000001</v>
      </c>
      <c r="K1307" s="19">
        <v>8379.5400000000009</v>
      </c>
      <c r="L1307" s="20">
        <f t="shared" si="1"/>
        <v>0.83795400000000009</v>
      </c>
      <c r="M1307" s="21">
        <v>0</v>
      </c>
      <c r="N1307" s="19">
        <v>0</v>
      </c>
      <c r="O1307" s="23">
        <v>2000</v>
      </c>
      <c r="P1307" s="24">
        <v>1030</v>
      </c>
      <c r="Q1307" s="25">
        <f t="shared" si="2"/>
        <v>0.51500000000000001</v>
      </c>
      <c r="R1307" s="24">
        <v>1030</v>
      </c>
      <c r="S1307" s="25">
        <f t="shared" si="0"/>
        <v>0.51500000000000001</v>
      </c>
      <c r="T1307" s="25">
        <v>0</v>
      </c>
      <c r="U1307" s="24">
        <v>0</v>
      </c>
      <c r="V1307" s="19">
        <v>12000</v>
      </c>
      <c r="W1307" s="19">
        <v>9559.5400000000009</v>
      </c>
      <c r="X1307" s="21">
        <f t="shared" si="3"/>
        <v>0.79662833333333338</v>
      </c>
      <c r="Y1307" s="19">
        <v>9409.5400000000009</v>
      </c>
      <c r="Z1307" s="20">
        <f t="shared" si="4"/>
        <v>0.78412833333333343</v>
      </c>
      <c r="AA1307" s="30">
        <v>5.9400000000000001E-2</v>
      </c>
      <c r="AB1307" s="27">
        <v>4.7300000000000002E-2</v>
      </c>
      <c r="AC1307" s="27">
        <v>5.9900000000000002E-2</v>
      </c>
      <c r="AD1307" s="11">
        <v>5.6736319543609623E-2</v>
      </c>
    </row>
    <row r="1048574" spans="2:2" x14ac:dyDescent="0.3">
      <c r="B1048574" s="46"/>
    </row>
  </sheetData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XFC314"/>
  <sheetViews>
    <sheetView zoomScale="90" zoomScaleNormal="90" workbookViewId="0">
      <selection activeCell="C5" sqref="C5"/>
    </sheetView>
  </sheetViews>
  <sheetFormatPr baseColWidth="10" defaultColWidth="11.44140625" defaultRowHeight="14.4" x14ac:dyDescent="0.3"/>
  <cols>
    <col min="1" max="1" width="12" style="1" customWidth="1"/>
    <col min="2" max="2" width="32.33203125" style="1" customWidth="1"/>
    <col min="3" max="3" width="19" style="1" bestFit="1" customWidth="1"/>
    <col min="4" max="4" width="20.33203125" style="1" bestFit="1" customWidth="1"/>
    <col min="5" max="5" width="12.44140625" style="1" bestFit="1" customWidth="1"/>
    <col min="6" max="6" width="20.88671875" style="1" bestFit="1" customWidth="1"/>
    <col min="7" max="7" width="18.5546875" style="3" bestFit="1" customWidth="1"/>
    <col min="8" max="8" width="12.109375" style="1" bestFit="1" customWidth="1"/>
    <col min="9" max="16384" width="11.44140625" style="1"/>
  </cols>
  <sheetData>
    <row r="1" spans="1:7" x14ac:dyDescent="0.3">
      <c r="A1" s="36"/>
      <c r="B1" s="2"/>
      <c r="F1" s="3"/>
    </row>
    <row r="2" spans="1:7" ht="15" customHeight="1" x14ac:dyDescent="0.3">
      <c r="A2" s="36"/>
      <c r="B2" s="2"/>
      <c r="D2" s="81" t="s">
        <v>699</v>
      </c>
      <c r="E2" s="81"/>
      <c r="F2" s="81"/>
      <c r="G2" s="81"/>
    </row>
    <row r="3" spans="1:7" ht="15" customHeight="1" x14ac:dyDescent="0.3">
      <c r="A3" s="36"/>
      <c r="B3" s="2"/>
      <c r="D3" s="81"/>
      <c r="E3" s="81"/>
      <c r="F3" s="81"/>
      <c r="G3" s="81"/>
    </row>
    <row r="4" spans="1:7" ht="14.25" customHeight="1" x14ac:dyDescent="0.3">
      <c r="A4" s="36"/>
      <c r="B4" s="2"/>
      <c r="D4" s="81"/>
      <c r="E4" s="81"/>
      <c r="F4" s="81"/>
      <c r="G4" s="81"/>
    </row>
    <row r="5" spans="1:7" x14ac:dyDescent="0.3">
      <c r="A5" s="36"/>
      <c r="B5" s="2"/>
      <c r="D5" s="81"/>
      <c r="E5" s="81"/>
      <c r="F5" s="81"/>
      <c r="G5" s="81"/>
    </row>
    <row r="6" spans="1:7" x14ac:dyDescent="0.3">
      <c r="A6" s="36"/>
      <c r="B6" s="2"/>
      <c r="D6" s="81"/>
      <c r="E6" s="81"/>
      <c r="F6" s="81"/>
      <c r="G6" s="81"/>
    </row>
    <row r="7" spans="1:7" x14ac:dyDescent="0.3">
      <c r="D7" s="37" t="s">
        <v>341</v>
      </c>
    </row>
    <row r="10" spans="1:7" ht="15" customHeight="1" x14ac:dyDescent="0.3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3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3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3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3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3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3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3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3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3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3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3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3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3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3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3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3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3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3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3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3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3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3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3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3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3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3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3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3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3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3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3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3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3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3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3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3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3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3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3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3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3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3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3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3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3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3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3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3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3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3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3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3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3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3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3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3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3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3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3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3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3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3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3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3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3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3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3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3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3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3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3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3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3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3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3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3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3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3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3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3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3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3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3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3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3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3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3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3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3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3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3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3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3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3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3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3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3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3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3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3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3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3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3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3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3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3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3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3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3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3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 t="shared" ref="F120" si="4">+E120-A120</f>
        <v>58</v>
      </c>
      <c r="G120" s="19">
        <v>-34.5</v>
      </c>
    </row>
    <row r="121" spans="1:7" x14ac:dyDescent="0.3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 t="shared" ref="F121" si="5">+E121-A121</f>
        <v>26</v>
      </c>
      <c r="G121" s="19">
        <v>-167.87772899999999</v>
      </c>
    </row>
    <row r="122" spans="1:7" x14ac:dyDescent="0.3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 t="shared" ref="F122" si="6">+E122-A122</f>
        <v>84</v>
      </c>
      <c r="G122" s="19">
        <v>-57.215801999999996</v>
      </c>
    </row>
    <row r="123" spans="1:7" x14ac:dyDescent="0.3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7">+E123-A123</f>
        <v>33</v>
      </c>
      <c r="G123" s="19">
        <v>-256</v>
      </c>
    </row>
    <row r="124" spans="1:7" x14ac:dyDescent="0.3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7"/>
        <v>65</v>
      </c>
      <c r="G124" s="19">
        <v>-105.78336299999999</v>
      </c>
    </row>
    <row r="125" spans="1:7" x14ac:dyDescent="0.3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7"/>
        <v>5</v>
      </c>
      <c r="G125" s="19">
        <v>-105</v>
      </c>
    </row>
    <row r="126" spans="1:7" x14ac:dyDescent="0.3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7"/>
        <v>5</v>
      </c>
      <c r="G126" s="19">
        <v>-801.62332600000002</v>
      </c>
    </row>
    <row r="127" spans="1:7" x14ac:dyDescent="0.3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7"/>
        <v>19</v>
      </c>
      <c r="G127" s="19">
        <v>-0.486431</v>
      </c>
    </row>
    <row r="128" spans="1:7" x14ac:dyDescent="0.3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7"/>
        <v>33</v>
      </c>
      <c r="G128" s="19">
        <v>-0.183027</v>
      </c>
    </row>
    <row r="129" spans="1:7" x14ac:dyDescent="0.3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7"/>
        <v>63</v>
      </c>
      <c r="G129" s="19">
        <v>-30.851208</v>
      </c>
    </row>
    <row r="130" spans="1:7" x14ac:dyDescent="0.3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7"/>
        <v>7</v>
      </c>
      <c r="G130" s="19">
        <v>-450</v>
      </c>
    </row>
    <row r="131" spans="1:7" x14ac:dyDescent="0.3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7"/>
        <v>14</v>
      </c>
      <c r="G131" s="19">
        <v>-350</v>
      </c>
    </row>
    <row r="132" spans="1:7" x14ac:dyDescent="0.3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7"/>
        <v>19</v>
      </c>
      <c r="G132" s="19">
        <v>-450</v>
      </c>
    </row>
    <row r="133" spans="1:7" x14ac:dyDescent="0.3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7"/>
        <v>26</v>
      </c>
      <c r="G133" s="19">
        <v>-443.81624499999998</v>
      </c>
    </row>
    <row r="134" spans="1:7" x14ac:dyDescent="0.3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7"/>
        <v>21</v>
      </c>
      <c r="G134" s="19">
        <v>-110</v>
      </c>
    </row>
    <row r="135" spans="1:7" x14ac:dyDescent="0.3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7"/>
        <v>114</v>
      </c>
      <c r="G135" s="19">
        <v>-363.870364</v>
      </c>
    </row>
    <row r="136" spans="1:7" x14ac:dyDescent="0.3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7"/>
        <v>12</v>
      </c>
      <c r="G136" s="19">
        <v>-501.92309999999998</v>
      </c>
    </row>
    <row r="137" spans="1:7" x14ac:dyDescent="0.3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7"/>
        <v>93</v>
      </c>
      <c r="G137" s="19">
        <v>-1027.6770590000001</v>
      </c>
    </row>
    <row r="138" spans="1:7" x14ac:dyDescent="0.3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7"/>
        <v>12</v>
      </c>
      <c r="G138" s="19">
        <v>-318.75825099999997</v>
      </c>
    </row>
    <row r="139" spans="1:7" x14ac:dyDescent="0.3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7"/>
        <v>84</v>
      </c>
      <c r="G139" s="19">
        <v>-195</v>
      </c>
    </row>
    <row r="140" spans="1:7" x14ac:dyDescent="0.3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7"/>
        <v>98</v>
      </c>
      <c r="G140" s="19">
        <v>-37.527850999999998</v>
      </c>
    </row>
    <row r="141" spans="1:7" x14ac:dyDescent="0.3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7"/>
        <v>5</v>
      </c>
      <c r="G141" s="19">
        <v>-4.0438720000000004</v>
      </c>
    </row>
    <row r="142" spans="1:7" x14ac:dyDescent="0.3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7"/>
        <v>2</v>
      </c>
      <c r="G142" s="19">
        <v>-500</v>
      </c>
    </row>
    <row r="143" spans="1:7" x14ac:dyDescent="0.3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7"/>
        <v>7</v>
      </c>
      <c r="G143" s="19">
        <v>-200</v>
      </c>
    </row>
    <row r="144" spans="1:7" x14ac:dyDescent="0.3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7"/>
        <v>5</v>
      </c>
      <c r="G144" s="19">
        <v>-800</v>
      </c>
    </row>
    <row r="145" spans="1:7" x14ac:dyDescent="0.3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7"/>
        <v>19</v>
      </c>
      <c r="G145" s="19">
        <v>-250</v>
      </c>
    </row>
    <row r="146" spans="1:7" x14ac:dyDescent="0.3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7"/>
        <v>26</v>
      </c>
      <c r="G146" s="19">
        <v>-732.11891500000002</v>
      </c>
    </row>
    <row r="147" spans="1:7" x14ac:dyDescent="0.3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 t="shared" ref="F147" si="8">+E147-A147</f>
        <v>42</v>
      </c>
      <c r="G147" s="19">
        <v>-500.50619999999998</v>
      </c>
    </row>
    <row r="148" spans="1:7" x14ac:dyDescent="0.3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7"/>
        <v>28</v>
      </c>
      <c r="G148" s="19">
        <v>-4.2</v>
      </c>
    </row>
    <row r="149" spans="1:7" x14ac:dyDescent="0.3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7"/>
        <v>79</v>
      </c>
      <c r="G149" s="19">
        <v>-618.87489000000005</v>
      </c>
    </row>
    <row r="150" spans="1:7" x14ac:dyDescent="0.3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7"/>
        <v>317</v>
      </c>
      <c r="G150" s="19">
        <v>-151.469559</v>
      </c>
    </row>
    <row r="151" spans="1:7" x14ac:dyDescent="0.3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7"/>
        <v>14</v>
      </c>
      <c r="G151" s="19">
        <v>-46.099648999999999</v>
      </c>
    </row>
    <row r="152" spans="1:7" x14ac:dyDescent="0.3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7"/>
        <v>170</v>
      </c>
      <c r="G152" s="19">
        <v>-1299.6177459999999</v>
      </c>
    </row>
    <row r="153" spans="1:7" x14ac:dyDescent="0.3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7"/>
        <v>19</v>
      </c>
      <c r="G153" s="19">
        <v>-1715.5</v>
      </c>
    </row>
    <row r="154" spans="1:7" x14ac:dyDescent="0.3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7"/>
        <v>345</v>
      </c>
      <c r="G154" s="19">
        <v>-100.096808</v>
      </c>
    </row>
    <row r="155" spans="1:7" x14ac:dyDescent="0.3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7"/>
        <v>30</v>
      </c>
      <c r="G155" s="19">
        <v>-818.12829999999997</v>
      </c>
    </row>
    <row r="156" spans="1:7" x14ac:dyDescent="0.3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7"/>
        <v>149</v>
      </c>
      <c r="G156" s="19">
        <v>-625</v>
      </c>
    </row>
    <row r="157" spans="1:7" x14ac:dyDescent="0.3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7"/>
        <v>42</v>
      </c>
      <c r="G157" s="19">
        <v>-1000</v>
      </c>
    </row>
    <row r="158" spans="1:7" x14ac:dyDescent="0.3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7"/>
        <v>163</v>
      </c>
      <c r="G158" s="19">
        <v>-339.52067799999998</v>
      </c>
    </row>
    <row r="159" spans="1:7" x14ac:dyDescent="0.3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7"/>
        <v>35</v>
      </c>
      <c r="G159" s="19">
        <v>-30.907515</v>
      </c>
    </row>
    <row r="160" spans="1:7" x14ac:dyDescent="0.3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7"/>
        <v>5</v>
      </c>
      <c r="G160" s="19">
        <v>-4.6031000000000004</v>
      </c>
    </row>
    <row r="161" spans="1:7" x14ac:dyDescent="0.3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7"/>
        <v>2</v>
      </c>
      <c r="G161" s="19">
        <v>-641.24229800000001</v>
      </c>
    </row>
    <row r="162" spans="1:7" x14ac:dyDescent="0.3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7"/>
        <v>9</v>
      </c>
      <c r="G162" s="19">
        <v>-10.251312</v>
      </c>
    </row>
    <row r="163" spans="1:7" x14ac:dyDescent="0.3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7"/>
        <v>23</v>
      </c>
      <c r="G163" s="19">
        <v>-41.146498999999999</v>
      </c>
    </row>
    <row r="164" spans="1:7" x14ac:dyDescent="0.3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7"/>
        <v>56</v>
      </c>
      <c r="G164" s="19">
        <v>-867.64783699999998</v>
      </c>
    </row>
    <row r="165" spans="1:7" x14ac:dyDescent="0.3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7"/>
        <v>5</v>
      </c>
      <c r="G165" s="19">
        <v>-500</v>
      </c>
    </row>
    <row r="166" spans="1:7" x14ac:dyDescent="0.3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7"/>
        <v>19</v>
      </c>
      <c r="G166" s="19">
        <v>-500</v>
      </c>
    </row>
    <row r="167" spans="1:7" x14ac:dyDescent="0.3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7"/>
        <v>84</v>
      </c>
      <c r="G167" s="19">
        <f>-32.119847</f>
        <v>-32.119847</v>
      </c>
    </row>
    <row r="168" spans="1:7" x14ac:dyDescent="0.3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7"/>
        <v>7</v>
      </c>
      <c r="G168" s="19">
        <v>-380.5</v>
      </c>
    </row>
    <row r="169" spans="1:7" x14ac:dyDescent="0.3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7"/>
        <v>5</v>
      </c>
      <c r="G169" s="19">
        <v>-250</v>
      </c>
    </row>
    <row r="170" spans="1:7" x14ac:dyDescent="0.3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7"/>
        <v>33</v>
      </c>
      <c r="G170" s="19">
        <v>-246.27122600000001</v>
      </c>
    </row>
    <row r="171" spans="1:7" x14ac:dyDescent="0.3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9">+E171-A171</f>
        <v>14</v>
      </c>
      <c r="G171" s="19">
        <v>-860.740455</v>
      </c>
    </row>
    <row r="172" spans="1:7" x14ac:dyDescent="0.3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9"/>
        <v>226</v>
      </c>
      <c r="G172" s="19">
        <v>-400</v>
      </c>
    </row>
    <row r="173" spans="1:7" x14ac:dyDescent="0.3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9"/>
        <v>19</v>
      </c>
      <c r="G173" s="19">
        <v>-630</v>
      </c>
    </row>
    <row r="174" spans="1:7" x14ac:dyDescent="0.3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9"/>
        <v>114</v>
      </c>
      <c r="G174" s="19">
        <v>-205</v>
      </c>
    </row>
    <row r="175" spans="1:7" x14ac:dyDescent="0.3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9"/>
        <v>317</v>
      </c>
      <c r="G175" s="19">
        <v>-215.56447299999999</v>
      </c>
    </row>
    <row r="176" spans="1:7" x14ac:dyDescent="0.3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9"/>
        <v>2</v>
      </c>
      <c r="G176" s="19">
        <v>-0.25</v>
      </c>
    </row>
    <row r="177" spans="1:7" x14ac:dyDescent="0.3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9"/>
        <v>30</v>
      </c>
      <c r="G177" s="19">
        <v>-0.47</v>
      </c>
    </row>
    <row r="178" spans="1:7" x14ac:dyDescent="0.3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9"/>
        <v>44</v>
      </c>
      <c r="G178" s="19">
        <v>-0.171706</v>
      </c>
    </row>
    <row r="179" spans="1:7" x14ac:dyDescent="0.3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9"/>
        <v>23</v>
      </c>
      <c r="G179" s="19">
        <v>-70.147322000000003</v>
      </c>
    </row>
    <row r="180" spans="1:7" x14ac:dyDescent="0.3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9"/>
        <v>2</v>
      </c>
      <c r="G180" s="19">
        <v>-96.81</v>
      </c>
    </row>
    <row r="181" spans="1:7" x14ac:dyDescent="0.3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9"/>
        <v>7</v>
      </c>
      <c r="G181" s="19">
        <v>-2.15</v>
      </c>
    </row>
    <row r="182" spans="1:7" x14ac:dyDescent="0.3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9"/>
        <v>219</v>
      </c>
      <c r="G182" s="19">
        <v>-29.339639999999999</v>
      </c>
    </row>
    <row r="183" spans="1:7" x14ac:dyDescent="0.3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9"/>
        <v>282</v>
      </c>
      <c r="G183" s="19">
        <v>-19</v>
      </c>
    </row>
    <row r="184" spans="1:7" x14ac:dyDescent="0.3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9"/>
        <v>310</v>
      </c>
      <c r="G184" s="19">
        <v>-108</v>
      </c>
    </row>
    <row r="185" spans="1:7" x14ac:dyDescent="0.3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9"/>
        <v>5</v>
      </c>
      <c r="G185" s="19">
        <v>-86.95</v>
      </c>
    </row>
    <row r="186" spans="1:7" x14ac:dyDescent="0.3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9"/>
        <v>12</v>
      </c>
      <c r="G186" s="19">
        <v>-3.1913809999999998</v>
      </c>
    </row>
    <row r="187" spans="1:7" x14ac:dyDescent="0.3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9"/>
        <v>163</v>
      </c>
      <c r="G187" s="19">
        <v>-155.080129</v>
      </c>
    </row>
    <row r="188" spans="1:7" x14ac:dyDescent="0.3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9"/>
        <v>324</v>
      </c>
      <c r="G188" s="19">
        <v>-143.89810800000001</v>
      </c>
    </row>
    <row r="189" spans="1:7" x14ac:dyDescent="0.3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9"/>
        <v>303</v>
      </c>
      <c r="G189" s="19">
        <v>-81</v>
      </c>
    </row>
    <row r="190" spans="1:7" x14ac:dyDescent="0.3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9"/>
        <v>289</v>
      </c>
      <c r="G190" s="19">
        <v>-1396.557491</v>
      </c>
    </row>
    <row r="191" spans="1:7" x14ac:dyDescent="0.3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9"/>
        <v>149</v>
      </c>
      <c r="G191" s="19">
        <v>-125.588353</v>
      </c>
    </row>
    <row r="192" spans="1:7" x14ac:dyDescent="0.3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9"/>
        <v>345</v>
      </c>
      <c r="G192" s="19">
        <v>-100</v>
      </c>
    </row>
    <row r="193" spans="1:129" x14ac:dyDescent="0.3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9"/>
        <v>35</v>
      </c>
      <c r="G193" s="19">
        <v>-39.069769999999998</v>
      </c>
    </row>
    <row r="194" spans="1:129" x14ac:dyDescent="0.3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9"/>
        <v>359</v>
      </c>
      <c r="G194" s="19">
        <v>-1322.306141</v>
      </c>
    </row>
    <row r="195" spans="1:129" x14ac:dyDescent="0.3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9"/>
        <v>21</v>
      </c>
      <c r="G195" s="19">
        <v>-100</v>
      </c>
    </row>
    <row r="196" spans="1:129" x14ac:dyDescent="0.3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9"/>
        <v>30</v>
      </c>
      <c r="G196" s="19">
        <v>-100</v>
      </c>
    </row>
    <row r="197" spans="1:129" x14ac:dyDescent="0.3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9"/>
        <v>51</v>
      </c>
      <c r="G197" s="19">
        <v>-317.010786</v>
      </c>
    </row>
    <row r="198" spans="1:129" x14ac:dyDescent="0.3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9"/>
        <v>352</v>
      </c>
      <c r="G198" s="19">
        <v>-15.419631000000001</v>
      </c>
    </row>
    <row r="199" spans="1:129" x14ac:dyDescent="0.3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9"/>
        <v>261</v>
      </c>
      <c r="G199" s="19">
        <v>-607.16040099999998</v>
      </c>
    </row>
    <row r="200" spans="1:129" x14ac:dyDescent="0.3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9"/>
        <v>7</v>
      </c>
      <c r="G200" s="19">
        <v>-30</v>
      </c>
    </row>
    <row r="201" spans="1:129" x14ac:dyDescent="0.3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9"/>
        <v>44</v>
      </c>
      <c r="G201" s="19">
        <v>-202.815257</v>
      </c>
    </row>
    <row r="202" spans="1:129" x14ac:dyDescent="0.3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9"/>
        <v>107</v>
      </c>
      <c r="G202" s="19">
        <v>-421.29017599999997</v>
      </c>
    </row>
    <row r="203" spans="1:129" x14ac:dyDescent="0.3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9"/>
        <v>51</v>
      </c>
      <c r="G203" s="19">
        <v>-150</v>
      </c>
    </row>
    <row r="204" spans="1:129" x14ac:dyDescent="0.3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9"/>
        <v>14</v>
      </c>
      <c r="G204" s="19">
        <v>-48</v>
      </c>
    </row>
    <row r="205" spans="1:129" x14ac:dyDescent="0.3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9"/>
        <v>373</v>
      </c>
      <c r="G205" s="19">
        <v>-249.12764100000001</v>
      </c>
    </row>
    <row r="206" spans="1:129" s="35" customFormat="1" x14ac:dyDescent="0.3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9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3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9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3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9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3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9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3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9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3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9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3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9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3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9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3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9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3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9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3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9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3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9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3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9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3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9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3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9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3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9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3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9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3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9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3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9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3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9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3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9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3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9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3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9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3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9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3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9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3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9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3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9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3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9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3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9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3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9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3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10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3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10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3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10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3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10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3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10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3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10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3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10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3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10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3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 t="shared" ref="F244" si="11"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3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308" si="12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3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12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3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12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3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12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3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12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3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12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3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12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3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12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3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12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3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12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3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12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3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12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3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12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3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12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3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12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3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12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3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12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3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12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3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12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3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12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3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12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3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12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3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12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3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12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3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12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3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12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3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12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3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12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3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12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3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12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3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12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3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12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3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12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3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12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3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12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3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12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3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12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3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12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3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12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3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12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3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12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3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12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3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12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3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12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3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12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3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12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3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12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3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12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3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12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3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12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3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12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3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12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  <row r="297" spans="1:129" s="35" customFormat="1" x14ac:dyDescent="0.3">
      <c r="A297" s="35">
        <v>46092</v>
      </c>
      <c r="B297" s="35" t="s">
        <v>1072</v>
      </c>
      <c r="C297" s="15" t="s">
        <v>1438</v>
      </c>
      <c r="D297" s="1" t="s">
        <v>701</v>
      </c>
      <c r="E297" s="13">
        <v>46269</v>
      </c>
      <c r="F297" s="53">
        <f t="shared" si="12"/>
        <v>177</v>
      </c>
      <c r="G297" s="19">
        <v>-259.66789999999997</v>
      </c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  <c r="BK297" s="36"/>
      <c r="BL297" s="36"/>
      <c r="BM297" s="36"/>
      <c r="BN297" s="36"/>
      <c r="BO297" s="36"/>
      <c r="BP297" s="36"/>
      <c r="BQ297" s="36"/>
      <c r="BR297" s="36"/>
      <c r="BS297" s="36"/>
      <c r="BT297" s="36"/>
      <c r="BU297" s="36"/>
      <c r="BV297" s="36"/>
      <c r="BW297" s="36"/>
      <c r="BX297" s="36"/>
      <c r="BY297" s="36"/>
      <c r="BZ297" s="36"/>
      <c r="CA297" s="36"/>
      <c r="CB297" s="36"/>
      <c r="CC297" s="36"/>
      <c r="CD297" s="36"/>
      <c r="CE297" s="36"/>
      <c r="CF297" s="36"/>
      <c r="CG297" s="36"/>
      <c r="CH297" s="36"/>
      <c r="CI297" s="36"/>
      <c r="CJ297" s="36"/>
      <c r="CK297" s="36"/>
      <c r="CL297" s="36"/>
      <c r="CM297" s="36"/>
      <c r="CN297" s="36"/>
      <c r="CO297" s="36"/>
      <c r="CP297" s="36"/>
      <c r="CQ297" s="36"/>
      <c r="CR297" s="36"/>
      <c r="CS297" s="36"/>
      <c r="CT297" s="36"/>
      <c r="CU297" s="36"/>
      <c r="CV297" s="36"/>
      <c r="CW297" s="36"/>
      <c r="CX297" s="36"/>
      <c r="CY297" s="36"/>
      <c r="CZ297" s="36"/>
      <c r="DA297" s="36"/>
      <c r="DB297" s="36"/>
      <c r="DC297" s="36"/>
      <c r="DD297" s="36"/>
      <c r="DE297" s="36"/>
      <c r="DF297" s="36"/>
      <c r="DG297" s="36"/>
      <c r="DH297" s="36"/>
      <c r="DI297" s="36"/>
      <c r="DJ297" s="36"/>
      <c r="DK297" s="36"/>
      <c r="DL297" s="36"/>
      <c r="DM297" s="36"/>
      <c r="DN297" s="36"/>
      <c r="DO297" s="36"/>
      <c r="DP297" s="36"/>
      <c r="DQ297" s="36"/>
      <c r="DR297" s="36"/>
      <c r="DS297" s="36"/>
      <c r="DT297" s="36"/>
      <c r="DU297" s="36"/>
      <c r="DV297" s="36"/>
      <c r="DW297" s="36"/>
      <c r="DX297" s="36"/>
      <c r="DY297" s="36"/>
    </row>
    <row r="298" spans="1:129" s="35" customFormat="1" x14ac:dyDescent="0.3">
      <c r="A298" s="35">
        <v>46092</v>
      </c>
      <c r="B298" s="35" t="s">
        <v>1072</v>
      </c>
      <c r="C298" s="15" t="s">
        <v>1449</v>
      </c>
      <c r="D298" s="1" t="s">
        <v>701</v>
      </c>
      <c r="E298" s="13">
        <v>46297</v>
      </c>
      <c r="F298" s="53">
        <f t="shared" si="12"/>
        <v>205</v>
      </c>
      <c r="G298" s="19">
        <v>-65.206892999999994</v>
      </c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  <c r="BK298" s="36"/>
      <c r="BL298" s="36"/>
      <c r="BM298" s="36"/>
      <c r="BN298" s="36"/>
      <c r="BO298" s="36"/>
      <c r="BP298" s="36"/>
      <c r="BQ298" s="36"/>
      <c r="BR298" s="36"/>
      <c r="BS298" s="36"/>
      <c r="BT298" s="36"/>
      <c r="BU298" s="36"/>
      <c r="BV298" s="36"/>
      <c r="BW298" s="36"/>
      <c r="BX298" s="36"/>
      <c r="BY298" s="36"/>
      <c r="BZ298" s="36"/>
      <c r="CA298" s="36"/>
      <c r="CB298" s="36"/>
      <c r="CC298" s="36"/>
      <c r="CD298" s="36"/>
      <c r="CE298" s="36"/>
      <c r="CF298" s="36"/>
      <c r="CG298" s="36"/>
      <c r="CH298" s="36"/>
      <c r="CI298" s="36"/>
      <c r="CJ298" s="36"/>
      <c r="CK298" s="36"/>
      <c r="CL298" s="36"/>
      <c r="CM298" s="36"/>
      <c r="CN298" s="36"/>
      <c r="CO298" s="36"/>
      <c r="CP298" s="36"/>
      <c r="CQ298" s="36"/>
      <c r="CR298" s="36"/>
      <c r="CS298" s="36"/>
      <c r="CT298" s="36"/>
      <c r="CU298" s="36"/>
      <c r="CV298" s="36"/>
      <c r="CW298" s="36"/>
      <c r="CX298" s="36"/>
      <c r="CY298" s="36"/>
      <c r="CZ298" s="36"/>
      <c r="DA298" s="36"/>
      <c r="DB298" s="36"/>
      <c r="DC298" s="36"/>
      <c r="DD298" s="36"/>
      <c r="DE298" s="36"/>
      <c r="DF298" s="36"/>
      <c r="DG298" s="36"/>
      <c r="DH298" s="36"/>
      <c r="DI298" s="36"/>
      <c r="DJ298" s="36"/>
      <c r="DK298" s="36"/>
      <c r="DL298" s="36"/>
      <c r="DM298" s="36"/>
      <c r="DN298" s="36"/>
      <c r="DO298" s="36"/>
      <c r="DP298" s="36"/>
      <c r="DQ298" s="36"/>
      <c r="DR298" s="36"/>
      <c r="DS298" s="36"/>
      <c r="DT298" s="36"/>
      <c r="DU298" s="36"/>
      <c r="DV298" s="36"/>
      <c r="DW298" s="36"/>
      <c r="DX298" s="36"/>
      <c r="DY298" s="36"/>
    </row>
    <row r="299" spans="1:129" s="35" customFormat="1" x14ac:dyDescent="0.3">
      <c r="A299" s="35">
        <v>46092</v>
      </c>
      <c r="B299" s="35" t="s">
        <v>1072</v>
      </c>
      <c r="C299" s="15" t="s">
        <v>1408</v>
      </c>
      <c r="D299" s="1" t="s">
        <v>701</v>
      </c>
      <c r="E299" s="13">
        <v>46178</v>
      </c>
      <c r="F299" s="53">
        <f t="shared" si="12"/>
        <v>86</v>
      </c>
      <c r="G299" s="19">
        <v>-183.13317799999999</v>
      </c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  <c r="BK299" s="36"/>
      <c r="BL299" s="36"/>
      <c r="BM299" s="36"/>
      <c r="BN299" s="36"/>
      <c r="BO299" s="36"/>
      <c r="BP299" s="36"/>
      <c r="BQ299" s="36"/>
      <c r="BR299" s="36"/>
      <c r="BS299" s="36"/>
      <c r="BT299" s="36"/>
      <c r="BU299" s="36"/>
      <c r="BV299" s="36"/>
      <c r="BW299" s="36"/>
      <c r="BX299" s="36"/>
      <c r="BY299" s="36"/>
      <c r="BZ299" s="36"/>
      <c r="CA299" s="36"/>
      <c r="CB299" s="36"/>
      <c r="CC299" s="36"/>
      <c r="CD299" s="36"/>
      <c r="CE299" s="36"/>
      <c r="CF299" s="36"/>
      <c r="CG299" s="36"/>
      <c r="CH299" s="36"/>
      <c r="CI299" s="36"/>
      <c r="CJ299" s="36"/>
      <c r="CK299" s="36"/>
      <c r="CL299" s="36"/>
      <c r="CM299" s="36"/>
      <c r="CN299" s="36"/>
      <c r="CO299" s="36"/>
      <c r="CP299" s="36"/>
      <c r="CQ299" s="36"/>
      <c r="CR299" s="36"/>
      <c r="CS299" s="36"/>
      <c r="CT299" s="36"/>
      <c r="CU299" s="36"/>
      <c r="CV299" s="36"/>
      <c r="CW299" s="36"/>
      <c r="CX299" s="36"/>
      <c r="CY299" s="36"/>
      <c r="CZ299" s="36"/>
      <c r="DA299" s="36"/>
      <c r="DB299" s="36"/>
      <c r="DC299" s="36"/>
      <c r="DD299" s="36"/>
      <c r="DE299" s="36"/>
      <c r="DF299" s="36"/>
      <c r="DG299" s="36"/>
      <c r="DH299" s="36"/>
      <c r="DI299" s="36"/>
      <c r="DJ299" s="36"/>
      <c r="DK299" s="36"/>
      <c r="DL299" s="36"/>
      <c r="DM299" s="36"/>
      <c r="DN299" s="36"/>
      <c r="DO299" s="36"/>
      <c r="DP299" s="36"/>
      <c r="DQ299" s="36"/>
      <c r="DR299" s="36"/>
      <c r="DS299" s="36"/>
      <c r="DT299" s="36"/>
      <c r="DU299" s="36"/>
      <c r="DV299" s="36"/>
      <c r="DW299" s="36"/>
      <c r="DX299" s="36"/>
      <c r="DY299" s="36"/>
    </row>
    <row r="300" spans="1:129" s="35" customFormat="1" x14ac:dyDescent="0.3">
      <c r="A300" s="35">
        <v>46092</v>
      </c>
      <c r="B300" s="35" t="s">
        <v>1072</v>
      </c>
      <c r="C300" s="15" t="s">
        <v>1492</v>
      </c>
      <c r="D300" s="1" t="s">
        <v>701</v>
      </c>
      <c r="E300" s="13">
        <v>46353</v>
      </c>
      <c r="F300" s="53">
        <f t="shared" si="12"/>
        <v>261</v>
      </c>
      <c r="G300" s="19">
        <v>-1578</v>
      </c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  <c r="BK300" s="36"/>
      <c r="BL300" s="36"/>
      <c r="BM300" s="36"/>
      <c r="BN300" s="36"/>
      <c r="BO300" s="36"/>
      <c r="BP300" s="36"/>
      <c r="BQ300" s="36"/>
      <c r="BR300" s="36"/>
      <c r="BS300" s="36"/>
      <c r="BT300" s="36"/>
      <c r="BU300" s="36"/>
      <c r="BV300" s="36"/>
      <c r="BW300" s="36"/>
      <c r="BX300" s="36"/>
      <c r="BY300" s="36"/>
      <c r="BZ300" s="36"/>
      <c r="CA300" s="36"/>
      <c r="CB300" s="36"/>
      <c r="CC300" s="36"/>
      <c r="CD300" s="36"/>
      <c r="CE300" s="36"/>
      <c r="CF300" s="36"/>
      <c r="CG300" s="36"/>
      <c r="CH300" s="36"/>
      <c r="CI300" s="36"/>
      <c r="CJ300" s="36"/>
      <c r="CK300" s="36"/>
      <c r="CL300" s="36"/>
      <c r="CM300" s="36"/>
      <c r="CN300" s="36"/>
      <c r="CO300" s="36"/>
      <c r="CP300" s="36"/>
      <c r="CQ300" s="36"/>
      <c r="CR300" s="36"/>
      <c r="CS300" s="36"/>
      <c r="CT300" s="36"/>
      <c r="CU300" s="36"/>
      <c r="CV300" s="36"/>
      <c r="CW300" s="36"/>
      <c r="CX300" s="36"/>
      <c r="CY300" s="36"/>
      <c r="CZ300" s="36"/>
      <c r="DA300" s="36"/>
      <c r="DB300" s="36"/>
      <c r="DC300" s="36"/>
      <c r="DD300" s="36"/>
      <c r="DE300" s="36"/>
      <c r="DF300" s="36"/>
      <c r="DG300" s="36"/>
      <c r="DH300" s="36"/>
      <c r="DI300" s="36"/>
      <c r="DJ300" s="36"/>
      <c r="DK300" s="36"/>
      <c r="DL300" s="36"/>
      <c r="DM300" s="36"/>
      <c r="DN300" s="36"/>
      <c r="DO300" s="36"/>
      <c r="DP300" s="36"/>
      <c r="DQ300" s="36"/>
      <c r="DR300" s="36"/>
      <c r="DS300" s="36"/>
      <c r="DT300" s="36"/>
      <c r="DU300" s="36"/>
      <c r="DV300" s="36"/>
      <c r="DW300" s="36"/>
      <c r="DX300" s="36"/>
      <c r="DY300" s="36"/>
    </row>
    <row r="301" spans="1:129" s="35" customFormat="1" x14ac:dyDescent="0.3">
      <c r="A301" s="35">
        <v>46099</v>
      </c>
      <c r="B301" s="35" t="s">
        <v>1072</v>
      </c>
      <c r="C301" s="15" t="s">
        <v>1527</v>
      </c>
      <c r="D301" s="1" t="s">
        <v>701</v>
      </c>
      <c r="E301" s="13">
        <v>46374</v>
      </c>
      <c r="F301" s="53">
        <f t="shared" si="12"/>
        <v>275</v>
      </c>
      <c r="G301" s="19">
        <v>-1576.928304</v>
      </c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  <c r="BK301" s="36"/>
      <c r="BL301" s="36"/>
      <c r="BM301" s="36"/>
      <c r="BN301" s="36"/>
      <c r="BO301" s="36"/>
      <c r="BP301" s="36"/>
      <c r="BQ301" s="36"/>
      <c r="BR301" s="36"/>
      <c r="BS301" s="36"/>
      <c r="BT301" s="36"/>
      <c r="BU301" s="36"/>
      <c r="BV301" s="36"/>
      <c r="BW301" s="36"/>
      <c r="BX301" s="36"/>
      <c r="BY301" s="36"/>
      <c r="BZ301" s="36"/>
      <c r="CA301" s="36"/>
      <c r="CB301" s="36"/>
      <c r="CC301" s="36"/>
      <c r="CD301" s="36"/>
      <c r="CE301" s="36"/>
      <c r="CF301" s="36"/>
      <c r="CG301" s="36"/>
      <c r="CH301" s="36"/>
      <c r="CI301" s="36"/>
      <c r="CJ301" s="36"/>
      <c r="CK301" s="36"/>
      <c r="CL301" s="36"/>
      <c r="CM301" s="36"/>
      <c r="CN301" s="36"/>
      <c r="CO301" s="36"/>
      <c r="CP301" s="36"/>
      <c r="CQ301" s="36"/>
      <c r="CR301" s="36"/>
      <c r="CS301" s="36"/>
      <c r="CT301" s="36"/>
      <c r="CU301" s="36"/>
      <c r="CV301" s="36"/>
      <c r="CW301" s="36"/>
      <c r="CX301" s="36"/>
      <c r="CY301" s="36"/>
      <c r="CZ301" s="36"/>
      <c r="DA301" s="36"/>
      <c r="DB301" s="36"/>
      <c r="DC301" s="36"/>
      <c r="DD301" s="36"/>
      <c r="DE301" s="36"/>
      <c r="DF301" s="36"/>
      <c r="DG301" s="36"/>
      <c r="DH301" s="36"/>
      <c r="DI301" s="36"/>
      <c r="DJ301" s="36"/>
      <c r="DK301" s="36"/>
      <c r="DL301" s="36"/>
      <c r="DM301" s="36"/>
      <c r="DN301" s="36"/>
      <c r="DO301" s="36"/>
      <c r="DP301" s="36"/>
      <c r="DQ301" s="36"/>
      <c r="DR301" s="36"/>
      <c r="DS301" s="36"/>
      <c r="DT301" s="36"/>
      <c r="DU301" s="36"/>
      <c r="DV301" s="36"/>
      <c r="DW301" s="36"/>
      <c r="DX301" s="36"/>
      <c r="DY301" s="36"/>
    </row>
    <row r="302" spans="1:129" s="35" customFormat="1" x14ac:dyDescent="0.3">
      <c r="A302" s="35">
        <v>46099</v>
      </c>
      <c r="B302" s="35" t="s">
        <v>1072</v>
      </c>
      <c r="C302" s="15" t="s">
        <v>1554</v>
      </c>
      <c r="D302" s="1" t="s">
        <v>701</v>
      </c>
      <c r="E302" s="13">
        <v>46162</v>
      </c>
      <c r="F302" s="53">
        <f t="shared" si="12"/>
        <v>63</v>
      </c>
      <c r="G302" s="19">
        <v>-336.70215999999999</v>
      </c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  <c r="BK302" s="36"/>
      <c r="BL302" s="36"/>
      <c r="BM302" s="36"/>
      <c r="BN302" s="36"/>
      <c r="BO302" s="36"/>
      <c r="BP302" s="36"/>
      <c r="BQ302" s="36"/>
      <c r="BR302" s="36"/>
      <c r="BS302" s="36"/>
      <c r="BT302" s="36"/>
      <c r="BU302" s="36"/>
      <c r="BV302" s="36"/>
      <c r="BW302" s="36"/>
      <c r="BX302" s="36"/>
      <c r="BY302" s="36"/>
      <c r="BZ302" s="36"/>
      <c r="CA302" s="36"/>
      <c r="CB302" s="36"/>
      <c r="CC302" s="36"/>
      <c r="CD302" s="36"/>
      <c r="CE302" s="36"/>
      <c r="CF302" s="36"/>
      <c r="CG302" s="36"/>
      <c r="CH302" s="36"/>
      <c r="CI302" s="36"/>
      <c r="CJ302" s="36"/>
      <c r="CK302" s="36"/>
      <c r="CL302" s="36"/>
      <c r="CM302" s="36"/>
      <c r="CN302" s="36"/>
      <c r="CO302" s="36"/>
      <c r="CP302" s="36"/>
      <c r="CQ302" s="36"/>
      <c r="CR302" s="36"/>
      <c r="CS302" s="36"/>
      <c r="CT302" s="36"/>
      <c r="CU302" s="36"/>
      <c r="CV302" s="36"/>
      <c r="CW302" s="36"/>
      <c r="CX302" s="36"/>
      <c r="CY302" s="36"/>
      <c r="CZ302" s="36"/>
      <c r="DA302" s="36"/>
      <c r="DB302" s="36"/>
      <c r="DC302" s="36"/>
      <c r="DD302" s="36"/>
      <c r="DE302" s="36"/>
      <c r="DF302" s="36"/>
      <c r="DG302" s="36"/>
      <c r="DH302" s="36"/>
      <c r="DI302" s="36"/>
      <c r="DJ302" s="36"/>
      <c r="DK302" s="36"/>
      <c r="DL302" s="36"/>
      <c r="DM302" s="36"/>
      <c r="DN302" s="36"/>
      <c r="DO302" s="36"/>
      <c r="DP302" s="36"/>
      <c r="DQ302" s="36"/>
      <c r="DR302" s="36"/>
      <c r="DS302" s="36"/>
      <c r="DT302" s="36"/>
      <c r="DU302" s="36"/>
      <c r="DV302" s="36"/>
      <c r="DW302" s="36"/>
      <c r="DX302" s="36"/>
      <c r="DY302" s="36"/>
    </row>
    <row r="303" spans="1:129" s="35" customFormat="1" x14ac:dyDescent="0.3">
      <c r="A303" s="35">
        <v>46099</v>
      </c>
      <c r="B303" s="35" t="s">
        <v>1072</v>
      </c>
      <c r="C303" s="15" t="s">
        <v>1438</v>
      </c>
      <c r="D303" s="1" t="s">
        <v>701</v>
      </c>
      <c r="E303" s="13">
        <v>46269</v>
      </c>
      <c r="F303" s="53">
        <f t="shared" si="12"/>
        <v>170</v>
      </c>
      <c r="G303" s="19">
        <v>-378.98832299999998</v>
      </c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  <c r="BK303" s="36"/>
      <c r="BL303" s="36"/>
      <c r="BM303" s="36"/>
      <c r="BN303" s="36"/>
      <c r="BO303" s="36"/>
      <c r="BP303" s="36"/>
      <c r="BQ303" s="36"/>
      <c r="BR303" s="36"/>
      <c r="BS303" s="36"/>
      <c r="BT303" s="36"/>
      <c r="BU303" s="36"/>
      <c r="BV303" s="36"/>
      <c r="BW303" s="36"/>
      <c r="BX303" s="36"/>
      <c r="BY303" s="36"/>
      <c r="BZ303" s="36"/>
      <c r="CA303" s="36"/>
      <c r="CB303" s="36"/>
      <c r="CC303" s="36"/>
      <c r="CD303" s="36"/>
      <c r="CE303" s="36"/>
      <c r="CF303" s="36"/>
      <c r="CG303" s="36"/>
      <c r="CH303" s="36"/>
      <c r="CI303" s="36"/>
      <c r="CJ303" s="36"/>
      <c r="CK303" s="36"/>
      <c r="CL303" s="36"/>
      <c r="CM303" s="36"/>
      <c r="CN303" s="36"/>
      <c r="CO303" s="36"/>
      <c r="CP303" s="36"/>
      <c r="CQ303" s="36"/>
      <c r="CR303" s="36"/>
      <c r="CS303" s="36"/>
      <c r="CT303" s="36"/>
      <c r="CU303" s="36"/>
      <c r="CV303" s="36"/>
      <c r="CW303" s="36"/>
      <c r="CX303" s="36"/>
      <c r="CY303" s="36"/>
      <c r="CZ303" s="36"/>
      <c r="DA303" s="36"/>
      <c r="DB303" s="36"/>
      <c r="DC303" s="36"/>
      <c r="DD303" s="36"/>
      <c r="DE303" s="36"/>
      <c r="DF303" s="36"/>
      <c r="DG303" s="36"/>
      <c r="DH303" s="36"/>
      <c r="DI303" s="36"/>
      <c r="DJ303" s="36"/>
      <c r="DK303" s="36"/>
      <c r="DL303" s="36"/>
      <c r="DM303" s="36"/>
      <c r="DN303" s="36"/>
      <c r="DO303" s="36"/>
      <c r="DP303" s="36"/>
      <c r="DQ303" s="36"/>
      <c r="DR303" s="36"/>
      <c r="DS303" s="36"/>
      <c r="DT303" s="36"/>
      <c r="DU303" s="36"/>
      <c r="DV303" s="36"/>
      <c r="DW303" s="36"/>
      <c r="DX303" s="36"/>
      <c r="DY303" s="36"/>
    </row>
    <row r="304" spans="1:129" s="35" customFormat="1" x14ac:dyDescent="0.3">
      <c r="A304" s="35">
        <v>46099</v>
      </c>
      <c r="B304" s="35" t="s">
        <v>1072</v>
      </c>
      <c r="C304" s="15" t="s">
        <v>1492</v>
      </c>
      <c r="D304" s="1" t="s">
        <v>701</v>
      </c>
      <c r="E304" s="13">
        <v>46353</v>
      </c>
      <c r="F304" s="53">
        <f t="shared" si="12"/>
        <v>254</v>
      </c>
      <c r="G304" s="19">
        <v>-844.82140000000004</v>
      </c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  <c r="BK304" s="36"/>
      <c r="BL304" s="36"/>
      <c r="BM304" s="36"/>
      <c r="BN304" s="36"/>
      <c r="BO304" s="36"/>
      <c r="BP304" s="36"/>
      <c r="BQ304" s="36"/>
      <c r="BR304" s="36"/>
      <c r="BS304" s="36"/>
      <c r="BT304" s="36"/>
      <c r="BU304" s="36"/>
      <c r="BV304" s="36"/>
      <c r="BW304" s="36"/>
      <c r="BX304" s="36"/>
      <c r="BY304" s="36"/>
      <c r="BZ304" s="36"/>
      <c r="CA304" s="36"/>
      <c r="CB304" s="36"/>
      <c r="CC304" s="36"/>
      <c r="CD304" s="36"/>
      <c r="CE304" s="36"/>
      <c r="CF304" s="36"/>
      <c r="CG304" s="36"/>
      <c r="CH304" s="36"/>
      <c r="CI304" s="36"/>
      <c r="CJ304" s="36"/>
      <c r="CK304" s="36"/>
      <c r="CL304" s="36"/>
      <c r="CM304" s="36"/>
      <c r="CN304" s="36"/>
      <c r="CO304" s="36"/>
      <c r="CP304" s="36"/>
      <c r="CQ304" s="36"/>
      <c r="CR304" s="36"/>
      <c r="CS304" s="36"/>
      <c r="CT304" s="36"/>
      <c r="CU304" s="36"/>
      <c r="CV304" s="36"/>
      <c r="CW304" s="36"/>
      <c r="CX304" s="36"/>
      <c r="CY304" s="36"/>
      <c r="CZ304" s="36"/>
      <c r="DA304" s="36"/>
      <c r="DB304" s="36"/>
      <c r="DC304" s="36"/>
      <c r="DD304" s="36"/>
      <c r="DE304" s="36"/>
      <c r="DF304" s="36"/>
      <c r="DG304" s="36"/>
      <c r="DH304" s="36"/>
      <c r="DI304" s="36"/>
      <c r="DJ304" s="36"/>
      <c r="DK304" s="36"/>
      <c r="DL304" s="36"/>
      <c r="DM304" s="36"/>
      <c r="DN304" s="36"/>
      <c r="DO304" s="36"/>
      <c r="DP304" s="36"/>
      <c r="DQ304" s="36"/>
      <c r="DR304" s="36"/>
      <c r="DS304" s="36"/>
      <c r="DT304" s="36"/>
      <c r="DU304" s="36"/>
      <c r="DV304" s="36"/>
      <c r="DW304" s="36"/>
      <c r="DX304" s="36"/>
      <c r="DY304" s="36"/>
    </row>
    <row r="305" spans="1:1023 1025:2048 2050:6143 6145:7168 7170:11263 11265:12288 12290:16383" s="35" customFormat="1" x14ac:dyDescent="0.3">
      <c r="A305" s="35">
        <v>46099</v>
      </c>
      <c r="B305" s="35" t="s">
        <v>1072</v>
      </c>
      <c r="C305" s="15" t="s">
        <v>1555</v>
      </c>
      <c r="D305" s="1" t="s">
        <v>701</v>
      </c>
      <c r="E305" s="13">
        <v>46111</v>
      </c>
      <c r="F305" s="53">
        <f t="shared" si="12"/>
        <v>12</v>
      </c>
      <c r="G305" s="19">
        <v>-119.47042999999999</v>
      </c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  <c r="BK305" s="36"/>
      <c r="BL305" s="36"/>
      <c r="BM305" s="36"/>
      <c r="BN305" s="36"/>
      <c r="BO305" s="36"/>
      <c r="BP305" s="36"/>
      <c r="BQ305" s="36"/>
      <c r="BR305" s="36"/>
      <c r="BS305" s="36"/>
      <c r="BT305" s="36"/>
      <c r="BU305" s="36"/>
      <c r="BV305" s="36"/>
      <c r="BW305" s="36"/>
      <c r="BX305" s="36"/>
      <c r="BY305" s="36"/>
      <c r="BZ305" s="36"/>
      <c r="CA305" s="36"/>
      <c r="CB305" s="36"/>
      <c r="CC305" s="36"/>
      <c r="CD305" s="36"/>
      <c r="CE305" s="36"/>
      <c r="CF305" s="36"/>
      <c r="CG305" s="36"/>
      <c r="CH305" s="36"/>
      <c r="CI305" s="36"/>
      <c r="CJ305" s="36"/>
      <c r="CK305" s="36"/>
      <c r="CL305" s="36"/>
      <c r="CM305" s="36"/>
      <c r="CN305" s="36"/>
      <c r="CO305" s="36"/>
      <c r="CP305" s="36"/>
      <c r="CQ305" s="36"/>
      <c r="CR305" s="36"/>
      <c r="CS305" s="36"/>
      <c r="CT305" s="36"/>
      <c r="CU305" s="36"/>
      <c r="CV305" s="36"/>
      <c r="CW305" s="36"/>
      <c r="CX305" s="36"/>
      <c r="CY305" s="36"/>
      <c r="CZ305" s="36"/>
      <c r="DA305" s="36"/>
      <c r="DB305" s="36"/>
      <c r="DC305" s="36"/>
      <c r="DD305" s="36"/>
      <c r="DE305" s="36"/>
      <c r="DF305" s="36"/>
      <c r="DG305" s="36"/>
      <c r="DH305" s="36"/>
      <c r="DI305" s="36"/>
      <c r="DJ305" s="36"/>
      <c r="DK305" s="36"/>
      <c r="DL305" s="36"/>
      <c r="DM305" s="36"/>
      <c r="DN305" s="36"/>
      <c r="DO305" s="36"/>
      <c r="DP305" s="36"/>
      <c r="DQ305" s="36"/>
      <c r="DR305" s="36"/>
      <c r="DS305" s="36"/>
      <c r="DT305" s="36"/>
      <c r="DU305" s="36"/>
      <c r="DV305" s="36"/>
      <c r="DW305" s="36"/>
      <c r="DX305" s="36"/>
      <c r="DY305" s="36"/>
    </row>
    <row r="306" spans="1:1023 1025:2048 2050:6143 6145:7168 7170:11263 11265:12288 12290:16383" s="35" customFormat="1" x14ac:dyDescent="0.3">
      <c r="A306" s="35">
        <v>46099</v>
      </c>
      <c r="B306" s="35" t="s">
        <v>1072</v>
      </c>
      <c r="C306" s="15" t="s">
        <v>1477</v>
      </c>
      <c r="D306" s="1" t="s">
        <v>701</v>
      </c>
      <c r="E306" s="13">
        <v>46108</v>
      </c>
      <c r="F306" s="53">
        <f t="shared" si="12"/>
        <v>9</v>
      </c>
      <c r="G306" s="19">
        <v>-0.401285</v>
      </c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  <c r="BK306" s="36"/>
      <c r="BL306" s="36"/>
      <c r="BM306" s="36"/>
      <c r="BN306" s="36"/>
      <c r="BO306" s="36"/>
      <c r="BP306" s="36"/>
      <c r="BQ306" s="36"/>
      <c r="BR306" s="36"/>
      <c r="BS306" s="36"/>
      <c r="BT306" s="36"/>
      <c r="BU306" s="36"/>
      <c r="BV306" s="36"/>
      <c r="BW306" s="36"/>
      <c r="BX306" s="36"/>
      <c r="BY306" s="36"/>
      <c r="BZ306" s="36"/>
      <c r="CA306" s="36"/>
      <c r="CB306" s="36"/>
      <c r="CC306" s="36"/>
      <c r="CD306" s="36"/>
      <c r="CE306" s="36"/>
      <c r="CF306" s="36"/>
      <c r="CG306" s="36"/>
      <c r="CH306" s="36"/>
      <c r="CI306" s="36"/>
      <c r="CJ306" s="36"/>
      <c r="CK306" s="36"/>
      <c r="CL306" s="36"/>
      <c r="CM306" s="36"/>
      <c r="CN306" s="36"/>
      <c r="CO306" s="36"/>
      <c r="CP306" s="36"/>
      <c r="CQ306" s="36"/>
      <c r="CR306" s="36"/>
      <c r="CS306" s="36"/>
      <c r="CT306" s="36"/>
      <c r="CU306" s="36"/>
      <c r="CV306" s="36"/>
      <c r="CW306" s="36"/>
      <c r="CX306" s="36"/>
      <c r="CY306" s="36"/>
      <c r="CZ306" s="36"/>
      <c r="DA306" s="36"/>
      <c r="DB306" s="36"/>
      <c r="DC306" s="36"/>
      <c r="DD306" s="36"/>
      <c r="DE306" s="36"/>
      <c r="DF306" s="36"/>
      <c r="DG306" s="36"/>
      <c r="DH306" s="36"/>
      <c r="DI306" s="36"/>
      <c r="DJ306" s="36"/>
      <c r="DK306" s="36"/>
      <c r="DL306" s="36"/>
      <c r="DM306" s="36"/>
      <c r="DN306" s="36"/>
      <c r="DO306" s="36"/>
      <c r="DP306" s="36"/>
      <c r="DQ306" s="36"/>
      <c r="DR306" s="36"/>
      <c r="DS306" s="36"/>
      <c r="DT306" s="36"/>
      <c r="DU306" s="36"/>
      <c r="DV306" s="36"/>
      <c r="DW306" s="36"/>
      <c r="DX306" s="36"/>
      <c r="DY306" s="36"/>
    </row>
    <row r="307" spans="1:1023 1025:2048 2050:6143 6145:7168 7170:11263 11265:12288 12290:16383" s="35" customFormat="1" x14ac:dyDescent="0.3">
      <c r="A307" s="35">
        <v>46099</v>
      </c>
      <c r="B307" s="35" t="s">
        <v>1072</v>
      </c>
      <c r="C307" s="15" t="s">
        <v>1556</v>
      </c>
      <c r="D307" s="1" t="s">
        <v>701</v>
      </c>
      <c r="E307" s="13">
        <v>46106</v>
      </c>
      <c r="F307" s="53">
        <f t="shared" si="12"/>
        <v>7</v>
      </c>
      <c r="G307" s="19">
        <v>-0.33428099999999999</v>
      </c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  <c r="BK307" s="36"/>
      <c r="BL307" s="36"/>
      <c r="BM307" s="36"/>
      <c r="BN307" s="36"/>
      <c r="BO307" s="36"/>
      <c r="BP307" s="36"/>
      <c r="BQ307" s="36"/>
      <c r="BR307" s="36"/>
      <c r="BS307" s="36"/>
      <c r="BT307" s="36"/>
      <c r="BU307" s="36"/>
      <c r="BV307" s="36"/>
      <c r="BW307" s="36"/>
      <c r="BX307" s="36"/>
      <c r="BY307" s="36"/>
      <c r="BZ307" s="36"/>
      <c r="CA307" s="36"/>
      <c r="CB307" s="36"/>
      <c r="CC307" s="36"/>
      <c r="CD307" s="36"/>
      <c r="CE307" s="36"/>
      <c r="CF307" s="36"/>
      <c r="CG307" s="36"/>
      <c r="CH307" s="36"/>
      <c r="CI307" s="36"/>
      <c r="CJ307" s="36"/>
      <c r="CK307" s="36"/>
      <c r="CL307" s="36"/>
      <c r="CM307" s="36"/>
      <c r="CN307" s="36"/>
      <c r="CO307" s="36"/>
      <c r="CP307" s="36"/>
      <c r="CQ307" s="36"/>
      <c r="CR307" s="36"/>
      <c r="CS307" s="36"/>
      <c r="CT307" s="36"/>
      <c r="CU307" s="36"/>
      <c r="CV307" s="36"/>
      <c r="CW307" s="36"/>
      <c r="CX307" s="36"/>
      <c r="CY307" s="36"/>
      <c r="CZ307" s="36"/>
      <c r="DA307" s="36"/>
      <c r="DB307" s="36"/>
      <c r="DC307" s="36"/>
      <c r="DD307" s="36"/>
      <c r="DE307" s="36"/>
      <c r="DF307" s="36"/>
      <c r="DG307" s="36"/>
      <c r="DH307" s="36"/>
      <c r="DI307" s="36"/>
      <c r="DJ307" s="36"/>
      <c r="DK307" s="36"/>
      <c r="DL307" s="36"/>
      <c r="DM307" s="36"/>
      <c r="DN307" s="36"/>
      <c r="DO307" s="36"/>
      <c r="DP307" s="36"/>
      <c r="DQ307" s="36"/>
      <c r="DR307" s="36"/>
      <c r="DS307" s="36"/>
      <c r="DT307" s="36"/>
      <c r="DU307" s="36"/>
      <c r="DV307" s="36"/>
      <c r="DW307" s="36"/>
      <c r="DX307" s="36"/>
      <c r="DY307" s="36"/>
    </row>
    <row r="308" spans="1:1023 1025:2048 2050:6143 6145:7168 7170:11263 11265:12288 12290:16383" x14ac:dyDescent="0.3">
      <c r="A308" s="35">
        <v>46106</v>
      </c>
      <c r="B308" s="35" t="s">
        <v>1072</v>
      </c>
      <c r="C308" s="15" t="s">
        <v>1492</v>
      </c>
      <c r="D308" s="1" t="s">
        <v>701</v>
      </c>
      <c r="E308" s="13">
        <v>46353</v>
      </c>
      <c r="F308" s="53">
        <f t="shared" si="12"/>
        <v>247</v>
      </c>
      <c r="G308" s="19">
        <v>-1239.2569779999999</v>
      </c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  <c r="AL308" s="36"/>
      <c r="AM308" s="36"/>
      <c r="AN308" s="36"/>
      <c r="AO308" s="36"/>
      <c r="AP308" s="36"/>
      <c r="AQ308" s="36"/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  <c r="BK308" s="36"/>
      <c r="BL308" s="36"/>
      <c r="BM308" s="36"/>
      <c r="BN308" s="36"/>
      <c r="BO308" s="36"/>
      <c r="BP308" s="36"/>
      <c r="BQ308" s="36"/>
      <c r="BR308" s="36"/>
      <c r="BS308" s="36"/>
      <c r="BT308" s="36"/>
      <c r="BU308" s="36"/>
      <c r="BV308" s="36"/>
      <c r="BW308" s="36"/>
      <c r="BX308" s="36"/>
      <c r="BY308" s="36"/>
      <c r="BZ308" s="36"/>
      <c r="CA308" s="36"/>
      <c r="CB308" s="36"/>
      <c r="CC308" s="36"/>
      <c r="CD308" s="36"/>
      <c r="CE308" s="36"/>
      <c r="CF308" s="36"/>
      <c r="CG308" s="36"/>
      <c r="CH308" s="36"/>
      <c r="CI308" s="36"/>
      <c r="CJ308" s="36"/>
      <c r="CK308" s="36"/>
      <c r="CL308" s="36"/>
      <c r="CM308" s="36"/>
      <c r="CN308" s="36"/>
      <c r="CO308" s="36"/>
      <c r="CP308" s="36"/>
      <c r="CQ308" s="36"/>
      <c r="CR308" s="36"/>
      <c r="CS308" s="36"/>
      <c r="CT308" s="36"/>
      <c r="CU308" s="36"/>
      <c r="CV308" s="36"/>
      <c r="CW308" s="36"/>
      <c r="CX308" s="36"/>
      <c r="CY308" s="36"/>
      <c r="CZ308" s="36"/>
      <c r="DA308" s="36"/>
      <c r="DB308" s="36"/>
      <c r="DC308" s="36"/>
      <c r="DD308" s="36"/>
      <c r="DE308" s="36"/>
      <c r="DF308" s="36"/>
      <c r="DG308" s="36"/>
      <c r="DH308" s="36"/>
      <c r="DI308" s="36"/>
      <c r="DJ308" s="36"/>
      <c r="DK308" s="36"/>
      <c r="DL308" s="36"/>
      <c r="DM308" s="36"/>
      <c r="DN308" s="36"/>
      <c r="DO308" s="36"/>
      <c r="DP308" s="36"/>
      <c r="DQ308" s="36"/>
      <c r="DR308" s="36"/>
      <c r="DS308" s="36"/>
      <c r="DT308" s="36"/>
      <c r="DU308" s="36"/>
      <c r="DV308" s="36"/>
      <c r="DW308" s="36"/>
      <c r="DX308" s="36"/>
      <c r="DY308" s="36"/>
      <c r="DZ308" s="36"/>
      <c r="EA308" s="36"/>
      <c r="EB308" s="36"/>
      <c r="EC308" s="36"/>
      <c r="ED308" s="36"/>
      <c r="EE308" s="36"/>
      <c r="EF308" s="36"/>
      <c r="EG308" s="36"/>
      <c r="EH308" s="36"/>
      <c r="EI308" s="36"/>
      <c r="EJ308" s="36"/>
      <c r="EK308" s="36"/>
      <c r="EL308" s="36"/>
      <c r="EM308" s="36"/>
      <c r="EN308" s="36"/>
      <c r="EO308" s="36"/>
      <c r="EP308" s="36"/>
      <c r="EQ308" s="36"/>
      <c r="ER308" s="36"/>
      <c r="ES308" s="36"/>
      <c r="ET308" s="36"/>
      <c r="EU308" s="36"/>
      <c r="EV308" s="36"/>
      <c r="EW308" s="36"/>
      <c r="EX308" s="36"/>
      <c r="EY308" s="36"/>
      <c r="EZ308" s="36"/>
      <c r="FA308" s="36"/>
      <c r="FB308" s="36"/>
      <c r="FC308" s="36"/>
      <c r="FD308" s="36"/>
      <c r="FE308" s="36"/>
      <c r="FF308" s="36"/>
      <c r="FG308" s="36"/>
      <c r="FH308" s="36"/>
      <c r="FI308" s="36"/>
      <c r="FJ308" s="36"/>
      <c r="FK308" s="36"/>
      <c r="FL308" s="36"/>
      <c r="FM308" s="36"/>
      <c r="FN308" s="36"/>
      <c r="FO308" s="36"/>
      <c r="FP308" s="36"/>
      <c r="FQ308" s="36"/>
      <c r="FR308" s="36"/>
      <c r="FS308" s="36"/>
      <c r="FT308" s="36"/>
      <c r="FU308" s="36"/>
      <c r="FV308" s="36"/>
      <c r="FW308" s="36"/>
      <c r="FX308" s="36"/>
      <c r="FY308" s="36"/>
      <c r="FZ308" s="36"/>
      <c r="GA308" s="36"/>
      <c r="GB308" s="36"/>
      <c r="GC308" s="36"/>
      <c r="GD308" s="36"/>
      <c r="GE308" s="36"/>
      <c r="GF308" s="36"/>
      <c r="GG308" s="36"/>
      <c r="GH308" s="36"/>
      <c r="GI308" s="36"/>
      <c r="GJ308" s="36"/>
      <c r="GK308" s="36"/>
      <c r="GL308" s="36"/>
      <c r="GM308" s="36"/>
      <c r="GN308" s="36"/>
      <c r="GO308" s="36"/>
      <c r="GP308" s="36"/>
      <c r="GQ308" s="36"/>
      <c r="GR308" s="36"/>
      <c r="GS308" s="36"/>
      <c r="GT308" s="36"/>
      <c r="GU308" s="36"/>
      <c r="GV308" s="36"/>
      <c r="GW308" s="36"/>
      <c r="GX308" s="36"/>
      <c r="GY308" s="36"/>
      <c r="GZ308" s="36"/>
      <c r="HA308" s="36"/>
      <c r="HB308" s="36"/>
      <c r="HC308" s="36"/>
      <c r="HD308" s="36"/>
      <c r="HE308" s="36"/>
      <c r="HF308" s="36"/>
      <c r="HG308" s="36"/>
      <c r="HH308" s="36"/>
      <c r="HI308" s="36"/>
      <c r="HJ308" s="36"/>
      <c r="HK308" s="36"/>
      <c r="HL308" s="36"/>
      <c r="HM308" s="36"/>
      <c r="HN308" s="36"/>
      <c r="HO308" s="36"/>
      <c r="HP308" s="36"/>
      <c r="HQ308" s="36"/>
      <c r="HR308" s="36"/>
      <c r="HS308" s="36"/>
      <c r="HT308" s="36"/>
      <c r="HU308" s="36"/>
      <c r="HV308" s="36"/>
      <c r="HW308" s="36"/>
      <c r="HX308" s="36"/>
      <c r="HY308" s="36"/>
      <c r="HZ308" s="36"/>
      <c r="IA308" s="36"/>
      <c r="IB308" s="36"/>
      <c r="IC308" s="36"/>
      <c r="ID308" s="36"/>
      <c r="IE308" s="36"/>
      <c r="IF308" s="36"/>
      <c r="IG308" s="36"/>
      <c r="IH308" s="36"/>
      <c r="II308" s="36"/>
      <c r="IJ308" s="36"/>
      <c r="IK308" s="36"/>
      <c r="IL308" s="36"/>
      <c r="IM308" s="36"/>
      <c r="IN308" s="36"/>
      <c r="IO308" s="36"/>
      <c r="IP308" s="36"/>
      <c r="IQ308" s="36"/>
      <c r="IR308" s="36"/>
      <c r="IS308" s="36"/>
      <c r="IT308" s="36"/>
      <c r="IU308" s="36"/>
      <c r="IV308" s="36"/>
      <c r="IW308" s="36"/>
      <c r="IX308" s="36"/>
      <c r="IY308" s="36"/>
      <c r="IZ308" s="36"/>
      <c r="JA308" s="36"/>
      <c r="JB308" s="36"/>
      <c r="JC308" s="36"/>
      <c r="JD308" s="36"/>
      <c r="JE308" s="36"/>
      <c r="JF308" s="36"/>
      <c r="JG308" s="36"/>
      <c r="JH308" s="36"/>
      <c r="JI308" s="36"/>
      <c r="JJ308" s="36"/>
      <c r="JK308" s="36"/>
      <c r="JL308" s="36"/>
      <c r="JM308" s="36"/>
      <c r="JN308" s="36"/>
      <c r="JO308" s="36"/>
      <c r="JP308" s="36"/>
      <c r="JQ308" s="36"/>
      <c r="JR308" s="36"/>
      <c r="JS308" s="36"/>
      <c r="JT308" s="36"/>
      <c r="JU308" s="36"/>
      <c r="JV308" s="36"/>
      <c r="JW308" s="36"/>
      <c r="JX308" s="36"/>
      <c r="JY308" s="36"/>
      <c r="JZ308" s="36"/>
      <c r="KA308" s="36"/>
      <c r="KB308" s="36"/>
      <c r="KC308" s="36"/>
      <c r="KD308" s="36"/>
      <c r="KE308" s="36"/>
      <c r="KF308" s="36"/>
      <c r="KG308" s="36"/>
      <c r="KH308" s="36"/>
      <c r="KI308" s="36"/>
      <c r="KJ308" s="36"/>
      <c r="KK308" s="36"/>
      <c r="KL308" s="36"/>
      <c r="KM308" s="36"/>
      <c r="KN308" s="36"/>
      <c r="KO308" s="36"/>
      <c r="KP308" s="36"/>
      <c r="KQ308" s="36"/>
      <c r="KR308" s="36"/>
      <c r="KS308" s="36"/>
      <c r="KT308" s="36"/>
      <c r="KU308" s="36"/>
      <c r="KV308" s="36"/>
      <c r="KW308" s="36"/>
      <c r="KX308" s="36"/>
      <c r="KY308" s="36"/>
      <c r="KZ308" s="36"/>
      <c r="LA308" s="36"/>
      <c r="LB308" s="36"/>
      <c r="LC308" s="36"/>
      <c r="LD308" s="36"/>
      <c r="LE308" s="36"/>
      <c r="LF308" s="36"/>
      <c r="LG308" s="36"/>
      <c r="LH308" s="36"/>
      <c r="LI308" s="36"/>
      <c r="LJ308" s="36"/>
      <c r="LK308" s="36"/>
      <c r="LL308" s="36"/>
      <c r="LM308" s="36"/>
      <c r="LN308" s="36"/>
      <c r="LO308" s="36"/>
      <c r="LP308" s="36"/>
      <c r="LQ308" s="36"/>
      <c r="LR308" s="36"/>
      <c r="LS308" s="36"/>
      <c r="LT308" s="36"/>
      <c r="LU308" s="36"/>
      <c r="LV308" s="36"/>
      <c r="LW308" s="36"/>
      <c r="LX308" s="36"/>
      <c r="LY308" s="36"/>
      <c r="LZ308" s="36"/>
      <c r="MA308" s="36"/>
      <c r="MB308" s="36"/>
      <c r="MC308" s="36"/>
      <c r="MD308" s="36"/>
      <c r="ME308" s="36"/>
      <c r="MF308" s="36"/>
      <c r="MG308" s="36"/>
      <c r="MH308" s="36"/>
      <c r="MI308" s="36"/>
      <c r="MJ308" s="36"/>
      <c r="MK308" s="36"/>
      <c r="ML308" s="36"/>
      <c r="MM308" s="36"/>
      <c r="MN308" s="36"/>
      <c r="MO308" s="36"/>
      <c r="MP308" s="36"/>
      <c r="MQ308" s="36"/>
      <c r="MR308" s="36"/>
      <c r="MS308" s="36"/>
      <c r="MT308" s="36"/>
      <c r="MU308" s="36"/>
      <c r="MV308" s="36"/>
      <c r="MW308" s="36"/>
      <c r="MX308" s="36"/>
      <c r="MY308" s="36"/>
      <c r="MZ308" s="36"/>
      <c r="NA308" s="36"/>
      <c r="NB308" s="36"/>
      <c r="NC308" s="36"/>
      <c r="ND308" s="36"/>
      <c r="NE308" s="36"/>
      <c r="NF308" s="36"/>
      <c r="NG308" s="36"/>
      <c r="NH308" s="36"/>
      <c r="NI308" s="36"/>
      <c r="NJ308" s="36"/>
      <c r="NK308" s="36"/>
      <c r="NL308" s="36"/>
      <c r="NM308" s="36"/>
      <c r="NN308" s="36"/>
      <c r="NO308" s="36"/>
      <c r="NP308" s="36"/>
      <c r="NQ308" s="36"/>
      <c r="NR308" s="36"/>
      <c r="NS308" s="36"/>
      <c r="NT308" s="36"/>
      <c r="NU308" s="36"/>
      <c r="NV308" s="36"/>
      <c r="NW308" s="36"/>
      <c r="NX308" s="36"/>
      <c r="NY308" s="36"/>
      <c r="NZ308" s="36"/>
      <c r="OA308" s="36"/>
      <c r="OB308" s="36"/>
      <c r="OC308" s="36"/>
      <c r="OD308" s="36"/>
      <c r="OE308" s="36"/>
      <c r="OF308" s="36"/>
      <c r="OG308" s="36"/>
      <c r="OH308" s="36"/>
      <c r="OI308" s="36"/>
      <c r="OJ308" s="36"/>
      <c r="OK308" s="36"/>
      <c r="OL308" s="36"/>
      <c r="OM308" s="36"/>
      <c r="ON308" s="36"/>
      <c r="OO308" s="36"/>
      <c r="OP308" s="36"/>
      <c r="OQ308" s="36"/>
      <c r="OR308" s="36"/>
      <c r="OS308" s="36"/>
      <c r="OT308" s="36"/>
      <c r="OU308" s="36"/>
      <c r="OV308" s="36"/>
      <c r="OW308" s="36"/>
      <c r="OX308" s="36"/>
      <c r="OY308" s="36"/>
      <c r="OZ308" s="36"/>
      <c r="PA308" s="36"/>
      <c r="PB308" s="36"/>
      <c r="PC308" s="36"/>
      <c r="PD308" s="36"/>
      <c r="PE308" s="36"/>
      <c r="PF308" s="36"/>
      <c r="PG308" s="36"/>
      <c r="PH308" s="36"/>
      <c r="PI308" s="36"/>
      <c r="PJ308" s="36"/>
      <c r="PK308" s="36"/>
      <c r="PL308" s="36"/>
      <c r="PM308" s="36"/>
      <c r="PN308" s="36"/>
      <c r="PO308" s="36"/>
      <c r="PP308" s="36"/>
      <c r="PQ308" s="36"/>
      <c r="PR308" s="36"/>
      <c r="PS308" s="36"/>
      <c r="PT308" s="36"/>
      <c r="PU308" s="36"/>
      <c r="PV308" s="36"/>
      <c r="PW308" s="36"/>
      <c r="PX308" s="36"/>
      <c r="PY308" s="36"/>
      <c r="PZ308" s="36"/>
      <c r="QA308" s="36"/>
      <c r="QB308" s="36"/>
      <c r="QC308" s="36"/>
      <c r="QD308" s="36"/>
      <c r="QE308" s="36"/>
      <c r="QF308" s="36"/>
      <c r="QG308" s="36"/>
      <c r="QH308" s="36"/>
      <c r="QI308" s="36"/>
      <c r="QJ308" s="36"/>
      <c r="QK308" s="36"/>
      <c r="QL308" s="36"/>
      <c r="QM308" s="36"/>
      <c r="QN308" s="36"/>
      <c r="QO308" s="36"/>
      <c r="QP308" s="36"/>
      <c r="QQ308" s="36"/>
      <c r="QR308" s="36"/>
      <c r="QS308" s="36"/>
      <c r="QT308" s="36"/>
      <c r="QU308" s="36"/>
      <c r="QV308" s="36"/>
      <c r="QW308" s="36"/>
      <c r="QX308" s="36"/>
      <c r="QY308" s="36"/>
      <c r="QZ308" s="36"/>
      <c r="RA308" s="36"/>
      <c r="RB308" s="36"/>
      <c r="RC308" s="36"/>
      <c r="RD308" s="36"/>
      <c r="RE308" s="36"/>
      <c r="RF308" s="36"/>
      <c r="RG308" s="36"/>
      <c r="RH308" s="36"/>
      <c r="RI308" s="36"/>
      <c r="RJ308" s="36"/>
      <c r="RK308" s="36"/>
      <c r="RL308" s="36"/>
      <c r="RM308" s="36"/>
      <c r="RN308" s="36"/>
      <c r="RO308" s="36"/>
      <c r="RP308" s="36"/>
      <c r="RQ308" s="36"/>
      <c r="RR308" s="36"/>
      <c r="RS308" s="36"/>
      <c r="RT308" s="36"/>
      <c r="RU308" s="36"/>
      <c r="RV308" s="36"/>
      <c r="RW308" s="36"/>
      <c r="RX308" s="36"/>
      <c r="RY308" s="36"/>
      <c r="RZ308" s="36"/>
      <c r="SA308" s="36"/>
      <c r="SB308" s="36"/>
      <c r="SC308" s="36"/>
      <c r="SD308" s="36"/>
      <c r="SE308" s="36"/>
      <c r="SF308" s="36"/>
      <c r="SG308" s="36"/>
      <c r="SH308" s="36"/>
      <c r="SI308" s="36"/>
      <c r="SJ308" s="36"/>
      <c r="SK308" s="36"/>
      <c r="SL308" s="36"/>
      <c r="SM308" s="36"/>
      <c r="SN308" s="36"/>
      <c r="SO308" s="36"/>
      <c r="SP308" s="36"/>
      <c r="SQ308" s="36"/>
      <c r="SR308" s="36"/>
      <c r="SS308" s="36"/>
      <c r="ST308" s="36"/>
      <c r="SU308" s="36"/>
      <c r="SV308" s="36"/>
      <c r="SW308" s="36"/>
      <c r="SX308" s="36"/>
      <c r="SY308" s="36"/>
      <c r="SZ308" s="36"/>
      <c r="TA308" s="36"/>
      <c r="TB308" s="36"/>
      <c r="TC308" s="36"/>
      <c r="TD308" s="36"/>
      <c r="TE308" s="36"/>
      <c r="TF308" s="36"/>
      <c r="TG308" s="36"/>
      <c r="TH308" s="36"/>
      <c r="TI308" s="36"/>
      <c r="TJ308" s="36"/>
      <c r="TK308" s="36"/>
      <c r="TL308" s="36"/>
      <c r="TM308" s="36"/>
      <c r="TN308" s="36"/>
      <c r="TO308" s="36"/>
      <c r="TP308" s="36"/>
      <c r="TQ308" s="36"/>
      <c r="TR308" s="36"/>
      <c r="TS308" s="36"/>
      <c r="TT308" s="36"/>
      <c r="TU308" s="36"/>
      <c r="TV308" s="36"/>
      <c r="TW308" s="36"/>
      <c r="TX308" s="36"/>
      <c r="TY308" s="36"/>
      <c r="TZ308" s="36"/>
      <c r="UA308" s="36"/>
      <c r="UB308" s="36"/>
      <c r="UC308" s="36"/>
      <c r="UD308" s="36"/>
      <c r="UE308" s="36"/>
      <c r="UF308" s="36"/>
      <c r="UG308" s="36"/>
      <c r="UH308" s="36"/>
      <c r="UI308" s="36"/>
      <c r="UJ308" s="36"/>
      <c r="UK308" s="36"/>
      <c r="UL308" s="36"/>
      <c r="UM308" s="36"/>
      <c r="UN308" s="36"/>
      <c r="UO308" s="36"/>
      <c r="UP308" s="36"/>
      <c r="UQ308" s="36"/>
      <c r="UR308" s="36"/>
      <c r="US308" s="36"/>
      <c r="UT308" s="36"/>
      <c r="UU308" s="36"/>
      <c r="UV308" s="36"/>
      <c r="UW308" s="36"/>
      <c r="UX308" s="36"/>
      <c r="UY308" s="36"/>
      <c r="UZ308" s="36"/>
      <c r="VA308" s="36"/>
      <c r="VB308" s="36"/>
      <c r="VC308" s="36"/>
      <c r="VD308" s="36"/>
      <c r="VE308" s="36"/>
      <c r="VF308" s="36"/>
      <c r="VG308" s="36"/>
      <c r="VH308" s="36"/>
      <c r="VI308" s="36"/>
      <c r="VJ308" s="36"/>
      <c r="VK308" s="36"/>
      <c r="VL308" s="36"/>
      <c r="VM308" s="36"/>
      <c r="VN308" s="36"/>
      <c r="VO308" s="36"/>
      <c r="VP308" s="36"/>
      <c r="VQ308" s="36"/>
      <c r="VR308" s="36"/>
      <c r="VS308" s="36"/>
      <c r="VT308" s="36"/>
      <c r="VU308" s="36"/>
      <c r="VV308" s="36"/>
      <c r="VW308" s="36"/>
      <c r="VX308" s="36"/>
      <c r="VY308" s="36"/>
      <c r="VZ308" s="36"/>
      <c r="WA308" s="36"/>
      <c r="WB308" s="36"/>
      <c r="WC308" s="36"/>
      <c r="WD308" s="36"/>
      <c r="WE308" s="36"/>
      <c r="WF308" s="36"/>
      <c r="WG308" s="36"/>
      <c r="WH308" s="36"/>
      <c r="WI308" s="36"/>
      <c r="WJ308" s="36"/>
      <c r="WK308" s="36"/>
      <c r="WL308" s="36"/>
      <c r="WM308" s="36"/>
      <c r="WN308" s="36"/>
      <c r="WO308" s="36"/>
      <c r="WP308" s="36"/>
      <c r="WQ308" s="36"/>
      <c r="WR308" s="36"/>
      <c r="WS308" s="36"/>
      <c r="WT308" s="36"/>
      <c r="WU308" s="36"/>
      <c r="WV308" s="36"/>
      <c r="WW308" s="36"/>
      <c r="WX308" s="36"/>
      <c r="WY308" s="36"/>
      <c r="WZ308" s="36"/>
      <c r="XA308" s="36"/>
      <c r="XB308" s="36"/>
      <c r="XC308" s="36"/>
      <c r="XD308" s="36"/>
      <c r="XE308" s="36"/>
      <c r="XF308" s="36"/>
      <c r="XG308" s="36"/>
      <c r="XH308" s="36"/>
      <c r="XI308" s="36"/>
      <c r="XJ308" s="36"/>
      <c r="XK308" s="36"/>
      <c r="XL308" s="36"/>
      <c r="XM308" s="36"/>
      <c r="XN308" s="36"/>
      <c r="XO308" s="36"/>
      <c r="XP308" s="36"/>
      <c r="XQ308" s="36"/>
      <c r="XR308" s="36"/>
      <c r="XS308" s="36"/>
      <c r="XT308" s="36"/>
      <c r="XU308" s="36"/>
      <c r="XV308" s="36"/>
      <c r="XW308" s="36"/>
      <c r="XX308" s="36"/>
      <c r="XY308" s="36"/>
      <c r="XZ308" s="36"/>
      <c r="YA308" s="36"/>
      <c r="YB308" s="36"/>
      <c r="YC308" s="36"/>
      <c r="YD308" s="36"/>
      <c r="YE308" s="36"/>
      <c r="YF308" s="36"/>
      <c r="YG308" s="36"/>
      <c r="YH308" s="36"/>
      <c r="YI308" s="36"/>
      <c r="YJ308" s="36"/>
      <c r="YK308" s="36"/>
      <c r="YL308" s="36"/>
      <c r="YM308" s="36"/>
      <c r="YN308" s="36"/>
      <c r="YO308" s="36"/>
      <c r="YP308" s="36"/>
      <c r="YQ308" s="36"/>
      <c r="YR308" s="36"/>
      <c r="YS308" s="36"/>
      <c r="YT308" s="36"/>
      <c r="YU308" s="36"/>
      <c r="YV308" s="36"/>
      <c r="YW308" s="36"/>
      <c r="YX308" s="36"/>
      <c r="YY308" s="36"/>
      <c r="YZ308" s="36"/>
      <c r="ZA308" s="36"/>
      <c r="ZB308" s="36"/>
      <c r="ZC308" s="36"/>
      <c r="ZD308" s="36"/>
      <c r="ZE308" s="36"/>
      <c r="ZF308" s="36"/>
      <c r="ZG308" s="36"/>
      <c r="ZH308" s="36"/>
      <c r="ZI308" s="36"/>
      <c r="ZJ308" s="36"/>
      <c r="ZK308" s="36"/>
      <c r="ZL308" s="36"/>
      <c r="ZM308" s="36"/>
      <c r="ZN308" s="36"/>
      <c r="ZO308" s="36"/>
      <c r="ZP308" s="36"/>
      <c r="ZQ308" s="36"/>
      <c r="ZR308" s="36"/>
      <c r="ZS308" s="36"/>
      <c r="ZT308" s="36"/>
      <c r="ZU308" s="36"/>
      <c r="ZV308" s="36"/>
      <c r="ZW308" s="36"/>
      <c r="ZX308" s="36"/>
      <c r="ZY308" s="36"/>
      <c r="ZZ308" s="36"/>
      <c r="AAA308" s="36"/>
      <c r="AAB308" s="36"/>
      <c r="AAC308" s="36"/>
      <c r="AAD308" s="36"/>
      <c r="AAE308" s="36"/>
      <c r="AAF308" s="36"/>
      <c r="AAG308" s="36"/>
      <c r="AAH308" s="36"/>
      <c r="AAI308" s="36"/>
      <c r="AAJ308" s="36"/>
      <c r="AAK308" s="36"/>
      <c r="AAL308" s="36"/>
      <c r="AAM308" s="36"/>
      <c r="AAN308" s="36"/>
      <c r="AAO308" s="36"/>
      <c r="AAP308" s="36"/>
      <c r="AAQ308" s="36"/>
      <c r="AAR308" s="36"/>
      <c r="AAS308" s="36"/>
      <c r="AAT308" s="36"/>
      <c r="AAU308" s="36"/>
      <c r="AAV308" s="36"/>
      <c r="AAW308" s="36"/>
      <c r="AAX308" s="36"/>
      <c r="AAY308" s="36"/>
      <c r="AAZ308" s="36"/>
      <c r="ABA308" s="36"/>
      <c r="ABB308" s="36"/>
      <c r="ABC308" s="36"/>
      <c r="ABD308" s="36"/>
      <c r="ABE308" s="36"/>
      <c r="ABF308" s="36"/>
      <c r="ABG308" s="36"/>
      <c r="ABH308" s="36"/>
      <c r="ABI308" s="36"/>
      <c r="ABJ308" s="36"/>
      <c r="ABK308" s="36"/>
      <c r="ABL308" s="36"/>
      <c r="ABM308" s="36"/>
      <c r="ABN308" s="36"/>
      <c r="ABO308" s="36"/>
      <c r="ABP308" s="36"/>
      <c r="ABQ308" s="36"/>
      <c r="ABR308" s="36"/>
      <c r="ABS308" s="36"/>
      <c r="ABT308" s="36"/>
      <c r="ABV308" s="13"/>
      <c r="ABW308" s="35"/>
      <c r="ABX308" s="35"/>
      <c r="ABY308" s="15"/>
      <c r="ACA308" s="13"/>
      <c r="ACB308" s="35"/>
      <c r="ACC308" s="35"/>
      <c r="ACD308" s="15"/>
      <c r="ACF308" s="13"/>
      <c r="ACG308" s="35"/>
      <c r="ACH308" s="35"/>
      <c r="ACI308" s="15"/>
      <c r="ACK308" s="13"/>
      <c r="ACL308" s="35"/>
      <c r="ACM308" s="35"/>
      <c r="ACN308" s="15"/>
      <c r="ACP308" s="13"/>
      <c r="ACQ308" s="35"/>
      <c r="ACR308" s="35"/>
      <c r="ACS308" s="15"/>
      <c r="ACU308" s="13"/>
      <c r="ACV308" s="35"/>
      <c r="ACW308" s="35"/>
      <c r="ACX308" s="15"/>
      <c r="ACZ308" s="13"/>
      <c r="ADA308" s="35"/>
      <c r="ADB308" s="35"/>
      <c r="ADC308" s="15"/>
      <c r="ADE308" s="13"/>
      <c r="ADF308" s="35"/>
      <c r="ADG308" s="35"/>
      <c r="ADH308" s="15"/>
      <c r="ADJ308" s="13"/>
      <c r="ADK308" s="35"/>
      <c r="ADL308" s="35"/>
      <c r="ADM308" s="15"/>
      <c r="ADO308" s="13"/>
      <c r="ADP308" s="35"/>
      <c r="ADQ308" s="35"/>
      <c r="ADR308" s="15"/>
      <c r="ADT308" s="13"/>
      <c r="ADU308" s="35"/>
      <c r="ADV308" s="35"/>
      <c r="ADW308" s="15"/>
      <c r="ADY308" s="13"/>
      <c r="ADZ308" s="35"/>
      <c r="AEA308" s="35"/>
      <c r="AEB308" s="15"/>
      <c r="AED308" s="13"/>
      <c r="AEE308" s="35"/>
      <c r="AEF308" s="35"/>
      <c r="AEG308" s="15"/>
      <c r="AEI308" s="13"/>
      <c r="AEJ308" s="35"/>
      <c r="AEK308" s="35"/>
      <c r="AEL308" s="15"/>
      <c r="AEN308" s="13"/>
      <c r="AEO308" s="35"/>
      <c r="AEP308" s="35"/>
      <c r="AEQ308" s="15"/>
      <c r="AES308" s="13"/>
      <c r="AET308" s="35"/>
      <c r="AEU308" s="35"/>
      <c r="AEV308" s="15"/>
      <c r="AEX308" s="13"/>
      <c r="AEY308" s="35"/>
      <c r="AEZ308" s="35"/>
      <c r="AFA308" s="15"/>
      <c r="AFC308" s="13"/>
      <c r="AFD308" s="35"/>
      <c r="AFE308" s="35"/>
      <c r="AFF308" s="15"/>
      <c r="AFH308" s="13"/>
      <c r="AFI308" s="35"/>
      <c r="AFJ308" s="35"/>
      <c r="AFK308" s="15"/>
      <c r="AFM308" s="13"/>
      <c r="AFN308" s="35"/>
      <c r="AFO308" s="35"/>
      <c r="AFP308" s="15"/>
      <c r="AFR308" s="13"/>
      <c r="AFS308" s="35"/>
      <c r="AFT308" s="35"/>
      <c r="AFU308" s="15"/>
      <c r="AFW308" s="13"/>
      <c r="AFX308" s="35"/>
      <c r="AFY308" s="35"/>
      <c r="AFZ308" s="15"/>
      <c r="AGB308" s="13"/>
      <c r="AGC308" s="35"/>
      <c r="AGD308" s="35"/>
      <c r="AGE308" s="15"/>
      <c r="AGG308" s="13"/>
      <c r="AGH308" s="35"/>
      <c r="AGI308" s="35"/>
      <c r="AGJ308" s="15"/>
      <c r="AGL308" s="13"/>
      <c r="AGM308" s="35"/>
      <c r="AGN308" s="35"/>
      <c r="AGO308" s="15"/>
      <c r="AGQ308" s="13"/>
      <c r="AGR308" s="35"/>
      <c r="AGS308" s="35"/>
      <c r="AGT308" s="15"/>
      <c r="AGV308" s="13"/>
      <c r="AGW308" s="35"/>
      <c r="AGX308" s="35"/>
      <c r="AGY308" s="15"/>
      <c r="AHA308" s="13"/>
      <c r="AHB308" s="35"/>
      <c r="AHC308" s="35"/>
      <c r="AHD308" s="15"/>
      <c r="AHF308" s="13"/>
      <c r="AHG308" s="35"/>
      <c r="AHH308" s="35"/>
      <c r="AHI308" s="15"/>
      <c r="AHK308" s="13"/>
      <c r="AHL308" s="35"/>
      <c r="AHM308" s="35"/>
      <c r="AHN308" s="15"/>
      <c r="AHP308" s="13"/>
      <c r="AHQ308" s="35"/>
      <c r="AHR308" s="35"/>
      <c r="AHS308" s="15"/>
      <c r="AHU308" s="13"/>
      <c r="AHV308" s="35"/>
      <c r="AHW308" s="35"/>
      <c r="AHX308" s="15"/>
      <c r="AHZ308" s="13"/>
      <c r="AIA308" s="35"/>
      <c r="AIB308" s="35"/>
      <c r="AIC308" s="15"/>
      <c r="AIE308" s="13"/>
      <c r="AIF308" s="35"/>
      <c r="AIG308" s="35"/>
      <c r="AIH308" s="15"/>
      <c r="AIJ308" s="13"/>
      <c r="AIK308" s="35"/>
      <c r="AIL308" s="35"/>
      <c r="AIM308" s="15"/>
      <c r="AIO308" s="13"/>
      <c r="AIP308" s="35"/>
      <c r="AIQ308" s="35"/>
      <c r="AIR308" s="15"/>
      <c r="AIT308" s="13"/>
      <c r="AIU308" s="35"/>
      <c r="AIV308" s="35"/>
      <c r="AIW308" s="15"/>
      <c r="AIY308" s="13"/>
      <c r="AIZ308" s="35"/>
      <c r="AJA308" s="35"/>
      <c r="AJB308" s="15"/>
      <c r="AJD308" s="13"/>
      <c r="AJE308" s="35"/>
      <c r="AJF308" s="35"/>
      <c r="AJG308" s="15"/>
      <c r="AJI308" s="13"/>
      <c r="AJJ308" s="35"/>
      <c r="AJK308" s="35"/>
      <c r="AJL308" s="15"/>
      <c r="AJN308" s="13"/>
      <c r="AJO308" s="35"/>
      <c r="AJP308" s="35"/>
      <c r="AJQ308" s="15"/>
      <c r="AJS308" s="13"/>
      <c r="AJT308" s="35"/>
      <c r="AJU308" s="35"/>
      <c r="AJV308" s="15"/>
      <c r="AJX308" s="13"/>
      <c r="AJY308" s="35"/>
      <c r="AJZ308" s="35"/>
      <c r="AKA308" s="15"/>
      <c r="AKC308" s="13"/>
      <c r="AKD308" s="35"/>
      <c r="AKE308" s="35"/>
      <c r="AKF308" s="15"/>
      <c r="AKH308" s="13"/>
      <c r="AKI308" s="35"/>
      <c r="AKJ308" s="35"/>
      <c r="AKK308" s="15"/>
      <c r="AKM308" s="13"/>
      <c r="AKN308" s="35"/>
      <c r="AKO308" s="35"/>
      <c r="AKP308" s="15"/>
      <c r="AKR308" s="13"/>
      <c r="AKS308" s="35"/>
      <c r="AKT308" s="35"/>
      <c r="AKU308" s="15"/>
      <c r="AKW308" s="13"/>
      <c r="AKX308" s="35"/>
      <c r="AKY308" s="35"/>
      <c r="AKZ308" s="15"/>
      <c r="ALB308" s="13"/>
      <c r="ALC308" s="35"/>
      <c r="ALD308" s="35"/>
      <c r="ALE308" s="15"/>
      <c r="ALG308" s="13"/>
      <c r="ALH308" s="35"/>
      <c r="ALI308" s="35"/>
      <c r="ALJ308" s="15"/>
      <c r="ALL308" s="13"/>
      <c r="ALM308" s="35"/>
      <c r="ALN308" s="35"/>
      <c r="ALO308" s="15"/>
      <c r="ALQ308" s="13"/>
      <c r="ALR308" s="35"/>
      <c r="ALS308" s="35"/>
      <c r="ALT308" s="15"/>
      <c r="ALV308" s="13"/>
      <c r="ALW308" s="35"/>
      <c r="ALX308" s="35"/>
      <c r="ALY308" s="15"/>
      <c r="AMA308" s="13"/>
      <c r="AMB308" s="35"/>
      <c r="AMC308" s="35"/>
      <c r="AMD308" s="15"/>
      <c r="AMF308" s="13"/>
      <c r="AMG308" s="35"/>
      <c r="AMH308" s="35"/>
      <c r="AMI308" s="15"/>
      <c r="AMK308" s="13"/>
      <c r="AML308" s="35"/>
      <c r="AMM308" s="35"/>
      <c r="AMN308" s="15"/>
      <c r="AMP308" s="13"/>
      <c r="AMQ308" s="35"/>
      <c r="AMR308" s="35"/>
      <c r="AMS308" s="15"/>
      <c r="AMU308" s="13"/>
      <c r="AMV308" s="35"/>
      <c r="AMW308" s="35"/>
      <c r="AMX308" s="15"/>
      <c r="AMZ308" s="13"/>
      <c r="ANA308" s="35"/>
      <c r="ANB308" s="35"/>
      <c r="ANC308" s="15"/>
      <c r="ANE308" s="13"/>
      <c r="ANF308" s="35"/>
      <c r="ANG308" s="35"/>
      <c r="ANH308" s="15"/>
      <c r="ANJ308" s="13"/>
      <c r="ANK308" s="35"/>
      <c r="ANL308" s="35"/>
      <c r="ANM308" s="15"/>
      <c r="ANO308" s="13"/>
      <c r="ANP308" s="35"/>
      <c r="ANQ308" s="35"/>
      <c r="ANR308" s="15"/>
      <c r="ANT308" s="13"/>
      <c r="ANU308" s="35"/>
      <c r="ANV308" s="35"/>
      <c r="ANW308" s="15"/>
      <c r="ANY308" s="13"/>
      <c r="ANZ308" s="35"/>
      <c r="AOA308" s="35"/>
      <c r="AOB308" s="15"/>
      <c r="AOD308" s="13"/>
      <c r="AOE308" s="35"/>
      <c r="AOF308" s="35"/>
      <c r="AOG308" s="15"/>
      <c r="AOI308" s="13"/>
      <c r="AOJ308" s="35"/>
      <c r="AOK308" s="35"/>
      <c r="AOL308" s="15"/>
      <c r="AON308" s="13"/>
      <c r="AOO308" s="35"/>
      <c r="AOP308" s="35"/>
      <c r="AOQ308" s="15"/>
      <c r="AOS308" s="13"/>
      <c r="AOT308" s="35"/>
      <c r="AOU308" s="35"/>
      <c r="AOV308" s="15"/>
      <c r="AOX308" s="13"/>
      <c r="AOY308" s="35"/>
      <c r="AOZ308" s="35"/>
      <c r="APA308" s="15"/>
      <c r="APC308" s="13"/>
      <c r="APD308" s="35"/>
      <c r="APE308" s="35"/>
      <c r="APF308" s="15"/>
      <c r="APH308" s="13"/>
      <c r="API308" s="35"/>
      <c r="APJ308" s="35"/>
      <c r="APK308" s="15"/>
      <c r="APM308" s="13"/>
      <c r="APN308" s="35"/>
      <c r="APO308" s="35"/>
      <c r="APP308" s="15"/>
      <c r="APR308" s="13"/>
      <c r="APS308" s="35"/>
      <c r="APT308" s="35"/>
      <c r="APU308" s="15"/>
      <c r="APW308" s="13"/>
      <c r="APX308" s="35"/>
      <c r="APY308" s="35"/>
      <c r="APZ308" s="15"/>
      <c r="AQB308" s="13"/>
      <c r="AQC308" s="35"/>
      <c r="AQD308" s="35"/>
      <c r="AQE308" s="15"/>
      <c r="AQG308" s="13"/>
      <c r="AQH308" s="35"/>
      <c r="AQI308" s="35"/>
      <c r="AQJ308" s="15"/>
      <c r="AQL308" s="13"/>
      <c r="AQM308" s="35"/>
      <c r="AQN308" s="35"/>
      <c r="AQO308" s="15"/>
      <c r="AQQ308" s="13"/>
      <c r="AQR308" s="35"/>
      <c r="AQS308" s="35"/>
      <c r="AQT308" s="15"/>
      <c r="AQV308" s="13"/>
      <c r="AQW308" s="35"/>
      <c r="AQX308" s="35"/>
      <c r="AQY308" s="15"/>
      <c r="ARA308" s="13"/>
      <c r="ARB308" s="35"/>
      <c r="ARC308" s="35"/>
      <c r="ARD308" s="15"/>
      <c r="ARF308" s="13"/>
      <c r="ARG308" s="35"/>
      <c r="ARH308" s="35"/>
      <c r="ARI308" s="15"/>
      <c r="ARK308" s="13"/>
      <c r="ARL308" s="35"/>
      <c r="ARM308" s="35"/>
      <c r="ARN308" s="15"/>
      <c r="ARP308" s="13"/>
      <c r="ARQ308" s="35"/>
      <c r="ARR308" s="35"/>
      <c r="ARS308" s="15"/>
      <c r="ARU308" s="13"/>
      <c r="ARV308" s="35"/>
      <c r="ARW308" s="35"/>
      <c r="ARX308" s="15"/>
      <c r="ARZ308" s="13"/>
      <c r="ASA308" s="35"/>
      <c r="ASB308" s="35"/>
      <c r="ASC308" s="15"/>
      <c r="ASE308" s="13"/>
      <c r="ASF308" s="35"/>
      <c r="ASG308" s="35"/>
      <c r="ASH308" s="15"/>
      <c r="ASJ308" s="13"/>
      <c r="ASK308" s="35"/>
      <c r="ASL308" s="35"/>
      <c r="ASM308" s="15"/>
      <c r="ASO308" s="13"/>
      <c r="ASP308" s="35"/>
      <c r="ASQ308" s="35"/>
      <c r="ASR308" s="15"/>
      <c r="AST308" s="13"/>
      <c r="ASU308" s="35"/>
      <c r="ASV308" s="35"/>
      <c r="ASW308" s="15"/>
      <c r="ASY308" s="13"/>
      <c r="ASZ308" s="35"/>
      <c r="ATA308" s="35"/>
      <c r="ATB308" s="15"/>
      <c r="ATD308" s="13"/>
      <c r="ATE308" s="35"/>
      <c r="ATF308" s="35"/>
      <c r="ATG308" s="15"/>
      <c r="ATI308" s="13"/>
      <c r="ATJ308" s="35"/>
      <c r="ATK308" s="35"/>
      <c r="ATL308" s="15"/>
      <c r="ATN308" s="13"/>
      <c r="ATO308" s="35"/>
      <c r="ATP308" s="35"/>
      <c r="ATQ308" s="15"/>
      <c r="ATS308" s="13"/>
      <c r="ATT308" s="35"/>
      <c r="ATU308" s="35"/>
      <c r="ATV308" s="15"/>
      <c r="ATX308" s="13"/>
      <c r="ATY308" s="35"/>
      <c r="ATZ308" s="35"/>
      <c r="AUA308" s="15"/>
      <c r="AUC308" s="13"/>
      <c r="AUD308" s="35"/>
      <c r="AUE308" s="35"/>
      <c r="AUF308" s="15"/>
      <c r="AUH308" s="13"/>
      <c r="AUI308" s="35"/>
      <c r="AUJ308" s="35"/>
      <c r="AUK308" s="15"/>
      <c r="AUM308" s="13"/>
      <c r="AUN308" s="35"/>
      <c r="AUO308" s="35"/>
      <c r="AUP308" s="15"/>
      <c r="AUR308" s="13"/>
      <c r="AUS308" s="35"/>
      <c r="AUT308" s="35"/>
      <c r="AUU308" s="15"/>
      <c r="AUW308" s="13"/>
      <c r="AUX308" s="35"/>
      <c r="AUY308" s="35"/>
      <c r="AUZ308" s="15"/>
      <c r="AVB308" s="13"/>
      <c r="AVC308" s="35"/>
      <c r="AVD308" s="35"/>
      <c r="AVE308" s="15"/>
      <c r="AVG308" s="13"/>
      <c r="AVH308" s="35"/>
      <c r="AVI308" s="35"/>
      <c r="AVJ308" s="15"/>
      <c r="AVL308" s="13"/>
      <c r="AVM308" s="35"/>
      <c r="AVN308" s="35"/>
      <c r="AVO308" s="15"/>
      <c r="AVQ308" s="13"/>
      <c r="AVR308" s="35"/>
      <c r="AVS308" s="35"/>
      <c r="AVT308" s="15"/>
      <c r="AVV308" s="13"/>
      <c r="AVW308" s="35"/>
      <c r="AVX308" s="35"/>
      <c r="AVY308" s="15"/>
      <c r="AWA308" s="13"/>
      <c r="AWB308" s="35"/>
      <c r="AWC308" s="35"/>
      <c r="AWD308" s="15"/>
      <c r="AWF308" s="13"/>
      <c r="AWG308" s="35"/>
      <c r="AWH308" s="35"/>
      <c r="AWI308" s="15"/>
      <c r="AWK308" s="13"/>
      <c r="AWL308" s="35"/>
      <c r="AWM308" s="35"/>
      <c r="AWN308" s="15"/>
      <c r="AWP308" s="13"/>
      <c r="AWQ308" s="35"/>
      <c r="AWR308" s="35"/>
      <c r="AWS308" s="15"/>
      <c r="AWU308" s="13"/>
      <c r="AWV308" s="35"/>
      <c r="AWW308" s="35"/>
      <c r="AWX308" s="15"/>
      <c r="AWZ308" s="13"/>
      <c r="AXA308" s="35"/>
      <c r="AXB308" s="35"/>
      <c r="AXC308" s="15"/>
      <c r="AXE308" s="13"/>
      <c r="AXF308" s="35"/>
      <c r="AXG308" s="35"/>
      <c r="AXH308" s="15"/>
      <c r="AXJ308" s="13"/>
      <c r="AXK308" s="35"/>
      <c r="AXL308" s="35"/>
      <c r="AXM308" s="15"/>
      <c r="AXO308" s="13"/>
      <c r="AXP308" s="35"/>
      <c r="AXQ308" s="35"/>
      <c r="AXR308" s="15"/>
      <c r="AXT308" s="13"/>
      <c r="AXU308" s="35"/>
      <c r="AXV308" s="35"/>
      <c r="AXW308" s="15"/>
      <c r="AXY308" s="13"/>
      <c r="AXZ308" s="35"/>
      <c r="AYA308" s="35"/>
      <c r="AYB308" s="15"/>
      <c r="AYD308" s="13"/>
      <c r="AYE308" s="35"/>
      <c r="AYF308" s="35"/>
      <c r="AYG308" s="15"/>
      <c r="AYI308" s="13"/>
      <c r="AYJ308" s="35"/>
      <c r="AYK308" s="35"/>
      <c r="AYL308" s="15"/>
      <c r="AYN308" s="13"/>
      <c r="AYO308" s="35"/>
      <c r="AYP308" s="35"/>
      <c r="AYQ308" s="15"/>
      <c r="AYS308" s="13"/>
      <c r="AYT308" s="35"/>
      <c r="AYU308" s="35"/>
      <c r="AYV308" s="15"/>
      <c r="AYX308" s="13"/>
      <c r="AYY308" s="35"/>
      <c r="AYZ308" s="35"/>
      <c r="AZA308" s="15"/>
      <c r="AZC308" s="13"/>
      <c r="AZD308" s="35"/>
      <c r="AZE308" s="35"/>
      <c r="AZF308" s="15"/>
      <c r="AZH308" s="13"/>
      <c r="AZI308" s="35"/>
      <c r="AZJ308" s="35"/>
      <c r="AZK308" s="15"/>
      <c r="AZM308" s="13"/>
      <c r="AZN308" s="35"/>
      <c r="AZO308" s="35"/>
      <c r="AZP308" s="15"/>
      <c r="AZR308" s="13"/>
      <c r="AZS308" s="35"/>
      <c r="AZT308" s="35"/>
      <c r="AZU308" s="15"/>
      <c r="AZW308" s="13"/>
      <c r="AZX308" s="35"/>
      <c r="AZY308" s="35"/>
      <c r="AZZ308" s="15"/>
      <c r="BAB308" s="13"/>
      <c r="BAC308" s="35"/>
      <c r="BAD308" s="35"/>
      <c r="BAE308" s="15"/>
      <c r="BAG308" s="13"/>
      <c r="BAH308" s="35"/>
      <c r="BAI308" s="35"/>
      <c r="BAJ308" s="15"/>
      <c r="BAL308" s="13"/>
      <c r="BAM308" s="35"/>
      <c r="BAN308" s="35"/>
      <c r="BAO308" s="15"/>
      <c r="BAQ308" s="13"/>
      <c r="BAR308" s="35"/>
      <c r="BAS308" s="35"/>
      <c r="BAT308" s="15"/>
      <c r="BAV308" s="13"/>
      <c r="BAW308" s="35"/>
      <c r="BAX308" s="35"/>
      <c r="BAY308" s="15"/>
      <c r="BBA308" s="13"/>
      <c r="BBB308" s="35"/>
      <c r="BBC308" s="35"/>
      <c r="BBD308" s="15"/>
      <c r="BBF308" s="13"/>
      <c r="BBG308" s="35"/>
      <c r="BBH308" s="35"/>
      <c r="BBI308" s="15"/>
      <c r="BBK308" s="13"/>
      <c r="BBL308" s="35"/>
      <c r="BBM308" s="35"/>
      <c r="BBN308" s="15"/>
      <c r="BBP308" s="13"/>
      <c r="BBQ308" s="35"/>
      <c r="BBR308" s="35"/>
      <c r="BBS308" s="15"/>
      <c r="BBU308" s="13"/>
      <c r="BBV308" s="35"/>
      <c r="BBW308" s="35"/>
      <c r="BBX308" s="15"/>
      <c r="BBZ308" s="13"/>
      <c r="BCA308" s="35"/>
      <c r="BCB308" s="35"/>
      <c r="BCC308" s="15"/>
      <c r="BCE308" s="13"/>
      <c r="BCF308" s="35"/>
      <c r="BCG308" s="35"/>
      <c r="BCH308" s="15"/>
      <c r="BCJ308" s="13"/>
      <c r="BCK308" s="35"/>
      <c r="BCL308" s="35"/>
      <c r="BCM308" s="15"/>
      <c r="BCO308" s="13"/>
      <c r="BCP308" s="35"/>
      <c r="BCQ308" s="35"/>
      <c r="BCR308" s="15"/>
      <c r="BCT308" s="13"/>
      <c r="BCU308" s="35"/>
      <c r="BCV308" s="35"/>
      <c r="BCW308" s="15"/>
      <c r="BCY308" s="13"/>
      <c r="BCZ308" s="35"/>
      <c r="BDA308" s="35"/>
      <c r="BDB308" s="15"/>
      <c r="BDD308" s="13"/>
      <c r="BDE308" s="35"/>
      <c r="BDF308" s="35"/>
      <c r="BDG308" s="15"/>
      <c r="BDI308" s="13"/>
      <c r="BDJ308" s="35"/>
      <c r="BDK308" s="35"/>
      <c r="BDL308" s="15"/>
      <c r="BDN308" s="13"/>
      <c r="BDO308" s="35"/>
      <c r="BDP308" s="35"/>
      <c r="BDQ308" s="15"/>
      <c r="BDS308" s="13"/>
      <c r="BDT308" s="35"/>
      <c r="BDU308" s="35"/>
      <c r="BDV308" s="15"/>
      <c r="BDX308" s="13"/>
      <c r="BDY308" s="35"/>
      <c r="BDZ308" s="35"/>
      <c r="BEA308" s="15"/>
      <c r="BEC308" s="13"/>
      <c r="BED308" s="35"/>
      <c r="BEE308" s="35"/>
      <c r="BEF308" s="15"/>
      <c r="BEH308" s="13"/>
      <c r="BEI308" s="35"/>
      <c r="BEJ308" s="35"/>
      <c r="BEK308" s="15"/>
      <c r="BEM308" s="13"/>
      <c r="BEN308" s="35"/>
      <c r="BEO308" s="35"/>
      <c r="BEP308" s="15"/>
      <c r="BER308" s="13"/>
      <c r="BES308" s="35"/>
      <c r="BET308" s="35"/>
      <c r="BEU308" s="15"/>
      <c r="BEW308" s="13"/>
      <c r="BEX308" s="35"/>
      <c r="BEY308" s="35"/>
      <c r="BEZ308" s="15"/>
      <c r="BFB308" s="13"/>
      <c r="BFC308" s="35"/>
      <c r="BFD308" s="35"/>
      <c r="BFE308" s="15"/>
      <c r="BFG308" s="13"/>
      <c r="BFH308" s="35"/>
      <c r="BFI308" s="35"/>
      <c r="BFJ308" s="15"/>
      <c r="BFL308" s="13"/>
      <c r="BFM308" s="35"/>
      <c r="BFN308" s="35"/>
      <c r="BFO308" s="15"/>
      <c r="BFQ308" s="13"/>
      <c r="BFR308" s="35"/>
      <c r="BFS308" s="35"/>
      <c r="BFT308" s="15"/>
      <c r="BFV308" s="13"/>
      <c r="BFW308" s="35"/>
      <c r="BFX308" s="35"/>
      <c r="BFY308" s="15"/>
      <c r="BGA308" s="13"/>
      <c r="BGB308" s="35"/>
      <c r="BGC308" s="35"/>
      <c r="BGD308" s="15"/>
      <c r="BGF308" s="13"/>
      <c r="BGG308" s="35"/>
      <c r="BGH308" s="35"/>
      <c r="BGI308" s="15"/>
      <c r="BGK308" s="13"/>
      <c r="BGL308" s="35"/>
      <c r="BGM308" s="35"/>
      <c r="BGN308" s="15"/>
      <c r="BGP308" s="13"/>
      <c r="BGQ308" s="35"/>
      <c r="BGR308" s="35"/>
      <c r="BGS308" s="15"/>
      <c r="BGU308" s="13"/>
      <c r="BGV308" s="35"/>
      <c r="BGW308" s="35"/>
      <c r="BGX308" s="15"/>
      <c r="BGZ308" s="13"/>
      <c r="BHA308" s="35"/>
      <c r="BHB308" s="35"/>
      <c r="BHC308" s="15"/>
      <c r="BHE308" s="13"/>
      <c r="BHF308" s="35"/>
      <c r="BHG308" s="35"/>
      <c r="BHH308" s="15"/>
      <c r="BHJ308" s="13"/>
      <c r="BHK308" s="35"/>
      <c r="BHL308" s="35"/>
      <c r="BHM308" s="15"/>
      <c r="BHO308" s="13"/>
      <c r="BHP308" s="35"/>
      <c r="BHQ308" s="35"/>
      <c r="BHR308" s="15"/>
      <c r="BHT308" s="13"/>
      <c r="BHU308" s="35"/>
      <c r="BHV308" s="35"/>
      <c r="BHW308" s="15"/>
      <c r="BHY308" s="13"/>
      <c r="BHZ308" s="35"/>
      <c r="BIA308" s="35"/>
      <c r="BIB308" s="15"/>
      <c r="BID308" s="13"/>
      <c r="BIE308" s="35"/>
      <c r="BIF308" s="35"/>
      <c r="BIG308" s="15"/>
      <c r="BII308" s="13"/>
      <c r="BIJ308" s="35"/>
      <c r="BIK308" s="35"/>
      <c r="BIL308" s="15"/>
      <c r="BIN308" s="13"/>
      <c r="BIO308" s="35"/>
      <c r="BIP308" s="35"/>
      <c r="BIQ308" s="15"/>
      <c r="BIS308" s="13"/>
      <c r="BIT308" s="35"/>
      <c r="BIU308" s="35"/>
      <c r="BIV308" s="15"/>
      <c r="BIX308" s="13"/>
      <c r="BIY308" s="35"/>
      <c r="BIZ308" s="35"/>
      <c r="BJA308" s="15"/>
      <c r="BJC308" s="13"/>
      <c r="BJD308" s="35"/>
      <c r="BJE308" s="35"/>
      <c r="BJF308" s="15"/>
      <c r="BJH308" s="13"/>
      <c r="BJI308" s="35"/>
      <c r="BJJ308" s="35"/>
      <c r="BJK308" s="15"/>
      <c r="BJM308" s="13"/>
      <c r="BJN308" s="35"/>
      <c r="BJO308" s="35"/>
      <c r="BJP308" s="15"/>
      <c r="BJR308" s="13"/>
      <c r="BJS308" s="35"/>
      <c r="BJT308" s="35"/>
      <c r="BJU308" s="15"/>
      <c r="BJW308" s="13"/>
      <c r="BJX308" s="35"/>
      <c r="BJY308" s="35"/>
      <c r="BJZ308" s="15"/>
      <c r="BKB308" s="13"/>
      <c r="BKC308" s="35"/>
      <c r="BKD308" s="35"/>
      <c r="BKE308" s="15"/>
      <c r="BKG308" s="13"/>
      <c r="BKH308" s="35"/>
      <c r="BKI308" s="35"/>
      <c r="BKJ308" s="15"/>
      <c r="BKL308" s="13"/>
      <c r="BKM308" s="35"/>
      <c r="BKN308" s="35"/>
      <c r="BKO308" s="15"/>
      <c r="BKQ308" s="13"/>
      <c r="BKR308" s="35"/>
      <c r="BKS308" s="35"/>
      <c r="BKT308" s="15"/>
      <c r="BKV308" s="13"/>
      <c r="BKW308" s="35"/>
      <c r="BKX308" s="35"/>
      <c r="BKY308" s="15"/>
      <c r="BLA308" s="13"/>
      <c r="BLB308" s="35"/>
      <c r="BLC308" s="35"/>
      <c r="BLD308" s="15"/>
      <c r="BLF308" s="13"/>
      <c r="BLG308" s="35"/>
      <c r="BLH308" s="35"/>
      <c r="BLI308" s="15"/>
      <c r="BLK308" s="13"/>
      <c r="BLL308" s="35"/>
      <c r="BLM308" s="35"/>
      <c r="BLN308" s="15"/>
      <c r="BLP308" s="13"/>
      <c r="BLQ308" s="35"/>
      <c r="BLR308" s="35"/>
      <c r="BLS308" s="15"/>
      <c r="BLU308" s="13"/>
      <c r="BLV308" s="35"/>
      <c r="BLW308" s="35"/>
      <c r="BLX308" s="15"/>
      <c r="BLZ308" s="13"/>
      <c r="BMA308" s="35"/>
      <c r="BMB308" s="35"/>
      <c r="BMC308" s="15"/>
      <c r="BME308" s="13"/>
      <c r="BMF308" s="35"/>
      <c r="BMG308" s="35"/>
      <c r="BMH308" s="15"/>
      <c r="BMJ308" s="13"/>
      <c r="BMK308" s="35"/>
      <c r="BML308" s="35"/>
      <c r="BMM308" s="15"/>
      <c r="BMO308" s="13"/>
      <c r="BMP308" s="35"/>
      <c r="BMQ308" s="35"/>
      <c r="BMR308" s="15"/>
      <c r="BMT308" s="13"/>
      <c r="BMU308" s="35"/>
      <c r="BMV308" s="35"/>
      <c r="BMW308" s="15"/>
      <c r="BMY308" s="13"/>
      <c r="BMZ308" s="35"/>
      <c r="BNA308" s="35"/>
      <c r="BNB308" s="15"/>
      <c r="BND308" s="13"/>
      <c r="BNE308" s="35"/>
      <c r="BNF308" s="35"/>
      <c r="BNG308" s="15"/>
      <c r="BNI308" s="13"/>
      <c r="BNJ308" s="35"/>
      <c r="BNK308" s="35"/>
      <c r="BNL308" s="15"/>
      <c r="BNN308" s="13"/>
      <c r="BNO308" s="35"/>
      <c r="BNP308" s="35"/>
      <c r="BNQ308" s="15"/>
      <c r="BNS308" s="13"/>
      <c r="BNT308" s="35"/>
      <c r="BNU308" s="35"/>
      <c r="BNV308" s="15"/>
      <c r="BNX308" s="13"/>
      <c r="BNY308" s="35"/>
      <c r="BNZ308" s="35"/>
      <c r="BOA308" s="15"/>
      <c r="BOC308" s="13"/>
      <c r="BOD308" s="35"/>
      <c r="BOE308" s="35"/>
      <c r="BOF308" s="15"/>
      <c r="BOH308" s="13"/>
      <c r="BOI308" s="35"/>
      <c r="BOJ308" s="35"/>
      <c r="BOK308" s="15"/>
      <c r="BOM308" s="13"/>
      <c r="BON308" s="35"/>
      <c r="BOO308" s="35"/>
      <c r="BOP308" s="15"/>
      <c r="BOR308" s="13"/>
      <c r="BOS308" s="35"/>
      <c r="BOT308" s="35"/>
      <c r="BOU308" s="15"/>
      <c r="BOW308" s="13"/>
      <c r="BOX308" s="35"/>
      <c r="BOY308" s="35"/>
      <c r="BOZ308" s="15"/>
      <c r="BPB308" s="13"/>
      <c r="BPC308" s="35"/>
      <c r="BPD308" s="35"/>
      <c r="BPE308" s="15"/>
      <c r="BPG308" s="13"/>
      <c r="BPH308" s="35"/>
      <c r="BPI308" s="35"/>
      <c r="BPJ308" s="15"/>
      <c r="BPL308" s="13"/>
      <c r="BPM308" s="35"/>
      <c r="BPN308" s="35"/>
      <c r="BPO308" s="15"/>
      <c r="BPQ308" s="13"/>
      <c r="BPR308" s="35"/>
      <c r="BPS308" s="35"/>
      <c r="BPT308" s="15"/>
      <c r="BPV308" s="13"/>
      <c r="BPW308" s="35"/>
      <c r="BPX308" s="35"/>
      <c r="BPY308" s="15"/>
      <c r="BQA308" s="13"/>
      <c r="BQB308" s="35"/>
      <c r="BQC308" s="35"/>
      <c r="BQD308" s="15"/>
      <c r="BQF308" s="13"/>
      <c r="BQG308" s="35"/>
      <c r="BQH308" s="35"/>
      <c r="BQI308" s="15"/>
      <c r="BQK308" s="13"/>
      <c r="BQL308" s="35"/>
      <c r="BQM308" s="35"/>
      <c r="BQN308" s="15"/>
      <c r="BQP308" s="13"/>
      <c r="BQQ308" s="35"/>
      <c r="BQR308" s="35"/>
      <c r="BQS308" s="15"/>
      <c r="BQU308" s="13"/>
      <c r="BQV308" s="35"/>
      <c r="BQW308" s="35"/>
      <c r="BQX308" s="15"/>
      <c r="BQZ308" s="13"/>
      <c r="BRA308" s="35"/>
      <c r="BRB308" s="35"/>
      <c r="BRC308" s="15"/>
      <c r="BRE308" s="13"/>
      <c r="BRF308" s="35"/>
      <c r="BRG308" s="35"/>
      <c r="BRH308" s="15"/>
      <c r="BRJ308" s="13"/>
      <c r="BRK308" s="35"/>
      <c r="BRL308" s="35"/>
      <c r="BRM308" s="15"/>
      <c r="BRO308" s="13"/>
      <c r="BRP308" s="35"/>
      <c r="BRQ308" s="35"/>
      <c r="BRR308" s="15"/>
      <c r="BRT308" s="13"/>
      <c r="BRU308" s="35"/>
      <c r="BRV308" s="35"/>
      <c r="BRW308" s="15"/>
      <c r="BRY308" s="13"/>
      <c r="BRZ308" s="35"/>
      <c r="BSA308" s="35"/>
      <c r="BSB308" s="15"/>
      <c r="BSD308" s="13"/>
      <c r="BSE308" s="35"/>
      <c r="BSF308" s="35"/>
      <c r="BSG308" s="15"/>
      <c r="BSI308" s="13"/>
      <c r="BSJ308" s="35"/>
      <c r="BSK308" s="35"/>
      <c r="BSL308" s="15"/>
      <c r="BSN308" s="13"/>
      <c r="BSO308" s="35"/>
      <c r="BSP308" s="35"/>
      <c r="BSQ308" s="15"/>
      <c r="BSS308" s="13"/>
      <c r="BST308" s="35"/>
      <c r="BSU308" s="35"/>
      <c r="BSV308" s="15"/>
      <c r="BSX308" s="13"/>
      <c r="BSY308" s="35"/>
      <c r="BSZ308" s="35"/>
      <c r="BTA308" s="15"/>
      <c r="BTC308" s="13"/>
      <c r="BTD308" s="35"/>
      <c r="BTE308" s="35"/>
      <c r="BTF308" s="15"/>
      <c r="BTH308" s="13"/>
      <c r="BTI308" s="35"/>
      <c r="BTJ308" s="35"/>
      <c r="BTK308" s="15"/>
      <c r="BTM308" s="13"/>
      <c r="BTN308" s="35"/>
      <c r="BTO308" s="35"/>
      <c r="BTP308" s="15"/>
      <c r="BTR308" s="13"/>
      <c r="BTS308" s="35"/>
      <c r="BTT308" s="35"/>
      <c r="BTU308" s="15"/>
      <c r="BTW308" s="13"/>
      <c r="BTX308" s="35"/>
      <c r="BTY308" s="35"/>
      <c r="BTZ308" s="15"/>
      <c r="BUB308" s="13"/>
      <c r="BUC308" s="35"/>
      <c r="BUD308" s="35"/>
      <c r="BUE308" s="15"/>
      <c r="BUG308" s="13"/>
      <c r="BUH308" s="35"/>
      <c r="BUI308" s="35"/>
      <c r="BUJ308" s="15"/>
      <c r="BUL308" s="13"/>
      <c r="BUM308" s="35"/>
      <c r="BUN308" s="35"/>
      <c r="BUO308" s="15"/>
      <c r="BUQ308" s="13"/>
      <c r="BUR308" s="35"/>
      <c r="BUS308" s="35"/>
      <c r="BUT308" s="15"/>
      <c r="BUV308" s="13"/>
      <c r="BUW308" s="35"/>
      <c r="BUX308" s="35"/>
      <c r="BUY308" s="15"/>
      <c r="BVA308" s="13"/>
      <c r="BVB308" s="35"/>
      <c r="BVC308" s="35"/>
      <c r="BVD308" s="15"/>
      <c r="BVF308" s="13"/>
      <c r="BVG308" s="35"/>
      <c r="BVH308" s="35"/>
      <c r="BVI308" s="15"/>
      <c r="BVK308" s="13"/>
      <c r="BVL308" s="35"/>
      <c r="BVM308" s="35"/>
      <c r="BVN308" s="15"/>
      <c r="BVP308" s="13"/>
      <c r="BVQ308" s="35"/>
      <c r="BVR308" s="35"/>
      <c r="BVS308" s="15"/>
      <c r="BVU308" s="13"/>
      <c r="BVV308" s="35"/>
      <c r="BVW308" s="35"/>
      <c r="BVX308" s="15"/>
      <c r="BVZ308" s="13"/>
      <c r="BWA308" s="35"/>
      <c r="BWB308" s="35"/>
      <c r="BWC308" s="15"/>
      <c r="BWE308" s="13"/>
      <c r="BWF308" s="35"/>
      <c r="BWG308" s="35"/>
      <c r="BWH308" s="15"/>
      <c r="BWJ308" s="13"/>
      <c r="BWK308" s="35"/>
      <c r="BWL308" s="35"/>
      <c r="BWM308" s="15"/>
      <c r="BWO308" s="13"/>
      <c r="BWP308" s="35"/>
      <c r="BWQ308" s="35"/>
      <c r="BWR308" s="15"/>
      <c r="BWT308" s="13"/>
      <c r="BWU308" s="35"/>
      <c r="BWV308" s="35"/>
      <c r="BWW308" s="15"/>
      <c r="BWY308" s="13"/>
      <c r="BWZ308" s="35"/>
      <c r="BXA308" s="35"/>
      <c r="BXB308" s="15"/>
      <c r="BXD308" s="13"/>
      <c r="BXE308" s="35"/>
      <c r="BXF308" s="35"/>
      <c r="BXG308" s="15"/>
      <c r="BXI308" s="13"/>
      <c r="BXJ308" s="35"/>
      <c r="BXK308" s="35"/>
      <c r="BXL308" s="15"/>
      <c r="BXN308" s="13"/>
      <c r="BXO308" s="35"/>
      <c r="BXP308" s="35"/>
      <c r="BXQ308" s="15"/>
      <c r="BXS308" s="13"/>
      <c r="BXT308" s="35"/>
      <c r="BXU308" s="35"/>
      <c r="BXV308" s="15"/>
      <c r="BXX308" s="13"/>
      <c r="BXY308" s="35"/>
      <c r="BXZ308" s="35"/>
      <c r="BYA308" s="15"/>
      <c r="BYC308" s="13"/>
      <c r="BYD308" s="35"/>
      <c r="BYE308" s="35"/>
      <c r="BYF308" s="15"/>
      <c r="BYH308" s="13"/>
      <c r="BYI308" s="35"/>
      <c r="BYJ308" s="35"/>
      <c r="BYK308" s="15"/>
      <c r="BYM308" s="13"/>
      <c r="BYN308" s="35"/>
      <c r="BYO308" s="35"/>
      <c r="BYP308" s="15"/>
      <c r="BYR308" s="13"/>
      <c r="BYS308" s="35"/>
      <c r="BYT308" s="35"/>
      <c r="BYU308" s="15"/>
      <c r="BYW308" s="13"/>
      <c r="BYX308" s="35"/>
      <c r="BYY308" s="35"/>
      <c r="BYZ308" s="15"/>
      <c r="BZB308" s="13"/>
      <c r="BZC308" s="35"/>
      <c r="BZD308" s="35"/>
      <c r="BZE308" s="15"/>
      <c r="BZG308" s="13"/>
      <c r="BZH308" s="35"/>
      <c r="BZI308" s="35"/>
      <c r="BZJ308" s="15"/>
      <c r="BZL308" s="13"/>
      <c r="BZM308" s="35"/>
      <c r="BZN308" s="35"/>
      <c r="BZO308" s="15"/>
      <c r="BZQ308" s="13"/>
      <c r="BZR308" s="35"/>
      <c r="BZS308" s="35"/>
      <c r="BZT308" s="15"/>
      <c r="BZV308" s="13"/>
      <c r="BZW308" s="35"/>
      <c r="BZX308" s="35"/>
      <c r="BZY308" s="15"/>
      <c r="CAA308" s="13"/>
      <c r="CAB308" s="35"/>
      <c r="CAC308" s="35"/>
      <c r="CAD308" s="15"/>
      <c r="CAF308" s="13"/>
      <c r="CAG308" s="35"/>
      <c r="CAH308" s="35"/>
      <c r="CAI308" s="15"/>
      <c r="CAK308" s="13"/>
      <c r="CAL308" s="35"/>
      <c r="CAM308" s="35"/>
      <c r="CAN308" s="15"/>
      <c r="CAP308" s="13"/>
      <c r="CAQ308" s="35"/>
      <c r="CAR308" s="35"/>
      <c r="CAS308" s="15"/>
      <c r="CAU308" s="13"/>
      <c r="CAV308" s="35"/>
      <c r="CAW308" s="35"/>
      <c r="CAX308" s="15"/>
      <c r="CAZ308" s="13"/>
      <c r="CBA308" s="35"/>
      <c r="CBB308" s="35"/>
      <c r="CBC308" s="15"/>
      <c r="CBE308" s="13"/>
      <c r="CBF308" s="35"/>
      <c r="CBG308" s="35"/>
      <c r="CBH308" s="15"/>
      <c r="CBJ308" s="13"/>
      <c r="CBK308" s="35"/>
      <c r="CBL308" s="35"/>
      <c r="CBM308" s="15"/>
      <c r="CBO308" s="13"/>
      <c r="CBP308" s="35"/>
      <c r="CBQ308" s="35"/>
      <c r="CBR308" s="15"/>
      <c r="CBT308" s="13"/>
      <c r="CBU308" s="35"/>
      <c r="CBV308" s="35"/>
      <c r="CBW308" s="15"/>
      <c r="CBY308" s="13"/>
      <c r="CBZ308" s="35"/>
      <c r="CCA308" s="35"/>
      <c r="CCB308" s="15"/>
      <c r="CCD308" s="13"/>
      <c r="CCE308" s="35"/>
      <c r="CCF308" s="35"/>
      <c r="CCG308" s="15"/>
      <c r="CCI308" s="13"/>
      <c r="CCJ308" s="35"/>
      <c r="CCK308" s="35"/>
      <c r="CCL308" s="15"/>
      <c r="CCN308" s="13"/>
      <c r="CCO308" s="35"/>
      <c r="CCP308" s="35"/>
      <c r="CCQ308" s="15"/>
      <c r="CCS308" s="13"/>
      <c r="CCT308" s="35"/>
      <c r="CCU308" s="35"/>
      <c r="CCV308" s="15"/>
      <c r="CCX308" s="13"/>
      <c r="CCY308" s="35"/>
      <c r="CCZ308" s="35"/>
      <c r="CDA308" s="15"/>
      <c r="CDC308" s="13"/>
      <c r="CDD308" s="35"/>
      <c r="CDE308" s="35"/>
      <c r="CDF308" s="15"/>
      <c r="CDH308" s="13"/>
      <c r="CDI308" s="35"/>
      <c r="CDJ308" s="35"/>
      <c r="CDK308" s="15"/>
      <c r="CDM308" s="13"/>
      <c r="CDN308" s="35"/>
      <c r="CDO308" s="35"/>
      <c r="CDP308" s="15"/>
      <c r="CDR308" s="13"/>
      <c r="CDS308" s="35"/>
      <c r="CDT308" s="35"/>
      <c r="CDU308" s="15"/>
      <c r="CDW308" s="13"/>
      <c r="CDX308" s="35"/>
      <c r="CDY308" s="35"/>
      <c r="CDZ308" s="15"/>
      <c r="CEB308" s="13"/>
      <c r="CEC308" s="35"/>
      <c r="CED308" s="35"/>
      <c r="CEE308" s="15"/>
      <c r="CEG308" s="13"/>
      <c r="CEH308" s="35"/>
      <c r="CEI308" s="35"/>
      <c r="CEJ308" s="15"/>
      <c r="CEL308" s="13"/>
      <c r="CEM308" s="35"/>
      <c r="CEN308" s="35"/>
      <c r="CEO308" s="15"/>
      <c r="CEQ308" s="13"/>
      <c r="CER308" s="35"/>
      <c r="CES308" s="35"/>
      <c r="CET308" s="15"/>
      <c r="CEV308" s="13"/>
      <c r="CEW308" s="35"/>
      <c r="CEX308" s="35"/>
      <c r="CEY308" s="15"/>
      <c r="CFA308" s="13"/>
      <c r="CFB308" s="35"/>
      <c r="CFC308" s="35"/>
      <c r="CFD308" s="15"/>
      <c r="CFF308" s="13"/>
      <c r="CFG308" s="35"/>
      <c r="CFH308" s="35"/>
      <c r="CFI308" s="15"/>
      <c r="CFK308" s="13"/>
      <c r="CFL308" s="35"/>
      <c r="CFM308" s="35"/>
      <c r="CFN308" s="15"/>
      <c r="CFP308" s="13"/>
      <c r="CFQ308" s="35"/>
      <c r="CFR308" s="35"/>
      <c r="CFS308" s="15"/>
      <c r="CFU308" s="13"/>
      <c r="CFV308" s="35"/>
      <c r="CFW308" s="35"/>
      <c r="CFX308" s="15"/>
      <c r="CFZ308" s="13"/>
      <c r="CGA308" s="35"/>
      <c r="CGB308" s="35"/>
      <c r="CGC308" s="15"/>
      <c r="CGE308" s="13"/>
      <c r="CGF308" s="35"/>
      <c r="CGG308" s="35"/>
      <c r="CGH308" s="15"/>
      <c r="CGJ308" s="13"/>
      <c r="CGK308" s="35"/>
      <c r="CGL308" s="35"/>
      <c r="CGM308" s="15"/>
      <c r="CGO308" s="13"/>
      <c r="CGP308" s="35"/>
      <c r="CGQ308" s="35"/>
      <c r="CGR308" s="15"/>
      <c r="CGT308" s="13"/>
      <c r="CGU308" s="35"/>
      <c r="CGV308" s="35"/>
      <c r="CGW308" s="15"/>
      <c r="CGY308" s="13"/>
      <c r="CGZ308" s="35"/>
      <c r="CHA308" s="35"/>
      <c r="CHB308" s="15"/>
      <c r="CHD308" s="13"/>
      <c r="CHE308" s="35"/>
      <c r="CHF308" s="35"/>
      <c r="CHG308" s="15"/>
      <c r="CHI308" s="13"/>
      <c r="CHJ308" s="35"/>
      <c r="CHK308" s="35"/>
      <c r="CHL308" s="15"/>
      <c r="CHN308" s="13"/>
      <c r="CHO308" s="35"/>
      <c r="CHP308" s="35"/>
      <c r="CHQ308" s="15"/>
      <c r="CHS308" s="13"/>
      <c r="CHT308" s="35"/>
      <c r="CHU308" s="35"/>
      <c r="CHV308" s="15"/>
      <c r="CHX308" s="13"/>
      <c r="CHY308" s="35"/>
      <c r="CHZ308" s="35"/>
      <c r="CIA308" s="15"/>
      <c r="CIC308" s="13"/>
      <c r="CID308" s="35"/>
      <c r="CIE308" s="35"/>
      <c r="CIF308" s="15"/>
      <c r="CIH308" s="13"/>
      <c r="CII308" s="35"/>
      <c r="CIJ308" s="35"/>
      <c r="CIK308" s="15"/>
      <c r="CIM308" s="13"/>
      <c r="CIN308" s="35"/>
      <c r="CIO308" s="35"/>
      <c r="CIP308" s="15"/>
      <c r="CIR308" s="13"/>
      <c r="CIS308" s="35"/>
      <c r="CIT308" s="35"/>
      <c r="CIU308" s="15"/>
      <c r="CIW308" s="13"/>
      <c r="CIX308" s="35"/>
      <c r="CIY308" s="35"/>
      <c r="CIZ308" s="15"/>
      <c r="CJB308" s="13"/>
      <c r="CJC308" s="35"/>
      <c r="CJD308" s="35"/>
      <c r="CJE308" s="15"/>
      <c r="CJG308" s="13"/>
      <c r="CJH308" s="35"/>
      <c r="CJI308" s="35"/>
      <c r="CJJ308" s="15"/>
      <c r="CJL308" s="13"/>
      <c r="CJM308" s="35"/>
      <c r="CJN308" s="35"/>
      <c r="CJO308" s="15"/>
      <c r="CJQ308" s="13"/>
      <c r="CJR308" s="35"/>
      <c r="CJS308" s="35"/>
      <c r="CJT308" s="15"/>
      <c r="CJV308" s="13"/>
      <c r="CJW308" s="35"/>
      <c r="CJX308" s="35"/>
      <c r="CJY308" s="15"/>
      <c r="CKA308" s="13"/>
      <c r="CKB308" s="35"/>
      <c r="CKC308" s="35"/>
      <c r="CKD308" s="15"/>
      <c r="CKF308" s="13"/>
      <c r="CKG308" s="35"/>
      <c r="CKH308" s="35"/>
      <c r="CKI308" s="15"/>
      <c r="CKK308" s="13"/>
      <c r="CKL308" s="35"/>
      <c r="CKM308" s="35"/>
      <c r="CKN308" s="15"/>
      <c r="CKP308" s="13"/>
      <c r="CKQ308" s="35"/>
      <c r="CKR308" s="35"/>
      <c r="CKS308" s="15"/>
      <c r="CKU308" s="13"/>
      <c r="CKV308" s="35"/>
      <c r="CKW308" s="35"/>
      <c r="CKX308" s="15"/>
      <c r="CKZ308" s="13"/>
      <c r="CLA308" s="35"/>
      <c r="CLB308" s="35"/>
      <c r="CLC308" s="15"/>
      <c r="CLE308" s="13"/>
      <c r="CLF308" s="35"/>
      <c r="CLG308" s="35"/>
      <c r="CLH308" s="15"/>
      <c r="CLJ308" s="13"/>
      <c r="CLK308" s="35"/>
      <c r="CLL308" s="35"/>
      <c r="CLM308" s="15"/>
      <c r="CLO308" s="13"/>
      <c r="CLP308" s="35"/>
      <c r="CLQ308" s="35"/>
      <c r="CLR308" s="15"/>
      <c r="CLT308" s="13"/>
      <c r="CLU308" s="35"/>
      <c r="CLV308" s="35"/>
      <c r="CLW308" s="15"/>
      <c r="CLY308" s="13"/>
      <c r="CLZ308" s="35"/>
      <c r="CMA308" s="35"/>
      <c r="CMB308" s="15"/>
      <c r="CMD308" s="13"/>
      <c r="CME308" s="35"/>
      <c r="CMF308" s="35"/>
      <c r="CMG308" s="15"/>
      <c r="CMI308" s="13"/>
      <c r="CMJ308" s="35"/>
      <c r="CMK308" s="35"/>
      <c r="CML308" s="15"/>
      <c r="CMN308" s="13"/>
      <c r="CMO308" s="35"/>
      <c r="CMP308" s="35"/>
      <c r="CMQ308" s="15"/>
      <c r="CMS308" s="13"/>
      <c r="CMT308" s="35"/>
      <c r="CMU308" s="35"/>
      <c r="CMV308" s="15"/>
      <c r="CMX308" s="13"/>
      <c r="CMY308" s="35"/>
      <c r="CMZ308" s="35"/>
      <c r="CNA308" s="15"/>
      <c r="CNC308" s="13"/>
      <c r="CND308" s="35"/>
      <c r="CNE308" s="35"/>
      <c r="CNF308" s="15"/>
      <c r="CNH308" s="13"/>
      <c r="CNI308" s="35"/>
      <c r="CNJ308" s="35"/>
      <c r="CNK308" s="15"/>
      <c r="CNM308" s="13"/>
      <c r="CNN308" s="35"/>
      <c r="CNO308" s="35"/>
      <c r="CNP308" s="15"/>
      <c r="CNR308" s="13"/>
      <c r="CNS308" s="35"/>
      <c r="CNT308" s="35"/>
      <c r="CNU308" s="15"/>
      <c r="CNW308" s="13"/>
      <c r="CNX308" s="35"/>
      <c r="CNY308" s="35"/>
      <c r="CNZ308" s="15"/>
      <c r="COB308" s="13"/>
      <c r="COC308" s="35"/>
      <c r="COD308" s="35"/>
      <c r="COE308" s="15"/>
      <c r="COG308" s="13"/>
      <c r="COH308" s="35"/>
      <c r="COI308" s="35"/>
      <c r="COJ308" s="15"/>
      <c r="COL308" s="13"/>
      <c r="COM308" s="35"/>
      <c r="CON308" s="35"/>
      <c r="COO308" s="15"/>
      <c r="COQ308" s="13"/>
      <c r="COR308" s="35"/>
      <c r="COS308" s="35"/>
      <c r="COT308" s="15"/>
      <c r="COV308" s="13"/>
      <c r="COW308" s="35"/>
      <c r="COX308" s="35"/>
      <c r="COY308" s="15"/>
      <c r="CPA308" s="13"/>
      <c r="CPB308" s="35"/>
      <c r="CPC308" s="35"/>
      <c r="CPD308" s="15"/>
      <c r="CPF308" s="13"/>
      <c r="CPG308" s="35"/>
      <c r="CPH308" s="35"/>
      <c r="CPI308" s="15"/>
      <c r="CPK308" s="13"/>
      <c r="CPL308" s="35"/>
      <c r="CPM308" s="35"/>
      <c r="CPN308" s="15"/>
      <c r="CPP308" s="13"/>
      <c r="CPQ308" s="35"/>
      <c r="CPR308" s="35"/>
      <c r="CPS308" s="15"/>
      <c r="CPU308" s="13"/>
      <c r="CPV308" s="35"/>
      <c r="CPW308" s="35"/>
      <c r="CPX308" s="15"/>
      <c r="CPZ308" s="13"/>
      <c r="CQA308" s="35"/>
      <c r="CQB308" s="35"/>
      <c r="CQC308" s="15"/>
      <c r="CQE308" s="13"/>
      <c r="CQF308" s="35"/>
      <c r="CQG308" s="35"/>
      <c r="CQH308" s="15"/>
      <c r="CQJ308" s="13"/>
      <c r="CQK308" s="35"/>
      <c r="CQL308" s="35"/>
      <c r="CQM308" s="15"/>
      <c r="CQO308" s="13"/>
      <c r="CQP308" s="35"/>
      <c r="CQQ308" s="35"/>
      <c r="CQR308" s="15"/>
      <c r="CQT308" s="13"/>
      <c r="CQU308" s="35"/>
      <c r="CQV308" s="35"/>
      <c r="CQW308" s="15"/>
      <c r="CQY308" s="13"/>
      <c r="CQZ308" s="35"/>
      <c r="CRA308" s="35"/>
      <c r="CRB308" s="15"/>
      <c r="CRD308" s="13"/>
      <c r="CRE308" s="35"/>
      <c r="CRF308" s="35"/>
      <c r="CRG308" s="15"/>
      <c r="CRI308" s="13"/>
      <c r="CRJ308" s="35"/>
      <c r="CRK308" s="35"/>
      <c r="CRL308" s="15"/>
      <c r="CRN308" s="13"/>
      <c r="CRO308" s="35"/>
      <c r="CRP308" s="35"/>
      <c r="CRQ308" s="15"/>
      <c r="CRS308" s="13"/>
      <c r="CRT308" s="35"/>
      <c r="CRU308" s="35"/>
      <c r="CRV308" s="15"/>
      <c r="CRX308" s="13"/>
      <c r="CRY308" s="35"/>
      <c r="CRZ308" s="35"/>
      <c r="CSA308" s="15"/>
      <c r="CSC308" s="13"/>
      <c r="CSD308" s="35"/>
      <c r="CSE308" s="35"/>
      <c r="CSF308" s="15"/>
      <c r="CSH308" s="13"/>
      <c r="CSI308" s="35"/>
      <c r="CSJ308" s="35"/>
      <c r="CSK308" s="15"/>
      <c r="CSM308" s="13"/>
      <c r="CSN308" s="35"/>
      <c r="CSO308" s="35"/>
      <c r="CSP308" s="15"/>
      <c r="CSR308" s="13"/>
      <c r="CSS308" s="35"/>
      <c r="CST308" s="35"/>
      <c r="CSU308" s="15"/>
      <c r="CSW308" s="13"/>
      <c r="CSX308" s="35"/>
      <c r="CSY308" s="35"/>
      <c r="CSZ308" s="15"/>
      <c r="CTB308" s="13"/>
      <c r="CTC308" s="35"/>
      <c r="CTD308" s="35"/>
      <c r="CTE308" s="15"/>
      <c r="CTG308" s="13"/>
      <c r="CTH308" s="35"/>
      <c r="CTI308" s="35"/>
      <c r="CTJ308" s="15"/>
      <c r="CTL308" s="13"/>
      <c r="CTM308" s="35"/>
      <c r="CTN308" s="35"/>
      <c r="CTO308" s="15"/>
      <c r="CTQ308" s="13"/>
      <c r="CTR308" s="35"/>
      <c r="CTS308" s="35"/>
      <c r="CTT308" s="15"/>
      <c r="CTV308" s="13"/>
      <c r="CTW308" s="35"/>
      <c r="CTX308" s="35"/>
      <c r="CTY308" s="15"/>
      <c r="CUA308" s="13"/>
      <c r="CUB308" s="35"/>
      <c r="CUC308" s="35"/>
      <c r="CUD308" s="15"/>
      <c r="CUF308" s="13"/>
      <c r="CUG308" s="35"/>
      <c r="CUH308" s="35"/>
      <c r="CUI308" s="15"/>
      <c r="CUK308" s="13"/>
      <c r="CUL308" s="35"/>
      <c r="CUM308" s="35"/>
      <c r="CUN308" s="15"/>
      <c r="CUP308" s="13"/>
      <c r="CUQ308" s="35"/>
      <c r="CUR308" s="35"/>
      <c r="CUS308" s="15"/>
      <c r="CUU308" s="13"/>
      <c r="CUV308" s="35"/>
      <c r="CUW308" s="35"/>
      <c r="CUX308" s="15"/>
      <c r="CUZ308" s="13"/>
      <c r="CVA308" s="35"/>
      <c r="CVB308" s="35"/>
      <c r="CVC308" s="15"/>
      <c r="CVE308" s="13"/>
      <c r="CVF308" s="35"/>
      <c r="CVG308" s="35"/>
      <c r="CVH308" s="15"/>
      <c r="CVJ308" s="13"/>
      <c r="CVK308" s="35"/>
      <c r="CVL308" s="35"/>
      <c r="CVM308" s="15"/>
      <c r="CVO308" s="13"/>
      <c r="CVP308" s="35"/>
      <c r="CVQ308" s="35"/>
      <c r="CVR308" s="15"/>
      <c r="CVT308" s="13"/>
      <c r="CVU308" s="35"/>
      <c r="CVV308" s="35"/>
      <c r="CVW308" s="15"/>
      <c r="CVY308" s="13"/>
      <c r="CVZ308" s="35"/>
      <c r="CWA308" s="35"/>
      <c r="CWB308" s="15"/>
      <c r="CWD308" s="13"/>
      <c r="CWE308" s="35"/>
      <c r="CWF308" s="35"/>
      <c r="CWG308" s="15"/>
      <c r="CWI308" s="13"/>
      <c r="CWJ308" s="35"/>
      <c r="CWK308" s="35"/>
      <c r="CWL308" s="15"/>
      <c r="CWN308" s="13"/>
      <c r="CWO308" s="35"/>
      <c r="CWP308" s="35"/>
      <c r="CWQ308" s="15"/>
      <c r="CWS308" s="13"/>
      <c r="CWT308" s="35"/>
      <c r="CWU308" s="35"/>
      <c r="CWV308" s="15"/>
      <c r="CWX308" s="13"/>
      <c r="CWY308" s="35"/>
      <c r="CWZ308" s="35"/>
      <c r="CXA308" s="15"/>
      <c r="CXC308" s="13"/>
      <c r="CXD308" s="35"/>
      <c r="CXE308" s="35"/>
      <c r="CXF308" s="15"/>
      <c r="CXH308" s="13"/>
      <c r="CXI308" s="35"/>
      <c r="CXJ308" s="35"/>
      <c r="CXK308" s="15"/>
      <c r="CXM308" s="13"/>
      <c r="CXN308" s="35"/>
      <c r="CXO308" s="35"/>
      <c r="CXP308" s="15"/>
      <c r="CXR308" s="13"/>
      <c r="CXS308" s="35"/>
      <c r="CXT308" s="35"/>
      <c r="CXU308" s="15"/>
      <c r="CXW308" s="13"/>
      <c r="CXX308" s="35"/>
      <c r="CXY308" s="35"/>
      <c r="CXZ308" s="15"/>
      <c r="CYB308" s="13"/>
      <c r="CYC308" s="35"/>
      <c r="CYD308" s="35"/>
      <c r="CYE308" s="15"/>
      <c r="CYG308" s="13"/>
      <c r="CYH308" s="35"/>
      <c r="CYI308" s="35"/>
      <c r="CYJ308" s="15"/>
      <c r="CYL308" s="13"/>
      <c r="CYM308" s="35"/>
      <c r="CYN308" s="35"/>
      <c r="CYO308" s="15"/>
      <c r="CYQ308" s="13"/>
      <c r="CYR308" s="35"/>
      <c r="CYS308" s="35"/>
      <c r="CYT308" s="15"/>
      <c r="CYV308" s="13"/>
      <c r="CYW308" s="35"/>
      <c r="CYX308" s="35"/>
      <c r="CYY308" s="15"/>
      <c r="CZA308" s="13"/>
      <c r="CZB308" s="35"/>
      <c r="CZC308" s="35"/>
      <c r="CZD308" s="15"/>
      <c r="CZF308" s="13"/>
      <c r="CZG308" s="35"/>
      <c r="CZH308" s="35"/>
      <c r="CZI308" s="15"/>
      <c r="CZK308" s="13"/>
      <c r="CZL308" s="35"/>
      <c r="CZM308" s="35"/>
      <c r="CZN308" s="15"/>
      <c r="CZP308" s="13"/>
      <c r="CZQ308" s="35"/>
      <c r="CZR308" s="35"/>
      <c r="CZS308" s="15"/>
      <c r="CZU308" s="13"/>
      <c r="CZV308" s="35"/>
      <c r="CZW308" s="35"/>
      <c r="CZX308" s="15"/>
      <c r="CZZ308" s="13"/>
      <c r="DAA308" s="35"/>
      <c r="DAB308" s="35"/>
      <c r="DAC308" s="15"/>
      <c r="DAE308" s="13"/>
      <c r="DAF308" s="35"/>
      <c r="DAG308" s="35"/>
      <c r="DAH308" s="15"/>
      <c r="DAJ308" s="13"/>
      <c r="DAK308" s="35"/>
      <c r="DAL308" s="35"/>
      <c r="DAM308" s="15"/>
      <c r="DAO308" s="13"/>
      <c r="DAP308" s="35"/>
      <c r="DAQ308" s="35"/>
      <c r="DAR308" s="15"/>
      <c r="DAT308" s="13"/>
      <c r="DAU308" s="35"/>
      <c r="DAV308" s="35"/>
      <c r="DAW308" s="15"/>
      <c r="DAY308" s="13"/>
      <c r="DAZ308" s="35"/>
      <c r="DBA308" s="35"/>
      <c r="DBB308" s="15"/>
      <c r="DBD308" s="13"/>
      <c r="DBE308" s="35"/>
      <c r="DBF308" s="35"/>
      <c r="DBG308" s="15"/>
      <c r="DBI308" s="13"/>
      <c r="DBJ308" s="35"/>
      <c r="DBK308" s="35"/>
      <c r="DBL308" s="15"/>
      <c r="DBN308" s="13"/>
      <c r="DBO308" s="35"/>
      <c r="DBP308" s="35"/>
      <c r="DBQ308" s="15"/>
      <c r="DBS308" s="13"/>
      <c r="DBT308" s="35"/>
      <c r="DBU308" s="35"/>
      <c r="DBV308" s="15"/>
      <c r="DBX308" s="13"/>
      <c r="DBY308" s="35"/>
      <c r="DBZ308" s="35"/>
      <c r="DCA308" s="15"/>
      <c r="DCC308" s="13"/>
      <c r="DCD308" s="35"/>
      <c r="DCE308" s="35"/>
      <c r="DCF308" s="15"/>
      <c r="DCH308" s="13"/>
      <c r="DCI308" s="35"/>
      <c r="DCJ308" s="35"/>
      <c r="DCK308" s="15"/>
      <c r="DCM308" s="13"/>
      <c r="DCN308" s="35"/>
      <c r="DCO308" s="35"/>
      <c r="DCP308" s="15"/>
      <c r="DCR308" s="13"/>
      <c r="DCS308" s="35"/>
      <c r="DCT308" s="35"/>
      <c r="DCU308" s="15"/>
      <c r="DCW308" s="13"/>
      <c r="DCX308" s="35"/>
      <c r="DCY308" s="35"/>
      <c r="DCZ308" s="15"/>
      <c r="DDB308" s="13"/>
      <c r="DDC308" s="35"/>
      <c r="DDD308" s="35"/>
      <c r="DDE308" s="15"/>
      <c r="DDG308" s="13"/>
      <c r="DDH308" s="35"/>
      <c r="DDI308" s="35"/>
      <c r="DDJ308" s="15"/>
      <c r="DDL308" s="13"/>
      <c r="DDM308" s="35"/>
      <c r="DDN308" s="35"/>
      <c r="DDO308" s="15"/>
      <c r="DDQ308" s="13"/>
      <c r="DDR308" s="35"/>
      <c r="DDS308" s="35"/>
      <c r="DDT308" s="15"/>
      <c r="DDV308" s="13"/>
      <c r="DDW308" s="35"/>
      <c r="DDX308" s="35"/>
      <c r="DDY308" s="15"/>
      <c r="DEA308" s="13"/>
      <c r="DEB308" s="35"/>
      <c r="DEC308" s="35"/>
      <c r="DED308" s="15"/>
      <c r="DEF308" s="13"/>
      <c r="DEG308" s="35"/>
      <c r="DEH308" s="35"/>
      <c r="DEI308" s="15"/>
      <c r="DEK308" s="13"/>
      <c r="DEL308" s="35"/>
      <c r="DEM308" s="35"/>
      <c r="DEN308" s="15"/>
      <c r="DEP308" s="13"/>
      <c r="DEQ308" s="35"/>
      <c r="DER308" s="35"/>
      <c r="DES308" s="15"/>
      <c r="DEU308" s="13"/>
      <c r="DEV308" s="35"/>
      <c r="DEW308" s="35"/>
      <c r="DEX308" s="15"/>
      <c r="DEZ308" s="13"/>
      <c r="DFA308" s="35"/>
      <c r="DFB308" s="35"/>
      <c r="DFC308" s="15"/>
      <c r="DFE308" s="13"/>
      <c r="DFF308" s="35"/>
      <c r="DFG308" s="35"/>
      <c r="DFH308" s="15"/>
      <c r="DFJ308" s="13"/>
      <c r="DFK308" s="35"/>
      <c r="DFL308" s="35"/>
      <c r="DFM308" s="15"/>
      <c r="DFO308" s="13"/>
      <c r="DFP308" s="35"/>
      <c r="DFQ308" s="35"/>
      <c r="DFR308" s="15"/>
      <c r="DFT308" s="13"/>
      <c r="DFU308" s="35"/>
      <c r="DFV308" s="35"/>
      <c r="DFW308" s="15"/>
      <c r="DFY308" s="13"/>
      <c r="DFZ308" s="35"/>
      <c r="DGA308" s="35"/>
      <c r="DGB308" s="15"/>
      <c r="DGD308" s="13"/>
      <c r="DGE308" s="35"/>
      <c r="DGF308" s="35"/>
      <c r="DGG308" s="15"/>
      <c r="DGI308" s="13"/>
      <c r="DGJ308" s="35"/>
      <c r="DGK308" s="35"/>
      <c r="DGL308" s="15"/>
      <c r="DGN308" s="13"/>
      <c r="DGO308" s="35"/>
      <c r="DGP308" s="35"/>
      <c r="DGQ308" s="15"/>
      <c r="DGS308" s="13"/>
      <c r="DGT308" s="35"/>
      <c r="DGU308" s="35"/>
      <c r="DGV308" s="15"/>
      <c r="DGX308" s="13"/>
      <c r="DGY308" s="35"/>
      <c r="DGZ308" s="35"/>
      <c r="DHA308" s="15"/>
      <c r="DHC308" s="13"/>
      <c r="DHD308" s="35"/>
      <c r="DHE308" s="35"/>
      <c r="DHF308" s="15"/>
      <c r="DHH308" s="13"/>
      <c r="DHI308" s="35"/>
      <c r="DHJ308" s="35"/>
      <c r="DHK308" s="15"/>
      <c r="DHM308" s="13"/>
      <c r="DHN308" s="35"/>
      <c r="DHO308" s="35"/>
      <c r="DHP308" s="15"/>
      <c r="DHR308" s="13"/>
      <c r="DHS308" s="35"/>
      <c r="DHT308" s="35"/>
      <c r="DHU308" s="15"/>
      <c r="DHW308" s="13"/>
      <c r="DHX308" s="35"/>
      <c r="DHY308" s="35"/>
      <c r="DHZ308" s="15"/>
      <c r="DIB308" s="13"/>
      <c r="DIC308" s="35"/>
      <c r="DID308" s="35"/>
      <c r="DIE308" s="15"/>
      <c r="DIG308" s="13"/>
      <c r="DIH308" s="35"/>
      <c r="DII308" s="35"/>
      <c r="DIJ308" s="15"/>
      <c r="DIL308" s="13"/>
      <c r="DIM308" s="35"/>
      <c r="DIN308" s="35"/>
      <c r="DIO308" s="15"/>
      <c r="DIQ308" s="13"/>
      <c r="DIR308" s="35"/>
      <c r="DIS308" s="35"/>
      <c r="DIT308" s="15"/>
      <c r="DIV308" s="13"/>
      <c r="DIW308" s="35"/>
      <c r="DIX308" s="35"/>
      <c r="DIY308" s="15"/>
      <c r="DJA308" s="13"/>
      <c r="DJB308" s="35"/>
      <c r="DJC308" s="35"/>
      <c r="DJD308" s="15"/>
      <c r="DJF308" s="13"/>
      <c r="DJG308" s="35"/>
      <c r="DJH308" s="35"/>
      <c r="DJI308" s="15"/>
      <c r="DJK308" s="13"/>
      <c r="DJL308" s="35"/>
      <c r="DJM308" s="35"/>
      <c r="DJN308" s="15"/>
      <c r="DJP308" s="13"/>
      <c r="DJQ308" s="35"/>
      <c r="DJR308" s="35"/>
      <c r="DJS308" s="15"/>
      <c r="DJU308" s="13"/>
      <c r="DJV308" s="35"/>
      <c r="DJW308" s="35"/>
      <c r="DJX308" s="15"/>
      <c r="DJZ308" s="13"/>
      <c r="DKA308" s="35"/>
      <c r="DKB308" s="35"/>
      <c r="DKC308" s="15"/>
      <c r="DKE308" s="13"/>
      <c r="DKF308" s="35"/>
      <c r="DKG308" s="35"/>
      <c r="DKH308" s="15"/>
      <c r="DKJ308" s="13"/>
      <c r="DKK308" s="35"/>
      <c r="DKL308" s="35"/>
      <c r="DKM308" s="15"/>
      <c r="DKO308" s="13"/>
      <c r="DKP308" s="35"/>
      <c r="DKQ308" s="35"/>
      <c r="DKR308" s="15"/>
      <c r="DKT308" s="13"/>
      <c r="DKU308" s="35"/>
      <c r="DKV308" s="35"/>
      <c r="DKW308" s="15"/>
      <c r="DKY308" s="13"/>
      <c r="DKZ308" s="35"/>
      <c r="DLA308" s="35"/>
      <c r="DLB308" s="15"/>
      <c r="DLD308" s="13"/>
      <c r="DLE308" s="35"/>
      <c r="DLF308" s="35"/>
      <c r="DLG308" s="15"/>
      <c r="DLI308" s="13"/>
      <c r="DLJ308" s="35"/>
      <c r="DLK308" s="35"/>
      <c r="DLL308" s="15"/>
      <c r="DLN308" s="13"/>
      <c r="DLO308" s="35"/>
      <c r="DLP308" s="35"/>
      <c r="DLQ308" s="15"/>
      <c r="DLS308" s="13"/>
      <c r="DLT308" s="35"/>
      <c r="DLU308" s="35"/>
      <c r="DLV308" s="15"/>
      <c r="DLX308" s="13"/>
      <c r="DLY308" s="35"/>
      <c r="DLZ308" s="35"/>
      <c r="DMA308" s="15"/>
      <c r="DMC308" s="13"/>
      <c r="DMD308" s="35"/>
      <c r="DME308" s="35"/>
      <c r="DMF308" s="15"/>
      <c r="DMH308" s="13"/>
      <c r="DMI308" s="35"/>
      <c r="DMJ308" s="35"/>
      <c r="DMK308" s="15"/>
      <c r="DMM308" s="13"/>
      <c r="DMN308" s="35"/>
      <c r="DMO308" s="35"/>
      <c r="DMP308" s="15"/>
      <c r="DMR308" s="13"/>
      <c r="DMS308" s="35"/>
      <c r="DMT308" s="35"/>
      <c r="DMU308" s="15"/>
      <c r="DMW308" s="13"/>
      <c r="DMX308" s="35"/>
      <c r="DMY308" s="35"/>
      <c r="DMZ308" s="15"/>
      <c r="DNB308" s="13"/>
      <c r="DNC308" s="35"/>
      <c r="DND308" s="35"/>
      <c r="DNE308" s="15"/>
      <c r="DNG308" s="13"/>
      <c r="DNH308" s="35"/>
      <c r="DNI308" s="35"/>
      <c r="DNJ308" s="15"/>
      <c r="DNL308" s="13"/>
      <c r="DNM308" s="35"/>
      <c r="DNN308" s="35"/>
      <c r="DNO308" s="15"/>
      <c r="DNQ308" s="13"/>
      <c r="DNR308" s="35"/>
      <c r="DNS308" s="35"/>
      <c r="DNT308" s="15"/>
      <c r="DNV308" s="13"/>
      <c r="DNW308" s="35"/>
      <c r="DNX308" s="35"/>
      <c r="DNY308" s="15"/>
      <c r="DOA308" s="13"/>
      <c r="DOB308" s="35"/>
      <c r="DOC308" s="35"/>
      <c r="DOD308" s="15"/>
      <c r="DOF308" s="13"/>
      <c r="DOG308" s="35"/>
      <c r="DOH308" s="35"/>
      <c r="DOI308" s="15"/>
      <c r="DOK308" s="13"/>
      <c r="DOL308" s="35"/>
      <c r="DOM308" s="35"/>
      <c r="DON308" s="15"/>
      <c r="DOP308" s="13"/>
      <c r="DOQ308" s="35"/>
      <c r="DOR308" s="35"/>
      <c r="DOS308" s="15"/>
      <c r="DOU308" s="13"/>
      <c r="DOV308" s="35"/>
      <c r="DOW308" s="35"/>
      <c r="DOX308" s="15"/>
      <c r="DOZ308" s="13"/>
      <c r="DPA308" s="35"/>
      <c r="DPB308" s="35"/>
      <c r="DPC308" s="15"/>
      <c r="DPE308" s="13"/>
      <c r="DPF308" s="35"/>
      <c r="DPG308" s="35"/>
      <c r="DPH308" s="15"/>
      <c r="DPJ308" s="13"/>
      <c r="DPK308" s="35"/>
      <c r="DPL308" s="35"/>
      <c r="DPM308" s="15"/>
      <c r="DPO308" s="13"/>
      <c r="DPP308" s="35"/>
      <c r="DPQ308" s="35"/>
      <c r="DPR308" s="15"/>
      <c r="DPT308" s="13"/>
      <c r="DPU308" s="35"/>
      <c r="DPV308" s="35"/>
      <c r="DPW308" s="15"/>
      <c r="DPY308" s="13"/>
      <c r="DPZ308" s="35"/>
      <c r="DQA308" s="35"/>
      <c r="DQB308" s="15"/>
      <c r="DQD308" s="13"/>
      <c r="DQE308" s="35"/>
      <c r="DQF308" s="35"/>
      <c r="DQG308" s="15"/>
      <c r="DQI308" s="13"/>
      <c r="DQJ308" s="35"/>
      <c r="DQK308" s="35"/>
      <c r="DQL308" s="15"/>
      <c r="DQN308" s="13"/>
      <c r="DQO308" s="35"/>
      <c r="DQP308" s="35"/>
      <c r="DQQ308" s="15"/>
      <c r="DQS308" s="13"/>
      <c r="DQT308" s="35"/>
      <c r="DQU308" s="35"/>
      <c r="DQV308" s="15"/>
      <c r="DQX308" s="13"/>
      <c r="DQY308" s="35"/>
      <c r="DQZ308" s="35"/>
      <c r="DRA308" s="15"/>
      <c r="DRC308" s="13"/>
      <c r="DRD308" s="35"/>
      <c r="DRE308" s="35"/>
      <c r="DRF308" s="15"/>
      <c r="DRH308" s="13"/>
      <c r="DRI308" s="35"/>
      <c r="DRJ308" s="35"/>
      <c r="DRK308" s="15"/>
      <c r="DRM308" s="13"/>
      <c r="DRN308" s="35"/>
      <c r="DRO308" s="35"/>
      <c r="DRP308" s="15"/>
      <c r="DRR308" s="13"/>
      <c r="DRS308" s="35"/>
      <c r="DRT308" s="35"/>
      <c r="DRU308" s="15"/>
      <c r="DRW308" s="13"/>
      <c r="DRX308" s="35"/>
      <c r="DRY308" s="35"/>
      <c r="DRZ308" s="15"/>
      <c r="DSB308" s="13"/>
      <c r="DSC308" s="35"/>
      <c r="DSD308" s="35"/>
      <c r="DSE308" s="15"/>
      <c r="DSG308" s="13"/>
      <c r="DSH308" s="35"/>
      <c r="DSI308" s="35"/>
      <c r="DSJ308" s="15"/>
      <c r="DSL308" s="13"/>
      <c r="DSM308" s="35"/>
      <c r="DSN308" s="35"/>
      <c r="DSO308" s="15"/>
      <c r="DSQ308" s="13"/>
      <c r="DSR308" s="35"/>
      <c r="DSS308" s="35"/>
      <c r="DST308" s="15"/>
      <c r="DSV308" s="13"/>
      <c r="DSW308" s="35"/>
      <c r="DSX308" s="35"/>
      <c r="DSY308" s="15"/>
      <c r="DTA308" s="13"/>
      <c r="DTB308" s="35"/>
      <c r="DTC308" s="35"/>
      <c r="DTD308" s="15"/>
      <c r="DTF308" s="13"/>
      <c r="DTG308" s="35"/>
      <c r="DTH308" s="35"/>
      <c r="DTI308" s="15"/>
      <c r="DTK308" s="13"/>
      <c r="DTL308" s="35"/>
      <c r="DTM308" s="35"/>
      <c r="DTN308" s="15"/>
      <c r="DTP308" s="13"/>
      <c r="DTQ308" s="35"/>
      <c r="DTR308" s="35"/>
      <c r="DTS308" s="15"/>
      <c r="DTU308" s="13"/>
      <c r="DTV308" s="35"/>
      <c r="DTW308" s="35"/>
      <c r="DTX308" s="15"/>
      <c r="DTZ308" s="13"/>
      <c r="DUA308" s="35"/>
      <c r="DUB308" s="35"/>
      <c r="DUC308" s="15"/>
      <c r="DUE308" s="13"/>
      <c r="DUF308" s="35"/>
      <c r="DUG308" s="35"/>
      <c r="DUH308" s="15"/>
      <c r="DUJ308" s="13"/>
      <c r="DUK308" s="35"/>
      <c r="DUL308" s="35"/>
      <c r="DUM308" s="15"/>
      <c r="DUO308" s="13"/>
      <c r="DUP308" s="35"/>
      <c r="DUQ308" s="35"/>
      <c r="DUR308" s="15"/>
      <c r="DUT308" s="13"/>
      <c r="DUU308" s="35"/>
      <c r="DUV308" s="35"/>
      <c r="DUW308" s="15"/>
      <c r="DUY308" s="13"/>
      <c r="DUZ308" s="35"/>
      <c r="DVA308" s="35"/>
      <c r="DVB308" s="15"/>
      <c r="DVD308" s="13"/>
      <c r="DVE308" s="35"/>
      <c r="DVF308" s="35"/>
      <c r="DVG308" s="15"/>
      <c r="DVI308" s="13"/>
      <c r="DVJ308" s="35"/>
      <c r="DVK308" s="35"/>
      <c r="DVL308" s="15"/>
      <c r="DVN308" s="13"/>
      <c r="DVO308" s="35"/>
      <c r="DVP308" s="35"/>
      <c r="DVQ308" s="15"/>
      <c r="DVS308" s="13"/>
      <c r="DVT308" s="35"/>
      <c r="DVU308" s="35"/>
      <c r="DVV308" s="15"/>
      <c r="DVX308" s="13"/>
      <c r="DVY308" s="35"/>
      <c r="DVZ308" s="35"/>
      <c r="DWA308" s="15"/>
      <c r="DWC308" s="13"/>
      <c r="DWD308" s="35"/>
      <c r="DWE308" s="35"/>
      <c r="DWF308" s="15"/>
      <c r="DWH308" s="13"/>
      <c r="DWI308" s="35"/>
      <c r="DWJ308" s="35"/>
      <c r="DWK308" s="15"/>
      <c r="DWM308" s="13"/>
      <c r="DWN308" s="35"/>
      <c r="DWO308" s="35"/>
      <c r="DWP308" s="15"/>
      <c r="DWR308" s="13"/>
      <c r="DWS308" s="35"/>
      <c r="DWT308" s="35"/>
      <c r="DWU308" s="15"/>
      <c r="DWW308" s="13"/>
      <c r="DWX308" s="35"/>
      <c r="DWY308" s="35"/>
      <c r="DWZ308" s="15"/>
      <c r="DXB308" s="13"/>
      <c r="DXC308" s="35"/>
      <c r="DXD308" s="35"/>
      <c r="DXE308" s="15"/>
      <c r="DXG308" s="13"/>
      <c r="DXH308" s="35"/>
      <c r="DXI308" s="35"/>
      <c r="DXJ308" s="15"/>
      <c r="DXL308" s="13"/>
      <c r="DXM308" s="35"/>
      <c r="DXN308" s="35"/>
      <c r="DXO308" s="15"/>
      <c r="DXQ308" s="13"/>
      <c r="DXR308" s="35"/>
      <c r="DXS308" s="35"/>
      <c r="DXT308" s="15"/>
      <c r="DXV308" s="13"/>
      <c r="DXW308" s="35"/>
      <c r="DXX308" s="35"/>
      <c r="DXY308" s="15"/>
      <c r="DYA308" s="13"/>
      <c r="DYB308" s="35"/>
      <c r="DYC308" s="35"/>
      <c r="DYD308" s="15"/>
      <c r="DYF308" s="13"/>
      <c r="DYG308" s="35"/>
      <c r="DYH308" s="35"/>
      <c r="DYI308" s="15"/>
      <c r="DYK308" s="13"/>
      <c r="DYL308" s="35"/>
      <c r="DYM308" s="35"/>
      <c r="DYN308" s="15"/>
      <c r="DYP308" s="13"/>
      <c r="DYQ308" s="35"/>
      <c r="DYR308" s="35"/>
      <c r="DYS308" s="15"/>
      <c r="DYU308" s="13"/>
      <c r="DYV308" s="35"/>
      <c r="DYW308" s="35"/>
      <c r="DYX308" s="15"/>
      <c r="DYZ308" s="13"/>
      <c r="DZA308" s="35"/>
      <c r="DZB308" s="35"/>
      <c r="DZC308" s="15"/>
      <c r="DZE308" s="13"/>
      <c r="DZF308" s="35"/>
      <c r="DZG308" s="35"/>
      <c r="DZH308" s="15"/>
      <c r="DZJ308" s="13"/>
      <c r="DZK308" s="35"/>
      <c r="DZL308" s="35"/>
      <c r="DZM308" s="15"/>
      <c r="DZO308" s="13"/>
      <c r="DZP308" s="35"/>
      <c r="DZQ308" s="35"/>
      <c r="DZR308" s="15"/>
      <c r="DZT308" s="13"/>
      <c r="DZU308" s="35"/>
      <c r="DZV308" s="35"/>
      <c r="DZW308" s="15"/>
      <c r="DZY308" s="13"/>
      <c r="DZZ308" s="35"/>
      <c r="EAA308" s="35"/>
      <c r="EAB308" s="15"/>
      <c r="EAD308" s="13"/>
      <c r="EAE308" s="35"/>
      <c r="EAF308" s="35"/>
      <c r="EAG308" s="15"/>
      <c r="EAI308" s="13"/>
      <c r="EAJ308" s="35"/>
      <c r="EAK308" s="35"/>
      <c r="EAL308" s="15"/>
      <c r="EAN308" s="13"/>
      <c r="EAO308" s="35"/>
      <c r="EAP308" s="35"/>
      <c r="EAQ308" s="15"/>
      <c r="EAS308" s="13"/>
      <c r="EAT308" s="35"/>
      <c r="EAU308" s="35"/>
      <c r="EAV308" s="15"/>
      <c r="EAX308" s="13"/>
      <c r="EAY308" s="35"/>
      <c r="EAZ308" s="35"/>
      <c r="EBA308" s="15"/>
      <c r="EBC308" s="13"/>
      <c r="EBD308" s="35"/>
      <c r="EBE308" s="35"/>
      <c r="EBF308" s="15"/>
      <c r="EBH308" s="13"/>
      <c r="EBI308" s="35"/>
      <c r="EBJ308" s="35"/>
      <c r="EBK308" s="15"/>
      <c r="EBM308" s="13"/>
      <c r="EBN308" s="35"/>
      <c r="EBO308" s="35"/>
      <c r="EBP308" s="15"/>
      <c r="EBR308" s="13"/>
      <c r="EBS308" s="35"/>
      <c r="EBT308" s="35"/>
      <c r="EBU308" s="15"/>
      <c r="EBW308" s="13"/>
      <c r="EBX308" s="35"/>
      <c r="EBY308" s="35"/>
      <c r="EBZ308" s="15"/>
      <c r="ECB308" s="13"/>
      <c r="ECC308" s="35"/>
      <c r="ECD308" s="35"/>
      <c r="ECE308" s="15"/>
      <c r="ECG308" s="13"/>
      <c r="ECH308" s="35"/>
      <c r="ECI308" s="35"/>
      <c r="ECJ308" s="15"/>
      <c r="ECL308" s="13"/>
      <c r="ECM308" s="35"/>
      <c r="ECN308" s="35"/>
      <c r="ECO308" s="15"/>
      <c r="ECQ308" s="13"/>
      <c r="ECR308" s="35"/>
      <c r="ECS308" s="35"/>
      <c r="ECT308" s="15"/>
      <c r="ECV308" s="13"/>
      <c r="ECW308" s="35"/>
      <c r="ECX308" s="35"/>
      <c r="ECY308" s="15"/>
      <c r="EDA308" s="13"/>
      <c r="EDB308" s="35"/>
      <c r="EDC308" s="35"/>
      <c r="EDD308" s="15"/>
      <c r="EDF308" s="13"/>
      <c r="EDG308" s="35"/>
      <c r="EDH308" s="35"/>
      <c r="EDI308" s="15"/>
      <c r="EDK308" s="13"/>
      <c r="EDL308" s="35"/>
      <c r="EDM308" s="35"/>
      <c r="EDN308" s="15"/>
      <c r="EDP308" s="13"/>
      <c r="EDQ308" s="35"/>
      <c r="EDR308" s="35"/>
      <c r="EDS308" s="15"/>
      <c r="EDU308" s="13"/>
      <c r="EDV308" s="35"/>
      <c r="EDW308" s="35"/>
      <c r="EDX308" s="15"/>
      <c r="EDZ308" s="13"/>
      <c r="EEA308" s="35"/>
      <c r="EEB308" s="35"/>
      <c r="EEC308" s="15"/>
      <c r="EEE308" s="13"/>
      <c r="EEF308" s="35"/>
      <c r="EEG308" s="35"/>
      <c r="EEH308" s="15"/>
      <c r="EEJ308" s="13"/>
      <c r="EEK308" s="35"/>
      <c r="EEL308" s="35"/>
      <c r="EEM308" s="15"/>
      <c r="EEO308" s="13"/>
      <c r="EEP308" s="35"/>
      <c r="EEQ308" s="35"/>
      <c r="EER308" s="15"/>
      <c r="EET308" s="13"/>
      <c r="EEU308" s="35"/>
      <c r="EEV308" s="35"/>
      <c r="EEW308" s="15"/>
      <c r="EEY308" s="13"/>
      <c r="EEZ308" s="35"/>
      <c r="EFA308" s="35"/>
      <c r="EFB308" s="15"/>
      <c r="EFD308" s="13"/>
      <c r="EFE308" s="35"/>
      <c r="EFF308" s="35"/>
      <c r="EFG308" s="15"/>
      <c r="EFI308" s="13"/>
      <c r="EFJ308" s="35"/>
      <c r="EFK308" s="35"/>
      <c r="EFL308" s="15"/>
      <c r="EFN308" s="13"/>
      <c r="EFO308" s="35"/>
      <c r="EFP308" s="35"/>
      <c r="EFQ308" s="15"/>
      <c r="EFS308" s="13"/>
      <c r="EFT308" s="35"/>
      <c r="EFU308" s="35"/>
      <c r="EFV308" s="15"/>
      <c r="EFX308" s="13"/>
      <c r="EFY308" s="35"/>
      <c r="EFZ308" s="35"/>
      <c r="EGA308" s="15"/>
      <c r="EGC308" s="13"/>
      <c r="EGD308" s="35"/>
      <c r="EGE308" s="35"/>
      <c r="EGF308" s="15"/>
      <c r="EGH308" s="13"/>
      <c r="EGI308" s="35"/>
      <c r="EGJ308" s="35"/>
      <c r="EGK308" s="15"/>
      <c r="EGM308" s="13"/>
      <c r="EGN308" s="35"/>
      <c r="EGO308" s="35"/>
      <c r="EGP308" s="15"/>
      <c r="EGR308" s="13"/>
      <c r="EGS308" s="35"/>
      <c r="EGT308" s="35"/>
      <c r="EGU308" s="15"/>
      <c r="EGW308" s="13"/>
      <c r="EGX308" s="35"/>
      <c r="EGY308" s="35"/>
      <c r="EGZ308" s="15"/>
      <c r="EHB308" s="13"/>
      <c r="EHC308" s="35"/>
      <c r="EHD308" s="35"/>
      <c r="EHE308" s="15"/>
      <c r="EHG308" s="13"/>
      <c r="EHH308" s="35"/>
      <c r="EHI308" s="35"/>
      <c r="EHJ308" s="15"/>
      <c r="EHL308" s="13"/>
      <c r="EHM308" s="35"/>
      <c r="EHN308" s="35"/>
      <c r="EHO308" s="15"/>
      <c r="EHQ308" s="13"/>
      <c r="EHR308" s="35"/>
      <c r="EHS308" s="35"/>
      <c r="EHT308" s="15"/>
      <c r="EHV308" s="13"/>
      <c r="EHW308" s="35"/>
      <c r="EHX308" s="35"/>
      <c r="EHY308" s="15"/>
      <c r="EIA308" s="13"/>
      <c r="EIB308" s="35"/>
      <c r="EIC308" s="35"/>
      <c r="EID308" s="15"/>
      <c r="EIF308" s="13"/>
      <c r="EIG308" s="35"/>
      <c r="EIH308" s="35"/>
      <c r="EII308" s="15"/>
      <c r="EIK308" s="13"/>
      <c r="EIL308" s="35"/>
      <c r="EIM308" s="35"/>
      <c r="EIN308" s="15"/>
      <c r="EIP308" s="13"/>
      <c r="EIQ308" s="35"/>
      <c r="EIR308" s="35"/>
      <c r="EIS308" s="15"/>
      <c r="EIU308" s="13"/>
      <c r="EIV308" s="35"/>
      <c r="EIW308" s="35"/>
      <c r="EIX308" s="15"/>
      <c r="EIZ308" s="13"/>
      <c r="EJA308" s="35"/>
      <c r="EJB308" s="35"/>
      <c r="EJC308" s="15"/>
      <c r="EJE308" s="13"/>
      <c r="EJF308" s="35"/>
      <c r="EJG308" s="35"/>
      <c r="EJH308" s="15"/>
      <c r="EJJ308" s="13"/>
      <c r="EJK308" s="35"/>
      <c r="EJL308" s="35"/>
      <c r="EJM308" s="15"/>
      <c r="EJO308" s="13"/>
      <c r="EJP308" s="35"/>
      <c r="EJQ308" s="35"/>
      <c r="EJR308" s="15"/>
      <c r="EJT308" s="13"/>
      <c r="EJU308" s="35"/>
      <c r="EJV308" s="35"/>
      <c r="EJW308" s="15"/>
      <c r="EJY308" s="13"/>
      <c r="EJZ308" s="35"/>
      <c r="EKA308" s="35"/>
      <c r="EKB308" s="15"/>
      <c r="EKD308" s="13"/>
      <c r="EKE308" s="35"/>
      <c r="EKF308" s="35"/>
      <c r="EKG308" s="15"/>
      <c r="EKI308" s="13"/>
      <c r="EKJ308" s="35"/>
      <c r="EKK308" s="35"/>
      <c r="EKL308" s="15"/>
      <c r="EKN308" s="13"/>
      <c r="EKO308" s="35"/>
      <c r="EKP308" s="35"/>
      <c r="EKQ308" s="15"/>
      <c r="EKS308" s="13"/>
      <c r="EKT308" s="35"/>
      <c r="EKU308" s="35"/>
      <c r="EKV308" s="15"/>
      <c r="EKX308" s="13"/>
      <c r="EKY308" s="35"/>
      <c r="EKZ308" s="35"/>
      <c r="ELA308" s="15"/>
      <c r="ELC308" s="13"/>
      <c r="ELD308" s="35"/>
      <c r="ELE308" s="35"/>
      <c r="ELF308" s="15"/>
      <c r="ELH308" s="13"/>
      <c r="ELI308" s="35"/>
      <c r="ELJ308" s="35"/>
      <c r="ELK308" s="15"/>
      <c r="ELM308" s="13"/>
      <c r="ELN308" s="35"/>
      <c r="ELO308" s="35"/>
      <c r="ELP308" s="15"/>
      <c r="ELR308" s="13"/>
      <c r="ELS308" s="35"/>
      <c r="ELT308" s="35"/>
      <c r="ELU308" s="15"/>
      <c r="ELW308" s="13"/>
      <c r="ELX308" s="35"/>
      <c r="ELY308" s="35"/>
      <c r="ELZ308" s="15"/>
      <c r="EMB308" s="13"/>
      <c r="EMC308" s="35"/>
      <c r="EMD308" s="35"/>
      <c r="EME308" s="15"/>
      <c r="EMG308" s="13"/>
      <c r="EMH308" s="35"/>
      <c r="EMI308" s="35"/>
      <c r="EMJ308" s="15"/>
      <c r="EML308" s="13"/>
      <c r="EMM308" s="35"/>
      <c r="EMN308" s="35"/>
      <c r="EMO308" s="15"/>
      <c r="EMQ308" s="13"/>
      <c r="EMR308" s="35"/>
      <c r="EMS308" s="35"/>
      <c r="EMT308" s="15"/>
      <c r="EMV308" s="13"/>
      <c r="EMW308" s="35"/>
      <c r="EMX308" s="35"/>
      <c r="EMY308" s="15"/>
      <c r="ENA308" s="13"/>
      <c r="ENB308" s="35"/>
      <c r="ENC308" s="35"/>
      <c r="END308" s="15"/>
      <c r="ENF308" s="13"/>
      <c r="ENG308" s="35"/>
      <c r="ENH308" s="35"/>
      <c r="ENI308" s="15"/>
      <c r="ENK308" s="13"/>
      <c r="ENL308" s="35"/>
      <c r="ENM308" s="35"/>
      <c r="ENN308" s="15"/>
      <c r="ENP308" s="13"/>
      <c r="ENQ308" s="35"/>
      <c r="ENR308" s="35"/>
      <c r="ENS308" s="15"/>
      <c r="ENU308" s="13"/>
      <c r="ENV308" s="35"/>
      <c r="ENW308" s="35"/>
      <c r="ENX308" s="15"/>
      <c r="ENZ308" s="13"/>
      <c r="EOA308" s="35"/>
      <c r="EOB308" s="35"/>
      <c r="EOC308" s="15"/>
      <c r="EOE308" s="13"/>
      <c r="EOF308" s="35"/>
      <c r="EOG308" s="35"/>
      <c r="EOH308" s="15"/>
      <c r="EOJ308" s="13"/>
      <c r="EOK308" s="35"/>
      <c r="EOL308" s="35"/>
      <c r="EOM308" s="15"/>
      <c r="EOO308" s="13"/>
      <c r="EOP308" s="35"/>
      <c r="EOQ308" s="35"/>
      <c r="EOR308" s="15"/>
      <c r="EOT308" s="13"/>
      <c r="EOU308" s="35"/>
      <c r="EOV308" s="35"/>
      <c r="EOW308" s="15"/>
      <c r="EOY308" s="13"/>
      <c r="EOZ308" s="35"/>
      <c r="EPA308" s="35"/>
      <c r="EPB308" s="15"/>
      <c r="EPD308" s="13"/>
      <c r="EPE308" s="35"/>
      <c r="EPF308" s="35"/>
      <c r="EPG308" s="15"/>
      <c r="EPI308" s="13"/>
      <c r="EPJ308" s="35"/>
      <c r="EPK308" s="35"/>
      <c r="EPL308" s="15"/>
      <c r="EPN308" s="13"/>
      <c r="EPO308" s="35"/>
      <c r="EPP308" s="35"/>
      <c r="EPQ308" s="15"/>
      <c r="EPS308" s="13"/>
      <c r="EPT308" s="35"/>
      <c r="EPU308" s="35"/>
      <c r="EPV308" s="15"/>
      <c r="EPX308" s="13"/>
      <c r="EPY308" s="35"/>
      <c r="EPZ308" s="35"/>
      <c r="EQA308" s="15"/>
      <c r="EQC308" s="13"/>
      <c r="EQD308" s="35"/>
      <c r="EQE308" s="35"/>
      <c r="EQF308" s="15"/>
      <c r="EQH308" s="13"/>
      <c r="EQI308" s="35"/>
      <c r="EQJ308" s="35"/>
      <c r="EQK308" s="15"/>
      <c r="EQM308" s="13"/>
      <c r="EQN308" s="35"/>
      <c r="EQO308" s="35"/>
      <c r="EQP308" s="15"/>
      <c r="EQR308" s="13"/>
      <c r="EQS308" s="35"/>
      <c r="EQT308" s="35"/>
      <c r="EQU308" s="15"/>
      <c r="EQW308" s="13"/>
      <c r="EQX308" s="35"/>
      <c r="EQY308" s="35"/>
      <c r="EQZ308" s="15"/>
      <c r="ERB308" s="13"/>
      <c r="ERC308" s="35"/>
      <c r="ERD308" s="35"/>
      <c r="ERE308" s="15"/>
      <c r="ERG308" s="13"/>
      <c r="ERH308" s="35"/>
      <c r="ERI308" s="35"/>
      <c r="ERJ308" s="15"/>
      <c r="ERL308" s="13"/>
      <c r="ERM308" s="35"/>
      <c r="ERN308" s="35"/>
      <c r="ERO308" s="15"/>
      <c r="ERQ308" s="13"/>
      <c r="ERR308" s="35"/>
      <c r="ERS308" s="35"/>
      <c r="ERT308" s="15"/>
      <c r="ERV308" s="13"/>
      <c r="ERW308" s="35"/>
      <c r="ERX308" s="35"/>
      <c r="ERY308" s="15"/>
      <c r="ESA308" s="13"/>
      <c r="ESB308" s="35"/>
      <c r="ESC308" s="35"/>
      <c r="ESD308" s="15"/>
      <c r="ESF308" s="13"/>
      <c r="ESG308" s="35"/>
      <c r="ESH308" s="35"/>
      <c r="ESI308" s="15"/>
      <c r="ESK308" s="13"/>
      <c r="ESL308" s="35"/>
      <c r="ESM308" s="35"/>
      <c r="ESN308" s="15"/>
      <c r="ESP308" s="13"/>
      <c r="ESQ308" s="35"/>
      <c r="ESR308" s="35"/>
      <c r="ESS308" s="15"/>
      <c r="ESU308" s="13"/>
      <c r="ESV308" s="35"/>
      <c r="ESW308" s="35"/>
      <c r="ESX308" s="15"/>
      <c r="ESZ308" s="13"/>
      <c r="ETA308" s="35"/>
      <c r="ETB308" s="35"/>
      <c r="ETC308" s="15"/>
      <c r="ETE308" s="13"/>
      <c r="ETF308" s="35"/>
      <c r="ETG308" s="35"/>
      <c r="ETH308" s="15"/>
      <c r="ETJ308" s="13"/>
      <c r="ETK308" s="35"/>
      <c r="ETL308" s="35"/>
      <c r="ETM308" s="15"/>
      <c r="ETO308" s="13"/>
      <c r="ETP308" s="35"/>
      <c r="ETQ308" s="35"/>
      <c r="ETR308" s="15"/>
      <c r="ETT308" s="13"/>
      <c r="ETU308" s="35"/>
      <c r="ETV308" s="35"/>
      <c r="ETW308" s="15"/>
      <c r="ETY308" s="13"/>
      <c r="ETZ308" s="35"/>
      <c r="EUA308" s="35"/>
      <c r="EUB308" s="15"/>
      <c r="EUD308" s="13"/>
      <c r="EUE308" s="35"/>
      <c r="EUF308" s="35"/>
      <c r="EUG308" s="15"/>
      <c r="EUI308" s="13"/>
      <c r="EUJ308" s="35"/>
      <c r="EUK308" s="35"/>
      <c r="EUL308" s="15"/>
      <c r="EUN308" s="13"/>
      <c r="EUO308" s="35"/>
      <c r="EUP308" s="35"/>
      <c r="EUQ308" s="15"/>
      <c r="EUS308" s="13"/>
      <c r="EUT308" s="35"/>
      <c r="EUU308" s="35"/>
      <c r="EUV308" s="15"/>
      <c r="EUX308" s="13"/>
      <c r="EUY308" s="35"/>
      <c r="EUZ308" s="35"/>
      <c r="EVA308" s="15"/>
      <c r="EVC308" s="13"/>
      <c r="EVD308" s="35"/>
      <c r="EVE308" s="35"/>
      <c r="EVF308" s="15"/>
      <c r="EVH308" s="13"/>
      <c r="EVI308" s="35"/>
      <c r="EVJ308" s="35"/>
      <c r="EVK308" s="15"/>
      <c r="EVM308" s="13"/>
      <c r="EVN308" s="35"/>
      <c r="EVO308" s="35"/>
      <c r="EVP308" s="15"/>
      <c r="EVR308" s="13"/>
      <c r="EVS308" s="35"/>
      <c r="EVT308" s="35"/>
      <c r="EVU308" s="15"/>
      <c r="EVW308" s="13"/>
      <c r="EVX308" s="35"/>
      <c r="EVY308" s="35"/>
      <c r="EVZ308" s="15"/>
      <c r="EWB308" s="13"/>
      <c r="EWC308" s="35"/>
      <c r="EWD308" s="35"/>
      <c r="EWE308" s="15"/>
      <c r="EWG308" s="13"/>
      <c r="EWH308" s="35"/>
      <c r="EWI308" s="35"/>
      <c r="EWJ308" s="15"/>
      <c r="EWL308" s="13"/>
      <c r="EWM308" s="35"/>
      <c r="EWN308" s="35"/>
      <c r="EWO308" s="15"/>
      <c r="EWQ308" s="13"/>
      <c r="EWR308" s="35"/>
      <c r="EWS308" s="35"/>
      <c r="EWT308" s="15"/>
      <c r="EWV308" s="13"/>
      <c r="EWW308" s="35"/>
      <c r="EWX308" s="35"/>
      <c r="EWY308" s="15"/>
      <c r="EXA308" s="13"/>
      <c r="EXB308" s="35"/>
      <c r="EXC308" s="35"/>
      <c r="EXD308" s="15"/>
      <c r="EXF308" s="13"/>
      <c r="EXG308" s="35"/>
      <c r="EXH308" s="35"/>
      <c r="EXI308" s="15"/>
      <c r="EXK308" s="13"/>
      <c r="EXL308" s="35"/>
      <c r="EXM308" s="35"/>
      <c r="EXN308" s="15"/>
      <c r="EXP308" s="13"/>
      <c r="EXQ308" s="35"/>
      <c r="EXR308" s="35"/>
      <c r="EXS308" s="15"/>
      <c r="EXU308" s="13"/>
      <c r="EXV308" s="35"/>
      <c r="EXW308" s="35"/>
      <c r="EXX308" s="15"/>
      <c r="EXZ308" s="13"/>
      <c r="EYA308" s="35"/>
      <c r="EYB308" s="35"/>
      <c r="EYC308" s="15"/>
      <c r="EYE308" s="13"/>
      <c r="EYF308" s="35"/>
      <c r="EYG308" s="35"/>
      <c r="EYH308" s="15"/>
      <c r="EYJ308" s="13"/>
      <c r="EYK308" s="35"/>
      <c r="EYL308" s="35"/>
      <c r="EYM308" s="15"/>
      <c r="EYO308" s="13"/>
      <c r="EYP308" s="35"/>
      <c r="EYQ308" s="35"/>
      <c r="EYR308" s="15"/>
      <c r="EYT308" s="13"/>
      <c r="EYU308" s="35"/>
      <c r="EYV308" s="35"/>
      <c r="EYW308" s="15"/>
      <c r="EYY308" s="13"/>
      <c r="EYZ308" s="35"/>
      <c r="EZA308" s="35"/>
      <c r="EZB308" s="15"/>
      <c r="EZD308" s="13"/>
      <c r="EZE308" s="35"/>
      <c r="EZF308" s="35"/>
      <c r="EZG308" s="15"/>
      <c r="EZI308" s="13"/>
      <c r="EZJ308" s="35"/>
      <c r="EZK308" s="35"/>
      <c r="EZL308" s="15"/>
      <c r="EZN308" s="13"/>
      <c r="EZO308" s="35"/>
      <c r="EZP308" s="35"/>
      <c r="EZQ308" s="15"/>
      <c r="EZS308" s="13"/>
      <c r="EZT308" s="35"/>
      <c r="EZU308" s="35"/>
      <c r="EZV308" s="15"/>
      <c r="EZX308" s="13"/>
      <c r="EZY308" s="35"/>
      <c r="EZZ308" s="35"/>
      <c r="FAA308" s="15"/>
      <c r="FAC308" s="13"/>
      <c r="FAD308" s="35"/>
      <c r="FAE308" s="35"/>
      <c r="FAF308" s="15"/>
      <c r="FAH308" s="13"/>
      <c r="FAI308" s="35"/>
      <c r="FAJ308" s="35"/>
      <c r="FAK308" s="15"/>
      <c r="FAM308" s="13"/>
      <c r="FAN308" s="35"/>
      <c r="FAO308" s="35"/>
      <c r="FAP308" s="15"/>
      <c r="FAR308" s="13"/>
      <c r="FAS308" s="35"/>
      <c r="FAT308" s="35"/>
      <c r="FAU308" s="15"/>
      <c r="FAW308" s="13"/>
      <c r="FAX308" s="35"/>
      <c r="FAY308" s="35"/>
      <c r="FAZ308" s="15"/>
      <c r="FBB308" s="13"/>
      <c r="FBC308" s="35"/>
      <c r="FBD308" s="35"/>
      <c r="FBE308" s="15"/>
      <c r="FBG308" s="13"/>
      <c r="FBH308" s="35"/>
      <c r="FBI308" s="35"/>
      <c r="FBJ308" s="15"/>
      <c r="FBL308" s="13"/>
      <c r="FBM308" s="35"/>
      <c r="FBN308" s="35"/>
      <c r="FBO308" s="15"/>
      <c r="FBQ308" s="13"/>
      <c r="FBR308" s="35"/>
      <c r="FBS308" s="35"/>
      <c r="FBT308" s="15"/>
      <c r="FBV308" s="13"/>
      <c r="FBW308" s="35"/>
      <c r="FBX308" s="35"/>
      <c r="FBY308" s="15"/>
      <c r="FCA308" s="13"/>
      <c r="FCB308" s="35"/>
      <c r="FCC308" s="35"/>
      <c r="FCD308" s="15"/>
      <c r="FCF308" s="13"/>
      <c r="FCG308" s="35"/>
      <c r="FCH308" s="35"/>
      <c r="FCI308" s="15"/>
      <c r="FCK308" s="13"/>
      <c r="FCL308" s="35"/>
      <c r="FCM308" s="35"/>
      <c r="FCN308" s="15"/>
      <c r="FCP308" s="13"/>
      <c r="FCQ308" s="35"/>
      <c r="FCR308" s="35"/>
      <c r="FCS308" s="15"/>
      <c r="FCU308" s="13"/>
      <c r="FCV308" s="35"/>
      <c r="FCW308" s="35"/>
      <c r="FCX308" s="15"/>
      <c r="FCZ308" s="13"/>
      <c r="FDA308" s="35"/>
      <c r="FDB308" s="35"/>
      <c r="FDC308" s="15"/>
      <c r="FDE308" s="13"/>
      <c r="FDF308" s="35"/>
      <c r="FDG308" s="35"/>
      <c r="FDH308" s="15"/>
      <c r="FDJ308" s="13"/>
      <c r="FDK308" s="35"/>
      <c r="FDL308" s="35"/>
      <c r="FDM308" s="15"/>
      <c r="FDO308" s="13"/>
      <c r="FDP308" s="35"/>
      <c r="FDQ308" s="35"/>
      <c r="FDR308" s="15"/>
      <c r="FDT308" s="13"/>
      <c r="FDU308" s="35"/>
      <c r="FDV308" s="35"/>
      <c r="FDW308" s="15"/>
      <c r="FDY308" s="13"/>
      <c r="FDZ308" s="35"/>
      <c r="FEA308" s="35"/>
      <c r="FEB308" s="15"/>
      <c r="FED308" s="13"/>
      <c r="FEE308" s="35"/>
      <c r="FEF308" s="35"/>
      <c r="FEG308" s="15"/>
      <c r="FEI308" s="13"/>
      <c r="FEJ308" s="35"/>
      <c r="FEK308" s="35"/>
      <c r="FEL308" s="15"/>
      <c r="FEN308" s="13"/>
      <c r="FEO308" s="35"/>
      <c r="FEP308" s="35"/>
      <c r="FEQ308" s="15"/>
      <c r="FES308" s="13"/>
      <c r="FET308" s="35"/>
      <c r="FEU308" s="35"/>
      <c r="FEV308" s="15"/>
      <c r="FEX308" s="13"/>
      <c r="FEY308" s="35"/>
      <c r="FEZ308" s="35"/>
      <c r="FFA308" s="15"/>
      <c r="FFC308" s="13"/>
      <c r="FFD308" s="35"/>
      <c r="FFE308" s="35"/>
      <c r="FFF308" s="15"/>
      <c r="FFH308" s="13"/>
      <c r="FFI308" s="35"/>
      <c r="FFJ308" s="35"/>
      <c r="FFK308" s="15"/>
      <c r="FFM308" s="13"/>
      <c r="FFN308" s="35"/>
      <c r="FFO308" s="35"/>
      <c r="FFP308" s="15"/>
      <c r="FFR308" s="13"/>
      <c r="FFS308" s="35"/>
      <c r="FFT308" s="35"/>
      <c r="FFU308" s="15"/>
      <c r="FFW308" s="13"/>
      <c r="FFX308" s="35"/>
      <c r="FFY308" s="35"/>
      <c r="FFZ308" s="15"/>
      <c r="FGB308" s="13"/>
      <c r="FGC308" s="35"/>
      <c r="FGD308" s="35"/>
      <c r="FGE308" s="15"/>
      <c r="FGG308" s="13"/>
      <c r="FGH308" s="35"/>
      <c r="FGI308" s="35"/>
      <c r="FGJ308" s="15"/>
      <c r="FGL308" s="13"/>
      <c r="FGM308" s="35"/>
      <c r="FGN308" s="35"/>
      <c r="FGO308" s="15"/>
      <c r="FGQ308" s="13"/>
      <c r="FGR308" s="35"/>
      <c r="FGS308" s="35"/>
      <c r="FGT308" s="15"/>
      <c r="FGV308" s="13"/>
      <c r="FGW308" s="35"/>
      <c r="FGX308" s="35"/>
      <c r="FGY308" s="15"/>
      <c r="FHA308" s="13"/>
      <c r="FHB308" s="35"/>
      <c r="FHC308" s="35"/>
      <c r="FHD308" s="15"/>
      <c r="FHF308" s="13"/>
      <c r="FHG308" s="35"/>
      <c r="FHH308" s="35"/>
      <c r="FHI308" s="15"/>
      <c r="FHK308" s="13"/>
      <c r="FHL308" s="35"/>
      <c r="FHM308" s="35"/>
      <c r="FHN308" s="15"/>
      <c r="FHP308" s="13"/>
      <c r="FHQ308" s="35"/>
      <c r="FHR308" s="35"/>
      <c r="FHS308" s="15"/>
      <c r="FHU308" s="13"/>
      <c r="FHV308" s="35"/>
      <c r="FHW308" s="35"/>
      <c r="FHX308" s="15"/>
      <c r="FHZ308" s="13"/>
      <c r="FIA308" s="35"/>
      <c r="FIB308" s="35"/>
      <c r="FIC308" s="15"/>
      <c r="FIE308" s="13"/>
      <c r="FIF308" s="35"/>
      <c r="FIG308" s="35"/>
      <c r="FIH308" s="15"/>
      <c r="FIJ308" s="13"/>
      <c r="FIK308" s="35"/>
      <c r="FIL308" s="35"/>
      <c r="FIM308" s="15"/>
      <c r="FIO308" s="13"/>
      <c r="FIP308" s="35"/>
      <c r="FIQ308" s="35"/>
      <c r="FIR308" s="15"/>
      <c r="FIT308" s="13"/>
      <c r="FIU308" s="35"/>
      <c r="FIV308" s="35"/>
      <c r="FIW308" s="15"/>
      <c r="FIY308" s="13"/>
      <c r="FIZ308" s="35"/>
      <c r="FJA308" s="35"/>
      <c r="FJB308" s="15"/>
      <c r="FJD308" s="13"/>
      <c r="FJE308" s="35"/>
      <c r="FJF308" s="35"/>
      <c r="FJG308" s="15"/>
      <c r="FJI308" s="13"/>
      <c r="FJJ308" s="35"/>
      <c r="FJK308" s="35"/>
      <c r="FJL308" s="15"/>
      <c r="FJN308" s="13"/>
      <c r="FJO308" s="35"/>
      <c r="FJP308" s="35"/>
      <c r="FJQ308" s="15"/>
      <c r="FJS308" s="13"/>
      <c r="FJT308" s="35"/>
      <c r="FJU308" s="35"/>
      <c r="FJV308" s="15"/>
      <c r="FJX308" s="13"/>
      <c r="FJY308" s="35"/>
      <c r="FJZ308" s="35"/>
      <c r="FKA308" s="15"/>
      <c r="FKC308" s="13"/>
      <c r="FKD308" s="35"/>
      <c r="FKE308" s="35"/>
      <c r="FKF308" s="15"/>
      <c r="FKH308" s="13"/>
      <c r="FKI308" s="35"/>
      <c r="FKJ308" s="35"/>
      <c r="FKK308" s="15"/>
      <c r="FKM308" s="13"/>
      <c r="FKN308" s="35"/>
      <c r="FKO308" s="35"/>
      <c r="FKP308" s="15"/>
      <c r="FKR308" s="13"/>
      <c r="FKS308" s="35"/>
      <c r="FKT308" s="35"/>
      <c r="FKU308" s="15"/>
      <c r="FKW308" s="13"/>
      <c r="FKX308" s="35"/>
      <c r="FKY308" s="35"/>
      <c r="FKZ308" s="15"/>
      <c r="FLB308" s="13"/>
      <c r="FLC308" s="35"/>
      <c r="FLD308" s="35"/>
      <c r="FLE308" s="15"/>
      <c r="FLG308" s="13"/>
      <c r="FLH308" s="35"/>
      <c r="FLI308" s="35"/>
      <c r="FLJ308" s="15"/>
      <c r="FLL308" s="13"/>
      <c r="FLM308" s="35"/>
      <c r="FLN308" s="35"/>
      <c r="FLO308" s="15"/>
      <c r="FLQ308" s="13"/>
      <c r="FLR308" s="35"/>
      <c r="FLS308" s="35"/>
      <c r="FLT308" s="15"/>
      <c r="FLV308" s="13"/>
      <c r="FLW308" s="35"/>
      <c r="FLX308" s="35"/>
      <c r="FLY308" s="15"/>
      <c r="FMA308" s="13"/>
      <c r="FMB308" s="35"/>
      <c r="FMC308" s="35"/>
      <c r="FMD308" s="15"/>
      <c r="FMF308" s="13"/>
      <c r="FMG308" s="35"/>
      <c r="FMH308" s="35"/>
      <c r="FMI308" s="15"/>
      <c r="FMK308" s="13"/>
      <c r="FML308" s="35"/>
      <c r="FMM308" s="35"/>
      <c r="FMN308" s="15"/>
      <c r="FMP308" s="13"/>
      <c r="FMQ308" s="35"/>
      <c r="FMR308" s="35"/>
      <c r="FMS308" s="15"/>
      <c r="FMU308" s="13"/>
      <c r="FMV308" s="35"/>
      <c r="FMW308" s="35"/>
      <c r="FMX308" s="15"/>
      <c r="FMZ308" s="13"/>
      <c r="FNA308" s="35"/>
      <c r="FNB308" s="35"/>
      <c r="FNC308" s="15"/>
      <c r="FNE308" s="13"/>
      <c r="FNF308" s="35"/>
      <c r="FNG308" s="35"/>
      <c r="FNH308" s="15"/>
      <c r="FNJ308" s="13"/>
      <c r="FNK308" s="35"/>
      <c r="FNL308" s="35"/>
      <c r="FNM308" s="15"/>
      <c r="FNO308" s="13"/>
      <c r="FNP308" s="35"/>
      <c r="FNQ308" s="35"/>
      <c r="FNR308" s="15"/>
      <c r="FNT308" s="13"/>
      <c r="FNU308" s="35"/>
      <c r="FNV308" s="35"/>
      <c r="FNW308" s="15"/>
      <c r="FNY308" s="13"/>
      <c r="FNZ308" s="35"/>
      <c r="FOA308" s="35"/>
      <c r="FOB308" s="15"/>
      <c r="FOD308" s="13"/>
      <c r="FOE308" s="35"/>
      <c r="FOF308" s="35"/>
      <c r="FOG308" s="15"/>
      <c r="FOI308" s="13"/>
      <c r="FOJ308" s="35"/>
      <c r="FOK308" s="35"/>
      <c r="FOL308" s="15"/>
      <c r="FON308" s="13"/>
      <c r="FOO308" s="35"/>
      <c r="FOP308" s="35"/>
      <c r="FOQ308" s="15"/>
      <c r="FOS308" s="13"/>
      <c r="FOT308" s="35"/>
      <c r="FOU308" s="35"/>
      <c r="FOV308" s="15"/>
      <c r="FOX308" s="13"/>
      <c r="FOY308" s="35"/>
      <c r="FOZ308" s="35"/>
      <c r="FPA308" s="15"/>
      <c r="FPC308" s="13"/>
      <c r="FPD308" s="35"/>
      <c r="FPE308" s="35"/>
      <c r="FPF308" s="15"/>
      <c r="FPH308" s="13"/>
      <c r="FPI308" s="35"/>
      <c r="FPJ308" s="35"/>
      <c r="FPK308" s="15"/>
      <c r="FPM308" s="13"/>
      <c r="FPN308" s="35"/>
      <c r="FPO308" s="35"/>
      <c r="FPP308" s="15"/>
      <c r="FPR308" s="13"/>
      <c r="FPS308" s="35"/>
      <c r="FPT308" s="35"/>
      <c r="FPU308" s="15"/>
      <c r="FPW308" s="13"/>
      <c r="FPX308" s="35"/>
      <c r="FPY308" s="35"/>
      <c r="FPZ308" s="15"/>
      <c r="FQB308" s="13"/>
      <c r="FQC308" s="35"/>
      <c r="FQD308" s="35"/>
      <c r="FQE308" s="15"/>
      <c r="FQG308" s="13"/>
      <c r="FQH308" s="35"/>
      <c r="FQI308" s="35"/>
      <c r="FQJ308" s="15"/>
      <c r="FQL308" s="13"/>
      <c r="FQM308" s="35"/>
      <c r="FQN308" s="35"/>
      <c r="FQO308" s="15"/>
      <c r="FQQ308" s="13"/>
      <c r="FQR308" s="35"/>
      <c r="FQS308" s="35"/>
      <c r="FQT308" s="15"/>
      <c r="FQV308" s="13"/>
      <c r="FQW308" s="35"/>
      <c r="FQX308" s="35"/>
      <c r="FQY308" s="15"/>
      <c r="FRA308" s="13"/>
      <c r="FRB308" s="35"/>
      <c r="FRC308" s="35"/>
      <c r="FRD308" s="15"/>
      <c r="FRF308" s="13"/>
      <c r="FRG308" s="35"/>
      <c r="FRH308" s="35"/>
      <c r="FRI308" s="15"/>
      <c r="FRK308" s="13"/>
      <c r="FRL308" s="35"/>
      <c r="FRM308" s="35"/>
      <c r="FRN308" s="15"/>
      <c r="FRP308" s="13"/>
      <c r="FRQ308" s="35"/>
      <c r="FRR308" s="35"/>
      <c r="FRS308" s="15"/>
      <c r="FRU308" s="13"/>
      <c r="FRV308" s="35"/>
      <c r="FRW308" s="35"/>
      <c r="FRX308" s="15"/>
      <c r="FRZ308" s="13"/>
      <c r="FSA308" s="35"/>
      <c r="FSB308" s="35"/>
      <c r="FSC308" s="15"/>
      <c r="FSE308" s="13"/>
      <c r="FSF308" s="35"/>
      <c r="FSG308" s="35"/>
      <c r="FSH308" s="15"/>
      <c r="FSJ308" s="13"/>
      <c r="FSK308" s="35"/>
      <c r="FSL308" s="35"/>
      <c r="FSM308" s="15"/>
      <c r="FSO308" s="13"/>
      <c r="FSP308" s="35"/>
      <c r="FSQ308" s="35"/>
      <c r="FSR308" s="15"/>
      <c r="FST308" s="13"/>
      <c r="FSU308" s="35"/>
      <c r="FSV308" s="35"/>
      <c r="FSW308" s="15"/>
      <c r="FSY308" s="13"/>
      <c r="FSZ308" s="35"/>
      <c r="FTA308" s="35"/>
      <c r="FTB308" s="15"/>
      <c r="FTD308" s="13"/>
      <c r="FTE308" s="35"/>
      <c r="FTF308" s="35"/>
      <c r="FTG308" s="15"/>
      <c r="FTI308" s="13"/>
      <c r="FTJ308" s="35"/>
      <c r="FTK308" s="35"/>
      <c r="FTL308" s="15"/>
      <c r="FTN308" s="13"/>
      <c r="FTO308" s="35"/>
      <c r="FTP308" s="35"/>
      <c r="FTQ308" s="15"/>
      <c r="FTS308" s="13"/>
      <c r="FTT308" s="35"/>
      <c r="FTU308" s="35"/>
      <c r="FTV308" s="15"/>
      <c r="FTX308" s="13"/>
      <c r="FTY308" s="35"/>
      <c r="FTZ308" s="35"/>
      <c r="FUA308" s="15"/>
      <c r="FUC308" s="13"/>
      <c r="FUD308" s="35"/>
      <c r="FUE308" s="35"/>
      <c r="FUF308" s="15"/>
      <c r="FUH308" s="13"/>
      <c r="FUI308" s="35"/>
      <c r="FUJ308" s="35"/>
      <c r="FUK308" s="15"/>
      <c r="FUM308" s="13"/>
      <c r="FUN308" s="35"/>
      <c r="FUO308" s="35"/>
      <c r="FUP308" s="15"/>
      <c r="FUR308" s="13"/>
      <c r="FUS308" s="35"/>
      <c r="FUT308" s="35"/>
      <c r="FUU308" s="15"/>
      <c r="FUW308" s="13"/>
      <c r="FUX308" s="35"/>
      <c r="FUY308" s="35"/>
      <c r="FUZ308" s="15"/>
      <c r="FVB308" s="13"/>
      <c r="FVC308" s="35"/>
      <c r="FVD308" s="35"/>
      <c r="FVE308" s="15"/>
      <c r="FVG308" s="13"/>
      <c r="FVH308" s="35"/>
      <c r="FVI308" s="35"/>
      <c r="FVJ308" s="15"/>
      <c r="FVL308" s="13"/>
      <c r="FVM308" s="35"/>
      <c r="FVN308" s="35"/>
      <c r="FVO308" s="15"/>
      <c r="FVQ308" s="13"/>
      <c r="FVR308" s="35"/>
      <c r="FVS308" s="35"/>
      <c r="FVT308" s="15"/>
      <c r="FVV308" s="13"/>
      <c r="FVW308" s="35"/>
      <c r="FVX308" s="35"/>
      <c r="FVY308" s="15"/>
      <c r="FWA308" s="13"/>
      <c r="FWB308" s="35"/>
      <c r="FWC308" s="35"/>
      <c r="FWD308" s="15"/>
      <c r="FWF308" s="13"/>
      <c r="FWG308" s="35"/>
      <c r="FWH308" s="35"/>
      <c r="FWI308" s="15"/>
      <c r="FWK308" s="13"/>
      <c r="FWL308" s="35"/>
      <c r="FWM308" s="35"/>
      <c r="FWN308" s="15"/>
      <c r="FWP308" s="13"/>
      <c r="FWQ308" s="35"/>
      <c r="FWR308" s="35"/>
      <c r="FWS308" s="15"/>
      <c r="FWU308" s="13"/>
      <c r="FWV308" s="35"/>
      <c r="FWW308" s="35"/>
      <c r="FWX308" s="15"/>
      <c r="FWZ308" s="13"/>
      <c r="FXA308" s="35"/>
      <c r="FXB308" s="35"/>
      <c r="FXC308" s="15"/>
      <c r="FXE308" s="13"/>
      <c r="FXF308" s="35"/>
      <c r="FXG308" s="35"/>
      <c r="FXH308" s="15"/>
      <c r="FXJ308" s="13"/>
      <c r="FXK308" s="35"/>
      <c r="FXL308" s="35"/>
      <c r="FXM308" s="15"/>
      <c r="FXO308" s="13"/>
      <c r="FXP308" s="35"/>
      <c r="FXQ308" s="35"/>
      <c r="FXR308" s="15"/>
      <c r="FXT308" s="13"/>
      <c r="FXU308" s="35"/>
      <c r="FXV308" s="35"/>
      <c r="FXW308" s="15"/>
      <c r="FXY308" s="13"/>
      <c r="FXZ308" s="35"/>
      <c r="FYA308" s="35"/>
      <c r="FYB308" s="15"/>
      <c r="FYD308" s="13"/>
      <c r="FYE308" s="35"/>
      <c r="FYF308" s="35"/>
      <c r="FYG308" s="15"/>
      <c r="FYI308" s="13"/>
      <c r="FYJ308" s="35"/>
      <c r="FYK308" s="35"/>
      <c r="FYL308" s="15"/>
      <c r="FYN308" s="13"/>
      <c r="FYO308" s="35"/>
      <c r="FYP308" s="35"/>
      <c r="FYQ308" s="15"/>
      <c r="FYS308" s="13"/>
      <c r="FYT308" s="35"/>
      <c r="FYU308" s="35"/>
      <c r="FYV308" s="15"/>
      <c r="FYX308" s="13"/>
      <c r="FYY308" s="35"/>
      <c r="FYZ308" s="35"/>
      <c r="FZA308" s="15"/>
      <c r="FZC308" s="13"/>
      <c r="FZD308" s="35"/>
      <c r="FZE308" s="35"/>
      <c r="FZF308" s="15"/>
      <c r="FZH308" s="13"/>
      <c r="FZI308" s="35"/>
      <c r="FZJ308" s="35"/>
      <c r="FZK308" s="15"/>
      <c r="FZM308" s="13"/>
      <c r="FZN308" s="35"/>
      <c r="FZO308" s="35"/>
      <c r="FZP308" s="15"/>
      <c r="FZR308" s="13"/>
      <c r="FZS308" s="35"/>
      <c r="FZT308" s="35"/>
      <c r="FZU308" s="15"/>
      <c r="FZW308" s="13"/>
      <c r="FZX308" s="35"/>
      <c r="FZY308" s="35"/>
      <c r="FZZ308" s="15"/>
      <c r="GAB308" s="13"/>
      <c r="GAC308" s="35"/>
      <c r="GAD308" s="35"/>
      <c r="GAE308" s="15"/>
      <c r="GAG308" s="13"/>
      <c r="GAH308" s="35"/>
      <c r="GAI308" s="35"/>
      <c r="GAJ308" s="15"/>
      <c r="GAL308" s="13"/>
      <c r="GAM308" s="35"/>
      <c r="GAN308" s="35"/>
      <c r="GAO308" s="15"/>
      <c r="GAQ308" s="13"/>
      <c r="GAR308" s="35"/>
      <c r="GAS308" s="35"/>
      <c r="GAT308" s="15"/>
      <c r="GAV308" s="13"/>
      <c r="GAW308" s="35"/>
      <c r="GAX308" s="35"/>
      <c r="GAY308" s="15"/>
      <c r="GBA308" s="13"/>
      <c r="GBB308" s="35"/>
      <c r="GBC308" s="35"/>
      <c r="GBD308" s="15"/>
      <c r="GBF308" s="13"/>
      <c r="GBG308" s="35"/>
      <c r="GBH308" s="35"/>
      <c r="GBI308" s="15"/>
      <c r="GBK308" s="13"/>
      <c r="GBL308" s="35"/>
      <c r="GBM308" s="35"/>
      <c r="GBN308" s="15"/>
      <c r="GBP308" s="13"/>
      <c r="GBQ308" s="35"/>
      <c r="GBR308" s="35"/>
      <c r="GBS308" s="15"/>
      <c r="GBU308" s="13"/>
      <c r="GBV308" s="35"/>
      <c r="GBW308" s="35"/>
      <c r="GBX308" s="15"/>
      <c r="GBZ308" s="13"/>
      <c r="GCA308" s="35"/>
      <c r="GCB308" s="35"/>
      <c r="GCC308" s="15"/>
      <c r="GCE308" s="13"/>
      <c r="GCF308" s="35"/>
      <c r="GCG308" s="35"/>
      <c r="GCH308" s="15"/>
      <c r="GCJ308" s="13"/>
      <c r="GCK308" s="35"/>
      <c r="GCL308" s="35"/>
      <c r="GCM308" s="15"/>
      <c r="GCO308" s="13"/>
      <c r="GCP308" s="35"/>
      <c r="GCQ308" s="35"/>
      <c r="GCR308" s="15"/>
      <c r="GCT308" s="13"/>
      <c r="GCU308" s="35"/>
      <c r="GCV308" s="35"/>
      <c r="GCW308" s="15"/>
      <c r="GCY308" s="13"/>
      <c r="GCZ308" s="35"/>
      <c r="GDA308" s="35"/>
      <c r="GDB308" s="15"/>
      <c r="GDD308" s="13"/>
      <c r="GDE308" s="35"/>
      <c r="GDF308" s="35"/>
      <c r="GDG308" s="15"/>
      <c r="GDI308" s="13"/>
      <c r="GDJ308" s="35"/>
      <c r="GDK308" s="35"/>
      <c r="GDL308" s="15"/>
      <c r="GDN308" s="13"/>
      <c r="GDO308" s="35"/>
      <c r="GDP308" s="35"/>
      <c r="GDQ308" s="15"/>
      <c r="GDS308" s="13"/>
      <c r="GDT308" s="35"/>
      <c r="GDU308" s="35"/>
      <c r="GDV308" s="15"/>
      <c r="GDX308" s="13"/>
      <c r="GDY308" s="35"/>
      <c r="GDZ308" s="35"/>
      <c r="GEA308" s="15"/>
      <c r="GEC308" s="13"/>
      <c r="GED308" s="35"/>
      <c r="GEE308" s="35"/>
      <c r="GEF308" s="15"/>
      <c r="GEH308" s="13"/>
      <c r="GEI308" s="35"/>
      <c r="GEJ308" s="35"/>
      <c r="GEK308" s="15"/>
      <c r="GEM308" s="13"/>
      <c r="GEN308" s="35"/>
      <c r="GEO308" s="35"/>
      <c r="GEP308" s="15"/>
      <c r="GER308" s="13"/>
      <c r="GES308" s="35"/>
      <c r="GET308" s="35"/>
      <c r="GEU308" s="15"/>
      <c r="GEW308" s="13"/>
      <c r="GEX308" s="35"/>
      <c r="GEY308" s="35"/>
      <c r="GEZ308" s="15"/>
      <c r="GFB308" s="13"/>
      <c r="GFC308" s="35"/>
      <c r="GFD308" s="35"/>
      <c r="GFE308" s="15"/>
      <c r="GFG308" s="13"/>
      <c r="GFH308" s="35"/>
      <c r="GFI308" s="35"/>
      <c r="GFJ308" s="15"/>
      <c r="GFL308" s="13"/>
      <c r="GFM308" s="35"/>
      <c r="GFN308" s="35"/>
      <c r="GFO308" s="15"/>
      <c r="GFQ308" s="13"/>
      <c r="GFR308" s="35"/>
      <c r="GFS308" s="35"/>
      <c r="GFT308" s="15"/>
      <c r="GFV308" s="13"/>
      <c r="GFW308" s="35"/>
      <c r="GFX308" s="35"/>
      <c r="GFY308" s="15"/>
      <c r="GGA308" s="13"/>
      <c r="GGB308" s="35"/>
      <c r="GGC308" s="35"/>
      <c r="GGD308" s="15"/>
      <c r="GGF308" s="13"/>
      <c r="GGG308" s="35"/>
      <c r="GGH308" s="35"/>
      <c r="GGI308" s="15"/>
      <c r="GGK308" s="13"/>
      <c r="GGL308" s="35"/>
      <c r="GGM308" s="35"/>
      <c r="GGN308" s="15"/>
      <c r="GGP308" s="13"/>
      <c r="GGQ308" s="35"/>
      <c r="GGR308" s="35"/>
      <c r="GGS308" s="15"/>
      <c r="GGU308" s="13"/>
      <c r="GGV308" s="35"/>
      <c r="GGW308" s="35"/>
      <c r="GGX308" s="15"/>
      <c r="GGZ308" s="13"/>
      <c r="GHA308" s="35"/>
      <c r="GHB308" s="35"/>
      <c r="GHC308" s="15"/>
      <c r="GHE308" s="13"/>
      <c r="GHF308" s="35"/>
      <c r="GHG308" s="35"/>
      <c r="GHH308" s="15"/>
      <c r="GHJ308" s="13"/>
      <c r="GHK308" s="35"/>
      <c r="GHL308" s="35"/>
      <c r="GHM308" s="15"/>
      <c r="GHO308" s="13"/>
      <c r="GHP308" s="35"/>
      <c r="GHQ308" s="35"/>
      <c r="GHR308" s="15"/>
      <c r="GHT308" s="13"/>
      <c r="GHU308" s="35"/>
      <c r="GHV308" s="35"/>
      <c r="GHW308" s="15"/>
      <c r="GHY308" s="13"/>
      <c r="GHZ308" s="35"/>
      <c r="GIA308" s="35"/>
      <c r="GIB308" s="15"/>
      <c r="GID308" s="13"/>
      <c r="GIE308" s="35"/>
      <c r="GIF308" s="35"/>
      <c r="GIG308" s="15"/>
      <c r="GII308" s="13"/>
      <c r="GIJ308" s="35"/>
      <c r="GIK308" s="35"/>
      <c r="GIL308" s="15"/>
      <c r="GIN308" s="13"/>
      <c r="GIO308" s="35"/>
      <c r="GIP308" s="35"/>
      <c r="GIQ308" s="15"/>
      <c r="GIS308" s="13"/>
      <c r="GIT308" s="35"/>
      <c r="GIU308" s="35"/>
      <c r="GIV308" s="15"/>
      <c r="GIX308" s="13"/>
      <c r="GIY308" s="35"/>
      <c r="GIZ308" s="35"/>
      <c r="GJA308" s="15"/>
      <c r="GJC308" s="13"/>
      <c r="GJD308" s="35"/>
      <c r="GJE308" s="35"/>
      <c r="GJF308" s="15"/>
      <c r="GJH308" s="13"/>
      <c r="GJI308" s="35"/>
      <c r="GJJ308" s="35"/>
      <c r="GJK308" s="15"/>
      <c r="GJM308" s="13"/>
      <c r="GJN308" s="35"/>
      <c r="GJO308" s="35"/>
      <c r="GJP308" s="15"/>
      <c r="GJR308" s="13"/>
      <c r="GJS308" s="35"/>
      <c r="GJT308" s="35"/>
      <c r="GJU308" s="15"/>
      <c r="GJW308" s="13"/>
      <c r="GJX308" s="35"/>
      <c r="GJY308" s="35"/>
      <c r="GJZ308" s="15"/>
      <c r="GKB308" s="13"/>
      <c r="GKC308" s="35"/>
      <c r="GKD308" s="35"/>
      <c r="GKE308" s="15"/>
      <c r="GKG308" s="13"/>
      <c r="GKH308" s="35"/>
      <c r="GKI308" s="35"/>
      <c r="GKJ308" s="15"/>
      <c r="GKL308" s="13"/>
      <c r="GKM308" s="35"/>
      <c r="GKN308" s="35"/>
      <c r="GKO308" s="15"/>
      <c r="GKQ308" s="13"/>
      <c r="GKR308" s="35"/>
      <c r="GKS308" s="35"/>
      <c r="GKT308" s="15"/>
      <c r="GKV308" s="13"/>
      <c r="GKW308" s="35"/>
      <c r="GKX308" s="35"/>
      <c r="GKY308" s="15"/>
      <c r="GLA308" s="13"/>
      <c r="GLB308" s="35"/>
      <c r="GLC308" s="35"/>
      <c r="GLD308" s="15"/>
      <c r="GLF308" s="13"/>
      <c r="GLG308" s="35"/>
      <c r="GLH308" s="35"/>
      <c r="GLI308" s="15"/>
      <c r="GLK308" s="13"/>
      <c r="GLL308" s="35"/>
      <c r="GLM308" s="35"/>
      <c r="GLN308" s="15"/>
      <c r="GLP308" s="13"/>
      <c r="GLQ308" s="35"/>
      <c r="GLR308" s="35"/>
      <c r="GLS308" s="15"/>
      <c r="GLU308" s="13"/>
      <c r="GLV308" s="35"/>
      <c r="GLW308" s="35"/>
      <c r="GLX308" s="15"/>
      <c r="GLZ308" s="13"/>
      <c r="GMA308" s="35"/>
      <c r="GMB308" s="35"/>
      <c r="GMC308" s="15"/>
      <c r="GME308" s="13"/>
      <c r="GMF308" s="35"/>
      <c r="GMG308" s="35"/>
      <c r="GMH308" s="15"/>
      <c r="GMJ308" s="13"/>
      <c r="GMK308" s="35"/>
      <c r="GML308" s="35"/>
      <c r="GMM308" s="15"/>
      <c r="GMO308" s="13"/>
      <c r="GMP308" s="35"/>
      <c r="GMQ308" s="35"/>
      <c r="GMR308" s="15"/>
      <c r="GMT308" s="13"/>
      <c r="GMU308" s="35"/>
      <c r="GMV308" s="35"/>
      <c r="GMW308" s="15"/>
      <c r="GMY308" s="13"/>
      <c r="GMZ308" s="35"/>
      <c r="GNA308" s="35"/>
      <c r="GNB308" s="15"/>
      <c r="GND308" s="13"/>
      <c r="GNE308" s="35"/>
      <c r="GNF308" s="35"/>
      <c r="GNG308" s="15"/>
      <c r="GNI308" s="13"/>
      <c r="GNJ308" s="35"/>
      <c r="GNK308" s="35"/>
      <c r="GNL308" s="15"/>
      <c r="GNN308" s="13"/>
      <c r="GNO308" s="35"/>
      <c r="GNP308" s="35"/>
      <c r="GNQ308" s="15"/>
      <c r="GNS308" s="13"/>
      <c r="GNT308" s="35"/>
      <c r="GNU308" s="35"/>
      <c r="GNV308" s="15"/>
      <c r="GNX308" s="13"/>
      <c r="GNY308" s="35"/>
      <c r="GNZ308" s="35"/>
      <c r="GOA308" s="15"/>
      <c r="GOC308" s="13"/>
      <c r="GOD308" s="35"/>
      <c r="GOE308" s="35"/>
      <c r="GOF308" s="15"/>
      <c r="GOH308" s="13"/>
      <c r="GOI308" s="35"/>
      <c r="GOJ308" s="35"/>
      <c r="GOK308" s="15"/>
      <c r="GOM308" s="13"/>
      <c r="GON308" s="35"/>
      <c r="GOO308" s="35"/>
      <c r="GOP308" s="15"/>
      <c r="GOR308" s="13"/>
      <c r="GOS308" s="35"/>
      <c r="GOT308" s="35"/>
      <c r="GOU308" s="15"/>
      <c r="GOW308" s="13"/>
      <c r="GOX308" s="35"/>
      <c r="GOY308" s="35"/>
      <c r="GOZ308" s="15"/>
      <c r="GPB308" s="13"/>
      <c r="GPC308" s="35"/>
      <c r="GPD308" s="35"/>
      <c r="GPE308" s="15"/>
      <c r="GPG308" s="13"/>
      <c r="GPH308" s="35"/>
      <c r="GPI308" s="35"/>
      <c r="GPJ308" s="15"/>
      <c r="GPL308" s="13"/>
      <c r="GPM308" s="35"/>
      <c r="GPN308" s="35"/>
      <c r="GPO308" s="15"/>
      <c r="GPQ308" s="13"/>
      <c r="GPR308" s="35"/>
      <c r="GPS308" s="35"/>
      <c r="GPT308" s="15"/>
      <c r="GPV308" s="13"/>
      <c r="GPW308" s="35"/>
      <c r="GPX308" s="35"/>
      <c r="GPY308" s="15"/>
      <c r="GQA308" s="13"/>
      <c r="GQB308" s="35"/>
      <c r="GQC308" s="35"/>
      <c r="GQD308" s="15"/>
      <c r="GQF308" s="13"/>
      <c r="GQG308" s="35"/>
      <c r="GQH308" s="35"/>
      <c r="GQI308" s="15"/>
      <c r="GQK308" s="13"/>
      <c r="GQL308" s="35"/>
      <c r="GQM308" s="35"/>
      <c r="GQN308" s="15"/>
      <c r="GQP308" s="13"/>
      <c r="GQQ308" s="35"/>
      <c r="GQR308" s="35"/>
      <c r="GQS308" s="15"/>
      <c r="GQU308" s="13"/>
      <c r="GQV308" s="35"/>
      <c r="GQW308" s="35"/>
      <c r="GQX308" s="15"/>
      <c r="GQZ308" s="13"/>
      <c r="GRA308" s="35"/>
      <c r="GRB308" s="35"/>
      <c r="GRC308" s="15"/>
      <c r="GRE308" s="13"/>
      <c r="GRF308" s="35"/>
      <c r="GRG308" s="35"/>
      <c r="GRH308" s="15"/>
      <c r="GRJ308" s="13"/>
      <c r="GRK308" s="35"/>
      <c r="GRL308" s="35"/>
      <c r="GRM308" s="15"/>
      <c r="GRO308" s="13"/>
      <c r="GRP308" s="35"/>
      <c r="GRQ308" s="35"/>
      <c r="GRR308" s="15"/>
      <c r="GRT308" s="13"/>
      <c r="GRU308" s="35"/>
      <c r="GRV308" s="35"/>
      <c r="GRW308" s="15"/>
      <c r="GRY308" s="13"/>
      <c r="GRZ308" s="35"/>
      <c r="GSA308" s="35"/>
      <c r="GSB308" s="15"/>
      <c r="GSD308" s="13"/>
      <c r="GSE308" s="35"/>
      <c r="GSF308" s="35"/>
      <c r="GSG308" s="15"/>
      <c r="GSI308" s="13"/>
      <c r="GSJ308" s="35"/>
      <c r="GSK308" s="35"/>
      <c r="GSL308" s="15"/>
      <c r="GSN308" s="13"/>
      <c r="GSO308" s="35"/>
      <c r="GSP308" s="35"/>
      <c r="GSQ308" s="15"/>
      <c r="GSS308" s="13"/>
      <c r="GST308" s="35"/>
      <c r="GSU308" s="35"/>
      <c r="GSV308" s="15"/>
      <c r="GSX308" s="13"/>
      <c r="GSY308" s="35"/>
      <c r="GSZ308" s="35"/>
      <c r="GTA308" s="15"/>
      <c r="GTC308" s="13"/>
      <c r="GTD308" s="35"/>
      <c r="GTE308" s="35"/>
      <c r="GTF308" s="15"/>
      <c r="GTH308" s="13"/>
      <c r="GTI308" s="35"/>
      <c r="GTJ308" s="35"/>
      <c r="GTK308" s="15"/>
      <c r="GTM308" s="13"/>
      <c r="GTN308" s="35"/>
      <c r="GTO308" s="35"/>
      <c r="GTP308" s="15"/>
      <c r="GTR308" s="13"/>
      <c r="GTS308" s="35"/>
      <c r="GTT308" s="35"/>
      <c r="GTU308" s="15"/>
      <c r="GTW308" s="13"/>
      <c r="GTX308" s="35"/>
      <c r="GTY308" s="35"/>
      <c r="GTZ308" s="15"/>
      <c r="GUB308" s="13"/>
      <c r="GUC308" s="35"/>
      <c r="GUD308" s="35"/>
      <c r="GUE308" s="15"/>
      <c r="GUG308" s="13"/>
      <c r="GUH308" s="35"/>
      <c r="GUI308" s="35"/>
      <c r="GUJ308" s="15"/>
      <c r="GUL308" s="13"/>
      <c r="GUM308" s="35"/>
      <c r="GUN308" s="35"/>
      <c r="GUO308" s="15"/>
      <c r="GUQ308" s="13"/>
      <c r="GUR308" s="35"/>
      <c r="GUS308" s="35"/>
      <c r="GUT308" s="15"/>
      <c r="GUV308" s="13"/>
      <c r="GUW308" s="35"/>
      <c r="GUX308" s="35"/>
      <c r="GUY308" s="15"/>
      <c r="GVA308" s="13"/>
      <c r="GVB308" s="35"/>
      <c r="GVC308" s="35"/>
      <c r="GVD308" s="15"/>
      <c r="GVF308" s="13"/>
      <c r="GVG308" s="35"/>
      <c r="GVH308" s="35"/>
      <c r="GVI308" s="15"/>
      <c r="GVK308" s="13"/>
      <c r="GVL308" s="35"/>
      <c r="GVM308" s="35"/>
      <c r="GVN308" s="15"/>
      <c r="GVP308" s="13"/>
      <c r="GVQ308" s="35"/>
      <c r="GVR308" s="35"/>
      <c r="GVS308" s="15"/>
      <c r="GVU308" s="13"/>
      <c r="GVV308" s="35"/>
      <c r="GVW308" s="35"/>
      <c r="GVX308" s="15"/>
      <c r="GVZ308" s="13"/>
      <c r="GWA308" s="35"/>
      <c r="GWB308" s="35"/>
      <c r="GWC308" s="15"/>
      <c r="GWE308" s="13"/>
      <c r="GWF308" s="35"/>
      <c r="GWG308" s="35"/>
      <c r="GWH308" s="15"/>
      <c r="GWJ308" s="13"/>
      <c r="GWK308" s="35"/>
      <c r="GWL308" s="35"/>
      <c r="GWM308" s="15"/>
      <c r="GWO308" s="13"/>
      <c r="GWP308" s="35"/>
      <c r="GWQ308" s="35"/>
      <c r="GWR308" s="15"/>
      <c r="GWT308" s="13"/>
      <c r="GWU308" s="35"/>
      <c r="GWV308" s="35"/>
      <c r="GWW308" s="15"/>
      <c r="GWY308" s="13"/>
      <c r="GWZ308" s="35"/>
      <c r="GXA308" s="35"/>
      <c r="GXB308" s="15"/>
      <c r="GXD308" s="13"/>
      <c r="GXE308" s="35"/>
      <c r="GXF308" s="35"/>
      <c r="GXG308" s="15"/>
      <c r="GXI308" s="13"/>
      <c r="GXJ308" s="35"/>
      <c r="GXK308" s="35"/>
      <c r="GXL308" s="15"/>
      <c r="GXN308" s="13"/>
      <c r="GXO308" s="35"/>
      <c r="GXP308" s="35"/>
      <c r="GXQ308" s="15"/>
      <c r="GXS308" s="13"/>
      <c r="GXT308" s="35"/>
      <c r="GXU308" s="35"/>
      <c r="GXV308" s="15"/>
      <c r="GXX308" s="13"/>
      <c r="GXY308" s="35"/>
      <c r="GXZ308" s="35"/>
      <c r="GYA308" s="15"/>
      <c r="GYC308" s="13"/>
      <c r="GYD308" s="35"/>
      <c r="GYE308" s="35"/>
      <c r="GYF308" s="15"/>
      <c r="GYH308" s="13"/>
      <c r="GYI308" s="35"/>
      <c r="GYJ308" s="35"/>
      <c r="GYK308" s="15"/>
      <c r="GYM308" s="13"/>
      <c r="GYN308" s="35"/>
      <c r="GYO308" s="35"/>
      <c r="GYP308" s="15"/>
      <c r="GYR308" s="13"/>
      <c r="GYS308" s="35"/>
      <c r="GYT308" s="35"/>
      <c r="GYU308" s="15"/>
      <c r="GYW308" s="13"/>
      <c r="GYX308" s="35"/>
      <c r="GYY308" s="35"/>
      <c r="GYZ308" s="15"/>
      <c r="GZB308" s="13"/>
      <c r="GZC308" s="35"/>
      <c r="GZD308" s="35"/>
      <c r="GZE308" s="15"/>
      <c r="GZG308" s="13"/>
      <c r="GZH308" s="35"/>
      <c r="GZI308" s="35"/>
      <c r="GZJ308" s="15"/>
      <c r="GZL308" s="13"/>
      <c r="GZM308" s="35"/>
      <c r="GZN308" s="35"/>
      <c r="GZO308" s="15"/>
      <c r="GZQ308" s="13"/>
      <c r="GZR308" s="35"/>
      <c r="GZS308" s="35"/>
      <c r="GZT308" s="15"/>
      <c r="GZV308" s="13"/>
      <c r="GZW308" s="35"/>
      <c r="GZX308" s="35"/>
      <c r="GZY308" s="15"/>
      <c r="HAA308" s="13"/>
      <c r="HAB308" s="35"/>
      <c r="HAC308" s="35"/>
      <c r="HAD308" s="15"/>
      <c r="HAF308" s="13"/>
      <c r="HAG308" s="35"/>
      <c r="HAH308" s="35"/>
      <c r="HAI308" s="15"/>
      <c r="HAK308" s="13"/>
      <c r="HAL308" s="35"/>
      <c r="HAM308" s="35"/>
      <c r="HAN308" s="15"/>
      <c r="HAP308" s="13"/>
      <c r="HAQ308" s="35"/>
      <c r="HAR308" s="35"/>
      <c r="HAS308" s="15"/>
      <c r="HAU308" s="13"/>
      <c r="HAV308" s="35"/>
      <c r="HAW308" s="35"/>
      <c r="HAX308" s="15"/>
      <c r="HAZ308" s="13"/>
      <c r="HBA308" s="35"/>
      <c r="HBB308" s="35"/>
      <c r="HBC308" s="15"/>
      <c r="HBE308" s="13"/>
      <c r="HBF308" s="35"/>
      <c r="HBG308" s="35"/>
      <c r="HBH308" s="15"/>
      <c r="HBJ308" s="13"/>
      <c r="HBK308" s="35"/>
      <c r="HBL308" s="35"/>
      <c r="HBM308" s="15"/>
      <c r="HBO308" s="13"/>
      <c r="HBP308" s="35"/>
      <c r="HBQ308" s="35"/>
      <c r="HBR308" s="15"/>
      <c r="HBT308" s="13"/>
      <c r="HBU308" s="35"/>
      <c r="HBV308" s="35"/>
      <c r="HBW308" s="15"/>
      <c r="HBY308" s="13"/>
      <c r="HBZ308" s="35"/>
      <c r="HCA308" s="35"/>
      <c r="HCB308" s="15"/>
      <c r="HCD308" s="13"/>
      <c r="HCE308" s="35"/>
      <c r="HCF308" s="35"/>
      <c r="HCG308" s="15"/>
      <c r="HCI308" s="13"/>
      <c r="HCJ308" s="35"/>
      <c r="HCK308" s="35"/>
      <c r="HCL308" s="15"/>
      <c r="HCN308" s="13"/>
      <c r="HCO308" s="35"/>
      <c r="HCP308" s="35"/>
      <c r="HCQ308" s="15"/>
      <c r="HCS308" s="13"/>
      <c r="HCT308" s="35"/>
      <c r="HCU308" s="35"/>
      <c r="HCV308" s="15"/>
      <c r="HCX308" s="13"/>
      <c r="HCY308" s="35"/>
      <c r="HCZ308" s="35"/>
      <c r="HDA308" s="15"/>
      <c r="HDC308" s="13"/>
      <c r="HDD308" s="35"/>
      <c r="HDE308" s="35"/>
      <c r="HDF308" s="15"/>
      <c r="HDH308" s="13"/>
      <c r="HDI308" s="35"/>
      <c r="HDJ308" s="35"/>
      <c r="HDK308" s="15"/>
      <c r="HDM308" s="13"/>
      <c r="HDN308" s="35"/>
      <c r="HDO308" s="35"/>
      <c r="HDP308" s="15"/>
      <c r="HDR308" s="13"/>
      <c r="HDS308" s="35"/>
      <c r="HDT308" s="35"/>
      <c r="HDU308" s="15"/>
      <c r="HDW308" s="13"/>
      <c r="HDX308" s="35"/>
      <c r="HDY308" s="35"/>
      <c r="HDZ308" s="15"/>
      <c r="HEB308" s="13"/>
      <c r="HEC308" s="35"/>
      <c r="HED308" s="35"/>
      <c r="HEE308" s="15"/>
      <c r="HEG308" s="13"/>
      <c r="HEH308" s="35"/>
      <c r="HEI308" s="35"/>
      <c r="HEJ308" s="15"/>
      <c r="HEL308" s="13"/>
      <c r="HEM308" s="35"/>
      <c r="HEN308" s="35"/>
      <c r="HEO308" s="15"/>
      <c r="HEQ308" s="13"/>
      <c r="HER308" s="35"/>
      <c r="HES308" s="35"/>
      <c r="HET308" s="15"/>
      <c r="HEV308" s="13"/>
      <c r="HEW308" s="35"/>
      <c r="HEX308" s="35"/>
      <c r="HEY308" s="15"/>
      <c r="HFA308" s="13"/>
      <c r="HFB308" s="35"/>
      <c r="HFC308" s="35"/>
      <c r="HFD308" s="15"/>
      <c r="HFF308" s="13"/>
      <c r="HFG308" s="35"/>
      <c r="HFH308" s="35"/>
      <c r="HFI308" s="15"/>
      <c r="HFK308" s="13"/>
      <c r="HFL308" s="35"/>
      <c r="HFM308" s="35"/>
      <c r="HFN308" s="15"/>
      <c r="HFP308" s="13"/>
      <c r="HFQ308" s="35"/>
      <c r="HFR308" s="35"/>
      <c r="HFS308" s="15"/>
      <c r="HFU308" s="13"/>
      <c r="HFV308" s="35"/>
      <c r="HFW308" s="35"/>
      <c r="HFX308" s="15"/>
      <c r="HFZ308" s="13"/>
      <c r="HGA308" s="35"/>
      <c r="HGB308" s="35"/>
      <c r="HGC308" s="15"/>
      <c r="HGE308" s="13"/>
      <c r="HGF308" s="35"/>
      <c r="HGG308" s="35"/>
      <c r="HGH308" s="15"/>
      <c r="HGJ308" s="13"/>
      <c r="HGK308" s="35"/>
      <c r="HGL308" s="35"/>
      <c r="HGM308" s="15"/>
      <c r="HGO308" s="13"/>
      <c r="HGP308" s="35"/>
      <c r="HGQ308" s="35"/>
      <c r="HGR308" s="15"/>
      <c r="HGT308" s="13"/>
      <c r="HGU308" s="35"/>
      <c r="HGV308" s="35"/>
      <c r="HGW308" s="15"/>
      <c r="HGY308" s="13"/>
      <c r="HGZ308" s="35"/>
      <c r="HHA308" s="35"/>
      <c r="HHB308" s="15"/>
      <c r="HHD308" s="13"/>
      <c r="HHE308" s="35"/>
      <c r="HHF308" s="35"/>
      <c r="HHG308" s="15"/>
      <c r="HHI308" s="13"/>
      <c r="HHJ308" s="35"/>
      <c r="HHK308" s="35"/>
      <c r="HHL308" s="15"/>
      <c r="HHN308" s="13"/>
      <c r="HHO308" s="35"/>
      <c r="HHP308" s="35"/>
      <c r="HHQ308" s="15"/>
      <c r="HHS308" s="13"/>
      <c r="HHT308" s="35"/>
      <c r="HHU308" s="35"/>
      <c r="HHV308" s="15"/>
      <c r="HHX308" s="13"/>
      <c r="HHY308" s="35"/>
      <c r="HHZ308" s="35"/>
      <c r="HIA308" s="15"/>
      <c r="HIC308" s="13"/>
      <c r="HID308" s="35"/>
      <c r="HIE308" s="35"/>
      <c r="HIF308" s="15"/>
      <c r="HIH308" s="13"/>
      <c r="HII308" s="35"/>
      <c r="HIJ308" s="35"/>
      <c r="HIK308" s="15"/>
      <c r="HIM308" s="13"/>
      <c r="HIN308" s="35"/>
      <c r="HIO308" s="35"/>
      <c r="HIP308" s="15"/>
      <c r="HIR308" s="13"/>
      <c r="HIS308" s="35"/>
      <c r="HIT308" s="35"/>
      <c r="HIU308" s="15"/>
      <c r="HIW308" s="13"/>
      <c r="HIX308" s="35"/>
      <c r="HIY308" s="35"/>
      <c r="HIZ308" s="15"/>
      <c r="HJB308" s="13"/>
      <c r="HJC308" s="35"/>
      <c r="HJD308" s="35"/>
      <c r="HJE308" s="15"/>
      <c r="HJG308" s="13"/>
      <c r="HJH308" s="35"/>
      <c r="HJI308" s="35"/>
      <c r="HJJ308" s="15"/>
      <c r="HJL308" s="13"/>
      <c r="HJM308" s="35"/>
      <c r="HJN308" s="35"/>
      <c r="HJO308" s="15"/>
      <c r="HJQ308" s="13"/>
      <c r="HJR308" s="35"/>
      <c r="HJS308" s="35"/>
      <c r="HJT308" s="15"/>
      <c r="HJV308" s="13"/>
      <c r="HJW308" s="35"/>
      <c r="HJX308" s="35"/>
      <c r="HJY308" s="15"/>
      <c r="HKA308" s="13"/>
      <c r="HKB308" s="35"/>
      <c r="HKC308" s="35"/>
      <c r="HKD308" s="15"/>
      <c r="HKF308" s="13"/>
      <c r="HKG308" s="35"/>
      <c r="HKH308" s="35"/>
      <c r="HKI308" s="15"/>
      <c r="HKK308" s="13"/>
      <c r="HKL308" s="35"/>
      <c r="HKM308" s="35"/>
      <c r="HKN308" s="15"/>
      <c r="HKP308" s="13"/>
      <c r="HKQ308" s="35"/>
      <c r="HKR308" s="35"/>
      <c r="HKS308" s="15"/>
      <c r="HKU308" s="13"/>
      <c r="HKV308" s="35"/>
      <c r="HKW308" s="35"/>
      <c r="HKX308" s="15"/>
      <c r="HKZ308" s="13"/>
      <c r="HLA308" s="35"/>
      <c r="HLB308" s="35"/>
      <c r="HLC308" s="15"/>
      <c r="HLE308" s="13"/>
      <c r="HLF308" s="35"/>
      <c r="HLG308" s="35"/>
      <c r="HLH308" s="15"/>
      <c r="HLJ308" s="13"/>
      <c r="HLK308" s="35"/>
      <c r="HLL308" s="35"/>
      <c r="HLM308" s="15"/>
      <c r="HLO308" s="13"/>
      <c r="HLP308" s="35"/>
      <c r="HLQ308" s="35"/>
      <c r="HLR308" s="15"/>
      <c r="HLT308" s="13"/>
      <c r="HLU308" s="35"/>
      <c r="HLV308" s="35"/>
      <c r="HLW308" s="15"/>
      <c r="HLY308" s="13"/>
      <c r="HLZ308" s="35"/>
      <c r="HMA308" s="35"/>
      <c r="HMB308" s="15"/>
      <c r="HMD308" s="13"/>
      <c r="HME308" s="35"/>
      <c r="HMF308" s="35"/>
      <c r="HMG308" s="15"/>
      <c r="HMI308" s="13"/>
      <c r="HMJ308" s="35"/>
      <c r="HMK308" s="35"/>
      <c r="HML308" s="15"/>
      <c r="HMN308" s="13"/>
      <c r="HMO308" s="35"/>
      <c r="HMP308" s="35"/>
      <c r="HMQ308" s="15"/>
      <c r="HMS308" s="13"/>
      <c r="HMT308" s="35"/>
      <c r="HMU308" s="35"/>
      <c r="HMV308" s="15"/>
      <c r="HMX308" s="13"/>
      <c r="HMY308" s="35"/>
      <c r="HMZ308" s="35"/>
      <c r="HNA308" s="15"/>
      <c r="HNC308" s="13"/>
      <c r="HND308" s="35"/>
      <c r="HNE308" s="35"/>
      <c r="HNF308" s="15"/>
      <c r="HNH308" s="13"/>
      <c r="HNI308" s="35"/>
      <c r="HNJ308" s="35"/>
      <c r="HNK308" s="15"/>
      <c r="HNM308" s="13"/>
      <c r="HNN308" s="35"/>
      <c r="HNO308" s="35"/>
      <c r="HNP308" s="15"/>
      <c r="HNR308" s="13"/>
      <c r="HNS308" s="35"/>
      <c r="HNT308" s="35"/>
      <c r="HNU308" s="15"/>
      <c r="HNW308" s="13"/>
      <c r="HNX308" s="35"/>
      <c r="HNY308" s="35"/>
      <c r="HNZ308" s="15"/>
      <c r="HOB308" s="13"/>
      <c r="HOC308" s="35"/>
      <c r="HOD308" s="35"/>
      <c r="HOE308" s="15"/>
      <c r="HOG308" s="13"/>
      <c r="HOH308" s="35"/>
      <c r="HOI308" s="35"/>
      <c r="HOJ308" s="15"/>
      <c r="HOL308" s="13"/>
      <c r="HOM308" s="35"/>
      <c r="HON308" s="35"/>
      <c r="HOO308" s="15"/>
      <c r="HOQ308" s="13"/>
      <c r="HOR308" s="35"/>
      <c r="HOS308" s="35"/>
      <c r="HOT308" s="15"/>
      <c r="HOV308" s="13"/>
      <c r="HOW308" s="35"/>
      <c r="HOX308" s="35"/>
      <c r="HOY308" s="15"/>
      <c r="HPA308" s="13"/>
      <c r="HPB308" s="35"/>
      <c r="HPC308" s="35"/>
      <c r="HPD308" s="15"/>
      <c r="HPF308" s="13"/>
      <c r="HPG308" s="35"/>
      <c r="HPH308" s="35"/>
      <c r="HPI308" s="15"/>
      <c r="HPK308" s="13"/>
      <c r="HPL308" s="35"/>
      <c r="HPM308" s="35"/>
      <c r="HPN308" s="15"/>
      <c r="HPP308" s="13"/>
      <c r="HPQ308" s="35"/>
      <c r="HPR308" s="35"/>
      <c r="HPS308" s="15"/>
      <c r="HPU308" s="13"/>
      <c r="HPV308" s="35"/>
      <c r="HPW308" s="35"/>
      <c r="HPX308" s="15"/>
      <c r="HPZ308" s="13"/>
      <c r="HQA308" s="35"/>
      <c r="HQB308" s="35"/>
      <c r="HQC308" s="15"/>
      <c r="HQE308" s="13"/>
      <c r="HQF308" s="35"/>
      <c r="HQG308" s="35"/>
      <c r="HQH308" s="15"/>
      <c r="HQJ308" s="13"/>
      <c r="HQK308" s="35"/>
      <c r="HQL308" s="35"/>
      <c r="HQM308" s="15"/>
      <c r="HQO308" s="13"/>
      <c r="HQP308" s="35"/>
      <c r="HQQ308" s="35"/>
      <c r="HQR308" s="15"/>
      <c r="HQT308" s="13"/>
      <c r="HQU308" s="35"/>
      <c r="HQV308" s="35"/>
      <c r="HQW308" s="15"/>
      <c r="HQY308" s="13"/>
      <c r="HQZ308" s="35"/>
      <c r="HRA308" s="35"/>
      <c r="HRB308" s="15"/>
      <c r="HRD308" s="13"/>
      <c r="HRE308" s="35"/>
      <c r="HRF308" s="35"/>
      <c r="HRG308" s="15"/>
      <c r="HRI308" s="13"/>
      <c r="HRJ308" s="35"/>
      <c r="HRK308" s="35"/>
      <c r="HRL308" s="15"/>
      <c r="HRN308" s="13"/>
      <c r="HRO308" s="35"/>
      <c r="HRP308" s="35"/>
      <c r="HRQ308" s="15"/>
      <c r="HRS308" s="13"/>
      <c r="HRT308" s="35"/>
      <c r="HRU308" s="35"/>
      <c r="HRV308" s="15"/>
      <c r="HRX308" s="13"/>
      <c r="HRY308" s="35"/>
      <c r="HRZ308" s="35"/>
      <c r="HSA308" s="15"/>
      <c r="HSC308" s="13"/>
      <c r="HSD308" s="35"/>
      <c r="HSE308" s="35"/>
      <c r="HSF308" s="15"/>
      <c r="HSH308" s="13"/>
      <c r="HSI308" s="35"/>
      <c r="HSJ308" s="35"/>
      <c r="HSK308" s="15"/>
      <c r="HSM308" s="13"/>
      <c r="HSN308" s="35"/>
      <c r="HSO308" s="35"/>
      <c r="HSP308" s="15"/>
      <c r="HSR308" s="13"/>
      <c r="HSS308" s="35"/>
      <c r="HST308" s="35"/>
      <c r="HSU308" s="15"/>
      <c r="HSW308" s="13"/>
      <c r="HSX308" s="35"/>
      <c r="HSY308" s="35"/>
      <c r="HSZ308" s="15"/>
      <c r="HTB308" s="13"/>
      <c r="HTC308" s="35"/>
      <c r="HTD308" s="35"/>
      <c r="HTE308" s="15"/>
      <c r="HTG308" s="13"/>
      <c r="HTH308" s="35"/>
      <c r="HTI308" s="35"/>
      <c r="HTJ308" s="15"/>
      <c r="HTL308" s="13"/>
      <c r="HTM308" s="35"/>
      <c r="HTN308" s="35"/>
      <c r="HTO308" s="15"/>
      <c r="HTQ308" s="13"/>
      <c r="HTR308" s="35"/>
      <c r="HTS308" s="35"/>
      <c r="HTT308" s="15"/>
      <c r="HTV308" s="13"/>
      <c r="HTW308" s="35"/>
      <c r="HTX308" s="35"/>
      <c r="HTY308" s="15"/>
      <c r="HUA308" s="13"/>
      <c r="HUB308" s="35"/>
      <c r="HUC308" s="35"/>
      <c r="HUD308" s="15"/>
      <c r="HUF308" s="13"/>
      <c r="HUG308" s="35"/>
      <c r="HUH308" s="35"/>
      <c r="HUI308" s="15"/>
      <c r="HUK308" s="13"/>
      <c r="HUL308" s="35"/>
      <c r="HUM308" s="35"/>
      <c r="HUN308" s="15"/>
      <c r="HUP308" s="13"/>
      <c r="HUQ308" s="35"/>
      <c r="HUR308" s="35"/>
      <c r="HUS308" s="15"/>
      <c r="HUU308" s="13"/>
      <c r="HUV308" s="35"/>
      <c r="HUW308" s="35"/>
      <c r="HUX308" s="15"/>
      <c r="HUZ308" s="13"/>
      <c r="HVA308" s="35"/>
      <c r="HVB308" s="35"/>
      <c r="HVC308" s="15"/>
      <c r="HVE308" s="13"/>
      <c r="HVF308" s="35"/>
      <c r="HVG308" s="35"/>
      <c r="HVH308" s="15"/>
      <c r="HVJ308" s="13"/>
      <c r="HVK308" s="35"/>
      <c r="HVL308" s="35"/>
      <c r="HVM308" s="15"/>
      <c r="HVO308" s="13"/>
      <c r="HVP308" s="35"/>
      <c r="HVQ308" s="35"/>
      <c r="HVR308" s="15"/>
      <c r="HVT308" s="13"/>
      <c r="HVU308" s="35"/>
      <c r="HVV308" s="35"/>
      <c r="HVW308" s="15"/>
      <c r="HVY308" s="13"/>
      <c r="HVZ308" s="35"/>
      <c r="HWA308" s="35"/>
      <c r="HWB308" s="15"/>
      <c r="HWD308" s="13"/>
      <c r="HWE308" s="35"/>
      <c r="HWF308" s="35"/>
      <c r="HWG308" s="15"/>
      <c r="HWI308" s="13"/>
      <c r="HWJ308" s="35"/>
      <c r="HWK308" s="35"/>
      <c r="HWL308" s="15"/>
      <c r="HWN308" s="13"/>
      <c r="HWO308" s="35"/>
      <c r="HWP308" s="35"/>
      <c r="HWQ308" s="15"/>
      <c r="HWS308" s="13"/>
      <c r="HWT308" s="35"/>
      <c r="HWU308" s="35"/>
      <c r="HWV308" s="15"/>
      <c r="HWX308" s="13"/>
      <c r="HWY308" s="35"/>
      <c r="HWZ308" s="35"/>
      <c r="HXA308" s="15"/>
      <c r="HXC308" s="13"/>
      <c r="HXD308" s="35"/>
      <c r="HXE308" s="35"/>
      <c r="HXF308" s="15"/>
      <c r="HXH308" s="13"/>
      <c r="HXI308" s="35"/>
      <c r="HXJ308" s="35"/>
      <c r="HXK308" s="15"/>
      <c r="HXM308" s="13"/>
      <c r="HXN308" s="35"/>
      <c r="HXO308" s="35"/>
      <c r="HXP308" s="15"/>
      <c r="HXR308" s="13"/>
      <c r="HXS308" s="35"/>
      <c r="HXT308" s="35"/>
      <c r="HXU308" s="15"/>
      <c r="HXW308" s="13"/>
      <c r="HXX308" s="35"/>
      <c r="HXY308" s="35"/>
      <c r="HXZ308" s="15"/>
      <c r="HYB308" s="13"/>
      <c r="HYC308" s="35"/>
      <c r="HYD308" s="35"/>
      <c r="HYE308" s="15"/>
      <c r="HYG308" s="13"/>
      <c r="HYH308" s="35"/>
      <c r="HYI308" s="35"/>
      <c r="HYJ308" s="15"/>
      <c r="HYL308" s="13"/>
      <c r="HYM308" s="35"/>
      <c r="HYN308" s="35"/>
      <c r="HYO308" s="15"/>
      <c r="HYQ308" s="13"/>
      <c r="HYR308" s="35"/>
      <c r="HYS308" s="35"/>
      <c r="HYT308" s="15"/>
      <c r="HYV308" s="13"/>
      <c r="HYW308" s="35"/>
      <c r="HYX308" s="35"/>
      <c r="HYY308" s="15"/>
      <c r="HZA308" s="13"/>
      <c r="HZB308" s="35"/>
      <c r="HZC308" s="35"/>
      <c r="HZD308" s="15"/>
      <c r="HZF308" s="13"/>
      <c r="HZG308" s="35"/>
      <c r="HZH308" s="35"/>
      <c r="HZI308" s="15"/>
      <c r="HZK308" s="13"/>
      <c r="HZL308" s="35"/>
      <c r="HZM308" s="35"/>
      <c r="HZN308" s="15"/>
      <c r="HZP308" s="13"/>
      <c r="HZQ308" s="35"/>
      <c r="HZR308" s="35"/>
      <c r="HZS308" s="15"/>
      <c r="HZU308" s="13"/>
      <c r="HZV308" s="35"/>
      <c r="HZW308" s="35"/>
      <c r="HZX308" s="15"/>
      <c r="HZZ308" s="13"/>
      <c r="IAA308" s="35"/>
      <c r="IAB308" s="35"/>
      <c r="IAC308" s="15"/>
      <c r="IAE308" s="13"/>
      <c r="IAF308" s="35"/>
      <c r="IAG308" s="35"/>
      <c r="IAH308" s="15"/>
      <c r="IAJ308" s="13"/>
      <c r="IAK308" s="35"/>
      <c r="IAL308" s="35"/>
      <c r="IAM308" s="15"/>
      <c r="IAO308" s="13"/>
      <c r="IAP308" s="35"/>
      <c r="IAQ308" s="35"/>
      <c r="IAR308" s="15"/>
      <c r="IAT308" s="13"/>
      <c r="IAU308" s="35"/>
      <c r="IAV308" s="35"/>
      <c r="IAW308" s="15"/>
      <c r="IAY308" s="13"/>
      <c r="IAZ308" s="35"/>
      <c r="IBA308" s="35"/>
      <c r="IBB308" s="15"/>
      <c r="IBD308" s="13"/>
      <c r="IBE308" s="35"/>
      <c r="IBF308" s="35"/>
      <c r="IBG308" s="15"/>
      <c r="IBI308" s="13"/>
      <c r="IBJ308" s="35"/>
      <c r="IBK308" s="35"/>
      <c r="IBL308" s="15"/>
      <c r="IBN308" s="13"/>
      <c r="IBO308" s="35"/>
      <c r="IBP308" s="35"/>
      <c r="IBQ308" s="15"/>
      <c r="IBS308" s="13"/>
      <c r="IBT308" s="35"/>
      <c r="IBU308" s="35"/>
      <c r="IBV308" s="15"/>
      <c r="IBX308" s="13"/>
      <c r="IBY308" s="35"/>
      <c r="IBZ308" s="35"/>
      <c r="ICA308" s="15"/>
      <c r="ICC308" s="13"/>
      <c r="ICD308" s="35"/>
      <c r="ICE308" s="35"/>
      <c r="ICF308" s="15"/>
      <c r="ICH308" s="13"/>
      <c r="ICI308" s="35"/>
      <c r="ICJ308" s="35"/>
      <c r="ICK308" s="15"/>
      <c r="ICM308" s="13"/>
      <c r="ICN308" s="35"/>
      <c r="ICO308" s="35"/>
      <c r="ICP308" s="15"/>
      <c r="ICR308" s="13"/>
      <c r="ICS308" s="35"/>
      <c r="ICT308" s="35"/>
      <c r="ICU308" s="15"/>
      <c r="ICW308" s="13"/>
      <c r="ICX308" s="35"/>
      <c r="ICY308" s="35"/>
      <c r="ICZ308" s="15"/>
      <c r="IDB308" s="13"/>
      <c r="IDC308" s="35"/>
      <c r="IDD308" s="35"/>
      <c r="IDE308" s="15"/>
      <c r="IDG308" s="13"/>
      <c r="IDH308" s="35"/>
      <c r="IDI308" s="35"/>
      <c r="IDJ308" s="15"/>
      <c r="IDL308" s="13"/>
      <c r="IDM308" s="35"/>
      <c r="IDN308" s="35"/>
      <c r="IDO308" s="15"/>
      <c r="IDQ308" s="13"/>
      <c r="IDR308" s="35"/>
      <c r="IDS308" s="35"/>
      <c r="IDT308" s="15"/>
      <c r="IDV308" s="13"/>
      <c r="IDW308" s="35"/>
      <c r="IDX308" s="35"/>
      <c r="IDY308" s="15"/>
      <c r="IEA308" s="13"/>
      <c r="IEB308" s="35"/>
      <c r="IEC308" s="35"/>
      <c r="IED308" s="15"/>
      <c r="IEF308" s="13"/>
      <c r="IEG308" s="35"/>
      <c r="IEH308" s="35"/>
      <c r="IEI308" s="15"/>
      <c r="IEK308" s="13"/>
      <c r="IEL308" s="35"/>
      <c r="IEM308" s="35"/>
      <c r="IEN308" s="15"/>
      <c r="IEP308" s="13"/>
      <c r="IEQ308" s="35"/>
      <c r="IER308" s="35"/>
      <c r="IES308" s="15"/>
      <c r="IEU308" s="13"/>
      <c r="IEV308" s="35"/>
      <c r="IEW308" s="35"/>
      <c r="IEX308" s="15"/>
      <c r="IEZ308" s="13"/>
      <c r="IFA308" s="35"/>
      <c r="IFB308" s="35"/>
      <c r="IFC308" s="15"/>
      <c r="IFE308" s="13"/>
      <c r="IFF308" s="35"/>
      <c r="IFG308" s="35"/>
      <c r="IFH308" s="15"/>
      <c r="IFJ308" s="13"/>
      <c r="IFK308" s="35"/>
      <c r="IFL308" s="35"/>
      <c r="IFM308" s="15"/>
      <c r="IFO308" s="13"/>
      <c r="IFP308" s="35"/>
      <c r="IFQ308" s="35"/>
      <c r="IFR308" s="15"/>
      <c r="IFT308" s="13"/>
      <c r="IFU308" s="35"/>
      <c r="IFV308" s="35"/>
      <c r="IFW308" s="15"/>
      <c r="IFY308" s="13"/>
      <c r="IFZ308" s="35"/>
      <c r="IGA308" s="35"/>
      <c r="IGB308" s="15"/>
      <c r="IGD308" s="13"/>
      <c r="IGE308" s="35"/>
      <c r="IGF308" s="35"/>
      <c r="IGG308" s="15"/>
      <c r="IGI308" s="13"/>
      <c r="IGJ308" s="35"/>
      <c r="IGK308" s="35"/>
      <c r="IGL308" s="15"/>
      <c r="IGN308" s="13"/>
      <c r="IGO308" s="35"/>
      <c r="IGP308" s="35"/>
      <c r="IGQ308" s="15"/>
      <c r="IGS308" s="13"/>
      <c r="IGT308" s="35"/>
      <c r="IGU308" s="35"/>
      <c r="IGV308" s="15"/>
      <c r="IGX308" s="13"/>
      <c r="IGY308" s="35"/>
      <c r="IGZ308" s="35"/>
      <c r="IHA308" s="15"/>
      <c r="IHC308" s="13"/>
      <c r="IHD308" s="35"/>
      <c r="IHE308" s="35"/>
      <c r="IHF308" s="15"/>
      <c r="IHH308" s="13"/>
      <c r="IHI308" s="35"/>
      <c r="IHJ308" s="35"/>
      <c r="IHK308" s="15"/>
      <c r="IHM308" s="13"/>
      <c r="IHN308" s="35"/>
      <c r="IHO308" s="35"/>
      <c r="IHP308" s="15"/>
      <c r="IHR308" s="13"/>
      <c r="IHS308" s="35"/>
      <c r="IHT308" s="35"/>
      <c r="IHU308" s="15"/>
      <c r="IHW308" s="13"/>
      <c r="IHX308" s="35"/>
      <c r="IHY308" s="35"/>
      <c r="IHZ308" s="15"/>
      <c r="IIB308" s="13"/>
      <c r="IIC308" s="35"/>
      <c r="IID308" s="35"/>
      <c r="IIE308" s="15"/>
      <c r="IIG308" s="13"/>
      <c r="IIH308" s="35"/>
      <c r="III308" s="35"/>
      <c r="IIJ308" s="15"/>
      <c r="IIL308" s="13"/>
      <c r="IIM308" s="35"/>
      <c r="IIN308" s="35"/>
      <c r="IIO308" s="15"/>
      <c r="IIQ308" s="13"/>
      <c r="IIR308" s="35"/>
      <c r="IIS308" s="35"/>
      <c r="IIT308" s="15"/>
      <c r="IIV308" s="13"/>
      <c r="IIW308" s="35"/>
      <c r="IIX308" s="35"/>
      <c r="IIY308" s="15"/>
      <c r="IJA308" s="13"/>
      <c r="IJB308" s="35"/>
      <c r="IJC308" s="35"/>
      <c r="IJD308" s="15"/>
      <c r="IJF308" s="13"/>
      <c r="IJG308" s="35"/>
      <c r="IJH308" s="35"/>
      <c r="IJI308" s="15"/>
      <c r="IJK308" s="13"/>
      <c r="IJL308" s="35"/>
      <c r="IJM308" s="35"/>
      <c r="IJN308" s="15"/>
      <c r="IJP308" s="13"/>
      <c r="IJQ308" s="35"/>
      <c r="IJR308" s="35"/>
      <c r="IJS308" s="15"/>
      <c r="IJU308" s="13"/>
      <c r="IJV308" s="35"/>
      <c r="IJW308" s="35"/>
      <c r="IJX308" s="15"/>
      <c r="IJZ308" s="13"/>
      <c r="IKA308" s="35"/>
      <c r="IKB308" s="35"/>
      <c r="IKC308" s="15"/>
      <c r="IKE308" s="13"/>
      <c r="IKF308" s="35"/>
      <c r="IKG308" s="35"/>
      <c r="IKH308" s="15"/>
      <c r="IKJ308" s="13"/>
      <c r="IKK308" s="35"/>
      <c r="IKL308" s="35"/>
      <c r="IKM308" s="15"/>
      <c r="IKO308" s="13"/>
      <c r="IKP308" s="35"/>
      <c r="IKQ308" s="35"/>
      <c r="IKR308" s="15"/>
      <c r="IKT308" s="13"/>
      <c r="IKU308" s="35"/>
      <c r="IKV308" s="35"/>
      <c r="IKW308" s="15"/>
      <c r="IKY308" s="13"/>
      <c r="IKZ308" s="35"/>
      <c r="ILA308" s="35"/>
      <c r="ILB308" s="15"/>
      <c r="ILD308" s="13"/>
      <c r="ILE308" s="35"/>
      <c r="ILF308" s="35"/>
      <c r="ILG308" s="15"/>
      <c r="ILI308" s="13"/>
      <c r="ILJ308" s="35"/>
      <c r="ILK308" s="35"/>
      <c r="ILL308" s="15"/>
      <c r="ILN308" s="13"/>
      <c r="ILO308" s="35"/>
      <c r="ILP308" s="35"/>
      <c r="ILQ308" s="15"/>
      <c r="ILS308" s="13"/>
      <c r="ILT308" s="35"/>
      <c r="ILU308" s="35"/>
      <c r="ILV308" s="15"/>
      <c r="ILX308" s="13"/>
      <c r="ILY308" s="35"/>
      <c r="ILZ308" s="35"/>
      <c r="IMA308" s="15"/>
      <c r="IMC308" s="13"/>
      <c r="IMD308" s="35"/>
      <c r="IME308" s="35"/>
      <c r="IMF308" s="15"/>
      <c r="IMH308" s="13"/>
      <c r="IMI308" s="35"/>
      <c r="IMJ308" s="35"/>
      <c r="IMK308" s="15"/>
      <c r="IMM308" s="13"/>
      <c r="IMN308" s="35"/>
      <c r="IMO308" s="35"/>
      <c r="IMP308" s="15"/>
      <c r="IMR308" s="13"/>
      <c r="IMS308" s="35"/>
      <c r="IMT308" s="35"/>
      <c r="IMU308" s="15"/>
      <c r="IMW308" s="13"/>
      <c r="IMX308" s="35"/>
      <c r="IMY308" s="35"/>
      <c r="IMZ308" s="15"/>
      <c r="INB308" s="13"/>
      <c r="INC308" s="35"/>
      <c r="IND308" s="35"/>
      <c r="INE308" s="15"/>
      <c r="ING308" s="13"/>
      <c r="INH308" s="35"/>
      <c r="INI308" s="35"/>
      <c r="INJ308" s="15"/>
      <c r="INL308" s="13"/>
      <c r="INM308" s="35"/>
      <c r="INN308" s="35"/>
      <c r="INO308" s="15"/>
      <c r="INQ308" s="13"/>
      <c r="INR308" s="35"/>
      <c r="INS308" s="35"/>
      <c r="INT308" s="15"/>
      <c r="INV308" s="13"/>
      <c r="INW308" s="35"/>
      <c r="INX308" s="35"/>
      <c r="INY308" s="15"/>
      <c r="IOA308" s="13"/>
      <c r="IOB308" s="35"/>
      <c r="IOC308" s="35"/>
      <c r="IOD308" s="15"/>
      <c r="IOF308" s="13"/>
      <c r="IOG308" s="35"/>
      <c r="IOH308" s="35"/>
      <c r="IOI308" s="15"/>
      <c r="IOK308" s="13"/>
      <c r="IOL308" s="35"/>
      <c r="IOM308" s="35"/>
      <c r="ION308" s="15"/>
      <c r="IOP308" s="13"/>
      <c r="IOQ308" s="35"/>
      <c r="IOR308" s="35"/>
      <c r="IOS308" s="15"/>
      <c r="IOU308" s="13"/>
      <c r="IOV308" s="35"/>
      <c r="IOW308" s="35"/>
      <c r="IOX308" s="15"/>
      <c r="IOZ308" s="13"/>
      <c r="IPA308" s="35"/>
      <c r="IPB308" s="35"/>
      <c r="IPC308" s="15"/>
      <c r="IPE308" s="13"/>
      <c r="IPF308" s="35"/>
      <c r="IPG308" s="35"/>
      <c r="IPH308" s="15"/>
      <c r="IPJ308" s="13"/>
      <c r="IPK308" s="35"/>
      <c r="IPL308" s="35"/>
      <c r="IPM308" s="15"/>
      <c r="IPO308" s="13"/>
      <c r="IPP308" s="35"/>
      <c r="IPQ308" s="35"/>
      <c r="IPR308" s="15"/>
      <c r="IPT308" s="13"/>
      <c r="IPU308" s="35"/>
      <c r="IPV308" s="35"/>
      <c r="IPW308" s="15"/>
      <c r="IPY308" s="13"/>
      <c r="IPZ308" s="35"/>
      <c r="IQA308" s="35"/>
      <c r="IQB308" s="15"/>
      <c r="IQD308" s="13"/>
      <c r="IQE308" s="35"/>
      <c r="IQF308" s="35"/>
      <c r="IQG308" s="15"/>
      <c r="IQI308" s="13"/>
      <c r="IQJ308" s="35"/>
      <c r="IQK308" s="35"/>
      <c r="IQL308" s="15"/>
      <c r="IQN308" s="13"/>
      <c r="IQO308" s="35"/>
      <c r="IQP308" s="35"/>
      <c r="IQQ308" s="15"/>
      <c r="IQS308" s="13"/>
      <c r="IQT308" s="35"/>
      <c r="IQU308" s="35"/>
      <c r="IQV308" s="15"/>
      <c r="IQX308" s="13"/>
      <c r="IQY308" s="35"/>
      <c r="IQZ308" s="35"/>
      <c r="IRA308" s="15"/>
      <c r="IRC308" s="13"/>
      <c r="IRD308" s="35"/>
      <c r="IRE308" s="35"/>
      <c r="IRF308" s="15"/>
      <c r="IRH308" s="13"/>
      <c r="IRI308" s="35"/>
      <c r="IRJ308" s="35"/>
      <c r="IRK308" s="15"/>
      <c r="IRM308" s="13"/>
      <c r="IRN308" s="35"/>
      <c r="IRO308" s="35"/>
      <c r="IRP308" s="15"/>
      <c r="IRR308" s="13"/>
      <c r="IRS308" s="35"/>
      <c r="IRT308" s="35"/>
      <c r="IRU308" s="15"/>
      <c r="IRW308" s="13"/>
      <c r="IRX308" s="35"/>
      <c r="IRY308" s="35"/>
      <c r="IRZ308" s="15"/>
      <c r="ISB308" s="13"/>
      <c r="ISC308" s="35"/>
      <c r="ISD308" s="35"/>
      <c r="ISE308" s="15"/>
      <c r="ISG308" s="13"/>
      <c r="ISH308" s="35"/>
      <c r="ISI308" s="35"/>
      <c r="ISJ308" s="15"/>
      <c r="ISL308" s="13"/>
      <c r="ISM308" s="35"/>
      <c r="ISN308" s="35"/>
      <c r="ISO308" s="15"/>
      <c r="ISQ308" s="13"/>
      <c r="ISR308" s="35"/>
      <c r="ISS308" s="35"/>
      <c r="IST308" s="15"/>
      <c r="ISV308" s="13"/>
      <c r="ISW308" s="35"/>
      <c r="ISX308" s="35"/>
      <c r="ISY308" s="15"/>
      <c r="ITA308" s="13"/>
      <c r="ITB308" s="35"/>
      <c r="ITC308" s="35"/>
      <c r="ITD308" s="15"/>
      <c r="ITF308" s="13"/>
      <c r="ITG308" s="35"/>
      <c r="ITH308" s="35"/>
      <c r="ITI308" s="15"/>
      <c r="ITK308" s="13"/>
      <c r="ITL308" s="35"/>
      <c r="ITM308" s="35"/>
      <c r="ITN308" s="15"/>
      <c r="ITP308" s="13"/>
      <c r="ITQ308" s="35"/>
      <c r="ITR308" s="35"/>
      <c r="ITS308" s="15"/>
      <c r="ITU308" s="13"/>
      <c r="ITV308" s="35"/>
      <c r="ITW308" s="35"/>
      <c r="ITX308" s="15"/>
      <c r="ITZ308" s="13"/>
      <c r="IUA308" s="35"/>
      <c r="IUB308" s="35"/>
      <c r="IUC308" s="15"/>
      <c r="IUE308" s="13"/>
      <c r="IUF308" s="35"/>
      <c r="IUG308" s="35"/>
      <c r="IUH308" s="15"/>
      <c r="IUJ308" s="13"/>
      <c r="IUK308" s="35"/>
      <c r="IUL308" s="35"/>
      <c r="IUM308" s="15"/>
      <c r="IUO308" s="13"/>
      <c r="IUP308" s="35"/>
      <c r="IUQ308" s="35"/>
      <c r="IUR308" s="15"/>
      <c r="IUT308" s="13"/>
      <c r="IUU308" s="35"/>
      <c r="IUV308" s="35"/>
      <c r="IUW308" s="15"/>
      <c r="IUY308" s="13"/>
      <c r="IUZ308" s="35"/>
      <c r="IVA308" s="35"/>
      <c r="IVB308" s="15"/>
      <c r="IVD308" s="13"/>
      <c r="IVE308" s="35"/>
      <c r="IVF308" s="35"/>
      <c r="IVG308" s="15"/>
      <c r="IVI308" s="13"/>
      <c r="IVJ308" s="35"/>
      <c r="IVK308" s="35"/>
      <c r="IVL308" s="15"/>
      <c r="IVN308" s="13"/>
      <c r="IVO308" s="35"/>
      <c r="IVP308" s="35"/>
      <c r="IVQ308" s="15"/>
      <c r="IVS308" s="13"/>
      <c r="IVT308" s="35"/>
      <c r="IVU308" s="35"/>
      <c r="IVV308" s="15"/>
      <c r="IVX308" s="13"/>
      <c r="IVY308" s="35"/>
      <c r="IVZ308" s="35"/>
      <c r="IWA308" s="15"/>
      <c r="IWC308" s="13"/>
      <c r="IWD308" s="35"/>
      <c r="IWE308" s="35"/>
      <c r="IWF308" s="15"/>
      <c r="IWH308" s="13"/>
      <c r="IWI308" s="35"/>
      <c r="IWJ308" s="35"/>
      <c r="IWK308" s="15"/>
      <c r="IWM308" s="13"/>
      <c r="IWN308" s="35"/>
      <c r="IWO308" s="35"/>
      <c r="IWP308" s="15"/>
      <c r="IWR308" s="13"/>
      <c r="IWS308" s="35"/>
      <c r="IWT308" s="35"/>
      <c r="IWU308" s="15"/>
      <c r="IWW308" s="13"/>
      <c r="IWX308" s="35"/>
      <c r="IWY308" s="35"/>
      <c r="IWZ308" s="15"/>
      <c r="IXB308" s="13"/>
      <c r="IXC308" s="35"/>
      <c r="IXD308" s="35"/>
      <c r="IXE308" s="15"/>
      <c r="IXG308" s="13"/>
      <c r="IXH308" s="35"/>
      <c r="IXI308" s="35"/>
      <c r="IXJ308" s="15"/>
      <c r="IXL308" s="13"/>
      <c r="IXM308" s="35"/>
      <c r="IXN308" s="35"/>
      <c r="IXO308" s="15"/>
      <c r="IXQ308" s="13"/>
      <c r="IXR308" s="35"/>
      <c r="IXS308" s="35"/>
      <c r="IXT308" s="15"/>
      <c r="IXV308" s="13"/>
      <c r="IXW308" s="35"/>
      <c r="IXX308" s="35"/>
      <c r="IXY308" s="15"/>
      <c r="IYA308" s="13"/>
      <c r="IYB308" s="35"/>
      <c r="IYC308" s="35"/>
      <c r="IYD308" s="15"/>
      <c r="IYF308" s="13"/>
      <c r="IYG308" s="35"/>
      <c r="IYH308" s="35"/>
      <c r="IYI308" s="15"/>
      <c r="IYK308" s="13"/>
      <c r="IYL308" s="35"/>
      <c r="IYM308" s="35"/>
      <c r="IYN308" s="15"/>
      <c r="IYP308" s="13"/>
      <c r="IYQ308" s="35"/>
      <c r="IYR308" s="35"/>
      <c r="IYS308" s="15"/>
      <c r="IYU308" s="13"/>
      <c r="IYV308" s="35"/>
      <c r="IYW308" s="35"/>
      <c r="IYX308" s="15"/>
      <c r="IYZ308" s="13"/>
      <c r="IZA308" s="35"/>
      <c r="IZB308" s="35"/>
      <c r="IZC308" s="15"/>
      <c r="IZE308" s="13"/>
      <c r="IZF308" s="35"/>
      <c r="IZG308" s="35"/>
      <c r="IZH308" s="15"/>
      <c r="IZJ308" s="13"/>
      <c r="IZK308" s="35"/>
      <c r="IZL308" s="35"/>
      <c r="IZM308" s="15"/>
      <c r="IZO308" s="13"/>
      <c r="IZP308" s="35"/>
      <c r="IZQ308" s="35"/>
      <c r="IZR308" s="15"/>
      <c r="IZT308" s="13"/>
      <c r="IZU308" s="35"/>
      <c r="IZV308" s="35"/>
      <c r="IZW308" s="15"/>
      <c r="IZY308" s="13"/>
      <c r="IZZ308" s="35"/>
      <c r="JAA308" s="35"/>
      <c r="JAB308" s="15"/>
      <c r="JAD308" s="13"/>
      <c r="JAE308" s="35"/>
      <c r="JAF308" s="35"/>
      <c r="JAG308" s="15"/>
      <c r="JAI308" s="13"/>
      <c r="JAJ308" s="35"/>
      <c r="JAK308" s="35"/>
      <c r="JAL308" s="15"/>
      <c r="JAN308" s="13"/>
      <c r="JAO308" s="35"/>
      <c r="JAP308" s="35"/>
      <c r="JAQ308" s="15"/>
      <c r="JAS308" s="13"/>
      <c r="JAT308" s="35"/>
      <c r="JAU308" s="35"/>
      <c r="JAV308" s="15"/>
      <c r="JAX308" s="13"/>
      <c r="JAY308" s="35"/>
      <c r="JAZ308" s="35"/>
      <c r="JBA308" s="15"/>
      <c r="JBC308" s="13"/>
      <c r="JBD308" s="35"/>
      <c r="JBE308" s="35"/>
      <c r="JBF308" s="15"/>
      <c r="JBH308" s="13"/>
      <c r="JBI308" s="35"/>
      <c r="JBJ308" s="35"/>
      <c r="JBK308" s="15"/>
      <c r="JBM308" s="13"/>
      <c r="JBN308" s="35"/>
      <c r="JBO308" s="35"/>
      <c r="JBP308" s="15"/>
      <c r="JBR308" s="13"/>
      <c r="JBS308" s="35"/>
      <c r="JBT308" s="35"/>
      <c r="JBU308" s="15"/>
      <c r="JBW308" s="13"/>
      <c r="JBX308" s="35"/>
      <c r="JBY308" s="35"/>
      <c r="JBZ308" s="15"/>
      <c r="JCB308" s="13"/>
      <c r="JCC308" s="35"/>
      <c r="JCD308" s="35"/>
      <c r="JCE308" s="15"/>
      <c r="JCG308" s="13"/>
      <c r="JCH308" s="35"/>
      <c r="JCI308" s="35"/>
      <c r="JCJ308" s="15"/>
      <c r="JCL308" s="13"/>
      <c r="JCM308" s="35"/>
      <c r="JCN308" s="35"/>
      <c r="JCO308" s="15"/>
      <c r="JCQ308" s="13"/>
      <c r="JCR308" s="35"/>
      <c r="JCS308" s="35"/>
      <c r="JCT308" s="15"/>
      <c r="JCV308" s="13"/>
      <c r="JCW308" s="35"/>
      <c r="JCX308" s="35"/>
      <c r="JCY308" s="15"/>
      <c r="JDA308" s="13"/>
      <c r="JDB308" s="35"/>
      <c r="JDC308" s="35"/>
      <c r="JDD308" s="15"/>
      <c r="JDF308" s="13"/>
      <c r="JDG308" s="35"/>
      <c r="JDH308" s="35"/>
      <c r="JDI308" s="15"/>
      <c r="JDK308" s="13"/>
      <c r="JDL308" s="35"/>
      <c r="JDM308" s="35"/>
      <c r="JDN308" s="15"/>
      <c r="JDP308" s="13"/>
      <c r="JDQ308" s="35"/>
      <c r="JDR308" s="35"/>
      <c r="JDS308" s="15"/>
      <c r="JDU308" s="13"/>
      <c r="JDV308" s="35"/>
      <c r="JDW308" s="35"/>
      <c r="JDX308" s="15"/>
      <c r="JDZ308" s="13"/>
      <c r="JEA308" s="35"/>
      <c r="JEB308" s="35"/>
      <c r="JEC308" s="15"/>
      <c r="JEE308" s="13"/>
      <c r="JEF308" s="35"/>
      <c r="JEG308" s="35"/>
      <c r="JEH308" s="15"/>
      <c r="JEJ308" s="13"/>
      <c r="JEK308" s="35"/>
      <c r="JEL308" s="35"/>
      <c r="JEM308" s="15"/>
      <c r="JEO308" s="13"/>
      <c r="JEP308" s="35"/>
      <c r="JEQ308" s="35"/>
      <c r="JER308" s="15"/>
      <c r="JET308" s="13"/>
      <c r="JEU308" s="35"/>
      <c r="JEV308" s="35"/>
      <c r="JEW308" s="15"/>
      <c r="JEY308" s="13"/>
      <c r="JEZ308" s="35"/>
      <c r="JFA308" s="35"/>
      <c r="JFB308" s="15"/>
      <c r="JFD308" s="13"/>
      <c r="JFE308" s="35"/>
      <c r="JFF308" s="35"/>
      <c r="JFG308" s="15"/>
      <c r="JFI308" s="13"/>
      <c r="JFJ308" s="35"/>
      <c r="JFK308" s="35"/>
      <c r="JFL308" s="15"/>
      <c r="JFN308" s="13"/>
      <c r="JFO308" s="35"/>
      <c r="JFP308" s="35"/>
      <c r="JFQ308" s="15"/>
      <c r="JFS308" s="13"/>
      <c r="JFT308" s="35"/>
      <c r="JFU308" s="35"/>
      <c r="JFV308" s="15"/>
      <c r="JFX308" s="13"/>
      <c r="JFY308" s="35"/>
      <c r="JFZ308" s="35"/>
      <c r="JGA308" s="15"/>
      <c r="JGC308" s="13"/>
      <c r="JGD308" s="35"/>
      <c r="JGE308" s="35"/>
      <c r="JGF308" s="15"/>
      <c r="JGH308" s="13"/>
      <c r="JGI308" s="35"/>
      <c r="JGJ308" s="35"/>
      <c r="JGK308" s="15"/>
      <c r="JGM308" s="13"/>
      <c r="JGN308" s="35"/>
      <c r="JGO308" s="35"/>
      <c r="JGP308" s="15"/>
      <c r="JGR308" s="13"/>
      <c r="JGS308" s="35"/>
      <c r="JGT308" s="35"/>
      <c r="JGU308" s="15"/>
      <c r="JGW308" s="13"/>
      <c r="JGX308" s="35"/>
      <c r="JGY308" s="35"/>
      <c r="JGZ308" s="15"/>
      <c r="JHB308" s="13"/>
      <c r="JHC308" s="35"/>
      <c r="JHD308" s="35"/>
      <c r="JHE308" s="15"/>
      <c r="JHG308" s="13"/>
      <c r="JHH308" s="35"/>
      <c r="JHI308" s="35"/>
      <c r="JHJ308" s="15"/>
      <c r="JHL308" s="13"/>
      <c r="JHM308" s="35"/>
      <c r="JHN308" s="35"/>
      <c r="JHO308" s="15"/>
      <c r="JHQ308" s="13"/>
      <c r="JHR308" s="35"/>
      <c r="JHS308" s="35"/>
      <c r="JHT308" s="15"/>
      <c r="JHV308" s="13"/>
      <c r="JHW308" s="35"/>
      <c r="JHX308" s="35"/>
      <c r="JHY308" s="15"/>
      <c r="JIA308" s="13"/>
      <c r="JIB308" s="35"/>
      <c r="JIC308" s="35"/>
      <c r="JID308" s="15"/>
      <c r="JIF308" s="13"/>
      <c r="JIG308" s="35"/>
      <c r="JIH308" s="35"/>
      <c r="JII308" s="15"/>
      <c r="JIK308" s="13"/>
      <c r="JIL308" s="35"/>
      <c r="JIM308" s="35"/>
      <c r="JIN308" s="15"/>
      <c r="JIP308" s="13"/>
      <c r="JIQ308" s="35"/>
      <c r="JIR308" s="35"/>
      <c r="JIS308" s="15"/>
      <c r="JIU308" s="13"/>
      <c r="JIV308" s="35"/>
      <c r="JIW308" s="35"/>
      <c r="JIX308" s="15"/>
      <c r="JIZ308" s="13"/>
      <c r="JJA308" s="35"/>
      <c r="JJB308" s="35"/>
      <c r="JJC308" s="15"/>
      <c r="JJE308" s="13"/>
      <c r="JJF308" s="35"/>
      <c r="JJG308" s="35"/>
      <c r="JJH308" s="15"/>
      <c r="JJJ308" s="13"/>
      <c r="JJK308" s="35"/>
      <c r="JJL308" s="35"/>
      <c r="JJM308" s="15"/>
      <c r="JJO308" s="13"/>
      <c r="JJP308" s="35"/>
      <c r="JJQ308" s="35"/>
      <c r="JJR308" s="15"/>
      <c r="JJT308" s="13"/>
      <c r="JJU308" s="35"/>
      <c r="JJV308" s="35"/>
      <c r="JJW308" s="15"/>
      <c r="JJY308" s="13"/>
      <c r="JJZ308" s="35"/>
      <c r="JKA308" s="35"/>
      <c r="JKB308" s="15"/>
      <c r="JKD308" s="13"/>
      <c r="JKE308" s="35"/>
      <c r="JKF308" s="35"/>
      <c r="JKG308" s="15"/>
      <c r="JKI308" s="13"/>
      <c r="JKJ308" s="35"/>
      <c r="JKK308" s="35"/>
      <c r="JKL308" s="15"/>
      <c r="JKN308" s="13"/>
      <c r="JKO308" s="35"/>
      <c r="JKP308" s="35"/>
      <c r="JKQ308" s="15"/>
      <c r="JKS308" s="13"/>
      <c r="JKT308" s="35"/>
      <c r="JKU308" s="35"/>
      <c r="JKV308" s="15"/>
      <c r="JKX308" s="13"/>
      <c r="JKY308" s="35"/>
      <c r="JKZ308" s="35"/>
      <c r="JLA308" s="15"/>
      <c r="JLC308" s="13"/>
      <c r="JLD308" s="35"/>
      <c r="JLE308" s="35"/>
      <c r="JLF308" s="15"/>
      <c r="JLH308" s="13"/>
      <c r="JLI308" s="35"/>
      <c r="JLJ308" s="35"/>
      <c r="JLK308" s="15"/>
      <c r="JLM308" s="13"/>
      <c r="JLN308" s="35"/>
      <c r="JLO308" s="35"/>
      <c r="JLP308" s="15"/>
      <c r="JLR308" s="13"/>
      <c r="JLS308" s="35"/>
      <c r="JLT308" s="35"/>
      <c r="JLU308" s="15"/>
      <c r="JLW308" s="13"/>
      <c r="JLX308" s="35"/>
      <c r="JLY308" s="35"/>
      <c r="JLZ308" s="15"/>
      <c r="JMB308" s="13"/>
      <c r="JMC308" s="35"/>
      <c r="JMD308" s="35"/>
      <c r="JME308" s="15"/>
      <c r="JMG308" s="13"/>
      <c r="JMH308" s="35"/>
      <c r="JMI308" s="35"/>
      <c r="JMJ308" s="15"/>
      <c r="JML308" s="13"/>
      <c r="JMM308" s="35"/>
      <c r="JMN308" s="35"/>
      <c r="JMO308" s="15"/>
      <c r="JMQ308" s="13"/>
      <c r="JMR308" s="35"/>
      <c r="JMS308" s="35"/>
      <c r="JMT308" s="15"/>
      <c r="JMV308" s="13"/>
      <c r="JMW308" s="35"/>
      <c r="JMX308" s="35"/>
      <c r="JMY308" s="15"/>
      <c r="JNA308" s="13"/>
      <c r="JNB308" s="35"/>
      <c r="JNC308" s="35"/>
      <c r="JND308" s="15"/>
      <c r="JNF308" s="13"/>
      <c r="JNG308" s="35"/>
      <c r="JNH308" s="35"/>
      <c r="JNI308" s="15"/>
      <c r="JNK308" s="13"/>
      <c r="JNL308" s="35"/>
      <c r="JNM308" s="35"/>
      <c r="JNN308" s="15"/>
      <c r="JNP308" s="13"/>
      <c r="JNQ308" s="35"/>
      <c r="JNR308" s="35"/>
      <c r="JNS308" s="15"/>
      <c r="JNU308" s="13"/>
      <c r="JNV308" s="35"/>
      <c r="JNW308" s="35"/>
      <c r="JNX308" s="15"/>
      <c r="JNZ308" s="13"/>
      <c r="JOA308" s="35"/>
      <c r="JOB308" s="35"/>
      <c r="JOC308" s="15"/>
      <c r="JOE308" s="13"/>
      <c r="JOF308" s="35"/>
      <c r="JOG308" s="35"/>
      <c r="JOH308" s="15"/>
      <c r="JOJ308" s="13"/>
      <c r="JOK308" s="35"/>
      <c r="JOL308" s="35"/>
      <c r="JOM308" s="15"/>
      <c r="JOO308" s="13"/>
      <c r="JOP308" s="35"/>
      <c r="JOQ308" s="35"/>
      <c r="JOR308" s="15"/>
      <c r="JOT308" s="13"/>
      <c r="JOU308" s="35"/>
      <c r="JOV308" s="35"/>
      <c r="JOW308" s="15"/>
      <c r="JOY308" s="13"/>
      <c r="JOZ308" s="35"/>
      <c r="JPA308" s="35"/>
      <c r="JPB308" s="15"/>
      <c r="JPD308" s="13"/>
      <c r="JPE308" s="35"/>
      <c r="JPF308" s="35"/>
      <c r="JPG308" s="15"/>
      <c r="JPI308" s="13"/>
      <c r="JPJ308" s="35"/>
      <c r="JPK308" s="35"/>
      <c r="JPL308" s="15"/>
      <c r="JPN308" s="13"/>
      <c r="JPO308" s="35"/>
      <c r="JPP308" s="35"/>
      <c r="JPQ308" s="15"/>
      <c r="JPS308" s="13"/>
      <c r="JPT308" s="35"/>
      <c r="JPU308" s="35"/>
      <c r="JPV308" s="15"/>
      <c r="JPX308" s="13"/>
      <c r="JPY308" s="35"/>
      <c r="JPZ308" s="35"/>
      <c r="JQA308" s="15"/>
      <c r="JQC308" s="13"/>
      <c r="JQD308" s="35"/>
      <c r="JQE308" s="35"/>
      <c r="JQF308" s="15"/>
      <c r="JQH308" s="13"/>
      <c r="JQI308" s="35"/>
      <c r="JQJ308" s="35"/>
      <c r="JQK308" s="15"/>
      <c r="JQM308" s="13"/>
      <c r="JQN308" s="35"/>
      <c r="JQO308" s="35"/>
      <c r="JQP308" s="15"/>
      <c r="JQR308" s="13"/>
      <c r="JQS308" s="35"/>
      <c r="JQT308" s="35"/>
      <c r="JQU308" s="15"/>
      <c r="JQW308" s="13"/>
      <c r="JQX308" s="35"/>
      <c r="JQY308" s="35"/>
      <c r="JQZ308" s="15"/>
      <c r="JRB308" s="13"/>
      <c r="JRC308" s="35"/>
      <c r="JRD308" s="35"/>
      <c r="JRE308" s="15"/>
      <c r="JRG308" s="13"/>
      <c r="JRH308" s="35"/>
      <c r="JRI308" s="35"/>
      <c r="JRJ308" s="15"/>
      <c r="JRL308" s="13"/>
      <c r="JRM308" s="35"/>
      <c r="JRN308" s="35"/>
      <c r="JRO308" s="15"/>
      <c r="JRQ308" s="13"/>
      <c r="JRR308" s="35"/>
      <c r="JRS308" s="35"/>
      <c r="JRT308" s="15"/>
      <c r="JRV308" s="13"/>
      <c r="JRW308" s="35"/>
      <c r="JRX308" s="35"/>
      <c r="JRY308" s="15"/>
      <c r="JSA308" s="13"/>
      <c r="JSB308" s="35"/>
      <c r="JSC308" s="35"/>
      <c r="JSD308" s="15"/>
      <c r="JSF308" s="13"/>
      <c r="JSG308" s="35"/>
      <c r="JSH308" s="35"/>
      <c r="JSI308" s="15"/>
      <c r="JSK308" s="13"/>
      <c r="JSL308" s="35"/>
      <c r="JSM308" s="35"/>
      <c r="JSN308" s="15"/>
      <c r="JSP308" s="13"/>
      <c r="JSQ308" s="35"/>
      <c r="JSR308" s="35"/>
      <c r="JSS308" s="15"/>
      <c r="JSU308" s="13"/>
      <c r="JSV308" s="35"/>
      <c r="JSW308" s="35"/>
      <c r="JSX308" s="15"/>
      <c r="JSZ308" s="13"/>
      <c r="JTA308" s="35"/>
      <c r="JTB308" s="35"/>
      <c r="JTC308" s="15"/>
      <c r="JTE308" s="13"/>
      <c r="JTF308" s="35"/>
      <c r="JTG308" s="35"/>
      <c r="JTH308" s="15"/>
      <c r="JTJ308" s="13"/>
      <c r="JTK308" s="35"/>
      <c r="JTL308" s="35"/>
      <c r="JTM308" s="15"/>
      <c r="JTO308" s="13"/>
      <c r="JTP308" s="35"/>
      <c r="JTQ308" s="35"/>
      <c r="JTR308" s="15"/>
      <c r="JTT308" s="13"/>
      <c r="JTU308" s="35"/>
      <c r="JTV308" s="35"/>
      <c r="JTW308" s="15"/>
      <c r="JTY308" s="13"/>
      <c r="JTZ308" s="35"/>
      <c r="JUA308" s="35"/>
      <c r="JUB308" s="15"/>
      <c r="JUD308" s="13"/>
      <c r="JUE308" s="35"/>
      <c r="JUF308" s="35"/>
      <c r="JUG308" s="15"/>
      <c r="JUI308" s="13"/>
      <c r="JUJ308" s="35"/>
      <c r="JUK308" s="35"/>
      <c r="JUL308" s="15"/>
      <c r="JUN308" s="13"/>
      <c r="JUO308" s="35"/>
      <c r="JUP308" s="35"/>
      <c r="JUQ308" s="15"/>
      <c r="JUS308" s="13"/>
      <c r="JUT308" s="35"/>
      <c r="JUU308" s="35"/>
      <c r="JUV308" s="15"/>
      <c r="JUX308" s="13"/>
      <c r="JUY308" s="35"/>
      <c r="JUZ308" s="35"/>
      <c r="JVA308" s="15"/>
      <c r="JVC308" s="13"/>
      <c r="JVD308" s="35"/>
      <c r="JVE308" s="35"/>
      <c r="JVF308" s="15"/>
      <c r="JVH308" s="13"/>
      <c r="JVI308" s="35"/>
      <c r="JVJ308" s="35"/>
      <c r="JVK308" s="15"/>
      <c r="JVM308" s="13"/>
      <c r="JVN308" s="35"/>
      <c r="JVO308" s="35"/>
      <c r="JVP308" s="15"/>
      <c r="JVR308" s="13"/>
      <c r="JVS308" s="35"/>
      <c r="JVT308" s="35"/>
      <c r="JVU308" s="15"/>
      <c r="JVW308" s="13"/>
      <c r="JVX308" s="35"/>
      <c r="JVY308" s="35"/>
      <c r="JVZ308" s="15"/>
      <c r="JWB308" s="13"/>
      <c r="JWC308" s="35"/>
      <c r="JWD308" s="35"/>
      <c r="JWE308" s="15"/>
      <c r="JWG308" s="13"/>
      <c r="JWH308" s="35"/>
      <c r="JWI308" s="35"/>
      <c r="JWJ308" s="15"/>
      <c r="JWL308" s="13"/>
      <c r="JWM308" s="35"/>
      <c r="JWN308" s="35"/>
      <c r="JWO308" s="15"/>
      <c r="JWQ308" s="13"/>
      <c r="JWR308" s="35"/>
      <c r="JWS308" s="35"/>
      <c r="JWT308" s="15"/>
      <c r="JWV308" s="13"/>
      <c r="JWW308" s="35"/>
      <c r="JWX308" s="35"/>
      <c r="JWY308" s="15"/>
      <c r="JXA308" s="13"/>
      <c r="JXB308" s="35"/>
      <c r="JXC308" s="35"/>
      <c r="JXD308" s="15"/>
      <c r="JXF308" s="13"/>
      <c r="JXG308" s="35"/>
      <c r="JXH308" s="35"/>
      <c r="JXI308" s="15"/>
      <c r="JXK308" s="13"/>
      <c r="JXL308" s="35"/>
      <c r="JXM308" s="35"/>
      <c r="JXN308" s="15"/>
      <c r="JXP308" s="13"/>
      <c r="JXQ308" s="35"/>
      <c r="JXR308" s="35"/>
      <c r="JXS308" s="15"/>
      <c r="JXU308" s="13"/>
      <c r="JXV308" s="35"/>
      <c r="JXW308" s="35"/>
      <c r="JXX308" s="15"/>
      <c r="JXZ308" s="13"/>
      <c r="JYA308" s="35"/>
      <c r="JYB308" s="35"/>
      <c r="JYC308" s="15"/>
      <c r="JYE308" s="13"/>
      <c r="JYF308" s="35"/>
      <c r="JYG308" s="35"/>
      <c r="JYH308" s="15"/>
      <c r="JYJ308" s="13"/>
      <c r="JYK308" s="35"/>
      <c r="JYL308" s="35"/>
      <c r="JYM308" s="15"/>
      <c r="JYO308" s="13"/>
      <c r="JYP308" s="35"/>
      <c r="JYQ308" s="35"/>
      <c r="JYR308" s="15"/>
      <c r="JYT308" s="13"/>
      <c r="JYU308" s="35"/>
      <c r="JYV308" s="35"/>
      <c r="JYW308" s="15"/>
      <c r="JYY308" s="13"/>
      <c r="JYZ308" s="35"/>
      <c r="JZA308" s="35"/>
      <c r="JZB308" s="15"/>
      <c r="JZD308" s="13"/>
      <c r="JZE308" s="35"/>
      <c r="JZF308" s="35"/>
      <c r="JZG308" s="15"/>
      <c r="JZI308" s="13"/>
      <c r="JZJ308" s="35"/>
      <c r="JZK308" s="35"/>
      <c r="JZL308" s="15"/>
      <c r="JZN308" s="13"/>
      <c r="JZO308" s="35"/>
      <c r="JZP308" s="35"/>
      <c r="JZQ308" s="15"/>
      <c r="JZS308" s="13"/>
      <c r="JZT308" s="35"/>
      <c r="JZU308" s="35"/>
      <c r="JZV308" s="15"/>
      <c r="JZX308" s="13"/>
      <c r="JZY308" s="35"/>
      <c r="JZZ308" s="35"/>
      <c r="KAA308" s="15"/>
      <c r="KAC308" s="13"/>
      <c r="KAD308" s="35"/>
      <c r="KAE308" s="35"/>
      <c r="KAF308" s="15"/>
      <c r="KAH308" s="13"/>
      <c r="KAI308" s="35"/>
      <c r="KAJ308" s="35"/>
      <c r="KAK308" s="15"/>
      <c r="KAM308" s="13"/>
      <c r="KAN308" s="35"/>
      <c r="KAO308" s="35"/>
      <c r="KAP308" s="15"/>
      <c r="KAR308" s="13"/>
      <c r="KAS308" s="35"/>
      <c r="KAT308" s="35"/>
      <c r="KAU308" s="15"/>
      <c r="KAW308" s="13"/>
      <c r="KAX308" s="35"/>
      <c r="KAY308" s="35"/>
      <c r="KAZ308" s="15"/>
      <c r="KBB308" s="13"/>
      <c r="KBC308" s="35"/>
      <c r="KBD308" s="35"/>
      <c r="KBE308" s="15"/>
      <c r="KBG308" s="13"/>
      <c r="KBH308" s="35"/>
      <c r="KBI308" s="35"/>
      <c r="KBJ308" s="15"/>
      <c r="KBL308" s="13"/>
      <c r="KBM308" s="35"/>
      <c r="KBN308" s="35"/>
      <c r="KBO308" s="15"/>
      <c r="KBQ308" s="13"/>
      <c r="KBR308" s="35"/>
      <c r="KBS308" s="35"/>
      <c r="KBT308" s="15"/>
      <c r="KBV308" s="13"/>
      <c r="KBW308" s="35"/>
      <c r="KBX308" s="35"/>
      <c r="KBY308" s="15"/>
      <c r="KCA308" s="13"/>
      <c r="KCB308" s="35"/>
      <c r="KCC308" s="35"/>
      <c r="KCD308" s="15"/>
      <c r="KCF308" s="13"/>
      <c r="KCG308" s="35"/>
      <c r="KCH308" s="35"/>
      <c r="KCI308" s="15"/>
      <c r="KCK308" s="13"/>
      <c r="KCL308" s="35"/>
      <c r="KCM308" s="35"/>
      <c r="KCN308" s="15"/>
      <c r="KCP308" s="13"/>
      <c r="KCQ308" s="35"/>
      <c r="KCR308" s="35"/>
      <c r="KCS308" s="15"/>
      <c r="KCU308" s="13"/>
      <c r="KCV308" s="35"/>
      <c r="KCW308" s="35"/>
      <c r="KCX308" s="15"/>
      <c r="KCZ308" s="13"/>
      <c r="KDA308" s="35"/>
      <c r="KDB308" s="35"/>
      <c r="KDC308" s="15"/>
      <c r="KDE308" s="13"/>
      <c r="KDF308" s="35"/>
      <c r="KDG308" s="35"/>
      <c r="KDH308" s="15"/>
      <c r="KDJ308" s="13"/>
      <c r="KDK308" s="35"/>
      <c r="KDL308" s="35"/>
      <c r="KDM308" s="15"/>
      <c r="KDO308" s="13"/>
      <c r="KDP308" s="35"/>
      <c r="KDQ308" s="35"/>
      <c r="KDR308" s="15"/>
      <c r="KDT308" s="13"/>
      <c r="KDU308" s="35"/>
      <c r="KDV308" s="35"/>
      <c r="KDW308" s="15"/>
      <c r="KDY308" s="13"/>
      <c r="KDZ308" s="35"/>
      <c r="KEA308" s="35"/>
      <c r="KEB308" s="15"/>
      <c r="KED308" s="13"/>
      <c r="KEE308" s="35"/>
      <c r="KEF308" s="35"/>
      <c r="KEG308" s="15"/>
      <c r="KEI308" s="13"/>
      <c r="KEJ308" s="35"/>
      <c r="KEK308" s="35"/>
      <c r="KEL308" s="15"/>
      <c r="KEN308" s="13"/>
      <c r="KEO308" s="35"/>
      <c r="KEP308" s="35"/>
      <c r="KEQ308" s="15"/>
      <c r="KES308" s="13"/>
      <c r="KET308" s="35"/>
      <c r="KEU308" s="35"/>
      <c r="KEV308" s="15"/>
      <c r="KEX308" s="13"/>
      <c r="KEY308" s="35"/>
      <c r="KEZ308" s="35"/>
      <c r="KFA308" s="15"/>
      <c r="KFC308" s="13"/>
      <c r="KFD308" s="35"/>
      <c r="KFE308" s="35"/>
      <c r="KFF308" s="15"/>
      <c r="KFH308" s="13"/>
      <c r="KFI308" s="35"/>
      <c r="KFJ308" s="35"/>
      <c r="KFK308" s="15"/>
      <c r="KFM308" s="13"/>
      <c r="KFN308" s="35"/>
      <c r="KFO308" s="35"/>
      <c r="KFP308" s="15"/>
      <c r="KFR308" s="13"/>
      <c r="KFS308" s="35"/>
      <c r="KFT308" s="35"/>
      <c r="KFU308" s="15"/>
      <c r="KFW308" s="13"/>
      <c r="KFX308" s="35"/>
      <c r="KFY308" s="35"/>
      <c r="KFZ308" s="15"/>
      <c r="KGB308" s="13"/>
      <c r="KGC308" s="35"/>
      <c r="KGD308" s="35"/>
      <c r="KGE308" s="15"/>
      <c r="KGG308" s="13"/>
      <c r="KGH308" s="35"/>
      <c r="KGI308" s="35"/>
      <c r="KGJ308" s="15"/>
      <c r="KGL308" s="13"/>
      <c r="KGM308" s="35"/>
      <c r="KGN308" s="35"/>
      <c r="KGO308" s="15"/>
      <c r="KGQ308" s="13"/>
      <c r="KGR308" s="35"/>
      <c r="KGS308" s="35"/>
      <c r="KGT308" s="15"/>
      <c r="KGV308" s="13"/>
      <c r="KGW308" s="35"/>
      <c r="KGX308" s="35"/>
      <c r="KGY308" s="15"/>
      <c r="KHA308" s="13"/>
      <c r="KHB308" s="35"/>
      <c r="KHC308" s="35"/>
      <c r="KHD308" s="15"/>
      <c r="KHF308" s="13"/>
      <c r="KHG308" s="35"/>
      <c r="KHH308" s="35"/>
      <c r="KHI308" s="15"/>
      <c r="KHK308" s="13"/>
      <c r="KHL308" s="35"/>
      <c r="KHM308" s="35"/>
      <c r="KHN308" s="15"/>
      <c r="KHP308" s="13"/>
      <c r="KHQ308" s="35"/>
      <c r="KHR308" s="35"/>
      <c r="KHS308" s="15"/>
      <c r="KHU308" s="13"/>
      <c r="KHV308" s="35"/>
      <c r="KHW308" s="35"/>
      <c r="KHX308" s="15"/>
      <c r="KHZ308" s="13"/>
      <c r="KIA308" s="35"/>
      <c r="KIB308" s="35"/>
      <c r="KIC308" s="15"/>
      <c r="KIE308" s="13"/>
      <c r="KIF308" s="35"/>
      <c r="KIG308" s="35"/>
      <c r="KIH308" s="15"/>
      <c r="KIJ308" s="13"/>
      <c r="KIK308" s="35"/>
      <c r="KIL308" s="35"/>
      <c r="KIM308" s="15"/>
      <c r="KIO308" s="13"/>
      <c r="KIP308" s="35"/>
      <c r="KIQ308" s="35"/>
      <c r="KIR308" s="15"/>
      <c r="KIT308" s="13"/>
      <c r="KIU308" s="35"/>
      <c r="KIV308" s="35"/>
      <c r="KIW308" s="15"/>
      <c r="KIY308" s="13"/>
      <c r="KIZ308" s="35"/>
      <c r="KJA308" s="35"/>
      <c r="KJB308" s="15"/>
      <c r="KJD308" s="13"/>
      <c r="KJE308" s="35"/>
      <c r="KJF308" s="35"/>
      <c r="KJG308" s="15"/>
      <c r="KJI308" s="13"/>
      <c r="KJJ308" s="35"/>
      <c r="KJK308" s="35"/>
      <c r="KJL308" s="15"/>
      <c r="KJN308" s="13"/>
      <c r="KJO308" s="35"/>
      <c r="KJP308" s="35"/>
      <c r="KJQ308" s="15"/>
      <c r="KJS308" s="13"/>
      <c r="KJT308" s="35"/>
      <c r="KJU308" s="35"/>
      <c r="KJV308" s="15"/>
      <c r="KJX308" s="13"/>
      <c r="KJY308" s="35"/>
      <c r="KJZ308" s="35"/>
      <c r="KKA308" s="15"/>
      <c r="KKC308" s="13"/>
      <c r="KKD308" s="35"/>
      <c r="KKE308" s="35"/>
      <c r="KKF308" s="15"/>
      <c r="KKH308" s="13"/>
      <c r="KKI308" s="35"/>
      <c r="KKJ308" s="35"/>
      <c r="KKK308" s="15"/>
      <c r="KKM308" s="13"/>
      <c r="KKN308" s="35"/>
      <c r="KKO308" s="35"/>
      <c r="KKP308" s="15"/>
      <c r="KKR308" s="13"/>
      <c r="KKS308" s="35"/>
      <c r="KKT308" s="35"/>
      <c r="KKU308" s="15"/>
      <c r="KKW308" s="13"/>
      <c r="KKX308" s="35"/>
      <c r="KKY308" s="35"/>
      <c r="KKZ308" s="15"/>
      <c r="KLB308" s="13"/>
      <c r="KLC308" s="35"/>
      <c r="KLD308" s="35"/>
      <c r="KLE308" s="15"/>
      <c r="KLG308" s="13"/>
      <c r="KLH308" s="35"/>
      <c r="KLI308" s="35"/>
      <c r="KLJ308" s="15"/>
      <c r="KLL308" s="13"/>
      <c r="KLM308" s="35"/>
      <c r="KLN308" s="35"/>
      <c r="KLO308" s="15"/>
      <c r="KLQ308" s="13"/>
      <c r="KLR308" s="35"/>
      <c r="KLS308" s="35"/>
      <c r="KLT308" s="15"/>
      <c r="KLV308" s="13"/>
      <c r="KLW308" s="35"/>
      <c r="KLX308" s="35"/>
      <c r="KLY308" s="15"/>
      <c r="KMA308" s="13"/>
      <c r="KMB308" s="35"/>
      <c r="KMC308" s="35"/>
      <c r="KMD308" s="15"/>
      <c r="KMF308" s="13"/>
      <c r="KMG308" s="35"/>
      <c r="KMH308" s="35"/>
      <c r="KMI308" s="15"/>
      <c r="KMK308" s="13"/>
      <c r="KML308" s="35"/>
      <c r="KMM308" s="35"/>
      <c r="KMN308" s="15"/>
      <c r="KMP308" s="13"/>
      <c r="KMQ308" s="35"/>
      <c r="KMR308" s="35"/>
      <c r="KMS308" s="15"/>
      <c r="KMU308" s="13"/>
      <c r="KMV308" s="35"/>
      <c r="KMW308" s="35"/>
      <c r="KMX308" s="15"/>
      <c r="KMZ308" s="13"/>
      <c r="KNA308" s="35"/>
      <c r="KNB308" s="35"/>
      <c r="KNC308" s="15"/>
      <c r="KNE308" s="13"/>
      <c r="KNF308" s="35"/>
      <c r="KNG308" s="35"/>
      <c r="KNH308" s="15"/>
      <c r="KNJ308" s="13"/>
      <c r="KNK308" s="35"/>
      <c r="KNL308" s="35"/>
      <c r="KNM308" s="15"/>
      <c r="KNO308" s="13"/>
      <c r="KNP308" s="35"/>
      <c r="KNQ308" s="35"/>
      <c r="KNR308" s="15"/>
      <c r="KNT308" s="13"/>
      <c r="KNU308" s="35"/>
      <c r="KNV308" s="35"/>
      <c r="KNW308" s="15"/>
      <c r="KNY308" s="13"/>
      <c r="KNZ308" s="35"/>
      <c r="KOA308" s="35"/>
      <c r="KOB308" s="15"/>
      <c r="KOD308" s="13"/>
      <c r="KOE308" s="35"/>
      <c r="KOF308" s="35"/>
      <c r="KOG308" s="15"/>
      <c r="KOI308" s="13"/>
      <c r="KOJ308" s="35"/>
      <c r="KOK308" s="35"/>
      <c r="KOL308" s="15"/>
      <c r="KON308" s="13"/>
      <c r="KOO308" s="35"/>
      <c r="KOP308" s="35"/>
      <c r="KOQ308" s="15"/>
      <c r="KOS308" s="13"/>
      <c r="KOT308" s="35"/>
      <c r="KOU308" s="35"/>
      <c r="KOV308" s="15"/>
      <c r="KOX308" s="13"/>
      <c r="KOY308" s="35"/>
      <c r="KOZ308" s="35"/>
      <c r="KPA308" s="15"/>
      <c r="KPC308" s="13"/>
      <c r="KPD308" s="35"/>
      <c r="KPE308" s="35"/>
      <c r="KPF308" s="15"/>
      <c r="KPH308" s="13"/>
      <c r="KPI308" s="35"/>
      <c r="KPJ308" s="35"/>
      <c r="KPK308" s="15"/>
      <c r="KPM308" s="13"/>
      <c r="KPN308" s="35"/>
      <c r="KPO308" s="35"/>
      <c r="KPP308" s="15"/>
      <c r="KPR308" s="13"/>
      <c r="KPS308" s="35"/>
      <c r="KPT308" s="35"/>
      <c r="KPU308" s="15"/>
      <c r="KPW308" s="13"/>
      <c r="KPX308" s="35"/>
      <c r="KPY308" s="35"/>
      <c r="KPZ308" s="15"/>
      <c r="KQB308" s="13"/>
      <c r="KQC308" s="35"/>
      <c r="KQD308" s="35"/>
      <c r="KQE308" s="15"/>
      <c r="KQG308" s="13"/>
      <c r="KQH308" s="35"/>
      <c r="KQI308" s="35"/>
      <c r="KQJ308" s="15"/>
      <c r="KQL308" s="13"/>
      <c r="KQM308" s="35"/>
      <c r="KQN308" s="35"/>
      <c r="KQO308" s="15"/>
      <c r="KQQ308" s="13"/>
      <c r="KQR308" s="35"/>
      <c r="KQS308" s="35"/>
      <c r="KQT308" s="15"/>
      <c r="KQV308" s="13"/>
      <c r="KQW308" s="35"/>
      <c r="KQX308" s="35"/>
      <c r="KQY308" s="15"/>
      <c r="KRA308" s="13"/>
      <c r="KRB308" s="35"/>
      <c r="KRC308" s="35"/>
      <c r="KRD308" s="15"/>
      <c r="KRF308" s="13"/>
      <c r="KRG308" s="35"/>
      <c r="KRH308" s="35"/>
      <c r="KRI308" s="15"/>
      <c r="KRK308" s="13"/>
      <c r="KRL308" s="35"/>
      <c r="KRM308" s="35"/>
      <c r="KRN308" s="15"/>
      <c r="KRP308" s="13"/>
      <c r="KRQ308" s="35"/>
      <c r="KRR308" s="35"/>
      <c r="KRS308" s="15"/>
      <c r="KRU308" s="13"/>
      <c r="KRV308" s="35"/>
      <c r="KRW308" s="35"/>
      <c r="KRX308" s="15"/>
      <c r="KRZ308" s="13"/>
      <c r="KSA308" s="35"/>
      <c r="KSB308" s="35"/>
      <c r="KSC308" s="15"/>
      <c r="KSE308" s="13"/>
      <c r="KSF308" s="35"/>
      <c r="KSG308" s="35"/>
      <c r="KSH308" s="15"/>
      <c r="KSJ308" s="13"/>
      <c r="KSK308" s="35"/>
      <c r="KSL308" s="35"/>
      <c r="KSM308" s="15"/>
      <c r="KSO308" s="13"/>
      <c r="KSP308" s="35"/>
      <c r="KSQ308" s="35"/>
      <c r="KSR308" s="15"/>
      <c r="KST308" s="13"/>
      <c r="KSU308" s="35"/>
      <c r="KSV308" s="35"/>
      <c r="KSW308" s="15"/>
      <c r="KSY308" s="13"/>
      <c r="KSZ308" s="35"/>
      <c r="KTA308" s="35"/>
      <c r="KTB308" s="15"/>
      <c r="KTD308" s="13"/>
      <c r="KTE308" s="35"/>
      <c r="KTF308" s="35"/>
      <c r="KTG308" s="15"/>
      <c r="KTI308" s="13"/>
      <c r="KTJ308" s="35"/>
      <c r="KTK308" s="35"/>
      <c r="KTL308" s="15"/>
      <c r="KTN308" s="13"/>
      <c r="KTO308" s="35"/>
      <c r="KTP308" s="35"/>
      <c r="KTQ308" s="15"/>
      <c r="KTS308" s="13"/>
      <c r="KTT308" s="35"/>
      <c r="KTU308" s="35"/>
      <c r="KTV308" s="15"/>
      <c r="KTX308" s="13"/>
      <c r="KTY308" s="35"/>
      <c r="KTZ308" s="35"/>
      <c r="KUA308" s="15"/>
      <c r="KUC308" s="13"/>
      <c r="KUD308" s="35"/>
      <c r="KUE308" s="35"/>
      <c r="KUF308" s="15"/>
      <c r="KUH308" s="13"/>
      <c r="KUI308" s="35"/>
      <c r="KUJ308" s="35"/>
      <c r="KUK308" s="15"/>
      <c r="KUM308" s="13"/>
      <c r="KUN308" s="35"/>
      <c r="KUO308" s="35"/>
      <c r="KUP308" s="15"/>
      <c r="KUR308" s="13"/>
      <c r="KUS308" s="35"/>
      <c r="KUT308" s="35"/>
      <c r="KUU308" s="15"/>
      <c r="KUW308" s="13"/>
      <c r="KUX308" s="35"/>
      <c r="KUY308" s="35"/>
      <c r="KUZ308" s="15"/>
      <c r="KVB308" s="13"/>
      <c r="KVC308" s="35"/>
      <c r="KVD308" s="35"/>
      <c r="KVE308" s="15"/>
      <c r="KVG308" s="13"/>
      <c r="KVH308" s="35"/>
      <c r="KVI308" s="35"/>
      <c r="KVJ308" s="15"/>
      <c r="KVL308" s="13"/>
      <c r="KVM308" s="35"/>
      <c r="KVN308" s="35"/>
      <c r="KVO308" s="15"/>
      <c r="KVQ308" s="13"/>
      <c r="KVR308" s="35"/>
      <c r="KVS308" s="35"/>
      <c r="KVT308" s="15"/>
      <c r="KVV308" s="13"/>
      <c r="KVW308" s="35"/>
      <c r="KVX308" s="35"/>
      <c r="KVY308" s="15"/>
      <c r="KWA308" s="13"/>
      <c r="KWB308" s="35"/>
      <c r="KWC308" s="35"/>
      <c r="KWD308" s="15"/>
      <c r="KWF308" s="13"/>
      <c r="KWG308" s="35"/>
      <c r="KWH308" s="35"/>
      <c r="KWI308" s="15"/>
      <c r="KWK308" s="13"/>
      <c r="KWL308" s="35"/>
      <c r="KWM308" s="35"/>
      <c r="KWN308" s="15"/>
      <c r="KWP308" s="13"/>
      <c r="KWQ308" s="35"/>
      <c r="KWR308" s="35"/>
      <c r="KWS308" s="15"/>
      <c r="KWU308" s="13"/>
      <c r="KWV308" s="35"/>
      <c r="KWW308" s="35"/>
      <c r="KWX308" s="15"/>
      <c r="KWZ308" s="13"/>
      <c r="KXA308" s="35"/>
      <c r="KXB308" s="35"/>
      <c r="KXC308" s="15"/>
      <c r="KXE308" s="13"/>
      <c r="KXF308" s="35"/>
      <c r="KXG308" s="35"/>
      <c r="KXH308" s="15"/>
      <c r="KXJ308" s="13"/>
      <c r="KXK308" s="35"/>
      <c r="KXL308" s="35"/>
      <c r="KXM308" s="15"/>
      <c r="KXO308" s="13"/>
      <c r="KXP308" s="35"/>
      <c r="KXQ308" s="35"/>
      <c r="KXR308" s="15"/>
      <c r="KXT308" s="13"/>
      <c r="KXU308" s="35"/>
      <c r="KXV308" s="35"/>
      <c r="KXW308" s="15"/>
      <c r="KXY308" s="13"/>
      <c r="KXZ308" s="35"/>
      <c r="KYA308" s="35"/>
      <c r="KYB308" s="15"/>
      <c r="KYD308" s="13"/>
      <c r="KYE308" s="35"/>
      <c r="KYF308" s="35"/>
      <c r="KYG308" s="15"/>
      <c r="KYI308" s="13"/>
      <c r="KYJ308" s="35"/>
      <c r="KYK308" s="35"/>
      <c r="KYL308" s="15"/>
      <c r="KYN308" s="13"/>
      <c r="KYO308" s="35"/>
      <c r="KYP308" s="35"/>
      <c r="KYQ308" s="15"/>
      <c r="KYS308" s="13"/>
      <c r="KYT308" s="35"/>
      <c r="KYU308" s="35"/>
      <c r="KYV308" s="15"/>
      <c r="KYX308" s="13"/>
      <c r="KYY308" s="35"/>
      <c r="KYZ308" s="35"/>
      <c r="KZA308" s="15"/>
      <c r="KZC308" s="13"/>
      <c r="KZD308" s="35"/>
      <c r="KZE308" s="35"/>
      <c r="KZF308" s="15"/>
      <c r="KZH308" s="13"/>
      <c r="KZI308" s="35"/>
      <c r="KZJ308" s="35"/>
      <c r="KZK308" s="15"/>
      <c r="KZM308" s="13"/>
      <c r="KZN308" s="35"/>
      <c r="KZO308" s="35"/>
      <c r="KZP308" s="15"/>
      <c r="KZR308" s="13"/>
      <c r="KZS308" s="35"/>
      <c r="KZT308" s="35"/>
      <c r="KZU308" s="15"/>
      <c r="KZW308" s="13"/>
      <c r="KZX308" s="35"/>
      <c r="KZY308" s="35"/>
      <c r="KZZ308" s="15"/>
      <c r="LAB308" s="13"/>
      <c r="LAC308" s="35"/>
      <c r="LAD308" s="35"/>
      <c r="LAE308" s="15"/>
      <c r="LAG308" s="13"/>
      <c r="LAH308" s="35"/>
      <c r="LAI308" s="35"/>
      <c r="LAJ308" s="15"/>
      <c r="LAL308" s="13"/>
      <c r="LAM308" s="35"/>
      <c r="LAN308" s="35"/>
      <c r="LAO308" s="15"/>
      <c r="LAQ308" s="13"/>
      <c r="LAR308" s="35"/>
      <c r="LAS308" s="35"/>
      <c r="LAT308" s="15"/>
      <c r="LAV308" s="13"/>
      <c r="LAW308" s="35"/>
      <c r="LAX308" s="35"/>
      <c r="LAY308" s="15"/>
      <c r="LBA308" s="13"/>
      <c r="LBB308" s="35"/>
      <c r="LBC308" s="35"/>
      <c r="LBD308" s="15"/>
      <c r="LBF308" s="13"/>
      <c r="LBG308" s="35"/>
      <c r="LBH308" s="35"/>
      <c r="LBI308" s="15"/>
      <c r="LBK308" s="13"/>
      <c r="LBL308" s="35"/>
      <c r="LBM308" s="35"/>
      <c r="LBN308" s="15"/>
      <c r="LBP308" s="13"/>
      <c r="LBQ308" s="35"/>
      <c r="LBR308" s="35"/>
      <c r="LBS308" s="15"/>
      <c r="LBU308" s="13"/>
      <c r="LBV308" s="35"/>
      <c r="LBW308" s="35"/>
      <c r="LBX308" s="15"/>
      <c r="LBZ308" s="13"/>
      <c r="LCA308" s="35"/>
      <c r="LCB308" s="35"/>
      <c r="LCC308" s="15"/>
      <c r="LCE308" s="13"/>
      <c r="LCF308" s="35"/>
      <c r="LCG308" s="35"/>
      <c r="LCH308" s="15"/>
      <c r="LCJ308" s="13"/>
      <c r="LCK308" s="35"/>
      <c r="LCL308" s="35"/>
      <c r="LCM308" s="15"/>
      <c r="LCO308" s="13"/>
      <c r="LCP308" s="35"/>
      <c r="LCQ308" s="35"/>
      <c r="LCR308" s="15"/>
      <c r="LCT308" s="13"/>
      <c r="LCU308" s="35"/>
      <c r="LCV308" s="35"/>
      <c r="LCW308" s="15"/>
      <c r="LCY308" s="13"/>
      <c r="LCZ308" s="35"/>
      <c r="LDA308" s="35"/>
      <c r="LDB308" s="15"/>
      <c r="LDD308" s="13"/>
      <c r="LDE308" s="35"/>
      <c r="LDF308" s="35"/>
      <c r="LDG308" s="15"/>
      <c r="LDI308" s="13"/>
      <c r="LDJ308" s="35"/>
      <c r="LDK308" s="35"/>
      <c r="LDL308" s="15"/>
      <c r="LDN308" s="13"/>
      <c r="LDO308" s="35"/>
      <c r="LDP308" s="35"/>
      <c r="LDQ308" s="15"/>
      <c r="LDS308" s="13"/>
      <c r="LDT308" s="35"/>
      <c r="LDU308" s="35"/>
      <c r="LDV308" s="15"/>
      <c r="LDX308" s="13"/>
      <c r="LDY308" s="35"/>
      <c r="LDZ308" s="35"/>
      <c r="LEA308" s="15"/>
      <c r="LEC308" s="13"/>
      <c r="LED308" s="35"/>
      <c r="LEE308" s="35"/>
      <c r="LEF308" s="15"/>
      <c r="LEH308" s="13"/>
      <c r="LEI308" s="35"/>
      <c r="LEJ308" s="35"/>
      <c r="LEK308" s="15"/>
      <c r="LEM308" s="13"/>
      <c r="LEN308" s="35"/>
      <c r="LEO308" s="35"/>
      <c r="LEP308" s="15"/>
      <c r="LER308" s="13"/>
      <c r="LES308" s="35"/>
      <c r="LET308" s="35"/>
      <c r="LEU308" s="15"/>
      <c r="LEW308" s="13"/>
      <c r="LEX308" s="35"/>
      <c r="LEY308" s="35"/>
      <c r="LEZ308" s="15"/>
      <c r="LFB308" s="13"/>
      <c r="LFC308" s="35"/>
      <c r="LFD308" s="35"/>
      <c r="LFE308" s="15"/>
      <c r="LFG308" s="13"/>
      <c r="LFH308" s="35"/>
      <c r="LFI308" s="35"/>
      <c r="LFJ308" s="15"/>
      <c r="LFL308" s="13"/>
      <c r="LFM308" s="35"/>
      <c r="LFN308" s="35"/>
      <c r="LFO308" s="15"/>
      <c r="LFQ308" s="13"/>
      <c r="LFR308" s="35"/>
      <c r="LFS308" s="35"/>
      <c r="LFT308" s="15"/>
      <c r="LFV308" s="13"/>
      <c r="LFW308" s="35"/>
      <c r="LFX308" s="35"/>
      <c r="LFY308" s="15"/>
      <c r="LGA308" s="13"/>
      <c r="LGB308" s="35"/>
      <c r="LGC308" s="35"/>
      <c r="LGD308" s="15"/>
      <c r="LGF308" s="13"/>
      <c r="LGG308" s="35"/>
      <c r="LGH308" s="35"/>
      <c r="LGI308" s="15"/>
      <c r="LGK308" s="13"/>
      <c r="LGL308" s="35"/>
      <c r="LGM308" s="35"/>
      <c r="LGN308" s="15"/>
      <c r="LGP308" s="13"/>
      <c r="LGQ308" s="35"/>
      <c r="LGR308" s="35"/>
      <c r="LGS308" s="15"/>
      <c r="LGU308" s="13"/>
      <c r="LGV308" s="35"/>
      <c r="LGW308" s="35"/>
      <c r="LGX308" s="15"/>
      <c r="LGZ308" s="13"/>
      <c r="LHA308" s="35"/>
      <c r="LHB308" s="35"/>
      <c r="LHC308" s="15"/>
      <c r="LHE308" s="13"/>
      <c r="LHF308" s="35"/>
      <c r="LHG308" s="35"/>
      <c r="LHH308" s="15"/>
      <c r="LHJ308" s="13"/>
      <c r="LHK308" s="35"/>
      <c r="LHL308" s="35"/>
      <c r="LHM308" s="15"/>
      <c r="LHO308" s="13"/>
      <c r="LHP308" s="35"/>
      <c r="LHQ308" s="35"/>
      <c r="LHR308" s="15"/>
      <c r="LHT308" s="13"/>
      <c r="LHU308" s="35"/>
      <c r="LHV308" s="35"/>
      <c r="LHW308" s="15"/>
      <c r="LHY308" s="13"/>
      <c r="LHZ308" s="35"/>
      <c r="LIA308" s="35"/>
      <c r="LIB308" s="15"/>
      <c r="LID308" s="13"/>
      <c r="LIE308" s="35"/>
      <c r="LIF308" s="35"/>
      <c r="LIG308" s="15"/>
      <c r="LII308" s="13"/>
      <c r="LIJ308" s="35"/>
      <c r="LIK308" s="35"/>
      <c r="LIL308" s="15"/>
      <c r="LIN308" s="13"/>
      <c r="LIO308" s="35"/>
      <c r="LIP308" s="35"/>
      <c r="LIQ308" s="15"/>
      <c r="LIS308" s="13"/>
      <c r="LIT308" s="35"/>
      <c r="LIU308" s="35"/>
      <c r="LIV308" s="15"/>
      <c r="LIX308" s="13"/>
      <c r="LIY308" s="35"/>
      <c r="LIZ308" s="35"/>
      <c r="LJA308" s="15"/>
      <c r="LJC308" s="13"/>
      <c r="LJD308" s="35"/>
      <c r="LJE308" s="35"/>
      <c r="LJF308" s="15"/>
      <c r="LJH308" s="13"/>
      <c r="LJI308" s="35"/>
      <c r="LJJ308" s="35"/>
      <c r="LJK308" s="15"/>
      <c r="LJM308" s="13"/>
      <c r="LJN308" s="35"/>
      <c r="LJO308" s="35"/>
      <c r="LJP308" s="15"/>
      <c r="LJR308" s="13"/>
      <c r="LJS308" s="35"/>
      <c r="LJT308" s="35"/>
      <c r="LJU308" s="15"/>
      <c r="LJW308" s="13"/>
      <c r="LJX308" s="35"/>
      <c r="LJY308" s="35"/>
      <c r="LJZ308" s="15"/>
      <c r="LKB308" s="13"/>
      <c r="LKC308" s="35"/>
      <c r="LKD308" s="35"/>
      <c r="LKE308" s="15"/>
      <c r="LKG308" s="13"/>
      <c r="LKH308" s="35"/>
      <c r="LKI308" s="35"/>
      <c r="LKJ308" s="15"/>
      <c r="LKL308" s="13"/>
      <c r="LKM308" s="35"/>
      <c r="LKN308" s="35"/>
      <c r="LKO308" s="15"/>
      <c r="LKQ308" s="13"/>
      <c r="LKR308" s="35"/>
      <c r="LKS308" s="35"/>
      <c r="LKT308" s="15"/>
      <c r="LKV308" s="13"/>
      <c r="LKW308" s="35"/>
      <c r="LKX308" s="35"/>
      <c r="LKY308" s="15"/>
      <c r="LLA308" s="13"/>
      <c r="LLB308" s="35"/>
      <c r="LLC308" s="35"/>
      <c r="LLD308" s="15"/>
      <c r="LLF308" s="13"/>
      <c r="LLG308" s="35"/>
      <c r="LLH308" s="35"/>
      <c r="LLI308" s="15"/>
      <c r="LLK308" s="13"/>
      <c r="LLL308" s="35"/>
      <c r="LLM308" s="35"/>
      <c r="LLN308" s="15"/>
      <c r="LLP308" s="13"/>
      <c r="LLQ308" s="35"/>
      <c r="LLR308" s="35"/>
      <c r="LLS308" s="15"/>
      <c r="LLU308" s="13"/>
      <c r="LLV308" s="35"/>
      <c r="LLW308" s="35"/>
      <c r="LLX308" s="15"/>
      <c r="LLZ308" s="13"/>
      <c r="LMA308" s="35"/>
      <c r="LMB308" s="35"/>
      <c r="LMC308" s="15"/>
      <c r="LME308" s="13"/>
      <c r="LMF308" s="35"/>
      <c r="LMG308" s="35"/>
      <c r="LMH308" s="15"/>
      <c r="LMJ308" s="13"/>
      <c r="LMK308" s="35"/>
      <c r="LML308" s="35"/>
      <c r="LMM308" s="15"/>
      <c r="LMO308" s="13"/>
      <c r="LMP308" s="35"/>
      <c r="LMQ308" s="35"/>
      <c r="LMR308" s="15"/>
      <c r="LMT308" s="13"/>
      <c r="LMU308" s="35"/>
      <c r="LMV308" s="35"/>
      <c r="LMW308" s="15"/>
      <c r="LMY308" s="13"/>
      <c r="LMZ308" s="35"/>
      <c r="LNA308" s="35"/>
      <c r="LNB308" s="15"/>
      <c r="LND308" s="13"/>
      <c r="LNE308" s="35"/>
      <c r="LNF308" s="35"/>
      <c r="LNG308" s="15"/>
      <c r="LNI308" s="13"/>
      <c r="LNJ308" s="35"/>
      <c r="LNK308" s="35"/>
      <c r="LNL308" s="15"/>
      <c r="LNN308" s="13"/>
      <c r="LNO308" s="35"/>
      <c r="LNP308" s="35"/>
      <c r="LNQ308" s="15"/>
      <c r="LNS308" s="13"/>
      <c r="LNT308" s="35"/>
      <c r="LNU308" s="35"/>
      <c r="LNV308" s="15"/>
      <c r="LNX308" s="13"/>
      <c r="LNY308" s="35"/>
      <c r="LNZ308" s="35"/>
      <c r="LOA308" s="15"/>
      <c r="LOC308" s="13"/>
      <c r="LOD308" s="35"/>
      <c r="LOE308" s="35"/>
      <c r="LOF308" s="15"/>
      <c r="LOH308" s="13"/>
      <c r="LOI308" s="35"/>
      <c r="LOJ308" s="35"/>
      <c r="LOK308" s="15"/>
      <c r="LOM308" s="13"/>
      <c r="LON308" s="35"/>
      <c r="LOO308" s="35"/>
      <c r="LOP308" s="15"/>
      <c r="LOR308" s="13"/>
      <c r="LOS308" s="35"/>
      <c r="LOT308" s="35"/>
      <c r="LOU308" s="15"/>
      <c r="LOW308" s="13"/>
      <c r="LOX308" s="35"/>
      <c r="LOY308" s="35"/>
      <c r="LOZ308" s="15"/>
      <c r="LPB308" s="13"/>
      <c r="LPC308" s="35"/>
      <c r="LPD308" s="35"/>
      <c r="LPE308" s="15"/>
      <c r="LPG308" s="13"/>
      <c r="LPH308" s="35"/>
      <c r="LPI308" s="35"/>
      <c r="LPJ308" s="15"/>
      <c r="LPL308" s="13"/>
      <c r="LPM308" s="35"/>
      <c r="LPN308" s="35"/>
      <c r="LPO308" s="15"/>
      <c r="LPQ308" s="13"/>
      <c r="LPR308" s="35"/>
      <c r="LPS308" s="35"/>
      <c r="LPT308" s="15"/>
      <c r="LPV308" s="13"/>
      <c r="LPW308" s="35"/>
      <c r="LPX308" s="35"/>
      <c r="LPY308" s="15"/>
      <c r="LQA308" s="13"/>
      <c r="LQB308" s="35"/>
      <c r="LQC308" s="35"/>
      <c r="LQD308" s="15"/>
      <c r="LQF308" s="13"/>
      <c r="LQG308" s="35"/>
      <c r="LQH308" s="35"/>
      <c r="LQI308" s="15"/>
      <c r="LQK308" s="13"/>
      <c r="LQL308" s="35"/>
      <c r="LQM308" s="35"/>
      <c r="LQN308" s="15"/>
      <c r="LQP308" s="13"/>
      <c r="LQQ308" s="35"/>
      <c r="LQR308" s="35"/>
      <c r="LQS308" s="15"/>
      <c r="LQU308" s="13"/>
      <c r="LQV308" s="35"/>
      <c r="LQW308" s="35"/>
      <c r="LQX308" s="15"/>
      <c r="LQZ308" s="13"/>
      <c r="LRA308" s="35"/>
      <c r="LRB308" s="35"/>
      <c r="LRC308" s="15"/>
      <c r="LRE308" s="13"/>
      <c r="LRF308" s="35"/>
      <c r="LRG308" s="35"/>
      <c r="LRH308" s="15"/>
      <c r="LRJ308" s="13"/>
      <c r="LRK308" s="35"/>
      <c r="LRL308" s="35"/>
      <c r="LRM308" s="15"/>
      <c r="LRO308" s="13"/>
      <c r="LRP308" s="35"/>
      <c r="LRQ308" s="35"/>
      <c r="LRR308" s="15"/>
      <c r="LRT308" s="13"/>
      <c r="LRU308" s="35"/>
      <c r="LRV308" s="35"/>
      <c r="LRW308" s="15"/>
      <c r="LRY308" s="13"/>
      <c r="LRZ308" s="35"/>
      <c r="LSA308" s="35"/>
      <c r="LSB308" s="15"/>
      <c r="LSD308" s="13"/>
      <c r="LSE308" s="35"/>
      <c r="LSF308" s="35"/>
      <c r="LSG308" s="15"/>
      <c r="LSI308" s="13"/>
      <c r="LSJ308" s="35"/>
      <c r="LSK308" s="35"/>
      <c r="LSL308" s="15"/>
      <c r="LSN308" s="13"/>
      <c r="LSO308" s="35"/>
      <c r="LSP308" s="35"/>
      <c r="LSQ308" s="15"/>
      <c r="LSS308" s="13"/>
      <c r="LST308" s="35"/>
      <c r="LSU308" s="35"/>
      <c r="LSV308" s="15"/>
      <c r="LSX308" s="13"/>
      <c r="LSY308" s="35"/>
      <c r="LSZ308" s="35"/>
      <c r="LTA308" s="15"/>
      <c r="LTC308" s="13"/>
      <c r="LTD308" s="35"/>
      <c r="LTE308" s="35"/>
      <c r="LTF308" s="15"/>
      <c r="LTH308" s="13"/>
      <c r="LTI308" s="35"/>
      <c r="LTJ308" s="35"/>
      <c r="LTK308" s="15"/>
      <c r="LTM308" s="13"/>
      <c r="LTN308" s="35"/>
      <c r="LTO308" s="35"/>
      <c r="LTP308" s="15"/>
      <c r="LTR308" s="13"/>
      <c r="LTS308" s="35"/>
      <c r="LTT308" s="35"/>
      <c r="LTU308" s="15"/>
      <c r="LTW308" s="13"/>
      <c r="LTX308" s="35"/>
      <c r="LTY308" s="35"/>
      <c r="LTZ308" s="15"/>
      <c r="LUB308" s="13"/>
      <c r="LUC308" s="35"/>
      <c r="LUD308" s="35"/>
      <c r="LUE308" s="15"/>
      <c r="LUG308" s="13"/>
      <c r="LUH308" s="35"/>
      <c r="LUI308" s="35"/>
      <c r="LUJ308" s="15"/>
      <c r="LUL308" s="13"/>
      <c r="LUM308" s="35"/>
      <c r="LUN308" s="35"/>
      <c r="LUO308" s="15"/>
      <c r="LUQ308" s="13"/>
      <c r="LUR308" s="35"/>
      <c r="LUS308" s="35"/>
      <c r="LUT308" s="15"/>
      <c r="LUV308" s="13"/>
      <c r="LUW308" s="35"/>
      <c r="LUX308" s="35"/>
      <c r="LUY308" s="15"/>
      <c r="LVA308" s="13"/>
      <c r="LVB308" s="35"/>
      <c r="LVC308" s="35"/>
      <c r="LVD308" s="15"/>
      <c r="LVF308" s="13"/>
      <c r="LVG308" s="35"/>
      <c r="LVH308" s="35"/>
      <c r="LVI308" s="15"/>
      <c r="LVK308" s="13"/>
      <c r="LVL308" s="35"/>
      <c r="LVM308" s="35"/>
      <c r="LVN308" s="15"/>
      <c r="LVP308" s="13"/>
      <c r="LVQ308" s="35"/>
      <c r="LVR308" s="35"/>
      <c r="LVS308" s="15"/>
      <c r="LVU308" s="13"/>
      <c r="LVV308" s="35"/>
      <c r="LVW308" s="35"/>
      <c r="LVX308" s="15"/>
      <c r="LVZ308" s="13"/>
      <c r="LWA308" s="35"/>
      <c r="LWB308" s="35"/>
      <c r="LWC308" s="15"/>
      <c r="LWE308" s="13"/>
      <c r="LWF308" s="35"/>
      <c r="LWG308" s="35"/>
      <c r="LWH308" s="15"/>
      <c r="LWJ308" s="13"/>
      <c r="LWK308" s="35"/>
      <c r="LWL308" s="35"/>
      <c r="LWM308" s="15"/>
      <c r="LWO308" s="13"/>
      <c r="LWP308" s="35"/>
      <c r="LWQ308" s="35"/>
      <c r="LWR308" s="15"/>
      <c r="LWT308" s="13"/>
      <c r="LWU308" s="35"/>
      <c r="LWV308" s="35"/>
      <c r="LWW308" s="15"/>
      <c r="LWY308" s="13"/>
      <c r="LWZ308" s="35"/>
      <c r="LXA308" s="35"/>
      <c r="LXB308" s="15"/>
      <c r="LXD308" s="13"/>
      <c r="LXE308" s="35"/>
      <c r="LXF308" s="35"/>
      <c r="LXG308" s="15"/>
      <c r="LXI308" s="13"/>
      <c r="LXJ308" s="35"/>
      <c r="LXK308" s="35"/>
      <c r="LXL308" s="15"/>
      <c r="LXN308" s="13"/>
      <c r="LXO308" s="35"/>
      <c r="LXP308" s="35"/>
      <c r="LXQ308" s="15"/>
      <c r="LXS308" s="13"/>
      <c r="LXT308" s="35"/>
      <c r="LXU308" s="35"/>
      <c r="LXV308" s="15"/>
      <c r="LXX308" s="13"/>
      <c r="LXY308" s="35"/>
      <c r="LXZ308" s="35"/>
      <c r="LYA308" s="15"/>
      <c r="LYC308" s="13"/>
      <c r="LYD308" s="35"/>
      <c r="LYE308" s="35"/>
      <c r="LYF308" s="15"/>
      <c r="LYH308" s="13"/>
      <c r="LYI308" s="35"/>
      <c r="LYJ308" s="35"/>
      <c r="LYK308" s="15"/>
      <c r="LYM308" s="13"/>
      <c r="LYN308" s="35"/>
      <c r="LYO308" s="35"/>
      <c r="LYP308" s="15"/>
      <c r="LYR308" s="13"/>
      <c r="LYS308" s="35"/>
      <c r="LYT308" s="35"/>
      <c r="LYU308" s="15"/>
      <c r="LYW308" s="13"/>
      <c r="LYX308" s="35"/>
      <c r="LYY308" s="35"/>
      <c r="LYZ308" s="15"/>
      <c r="LZB308" s="13"/>
      <c r="LZC308" s="35"/>
      <c r="LZD308" s="35"/>
      <c r="LZE308" s="15"/>
      <c r="LZG308" s="13"/>
      <c r="LZH308" s="35"/>
      <c r="LZI308" s="35"/>
      <c r="LZJ308" s="15"/>
      <c r="LZL308" s="13"/>
      <c r="LZM308" s="35"/>
      <c r="LZN308" s="35"/>
      <c r="LZO308" s="15"/>
      <c r="LZQ308" s="13"/>
      <c r="LZR308" s="35"/>
      <c r="LZS308" s="35"/>
      <c r="LZT308" s="15"/>
      <c r="LZV308" s="13"/>
      <c r="LZW308" s="35"/>
      <c r="LZX308" s="35"/>
      <c r="LZY308" s="15"/>
      <c r="MAA308" s="13"/>
      <c r="MAB308" s="35"/>
      <c r="MAC308" s="35"/>
      <c r="MAD308" s="15"/>
      <c r="MAF308" s="13"/>
      <c r="MAG308" s="35"/>
      <c r="MAH308" s="35"/>
      <c r="MAI308" s="15"/>
      <c r="MAK308" s="13"/>
      <c r="MAL308" s="35"/>
      <c r="MAM308" s="35"/>
      <c r="MAN308" s="15"/>
      <c r="MAP308" s="13"/>
      <c r="MAQ308" s="35"/>
      <c r="MAR308" s="35"/>
      <c r="MAS308" s="15"/>
      <c r="MAU308" s="13"/>
      <c r="MAV308" s="35"/>
      <c r="MAW308" s="35"/>
      <c r="MAX308" s="15"/>
      <c r="MAZ308" s="13"/>
      <c r="MBA308" s="35"/>
      <c r="MBB308" s="35"/>
      <c r="MBC308" s="15"/>
      <c r="MBE308" s="13"/>
      <c r="MBF308" s="35"/>
      <c r="MBG308" s="35"/>
      <c r="MBH308" s="15"/>
      <c r="MBJ308" s="13"/>
      <c r="MBK308" s="35"/>
      <c r="MBL308" s="35"/>
      <c r="MBM308" s="15"/>
      <c r="MBO308" s="13"/>
      <c r="MBP308" s="35"/>
      <c r="MBQ308" s="35"/>
      <c r="MBR308" s="15"/>
      <c r="MBT308" s="13"/>
      <c r="MBU308" s="35"/>
      <c r="MBV308" s="35"/>
      <c r="MBW308" s="15"/>
      <c r="MBY308" s="13"/>
      <c r="MBZ308" s="35"/>
      <c r="MCA308" s="35"/>
      <c r="MCB308" s="15"/>
      <c r="MCD308" s="13"/>
      <c r="MCE308" s="35"/>
      <c r="MCF308" s="35"/>
      <c r="MCG308" s="15"/>
      <c r="MCI308" s="13"/>
      <c r="MCJ308" s="35"/>
      <c r="MCK308" s="35"/>
      <c r="MCL308" s="15"/>
      <c r="MCN308" s="13"/>
      <c r="MCO308" s="35"/>
      <c r="MCP308" s="35"/>
      <c r="MCQ308" s="15"/>
      <c r="MCS308" s="13"/>
      <c r="MCT308" s="35"/>
      <c r="MCU308" s="35"/>
      <c r="MCV308" s="15"/>
      <c r="MCX308" s="13"/>
      <c r="MCY308" s="35"/>
      <c r="MCZ308" s="35"/>
      <c r="MDA308" s="15"/>
      <c r="MDC308" s="13"/>
      <c r="MDD308" s="35"/>
      <c r="MDE308" s="35"/>
      <c r="MDF308" s="15"/>
      <c r="MDH308" s="13"/>
      <c r="MDI308" s="35"/>
      <c r="MDJ308" s="35"/>
      <c r="MDK308" s="15"/>
      <c r="MDM308" s="13"/>
      <c r="MDN308" s="35"/>
      <c r="MDO308" s="35"/>
      <c r="MDP308" s="15"/>
      <c r="MDR308" s="13"/>
      <c r="MDS308" s="35"/>
      <c r="MDT308" s="35"/>
      <c r="MDU308" s="15"/>
      <c r="MDW308" s="13"/>
      <c r="MDX308" s="35"/>
      <c r="MDY308" s="35"/>
      <c r="MDZ308" s="15"/>
      <c r="MEB308" s="13"/>
      <c r="MEC308" s="35"/>
      <c r="MED308" s="35"/>
      <c r="MEE308" s="15"/>
      <c r="MEG308" s="13"/>
      <c r="MEH308" s="35"/>
      <c r="MEI308" s="35"/>
      <c r="MEJ308" s="15"/>
      <c r="MEL308" s="13"/>
      <c r="MEM308" s="35"/>
      <c r="MEN308" s="35"/>
      <c r="MEO308" s="15"/>
      <c r="MEQ308" s="13"/>
      <c r="MER308" s="35"/>
      <c r="MES308" s="35"/>
      <c r="MET308" s="15"/>
      <c r="MEV308" s="13"/>
      <c r="MEW308" s="35"/>
      <c r="MEX308" s="35"/>
      <c r="MEY308" s="15"/>
      <c r="MFA308" s="13"/>
      <c r="MFB308" s="35"/>
      <c r="MFC308" s="35"/>
      <c r="MFD308" s="15"/>
      <c r="MFF308" s="13"/>
      <c r="MFG308" s="35"/>
      <c r="MFH308" s="35"/>
      <c r="MFI308" s="15"/>
      <c r="MFK308" s="13"/>
      <c r="MFL308" s="35"/>
      <c r="MFM308" s="35"/>
      <c r="MFN308" s="15"/>
      <c r="MFP308" s="13"/>
      <c r="MFQ308" s="35"/>
      <c r="MFR308" s="35"/>
      <c r="MFS308" s="15"/>
      <c r="MFU308" s="13"/>
      <c r="MFV308" s="35"/>
      <c r="MFW308" s="35"/>
      <c r="MFX308" s="15"/>
      <c r="MFZ308" s="13"/>
      <c r="MGA308" s="35"/>
      <c r="MGB308" s="35"/>
      <c r="MGC308" s="15"/>
      <c r="MGE308" s="13"/>
      <c r="MGF308" s="35"/>
      <c r="MGG308" s="35"/>
      <c r="MGH308" s="15"/>
      <c r="MGJ308" s="13"/>
      <c r="MGK308" s="35"/>
      <c r="MGL308" s="35"/>
      <c r="MGM308" s="15"/>
      <c r="MGO308" s="13"/>
      <c r="MGP308" s="35"/>
      <c r="MGQ308" s="35"/>
      <c r="MGR308" s="15"/>
      <c r="MGT308" s="13"/>
      <c r="MGU308" s="35"/>
      <c r="MGV308" s="35"/>
      <c r="MGW308" s="15"/>
      <c r="MGY308" s="13"/>
      <c r="MGZ308" s="35"/>
      <c r="MHA308" s="35"/>
      <c r="MHB308" s="15"/>
      <c r="MHD308" s="13"/>
      <c r="MHE308" s="35"/>
      <c r="MHF308" s="35"/>
      <c r="MHG308" s="15"/>
      <c r="MHI308" s="13"/>
      <c r="MHJ308" s="35"/>
      <c r="MHK308" s="35"/>
      <c r="MHL308" s="15"/>
      <c r="MHN308" s="13"/>
      <c r="MHO308" s="35"/>
      <c r="MHP308" s="35"/>
      <c r="MHQ308" s="15"/>
      <c r="MHS308" s="13"/>
      <c r="MHT308" s="35"/>
      <c r="MHU308" s="35"/>
      <c r="MHV308" s="15"/>
      <c r="MHX308" s="13"/>
      <c r="MHY308" s="35"/>
      <c r="MHZ308" s="35"/>
      <c r="MIA308" s="15"/>
      <c r="MIC308" s="13"/>
      <c r="MID308" s="35"/>
      <c r="MIE308" s="35"/>
      <c r="MIF308" s="15"/>
      <c r="MIH308" s="13"/>
      <c r="MII308" s="35"/>
      <c r="MIJ308" s="35"/>
      <c r="MIK308" s="15"/>
      <c r="MIM308" s="13"/>
      <c r="MIN308" s="35"/>
      <c r="MIO308" s="35"/>
      <c r="MIP308" s="15"/>
      <c r="MIR308" s="13"/>
      <c r="MIS308" s="35"/>
      <c r="MIT308" s="35"/>
      <c r="MIU308" s="15"/>
      <c r="MIW308" s="13"/>
      <c r="MIX308" s="35"/>
      <c r="MIY308" s="35"/>
      <c r="MIZ308" s="15"/>
      <c r="MJB308" s="13"/>
      <c r="MJC308" s="35"/>
      <c r="MJD308" s="35"/>
      <c r="MJE308" s="15"/>
      <c r="MJG308" s="13"/>
      <c r="MJH308" s="35"/>
      <c r="MJI308" s="35"/>
      <c r="MJJ308" s="15"/>
      <c r="MJL308" s="13"/>
      <c r="MJM308" s="35"/>
      <c r="MJN308" s="35"/>
      <c r="MJO308" s="15"/>
      <c r="MJQ308" s="13"/>
      <c r="MJR308" s="35"/>
      <c r="MJS308" s="35"/>
      <c r="MJT308" s="15"/>
      <c r="MJV308" s="13"/>
      <c r="MJW308" s="35"/>
      <c r="MJX308" s="35"/>
      <c r="MJY308" s="15"/>
      <c r="MKA308" s="13"/>
      <c r="MKB308" s="35"/>
      <c r="MKC308" s="35"/>
      <c r="MKD308" s="15"/>
      <c r="MKF308" s="13"/>
      <c r="MKG308" s="35"/>
      <c r="MKH308" s="35"/>
      <c r="MKI308" s="15"/>
      <c r="MKK308" s="13"/>
      <c r="MKL308" s="35"/>
      <c r="MKM308" s="35"/>
      <c r="MKN308" s="15"/>
      <c r="MKP308" s="13"/>
      <c r="MKQ308" s="35"/>
      <c r="MKR308" s="35"/>
      <c r="MKS308" s="15"/>
      <c r="MKU308" s="13"/>
      <c r="MKV308" s="35"/>
      <c r="MKW308" s="35"/>
      <c r="MKX308" s="15"/>
      <c r="MKZ308" s="13"/>
      <c r="MLA308" s="35"/>
      <c r="MLB308" s="35"/>
      <c r="MLC308" s="15"/>
      <c r="MLE308" s="13"/>
      <c r="MLF308" s="35"/>
      <c r="MLG308" s="35"/>
      <c r="MLH308" s="15"/>
      <c r="MLJ308" s="13"/>
      <c r="MLK308" s="35"/>
      <c r="MLL308" s="35"/>
      <c r="MLM308" s="15"/>
      <c r="MLO308" s="13"/>
      <c r="MLP308" s="35"/>
      <c r="MLQ308" s="35"/>
      <c r="MLR308" s="15"/>
      <c r="MLT308" s="13"/>
      <c r="MLU308" s="35"/>
      <c r="MLV308" s="35"/>
      <c r="MLW308" s="15"/>
      <c r="MLY308" s="13"/>
      <c r="MLZ308" s="35"/>
      <c r="MMA308" s="35"/>
      <c r="MMB308" s="15"/>
      <c r="MMD308" s="13"/>
      <c r="MME308" s="35"/>
      <c r="MMF308" s="35"/>
      <c r="MMG308" s="15"/>
      <c r="MMI308" s="13"/>
      <c r="MMJ308" s="35"/>
      <c r="MMK308" s="35"/>
      <c r="MML308" s="15"/>
      <c r="MMN308" s="13"/>
      <c r="MMO308" s="35"/>
      <c r="MMP308" s="35"/>
      <c r="MMQ308" s="15"/>
      <c r="MMS308" s="13"/>
      <c r="MMT308" s="35"/>
      <c r="MMU308" s="35"/>
      <c r="MMV308" s="15"/>
      <c r="MMX308" s="13"/>
      <c r="MMY308" s="35"/>
      <c r="MMZ308" s="35"/>
      <c r="MNA308" s="15"/>
      <c r="MNC308" s="13"/>
      <c r="MND308" s="35"/>
      <c r="MNE308" s="35"/>
      <c r="MNF308" s="15"/>
      <c r="MNH308" s="13"/>
      <c r="MNI308" s="35"/>
      <c r="MNJ308" s="35"/>
      <c r="MNK308" s="15"/>
      <c r="MNM308" s="13"/>
      <c r="MNN308" s="35"/>
      <c r="MNO308" s="35"/>
      <c r="MNP308" s="15"/>
      <c r="MNR308" s="13"/>
      <c r="MNS308" s="35"/>
      <c r="MNT308" s="35"/>
      <c r="MNU308" s="15"/>
      <c r="MNW308" s="13"/>
      <c r="MNX308" s="35"/>
      <c r="MNY308" s="35"/>
      <c r="MNZ308" s="15"/>
      <c r="MOB308" s="13"/>
      <c r="MOC308" s="35"/>
      <c r="MOD308" s="35"/>
      <c r="MOE308" s="15"/>
      <c r="MOG308" s="13"/>
      <c r="MOH308" s="35"/>
      <c r="MOI308" s="35"/>
      <c r="MOJ308" s="15"/>
      <c r="MOL308" s="13"/>
      <c r="MOM308" s="35"/>
      <c r="MON308" s="35"/>
      <c r="MOO308" s="15"/>
      <c r="MOQ308" s="13"/>
      <c r="MOR308" s="35"/>
      <c r="MOS308" s="35"/>
      <c r="MOT308" s="15"/>
      <c r="MOV308" s="13"/>
      <c r="MOW308" s="35"/>
      <c r="MOX308" s="35"/>
      <c r="MOY308" s="15"/>
      <c r="MPA308" s="13"/>
      <c r="MPB308" s="35"/>
      <c r="MPC308" s="35"/>
      <c r="MPD308" s="15"/>
      <c r="MPF308" s="13"/>
      <c r="MPG308" s="35"/>
      <c r="MPH308" s="35"/>
      <c r="MPI308" s="15"/>
      <c r="MPK308" s="13"/>
      <c r="MPL308" s="35"/>
      <c r="MPM308" s="35"/>
      <c r="MPN308" s="15"/>
      <c r="MPP308" s="13"/>
      <c r="MPQ308" s="35"/>
      <c r="MPR308" s="35"/>
      <c r="MPS308" s="15"/>
      <c r="MPU308" s="13"/>
      <c r="MPV308" s="35"/>
      <c r="MPW308" s="35"/>
      <c r="MPX308" s="15"/>
      <c r="MPZ308" s="13"/>
      <c r="MQA308" s="35"/>
      <c r="MQB308" s="35"/>
      <c r="MQC308" s="15"/>
      <c r="MQE308" s="13"/>
      <c r="MQF308" s="35"/>
      <c r="MQG308" s="35"/>
      <c r="MQH308" s="15"/>
      <c r="MQJ308" s="13"/>
      <c r="MQK308" s="35"/>
      <c r="MQL308" s="35"/>
      <c r="MQM308" s="15"/>
      <c r="MQO308" s="13"/>
      <c r="MQP308" s="35"/>
      <c r="MQQ308" s="35"/>
      <c r="MQR308" s="15"/>
      <c r="MQT308" s="13"/>
      <c r="MQU308" s="35"/>
      <c r="MQV308" s="35"/>
      <c r="MQW308" s="15"/>
      <c r="MQY308" s="13"/>
      <c r="MQZ308" s="35"/>
      <c r="MRA308" s="35"/>
      <c r="MRB308" s="15"/>
      <c r="MRD308" s="13"/>
      <c r="MRE308" s="35"/>
      <c r="MRF308" s="35"/>
      <c r="MRG308" s="15"/>
      <c r="MRI308" s="13"/>
      <c r="MRJ308" s="35"/>
      <c r="MRK308" s="35"/>
      <c r="MRL308" s="15"/>
      <c r="MRN308" s="13"/>
      <c r="MRO308" s="35"/>
      <c r="MRP308" s="35"/>
      <c r="MRQ308" s="15"/>
      <c r="MRS308" s="13"/>
      <c r="MRT308" s="35"/>
      <c r="MRU308" s="35"/>
      <c r="MRV308" s="15"/>
      <c r="MRX308" s="13"/>
      <c r="MRY308" s="35"/>
      <c r="MRZ308" s="35"/>
      <c r="MSA308" s="15"/>
      <c r="MSC308" s="13"/>
      <c r="MSD308" s="35"/>
      <c r="MSE308" s="35"/>
      <c r="MSF308" s="15"/>
      <c r="MSH308" s="13"/>
      <c r="MSI308" s="35"/>
      <c r="MSJ308" s="35"/>
      <c r="MSK308" s="15"/>
      <c r="MSM308" s="13"/>
      <c r="MSN308" s="35"/>
      <c r="MSO308" s="35"/>
      <c r="MSP308" s="15"/>
      <c r="MSR308" s="13"/>
      <c r="MSS308" s="35"/>
      <c r="MST308" s="35"/>
      <c r="MSU308" s="15"/>
      <c r="MSW308" s="13"/>
      <c r="MSX308" s="35"/>
      <c r="MSY308" s="35"/>
      <c r="MSZ308" s="15"/>
      <c r="MTB308" s="13"/>
      <c r="MTC308" s="35"/>
      <c r="MTD308" s="35"/>
      <c r="MTE308" s="15"/>
      <c r="MTG308" s="13"/>
      <c r="MTH308" s="35"/>
      <c r="MTI308" s="35"/>
      <c r="MTJ308" s="15"/>
      <c r="MTL308" s="13"/>
      <c r="MTM308" s="35"/>
      <c r="MTN308" s="35"/>
      <c r="MTO308" s="15"/>
      <c r="MTQ308" s="13"/>
      <c r="MTR308" s="35"/>
      <c r="MTS308" s="35"/>
      <c r="MTT308" s="15"/>
      <c r="MTV308" s="13"/>
      <c r="MTW308" s="35"/>
      <c r="MTX308" s="35"/>
      <c r="MTY308" s="15"/>
      <c r="MUA308" s="13"/>
      <c r="MUB308" s="35"/>
      <c r="MUC308" s="35"/>
      <c r="MUD308" s="15"/>
      <c r="MUF308" s="13"/>
      <c r="MUG308" s="35"/>
      <c r="MUH308" s="35"/>
      <c r="MUI308" s="15"/>
      <c r="MUK308" s="13"/>
      <c r="MUL308" s="35"/>
      <c r="MUM308" s="35"/>
      <c r="MUN308" s="15"/>
      <c r="MUP308" s="13"/>
      <c r="MUQ308" s="35"/>
      <c r="MUR308" s="35"/>
      <c r="MUS308" s="15"/>
      <c r="MUU308" s="13"/>
      <c r="MUV308" s="35"/>
      <c r="MUW308" s="35"/>
      <c r="MUX308" s="15"/>
      <c r="MUZ308" s="13"/>
      <c r="MVA308" s="35"/>
      <c r="MVB308" s="35"/>
      <c r="MVC308" s="15"/>
      <c r="MVE308" s="13"/>
      <c r="MVF308" s="35"/>
      <c r="MVG308" s="35"/>
      <c r="MVH308" s="15"/>
      <c r="MVJ308" s="13"/>
      <c r="MVK308" s="35"/>
      <c r="MVL308" s="35"/>
      <c r="MVM308" s="15"/>
      <c r="MVO308" s="13"/>
      <c r="MVP308" s="35"/>
      <c r="MVQ308" s="35"/>
      <c r="MVR308" s="15"/>
      <c r="MVT308" s="13"/>
      <c r="MVU308" s="35"/>
      <c r="MVV308" s="35"/>
      <c r="MVW308" s="15"/>
      <c r="MVY308" s="13"/>
      <c r="MVZ308" s="35"/>
      <c r="MWA308" s="35"/>
      <c r="MWB308" s="15"/>
      <c r="MWD308" s="13"/>
      <c r="MWE308" s="35"/>
      <c r="MWF308" s="35"/>
      <c r="MWG308" s="15"/>
      <c r="MWI308" s="13"/>
      <c r="MWJ308" s="35"/>
      <c r="MWK308" s="35"/>
      <c r="MWL308" s="15"/>
      <c r="MWN308" s="13"/>
      <c r="MWO308" s="35"/>
      <c r="MWP308" s="35"/>
      <c r="MWQ308" s="15"/>
      <c r="MWS308" s="13"/>
      <c r="MWT308" s="35"/>
      <c r="MWU308" s="35"/>
      <c r="MWV308" s="15"/>
      <c r="MWX308" s="13"/>
      <c r="MWY308" s="35"/>
      <c r="MWZ308" s="35"/>
      <c r="MXA308" s="15"/>
      <c r="MXC308" s="13"/>
      <c r="MXD308" s="35"/>
      <c r="MXE308" s="35"/>
      <c r="MXF308" s="15"/>
      <c r="MXH308" s="13"/>
      <c r="MXI308" s="35"/>
      <c r="MXJ308" s="35"/>
      <c r="MXK308" s="15"/>
      <c r="MXM308" s="13"/>
      <c r="MXN308" s="35"/>
      <c r="MXO308" s="35"/>
      <c r="MXP308" s="15"/>
      <c r="MXR308" s="13"/>
      <c r="MXS308" s="35"/>
      <c r="MXT308" s="35"/>
      <c r="MXU308" s="15"/>
      <c r="MXW308" s="13"/>
      <c r="MXX308" s="35"/>
      <c r="MXY308" s="35"/>
      <c r="MXZ308" s="15"/>
      <c r="MYB308" s="13"/>
      <c r="MYC308" s="35"/>
      <c r="MYD308" s="35"/>
      <c r="MYE308" s="15"/>
      <c r="MYG308" s="13"/>
      <c r="MYH308" s="35"/>
      <c r="MYI308" s="35"/>
      <c r="MYJ308" s="15"/>
      <c r="MYL308" s="13"/>
      <c r="MYM308" s="35"/>
      <c r="MYN308" s="35"/>
      <c r="MYO308" s="15"/>
      <c r="MYQ308" s="13"/>
      <c r="MYR308" s="35"/>
      <c r="MYS308" s="35"/>
      <c r="MYT308" s="15"/>
      <c r="MYV308" s="13"/>
      <c r="MYW308" s="35"/>
      <c r="MYX308" s="35"/>
      <c r="MYY308" s="15"/>
      <c r="MZA308" s="13"/>
      <c r="MZB308" s="35"/>
      <c r="MZC308" s="35"/>
      <c r="MZD308" s="15"/>
      <c r="MZF308" s="13"/>
      <c r="MZG308" s="35"/>
      <c r="MZH308" s="35"/>
      <c r="MZI308" s="15"/>
      <c r="MZK308" s="13"/>
      <c r="MZL308" s="35"/>
      <c r="MZM308" s="35"/>
      <c r="MZN308" s="15"/>
      <c r="MZP308" s="13"/>
      <c r="MZQ308" s="35"/>
      <c r="MZR308" s="35"/>
      <c r="MZS308" s="15"/>
      <c r="MZU308" s="13"/>
      <c r="MZV308" s="35"/>
      <c r="MZW308" s="35"/>
      <c r="MZX308" s="15"/>
      <c r="MZZ308" s="13"/>
      <c r="NAA308" s="35"/>
      <c r="NAB308" s="35"/>
      <c r="NAC308" s="15"/>
      <c r="NAE308" s="13"/>
      <c r="NAF308" s="35"/>
      <c r="NAG308" s="35"/>
      <c r="NAH308" s="15"/>
      <c r="NAJ308" s="13"/>
      <c r="NAK308" s="35"/>
      <c r="NAL308" s="35"/>
      <c r="NAM308" s="15"/>
      <c r="NAO308" s="13"/>
      <c r="NAP308" s="35"/>
      <c r="NAQ308" s="35"/>
      <c r="NAR308" s="15"/>
      <c r="NAT308" s="13"/>
      <c r="NAU308" s="35"/>
      <c r="NAV308" s="35"/>
      <c r="NAW308" s="15"/>
      <c r="NAY308" s="13"/>
      <c r="NAZ308" s="35"/>
      <c r="NBA308" s="35"/>
      <c r="NBB308" s="15"/>
      <c r="NBD308" s="13"/>
      <c r="NBE308" s="35"/>
      <c r="NBF308" s="35"/>
      <c r="NBG308" s="15"/>
      <c r="NBI308" s="13"/>
      <c r="NBJ308" s="35"/>
      <c r="NBK308" s="35"/>
      <c r="NBL308" s="15"/>
      <c r="NBN308" s="13"/>
      <c r="NBO308" s="35"/>
      <c r="NBP308" s="35"/>
      <c r="NBQ308" s="15"/>
      <c r="NBS308" s="13"/>
      <c r="NBT308" s="35"/>
      <c r="NBU308" s="35"/>
      <c r="NBV308" s="15"/>
      <c r="NBX308" s="13"/>
      <c r="NBY308" s="35"/>
      <c r="NBZ308" s="35"/>
      <c r="NCA308" s="15"/>
      <c r="NCC308" s="13"/>
      <c r="NCD308" s="35"/>
      <c r="NCE308" s="35"/>
      <c r="NCF308" s="15"/>
      <c r="NCH308" s="13"/>
      <c r="NCI308" s="35"/>
      <c r="NCJ308" s="35"/>
      <c r="NCK308" s="15"/>
      <c r="NCM308" s="13"/>
      <c r="NCN308" s="35"/>
      <c r="NCO308" s="35"/>
      <c r="NCP308" s="15"/>
      <c r="NCR308" s="13"/>
      <c r="NCS308" s="35"/>
      <c r="NCT308" s="35"/>
      <c r="NCU308" s="15"/>
      <c r="NCW308" s="13"/>
      <c r="NCX308" s="35"/>
      <c r="NCY308" s="35"/>
      <c r="NCZ308" s="15"/>
      <c r="NDB308" s="13"/>
      <c r="NDC308" s="35"/>
      <c r="NDD308" s="35"/>
      <c r="NDE308" s="15"/>
      <c r="NDG308" s="13"/>
      <c r="NDH308" s="35"/>
      <c r="NDI308" s="35"/>
      <c r="NDJ308" s="15"/>
      <c r="NDL308" s="13"/>
      <c r="NDM308" s="35"/>
      <c r="NDN308" s="35"/>
      <c r="NDO308" s="15"/>
      <c r="NDQ308" s="13"/>
      <c r="NDR308" s="35"/>
      <c r="NDS308" s="35"/>
      <c r="NDT308" s="15"/>
      <c r="NDV308" s="13"/>
      <c r="NDW308" s="35"/>
      <c r="NDX308" s="35"/>
      <c r="NDY308" s="15"/>
      <c r="NEA308" s="13"/>
      <c r="NEB308" s="35"/>
      <c r="NEC308" s="35"/>
      <c r="NED308" s="15"/>
      <c r="NEF308" s="13"/>
      <c r="NEG308" s="35"/>
      <c r="NEH308" s="35"/>
      <c r="NEI308" s="15"/>
      <c r="NEK308" s="13"/>
      <c r="NEL308" s="35"/>
      <c r="NEM308" s="35"/>
      <c r="NEN308" s="15"/>
      <c r="NEP308" s="13"/>
      <c r="NEQ308" s="35"/>
      <c r="NER308" s="35"/>
      <c r="NES308" s="15"/>
      <c r="NEU308" s="13"/>
      <c r="NEV308" s="35"/>
      <c r="NEW308" s="35"/>
      <c r="NEX308" s="15"/>
      <c r="NEZ308" s="13"/>
      <c r="NFA308" s="35"/>
      <c r="NFB308" s="35"/>
      <c r="NFC308" s="15"/>
      <c r="NFE308" s="13"/>
      <c r="NFF308" s="35"/>
      <c r="NFG308" s="35"/>
      <c r="NFH308" s="15"/>
      <c r="NFJ308" s="13"/>
      <c r="NFK308" s="35"/>
      <c r="NFL308" s="35"/>
      <c r="NFM308" s="15"/>
      <c r="NFO308" s="13"/>
      <c r="NFP308" s="35"/>
      <c r="NFQ308" s="35"/>
      <c r="NFR308" s="15"/>
      <c r="NFT308" s="13"/>
      <c r="NFU308" s="35"/>
      <c r="NFV308" s="35"/>
      <c r="NFW308" s="15"/>
      <c r="NFY308" s="13"/>
      <c r="NFZ308" s="35"/>
      <c r="NGA308" s="35"/>
      <c r="NGB308" s="15"/>
      <c r="NGD308" s="13"/>
      <c r="NGE308" s="35"/>
      <c r="NGF308" s="35"/>
      <c r="NGG308" s="15"/>
      <c r="NGI308" s="13"/>
      <c r="NGJ308" s="35"/>
      <c r="NGK308" s="35"/>
      <c r="NGL308" s="15"/>
      <c r="NGN308" s="13"/>
      <c r="NGO308" s="35"/>
      <c r="NGP308" s="35"/>
      <c r="NGQ308" s="15"/>
      <c r="NGS308" s="13"/>
      <c r="NGT308" s="35"/>
      <c r="NGU308" s="35"/>
      <c r="NGV308" s="15"/>
      <c r="NGX308" s="13"/>
      <c r="NGY308" s="35"/>
      <c r="NGZ308" s="35"/>
      <c r="NHA308" s="15"/>
      <c r="NHC308" s="13"/>
      <c r="NHD308" s="35"/>
      <c r="NHE308" s="35"/>
      <c r="NHF308" s="15"/>
      <c r="NHH308" s="13"/>
      <c r="NHI308" s="35"/>
      <c r="NHJ308" s="35"/>
      <c r="NHK308" s="15"/>
      <c r="NHM308" s="13"/>
      <c r="NHN308" s="35"/>
      <c r="NHO308" s="35"/>
      <c r="NHP308" s="15"/>
      <c r="NHR308" s="13"/>
      <c r="NHS308" s="35"/>
      <c r="NHT308" s="35"/>
      <c r="NHU308" s="15"/>
      <c r="NHW308" s="13"/>
      <c r="NHX308" s="35"/>
      <c r="NHY308" s="35"/>
      <c r="NHZ308" s="15"/>
      <c r="NIB308" s="13"/>
      <c r="NIC308" s="35"/>
      <c r="NID308" s="35"/>
      <c r="NIE308" s="15"/>
      <c r="NIG308" s="13"/>
      <c r="NIH308" s="35"/>
      <c r="NII308" s="35"/>
      <c r="NIJ308" s="15"/>
      <c r="NIL308" s="13"/>
      <c r="NIM308" s="35"/>
      <c r="NIN308" s="35"/>
      <c r="NIO308" s="15"/>
      <c r="NIQ308" s="13"/>
      <c r="NIR308" s="35"/>
      <c r="NIS308" s="35"/>
      <c r="NIT308" s="15"/>
      <c r="NIV308" s="13"/>
      <c r="NIW308" s="35"/>
      <c r="NIX308" s="35"/>
      <c r="NIY308" s="15"/>
      <c r="NJA308" s="13"/>
      <c r="NJB308" s="35"/>
      <c r="NJC308" s="35"/>
      <c r="NJD308" s="15"/>
      <c r="NJF308" s="13"/>
      <c r="NJG308" s="35"/>
      <c r="NJH308" s="35"/>
      <c r="NJI308" s="15"/>
      <c r="NJK308" s="13"/>
      <c r="NJL308" s="35"/>
      <c r="NJM308" s="35"/>
      <c r="NJN308" s="15"/>
      <c r="NJP308" s="13"/>
      <c r="NJQ308" s="35"/>
      <c r="NJR308" s="35"/>
      <c r="NJS308" s="15"/>
      <c r="NJU308" s="13"/>
      <c r="NJV308" s="35"/>
      <c r="NJW308" s="35"/>
      <c r="NJX308" s="15"/>
      <c r="NJZ308" s="13"/>
      <c r="NKA308" s="35"/>
      <c r="NKB308" s="35"/>
      <c r="NKC308" s="15"/>
      <c r="NKE308" s="13"/>
      <c r="NKF308" s="35"/>
      <c r="NKG308" s="35"/>
      <c r="NKH308" s="15"/>
      <c r="NKJ308" s="13"/>
      <c r="NKK308" s="35"/>
      <c r="NKL308" s="35"/>
      <c r="NKM308" s="15"/>
      <c r="NKO308" s="13"/>
      <c r="NKP308" s="35"/>
      <c r="NKQ308" s="35"/>
      <c r="NKR308" s="15"/>
      <c r="NKT308" s="13"/>
      <c r="NKU308" s="35"/>
      <c r="NKV308" s="35"/>
      <c r="NKW308" s="15"/>
      <c r="NKY308" s="13"/>
      <c r="NKZ308" s="35"/>
      <c r="NLA308" s="35"/>
      <c r="NLB308" s="15"/>
      <c r="NLD308" s="13"/>
      <c r="NLE308" s="35"/>
      <c r="NLF308" s="35"/>
      <c r="NLG308" s="15"/>
      <c r="NLI308" s="13"/>
      <c r="NLJ308" s="35"/>
      <c r="NLK308" s="35"/>
      <c r="NLL308" s="15"/>
      <c r="NLN308" s="13"/>
      <c r="NLO308" s="35"/>
      <c r="NLP308" s="35"/>
      <c r="NLQ308" s="15"/>
      <c r="NLS308" s="13"/>
      <c r="NLT308" s="35"/>
      <c r="NLU308" s="35"/>
      <c r="NLV308" s="15"/>
      <c r="NLX308" s="13"/>
      <c r="NLY308" s="35"/>
      <c r="NLZ308" s="35"/>
      <c r="NMA308" s="15"/>
      <c r="NMC308" s="13"/>
      <c r="NMD308" s="35"/>
      <c r="NME308" s="35"/>
      <c r="NMF308" s="15"/>
      <c r="NMH308" s="13"/>
      <c r="NMI308" s="35"/>
      <c r="NMJ308" s="35"/>
      <c r="NMK308" s="15"/>
      <c r="NMM308" s="13"/>
      <c r="NMN308" s="35"/>
      <c r="NMO308" s="35"/>
      <c r="NMP308" s="15"/>
      <c r="NMR308" s="13"/>
      <c r="NMS308" s="35"/>
      <c r="NMT308" s="35"/>
      <c r="NMU308" s="15"/>
      <c r="NMW308" s="13"/>
      <c r="NMX308" s="35"/>
      <c r="NMY308" s="35"/>
      <c r="NMZ308" s="15"/>
      <c r="NNB308" s="13"/>
      <c r="NNC308" s="35"/>
      <c r="NND308" s="35"/>
      <c r="NNE308" s="15"/>
      <c r="NNG308" s="13"/>
      <c r="NNH308" s="35"/>
      <c r="NNI308" s="35"/>
      <c r="NNJ308" s="15"/>
      <c r="NNL308" s="13"/>
      <c r="NNM308" s="35"/>
      <c r="NNN308" s="35"/>
      <c r="NNO308" s="15"/>
      <c r="NNQ308" s="13"/>
      <c r="NNR308" s="35"/>
      <c r="NNS308" s="35"/>
      <c r="NNT308" s="15"/>
      <c r="NNV308" s="13"/>
      <c r="NNW308" s="35"/>
      <c r="NNX308" s="35"/>
      <c r="NNY308" s="15"/>
      <c r="NOA308" s="13"/>
      <c r="NOB308" s="35"/>
      <c r="NOC308" s="35"/>
      <c r="NOD308" s="15"/>
      <c r="NOF308" s="13"/>
      <c r="NOG308" s="35"/>
      <c r="NOH308" s="35"/>
      <c r="NOI308" s="15"/>
      <c r="NOK308" s="13"/>
      <c r="NOL308" s="35"/>
      <c r="NOM308" s="35"/>
      <c r="NON308" s="15"/>
      <c r="NOP308" s="13"/>
      <c r="NOQ308" s="35"/>
      <c r="NOR308" s="35"/>
      <c r="NOS308" s="15"/>
      <c r="NOU308" s="13"/>
      <c r="NOV308" s="35"/>
      <c r="NOW308" s="35"/>
      <c r="NOX308" s="15"/>
      <c r="NOZ308" s="13"/>
      <c r="NPA308" s="35"/>
      <c r="NPB308" s="35"/>
      <c r="NPC308" s="15"/>
      <c r="NPE308" s="13"/>
      <c r="NPF308" s="35"/>
      <c r="NPG308" s="35"/>
      <c r="NPH308" s="15"/>
      <c r="NPJ308" s="13"/>
      <c r="NPK308" s="35"/>
      <c r="NPL308" s="35"/>
      <c r="NPM308" s="15"/>
      <c r="NPO308" s="13"/>
      <c r="NPP308" s="35"/>
      <c r="NPQ308" s="35"/>
      <c r="NPR308" s="15"/>
      <c r="NPT308" s="13"/>
      <c r="NPU308" s="35"/>
      <c r="NPV308" s="35"/>
      <c r="NPW308" s="15"/>
      <c r="NPY308" s="13"/>
      <c r="NPZ308" s="35"/>
      <c r="NQA308" s="35"/>
      <c r="NQB308" s="15"/>
      <c r="NQD308" s="13"/>
      <c r="NQE308" s="35"/>
      <c r="NQF308" s="35"/>
      <c r="NQG308" s="15"/>
      <c r="NQI308" s="13"/>
      <c r="NQJ308" s="35"/>
      <c r="NQK308" s="35"/>
      <c r="NQL308" s="15"/>
      <c r="NQN308" s="13"/>
      <c r="NQO308" s="35"/>
      <c r="NQP308" s="35"/>
      <c r="NQQ308" s="15"/>
      <c r="NQS308" s="13"/>
      <c r="NQT308" s="35"/>
      <c r="NQU308" s="35"/>
      <c r="NQV308" s="15"/>
      <c r="NQX308" s="13"/>
      <c r="NQY308" s="35"/>
      <c r="NQZ308" s="35"/>
      <c r="NRA308" s="15"/>
      <c r="NRC308" s="13"/>
      <c r="NRD308" s="35"/>
      <c r="NRE308" s="35"/>
      <c r="NRF308" s="15"/>
      <c r="NRH308" s="13"/>
      <c r="NRI308" s="35"/>
      <c r="NRJ308" s="35"/>
      <c r="NRK308" s="15"/>
      <c r="NRM308" s="13"/>
      <c r="NRN308" s="35"/>
      <c r="NRO308" s="35"/>
      <c r="NRP308" s="15"/>
      <c r="NRR308" s="13"/>
      <c r="NRS308" s="35"/>
      <c r="NRT308" s="35"/>
      <c r="NRU308" s="15"/>
      <c r="NRW308" s="13"/>
      <c r="NRX308" s="35"/>
      <c r="NRY308" s="35"/>
      <c r="NRZ308" s="15"/>
      <c r="NSB308" s="13"/>
      <c r="NSC308" s="35"/>
      <c r="NSD308" s="35"/>
      <c r="NSE308" s="15"/>
      <c r="NSG308" s="13"/>
      <c r="NSH308" s="35"/>
      <c r="NSI308" s="35"/>
      <c r="NSJ308" s="15"/>
      <c r="NSL308" s="13"/>
      <c r="NSM308" s="35"/>
      <c r="NSN308" s="35"/>
      <c r="NSO308" s="15"/>
      <c r="NSQ308" s="13"/>
      <c r="NSR308" s="35"/>
      <c r="NSS308" s="35"/>
      <c r="NST308" s="15"/>
      <c r="NSV308" s="13"/>
      <c r="NSW308" s="35"/>
      <c r="NSX308" s="35"/>
      <c r="NSY308" s="15"/>
      <c r="NTA308" s="13"/>
      <c r="NTB308" s="35"/>
      <c r="NTC308" s="35"/>
      <c r="NTD308" s="15"/>
      <c r="NTF308" s="13"/>
      <c r="NTG308" s="35"/>
      <c r="NTH308" s="35"/>
      <c r="NTI308" s="15"/>
      <c r="NTK308" s="13"/>
      <c r="NTL308" s="35"/>
      <c r="NTM308" s="35"/>
      <c r="NTN308" s="15"/>
      <c r="NTP308" s="13"/>
      <c r="NTQ308" s="35"/>
      <c r="NTR308" s="35"/>
      <c r="NTS308" s="15"/>
      <c r="NTU308" s="13"/>
      <c r="NTV308" s="35"/>
      <c r="NTW308" s="35"/>
      <c r="NTX308" s="15"/>
      <c r="NTZ308" s="13"/>
      <c r="NUA308" s="35"/>
      <c r="NUB308" s="35"/>
      <c r="NUC308" s="15"/>
      <c r="NUE308" s="13"/>
      <c r="NUF308" s="35"/>
      <c r="NUG308" s="35"/>
      <c r="NUH308" s="15"/>
      <c r="NUJ308" s="13"/>
      <c r="NUK308" s="35"/>
      <c r="NUL308" s="35"/>
      <c r="NUM308" s="15"/>
      <c r="NUO308" s="13"/>
      <c r="NUP308" s="35"/>
      <c r="NUQ308" s="35"/>
      <c r="NUR308" s="15"/>
      <c r="NUT308" s="13"/>
      <c r="NUU308" s="35"/>
      <c r="NUV308" s="35"/>
      <c r="NUW308" s="15"/>
      <c r="NUY308" s="13"/>
      <c r="NUZ308" s="35"/>
      <c r="NVA308" s="35"/>
      <c r="NVB308" s="15"/>
      <c r="NVD308" s="13"/>
      <c r="NVE308" s="35"/>
      <c r="NVF308" s="35"/>
      <c r="NVG308" s="15"/>
      <c r="NVI308" s="13"/>
      <c r="NVJ308" s="35"/>
      <c r="NVK308" s="35"/>
      <c r="NVL308" s="15"/>
      <c r="NVN308" s="13"/>
      <c r="NVO308" s="35"/>
      <c r="NVP308" s="35"/>
      <c r="NVQ308" s="15"/>
      <c r="NVS308" s="13"/>
      <c r="NVT308" s="35"/>
      <c r="NVU308" s="35"/>
      <c r="NVV308" s="15"/>
      <c r="NVX308" s="13"/>
      <c r="NVY308" s="35"/>
      <c r="NVZ308" s="35"/>
      <c r="NWA308" s="15"/>
      <c r="NWC308" s="13"/>
      <c r="NWD308" s="35"/>
      <c r="NWE308" s="35"/>
      <c r="NWF308" s="15"/>
      <c r="NWH308" s="13"/>
      <c r="NWI308" s="35"/>
      <c r="NWJ308" s="35"/>
      <c r="NWK308" s="15"/>
      <c r="NWM308" s="13"/>
      <c r="NWN308" s="35"/>
      <c r="NWO308" s="35"/>
      <c r="NWP308" s="15"/>
      <c r="NWR308" s="13"/>
      <c r="NWS308" s="35"/>
      <c r="NWT308" s="35"/>
      <c r="NWU308" s="15"/>
      <c r="NWW308" s="13"/>
      <c r="NWX308" s="35"/>
      <c r="NWY308" s="35"/>
      <c r="NWZ308" s="15"/>
      <c r="NXB308" s="13"/>
      <c r="NXC308" s="35"/>
      <c r="NXD308" s="35"/>
      <c r="NXE308" s="15"/>
      <c r="NXG308" s="13"/>
      <c r="NXH308" s="35"/>
      <c r="NXI308" s="35"/>
      <c r="NXJ308" s="15"/>
      <c r="NXL308" s="13"/>
      <c r="NXM308" s="35"/>
      <c r="NXN308" s="35"/>
      <c r="NXO308" s="15"/>
      <c r="NXQ308" s="13"/>
      <c r="NXR308" s="35"/>
      <c r="NXS308" s="35"/>
      <c r="NXT308" s="15"/>
      <c r="NXV308" s="13"/>
      <c r="NXW308" s="35"/>
      <c r="NXX308" s="35"/>
      <c r="NXY308" s="15"/>
      <c r="NYA308" s="13"/>
      <c r="NYB308" s="35"/>
      <c r="NYC308" s="35"/>
      <c r="NYD308" s="15"/>
      <c r="NYF308" s="13"/>
      <c r="NYG308" s="35"/>
      <c r="NYH308" s="35"/>
      <c r="NYI308" s="15"/>
      <c r="NYK308" s="13"/>
      <c r="NYL308" s="35"/>
      <c r="NYM308" s="35"/>
      <c r="NYN308" s="15"/>
      <c r="NYP308" s="13"/>
      <c r="NYQ308" s="35"/>
      <c r="NYR308" s="35"/>
      <c r="NYS308" s="15"/>
      <c r="NYU308" s="13"/>
      <c r="NYV308" s="35"/>
      <c r="NYW308" s="35"/>
      <c r="NYX308" s="15"/>
      <c r="NYZ308" s="13"/>
      <c r="NZA308" s="35"/>
      <c r="NZB308" s="35"/>
      <c r="NZC308" s="15"/>
      <c r="NZE308" s="13"/>
      <c r="NZF308" s="35"/>
      <c r="NZG308" s="35"/>
      <c r="NZH308" s="15"/>
      <c r="NZJ308" s="13"/>
      <c r="NZK308" s="35"/>
      <c r="NZL308" s="35"/>
      <c r="NZM308" s="15"/>
      <c r="NZO308" s="13"/>
      <c r="NZP308" s="35"/>
      <c r="NZQ308" s="35"/>
      <c r="NZR308" s="15"/>
      <c r="NZT308" s="13"/>
      <c r="NZU308" s="35"/>
      <c r="NZV308" s="35"/>
      <c r="NZW308" s="15"/>
      <c r="NZY308" s="13"/>
      <c r="NZZ308" s="35"/>
      <c r="OAA308" s="35"/>
      <c r="OAB308" s="15"/>
      <c r="OAD308" s="13"/>
      <c r="OAE308" s="35"/>
      <c r="OAF308" s="35"/>
      <c r="OAG308" s="15"/>
      <c r="OAI308" s="13"/>
      <c r="OAJ308" s="35"/>
      <c r="OAK308" s="35"/>
      <c r="OAL308" s="15"/>
      <c r="OAN308" s="13"/>
      <c r="OAO308" s="35"/>
      <c r="OAP308" s="35"/>
      <c r="OAQ308" s="15"/>
      <c r="OAS308" s="13"/>
      <c r="OAT308" s="35"/>
      <c r="OAU308" s="35"/>
      <c r="OAV308" s="15"/>
      <c r="OAX308" s="13"/>
      <c r="OAY308" s="35"/>
      <c r="OAZ308" s="35"/>
      <c r="OBA308" s="15"/>
      <c r="OBC308" s="13"/>
      <c r="OBD308" s="35"/>
      <c r="OBE308" s="35"/>
      <c r="OBF308" s="15"/>
      <c r="OBH308" s="13"/>
      <c r="OBI308" s="35"/>
      <c r="OBJ308" s="35"/>
      <c r="OBK308" s="15"/>
      <c r="OBM308" s="13"/>
      <c r="OBN308" s="35"/>
      <c r="OBO308" s="35"/>
      <c r="OBP308" s="15"/>
      <c r="OBR308" s="13"/>
      <c r="OBS308" s="35"/>
      <c r="OBT308" s="35"/>
      <c r="OBU308" s="15"/>
      <c r="OBW308" s="13"/>
      <c r="OBX308" s="35"/>
      <c r="OBY308" s="35"/>
      <c r="OBZ308" s="15"/>
      <c r="OCB308" s="13"/>
      <c r="OCC308" s="35"/>
      <c r="OCD308" s="35"/>
      <c r="OCE308" s="15"/>
      <c r="OCG308" s="13"/>
      <c r="OCH308" s="35"/>
      <c r="OCI308" s="35"/>
      <c r="OCJ308" s="15"/>
      <c r="OCL308" s="13"/>
      <c r="OCM308" s="35"/>
      <c r="OCN308" s="35"/>
      <c r="OCO308" s="15"/>
      <c r="OCQ308" s="13"/>
      <c r="OCR308" s="35"/>
      <c r="OCS308" s="35"/>
      <c r="OCT308" s="15"/>
      <c r="OCV308" s="13"/>
      <c r="OCW308" s="35"/>
      <c r="OCX308" s="35"/>
      <c r="OCY308" s="15"/>
      <c r="ODA308" s="13"/>
      <c r="ODB308" s="35"/>
      <c r="ODC308" s="35"/>
      <c r="ODD308" s="15"/>
      <c r="ODF308" s="13"/>
      <c r="ODG308" s="35"/>
      <c r="ODH308" s="35"/>
      <c r="ODI308" s="15"/>
      <c r="ODK308" s="13"/>
      <c r="ODL308" s="35"/>
      <c r="ODM308" s="35"/>
      <c r="ODN308" s="15"/>
      <c r="ODP308" s="13"/>
      <c r="ODQ308" s="35"/>
      <c r="ODR308" s="35"/>
      <c r="ODS308" s="15"/>
      <c r="ODU308" s="13"/>
      <c r="ODV308" s="35"/>
      <c r="ODW308" s="35"/>
      <c r="ODX308" s="15"/>
      <c r="ODZ308" s="13"/>
      <c r="OEA308" s="35"/>
      <c r="OEB308" s="35"/>
      <c r="OEC308" s="15"/>
      <c r="OEE308" s="13"/>
      <c r="OEF308" s="35"/>
      <c r="OEG308" s="35"/>
      <c r="OEH308" s="15"/>
      <c r="OEJ308" s="13"/>
      <c r="OEK308" s="35"/>
      <c r="OEL308" s="35"/>
      <c r="OEM308" s="15"/>
      <c r="OEO308" s="13"/>
      <c r="OEP308" s="35"/>
      <c r="OEQ308" s="35"/>
      <c r="OER308" s="15"/>
      <c r="OET308" s="13"/>
      <c r="OEU308" s="35"/>
      <c r="OEV308" s="35"/>
      <c r="OEW308" s="15"/>
      <c r="OEY308" s="13"/>
      <c r="OEZ308" s="35"/>
      <c r="OFA308" s="35"/>
      <c r="OFB308" s="15"/>
      <c r="OFD308" s="13"/>
      <c r="OFE308" s="35"/>
      <c r="OFF308" s="35"/>
      <c r="OFG308" s="15"/>
      <c r="OFI308" s="13"/>
      <c r="OFJ308" s="35"/>
      <c r="OFK308" s="35"/>
      <c r="OFL308" s="15"/>
      <c r="OFN308" s="13"/>
      <c r="OFO308" s="35"/>
      <c r="OFP308" s="35"/>
      <c r="OFQ308" s="15"/>
      <c r="OFS308" s="13"/>
      <c r="OFT308" s="35"/>
      <c r="OFU308" s="35"/>
      <c r="OFV308" s="15"/>
      <c r="OFX308" s="13"/>
      <c r="OFY308" s="35"/>
      <c r="OFZ308" s="35"/>
      <c r="OGA308" s="15"/>
      <c r="OGC308" s="13"/>
      <c r="OGD308" s="35"/>
      <c r="OGE308" s="35"/>
      <c r="OGF308" s="15"/>
      <c r="OGH308" s="13"/>
      <c r="OGI308" s="35"/>
      <c r="OGJ308" s="35"/>
      <c r="OGK308" s="15"/>
      <c r="OGM308" s="13"/>
      <c r="OGN308" s="35"/>
      <c r="OGO308" s="35"/>
      <c r="OGP308" s="15"/>
      <c r="OGR308" s="13"/>
      <c r="OGS308" s="35"/>
      <c r="OGT308" s="35"/>
      <c r="OGU308" s="15"/>
      <c r="OGW308" s="13"/>
      <c r="OGX308" s="35"/>
      <c r="OGY308" s="35"/>
      <c r="OGZ308" s="15"/>
      <c r="OHB308" s="13"/>
      <c r="OHC308" s="35"/>
      <c r="OHD308" s="35"/>
      <c r="OHE308" s="15"/>
      <c r="OHG308" s="13"/>
      <c r="OHH308" s="35"/>
      <c r="OHI308" s="35"/>
      <c r="OHJ308" s="15"/>
      <c r="OHL308" s="13"/>
      <c r="OHM308" s="35"/>
      <c r="OHN308" s="35"/>
      <c r="OHO308" s="15"/>
      <c r="OHQ308" s="13"/>
      <c r="OHR308" s="35"/>
      <c r="OHS308" s="35"/>
      <c r="OHT308" s="15"/>
      <c r="OHV308" s="13"/>
      <c r="OHW308" s="35"/>
      <c r="OHX308" s="35"/>
      <c r="OHY308" s="15"/>
      <c r="OIA308" s="13"/>
      <c r="OIB308" s="35"/>
      <c r="OIC308" s="35"/>
      <c r="OID308" s="15"/>
      <c r="OIF308" s="13"/>
      <c r="OIG308" s="35"/>
      <c r="OIH308" s="35"/>
      <c r="OII308" s="15"/>
      <c r="OIK308" s="13"/>
      <c r="OIL308" s="35"/>
      <c r="OIM308" s="35"/>
      <c r="OIN308" s="15"/>
      <c r="OIP308" s="13"/>
      <c r="OIQ308" s="35"/>
      <c r="OIR308" s="35"/>
      <c r="OIS308" s="15"/>
      <c r="OIU308" s="13"/>
      <c r="OIV308" s="35"/>
      <c r="OIW308" s="35"/>
      <c r="OIX308" s="15"/>
      <c r="OIZ308" s="13"/>
      <c r="OJA308" s="35"/>
      <c r="OJB308" s="35"/>
      <c r="OJC308" s="15"/>
      <c r="OJE308" s="13"/>
      <c r="OJF308" s="35"/>
      <c r="OJG308" s="35"/>
      <c r="OJH308" s="15"/>
      <c r="OJJ308" s="13"/>
      <c r="OJK308" s="35"/>
      <c r="OJL308" s="35"/>
      <c r="OJM308" s="15"/>
      <c r="OJO308" s="13"/>
      <c r="OJP308" s="35"/>
      <c r="OJQ308" s="35"/>
      <c r="OJR308" s="15"/>
      <c r="OJT308" s="13"/>
      <c r="OJU308" s="35"/>
      <c r="OJV308" s="35"/>
      <c r="OJW308" s="15"/>
      <c r="OJY308" s="13"/>
      <c r="OJZ308" s="35"/>
      <c r="OKA308" s="35"/>
      <c r="OKB308" s="15"/>
      <c r="OKD308" s="13"/>
      <c r="OKE308" s="35"/>
      <c r="OKF308" s="35"/>
      <c r="OKG308" s="15"/>
      <c r="OKI308" s="13"/>
      <c r="OKJ308" s="35"/>
      <c r="OKK308" s="35"/>
      <c r="OKL308" s="15"/>
      <c r="OKN308" s="13"/>
      <c r="OKO308" s="35"/>
      <c r="OKP308" s="35"/>
      <c r="OKQ308" s="15"/>
      <c r="OKS308" s="13"/>
      <c r="OKT308" s="35"/>
      <c r="OKU308" s="35"/>
      <c r="OKV308" s="15"/>
      <c r="OKX308" s="13"/>
      <c r="OKY308" s="35"/>
      <c r="OKZ308" s="35"/>
      <c r="OLA308" s="15"/>
      <c r="OLC308" s="13"/>
      <c r="OLD308" s="35"/>
      <c r="OLE308" s="35"/>
      <c r="OLF308" s="15"/>
      <c r="OLH308" s="13"/>
      <c r="OLI308" s="35"/>
      <c r="OLJ308" s="35"/>
      <c r="OLK308" s="15"/>
      <c r="OLM308" s="13"/>
      <c r="OLN308" s="35"/>
      <c r="OLO308" s="35"/>
      <c r="OLP308" s="15"/>
      <c r="OLR308" s="13"/>
      <c r="OLS308" s="35"/>
      <c r="OLT308" s="35"/>
      <c r="OLU308" s="15"/>
      <c r="OLW308" s="13"/>
      <c r="OLX308" s="35"/>
      <c r="OLY308" s="35"/>
      <c r="OLZ308" s="15"/>
      <c r="OMB308" s="13"/>
      <c r="OMC308" s="35"/>
      <c r="OMD308" s="35"/>
      <c r="OME308" s="15"/>
      <c r="OMG308" s="13"/>
      <c r="OMH308" s="35"/>
      <c r="OMI308" s="35"/>
      <c r="OMJ308" s="15"/>
      <c r="OML308" s="13"/>
      <c r="OMM308" s="35"/>
      <c r="OMN308" s="35"/>
      <c r="OMO308" s="15"/>
      <c r="OMQ308" s="13"/>
      <c r="OMR308" s="35"/>
      <c r="OMS308" s="35"/>
      <c r="OMT308" s="15"/>
      <c r="OMV308" s="13"/>
      <c r="OMW308" s="35"/>
      <c r="OMX308" s="35"/>
      <c r="OMY308" s="15"/>
      <c r="ONA308" s="13"/>
      <c r="ONB308" s="35"/>
      <c r="ONC308" s="35"/>
      <c r="OND308" s="15"/>
      <c r="ONF308" s="13"/>
      <c r="ONG308" s="35"/>
      <c r="ONH308" s="35"/>
      <c r="ONI308" s="15"/>
      <c r="ONK308" s="13"/>
      <c r="ONL308" s="35"/>
      <c r="ONM308" s="35"/>
      <c r="ONN308" s="15"/>
      <c r="ONP308" s="13"/>
      <c r="ONQ308" s="35"/>
      <c r="ONR308" s="35"/>
      <c r="ONS308" s="15"/>
      <c r="ONU308" s="13"/>
      <c r="ONV308" s="35"/>
      <c r="ONW308" s="35"/>
      <c r="ONX308" s="15"/>
      <c r="ONZ308" s="13"/>
      <c r="OOA308" s="35"/>
      <c r="OOB308" s="35"/>
      <c r="OOC308" s="15"/>
      <c r="OOE308" s="13"/>
      <c r="OOF308" s="35"/>
      <c r="OOG308" s="35"/>
      <c r="OOH308" s="15"/>
      <c r="OOJ308" s="13"/>
      <c r="OOK308" s="35"/>
      <c r="OOL308" s="35"/>
      <c r="OOM308" s="15"/>
      <c r="OOO308" s="13"/>
      <c r="OOP308" s="35"/>
      <c r="OOQ308" s="35"/>
      <c r="OOR308" s="15"/>
      <c r="OOT308" s="13"/>
      <c r="OOU308" s="35"/>
      <c r="OOV308" s="35"/>
      <c r="OOW308" s="15"/>
      <c r="OOY308" s="13"/>
      <c r="OOZ308" s="35"/>
      <c r="OPA308" s="35"/>
      <c r="OPB308" s="15"/>
      <c r="OPD308" s="13"/>
      <c r="OPE308" s="35"/>
      <c r="OPF308" s="35"/>
      <c r="OPG308" s="15"/>
      <c r="OPI308" s="13"/>
      <c r="OPJ308" s="35"/>
      <c r="OPK308" s="35"/>
      <c r="OPL308" s="15"/>
      <c r="OPN308" s="13"/>
      <c r="OPO308" s="35"/>
      <c r="OPP308" s="35"/>
      <c r="OPQ308" s="15"/>
      <c r="OPS308" s="13"/>
      <c r="OPT308" s="35"/>
      <c r="OPU308" s="35"/>
      <c r="OPV308" s="15"/>
      <c r="OPX308" s="13"/>
      <c r="OPY308" s="35"/>
      <c r="OPZ308" s="35"/>
      <c r="OQA308" s="15"/>
      <c r="OQC308" s="13"/>
      <c r="OQD308" s="35"/>
      <c r="OQE308" s="35"/>
      <c r="OQF308" s="15"/>
      <c r="OQH308" s="13"/>
      <c r="OQI308" s="35"/>
      <c r="OQJ308" s="35"/>
      <c r="OQK308" s="15"/>
      <c r="OQM308" s="13"/>
      <c r="OQN308" s="35"/>
      <c r="OQO308" s="35"/>
      <c r="OQP308" s="15"/>
      <c r="OQR308" s="13"/>
      <c r="OQS308" s="35"/>
      <c r="OQT308" s="35"/>
      <c r="OQU308" s="15"/>
      <c r="OQW308" s="13"/>
      <c r="OQX308" s="35"/>
      <c r="OQY308" s="35"/>
      <c r="OQZ308" s="15"/>
      <c r="ORB308" s="13"/>
      <c r="ORC308" s="35"/>
      <c r="ORD308" s="35"/>
      <c r="ORE308" s="15"/>
      <c r="ORG308" s="13"/>
      <c r="ORH308" s="35"/>
      <c r="ORI308" s="35"/>
      <c r="ORJ308" s="15"/>
      <c r="ORL308" s="13"/>
      <c r="ORM308" s="35"/>
      <c r="ORN308" s="35"/>
      <c r="ORO308" s="15"/>
      <c r="ORQ308" s="13"/>
      <c r="ORR308" s="35"/>
      <c r="ORS308" s="35"/>
      <c r="ORT308" s="15"/>
      <c r="ORV308" s="13"/>
      <c r="ORW308" s="35"/>
      <c r="ORX308" s="35"/>
      <c r="ORY308" s="15"/>
      <c r="OSA308" s="13"/>
      <c r="OSB308" s="35"/>
      <c r="OSC308" s="35"/>
      <c r="OSD308" s="15"/>
      <c r="OSF308" s="13"/>
      <c r="OSG308" s="35"/>
      <c r="OSH308" s="35"/>
      <c r="OSI308" s="15"/>
      <c r="OSK308" s="13"/>
      <c r="OSL308" s="35"/>
      <c r="OSM308" s="35"/>
      <c r="OSN308" s="15"/>
      <c r="OSP308" s="13"/>
      <c r="OSQ308" s="35"/>
      <c r="OSR308" s="35"/>
      <c r="OSS308" s="15"/>
      <c r="OSU308" s="13"/>
      <c r="OSV308" s="35"/>
      <c r="OSW308" s="35"/>
      <c r="OSX308" s="15"/>
      <c r="OSZ308" s="13"/>
      <c r="OTA308" s="35"/>
      <c r="OTB308" s="35"/>
      <c r="OTC308" s="15"/>
      <c r="OTE308" s="13"/>
      <c r="OTF308" s="35"/>
      <c r="OTG308" s="35"/>
      <c r="OTH308" s="15"/>
      <c r="OTJ308" s="13"/>
      <c r="OTK308" s="35"/>
      <c r="OTL308" s="35"/>
      <c r="OTM308" s="15"/>
      <c r="OTO308" s="13"/>
      <c r="OTP308" s="35"/>
      <c r="OTQ308" s="35"/>
      <c r="OTR308" s="15"/>
      <c r="OTT308" s="13"/>
      <c r="OTU308" s="35"/>
      <c r="OTV308" s="35"/>
      <c r="OTW308" s="15"/>
      <c r="OTY308" s="13"/>
      <c r="OTZ308" s="35"/>
      <c r="OUA308" s="35"/>
      <c r="OUB308" s="15"/>
      <c r="OUD308" s="13"/>
      <c r="OUE308" s="35"/>
      <c r="OUF308" s="35"/>
      <c r="OUG308" s="15"/>
      <c r="OUI308" s="13"/>
      <c r="OUJ308" s="35"/>
      <c r="OUK308" s="35"/>
      <c r="OUL308" s="15"/>
      <c r="OUN308" s="13"/>
      <c r="OUO308" s="35"/>
      <c r="OUP308" s="35"/>
      <c r="OUQ308" s="15"/>
      <c r="OUS308" s="13"/>
      <c r="OUT308" s="35"/>
      <c r="OUU308" s="35"/>
      <c r="OUV308" s="15"/>
      <c r="OUX308" s="13"/>
      <c r="OUY308" s="35"/>
      <c r="OUZ308" s="35"/>
      <c r="OVA308" s="15"/>
      <c r="OVC308" s="13"/>
      <c r="OVD308" s="35"/>
      <c r="OVE308" s="35"/>
      <c r="OVF308" s="15"/>
      <c r="OVH308" s="13"/>
      <c r="OVI308" s="35"/>
      <c r="OVJ308" s="35"/>
      <c r="OVK308" s="15"/>
      <c r="OVM308" s="13"/>
      <c r="OVN308" s="35"/>
      <c r="OVO308" s="35"/>
      <c r="OVP308" s="15"/>
      <c r="OVR308" s="13"/>
      <c r="OVS308" s="35"/>
      <c r="OVT308" s="35"/>
      <c r="OVU308" s="15"/>
      <c r="OVW308" s="13"/>
      <c r="OVX308" s="35"/>
      <c r="OVY308" s="35"/>
      <c r="OVZ308" s="15"/>
      <c r="OWB308" s="13"/>
      <c r="OWC308" s="35"/>
      <c r="OWD308" s="35"/>
      <c r="OWE308" s="15"/>
      <c r="OWG308" s="13"/>
      <c r="OWH308" s="35"/>
      <c r="OWI308" s="35"/>
      <c r="OWJ308" s="15"/>
      <c r="OWL308" s="13"/>
      <c r="OWM308" s="35"/>
      <c r="OWN308" s="35"/>
      <c r="OWO308" s="15"/>
      <c r="OWQ308" s="13"/>
      <c r="OWR308" s="35"/>
      <c r="OWS308" s="35"/>
      <c r="OWT308" s="15"/>
      <c r="OWV308" s="13"/>
      <c r="OWW308" s="35"/>
      <c r="OWX308" s="35"/>
      <c r="OWY308" s="15"/>
      <c r="OXA308" s="13"/>
      <c r="OXB308" s="35"/>
      <c r="OXC308" s="35"/>
      <c r="OXD308" s="15"/>
      <c r="OXF308" s="13"/>
      <c r="OXG308" s="35"/>
      <c r="OXH308" s="35"/>
      <c r="OXI308" s="15"/>
      <c r="OXK308" s="13"/>
      <c r="OXL308" s="35"/>
      <c r="OXM308" s="35"/>
      <c r="OXN308" s="15"/>
      <c r="OXP308" s="13"/>
      <c r="OXQ308" s="35"/>
      <c r="OXR308" s="35"/>
      <c r="OXS308" s="15"/>
      <c r="OXU308" s="13"/>
      <c r="OXV308" s="35"/>
      <c r="OXW308" s="35"/>
      <c r="OXX308" s="15"/>
      <c r="OXZ308" s="13"/>
      <c r="OYA308" s="35"/>
      <c r="OYB308" s="35"/>
      <c r="OYC308" s="15"/>
      <c r="OYE308" s="13"/>
      <c r="OYF308" s="35"/>
      <c r="OYG308" s="35"/>
      <c r="OYH308" s="15"/>
      <c r="OYJ308" s="13"/>
      <c r="OYK308" s="35"/>
      <c r="OYL308" s="35"/>
      <c r="OYM308" s="15"/>
      <c r="OYO308" s="13"/>
      <c r="OYP308" s="35"/>
      <c r="OYQ308" s="35"/>
      <c r="OYR308" s="15"/>
      <c r="OYT308" s="13"/>
      <c r="OYU308" s="35"/>
      <c r="OYV308" s="35"/>
      <c r="OYW308" s="15"/>
      <c r="OYY308" s="13"/>
      <c r="OYZ308" s="35"/>
      <c r="OZA308" s="35"/>
      <c r="OZB308" s="15"/>
      <c r="OZD308" s="13"/>
      <c r="OZE308" s="35"/>
      <c r="OZF308" s="35"/>
      <c r="OZG308" s="15"/>
      <c r="OZI308" s="13"/>
      <c r="OZJ308" s="35"/>
      <c r="OZK308" s="35"/>
      <c r="OZL308" s="15"/>
      <c r="OZN308" s="13"/>
      <c r="OZO308" s="35"/>
      <c r="OZP308" s="35"/>
      <c r="OZQ308" s="15"/>
      <c r="OZS308" s="13"/>
      <c r="OZT308" s="35"/>
      <c r="OZU308" s="35"/>
      <c r="OZV308" s="15"/>
      <c r="OZX308" s="13"/>
      <c r="OZY308" s="35"/>
      <c r="OZZ308" s="35"/>
      <c r="PAA308" s="15"/>
      <c r="PAC308" s="13"/>
      <c r="PAD308" s="35"/>
      <c r="PAE308" s="35"/>
      <c r="PAF308" s="15"/>
      <c r="PAH308" s="13"/>
      <c r="PAI308" s="35"/>
      <c r="PAJ308" s="35"/>
      <c r="PAK308" s="15"/>
      <c r="PAM308" s="13"/>
      <c r="PAN308" s="35"/>
      <c r="PAO308" s="35"/>
      <c r="PAP308" s="15"/>
      <c r="PAR308" s="13"/>
      <c r="PAS308" s="35"/>
      <c r="PAT308" s="35"/>
      <c r="PAU308" s="15"/>
      <c r="PAW308" s="13"/>
      <c r="PAX308" s="35"/>
      <c r="PAY308" s="35"/>
      <c r="PAZ308" s="15"/>
      <c r="PBB308" s="13"/>
      <c r="PBC308" s="35"/>
      <c r="PBD308" s="35"/>
      <c r="PBE308" s="15"/>
      <c r="PBG308" s="13"/>
      <c r="PBH308" s="35"/>
      <c r="PBI308" s="35"/>
      <c r="PBJ308" s="15"/>
      <c r="PBL308" s="13"/>
      <c r="PBM308" s="35"/>
      <c r="PBN308" s="35"/>
      <c r="PBO308" s="15"/>
      <c r="PBQ308" s="13"/>
      <c r="PBR308" s="35"/>
      <c r="PBS308" s="35"/>
      <c r="PBT308" s="15"/>
      <c r="PBV308" s="13"/>
      <c r="PBW308" s="35"/>
      <c r="PBX308" s="35"/>
      <c r="PBY308" s="15"/>
      <c r="PCA308" s="13"/>
      <c r="PCB308" s="35"/>
      <c r="PCC308" s="35"/>
      <c r="PCD308" s="15"/>
      <c r="PCF308" s="13"/>
      <c r="PCG308" s="35"/>
      <c r="PCH308" s="35"/>
      <c r="PCI308" s="15"/>
      <c r="PCK308" s="13"/>
      <c r="PCL308" s="35"/>
      <c r="PCM308" s="35"/>
      <c r="PCN308" s="15"/>
      <c r="PCP308" s="13"/>
      <c r="PCQ308" s="35"/>
      <c r="PCR308" s="35"/>
      <c r="PCS308" s="15"/>
      <c r="PCU308" s="13"/>
      <c r="PCV308" s="35"/>
      <c r="PCW308" s="35"/>
      <c r="PCX308" s="15"/>
      <c r="PCZ308" s="13"/>
      <c r="PDA308" s="35"/>
      <c r="PDB308" s="35"/>
      <c r="PDC308" s="15"/>
      <c r="PDE308" s="13"/>
      <c r="PDF308" s="35"/>
      <c r="PDG308" s="35"/>
      <c r="PDH308" s="15"/>
      <c r="PDJ308" s="13"/>
      <c r="PDK308" s="35"/>
      <c r="PDL308" s="35"/>
      <c r="PDM308" s="15"/>
      <c r="PDO308" s="13"/>
      <c r="PDP308" s="35"/>
      <c r="PDQ308" s="35"/>
      <c r="PDR308" s="15"/>
      <c r="PDT308" s="13"/>
      <c r="PDU308" s="35"/>
      <c r="PDV308" s="35"/>
      <c r="PDW308" s="15"/>
      <c r="PDY308" s="13"/>
      <c r="PDZ308" s="35"/>
      <c r="PEA308" s="35"/>
      <c r="PEB308" s="15"/>
      <c r="PED308" s="13"/>
      <c r="PEE308" s="35"/>
      <c r="PEF308" s="35"/>
      <c r="PEG308" s="15"/>
      <c r="PEI308" s="13"/>
      <c r="PEJ308" s="35"/>
      <c r="PEK308" s="35"/>
      <c r="PEL308" s="15"/>
      <c r="PEN308" s="13"/>
      <c r="PEO308" s="35"/>
      <c r="PEP308" s="35"/>
      <c r="PEQ308" s="15"/>
      <c r="PES308" s="13"/>
      <c r="PET308" s="35"/>
      <c r="PEU308" s="35"/>
      <c r="PEV308" s="15"/>
      <c r="PEX308" s="13"/>
      <c r="PEY308" s="35"/>
      <c r="PEZ308" s="35"/>
      <c r="PFA308" s="15"/>
      <c r="PFC308" s="13"/>
      <c r="PFD308" s="35"/>
      <c r="PFE308" s="35"/>
      <c r="PFF308" s="15"/>
      <c r="PFH308" s="13"/>
      <c r="PFI308" s="35"/>
      <c r="PFJ308" s="35"/>
      <c r="PFK308" s="15"/>
      <c r="PFM308" s="13"/>
      <c r="PFN308" s="35"/>
      <c r="PFO308" s="35"/>
      <c r="PFP308" s="15"/>
      <c r="PFR308" s="13"/>
      <c r="PFS308" s="35"/>
      <c r="PFT308" s="35"/>
      <c r="PFU308" s="15"/>
      <c r="PFW308" s="13"/>
      <c r="PFX308" s="35"/>
      <c r="PFY308" s="35"/>
      <c r="PFZ308" s="15"/>
      <c r="PGB308" s="13"/>
      <c r="PGC308" s="35"/>
      <c r="PGD308" s="35"/>
      <c r="PGE308" s="15"/>
      <c r="PGG308" s="13"/>
      <c r="PGH308" s="35"/>
      <c r="PGI308" s="35"/>
      <c r="PGJ308" s="15"/>
      <c r="PGL308" s="13"/>
      <c r="PGM308" s="35"/>
      <c r="PGN308" s="35"/>
      <c r="PGO308" s="15"/>
      <c r="PGQ308" s="13"/>
      <c r="PGR308" s="35"/>
      <c r="PGS308" s="35"/>
      <c r="PGT308" s="15"/>
      <c r="PGV308" s="13"/>
      <c r="PGW308" s="35"/>
      <c r="PGX308" s="35"/>
      <c r="PGY308" s="15"/>
      <c r="PHA308" s="13"/>
      <c r="PHB308" s="35"/>
      <c r="PHC308" s="35"/>
      <c r="PHD308" s="15"/>
      <c r="PHF308" s="13"/>
      <c r="PHG308" s="35"/>
      <c r="PHH308" s="35"/>
      <c r="PHI308" s="15"/>
      <c r="PHK308" s="13"/>
      <c r="PHL308" s="35"/>
      <c r="PHM308" s="35"/>
      <c r="PHN308" s="15"/>
      <c r="PHP308" s="13"/>
      <c r="PHQ308" s="35"/>
      <c r="PHR308" s="35"/>
      <c r="PHS308" s="15"/>
      <c r="PHU308" s="13"/>
      <c r="PHV308" s="35"/>
      <c r="PHW308" s="35"/>
      <c r="PHX308" s="15"/>
      <c r="PHZ308" s="13"/>
      <c r="PIA308" s="35"/>
      <c r="PIB308" s="35"/>
      <c r="PIC308" s="15"/>
      <c r="PIE308" s="13"/>
      <c r="PIF308" s="35"/>
      <c r="PIG308" s="35"/>
      <c r="PIH308" s="15"/>
      <c r="PIJ308" s="13"/>
      <c r="PIK308" s="35"/>
      <c r="PIL308" s="35"/>
      <c r="PIM308" s="15"/>
      <c r="PIO308" s="13"/>
      <c r="PIP308" s="35"/>
      <c r="PIQ308" s="35"/>
      <c r="PIR308" s="15"/>
      <c r="PIT308" s="13"/>
      <c r="PIU308" s="35"/>
      <c r="PIV308" s="35"/>
      <c r="PIW308" s="15"/>
      <c r="PIY308" s="13"/>
      <c r="PIZ308" s="35"/>
      <c r="PJA308" s="35"/>
      <c r="PJB308" s="15"/>
      <c r="PJD308" s="13"/>
      <c r="PJE308" s="35"/>
      <c r="PJF308" s="35"/>
      <c r="PJG308" s="15"/>
      <c r="PJI308" s="13"/>
      <c r="PJJ308" s="35"/>
      <c r="PJK308" s="35"/>
      <c r="PJL308" s="15"/>
      <c r="PJN308" s="13"/>
      <c r="PJO308" s="35"/>
      <c r="PJP308" s="35"/>
      <c r="PJQ308" s="15"/>
      <c r="PJS308" s="13"/>
      <c r="PJT308" s="35"/>
      <c r="PJU308" s="35"/>
      <c r="PJV308" s="15"/>
      <c r="PJX308" s="13"/>
      <c r="PJY308" s="35"/>
      <c r="PJZ308" s="35"/>
      <c r="PKA308" s="15"/>
      <c r="PKC308" s="13"/>
      <c r="PKD308" s="35"/>
      <c r="PKE308" s="35"/>
      <c r="PKF308" s="15"/>
      <c r="PKH308" s="13"/>
      <c r="PKI308" s="35"/>
      <c r="PKJ308" s="35"/>
      <c r="PKK308" s="15"/>
      <c r="PKM308" s="13"/>
      <c r="PKN308" s="35"/>
      <c r="PKO308" s="35"/>
      <c r="PKP308" s="15"/>
      <c r="PKR308" s="13"/>
      <c r="PKS308" s="35"/>
      <c r="PKT308" s="35"/>
      <c r="PKU308" s="15"/>
      <c r="PKW308" s="13"/>
      <c r="PKX308" s="35"/>
      <c r="PKY308" s="35"/>
      <c r="PKZ308" s="15"/>
      <c r="PLB308" s="13"/>
      <c r="PLC308" s="35"/>
      <c r="PLD308" s="35"/>
      <c r="PLE308" s="15"/>
      <c r="PLG308" s="13"/>
      <c r="PLH308" s="35"/>
      <c r="PLI308" s="35"/>
      <c r="PLJ308" s="15"/>
      <c r="PLL308" s="13"/>
      <c r="PLM308" s="35"/>
      <c r="PLN308" s="35"/>
      <c r="PLO308" s="15"/>
      <c r="PLQ308" s="13"/>
      <c r="PLR308" s="35"/>
      <c r="PLS308" s="35"/>
      <c r="PLT308" s="15"/>
      <c r="PLV308" s="13"/>
      <c r="PLW308" s="35"/>
      <c r="PLX308" s="35"/>
      <c r="PLY308" s="15"/>
      <c r="PMA308" s="13"/>
      <c r="PMB308" s="35"/>
      <c r="PMC308" s="35"/>
      <c r="PMD308" s="15"/>
      <c r="PMF308" s="13"/>
      <c r="PMG308" s="35"/>
      <c r="PMH308" s="35"/>
      <c r="PMI308" s="15"/>
      <c r="PMK308" s="13"/>
      <c r="PML308" s="35"/>
      <c r="PMM308" s="35"/>
      <c r="PMN308" s="15"/>
      <c r="PMP308" s="13"/>
      <c r="PMQ308" s="35"/>
      <c r="PMR308" s="35"/>
      <c r="PMS308" s="15"/>
      <c r="PMU308" s="13"/>
      <c r="PMV308" s="35"/>
      <c r="PMW308" s="35"/>
      <c r="PMX308" s="15"/>
      <c r="PMZ308" s="13"/>
      <c r="PNA308" s="35"/>
      <c r="PNB308" s="35"/>
      <c r="PNC308" s="15"/>
      <c r="PNE308" s="13"/>
      <c r="PNF308" s="35"/>
      <c r="PNG308" s="35"/>
      <c r="PNH308" s="15"/>
      <c r="PNJ308" s="13"/>
      <c r="PNK308" s="35"/>
      <c r="PNL308" s="35"/>
      <c r="PNM308" s="15"/>
      <c r="PNO308" s="13"/>
      <c r="PNP308" s="35"/>
      <c r="PNQ308" s="35"/>
      <c r="PNR308" s="15"/>
      <c r="PNT308" s="13"/>
      <c r="PNU308" s="35"/>
      <c r="PNV308" s="35"/>
      <c r="PNW308" s="15"/>
      <c r="PNY308" s="13"/>
      <c r="PNZ308" s="35"/>
      <c r="POA308" s="35"/>
      <c r="POB308" s="15"/>
      <c r="POD308" s="13"/>
      <c r="POE308" s="35"/>
      <c r="POF308" s="35"/>
      <c r="POG308" s="15"/>
      <c r="POI308" s="13"/>
      <c r="POJ308" s="35"/>
      <c r="POK308" s="35"/>
      <c r="POL308" s="15"/>
      <c r="PON308" s="13"/>
      <c r="POO308" s="35"/>
      <c r="POP308" s="35"/>
      <c r="POQ308" s="15"/>
      <c r="POS308" s="13"/>
      <c r="POT308" s="35"/>
      <c r="POU308" s="35"/>
      <c r="POV308" s="15"/>
      <c r="POX308" s="13"/>
      <c r="POY308" s="35"/>
      <c r="POZ308" s="35"/>
      <c r="PPA308" s="15"/>
      <c r="PPC308" s="13"/>
      <c r="PPD308" s="35"/>
      <c r="PPE308" s="35"/>
      <c r="PPF308" s="15"/>
      <c r="PPH308" s="13"/>
      <c r="PPI308" s="35"/>
      <c r="PPJ308" s="35"/>
      <c r="PPK308" s="15"/>
      <c r="PPM308" s="13"/>
      <c r="PPN308" s="35"/>
      <c r="PPO308" s="35"/>
      <c r="PPP308" s="15"/>
      <c r="PPR308" s="13"/>
      <c r="PPS308" s="35"/>
      <c r="PPT308" s="35"/>
      <c r="PPU308" s="15"/>
      <c r="PPW308" s="13"/>
      <c r="PPX308" s="35"/>
      <c r="PPY308" s="35"/>
      <c r="PPZ308" s="15"/>
      <c r="PQB308" s="13"/>
      <c r="PQC308" s="35"/>
      <c r="PQD308" s="35"/>
      <c r="PQE308" s="15"/>
      <c r="PQG308" s="13"/>
      <c r="PQH308" s="35"/>
      <c r="PQI308" s="35"/>
      <c r="PQJ308" s="15"/>
      <c r="PQL308" s="13"/>
      <c r="PQM308" s="35"/>
      <c r="PQN308" s="35"/>
      <c r="PQO308" s="15"/>
      <c r="PQQ308" s="13"/>
      <c r="PQR308" s="35"/>
      <c r="PQS308" s="35"/>
      <c r="PQT308" s="15"/>
      <c r="PQV308" s="13"/>
      <c r="PQW308" s="35"/>
      <c r="PQX308" s="35"/>
      <c r="PQY308" s="15"/>
      <c r="PRA308" s="13"/>
      <c r="PRB308" s="35"/>
      <c r="PRC308" s="35"/>
      <c r="PRD308" s="15"/>
      <c r="PRF308" s="13"/>
      <c r="PRG308" s="35"/>
      <c r="PRH308" s="35"/>
      <c r="PRI308" s="15"/>
      <c r="PRK308" s="13"/>
      <c r="PRL308" s="35"/>
      <c r="PRM308" s="35"/>
      <c r="PRN308" s="15"/>
      <c r="PRP308" s="13"/>
      <c r="PRQ308" s="35"/>
      <c r="PRR308" s="35"/>
      <c r="PRS308" s="15"/>
      <c r="PRU308" s="13"/>
      <c r="PRV308" s="35"/>
      <c r="PRW308" s="35"/>
      <c r="PRX308" s="15"/>
      <c r="PRZ308" s="13"/>
      <c r="PSA308" s="35"/>
      <c r="PSB308" s="35"/>
      <c r="PSC308" s="15"/>
      <c r="PSE308" s="13"/>
      <c r="PSF308" s="35"/>
      <c r="PSG308" s="35"/>
      <c r="PSH308" s="15"/>
      <c r="PSJ308" s="13"/>
      <c r="PSK308" s="35"/>
      <c r="PSL308" s="35"/>
      <c r="PSM308" s="15"/>
      <c r="PSO308" s="13"/>
      <c r="PSP308" s="35"/>
      <c r="PSQ308" s="35"/>
      <c r="PSR308" s="15"/>
      <c r="PST308" s="13"/>
      <c r="PSU308" s="35"/>
      <c r="PSV308" s="35"/>
      <c r="PSW308" s="15"/>
      <c r="PSY308" s="13"/>
      <c r="PSZ308" s="35"/>
      <c r="PTA308" s="35"/>
      <c r="PTB308" s="15"/>
      <c r="PTD308" s="13"/>
      <c r="PTE308" s="35"/>
      <c r="PTF308" s="35"/>
      <c r="PTG308" s="15"/>
      <c r="PTI308" s="13"/>
      <c r="PTJ308" s="35"/>
      <c r="PTK308" s="35"/>
      <c r="PTL308" s="15"/>
      <c r="PTN308" s="13"/>
      <c r="PTO308" s="35"/>
      <c r="PTP308" s="35"/>
      <c r="PTQ308" s="15"/>
      <c r="PTS308" s="13"/>
      <c r="PTT308" s="35"/>
      <c r="PTU308" s="35"/>
      <c r="PTV308" s="15"/>
      <c r="PTX308" s="13"/>
      <c r="PTY308" s="35"/>
      <c r="PTZ308" s="35"/>
      <c r="PUA308" s="15"/>
      <c r="PUC308" s="13"/>
      <c r="PUD308" s="35"/>
      <c r="PUE308" s="35"/>
      <c r="PUF308" s="15"/>
      <c r="PUH308" s="13"/>
      <c r="PUI308" s="35"/>
      <c r="PUJ308" s="35"/>
      <c r="PUK308" s="15"/>
      <c r="PUM308" s="13"/>
      <c r="PUN308" s="35"/>
      <c r="PUO308" s="35"/>
      <c r="PUP308" s="15"/>
      <c r="PUR308" s="13"/>
      <c r="PUS308" s="35"/>
      <c r="PUT308" s="35"/>
      <c r="PUU308" s="15"/>
      <c r="PUW308" s="13"/>
      <c r="PUX308" s="35"/>
      <c r="PUY308" s="35"/>
      <c r="PUZ308" s="15"/>
      <c r="PVB308" s="13"/>
      <c r="PVC308" s="35"/>
      <c r="PVD308" s="35"/>
      <c r="PVE308" s="15"/>
      <c r="PVG308" s="13"/>
      <c r="PVH308" s="35"/>
      <c r="PVI308" s="35"/>
      <c r="PVJ308" s="15"/>
      <c r="PVL308" s="13"/>
      <c r="PVM308" s="35"/>
      <c r="PVN308" s="35"/>
      <c r="PVO308" s="15"/>
      <c r="PVQ308" s="13"/>
      <c r="PVR308" s="35"/>
      <c r="PVS308" s="35"/>
      <c r="PVT308" s="15"/>
      <c r="PVV308" s="13"/>
      <c r="PVW308" s="35"/>
      <c r="PVX308" s="35"/>
      <c r="PVY308" s="15"/>
      <c r="PWA308" s="13"/>
      <c r="PWB308" s="35"/>
      <c r="PWC308" s="35"/>
      <c r="PWD308" s="15"/>
      <c r="PWF308" s="13"/>
      <c r="PWG308" s="35"/>
      <c r="PWH308" s="35"/>
      <c r="PWI308" s="15"/>
      <c r="PWK308" s="13"/>
      <c r="PWL308" s="35"/>
      <c r="PWM308" s="35"/>
      <c r="PWN308" s="15"/>
      <c r="PWP308" s="13"/>
      <c r="PWQ308" s="35"/>
      <c r="PWR308" s="35"/>
      <c r="PWS308" s="15"/>
      <c r="PWU308" s="13"/>
      <c r="PWV308" s="35"/>
      <c r="PWW308" s="35"/>
      <c r="PWX308" s="15"/>
      <c r="PWZ308" s="13"/>
      <c r="PXA308" s="35"/>
      <c r="PXB308" s="35"/>
      <c r="PXC308" s="15"/>
      <c r="PXE308" s="13"/>
      <c r="PXF308" s="35"/>
      <c r="PXG308" s="35"/>
      <c r="PXH308" s="15"/>
      <c r="PXJ308" s="13"/>
      <c r="PXK308" s="35"/>
      <c r="PXL308" s="35"/>
      <c r="PXM308" s="15"/>
      <c r="PXO308" s="13"/>
      <c r="PXP308" s="35"/>
      <c r="PXQ308" s="35"/>
      <c r="PXR308" s="15"/>
      <c r="PXT308" s="13"/>
      <c r="PXU308" s="35"/>
      <c r="PXV308" s="35"/>
      <c r="PXW308" s="15"/>
      <c r="PXY308" s="13"/>
      <c r="PXZ308" s="35"/>
      <c r="PYA308" s="35"/>
      <c r="PYB308" s="15"/>
      <c r="PYD308" s="13"/>
      <c r="PYE308" s="35"/>
      <c r="PYF308" s="35"/>
      <c r="PYG308" s="15"/>
      <c r="PYI308" s="13"/>
      <c r="PYJ308" s="35"/>
      <c r="PYK308" s="35"/>
      <c r="PYL308" s="15"/>
      <c r="PYN308" s="13"/>
      <c r="PYO308" s="35"/>
      <c r="PYP308" s="35"/>
      <c r="PYQ308" s="15"/>
      <c r="PYS308" s="13"/>
      <c r="PYT308" s="35"/>
      <c r="PYU308" s="35"/>
      <c r="PYV308" s="15"/>
      <c r="PYX308" s="13"/>
      <c r="PYY308" s="35"/>
      <c r="PYZ308" s="35"/>
      <c r="PZA308" s="15"/>
      <c r="PZC308" s="13"/>
      <c r="PZD308" s="35"/>
      <c r="PZE308" s="35"/>
      <c r="PZF308" s="15"/>
      <c r="PZH308" s="13"/>
      <c r="PZI308" s="35"/>
      <c r="PZJ308" s="35"/>
      <c r="PZK308" s="15"/>
      <c r="PZM308" s="13"/>
      <c r="PZN308" s="35"/>
      <c r="PZO308" s="35"/>
      <c r="PZP308" s="15"/>
      <c r="PZR308" s="13"/>
      <c r="PZS308" s="35"/>
      <c r="PZT308" s="35"/>
      <c r="PZU308" s="15"/>
      <c r="PZW308" s="13"/>
      <c r="PZX308" s="35"/>
      <c r="PZY308" s="35"/>
      <c r="PZZ308" s="15"/>
      <c r="QAB308" s="13"/>
      <c r="QAC308" s="35"/>
      <c r="QAD308" s="35"/>
      <c r="QAE308" s="15"/>
      <c r="QAG308" s="13"/>
      <c r="QAH308" s="35"/>
      <c r="QAI308" s="35"/>
      <c r="QAJ308" s="15"/>
      <c r="QAL308" s="13"/>
      <c r="QAM308" s="35"/>
      <c r="QAN308" s="35"/>
      <c r="QAO308" s="15"/>
      <c r="QAQ308" s="13"/>
      <c r="QAR308" s="35"/>
      <c r="QAS308" s="35"/>
      <c r="QAT308" s="15"/>
      <c r="QAV308" s="13"/>
      <c r="QAW308" s="35"/>
      <c r="QAX308" s="35"/>
      <c r="QAY308" s="15"/>
      <c r="QBA308" s="13"/>
      <c r="QBB308" s="35"/>
      <c r="QBC308" s="35"/>
      <c r="QBD308" s="15"/>
      <c r="QBF308" s="13"/>
      <c r="QBG308" s="35"/>
      <c r="QBH308" s="35"/>
      <c r="QBI308" s="15"/>
      <c r="QBK308" s="13"/>
      <c r="QBL308" s="35"/>
      <c r="QBM308" s="35"/>
      <c r="QBN308" s="15"/>
      <c r="QBP308" s="13"/>
      <c r="QBQ308" s="35"/>
      <c r="QBR308" s="35"/>
      <c r="QBS308" s="15"/>
      <c r="QBU308" s="13"/>
      <c r="QBV308" s="35"/>
      <c r="QBW308" s="35"/>
      <c r="QBX308" s="15"/>
      <c r="QBZ308" s="13"/>
      <c r="QCA308" s="35"/>
      <c r="QCB308" s="35"/>
      <c r="QCC308" s="15"/>
      <c r="QCE308" s="13"/>
      <c r="QCF308" s="35"/>
      <c r="QCG308" s="35"/>
      <c r="QCH308" s="15"/>
      <c r="QCJ308" s="13"/>
      <c r="QCK308" s="35"/>
      <c r="QCL308" s="35"/>
      <c r="QCM308" s="15"/>
      <c r="QCO308" s="13"/>
      <c r="QCP308" s="35"/>
      <c r="QCQ308" s="35"/>
      <c r="QCR308" s="15"/>
      <c r="QCT308" s="13"/>
      <c r="QCU308" s="35"/>
      <c r="QCV308" s="35"/>
      <c r="QCW308" s="15"/>
      <c r="QCY308" s="13"/>
      <c r="QCZ308" s="35"/>
      <c r="QDA308" s="35"/>
      <c r="QDB308" s="15"/>
      <c r="QDD308" s="13"/>
      <c r="QDE308" s="35"/>
      <c r="QDF308" s="35"/>
      <c r="QDG308" s="15"/>
      <c r="QDI308" s="13"/>
      <c r="QDJ308" s="35"/>
      <c r="QDK308" s="35"/>
      <c r="QDL308" s="15"/>
      <c r="QDN308" s="13"/>
      <c r="QDO308" s="35"/>
      <c r="QDP308" s="35"/>
      <c r="QDQ308" s="15"/>
      <c r="QDS308" s="13"/>
      <c r="QDT308" s="35"/>
      <c r="QDU308" s="35"/>
      <c r="QDV308" s="15"/>
      <c r="QDX308" s="13"/>
      <c r="QDY308" s="35"/>
      <c r="QDZ308" s="35"/>
      <c r="QEA308" s="15"/>
      <c r="QEC308" s="13"/>
      <c r="QED308" s="35"/>
      <c r="QEE308" s="35"/>
      <c r="QEF308" s="15"/>
      <c r="QEH308" s="13"/>
      <c r="QEI308" s="35"/>
      <c r="QEJ308" s="35"/>
      <c r="QEK308" s="15"/>
      <c r="QEM308" s="13"/>
      <c r="QEN308" s="35"/>
      <c r="QEO308" s="35"/>
      <c r="QEP308" s="15"/>
      <c r="QER308" s="13"/>
      <c r="QES308" s="35"/>
      <c r="QET308" s="35"/>
      <c r="QEU308" s="15"/>
      <c r="QEW308" s="13"/>
      <c r="QEX308" s="35"/>
      <c r="QEY308" s="35"/>
      <c r="QEZ308" s="15"/>
      <c r="QFB308" s="13"/>
      <c r="QFC308" s="35"/>
      <c r="QFD308" s="35"/>
      <c r="QFE308" s="15"/>
      <c r="QFG308" s="13"/>
      <c r="QFH308" s="35"/>
      <c r="QFI308" s="35"/>
      <c r="QFJ308" s="15"/>
      <c r="QFL308" s="13"/>
      <c r="QFM308" s="35"/>
      <c r="QFN308" s="35"/>
      <c r="QFO308" s="15"/>
      <c r="QFQ308" s="13"/>
      <c r="QFR308" s="35"/>
      <c r="QFS308" s="35"/>
      <c r="QFT308" s="15"/>
      <c r="QFV308" s="13"/>
      <c r="QFW308" s="35"/>
      <c r="QFX308" s="35"/>
      <c r="QFY308" s="15"/>
      <c r="QGA308" s="13"/>
      <c r="QGB308" s="35"/>
      <c r="QGC308" s="35"/>
      <c r="QGD308" s="15"/>
      <c r="QGF308" s="13"/>
      <c r="QGG308" s="35"/>
      <c r="QGH308" s="35"/>
      <c r="QGI308" s="15"/>
      <c r="QGK308" s="13"/>
      <c r="QGL308" s="35"/>
      <c r="QGM308" s="35"/>
      <c r="QGN308" s="15"/>
      <c r="QGP308" s="13"/>
      <c r="QGQ308" s="35"/>
      <c r="QGR308" s="35"/>
      <c r="QGS308" s="15"/>
      <c r="QGU308" s="13"/>
      <c r="QGV308" s="35"/>
      <c r="QGW308" s="35"/>
      <c r="QGX308" s="15"/>
      <c r="QGZ308" s="13"/>
      <c r="QHA308" s="35"/>
      <c r="QHB308" s="35"/>
      <c r="QHC308" s="15"/>
      <c r="QHE308" s="13"/>
      <c r="QHF308" s="35"/>
      <c r="QHG308" s="35"/>
      <c r="QHH308" s="15"/>
      <c r="QHJ308" s="13"/>
      <c r="QHK308" s="35"/>
      <c r="QHL308" s="35"/>
      <c r="QHM308" s="15"/>
      <c r="QHO308" s="13"/>
      <c r="QHP308" s="35"/>
      <c r="QHQ308" s="35"/>
      <c r="QHR308" s="15"/>
      <c r="QHT308" s="13"/>
      <c r="QHU308" s="35"/>
      <c r="QHV308" s="35"/>
      <c r="QHW308" s="15"/>
      <c r="QHY308" s="13"/>
      <c r="QHZ308" s="35"/>
      <c r="QIA308" s="35"/>
      <c r="QIB308" s="15"/>
      <c r="QID308" s="13"/>
      <c r="QIE308" s="35"/>
      <c r="QIF308" s="35"/>
      <c r="QIG308" s="15"/>
      <c r="QII308" s="13"/>
      <c r="QIJ308" s="35"/>
      <c r="QIK308" s="35"/>
      <c r="QIL308" s="15"/>
      <c r="QIN308" s="13"/>
      <c r="QIO308" s="35"/>
      <c r="QIP308" s="35"/>
      <c r="QIQ308" s="15"/>
      <c r="QIS308" s="13"/>
      <c r="QIT308" s="35"/>
      <c r="QIU308" s="35"/>
      <c r="QIV308" s="15"/>
      <c r="QIX308" s="13"/>
      <c r="QIY308" s="35"/>
      <c r="QIZ308" s="35"/>
      <c r="QJA308" s="15"/>
      <c r="QJC308" s="13"/>
      <c r="QJD308" s="35"/>
      <c r="QJE308" s="35"/>
      <c r="QJF308" s="15"/>
      <c r="QJH308" s="13"/>
      <c r="QJI308" s="35"/>
      <c r="QJJ308" s="35"/>
      <c r="QJK308" s="15"/>
      <c r="QJM308" s="13"/>
      <c r="QJN308" s="35"/>
      <c r="QJO308" s="35"/>
      <c r="QJP308" s="15"/>
      <c r="QJR308" s="13"/>
      <c r="QJS308" s="35"/>
      <c r="QJT308" s="35"/>
      <c r="QJU308" s="15"/>
      <c r="QJW308" s="13"/>
      <c r="QJX308" s="35"/>
      <c r="QJY308" s="35"/>
      <c r="QJZ308" s="15"/>
      <c r="QKB308" s="13"/>
      <c r="QKC308" s="35"/>
      <c r="QKD308" s="35"/>
      <c r="QKE308" s="15"/>
      <c r="QKG308" s="13"/>
      <c r="QKH308" s="35"/>
      <c r="QKI308" s="35"/>
      <c r="QKJ308" s="15"/>
      <c r="QKL308" s="13"/>
      <c r="QKM308" s="35"/>
      <c r="QKN308" s="35"/>
      <c r="QKO308" s="15"/>
      <c r="QKQ308" s="13"/>
      <c r="QKR308" s="35"/>
      <c r="QKS308" s="35"/>
      <c r="QKT308" s="15"/>
      <c r="QKV308" s="13"/>
      <c r="QKW308" s="35"/>
      <c r="QKX308" s="35"/>
      <c r="QKY308" s="15"/>
      <c r="QLA308" s="13"/>
      <c r="QLB308" s="35"/>
      <c r="QLC308" s="35"/>
      <c r="QLD308" s="15"/>
      <c r="QLF308" s="13"/>
      <c r="QLG308" s="35"/>
      <c r="QLH308" s="35"/>
      <c r="QLI308" s="15"/>
      <c r="QLK308" s="13"/>
      <c r="QLL308" s="35"/>
      <c r="QLM308" s="35"/>
      <c r="QLN308" s="15"/>
      <c r="QLP308" s="13"/>
      <c r="QLQ308" s="35"/>
      <c r="QLR308" s="35"/>
      <c r="QLS308" s="15"/>
      <c r="QLU308" s="13"/>
      <c r="QLV308" s="35"/>
      <c r="QLW308" s="35"/>
      <c r="QLX308" s="15"/>
      <c r="QLZ308" s="13"/>
      <c r="QMA308" s="35"/>
      <c r="QMB308" s="35"/>
      <c r="QMC308" s="15"/>
      <c r="QME308" s="13"/>
      <c r="QMF308" s="35"/>
      <c r="QMG308" s="35"/>
      <c r="QMH308" s="15"/>
      <c r="QMJ308" s="13"/>
      <c r="QMK308" s="35"/>
      <c r="QML308" s="35"/>
      <c r="QMM308" s="15"/>
      <c r="QMO308" s="13"/>
      <c r="QMP308" s="35"/>
      <c r="QMQ308" s="35"/>
      <c r="QMR308" s="15"/>
      <c r="QMT308" s="13"/>
      <c r="QMU308" s="35"/>
      <c r="QMV308" s="35"/>
      <c r="QMW308" s="15"/>
      <c r="QMY308" s="13"/>
      <c r="QMZ308" s="35"/>
      <c r="QNA308" s="35"/>
      <c r="QNB308" s="15"/>
      <c r="QND308" s="13"/>
      <c r="QNE308" s="35"/>
      <c r="QNF308" s="35"/>
      <c r="QNG308" s="15"/>
      <c r="QNI308" s="13"/>
      <c r="QNJ308" s="35"/>
      <c r="QNK308" s="35"/>
      <c r="QNL308" s="15"/>
      <c r="QNN308" s="13"/>
      <c r="QNO308" s="35"/>
      <c r="QNP308" s="35"/>
      <c r="QNQ308" s="15"/>
      <c r="QNS308" s="13"/>
      <c r="QNT308" s="35"/>
      <c r="QNU308" s="35"/>
      <c r="QNV308" s="15"/>
      <c r="QNX308" s="13"/>
      <c r="QNY308" s="35"/>
      <c r="QNZ308" s="35"/>
      <c r="QOA308" s="15"/>
      <c r="QOC308" s="13"/>
      <c r="QOD308" s="35"/>
      <c r="QOE308" s="35"/>
      <c r="QOF308" s="15"/>
      <c r="QOH308" s="13"/>
      <c r="QOI308" s="35"/>
      <c r="QOJ308" s="35"/>
      <c r="QOK308" s="15"/>
      <c r="QOM308" s="13"/>
      <c r="QON308" s="35"/>
      <c r="QOO308" s="35"/>
      <c r="QOP308" s="15"/>
      <c r="QOR308" s="13"/>
      <c r="QOS308" s="35"/>
      <c r="QOT308" s="35"/>
      <c r="QOU308" s="15"/>
      <c r="QOW308" s="13"/>
      <c r="QOX308" s="35"/>
      <c r="QOY308" s="35"/>
      <c r="QOZ308" s="15"/>
      <c r="QPB308" s="13"/>
      <c r="QPC308" s="35"/>
      <c r="QPD308" s="35"/>
      <c r="QPE308" s="15"/>
      <c r="QPG308" s="13"/>
      <c r="QPH308" s="35"/>
      <c r="QPI308" s="35"/>
      <c r="QPJ308" s="15"/>
      <c r="QPL308" s="13"/>
      <c r="QPM308" s="35"/>
      <c r="QPN308" s="35"/>
      <c r="QPO308" s="15"/>
      <c r="QPQ308" s="13"/>
      <c r="QPR308" s="35"/>
      <c r="QPS308" s="35"/>
      <c r="QPT308" s="15"/>
      <c r="QPV308" s="13"/>
      <c r="QPW308" s="35"/>
      <c r="QPX308" s="35"/>
      <c r="QPY308" s="15"/>
      <c r="QQA308" s="13"/>
      <c r="QQB308" s="35"/>
      <c r="QQC308" s="35"/>
      <c r="QQD308" s="15"/>
      <c r="QQF308" s="13"/>
      <c r="QQG308" s="35"/>
      <c r="QQH308" s="35"/>
      <c r="QQI308" s="15"/>
      <c r="QQK308" s="13"/>
      <c r="QQL308" s="35"/>
      <c r="QQM308" s="35"/>
      <c r="QQN308" s="15"/>
      <c r="QQP308" s="13"/>
      <c r="QQQ308" s="35"/>
      <c r="QQR308" s="35"/>
      <c r="QQS308" s="15"/>
      <c r="QQU308" s="13"/>
      <c r="QQV308" s="35"/>
      <c r="QQW308" s="35"/>
      <c r="QQX308" s="15"/>
      <c r="QQZ308" s="13"/>
      <c r="QRA308" s="35"/>
      <c r="QRB308" s="35"/>
      <c r="QRC308" s="15"/>
      <c r="QRE308" s="13"/>
      <c r="QRF308" s="35"/>
      <c r="QRG308" s="35"/>
      <c r="QRH308" s="15"/>
      <c r="QRJ308" s="13"/>
      <c r="QRK308" s="35"/>
      <c r="QRL308" s="35"/>
      <c r="QRM308" s="15"/>
      <c r="QRO308" s="13"/>
      <c r="QRP308" s="35"/>
      <c r="QRQ308" s="35"/>
      <c r="QRR308" s="15"/>
      <c r="QRT308" s="13"/>
      <c r="QRU308" s="35"/>
      <c r="QRV308" s="35"/>
      <c r="QRW308" s="15"/>
      <c r="QRY308" s="13"/>
      <c r="QRZ308" s="35"/>
      <c r="QSA308" s="35"/>
      <c r="QSB308" s="15"/>
      <c r="QSD308" s="13"/>
      <c r="QSE308" s="35"/>
      <c r="QSF308" s="35"/>
      <c r="QSG308" s="15"/>
      <c r="QSI308" s="13"/>
      <c r="QSJ308" s="35"/>
      <c r="QSK308" s="35"/>
      <c r="QSL308" s="15"/>
      <c r="QSN308" s="13"/>
      <c r="QSO308" s="35"/>
      <c r="QSP308" s="35"/>
      <c r="QSQ308" s="15"/>
      <c r="QSS308" s="13"/>
      <c r="QST308" s="35"/>
      <c r="QSU308" s="35"/>
      <c r="QSV308" s="15"/>
      <c r="QSX308" s="13"/>
      <c r="QSY308" s="35"/>
      <c r="QSZ308" s="35"/>
      <c r="QTA308" s="15"/>
      <c r="QTC308" s="13"/>
      <c r="QTD308" s="35"/>
      <c r="QTE308" s="35"/>
      <c r="QTF308" s="15"/>
      <c r="QTH308" s="13"/>
      <c r="QTI308" s="35"/>
      <c r="QTJ308" s="35"/>
      <c r="QTK308" s="15"/>
      <c r="QTM308" s="13"/>
      <c r="QTN308" s="35"/>
      <c r="QTO308" s="35"/>
      <c r="QTP308" s="15"/>
      <c r="QTR308" s="13"/>
      <c r="QTS308" s="35"/>
      <c r="QTT308" s="35"/>
      <c r="QTU308" s="15"/>
      <c r="QTW308" s="13"/>
      <c r="QTX308" s="35"/>
      <c r="QTY308" s="35"/>
      <c r="QTZ308" s="15"/>
      <c r="QUB308" s="13"/>
      <c r="QUC308" s="35"/>
      <c r="QUD308" s="35"/>
      <c r="QUE308" s="15"/>
      <c r="QUG308" s="13"/>
      <c r="QUH308" s="35"/>
      <c r="QUI308" s="35"/>
      <c r="QUJ308" s="15"/>
      <c r="QUL308" s="13"/>
      <c r="QUM308" s="35"/>
      <c r="QUN308" s="35"/>
      <c r="QUO308" s="15"/>
      <c r="QUQ308" s="13"/>
      <c r="QUR308" s="35"/>
      <c r="QUS308" s="35"/>
      <c r="QUT308" s="15"/>
      <c r="QUV308" s="13"/>
      <c r="QUW308" s="35"/>
      <c r="QUX308" s="35"/>
      <c r="QUY308" s="15"/>
      <c r="QVA308" s="13"/>
      <c r="QVB308" s="35"/>
      <c r="QVC308" s="35"/>
      <c r="QVD308" s="15"/>
      <c r="QVF308" s="13"/>
      <c r="QVG308" s="35"/>
      <c r="QVH308" s="35"/>
      <c r="QVI308" s="15"/>
      <c r="QVK308" s="13"/>
      <c r="QVL308" s="35"/>
      <c r="QVM308" s="35"/>
      <c r="QVN308" s="15"/>
      <c r="QVP308" s="13"/>
      <c r="QVQ308" s="35"/>
      <c r="QVR308" s="35"/>
      <c r="QVS308" s="15"/>
      <c r="QVU308" s="13"/>
      <c r="QVV308" s="35"/>
      <c r="QVW308" s="35"/>
      <c r="QVX308" s="15"/>
      <c r="QVZ308" s="13"/>
      <c r="QWA308" s="35"/>
      <c r="QWB308" s="35"/>
      <c r="QWC308" s="15"/>
      <c r="QWE308" s="13"/>
      <c r="QWF308" s="35"/>
      <c r="QWG308" s="35"/>
      <c r="QWH308" s="15"/>
      <c r="QWJ308" s="13"/>
      <c r="QWK308" s="35"/>
      <c r="QWL308" s="35"/>
      <c r="QWM308" s="15"/>
      <c r="QWO308" s="13"/>
      <c r="QWP308" s="35"/>
      <c r="QWQ308" s="35"/>
      <c r="QWR308" s="15"/>
      <c r="QWT308" s="13"/>
      <c r="QWU308" s="35"/>
      <c r="QWV308" s="35"/>
      <c r="QWW308" s="15"/>
      <c r="QWY308" s="13"/>
      <c r="QWZ308" s="35"/>
      <c r="QXA308" s="35"/>
      <c r="QXB308" s="15"/>
      <c r="QXD308" s="13"/>
      <c r="QXE308" s="35"/>
      <c r="QXF308" s="35"/>
      <c r="QXG308" s="15"/>
      <c r="QXI308" s="13"/>
      <c r="QXJ308" s="35"/>
      <c r="QXK308" s="35"/>
      <c r="QXL308" s="15"/>
      <c r="QXN308" s="13"/>
      <c r="QXO308" s="35"/>
      <c r="QXP308" s="35"/>
      <c r="QXQ308" s="15"/>
      <c r="QXS308" s="13"/>
      <c r="QXT308" s="35"/>
      <c r="QXU308" s="35"/>
      <c r="QXV308" s="15"/>
      <c r="QXX308" s="13"/>
      <c r="QXY308" s="35"/>
      <c r="QXZ308" s="35"/>
      <c r="QYA308" s="15"/>
      <c r="QYC308" s="13"/>
      <c r="QYD308" s="35"/>
      <c r="QYE308" s="35"/>
      <c r="QYF308" s="15"/>
      <c r="QYH308" s="13"/>
      <c r="QYI308" s="35"/>
      <c r="QYJ308" s="35"/>
      <c r="QYK308" s="15"/>
      <c r="QYM308" s="13"/>
      <c r="QYN308" s="35"/>
      <c r="QYO308" s="35"/>
      <c r="QYP308" s="15"/>
      <c r="QYR308" s="13"/>
      <c r="QYS308" s="35"/>
      <c r="QYT308" s="35"/>
      <c r="QYU308" s="15"/>
      <c r="QYW308" s="13"/>
      <c r="QYX308" s="35"/>
      <c r="QYY308" s="35"/>
      <c r="QYZ308" s="15"/>
      <c r="QZB308" s="13"/>
      <c r="QZC308" s="35"/>
      <c r="QZD308" s="35"/>
      <c r="QZE308" s="15"/>
      <c r="QZG308" s="13"/>
      <c r="QZH308" s="35"/>
      <c r="QZI308" s="35"/>
      <c r="QZJ308" s="15"/>
      <c r="QZL308" s="13"/>
      <c r="QZM308" s="35"/>
      <c r="QZN308" s="35"/>
      <c r="QZO308" s="15"/>
      <c r="QZQ308" s="13"/>
      <c r="QZR308" s="35"/>
      <c r="QZS308" s="35"/>
      <c r="QZT308" s="15"/>
      <c r="QZV308" s="13"/>
      <c r="QZW308" s="35"/>
      <c r="QZX308" s="35"/>
      <c r="QZY308" s="15"/>
      <c r="RAA308" s="13"/>
      <c r="RAB308" s="35"/>
      <c r="RAC308" s="35"/>
      <c r="RAD308" s="15"/>
      <c r="RAF308" s="13"/>
      <c r="RAG308" s="35"/>
      <c r="RAH308" s="35"/>
      <c r="RAI308" s="15"/>
      <c r="RAK308" s="13"/>
      <c r="RAL308" s="35"/>
      <c r="RAM308" s="35"/>
      <c r="RAN308" s="15"/>
      <c r="RAP308" s="13"/>
      <c r="RAQ308" s="35"/>
      <c r="RAR308" s="35"/>
      <c r="RAS308" s="15"/>
      <c r="RAU308" s="13"/>
      <c r="RAV308" s="35"/>
      <c r="RAW308" s="35"/>
      <c r="RAX308" s="15"/>
      <c r="RAZ308" s="13"/>
      <c r="RBA308" s="35"/>
      <c r="RBB308" s="35"/>
      <c r="RBC308" s="15"/>
      <c r="RBE308" s="13"/>
      <c r="RBF308" s="35"/>
      <c r="RBG308" s="35"/>
      <c r="RBH308" s="15"/>
      <c r="RBJ308" s="13"/>
      <c r="RBK308" s="35"/>
      <c r="RBL308" s="35"/>
      <c r="RBM308" s="15"/>
      <c r="RBO308" s="13"/>
      <c r="RBP308" s="35"/>
      <c r="RBQ308" s="35"/>
      <c r="RBR308" s="15"/>
      <c r="RBT308" s="13"/>
      <c r="RBU308" s="35"/>
      <c r="RBV308" s="35"/>
      <c r="RBW308" s="15"/>
      <c r="RBY308" s="13"/>
      <c r="RBZ308" s="35"/>
      <c r="RCA308" s="35"/>
      <c r="RCB308" s="15"/>
      <c r="RCD308" s="13"/>
      <c r="RCE308" s="35"/>
      <c r="RCF308" s="35"/>
      <c r="RCG308" s="15"/>
      <c r="RCI308" s="13"/>
      <c r="RCJ308" s="35"/>
      <c r="RCK308" s="35"/>
      <c r="RCL308" s="15"/>
      <c r="RCN308" s="13"/>
      <c r="RCO308" s="35"/>
      <c r="RCP308" s="35"/>
      <c r="RCQ308" s="15"/>
      <c r="RCS308" s="13"/>
      <c r="RCT308" s="35"/>
      <c r="RCU308" s="35"/>
      <c r="RCV308" s="15"/>
      <c r="RCX308" s="13"/>
      <c r="RCY308" s="35"/>
      <c r="RCZ308" s="35"/>
      <c r="RDA308" s="15"/>
      <c r="RDC308" s="13"/>
      <c r="RDD308" s="35"/>
      <c r="RDE308" s="35"/>
      <c r="RDF308" s="15"/>
      <c r="RDH308" s="13"/>
      <c r="RDI308" s="35"/>
      <c r="RDJ308" s="35"/>
      <c r="RDK308" s="15"/>
      <c r="RDM308" s="13"/>
      <c r="RDN308" s="35"/>
      <c r="RDO308" s="35"/>
      <c r="RDP308" s="15"/>
      <c r="RDR308" s="13"/>
      <c r="RDS308" s="35"/>
      <c r="RDT308" s="35"/>
      <c r="RDU308" s="15"/>
      <c r="RDW308" s="13"/>
      <c r="RDX308" s="35"/>
      <c r="RDY308" s="35"/>
      <c r="RDZ308" s="15"/>
      <c r="REB308" s="13"/>
      <c r="REC308" s="35"/>
      <c r="RED308" s="35"/>
      <c r="REE308" s="15"/>
      <c r="REG308" s="13"/>
      <c r="REH308" s="35"/>
      <c r="REI308" s="35"/>
      <c r="REJ308" s="15"/>
      <c r="REL308" s="13"/>
      <c r="REM308" s="35"/>
      <c r="REN308" s="35"/>
      <c r="REO308" s="15"/>
      <c r="REQ308" s="13"/>
      <c r="RER308" s="35"/>
      <c r="RES308" s="35"/>
      <c r="RET308" s="15"/>
      <c r="REV308" s="13"/>
      <c r="REW308" s="35"/>
      <c r="REX308" s="35"/>
      <c r="REY308" s="15"/>
      <c r="RFA308" s="13"/>
      <c r="RFB308" s="35"/>
      <c r="RFC308" s="35"/>
      <c r="RFD308" s="15"/>
      <c r="RFF308" s="13"/>
      <c r="RFG308" s="35"/>
      <c r="RFH308" s="35"/>
      <c r="RFI308" s="15"/>
      <c r="RFK308" s="13"/>
      <c r="RFL308" s="35"/>
      <c r="RFM308" s="35"/>
      <c r="RFN308" s="15"/>
      <c r="RFP308" s="13"/>
      <c r="RFQ308" s="35"/>
      <c r="RFR308" s="35"/>
      <c r="RFS308" s="15"/>
      <c r="RFU308" s="13"/>
      <c r="RFV308" s="35"/>
      <c r="RFW308" s="35"/>
      <c r="RFX308" s="15"/>
      <c r="RFZ308" s="13"/>
      <c r="RGA308" s="35"/>
      <c r="RGB308" s="35"/>
      <c r="RGC308" s="15"/>
      <c r="RGE308" s="13"/>
      <c r="RGF308" s="35"/>
      <c r="RGG308" s="35"/>
      <c r="RGH308" s="15"/>
      <c r="RGJ308" s="13"/>
      <c r="RGK308" s="35"/>
      <c r="RGL308" s="35"/>
      <c r="RGM308" s="15"/>
      <c r="RGO308" s="13"/>
      <c r="RGP308" s="35"/>
      <c r="RGQ308" s="35"/>
      <c r="RGR308" s="15"/>
      <c r="RGT308" s="13"/>
      <c r="RGU308" s="35"/>
      <c r="RGV308" s="35"/>
      <c r="RGW308" s="15"/>
      <c r="RGY308" s="13"/>
      <c r="RGZ308" s="35"/>
      <c r="RHA308" s="35"/>
      <c r="RHB308" s="15"/>
      <c r="RHD308" s="13"/>
      <c r="RHE308" s="35"/>
      <c r="RHF308" s="35"/>
      <c r="RHG308" s="15"/>
      <c r="RHI308" s="13"/>
      <c r="RHJ308" s="35"/>
      <c r="RHK308" s="35"/>
      <c r="RHL308" s="15"/>
      <c r="RHN308" s="13"/>
      <c r="RHO308" s="35"/>
      <c r="RHP308" s="35"/>
      <c r="RHQ308" s="15"/>
      <c r="RHS308" s="13"/>
      <c r="RHT308" s="35"/>
      <c r="RHU308" s="35"/>
      <c r="RHV308" s="15"/>
      <c r="RHX308" s="13"/>
      <c r="RHY308" s="35"/>
      <c r="RHZ308" s="35"/>
      <c r="RIA308" s="15"/>
      <c r="RIC308" s="13"/>
      <c r="RID308" s="35"/>
      <c r="RIE308" s="35"/>
      <c r="RIF308" s="15"/>
      <c r="RIH308" s="13"/>
      <c r="RII308" s="35"/>
      <c r="RIJ308" s="35"/>
      <c r="RIK308" s="15"/>
      <c r="RIM308" s="13"/>
      <c r="RIN308" s="35"/>
      <c r="RIO308" s="35"/>
      <c r="RIP308" s="15"/>
      <c r="RIR308" s="13"/>
      <c r="RIS308" s="35"/>
      <c r="RIT308" s="35"/>
      <c r="RIU308" s="15"/>
      <c r="RIW308" s="13"/>
      <c r="RIX308" s="35"/>
      <c r="RIY308" s="35"/>
      <c r="RIZ308" s="15"/>
      <c r="RJB308" s="13"/>
      <c r="RJC308" s="35"/>
      <c r="RJD308" s="35"/>
      <c r="RJE308" s="15"/>
      <c r="RJG308" s="13"/>
      <c r="RJH308" s="35"/>
      <c r="RJI308" s="35"/>
      <c r="RJJ308" s="15"/>
      <c r="RJL308" s="13"/>
      <c r="RJM308" s="35"/>
      <c r="RJN308" s="35"/>
      <c r="RJO308" s="15"/>
      <c r="RJQ308" s="13"/>
      <c r="RJR308" s="35"/>
      <c r="RJS308" s="35"/>
      <c r="RJT308" s="15"/>
      <c r="RJV308" s="13"/>
      <c r="RJW308" s="35"/>
      <c r="RJX308" s="35"/>
      <c r="RJY308" s="15"/>
      <c r="RKA308" s="13"/>
      <c r="RKB308" s="35"/>
      <c r="RKC308" s="35"/>
      <c r="RKD308" s="15"/>
      <c r="RKF308" s="13"/>
      <c r="RKG308" s="35"/>
      <c r="RKH308" s="35"/>
      <c r="RKI308" s="15"/>
      <c r="RKK308" s="13"/>
      <c r="RKL308" s="35"/>
      <c r="RKM308" s="35"/>
      <c r="RKN308" s="15"/>
      <c r="RKP308" s="13"/>
      <c r="RKQ308" s="35"/>
      <c r="RKR308" s="35"/>
      <c r="RKS308" s="15"/>
      <c r="RKU308" s="13"/>
      <c r="RKV308" s="35"/>
      <c r="RKW308" s="35"/>
      <c r="RKX308" s="15"/>
      <c r="RKZ308" s="13"/>
      <c r="RLA308" s="35"/>
      <c r="RLB308" s="35"/>
      <c r="RLC308" s="15"/>
      <c r="RLE308" s="13"/>
      <c r="RLF308" s="35"/>
      <c r="RLG308" s="35"/>
      <c r="RLH308" s="15"/>
      <c r="RLJ308" s="13"/>
      <c r="RLK308" s="35"/>
      <c r="RLL308" s="35"/>
      <c r="RLM308" s="15"/>
      <c r="RLO308" s="13"/>
      <c r="RLP308" s="35"/>
      <c r="RLQ308" s="35"/>
      <c r="RLR308" s="15"/>
      <c r="RLT308" s="13"/>
      <c r="RLU308" s="35"/>
      <c r="RLV308" s="35"/>
      <c r="RLW308" s="15"/>
      <c r="RLY308" s="13"/>
      <c r="RLZ308" s="35"/>
      <c r="RMA308" s="35"/>
      <c r="RMB308" s="15"/>
      <c r="RMD308" s="13"/>
      <c r="RME308" s="35"/>
      <c r="RMF308" s="35"/>
      <c r="RMG308" s="15"/>
      <c r="RMI308" s="13"/>
      <c r="RMJ308" s="35"/>
      <c r="RMK308" s="35"/>
      <c r="RML308" s="15"/>
      <c r="RMN308" s="13"/>
      <c r="RMO308" s="35"/>
      <c r="RMP308" s="35"/>
      <c r="RMQ308" s="15"/>
      <c r="RMS308" s="13"/>
      <c r="RMT308" s="35"/>
      <c r="RMU308" s="35"/>
      <c r="RMV308" s="15"/>
      <c r="RMX308" s="13"/>
      <c r="RMY308" s="35"/>
      <c r="RMZ308" s="35"/>
      <c r="RNA308" s="15"/>
      <c r="RNC308" s="13"/>
      <c r="RND308" s="35"/>
      <c r="RNE308" s="35"/>
      <c r="RNF308" s="15"/>
      <c r="RNH308" s="13"/>
      <c r="RNI308" s="35"/>
      <c r="RNJ308" s="35"/>
      <c r="RNK308" s="15"/>
      <c r="RNM308" s="13"/>
      <c r="RNN308" s="35"/>
      <c r="RNO308" s="35"/>
      <c r="RNP308" s="15"/>
      <c r="RNR308" s="13"/>
      <c r="RNS308" s="35"/>
      <c r="RNT308" s="35"/>
      <c r="RNU308" s="15"/>
      <c r="RNW308" s="13"/>
      <c r="RNX308" s="35"/>
      <c r="RNY308" s="35"/>
      <c r="RNZ308" s="15"/>
      <c r="ROB308" s="13"/>
      <c r="ROC308" s="35"/>
      <c r="ROD308" s="35"/>
      <c r="ROE308" s="15"/>
      <c r="ROG308" s="13"/>
      <c r="ROH308" s="35"/>
      <c r="ROI308" s="35"/>
      <c r="ROJ308" s="15"/>
      <c r="ROL308" s="13"/>
      <c r="ROM308" s="35"/>
      <c r="RON308" s="35"/>
      <c r="ROO308" s="15"/>
      <c r="ROQ308" s="13"/>
      <c r="ROR308" s="35"/>
      <c r="ROS308" s="35"/>
      <c r="ROT308" s="15"/>
      <c r="ROV308" s="13"/>
      <c r="ROW308" s="35"/>
      <c r="ROX308" s="35"/>
      <c r="ROY308" s="15"/>
      <c r="RPA308" s="13"/>
      <c r="RPB308" s="35"/>
      <c r="RPC308" s="35"/>
      <c r="RPD308" s="15"/>
      <c r="RPF308" s="13"/>
      <c r="RPG308" s="35"/>
      <c r="RPH308" s="35"/>
      <c r="RPI308" s="15"/>
      <c r="RPK308" s="13"/>
      <c r="RPL308" s="35"/>
      <c r="RPM308" s="35"/>
      <c r="RPN308" s="15"/>
      <c r="RPP308" s="13"/>
      <c r="RPQ308" s="35"/>
      <c r="RPR308" s="35"/>
      <c r="RPS308" s="15"/>
      <c r="RPU308" s="13"/>
      <c r="RPV308" s="35"/>
      <c r="RPW308" s="35"/>
      <c r="RPX308" s="15"/>
      <c r="RPZ308" s="13"/>
      <c r="RQA308" s="35"/>
      <c r="RQB308" s="35"/>
      <c r="RQC308" s="15"/>
      <c r="RQE308" s="13"/>
      <c r="RQF308" s="35"/>
      <c r="RQG308" s="35"/>
      <c r="RQH308" s="15"/>
      <c r="RQJ308" s="13"/>
      <c r="RQK308" s="35"/>
      <c r="RQL308" s="35"/>
      <c r="RQM308" s="15"/>
      <c r="RQO308" s="13"/>
      <c r="RQP308" s="35"/>
      <c r="RQQ308" s="35"/>
      <c r="RQR308" s="15"/>
      <c r="RQT308" s="13"/>
      <c r="RQU308" s="35"/>
      <c r="RQV308" s="35"/>
      <c r="RQW308" s="15"/>
      <c r="RQY308" s="13"/>
      <c r="RQZ308" s="35"/>
      <c r="RRA308" s="35"/>
      <c r="RRB308" s="15"/>
      <c r="RRD308" s="13"/>
      <c r="RRE308" s="35"/>
      <c r="RRF308" s="35"/>
      <c r="RRG308" s="15"/>
      <c r="RRI308" s="13"/>
      <c r="RRJ308" s="35"/>
      <c r="RRK308" s="35"/>
      <c r="RRL308" s="15"/>
      <c r="RRN308" s="13"/>
      <c r="RRO308" s="35"/>
      <c r="RRP308" s="35"/>
      <c r="RRQ308" s="15"/>
      <c r="RRS308" s="13"/>
      <c r="RRT308" s="35"/>
      <c r="RRU308" s="35"/>
      <c r="RRV308" s="15"/>
      <c r="RRX308" s="13"/>
      <c r="RRY308" s="35"/>
      <c r="RRZ308" s="35"/>
      <c r="RSA308" s="15"/>
      <c r="RSC308" s="13"/>
      <c r="RSD308" s="35"/>
      <c r="RSE308" s="35"/>
      <c r="RSF308" s="15"/>
      <c r="RSH308" s="13"/>
      <c r="RSI308" s="35"/>
      <c r="RSJ308" s="35"/>
      <c r="RSK308" s="15"/>
      <c r="RSM308" s="13"/>
      <c r="RSN308" s="35"/>
      <c r="RSO308" s="35"/>
      <c r="RSP308" s="15"/>
      <c r="RSR308" s="13"/>
      <c r="RSS308" s="35"/>
      <c r="RST308" s="35"/>
      <c r="RSU308" s="15"/>
      <c r="RSW308" s="13"/>
      <c r="RSX308" s="35"/>
      <c r="RSY308" s="35"/>
      <c r="RSZ308" s="15"/>
      <c r="RTB308" s="13"/>
      <c r="RTC308" s="35"/>
      <c r="RTD308" s="35"/>
      <c r="RTE308" s="15"/>
      <c r="RTG308" s="13"/>
      <c r="RTH308" s="35"/>
      <c r="RTI308" s="35"/>
      <c r="RTJ308" s="15"/>
      <c r="RTL308" s="13"/>
      <c r="RTM308" s="35"/>
      <c r="RTN308" s="35"/>
      <c r="RTO308" s="15"/>
      <c r="RTQ308" s="13"/>
      <c r="RTR308" s="35"/>
      <c r="RTS308" s="35"/>
      <c r="RTT308" s="15"/>
      <c r="RTV308" s="13"/>
      <c r="RTW308" s="35"/>
      <c r="RTX308" s="35"/>
      <c r="RTY308" s="15"/>
      <c r="RUA308" s="13"/>
      <c r="RUB308" s="35"/>
      <c r="RUC308" s="35"/>
      <c r="RUD308" s="15"/>
      <c r="RUF308" s="13"/>
      <c r="RUG308" s="35"/>
      <c r="RUH308" s="35"/>
      <c r="RUI308" s="15"/>
      <c r="RUK308" s="13"/>
      <c r="RUL308" s="35"/>
      <c r="RUM308" s="35"/>
      <c r="RUN308" s="15"/>
      <c r="RUP308" s="13"/>
      <c r="RUQ308" s="35"/>
      <c r="RUR308" s="35"/>
      <c r="RUS308" s="15"/>
      <c r="RUU308" s="13"/>
      <c r="RUV308" s="35"/>
      <c r="RUW308" s="35"/>
      <c r="RUX308" s="15"/>
      <c r="RUZ308" s="13"/>
      <c r="RVA308" s="35"/>
      <c r="RVB308" s="35"/>
      <c r="RVC308" s="15"/>
      <c r="RVE308" s="13"/>
      <c r="RVF308" s="35"/>
      <c r="RVG308" s="35"/>
      <c r="RVH308" s="15"/>
      <c r="RVJ308" s="13"/>
      <c r="RVK308" s="35"/>
      <c r="RVL308" s="35"/>
      <c r="RVM308" s="15"/>
      <c r="RVO308" s="13"/>
      <c r="RVP308" s="35"/>
      <c r="RVQ308" s="35"/>
      <c r="RVR308" s="15"/>
      <c r="RVT308" s="13"/>
      <c r="RVU308" s="35"/>
      <c r="RVV308" s="35"/>
      <c r="RVW308" s="15"/>
      <c r="RVY308" s="13"/>
      <c r="RVZ308" s="35"/>
      <c r="RWA308" s="35"/>
      <c r="RWB308" s="15"/>
      <c r="RWD308" s="13"/>
      <c r="RWE308" s="35"/>
      <c r="RWF308" s="35"/>
      <c r="RWG308" s="15"/>
      <c r="RWI308" s="13"/>
      <c r="RWJ308" s="35"/>
      <c r="RWK308" s="35"/>
      <c r="RWL308" s="15"/>
      <c r="RWN308" s="13"/>
      <c r="RWO308" s="35"/>
      <c r="RWP308" s="35"/>
      <c r="RWQ308" s="15"/>
      <c r="RWS308" s="13"/>
      <c r="RWT308" s="35"/>
      <c r="RWU308" s="35"/>
      <c r="RWV308" s="15"/>
      <c r="RWX308" s="13"/>
      <c r="RWY308" s="35"/>
      <c r="RWZ308" s="35"/>
      <c r="RXA308" s="15"/>
      <c r="RXC308" s="13"/>
      <c r="RXD308" s="35"/>
      <c r="RXE308" s="35"/>
      <c r="RXF308" s="15"/>
      <c r="RXH308" s="13"/>
      <c r="RXI308" s="35"/>
      <c r="RXJ308" s="35"/>
      <c r="RXK308" s="15"/>
      <c r="RXM308" s="13"/>
      <c r="RXN308" s="35"/>
      <c r="RXO308" s="35"/>
      <c r="RXP308" s="15"/>
      <c r="RXR308" s="13"/>
      <c r="RXS308" s="35"/>
      <c r="RXT308" s="35"/>
      <c r="RXU308" s="15"/>
      <c r="RXW308" s="13"/>
      <c r="RXX308" s="35"/>
      <c r="RXY308" s="35"/>
      <c r="RXZ308" s="15"/>
      <c r="RYB308" s="13"/>
      <c r="RYC308" s="35"/>
      <c r="RYD308" s="35"/>
      <c r="RYE308" s="15"/>
      <c r="RYG308" s="13"/>
      <c r="RYH308" s="35"/>
      <c r="RYI308" s="35"/>
      <c r="RYJ308" s="15"/>
      <c r="RYL308" s="13"/>
      <c r="RYM308" s="35"/>
      <c r="RYN308" s="35"/>
      <c r="RYO308" s="15"/>
      <c r="RYQ308" s="13"/>
      <c r="RYR308" s="35"/>
      <c r="RYS308" s="35"/>
      <c r="RYT308" s="15"/>
      <c r="RYV308" s="13"/>
      <c r="RYW308" s="35"/>
      <c r="RYX308" s="35"/>
      <c r="RYY308" s="15"/>
      <c r="RZA308" s="13"/>
      <c r="RZB308" s="35"/>
      <c r="RZC308" s="35"/>
      <c r="RZD308" s="15"/>
      <c r="RZF308" s="13"/>
      <c r="RZG308" s="35"/>
      <c r="RZH308" s="35"/>
      <c r="RZI308" s="15"/>
      <c r="RZK308" s="13"/>
      <c r="RZL308" s="35"/>
      <c r="RZM308" s="35"/>
      <c r="RZN308" s="15"/>
      <c r="RZP308" s="13"/>
      <c r="RZQ308" s="35"/>
      <c r="RZR308" s="35"/>
      <c r="RZS308" s="15"/>
      <c r="RZU308" s="13"/>
      <c r="RZV308" s="35"/>
      <c r="RZW308" s="35"/>
      <c r="RZX308" s="15"/>
      <c r="RZZ308" s="13"/>
      <c r="SAA308" s="35"/>
      <c r="SAB308" s="35"/>
      <c r="SAC308" s="15"/>
      <c r="SAE308" s="13"/>
      <c r="SAF308" s="35"/>
      <c r="SAG308" s="35"/>
      <c r="SAH308" s="15"/>
      <c r="SAJ308" s="13"/>
      <c r="SAK308" s="35"/>
      <c r="SAL308" s="35"/>
      <c r="SAM308" s="15"/>
      <c r="SAO308" s="13"/>
      <c r="SAP308" s="35"/>
      <c r="SAQ308" s="35"/>
      <c r="SAR308" s="15"/>
      <c r="SAT308" s="13"/>
      <c r="SAU308" s="35"/>
      <c r="SAV308" s="35"/>
      <c r="SAW308" s="15"/>
      <c r="SAY308" s="13"/>
      <c r="SAZ308" s="35"/>
      <c r="SBA308" s="35"/>
      <c r="SBB308" s="15"/>
      <c r="SBD308" s="13"/>
      <c r="SBE308" s="35"/>
      <c r="SBF308" s="35"/>
      <c r="SBG308" s="15"/>
      <c r="SBI308" s="13"/>
      <c r="SBJ308" s="35"/>
      <c r="SBK308" s="35"/>
      <c r="SBL308" s="15"/>
      <c r="SBN308" s="13"/>
      <c r="SBO308" s="35"/>
      <c r="SBP308" s="35"/>
      <c r="SBQ308" s="15"/>
      <c r="SBS308" s="13"/>
      <c r="SBT308" s="35"/>
      <c r="SBU308" s="35"/>
      <c r="SBV308" s="15"/>
      <c r="SBX308" s="13"/>
      <c r="SBY308" s="35"/>
      <c r="SBZ308" s="35"/>
      <c r="SCA308" s="15"/>
      <c r="SCC308" s="13"/>
      <c r="SCD308" s="35"/>
      <c r="SCE308" s="35"/>
      <c r="SCF308" s="15"/>
      <c r="SCH308" s="13"/>
      <c r="SCI308" s="35"/>
      <c r="SCJ308" s="35"/>
      <c r="SCK308" s="15"/>
      <c r="SCM308" s="13"/>
      <c r="SCN308" s="35"/>
      <c r="SCO308" s="35"/>
      <c r="SCP308" s="15"/>
      <c r="SCR308" s="13"/>
      <c r="SCS308" s="35"/>
      <c r="SCT308" s="35"/>
      <c r="SCU308" s="15"/>
      <c r="SCW308" s="13"/>
      <c r="SCX308" s="35"/>
      <c r="SCY308" s="35"/>
      <c r="SCZ308" s="15"/>
      <c r="SDB308" s="13"/>
      <c r="SDC308" s="35"/>
      <c r="SDD308" s="35"/>
      <c r="SDE308" s="15"/>
      <c r="SDG308" s="13"/>
      <c r="SDH308" s="35"/>
      <c r="SDI308" s="35"/>
      <c r="SDJ308" s="15"/>
      <c r="SDL308" s="13"/>
      <c r="SDM308" s="35"/>
      <c r="SDN308" s="35"/>
      <c r="SDO308" s="15"/>
      <c r="SDQ308" s="13"/>
      <c r="SDR308" s="35"/>
      <c r="SDS308" s="35"/>
      <c r="SDT308" s="15"/>
      <c r="SDV308" s="13"/>
      <c r="SDW308" s="35"/>
      <c r="SDX308" s="35"/>
      <c r="SDY308" s="15"/>
      <c r="SEA308" s="13"/>
      <c r="SEB308" s="35"/>
      <c r="SEC308" s="35"/>
      <c r="SED308" s="15"/>
      <c r="SEF308" s="13"/>
      <c r="SEG308" s="35"/>
      <c r="SEH308" s="35"/>
      <c r="SEI308" s="15"/>
      <c r="SEK308" s="13"/>
      <c r="SEL308" s="35"/>
      <c r="SEM308" s="35"/>
      <c r="SEN308" s="15"/>
      <c r="SEP308" s="13"/>
      <c r="SEQ308" s="35"/>
      <c r="SER308" s="35"/>
      <c r="SES308" s="15"/>
      <c r="SEU308" s="13"/>
      <c r="SEV308" s="35"/>
      <c r="SEW308" s="35"/>
      <c r="SEX308" s="15"/>
      <c r="SEZ308" s="13"/>
      <c r="SFA308" s="35"/>
      <c r="SFB308" s="35"/>
      <c r="SFC308" s="15"/>
      <c r="SFE308" s="13"/>
      <c r="SFF308" s="35"/>
      <c r="SFG308" s="35"/>
      <c r="SFH308" s="15"/>
      <c r="SFJ308" s="13"/>
      <c r="SFK308" s="35"/>
      <c r="SFL308" s="35"/>
      <c r="SFM308" s="15"/>
      <c r="SFO308" s="13"/>
      <c r="SFP308" s="35"/>
      <c r="SFQ308" s="35"/>
      <c r="SFR308" s="15"/>
      <c r="SFT308" s="13"/>
      <c r="SFU308" s="35"/>
      <c r="SFV308" s="35"/>
      <c r="SFW308" s="15"/>
      <c r="SFY308" s="13"/>
      <c r="SFZ308" s="35"/>
      <c r="SGA308" s="35"/>
      <c r="SGB308" s="15"/>
      <c r="SGD308" s="13"/>
      <c r="SGE308" s="35"/>
      <c r="SGF308" s="35"/>
      <c r="SGG308" s="15"/>
      <c r="SGI308" s="13"/>
      <c r="SGJ308" s="35"/>
      <c r="SGK308" s="35"/>
      <c r="SGL308" s="15"/>
      <c r="SGN308" s="13"/>
      <c r="SGO308" s="35"/>
      <c r="SGP308" s="35"/>
      <c r="SGQ308" s="15"/>
      <c r="SGS308" s="13"/>
      <c r="SGT308" s="35"/>
      <c r="SGU308" s="35"/>
      <c r="SGV308" s="15"/>
      <c r="SGX308" s="13"/>
      <c r="SGY308" s="35"/>
      <c r="SGZ308" s="35"/>
      <c r="SHA308" s="15"/>
      <c r="SHC308" s="13"/>
      <c r="SHD308" s="35"/>
      <c r="SHE308" s="35"/>
      <c r="SHF308" s="15"/>
      <c r="SHH308" s="13"/>
      <c r="SHI308" s="35"/>
      <c r="SHJ308" s="35"/>
      <c r="SHK308" s="15"/>
      <c r="SHM308" s="13"/>
      <c r="SHN308" s="35"/>
      <c r="SHO308" s="35"/>
      <c r="SHP308" s="15"/>
      <c r="SHR308" s="13"/>
      <c r="SHS308" s="35"/>
      <c r="SHT308" s="35"/>
      <c r="SHU308" s="15"/>
      <c r="SHW308" s="13"/>
      <c r="SHX308" s="35"/>
      <c r="SHY308" s="35"/>
      <c r="SHZ308" s="15"/>
      <c r="SIB308" s="13"/>
      <c r="SIC308" s="35"/>
      <c r="SID308" s="35"/>
      <c r="SIE308" s="15"/>
      <c r="SIG308" s="13"/>
      <c r="SIH308" s="35"/>
      <c r="SII308" s="35"/>
      <c r="SIJ308" s="15"/>
      <c r="SIL308" s="13"/>
      <c r="SIM308" s="35"/>
      <c r="SIN308" s="35"/>
      <c r="SIO308" s="15"/>
      <c r="SIQ308" s="13"/>
      <c r="SIR308" s="35"/>
      <c r="SIS308" s="35"/>
      <c r="SIT308" s="15"/>
      <c r="SIV308" s="13"/>
      <c r="SIW308" s="35"/>
      <c r="SIX308" s="35"/>
      <c r="SIY308" s="15"/>
      <c r="SJA308" s="13"/>
      <c r="SJB308" s="35"/>
      <c r="SJC308" s="35"/>
      <c r="SJD308" s="15"/>
      <c r="SJF308" s="13"/>
      <c r="SJG308" s="35"/>
      <c r="SJH308" s="35"/>
      <c r="SJI308" s="15"/>
      <c r="SJK308" s="13"/>
      <c r="SJL308" s="35"/>
      <c r="SJM308" s="35"/>
      <c r="SJN308" s="15"/>
      <c r="SJP308" s="13"/>
      <c r="SJQ308" s="35"/>
      <c r="SJR308" s="35"/>
      <c r="SJS308" s="15"/>
      <c r="SJU308" s="13"/>
      <c r="SJV308" s="35"/>
      <c r="SJW308" s="35"/>
      <c r="SJX308" s="15"/>
      <c r="SJZ308" s="13"/>
      <c r="SKA308" s="35"/>
      <c r="SKB308" s="35"/>
      <c r="SKC308" s="15"/>
      <c r="SKE308" s="13"/>
      <c r="SKF308" s="35"/>
      <c r="SKG308" s="35"/>
      <c r="SKH308" s="15"/>
      <c r="SKJ308" s="13"/>
      <c r="SKK308" s="35"/>
      <c r="SKL308" s="35"/>
      <c r="SKM308" s="15"/>
      <c r="SKO308" s="13"/>
      <c r="SKP308" s="35"/>
      <c r="SKQ308" s="35"/>
      <c r="SKR308" s="15"/>
      <c r="SKT308" s="13"/>
      <c r="SKU308" s="35"/>
      <c r="SKV308" s="35"/>
      <c r="SKW308" s="15"/>
      <c r="SKY308" s="13"/>
      <c r="SKZ308" s="35"/>
      <c r="SLA308" s="35"/>
      <c r="SLB308" s="15"/>
      <c r="SLD308" s="13"/>
      <c r="SLE308" s="35"/>
      <c r="SLF308" s="35"/>
      <c r="SLG308" s="15"/>
      <c r="SLI308" s="13"/>
      <c r="SLJ308" s="35"/>
      <c r="SLK308" s="35"/>
      <c r="SLL308" s="15"/>
      <c r="SLN308" s="13"/>
      <c r="SLO308" s="35"/>
      <c r="SLP308" s="35"/>
      <c r="SLQ308" s="15"/>
      <c r="SLS308" s="13"/>
      <c r="SLT308" s="35"/>
      <c r="SLU308" s="35"/>
      <c r="SLV308" s="15"/>
      <c r="SLX308" s="13"/>
      <c r="SLY308" s="35"/>
      <c r="SLZ308" s="35"/>
      <c r="SMA308" s="15"/>
      <c r="SMC308" s="13"/>
      <c r="SMD308" s="35"/>
      <c r="SME308" s="35"/>
      <c r="SMF308" s="15"/>
      <c r="SMH308" s="13"/>
      <c r="SMI308" s="35"/>
      <c r="SMJ308" s="35"/>
      <c r="SMK308" s="15"/>
      <c r="SMM308" s="13"/>
      <c r="SMN308" s="35"/>
      <c r="SMO308" s="35"/>
      <c r="SMP308" s="15"/>
      <c r="SMR308" s="13"/>
      <c r="SMS308" s="35"/>
      <c r="SMT308" s="35"/>
      <c r="SMU308" s="15"/>
      <c r="SMW308" s="13"/>
      <c r="SMX308" s="35"/>
      <c r="SMY308" s="35"/>
      <c r="SMZ308" s="15"/>
      <c r="SNB308" s="13"/>
      <c r="SNC308" s="35"/>
      <c r="SND308" s="35"/>
      <c r="SNE308" s="15"/>
      <c r="SNG308" s="13"/>
      <c r="SNH308" s="35"/>
      <c r="SNI308" s="35"/>
      <c r="SNJ308" s="15"/>
      <c r="SNL308" s="13"/>
      <c r="SNM308" s="35"/>
      <c r="SNN308" s="35"/>
      <c r="SNO308" s="15"/>
      <c r="SNQ308" s="13"/>
      <c r="SNR308" s="35"/>
      <c r="SNS308" s="35"/>
      <c r="SNT308" s="15"/>
      <c r="SNV308" s="13"/>
      <c r="SNW308" s="35"/>
      <c r="SNX308" s="35"/>
      <c r="SNY308" s="15"/>
      <c r="SOA308" s="13"/>
      <c r="SOB308" s="35"/>
      <c r="SOC308" s="35"/>
      <c r="SOD308" s="15"/>
      <c r="SOF308" s="13"/>
      <c r="SOG308" s="35"/>
      <c r="SOH308" s="35"/>
      <c r="SOI308" s="15"/>
      <c r="SOK308" s="13"/>
      <c r="SOL308" s="35"/>
      <c r="SOM308" s="35"/>
      <c r="SON308" s="15"/>
      <c r="SOP308" s="13"/>
      <c r="SOQ308" s="35"/>
      <c r="SOR308" s="35"/>
      <c r="SOS308" s="15"/>
      <c r="SOU308" s="13"/>
      <c r="SOV308" s="35"/>
      <c r="SOW308" s="35"/>
      <c r="SOX308" s="15"/>
      <c r="SOZ308" s="13"/>
      <c r="SPA308" s="35"/>
      <c r="SPB308" s="35"/>
      <c r="SPC308" s="15"/>
      <c r="SPE308" s="13"/>
      <c r="SPF308" s="35"/>
      <c r="SPG308" s="35"/>
      <c r="SPH308" s="15"/>
      <c r="SPJ308" s="13"/>
      <c r="SPK308" s="35"/>
      <c r="SPL308" s="35"/>
      <c r="SPM308" s="15"/>
      <c r="SPO308" s="13"/>
      <c r="SPP308" s="35"/>
      <c r="SPQ308" s="35"/>
      <c r="SPR308" s="15"/>
      <c r="SPT308" s="13"/>
      <c r="SPU308" s="35"/>
      <c r="SPV308" s="35"/>
      <c r="SPW308" s="15"/>
      <c r="SPY308" s="13"/>
      <c r="SPZ308" s="35"/>
      <c r="SQA308" s="35"/>
      <c r="SQB308" s="15"/>
      <c r="SQD308" s="13"/>
      <c r="SQE308" s="35"/>
      <c r="SQF308" s="35"/>
      <c r="SQG308" s="15"/>
      <c r="SQI308" s="13"/>
      <c r="SQJ308" s="35"/>
      <c r="SQK308" s="35"/>
      <c r="SQL308" s="15"/>
      <c r="SQN308" s="13"/>
      <c r="SQO308" s="35"/>
      <c r="SQP308" s="35"/>
      <c r="SQQ308" s="15"/>
      <c r="SQS308" s="13"/>
      <c r="SQT308" s="35"/>
      <c r="SQU308" s="35"/>
      <c r="SQV308" s="15"/>
      <c r="SQX308" s="13"/>
      <c r="SQY308" s="35"/>
      <c r="SQZ308" s="35"/>
      <c r="SRA308" s="15"/>
      <c r="SRC308" s="13"/>
      <c r="SRD308" s="35"/>
      <c r="SRE308" s="35"/>
      <c r="SRF308" s="15"/>
      <c r="SRH308" s="13"/>
      <c r="SRI308" s="35"/>
      <c r="SRJ308" s="35"/>
      <c r="SRK308" s="15"/>
      <c r="SRM308" s="13"/>
      <c r="SRN308" s="35"/>
      <c r="SRO308" s="35"/>
      <c r="SRP308" s="15"/>
      <c r="SRR308" s="13"/>
      <c r="SRS308" s="35"/>
      <c r="SRT308" s="35"/>
      <c r="SRU308" s="15"/>
      <c r="SRW308" s="13"/>
      <c r="SRX308" s="35"/>
      <c r="SRY308" s="35"/>
      <c r="SRZ308" s="15"/>
      <c r="SSB308" s="13"/>
      <c r="SSC308" s="35"/>
      <c r="SSD308" s="35"/>
      <c r="SSE308" s="15"/>
      <c r="SSG308" s="13"/>
      <c r="SSH308" s="35"/>
      <c r="SSI308" s="35"/>
      <c r="SSJ308" s="15"/>
      <c r="SSL308" s="13"/>
      <c r="SSM308" s="35"/>
      <c r="SSN308" s="35"/>
      <c r="SSO308" s="15"/>
      <c r="SSQ308" s="13"/>
      <c r="SSR308" s="35"/>
      <c r="SSS308" s="35"/>
      <c r="SST308" s="15"/>
      <c r="SSV308" s="13"/>
      <c r="SSW308" s="35"/>
      <c r="SSX308" s="35"/>
      <c r="SSY308" s="15"/>
      <c r="STA308" s="13"/>
      <c r="STB308" s="35"/>
      <c r="STC308" s="35"/>
      <c r="STD308" s="15"/>
      <c r="STF308" s="13"/>
      <c r="STG308" s="35"/>
      <c r="STH308" s="35"/>
      <c r="STI308" s="15"/>
      <c r="STK308" s="13"/>
      <c r="STL308" s="35"/>
      <c r="STM308" s="35"/>
      <c r="STN308" s="15"/>
      <c r="STP308" s="13"/>
      <c r="STQ308" s="35"/>
      <c r="STR308" s="35"/>
      <c r="STS308" s="15"/>
      <c r="STU308" s="13"/>
      <c r="STV308" s="35"/>
      <c r="STW308" s="35"/>
      <c r="STX308" s="15"/>
      <c r="STZ308" s="13"/>
      <c r="SUA308" s="35"/>
      <c r="SUB308" s="35"/>
      <c r="SUC308" s="15"/>
      <c r="SUE308" s="13"/>
      <c r="SUF308" s="35"/>
      <c r="SUG308" s="35"/>
      <c r="SUH308" s="15"/>
      <c r="SUJ308" s="13"/>
      <c r="SUK308" s="35"/>
      <c r="SUL308" s="35"/>
      <c r="SUM308" s="15"/>
      <c r="SUO308" s="13"/>
      <c r="SUP308" s="35"/>
      <c r="SUQ308" s="35"/>
      <c r="SUR308" s="15"/>
      <c r="SUT308" s="13"/>
      <c r="SUU308" s="35"/>
      <c r="SUV308" s="35"/>
      <c r="SUW308" s="15"/>
      <c r="SUY308" s="13"/>
      <c r="SUZ308" s="35"/>
      <c r="SVA308" s="35"/>
      <c r="SVB308" s="15"/>
      <c r="SVD308" s="13"/>
      <c r="SVE308" s="35"/>
      <c r="SVF308" s="35"/>
      <c r="SVG308" s="15"/>
      <c r="SVI308" s="13"/>
      <c r="SVJ308" s="35"/>
      <c r="SVK308" s="35"/>
      <c r="SVL308" s="15"/>
      <c r="SVN308" s="13"/>
      <c r="SVO308" s="35"/>
      <c r="SVP308" s="35"/>
      <c r="SVQ308" s="15"/>
      <c r="SVS308" s="13"/>
      <c r="SVT308" s="35"/>
      <c r="SVU308" s="35"/>
      <c r="SVV308" s="15"/>
      <c r="SVX308" s="13"/>
      <c r="SVY308" s="35"/>
      <c r="SVZ308" s="35"/>
      <c r="SWA308" s="15"/>
      <c r="SWC308" s="13"/>
      <c r="SWD308" s="35"/>
      <c r="SWE308" s="35"/>
      <c r="SWF308" s="15"/>
      <c r="SWH308" s="13"/>
      <c r="SWI308" s="35"/>
      <c r="SWJ308" s="35"/>
      <c r="SWK308" s="15"/>
      <c r="SWM308" s="13"/>
      <c r="SWN308" s="35"/>
      <c r="SWO308" s="35"/>
      <c r="SWP308" s="15"/>
      <c r="SWR308" s="13"/>
      <c r="SWS308" s="35"/>
      <c r="SWT308" s="35"/>
      <c r="SWU308" s="15"/>
      <c r="SWW308" s="13"/>
      <c r="SWX308" s="35"/>
      <c r="SWY308" s="35"/>
      <c r="SWZ308" s="15"/>
      <c r="SXB308" s="13"/>
      <c r="SXC308" s="35"/>
      <c r="SXD308" s="35"/>
      <c r="SXE308" s="15"/>
      <c r="SXG308" s="13"/>
      <c r="SXH308" s="35"/>
      <c r="SXI308" s="35"/>
      <c r="SXJ308" s="15"/>
      <c r="SXL308" s="13"/>
      <c r="SXM308" s="35"/>
      <c r="SXN308" s="35"/>
      <c r="SXO308" s="15"/>
      <c r="SXQ308" s="13"/>
      <c r="SXR308" s="35"/>
      <c r="SXS308" s="35"/>
      <c r="SXT308" s="15"/>
      <c r="SXV308" s="13"/>
      <c r="SXW308" s="35"/>
      <c r="SXX308" s="35"/>
      <c r="SXY308" s="15"/>
      <c r="SYA308" s="13"/>
      <c r="SYB308" s="35"/>
      <c r="SYC308" s="35"/>
      <c r="SYD308" s="15"/>
      <c r="SYF308" s="13"/>
      <c r="SYG308" s="35"/>
      <c r="SYH308" s="35"/>
      <c r="SYI308" s="15"/>
      <c r="SYK308" s="13"/>
      <c r="SYL308" s="35"/>
      <c r="SYM308" s="35"/>
      <c r="SYN308" s="15"/>
      <c r="SYP308" s="13"/>
      <c r="SYQ308" s="35"/>
      <c r="SYR308" s="35"/>
      <c r="SYS308" s="15"/>
      <c r="SYU308" s="13"/>
      <c r="SYV308" s="35"/>
      <c r="SYW308" s="35"/>
      <c r="SYX308" s="15"/>
      <c r="SYZ308" s="13"/>
      <c r="SZA308" s="35"/>
      <c r="SZB308" s="35"/>
      <c r="SZC308" s="15"/>
      <c r="SZE308" s="13"/>
      <c r="SZF308" s="35"/>
      <c r="SZG308" s="35"/>
      <c r="SZH308" s="15"/>
      <c r="SZJ308" s="13"/>
      <c r="SZK308" s="35"/>
      <c r="SZL308" s="35"/>
      <c r="SZM308" s="15"/>
      <c r="SZO308" s="13"/>
      <c r="SZP308" s="35"/>
      <c r="SZQ308" s="35"/>
      <c r="SZR308" s="15"/>
      <c r="SZT308" s="13"/>
      <c r="SZU308" s="35"/>
      <c r="SZV308" s="35"/>
      <c r="SZW308" s="15"/>
      <c r="SZY308" s="13"/>
      <c r="SZZ308" s="35"/>
      <c r="TAA308" s="35"/>
      <c r="TAB308" s="15"/>
      <c r="TAD308" s="13"/>
      <c r="TAE308" s="35"/>
      <c r="TAF308" s="35"/>
      <c r="TAG308" s="15"/>
      <c r="TAI308" s="13"/>
      <c r="TAJ308" s="35"/>
      <c r="TAK308" s="35"/>
      <c r="TAL308" s="15"/>
      <c r="TAN308" s="13"/>
      <c r="TAO308" s="35"/>
      <c r="TAP308" s="35"/>
      <c r="TAQ308" s="15"/>
      <c r="TAS308" s="13"/>
      <c r="TAT308" s="35"/>
      <c r="TAU308" s="35"/>
      <c r="TAV308" s="15"/>
      <c r="TAX308" s="13"/>
      <c r="TAY308" s="35"/>
      <c r="TAZ308" s="35"/>
      <c r="TBA308" s="15"/>
      <c r="TBC308" s="13"/>
      <c r="TBD308" s="35"/>
      <c r="TBE308" s="35"/>
      <c r="TBF308" s="15"/>
      <c r="TBH308" s="13"/>
      <c r="TBI308" s="35"/>
      <c r="TBJ308" s="35"/>
      <c r="TBK308" s="15"/>
      <c r="TBM308" s="13"/>
      <c r="TBN308" s="35"/>
      <c r="TBO308" s="35"/>
      <c r="TBP308" s="15"/>
      <c r="TBR308" s="13"/>
      <c r="TBS308" s="35"/>
      <c r="TBT308" s="35"/>
      <c r="TBU308" s="15"/>
      <c r="TBW308" s="13"/>
      <c r="TBX308" s="35"/>
      <c r="TBY308" s="35"/>
      <c r="TBZ308" s="15"/>
      <c r="TCB308" s="13"/>
      <c r="TCC308" s="35"/>
      <c r="TCD308" s="35"/>
      <c r="TCE308" s="15"/>
      <c r="TCG308" s="13"/>
      <c r="TCH308" s="35"/>
      <c r="TCI308" s="35"/>
      <c r="TCJ308" s="15"/>
      <c r="TCL308" s="13"/>
      <c r="TCM308" s="35"/>
      <c r="TCN308" s="35"/>
      <c r="TCO308" s="15"/>
      <c r="TCQ308" s="13"/>
      <c r="TCR308" s="35"/>
      <c r="TCS308" s="35"/>
      <c r="TCT308" s="15"/>
      <c r="TCV308" s="13"/>
      <c r="TCW308" s="35"/>
      <c r="TCX308" s="35"/>
      <c r="TCY308" s="15"/>
      <c r="TDA308" s="13"/>
      <c r="TDB308" s="35"/>
      <c r="TDC308" s="35"/>
      <c r="TDD308" s="15"/>
      <c r="TDF308" s="13"/>
      <c r="TDG308" s="35"/>
      <c r="TDH308" s="35"/>
      <c r="TDI308" s="15"/>
      <c r="TDK308" s="13"/>
      <c r="TDL308" s="35"/>
      <c r="TDM308" s="35"/>
      <c r="TDN308" s="15"/>
      <c r="TDP308" s="13"/>
      <c r="TDQ308" s="35"/>
      <c r="TDR308" s="35"/>
      <c r="TDS308" s="15"/>
      <c r="TDU308" s="13"/>
      <c r="TDV308" s="35"/>
      <c r="TDW308" s="35"/>
      <c r="TDX308" s="15"/>
      <c r="TDZ308" s="13"/>
      <c r="TEA308" s="35"/>
      <c r="TEB308" s="35"/>
      <c r="TEC308" s="15"/>
      <c r="TEE308" s="13"/>
      <c r="TEF308" s="35"/>
      <c r="TEG308" s="35"/>
      <c r="TEH308" s="15"/>
      <c r="TEJ308" s="13"/>
      <c r="TEK308" s="35"/>
      <c r="TEL308" s="35"/>
      <c r="TEM308" s="15"/>
      <c r="TEO308" s="13"/>
      <c r="TEP308" s="35"/>
      <c r="TEQ308" s="35"/>
      <c r="TER308" s="15"/>
      <c r="TET308" s="13"/>
      <c r="TEU308" s="35"/>
      <c r="TEV308" s="35"/>
      <c r="TEW308" s="15"/>
      <c r="TEY308" s="13"/>
      <c r="TEZ308" s="35"/>
      <c r="TFA308" s="35"/>
      <c r="TFB308" s="15"/>
      <c r="TFD308" s="13"/>
      <c r="TFE308" s="35"/>
      <c r="TFF308" s="35"/>
      <c r="TFG308" s="15"/>
      <c r="TFI308" s="13"/>
      <c r="TFJ308" s="35"/>
      <c r="TFK308" s="35"/>
      <c r="TFL308" s="15"/>
      <c r="TFN308" s="13"/>
      <c r="TFO308" s="35"/>
      <c r="TFP308" s="35"/>
      <c r="TFQ308" s="15"/>
      <c r="TFS308" s="13"/>
      <c r="TFT308" s="35"/>
      <c r="TFU308" s="35"/>
      <c r="TFV308" s="15"/>
      <c r="TFX308" s="13"/>
      <c r="TFY308" s="35"/>
      <c r="TFZ308" s="35"/>
      <c r="TGA308" s="15"/>
      <c r="TGC308" s="13"/>
      <c r="TGD308" s="35"/>
      <c r="TGE308" s="35"/>
      <c r="TGF308" s="15"/>
      <c r="TGH308" s="13"/>
      <c r="TGI308" s="35"/>
      <c r="TGJ308" s="35"/>
      <c r="TGK308" s="15"/>
      <c r="TGM308" s="13"/>
      <c r="TGN308" s="35"/>
      <c r="TGO308" s="35"/>
      <c r="TGP308" s="15"/>
      <c r="TGR308" s="13"/>
      <c r="TGS308" s="35"/>
      <c r="TGT308" s="35"/>
      <c r="TGU308" s="15"/>
      <c r="TGW308" s="13"/>
      <c r="TGX308" s="35"/>
      <c r="TGY308" s="35"/>
      <c r="TGZ308" s="15"/>
      <c r="THB308" s="13"/>
      <c r="THC308" s="35"/>
      <c r="THD308" s="35"/>
      <c r="THE308" s="15"/>
      <c r="THG308" s="13"/>
      <c r="THH308" s="35"/>
      <c r="THI308" s="35"/>
      <c r="THJ308" s="15"/>
      <c r="THL308" s="13"/>
      <c r="THM308" s="35"/>
      <c r="THN308" s="35"/>
      <c r="THO308" s="15"/>
      <c r="THQ308" s="13"/>
      <c r="THR308" s="35"/>
      <c r="THS308" s="35"/>
      <c r="THT308" s="15"/>
      <c r="THV308" s="13"/>
      <c r="THW308" s="35"/>
      <c r="THX308" s="35"/>
      <c r="THY308" s="15"/>
      <c r="TIA308" s="13"/>
      <c r="TIB308" s="35"/>
      <c r="TIC308" s="35"/>
      <c r="TID308" s="15"/>
      <c r="TIF308" s="13"/>
      <c r="TIG308" s="35"/>
      <c r="TIH308" s="35"/>
      <c r="TII308" s="15"/>
      <c r="TIK308" s="13"/>
      <c r="TIL308" s="35"/>
      <c r="TIM308" s="35"/>
      <c r="TIN308" s="15"/>
      <c r="TIP308" s="13"/>
      <c r="TIQ308" s="35"/>
      <c r="TIR308" s="35"/>
      <c r="TIS308" s="15"/>
      <c r="TIU308" s="13"/>
      <c r="TIV308" s="35"/>
      <c r="TIW308" s="35"/>
      <c r="TIX308" s="15"/>
      <c r="TIZ308" s="13"/>
      <c r="TJA308" s="35"/>
      <c r="TJB308" s="35"/>
      <c r="TJC308" s="15"/>
      <c r="TJE308" s="13"/>
      <c r="TJF308" s="35"/>
      <c r="TJG308" s="35"/>
      <c r="TJH308" s="15"/>
      <c r="TJJ308" s="13"/>
      <c r="TJK308" s="35"/>
      <c r="TJL308" s="35"/>
      <c r="TJM308" s="15"/>
      <c r="TJO308" s="13"/>
      <c r="TJP308" s="35"/>
      <c r="TJQ308" s="35"/>
      <c r="TJR308" s="15"/>
      <c r="TJT308" s="13"/>
      <c r="TJU308" s="35"/>
      <c r="TJV308" s="35"/>
      <c r="TJW308" s="15"/>
      <c r="TJY308" s="13"/>
      <c r="TJZ308" s="35"/>
      <c r="TKA308" s="35"/>
      <c r="TKB308" s="15"/>
      <c r="TKD308" s="13"/>
      <c r="TKE308" s="35"/>
      <c r="TKF308" s="35"/>
      <c r="TKG308" s="15"/>
      <c r="TKI308" s="13"/>
      <c r="TKJ308" s="35"/>
      <c r="TKK308" s="35"/>
      <c r="TKL308" s="15"/>
      <c r="TKN308" s="13"/>
      <c r="TKO308" s="35"/>
      <c r="TKP308" s="35"/>
      <c r="TKQ308" s="15"/>
      <c r="TKS308" s="13"/>
      <c r="TKT308" s="35"/>
      <c r="TKU308" s="35"/>
      <c r="TKV308" s="15"/>
      <c r="TKX308" s="13"/>
      <c r="TKY308" s="35"/>
      <c r="TKZ308" s="35"/>
      <c r="TLA308" s="15"/>
      <c r="TLC308" s="13"/>
      <c r="TLD308" s="35"/>
      <c r="TLE308" s="35"/>
      <c r="TLF308" s="15"/>
      <c r="TLH308" s="13"/>
      <c r="TLI308" s="35"/>
      <c r="TLJ308" s="35"/>
      <c r="TLK308" s="15"/>
      <c r="TLM308" s="13"/>
      <c r="TLN308" s="35"/>
      <c r="TLO308" s="35"/>
      <c r="TLP308" s="15"/>
      <c r="TLR308" s="13"/>
      <c r="TLS308" s="35"/>
      <c r="TLT308" s="35"/>
      <c r="TLU308" s="15"/>
      <c r="TLW308" s="13"/>
      <c r="TLX308" s="35"/>
      <c r="TLY308" s="35"/>
      <c r="TLZ308" s="15"/>
      <c r="TMB308" s="13"/>
      <c r="TMC308" s="35"/>
      <c r="TMD308" s="35"/>
      <c r="TME308" s="15"/>
      <c r="TMG308" s="13"/>
      <c r="TMH308" s="35"/>
      <c r="TMI308" s="35"/>
      <c r="TMJ308" s="15"/>
      <c r="TML308" s="13"/>
      <c r="TMM308" s="35"/>
      <c r="TMN308" s="35"/>
      <c r="TMO308" s="15"/>
      <c r="TMQ308" s="13"/>
      <c r="TMR308" s="35"/>
      <c r="TMS308" s="35"/>
      <c r="TMT308" s="15"/>
      <c r="TMV308" s="13"/>
      <c r="TMW308" s="35"/>
      <c r="TMX308" s="35"/>
      <c r="TMY308" s="15"/>
      <c r="TNA308" s="13"/>
      <c r="TNB308" s="35"/>
      <c r="TNC308" s="35"/>
      <c r="TND308" s="15"/>
      <c r="TNF308" s="13"/>
      <c r="TNG308" s="35"/>
      <c r="TNH308" s="35"/>
      <c r="TNI308" s="15"/>
      <c r="TNK308" s="13"/>
      <c r="TNL308" s="35"/>
      <c r="TNM308" s="35"/>
      <c r="TNN308" s="15"/>
      <c r="TNP308" s="13"/>
      <c r="TNQ308" s="35"/>
      <c r="TNR308" s="35"/>
      <c r="TNS308" s="15"/>
      <c r="TNU308" s="13"/>
      <c r="TNV308" s="35"/>
      <c r="TNW308" s="35"/>
      <c r="TNX308" s="15"/>
      <c r="TNZ308" s="13"/>
      <c r="TOA308" s="35"/>
      <c r="TOB308" s="35"/>
      <c r="TOC308" s="15"/>
      <c r="TOE308" s="13"/>
      <c r="TOF308" s="35"/>
      <c r="TOG308" s="35"/>
      <c r="TOH308" s="15"/>
      <c r="TOJ308" s="13"/>
      <c r="TOK308" s="35"/>
      <c r="TOL308" s="35"/>
      <c r="TOM308" s="15"/>
      <c r="TOO308" s="13"/>
      <c r="TOP308" s="35"/>
      <c r="TOQ308" s="35"/>
      <c r="TOR308" s="15"/>
      <c r="TOT308" s="13"/>
      <c r="TOU308" s="35"/>
      <c r="TOV308" s="35"/>
      <c r="TOW308" s="15"/>
      <c r="TOY308" s="13"/>
      <c r="TOZ308" s="35"/>
      <c r="TPA308" s="35"/>
      <c r="TPB308" s="15"/>
      <c r="TPD308" s="13"/>
      <c r="TPE308" s="35"/>
      <c r="TPF308" s="35"/>
      <c r="TPG308" s="15"/>
      <c r="TPI308" s="13"/>
      <c r="TPJ308" s="35"/>
      <c r="TPK308" s="35"/>
      <c r="TPL308" s="15"/>
      <c r="TPN308" s="13"/>
      <c r="TPO308" s="35"/>
      <c r="TPP308" s="35"/>
      <c r="TPQ308" s="15"/>
      <c r="TPS308" s="13"/>
      <c r="TPT308" s="35"/>
      <c r="TPU308" s="35"/>
      <c r="TPV308" s="15"/>
      <c r="TPX308" s="13"/>
      <c r="TPY308" s="35"/>
      <c r="TPZ308" s="35"/>
      <c r="TQA308" s="15"/>
      <c r="TQC308" s="13"/>
      <c r="TQD308" s="35"/>
      <c r="TQE308" s="35"/>
      <c r="TQF308" s="15"/>
      <c r="TQH308" s="13"/>
      <c r="TQI308" s="35"/>
      <c r="TQJ308" s="35"/>
      <c r="TQK308" s="15"/>
      <c r="TQM308" s="13"/>
      <c r="TQN308" s="35"/>
      <c r="TQO308" s="35"/>
      <c r="TQP308" s="15"/>
      <c r="TQR308" s="13"/>
      <c r="TQS308" s="35"/>
      <c r="TQT308" s="35"/>
      <c r="TQU308" s="15"/>
      <c r="TQW308" s="13"/>
      <c r="TQX308" s="35"/>
      <c r="TQY308" s="35"/>
      <c r="TQZ308" s="15"/>
      <c r="TRB308" s="13"/>
      <c r="TRC308" s="35"/>
      <c r="TRD308" s="35"/>
      <c r="TRE308" s="15"/>
      <c r="TRG308" s="13"/>
      <c r="TRH308" s="35"/>
      <c r="TRI308" s="35"/>
      <c r="TRJ308" s="15"/>
      <c r="TRL308" s="13"/>
      <c r="TRM308" s="35"/>
      <c r="TRN308" s="35"/>
      <c r="TRO308" s="15"/>
      <c r="TRQ308" s="13"/>
      <c r="TRR308" s="35"/>
      <c r="TRS308" s="35"/>
      <c r="TRT308" s="15"/>
      <c r="TRV308" s="13"/>
      <c r="TRW308" s="35"/>
      <c r="TRX308" s="35"/>
      <c r="TRY308" s="15"/>
      <c r="TSA308" s="13"/>
      <c r="TSB308" s="35"/>
      <c r="TSC308" s="35"/>
      <c r="TSD308" s="15"/>
      <c r="TSF308" s="13"/>
      <c r="TSG308" s="35"/>
      <c r="TSH308" s="35"/>
      <c r="TSI308" s="15"/>
      <c r="TSK308" s="13"/>
      <c r="TSL308" s="35"/>
      <c r="TSM308" s="35"/>
      <c r="TSN308" s="15"/>
      <c r="TSP308" s="13"/>
      <c r="TSQ308" s="35"/>
      <c r="TSR308" s="35"/>
      <c r="TSS308" s="15"/>
      <c r="TSU308" s="13"/>
      <c r="TSV308" s="35"/>
      <c r="TSW308" s="35"/>
      <c r="TSX308" s="15"/>
      <c r="TSZ308" s="13"/>
      <c r="TTA308" s="35"/>
      <c r="TTB308" s="35"/>
      <c r="TTC308" s="15"/>
      <c r="TTE308" s="13"/>
      <c r="TTF308" s="35"/>
      <c r="TTG308" s="35"/>
      <c r="TTH308" s="15"/>
      <c r="TTJ308" s="13"/>
      <c r="TTK308" s="35"/>
      <c r="TTL308" s="35"/>
      <c r="TTM308" s="15"/>
      <c r="TTO308" s="13"/>
      <c r="TTP308" s="35"/>
      <c r="TTQ308" s="35"/>
      <c r="TTR308" s="15"/>
      <c r="TTT308" s="13"/>
      <c r="TTU308" s="35"/>
      <c r="TTV308" s="35"/>
      <c r="TTW308" s="15"/>
      <c r="TTY308" s="13"/>
      <c r="TTZ308" s="35"/>
      <c r="TUA308" s="35"/>
      <c r="TUB308" s="15"/>
      <c r="TUD308" s="13"/>
      <c r="TUE308" s="35"/>
      <c r="TUF308" s="35"/>
      <c r="TUG308" s="15"/>
      <c r="TUI308" s="13"/>
      <c r="TUJ308" s="35"/>
      <c r="TUK308" s="35"/>
      <c r="TUL308" s="15"/>
      <c r="TUN308" s="13"/>
      <c r="TUO308" s="35"/>
      <c r="TUP308" s="35"/>
      <c r="TUQ308" s="15"/>
      <c r="TUS308" s="13"/>
      <c r="TUT308" s="35"/>
      <c r="TUU308" s="35"/>
      <c r="TUV308" s="15"/>
      <c r="TUX308" s="13"/>
      <c r="TUY308" s="35"/>
      <c r="TUZ308" s="35"/>
      <c r="TVA308" s="15"/>
      <c r="TVC308" s="13"/>
      <c r="TVD308" s="35"/>
      <c r="TVE308" s="35"/>
      <c r="TVF308" s="15"/>
      <c r="TVH308" s="13"/>
      <c r="TVI308" s="35"/>
      <c r="TVJ308" s="35"/>
      <c r="TVK308" s="15"/>
      <c r="TVM308" s="13"/>
      <c r="TVN308" s="35"/>
      <c r="TVO308" s="35"/>
      <c r="TVP308" s="15"/>
      <c r="TVR308" s="13"/>
      <c r="TVS308" s="35"/>
      <c r="TVT308" s="35"/>
      <c r="TVU308" s="15"/>
      <c r="TVW308" s="13"/>
      <c r="TVX308" s="35"/>
      <c r="TVY308" s="35"/>
      <c r="TVZ308" s="15"/>
      <c r="TWB308" s="13"/>
      <c r="TWC308" s="35"/>
      <c r="TWD308" s="35"/>
      <c r="TWE308" s="15"/>
      <c r="TWG308" s="13"/>
      <c r="TWH308" s="35"/>
      <c r="TWI308" s="35"/>
      <c r="TWJ308" s="15"/>
      <c r="TWL308" s="13"/>
      <c r="TWM308" s="35"/>
      <c r="TWN308" s="35"/>
      <c r="TWO308" s="15"/>
      <c r="TWQ308" s="13"/>
      <c r="TWR308" s="35"/>
      <c r="TWS308" s="35"/>
      <c r="TWT308" s="15"/>
      <c r="TWV308" s="13"/>
      <c r="TWW308" s="35"/>
      <c r="TWX308" s="35"/>
      <c r="TWY308" s="15"/>
      <c r="TXA308" s="13"/>
      <c r="TXB308" s="35"/>
      <c r="TXC308" s="35"/>
      <c r="TXD308" s="15"/>
      <c r="TXF308" s="13"/>
      <c r="TXG308" s="35"/>
      <c r="TXH308" s="35"/>
      <c r="TXI308" s="15"/>
      <c r="TXK308" s="13"/>
      <c r="TXL308" s="35"/>
      <c r="TXM308" s="35"/>
      <c r="TXN308" s="15"/>
      <c r="TXP308" s="13"/>
      <c r="TXQ308" s="35"/>
      <c r="TXR308" s="35"/>
      <c r="TXS308" s="15"/>
      <c r="TXU308" s="13"/>
      <c r="TXV308" s="35"/>
      <c r="TXW308" s="35"/>
      <c r="TXX308" s="15"/>
      <c r="TXZ308" s="13"/>
      <c r="TYA308" s="35"/>
      <c r="TYB308" s="35"/>
      <c r="TYC308" s="15"/>
      <c r="TYE308" s="13"/>
      <c r="TYF308" s="35"/>
      <c r="TYG308" s="35"/>
      <c r="TYH308" s="15"/>
      <c r="TYJ308" s="13"/>
      <c r="TYK308" s="35"/>
      <c r="TYL308" s="35"/>
      <c r="TYM308" s="15"/>
      <c r="TYO308" s="13"/>
      <c r="TYP308" s="35"/>
      <c r="TYQ308" s="35"/>
      <c r="TYR308" s="15"/>
      <c r="TYT308" s="13"/>
      <c r="TYU308" s="35"/>
      <c r="TYV308" s="35"/>
      <c r="TYW308" s="15"/>
      <c r="TYY308" s="13"/>
      <c r="TYZ308" s="35"/>
      <c r="TZA308" s="35"/>
      <c r="TZB308" s="15"/>
      <c r="TZD308" s="13"/>
      <c r="TZE308" s="35"/>
      <c r="TZF308" s="35"/>
      <c r="TZG308" s="15"/>
      <c r="TZI308" s="13"/>
      <c r="TZJ308" s="35"/>
      <c r="TZK308" s="35"/>
      <c r="TZL308" s="15"/>
      <c r="TZN308" s="13"/>
      <c r="TZO308" s="35"/>
      <c r="TZP308" s="35"/>
      <c r="TZQ308" s="15"/>
      <c r="TZS308" s="13"/>
      <c r="TZT308" s="35"/>
      <c r="TZU308" s="35"/>
      <c r="TZV308" s="15"/>
      <c r="TZX308" s="13"/>
      <c r="TZY308" s="35"/>
      <c r="TZZ308" s="35"/>
      <c r="UAA308" s="15"/>
      <c r="UAC308" s="13"/>
      <c r="UAD308" s="35"/>
      <c r="UAE308" s="35"/>
      <c r="UAF308" s="15"/>
      <c r="UAH308" s="13"/>
      <c r="UAI308" s="35"/>
      <c r="UAJ308" s="35"/>
      <c r="UAK308" s="15"/>
      <c r="UAM308" s="13"/>
      <c r="UAN308" s="35"/>
      <c r="UAO308" s="35"/>
      <c r="UAP308" s="15"/>
      <c r="UAR308" s="13"/>
      <c r="UAS308" s="35"/>
      <c r="UAT308" s="35"/>
      <c r="UAU308" s="15"/>
      <c r="UAW308" s="13"/>
      <c r="UAX308" s="35"/>
      <c r="UAY308" s="35"/>
      <c r="UAZ308" s="15"/>
      <c r="UBB308" s="13"/>
      <c r="UBC308" s="35"/>
      <c r="UBD308" s="35"/>
      <c r="UBE308" s="15"/>
      <c r="UBG308" s="13"/>
      <c r="UBH308" s="35"/>
      <c r="UBI308" s="35"/>
      <c r="UBJ308" s="15"/>
      <c r="UBL308" s="13"/>
      <c r="UBM308" s="35"/>
      <c r="UBN308" s="35"/>
      <c r="UBO308" s="15"/>
      <c r="UBQ308" s="13"/>
      <c r="UBR308" s="35"/>
      <c r="UBS308" s="35"/>
      <c r="UBT308" s="15"/>
      <c r="UBV308" s="13"/>
      <c r="UBW308" s="35"/>
      <c r="UBX308" s="35"/>
      <c r="UBY308" s="15"/>
      <c r="UCA308" s="13"/>
      <c r="UCB308" s="35"/>
      <c r="UCC308" s="35"/>
      <c r="UCD308" s="15"/>
      <c r="UCF308" s="13"/>
      <c r="UCG308" s="35"/>
      <c r="UCH308" s="35"/>
      <c r="UCI308" s="15"/>
      <c r="UCK308" s="13"/>
      <c r="UCL308" s="35"/>
      <c r="UCM308" s="35"/>
      <c r="UCN308" s="15"/>
      <c r="UCP308" s="13"/>
      <c r="UCQ308" s="35"/>
      <c r="UCR308" s="35"/>
      <c r="UCS308" s="15"/>
      <c r="UCU308" s="13"/>
      <c r="UCV308" s="35"/>
      <c r="UCW308" s="35"/>
      <c r="UCX308" s="15"/>
      <c r="UCZ308" s="13"/>
      <c r="UDA308" s="35"/>
      <c r="UDB308" s="35"/>
      <c r="UDC308" s="15"/>
      <c r="UDE308" s="13"/>
      <c r="UDF308" s="35"/>
      <c r="UDG308" s="35"/>
      <c r="UDH308" s="15"/>
      <c r="UDJ308" s="13"/>
      <c r="UDK308" s="35"/>
      <c r="UDL308" s="35"/>
      <c r="UDM308" s="15"/>
      <c r="UDO308" s="13"/>
      <c r="UDP308" s="35"/>
      <c r="UDQ308" s="35"/>
      <c r="UDR308" s="15"/>
      <c r="UDT308" s="13"/>
      <c r="UDU308" s="35"/>
      <c r="UDV308" s="35"/>
      <c r="UDW308" s="15"/>
      <c r="UDY308" s="13"/>
      <c r="UDZ308" s="35"/>
      <c r="UEA308" s="35"/>
      <c r="UEB308" s="15"/>
      <c r="UED308" s="13"/>
      <c r="UEE308" s="35"/>
      <c r="UEF308" s="35"/>
      <c r="UEG308" s="15"/>
      <c r="UEI308" s="13"/>
      <c r="UEJ308" s="35"/>
      <c r="UEK308" s="35"/>
      <c r="UEL308" s="15"/>
      <c r="UEN308" s="13"/>
      <c r="UEO308" s="35"/>
      <c r="UEP308" s="35"/>
      <c r="UEQ308" s="15"/>
      <c r="UES308" s="13"/>
      <c r="UET308" s="35"/>
      <c r="UEU308" s="35"/>
      <c r="UEV308" s="15"/>
      <c r="UEX308" s="13"/>
      <c r="UEY308" s="35"/>
      <c r="UEZ308" s="35"/>
      <c r="UFA308" s="15"/>
      <c r="UFC308" s="13"/>
      <c r="UFD308" s="35"/>
      <c r="UFE308" s="35"/>
      <c r="UFF308" s="15"/>
      <c r="UFH308" s="13"/>
      <c r="UFI308" s="35"/>
      <c r="UFJ308" s="35"/>
      <c r="UFK308" s="15"/>
      <c r="UFM308" s="13"/>
      <c r="UFN308" s="35"/>
      <c r="UFO308" s="35"/>
      <c r="UFP308" s="15"/>
      <c r="UFR308" s="13"/>
      <c r="UFS308" s="35"/>
      <c r="UFT308" s="35"/>
      <c r="UFU308" s="15"/>
      <c r="UFW308" s="13"/>
      <c r="UFX308" s="35"/>
      <c r="UFY308" s="35"/>
      <c r="UFZ308" s="15"/>
      <c r="UGB308" s="13"/>
      <c r="UGC308" s="35"/>
      <c r="UGD308" s="35"/>
      <c r="UGE308" s="15"/>
      <c r="UGG308" s="13"/>
      <c r="UGH308" s="35"/>
      <c r="UGI308" s="35"/>
      <c r="UGJ308" s="15"/>
      <c r="UGL308" s="13"/>
      <c r="UGM308" s="35"/>
      <c r="UGN308" s="35"/>
      <c r="UGO308" s="15"/>
      <c r="UGQ308" s="13"/>
      <c r="UGR308" s="35"/>
      <c r="UGS308" s="35"/>
      <c r="UGT308" s="15"/>
      <c r="UGV308" s="13"/>
      <c r="UGW308" s="35"/>
      <c r="UGX308" s="35"/>
      <c r="UGY308" s="15"/>
      <c r="UHA308" s="13"/>
      <c r="UHB308" s="35"/>
      <c r="UHC308" s="35"/>
      <c r="UHD308" s="15"/>
      <c r="UHF308" s="13"/>
      <c r="UHG308" s="35"/>
      <c r="UHH308" s="35"/>
      <c r="UHI308" s="15"/>
      <c r="UHK308" s="13"/>
      <c r="UHL308" s="35"/>
      <c r="UHM308" s="35"/>
      <c r="UHN308" s="15"/>
      <c r="UHP308" s="13"/>
      <c r="UHQ308" s="35"/>
      <c r="UHR308" s="35"/>
      <c r="UHS308" s="15"/>
      <c r="UHU308" s="13"/>
      <c r="UHV308" s="35"/>
      <c r="UHW308" s="35"/>
      <c r="UHX308" s="15"/>
      <c r="UHZ308" s="13"/>
      <c r="UIA308" s="35"/>
      <c r="UIB308" s="35"/>
      <c r="UIC308" s="15"/>
      <c r="UIE308" s="13"/>
      <c r="UIF308" s="35"/>
      <c r="UIG308" s="35"/>
      <c r="UIH308" s="15"/>
      <c r="UIJ308" s="13"/>
      <c r="UIK308" s="35"/>
      <c r="UIL308" s="35"/>
      <c r="UIM308" s="15"/>
      <c r="UIO308" s="13"/>
      <c r="UIP308" s="35"/>
      <c r="UIQ308" s="35"/>
      <c r="UIR308" s="15"/>
      <c r="UIT308" s="13"/>
      <c r="UIU308" s="35"/>
      <c r="UIV308" s="35"/>
      <c r="UIW308" s="15"/>
      <c r="UIY308" s="13"/>
      <c r="UIZ308" s="35"/>
      <c r="UJA308" s="35"/>
      <c r="UJB308" s="15"/>
      <c r="UJD308" s="13"/>
      <c r="UJE308" s="35"/>
      <c r="UJF308" s="35"/>
      <c r="UJG308" s="15"/>
      <c r="UJI308" s="13"/>
      <c r="UJJ308" s="35"/>
      <c r="UJK308" s="35"/>
      <c r="UJL308" s="15"/>
      <c r="UJN308" s="13"/>
      <c r="UJO308" s="35"/>
      <c r="UJP308" s="35"/>
      <c r="UJQ308" s="15"/>
      <c r="UJS308" s="13"/>
      <c r="UJT308" s="35"/>
      <c r="UJU308" s="35"/>
      <c r="UJV308" s="15"/>
      <c r="UJX308" s="13"/>
      <c r="UJY308" s="35"/>
      <c r="UJZ308" s="35"/>
      <c r="UKA308" s="15"/>
      <c r="UKC308" s="13"/>
      <c r="UKD308" s="35"/>
      <c r="UKE308" s="35"/>
      <c r="UKF308" s="15"/>
      <c r="UKH308" s="13"/>
      <c r="UKI308" s="35"/>
      <c r="UKJ308" s="35"/>
      <c r="UKK308" s="15"/>
      <c r="UKM308" s="13"/>
      <c r="UKN308" s="35"/>
      <c r="UKO308" s="35"/>
      <c r="UKP308" s="15"/>
      <c r="UKR308" s="13"/>
      <c r="UKS308" s="35"/>
      <c r="UKT308" s="35"/>
      <c r="UKU308" s="15"/>
      <c r="UKW308" s="13"/>
      <c r="UKX308" s="35"/>
      <c r="UKY308" s="35"/>
      <c r="UKZ308" s="15"/>
      <c r="ULB308" s="13"/>
      <c r="ULC308" s="35"/>
      <c r="ULD308" s="35"/>
      <c r="ULE308" s="15"/>
      <c r="ULG308" s="13"/>
      <c r="ULH308" s="35"/>
      <c r="ULI308" s="35"/>
      <c r="ULJ308" s="15"/>
      <c r="ULL308" s="13"/>
      <c r="ULM308" s="35"/>
      <c r="ULN308" s="35"/>
      <c r="ULO308" s="15"/>
      <c r="ULQ308" s="13"/>
      <c r="ULR308" s="35"/>
      <c r="ULS308" s="35"/>
      <c r="ULT308" s="15"/>
      <c r="ULV308" s="13"/>
      <c r="ULW308" s="35"/>
      <c r="ULX308" s="35"/>
      <c r="ULY308" s="15"/>
      <c r="UMA308" s="13"/>
      <c r="UMB308" s="35"/>
      <c r="UMC308" s="35"/>
      <c r="UMD308" s="15"/>
      <c r="UMF308" s="13"/>
      <c r="UMG308" s="35"/>
      <c r="UMH308" s="35"/>
      <c r="UMI308" s="15"/>
      <c r="UMK308" s="13"/>
      <c r="UML308" s="35"/>
      <c r="UMM308" s="35"/>
      <c r="UMN308" s="15"/>
      <c r="UMP308" s="13"/>
      <c r="UMQ308" s="35"/>
      <c r="UMR308" s="35"/>
      <c r="UMS308" s="15"/>
      <c r="UMU308" s="13"/>
      <c r="UMV308" s="35"/>
      <c r="UMW308" s="35"/>
      <c r="UMX308" s="15"/>
      <c r="UMZ308" s="13"/>
      <c r="UNA308" s="35"/>
      <c r="UNB308" s="35"/>
      <c r="UNC308" s="15"/>
      <c r="UNE308" s="13"/>
      <c r="UNF308" s="35"/>
      <c r="UNG308" s="35"/>
      <c r="UNH308" s="15"/>
      <c r="UNJ308" s="13"/>
      <c r="UNK308" s="35"/>
      <c r="UNL308" s="35"/>
      <c r="UNM308" s="15"/>
      <c r="UNO308" s="13"/>
      <c r="UNP308" s="35"/>
      <c r="UNQ308" s="35"/>
      <c r="UNR308" s="15"/>
      <c r="UNT308" s="13"/>
      <c r="UNU308" s="35"/>
      <c r="UNV308" s="35"/>
      <c r="UNW308" s="15"/>
      <c r="UNY308" s="13"/>
      <c r="UNZ308" s="35"/>
      <c r="UOA308" s="35"/>
      <c r="UOB308" s="15"/>
      <c r="UOD308" s="13"/>
      <c r="UOE308" s="35"/>
      <c r="UOF308" s="35"/>
      <c r="UOG308" s="15"/>
      <c r="UOI308" s="13"/>
      <c r="UOJ308" s="35"/>
      <c r="UOK308" s="35"/>
      <c r="UOL308" s="15"/>
      <c r="UON308" s="13"/>
      <c r="UOO308" s="35"/>
      <c r="UOP308" s="35"/>
      <c r="UOQ308" s="15"/>
      <c r="UOS308" s="13"/>
      <c r="UOT308" s="35"/>
      <c r="UOU308" s="35"/>
      <c r="UOV308" s="15"/>
      <c r="UOX308" s="13"/>
      <c r="UOY308" s="35"/>
      <c r="UOZ308" s="35"/>
      <c r="UPA308" s="15"/>
      <c r="UPC308" s="13"/>
      <c r="UPD308" s="35"/>
      <c r="UPE308" s="35"/>
      <c r="UPF308" s="15"/>
      <c r="UPH308" s="13"/>
      <c r="UPI308" s="35"/>
      <c r="UPJ308" s="35"/>
      <c r="UPK308" s="15"/>
      <c r="UPM308" s="13"/>
      <c r="UPN308" s="35"/>
      <c r="UPO308" s="35"/>
      <c r="UPP308" s="15"/>
      <c r="UPR308" s="13"/>
      <c r="UPS308" s="35"/>
      <c r="UPT308" s="35"/>
      <c r="UPU308" s="15"/>
      <c r="UPW308" s="13"/>
      <c r="UPX308" s="35"/>
      <c r="UPY308" s="35"/>
      <c r="UPZ308" s="15"/>
      <c r="UQB308" s="13"/>
      <c r="UQC308" s="35"/>
      <c r="UQD308" s="35"/>
      <c r="UQE308" s="15"/>
      <c r="UQG308" s="13"/>
      <c r="UQH308" s="35"/>
      <c r="UQI308" s="35"/>
      <c r="UQJ308" s="15"/>
      <c r="UQL308" s="13"/>
      <c r="UQM308" s="35"/>
      <c r="UQN308" s="35"/>
      <c r="UQO308" s="15"/>
      <c r="UQQ308" s="13"/>
      <c r="UQR308" s="35"/>
      <c r="UQS308" s="35"/>
      <c r="UQT308" s="15"/>
      <c r="UQV308" s="13"/>
      <c r="UQW308" s="35"/>
      <c r="UQX308" s="35"/>
      <c r="UQY308" s="15"/>
      <c r="URA308" s="13"/>
      <c r="URB308" s="35"/>
      <c r="URC308" s="35"/>
      <c r="URD308" s="15"/>
      <c r="URF308" s="13"/>
      <c r="URG308" s="35"/>
      <c r="URH308" s="35"/>
      <c r="URI308" s="15"/>
      <c r="URK308" s="13"/>
      <c r="URL308" s="35"/>
      <c r="URM308" s="35"/>
      <c r="URN308" s="15"/>
      <c r="URP308" s="13"/>
      <c r="URQ308" s="35"/>
      <c r="URR308" s="35"/>
      <c r="URS308" s="15"/>
      <c r="URU308" s="13"/>
      <c r="URV308" s="35"/>
      <c r="URW308" s="35"/>
      <c r="URX308" s="15"/>
      <c r="URZ308" s="13"/>
      <c r="USA308" s="35"/>
      <c r="USB308" s="35"/>
      <c r="USC308" s="15"/>
      <c r="USE308" s="13"/>
      <c r="USF308" s="35"/>
      <c r="USG308" s="35"/>
      <c r="USH308" s="15"/>
      <c r="USJ308" s="13"/>
      <c r="USK308" s="35"/>
      <c r="USL308" s="35"/>
      <c r="USM308" s="15"/>
      <c r="USO308" s="13"/>
      <c r="USP308" s="35"/>
      <c r="USQ308" s="35"/>
      <c r="USR308" s="15"/>
      <c r="UST308" s="13"/>
      <c r="USU308" s="35"/>
      <c r="USV308" s="35"/>
      <c r="USW308" s="15"/>
      <c r="USY308" s="13"/>
      <c r="USZ308" s="35"/>
      <c r="UTA308" s="35"/>
      <c r="UTB308" s="15"/>
      <c r="UTD308" s="13"/>
      <c r="UTE308" s="35"/>
      <c r="UTF308" s="35"/>
      <c r="UTG308" s="15"/>
      <c r="UTI308" s="13"/>
      <c r="UTJ308" s="35"/>
      <c r="UTK308" s="35"/>
      <c r="UTL308" s="15"/>
      <c r="UTN308" s="13"/>
      <c r="UTO308" s="35"/>
      <c r="UTP308" s="35"/>
      <c r="UTQ308" s="15"/>
      <c r="UTS308" s="13"/>
      <c r="UTT308" s="35"/>
      <c r="UTU308" s="35"/>
      <c r="UTV308" s="15"/>
      <c r="UTX308" s="13"/>
      <c r="UTY308" s="35"/>
      <c r="UTZ308" s="35"/>
      <c r="UUA308" s="15"/>
      <c r="UUC308" s="13"/>
      <c r="UUD308" s="35"/>
      <c r="UUE308" s="35"/>
      <c r="UUF308" s="15"/>
      <c r="UUH308" s="13"/>
      <c r="UUI308" s="35"/>
      <c r="UUJ308" s="35"/>
      <c r="UUK308" s="15"/>
      <c r="UUM308" s="13"/>
      <c r="UUN308" s="35"/>
      <c r="UUO308" s="35"/>
      <c r="UUP308" s="15"/>
      <c r="UUR308" s="13"/>
      <c r="UUS308" s="35"/>
      <c r="UUT308" s="35"/>
      <c r="UUU308" s="15"/>
      <c r="UUW308" s="13"/>
      <c r="UUX308" s="35"/>
      <c r="UUY308" s="35"/>
      <c r="UUZ308" s="15"/>
      <c r="UVB308" s="13"/>
      <c r="UVC308" s="35"/>
      <c r="UVD308" s="35"/>
      <c r="UVE308" s="15"/>
      <c r="UVG308" s="13"/>
      <c r="UVH308" s="35"/>
      <c r="UVI308" s="35"/>
      <c r="UVJ308" s="15"/>
      <c r="UVL308" s="13"/>
      <c r="UVM308" s="35"/>
      <c r="UVN308" s="35"/>
      <c r="UVO308" s="15"/>
      <c r="UVQ308" s="13"/>
      <c r="UVR308" s="35"/>
      <c r="UVS308" s="35"/>
      <c r="UVT308" s="15"/>
      <c r="UVV308" s="13"/>
      <c r="UVW308" s="35"/>
      <c r="UVX308" s="35"/>
      <c r="UVY308" s="15"/>
      <c r="UWA308" s="13"/>
      <c r="UWB308" s="35"/>
      <c r="UWC308" s="35"/>
      <c r="UWD308" s="15"/>
      <c r="UWF308" s="13"/>
      <c r="UWG308" s="35"/>
      <c r="UWH308" s="35"/>
      <c r="UWI308" s="15"/>
      <c r="UWK308" s="13"/>
      <c r="UWL308" s="35"/>
      <c r="UWM308" s="35"/>
      <c r="UWN308" s="15"/>
      <c r="UWP308" s="13"/>
      <c r="UWQ308" s="35"/>
      <c r="UWR308" s="35"/>
      <c r="UWS308" s="15"/>
      <c r="UWU308" s="13"/>
      <c r="UWV308" s="35"/>
      <c r="UWW308" s="35"/>
      <c r="UWX308" s="15"/>
      <c r="UWZ308" s="13"/>
      <c r="UXA308" s="35"/>
      <c r="UXB308" s="35"/>
      <c r="UXC308" s="15"/>
      <c r="UXE308" s="13"/>
      <c r="UXF308" s="35"/>
      <c r="UXG308" s="35"/>
      <c r="UXH308" s="15"/>
      <c r="UXJ308" s="13"/>
      <c r="UXK308" s="35"/>
      <c r="UXL308" s="35"/>
      <c r="UXM308" s="15"/>
      <c r="UXO308" s="13"/>
      <c r="UXP308" s="35"/>
      <c r="UXQ308" s="35"/>
      <c r="UXR308" s="15"/>
      <c r="UXT308" s="13"/>
      <c r="UXU308" s="35"/>
      <c r="UXV308" s="35"/>
      <c r="UXW308" s="15"/>
      <c r="UXY308" s="13"/>
      <c r="UXZ308" s="35"/>
      <c r="UYA308" s="35"/>
      <c r="UYB308" s="15"/>
      <c r="UYD308" s="13"/>
      <c r="UYE308" s="35"/>
      <c r="UYF308" s="35"/>
      <c r="UYG308" s="15"/>
      <c r="UYI308" s="13"/>
      <c r="UYJ308" s="35"/>
      <c r="UYK308" s="35"/>
      <c r="UYL308" s="15"/>
      <c r="UYN308" s="13"/>
      <c r="UYO308" s="35"/>
      <c r="UYP308" s="35"/>
      <c r="UYQ308" s="15"/>
      <c r="UYS308" s="13"/>
      <c r="UYT308" s="35"/>
      <c r="UYU308" s="35"/>
      <c r="UYV308" s="15"/>
      <c r="UYX308" s="13"/>
      <c r="UYY308" s="35"/>
      <c r="UYZ308" s="35"/>
      <c r="UZA308" s="15"/>
      <c r="UZC308" s="13"/>
      <c r="UZD308" s="35"/>
      <c r="UZE308" s="35"/>
      <c r="UZF308" s="15"/>
      <c r="UZH308" s="13"/>
      <c r="UZI308" s="35"/>
      <c r="UZJ308" s="35"/>
      <c r="UZK308" s="15"/>
      <c r="UZM308" s="13"/>
      <c r="UZN308" s="35"/>
      <c r="UZO308" s="35"/>
      <c r="UZP308" s="15"/>
      <c r="UZR308" s="13"/>
      <c r="UZS308" s="35"/>
      <c r="UZT308" s="35"/>
      <c r="UZU308" s="15"/>
      <c r="UZW308" s="13"/>
      <c r="UZX308" s="35"/>
      <c r="UZY308" s="35"/>
      <c r="UZZ308" s="15"/>
      <c r="VAB308" s="13"/>
      <c r="VAC308" s="35"/>
      <c r="VAD308" s="35"/>
      <c r="VAE308" s="15"/>
      <c r="VAG308" s="13"/>
      <c r="VAH308" s="35"/>
      <c r="VAI308" s="35"/>
      <c r="VAJ308" s="15"/>
      <c r="VAL308" s="13"/>
      <c r="VAM308" s="35"/>
      <c r="VAN308" s="35"/>
      <c r="VAO308" s="15"/>
      <c r="VAQ308" s="13"/>
      <c r="VAR308" s="35"/>
      <c r="VAS308" s="35"/>
      <c r="VAT308" s="15"/>
      <c r="VAV308" s="13"/>
      <c r="VAW308" s="35"/>
      <c r="VAX308" s="35"/>
      <c r="VAY308" s="15"/>
      <c r="VBA308" s="13"/>
      <c r="VBB308" s="35"/>
      <c r="VBC308" s="35"/>
      <c r="VBD308" s="15"/>
      <c r="VBF308" s="13"/>
      <c r="VBG308" s="35"/>
      <c r="VBH308" s="35"/>
      <c r="VBI308" s="15"/>
      <c r="VBK308" s="13"/>
      <c r="VBL308" s="35"/>
      <c r="VBM308" s="35"/>
      <c r="VBN308" s="15"/>
      <c r="VBP308" s="13"/>
      <c r="VBQ308" s="35"/>
      <c r="VBR308" s="35"/>
      <c r="VBS308" s="15"/>
      <c r="VBU308" s="13"/>
      <c r="VBV308" s="35"/>
      <c r="VBW308" s="35"/>
      <c r="VBX308" s="15"/>
      <c r="VBZ308" s="13"/>
      <c r="VCA308" s="35"/>
      <c r="VCB308" s="35"/>
      <c r="VCC308" s="15"/>
      <c r="VCE308" s="13"/>
      <c r="VCF308" s="35"/>
      <c r="VCG308" s="35"/>
      <c r="VCH308" s="15"/>
      <c r="VCJ308" s="13"/>
      <c r="VCK308" s="35"/>
      <c r="VCL308" s="35"/>
      <c r="VCM308" s="15"/>
      <c r="VCO308" s="13"/>
      <c r="VCP308" s="35"/>
      <c r="VCQ308" s="35"/>
      <c r="VCR308" s="15"/>
      <c r="VCT308" s="13"/>
      <c r="VCU308" s="35"/>
      <c r="VCV308" s="35"/>
      <c r="VCW308" s="15"/>
      <c r="VCY308" s="13"/>
      <c r="VCZ308" s="35"/>
      <c r="VDA308" s="35"/>
      <c r="VDB308" s="15"/>
      <c r="VDD308" s="13"/>
      <c r="VDE308" s="35"/>
      <c r="VDF308" s="35"/>
      <c r="VDG308" s="15"/>
      <c r="VDI308" s="13"/>
      <c r="VDJ308" s="35"/>
      <c r="VDK308" s="35"/>
      <c r="VDL308" s="15"/>
      <c r="VDN308" s="13"/>
      <c r="VDO308" s="35"/>
      <c r="VDP308" s="35"/>
      <c r="VDQ308" s="15"/>
      <c r="VDS308" s="13"/>
      <c r="VDT308" s="35"/>
      <c r="VDU308" s="35"/>
      <c r="VDV308" s="15"/>
      <c r="VDX308" s="13"/>
      <c r="VDY308" s="35"/>
      <c r="VDZ308" s="35"/>
      <c r="VEA308" s="15"/>
      <c r="VEC308" s="13"/>
      <c r="VED308" s="35"/>
      <c r="VEE308" s="35"/>
      <c r="VEF308" s="15"/>
      <c r="VEH308" s="13"/>
      <c r="VEI308" s="35"/>
      <c r="VEJ308" s="35"/>
      <c r="VEK308" s="15"/>
      <c r="VEM308" s="13"/>
      <c r="VEN308" s="35"/>
      <c r="VEO308" s="35"/>
      <c r="VEP308" s="15"/>
      <c r="VER308" s="13"/>
      <c r="VES308" s="35"/>
      <c r="VET308" s="35"/>
      <c r="VEU308" s="15"/>
      <c r="VEW308" s="13"/>
      <c r="VEX308" s="35"/>
      <c r="VEY308" s="35"/>
      <c r="VEZ308" s="15"/>
      <c r="VFB308" s="13"/>
      <c r="VFC308" s="35"/>
      <c r="VFD308" s="35"/>
      <c r="VFE308" s="15"/>
      <c r="VFG308" s="13"/>
      <c r="VFH308" s="35"/>
      <c r="VFI308" s="35"/>
      <c r="VFJ308" s="15"/>
      <c r="VFL308" s="13"/>
      <c r="VFM308" s="35"/>
      <c r="VFN308" s="35"/>
      <c r="VFO308" s="15"/>
      <c r="VFQ308" s="13"/>
      <c r="VFR308" s="35"/>
      <c r="VFS308" s="35"/>
      <c r="VFT308" s="15"/>
      <c r="VFV308" s="13"/>
      <c r="VFW308" s="35"/>
      <c r="VFX308" s="35"/>
      <c r="VFY308" s="15"/>
      <c r="VGA308" s="13"/>
      <c r="VGB308" s="35"/>
      <c r="VGC308" s="35"/>
      <c r="VGD308" s="15"/>
      <c r="VGF308" s="13"/>
      <c r="VGG308" s="35"/>
      <c r="VGH308" s="35"/>
      <c r="VGI308" s="15"/>
      <c r="VGK308" s="13"/>
      <c r="VGL308" s="35"/>
      <c r="VGM308" s="35"/>
      <c r="VGN308" s="15"/>
      <c r="VGP308" s="13"/>
      <c r="VGQ308" s="35"/>
      <c r="VGR308" s="35"/>
      <c r="VGS308" s="15"/>
      <c r="VGU308" s="13"/>
      <c r="VGV308" s="35"/>
      <c r="VGW308" s="35"/>
      <c r="VGX308" s="15"/>
      <c r="VGZ308" s="13"/>
      <c r="VHA308" s="35"/>
      <c r="VHB308" s="35"/>
      <c r="VHC308" s="15"/>
      <c r="VHE308" s="13"/>
      <c r="VHF308" s="35"/>
      <c r="VHG308" s="35"/>
      <c r="VHH308" s="15"/>
      <c r="VHJ308" s="13"/>
      <c r="VHK308" s="35"/>
      <c r="VHL308" s="35"/>
      <c r="VHM308" s="15"/>
      <c r="VHO308" s="13"/>
      <c r="VHP308" s="35"/>
      <c r="VHQ308" s="35"/>
      <c r="VHR308" s="15"/>
      <c r="VHT308" s="13"/>
      <c r="VHU308" s="35"/>
      <c r="VHV308" s="35"/>
      <c r="VHW308" s="15"/>
      <c r="VHY308" s="13"/>
      <c r="VHZ308" s="35"/>
      <c r="VIA308" s="35"/>
      <c r="VIB308" s="15"/>
      <c r="VID308" s="13"/>
      <c r="VIE308" s="35"/>
      <c r="VIF308" s="35"/>
      <c r="VIG308" s="15"/>
      <c r="VII308" s="13"/>
      <c r="VIJ308" s="35"/>
      <c r="VIK308" s="35"/>
      <c r="VIL308" s="15"/>
      <c r="VIN308" s="13"/>
      <c r="VIO308" s="35"/>
      <c r="VIP308" s="35"/>
      <c r="VIQ308" s="15"/>
      <c r="VIS308" s="13"/>
      <c r="VIT308" s="35"/>
      <c r="VIU308" s="35"/>
      <c r="VIV308" s="15"/>
      <c r="VIX308" s="13"/>
      <c r="VIY308" s="35"/>
      <c r="VIZ308" s="35"/>
      <c r="VJA308" s="15"/>
      <c r="VJC308" s="13"/>
      <c r="VJD308" s="35"/>
      <c r="VJE308" s="35"/>
      <c r="VJF308" s="15"/>
      <c r="VJH308" s="13"/>
      <c r="VJI308" s="35"/>
      <c r="VJJ308" s="35"/>
      <c r="VJK308" s="15"/>
      <c r="VJM308" s="13"/>
      <c r="VJN308" s="35"/>
      <c r="VJO308" s="35"/>
      <c r="VJP308" s="15"/>
      <c r="VJR308" s="13"/>
      <c r="VJS308" s="35"/>
      <c r="VJT308" s="35"/>
      <c r="VJU308" s="15"/>
      <c r="VJW308" s="13"/>
      <c r="VJX308" s="35"/>
      <c r="VJY308" s="35"/>
      <c r="VJZ308" s="15"/>
      <c r="VKB308" s="13"/>
      <c r="VKC308" s="35"/>
      <c r="VKD308" s="35"/>
      <c r="VKE308" s="15"/>
      <c r="VKG308" s="13"/>
      <c r="VKH308" s="35"/>
      <c r="VKI308" s="35"/>
      <c r="VKJ308" s="15"/>
      <c r="VKL308" s="13"/>
      <c r="VKM308" s="35"/>
      <c r="VKN308" s="35"/>
      <c r="VKO308" s="15"/>
      <c r="VKQ308" s="13"/>
      <c r="VKR308" s="35"/>
      <c r="VKS308" s="35"/>
      <c r="VKT308" s="15"/>
      <c r="VKV308" s="13"/>
      <c r="VKW308" s="35"/>
      <c r="VKX308" s="35"/>
      <c r="VKY308" s="15"/>
      <c r="VLA308" s="13"/>
      <c r="VLB308" s="35"/>
      <c r="VLC308" s="35"/>
      <c r="VLD308" s="15"/>
      <c r="VLF308" s="13"/>
      <c r="VLG308" s="35"/>
      <c r="VLH308" s="35"/>
      <c r="VLI308" s="15"/>
      <c r="VLK308" s="13"/>
      <c r="VLL308" s="35"/>
      <c r="VLM308" s="35"/>
      <c r="VLN308" s="15"/>
      <c r="VLP308" s="13"/>
      <c r="VLQ308" s="35"/>
      <c r="VLR308" s="35"/>
      <c r="VLS308" s="15"/>
      <c r="VLU308" s="13"/>
      <c r="VLV308" s="35"/>
      <c r="VLW308" s="35"/>
      <c r="VLX308" s="15"/>
      <c r="VLZ308" s="13"/>
      <c r="VMA308" s="35"/>
      <c r="VMB308" s="35"/>
      <c r="VMC308" s="15"/>
      <c r="VME308" s="13"/>
      <c r="VMF308" s="35"/>
      <c r="VMG308" s="35"/>
      <c r="VMH308" s="15"/>
      <c r="VMJ308" s="13"/>
      <c r="VMK308" s="35"/>
      <c r="VML308" s="35"/>
      <c r="VMM308" s="15"/>
      <c r="VMO308" s="13"/>
      <c r="VMP308" s="35"/>
      <c r="VMQ308" s="35"/>
      <c r="VMR308" s="15"/>
      <c r="VMT308" s="13"/>
      <c r="VMU308" s="35"/>
      <c r="VMV308" s="35"/>
      <c r="VMW308" s="15"/>
      <c r="VMY308" s="13"/>
      <c r="VMZ308" s="35"/>
      <c r="VNA308" s="35"/>
      <c r="VNB308" s="15"/>
      <c r="VND308" s="13"/>
      <c r="VNE308" s="35"/>
      <c r="VNF308" s="35"/>
      <c r="VNG308" s="15"/>
      <c r="VNI308" s="13"/>
      <c r="VNJ308" s="35"/>
      <c r="VNK308" s="35"/>
      <c r="VNL308" s="15"/>
      <c r="VNN308" s="13"/>
      <c r="VNO308" s="35"/>
      <c r="VNP308" s="35"/>
      <c r="VNQ308" s="15"/>
      <c r="VNS308" s="13"/>
      <c r="VNT308" s="35"/>
      <c r="VNU308" s="35"/>
      <c r="VNV308" s="15"/>
      <c r="VNX308" s="13"/>
      <c r="VNY308" s="35"/>
      <c r="VNZ308" s="35"/>
      <c r="VOA308" s="15"/>
      <c r="VOC308" s="13"/>
      <c r="VOD308" s="35"/>
      <c r="VOE308" s="35"/>
      <c r="VOF308" s="15"/>
      <c r="VOH308" s="13"/>
      <c r="VOI308" s="35"/>
      <c r="VOJ308" s="35"/>
      <c r="VOK308" s="15"/>
      <c r="VOM308" s="13"/>
      <c r="VON308" s="35"/>
      <c r="VOO308" s="35"/>
      <c r="VOP308" s="15"/>
      <c r="VOR308" s="13"/>
      <c r="VOS308" s="35"/>
      <c r="VOT308" s="35"/>
      <c r="VOU308" s="15"/>
      <c r="VOW308" s="13"/>
      <c r="VOX308" s="35"/>
      <c r="VOY308" s="35"/>
      <c r="VOZ308" s="15"/>
      <c r="VPB308" s="13"/>
      <c r="VPC308" s="35"/>
      <c r="VPD308" s="35"/>
      <c r="VPE308" s="15"/>
      <c r="VPG308" s="13"/>
      <c r="VPH308" s="35"/>
      <c r="VPI308" s="35"/>
      <c r="VPJ308" s="15"/>
      <c r="VPL308" s="13"/>
      <c r="VPM308" s="35"/>
      <c r="VPN308" s="35"/>
      <c r="VPO308" s="15"/>
      <c r="VPQ308" s="13"/>
      <c r="VPR308" s="35"/>
      <c r="VPS308" s="35"/>
      <c r="VPT308" s="15"/>
      <c r="VPV308" s="13"/>
      <c r="VPW308" s="35"/>
      <c r="VPX308" s="35"/>
      <c r="VPY308" s="15"/>
      <c r="VQA308" s="13"/>
      <c r="VQB308" s="35"/>
      <c r="VQC308" s="35"/>
      <c r="VQD308" s="15"/>
      <c r="VQF308" s="13"/>
      <c r="VQG308" s="35"/>
      <c r="VQH308" s="35"/>
      <c r="VQI308" s="15"/>
      <c r="VQK308" s="13"/>
      <c r="VQL308" s="35"/>
      <c r="VQM308" s="35"/>
      <c r="VQN308" s="15"/>
      <c r="VQP308" s="13"/>
      <c r="VQQ308" s="35"/>
      <c r="VQR308" s="35"/>
      <c r="VQS308" s="15"/>
      <c r="VQU308" s="13"/>
      <c r="VQV308" s="35"/>
      <c r="VQW308" s="35"/>
      <c r="VQX308" s="15"/>
      <c r="VQZ308" s="13"/>
      <c r="VRA308" s="35"/>
      <c r="VRB308" s="35"/>
      <c r="VRC308" s="15"/>
      <c r="VRE308" s="13"/>
      <c r="VRF308" s="35"/>
      <c r="VRG308" s="35"/>
      <c r="VRH308" s="15"/>
      <c r="VRJ308" s="13"/>
      <c r="VRK308" s="35"/>
      <c r="VRL308" s="35"/>
      <c r="VRM308" s="15"/>
      <c r="VRO308" s="13"/>
      <c r="VRP308" s="35"/>
      <c r="VRQ308" s="35"/>
      <c r="VRR308" s="15"/>
      <c r="VRT308" s="13"/>
      <c r="VRU308" s="35"/>
      <c r="VRV308" s="35"/>
      <c r="VRW308" s="15"/>
      <c r="VRY308" s="13"/>
      <c r="VRZ308" s="35"/>
      <c r="VSA308" s="35"/>
      <c r="VSB308" s="15"/>
      <c r="VSD308" s="13"/>
      <c r="VSE308" s="35"/>
      <c r="VSF308" s="35"/>
      <c r="VSG308" s="15"/>
      <c r="VSI308" s="13"/>
      <c r="VSJ308" s="35"/>
      <c r="VSK308" s="35"/>
      <c r="VSL308" s="15"/>
      <c r="VSN308" s="13"/>
      <c r="VSO308" s="35"/>
      <c r="VSP308" s="35"/>
      <c r="VSQ308" s="15"/>
      <c r="VSS308" s="13"/>
      <c r="VST308" s="35"/>
      <c r="VSU308" s="35"/>
      <c r="VSV308" s="15"/>
      <c r="VSX308" s="13"/>
      <c r="VSY308" s="35"/>
      <c r="VSZ308" s="35"/>
      <c r="VTA308" s="15"/>
      <c r="VTC308" s="13"/>
      <c r="VTD308" s="35"/>
      <c r="VTE308" s="35"/>
      <c r="VTF308" s="15"/>
      <c r="VTH308" s="13"/>
      <c r="VTI308" s="35"/>
      <c r="VTJ308" s="35"/>
      <c r="VTK308" s="15"/>
      <c r="VTM308" s="13"/>
      <c r="VTN308" s="35"/>
      <c r="VTO308" s="35"/>
      <c r="VTP308" s="15"/>
      <c r="VTR308" s="13"/>
      <c r="VTS308" s="35"/>
      <c r="VTT308" s="35"/>
      <c r="VTU308" s="15"/>
      <c r="VTW308" s="13"/>
      <c r="VTX308" s="35"/>
      <c r="VTY308" s="35"/>
      <c r="VTZ308" s="15"/>
      <c r="VUB308" s="13"/>
      <c r="VUC308" s="35"/>
      <c r="VUD308" s="35"/>
      <c r="VUE308" s="15"/>
      <c r="VUG308" s="13"/>
      <c r="VUH308" s="35"/>
      <c r="VUI308" s="35"/>
      <c r="VUJ308" s="15"/>
      <c r="VUL308" s="13"/>
      <c r="VUM308" s="35"/>
      <c r="VUN308" s="35"/>
      <c r="VUO308" s="15"/>
      <c r="VUQ308" s="13"/>
      <c r="VUR308" s="35"/>
      <c r="VUS308" s="35"/>
      <c r="VUT308" s="15"/>
      <c r="VUV308" s="13"/>
      <c r="VUW308" s="35"/>
      <c r="VUX308" s="35"/>
      <c r="VUY308" s="15"/>
      <c r="VVA308" s="13"/>
      <c r="VVB308" s="35"/>
      <c r="VVC308" s="35"/>
      <c r="VVD308" s="15"/>
      <c r="VVF308" s="13"/>
      <c r="VVG308" s="35"/>
      <c r="VVH308" s="35"/>
      <c r="VVI308" s="15"/>
      <c r="VVK308" s="13"/>
      <c r="VVL308" s="35"/>
      <c r="VVM308" s="35"/>
      <c r="VVN308" s="15"/>
      <c r="VVP308" s="13"/>
      <c r="VVQ308" s="35"/>
      <c r="VVR308" s="35"/>
      <c r="VVS308" s="15"/>
      <c r="VVU308" s="13"/>
      <c r="VVV308" s="35"/>
      <c r="VVW308" s="35"/>
      <c r="VVX308" s="15"/>
      <c r="VVZ308" s="13"/>
      <c r="VWA308" s="35"/>
      <c r="VWB308" s="35"/>
      <c r="VWC308" s="15"/>
      <c r="VWE308" s="13"/>
      <c r="VWF308" s="35"/>
      <c r="VWG308" s="35"/>
      <c r="VWH308" s="15"/>
      <c r="VWJ308" s="13"/>
      <c r="VWK308" s="35"/>
      <c r="VWL308" s="35"/>
      <c r="VWM308" s="15"/>
      <c r="VWO308" s="13"/>
      <c r="VWP308" s="35"/>
      <c r="VWQ308" s="35"/>
      <c r="VWR308" s="15"/>
      <c r="VWT308" s="13"/>
      <c r="VWU308" s="35"/>
      <c r="VWV308" s="35"/>
      <c r="VWW308" s="15"/>
      <c r="VWY308" s="13"/>
      <c r="VWZ308" s="35"/>
      <c r="VXA308" s="35"/>
      <c r="VXB308" s="15"/>
      <c r="VXD308" s="13"/>
      <c r="VXE308" s="35"/>
      <c r="VXF308" s="35"/>
      <c r="VXG308" s="15"/>
      <c r="VXI308" s="13"/>
      <c r="VXJ308" s="35"/>
      <c r="VXK308" s="35"/>
      <c r="VXL308" s="15"/>
      <c r="VXN308" s="13"/>
      <c r="VXO308" s="35"/>
      <c r="VXP308" s="35"/>
      <c r="VXQ308" s="15"/>
      <c r="VXS308" s="13"/>
      <c r="VXT308" s="35"/>
      <c r="VXU308" s="35"/>
      <c r="VXV308" s="15"/>
      <c r="VXX308" s="13"/>
      <c r="VXY308" s="35"/>
      <c r="VXZ308" s="35"/>
      <c r="VYA308" s="15"/>
      <c r="VYC308" s="13"/>
      <c r="VYD308" s="35"/>
      <c r="VYE308" s="35"/>
      <c r="VYF308" s="15"/>
      <c r="VYH308" s="13"/>
      <c r="VYI308" s="35"/>
      <c r="VYJ308" s="35"/>
      <c r="VYK308" s="15"/>
      <c r="VYM308" s="13"/>
      <c r="VYN308" s="35"/>
      <c r="VYO308" s="35"/>
      <c r="VYP308" s="15"/>
      <c r="VYR308" s="13"/>
      <c r="VYS308" s="35"/>
      <c r="VYT308" s="35"/>
      <c r="VYU308" s="15"/>
      <c r="VYW308" s="13"/>
      <c r="VYX308" s="35"/>
      <c r="VYY308" s="35"/>
      <c r="VYZ308" s="15"/>
      <c r="VZB308" s="13"/>
      <c r="VZC308" s="35"/>
      <c r="VZD308" s="35"/>
      <c r="VZE308" s="15"/>
      <c r="VZG308" s="13"/>
      <c r="VZH308" s="35"/>
      <c r="VZI308" s="35"/>
      <c r="VZJ308" s="15"/>
      <c r="VZL308" s="13"/>
      <c r="VZM308" s="35"/>
      <c r="VZN308" s="35"/>
      <c r="VZO308" s="15"/>
      <c r="VZQ308" s="13"/>
      <c r="VZR308" s="35"/>
      <c r="VZS308" s="35"/>
      <c r="VZT308" s="15"/>
      <c r="VZV308" s="13"/>
      <c r="VZW308" s="35"/>
      <c r="VZX308" s="35"/>
      <c r="VZY308" s="15"/>
      <c r="WAA308" s="13"/>
      <c r="WAB308" s="35"/>
      <c r="WAC308" s="35"/>
      <c r="WAD308" s="15"/>
      <c r="WAF308" s="13"/>
      <c r="WAG308" s="35"/>
      <c r="WAH308" s="35"/>
      <c r="WAI308" s="15"/>
      <c r="WAK308" s="13"/>
      <c r="WAL308" s="35"/>
      <c r="WAM308" s="35"/>
      <c r="WAN308" s="15"/>
      <c r="WAP308" s="13"/>
      <c r="WAQ308" s="35"/>
      <c r="WAR308" s="35"/>
      <c r="WAS308" s="15"/>
      <c r="WAU308" s="13"/>
      <c r="WAV308" s="35"/>
      <c r="WAW308" s="35"/>
      <c r="WAX308" s="15"/>
      <c r="WAZ308" s="13"/>
      <c r="WBA308" s="35"/>
      <c r="WBB308" s="35"/>
      <c r="WBC308" s="15"/>
      <c r="WBE308" s="13"/>
      <c r="WBF308" s="35"/>
      <c r="WBG308" s="35"/>
      <c r="WBH308" s="15"/>
      <c r="WBJ308" s="13"/>
      <c r="WBK308" s="35"/>
      <c r="WBL308" s="35"/>
      <c r="WBM308" s="15"/>
      <c r="WBO308" s="13"/>
      <c r="WBP308" s="35"/>
      <c r="WBQ308" s="35"/>
      <c r="WBR308" s="15"/>
      <c r="WBT308" s="13"/>
      <c r="WBU308" s="35"/>
      <c r="WBV308" s="35"/>
      <c r="WBW308" s="15"/>
      <c r="WBY308" s="13"/>
      <c r="WBZ308" s="35"/>
      <c r="WCA308" s="35"/>
      <c r="WCB308" s="15"/>
      <c r="WCD308" s="13"/>
      <c r="WCE308" s="35"/>
      <c r="WCF308" s="35"/>
      <c r="WCG308" s="15"/>
      <c r="WCI308" s="13"/>
      <c r="WCJ308" s="35"/>
      <c r="WCK308" s="35"/>
      <c r="WCL308" s="15"/>
      <c r="WCN308" s="13"/>
      <c r="WCO308" s="35"/>
      <c r="WCP308" s="35"/>
      <c r="WCQ308" s="15"/>
      <c r="WCS308" s="13"/>
      <c r="WCT308" s="35"/>
      <c r="WCU308" s="35"/>
      <c r="WCV308" s="15"/>
      <c r="WCX308" s="13"/>
      <c r="WCY308" s="35"/>
      <c r="WCZ308" s="35"/>
      <c r="WDA308" s="15"/>
      <c r="WDC308" s="13"/>
      <c r="WDD308" s="35"/>
      <c r="WDE308" s="35"/>
      <c r="WDF308" s="15"/>
      <c r="WDH308" s="13"/>
      <c r="WDI308" s="35"/>
      <c r="WDJ308" s="35"/>
      <c r="WDK308" s="15"/>
      <c r="WDM308" s="13"/>
      <c r="WDN308" s="35"/>
      <c r="WDO308" s="35"/>
      <c r="WDP308" s="15"/>
      <c r="WDR308" s="13"/>
      <c r="WDS308" s="35"/>
      <c r="WDT308" s="35"/>
      <c r="WDU308" s="15"/>
      <c r="WDW308" s="13"/>
      <c r="WDX308" s="35"/>
      <c r="WDY308" s="35"/>
      <c r="WDZ308" s="15"/>
      <c r="WEB308" s="13"/>
      <c r="WEC308" s="35"/>
      <c r="WED308" s="35"/>
      <c r="WEE308" s="15"/>
      <c r="WEG308" s="13"/>
      <c r="WEH308" s="35"/>
      <c r="WEI308" s="35"/>
      <c r="WEJ308" s="15"/>
      <c r="WEL308" s="13"/>
      <c r="WEM308" s="35"/>
      <c r="WEN308" s="35"/>
      <c r="WEO308" s="15"/>
      <c r="WEQ308" s="13"/>
      <c r="WER308" s="35"/>
      <c r="WES308" s="35"/>
      <c r="WET308" s="15"/>
      <c r="WEV308" s="13"/>
      <c r="WEW308" s="35"/>
      <c r="WEX308" s="35"/>
      <c r="WEY308" s="15"/>
      <c r="WFA308" s="13"/>
      <c r="WFB308" s="35"/>
      <c r="WFC308" s="35"/>
      <c r="WFD308" s="15"/>
      <c r="WFF308" s="13"/>
      <c r="WFG308" s="35"/>
      <c r="WFH308" s="35"/>
      <c r="WFI308" s="15"/>
      <c r="WFK308" s="13"/>
      <c r="WFL308" s="35"/>
      <c r="WFM308" s="35"/>
      <c r="WFN308" s="15"/>
      <c r="WFP308" s="13"/>
      <c r="WFQ308" s="35"/>
      <c r="WFR308" s="35"/>
      <c r="WFS308" s="15"/>
      <c r="WFU308" s="13"/>
      <c r="WFV308" s="35"/>
      <c r="WFW308" s="35"/>
      <c r="WFX308" s="15"/>
      <c r="WFZ308" s="13"/>
      <c r="WGA308" s="35"/>
      <c r="WGB308" s="35"/>
      <c r="WGC308" s="15"/>
      <c r="WGE308" s="13"/>
      <c r="WGF308" s="35"/>
      <c r="WGG308" s="35"/>
      <c r="WGH308" s="15"/>
      <c r="WGJ308" s="13"/>
      <c r="WGK308" s="35"/>
      <c r="WGL308" s="35"/>
      <c r="WGM308" s="15"/>
      <c r="WGO308" s="13"/>
      <c r="WGP308" s="35"/>
      <c r="WGQ308" s="35"/>
      <c r="WGR308" s="15"/>
      <c r="WGT308" s="13"/>
      <c r="WGU308" s="35"/>
      <c r="WGV308" s="35"/>
      <c r="WGW308" s="15"/>
      <c r="WGY308" s="13"/>
      <c r="WGZ308" s="35"/>
      <c r="WHA308" s="35"/>
      <c r="WHB308" s="15"/>
      <c r="WHD308" s="13"/>
      <c r="WHE308" s="35"/>
      <c r="WHF308" s="35"/>
      <c r="WHG308" s="15"/>
      <c r="WHI308" s="13"/>
      <c r="WHJ308" s="35"/>
      <c r="WHK308" s="35"/>
      <c r="WHL308" s="15"/>
      <c r="WHN308" s="13"/>
      <c r="WHO308" s="35"/>
      <c r="WHP308" s="35"/>
      <c r="WHQ308" s="15"/>
      <c r="WHS308" s="13"/>
      <c r="WHT308" s="35"/>
      <c r="WHU308" s="35"/>
      <c r="WHV308" s="15"/>
      <c r="WHX308" s="13"/>
      <c r="WHY308" s="35"/>
      <c r="WHZ308" s="35"/>
      <c r="WIA308" s="15"/>
      <c r="WIC308" s="13"/>
      <c r="WID308" s="35"/>
      <c r="WIE308" s="35"/>
      <c r="WIF308" s="15"/>
      <c r="WIH308" s="13"/>
      <c r="WII308" s="35"/>
      <c r="WIJ308" s="35"/>
      <c r="WIK308" s="15"/>
      <c r="WIM308" s="13"/>
      <c r="WIN308" s="35"/>
      <c r="WIO308" s="35"/>
      <c r="WIP308" s="15"/>
      <c r="WIR308" s="13"/>
      <c r="WIS308" s="35"/>
      <c r="WIT308" s="35"/>
      <c r="WIU308" s="15"/>
      <c r="WIW308" s="13"/>
      <c r="WIX308" s="35"/>
      <c r="WIY308" s="35"/>
      <c r="WIZ308" s="15"/>
      <c r="WJB308" s="13"/>
      <c r="WJC308" s="35"/>
      <c r="WJD308" s="35"/>
      <c r="WJE308" s="15"/>
      <c r="WJG308" s="13"/>
      <c r="WJH308" s="35"/>
      <c r="WJI308" s="35"/>
      <c r="WJJ308" s="15"/>
      <c r="WJL308" s="13"/>
      <c r="WJM308" s="35"/>
      <c r="WJN308" s="35"/>
      <c r="WJO308" s="15"/>
      <c r="WJQ308" s="13"/>
      <c r="WJR308" s="35"/>
      <c r="WJS308" s="35"/>
      <c r="WJT308" s="15"/>
      <c r="WJV308" s="13"/>
      <c r="WJW308" s="35"/>
      <c r="WJX308" s="35"/>
      <c r="WJY308" s="15"/>
      <c r="WKA308" s="13"/>
      <c r="WKB308" s="35"/>
      <c r="WKC308" s="35"/>
      <c r="WKD308" s="15"/>
      <c r="WKF308" s="13"/>
      <c r="WKG308" s="35"/>
      <c r="WKH308" s="35"/>
      <c r="WKI308" s="15"/>
      <c r="WKK308" s="13"/>
      <c r="WKL308" s="35"/>
      <c r="WKM308" s="35"/>
      <c r="WKN308" s="15"/>
      <c r="WKP308" s="13"/>
      <c r="WKQ308" s="35"/>
      <c r="WKR308" s="35"/>
      <c r="WKS308" s="15"/>
      <c r="WKU308" s="13"/>
      <c r="WKV308" s="35"/>
      <c r="WKW308" s="35"/>
      <c r="WKX308" s="15"/>
      <c r="WKZ308" s="13"/>
      <c r="WLA308" s="35"/>
      <c r="WLB308" s="35"/>
      <c r="WLC308" s="15"/>
      <c r="WLE308" s="13"/>
      <c r="WLF308" s="35"/>
      <c r="WLG308" s="35"/>
      <c r="WLH308" s="15"/>
      <c r="WLJ308" s="13"/>
      <c r="WLK308" s="35"/>
      <c r="WLL308" s="35"/>
      <c r="WLM308" s="15"/>
      <c r="WLO308" s="13"/>
      <c r="WLP308" s="35"/>
      <c r="WLQ308" s="35"/>
      <c r="WLR308" s="15"/>
      <c r="WLT308" s="13"/>
      <c r="WLU308" s="35"/>
      <c r="WLV308" s="35"/>
      <c r="WLW308" s="15"/>
      <c r="WLY308" s="13"/>
      <c r="WLZ308" s="35"/>
      <c r="WMA308" s="35"/>
      <c r="WMB308" s="15"/>
      <c r="WMD308" s="13"/>
      <c r="WME308" s="35"/>
      <c r="WMF308" s="35"/>
      <c r="WMG308" s="15"/>
      <c r="WMI308" s="13"/>
      <c r="WMJ308" s="35"/>
      <c r="WMK308" s="35"/>
      <c r="WML308" s="15"/>
      <c r="WMN308" s="13"/>
      <c r="WMO308" s="35"/>
      <c r="WMP308" s="35"/>
      <c r="WMQ308" s="15"/>
      <c r="WMS308" s="13"/>
      <c r="WMT308" s="35"/>
      <c r="WMU308" s="35"/>
      <c r="WMV308" s="15"/>
      <c r="WMX308" s="13"/>
      <c r="WMY308" s="35"/>
      <c r="WMZ308" s="35"/>
      <c r="WNA308" s="15"/>
      <c r="WNC308" s="13"/>
      <c r="WND308" s="35"/>
      <c r="WNE308" s="35"/>
      <c r="WNF308" s="15"/>
      <c r="WNH308" s="13"/>
      <c r="WNI308" s="35"/>
      <c r="WNJ308" s="35"/>
      <c r="WNK308" s="15"/>
      <c r="WNM308" s="13"/>
      <c r="WNN308" s="35"/>
      <c r="WNO308" s="35"/>
      <c r="WNP308" s="15"/>
      <c r="WNR308" s="13"/>
      <c r="WNS308" s="35"/>
      <c r="WNT308" s="35"/>
      <c r="WNU308" s="15"/>
      <c r="WNW308" s="13"/>
      <c r="WNX308" s="35"/>
      <c r="WNY308" s="35"/>
      <c r="WNZ308" s="15"/>
      <c r="WOB308" s="13"/>
      <c r="WOC308" s="35"/>
      <c r="WOD308" s="35"/>
      <c r="WOE308" s="15"/>
      <c r="WOG308" s="13"/>
      <c r="WOH308" s="35"/>
      <c r="WOI308" s="35"/>
      <c r="WOJ308" s="15"/>
      <c r="WOL308" s="13"/>
      <c r="WOM308" s="35"/>
      <c r="WON308" s="35"/>
      <c r="WOO308" s="15"/>
      <c r="WOQ308" s="13"/>
      <c r="WOR308" s="35"/>
      <c r="WOS308" s="35"/>
      <c r="WOT308" s="15"/>
      <c r="WOV308" s="13"/>
      <c r="WOW308" s="35"/>
      <c r="WOX308" s="35"/>
      <c r="WOY308" s="15"/>
      <c r="WPA308" s="13"/>
      <c r="WPB308" s="35"/>
      <c r="WPC308" s="35"/>
      <c r="WPD308" s="15"/>
      <c r="WPF308" s="13"/>
      <c r="WPG308" s="35"/>
      <c r="WPH308" s="35"/>
      <c r="WPI308" s="15"/>
      <c r="WPK308" s="13"/>
      <c r="WPL308" s="35"/>
      <c r="WPM308" s="35"/>
      <c r="WPN308" s="15"/>
      <c r="WPP308" s="13"/>
      <c r="WPQ308" s="35"/>
      <c r="WPR308" s="35"/>
      <c r="WPS308" s="15"/>
      <c r="WPU308" s="13"/>
      <c r="WPV308" s="35"/>
      <c r="WPW308" s="35"/>
      <c r="WPX308" s="15"/>
      <c r="WPZ308" s="13"/>
      <c r="WQA308" s="35"/>
      <c r="WQB308" s="35"/>
      <c r="WQC308" s="15"/>
      <c r="WQE308" s="13"/>
      <c r="WQF308" s="35"/>
      <c r="WQG308" s="35"/>
      <c r="WQH308" s="15"/>
      <c r="WQJ308" s="13"/>
      <c r="WQK308" s="35"/>
      <c r="WQL308" s="35"/>
      <c r="WQM308" s="15"/>
      <c r="WQO308" s="13"/>
      <c r="WQP308" s="35"/>
      <c r="WQQ308" s="35"/>
      <c r="WQR308" s="15"/>
      <c r="WQT308" s="13"/>
      <c r="WQU308" s="35"/>
      <c r="WQV308" s="35"/>
      <c r="WQW308" s="15"/>
      <c r="WQY308" s="13"/>
      <c r="WQZ308" s="35"/>
      <c r="WRA308" s="35"/>
      <c r="WRB308" s="15"/>
      <c r="WRD308" s="13"/>
      <c r="WRE308" s="35"/>
      <c r="WRF308" s="35"/>
      <c r="WRG308" s="15"/>
      <c r="WRI308" s="13"/>
      <c r="WRJ308" s="35"/>
      <c r="WRK308" s="35"/>
      <c r="WRL308" s="15"/>
      <c r="WRN308" s="13"/>
      <c r="WRO308" s="35"/>
      <c r="WRP308" s="35"/>
      <c r="WRQ308" s="15"/>
      <c r="WRS308" s="13"/>
      <c r="WRT308" s="35"/>
      <c r="WRU308" s="35"/>
      <c r="WRV308" s="15"/>
      <c r="WRX308" s="13"/>
      <c r="WRY308" s="35"/>
      <c r="WRZ308" s="35"/>
      <c r="WSA308" s="15"/>
      <c r="WSC308" s="13"/>
      <c r="WSD308" s="35"/>
      <c r="WSE308" s="35"/>
      <c r="WSF308" s="15"/>
      <c r="WSH308" s="13"/>
      <c r="WSI308" s="35"/>
      <c r="WSJ308" s="35"/>
      <c r="WSK308" s="15"/>
      <c r="WSM308" s="13"/>
      <c r="WSN308" s="35"/>
      <c r="WSO308" s="35"/>
      <c r="WSP308" s="15"/>
      <c r="WSR308" s="13"/>
      <c r="WSS308" s="35"/>
      <c r="WST308" s="35"/>
      <c r="WSU308" s="15"/>
      <c r="WSW308" s="13"/>
      <c r="WSX308" s="35"/>
      <c r="WSY308" s="35"/>
      <c r="WSZ308" s="15"/>
      <c r="WTB308" s="13"/>
      <c r="WTC308" s="35"/>
      <c r="WTD308" s="35"/>
      <c r="WTE308" s="15"/>
      <c r="WTG308" s="13"/>
      <c r="WTH308" s="35"/>
      <c r="WTI308" s="35"/>
      <c r="WTJ308" s="15"/>
      <c r="WTL308" s="13"/>
      <c r="WTM308" s="35"/>
      <c r="WTN308" s="35"/>
      <c r="WTO308" s="15"/>
      <c r="WTQ308" s="13"/>
      <c r="WTR308" s="35"/>
      <c r="WTS308" s="35"/>
      <c r="WTT308" s="15"/>
      <c r="WTV308" s="13"/>
      <c r="WTW308" s="35"/>
      <c r="WTX308" s="35"/>
      <c r="WTY308" s="15"/>
      <c r="WUA308" s="13"/>
      <c r="WUB308" s="35"/>
      <c r="WUC308" s="35"/>
      <c r="WUD308" s="15"/>
      <c r="WUF308" s="13"/>
      <c r="WUG308" s="35"/>
      <c r="WUH308" s="35"/>
      <c r="WUI308" s="15"/>
      <c r="WUK308" s="13"/>
      <c r="WUL308" s="35"/>
      <c r="WUM308" s="35"/>
      <c r="WUN308" s="15"/>
      <c r="WUP308" s="13"/>
      <c r="WUQ308" s="35"/>
      <c r="WUR308" s="35"/>
      <c r="WUS308" s="15"/>
      <c r="WUU308" s="13"/>
      <c r="WUV308" s="35"/>
      <c r="WUW308" s="35"/>
      <c r="WUX308" s="15"/>
      <c r="WUZ308" s="13"/>
      <c r="WVA308" s="35"/>
      <c r="WVB308" s="35"/>
      <c r="WVC308" s="15"/>
      <c r="WVE308" s="13"/>
      <c r="WVF308" s="35"/>
      <c r="WVG308" s="35"/>
      <c r="WVH308" s="15"/>
      <c r="WVJ308" s="13"/>
      <c r="WVK308" s="35"/>
      <c r="WVL308" s="35"/>
      <c r="WVM308" s="15"/>
      <c r="WVO308" s="13"/>
      <c r="WVP308" s="35"/>
      <c r="WVQ308" s="35"/>
      <c r="WVR308" s="15"/>
      <c r="WVT308" s="13"/>
      <c r="WVU308" s="35"/>
      <c r="WVV308" s="35"/>
      <c r="WVW308" s="15"/>
      <c r="WVY308" s="13"/>
      <c r="WVZ308" s="35"/>
      <c r="WWA308" s="35"/>
      <c r="WWB308" s="15"/>
      <c r="WWD308" s="13"/>
      <c r="WWE308" s="35"/>
      <c r="WWF308" s="35"/>
      <c r="WWG308" s="15"/>
      <c r="WWI308" s="13"/>
      <c r="WWJ308" s="35"/>
      <c r="WWK308" s="35"/>
      <c r="WWL308" s="15"/>
      <c r="WWN308" s="13"/>
      <c r="WWO308" s="35"/>
      <c r="WWP308" s="35"/>
      <c r="WWQ308" s="15"/>
      <c r="WWS308" s="13"/>
      <c r="WWT308" s="35"/>
      <c r="WWU308" s="35"/>
      <c r="WWV308" s="15"/>
      <c r="WWX308" s="13"/>
      <c r="WWY308" s="35"/>
      <c r="WWZ308" s="35"/>
      <c r="WXA308" s="15"/>
      <c r="WXC308" s="13"/>
      <c r="WXD308" s="35"/>
      <c r="WXE308" s="35"/>
      <c r="WXF308" s="15"/>
      <c r="WXH308" s="13"/>
      <c r="WXI308" s="35"/>
      <c r="WXJ308" s="35"/>
      <c r="WXK308" s="15"/>
      <c r="WXM308" s="13"/>
      <c r="WXN308" s="35"/>
      <c r="WXO308" s="35"/>
      <c r="WXP308" s="15"/>
      <c r="WXR308" s="13"/>
      <c r="WXS308" s="35"/>
      <c r="WXT308" s="35"/>
      <c r="WXU308" s="15"/>
      <c r="WXW308" s="13"/>
      <c r="WXX308" s="35"/>
      <c r="WXY308" s="35"/>
      <c r="WXZ308" s="15"/>
      <c r="WYB308" s="13"/>
      <c r="WYC308" s="35"/>
      <c r="WYD308" s="35"/>
      <c r="WYE308" s="15"/>
      <c r="WYG308" s="13"/>
      <c r="WYH308" s="35"/>
      <c r="WYI308" s="35"/>
      <c r="WYJ308" s="15"/>
      <c r="WYL308" s="13"/>
      <c r="WYM308" s="35"/>
      <c r="WYN308" s="35"/>
      <c r="WYO308" s="15"/>
      <c r="WYQ308" s="13"/>
      <c r="WYR308" s="35"/>
      <c r="WYS308" s="35"/>
      <c r="WYT308" s="15"/>
      <c r="WYV308" s="13"/>
      <c r="WYW308" s="35"/>
      <c r="WYX308" s="35"/>
      <c r="WYY308" s="15"/>
      <c r="WZA308" s="13"/>
      <c r="WZB308" s="35"/>
      <c r="WZC308" s="35"/>
      <c r="WZD308" s="15"/>
      <c r="WZF308" s="13"/>
      <c r="WZG308" s="35"/>
      <c r="WZH308" s="35"/>
      <c r="WZI308" s="15"/>
      <c r="WZK308" s="13"/>
      <c r="WZL308" s="35"/>
      <c r="WZM308" s="35"/>
      <c r="WZN308" s="15"/>
      <c r="WZP308" s="13"/>
      <c r="WZQ308" s="35"/>
      <c r="WZR308" s="35"/>
      <c r="WZS308" s="15"/>
      <c r="WZU308" s="13"/>
      <c r="WZV308" s="35"/>
      <c r="WZW308" s="35"/>
      <c r="WZX308" s="15"/>
      <c r="WZZ308" s="13"/>
      <c r="XAA308" s="35"/>
      <c r="XAB308" s="35"/>
      <c r="XAC308" s="15"/>
      <c r="XAE308" s="13"/>
      <c r="XAF308" s="35"/>
      <c r="XAG308" s="35"/>
      <c r="XAH308" s="15"/>
      <c r="XAJ308" s="13"/>
      <c r="XAK308" s="35"/>
      <c r="XAL308" s="35"/>
      <c r="XAM308" s="15"/>
      <c r="XAO308" s="13"/>
      <c r="XAP308" s="35"/>
      <c r="XAQ308" s="35"/>
      <c r="XAR308" s="15"/>
      <c r="XAT308" s="13"/>
      <c r="XAU308" s="35"/>
      <c r="XAV308" s="35"/>
      <c r="XAW308" s="15"/>
      <c r="XAY308" s="13"/>
      <c r="XAZ308" s="35"/>
      <c r="XBA308" s="35"/>
      <c r="XBB308" s="15"/>
      <c r="XBD308" s="13"/>
      <c r="XBE308" s="35"/>
      <c r="XBF308" s="35"/>
      <c r="XBG308" s="15"/>
      <c r="XBI308" s="13"/>
      <c r="XBJ308" s="35"/>
      <c r="XBK308" s="35"/>
      <c r="XBL308" s="15"/>
      <c r="XBN308" s="13"/>
      <c r="XBO308" s="35"/>
      <c r="XBP308" s="35"/>
      <c r="XBQ308" s="15"/>
      <c r="XBS308" s="13"/>
      <c r="XBT308" s="35"/>
      <c r="XBU308" s="35"/>
      <c r="XBV308" s="15"/>
      <c r="XBX308" s="13"/>
      <c r="XBY308" s="35"/>
      <c r="XBZ308" s="35"/>
      <c r="XCA308" s="15"/>
      <c r="XCC308" s="13"/>
      <c r="XCD308" s="35"/>
      <c r="XCE308" s="35"/>
      <c r="XCF308" s="15"/>
      <c r="XCH308" s="13"/>
      <c r="XCI308" s="35"/>
      <c r="XCJ308" s="35"/>
      <c r="XCK308" s="15"/>
      <c r="XCM308" s="13"/>
      <c r="XCN308" s="35"/>
      <c r="XCO308" s="35"/>
      <c r="XCP308" s="15"/>
      <c r="XCR308" s="13"/>
      <c r="XCS308" s="35"/>
      <c r="XCT308" s="35"/>
      <c r="XCU308" s="15"/>
      <c r="XCW308" s="13"/>
      <c r="XCX308" s="35"/>
      <c r="XCY308" s="35"/>
      <c r="XCZ308" s="15"/>
      <c r="XDB308" s="13"/>
      <c r="XDC308" s="35"/>
      <c r="XDD308" s="35"/>
      <c r="XDE308" s="15"/>
      <c r="XDG308" s="13"/>
      <c r="XDH308" s="35"/>
      <c r="XDI308" s="35"/>
      <c r="XDJ308" s="15"/>
      <c r="XDL308" s="13"/>
      <c r="XDM308" s="35"/>
      <c r="XDN308" s="35"/>
      <c r="XDO308" s="15"/>
      <c r="XDQ308" s="13"/>
      <c r="XDR308" s="35"/>
      <c r="XDS308" s="35"/>
      <c r="XDT308" s="15"/>
      <c r="XDV308" s="13"/>
      <c r="XDW308" s="35"/>
      <c r="XDX308" s="35"/>
      <c r="XDY308" s="15"/>
      <c r="XEA308" s="13"/>
      <c r="XEB308" s="35"/>
      <c r="XEC308" s="35"/>
      <c r="XED308" s="15"/>
      <c r="XEF308" s="13"/>
      <c r="XEG308" s="35"/>
      <c r="XEH308" s="35"/>
      <c r="XEI308" s="15"/>
      <c r="XEK308" s="13"/>
      <c r="XEL308" s="35"/>
      <c r="XEM308" s="35"/>
      <c r="XEN308" s="15"/>
      <c r="XEP308" s="13"/>
      <c r="XEQ308" s="35"/>
      <c r="XER308" s="35"/>
      <c r="XES308" s="15"/>
      <c r="XEU308" s="13"/>
      <c r="XEV308" s="35"/>
      <c r="XEW308" s="35"/>
      <c r="XEX308" s="15"/>
      <c r="XEZ308" s="13"/>
      <c r="XFA308" s="35"/>
      <c r="XFB308" s="35"/>
      <c r="XFC308" s="15"/>
    </row>
    <row r="309" spans="1:1023 1025:2048 2050:6143 6145:7168 7170:11263 11265:12288 12290:16383" x14ac:dyDescent="0.3">
      <c r="A309" s="35">
        <v>46106</v>
      </c>
      <c r="B309" s="35" t="s">
        <v>1072</v>
      </c>
      <c r="C309" s="15" t="s">
        <v>1527</v>
      </c>
      <c r="D309" s="1" t="s">
        <v>701</v>
      </c>
      <c r="E309" s="13">
        <v>46374</v>
      </c>
      <c r="F309" s="53">
        <f t="shared" ref="F309:F314" si="13">+E309-A309</f>
        <v>268</v>
      </c>
      <c r="G309" s="19">
        <v>-984.91565100000003</v>
      </c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  <c r="BK309" s="36"/>
      <c r="BL309" s="36"/>
      <c r="BM309" s="36"/>
      <c r="BN309" s="36"/>
      <c r="BO309" s="36"/>
      <c r="BP309" s="36"/>
      <c r="BQ309" s="36"/>
      <c r="BR309" s="36"/>
      <c r="BS309" s="36"/>
      <c r="BT309" s="36"/>
      <c r="BU309" s="36"/>
      <c r="BV309" s="36"/>
      <c r="BW309" s="36"/>
      <c r="BX309" s="36"/>
      <c r="BY309" s="36"/>
      <c r="BZ309" s="36"/>
      <c r="CA309" s="36"/>
      <c r="CB309" s="36"/>
      <c r="CC309" s="36"/>
      <c r="CD309" s="36"/>
      <c r="CE309" s="36"/>
      <c r="CF309" s="36"/>
      <c r="CG309" s="36"/>
      <c r="CH309" s="36"/>
      <c r="CI309" s="36"/>
      <c r="CJ309" s="36"/>
      <c r="CK309" s="36"/>
      <c r="CL309" s="36"/>
      <c r="CM309" s="36"/>
      <c r="CN309" s="36"/>
      <c r="CO309" s="36"/>
      <c r="CP309" s="36"/>
      <c r="CQ309" s="36"/>
      <c r="CR309" s="36"/>
      <c r="CS309" s="36"/>
      <c r="CT309" s="36"/>
      <c r="CU309" s="36"/>
      <c r="CV309" s="36"/>
      <c r="CW309" s="36"/>
      <c r="CX309" s="36"/>
      <c r="CY309" s="36"/>
      <c r="CZ309" s="36"/>
      <c r="DA309" s="36"/>
      <c r="DB309" s="36"/>
      <c r="DC309" s="36"/>
      <c r="DD309" s="36"/>
      <c r="DE309" s="36"/>
      <c r="DF309" s="36"/>
      <c r="DG309" s="36"/>
      <c r="DH309" s="36"/>
      <c r="DI309" s="36"/>
      <c r="DJ309" s="36"/>
      <c r="DK309" s="36"/>
      <c r="DL309" s="36"/>
      <c r="DM309" s="36"/>
      <c r="DN309" s="36"/>
      <c r="DO309" s="36"/>
      <c r="DP309" s="36"/>
      <c r="DQ309" s="36"/>
      <c r="DR309" s="36"/>
      <c r="DS309" s="36"/>
      <c r="DT309" s="36"/>
      <c r="DU309" s="36"/>
      <c r="DV309" s="36"/>
      <c r="DW309" s="36"/>
      <c r="DX309" s="36"/>
      <c r="DY309" s="36"/>
      <c r="DZ309" s="36"/>
      <c r="EA309" s="36"/>
      <c r="EB309" s="36"/>
      <c r="EC309" s="36"/>
      <c r="ED309" s="36"/>
      <c r="EE309" s="36"/>
      <c r="EF309" s="36"/>
      <c r="EG309" s="36"/>
      <c r="EH309" s="36"/>
      <c r="EI309" s="36"/>
      <c r="EJ309" s="36"/>
      <c r="EK309" s="36"/>
      <c r="EL309" s="36"/>
      <c r="EM309" s="36"/>
      <c r="EN309" s="36"/>
      <c r="EO309" s="36"/>
      <c r="EP309" s="36"/>
      <c r="EQ309" s="36"/>
      <c r="ER309" s="36"/>
      <c r="ES309" s="36"/>
      <c r="ET309" s="36"/>
      <c r="EU309" s="36"/>
      <c r="EV309" s="36"/>
      <c r="EW309" s="36"/>
      <c r="EX309" s="36"/>
      <c r="EY309" s="36"/>
      <c r="EZ309" s="36"/>
      <c r="FA309" s="36"/>
      <c r="FB309" s="36"/>
      <c r="FC309" s="36"/>
      <c r="FD309" s="36"/>
      <c r="FE309" s="36"/>
      <c r="FF309" s="36"/>
      <c r="FG309" s="36"/>
      <c r="FH309" s="36"/>
      <c r="FI309" s="36"/>
      <c r="FJ309" s="36"/>
      <c r="FK309" s="36"/>
      <c r="FL309" s="36"/>
      <c r="FM309" s="36"/>
      <c r="FN309" s="36"/>
      <c r="FO309" s="36"/>
      <c r="FP309" s="36"/>
      <c r="FQ309" s="36"/>
      <c r="FR309" s="36"/>
      <c r="FS309" s="36"/>
      <c r="FT309" s="36"/>
      <c r="FU309" s="36"/>
      <c r="FV309" s="36"/>
      <c r="FW309" s="36"/>
      <c r="FX309" s="36"/>
      <c r="FY309" s="36"/>
      <c r="FZ309" s="36"/>
      <c r="GA309" s="36"/>
      <c r="GB309" s="36"/>
      <c r="GC309" s="36"/>
      <c r="GD309" s="36"/>
      <c r="GE309" s="36"/>
      <c r="GF309" s="36"/>
      <c r="GG309" s="36"/>
      <c r="GH309" s="36"/>
      <c r="GI309" s="36"/>
      <c r="GJ309" s="36"/>
      <c r="GK309" s="36"/>
      <c r="GL309" s="36"/>
      <c r="GM309" s="36"/>
      <c r="GN309" s="36"/>
      <c r="GO309" s="36"/>
      <c r="GP309" s="36"/>
      <c r="GQ309" s="36"/>
      <c r="GR309" s="36"/>
      <c r="GS309" s="36"/>
      <c r="GT309" s="36"/>
      <c r="GU309" s="36"/>
      <c r="GV309" s="36"/>
      <c r="GW309" s="36"/>
      <c r="GX309" s="36"/>
      <c r="GY309" s="36"/>
      <c r="GZ309" s="36"/>
      <c r="HA309" s="36"/>
      <c r="HB309" s="36"/>
      <c r="HC309" s="36"/>
      <c r="HD309" s="36"/>
      <c r="HE309" s="36"/>
      <c r="HF309" s="36"/>
      <c r="HG309" s="36"/>
      <c r="HH309" s="36"/>
      <c r="HI309" s="36"/>
      <c r="HJ309" s="36"/>
      <c r="HK309" s="36"/>
      <c r="HL309" s="36"/>
      <c r="HM309" s="36"/>
      <c r="HN309" s="36"/>
      <c r="HO309" s="36"/>
      <c r="HP309" s="36"/>
      <c r="HQ309" s="36"/>
      <c r="HR309" s="36"/>
      <c r="HS309" s="36"/>
      <c r="HT309" s="36"/>
      <c r="HU309" s="36"/>
      <c r="HV309" s="36"/>
      <c r="HW309" s="36"/>
      <c r="HX309" s="36"/>
      <c r="HY309" s="36"/>
      <c r="HZ309" s="36"/>
      <c r="IA309" s="36"/>
      <c r="IB309" s="36"/>
      <c r="IC309" s="36"/>
      <c r="ID309" s="36"/>
      <c r="IE309" s="36"/>
      <c r="IF309" s="36"/>
      <c r="IG309" s="36"/>
      <c r="IH309" s="36"/>
      <c r="II309" s="36"/>
      <c r="IJ309" s="36"/>
      <c r="IK309" s="36"/>
      <c r="IL309" s="36"/>
      <c r="IM309" s="36"/>
      <c r="IN309" s="36"/>
      <c r="IO309" s="36"/>
      <c r="IP309" s="36"/>
      <c r="IQ309" s="36"/>
      <c r="IR309" s="36"/>
      <c r="IS309" s="36"/>
      <c r="IT309" s="36"/>
      <c r="IU309" s="36"/>
      <c r="IV309" s="36"/>
      <c r="IW309" s="36"/>
      <c r="IX309" s="36"/>
      <c r="IY309" s="36"/>
      <c r="IZ309" s="36"/>
      <c r="JA309" s="36"/>
      <c r="JB309" s="36"/>
      <c r="JC309" s="36"/>
      <c r="JD309" s="36"/>
      <c r="JE309" s="36"/>
      <c r="JF309" s="36"/>
      <c r="JG309" s="36"/>
      <c r="JH309" s="36"/>
      <c r="JI309" s="36"/>
      <c r="JJ309" s="36"/>
      <c r="JK309" s="36"/>
      <c r="JL309" s="36"/>
      <c r="JM309" s="36"/>
      <c r="JN309" s="36"/>
      <c r="JO309" s="36"/>
      <c r="JP309" s="36"/>
      <c r="JQ309" s="36"/>
      <c r="JR309" s="36"/>
      <c r="JS309" s="36"/>
      <c r="JT309" s="36"/>
      <c r="JU309" s="36"/>
      <c r="JV309" s="36"/>
      <c r="JW309" s="36"/>
      <c r="JX309" s="36"/>
      <c r="JY309" s="36"/>
      <c r="JZ309" s="36"/>
      <c r="KA309" s="36"/>
      <c r="KB309" s="36"/>
      <c r="KC309" s="36"/>
      <c r="KD309" s="36"/>
      <c r="KE309" s="36"/>
      <c r="KF309" s="36"/>
      <c r="KG309" s="36"/>
      <c r="KH309" s="36"/>
      <c r="KI309" s="36"/>
      <c r="KJ309" s="36"/>
      <c r="KK309" s="36"/>
      <c r="KL309" s="36"/>
      <c r="KM309" s="36"/>
      <c r="KN309" s="36"/>
      <c r="KO309" s="36"/>
      <c r="KP309" s="36"/>
      <c r="KQ309" s="36"/>
      <c r="KR309" s="36"/>
      <c r="KS309" s="36"/>
      <c r="KT309" s="36"/>
      <c r="KU309" s="36"/>
      <c r="KV309" s="36"/>
      <c r="KW309" s="36"/>
      <c r="KX309" s="36"/>
      <c r="KY309" s="36"/>
      <c r="KZ309" s="36"/>
      <c r="LA309" s="36"/>
      <c r="LB309" s="36"/>
      <c r="LC309" s="36"/>
      <c r="LD309" s="36"/>
      <c r="LE309" s="36"/>
      <c r="LF309" s="36"/>
      <c r="LG309" s="36"/>
      <c r="LH309" s="36"/>
      <c r="LI309" s="36"/>
      <c r="LJ309" s="36"/>
      <c r="LK309" s="36"/>
      <c r="LL309" s="36"/>
      <c r="LM309" s="36"/>
      <c r="LN309" s="36"/>
      <c r="LO309" s="36"/>
      <c r="LP309" s="36"/>
      <c r="LQ309" s="36"/>
      <c r="LR309" s="36"/>
      <c r="LS309" s="36"/>
      <c r="LT309" s="36"/>
      <c r="LU309" s="36"/>
      <c r="LV309" s="36"/>
      <c r="LW309" s="36"/>
      <c r="LX309" s="36"/>
      <c r="LY309" s="36"/>
      <c r="LZ309" s="36"/>
      <c r="MA309" s="36"/>
      <c r="MB309" s="36"/>
      <c r="MC309" s="36"/>
      <c r="MD309" s="36"/>
      <c r="ME309" s="36"/>
      <c r="MF309" s="36"/>
      <c r="MG309" s="36"/>
      <c r="MH309" s="36"/>
      <c r="MI309" s="36"/>
      <c r="MJ309" s="36"/>
      <c r="MK309" s="36"/>
      <c r="ML309" s="36"/>
      <c r="MM309" s="36"/>
      <c r="MN309" s="36"/>
      <c r="MO309" s="36"/>
      <c r="MP309" s="36"/>
      <c r="MQ309" s="36"/>
      <c r="MR309" s="36"/>
      <c r="MS309" s="36"/>
      <c r="MT309" s="36"/>
      <c r="MU309" s="36"/>
      <c r="MV309" s="36"/>
      <c r="MW309" s="36"/>
      <c r="MX309" s="36"/>
      <c r="MY309" s="36"/>
      <c r="MZ309" s="36"/>
      <c r="NA309" s="36"/>
      <c r="NB309" s="36"/>
      <c r="NC309" s="36"/>
      <c r="ND309" s="36"/>
      <c r="NE309" s="36"/>
      <c r="NF309" s="36"/>
      <c r="NG309" s="36"/>
      <c r="NH309" s="36"/>
      <c r="NI309" s="36"/>
      <c r="NJ309" s="36"/>
      <c r="NK309" s="36"/>
      <c r="NL309" s="36"/>
      <c r="NM309" s="36"/>
      <c r="NN309" s="36"/>
      <c r="NO309" s="36"/>
      <c r="NP309" s="36"/>
      <c r="NQ309" s="36"/>
      <c r="NR309" s="36"/>
      <c r="NS309" s="36"/>
      <c r="NT309" s="36"/>
      <c r="NU309" s="36"/>
      <c r="NV309" s="36"/>
      <c r="NW309" s="36"/>
      <c r="NX309" s="36"/>
      <c r="NY309" s="36"/>
      <c r="NZ309" s="36"/>
      <c r="OA309" s="36"/>
      <c r="OB309" s="36"/>
      <c r="OC309" s="36"/>
      <c r="OD309" s="36"/>
      <c r="OE309" s="36"/>
      <c r="OF309" s="36"/>
      <c r="OG309" s="36"/>
      <c r="OH309" s="36"/>
      <c r="OI309" s="36"/>
      <c r="OJ309" s="36"/>
      <c r="OK309" s="36"/>
      <c r="OL309" s="36"/>
      <c r="OM309" s="36"/>
      <c r="ON309" s="36"/>
      <c r="OO309" s="36"/>
      <c r="OP309" s="36"/>
      <c r="OQ309" s="36"/>
      <c r="OR309" s="36"/>
      <c r="OS309" s="36"/>
      <c r="OT309" s="36"/>
      <c r="OU309" s="36"/>
      <c r="OV309" s="36"/>
      <c r="OW309" s="36"/>
      <c r="OX309" s="36"/>
      <c r="OY309" s="36"/>
      <c r="OZ309" s="36"/>
      <c r="PA309" s="36"/>
      <c r="PB309" s="36"/>
      <c r="PC309" s="36"/>
      <c r="PD309" s="36"/>
      <c r="PE309" s="36"/>
      <c r="PF309" s="36"/>
      <c r="PG309" s="36"/>
      <c r="PH309" s="36"/>
      <c r="PI309" s="36"/>
      <c r="PJ309" s="36"/>
      <c r="PK309" s="36"/>
      <c r="PL309" s="36"/>
      <c r="PM309" s="36"/>
      <c r="PN309" s="36"/>
      <c r="PO309" s="36"/>
      <c r="PP309" s="36"/>
      <c r="PQ309" s="36"/>
      <c r="PR309" s="36"/>
      <c r="PS309" s="36"/>
      <c r="PT309" s="36"/>
      <c r="PU309" s="36"/>
      <c r="PV309" s="36"/>
      <c r="PW309" s="36"/>
      <c r="PX309" s="36"/>
      <c r="PY309" s="36"/>
      <c r="PZ309" s="36"/>
      <c r="QA309" s="36"/>
      <c r="QB309" s="36"/>
      <c r="QC309" s="36"/>
      <c r="QD309" s="36"/>
      <c r="QE309" s="36"/>
      <c r="QF309" s="36"/>
      <c r="QG309" s="36"/>
      <c r="QH309" s="36"/>
      <c r="QI309" s="36"/>
      <c r="QJ309" s="36"/>
      <c r="QK309" s="36"/>
      <c r="QL309" s="36"/>
      <c r="QM309" s="36"/>
      <c r="QN309" s="36"/>
      <c r="QO309" s="36"/>
      <c r="QP309" s="36"/>
      <c r="QQ309" s="36"/>
      <c r="QR309" s="36"/>
      <c r="QS309" s="36"/>
      <c r="QT309" s="36"/>
      <c r="QU309" s="36"/>
      <c r="QV309" s="36"/>
      <c r="QW309" s="36"/>
      <c r="QX309" s="36"/>
      <c r="QY309" s="36"/>
      <c r="QZ309" s="36"/>
      <c r="RA309" s="36"/>
      <c r="RB309" s="36"/>
      <c r="RC309" s="36"/>
      <c r="RD309" s="36"/>
      <c r="RE309" s="36"/>
      <c r="RF309" s="36"/>
      <c r="RG309" s="36"/>
      <c r="RH309" s="36"/>
      <c r="RI309" s="36"/>
      <c r="RJ309" s="36"/>
      <c r="RK309" s="36"/>
      <c r="RL309" s="36"/>
      <c r="RM309" s="36"/>
      <c r="RN309" s="36"/>
      <c r="RO309" s="36"/>
      <c r="RP309" s="36"/>
      <c r="RQ309" s="36"/>
      <c r="RR309" s="36"/>
      <c r="RS309" s="36"/>
      <c r="RT309" s="36"/>
      <c r="RU309" s="36"/>
      <c r="RV309" s="36"/>
      <c r="RW309" s="36"/>
      <c r="RX309" s="36"/>
      <c r="RY309" s="36"/>
      <c r="RZ309" s="36"/>
      <c r="SA309" s="36"/>
      <c r="SB309" s="36"/>
      <c r="SC309" s="36"/>
      <c r="SD309" s="36"/>
      <c r="SE309" s="36"/>
      <c r="SF309" s="36"/>
      <c r="SG309" s="36"/>
      <c r="SH309" s="36"/>
      <c r="SI309" s="36"/>
      <c r="SJ309" s="36"/>
      <c r="SK309" s="36"/>
      <c r="SL309" s="36"/>
      <c r="SM309" s="36"/>
      <c r="SN309" s="36"/>
      <c r="SO309" s="36"/>
      <c r="SP309" s="36"/>
      <c r="SQ309" s="36"/>
      <c r="SR309" s="36"/>
      <c r="SS309" s="36"/>
      <c r="ST309" s="36"/>
      <c r="SU309" s="36"/>
      <c r="SV309" s="36"/>
      <c r="SW309" s="36"/>
      <c r="SX309" s="36"/>
      <c r="SY309" s="36"/>
      <c r="SZ309" s="36"/>
      <c r="TA309" s="36"/>
      <c r="TB309" s="36"/>
      <c r="TC309" s="36"/>
      <c r="TD309" s="36"/>
      <c r="TE309" s="36"/>
      <c r="TF309" s="36"/>
      <c r="TG309" s="36"/>
      <c r="TH309" s="36"/>
      <c r="TI309" s="36"/>
      <c r="TJ309" s="36"/>
      <c r="TK309" s="36"/>
      <c r="TL309" s="36"/>
      <c r="TM309" s="36"/>
      <c r="TN309" s="36"/>
      <c r="TO309" s="36"/>
      <c r="TP309" s="36"/>
      <c r="TQ309" s="36"/>
      <c r="TR309" s="36"/>
      <c r="TS309" s="36"/>
      <c r="TT309" s="36"/>
      <c r="TU309" s="36"/>
      <c r="TV309" s="36"/>
      <c r="TW309" s="36"/>
      <c r="TX309" s="36"/>
      <c r="TY309" s="36"/>
      <c r="TZ309" s="36"/>
      <c r="UA309" s="36"/>
      <c r="UB309" s="36"/>
      <c r="UC309" s="36"/>
      <c r="UD309" s="36"/>
      <c r="UE309" s="36"/>
      <c r="UF309" s="36"/>
      <c r="UG309" s="36"/>
      <c r="UH309" s="36"/>
      <c r="UI309" s="36"/>
      <c r="UJ309" s="36"/>
      <c r="UK309" s="36"/>
      <c r="UL309" s="36"/>
      <c r="UM309" s="36"/>
      <c r="UN309" s="36"/>
      <c r="UO309" s="36"/>
      <c r="UP309" s="36"/>
      <c r="UQ309" s="36"/>
      <c r="UR309" s="36"/>
      <c r="US309" s="36"/>
      <c r="UT309" s="36"/>
      <c r="UU309" s="36"/>
      <c r="UV309" s="36"/>
      <c r="UW309" s="36"/>
      <c r="UX309" s="36"/>
      <c r="UY309" s="36"/>
      <c r="UZ309" s="36"/>
      <c r="VA309" s="36"/>
      <c r="VB309" s="36"/>
      <c r="VC309" s="36"/>
      <c r="VD309" s="36"/>
      <c r="VE309" s="36"/>
      <c r="VF309" s="36"/>
      <c r="VG309" s="36"/>
      <c r="VH309" s="36"/>
      <c r="VI309" s="36"/>
      <c r="VJ309" s="36"/>
      <c r="VK309" s="36"/>
      <c r="VL309" s="36"/>
      <c r="VM309" s="36"/>
      <c r="VN309" s="36"/>
      <c r="VO309" s="36"/>
      <c r="VP309" s="36"/>
      <c r="VQ309" s="36"/>
      <c r="VR309" s="36"/>
      <c r="VS309" s="36"/>
      <c r="VT309" s="36"/>
      <c r="VU309" s="36"/>
      <c r="VV309" s="36"/>
      <c r="VW309" s="36"/>
      <c r="VX309" s="36"/>
      <c r="VY309" s="36"/>
      <c r="VZ309" s="36"/>
      <c r="WA309" s="36"/>
      <c r="WB309" s="36"/>
      <c r="WC309" s="36"/>
      <c r="WD309" s="36"/>
      <c r="WE309" s="36"/>
      <c r="WF309" s="36"/>
      <c r="WG309" s="36"/>
      <c r="WH309" s="36"/>
      <c r="WI309" s="36"/>
      <c r="WJ309" s="36"/>
      <c r="WK309" s="36"/>
      <c r="WL309" s="36"/>
      <c r="WM309" s="36"/>
      <c r="WN309" s="36"/>
      <c r="WO309" s="36"/>
      <c r="WP309" s="36"/>
      <c r="WQ309" s="36"/>
      <c r="WR309" s="36"/>
      <c r="WS309" s="36"/>
      <c r="WT309" s="36"/>
      <c r="WU309" s="36"/>
      <c r="WV309" s="36"/>
      <c r="WW309" s="36"/>
      <c r="WX309" s="36"/>
      <c r="WY309" s="36"/>
      <c r="WZ309" s="36"/>
      <c r="XA309" s="36"/>
      <c r="XB309" s="36"/>
      <c r="XC309" s="36"/>
      <c r="XD309" s="36"/>
      <c r="XE309" s="36"/>
      <c r="XF309" s="36"/>
      <c r="XG309" s="36"/>
      <c r="XH309" s="36"/>
      <c r="XI309" s="36"/>
      <c r="XJ309" s="36"/>
      <c r="XK309" s="36"/>
      <c r="XL309" s="36"/>
      <c r="XM309" s="36"/>
      <c r="XN309" s="36"/>
      <c r="XO309" s="36"/>
      <c r="XP309" s="36"/>
      <c r="XQ309" s="36"/>
      <c r="XR309" s="36"/>
      <c r="XS309" s="36"/>
      <c r="XT309" s="36"/>
      <c r="XU309" s="36"/>
      <c r="XV309" s="36"/>
      <c r="XW309" s="36"/>
      <c r="XX309" s="36"/>
      <c r="XY309" s="36"/>
      <c r="XZ309" s="36"/>
      <c r="YA309" s="36"/>
      <c r="YB309" s="36"/>
      <c r="YC309" s="36"/>
      <c r="YD309" s="36"/>
      <c r="YE309" s="36"/>
      <c r="YF309" s="36"/>
      <c r="YG309" s="36"/>
      <c r="YH309" s="36"/>
      <c r="YI309" s="36"/>
      <c r="YJ309" s="36"/>
      <c r="YK309" s="36"/>
      <c r="YL309" s="36"/>
      <c r="YM309" s="36"/>
      <c r="YN309" s="36"/>
      <c r="YO309" s="36"/>
      <c r="YP309" s="36"/>
      <c r="YQ309" s="36"/>
      <c r="YR309" s="36"/>
      <c r="YS309" s="36"/>
      <c r="YT309" s="36"/>
      <c r="YU309" s="36"/>
      <c r="YV309" s="36"/>
      <c r="YW309" s="36"/>
      <c r="YX309" s="36"/>
      <c r="YY309" s="36"/>
      <c r="YZ309" s="36"/>
      <c r="ZA309" s="36"/>
      <c r="ZB309" s="36"/>
      <c r="ZC309" s="36"/>
      <c r="ZD309" s="36"/>
      <c r="ZE309" s="36"/>
      <c r="ZF309" s="36"/>
      <c r="ZG309" s="36"/>
      <c r="ZH309" s="36"/>
      <c r="ZI309" s="36"/>
      <c r="ZJ309" s="36"/>
      <c r="ZK309" s="36"/>
      <c r="ZL309" s="36"/>
      <c r="ZM309" s="36"/>
      <c r="ZN309" s="36"/>
      <c r="ZO309" s="36"/>
      <c r="ZP309" s="36"/>
      <c r="ZQ309" s="36"/>
      <c r="ZR309" s="36"/>
      <c r="ZS309" s="36"/>
      <c r="ZT309" s="36"/>
      <c r="ZU309" s="36"/>
      <c r="ZV309" s="36"/>
      <c r="ZW309" s="36"/>
      <c r="ZX309" s="36"/>
      <c r="ZY309" s="36"/>
      <c r="ZZ309" s="36"/>
      <c r="AAA309" s="36"/>
      <c r="AAB309" s="36"/>
      <c r="AAC309" s="36"/>
      <c r="AAD309" s="36"/>
      <c r="AAE309" s="36"/>
      <c r="AAF309" s="36"/>
      <c r="AAG309" s="36"/>
      <c r="AAH309" s="36"/>
      <c r="AAI309" s="36"/>
      <c r="AAJ309" s="36"/>
      <c r="AAK309" s="36"/>
      <c r="AAL309" s="36"/>
      <c r="AAM309" s="36"/>
      <c r="AAN309" s="36"/>
      <c r="AAO309" s="36"/>
      <c r="AAP309" s="36"/>
      <c r="AAQ309" s="36"/>
      <c r="AAR309" s="36"/>
      <c r="AAS309" s="36"/>
      <c r="AAT309" s="36"/>
      <c r="AAU309" s="36"/>
      <c r="AAV309" s="36"/>
      <c r="AAW309" s="36"/>
      <c r="AAX309" s="36"/>
      <c r="AAY309" s="36"/>
      <c r="AAZ309" s="36"/>
      <c r="ABA309" s="36"/>
      <c r="ABB309" s="36"/>
      <c r="ABC309" s="36"/>
      <c r="ABD309" s="36"/>
      <c r="ABE309" s="36"/>
      <c r="ABF309" s="36"/>
      <c r="ABG309" s="36"/>
      <c r="ABH309" s="36"/>
      <c r="ABI309" s="36"/>
      <c r="ABJ309" s="36"/>
      <c r="ABK309" s="36"/>
      <c r="ABL309" s="36"/>
      <c r="ABM309" s="36"/>
      <c r="ABN309" s="36"/>
      <c r="ABO309" s="36"/>
      <c r="ABP309" s="36"/>
      <c r="ABQ309" s="36"/>
      <c r="ABR309" s="36"/>
      <c r="ABS309" s="36"/>
      <c r="ABT309" s="36"/>
      <c r="ABV309" s="13"/>
      <c r="ABW309" s="35"/>
      <c r="ABX309" s="35"/>
      <c r="ABY309" s="15"/>
      <c r="ACA309" s="13"/>
      <c r="ACB309" s="35"/>
      <c r="ACC309" s="35"/>
      <c r="ACD309" s="15"/>
      <c r="ACF309" s="13"/>
      <c r="ACG309" s="35"/>
      <c r="ACH309" s="35"/>
      <c r="ACI309" s="15"/>
      <c r="ACK309" s="13"/>
      <c r="ACL309" s="35"/>
      <c r="ACM309" s="35"/>
      <c r="ACN309" s="15"/>
      <c r="ACP309" s="13"/>
      <c r="ACQ309" s="35"/>
      <c r="ACR309" s="35"/>
      <c r="ACS309" s="15"/>
      <c r="ACU309" s="13"/>
      <c r="ACV309" s="35"/>
      <c r="ACW309" s="35"/>
      <c r="ACX309" s="15"/>
      <c r="ACZ309" s="13"/>
      <c r="ADA309" s="35"/>
      <c r="ADB309" s="35"/>
      <c r="ADC309" s="15"/>
      <c r="ADE309" s="13"/>
      <c r="ADF309" s="35"/>
      <c r="ADG309" s="35"/>
      <c r="ADH309" s="15"/>
      <c r="ADJ309" s="13"/>
      <c r="ADK309" s="35"/>
      <c r="ADL309" s="35"/>
      <c r="ADM309" s="15"/>
      <c r="ADO309" s="13"/>
      <c r="ADP309" s="35"/>
      <c r="ADQ309" s="35"/>
      <c r="ADR309" s="15"/>
      <c r="ADT309" s="13"/>
      <c r="ADU309" s="35"/>
      <c r="ADV309" s="35"/>
      <c r="ADW309" s="15"/>
      <c r="ADY309" s="13"/>
      <c r="ADZ309" s="35"/>
      <c r="AEA309" s="35"/>
      <c r="AEB309" s="15"/>
      <c r="AED309" s="13"/>
      <c r="AEE309" s="35"/>
      <c r="AEF309" s="35"/>
      <c r="AEG309" s="15"/>
      <c r="AEI309" s="13"/>
      <c r="AEJ309" s="35"/>
      <c r="AEK309" s="35"/>
      <c r="AEL309" s="15"/>
      <c r="AEN309" s="13"/>
      <c r="AEO309" s="35"/>
      <c r="AEP309" s="35"/>
      <c r="AEQ309" s="15"/>
      <c r="AES309" s="13"/>
      <c r="AET309" s="35"/>
      <c r="AEU309" s="35"/>
      <c r="AEV309" s="15"/>
      <c r="AEX309" s="13"/>
      <c r="AEY309" s="35"/>
      <c r="AEZ309" s="35"/>
      <c r="AFA309" s="15"/>
      <c r="AFC309" s="13"/>
      <c r="AFD309" s="35"/>
      <c r="AFE309" s="35"/>
      <c r="AFF309" s="15"/>
      <c r="AFH309" s="13"/>
      <c r="AFI309" s="35"/>
      <c r="AFJ309" s="35"/>
      <c r="AFK309" s="15"/>
      <c r="AFM309" s="13"/>
      <c r="AFN309" s="35"/>
      <c r="AFO309" s="35"/>
      <c r="AFP309" s="15"/>
      <c r="AFR309" s="13"/>
      <c r="AFS309" s="35"/>
      <c r="AFT309" s="35"/>
      <c r="AFU309" s="15"/>
      <c r="AFW309" s="13"/>
      <c r="AFX309" s="35"/>
      <c r="AFY309" s="35"/>
      <c r="AFZ309" s="15"/>
      <c r="AGB309" s="13"/>
      <c r="AGC309" s="35"/>
      <c r="AGD309" s="35"/>
      <c r="AGE309" s="15"/>
      <c r="AGG309" s="13"/>
      <c r="AGH309" s="35"/>
      <c r="AGI309" s="35"/>
      <c r="AGJ309" s="15"/>
      <c r="AGL309" s="13"/>
      <c r="AGM309" s="35"/>
      <c r="AGN309" s="35"/>
      <c r="AGO309" s="15"/>
      <c r="AGQ309" s="13"/>
      <c r="AGR309" s="35"/>
      <c r="AGS309" s="35"/>
      <c r="AGT309" s="15"/>
      <c r="AGV309" s="13"/>
      <c r="AGW309" s="35"/>
      <c r="AGX309" s="35"/>
      <c r="AGY309" s="15"/>
      <c r="AHA309" s="13"/>
      <c r="AHB309" s="35"/>
      <c r="AHC309" s="35"/>
      <c r="AHD309" s="15"/>
      <c r="AHF309" s="13"/>
      <c r="AHG309" s="35"/>
      <c r="AHH309" s="35"/>
      <c r="AHI309" s="15"/>
      <c r="AHK309" s="13"/>
      <c r="AHL309" s="35"/>
      <c r="AHM309" s="35"/>
      <c r="AHN309" s="15"/>
      <c r="AHP309" s="13"/>
      <c r="AHQ309" s="35"/>
      <c r="AHR309" s="35"/>
      <c r="AHS309" s="15"/>
      <c r="AHU309" s="13"/>
      <c r="AHV309" s="35"/>
      <c r="AHW309" s="35"/>
      <c r="AHX309" s="15"/>
      <c r="AHZ309" s="13"/>
      <c r="AIA309" s="35"/>
      <c r="AIB309" s="35"/>
      <c r="AIC309" s="15"/>
      <c r="AIE309" s="13"/>
      <c r="AIF309" s="35"/>
      <c r="AIG309" s="35"/>
      <c r="AIH309" s="15"/>
      <c r="AIJ309" s="13"/>
      <c r="AIK309" s="35"/>
      <c r="AIL309" s="35"/>
      <c r="AIM309" s="15"/>
      <c r="AIO309" s="13"/>
      <c r="AIP309" s="35"/>
      <c r="AIQ309" s="35"/>
      <c r="AIR309" s="15"/>
      <c r="AIT309" s="13"/>
      <c r="AIU309" s="35"/>
      <c r="AIV309" s="35"/>
      <c r="AIW309" s="15"/>
      <c r="AIY309" s="13"/>
      <c r="AIZ309" s="35"/>
      <c r="AJA309" s="35"/>
      <c r="AJB309" s="15"/>
      <c r="AJD309" s="13"/>
      <c r="AJE309" s="35"/>
      <c r="AJF309" s="35"/>
      <c r="AJG309" s="15"/>
      <c r="AJI309" s="13"/>
      <c r="AJJ309" s="35"/>
      <c r="AJK309" s="35"/>
      <c r="AJL309" s="15"/>
      <c r="AJN309" s="13"/>
      <c r="AJO309" s="35"/>
      <c r="AJP309" s="35"/>
      <c r="AJQ309" s="15"/>
      <c r="AJS309" s="13"/>
      <c r="AJT309" s="35"/>
      <c r="AJU309" s="35"/>
      <c r="AJV309" s="15"/>
      <c r="AJX309" s="13"/>
      <c r="AJY309" s="35"/>
      <c r="AJZ309" s="35"/>
      <c r="AKA309" s="15"/>
      <c r="AKC309" s="13"/>
      <c r="AKD309" s="35"/>
      <c r="AKE309" s="35"/>
      <c r="AKF309" s="15"/>
      <c r="AKH309" s="13"/>
      <c r="AKI309" s="35"/>
      <c r="AKJ309" s="35"/>
      <c r="AKK309" s="15"/>
      <c r="AKM309" s="13"/>
      <c r="AKN309" s="35"/>
      <c r="AKO309" s="35"/>
      <c r="AKP309" s="15"/>
      <c r="AKR309" s="13"/>
      <c r="AKS309" s="35"/>
      <c r="AKT309" s="35"/>
      <c r="AKU309" s="15"/>
      <c r="AKW309" s="13"/>
      <c r="AKX309" s="35"/>
      <c r="AKY309" s="35"/>
      <c r="AKZ309" s="15"/>
      <c r="ALB309" s="13"/>
      <c r="ALC309" s="35"/>
      <c r="ALD309" s="35"/>
      <c r="ALE309" s="15"/>
      <c r="ALG309" s="13"/>
      <c r="ALH309" s="35"/>
      <c r="ALI309" s="35"/>
      <c r="ALJ309" s="15"/>
      <c r="ALL309" s="13"/>
      <c r="ALM309" s="35"/>
      <c r="ALN309" s="35"/>
      <c r="ALO309" s="15"/>
      <c r="ALQ309" s="13"/>
      <c r="ALR309" s="35"/>
      <c r="ALS309" s="35"/>
      <c r="ALT309" s="15"/>
      <c r="ALV309" s="13"/>
      <c r="ALW309" s="35"/>
      <c r="ALX309" s="35"/>
      <c r="ALY309" s="15"/>
      <c r="AMA309" s="13"/>
      <c r="AMB309" s="35"/>
      <c r="AMC309" s="35"/>
      <c r="AMD309" s="15"/>
      <c r="AMF309" s="13"/>
      <c r="AMG309" s="35"/>
      <c r="AMH309" s="35"/>
      <c r="AMI309" s="15"/>
      <c r="AMK309" s="13"/>
      <c r="AML309" s="35"/>
      <c r="AMM309" s="35"/>
      <c r="AMN309" s="15"/>
      <c r="AMP309" s="13"/>
      <c r="AMQ309" s="35"/>
      <c r="AMR309" s="35"/>
      <c r="AMS309" s="15"/>
      <c r="AMU309" s="13"/>
      <c r="AMV309" s="35"/>
      <c r="AMW309" s="35"/>
      <c r="AMX309" s="15"/>
      <c r="AMZ309" s="13"/>
      <c r="ANA309" s="35"/>
      <c r="ANB309" s="35"/>
      <c r="ANC309" s="15"/>
      <c r="ANE309" s="13"/>
      <c r="ANF309" s="35"/>
      <c r="ANG309" s="35"/>
      <c r="ANH309" s="15"/>
      <c r="ANJ309" s="13"/>
      <c r="ANK309" s="35"/>
      <c r="ANL309" s="35"/>
      <c r="ANM309" s="15"/>
      <c r="ANO309" s="13"/>
      <c r="ANP309" s="35"/>
      <c r="ANQ309" s="35"/>
      <c r="ANR309" s="15"/>
      <c r="ANT309" s="13"/>
      <c r="ANU309" s="35"/>
      <c r="ANV309" s="35"/>
      <c r="ANW309" s="15"/>
      <c r="ANY309" s="13"/>
      <c r="ANZ309" s="35"/>
      <c r="AOA309" s="35"/>
      <c r="AOB309" s="15"/>
      <c r="AOD309" s="13"/>
      <c r="AOE309" s="35"/>
      <c r="AOF309" s="35"/>
      <c r="AOG309" s="15"/>
      <c r="AOI309" s="13"/>
      <c r="AOJ309" s="35"/>
      <c r="AOK309" s="35"/>
      <c r="AOL309" s="15"/>
      <c r="AON309" s="13"/>
      <c r="AOO309" s="35"/>
      <c r="AOP309" s="35"/>
      <c r="AOQ309" s="15"/>
      <c r="AOS309" s="13"/>
      <c r="AOT309" s="35"/>
      <c r="AOU309" s="35"/>
      <c r="AOV309" s="15"/>
      <c r="AOX309" s="13"/>
      <c r="AOY309" s="35"/>
      <c r="AOZ309" s="35"/>
      <c r="APA309" s="15"/>
      <c r="APC309" s="13"/>
      <c r="APD309" s="35"/>
      <c r="APE309" s="35"/>
      <c r="APF309" s="15"/>
      <c r="APH309" s="13"/>
      <c r="API309" s="35"/>
      <c r="APJ309" s="35"/>
      <c r="APK309" s="15"/>
      <c r="APM309" s="13"/>
      <c r="APN309" s="35"/>
      <c r="APO309" s="35"/>
      <c r="APP309" s="15"/>
      <c r="APR309" s="13"/>
      <c r="APS309" s="35"/>
      <c r="APT309" s="35"/>
      <c r="APU309" s="15"/>
      <c r="APW309" s="13"/>
      <c r="APX309" s="35"/>
      <c r="APY309" s="35"/>
      <c r="APZ309" s="15"/>
      <c r="AQB309" s="13"/>
      <c r="AQC309" s="35"/>
      <c r="AQD309" s="35"/>
      <c r="AQE309" s="15"/>
      <c r="AQG309" s="13"/>
      <c r="AQH309" s="35"/>
      <c r="AQI309" s="35"/>
      <c r="AQJ309" s="15"/>
      <c r="AQL309" s="13"/>
      <c r="AQM309" s="35"/>
      <c r="AQN309" s="35"/>
      <c r="AQO309" s="15"/>
      <c r="AQQ309" s="13"/>
      <c r="AQR309" s="35"/>
      <c r="AQS309" s="35"/>
      <c r="AQT309" s="15"/>
      <c r="AQV309" s="13"/>
      <c r="AQW309" s="35"/>
      <c r="AQX309" s="35"/>
      <c r="AQY309" s="15"/>
      <c r="ARA309" s="13"/>
      <c r="ARB309" s="35"/>
      <c r="ARC309" s="35"/>
      <c r="ARD309" s="15"/>
      <c r="ARF309" s="13"/>
      <c r="ARG309" s="35"/>
      <c r="ARH309" s="35"/>
      <c r="ARI309" s="15"/>
      <c r="ARK309" s="13"/>
      <c r="ARL309" s="35"/>
      <c r="ARM309" s="35"/>
      <c r="ARN309" s="15"/>
      <c r="ARP309" s="13"/>
      <c r="ARQ309" s="35"/>
      <c r="ARR309" s="35"/>
      <c r="ARS309" s="15"/>
      <c r="ARU309" s="13"/>
      <c r="ARV309" s="35"/>
      <c r="ARW309" s="35"/>
      <c r="ARX309" s="15"/>
      <c r="ARZ309" s="13"/>
      <c r="ASA309" s="35"/>
      <c r="ASB309" s="35"/>
      <c r="ASC309" s="15"/>
      <c r="ASE309" s="13"/>
      <c r="ASF309" s="35"/>
      <c r="ASG309" s="35"/>
      <c r="ASH309" s="15"/>
      <c r="ASJ309" s="13"/>
      <c r="ASK309" s="35"/>
      <c r="ASL309" s="35"/>
      <c r="ASM309" s="15"/>
      <c r="ASO309" s="13"/>
      <c r="ASP309" s="35"/>
      <c r="ASQ309" s="35"/>
      <c r="ASR309" s="15"/>
      <c r="AST309" s="13"/>
      <c r="ASU309" s="35"/>
      <c r="ASV309" s="35"/>
      <c r="ASW309" s="15"/>
      <c r="ASY309" s="13"/>
      <c r="ASZ309" s="35"/>
      <c r="ATA309" s="35"/>
      <c r="ATB309" s="15"/>
      <c r="ATD309" s="13"/>
      <c r="ATE309" s="35"/>
      <c r="ATF309" s="35"/>
      <c r="ATG309" s="15"/>
      <c r="ATI309" s="13"/>
      <c r="ATJ309" s="35"/>
      <c r="ATK309" s="35"/>
      <c r="ATL309" s="15"/>
      <c r="ATN309" s="13"/>
      <c r="ATO309" s="35"/>
      <c r="ATP309" s="35"/>
      <c r="ATQ309" s="15"/>
      <c r="ATS309" s="13"/>
      <c r="ATT309" s="35"/>
      <c r="ATU309" s="35"/>
      <c r="ATV309" s="15"/>
      <c r="ATX309" s="13"/>
      <c r="ATY309" s="35"/>
      <c r="ATZ309" s="35"/>
      <c r="AUA309" s="15"/>
      <c r="AUC309" s="13"/>
      <c r="AUD309" s="35"/>
      <c r="AUE309" s="35"/>
      <c r="AUF309" s="15"/>
      <c r="AUH309" s="13"/>
      <c r="AUI309" s="35"/>
      <c r="AUJ309" s="35"/>
      <c r="AUK309" s="15"/>
      <c r="AUM309" s="13"/>
      <c r="AUN309" s="35"/>
      <c r="AUO309" s="35"/>
      <c r="AUP309" s="15"/>
      <c r="AUR309" s="13"/>
      <c r="AUS309" s="35"/>
      <c r="AUT309" s="35"/>
      <c r="AUU309" s="15"/>
      <c r="AUW309" s="13"/>
      <c r="AUX309" s="35"/>
      <c r="AUY309" s="35"/>
      <c r="AUZ309" s="15"/>
      <c r="AVB309" s="13"/>
      <c r="AVC309" s="35"/>
      <c r="AVD309" s="35"/>
      <c r="AVE309" s="15"/>
      <c r="AVG309" s="13"/>
      <c r="AVH309" s="35"/>
      <c r="AVI309" s="35"/>
      <c r="AVJ309" s="15"/>
      <c r="AVL309" s="13"/>
      <c r="AVM309" s="35"/>
      <c r="AVN309" s="35"/>
      <c r="AVO309" s="15"/>
      <c r="AVQ309" s="13"/>
      <c r="AVR309" s="35"/>
      <c r="AVS309" s="35"/>
      <c r="AVT309" s="15"/>
      <c r="AVV309" s="13"/>
      <c r="AVW309" s="35"/>
      <c r="AVX309" s="35"/>
      <c r="AVY309" s="15"/>
      <c r="AWA309" s="13"/>
      <c r="AWB309" s="35"/>
      <c r="AWC309" s="35"/>
      <c r="AWD309" s="15"/>
      <c r="AWF309" s="13"/>
      <c r="AWG309" s="35"/>
      <c r="AWH309" s="35"/>
      <c r="AWI309" s="15"/>
      <c r="AWK309" s="13"/>
      <c r="AWL309" s="35"/>
      <c r="AWM309" s="35"/>
      <c r="AWN309" s="15"/>
      <c r="AWP309" s="13"/>
      <c r="AWQ309" s="35"/>
      <c r="AWR309" s="35"/>
      <c r="AWS309" s="15"/>
      <c r="AWU309" s="13"/>
      <c r="AWV309" s="35"/>
      <c r="AWW309" s="35"/>
      <c r="AWX309" s="15"/>
      <c r="AWZ309" s="13"/>
      <c r="AXA309" s="35"/>
      <c r="AXB309" s="35"/>
      <c r="AXC309" s="15"/>
      <c r="AXE309" s="13"/>
      <c r="AXF309" s="35"/>
      <c r="AXG309" s="35"/>
      <c r="AXH309" s="15"/>
      <c r="AXJ309" s="13"/>
      <c r="AXK309" s="35"/>
      <c r="AXL309" s="35"/>
      <c r="AXM309" s="15"/>
      <c r="AXO309" s="13"/>
      <c r="AXP309" s="35"/>
      <c r="AXQ309" s="35"/>
      <c r="AXR309" s="15"/>
      <c r="AXT309" s="13"/>
      <c r="AXU309" s="35"/>
      <c r="AXV309" s="35"/>
      <c r="AXW309" s="15"/>
      <c r="AXY309" s="13"/>
      <c r="AXZ309" s="35"/>
      <c r="AYA309" s="35"/>
      <c r="AYB309" s="15"/>
      <c r="AYD309" s="13"/>
      <c r="AYE309" s="35"/>
      <c r="AYF309" s="35"/>
      <c r="AYG309" s="15"/>
      <c r="AYI309" s="13"/>
      <c r="AYJ309" s="35"/>
      <c r="AYK309" s="35"/>
      <c r="AYL309" s="15"/>
      <c r="AYN309" s="13"/>
      <c r="AYO309" s="35"/>
      <c r="AYP309" s="35"/>
      <c r="AYQ309" s="15"/>
      <c r="AYS309" s="13"/>
      <c r="AYT309" s="35"/>
      <c r="AYU309" s="35"/>
      <c r="AYV309" s="15"/>
      <c r="AYX309" s="13"/>
      <c r="AYY309" s="35"/>
      <c r="AYZ309" s="35"/>
      <c r="AZA309" s="15"/>
      <c r="AZC309" s="13"/>
      <c r="AZD309" s="35"/>
      <c r="AZE309" s="35"/>
      <c r="AZF309" s="15"/>
      <c r="AZH309" s="13"/>
      <c r="AZI309" s="35"/>
      <c r="AZJ309" s="35"/>
      <c r="AZK309" s="15"/>
      <c r="AZM309" s="13"/>
      <c r="AZN309" s="35"/>
      <c r="AZO309" s="35"/>
      <c r="AZP309" s="15"/>
      <c r="AZR309" s="13"/>
      <c r="AZS309" s="35"/>
      <c r="AZT309" s="35"/>
      <c r="AZU309" s="15"/>
      <c r="AZW309" s="13"/>
      <c r="AZX309" s="35"/>
      <c r="AZY309" s="35"/>
      <c r="AZZ309" s="15"/>
      <c r="BAB309" s="13"/>
      <c r="BAC309" s="35"/>
      <c r="BAD309" s="35"/>
      <c r="BAE309" s="15"/>
      <c r="BAG309" s="13"/>
      <c r="BAH309" s="35"/>
      <c r="BAI309" s="35"/>
      <c r="BAJ309" s="15"/>
      <c r="BAL309" s="13"/>
      <c r="BAM309" s="35"/>
      <c r="BAN309" s="35"/>
      <c r="BAO309" s="15"/>
      <c r="BAQ309" s="13"/>
      <c r="BAR309" s="35"/>
      <c r="BAS309" s="35"/>
      <c r="BAT309" s="15"/>
      <c r="BAV309" s="13"/>
      <c r="BAW309" s="35"/>
      <c r="BAX309" s="35"/>
      <c r="BAY309" s="15"/>
      <c r="BBA309" s="13"/>
      <c r="BBB309" s="35"/>
      <c r="BBC309" s="35"/>
      <c r="BBD309" s="15"/>
      <c r="BBF309" s="13"/>
      <c r="BBG309" s="35"/>
      <c r="BBH309" s="35"/>
      <c r="BBI309" s="15"/>
      <c r="BBK309" s="13"/>
      <c r="BBL309" s="35"/>
      <c r="BBM309" s="35"/>
      <c r="BBN309" s="15"/>
      <c r="BBP309" s="13"/>
      <c r="BBQ309" s="35"/>
      <c r="BBR309" s="35"/>
      <c r="BBS309" s="15"/>
      <c r="BBU309" s="13"/>
      <c r="BBV309" s="35"/>
      <c r="BBW309" s="35"/>
      <c r="BBX309" s="15"/>
      <c r="BBZ309" s="13"/>
      <c r="BCA309" s="35"/>
      <c r="BCB309" s="35"/>
      <c r="BCC309" s="15"/>
      <c r="BCE309" s="13"/>
      <c r="BCF309" s="35"/>
      <c r="BCG309" s="35"/>
      <c r="BCH309" s="15"/>
      <c r="BCJ309" s="13"/>
      <c r="BCK309" s="35"/>
      <c r="BCL309" s="35"/>
      <c r="BCM309" s="15"/>
      <c r="BCO309" s="13"/>
      <c r="BCP309" s="35"/>
      <c r="BCQ309" s="35"/>
      <c r="BCR309" s="15"/>
      <c r="BCT309" s="13"/>
      <c r="BCU309" s="35"/>
      <c r="BCV309" s="35"/>
      <c r="BCW309" s="15"/>
      <c r="BCY309" s="13"/>
      <c r="BCZ309" s="35"/>
      <c r="BDA309" s="35"/>
      <c r="BDB309" s="15"/>
      <c r="BDD309" s="13"/>
      <c r="BDE309" s="35"/>
      <c r="BDF309" s="35"/>
      <c r="BDG309" s="15"/>
      <c r="BDI309" s="13"/>
      <c r="BDJ309" s="35"/>
      <c r="BDK309" s="35"/>
      <c r="BDL309" s="15"/>
      <c r="BDN309" s="13"/>
      <c r="BDO309" s="35"/>
      <c r="BDP309" s="35"/>
      <c r="BDQ309" s="15"/>
      <c r="BDS309" s="13"/>
      <c r="BDT309" s="35"/>
      <c r="BDU309" s="35"/>
      <c r="BDV309" s="15"/>
      <c r="BDX309" s="13"/>
      <c r="BDY309" s="35"/>
      <c r="BDZ309" s="35"/>
      <c r="BEA309" s="15"/>
      <c r="BEC309" s="13"/>
      <c r="BED309" s="35"/>
      <c r="BEE309" s="35"/>
      <c r="BEF309" s="15"/>
      <c r="BEH309" s="13"/>
      <c r="BEI309" s="35"/>
      <c r="BEJ309" s="35"/>
      <c r="BEK309" s="15"/>
      <c r="BEM309" s="13"/>
      <c r="BEN309" s="35"/>
      <c r="BEO309" s="35"/>
      <c r="BEP309" s="15"/>
      <c r="BER309" s="13"/>
      <c r="BES309" s="35"/>
      <c r="BET309" s="35"/>
      <c r="BEU309" s="15"/>
      <c r="BEW309" s="13"/>
      <c r="BEX309" s="35"/>
      <c r="BEY309" s="35"/>
      <c r="BEZ309" s="15"/>
      <c r="BFB309" s="13"/>
      <c r="BFC309" s="35"/>
      <c r="BFD309" s="35"/>
      <c r="BFE309" s="15"/>
      <c r="BFG309" s="13"/>
      <c r="BFH309" s="35"/>
      <c r="BFI309" s="35"/>
      <c r="BFJ309" s="15"/>
      <c r="BFL309" s="13"/>
      <c r="BFM309" s="35"/>
      <c r="BFN309" s="35"/>
      <c r="BFO309" s="15"/>
      <c r="BFQ309" s="13"/>
      <c r="BFR309" s="35"/>
      <c r="BFS309" s="35"/>
      <c r="BFT309" s="15"/>
      <c r="BFV309" s="13"/>
      <c r="BFW309" s="35"/>
      <c r="BFX309" s="35"/>
      <c r="BFY309" s="15"/>
      <c r="BGA309" s="13"/>
      <c r="BGB309" s="35"/>
      <c r="BGC309" s="35"/>
      <c r="BGD309" s="15"/>
      <c r="BGF309" s="13"/>
      <c r="BGG309" s="35"/>
      <c r="BGH309" s="35"/>
      <c r="BGI309" s="15"/>
      <c r="BGK309" s="13"/>
      <c r="BGL309" s="35"/>
      <c r="BGM309" s="35"/>
      <c r="BGN309" s="15"/>
      <c r="BGP309" s="13"/>
      <c r="BGQ309" s="35"/>
      <c r="BGR309" s="35"/>
      <c r="BGS309" s="15"/>
      <c r="BGU309" s="13"/>
      <c r="BGV309" s="35"/>
      <c r="BGW309" s="35"/>
      <c r="BGX309" s="15"/>
      <c r="BGZ309" s="13"/>
      <c r="BHA309" s="35"/>
      <c r="BHB309" s="35"/>
      <c r="BHC309" s="15"/>
      <c r="BHE309" s="13"/>
      <c r="BHF309" s="35"/>
      <c r="BHG309" s="35"/>
      <c r="BHH309" s="15"/>
      <c r="BHJ309" s="13"/>
      <c r="BHK309" s="35"/>
      <c r="BHL309" s="35"/>
      <c r="BHM309" s="15"/>
      <c r="BHO309" s="13"/>
      <c r="BHP309" s="35"/>
      <c r="BHQ309" s="35"/>
      <c r="BHR309" s="15"/>
      <c r="BHT309" s="13"/>
      <c r="BHU309" s="35"/>
      <c r="BHV309" s="35"/>
      <c r="BHW309" s="15"/>
      <c r="BHY309" s="13"/>
      <c r="BHZ309" s="35"/>
      <c r="BIA309" s="35"/>
      <c r="BIB309" s="15"/>
      <c r="BID309" s="13"/>
      <c r="BIE309" s="35"/>
      <c r="BIF309" s="35"/>
      <c r="BIG309" s="15"/>
      <c r="BII309" s="13"/>
      <c r="BIJ309" s="35"/>
      <c r="BIK309" s="35"/>
      <c r="BIL309" s="15"/>
      <c r="BIN309" s="13"/>
      <c r="BIO309" s="35"/>
      <c r="BIP309" s="35"/>
      <c r="BIQ309" s="15"/>
      <c r="BIS309" s="13"/>
      <c r="BIT309" s="35"/>
      <c r="BIU309" s="35"/>
      <c r="BIV309" s="15"/>
      <c r="BIX309" s="13"/>
      <c r="BIY309" s="35"/>
      <c r="BIZ309" s="35"/>
      <c r="BJA309" s="15"/>
      <c r="BJC309" s="13"/>
      <c r="BJD309" s="35"/>
      <c r="BJE309" s="35"/>
      <c r="BJF309" s="15"/>
      <c r="BJH309" s="13"/>
      <c r="BJI309" s="35"/>
      <c r="BJJ309" s="35"/>
      <c r="BJK309" s="15"/>
      <c r="BJM309" s="13"/>
      <c r="BJN309" s="35"/>
      <c r="BJO309" s="35"/>
      <c r="BJP309" s="15"/>
      <c r="BJR309" s="13"/>
      <c r="BJS309" s="35"/>
      <c r="BJT309" s="35"/>
      <c r="BJU309" s="15"/>
      <c r="BJW309" s="13"/>
      <c r="BJX309" s="35"/>
      <c r="BJY309" s="35"/>
      <c r="BJZ309" s="15"/>
      <c r="BKB309" s="13"/>
      <c r="BKC309" s="35"/>
      <c r="BKD309" s="35"/>
      <c r="BKE309" s="15"/>
      <c r="BKG309" s="13"/>
      <c r="BKH309" s="35"/>
      <c r="BKI309" s="35"/>
      <c r="BKJ309" s="15"/>
      <c r="BKL309" s="13"/>
      <c r="BKM309" s="35"/>
      <c r="BKN309" s="35"/>
      <c r="BKO309" s="15"/>
      <c r="BKQ309" s="13"/>
      <c r="BKR309" s="35"/>
      <c r="BKS309" s="35"/>
      <c r="BKT309" s="15"/>
      <c r="BKV309" s="13"/>
      <c r="BKW309" s="35"/>
      <c r="BKX309" s="35"/>
      <c r="BKY309" s="15"/>
      <c r="BLA309" s="13"/>
      <c r="BLB309" s="35"/>
      <c r="BLC309" s="35"/>
      <c r="BLD309" s="15"/>
      <c r="BLF309" s="13"/>
      <c r="BLG309" s="35"/>
      <c r="BLH309" s="35"/>
      <c r="BLI309" s="15"/>
      <c r="BLK309" s="13"/>
      <c r="BLL309" s="35"/>
      <c r="BLM309" s="35"/>
      <c r="BLN309" s="15"/>
      <c r="BLP309" s="13"/>
      <c r="BLQ309" s="35"/>
      <c r="BLR309" s="35"/>
      <c r="BLS309" s="15"/>
      <c r="BLU309" s="13"/>
      <c r="BLV309" s="35"/>
      <c r="BLW309" s="35"/>
      <c r="BLX309" s="15"/>
      <c r="BLZ309" s="13"/>
      <c r="BMA309" s="35"/>
      <c r="BMB309" s="35"/>
      <c r="BMC309" s="15"/>
      <c r="BME309" s="13"/>
      <c r="BMF309" s="35"/>
      <c r="BMG309" s="35"/>
      <c r="BMH309" s="15"/>
      <c r="BMJ309" s="13"/>
      <c r="BMK309" s="35"/>
      <c r="BML309" s="35"/>
      <c r="BMM309" s="15"/>
      <c r="BMO309" s="13"/>
      <c r="BMP309" s="35"/>
      <c r="BMQ309" s="35"/>
      <c r="BMR309" s="15"/>
      <c r="BMT309" s="13"/>
      <c r="BMU309" s="35"/>
      <c r="BMV309" s="35"/>
      <c r="BMW309" s="15"/>
      <c r="BMY309" s="13"/>
      <c r="BMZ309" s="35"/>
      <c r="BNA309" s="35"/>
      <c r="BNB309" s="15"/>
      <c r="BND309" s="13"/>
      <c r="BNE309" s="35"/>
      <c r="BNF309" s="35"/>
      <c r="BNG309" s="15"/>
      <c r="BNI309" s="13"/>
      <c r="BNJ309" s="35"/>
      <c r="BNK309" s="35"/>
      <c r="BNL309" s="15"/>
      <c r="BNN309" s="13"/>
      <c r="BNO309" s="35"/>
      <c r="BNP309" s="35"/>
      <c r="BNQ309" s="15"/>
      <c r="BNS309" s="13"/>
      <c r="BNT309" s="35"/>
      <c r="BNU309" s="35"/>
      <c r="BNV309" s="15"/>
      <c r="BNX309" s="13"/>
      <c r="BNY309" s="35"/>
      <c r="BNZ309" s="35"/>
      <c r="BOA309" s="15"/>
      <c r="BOC309" s="13"/>
      <c r="BOD309" s="35"/>
      <c r="BOE309" s="35"/>
      <c r="BOF309" s="15"/>
      <c r="BOH309" s="13"/>
      <c r="BOI309" s="35"/>
      <c r="BOJ309" s="35"/>
      <c r="BOK309" s="15"/>
      <c r="BOM309" s="13"/>
      <c r="BON309" s="35"/>
      <c r="BOO309" s="35"/>
      <c r="BOP309" s="15"/>
      <c r="BOR309" s="13"/>
      <c r="BOS309" s="35"/>
      <c r="BOT309" s="35"/>
      <c r="BOU309" s="15"/>
      <c r="BOW309" s="13"/>
      <c r="BOX309" s="35"/>
      <c r="BOY309" s="35"/>
      <c r="BOZ309" s="15"/>
      <c r="BPB309" s="13"/>
      <c r="BPC309" s="35"/>
      <c r="BPD309" s="35"/>
      <c r="BPE309" s="15"/>
      <c r="BPG309" s="13"/>
      <c r="BPH309" s="35"/>
      <c r="BPI309" s="35"/>
      <c r="BPJ309" s="15"/>
      <c r="BPL309" s="13"/>
      <c r="BPM309" s="35"/>
      <c r="BPN309" s="35"/>
      <c r="BPO309" s="15"/>
      <c r="BPQ309" s="13"/>
      <c r="BPR309" s="35"/>
      <c r="BPS309" s="35"/>
      <c r="BPT309" s="15"/>
      <c r="BPV309" s="13"/>
      <c r="BPW309" s="35"/>
      <c r="BPX309" s="35"/>
      <c r="BPY309" s="15"/>
      <c r="BQA309" s="13"/>
      <c r="BQB309" s="35"/>
      <c r="BQC309" s="35"/>
      <c r="BQD309" s="15"/>
      <c r="BQF309" s="13"/>
      <c r="BQG309" s="35"/>
      <c r="BQH309" s="35"/>
      <c r="BQI309" s="15"/>
      <c r="BQK309" s="13"/>
      <c r="BQL309" s="35"/>
      <c r="BQM309" s="35"/>
      <c r="BQN309" s="15"/>
      <c r="BQP309" s="13"/>
      <c r="BQQ309" s="35"/>
      <c r="BQR309" s="35"/>
      <c r="BQS309" s="15"/>
      <c r="BQU309" s="13"/>
      <c r="BQV309" s="35"/>
      <c r="BQW309" s="35"/>
      <c r="BQX309" s="15"/>
      <c r="BQZ309" s="13"/>
      <c r="BRA309" s="35"/>
      <c r="BRB309" s="35"/>
      <c r="BRC309" s="15"/>
      <c r="BRE309" s="13"/>
      <c r="BRF309" s="35"/>
      <c r="BRG309" s="35"/>
      <c r="BRH309" s="15"/>
      <c r="BRJ309" s="13"/>
      <c r="BRK309" s="35"/>
      <c r="BRL309" s="35"/>
      <c r="BRM309" s="15"/>
      <c r="BRO309" s="13"/>
      <c r="BRP309" s="35"/>
      <c r="BRQ309" s="35"/>
      <c r="BRR309" s="15"/>
      <c r="BRT309" s="13"/>
      <c r="BRU309" s="35"/>
      <c r="BRV309" s="35"/>
      <c r="BRW309" s="15"/>
      <c r="BRY309" s="13"/>
      <c r="BRZ309" s="35"/>
      <c r="BSA309" s="35"/>
      <c r="BSB309" s="15"/>
      <c r="BSD309" s="13"/>
      <c r="BSE309" s="35"/>
      <c r="BSF309" s="35"/>
      <c r="BSG309" s="15"/>
      <c r="BSI309" s="13"/>
      <c r="BSJ309" s="35"/>
      <c r="BSK309" s="35"/>
      <c r="BSL309" s="15"/>
      <c r="BSN309" s="13"/>
      <c r="BSO309" s="35"/>
      <c r="BSP309" s="35"/>
      <c r="BSQ309" s="15"/>
      <c r="BSS309" s="13"/>
      <c r="BST309" s="35"/>
      <c r="BSU309" s="35"/>
      <c r="BSV309" s="15"/>
      <c r="BSX309" s="13"/>
      <c r="BSY309" s="35"/>
      <c r="BSZ309" s="35"/>
      <c r="BTA309" s="15"/>
      <c r="BTC309" s="13"/>
      <c r="BTD309" s="35"/>
      <c r="BTE309" s="35"/>
      <c r="BTF309" s="15"/>
      <c r="BTH309" s="13"/>
      <c r="BTI309" s="35"/>
      <c r="BTJ309" s="35"/>
      <c r="BTK309" s="15"/>
      <c r="BTM309" s="13"/>
      <c r="BTN309" s="35"/>
      <c r="BTO309" s="35"/>
      <c r="BTP309" s="15"/>
      <c r="BTR309" s="13"/>
      <c r="BTS309" s="35"/>
      <c r="BTT309" s="35"/>
      <c r="BTU309" s="15"/>
      <c r="BTW309" s="13"/>
      <c r="BTX309" s="35"/>
      <c r="BTY309" s="35"/>
      <c r="BTZ309" s="15"/>
      <c r="BUB309" s="13"/>
      <c r="BUC309" s="35"/>
      <c r="BUD309" s="35"/>
      <c r="BUE309" s="15"/>
      <c r="BUG309" s="13"/>
      <c r="BUH309" s="35"/>
      <c r="BUI309" s="35"/>
      <c r="BUJ309" s="15"/>
      <c r="BUL309" s="13"/>
      <c r="BUM309" s="35"/>
      <c r="BUN309" s="35"/>
      <c r="BUO309" s="15"/>
      <c r="BUQ309" s="13"/>
      <c r="BUR309" s="35"/>
      <c r="BUS309" s="35"/>
      <c r="BUT309" s="15"/>
      <c r="BUV309" s="13"/>
      <c r="BUW309" s="35"/>
      <c r="BUX309" s="35"/>
      <c r="BUY309" s="15"/>
      <c r="BVA309" s="13"/>
      <c r="BVB309" s="35"/>
      <c r="BVC309" s="35"/>
      <c r="BVD309" s="15"/>
      <c r="BVF309" s="13"/>
      <c r="BVG309" s="35"/>
      <c r="BVH309" s="35"/>
      <c r="BVI309" s="15"/>
      <c r="BVK309" s="13"/>
      <c r="BVL309" s="35"/>
      <c r="BVM309" s="35"/>
      <c r="BVN309" s="15"/>
      <c r="BVP309" s="13"/>
      <c r="BVQ309" s="35"/>
      <c r="BVR309" s="35"/>
      <c r="BVS309" s="15"/>
      <c r="BVU309" s="13"/>
      <c r="BVV309" s="35"/>
      <c r="BVW309" s="35"/>
      <c r="BVX309" s="15"/>
      <c r="BVZ309" s="13"/>
      <c r="BWA309" s="35"/>
      <c r="BWB309" s="35"/>
      <c r="BWC309" s="15"/>
      <c r="BWE309" s="13"/>
      <c r="BWF309" s="35"/>
      <c r="BWG309" s="35"/>
      <c r="BWH309" s="15"/>
      <c r="BWJ309" s="13"/>
      <c r="BWK309" s="35"/>
      <c r="BWL309" s="35"/>
      <c r="BWM309" s="15"/>
      <c r="BWO309" s="13"/>
      <c r="BWP309" s="35"/>
      <c r="BWQ309" s="35"/>
      <c r="BWR309" s="15"/>
      <c r="BWT309" s="13"/>
      <c r="BWU309" s="35"/>
      <c r="BWV309" s="35"/>
      <c r="BWW309" s="15"/>
      <c r="BWY309" s="13"/>
      <c r="BWZ309" s="35"/>
      <c r="BXA309" s="35"/>
      <c r="BXB309" s="15"/>
      <c r="BXD309" s="13"/>
      <c r="BXE309" s="35"/>
      <c r="BXF309" s="35"/>
      <c r="BXG309" s="15"/>
      <c r="BXI309" s="13"/>
      <c r="BXJ309" s="35"/>
      <c r="BXK309" s="35"/>
      <c r="BXL309" s="15"/>
      <c r="BXN309" s="13"/>
      <c r="BXO309" s="35"/>
      <c r="BXP309" s="35"/>
      <c r="BXQ309" s="15"/>
      <c r="BXS309" s="13"/>
      <c r="BXT309" s="35"/>
      <c r="BXU309" s="35"/>
      <c r="BXV309" s="15"/>
      <c r="BXX309" s="13"/>
      <c r="BXY309" s="35"/>
      <c r="BXZ309" s="35"/>
      <c r="BYA309" s="15"/>
      <c r="BYC309" s="13"/>
      <c r="BYD309" s="35"/>
      <c r="BYE309" s="35"/>
      <c r="BYF309" s="15"/>
      <c r="BYH309" s="13"/>
      <c r="BYI309" s="35"/>
      <c r="BYJ309" s="35"/>
      <c r="BYK309" s="15"/>
      <c r="BYM309" s="13"/>
      <c r="BYN309" s="35"/>
      <c r="BYO309" s="35"/>
      <c r="BYP309" s="15"/>
      <c r="BYR309" s="13"/>
      <c r="BYS309" s="35"/>
      <c r="BYT309" s="35"/>
      <c r="BYU309" s="15"/>
      <c r="BYW309" s="13"/>
      <c r="BYX309" s="35"/>
      <c r="BYY309" s="35"/>
      <c r="BYZ309" s="15"/>
      <c r="BZB309" s="13"/>
      <c r="BZC309" s="35"/>
      <c r="BZD309" s="35"/>
      <c r="BZE309" s="15"/>
      <c r="BZG309" s="13"/>
      <c r="BZH309" s="35"/>
      <c r="BZI309" s="35"/>
      <c r="BZJ309" s="15"/>
      <c r="BZL309" s="13"/>
      <c r="BZM309" s="35"/>
      <c r="BZN309" s="35"/>
      <c r="BZO309" s="15"/>
      <c r="BZQ309" s="13"/>
      <c r="BZR309" s="35"/>
      <c r="BZS309" s="35"/>
      <c r="BZT309" s="15"/>
      <c r="BZV309" s="13"/>
      <c r="BZW309" s="35"/>
      <c r="BZX309" s="35"/>
      <c r="BZY309" s="15"/>
      <c r="CAA309" s="13"/>
      <c r="CAB309" s="35"/>
      <c r="CAC309" s="35"/>
      <c r="CAD309" s="15"/>
      <c r="CAF309" s="13"/>
      <c r="CAG309" s="35"/>
      <c r="CAH309" s="35"/>
      <c r="CAI309" s="15"/>
      <c r="CAK309" s="13"/>
      <c r="CAL309" s="35"/>
      <c r="CAM309" s="35"/>
      <c r="CAN309" s="15"/>
      <c r="CAP309" s="13"/>
      <c r="CAQ309" s="35"/>
      <c r="CAR309" s="35"/>
      <c r="CAS309" s="15"/>
      <c r="CAU309" s="13"/>
      <c r="CAV309" s="35"/>
      <c r="CAW309" s="35"/>
      <c r="CAX309" s="15"/>
      <c r="CAZ309" s="13"/>
      <c r="CBA309" s="35"/>
      <c r="CBB309" s="35"/>
      <c r="CBC309" s="15"/>
      <c r="CBE309" s="13"/>
      <c r="CBF309" s="35"/>
      <c r="CBG309" s="35"/>
      <c r="CBH309" s="15"/>
      <c r="CBJ309" s="13"/>
      <c r="CBK309" s="35"/>
      <c r="CBL309" s="35"/>
      <c r="CBM309" s="15"/>
      <c r="CBO309" s="13"/>
      <c r="CBP309" s="35"/>
      <c r="CBQ309" s="35"/>
      <c r="CBR309" s="15"/>
      <c r="CBT309" s="13"/>
      <c r="CBU309" s="35"/>
      <c r="CBV309" s="35"/>
      <c r="CBW309" s="15"/>
      <c r="CBY309" s="13"/>
      <c r="CBZ309" s="35"/>
      <c r="CCA309" s="35"/>
      <c r="CCB309" s="15"/>
      <c r="CCD309" s="13"/>
      <c r="CCE309" s="35"/>
      <c r="CCF309" s="35"/>
      <c r="CCG309" s="15"/>
      <c r="CCI309" s="13"/>
      <c r="CCJ309" s="35"/>
      <c r="CCK309" s="35"/>
      <c r="CCL309" s="15"/>
      <c r="CCN309" s="13"/>
      <c r="CCO309" s="35"/>
      <c r="CCP309" s="35"/>
      <c r="CCQ309" s="15"/>
      <c r="CCS309" s="13"/>
      <c r="CCT309" s="35"/>
      <c r="CCU309" s="35"/>
      <c r="CCV309" s="15"/>
      <c r="CCX309" s="13"/>
      <c r="CCY309" s="35"/>
      <c r="CCZ309" s="35"/>
      <c r="CDA309" s="15"/>
      <c r="CDC309" s="13"/>
      <c r="CDD309" s="35"/>
      <c r="CDE309" s="35"/>
      <c r="CDF309" s="15"/>
      <c r="CDH309" s="13"/>
      <c r="CDI309" s="35"/>
      <c r="CDJ309" s="35"/>
      <c r="CDK309" s="15"/>
      <c r="CDM309" s="13"/>
      <c r="CDN309" s="35"/>
      <c r="CDO309" s="35"/>
      <c r="CDP309" s="15"/>
      <c r="CDR309" s="13"/>
      <c r="CDS309" s="35"/>
      <c r="CDT309" s="35"/>
      <c r="CDU309" s="15"/>
      <c r="CDW309" s="13"/>
      <c r="CDX309" s="35"/>
      <c r="CDY309" s="35"/>
      <c r="CDZ309" s="15"/>
      <c r="CEB309" s="13"/>
      <c r="CEC309" s="35"/>
      <c r="CED309" s="35"/>
      <c r="CEE309" s="15"/>
      <c r="CEG309" s="13"/>
      <c r="CEH309" s="35"/>
      <c r="CEI309" s="35"/>
      <c r="CEJ309" s="15"/>
      <c r="CEL309" s="13"/>
      <c r="CEM309" s="35"/>
      <c r="CEN309" s="35"/>
      <c r="CEO309" s="15"/>
      <c r="CEQ309" s="13"/>
      <c r="CER309" s="35"/>
      <c r="CES309" s="35"/>
      <c r="CET309" s="15"/>
      <c r="CEV309" s="13"/>
      <c r="CEW309" s="35"/>
      <c r="CEX309" s="35"/>
      <c r="CEY309" s="15"/>
      <c r="CFA309" s="13"/>
      <c r="CFB309" s="35"/>
      <c r="CFC309" s="35"/>
      <c r="CFD309" s="15"/>
      <c r="CFF309" s="13"/>
      <c r="CFG309" s="35"/>
      <c r="CFH309" s="35"/>
      <c r="CFI309" s="15"/>
      <c r="CFK309" s="13"/>
      <c r="CFL309" s="35"/>
      <c r="CFM309" s="35"/>
      <c r="CFN309" s="15"/>
      <c r="CFP309" s="13"/>
      <c r="CFQ309" s="35"/>
      <c r="CFR309" s="35"/>
      <c r="CFS309" s="15"/>
      <c r="CFU309" s="13"/>
      <c r="CFV309" s="35"/>
      <c r="CFW309" s="35"/>
      <c r="CFX309" s="15"/>
      <c r="CFZ309" s="13"/>
      <c r="CGA309" s="35"/>
      <c r="CGB309" s="35"/>
      <c r="CGC309" s="15"/>
      <c r="CGE309" s="13"/>
      <c r="CGF309" s="35"/>
      <c r="CGG309" s="35"/>
      <c r="CGH309" s="15"/>
      <c r="CGJ309" s="13"/>
      <c r="CGK309" s="35"/>
      <c r="CGL309" s="35"/>
      <c r="CGM309" s="15"/>
      <c r="CGO309" s="13"/>
      <c r="CGP309" s="35"/>
      <c r="CGQ309" s="35"/>
      <c r="CGR309" s="15"/>
      <c r="CGT309" s="13"/>
      <c r="CGU309" s="35"/>
      <c r="CGV309" s="35"/>
      <c r="CGW309" s="15"/>
      <c r="CGY309" s="13"/>
      <c r="CGZ309" s="35"/>
      <c r="CHA309" s="35"/>
      <c r="CHB309" s="15"/>
      <c r="CHD309" s="13"/>
      <c r="CHE309" s="35"/>
      <c r="CHF309" s="35"/>
      <c r="CHG309" s="15"/>
      <c r="CHI309" s="13"/>
      <c r="CHJ309" s="35"/>
      <c r="CHK309" s="35"/>
      <c r="CHL309" s="15"/>
      <c r="CHN309" s="13"/>
      <c r="CHO309" s="35"/>
      <c r="CHP309" s="35"/>
      <c r="CHQ309" s="15"/>
      <c r="CHS309" s="13"/>
      <c r="CHT309" s="35"/>
      <c r="CHU309" s="35"/>
      <c r="CHV309" s="15"/>
      <c r="CHX309" s="13"/>
      <c r="CHY309" s="35"/>
      <c r="CHZ309" s="35"/>
      <c r="CIA309" s="15"/>
      <c r="CIC309" s="13"/>
      <c r="CID309" s="35"/>
      <c r="CIE309" s="35"/>
      <c r="CIF309" s="15"/>
      <c r="CIH309" s="13"/>
      <c r="CII309" s="35"/>
      <c r="CIJ309" s="35"/>
      <c r="CIK309" s="15"/>
      <c r="CIM309" s="13"/>
      <c r="CIN309" s="35"/>
      <c r="CIO309" s="35"/>
      <c r="CIP309" s="15"/>
      <c r="CIR309" s="13"/>
      <c r="CIS309" s="35"/>
      <c r="CIT309" s="35"/>
      <c r="CIU309" s="15"/>
      <c r="CIW309" s="13"/>
      <c r="CIX309" s="35"/>
      <c r="CIY309" s="35"/>
      <c r="CIZ309" s="15"/>
      <c r="CJB309" s="13"/>
      <c r="CJC309" s="35"/>
      <c r="CJD309" s="35"/>
      <c r="CJE309" s="15"/>
      <c r="CJG309" s="13"/>
      <c r="CJH309" s="35"/>
      <c r="CJI309" s="35"/>
      <c r="CJJ309" s="15"/>
      <c r="CJL309" s="13"/>
      <c r="CJM309" s="35"/>
      <c r="CJN309" s="35"/>
      <c r="CJO309" s="15"/>
      <c r="CJQ309" s="13"/>
      <c r="CJR309" s="35"/>
      <c r="CJS309" s="35"/>
      <c r="CJT309" s="15"/>
      <c r="CJV309" s="13"/>
      <c r="CJW309" s="35"/>
      <c r="CJX309" s="35"/>
      <c r="CJY309" s="15"/>
      <c r="CKA309" s="13"/>
      <c r="CKB309" s="35"/>
      <c r="CKC309" s="35"/>
      <c r="CKD309" s="15"/>
      <c r="CKF309" s="13"/>
      <c r="CKG309" s="35"/>
      <c r="CKH309" s="35"/>
      <c r="CKI309" s="15"/>
      <c r="CKK309" s="13"/>
      <c r="CKL309" s="35"/>
      <c r="CKM309" s="35"/>
      <c r="CKN309" s="15"/>
      <c r="CKP309" s="13"/>
      <c r="CKQ309" s="35"/>
      <c r="CKR309" s="35"/>
      <c r="CKS309" s="15"/>
      <c r="CKU309" s="13"/>
      <c r="CKV309" s="35"/>
      <c r="CKW309" s="35"/>
      <c r="CKX309" s="15"/>
      <c r="CKZ309" s="13"/>
      <c r="CLA309" s="35"/>
      <c r="CLB309" s="35"/>
      <c r="CLC309" s="15"/>
      <c r="CLE309" s="13"/>
      <c r="CLF309" s="35"/>
      <c r="CLG309" s="35"/>
      <c r="CLH309" s="15"/>
      <c r="CLJ309" s="13"/>
      <c r="CLK309" s="35"/>
      <c r="CLL309" s="35"/>
      <c r="CLM309" s="15"/>
      <c r="CLO309" s="13"/>
      <c r="CLP309" s="35"/>
      <c r="CLQ309" s="35"/>
      <c r="CLR309" s="15"/>
      <c r="CLT309" s="13"/>
      <c r="CLU309" s="35"/>
      <c r="CLV309" s="35"/>
      <c r="CLW309" s="15"/>
      <c r="CLY309" s="13"/>
      <c r="CLZ309" s="35"/>
      <c r="CMA309" s="35"/>
      <c r="CMB309" s="15"/>
      <c r="CMD309" s="13"/>
      <c r="CME309" s="35"/>
      <c r="CMF309" s="35"/>
      <c r="CMG309" s="15"/>
      <c r="CMI309" s="13"/>
      <c r="CMJ309" s="35"/>
      <c r="CMK309" s="35"/>
      <c r="CML309" s="15"/>
      <c r="CMN309" s="13"/>
      <c r="CMO309" s="35"/>
      <c r="CMP309" s="35"/>
      <c r="CMQ309" s="15"/>
      <c r="CMS309" s="13"/>
      <c r="CMT309" s="35"/>
      <c r="CMU309" s="35"/>
      <c r="CMV309" s="15"/>
      <c r="CMX309" s="13"/>
      <c r="CMY309" s="35"/>
      <c r="CMZ309" s="35"/>
      <c r="CNA309" s="15"/>
      <c r="CNC309" s="13"/>
      <c r="CND309" s="35"/>
      <c r="CNE309" s="35"/>
      <c r="CNF309" s="15"/>
      <c r="CNH309" s="13"/>
      <c r="CNI309" s="35"/>
      <c r="CNJ309" s="35"/>
      <c r="CNK309" s="15"/>
      <c r="CNM309" s="13"/>
      <c r="CNN309" s="35"/>
      <c r="CNO309" s="35"/>
      <c r="CNP309" s="15"/>
      <c r="CNR309" s="13"/>
      <c r="CNS309" s="35"/>
      <c r="CNT309" s="35"/>
      <c r="CNU309" s="15"/>
      <c r="CNW309" s="13"/>
      <c r="CNX309" s="35"/>
      <c r="CNY309" s="35"/>
      <c r="CNZ309" s="15"/>
      <c r="COB309" s="13"/>
      <c r="COC309" s="35"/>
      <c r="COD309" s="35"/>
      <c r="COE309" s="15"/>
      <c r="COG309" s="13"/>
      <c r="COH309" s="35"/>
      <c r="COI309" s="35"/>
      <c r="COJ309" s="15"/>
      <c r="COL309" s="13"/>
      <c r="COM309" s="35"/>
      <c r="CON309" s="35"/>
      <c r="COO309" s="15"/>
      <c r="COQ309" s="13"/>
      <c r="COR309" s="35"/>
      <c r="COS309" s="35"/>
      <c r="COT309" s="15"/>
      <c r="COV309" s="13"/>
      <c r="COW309" s="35"/>
      <c r="COX309" s="35"/>
      <c r="COY309" s="15"/>
      <c r="CPA309" s="13"/>
      <c r="CPB309" s="35"/>
      <c r="CPC309" s="35"/>
      <c r="CPD309" s="15"/>
      <c r="CPF309" s="13"/>
      <c r="CPG309" s="35"/>
      <c r="CPH309" s="35"/>
      <c r="CPI309" s="15"/>
      <c r="CPK309" s="13"/>
      <c r="CPL309" s="35"/>
      <c r="CPM309" s="35"/>
      <c r="CPN309" s="15"/>
      <c r="CPP309" s="13"/>
      <c r="CPQ309" s="35"/>
      <c r="CPR309" s="35"/>
      <c r="CPS309" s="15"/>
      <c r="CPU309" s="13"/>
      <c r="CPV309" s="35"/>
      <c r="CPW309" s="35"/>
      <c r="CPX309" s="15"/>
      <c r="CPZ309" s="13"/>
      <c r="CQA309" s="35"/>
      <c r="CQB309" s="35"/>
      <c r="CQC309" s="15"/>
      <c r="CQE309" s="13"/>
      <c r="CQF309" s="35"/>
      <c r="CQG309" s="35"/>
      <c r="CQH309" s="15"/>
      <c r="CQJ309" s="13"/>
      <c r="CQK309" s="35"/>
      <c r="CQL309" s="35"/>
      <c r="CQM309" s="15"/>
      <c r="CQO309" s="13"/>
      <c r="CQP309" s="35"/>
      <c r="CQQ309" s="35"/>
      <c r="CQR309" s="15"/>
      <c r="CQT309" s="13"/>
      <c r="CQU309" s="35"/>
      <c r="CQV309" s="35"/>
      <c r="CQW309" s="15"/>
      <c r="CQY309" s="13"/>
      <c r="CQZ309" s="35"/>
      <c r="CRA309" s="35"/>
      <c r="CRB309" s="15"/>
      <c r="CRD309" s="13"/>
      <c r="CRE309" s="35"/>
      <c r="CRF309" s="35"/>
      <c r="CRG309" s="15"/>
      <c r="CRI309" s="13"/>
      <c r="CRJ309" s="35"/>
      <c r="CRK309" s="35"/>
      <c r="CRL309" s="15"/>
      <c r="CRN309" s="13"/>
      <c r="CRO309" s="35"/>
      <c r="CRP309" s="35"/>
      <c r="CRQ309" s="15"/>
      <c r="CRS309" s="13"/>
      <c r="CRT309" s="35"/>
      <c r="CRU309" s="35"/>
      <c r="CRV309" s="15"/>
      <c r="CRX309" s="13"/>
      <c r="CRY309" s="35"/>
      <c r="CRZ309" s="35"/>
      <c r="CSA309" s="15"/>
      <c r="CSC309" s="13"/>
      <c r="CSD309" s="35"/>
      <c r="CSE309" s="35"/>
      <c r="CSF309" s="15"/>
      <c r="CSH309" s="13"/>
      <c r="CSI309" s="35"/>
      <c r="CSJ309" s="35"/>
      <c r="CSK309" s="15"/>
      <c r="CSM309" s="13"/>
      <c r="CSN309" s="35"/>
      <c r="CSO309" s="35"/>
      <c r="CSP309" s="15"/>
      <c r="CSR309" s="13"/>
      <c r="CSS309" s="35"/>
      <c r="CST309" s="35"/>
      <c r="CSU309" s="15"/>
      <c r="CSW309" s="13"/>
      <c r="CSX309" s="35"/>
      <c r="CSY309" s="35"/>
      <c r="CSZ309" s="15"/>
      <c r="CTB309" s="13"/>
      <c r="CTC309" s="35"/>
      <c r="CTD309" s="35"/>
      <c r="CTE309" s="15"/>
      <c r="CTG309" s="13"/>
      <c r="CTH309" s="35"/>
      <c r="CTI309" s="35"/>
      <c r="CTJ309" s="15"/>
      <c r="CTL309" s="13"/>
      <c r="CTM309" s="35"/>
      <c r="CTN309" s="35"/>
      <c r="CTO309" s="15"/>
      <c r="CTQ309" s="13"/>
      <c r="CTR309" s="35"/>
      <c r="CTS309" s="35"/>
      <c r="CTT309" s="15"/>
      <c r="CTV309" s="13"/>
      <c r="CTW309" s="35"/>
      <c r="CTX309" s="35"/>
      <c r="CTY309" s="15"/>
      <c r="CUA309" s="13"/>
      <c r="CUB309" s="35"/>
      <c r="CUC309" s="35"/>
      <c r="CUD309" s="15"/>
      <c r="CUF309" s="13"/>
      <c r="CUG309" s="35"/>
      <c r="CUH309" s="35"/>
      <c r="CUI309" s="15"/>
      <c r="CUK309" s="13"/>
      <c r="CUL309" s="35"/>
      <c r="CUM309" s="35"/>
      <c r="CUN309" s="15"/>
      <c r="CUP309" s="13"/>
      <c r="CUQ309" s="35"/>
      <c r="CUR309" s="35"/>
      <c r="CUS309" s="15"/>
      <c r="CUU309" s="13"/>
      <c r="CUV309" s="35"/>
      <c r="CUW309" s="35"/>
      <c r="CUX309" s="15"/>
      <c r="CUZ309" s="13"/>
      <c r="CVA309" s="35"/>
      <c r="CVB309" s="35"/>
      <c r="CVC309" s="15"/>
      <c r="CVE309" s="13"/>
      <c r="CVF309" s="35"/>
      <c r="CVG309" s="35"/>
      <c r="CVH309" s="15"/>
      <c r="CVJ309" s="13"/>
      <c r="CVK309" s="35"/>
      <c r="CVL309" s="35"/>
      <c r="CVM309" s="15"/>
      <c r="CVO309" s="13"/>
      <c r="CVP309" s="35"/>
      <c r="CVQ309" s="35"/>
      <c r="CVR309" s="15"/>
      <c r="CVT309" s="13"/>
      <c r="CVU309" s="35"/>
      <c r="CVV309" s="35"/>
      <c r="CVW309" s="15"/>
      <c r="CVY309" s="13"/>
      <c r="CVZ309" s="35"/>
      <c r="CWA309" s="35"/>
      <c r="CWB309" s="15"/>
      <c r="CWD309" s="13"/>
      <c r="CWE309" s="35"/>
      <c r="CWF309" s="35"/>
      <c r="CWG309" s="15"/>
      <c r="CWI309" s="13"/>
      <c r="CWJ309" s="35"/>
      <c r="CWK309" s="35"/>
      <c r="CWL309" s="15"/>
      <c r="CWN309" s="13"/>
      <c r="CWO309" s="35"/>
      <c r="CWP309" s="35"/>
      <c r="CWQ309" s="15"/>
      <c r="CWS309" s="13"/>
      <c r="CWT309" s="35"/>
      <c r="CWU309" s="35"/>
      <c r="CWV309" s="15"/>
      <c r="CWX309" s="13"/>
      <c r="CWY309" s="35"/>
      <c r="CWZ309" s="35"/>
      <c r="CXA309" s="15"/>
      <c r="CXC309" s="13"/>
      <c r="CXD309" s="35"/>
      <c r="CXE309" s="35"/>
      <c r="CXF309" s="15"/>
      <c r="CXH309" s="13"/>
      <c r="CXI309" s="35"/>
      <c r="CXJ309" s="35"/>
      <c r="CXK309" s="15"/>
      <c r="CXM309" s="13"/>
      <c r="CXN309" s="35"/>
      <c r="CXO309" s="35"/>
      <c r="CXP309" s="15"/>
      <c r="CXR309" s="13"/>
      <c r="CXS309" s="35"/>
      <c r="CXT309" s="35"/>
      <c r="CXU309" s="15"/>
      <c r="CXW309" s="13"/>
      <c r="CXX309" s="35"/>
      <c r="CXY309" s="35"/>
      <c r="CXZ309" s="15"/>
      <c r="CYB309" s="13"/>
      <c r="CYC309" s="35"/>
      <c r="CYD309" s="35"/>
      <c r="CYE309" s="15"/>
      <c r="CYG309" s="13"/>
      <c r="CYH309" s="35"/>
      <c r="CYI309" s="35"/>
      <c r="CYJ309" s="15"/>
      <c r="CYL309" s="13"/>
      <c r="CYM309" s="35"/>
      <c r="CYN309" s="35"/>
      <c r="CYO309" s="15"/>
      <c r="CYQ309" s="13"/>
      <c r="CYR309" s="35"/>
      <c r="CYS309" s="35"/>
      <c r="CYT309" s="15"/>
      <c r="CYV309" s="13"/>
      <c r="CYW309" s="35"/>
      <c r="CYX309" s="35"/>
      <c r="CYY309" s="15"/>
      <c r="CZA309" s="13"/>
      <c r="CZB309" s="35"/>
      <c r="CZC309" s="35"/>
      <c r="CZD309" s="15"/>
      <c r="CZF309" s="13"/>
      <c r="CZG309" s="35"/>
      <c r="CZH309" s="35"/>
      <c r="CZI309" s="15"/>
      <c r="CZK309" s="13"/>
      <c r="CZL309" s="35"/>
      <c r="CZM309" s="35"/>
      <c r="CZN309" s="15"/>
      <c r="CZP309" s="13"/>
      <c r="CZQ309" s="35"/>
      <c r="CZR309" s="35"/>
      <c r="CZS309" s="15"/>
      <c r="CZU309" s="13"/>
      <c r="CZV309" s="35"/>
      <c r="CZW309" s="35"/>
      <c r="CZX309" s="15"/>
      <c r="CZZ309" s="13"/>
      <c r="DAA309" s="35"/>
      <c r="DAB309" s="35"/>
      <c r="DAC309" s="15"/>
      <c r="DAE309" s="13"/>
      <c r="DAF309" s="35"/>
      <c r="DAG309" s="35"/>
      <c r="DAH309" s="15"/>
      <c r="DAJ309" s="13"/>
      <c r="DAK309" s="35"/>
      <c r="DAL309" s="35"/>
      <c r="DAM309" s="15"/>
      <c r="DAO309" s="13"/>
      <c r="DAP309" s="35"/>
      <c r="DAQ309" s="35"/>
      <c r="DAR309" s="15"/>
      <c r="DAT309" s="13"/>
      <c r="DAU309" s="35"/>
      <c r="DAV309" s="35"/>
      <c r="DAW309" s="15"/>
      <c r="DAY309" s="13"/>
      <c r="DAZ309" s="35"/>
      <c r="DBA309" s="35"/>
      <c r="DBB309" s="15"/>
      <c r="DBD309" s="13"/>
      <c r="DBE309" s="35"/>
      <c r="DBF309" s="35"/>
      <c r="DBG309" s="15"/>
      <c r="DBI309" s="13"/>
      <c r="DBJ309" s="35"/>
      <c r="DBK309" s="35"/>
      <c r="DBL309" s="15"/>
      <c r="DBN309" s="13"/>
      <c r="DBO309" s="35"/>
      <c r="DBP309" s="35"/>
      <c r="DBQ309" s="15"/>
      <c r="DBS309" s="13"/>
      <c r="DBT309" s="35"/>
      <c r="DBU309" s="35"/>
      <c r="DBV309" s="15"/>
      <c r="DBX309" s="13"/>
      <c r="DBY309" s="35"/>
      <c r="DBZ309" s="35"/>
      <c r="DCA309" s="15"/>
      <c r="DCC309" s="13"/>
      <c r="DCD309" s="35"/>
      <c r="DCE309" s="35"/>
      <c r="DCF309" s="15"/>
      <c r="DCH309" s="13"/>
      <c r="DCI309" s="35"/>
      <c r="DCJ309" s="35"/>
      <c r="DCK309" s="15"/>
      <c r="DCM309" s="13"/>
      <c r="DCN309" s="35"/>
      <c r="DCO309" s="35"/>
      <c r="DCP309" s="15"/>
      <c r="DCR309" s="13"/>
      <c r="DCS309" s="35"/>
      <c r="DCT309" s="35"/>
      <c r="DCU309" s="15"/>
      <c r="DCW309" s="13"/>
      <c r="DCX309" s="35"/>
      <c r="DCY309" s="35"/>
      <c r="DCZ309" s="15"/>
      <c r="DDB309" s="13"/>
      <c r="DDC309" s="35"/>
      <c r="DDD309" s="35"/>
      <c r="DDE309" s="15"/>
      <c r="DDG309" s="13"/>
      <c r="DDH309" s="35"/>
      <c r="DDI309" s="35"/>
      <c r="DDJ309" s="15"/>
      <c r="DDL309" s="13"/>
      <c r="DDM309" s="35"/>
      <c r="DDN309" s="35"/>
      <c r="DDO309" s="15"/>
      <c r="DDQ309" s="13"/>
      <c r="DDR309" s="35"/>
      <c r="DDS309" s="35"/>
      <c r="DDT309" s="15"/>
      <c r="DDV309" s="13"/>
      <c r="DDW309" s="35"/>
      <c r="DDX309" s="35"/>
      <c r="DDY309" s="15"/>
      <c r="DEA309" s="13"/>
      <c r="DEB309" s="35"/>
      <c r="DEC309" s="35"/>
      <c r="DED309" s="15"/>
      <c r="DEF309" s="13"/>
      <c r="DEG309" s="35"/>
      <c r="DEH309" s="35"/>
      <c r="DEI309" s="15"/>
      <c r="DEK309" s="13"/>
      <c r="DEL309" s="35"/>
      <c r="DEM309" s="35"/>
      <c r="DEN309" s="15"/>
      <c r="DEP309" s="13"/>
      <c r="DEQ309" s="35"/>
      <c r="DER309" s="35"/>
      <c r="DES309" s="15"/>
      <c r="DEU309" s="13"/>
      <c r="DEV309" s="35"/>
      <c r="DEW309" s="35"/>
      <c r="DEX309" s="15"/>
      <c r="DEZ309" s="13"/>
      <c r="DFA309" s="35"/>
      <c r="DFB309" s="35"/>
      <c r="DFC309" s="15"/>
      <c r="DFE309" s="13"/>
      <c r="DFF309" s="35"/>
      <c r="DFG309" s="35"/>
      <c r="DFH309" s="15"/>
      <c r="DFJ309" s="13"/>
      <c r="DFK309" s="35"/>
      <c r="DFL309" s="35"/>
      <c r="DFM309" s="15"/>
      <c r="DFO309" s="13"/>
      <c r="DFP309" s="35"/>
      <c r="DFQ309" s="35"/>
      <c r="DFR309" s="15"/>
      <c r="DFT309" s="13"/>
      <c r="DFU309" s="35"/>
      <c r="DFV309" s="35"/>
      <c r="DFW309" s="15"/>
      <c r="DFY309" s="13"/>
      <c r="DFZ309" s="35"/>
      <c r="DGA309" s="35"/>
      <c r="DGB309" s="15"/>
      <c r="DGD309" s="13"/>
      <c r="DGE309" s="35"/>
      <c r="DGF309" s="35"/>
      <c r="DGG309" s="15"/>
      <c r="DGI309" s="13"/>
      <c r="DGJ309" s="35"/>
      <c r="DGK309" s="35"/>
      <c r="DGL309" s="15"/>
      <c r="DGN309" s="13"/>
      <c r="DGO309" s="35"/>
      <c r="DGP309" s="35"/>
      <c r="DGQ309" s="15"/>
      <c r="DGS309" s="13"/>
      <c r="DGT309" s="35"/>
      <c r="DGU309" s="35"/>
      <c r="DGV309" s="15"/>
      <c r="DGX309" s="13"/>
      <c r="DGY309" s="35"/>
      <c r="DGZ309" s="35"/>
      <c r="DHA309" s="15"/>
      <c r="DHC309" s="13"/>
      <c r="DHD309" s="35"/>
      <c r="DHE309" s="35"/>
      <c r="DHF309" s="15"/>
      <c r="DHH309" s="13"/>
      <c r="DHI309" s="35"/>
      <c r="DHJ309" s="35"/>
      <c r="DHK309" s="15"/>
      <c r="DHM309" s="13"/>
      <c r="DHN309" s="35"/>
      <c r="DHO309" s="35"/>
      <c r="DHP309" s="15"/>
      <c r="DHR309" s="13"/>
      <c r="DHS309" s="35"/>
      <c r="DHT309" s="35"/>
      <c r="DHU309" s="15"/>
      <c r="DHW309" s="13"/>
      <c r="DHX309" s="35"/>
      <c r="DHY309" s="35"/>
      <c r="DHZ309" s="15"/>
      <c r="DIB309" s="13"/>
      <c r="DIC309" s="35"/>
      <c r="DID309" s="35"/>
      <c r="DIE309" s="15"/>
      <c r="DIG309" s="13"/>
      <c r="DIH309" s="35"/>
      <c r="DII309" s="35"/>
      <c r="DIJ309" s="15"/>
      <c r="DIL309" s="13"/>
      <c r="DIM309" s="35"/>
      <c r="DIN309" s="35"/>
      <c r="DIO309" s="15"/>
      <c r="DIQ309" s="13"/>
      <c r="DIR309" s="35"/>
      <c r="DIS309" s="35"/>
      <c r="DIT309" s="15"/>
      <c r="DIV309" s="13"/>
      <c r="DIW309" s="35"/>
      <c r="DIX309" s="35"/>
      <c r="DIY309" s="15"/>
      <c r="DJA309" s="13"/>
      <c r="DJB309" s="35"/>
      <c r="DJC309" s="35"/>
      <c r="DJD309" s="15"/>
      <c r="DJF309" s="13"/>
      <c r="DJG309" s="35"/>
      <c r="DJH309" s="35"/>
      <c r="DJI309" s="15"/>
      <c r="DJK309" s="13"/>
      <c r="DJL309" s="35"/>
      <c r="DJM309" s="35"/>
      <c r="DJN309" s="15"/>
      <c r="DJP309" s="13"/>
      <c r="DJQ309" s="35"/>
      <c r="DJR309" s="35"/>
      <c r="DJS309" s="15"/>
      <c r="DJU309" s="13"/>
      <c r="DJV309" s="35"/>
      <c r="DJW309" s="35"/>
      <c r="DJX309" s="15"/>
      <c r="DJZ309" s="13"/>
      <c r="DKA309" s="35"/>
      <c r="DKB309" s="35"/>
      <c r="DKC309" s="15"/>
      <c r="DKE309" s="13"/>
      <c r="DKF309" s="35"/>
      <c r="DKG309" s="35"/>
      <c r="DKH309" s="15"/>
      <c r="DKJ309" s="13"/>
      <c r="DKK309" s="35"/>
      <c r="DKL309" s="35"/>
      <c r="DKM309" s="15"/>
      <c r="DKO309" s="13"/>
      <c r="DKP309" s="35"/>
      <c r="DKQ309" s="35"/>
      <c r="DKR309" s="15"/>
      <c r="DKT309" s="13"/>
      <c r="DKU309" s="35"/>
      <c r="DKV309" s="35"/>
      <c r="DKW309" s="15"/>
      <c r="DKY309" s="13"/>
      <c r="DKZ309" s="35"/>
      <c r="DLA309" s="35"/>
      <c r="DLB309" s="15"/>
      <c r="DLD309" s="13"/>
      <c r="DLE309" s="35"/>
      <c r="DLF309" s="35"/>
      <c r="DLG309" s="15"/>
      <c r="DLI309" s="13"/>
      <c r="DLJ309" s="35"/>
      <c r="DLK309" s="35"/>
      <c r="DLL309" s="15"/>
      <c r="DLN309" s="13"/>
      <c r="DLO309" s="35"/>
      <c r="DLP309" s="35"/>
      <c r="DLQ309" s="15"/>
      <c r="DLS309" s="13"/>
      <c r="DLT309" s="35"/>
      <c r="DLU309" s="35"/>
      <c r="DLV309" s="15"/>
      <c r="DLX309" s="13"/>
      <c r="DLY309" s="35"/>
      <c r="DLZ309" s="35"/>
      <c r="DMA309" s="15"/>
      <c r="DMC309" s="13"/>
      <c r="DMD309" s="35"/>
      <c r="DME309" s="35"/>
      <c r="DMF309" s="15"/>
      <c r="DMH309" s="13"/>
      <c r="DMI309" s="35"/>
      <c r="DMJ309" s="35"/>
      <c r="DMK309" s="15"/>
      <c r="DMM309" s="13"/>
      <c r="DMN309" s="35"/>
      <c r="DMO309" s="35"/>
      <c r="DMP309" s="15"/>
      <c r="DMR309" s="13"/>
      <c r="DMS309" s="35"/>
      <c r="DMT309" s="35"/>
      <c r="DMU309" s="15"/>
      <c r="DMW309" s="13"/>
      <c r="DMX309" s="35"/>
      <c r="DMY309" s="35"/>
      <c r="DMZ309" s="15"/>
      <c r="DNB309" s="13"/>
      <c r="DNC309" s="35"/>
      <c r="DND309" s="35"/>
      <c r="DNE309" s="15"/>
      <c r="DNG309" s="13"/>
      <c r="DNH309" s="35"/>
      <c r="DNI309" s="35"/>
      <c r="DNJ309" s="15"/>
      <c r="DNL309" s="13"/>
      <c r="DNM309" s="35"/>
      <c r="DNN309" s="35"/>
      <c r="DNO309" s="15"/>
      <c r="DNQ309" s="13"/>
      <c r="DNR309" s="35"/>
      <c r="DNS309" s="35"/>
      <c r="DNT309" s="15"/>
      <c r="DNV309" s="13"/>
      <c r="DNW309" s="35"/>
      <c r="DNX309" s="35"/>
      <c r="DNY309" s="15"/>
      <c r="DOA309" s="13"/>
      <c r="DOB309" s="35"/>
      <c r="DOC309" s="35"/>
      <c r="DOD309" s="15"/>
      <c r="DOF309" s="13"/>
      <c r="DOG309" s="35"/>
      <c r="DOH309" s="35"/>
      <c r="DOI309" s="15"/>
      <c r="DOK309" s="13"/>
      <c r="DOL309" s="35"/>
      <c r="DOM309" s="35"/>
      <c r="DON309" s="15"/>
      <c r="DOP309" s="13"/>
      <c r="DOQ309" s="35"/>
      <c r="DOR309" s="35"/>
      <c r="DOS309" s="15"/>
      <c r="DOU309" s="13"/>
      <c r="DOV309" s="35"/>
      <c r="DOW309" s="35"/>
      <c r="DOX309" s="15"/>
      <c r="DOZ309" s="13"/>
      <c r="DPA309" s="35"/>
      <c r="DPB309" s="35"/>
      <c r="DPC309" s="15"/>
      <c r="DPE309" s="13"/>
      <c r="DPF309" s="35"/>
      <c r="DPG309" s="35"/>
      <c r="DPH309" s="15"/>
      <c r="DPJ309" s="13"/>
      <c r="DPK309" s="35"/>
      <c r="DPL309" s="35"/>
      <c r="DPM309" s="15"/>
      <c r="DPO309" s="13"/>
      <c r="DPP309" s="35"/>
      <c r="DPQ309" s="35"/>
      <c r="DPR309" s="15"/>
      <c r="DPT309" s="13"/>
      <c r="DPU309" s="35"/>
      <c r="DPV309" s="35"/>
      <c r="DPW309" s="15"/>
      <c r="DPY309" s="13"/>
      <c r="DPZ309" s="35"/>
      <c r="DQA309" s="35"/>
      <c r="DQB309" s="15"/>
      <c r="DQD309" s="13"/>
      <c r="DQE309" s="35"/>
      <c r="DQF309" s="35"/>
      <c r="DQG309" s="15"/>
      <c r="DQI309" s="13"/>
      <c r="DQJ309" s="35"/>
      <c r="DQK309" s="35"/>
      <c r="DQL309" s="15"/>
      <c r="DQN309" s="13"/>
      <c r="DQO309" s="35"/>
      <c r="DQP309" s="35"/>
      <c r="DQQ309" s="15"/>
      <c r="DQS309" s="13"/>
      <c r="DQT309" s="35"/>
      <c r="DQU309" s="35"/>
      <c r="DQV309" s="15"/>
      <c r="DQX309" s="13"/>
      <c r="DQY309" s="35"/>
      <c r="DQZ309" s="35"/>
      <c r="DRA309" s="15"/>
      <c r="DRC309" s="13"/>
      <c r="DRD309" s="35"/>
      <c r="DRE309" s="35"/>
      <c r="DRF309" s="15"/>
      <c r="DRH309" s="13"/>
      <c r="DRI309" s="35"/>
      <c r="DRJ309" s="35"/>
      <c r="DRK309" s="15"/>
      <c r="DRM309" s="13"/>
      <c r="DRN309" s="35"/>
      <c r="DRO309" s="35"/>
      <c r="DRP309" s="15"/>
      <c r="DRR309" s="13"/>
      <c r="DRS309" s="35"/>
      <c r="DRT309" s="35"/>
      <c r="DRU309" s="15"/>
      <c r="DRW309" s="13"/>
      <c r="DRX309" s="35"/>
      <c r="DRY309" s="35"/>
      <c r="DRZ309" s="15"/>
      <c r="DSB309" s="13"/>
      <c r="DSC309" s="35"/>
      <c r="DSD309" s="35"/>
      <c r="DSE309" s="15"/>
      <c r="DSG309" s="13"/>
      <c r="DSH309" s="35"/>
      <c r="DSI309" s="35"/>
      <c r="DSJ309" s="15"/>
      <c r="DSL309" s="13"/>
      <c r="DSM309" s="35"/>
      <c r="DSN309" s="35"/>
      <c r="DSO309" s="15"/>
      <c r="DSQ309" s="13"/>
      <c r="DSR309" s="35"/>
      <c r="DSS309" s="35"/>
      <c r="DST309" s="15"/>
      <c r="DSV309" s="13"/>
      <c r="DSW309" s="35"/>
      <c r="DSX309" s="35"/>
      <c r="DSY309" s="15"/>
      <c r="DTA309" s="13"/>
      <c r="DTB309" s="35"/>
      <c r="DTC309" s="35"/>
      <c r="DTD309" s="15"/>
      <c r="DTF309" s="13"/>
      <c r="DTG309" s="35"/>
      <c r="DTH309" s="35"/>
      <c r="DTI309" s="15"/>
      <c r="DTK309" s="13"/>
      <c r="DTL309" s="35"/>
      <c r="DTM309" s="35"/>
      <c r="DTN309" s="15"/>
      <c r="DTP309" s="13"/>
      <c r="DTQ309" s="35"/>
      <c r="DTR309" s="35"/>
      <c r="DTS309" s="15"/>
      <c r="DTU309" s="13"/>
      <c r="DTV309" s="35"/>
      <c r="DTW309" s="35"/>
      <c r="DTX309" s="15"/>
      <c r="DTZ309" s="13"/>
      <c r="DUA309" s="35"/>
      <c r="DUB309" s="35"/>
      <c r="DUC309" s="15"/>
      <c r="DUE309" s="13"/>
      <c r="DUF309" s="35"/>
      <c r="DUG309" s="35"/>
      <c r="DUH309" s="15"/>
      <c r="DUJ309" s="13"/>
      <c r="DUK309" s="35"/>
      <c r="DUL309" s="35"/>
      <c r="DUM309" s="15"/>
      <c r="DUO309" s="13"/>
      <c r="DUP309" s="35"/>
      <c r="DUQ309" s="35"/>
      <c r="DUR309" s="15"/>
      <c r="DUT309" s="13"/>
      <c r="DUU309" s="35"/>
      <c r="DUV309" s="35"/>
      <c r="DUW309" s="15"/>
      <c r="DUY309" s="13"/>
      <c r="DUZ309" s="35"/>
      <c r="DVA309" s="35"/>
      <c r="DVB309" s="15"/>
      <c r="DVD309" s="13"/>
      <c r="DVE309" s="35"/>
      <c r="DVF309" s="35"/>
      <c r="DVG309" s="15"/>
      <c r="DVI309" s="13"/>
      <c r="DVJ309" s="35"/>
      <c r="DVK309" s="35"/>
      <c r="DVL309" s="15"/>
      <c r="DVN309" s="13"/>
      <c r="DVO309" s="35"/>
      <c r="DVP309" s="35"/>
      <c r="DVQ309" s="15"/>
      <c r="DVS309" s="13"/>
      <c r="DVT309" s="35"/>
      <c r="DVU309" s="35"/>
      <c r="DVV309" s="15"/>
      <c r="DVX309" s="13"/>
      <c r="DVY309" s="35"/>
      <c r="DVZ309" s="35"/>
      <c r="DWA309" s="15"/>
      <c r="DWC309" s="13"/>
      <c r="DWD309" s="35"/>
      <c r="DWE309" s="35"/>
      <c r="DWF309" s="15"/>
      <c r="DWH309" s="13"/>
      <c r="DWI309" s="35"/>
      <c r="DWJ309" s="35"/>
      <c r="DWK309" s="15"/>
      <c r="DWM309" s="13"/>
      <c r="DWN309" s="35"/>
      <c r="DWO309" s="35"/>
      <c r="DWP309" s="15"/>
      <c r="DWR309" s="13"/>
      <c r="DWS309" s="35"/>
      <c r="DWT309" s="35"/>
      <c r="DWU309" s="15"/>
      <c r="DWW309" s="13"/>
      <c r="DWX309" s="35"/>
      <c r="DWY309" s="35"/>
      <c r="DWZ309" s="15"/>
      <c r="DXB309" s="13"/>
      <c r="DXC309" s="35"/>
      <c r="DXD309" s="35"/>
      <c r="DXE309" s="15"/>
      <c r="DXG309" s="13"/>
      <c r="DXH309" s="35"/>
      <c r="DXI309" s="35"/>
      <c r="DXJ309" s="15"/>
      <c r="DXL309" s="13"/>
      <c r="DXM309" s="35"/>
      <c r="DXN309" s="35"/>
      <c r="DXO309" s="15"/>
      <c r="DXQ309" s="13"/>
      <c r="DXR309" s="35"/>
      <c r="DXS309" s="35"/>
      <c r="DXT309" s="15"/>
      <c r="DXV309" s="13"/>
      <c r="DXW309" s="35"/>
      <c r="DXX309" s="35"/>
      <c r="DXY309" s="15"/>
      <c r="DYA309" s="13"/>
      <c r="DYB309" s="35"/>
      <c r="DYC309" s="35"/>
      <c r="DYD309" s="15"/>
      <c r="DYF309" s="13"/>
      <c r="DYG309" s="35"/>
      <c r="DYH309" s="35"/>
      <c r="DYI309" s="15"/>
      <c r="DYK309" s="13"/>
      <c r="DYL309" s="35"/>
      <c r="DYM309" s="35"/>
      <c r="DYN309" s="15"/>
      <c r="DYP309" s="13"/>
      <c r="DYQ309" s="35"/>
      <c r="DYR309" s="35"/>
      <c r="DYS309" s="15"/>
      <c r="DYU309" s="13"/>
      <c r="DYV309" s="35"/>
      <c r="DYW309" s="35"/>
      <c r="DYX309" s="15"/>
      <c r="DYZ309" s="13"/>
      <c r="DZA309" s="35"/>
      <c r="DZB309" s="35"/>
      <c r="DZC309" s="15"/>
      <c r="DZE309" s="13"/>
      <c r="DZF309" s="35"/>
      <c r="DZG309" s="35"/>
      <c r="DZH309" s="15"/>
      <c r="DZJ309" s="13"/>
      <c r="DZK309" s="35"/>
      <c r="DZL309" s="35"/>
      <c r="DZM309" s="15"/>
      <c r="DZO309" s="13"/>
      <c r="DZP309" s="35"/>
      <c r="DZQ309" s="35"/>
      <c r="DZR309" s="15"/>
      <c r="DZT309" s="13"/>
      <c r="DZU309" s="35"/>
      <c r="DZV309" s="35"/>
      <c r="DZW309" s="15"/>
      <c r="DZY309" s="13"/>
      <c r="DZZ309" s="35"/>
      <c r="EAA309" s="35"/>
      <c r="EAB309" s="15"/>
      <c r="EAD309" s="13"/>
      <c r="EAE309" s="35"/>
      <c r="EAF309" s="35"/>
      <c r="EAG309" s="15"/>
      <c r="EAI309" s="13"/>
      <c r="EAJ309" s="35"/>
      <c r="EAK309" s="35"/>
      <c r="EAL309" s="15"/>
      <c r="EAN309" s="13"/>
      <c r="EAO309" s="35"/>
      <c r="EAP309" s="35"/>
      <c r="EAQ309" s="15"/>
      <c r="EAS309" s="13"/>
      <c r="EAT309" s="35"/>
      <c r="EAU309" s="35"/>
      <c r="EAV309" s="15"/>
      <c r="EAX309" s="13"/>
      <c r="EAY309" s="35"/>
      <c r="EAZ309" s="35"/>
      <c r="EBA309" s="15"/>
      <c r="EBC309" s="13"/>
      <c r="EBD309" s="35"/>
      <c r="EBE309" s="35"/>
      <c r="EBF309" s="15"/>
      <c r="EBH309" s="13"/>
      <c r="EBI309" s="35"/>
      <c r="EBJ309" s="35"/>
      <c r="EBK309" s="15"/>
      <c r="EBM309" s="13"/>
      <c r="EBN309" s="35"/>
      <c r="EBO309" s="35"/>
      <c r="EBP309" s="15"/>
      <c r="EBR309" s="13"/>
      <c r="EBS309" s="35"/>
      <c r="EBT309" s="35"/>
      <c r="EBU309" s="15"/>
      <c r="EBW309" s="13"/>
      <c r="EBX309" s="35"/>
      <c r="EBY309" s="35"/>
      <c r="EBZ309" s="15"/>
      <c r="ECB309" s="13"/>
      <c r="ECC309" s="35"/>
      <c r="ECD309" s="35"/>
      <c r="ECE309" s="15"/>
      <c r="ECG309" s="13"/>
      <c r="ECH309" s="35"/>
      <c r="ECI309" s="35"/>
      <c r="ECJ309" s="15"/>
      <c r="ECL309" s="13"/>
      <c r="ECM309" s="35"/>
      <c r="ECN309" s="35"/>
      <c r="ECO309" s="15"/>
      <c r="ECQ309" s="13"/>
      <c r="ECR309" s="35"/>
      <c r="ECS309" s="35"/>
      <c r="ECT309" s="15"/>
      <c r="ECV309" s="13"/>
      <c r="ECW309" s="35"/>
      <c r="ECX309" s="35"/>
      <c r="ECY309" s="15"/>
      <c r="EDA309" s="13"/>
      <c r="EDB309" s="35"/>
      <c r="EDC309" s="35"/>
      <c r="EDD309" s="15"/>
      <c r="EDF309" s="13"/>
      <c r="EDG309" s="35"/>
      <c r="EDH309" s="35"/>
      <c r="EDI309" s="15"/>
      <c r="EDK309" s="13"/>
      <c r="EDL309" s="35"/>
      <c r="EDM309" s="35"/>
      <c r="EDN309" s="15"/>
      <c r="EDP309" s="13"/>
      <c r="EDQ309" s="35"/>
      <c r="EDR309" s="35"/>
      <c r="EDS309" s="15"/>
      <c r="EDU309" s="13"/>
      <c r="EDV309" s="35"/>
      <c r="EDW309" s="35"/>
      <c r="EDX309" s="15"/>
      <c r="EDZ309" s="13"/>
      <c r="EEA309" s="35"/>
      <c r="EEB309" s="35"/>
      <c r="EEC309" s="15"/>
      <c r="EEE309" s="13"/>
      <c r="EEF309" s="35"/>
      <c r="EEG309" s="35"/>
      <c r="EEH309" s="15"/>
      <c r="EEJ309" s="13"/>
      <c r="EEK309" s="35"/>
      <c r="EEL309" s="35"/>
      <c r="EEM309" s="15"/>
      <c r="EEO309" s="13"/>
      <c r="EEP309" s="35"/>
      <c r="EEQ309" s="35"/>
      <c r="EER309" s="15"/>
      <c r="EET309" s="13"/>
      <c r="EEU309" s="35"/>
      <c r="EEV309" s="35"/>
      <c r="EEW309" s="15"/>
      <c r="EEY309" s="13"/>
      <c r="EEZ309" s="35"/>
      <c r="EFA309" s="35"/>
      <c r="EFB309" s="15"/>
      <c r="EFD309" s="13"/>
      <c r="EFE309" s="35"/>
      <c r="EFF309" s="35"/>
      <c r="EFG309" s="15"/>
      <c r="EFI309" s="13"/>
      <c r="EFJ309" s="35"/>
      <c r="EFK309" s="35"/>
      <c r="EFL309" s="15"/>
      <c r="EFN309" s="13"/>
      <c r="EFO309" s="35"/>
      <c r="EFP309" s="35"/>
      <c r="EFQ309" s="15"/>
      <c r="EFS309" s="13"/>
      <c r="EFT309" s="35"/>
      <c r="EFU309" s="35"/>
      <c r="EFV309" s="15"/>
      <c r="EFX309" s="13"/>
      <c r="EFY309" s="35"/>
      <c r="EFZ309" s="35"/>
      <c r="EGA309" s="15"/>
      <c r="EGC309" s="13"/>
      <c r="EGD309" s="35"/>
      <c r="EGE309" s="35"/>
      <c r="EGF309" s="15"/>
      <c r="EGH309" s="13"/>
      <c r="EGI309" s="35"/>
      <c r="EGJ309" s="35"/>
      <c r="EGK309" s="15"/>
      <c r="EGM309" s="13"/>
      <c r="EGN309" s="35"/>
      <c r="EGO309" s="35"/>
      <c r="EGP309" s="15"/>
      <c r="EGR309" s="13"/>
      <c r="EGS309" s="35"/>
      <c r="EGT309" s="35"/>
      <c r="EGU309" s="15"/>
      <c r="EGW309" s="13"/>
      <c r="EGX309" s="35"/>
      <c r="EGY309" s="35"/>
      <c r="EGZ309" s="15"/>
      <c r="EHB309" s="13"/>
      <c r="EHC309" s="35"/>
      <c r="EHD309" s="35"/>
      <c r="EHE309" s="15"/>
      <c r="EHG309" s="13"/>
      <c r="EHH309" s="35"/>
      <c r="EHI309" s="35"/>
      <c r="EHJ309" s="15"/>
      <c r="EHL309" s="13"/>
      <c r="EHM309" s="35"/>
      <c r="EHN309" s="35"/>
      <c r="EHO309" s="15"/>
      <c r="EHQ309" s="13"/>
      <c r="EHR309" s="35"/>
      <c r="EHS309" s="35"/>
      <c r="EHT309" s="15"/>
      <c r="EHV309" s="13"/>
      <c r="EHW309" s="35"/>
      <c r="EHX309" s="35"/>
      <c r="EHY309" s="15"/>
      <c r="EIA309" s="13"/>
      <c r="EIB309" s="35"/>
      <c r="EIC309" s="35"/>
      <c r="EID309" s="15"/>
      <c r="EIF309" s="13"/>
      <c r="EIG309" s="35"/>
      <c r="EIH309" s="35"/>
      <c r="EII309" s="15"/>
      <c r="EIK309" s="13"/>
      <c r="EIL309" s="35"/>
      <c r="EIM309" s="35"/>
      <c r="EIN309" s="15"/>
      <c r="EIP309" s="13"/>
      <c r="EIQ309" s="35"/>
      <c r="EIR309" s="35"/>
      <c r="EIS309" s="15"/>
      <c r="EIU309" s="13"/>
      <c r="EIV309" s="35"/>
      <c r="EIW309" s="35"/>
      <c r="EIX309" s="15"/>
      <c r="EIZ309" s="13"/>
      <c r="EJA309" s="35"/>
      <c r="EJB309" s="35"/>
      <c r="EJC309" s="15"/>
      <c r="EJE309" s="13"/>
      <c r="EJF309" s="35"/>
      <c r="EJG309" s="35"/>
      <c r="EJH309" s="15"/>
      <c r="EJJ309" s="13"/>
      <c r="EJK309" s="35"/>
      <c r="EJL309" s="35"/>
      <c r="EJM309" s="15"/>
      <c r="EJO309" s="13"/>
      <c r="EJP309" s="35"/>
      <c r="EJQ309" s="35"/>
      <c r="EJR309" s="15"/>
      <c r="EJT309" s="13"/>
      <c r="EJU309" s="35"/>
      <c r="EJV309" s="35"/>
      <c r="EJW309" s="15"/>
      <c r="EJY309" s="13"/>
      <c r="EJZ309" s="35"/>
      <c r="EKA309" s="35"/>
      <c r="EKB309" s="15"/>
      <c r="EKD309" s="13"/>
      <c r="EKE309" s="35"/>
      <c r="EKF309" s="35"/>
      <c r="EKG309" s="15"/>
      <c r="EKI309" s="13"/>
      <c r="EKJ309" s="35"/>
      <c r="EKK309" s="35"/>
      <c r="EKL309" s="15"/>
      <c r="EKN309" s="13"/>
      <c r="EKO309" s="35"/>
      <c r="EKP309" s="35"/>
      <c r="EKQ309" s="15"/>
      <c r="EKS309" s="13"/>
      <c r="EKT309" s="35"/>
      <c r="EKU309" s="35"/>
      <c r="EKV309" s="15"/>
      <c r="EKX309" s="13"/>
      <c r="EKY309" s="35"/>
      <c r="EKZ309" s="35"/>
      <c r="ELA309" s="15"/>
      <c r="ELC309" s="13"/>
      <c r="ELD309" s="35"/>
      <c r="ELE309" s="35"/>
      <c r="ELF309" s="15"/>
      <c r="ELH309" s="13"/>
      <c r="ELI309" s="35"/>
      <c r="ELJ309" s="35"/>
      <c r="ELK309" s="15"/>
      <c r="ELM309" s="13"/>
      <c r="ELN309" s="35"/>
      <c r="ELO309" s="35"/>
      <c r="ELP309" s="15"/>
      <c r="ELR309" s="13"/>
      <c r="ELS309" s="35"/>
      <c r="ELT309" s="35"/>
      <c r="ELU309" s="15"/>
      <c r="ELW309" s="13"/>
      <c r="ELX309" s="35"/>
      <c r="ELY309" s="35"/>
      <c r="ELZ309" s="15"/>
      <c r="EMB309" s="13"/>
      <c r="EMC309" s="35"/>
      <c r="EMD309" s="35"/>
      <c r="EME309" s="15"/>
      <c r="EMG309" s="13"/>
      <c r="EMH309" s="35"/>
      <c r="EMI309" s="35"/>
      <c r="EMJ309" s="15"/>
      <c r="EML309" s="13"/>
      <c r="EMM309" s="35"/>
      <c r="EMN309" s="35"/>
      <c r="EMO309" s="15"/>
      <c r="EMQ309" s="13"/>
      <c r="EMR309" s="35"/>
      <c r="EMS309" s="35"/>
      <c r="EMT309" s="15"/>
      <c r="EMV309" s="13"/>
      <c r="EMW309" s="35"/>
      <c r="EMX309" s="35"/>
      <c r="EMY309" s="15"/>
      <c r="ENA309" s="13"/>
      <c r="ENB309" s="35"/>
      <c r="ENC309" s="35"/>
      <c r="END309" s="15"/>
      <c r="ENF309" s="13"/>
      <c r="ENG309" s="35"/>
      <c r="ENH309" s="35"/>
      <c r="ENI309" s="15"/>
      <c r="ENK309" s="13"/>
      <c r="ENL309" s="35"/>
      <c r="ENM309" s="35"/>
      <c r="ENN309" s="15"/>
      <c r="ENP309" s="13"/>
      <c r="ENQ309" s="35"/>
      <c r="ENR309" s="35"/>
      <c r="ENS309" s="15"/>
      <c r="ENU309" s="13"/>
      <c r="ENV309" s="35"/>
      <c r="ENW309" s="35"/>
      <c r="ENX309" s="15"/>
      <c r="ENZ309" s="13"/>
      <c r="EOA309" s="35"/>
      <c r="EOB309" s="35"/>
      <c r="EOC309" s="15"/>
      <c r="EOE309" s="13"/>
      <c r="EOF309" s="35"/>
      <c r="EOG309" s="35"/>
      <c r="EOH309" s="15"/>
      <c r="EOJ309" s="13"/>
      <c r="EOK309" s="35"/>
      <c r="EOL309" s="35"/>
      <c r="EOM309" s="15"/>
      <c r="EOO309" s="13"/>
      <c r="EOP309" s="35"/>
      <c r="EOQ309" s="35"/>
      <c r="EOR309" s="15"/>
      <c r="EOT309" s="13"/>
      <c r="EOU309" s="35"/>
      <c r="EOV309" s="35"/>
      <c r="EOW309" s="15"/>
      <c r="EOY309" s="13"/>
      <c r="EOZ309" s="35"/>
      <c r="EPA309" s="35"/>
      <c r="EPB309" s="15"/>
      <c r="EPD309" s="13"/>
      <c r="EPE309" s="35"/>
      <c r="EPF309" s="35"/>
      <c r="EPG309" s="15"/>
      <c r="EPI309" s="13"/>
      <c r="EPJ309" s="35"/>
      <c r="EPK309" s="35"/>
      <c r="EPL309" s="15"/>
      <c r="EPN309" s="13"/>
      <c r="EPO309" s="35"/>
      <c r="EPP309" s="35"/>
      <c r="EPQ309" s="15"/>
      <c r="EPS309" s="13"/>
      <c r="EPT309" s="35"/>
      <c r="EPU309" s="35"/>
      <c r="EPV309" s="15"/>
      <c r="EPX309" s="13"/>
      <c r="EPY309" s="35"/>
      <c r="EPZ309" s="35"/>
      <c r="EQA309" s="15"/>
      <c r="EQC309" s="13"/>
      <c r="EQD309" s="35"/>
      <c r="EQE309" s="35"/>
      <c r="EQF309" s="15"/>
      <c r="EQH309" s="13"/>
      <c r="EQI309" s="35"/>
      <c r="EQJ309" s="35"/>
      <c r="EQK309" s="15"/>
      <c r="EQM309" s="13"/>
      <c r="EQN309" s="35"/>
      <c r="EQO309" s="35"/>
      <c r="EQP309" s="15"/>
      <c r="EQR309" s="13"/>
      <c r="EQS309" s="35"/>
      <c r="EQT309" s="35"/>
      <c r="EQU309" s="15"/>
      <c r="EQW309" s="13"/>
      <c r="EQX309" s="35"/>
      <c r="EQY309" s="35"/>
      <c r="EQZ309" s="15"/>
      <c r="ERB309" s="13"/>
      <c r="ERC309" s="35"/>
      <c r="ERD309" s="35"/>
      <c r="ERE309" s="15"/>
      <c r="ERG309" s="13"/>
      <c r="ERH309" s="35"/>
      <c r="ERI309" s="35"/>
      <c r="ERJ309" s="15"/>
      <c r="ERL309" s="13"/>
      <c r="ERM309" s="35"/>
      <c r="ERN309" s="35"/>
      <c r="ERO309" s="15"/>
      <c r="ERQ309" s="13"/>
      <c r="ERR309" s="35"/>
      <c r="ERS309" s="35"/>
      <c r="ERT309" s="15"/>
      <c r="ERV309" s="13"/>
      <c r="ERW309" s="35"/>
      <c r="ERX309" s="35"/>
      <c r="ERY309" s="15"/>
      <c r="ESA309" s="13"/>
      <c r="ESB309" s="35"/>
      <c r="ESC309" s="35"/>
      <c r="ESD309" s="15"/>
      <c r="ESF309" s="13"/>
      <c r="ESG309" s="35"/>
      <c r="ESH309" s="35"/>
      <c r="ESI309" s="15"/>
      <c r="ESK309" s="13"/>
      <c r="ESL309" s="35"/>
      <c r="ESM309" s="35"/>
      <c r="ESN309" s="15"/>
      <c r="ESP309" s="13"/>
      <c r="ESQ309" s="35"/>
      <c r="ESR309" s="35"/>
      <c r="ESS309" s="15"/>
      <c r="ESU309" s="13"/>
      <c r="ESV309" s="35"/>
      <c r="ESW309" s="35"/>
      <c r="ESX309" s="15"/>
      <c r="ESZ309" s="13"/>
      <c r="ETA309" s="35"/>
      <c r="ETB309" s="35"/>
      <c r="ETC309" s="15"/>
      <c r="ETE309" s="13"/>
      <c r="ETF309" s="35"/>
      <c r="ETG309" s="35"/>
      <c r="ETH309" s="15"/>
      <c r="ETJ309" s="13"/>
      <c r="ETK309" s="35"/>
      <c r="ETL309" s="35"/>
      <c r="ETM309" s="15"/>
      <c r="ETO309" s="13"/>
      <c r="ETP309" s="35"/>
      <c r="ETQ309" s="35"/>
      <c r="ETR309" s="15"/>
      <c r="ETT309" s="13"/>
      <c r="ETU309" s="35"/>
      <c r="ETV309" s="35"/>
      <c r="ETW309" s="15"/>
      <c r="ETY309" s="13"/>
      <c r="ETZ309" s="35"/>
      <c r="EUA309" s="35"/>
      <c r="EUB309" s="15"/>
      <c r="EUD309" s="13"/>
      <c r="EUE309" s="35"/>
      <c r="EUF309" s="35"/>
      <c r="EUG309" s="15"/>
      <c r="EUI309" s="13"/>
      <c r="EUJ309" s="35"/>
      <c r="EUK309" s="35"/>
      <c r="EUL309" s="15"/>
      <c r="EUN309" s="13"/>
      <c r="EUO309" s="35"/>
      <c r="EUP309" s="35"/>
      <c r="EUQ309" s="15"/>
      <c r="EUS309" s="13"/>
      <c r="EUT309" s="35"/>
      <c r="EUU309" s="35"/>
      <c r="EUV309" s="15"/>
      <c r="EUX309" s="13"/>
      <c r="EUY309" s="35"/>
      <c r="EUZ309" s="35"/>
      <c r="EVA309" s="15"/>
      <c r="EVC309" s="13"/>
      <c r="EVD309" s="35"/>
      <c r="EVE309" s="35"/>
      <c r="EVF309" s="15"/>
      <c r="EVH309" s="13"/>
      <c r="EVI309" s="35"/>
      <c r="EVJ309" s="35"/>
      <c r="EVK309" s="15"/>
      <c r="EVM309" s="13"/>
      <c r="EVN309" s="35"/>
      <c r="EVO309" s="35"/>
      <c r="EVP309" s="15"/>
      <c r="EVR309" s="13"/>
      <c r="EVS309" s="35"/>
      <c r="EVT309" s="35"/>
      <c r="EVU309" s="15"/>
      <c r="EVW309" s="13"/>
      <c r="EVX309" s="35"/>
      <c r="EVY309" s="35"/>
      <c r="EVZ309" s="15"/>
      <c r="EWB309" s="13"/>
      <c r="EWC309" s="35"/>
      <c r="EWD309" s="35"/>
      <c r="EWE309" s="15"/>
      <c r="EWG309" s="13"/>
      <c r="EWH309" s="35"/>
      <c r="EWI309" s="35"/>
      <c r="EWJ309" s="15"/>
      <c r="EWL309" s="13"/>
      <c r="EWM309" s="35"/>
      <c r="EWN309" s="35"/>
      <c r="EWO309" s="15"/>
      <c r="EWQ309" s="13"/>
      <c r="EWR309" s="35"/>
      <c r="EWS309" s="35"/>
      <c r="EWT309" s="15"/>
      <c r="EWV309" s="13"/>
      <c r="EWW309" s="35"/>
      <c r="EWX309" s="35"/>
      <c r="EWY309" s="15"/>
      <c r="EXA309" s="13"/>
      <c r="EXB309" s="35"/>
      <c r="EXC309" s="35"/>
      <c r="EXD309" s="15"/>
      <c r="EXF309" s="13"/>
      <c r="EXG309" s="35"/>
      <c r="EXH309" s="35"/>
      <c r="EXI309" s="15"/>
      <c r="EXK309" s="13"/>
      <c r="EXL309" s="35"/>
      <c r="EXM309" s="35"/>
      <c r="EXN309" s="15"/>
      <c r="EXP309" s="13"/>
      <c r="EXQ309" s="35"/>
      <c r="EXR309" s="35"/>
      <c r="EXS309" s="15"/>
      <c r="EXU309" s="13"/>
      <c r="EXV309" s="35"/>
      <c r="EXW309" s="35"/>
      <c r="EXX309" s="15"/>
      <c r="EXZ309" s="13"/>
      <c r="EYA309" s="35"/>
      <c r="EYB309" s="35"/>
      <c r="EYC309" s="15"/>
      <c r="EYE309" s="13"/>
      <c r="EYF309" s="35"/>
      <c r="EYG309" s="35"/>
      <c r="EYH309" s="15"/>
      <c r="EYJ309" s="13"/>
      <c r="EYK309" s="35"/>
      <c r="EYL309" s="35"/>
      <c r="EYM309" s="15"/>
      <c r="EYO309" s="13"/>
      <c r="EYP309" s="35"/>
      <c r="EYQ309" s="35"/>
      <c r="EYR309" s="15"/>
      <c r="EYT309" s="13"/>
      <c r="EYU309" s="35"/>
      <c r="EYV309" s="35"/>
      <c r="EYW309" s="15"/>
      <c r="EYY309" s="13"/>
      <c r="EYZ309" s="35"/>
      <c r="EZA309" s="35"/>
      <c r="EZB309" s="15"/>
      <c r="EZD309" s="13"/>
      <c r="EZE309" s="35"/>
      <c r="EZF309" s="35"/>
      <c r="EZG309" s="15"/>
      <c r="EZI309" s="13"/>
      <c r="EZJ309" s="35"/>
      <c r="EZK309" s="35"/>
      <c r="EZL309" s="15"/>
      <c r="EZN309" s="13"/>
      <c r="EZO309" s="35"/>
      <c r="EZP309" s="35"/>
      <c r="EZQ309" s="15"/>
      <c r="EZS309" s="13"/>
      <c r="EZT309" s="35"/>
      <c r="EZU309" s="35"/>
      <c r="EZV309" s="15"/>
      <c r="EZX309" s="13"/>
      <c r="EZY309" s="35"/>
      <c r="EZZ309" s="35"/>
      <c r="FAA309" s="15"/>
      <c r="FAC309" s="13"/>
      <c r="FAD309" s="35"/>
      <c r="FAE309" s="35"/>
      <c r="FAF309" s="15"/>
      <c r="FAH309" s="13"/>
      <c r="FAI309" s="35"/>
      <c r="FAJ309" s="35"/>
      <c r="FAK309" s="15"/>
      <c r="FAM309" s="13"/>
      <c r="FAN309" s="35"/>
      <c r="FAO309" s="35"/>
      <c r="FAP309" s="15"/>
      <c r="FAR309" s="13"/>
      <c r="FAS309" s="35"/>
      <c r="FAT309" s="35"/>
      <c r="FAU309" s="15"/>
      <c r="FAW309" s="13"/>
      <c r="FAX309" s="35"/>
      <c r="FAY309" s="35"/>
      <c r="FAZ309" s="15"/>
      <c r="FBB309" s="13"/>
      <c r="FBC309" s="35"/>
      <c r="FBD309" s="35"/>
      <c r="FBE309" s="15"/>
      <c r="FBG309" s="13"/>
      <c r="FBH309" s="35"/>
      <c r="FBI309" s="35"/>
      <c r="FBJ309" s="15"/>
      <c r="FBL309" s="13"/>
      <c r="FBM309" s="35"/>
      <c r="FBN309" s="35"/>
      <c r="FBO309" s="15"/>
      <c r="FBQ309" s="13"/>
      <c r="FBR309" s="35"/>
      <c r="FBS309" s="35"/>
      <c r="FBT309" s="15"/>
      <c r="FBV309" s="13"/>
      <c r="FBW309" s="35"/>
      <c r="FBX309" s="35"/>
      <c r="FBY309" s="15"/>
      <c r="FCA309" s="13"/>
      <c r="FCB309" s="35"/>
      <c r="FCC309" s="35"/>
      <c r="FCD309" s="15"/>
      <c r="FCF309" s="13"/>
      <c r="FCG309" s="35"/>
      <c r="FCH309" s="35"/>
      <c r="FCI309" s="15"/>
      <c r="FCK309" s="13"/>
      <c r="FCL309" s="35"/>
      <c r="FCM309" s="35"/>
      <c r="FCN309" s="15"/>
      <c r="FCP309" s="13"/>
      <c r="FCQ309" s="35"/>
      <c r="FCR309" s="35"/>
      <c r="FCS309" s="15"/>
      <c r="FCU309" s="13"/>
      <c r="FCV309" s="35"/>
      <c r="FCW309" s="35"/>
      <c r="FCX309" s="15"/>
      <c r="FCZ309" s="13"/>
      <c r="FDA309" s="35"/>
      <c r="FDB309" s="35"/>
      <c r="FDC309" s="15"/>
      <c r="FDE309" s="13"/>
      <c r="FDF309" s="35"/>
      <c r="FDG309" s="35"/>
      <c r="FDH309" s="15"/>
      <c r="FDJ309" s="13"/>
      <c r="FDK309" s="35"/>
      <c r="FDL309" s="35"/>
      <c r="FDM309" s="15"/>
      <c r="FDO309" s="13"/>
      <c r="FDP309" s="35"/>
      <c r="FDQ309" s="35"/>
      <c r="FDR309" s="15"/>
      <c r="FDT309" s="13"/>
      <c r="FDU309" s="35"/>
      <c r="FDV309" s="35"/>
      <c r="FDW309" s="15"/>
      <c r="FDY309" s="13"/>
      <c r="FDZ309" s="35"/>
      <c r="FEA309" s="35"/>
      <c r="FEB309" s="15"/>
      <c r="FED309" s="13"/>
      <c r="FEE309" s="35"/>
      <c r="FEF309" s="35"/>
      <c r="FEG309" s="15"/>
      <c r="FEI309" s="13"/>
      <c r="FEJ309" s="35"/>
      <c r="FEK309" s="35"/>
      <c r="FEL309" s="15"/>
      <c r="FEN309" s="13"/>
      <c r="FEO309" s="35"/>
      <c r="FEP309" s="35"/>
      <c r="FEQ309" s="15"/>
      <c r="FES309" s="13"/>
      <c r="FET309" s="35"/>
      <c r="FEU309" s="35"/>
      <c r="FEV309" s="15"/>
      <c r="FEX309" s="13"/>
      <c r="FEY309" s="35"/>
      <c r="FEZ309" s="35"/>
      <c r="FFA309" s="15"/>
      <c r="FFC309" s="13"/>
      <c r="FFD309" s="35"/>
      <c r="FFE309" s="35"/>
      <c r="FFF309" s="15"/>
      <c r="FFH309" s="13"/>
      <c r="FFI309" s="35"/>
      <c r="FFJ309" s="35"/>
      <c r="FFK309" s="15"/>
      <c r="FFM309" s="13"/>
      <c r="FFN309" s="35"/>
      <c r="FFO309" s="35"/>
      <c r="FFP309" s="15"/>
      <c r="FFR309" s="13"/>
      <c r="FFS309" s="35"/>
      <c r="FFT309" s="35"/>
      <c r="FFU309" s="15"/>
      <c r="FFW309" s="13"/>
      <c r="FFX309" s="35"/>
      <c r="FFY309" s="35"/>
      <c r="FFZ309" s="15"/>
      <c r="FGB309" s="13"/>
      <c r="FGC309" s="35"/>
      <c r="FGD309" s="35"/>
      <c r="FGE309" s="15"/>
      <c r="FGG309" s="13"/>
      <c r="FGH309" s="35"/>
      <c r="FGI309" s="35"/>
      <c r="FGJ309" s="15"/>
      <c r="FGL309" s="13"/>
      <c r="FGM309" s="35"/>
      <c r="FGN309" s="35"/>
      <c r="FGO309" s="15"/>
      <c r="FGQ309" s="13"/>
      <c r="FGR309" s="35"/>
      <c r="FGS309" s="35"/>
      <c r="FGT309" s="15"/>
      <c r="FGV309" s="13"/>
      <c r="FGW309" s="35"/>
      <c r="FGX309" s="35"/>
      <c r="FGY309" s="15"/>
      <c r="FHA309" s="13"/>
      <c r="FHB309" s="35"/>
      <c r="FHC309" s="35"/>
      <c r="FHD309" s="15"/>
      <c r="FHF309" s="13"/>
      <c r="FHG309" s="35"/>
      <c r="FHH309" s="35"/>
      <c r="FHI309" s="15"/>
      <c r="FHK309" s="13"/>
      <c r="FHL309" s="35"/>
      <c r="FHM309" s="35"/>
      <c r="FHN309" s="15"/>
      <c r="FHP309" s="13"/>
      <c r="FHQ309" s="35"/>
      <c r="FHR309" s="35"/>
      <c r="FHS309" s="15"/>
      <c r="FHU309" s="13"/>
      <c r="FHV309" s="35"/>
      <c r="FHW309" s="35"/>
      <c r="FHX309" s="15"/>
      <c r="FHZ309" s="13"/>
      <c r="FIA309" s="35"/>
      <c r="FIB309" s="35"/>
      <c r="FIC309" s="15"/>
      <c r="FIE309" s="13"/>
      <c r="FIF309" s="35"/>
      <c r="FIG309" s="35"/>
      <c r="FIH309" s="15"/>
      <c r="FIJ309" s="13"/>
      <c r="FIK309" s="35"/>
      <c r="FIL309" s="35"/>
      <c r="FIM309" s="15"/>
      <c r="FIO309" s="13"/>
      <c r="FIP309" s="35"/>
      <c r="FIQ309" s="35"/>
      <c r="FIR309" s="15"/>
      <c r="FIT309" s="13"/>
      <c r="FIU309" s="35"/>
      <c r="FIV309" s="35"/>
      <c r="FIW309" s="15"/>
      <c r="FIY309" s="13"/>
      <c r="FIZ309" s="35"/>
      <c r="FJA309" s="35"/>
      <c r="FJB309" s="15"/>
      <c r="FJD309" s="13"/>
      <c r="FJE309" s="35"/>
      <c r="FJF309" s="35"/>
      <c r="FJG309" s="15"/>
      <c r="FJI309" s="13"/>
      <c r="FJJ309" s="35"/>
      <c r="FJK309" s="35"/>
      <c r="FJL309" s="15"/>
      <c r="FJN309" s="13"/>
      <c r="FJO309" s="35"/>
      <c r="FJP309" s="35"/>
      <c r="FJQ309" s="15"/>
      <c r="FJS309" s="13"/>
      <c r="FJT309" s="35"/>
      <c r="FJU309" s="35"/>
      <c r="FJV309" s="15"/>
      <c r="FJX309" s="13"/>
      <c r="FJY309" s="35"/>
      <c r="FJZ309" s="35"/>
      <c r="FKA309" s="15"/>
      <c r="FKC309" s="13"/>
      <c r="FKD309" s="35"/>
      <c r="FKE309" s="35"/>
      <c r="FKF309" s="15"/>
      <c r="FKH309" s="13"/>
      <c r="FKI309" s="35"/>
      <c r="FKJ309" s="35"/>
      <c r="FKK309" s="15"/>
      <c r="FKM309" s="13"/>
      <c r="FKN309" s="35"/>
      <c r="FKO309" s="35"/>
      <c r="FKP309" s="15"/>
      <c r="FKR309" s="13"/>
      <c r="FKS309" s="35"/>
      <c r="FKT309" s="35"/>
      <c r="FKU309" s="15"/>
      <c r="FKW309" s="13"/>
      <c r="FKX309" s="35"/>
      <c r="FKY309" s="35"/>
      <c r="FKZ309" s="15"/>
      <c r="FLB309" s="13"/>
      <c r="FLC309" s="35"/>
      <c r="FLD309" s="35"/>
      <c r="FLE309" s="15"/>
      <c r="FLG309" s="13"/>
      <c r="FLH309" s="35"/>
      <c r="FLI309" s="35"/>
      <c r="FLJ309" s="15"/>
      <c r="FLL309" s="13"/>
      <c r="FLM309" s="35"/>
      <c r="FLN309" s="35"/>
      <c r="FLO309" s="15"/>
      <c r="FLQ309" s="13"/>
      <c r="FLR309" s="35"/>
      <c r="FLS309" s="35"/>
      <c r="FLT309" s="15"/>
      <c r="FLV309" s="13"/>
      <c r="FLW309" s="35"/>
      <c r="FLX309" s="35"/>
      <c r="FLY309" s="15"/>
      <c r="FMA309" s="13"/>
      <c r="FMB309" s="35"/>
      <c r="FMC309" s="35"/>
      <c r="FMD309" s="15"/>
      <c r="FMF309" s="13"/>
      <c r="FMG309" s="35"/>
      <c r="FMH309" s="35"/>
      <c r="FMI309" s="15"/>
      <c r="FMK309" s="13"/>
      <c r="FML309" s="35"/>
      <c r="FMM309" s="35"/>
      <c r="FMN309" s="15"/>
      <c r="FMP309" s="13"/>
      <c r="FMQ309" s="35"/>
      <c r="FMR309" s="35"/>
      <c r="FMS309" s="15"/>
      <c r="FMU309" s="13"/>
      <c r="FMV309" s="35"/>
      <c r="FMW309" s="35"/>
      <c r="FMX309" s="15"/>
      <c r="FMZ309" s="13"/>
      <c r="FNA309" s="35"/>
      <c r="FNB309" s="35"/>
      <c r="FNC309" s="15"/>
      <c r="FNE309" s="13"/>
      <c r="FNF309" s="35"/>
      <c r="FNG309" s="35"/>
      <c r="FNH309" s="15"/>
      <c r="FNJ309" s="13"/>
      <c r="FNK309" s="35"/>
      <c r="FNL309" s="35"/>
      <c r="FNM309" s="15"/>
      <c r="FNO309" s="13"/>
      <c r="FNP309" s="35"/>
      <c r="FNQ309" s="35"/>
      <c r="FNR309" s="15"/>
      <c r="FNT309" s="13"/>
      <c r="FNU309" s="35"/>
      <c r="FNV309" s="35"/>
      <c r="FNW309" s="15"/>
      <c r="FNY309" s="13"/>
      <c r="FNZ309" s="35"/>
      <c r="FOA309" s="35"/>
      <c r="FOB309" s="15"/>
      <c r="FOD309" s="13"/>
      <c r="FOE309" s="35"/>
      <c r="FOF309" s="35"/>
      <c r="FOG309" s="15"/>
      <c r="FOI309" s="13"/>
      <c r="FOJ309" s="35"/>
      <c r="FOK309" s="35"/>
      <c r="FOL309" s="15"/>
      <c r="FON309" s="13"/>
      <c r="FOO309" s="35"/>
      <c r="FOP309" s="35"/>
      <c r="FOQ309" s="15"/>
      <c r="FOS309" s="13"/>
      <c r="FOT309" s="35"/>
      <c r="FOU309" s="35"/>
      <c r="FOV309" s="15"/>
      <c r="FOX309" s="13"/>
      <c r="FOY309" s="35"/>
      <c r="FOZ309" s="35"/>
      <c r="FPA309" s="15"/>
      <c r="FPC309" s="13"/>
      <c r="FPD309" s="35"/>
      <c r="FPE309" s="35"/>
      <c r="FPF309" s="15"/>
      <c r="FPH309" s="13"/>
      <c r="FPI309" s="35"/>
      <c r="FPJ309" s="35"/>
      <c r="FPK309" s="15"/>
      <c r="FPM309" s="13"/>
      <c r="FPN309" s="35"/>
      <c r="FPO309" s="35"/>
      <c r="FPP309" s="15"/>
      <c r="FPR309" s="13"/>
      <c r="FPS309" s="35"/>
      <c r="FPT309" s="35"/>
      <c r="FPU309" s="15"/>
      <c r="FPW309" s="13"/>
      <c r="FPX309" s="35"/>
      <c r="FPY309" s="35"/>
      <c r="FPZ309" s="15"/>
      <c r="FQB309" s="13"/>
      <c r="FQC309" s="35"/>
      <c r="FQD309" s="35"/>
      <c r="FQE309" s="15"/>
      <c r="FQG309" s="13"/>
      <c r="FQH309" s="35"/>
      <c r="FQI309" s="35"/>
      <c r="FQJ309" s="15"/>
      <c r="FQL309" s="13"/>
      <c r="FQM309" s="35"/>
      <c r="FQN309" s="35"/>
      <c r="FQO309" s="15"/>
      <c r="FQQ309" s="13"/>
      <c r="FQR309" s="35"/>
      <c r="FQS309" s="35"/>
      <c r="FQT309" s="15"/>
      <c r="FQV309" s="13"/>
      <c r="FQW309" s="35"/>
      <c r="FQX309" s="35"/>
      <c r="FQY309" s="15"/>
      <c r="FRA309" s="13"/>
      <c r="FRB309" s="35"/>
      <c r="FRC309" s="35"/>
      <c r="FRD309" s="15"/>
      <c r="FRF309" s="13"/>
      <c r="FRG309" s="35"/>
      <c r="FRH309" s="35"/>
      <c r="FRI309" s="15"/>
      <c r="FRK309" s="13"/>
      <c r="FRL309" s="35"/>
      <c r="FRM309" s="35"/>
      <c r="FRN309" s="15"/>
      <c r="FRP309" s="13"/>
      <c r="FRQ309" s="35"/>
      <c r="FRR309" s="35"/>
      <c r="FRS309" s="15"/>
      <c r="FRU309" s="13"/>
      <c r="FRV309" s="35"/>
      <c r="FRW309" s="35"/>
      <c r="FRX309" s="15"/>
      <c r="FRZ309" s="13"/>
      <c r="FSA309" s="35"/>
      <c r="FSB309" s="35"/>
      <c r="FSC309" s="15"/>
      <c r="FSE309" s="13"/>
      <c r="FSF309" s="35"/>
      <c r="FSG309" s="35"/>
      <c r="FSH309" s="15"/>
      <c r="FSJ309" s="13"/>
      <c r="FSK309" s="35"/>
      <c r="FSL309" s="35"/>
      <c r="FSM309" s="15"/>
      <c r="FSO309" s="13"/>
      <c r="FSP309" s="35"/>
      <c r="FSQ309" s="35"/>
      <c r="FSR309" s="15"/>
      <c r="FST309" s="13"/>
      <c r="FSU309" s="35"/>
      <c r="FSV309" s="35"/>
      <c r="FSW309" s="15"/>
      <c r="FSY309" s="13"/>
      <c r="FSZ309" s="35"/>
      <c r="FTA309" s="35"/>
      <c r="FTB309" s="15"/>
      <c r="FTD309" s="13"/>
      <c r="FTE309" s="35"/>
      <c r="FTF309" s="35"/>
      <c r="FTG309" s="15"/>
      <c r="FTI309" s="13"/>
      <c r="FTJ309" s="35"/>
      <c r="FTK309" s="35"/>
      <c r="FTL309" s="15"/>
      <c r="FTN309" s="13"/>
      <c r="FTO309" s="35"/>
      <c r="FTP309" s="35"/>
      <c r="FTQ309" s="15"/>
      <c r="FTS309" s="13"/>
      <c r="FTT309" s="35"/>
      <c r="FTU309" s="35"/>
      <c r="FTV309" s="15"/>
      <c r="FTX309" s="13"/>
      <c r="FTY309" s="35"/>
      <c r="FTZ309" s="35"/>
      <c r="FUA309" s="15"/>
      <c r="FUC309" s="13"/>
      <c r="FUD309" s="35"/>
      <c r="FUE309" s="35"/>
      <c r="FUF309" s="15"/>
      <c r="FUH309" s="13"/>
      <c r="FUI309" s="35"/>
      <c r="FUJ309" s="35"/>
      <c r="FUK309" s="15"/>
      <c r="FUM309" s="13"/>
      <c r="FUN309" s="35"/>
      <c r="FUO309" s="35"/>
      <c r="FUP309" s="15"/>
      <c r="FUR309" s="13"/>
      <c r="FUS309" s="35"/>
      <c r="FUT309" s="35"/>
      <c r="FUU309" s="15"/>
      <c r="FUW309" s="13"/>
      <c r="FUX309" s="35"/>
      <c r="FUY309" s="35"/>
      <c r="FUZ309" s="15"/>
      <c r="FVB309" s="13"/>
      <c r="FVC309" s="35"/>
      <c r="FVD309" s="35"/>
      <c r="FVE309" s="15"/>
      <c r="FVG309" s="13"/>
      <c r="FVH309" s="35"/>
      <c r="FVI309" s="35"/>
      <c r="FVJ309" s="15"/>
      <c r="FVL309" s="13"/>
      <c r="FVM309" s="35"/>
      <c r="FVN309" s="35"/>
      <c r="FVO309" s="15"/>
      <c r="FVQ309" s="13"/>
      <c r="FVR309" s="35"/>
      <c r="FVS309" s="35"/>
      <c r="FVT309" s="15"/>
      <c r="FVV309" s="13"/>
      <c r="FVW309" s="35"/>
      <c r="FVX309" s="35"/>
      <c r="FVY309" s="15"/>
      <c r="FWA309" s="13"/>
      <c r="FWB309" s="35"/>
      <c r="FWC309" s="35"/>
      <c r="FWD309" s="15"/>
      <c r="FWF309" s="13"/>
      <c r="FWG309" s="35"/>
      <c r="FWH309" s="35"/>
      <c r="FWI309" s="15"/>
      <c r="FWK309" s="13"/>
      <c r="FWL309" s="35"/>
      <c r="FWM309" s="35"/>
      <c r="FWN309" s="15"/>
      <c r="FWP309" s="13"/>
      <c r="FWQ309" s="35"/>
      <c r="FWR309" s="35"/>
      <c r="FWS309" s="15"/>
      <c r="FWU309" s="13"/>
      <c r="FWV309" s="35"/>
      <c r="FWW309" s="35"/>
      <c r="FWX309" s="15"/>
      <c r="FWZ309" s="13"/>
      <c r="FXA309" s="35"/>
      <c r="FXB309" s="35"/>
      <c r="FXC309" s="15"/>
      <c r="FXE309" s="13"/>
      <c r="FXF309" s="35"/>
      <c r="FXG309" s="35"/>
      <c r="FXH309" s="15"/>
      <c r="FXJ309" s="13"/>
      <c r="FXK309" s="35"/>
      <c r="FXL309" s="35"/>
      <c r="FXM309" s="15"/>
      <c r="FXO309" s="13"/>
      <c r="FXP309" s="35"/>
      <c r="FXQ309" s="35"/>
      <c r="FXR309" s="15"/>
      <c r="FXT309" s="13"/>
      <c r="FXU309" s="35"/>
      <c r="FXV309" s="35"/>
      <c r="FXW309" s="15"/>
      <c r="FXY309" s="13"/>
      <c r="FXZ309" s="35"/>
      <c r="FYA309" s="35"/>
      <c r="FYB309" s="15"/>
      <c r="FYD309" s="13"/>
      <c r="FYE309" s="35"/>
      <c r="FYF309" s="35"/>
      <c r="FYG309" s="15"/>
      <c r="FYI309" s="13"/>
      <c r="FYJ309" s="35"/>
      <c r="FYK309" s="35"/>
      <c r="FYL309" s="15"/>
      <c r="FYN309" s="13"/>
      <c r="FYO309" s="35"/>
      <c r="FYP309" s="35"/>
      <c r="FYQ309" s="15"/>
      <c r="FYS309" s="13"/>
      <c r="FYT309" s="35"/>
      <c r="FYU309" s="35"/>
      <c r="FYV309" s="15"/>
      <c r="FYX309" s="13"/>
      <c r="FYY309" s="35"/>
      <c r="FYZ309" s="35"/>
      <c r="FZA309" s="15"/>
      <c r="FZC309" s="13"/>
      <c r="FZD309" s="35"/>
      <c r="FZE309" s="35"/>
      <c r="FZF309" s="15"/>
      <c r="FZH309" s="13"/>
      <c r="FZI309" s="35"/>
      <c r="FZJ309" s="35"/>
      <c r="FZK309" s="15"/>
      <c r="FZM309" s="13"/>
      <c r="FZN309" s="35"/>
      <c r="FZO309" s="35"/>
      <c r="FZP309" s="15"/>
      <c r="FZR309" s="13"/>
      <c r="FZS309" s="35"/>
      <c r="FZT309" s="35"/>
      <c r="FZU309" s="15"/>
      <c r="FZW309" s="13"/>
      <c r="FZX309" s="35"/>
      <c r="FZY309" s="35"/>
      <c r="FZZ309" s="15"/>
      <c r="GAB309" s="13"/>
      <c r="GAC309" s="35"/>
      <c r="GAD309" s="35"/>
      <c r="GAE309" s="15"/>
      <c r="GAG309" s="13"/>
      <c r="GAH309" s="35"/>
      <c r="GAI309" s="35"/>
      <c r="GAJ309" s="15"/>
      <c r="GAL309" s="13"/>
      <c r="GAM309" s="35"/>
      <c r="GAN309" s="35"/>
      <c r="GAO309" s="15"/>
      <c r="GAQ309" s="13"/>
      <c r="GAR309" s="35"/>
      <c r="GAS309" s="35"/>
      <c r="GAT309" s="15"/>
      <c r="GAV309" s="13"/>
      <c r="GAW309" s="35"/>
      <c r="GAX309" s="35"/>
      <c r="GAY309" s="15"/>
      <c r="GBA309" s="13"/>
      <c r="GBB309" s="35"/>
      <c r="GBC309" s="35"/>
      <c r="GBD309" s="15"/>
      <c r="GBF309" s="13"/>
      <c r="GBG309" s="35"/>
      <c r="GBH309" s="35"/>
      <c r="GBI309" s="15"/>
      <c r="GBK309" s="13"/>
      <c r="GBL309" s="35"/>
      <c r="GBM309" s="35"/>
      <c r="GBN309" s="15"/>
      <c r="GBP309" s="13"/>
      <c r="GBQ309" s="35"/>
      <c r="GBR309" s="35"/>
      <c r="GBS309" s="15"/>
      <c r="GBU309" s="13"/>
      <c r="GBV309" s="35"/>
      <c r="GBW309" s="35"/>
      <c r="GBX309" s="15"/>
      <c r="GBZ309" s="13"/>
      <c r="GCA309" s="35"/>
      <c r="GCB309" s="35"/>
      <c r="GCC309" s="15"/>
      <c r="GCE309" s="13"/>
      <c r="GCF309" s="35"/>
      <c r="GCG309" s="35"/>
      <c r="GCH309" s="15"/>
      <c r="GCJ309" s="13"/>
      <c r="GCK309" s="35"/>
      <c r="GCL309" s="35"/>
      <c r="GCM309" s="15"/>
      <c r="GCO309" s="13"/>
      <c r="GCP309" s="35"/>
      <c r="GCQ309" s="35"/>
      <c r="GCR309" s="15"/>
      <c r="GCT309" s="13"/>
      <c r="GCU309" s="35"/>
      <c r="GCV309" s="35"/>
      <c r="GCW309" s="15"/>
      <c r="GCY309" s="13"/>
      <c r="GCZ309" s="35"/>
      <c r="GDA309" s="35"/>
      <c r="GDB309" s="15"/>
      <c r="GDD309" s="13"/>
      <c r="GDE309" s="35"/>
      <c r="GDF309" s="35"/>
      <c r="GDG309" s="15"/>
      <c r="GDI309" s="13"/>
      <c r="GDJ309" s="35"/>
      <c r="GDK309" s="35"/>
      <c r="GDL309" s="15"/>
      <c r="GDN309" s="13"/>
      <c r="GDO309" s="35"/>
      <c r="GDP309" s="35"/>
      <c r="GDQ309" s="15"/>
      <c r="GDS309" s="13"/>
      <c r="GDT309" s="35"/>
      <c r="GDU309" s="35"/>
      <c r="GDV309" s="15"/>
      <c r="GDX309" s="13"/>
      <c r="GDY309" s="35"/>
      <c r="GDZ309" s="35"/>
      <c r="GEA309" s="15"/>
      <c r="GEC309" s="13"/>
      <c r="GED309" s="35"/>
      <c r="GEE309" s="35"/>
      <c r="GEF309" s="15"/>
      <c r="GEH309" s="13"/>
      <c r="GEI309" s="35"/>
      <c r="GEJ309" s="35"/>
      <c r="GEK309" s="15"/>
      <c r="GEM309" s="13"/>
      <c r="GEN309" s="35"/>
      <c r="GEO309" s="35"/>
      <c r="GEP309" s="15"/>
      <c r="GER309" s="13"/>
      <c r="GES309" s="35"/>
      <c r="GET309" s="35"/>
      <c r="GEU309" s="15"/>
      <c r="GEW309" s="13"/>
      <c r="GEX309" s="35"/>
      <c r="GEY309" s="35"/>
      <c r="GEZ309" s="15"/>
      <c r="GFB309" s="13"/>
      <c r="GFC309" s="35"/>
      <c r="GFD309" s="35"/>
      <c r="GFE309" s="15"/>
      <c r="GFG309" s="13"/>
      <c r="GFH309" s="35"/>
      <c r="GFI309" s="35"/>
      <c r="GFJ309" s="15"/>
      <c r="GFL309" s="13"/>
      <c r="GFM309" s="35"/>
      <c r="GFN309" s="35"/>
      <c r="GFO309" s="15"/>
      <c r="GFQ309" s="13"/>
      <c r="GFR309" s="35"/>
      <c r="GFS309" s="35"/>
      <c r="GFT309" s="15"/>
      <c r="GFV309" s="13"/>
      <c r="GFW309" s="35"/>
      <c r="GFX309" s="35"/>
      <c r="GFY309" s="15"/>
      <c r="GGA309" s="13"/>
      <c r="GGB309" s="35"/>
      <c r="GGC309" s="35"/>
      <c r="GGD309" s="15"/>
      <c r="GGF309" s="13"/>
      <c r="GGG309" s="35"/>
      <c r="GGH309" s="35"/>
      <c r="GGI309" s="15"/>
      <c r="GGK309" s="13"/>
      <c r="GGL309" s="35"/>
      <c r="GGM309" s="35"/>
      <c r="GGN309" s="15"/>
      <c r="GGP309" s="13"/>
      <c r="GGQ309" s="35"/>
      <c r="GGR309" s="35"/>
      <c r="GGS309" s="15"/>
      <c r="GGU309" s="13"/>
      <c r="GGV309" s="35"/>
      <c r="GGW309" s="35"/>
      <c r="GGX309" s="15"/>
      <c r="GGZ309" s="13"/>
      <c r="GHA309" s="35"/>
      <c r="GHB309" s="35"/>
      <c r="GHC309" s="15"/>
      <c r="GHE309" s="13"/>
      <c r="GHF309" s="35"/>
      <c r="GHG309" s="35"/>
      <c r="GHH309" s="15"/>
      <c r="GHJ309" s="13"/>
      <c r="GHK309" s="35"/>
      <c r="GHL309" s="35"/>
      <c r="GHM309" s="15"/>
      <c r="GHO309" s="13"/>
      <c r="GHP309" s="35"/>
      <c r="GHQ309" s="35"/>
      <c r="GHR309" s="15"/>
      <c r="GHT309" s="13"/>
      <c r="GHU309" s="35"/>
      <c r="GHV309" s="35"/>
      <c r="GHW309" s="15"/>
      <c r="GHY309" s="13"/>
      <c r="GHZ309" s="35"/>
      <c r="GIA309" s="35"/>
      <c r="GIB309" s="15"/>
      <c r="GID309" s="13"/>
      <c r="GIE309" s="35"/>
      <c r="GIF309" s="35"/>
      <c r="GIG309" s="15"/>
      <c r="GII309" s="13"/>
      <c r="GIJ309" s="35"/>
      <c r="GIK309" s="35"/>
      <c r="GIL309" s="15"/>
      <c r="GIN309" s="13"/>
      <c r="GIO309" s="35"/>
      <c r="GIP309" s="35"/>
      <c r="GIQ309" s="15"/>
      <c r="GIS309" s="13"/>
      <c r="GIT309" s="35"/>
      <c r="GIU309" s="35"/>
      <c r="GIV309" s="15"/>
      <c r="GIX309" s="13"/>
      <c r="GIY309" s="35"/>
      <c r="GIZ309" s="35"/>
      <c r="GJA309" s="15"/>
      <c r="GJC309" s="13"/>
      <c r="GJD309" s="35"/>
      <c r="GJE309" s="35"/>
      <c r="GJF309" s="15"/>
      <c r="GJH309" s="13"/>
      <c r="GJI309" s="35"/>
      <c r="GJJ309" s="35"/>
      <c r="GJK309" s="15"/>
      <c r="GJM309" s="13"/>
      <c r="GJN309" s="35"/>
      <c r="GJO309" s="35"/>
      <c r="GJP309" s="15"/>
      <c r="GJR309" s="13"/>
      <c r="GJS309" s="35"/>
      <c r="GJT309" s="35"/>
      <c r="GJU309" s="15"/>
      <c r="GJW309" s="13"/>
      <c r="GJX309" s="35"/>
      <c r="GJY309" s="35"/>
      <c r="GJZ309" s="15"/>
      <c r="GKB309" s="13"/>
      <c r="GKC309" s="35"/>
      <c r="GKD309" s="35"/>
      <c r="GKE309" s="15"/>
      <c r="GKG309" s="13"/>
      <c r="GKH309" s="35"/>
      <c r="GKI309" s="35"/>
      <c r="GKJ309" s="15"/>
      <c r="GKL309" s="13"/>
      <c r="GKM309" s="35"/>
      <c r="GKN309" s="35"/>
      <c r="GKO309" s="15"/>
      <c r="GKQ309" s="13"/>
      <c r="GKR309" s="35"/>
      <c r="GKS309" s="35"/>
      <c r="GKT309" s="15"/>
      <c r="GKV309" s="13"/>
      <c r="GKW309" s="35"/>
      <c r="GKX309" s="35"/>
      <c r="GKY309" s="15"/>
      <c r="GLA309" s="13"/>
      <c r="GLB309" s="35"/>
      <c r="GLC309" s="35"/>
      <c r="GLD309" s="15"/>
      <c r="GLF309" s="13"/>
      <c r="GLG309" s="35"/>
      <c r="GLH309" s="35"/>
      <c r="GLI309" s="15"/>
      <c r="GLK309" s="13"/>
      <c r="GLL309" s="35"/>
      <c r="GLM309" s="35"/>
      <c r="GLN309" s="15"/>
      <c r="GLP309" s="13"/>
      <c r="GLQ309" s="35"/>
      <c r="GLR309" s="35"/>
      <c r="GLS309" s="15"/>
      <c r="GLU309" s="13"/>
      <c r="GLV309" s="35"/>
      <c r="GLW309" s="35"/>
      <c r="GLX309" s="15"/>
      <c r="GLZ309" s="13"/>
      <c r="GMA309" s="35"/>
      <c r="GMB309" s="35"/>
      <c r="GMC309" s="15"/>
      <c r="GME309" s="13"/>
      <c r="GMF309" s="35"/>
      <c r="GMG309" s="35"/>
      <c r="GMH309" s="15"/>
      <c r="GMJ309" s="13"/>
      <c r="GMK309" s="35"/>
      <c r="GML309" s="35"/>
      <c r="GMM309" s="15"/>
      <c r="GMO309" s="13"/>
      <c r="GMP309" s="35"/>
      <c r="GMQ309" s="35"/>
      <c r="GMR309" s="15"/>
      <c r="GMT309" s="13"/>
      <c r="GMU309" s="35"/>
      <c r="GMV309" s="35"/>
      <c r="GMW309" s="15"/>
      <c r="GMY309" s="13"/>
      <c r="GMZ309" s="35"/>
      <c r="GNA309" s="35"/>
      <c r="GNB309" s="15"/>
      <c r="GND309" s="13"/>
      <c r="GNE309" s="35"/>
      <c r="GNF309" s="35"/>
      <c r="GNG309" s="15"/>
      <c r="GNI309" s="13"/>
      <c r="GNJ309" s="35"/>
      <c r="GNK309" s="35"/>
      <c r="GNL309" s="15"/>
      <c r="GNN309" s="13"/>
      <c r="GNO309" s="35"/>
      <c r="GNP309" s="35"/>
      <c r="GNQ309" s="15"/>
      <c r="GNS309" s="13"/>
      <c r="GNT309" s="35"/>
      <c r="GNU309" s="35"/>
      <c r="GNV309" s="15"/>
      <c r="GNX309" s="13"/>
      <c r="GNY309" s="35"/>
      <c r="GNZ309" s="35"/>
      <c r="GOA309" s="15"/>
      <c r="GOC309" s="13"/>
      <c r="GOD309" s="35"/>
      <c r="GOE309" s="35"/>
      <c r="GOF309" s="15"/>
      <c r="GOH309" s="13"/>
      <c r="GOI309" s="35"/>
      <c r="GOJ309" s="35"/>
      <c r="GOK309" s="15"/>
      <c r="GOM309" s="13"/>
      <c r="GON309" s="35"/>
      <c r="GOO309" s="35"/>
      <c r="GOP309" s="15"/>
      <c r="GOR309" s="13"/>
      <c r="GOS309" s="35"/>
      <c r="GOT309" s="35"/>
      <c r="GOU309" s="15"/>
      <c r="GOW309" s="13"/>
      <c r="GOX309" s="35"/>
      <c r="GOY309" s="35"/>
      <c r="GOZ309" s="15"/>
      <c r="GPB309" s="13"/>
      <c r="GPC309" s="35"/>
      <c r="GPD309" s="35"/>
      <c r="GPE309" s="15"/>
      <c r="GPG309" s="13"/>
      <c r="GPH309" s="35"/>
      <c r="GPI309" s="35"/>
      <c r="GPJ309" s="15"/>
      <c r="GPL309" s="13"/>
      <c r="GPM309" s="35"/>
      <c r="GPN309" s="35"/>
      <c r="GPO309" s="15"/>
      <c r="GPQ309" s="13"/>
      <c r="GPR309" s="35"/>
      <c r="GPS309" s="35"/>
      <c r="GPT309" s="15"/>
      <c r="GPV309" s="13"/>
      <c r="GPW309" s="35"/>
      <c r="GPX309" s="35"/>
      <c r="GPY309" s="15"/>
      <c r="GQA309" s="13"/>
      <c r="GQB309" s="35"/>
      <c r="GQC309" s="35"/>
      <c r="GQD309" s="15"/>
      <c r="GQF309" s="13"/>
      <c r="GQG309" s="35"/>
      <c r="GQH309" s="35"/>
      <c r="GQI309" s="15"/>
      <c r="GQK309" s="13"/>
      <c r="GQL309" s="35"/>
      <c r="GQM309" s="35"/>
      <c r="GQN309" s="15"/>
      <c r="GQP309" s="13"/>
      <c r="GQQ309" s="35"/>
      <c r="GQR309" s="35"/>
      <c r="GQS309" s="15"/>
      <c r="GQU309" s="13"/>
      <c r="GQV309" s="35"/>
      <c r="GQW309" s="35"/>
      <c r="GQX309" s="15"/>
      <c r="GQZ309" s="13"/>
      <c r="GRA309" s="35"/>
      <c r="GRB309" s="35"/>
      <c r="GRC309" s="15"/>
      <c r="GRE309" s="13"/>
      <c r="GRF309" s="35"/>
      <c r="GRG309" s="35"/>
      <c r="GRH309" s="15"/>
      <c r="GRJ309" s="13"/>
      <c r="GRK309" s="35"/>
      <c r="GRL309" s="35"/>
      <c r="GRM309" s="15"/>
      <c r="GRO309" s="13"/>
      <c r="GRP309" s="35"/>
      <c r="GRQ309" s="35"/>
      <c r="GRR309" s="15"/>
      <c r="GRT309" s="13"/>
      <c r="GRU309" s="35"/>
      <c r="GRV309" s="35"/>
      <c r="GRW309" s="15"/>
      <c r="GRY309" s="13"/>
      <c r="GRZ309" s="35"/>
      <c r="GSA309" s="35"/>
      <c r="GSB309" s="15"/>
      <c r="GSD309" s="13"/>
      <c r="GSE309" s="35"/>
      <c r="GSF309" s="35"/>
      <c r="GSG309" s="15"/>
      <c r="GSI309" s="13"/>
      <c r="GSJ309" s="35"/>
      <c r="GSK309" s="35"/>
      <c r="GSL309" s="15"/>
      <c r="GSN309" s="13"/>
      <c r="GSO309" s="35"/>
      <c r="GSP309" s="35"/>
      <c r="GSQ309" s="15"/>
      <c r="GSS309" s="13"/>
      <c r="GST309" s="35"/>
      <c r="GSU309" s="35"/>
      <c r="GSV309" s="15"/>
      <c r="GSX309" s="13"/>
      <c r="GSY309" s="35"/>
      <c r="GSZ309" s="35"/>
      <c r="GTA309" s="15"/>
      <c r="GTC309" s="13"/>
      <c r="GTD309" s="35"/>
      <c r="GTE309" s="35"/>
      <c r="GTF309" s="15"/>
      <c r="GTH309" s="13"/>
      <c r="GTI309" s="35"/>
      <c r="GTJ309" s="35"/>
      <c r="GTK309" s="15"/>
      <c r="GTM309" s="13"/>
      <c r="GTN309" s="35"/>
      <c r="GTO309" s="35"/>
      <c r="GTP309" s="15"/>
      <c r="GTR309" s="13"/>
      <c r="GTS309" s="35"/>
      <c r="GTT309" s="35"/>
      <c r="GTU309" s="15"/>
      <c r="GTW309" s="13"/>
      <c r="GTX309" s="35"/>
      <c r="GTY309" s="35"/>
      <c r="GTZ309" s="15"/>
      <c r="GUB309" s="13"/>
      <c r="GUC309" s="35"/>
      <c r="GUD309" s="35"/>
      <c r="GUE309" s="15"/>
      <c r="GUG309" s="13"/>
      <c r="GUH309" s="35"/>
      <c r="GUI309" s="35"/>
      <c r="GUJ309" s="15"/>
      <c r="GUL309" s="13"/>
      <c r="GUM309" s="35"/>
      <c r="GUN309" s="35"/>
      <c r="GUO309" s="15"/>
      <c r="GUQ309" s="13"/>
      <c r="GUR309" s="35"/>
      <c r="GUS309" s="35"/>
      <c r="GUT309" s="15"/>
      <c r="GUV309" s="13"/>
      <c r="GUW309" s="35"/>
      <c r="GUX309" s="35"/>
      <c r="GUY309" s="15"/>
      <c r="GVA309" s="13"/>
      <c r="GVB309" s="35"/>
      <c r="GVC309" s="35"/>
      <c r="GVD309" s="15"/>
      <c r="GVF309" s="13"/>
      <c r="GVG309" s="35"/>
      <c r="GVH309" s="35"/>
      <c r="GVI309" s="15"/>
      <c r="GVK309" s="13"/>
      <c r="GVL309" s="35"/>
      <c r="GVM309" s="35"/>
      <c r="GVN309" s="15"/>
      <c r="GVP309" s="13"/>
      <c r="GVQ309" s="35"/>
      <c r="GVR309" s="35"/>
      <c r="GVS309" s="15"/>
      <c r="GVU309" s="13"/>
      <c r="GVV309" s="35"/>
      <c r="GVW309" s="35"/>
      <c r="GVX309" s="15"/>
      <c r="GVZ309" s="13"/>
      <c r="GWA309" s="35"/>
      <c r="GWB309" s="35"/>
      <c r="GWC309" s="15"/>
      <c r="GWE309" s="13"/>
      <c r="GWF309" s="35"/>
      <c r="GWG309" s="35"/>
      <c r="GWH309" s="15"/>
      <c r="GWJ309" s="13"/>
      <c r="GWK309" s="35"/>
      <c r="GWL309" s="35"/>
      <c r="GWM309" s="15"/>
      <c r="GWO309" s="13"/>
      <c r="GWP309" s="35"/>
      <c r="GWQ309" s="35"/>
      <c r="GWR309" s="15"/>
      <c r="GWT309" s="13"/>
      <c r="GWU309" s="35"/>
      <c r="GWV309" s="35"/>
      <c r="GWW309" s="15"/>
      <c r="GWY309" s="13"/>
      <c r="GWZ309" s="35"/>
      <c r="GXA309" s="35"/>
      <c r="GXB309" s="15"/>
      <c r="GXD309" s="13"/>
      <c r="GXE309" s="35"/>
      <c r="GXF309" s="35"/>
      <c r="GXG309" s="15"/>
      <c r="GXI309" s="13"/>
      <c r="GXJ309" s="35"/>
      <c r="GXK309" s="35"/>
      <c r="GXL309" s="15"/>
      <c r="GXN309" s="13"/>
      <c r="GXO309" s="35"/>
      <c r="GXP309" s="35"/>
      <c r="GXQ309" s="15"/>
      <c r="GXS309" s="13"/>
      <c r="GXT309" s="35"/>
      <c r="GXU309" s="35"/>
      <c r="GXV309" s="15"/>
      <c r="GXX309" s="13"/>
      <c r="GXY309" s="35"/>
      <c r="GXZ309" s="35"/>
      <c r="GYA309" s="15"/>
      <c r="GYC309" s="13"/>
      <c r="GYD309" s="35"/>
      <c r="GYE309" s="35"/>
      <c r="GYF309" s="15"/>
      <c r="GYH309" s="13"/>
      <c r="GYI309" s="35"/>
      <c r="GYJ309" s="35"/>
      <c r="GYK309" s="15"/>
      <c r="GYM309" s="13"/>
      <c r="GYN309" s="35"/>
      <c r="GYO309" s="35"/>
      <c r="GYP309" s="15"/>
      <c r="GYR309" s="13"/>
      <c r="GYS309" s="35"/>
      <c r="GYT309" s="35"/>
      <c r="GYU309" s="15"/>
      <c r="GYW309" s="13"/>
      <c r="GYX309" s="35"/>
      <c r="GYY309" s="35"/>
      <c r="GYZ309" s="15"/>
      <c r="GZB309" s="13"/>
      <c r="GZC309" s="35"/>
      <c r="GZD309" s="35"/>
      <c r="GZE309" s="15"/>
      <c r="GZG309" s="13"/>
      <c r="GZH309" s="35"/>
      <c r="GZI309" s="35"/>
      <c r="GZJ309" s="15"/>
      <c r="GZL309" s="13"/>
      <c r="GZM309" s="35"/>
      <c r="GZN309" s="35"/>
      <c r="GZO309" s="15"/>
      <c r="GZQ309" s="13"/>
      <c r="GZR309" s="35"/>
      <c r="GZS309" s="35"/>
      <c r="GZT309" s="15"/>
      <c r="GZV309" s="13"/>
      <c r="GZW309" s="35"/>
      <c r="GZX309" s="35"/>
      <c r="GZY309" s="15"/>
      <c r="HAA309" s="13"/>
      <c r="HAB309" s="35"/>
      <c r="HAC309" s="35"/>
      <c r="HAD309" s="15"/>
      <c r="HAF309" s="13"/>
      <c r="HAG309" s="35"/>
      <c r="HAH309" s="35"/>
      <c r="HAI309" s="15"/>
      <c r="HAK309" s="13"/>
      <c r="HAL309" s="35"/>
      <c r="HAM309" s="35"/>
      <c r="HAN309" s="15"/>
      <c r="HAP309" s="13"/>
      <c r="HAQ309" s="35"/>
      <c r="HAR309" s="35"/>
      <c r="HAS309" s="15"/>
      <c r="HAU309" s="13"/>
      <c r="HAV309" s="35"/>
      <c r="HAW309" s="35"/>
      <c r="HAX309" s="15"/>
      <c r="HAZ309" s="13"/>
      <c r="HBA309" s="35"/>
      <c r="HBB309" s="35"/>
      <c r="HBC309" s="15"/>
      <c r="HBE309" s="13"/>
      <c r="HBF309" s="35"/>
      <c r="HBG309" s="35"/>
      <c r="HBH309" s="15"/>
      <c r="HBJ309" s="13"/>
      <c r="HBK309" s="35"/>
      <c r="HBL309" s="35"/>
      <c r="HBM309" s="15"/>
      <c r="HBO309" s="13"/>
      <c r="HBP309" s="35"/>
      <c r="HBQ309" s="35"/>
      <c r="HBR309" s="15"/>
      <c r="HBT309" s="13"/>
      <c r="HBU309" s="35"/>
      <c r="HBV309" s="35"/>
      <c r="HBW309" s="15"/>
      <c r="HBY309" s="13"/>
      <c r="HBZ309" s="35"/>
      <c r="HCA309" s="35"/>
      <c r="HCB309" s="15"/>
      <c r="HCD309" s="13"/>
      <c r="HCE309" s="35"/>
      <c r="HCF309" s="35"/>
      <c r="HCG309" s="15"/>
      <c r="HCI309" s="13"/>
      <c r="HCJ309" s="35"/>
      <c r="HCK309" s="35"/>
      <c r="HCL309" s="15"/>
      <c r="HCN309" s="13"/>
      <c r="HCO309" s="35"/>
      <c r="HCP309" s="35"/>
      <c r="HCQ309" s="15"/>
      <c r="HCS309" s="13"/>
      <c r="HCT309" s="35"/>
      <c r="HCU309" s="35"/>
      <c r="HCV309" s="15"/>
      <c r="HCX309" s="13"/>
      <c r="HCY309" s="35"/>
      <c r="HCZ309" s="35"/>
      <c r="HDA309" s="15"/>
      <c r="HDC309" s="13"/>
      <c r="HDD309" s="35"/>
      <c r="HDE309" s="35"/>
      <c r="HDF309" s="15"/>
      <c r="HDH309" s="13"/>
      <c r="HDI309" s="35"/>
      <c r="HDJ309" s="35"/>
      <c r="HDK309" s="15"/>
      <c r="HDM309" s="13"/>
      <c r="HDN309" s="35"/>
      <c r="HDO309" s="35"/>
      <c r="HDP309" s="15"/>
      <c r="HDR309" s="13"/>
      <c r="HDS309" s="35"/>
      <c r="HDT309" s="35"/>
      <c r="HDU309" s="15"/>
      <c r="HDW309" s="13"/>
      <c r="HDX309" s="35"/>
      <c r="HDY309" s="35"/>
      <c r="HDZ309" s="15"/>
      <c r="HEB309" s="13"/>
      <c r="HEC309" s="35"/>
      <c r="HED309" s="35"/>
      <c r="HEE309" s="15"/>
      <c r="HEG309" s="13"/>
      <c r="HEH309" s="35"/>
      <c r="HEI309" s="35"/>
      <c r="HEJ309" s="15"/>
      <c r="HEL309" s="13"/>
      <c r="HEM309" s="35"/>
      <c r="HEN309" s="35"/>
      <c r="HEO309" s="15"/>
      <c r="HEQ309" s="13"/>
      <c r="HER309" s="35"/>
      <c r="HES309" s="35"/>
      <c r="HET309" s="15"/>
      <c r="HEV309" s="13"/>
      <c r="HEW309" s="35"/>
      <c r="HEX309" s="35"/>
      <c r="HEY309" s="15"/>
      <c r="HFA309" s="13"/>
      <c r="HFB309" s="35"/>
      <c r="HFC309" s="35"/>
      <c r="HFD309" s="15"/>
      <c r="HFF309" s="13"/>
      <c r="HFG309" s="35"/>
      <c r="HFH309" s="35"/>
      <c r="HFI309" s="15"/>
      <c r="HFK309" s="13"/>
      <c r="HFL309" s="35"/>
      <c r="HFM309" s="35"/>
      <c r="HFN309" s="15"/>
      <c r="HFP309" s="13"/>
      <c r="HFQ309" s="35"/>
      <c r="HFR309" s="35"/>
      <c r="HFS309" s="15"/>
      <c r="HFU309" s="13"/>
      <c r="HFV309" s="35"/>
      <c r="HFW309" s="35"/>
      <c r="HFX309" s="15"/>
      <c r="HFZ309" s="13"/>
      <c r="HGA309" s="35"/>
      <c r="HGB309" s="35"/>
      <c r="HGC309" s="15"/>
      <c r="HGE309" s="13"/>
      <c r="HGF309" s="35"/>
      <c r="HGG309" s="35"/>
      <c r="HGH309" s="15"/>
      <c r="HGJ309" s="13"/>
      <c r="HGK309" s="35"/>
      <c r="HGL309" s="35"/>
      <c r="HGM309" s="15"/>
      <c r="HGO309" s="13"/>
      <c r="HGP309" s="35"/>
      <c r="HGQ309" s="35"/>
      <c r="HGR309" s="15"/>
      <c r="HGT309" s="13"/>
      <c r="HGU309" s="35"/>
      <c r="HGV309" s="35"/>
      <c r="HGW309" s="15"/>
      <c r="HGY309" s="13"/>
      <c r="HGZ309" s="35"/>
      <c r="HHA309" s="35"/>
      <c r="HHB309" s="15"/>
      <c r="HHD309" s="13"/>
      <c r="HHE309" s="35"/>
      <c r="HHF309" s="35"/>
      <c r="HHG309" s="15"/>
      <c r="HHI309" s="13"/>
      <c r="HHJ309" s="35"/>
      <c r="HHK309" s="35"/>
      <c r="HHL309" s="15"/>
      <c r="HHN309" s="13"/>
      <c r="HHO309" s="35"/>
      <c r="HHP309" s="35"/>
      <c r="HHQ309" s="15"/>
      <c r="HHS309" s="13"/>
      <c r="HHT309" s="35"/>
      <c r="HHU309" s="35"/>
      <c r="HHV309" s="15"/>
      <c r="HHX309" s="13"/>
      <c r="HHY309" s="35"/>
      <c r="HHZ309" s="35"/>
      <c r="HIA309" s="15"/>
      <c r="HIC309" s="13"/>
      <c r="HID309" s="35"/>
      <c r="HIE309" s="35"/>
      <c r="HIF309" s="15"/>
      <c r="HIH309" s="13"/>
      <c r="HII309" s="35"/>
      <c r="HIJ309" s="35"/>
      <c r="HIK309" s="15"/>
      <c r="HIM309" s="13"/>
      <c r="HIN309" s="35"/>
      <c r="HIO309" s="35"/>
      <c r="HIP309" s="15"/>
      <c r="HIR309" s="13"/>
      <c r="HIS309" s="35"/>
      <c r="HIT309" s="35"/>
      <c r="HIU309" s="15"/>
      <c r="HIW309" s="13"/>
      <c r="HIX309" s="35"/>
      <c r="HIY309" s="35"/>
      <c r="HIZ309" s="15"/>
      <c r="HJB309" s="13"/>
      <c r="HJC309" s="35"/>
      <c r="HJD309" s="35"/>
      <c r="HJE309" s="15"/>
      <c r="HJG309" s="13"/>
      <c r="HJH309" s="35"/>
      <c r="HJI309" s="35"/>
      <c r="HJJ309" s="15"/>
      <c r="HJL309" s="13"/>
      <c r="HJM309" s="35"/>
      <c r="HJN309" s="35"/>
      <c r="HJO309" s="15"/>
      <c r="HJQ309" s="13"/>
      <c r="HJR309" s="35"/>
      <c r="HJS309" s="35"/>
      <c r="HJT309" s="15"/>
      <c r="HJV309" s="13"/>
      <c r="HJW309" s="35"/>
      <c r="HJX309" s="35"/>
      <c r="HJY309" s="15"/>
      <c r="HKA309" s="13"/>
      <c r="HKB309" s="35"/>
      <c r="HKC309" s="35"/>
      <c r="HKD309" s="15"/>
      <c r="HKF309" s="13"/>
      <c r="HKG309" s="35"/>
      <c r="HKH309" s="35"/>
      <c r="HKI309" s="15"/>
      <c r="HKK309" s="13"/>
      <c r="HKL309" s="35"/>
      <c r="HKM309" s="35"/>
      <c r="HKN309" s="15"/>
      <c r="HKP309" s="13"/>
      <c r="HKQ309" s="35"/>
      <c r="HKR309" s="35"/>
      <c r="HKS309" s="15"/>
      <c r="HKU309" s="13"/>
      <c r="HKV309" s="35"/>
      <c r="HKW309" s="35"/>
      <c r="HKX309" s="15"/>
      <c r="HKZ309" s="13"/>
      <c r="HLA309" s="35"/>
      <c r="HLB309" s="35"/>
      <c r="HLC309" s="15"/>
      <c r="HLE309" s="13"/>
      <c r="HLF309" s="35"/>
      <c r="HLG309" s="35"/>
      <c r="HLH309" s="15"/>
      <c r="HLJ309" s="13"/>
      <c r="HLK309" s="35"/>
      <c r="HLL309" s="35"/>
      <c r="HLM309" s="15"/>
      <c r="HLO309" s="13"/>
      <c r="HLP309" s="35"/>
      <c r="HLQ309" s="35"/>
      <c r="HLR309" s="15"/>
      <c r="HLT309" s="13"/>
      <c r="HLU309" s="35"/>
      <c r="HLV309" s="35"/>
      <c r="HLW309" s="15"/>
      <c r="HLY309" s="13"/>
      <c r="HLZ309" s="35"/>
      <c r="HMA309" s="35"/>
      <c r="HMB309" s="15"/>
      <c r="HMD309" s="13"/>
      <c r="HME309" s="35"/>
      <c r="HMF309" s="35"/>
      <c r="HMG309" s="15"/>
      <c r="HMI309" s="13"/>
      <c r="HMJ309" s="35"/>
      <c r="HMK309" s="35"/>
      <c r="HML309" s="15"/>
      <c r="HMN309" s="13"/>
      <c r="HMO309" s="35"/>
      <c r="HMP309" s="35"/>
      <c r="HMQ309" s="15"/>
      <c r="HMS309" s="13"/>
      <c r="HMT309" s="35"/>
      <c r="HMU309" s="35"/>
      <c r="HMV309" s="15"/>
      <c r="HMX309" s="13"/>
      <c r="HMY309" s="35"/>
      <c r="HMZ309" s="35"/>
      <c r="HNA309" s="15"/>
      <c r="HNC309" s="13"/>
      <c r="HND309" s="35"/>
      <c r="HNE309" s="35"/>
      <c r="HNF309" s="15"/>
      <c r="HNH309" s="13"/>
      <c r="HNI309" s="35"/>
      <c r="HNJ309" s="35"/>
      <c r="HNK309" s="15"/>
      <c r="HNM309" s="13"/>
      <c r="HNN309" s="35"/>
      <c r="HNO309" s="35"/>
      <c r="HNP309" s="15"/>
      <c r="HNR309" s="13"/>
      <c r="HNS309" s="35"/>
      <c r="HNT309" s="35"/>
      <c r="HNU309" s="15"/>
      <c r="HNW309" s="13"/>
      <c r="HNX309" s="35"/>
      <c r="HNY309" s="35"/>
      <c r="HNZ309" s="15"/>
      <c r="HOB309" s="13"/>
      <c r="HOC309" s="35"/>
      <c r="HOD309" s="35"/>
      <c r="HOE309" s="15"/>
      <c r="HOG309" s="13"/>
      <c r="HOH309" s="35"/>
      <c r="HOI309" s="35"/>
      <c r="HOJ309" s="15"/>
      <c r="HOL309" s="13"/>
      <c r="HOM309" s="35"/>
      <c r="HON309" s="35"/>
      <c r="HOO309" s="15"/>
      <c r="HOQ309" s="13"/>
      <c r="HOR309" s="35"/>
      <c r="HOS309" s="35"/>
      <c r="HOT309" s="15"/>
      <c r="HOV309" s="13"/>
      <c r="HOW309" s="35"/>
      <c r="HOX309" s="35"/>
      <c r="HOY309" s="15"/>
      <c r="HPA309" s="13"/>
      <c r="HPB309" s="35"/>
      <c r="HPC309" s="35"/>
      <c r="HPD309" s="15"/>
      <c r="HPF309" s="13"/>
      <c r="HPG309" s="35"/>
      <c r="HPH309" s="35"/>
      <c r="HPI309" s="15"/>
      <c r="HPK309" s="13"/>
      <c r="HPL309" s="35"/>
      <c r="HPM309" s="35"/>
      <c r="HPN309" s="15"/>
      <c r="HPP309" s="13"/>
      <c r="HPQ309" s="35"/>
      <c r="HPR309" s="35"/>
      <c r="HPS309" s="15"/>
      <c r="HPU309" s="13"/>
      <c r="HPV309" s="35"/>
      <c r="HPW309" s="35"/>
      <c r="HPX309" s="15"/>
      <c r="HPZ309" s="13"/>
      <c r="HQA309" s="35"/>
      <c r="HQB309" s="35"/>
      <c r="HQC309" s="15"/>
      <c r="HQE309" s="13"/>
      <c r="HQF309" s="35"/>
      <c r="HQG309" s="35"/>
      <c r="HQH309" s="15"/>
      <c r="HQJ309" s="13"/>
      <c r="HQK309" s="35"/>
      <c r="HQL309" s="35"/>
      <c r="HQM309" s="15"/>
      <c r="HQO309" s="13"/>
      <c r="HQP309" s="35"/>
      <c r="HQQ309" s="35"/>
      <c r="HQR309" s="15"/>
      <c r="HQT309" s="13"/>
      <c r="HQU309" s="35"/>
      <c r="HQV309" s="35"/>
      <c r="HQW309" s="15"/>
      <c r="HQY309" s="13"/>
      <c r="HQZ309" s="35"/>
      <c r="HRA309" s="35"/>
      <c r="HRB309" s="15"/>
      <c r="HRD309" s="13"/>
      <c r="HRE309" s="35"/>
      <c r="HRF309" s="35"/>
      <c r="HRG309" s="15"/>
      <c r="HRI309" s="13"/>
      <c r="HRJ309" s="35"/>
      <c r="HRK309" s="35"/>
      <c r="HRL309" s="15"/>
      <c r="HRN309" s="13"/>
      <c r="HRO309" s="35"/>
      <c r="HRP309" s="35"/>
      <c r="HRQ309" s="15"/>
      <c r="HRS309" s="13"/>
      <c r="HRT309" s="35"/>
      <c r="HRU309" s="35"/>
      <c r="HRV309" s="15"/>
      <c r="HRX309" s="13"/>
      <c r="HRY309" s="35"/>
      <c r="HRZ309" s="35"/>
      <c r="HSA309" s="15"/>
      <c r="HSC309" s="13"/>
      <c r="HSD309" s="35"/>
      <c r="HSE309" s="35"/>
      <c r="HSF309" s="15"/>
      <c r="HSH309" s="13"/>
      <c r="HSI309" s="35"/>
      <c r="HSJ309" s="35"/>
      <c r="HSK309" s="15"/>
      <c r="HSM309" s="13"/>
      <c r="HSN309" s="35"/>
      <c r="HSO309" s="35"/>
      <c r="HSP309" s="15"/>
      <c r="HSR309" s="13"/>
      <c r="HSS309" s="35"/>
      <c r="HST309" s="35"/>
      <c r="HSU309" s="15"/>
      <c r="HSW309" s="13"/>
      <c r="HSX309" s="35"/>
      <c r="HSY309" s="35"/>
      <c r="HSZ309" s="15"/>
      <c r="HTB309" s="13"/>
      <c r="HTC309" s="35"/>
      <c r="HTD309" s="35"/>
      <c r="HTE309" s="15"/>
      <c r="HTG309" s="13"/>
      <c r="HTH309" s="35"/>
      <c r="HTI309" s="35"/>
      <c r="HTJ309" s="15"/>
      <c r="HTL309" s="13"/>
      <c r="HTM309" s="35"/>
      <c r="HTN309" s="35"/>
      <c r="HTO309" s="15"/>
      <c r="HTQ309" s="13"/>
      <c r="HTR309" s="35"/>
      <c r="HTS309" s="35"/>
      <c r="HTT309" s="15"/>
      <c r="HTV309" s="13"/>
      <c r="HTW309" s="35"/>
      <c r="HTX309" s="35"/>
      <c r="HTY309" s="15"/>
      <c r="HUA309" s="13"/>
      <c r="HUB309" s="35"/>
      <c r="HUC309" s="35"/>
      <c r="HUD309" s="15"/>
      <c r="HUF309" s="13"/>
      <c r="HUG309" s="35"/>
      <c r="HUH309" s="35"/>
      <c r="HUI309" s="15"/>
      <c r="HUK309" s="13"/>
      <c r="HUL309" s="35"/>
      <c r="HUM309" s="35"/>
      <c r="HUN309" s="15"/>
      <c r="HUP309" s="13"/>
      <c r="HUQ309" s="35"/>
      <c r="HUR309" s="35"/>
      <c r="HUS309" s="15"/>
      <c r="HUU309" s="13"/>
      <c r="HUV309" s="35"/>
      <c r="HUW309" s="35"/>
      <c r="HUX309" s="15"/>
      <c r="HUZ309" s="13"/>
      <c r="HVA309" s="35"/>
      <c r="HVB309" s="35"/>
      <c r="HVC309" s="15"/>
      <c r="HVE309" s="13"/>
      <c r="HVF309" s="35"/>
      <c r="HVG309" s="35"/>
      <c r="HVH309" s="15"/>
      <c r="HVJ309" s="13"/>
      <c r="HVK309" s="35"/>
      <c r="HVL309" s="35"/>
      <c r="HVM309" s="15"/>
      <c r="HVO309" s="13"/>
      <c r="HVP309" s="35"/>
      <c r="HVQ309" s="35"/>
      <c r="HVR309" s="15"/>
      <c r="HVT309" s="13"/>
      <c r="HVU309" s="35"/>
      <c r="HVV309" s="35"/>
      <c r="HVW309" s="15"/>
      <c r="HVY309" s="13"/>
      <c r="HVZ309" s="35"/>
      <c r="HWA309" s="35"/>
      <c r="HWB309" s="15"/>
      <c r="HWD309" s="13"/>
      <c r="HWE309" s="35"/>
      <c r="HWF309" s="35"/>
      <c r="HWG309" s="15"/>
      <c r="HWI309" s="13"/>
      <c r="HWJ309" s="35"/>
      <c r="HWK309" s="35"/>
      <c r="HWL309" s="15"/>
      <c r="HWN309" s="13"/>
      <c r="HWO309" s="35"/>
      <c r="HWP309" s="35"/>
      <c r="HWQ309" s="15"/>
      <c r="HWS309" s="13"/>
      <c r="HWT309" s="35"/>
      <c r="HWU309" s="35"/>
      <c r="HWV309" s="15"/>
      <c r="HWX309" s="13"/>
      <c r="HWY309" s="35"/>
      <c r="HWZ309" s="35"/>
      <c r="HXA309" s="15"/>
      <c r="HXC309" s="13"/>
      <c r="HXD309" s="35"/>
      <c r="HXE309" s="35"/>
      <c r="HXF309" s="15"/>
      <c r="HXH309" s="13"/>
      <c r="HXI309" s="35"/>
      <c r="HXJ309" s="35"/>
      <c r="HXK309" s="15"/>
      <c r="HXM309" s="13"/>
      <c r="HXN309" s="35"/>
      <c r="HXO309" s="35"/>
      <c r="HXP309" s="15"/>
      <c r="HXR309" s="13"/>
      <c r="HXS309" s="35"/>
      <c r="HXT309" s="35"/>
      <c r="HXU309" s="15"/>
      <c r="HXW309" s="13"/>
      <c r="HXX309" s="35"/>
      <c r="HXY309" s="35"/>
      <c r="HXZ309" s="15"/>
      <c r="HYB309" s="13"/>
      <c r="HYC309" s="35"/>
      <c r="HYD309" s="35"/>
      <c r="HYE309" s="15"/>
      <c r="HYG309" s="13"/>
      <c r="HYH309" s="35"/>
      <c r="HYI309" s="35"/>
      <c r="HYJ309" s="15"/>
      <c r="HYL309" s="13"/>
      <c r="HYM309" s="35"/>
      <c r="HYN309" s="35"/>
      <c r="HYO309" s="15"/>
      <c r="HYQ309" s="13"/>
      <c r="HYR309" s="35"/>
      <c r="HYS309" s="35"/>
      <c r="HYT309" s="15"/>
      <c r="HYV309" s="13"/>
      <c r="HYW309" s="35"/>
      <c r="HYX309" s="35"/>
      <c r="HYY309" s="15"/>
      <c r="HZA309" s="13"/>
      <c r="HZB309" s="35"/>
      <c r="HZC309" s="35"/>
      <c r="HZD309" s="15"/>
      <c r="HZF309" s="13"/>
      <c r="HZG309" s="35"/>
      <c r="HZH309" s="35"/>
      <c r="HZI309" s="15"/>
      <c r="HZK309" s="13"/>
      <c r="HZL309" s="35"/>
      <c r="HZM309" s="35"/>
      <c r="HZN309" s="15"/>
      <c r="HZP309" s="13"/>
      <c r="HZQ309" s="35"/>
      <c r="HZR309" s="35"/>
      <c r="HZS309" s="15"/>
      <c r="HZU309" s="13"/>
      <c r="HZV309" s="35"/>
      <c r="HZW309" s="35"/>
      <c r="HZX309" s="15"/>
      <c r="HZZ309" s="13"/>
      <c r="IAA309" s="35"/>
      <c r="IAB309" s="35"/>
      <c r="IAC309" s="15"/>
      <c r="IAE309" s="13"/>
      <c r="IAF309" s="35"/>
      <c r="IAG309" s="35"/>
      <c r="IAH309" s="15"/>
      <c r="IAJ309" s="13"/>
      <c r="IAK309" s="35"/>
      <c r="IAL309" s="35"/>
      <c r="IAM309" s="15"/>
      <c r="IAO309" s="13"/>
      <c r="IAP309" s="35"/>
      <c r="IAQ309" s="35"/>
      <c r="IAR309" s="15"/>
      <c r="IAT309" s="13"/>
      <c r="IAU309" s="35"/>
      <c r="IAV309" s="35"/>
      <c r="IAW309" s="15"/>
      <c r="IAY309" s="13"/>
      <c r="IAZ309" s="35"/>
      <c r="IBA309" s="35"/>
      <c r="IBB309" s="15"/>
      <c r="IBD309" s="13"/>
      <c r="IBE309" s="35"/>
      <c r="IBF309" s="35"/>
      <c r="IBG309" s="15"/>
      <c r="IBI309" s="13"/>
      <c r="IBJ309" s="35"/>
      <c r="IBK309" s="35"/>
      <c r="IBL309" s="15"/>
      <c r="IBN309" s="13"/>
      <c r="IBO309" s="35"/>
      <c r="IBP309" s="35"/>
      <c r="IBQ309" s="15"/>
      <c r="IBS309" s="13"/>
      <c r="IBT309" s="35"/>
      <c r="IBU309" s="35"/>
      <c r="IBV309" s="15"/>
      <c r="IBX309" s="13"/>
      <c r="IBY309" s="35"/>
      <c r="IBZ309" s="35"/>
      <c r="ICA309" s="15"/>
      <c r="ICC309" s="13"/>
      <c r="ICD309" s="35"/>
      <c r="ICE309" s="35"/>
      <c r="ICF309" s="15"/>
      <c r="ICH309" s="13"/>
      <c r="ICI309" s="35"/>
      <c r="ICJ309" s="35"/>
      <c r="ICK309" s="15"/>
      <c r="ICM309" s="13"/>
      <c r="ICN309" s="35"/>
      <c r="ICO309" s="35"/>
      <c r="ICP309" s="15"/>
      <c r="ICR309" s="13"/>
      <c r="ICS309" s="35"/>
      <c r="ICT309" s="35"/>
      <c r="ICU309" s="15"/>
      <c r="ICW309" s="13"/>
      <c r="ICX309" s="35"/>
      <c r="ICY309" s="35"/>
      <c r="ICZ309" s="15"/>
      <c r="IDB309" s="13"/>
      <c r="IDC309" s="35"/>
      <c r="IDD309" s="35"/>
      <c r="IDE309" s="15"/>
      <c r="IDG309" s="13"/>
      <c r="IDH309" s="35"/>
      <c r="IDI309" s="35"/>
      <c r="IDJ309" s="15"/>
      <c r="IDL309" s="13"/>
      <c r="IDM309" s="35"/>
      <c r="IDN309" s="35"/>
      <c r="IDO309" s="15"/>
      <c r="IDQ309" s="13"/>
      <c r="IDR309" s="35"/>
      <c r="IDS309" s="35"/>
      <c r="IDT309" s="15"/>
      <c r="IDV309" s="13"/>
      <c r="IDW309" s="35"/>
      <c r="IDX309" s="35"/>
      <c r="IDY309" s="15"/>
      <c r="IEA309" s="13"/>
      <c r="IEB309" s="35"/>
      <c r="IEC309" s="35"/>
      <c r="IED309" s="15"/>
      <c r="IEF309" s="13"/>
      <c r="IEG309" s="35"/>
      <c r="IEH309" s="35"/>
      <c r="IEI309" s="15"/>
      <c r="IEK309" s="13"/>
      <c r="IEL309" s="35"/>
      <c r="IEM309" s="35"/>
      <c r="IEN309" s="15"/>
      <c r="IEP309" s="13"/>
      <c r="IEQ309" s="35"/>
      <c r="IER309" s="35"/>
      <c r="IES309" s="15"/>
      <c r="IEU309" s="13"/>
      <c r="IEV309" s="35"/>
      <c r="IEW309" s="35"/>
      <c r="IEX309" s="15"/>
      <c r="IEZ309" s="13"/>
      <c r="IFA309" s="35"/>
      <c r="IFB309" s="35"/>
      <c r="IFC309" s="15"/>
      <c r="IFE309" s="13"/>
      <c r="IFF309" s="35"/>
      <c r="IFG309" s="35"/>
      <c r="IFH309" s="15"/>
      <c r="IFJ309" s="13"/>
      <c r="IFK309" s="35"/>
      <c r="IFL309" s="35"/>
      <c r="IFM309" s="15"/>
      <c r="IFO309" s="13"/>
      <c r="IFP309" s="35"/>
      <c r="IFQ309" s="35"/>
      <c r="IFR309" s="15"/>
      <c r="IFT309" s="13"/>
      <c r="IFU309" s="35"/>
      <c r="IFV309" s="35"/>
      <c r="IFW309" s="15"/>
      <c r="IFY309" s="13"/>
      <c r="IFZ309" s="35"/>
      <c r="IGA309" s="35"/>
      <c r="IGB309" s="15"/>
      <c r="IGD309" s="13"/>
      <c r="IGE309" s="35"/>
      <c r="IGF309" s="35"/>
      <c r="IGG309" s="15"/>
      <c r="IGI309" s="13"/>
      <c r="IGJ309" s="35"/>
      <c r="IGK309" s="35"/>
      <c r="IGL309" s="15"/>
      <c r="IGN309" s="13"/>
      <c r="IGO309" s="35"/>
      <c r="IGP309" s="35"/>
      <c r="IGQ309" s="15"/>
      <c r="IGS309" s="13"/>
      <c r="IGT309" s="35"/>
      <c r="IGU309" s="35"/>
      <c r="IGV309" s="15"/>
      <c r="IGX309" s="13"/>
      <c r="IGY309" s="35"/>
      <c r="IGZ309" s="35"/>
      <c r="IHA309" s="15"/>
      <c r="IHC309" s="13"/>
      <c r="IHD309" s="35"/>
      <c r="IHE309" s="35"/>
      <c r="IHF309" s="15"/>
      <c r="IHH309" s="13"/>
      <c r="IHI309" s="35"/>
      <c r="IHJ309" s="35"/>
      <c r="IHK309" s="15"/>
      <c r="IHM309" s="13"/>
      <c r="IHN309" s="35"/>
      <c r="IHO309" s="35"/>
      <c r="IHP309" s="15"/>
      <c r="IHR309" s="13"/>
      <c r="IHS309" s="35"/>
      <c r="IHT309" s="35"/>
      <c r="IHU309" s="15"/>
      <c r="IHW309" s="13"/>
      <c r="IHX309" s="35"/>
      <c r="IHY309" s="35"/>
      <c r="IHZ309" s="15"/>
      <c r="IIB309" s="13"/>
      <c r="IIC309" s="35"/>
      <c r="IID309" s="35"/>
      <c r="IIE309" s="15"/>
      <c r="IIG309" s="13"/>
      <c r="IIH309" s="35"/>
      <c r="III309" s="35"/>
      <c r="IIJ309" s="15"/>
      <c r="IIL309" s="13"/>
      <c r="IIM309" s="35"/>
      <c r="IIN309" s="35"/>
      <c r="IIO309" s="15"/>
      <c r="IIQ309" s="13"/>
      <c r="IIR309" s="35"/>
      <c r="IIS309" s="35"/>
      <c r="IIT309" s="15"/>
      <c r="IIV309" s="13"/>
      <c r="IIW309" s="35"/>
      <c r="IIX309" s="35"/>
      <c r="IIY309" s="15"/>
      <c r="IJA309" s="13"/>
      <c r="IJB309" s="35"/>
      <c r="IJC309" s="35"/>
      <c r="IJD309" s="15"/>
      <c r="IJF309" s="13"/>
      <c r="IJG309" s="35"/>
      <c r="IJH309" s="35"/>
      <c r="IJI309" s="15"/>
      <c r="IJK309" s="13"/>
      <c r="IJL309" s="35"/>
      <c r="IJM309" s="35"/>
      <c r="IJN309" s="15"/>
      <c r="IJP309" s="13"/>
      <c r="IJQ309" s="35"/>
      <c r="IJR309" s="35"/>
      <c r="IJS309" s="15"/>
      <c r="IJU309" s="13"/>
      <c r="IJV309" s="35"/>
      <c r="IJW309" s="35"/>
      <c r="IJX309" s="15"/>
      <c r="IJZ309" s="13"/>
      <c r="IKA309" s="35"/>
      <c r="IKB309" s="35"/>
      <c r="IKC309" s="15"/>
      <c r="IKE309" s="13"/>
      <c r="IKF309" s="35"/>
      <c r="IKG309" s="35"/>
      <c r="IKH309" s="15"/>
      <c r="IKJ309" s="13"/>
      <c r="IKK309" s="35"/>
      <c r="IKL309" s="35"/>
      <c r="IKM309" s="15"/>
      <c r="IKO309" s="13"/>
      <c r="IKP309" s="35"/>
      <c r="IKQ309" s="35"/>
      <c r="IKR309" s="15"/>
      <c r="IKT309" s="13"/>
      <c r="IKU309" s="35"/>
      <c r="IKV309" s="35"/>
      <c r="IKW309" s="15"/>
      <c r="IKY309" s="13"/>
      <c r="IKZ309" s="35"/>
      <c r="ILA309" s="35"/>
      <c r="ILB309" s="15"/>
      <c r="ILD309" s="13"/>
      <c r="ILE309" s="35"/>
      <c r="ILF309" s="35"/>
      <c r="ILG309" s="15"/>
      <c r="ILI309" s="13"/>
      <c r="ILJ309" s="35"/>
      <c r="ILK309" s="35"/>
      <c r="ILL309" s="15"/>
      <c r="ILN309" s="13"/>
      <c r="ILO309" s="35"/>
      <c r="ILP309" s="35"/>
      <c r="ILQ309" s="15"/>
      <c r="ILS309" s="13"/>
      <c r="ILT309" s="35"/>
      <c r="ILU309" s="35"/>
      <c r="ILV309" s="15"/>
      <c r="ILX309" s="13"/>
      <c r="ILY309" s="35"/>
      <c r="ILZ309" s="35"/>
      <c r="IMA309" s="15"/>
      <c r="IMC309" s="13"/>
      <c r="IMD309" s="35"/>
      <c r="IME309" s="35"/>
      <c r="IMF309" s="15"/>
      <c r="IMH309" s="13"/>
      <c r="IMI309" s="35"/>
      <c r="IMJ309" s="35"/>
      <c r="IMK309" s="15"/>
      <c r="IMM309" s="13"/>
      <c r="IMN309" s="35"/>
      <c r="IMO309" s="35"/>
      <c r="IMP309" s="15"/>
      <c r="IMR309" s="13"/>
      <c r="IMS309" s="35"/>
      <c r="IMT309" s="35"/>
      <c r="IMU309" s="15"/>
      <c r="IMW309" s="13"/>
      <c r="IMX309" s="35"/>
      <c r="IMY309" s="35"/>
      <c r="IMZ309" s="15"/>
      <c r="INB309" s="13"/>
      <c r="INC309" s="35"/>
      <c r="IND309" s="35"/>
      <c r="INE309" s="15"/>
      <c r="ING309" s="13"/>
      <c r="INH309" s="35"/>
      <c r="INI309" s="35"/>
      <c r="INJ309" s="15"/>
      <c r="INL309" s="13"/>
      <c r="INM309" s="35"/>
      <c r="INN309" s="35"/>
      <c r="INO309" s="15"/>
      <c r="INQ309" s="13"/>
      <c r="INR309" s="35"/>
      <c r="INS309" s="35"/>
      <c r="INT309" s="15"/>
      <c r="INV309" s="13"/>
      <c r="INW309" s="35"/>
      <c r="INX309" s="35"/>
      <c r="INY309" s="15"/>
      <c r="IOA309" s="13"/>
      <c r="IOB309" s="35"/>
      <c r="IOC309" s="35"/>
      <c r="IOD309" s="15"/>
      <c r="IOF309" s="13"/>
      <c r="IOG309" s="35"/>
      <c r="IOH309" s="35"/>
      <c r="IOI309" s="15"/>
      <c r="IOK309" s="13"/>
      <c r="IOL309" s="35"/>
      <c r="IOM309" s="35"/>
      <c r="ION309" s="15"/>
      <c r="IOP309" s="13"/>
      <c r="IOQ309" s="35"/>
      <c r="IOR309" s="35"/>
      <c r="IOS309" s="15"/>
      <c r="IOU309" s="13"/>
      <c r="IOV309" s="35"/>
      <c r="IOW309" s="35"/>
      <c r="IOX309" s="15"/>
      <c r="IOZ309" s="13"/>
      <c r="IPA309" s="35"/>
      <c r="IPB309" s="35"/>
      <c r="IPC309" s="15"/>
      <c r="IPE309" s="13"/>
      <c r="IPF309" s="35"/>
      <c r="IPG309" s="35"/>
      <c r="IPH309" s="15"/>
      <c r="IPJ309" s="13"/>
      <c r="IPK309" s="35"/>
      <c r="IPL309" s="35"/>
      <c r="IPM309" s="15"/>
      <c r="IPO309" s="13"/>
      <c r="IPP309" s="35"/>
      <c r="IPQ309" s="35"/>
      <c r="IPR309" s="15"/>
      <c r="IPT309" s="13"/>
      <c r="IPU309" s="35"/>
      <c r="IPV309" s="35"/>
      <c r="IPW309" s="15"/>
      <c r="IPY309" s="13"/>
      <c r="IPZ309" s="35"/>
      <c r="IQA309" s="35"/>
      <c r="IQB309" s="15"/>
      <c r="IQD309" s="13"/>
      <c r="IQE309" s="35"/>
      <c r="IQF309" s="35"/>
      <c r="IQG309" s="15"/>
      <c r="IQI309" s="13"/>
      <c r="IQJ309" s="35"/>
      <c r="IQK309" s="35"/>
      <c r="IQL309" s="15"/>
      <c r="IQN309" s="13"/>
      <c r="IQO309" s="35"/>
      <c r="IQP309" s="35"/>
      <c r="IQQ309" s="15"/>
      <c r="IQS309" s="13"/>
      <c r="IQT309" s="35"/>
      <c r="IQU309" s="35"/>
      <c r="IQV309" s="15"/>
      <c r="IQX309" s="13"/>
      <c r="IQY309" s="35"/>
      <c r="IQZ309" s="35"/>
      <c r="IRA309" s="15"/>
      <c r="IRC309" s="13"/>
      <c r="IRD309" s="35"/>
      <c r="IRE309" s="35"/>
      <c r="IRF309" s="15"/>
      <c r="IRH309" s="13"/>
      <c r="IRI309" s="35"/>
      <c r="IRJ309" s="35"/>
      <c r="IRK309" s="15"/>
      <c r="IRM309" s="13"/>
      <c r="IRN309" s="35"/>
      <c r="IRO309" s="35"/>
      <c r="IRP309" s="15"/>
      <c r="IRR309" s="13"/>
      <c r="IRS309" s="35"/>
      <c r="IRT309" s="35"/>
      <c r="IRU309" s="15"/>
      <c r="IRW309" s="13"/>
      <c r="IRX309" s="35"/>
      <c r="IRY309" s="35"/>
      <c r="IRZ309" s="15"/>
      <c r="ISB309" s="13"/>
      <c r="ISC309" s="35"/>
      <c r="ISD309" s="35"/>
      <c r="ISE309" s="15"/>
      <c r="ISG309" s="13"/>
      <c r="ISH309" s="35"/>
      <c r="ISI309" s="35"/>
      <c r="ISJ309" s="15"/>
      <c r="ISL309" s="13"/>
      <c r="ISM309" s="35"/>
      <c r="ISN309" s="35"/>
      <c r="ISO309" s="15"/>
      <c r="ISQ309" s="13"/>
      <c r="ISR309" s="35"/>
      <c r="ISS309" s="35"/>
      <c r="IST309" s="15"/>
      <c r="ISV309" s="13"/>
      <c r="ISW309" s="35"/>
      <c r="ISX309" s="35"/>
      <c r="ISY309" s="15"/>
      <c r="ITA309" s="13"/>
      <c r="ITB309" s="35"/>
      <c r="ITC309" s="35"/>
      <c r="ITD309" s="15"/>
      <c r="ITF309" s="13"/>
      <c r="ITG309" s="35"/>
      <c r="ITH309" s="35"/>
      <c r="ITI309" s="15"/>
      <c r="ITK309" s="13"/>
      <c r="ITL309" s="35"/>
      <c r="ITM309" s="35"/>
      <c r="ITN309" s="15"/>
      <c r="ITP309" s="13"/>
      <c r="ITQ309" s="35"/>
      <c r="ITR309" s="35"/>
      <c r="ITS309" s="15"/>
      <c r="ITU309" s="13"/>
      <c r="ITV309" s="35"/>
      <c r="ITW309" s="35"/>
      <c r="ITX309" s="15"/>
      <c r="ITZ309" s="13"/>
      <c r="IUA309" s="35"/>
      <c r="IUB309" s="35"/>
      <c r="IUC309" s="15"/>
      <c r="IUE309" s="13"/>
      <c r="IUF309" s="35"/>
      <c r="IUG309" s="35"/>
      <c r="IUH309" s="15"/>
      <c r="IUJ309" s="13"/>
      <c r="IUK309" s="35"/>
      <c r="IUL309" s="35"/>
      <c r="IUM309" s="15"/>
      <c r="IUO309" s="13"/>
      <c r="IUP309" s="35"/>
      <c r="IUQ309" s="35"/>
      <c r="IUR309" s="15"/>
      <c r="IUT309" s="13"/>
      <c r="IUU309" s="35"/>
      <c r="IUV309" s="35"/>
      <c r="IUW309" s="15"/>
      <c r="IUY309" s="13"/>
      <c r="IUZ309" s="35"/>
      <c r="IVA309" s="35"/>
      <c r="IVB309" s="15"/>
      <c r="IVD309" s="13"/>
      <c r="IVE309" s="35"/>
      <c r="IVF309" s="35"/>
      <c r="IVG309" s="15"/>
      <c r="IVI309" s="13"/>
      <c r="IVJ309" s="35"/>
      <c r="IVK309" s="35"/>
      <c r="IVL309" s="15"/>
      <c r="IVN309" s="13"/>
      <c r="IVO309" s="35"/>
      <c r="IVP309" s="35"/>
      <c r="IVQ309" s="15"/>
      <c r="IVS309" s="13"/>
      <c r="IVT309" s="35"/>
      <c r="IVU309" s="35"/>
      <c r="IVV309" s="15"/>
      <c r="IVX309" s="13"/>
      <c r="IVY309" s="35"/>
      <c r="IVZ309" s="35"/>
      <c r="IWA309" s="15"/>
      <c r="IWC309" s="13"/>
      <c r="IWD309" s="35"/>
      <c r="IWE309" s="35"/>
      <c r="IWF309" s="15"/>
      <c r="IWH309" s="13"/>
      <c r="IWI309" s="35"/>
      <c r="IWJ309" s="35"/>
      <c r="IWK309" s="15"/>
      <c r="IWM309" s="13"/>
      <c r="IWN309" s="35"/>
      <c r="IWO309" s="35"/>
      <c r="IWP309" s="15"/>
      <c r="IWR309" s="13"/>
      <c r="IWS309" s="35"/>
      <c r="IWT309" s="35"/>
      <c r="IWU309" s="15"/>
      <c r="IWW309" s="13"/>
      <c r="IWX309" s="35"/>
      <c r="IWY309" s="35"/>
      <c r="IWZ309" s="15"/>
      <c r="IXB309" s="13"/>
      <c r="IXC309" s="35"/>
      <c r="IXD309" s="35"/>
      <c r="IXE309" s="15"/>
      <c r="IXG309" s="13"/>
      <c r="IXH309" s="35"/>
      <c r="IXI309" s="35"/>
      <c r="IXJ309" s="15"/>
      <c r="IXL309" s="13"/>
      <c r="IXM309" s="35"/>
      <c r="IXN309" s="35"/>
      <c r="IXO309" s="15"/>
      <c r="IXQ309" s="13"/>
      <c r="IXR309" s="35"/>
      <c r="IXS309" s="35"/>
      <c r="IXT309" s="15"/>
      <c r="IXV309" s="13"/>
      <c r="IXW309" s="35"/>
      <c r="IXX309" s="35"/>
      <c r="IXY309" s="15"/>
      <c r="IYA309" s="13"/>
      <c r="IYB309" s="35"/>
      <c r="IYC309" s="35"/>
      <c r="IYD309" s="15"/>
      <c r="IYF309" s="13"/>
      <c r="IYG309" s="35"/>
      <c r="IYH309" s="35"/>
      <c r="IYI309" s="15"/>
      <c r="IYK309" s="13"/>
      <c r="IYL309" s="35"/>
      <c r="IYM309" s="35"/>
      <c r="IYN309" s="15"/>
      <c r="IYP309" s="13"/>
      <c r="IYQ309" s="35"/>
      <c r="IYR309" s="35"/>
      <c r="IYS309" s="15"/>
      <c r="IYU309" s="13"/>
      <c r="IYV309" s="35"/>
      <c r="IYW309" s="35"/>
      <c r="IYX309" s="15"/>
      <c r="IYZ309" s="13"/>
      <c r="IZA309" s="35"/>
      <c r="IZB309" s="35"/>
      <c r="IZC309" s="15"/>
      <c r="IZE309" s="13"/>
      <c r="IZF309" s="35"/>
      <c r="IZG309" s="35"/>
      <c r="IZH309" s="15"/>
      <c r="IZJ309" s="13"/>
      <c r="IZK309" s="35"/>
      <c r="IZL309" s="35"/>
      <c r="IZM309" s="15"/>
      <c r="IZO309" s="13"/>
      <c r="IZP309" s="35"/>
      <c r="IZQ309" s="35"/>
      <c r="IZR309" s="15"/>
      <c r="IZT309" s="13"/>
      <c r="IZU309" s="35"/>
      <c r="IZV309" s="35"/>
      <c r="IZW309" s="15"/>
      <c r="IZY309" s="13"/>
      <c r="IZZ309" s="35"/>
      <c r="JAA309" s="35"/>
      <c r="JAB309" s="15"/>
      <c r="JAD309" s="13"/>
      <c r="JAE309" s="35"/>
      <c r="JAF309" s="35"/>
      <c r="JAG309" s="15"/>
      <c r="JAI309" s="13"/>
      <c r="JAJ309" s="35"/>
      <c r="JAK309" s="35"/>
      <c r="JAL309" s="15"/>
      <c r="JAN309" s="13"/>
      <c r="JAO309" s="35"/>
      <c r="JAP309" s="35"/>
      <c r="JAQ309" s="15"/>
      <c r="JAS309" s="13"/>
      <c r="JAT309" s="35"/>
      <c r="JAU309" s="35"/>
      <c r="JAV309" s="15"/>
      <c r="JAX309" s="13"/>
      <c r="JAY309" s="35"/>
      <c r="JAZ309" s="35"/>
      <c r="JBA309" s="15"/>
      <c r="JBC309" s="13"/>
      <c r="JBD309" s="35"/>
      <c r="JBE309" s="35"/>
      <c r="JBF309" s="15"/>
      <c r="JBH309" s="13"/>
      <c r="JBI309" s="35"/>
      <c r="JBJ309" s="35"/>
      <c r="JBK309" s="15"/>
      <c r="JBM309" s="13"/>
      <c r="JBN309" s="35"/>
      <c r="JBO309" s="35"/>
      <c r="JBP309" s="15"/>
      <c r="JBR309" s="13"/>
      <c r="JBS309" s="35"/>
      <c r="JBT309" s="35"/>
      <c r="JBU309" s="15"/>
      <c r="JBW309" s="13"/>
      <c r="JBX309" s="35"/>
      <c r="JBY309" s="35"/>
      <c r="JBZ309" s="15"/>
      <c r="JCB309" s="13"/>
      <c r="JCC309" s="35"/>
      <c r="JCD309" s="35"/>
      <c r="JCE309" s="15"/>
      <c r="JCG309" s="13"/>
      <c r="JCH309" s="35"/>
      <c r="JCI309" s="35"/>
      <c r="JCJ309" s="15"/>
      <c r="JCL309" s="13"/>
      <c r="JCM309" s="35"/>
      <c r="JCN309" s="35"/>
      <c r="JCO309" s="15"/>
      <c r="JCQ309" s="13"/>
      <c r="JCR309" s="35"/>
      <c r="JCS309" s="35"/>
      <c r="JCT309" s="15"/>
      <c r="JCV309" s="13"/>
      <c r="JCW309" s="35"/>
      <c r="JCX309" s="35"/>
      <c r="JCY309" s="15"/>
      <c r="JDA309" s="13"/>
      <c r="JDB309" s="35"/>
      <c r="JDC309" s="35"/>
      <c r="JDD309" s="15"/>
      <c r="JDF309" s="13"/>
      <c r="JDG309" s="35"/>
      <c r="JDH309" s="35"/>
      <c r="JDI309" s="15"/>
      <c r="JDK309" s="13"/>
      <c r="JDL309" s="35"/>
      <c r="JDM309" s="35"/>
      <c r="JDN309" s="15"/>
      <c r="JDP309" s="13"/>
      <c r="JDQ309" s="35"/>
      <c r="JDR309" s="35"/>
      <c r="JDS309" s="15"/>
      <c r="JDU309" s="13"/>
      <c r="JDV309" s="35"/>
      <c r="JDW309" s="35"/>
      <c r="JDX309" s="15"/>
      <c r="JDZ309" s="13"/>
      <c r="JEA309" s="35"/>
      <c r="JEB309" s="35"/>
      <c r="JEC309" s="15"/>
      <c r="JEE309" s="13"/>
      <c r="JEF309" s="35"/>
      <c r="JEG309" s="35"/>
      <c r="JEH309" s="15"/>
      <c r="JEJ309" s="13"/>
      <c r="JEK309" s="35"/>
      <c r="JEL309" s="35"/>
      <c r="JEM309" s="15"/>
      <c r="JEO309" s="13"/>
      <c r="JEP309" s="35"/>
      <c r="JEQ309" s="35"/>
      <c r="JER309" s="15"/>
      <c r="JET309" s="13"/>
      <c r="JEU309" s="35"/>
      <c r="JEV309" s="35"/>
      <c r="JEW309" s="15"/>
      <c r="JEY309" s="13"/>
      <c r="JEZ309" s="35"/>
      <c r="JFA309" s="35"/>
      <c r="JFB309" s="15"/>
      <c r="JFD309" s="13"/>
      <c r="JFE309" s="35"/>
      <c r="JFF309" s="35"/>
      <c r="JFG309" s="15"/>
      <c r="JFI309" s="13"/>
      <c r="JFJ309" s="35"/>
      <c r="JFK309" s="35"/>
      <c r="JFL309" s="15"/>
      <c r="JFN309" s="13"/>
      <c r="JFO309" s="35"/>
      <c r="JFP309" s="35"/>
      <c r="JFQ309" s="15"/>
      <c r="JFS309" s="13"/>
      <c r="JFT309" s="35"/>
      <c r="JFU309" s="35"/>
      <c r="JFV309" s="15"/>
      <c r="JFX309" s="13"/>
      <c r="JFY309" s="35"/>
      <c r="JFZ309" s="35"/>
      <c r="JGA309" s="15"/>
      <c r="JGC309" s="13"/>
      <c r="JGD309" s="35"/>
      <c r="JGE309" s="35"/>
      <c r="JGF309" s="15"/>
      <c r="JGH309" s="13"/>
      <c r="JGI309" s="35"/>
      <c r="JGJ309" s="35"/>
      <c r="JGK309" s="15"/>
      <c r="JGM309" s="13"/>
      <c r="JGN309" s="35"/>
      <c r="JGO309" s="35"/>
      <c r="JGP309" s="15"/>
      <c r="JGR309" s="13"/>
      <c r="JGS309" s="35"/>
      <c r="JGT309" s="35"/>
      <c r="JGU309" s="15"/>
      <c r="JGW309" s="13"/>
      <c r="JGX309" s="35"/>
      <c r="JGY309" s="35"/>
      <c r="JGZ309" s="15"/>
      <c r="JHB309" s="13"/>
      <c r="JHC309" s="35"/>
      <c r="JHD309" s="35"/>
      <c r="JHE309" s="15"/>
      <c r="JHG309" s="13"/>
      <c r="JHH309" s="35"/>
      <c r="JHI309" s="35"/>
      <c r="JHJ309" s="15"/>
      <c r="JHL309" s="13"/>
      <c r="JHM309" s="35"/>
      <c r="JHN309" s="35"/>
      <c r="JHO309" s="15"/>
      <c r="JHQ309" s="13"/>
      <c r="JHR309" s="35"/>
      <c r="JHS309" s="35"/>
      <c r="JHT309" s="15"/>
      <c r="JHV309" s="13"/>
      <c r="JHW309" s="35"/>
      <c r="JHX309" s="35"/>
      <c r="JHY309" s="15"/>
      <c r="JIA309" s="13"/>
      <c r="JIB309" s="35"/>
      <c r="JIC309" s="35"/>
      <c r="JID309" s="15"/>
      <c r="JIF309" s="13"/>
      <c r="JIG309" s="35"/>
      <c r="JIH309" s="35"/>
      <c r="JII309" s="15"/>
      <c r="JIK309" s="13"/>
      <c r="JIL309" s="35"/>
      <c r="JIM309" s="35"/>
      <c r="JIN309" s="15"/>
      <c r="JIP309" s="13"/>
      <c r="JIQ309" s="35"/>
      <c r="JIR309" s="35"/>
      <c r="JIS309" s="15"/>
      <c r="JIU309" s="13"/>
      <c r="JIV309" s="35"/>
      <c r="JIW309" s="35"/>
      <c r="JIX309" s="15"/>
      <c r="JIZ309" s="13"/>
      <c r="JJA309" s="35"/>
      <c r="JJB309" s="35"/>
      <c r="JJC309" s="15"/>
      <c r="JJE309" s="13"/>
      <c r="JJF309" s="35"/>
      <c r="JJG309" s="35"/>
      <c r="JJH309" s="15"/>
      <c r="JJJ309" s="13"/>
      <c r="JJK309" s="35"/>
      <c r="JJL309" s="35"/>
      <c r="JJM309" s="15"/>
      <c r="JJO309" s="13"/>
      <c r="JJP309" s="35"/>
      <c r="JJQ309" s="35"/>
      <c r="JJR309" s="15"/>
      <c r="JJT309" s="13"/>
      <c r="JJU309" s="35"/>
      <c r="JJV309" s="35"/>
      <c r="JJW309" s="15"/>
      <c r="JJY309" s="13"/>
      <c r="JJZ309" s="35"/>
      <c r="JKA309" s="35"/>
      <c r="JKB309" s="15"/>
      <c r="JKD309" s="13"/>
      <c r="JKE309" s="35"/>
      <c r="JKF309" s="35"/>
      <c r="JKG309" s="15"/>
      <c r="JKI309" s="13"/>
      <c r="JKJ309" s="35"/>
      <c r="JKK309" s="35"/>
      <c r="JKL309" s="15"/>
      <c r="JKN309" s="13"/>
      <c r="JKO309" s="35"/>
      <c r="JKP309" s="35"/>
      <c r="JKQ309" s="15"/>
      <c r="JKS309" s="13"/>
      <c r="JKT309" s="35"/>
      <c r="JKU309" s="35"/>
      <c r="JKV309" s="15"/>
      <c r="JKX309" s="13"/>
      <c r="JKY309" s="35"/>
      <c r="JKZ309" s="35"/>
      <c r="JLA309" s="15"/>
      <c r="JLC309" s="13"/>
      <c r="JLD309" s="35"/>
      <c r="JLE309" s="35"/>
      <c r="JLF309" s="15"/>
      <c r="JLH309" s="13"/>
      <c r="JLI309" s="35"/>
      <c r="JLJ309" s="35"/>
      <c r="JLK309" s="15"/>
      <c r="JLM309" s="13"/>
      <c r="JLN309" s="35"/>
      <c r="JLO309" s="35"/>
      <c r="JLP309" s="15"/>
      <c r="JLR309" s="13"/>
      <c r="JLS309" s="35"/>
      <c r="JLT309" s="35"/>
      <c r="JLU309" s="15"/>
      <c r="JLW309" s="13"/>
      <c r="JLX309" s="35"/>
      <c r="JLY309" s="35"/>
      <c r="JLZ309" s="15"/>
      <c r="JMB309" s="13"/>
      <c r="JMC309" s="35"/>
      <c r="JMD309" s="35"/>
      <c r="JME309" s="15"/>
      <c r="JMG309" s="13"/>
      <c r="JMH309" s="35"/>
      <c r="JMI309" s="35"/>
      <c r="JMJ309" s="15"/>
      <c r="JML309" s="13"/>
      <c r="JMM309" s="35"/>
      <c r="JMN309" s="35"/>
      <c r="JMO309" s="15"/>
      <c r="JMQ309" s="13"/>
      <c r="JMR309" s="35"/>
      <c r="JMS309" s="35"/>
      <c r="JMT309" s="15"/>
      <c r="JMV309" s="13"/>
      <c r="JMW309" s="35"/>
      <c r="JMX309" s="35"/>
      <c r="JMY309" s="15"/>
      <c r="JNA309" s="13"/>
      <c r="JNB309" s="35"/>
      <c r="JNC309" s="35"/>
      <c r="JND309" s="15"/>
      <c r="JNF309" s="13"/>
      <c r="JNG309" s="35"/>
      <c r="JNH309" s="35"/>
      <c r="JNI309" s="15"/>
      <c r="JNK309" s="13"/>
      <c r="JNL309" s="35"/>
      <c r="JNM309" s="35"/>
      <c r="JNN309" s="15"/>
      <c r="JNP309" s="13"/>
      <c r="JNQ309" s="35"/>
      <c r="JNR309" s="35"/>
      <c r="JNS309" s="15"/>
      <c r="JNU309" s="13"/>
      <c r="JNV309" s="35"/>
      <c r="JNW309" s="35"/>
      <c r="JNX309" s="15"/>
      <c r="JNZ309" s="13"/>
      <c r="JOA309" s="35"/>
      <c r="JOB309" s="35"/>
      <c r="JOC309" s="15"/>
      <c r="JOE309" s="13"/>
      <c r="JOF309" s="35"/>
      <c r="JOG309" s="35"/>
      <c r="JOH309" s="15"/>
      <c r="JOJ309" s="13"/>
      <c r="JOK309" s="35"/>
      <c r="JOL309" s="35"/>
      <c r="JOM309" s="15"/>
      <c r="JOO309" s="13"/>
      <c r="JOP309" s="35"/>
      <c r="JOQ309" s="35"/>
      <c r="JOR309" s="15"/>
      <c r="JOT309" s="13"/>
      <c r="JOU309" s="35"/>
      <c r="JOV309" s="35"/>
      <c r="JOW309" s="15"/>
      <c r="JOY309" s="13"/>
      <c r="JOZ309" s="35"/>
      <c r="JPA309" s="35"/>
      <c r="JPB309" s="15"/>
      <c r="JPD309" s="13"/>
      <c r="JPE309" s="35"/>
      <c r="JPF309" s="35"/>
      <c r="JPG309" s="15"/>
      <c r="JPI309" s="13"/>
      <c r="JPJ309" s="35"/>
      <c r="JPK309" s="35"/>
      <c r="JPL309" s="15"/>
      <c r="JPN309" s="13"/>
      <c r="JPO309" s="35"/>
      <c r="JPP309" s="35"/>
      <c r="JPQ309" s="15"/>
      <c r="JPS309" s="13"/>
      <c r="JPT309" s="35"/>
      <c r="JPU309" s="35"/>
      <c r="JPV309" s="15"/>
      <c r="JPX309" s="13"/>
      <c r="JPY309" s="35"/>
      <c r="JPZ309" s="35"/>
      <c r="JQA309" s="15"/>
      <c r="JQC309" s="13"/>
      <c r="JQD309" s="35"/>
      <c r="JQE309" s="35"/>
      <c r="JQF309" s="15"/>
      <c r="JQH309" s="13"/>
      <c r="JQI309" s="35"/>
      <c r="JQJ309" s="35"/>
      <c r="JQK309" s="15"/>
      <c r="JQM309" s="13"/>
      <c r="JQN309" s="35"/>
      <c r="JQO309" s="35"/>
      <c r="JQP309" s="15"/>
      <c r="JQR309" s="13"/>
      <c r="JQS309" s="35"/>
      <c r="JQT309" s="35"/>
      <c r="JQU309" s="15"/>
      <c r="JQW309" s="13"/>
      <c r="JQX309" s="35"/>
      <c r="JQY309" s="35"/>
      <c r="JQZ309" s="15"/>
      <c r="JRB309" s="13"/>
      <c r="JRC309" s="35"/>
      <c r="JRD309" s="35"/>
      <c r="JRE309" s="15"/>
      <c r="JRG309" s="13"/>
      <c r="JRH309" s="35"/>
      <c r="JRI309" s="35"/>
      <c r="JRJ309" s="15"/>
      <c r="JRL309" s="13"/>
      <c r="JRM309" s="35"/>
      <c r="JRN309" s="35"/>
      <c r="JRO309" s="15"/>
      <c r="JRQ309" s="13"/>
      <c r="JRR309" s="35"/>
      <c r="JRS309" s="35"/>
      <c r="JRT309" s="15"/>
      <c r="JRV309" s="13"/>
      <c r="JRW309" s="35"/>
      <c r="JRX309" s="35"/>
      <c r="JRY309" s="15"/>
      <c r="JSA309" s="13"/>
      <c r="JSB309" s="35"/>
      <c r="JSC309" s="35"/>
      <c r="JSD309" s="15"/>
      <c r="JSF309" s="13"/>
      <c r="JSG309" s="35"/>
      <c r="JSH309" s="35"/>
      <c r="JSI309" s="15"/>
      <c r="JSK309" s="13"/>
      <c r="JSL309" s="35"/>
      <c r="JSM309" s="35"/>
      <c r="JSN309" s="15"/>
      <c r="JSP309" s="13"/>
      <c r="JSQ309" s="35"/>
      <c r="JSR309" s="35"/>
      <c r="JSS309" s="15"/>
      <c r="JSU309" s="13"/>
      <c r="JSV309" s="35"/>
      <c r="JSW309" s="35"/>
      <c r="JSX309" s="15"/>
      <c r="JSZ309" s="13"/>
      <c r="JTA309" s="35"/>
      <c r="JTB309" s="35"/>
      <c r="JTC309" s="15"/>
      <c r="JTE309" s="13"/>
      <c r="JTF309" s="35"/>
      <c r="JTG309" s="35"/>
      <c r="JTH309" s="15"/>
      <c r="JTJ309" s="13"/>
      <c r="JTK309" s="35"/>
      <c r="JTL309" s="35"/>
      <c r="JTM309" s="15"/>
      <c r="JTO309" s="13"/>
      <c r="JTP309" s="35"/>
      <c r="JTQ309" s="35"/>
      <c r="JTR309" s="15"/>
      <c r="JTT309" s="13"/>
      <c r="JTU309" s="35"/>
      <c r="JTV309" s="35"/>
      <c r="JTW309" s="15"/>
      <c r="JTY309" s="13"/>
      <c r="JTZ309" s="35"/>
      <c r="JUA309" s="35"/>
      <c r="JUB309" s="15"/>
      <c r="JUD309" s="13"/>
      <c r="JUE309" s="35"/>
      <c r="JUF309" s="35"/>
      <c r="JUG309" s="15"/>
      <c r="JUI309" s="13"/>
      <c r="JUJ309" s="35"/>
      <c r="JUK309" s="35"/>
      <c r="JUL309" s="15"/>
      <c r="JUN309" s="13"/>
      <c r="JUO309" s="35"/>
      <c r="JUP309" s="35"/>
      <c r="JUQ309" s="15"/>
      <c r="JUS309" s="13"/>
      <c r="JUT309" s="35"/>
      <c r="JUU309" s="35"/>
      <c r="JUV309" s="15"/>
      <c r="JUX309" s="13"/>
      <c r="JUY309" s="35"/>
      <c r="JUZ309" s="35"/>
      <c r="JVA309" s="15"/>
      <c r="JVC309" s="13"/>
      <c r="JVD309" s="35"/>
      <c r="JVE309" s="35"/>
      <c r="JVF309" s="15"/>
      <c r="JVH309" s="13"/>
      <c r="JVI309" s="35"/>
      <c r="JVJ309" s="35"/>
      <c r="JVK309" s="15"/>
      <c r="JVM309" s="13"/>
      <c r="JVN309" s="35"/>
      <c r="JVO309" s="35"/>
      <c r="JVP309" s="15"/>
      <c r="JVR309" s="13"/>
      <c r="JVS309" s="35"/>
      <c r="JVT309" s="35"/>
      <c r="JVU309" s="15"/>
      <c r="JVW309" s="13"/>
      <c r="JVX309" s="35"/>
      <c r="JVY309" s="35"/>
      <c r="JVZ309" s="15"/>
      <c r="JWB309" s="13"/>
      <c r="JWC309" s="35"/>
      <c r="JWD309" s="35"/>
      <c r="JWE309" s="15"/>
      <c r="JWG309" s="13"/>
      <c r="JWH309" s="35"/>
      <c r="JWI309" s="35"/>
      <c r="JWJ309" s="15"/>
      <c r="JWL309" s="13"/>
      <c r="JWM309" s="35"/>
      <c r="JWN309" s="35"/>
      <c r="JWO309" s="15"/>
      <c r="JWQ309" s="13"/>
      <c r="JWR309" s="35"/>
      <c r="JWS309" s="35"/>
      <c r="JWT309" s="15"/>
      <c r="JWV309" s="13"/>
      <c r="JWW309" s="35"/>
      <c r="JWX309" s="35"/>
      <c r="JWY309" s="15"/>
      <c r="JXA309" s="13"/>
      <c r="JXB309" s="35"/>
      <c r="JXC309" s="35"/>
      <c r="JXD309" s="15"/>
      <c r="JXF309" s="13"/>
      <c r="JXG309" s="35"/>
      <c r="JXH309" s="35"/>
      <c r="JXI309" s="15"/>
      <c r="JXK309" s="13"/>
      <c r="JXL309" s="35"/>
      <c r="JXM309" s="35"/>
      <c r="JXN309" s="15"/>
      <c r="JXP309" s="13"/>
      <c r="JXQ309" s="35"/>
      <c r="JXR309" s="35"/>
      <c r="JXS309" s="15"/>
      <c r="JXU309" s="13"/>
      <c r="JXV309" s="35"/>
      <c r="JXW309" s="35"/>
      <c r="JXX309" s="15"/>
      <c r="JXZ309" s="13"/>
      <c r="JYA309" s="35"/>
      <c r="JYB309" s="35"/>
      <c r="JYC309" s="15"/>
      <c r="JYE309" s="13"/>
      <c r="JYF309" s="35"/>
      <c r="JYG309" s="35"/>
      <c r="JYH309" s="15"/>
      <c r="JYJ309" s="13"/>
      <c r="JYK309" s="35"/>
      <c r="JYL309" s="35"/>
      <c r="JYM309" s="15"/>
      <c r="JYO309" s="13"/>
      <c r="JYP309" s="35"/>
      <c r="JYQ309" s="35"/>
      <c r="JYR309" s="15"/>
      <c r="JYT309" s="13"/>
      <c r="JYU309" s="35"/>
      <c r="JYV309" s="35"/>
      <c r="JYW309" s="15"/>
      <c r="JYY309" s="13"/>
      <c r="JYZ309" s="35"/>
      <c r="JZA309" s="35"/>
      <c r="JZB309" s="15"/>
      <c r="JZD309" s="13"/>
      <c r="JZE309" s="35"/>
      <c r="JZF309" s="35"/>
      <c r="JZG309" s="15"/>
      <c r="JZI309" s="13"/>
      <c r="JZJ309" s="35"/>
      <c r="JZK309" s="35"/>
      <c r="JZL309" s="15"/>
      <c r="JZN309" s="13"/>
      <c r="JZO309" s="35"/>
      <c r="JZP309" s="35"/>
      <c r="JZQ309" s="15"/>
      <c r="JZS309" s="13"/>
      <c r="JZT309" s="35"/>
      <c r="JZU309" s="35"/>
      <c r="JZV309" s="15"/>
      <c r="JZX309" s="13"/>
      <c r="JZY309" s="35"/>
      <c r="JZZ309" s="35"/>
      <c r="KAA309" s="15"/>
      <c r="KAC309" s="13"/>
      <c r="KAD309" s="35"/>
      <c r="KAE309" s="35"/>
      <c r="KAF309" s="15"/>
      <c r="KAH309" s="13"/>
      <c r="KAI309" s="35"/>
      <c r="KAJ309" s="35"/>
      <c r="KAK309" s="15"/>
      <c r="KAM309" s="13"/>
      <c r="KAN309" s="35"/>
      <c r="KAO309" s="35"/>
      <c r="KAP309" s="15"/>
      <c r="KAR309" s="13"/>
      <c r="KAS309" s="35"/>
      <c r="KAT309" s="35"/>
      <c r="KAU309" s="15"/>
      <c r="KAW309" s="13"/>
      <c r="KAX309" s="35"/>
      <c r="KAY309" s="35"/>
      <c r="KAZ309" s="15"/>
      <c r="KBB309" s="13"/>
      <c r="KBC309" s="35"/>
      <c r="KBD309" s="35"/>
      <c r="KBE309" s="15"/>
      <c r="KBG309" s="13"/>
      <c r="KBH309" s="35"/>
      <c r="KBI309" s="35"/>
      <c r="KBJ309" s="15"/>
      <c r="KBL309" s="13"/>
      <c r="KBM309" s="35"/>
      <c r="KBN309" s="35"/>
      <c r="KBO309" s="15"/>
      <c r="KBQ309" s="13"/>
      <c r="KBR309" s="35"/>
      <c r="KBS309" s="35"/>
      <c r="KBT309" s="15"/>
      <c r="KBV309" s="13"/>
      <c r="KBW309" s="35"/>
      <c r="KBX309" s="35"/>
      <c r="KBY309" s="15"/>
      <c r="KCA309" s="13"/>
      <c r="KCB309" s="35"/>
      <c r="KCC309" s="35"/>
      <c r="KCD309" s="15"/>
      <c r="KCF309" s="13"/>
      <c r="KCG309" s="35"/>
      <c r="KCH309" s="35"/>
      <c r="KCI309" s="15"/>
      <c r="KCK309" s="13"/>
      <c r="KCL309" s="35"/>
      <c r="KCM309" s="35"/>
      <c r="KCN309" s="15"/>
      <c r="KCP309" s="13"/>
      <c r="KCQ309" s="35"/>
      <c r="KCR309" s="35"/>
      <c r="KCS309" s="15"/>
      <c r="KCU309" s="13"/>
      <c r="KCV309" s="35"/>
      <c r="KCW309" s="35"/>
      <c r="KCX309" s="15"/>
      <c r="KCZ309" s="13"/>
      <c r="KDA309" s="35"/>
      <c r="KDB309" s="35"/>
      <c r="KDC309" s="15"/>
      <c r="KDE309" s="13"/>
      <c r="KDF309" s="35"/>
      <c r="KDG309" s="35"/>
      <c r="KDH309" s="15"/>
      <c r="KDJ309" s="13"/>
      <c r="KDK309" s="35"/>
      <c r="KDL309" s="35"/>
      <c r="KDM309" s="15"/>
      <c r="KDO309" s="13"/>
      <c r="KDP309" s="35"/>
      <c r="KDQ309" s="35"/>
      <c r="KDR309" s="15"/>
      <c r="KDT309" s="13"/>
      <c r="KDU309" s="35"/>
      <c r="KDV309" s="35"/>
      <c r="KDW309" s="15"/>
      <c r="KDY309" s="13"/>
      <c r="KDZ309" s="35"/>
      <c r="KEA309" s="35"/>
      <c r="KEB309" s="15"/>
      <c r="KED309" s="13"/>
      <c r="KEE309" s="35"/>
      <c r="KEF309" s="35"/>
      <c r="KEG309" s="15"/>
      <c r="KEI309" s="13"/>
      <c r="KEJ309" s="35"/>
      <c r="KEK309" s="35"/>
      <c r="KEL309" s="15"/>
      <c r="KEN309" s="13"/>
      <c r="KEO309" s="35"/>
      <c r="KEP309" s="35"/>
      <c r="KEQ309" s="15"/>
      <c r="KES309" s="13"/>
      <c r="KET309" s="35"/>
      <c r="KEU309" s="35"/>
      <c r="KEV309" s="15"/>
      <c r="KEX309" s="13"/>
      <c r="KEY309" s="35"/>
      <c r="KEZ309" s="35"/>
      <c r="KFA309" s="15"/>
      <c r="KFC309" s="13"/>
      <c r="KFD309" s="35"/>
      <c r="KFE309" s="35"/>
      <c r="KFF309" s="15"/>
      <c r="KFH309" s="13"/>
      <c r="KFI309" s="35"/>
      <c r="KFJ309" s="35"/>
      <c r="KFK309" s="15"/>
      <c r="KFM309" s="13"/>
      <c r="KFN309" s="35"/>
      <c r="KFO309" s="35"/>
      <c r="KFP309" s="15"/>
      <c r="KFR309" s="13"/>
      <c r="KFS309" s="35"/>
      <c r="KFT309" s="35"/>
      <c r="KFU309" s="15"/>
      <c r="KFW309" s="13"/>
      <c r="KFX309" s="35"/>
      <c r="KFY309" s="35"/>
      <c r="KFZ309" s="15"/>
      <c r="KGB309" s="13"/>
      <c r="KGC309" s="35"/>
      <c r="KGD309" s="35"/>
      <c r="KGE309" s="15"/>
      <c r="KGG309" s="13"/>
      <c r="KGH309" s="35"/>
      <c r="KGI309" s="35"/>
      <c r="KGJ309" s="15"/>
      <c r="KGL309" s="13"/>
      <c r="KGM309" s="35"/>
      <c r="KGN309" s="35"/>
      <c r="KGO309" s="15"/>
      <c r="KGQ309" s="13"/>
      <c r="KGR309" s="35"/>
      <c r="KGS309" s="35"/>
      <c r="KGT309" s="15"/>
      <c r="KGV309" s="13"/>
      <c r="KGW309" s="35"/>
      <c r="KGX309" s="35"/>
      <c r="KGY309" s="15"/>
      <c r="KHA309" s="13"/>
      <c r="KHB309" s="35"/>
      <c r="KHC309" s="35"/>
      <c r="KHD309" s="15"/>
      <c r="KHF309" s="13"/>
      <c r="KHG309" s="35"/>
      <c r="KHH309" s="35"/>
      <c r="KHI309" s="15"/>
      <c r="KHK309" s="13"/>
      <c r="KHL309" s="35"/>
      <c r="KHM309" s="35"/>
      <c r="KHN309" s="15"/>
      <c r="KHP309" s="13"/>
      <c r="KHQ309" s="35"/>
      <c r="KHR309" s="35"/>
      <c r="KHS309" s="15"/>
      <c r="KHU309" s="13"/>
      <c r="KHV309" s="35"/>
      <c r="KHW309" s="35"/>
      <c r="KHX309" s="15"/>
      <c r="KHZ309" s="13"/>
      <c r="KIA309" s="35"/>
      <c r="KIB309" s="35"/>
      <c r="KIC309" s="15"/>
      <c r="KIE309" s="13"/>
      <c r="KIF309" s="35"/>
      <c r="KIG309" s="35"/>
      <c r="KIH309" s="15"/>
      <c r="KIJ309" s="13"/>
      <c r="KIK309" s="35"/>
      <c r="KIL309" s="35"/>
      <c r="KIM309" s="15"/>
      <c r="KIO309" s="13"/>
      <c r="KIP309" s="35"/>
      <c r="KIQ309" s="35"/>
      <c r="KIR309" s="15"/>
      <c r="KIT309" s="13"/>
      <c r="KIU309" s="35"/>
      <c r="KIV309" s="35"/>
      <c r="KIW309" s="15"/>
      <c r="KIY309" s="13"/>
      <c r="KIZ309" s="35"/>
      <c r="KJA309" s="35"/>
      <c r="KJB309" s="15"/>
      <c r="KJD309" s="13"/>
      <c r="KJE309" s="35"/>
      <c r="KJF309" s="35"/>
      <c r="KJG309" s="15"/>
      <c r="KJI309" s="13"/>
      <c r="KJJ309" s="35"/>
      <c r="KJK309" s="35"/>
      <c r="KJL309" s="15"/>
      <c r="KJN309" s="13"/>
      <c r="KJO309" s="35"/>
      <c r="KJP309" s="35"/>
      <c r="KJQ309" s="15"/>
      <c r="KJS309" s="13"/>
      <c r="KJT309" s="35"/>
      <c r="KJU309" s="35"/>
      <c r="KJV309" s="15"/>
      <c r="KJX309" s="13"/>
      <c r="KJY309" s="35"/>
      <c r="KJZ309" s="35"/>
      <c r="KKA309" s="15"/>
      <c r="KKC309" s="13"/>
      <c r="KKD309" s="35"/>
      <c r="KKE309" s="35"/>
      <c r="KKF309" s="15"/>
      <c r="KKH309" s="13"/>
      <c r="KKI309" s="35"/>
      <c r="KKJ309" s="35"/>
      <c r="KKK309" s="15"/>
      <c r="KKM309" s="13"/>
      <c r="KKN309" s="35"/>
      <c r="KKO309" s="35"/>
      <c r="KKP309" s="15"/>
      <c r="KKR309" s="13"/>
      <c r="KKS309" s="35"/>
      <c r="KKT309" s="35"/>
      <c r="KKU309" s="15"/>
      <c r="KKW309" s="13"/>
      <c r="KKX309" s="35"/>
      <c r="KKY309" s="35"/>
      <c r="KKZ309" s="15"/>
      <c r="KLB309" s="13"/>
      <c r="KLC309" s="35"/>
      <c r="KLD309" s="35"/>
      <c r="KLE309" s="15"/>
      <c r="KLG309" s="13"/>
      <c r="KLH309" s="35"/>
      <c r="KLI309" s="35"/>
      <c r="KLJ309" s="15"/>
      <c r="KLL309" s="13"/>
      <c r="KLM309" s="35"/>
      <c r="KLN309" s="35"/>
      <c r="KLO309" s="15"/>
      <c r="KLQ309" s="13"/>
      <c r="KLR309" s="35"/>
      <c r="KLS309" s="35"/>
      <c r="KLT309" s="15"/>
      <c r="KLV309" s="13"/>
      <c r="KLW309" s="35"/>
      <c r="KLX309" s="35"/>
      <c r="KLY309" s="15"/>
      <c r="KMA309" s="13"/>
      <c r="KMB309" s="35"/>
      <c r="KMC309" s="35"/>
      <c r="KMD309" s="15"/>
      <c r="KMF309" s="13"/>
      <c r="KMG309" s="35"/>
      <c r="KMH309" s="35"/>
      <c r="KMI309" s="15"/>
      <c r="KMK309" s="13"/>
      <c r="KML309" s="35"/>
      <c r="KMM309" s="35"/>
      <c r="KMN309" s="15"/>
      <c r="KMP309" s="13"/>
      <c r="KMQ309" s="35"/>
      <c r="KMR309" s="35"/>
      <c r="KMS309" s="15"/>
      <c r="KMU309" s="13"/>
      <c r="KMV309" s="35"/>
      <c r="KMW309" s="35"/>
      <c r="KMX309" s="15"/>
      <c r="KMZ309" s="13"/>
      <c r="KNA309" s="35"/>
      <c r="KNB309" s="35"/>
      <c r="KNC309" s="15"/>
      <c r="KNE309" s="13"/>
      <c r="KNF309" s="35"/>
      <c r="KNG309" s="35"/>
      <c r="KNH309" s="15"/>
      <c r="KNJ309" s="13"/>
      <c r="KNK309" s="35"/>
      <c r="KNL309" s="35"/>
      <c r="KNM309" s="15"/>
      <c r="KNO309" s="13"/>
      <c r="KNP309" s="35"/>
      <c r="KNQ309" s="35"/>
      <c r="KNR309" s="15"/>
      <c r="KNT309" s="13"/>
      <c r="KNU309" s="35"/>
      <c r="KNV309" s="35"/>
      <c r="KNW309" s="15"/>
      <c r="KNY309" s="13"/>
      <c r="KNZ309" s="35"/>
      <c r="KOA309" s="35"/>
      <c r="KOB309" s="15"/>
      <c r="KOD309" s="13"/>
      <c r="KOE309" s="35"/>
      <c r="KOF309" s="35"/>
      <c r="KOG309" s="15"/>
      <c r="KOI309" s="13"/>
      <c r="KOJ309" s="35"/>
      <c r="KOK309" s="35"/>
      <c r="KOL309" s="15"/>
      <c r="KON309" s="13"/>
      <c r="KOO309" s="35"/>
      <c r="KOP309" s="35"/>
      <c r="KOQ309" s="15"/>
      <c r="KOS309" s="13"/>
      <c r="KOT309" s="35"/>
      <c r="KOU309" s="35"/>
      <c r="KOV309" s="15"/>
      <c r="KOX309" s="13"/>
      <c r="KOY309" s="35"/>
      <c r="KOZ309" s="35"/>
      <c r="KPA309" s="15"/>
      <c r="KPC309" s="13"/>
      <c r="KPD309" s="35"/>
      <c r="KPE309" s="35"/>
      <c r="KPF309" s="15"/>
      <c r="KPH309" s="13"/>
      <c r="KPI309" s="35"/>
      <c r="KPJ309" s="35"/>
      <c r="KPK309" s="15"/>
      <c r="KPM309" s="13"/>
      <c r="KPN309" s="35"/>
      <c r="KPO309" s="35"/>
      <c r="KPP309" s="15"/>
      <c r="KPR309" s="13"/>
      <c r="KPS309" s="35"/>
      <c r="KPT309" s="35"/>
      <c r="KPU309" s="15"/>
      <c r="KPW309" s="13"/>
      <c r="KPX309" s="35"/>
      <c r="KPY309" s="35"/>
      <c r="KPZ309" s="15"/>
      <c r="KQB309" s="13"/>
      <c r="KQC309" s="35"/>
      <c r="KQD309" s="35"/>
      <c r="KQE309" s="15"/>
      <c r="KQG309" s="13"/>
      <c r="KQH309" s="35"/>
      <c r="KQI309" s="35"/>
      <c r="KQJ309" s="15"/>
      <c r="KQL309" s="13"/>
      <c r="KQM309" s="35"/>
      <c r="KQN309" s="35"/>
      <c r="KQO309" s="15"/>
      <c r="KQQ309" s="13"/>
      <c r="KQR309" s="35"/>
      <c r="KQS309" s="35"/>
      <c r="KQT309" s="15"/>
      <c r="KQV309" s="13"/>
      <c r="KQW309" s="35"/>
      <c r="KQX309" s="35"/>
      <c r="KQY309" s="15"/>
      <c r="KRA309" s="13"/>
      <c r="KRB309" s="35"/>
      <c r="KRC309" s="35"/>
      <c r="KRD309" s="15"/>
      <c r="KRF309" s="13"/>
      <c r="KRG309" s="35"/>
      <c r="KRH309" s="35"/>
      <c r="KRI309" s="15"/>
      <c r="KRK309" s="13"/>
      <c r="KRL309" s="35"/>
      <c r="KRM309" s="35"/>
      <c r="KRN309" s="15"/>
      <c r="KRP309" s="13"/>
      <c r="KRQ309" s="35"/>
      <c r="KRR309" s="35"/>
      <c r="KRS309" s="15"/>
      <c r="KRU309" s="13"/>
      <c r="KRV309" s="35"/>
      <c r="KRW309" s="35"/>
      <c r="KRX309" s="15"/>
      <c r="KRZ309" s="13"/>
      <c r="KSA309" s="35"/>
      <c r="KSB309" s="35"/>
      <c r="KSC309" s="15"/>
      <c r="KSE309" s="13"/>
      <c r="KSF309" s="35"/>
      <c r="KSG309" s="35"/>
      <c r="KSH309" s="15"/>
      <c r="KSJ309" s="13"/>
      <c r="KSK309" s="35"/>
      <c r="KSL309" s="35"/>
      <c r="KSM309" s="15"/>
      <c r="KSO309" s="13"/>
      <c r="KSP309" s="35"/>
      <c r="KSQ309" s="35"/>
      <c r="KSR309" s="15"/>
      <c r="KST309" s="13"/>
      <c r="KSU309" s="35"/>
      <c r="KSV309" s="35"/>
      <c r="KSW309" s="15"/>
      <c r="KSY309" s="13"/>
      <c r="KSZ309" s="35"/>
      <c r="KTA309" s="35"/>
      <c r="KTB309" s="15"/>
      <c r="KTD309" s="13"/>
      <c r="KTE309" s="35"/>
      <c r="KTF309" s="35"/>
      <c r="KTG309" s="15"/>
      <c r="KTI309" s="13"/>
      <c r="KTJ309" s="35"/>
      <c r="KTK309" s="35"/>
      <c r="KTL309" s="15"/>
      <c r="KTN309" s="13"/>
      <c r="KTO309" s="35"/>
      <c r="KTP309" s="35"/>
      <c r="KTQ309" s="15"/>
      <c r="KTS309" s="13"/>
      <c r="KTT309" s="35"/>
      <c r="KTU309" s="35"/>
      <c r="KTV309" s="15"/>
      <c r="KTX309" s="13"/>
      <c r="KTY309" s="35"/>
      <c r="KTZ309" s="35"/>
      <c r="KUA309" s="15"/>
      <c r="KUC309" s="13"/>
      <c r="KUD309" s="35"/>
      <c r="KUE309" s="35"/>
      <c r="KUF309" s="15"/>
      <c r="KUH309" s="13"/>
      <c r="KUI309" s="35"/>
      <c r="KUJ309" s="35"/>
      <c r="KUK309" s="15"/>
      <c r="KUM309" s="13"/>
      <c r="KUN309" s="35"/>
      <c r="KUO309" s="35"/>
      <c r="KUP309" s="15"/>
      <c r="KUR309" s="13"/>
      <c r="KUS309" s="35"/>
      <c r="KUT309" s="35"/>
      <c r="KUU309" s="15"/>
      <c r="KUW309" s="13"/>
      <c r="KUX309" s="35"/>
      <c r="KUY309" s="35"/>
      <c r="KUZ309" s="15"/>
      <c r="KVB309" s="13"/>
      <c r="KVC309" s="35"/>
      <c r="KVD309" s="35"/>
      <c r="KVE309" s="15"/>
      <c r="KVG309" s="13"/>
      <c r="KVH309" s="35"/>
      <c r="KVI309" s="35"/>
      <c r="KVJ309" s="15"/>
      <c r="KVL309" s="13"/>
      <c r="KVM309" s="35"/>
      <c r="KVN309" s="35"/>
      <c r="KVO309" s="15"/>
      <c r="KVQ309" s="13"/>
      <c r="KVR309" s="35"/>
      <c r="KVS309" s="35"/>
      <c r="KVT309" s="15"/>
      <c r="KVV309" s="13"/>
      <c r="KVW309" s="35"/>
      <c r="KVX309" s="35"/>
      <c r="KVY309" s="15"/>
      <c r="KWA309" s="13"/>
      <c r="KWB309" s="35"/>
      <c r="KWC309" s="35"/>
      <c r="KWD309" s="15"/>
      <c r="KWF309" s="13"/>
      <c r="KWG309" s="35"/>
      <c r="KWH309" s="35"/>
      <c r="KWI309" s="15"/>
      <c r="KWK309" s="13"/>
      <c r="KWL309" s="35"/>
      <c r="KWM309" s="35"/>
      <c r="KWN309" s="15"/>
      <c r="KWP309" s="13"/>
      <c r="KWQ309" s="35"/>
      <c r="KWR309" s="35"/>
      <c r="KWS309" s="15"/>
      <c r="KWU309" s="13"/>
      <c r="KWV309" s="35"/>
      <c r="KWW309" s="35"/>
      <c r="KWX309" s="15"/>
      <c r="KWZ309" s="13"/>
      <c r="KXA309" s="35"/>
      <c r="KXB309" s="35"/>
      <c r="KXC309" s="15"/>
      <c r="KXE309" s="13"/>
      <c r="KXF309" s="35"/>
      <c r="KXG309" s="35"/>
      <c r="KXH309" s="15"/>
      <c r="KXJ309" s="13"/>
      <c r="KXK309" s="35"/>
      <c r="KXL309" s="35"/>
      <c r="KXM309" s="15"/>
      <c r="KXO309" s="13"/>
      <c r="KXP309" s="35"/>
      <c r="KXQ309" s="35"/>
      <c r="KXR309" s="15"/>
      <c r="KXT309" s="13"/>
      <c r="KXU309" s="35"/>
      <c r="KXV309" s="35"/>
      <c r="KXW309" s="15"/>
      <c r="KXY309" s="13"/>
      <c r="KXZ309" s="35"/>
      <c r="KYA309" s="35"/>
      <c r="KYB309" s="15"/>
      <c r="KYD309" s="13"/>
      <c r="KYE309" s="35"/>
      <c r="KYF309" s="35"/>
      <c r="KYG309" s="15"/>
      <c r="KYI309" s="13"/>
      <c r="KYJ309" s="35"/>
      <c r="KYK309" s="35"/>
      <c r="KYL309" s="15"/>
      <c r="KYN309" s="13"/>
      <c r="KYO309" s="35"/>
      <c r="KYP309" s="35"/>
      <c r="KYQ309" s="15"/>
      <c r="KYS309" s="13"/>
      <c r="KYT309" s="35"/>
      <c r="KYU309" s="35"/>
      <c r="KYV309" s="15"/>
      <c r="KYX309" s="13"/>
      <c r="KYY309" s="35"/>
      <c r="KYZ309" s="35"/>
      <c r="KZA309" s="15"/>
      <c r="KZC309" s="13"/>
      <c r="KZD309" s="35"/>
      <c r="KZE309" s="35"/>
      <c r="KZF309" s="15"/>
      <c r="KZH309" s="13"/>
      <c r="KZI309" s="35"/>
      <c r="KZJ309" s="35"/>
      <c r="KZK309" s="15"/>
      <c r="KZM309" s="13"/>
      <c r="KZN309" s="35"/>
      <c r="KZO309" s="35"/>
      <c r="KZP309" s="15"/>
      <c r="KZR309" s="13"/>
      <c r="KZS309" s="35"/>
      <c r="KZT309" s="35"/>
      <c r="KZU309" s="15"/>
      <c r="KZW309" s="13"/>
      <c r="KZX309" s="35"/>
      <c r="KZY309" s="35"/>
      <c r="KZZ309" s="15"/>
      <c r="LAB309" s="13"/>
      <c r="LAC309" s="35"/>
      <c r="LAD309" s="35"/>
      <c r="LAE309" s="15"/>
      <c r="LAG309" s="13"/>
      <c r="LAH309" s="35"/>
      <c r="LAI309" s="35"/>
      <c r="LAJ309" s="15"/>
      <c r="LAL309" s="13"/>
      <c r="LAM309" s="35"/>
      <c r="LAN309" s="35"/>
      <c r="LAO309" s="15"/>
      <c r="LAQ309" s="13"/>
      <c r="LAR309" s="35"/>
      <c r="LAS309" s="35"/>
      <c r="LAT309" s="15"/>
      <c r="LAV309" s="13"/>
      <c r="LAW309" s="35"/>
      <c r="LAX309" s="35"/>
      <c r="LAY309" s="15"/>
      <c r="LBA309" s="13"/>
      <c r="LBB309" s="35"/>
      <c r="LBC309" s="35"/>
      <c r="LBD309" s="15"/>
      <c r="LBF309" s="13"/>
      <c r="LBG309" s="35"/>
      <c r="LBH309" s="35"/>
      <c r="LBI309" s="15"/>
      <c r="LBK309" s="13"/>
      <c r="LBL309" s="35"/>
      <c r="LBM309" s="35"/>
      <c r="LBN309" s="15"/>
      <c r="LBP309" s="13"/>
      <c r="LBQ309" s="35"/>
      <c r="LBR309" s="35"/>
      <c r="LBS309" s="15"/>
      <c r="LBU309" s="13"/>
      <c r="LBV309" s="35"/>
      <c r="LBW309" s="35"/>
      <c r="LBX309" s="15"/>
      <c r="LBZ309" s="13"/>
      <c r="LCA309" s="35"/>
      <c r="LCB309" s="35"/>
      <c r="LCC309" s="15"/>
      <c r="LCE309" s="13"/>
      <c r="LCF309" s="35"/>
      <c r="LCG309" s="35"/>
      <c r="LCH309" s="15"/>
      <c r="LCJ309" s="13"/>
      <c r="LCK309" s="35"/>
      <c r="LCL309" s="35"/>
      <c r="LCM309" s="15"/>
      <c r="LCO309" s="13"/>
      <c r="LCP309" s="35"/>
      <c r="LCQ309" s="35"/>
      <c r="LCR309" s="15"/>
      <c r="LCT309" s="13"/>
      <c r="LCU309" s="35"/>
      <c r="LCV309" s="35"/>
      <c r="LCW309" s="15"/>
      <c r="LCY309" s="13"/>
      <c r="LCZ309" s="35"/>
      <c r="LDA309" s="35"/>
      <c r="LDB309" s="15"/>
      <c r="LDD309" s="13"/>
      <c r="LDE309" s="35"/>
      <c r="LDF309" s="35"/>
      <c r="LDG309" s="15"/>
      <c r="LDI309" s="13"/>
      <c r="LDJ309" s="35"/>
      <c r="LDK309" s="35"/>
      <c r="LDL309" s="15"/>
      <c r="LDN309" s="13"/>
      <c r="LDO309" s="35"/>
      <c r="LDP309" s="35"/>
      <c r="LDQ309" s="15"/>
      <c r="LDS309" s="13"/>
      <c r="LDT309" s="35"/>
      <c r="LDU309" s="35"/>
      <c r="LDV309" s="15"/>
      <c r="LDX309" s="13"/>
      <c r="LDY309" s="35"/>
      <c r="LDZ309" s="35"/>
      <c r="LEA309" s="15"/>
      <c r="LEC309" s="13"/>
      <c r="LED309" s="35"/>
      <c r="LEE309" s="35"/>
      <c r="LEF309" s="15"/>
      <c r="LEH309" s="13"/>
      <c r="LEI309" s="35"/>
      <c r="LEJ309" s="35"/>
      <c r="LEK309" s="15"/>
      <c r="LEM309" s="13"/>
      <c r="LEN309" s="35"/>
      <c r="LEO309" s="35"/>
      <c r="LEP309" s="15"/>
      <c r="LER309" s="13"/>
      <c r="LES309" s="35"/>
      <c r="LET309" s="35"/>
      <c r="LEU309" s="15"/>
      <c r="LEW309" s="13"/>
      <c r="LEX309" s="35"/>
      <c r="LEY309" s="35"/>
      <c r="LEZ309" s="15"/>
      <c r="LFB309" s="13"/>
      <c r="LFC309" s="35"/>
      <c r="LFD309" s="35"/>
      <c r="LFE309" s="15"/>
      <c r="LFG309" s="13"/>
      <c r="LFH309" s="35"/>
      <c r="LFI309" s="35"/>
      <c r="LFJ309" s="15"/>
      <c r="LFL309" s="13"/>
      <c r="LFM309" s="35"/>
      <c r="LFN309" s="35"/>
      <c r="LFO309" s="15"/>
      <c r="LFQ309" s="13"/>
      <c r="LFR309" s="35"/>
      <c r="LFS309" s="35"/>
      <c r="LFT309" s="15"/>
      <c r="LFV309" s="13"/>
      <c r="LFW309" s="35"/>
      <c r="LFX309" s="35"/>
      <c r="LFY309" s="15"/>
      <c r="LGA309" s="13"/>
      <c r="LGB309" s="35"/>
      <c r="LGC309" s="35"/>
      <c r="LGD309" s="15"/>
      <c r="LGF309" s="13"/>
      <c r="LGG309" s="35"/>
      <c r="LGH309" s="35"/>
      <c r="LGI309" s="15"/>
      <c r="LGK309" s="13"/>
      <c r="LGL309" s="35"/>
      <c r="LGM309" s="35"/>
      <c r="LGN309" s="15"/>
      <c r="LGP309" s="13"/>
      <c r="LGQ309" s="35"/>
      <c r="LGR309" s="35"/>
      <c r="LGS309" s="15"/>
      <c r="LGU309" s="13"/>
      <c r="LGV309" s="35"/>
      <c r="LGW309" s="35"/>
      <c r="LGX309" s="15"/>
      <c r="LGZ309" s="13"/>
      <c r="LHA309" s="35"/>
      <c r="LHB309" s="35"/>
      <c r="LHC309" s="15"/>
      <c r="LHE309" s="13"/>
      <c r="LHF309" s="35"/>
      <c r="LHG309" s="35"/>
      <c r="LHH309" s="15"/>
      <c r="LHJ309" s="13"/>
      <c r="LHK309" s="35"/>
      <c r="LHL309" s="35"/>
      <c r="LHM309" s="15"/>
      <c r="LHO309" s="13"/>
      <c r="LHP309" s="35"/>
      <c r="LHQ309" s="35"/>
      <c r="LHR309" s="15"/>
      <c r="LHT309" s="13"/>
      <c r="LHU309" s="35"/>
      <c r="LHV309" s="35"/>
      <c r="LHW309" s="15"/>
      <c r="LHY309" s="13"/>
      <c r="LHZ309" s="35"/>
      <c r="LIA309" s="35"/>
      <c r="LIB309" s="15"/>
      <c r="LID309" s="13"/>
      <c r="LIE309" s="35"/>
      <c r="LIF309" s="35"/>
      <c r="LIG309" s="15"/>
      <c r="LII309" s="13"/>
      <c r="LIJ309" s="35"/>
      <c r="LIK309" s="35"/>
      <c r="LIL309" s="15"/>
      <c r="LIN309" s="13"/>
      <c r="LIO309" s="35"/>
      <c r="LIP309" s="35"/>
      <c r="LIQ309" s="15"/>
      <c r="LIS309" s="13"/>
      <c r="LIT309" s="35"/>
      <c r="LIU309" s="35"/>
      <c r="LIV309" s="15"/>
      <c r="LIX309" s="13"/>
      <c r="LIY309" s="35"/>
      <c r="LIZ309" s="35"/>
      <c r="LJA309" s="15"/>
      <c r="LJC309" s="13"/>
      <c r="LJD309" s="35"/>
      <c r="LJE309" s="35"/>
      <c r="LJF309" s="15"/>
      <c r="LJH309" s="13"/>
      <c r="LJI309" s="35"/>
      <c r="LJJ309" s="35"/>
      <c r="LJK309" s="15"/>
      <c r="LJM309" s="13"/>
      <c r="LJN309" s="35"/>
      <c r="LJO309" s="35"/>
      <c r="LJP309" s="15"/>
      <c r="LJR309" s="13"/>
      <c r="LJS309" s="35"/>
      <c r="LJT309" s="35"/>
      <c r="LJU309" s="15"/>
      <c r="LJW309" s="13"/>
      <c r="LJX309" s="35"/>
      <c r="LJY309" s="35"/>
      <c r="LJZ309" s="15"/>
      <c r="LKB309" s="13"/>
      <c r="LKC309" s="35"/>
      <c r="LKD309" s="35"/>
      <c r="LKE309" s="15"/>
      <c r="LKG309" s="13"/>
      <c r="LKH309" s="35"/>
      <c r="LKI309" s="35"/>
      <c r="LKJ309" s="15"/>
      <c r="LKL309" s="13"/>
      <c r="LKM309" s="35"/>
      <c r="LKN309" s="35"/>
      <c r="LKO309" s="15"/>
      <c r="LKQ309" s="13"/>
      <c r="LKR309" s="35"/>
      <c r="LKS309" s="35"/>
      <c r="LKT309" s="15"/>
      <c r="LKV309" s="13"/>
      <c r="LKW309" s="35"/>
      <c r="LKX309" s="35"/>
      <c r="LKY309" s="15"/>
      <c r="LLA309" s="13"/>
      <c r="LLB309" s="35"/>
      <c r="LLC309" s="35"/>
      <c r="LLD309" s="15"/>
      <c r="LLF309" s="13"/>
      <c r="LLG309" s="35"/>
      <c r="LLH309" s="35"/>
      <c r="LLI309" s="15"/>
      <c r="LLK309" s="13"/>
      <c r="LLL309" s="35"/>
      <c r="LLM309" s="35"/>
      <c r="LLN309" s="15"/>
      <c r="LLP309" s="13"/>
      <c r="LLQ309" s="35"/>
      <c r="LLR309" s="35"/>
      <c r="LLS309" s="15"/>
      <c r="LLU309" s="13"/>
      <c r="LLV309" s="35"/>
      <c r="LLW309" s="35"/>
      <c r="LLX309" s="15"/>
      <c r="LLZ309" s="13"/>
      <c r="LMA309" s="35"/>
      <c r="LMB309" s="35"/>
      <c r="LMC309" s="15"/>
      <c r="LME309" s="13"/>
      <c r="LMF309" s="35"/>
      <c r="LMG309" s="35"/>
      <c r="LMH309" s="15"/>
      <c r="LMJ309" s="13"/>
      <c r="LMK309" s="35"/>
      <c r="LML309" s="35"/>
      <c r="LMM309" s="15"/>
      <c r="LMO309" s="13"/>
      <c r="LMP309" s="35"/>
      <c r="LMQ309" s="35"/>
      <c r="LMR309" s="15"/>
      <c r="LMT309" s="13"/>
      <c r="LMU309" s="35"/>
      <c r="LMV309" s="35"/>
      <c r="LMW309" s="15"/>
      <c r="LMY309" s="13"/>
      <c r="LMZ309" s="35"/>
      <c r="LNA309" s="35"/>
      <c r="LNB309" s="15"/>
      <c r="LND309" s="13"/>
      <c r="LNE309" s="35"/>
      <c r="LNF309" s="35"/>
      <c r="LNG309" s="15"/>
      <c r="LNI309" s="13"/>
      <c r="LNJ309" s="35"/>
      <c r="LNK309" s="35"/>
      <c r="LNL309" s="15"/>
      <c r="LNN309" s="13"/>
      <c r="LNO309" s="35"/>
      <c r="LNP309" s="35"/>
      <c r="LNQ309" s="15"/>
      <c r="LNS309" s="13"/>
      <c r="LNT309" s="35"/>
      <c r="LNU309" s="35"/>
      <c r="LNV309" s="15"/>
      <c r="LNX309" s="13"/>
      <c r="LNY309" s="35"/>
      <c r="LNZ309" s="35"/>
      <c r="LOA309" s="15"/>
      <c r="LOC309" s="13"/>
      <c r="LOD309" s="35"/>
      <c r="LOE309" s="35"/>
      <c r="LOF309" s="15"/>
      <c r="LOH309" s="13"/>
      <c r="LOI309" s="35"/>
      <c r="LOJ309" s="35"/>
      <c r="LOK309" s="15"/>
      <c r="LOM309" s="13"/>
      <c r="LON309" s="35"/>
      <c r="LOO309" s="35"/>
      <c r="LOP309" s="15"/>
      <c r="LOR309" s="13"/>
      <c r="LOS309" s="35"/>
      <c r="LOT309" s="35"/>
      <c r="LOU309" s="15"/>
      <c r="LOW309" s="13"/>
      <c r="LOX309" s="35"/>
      <c r="LOY309" s="35"/>
      <c r="LOZ309" s="15"/>
      <c r="LPB309" s="13"/>
      <c r="LPC309" s="35"/>
      <c r="LPD309" s="35"/>
      <c r="LPE309" s="15"/>
      <c r="LPG309" s="13"/>
      <c r="LPH309" s="35"/>
      <c r="LPI309" s="35"/>
      <c r="LPJ309" s="15"/>
      <c r="LPL309" s="13"/>
      <c r="LPM309" s="35"/>
      <c r="LPN309" s="35"/>
      <c r="LPO309" s="15"/>
      <c r="LPQ309" s="13"/>
      <c r="LPR309" s="35"/>
      <c r="LPS309" s="35"/>
      <c r="LPT309" s="15"/>
      <c r="LPV309" s="13"/>
      <c r="LPW309" s="35"/>
      <c r="LPX309" s="35"/>
      <c r="LPY309" s="15"/>
      <c r="LQA309" s="13"/>
      <c r="LQB309" s="35"/>
      <c r="LQC309" s="35"/>
      <c r="LQD309" s="15"/>
      <c r="LQF309" s="13"/>
      <c r="LQG309" s="35"/>
      <c r="LQH309" s="35"/>
      <c r="LQI309" s="15"/>
      <c r="LQK309" s="13"/>
      <c r="LQL309" s="35"/>
      <c r="LQM309" s="35"/>
      <c r="LQN309" s="15"/>
      <c r="LQP309" s="13"/>
      <c r="LQQ309" s="35"/>
      <c r="LQR309" s="35"/>
      <c r="LQS309" s="15"/>
      <c r="LQU309" s="13"/>
      <c r="LQV309" s="35"/>
      <c r="LQW309" s="35"/>
      <c r="LQX309" s="15"/>
      <c r="LQZ309" s="13"/>
      <c r="LRA309" s="35"/>
      <c r="LRB309" s="35"/>
      <c r="LRC309" s="15"/>
      <c r="LRE309" s="13"/>
      <c r="LRF309" s="35"/>
      <c r="LRG309" s="35"/>
      <c r="LRH309" s="15"/>
      <c r="LRJ309" s="13"/>
      <c r="LRK309" s="35"/>
      <c r="LRL309" s="35"/>
      <c r="LRM309" s="15"/>
      <c r="LRO309" s="13"/>
      <c r="LRP309" s="35"/>
      <c r="LRQ309" s="35"/>
      <c r="LRR309" s="15"/>
      <c r="LRT309" s="13"/>
      <c r="LRU309" s="35"/>
      <c r="LRV309" s="35"/>
      <c r="LRW309" s="15"/>
      <c r="LRY309" s="13"/>
      <c r="LRZ309" s="35"/>
      <c r="LSA309" s="35"/>
      <c r="LSB309" s="15"/>
      <c r="LSD309" s="13"/>
      <c r="LSE309" s="35"/>
      <c r="LSF309" s="35"/>
      <c r="LSG309" s="15"/>
      <c r="LSI309" s="13"/>
      <c r="LSJ309" s="35"/>
      <c r="LSK309" s="35"/>
      <c r="LSL309" s="15"/>
      <c r="LSN309" s="13"/>
      <c r="LSO309" s="35"/>
      <c r="LSP309" s="35"/>
      <c r="LSQ309" s="15"/>
      <c r="LSS309" s="13"/>
      <c r="LST309" s="35"/>
      <c r="LSU309" s="35"/>
      <c r="LSV309" s="15"/>
      <c r="LSX309" s="13"/>
      <c r="LSY309" s="35"/>
      <c r="LSZ309" s="35"/>
      <c r="LTA309" s="15"/>
      <c r="LTC309" s="13"/>
      <c r="LTD309" s="35"/>
      <c r="LTE309" s="35"/>
      <c r="LTF309" s="15"/>
      <c r="LTH309" s="13"/>
      <c r="LTI309" s="35"/>
      <c r="LTJ309" s="35"/>
      <c r="LTK309" s="15"/>
      <c r="LTM309" s="13"/>
      <c r="LTN309" s="35"/>
      <c r="LTO309" s="35"/>
      <c r="LTP309" s="15"/>
      <c r="LTR309" s="13"/>
      <c r="LTS309" s="35"/>
      <c r="LTT309" s="35"/>
      <c r="LTU309" s="15"/>
      <c r="LTW309" s="13"/>
      <c r="LTX309" s="35"/>
      <c r="LTY309" s="35"/>
      <c r="LTZ309" s="15"/>
      <c r="LUB309" s="13"/>
      <c r="LUC309" s="35"/>
      <c r="LUD309" s="35"/>
      <c r="LUE309" s="15"/>
      <c r="LUG309" s="13"/>
      <c r="LUH309" s="35"/>
      <c r="LUI309" s="35"/>
      <c r="LUJ309" s="15"/>
      <c r="LUL309" s="13"/>
      <c r="LUM309" s="35"/>
      <c r="LUN309" s="35"/>
      <c r="LUO309" s="15"/>
      <c r="LUQ309" s="13"/>
      <c r="LUR309" s="35"/>
      <c r="LUS309" s="35"/>
      <c r="LUT309" s="15"/>
      <c r="LUV309" s="13"/>
      <c r="LUW309" s="35"/>
      <c r="LUX309" s="35"/>
      <c r="LUY309" s="15"/>
      <c r="LVA309" s="13"/>
      <c r="LVB309" s="35"/>
      <c r="LVC309" s="35"/>
      <c r="LVD309" s="15"/>
      <c r="LVF309" s="13"/>
      <c r="LVG309" s="35"/>
      <c r="LVH309" s="35"/>
      <c r="LVI309" s="15"/>
      <c r="LVK309" s="13"/>
      <c r="LVL309" s="35"/>
      <c r="LVM309" s="35"/>
      <c r="LVN309" s="15"/>
      <c r="LVP309" s="13"/>
      <c r="LVQ309" s="35"/>
      <c r="LVR309" s="35"/>
      <c r="LVS309" s="15"/>
      <c r="LVU309" s="13"/>
      <c r="LVV309" s="35"/>
      <c r="LVW309" s="35"/>
      <c r="LVX309" s="15"/>
      <c r="LVZ309" s="13"/>
      <c r="LWA309" s="35"/>
      <c r="LWB309" s="35"/>
      <c r="LWC309" s="15"/>
      <c r="LWE309" s="13"/>
      <c r="LWF309" s="35"/>
      <c r="LWG309" s="35"/>
      <c r="LWH309" s="15"/>
      <c r="LWJ309" s="13"/>
      <c r="LWK309" s="35"/>
      <c r="LWL309" s="35"/>
      <c r="LWM309" s="15"/>
      <c r="LWO309" s="13"/>
      <c r="LWP309" s="35"/>
      <c r="LWQ309" s="35"/>
      <c r="LWR309" s="15"/>
      <c r="LWT309" s="13"/>
      <c r="LWU309" s="35"/>
      <c r="LWV309" s="35"/>
      <c r="LWW309" s="15"/>
      <c r="LWY309" s="13"/>
      <c r="LWZ309" s="35"/>
      <c r="LXA309" s="35"/>
      <c r="LXB309" s="15"/>
      <c r="LXD309" s="13"/>
      <c r="LXE309" s="35"/>
      <c r="LXF309" s="35"/>
      <c r="LXG309" s="15"/>
      <c r="LXI309" s="13"/>
      <c r="LXJ309" s="35"/>
      <c r="LXK309" s="35"/>
      <c r="LXL309" s="15"/>
      <c r="LXN309" s="13"/>
      <c r="LXO309" s="35"/>
      <c r="LXP309" s="35"/>
      <c r="LXQ309" s="15"/>
      <c r="LXS309" s="13"/>
      <c r="LXT309" s="35"/>
      <c r="LXU309" s="35"/>
      <c r="LXV309" s="15"/>
      <c r="LXX309" s="13"/>
      <c r="LXY309" s="35"/>
      <c r="LXZ309" s="35"/>
      <c r="LYA309" s="15"/>
      <c r="LYC309" s="13"/>
      <c r="LYD309" s="35"/>
      <c r="LYE309" s="35"/>
      <c r="LYF309" s="15"/>
      <c r="LYH309" s="13"/>
      <c r="LYI309" s="35"/>
      <c r="LYJ309" s="35"/>
      <c r="LYK309" s="15"/>
      <c r="LYM309" s="13"/>
      <c r="LYN309" s="35"/>
      <c r="LYO309" s="35"/>
      <c r="LYP309" s="15"/>
      <c r="LYR309" s="13"/>
      <c r="LYS309" s="35"/>
      <c r="LYT309" s="35"/>
      <c r="LYU309" s="15"/>
      <c r="LYW309" s="13"/>
      <c r="LYX309" s="35"/>
      <c r="LYY309" s="35"/>
      <c r="LYZ309" s="15"/>
      <c r="LZB309" s="13"/>
      <c r="LZC309" s="35"/>
      <c r="LZD309" s="35"/>
      <c r="LZE309" s="15"/>
      <c r="LZG309" s="13"/>
      <c r="LZH309" s="35"/>
      <c r="LZI309" s="35"/>
      <c r="LZJ309" s="15"/>
      <c r="LZL309" s="13"/>
      <c r="LZM309" s="35"/>
      <c r="LZN309" s="35"/>
      <c r="LZO309" s="15"/>
      <c r="LZQ309" s="13"/>
      <c r="LZR309" s="35"/>
      <c r="LZS309" s="35"/>
      <c r="LZT309" s="15"/>
      <c r="LZV309" s="13"/>
      <c r="LZW309" s="35"/>
      <c r="LZX309" s="35"/>
      <c r="LZY309" s="15"/>
      <c r="MAA309" s="13"/>
      <c r="MAB309" s="35"/>
      <c r="MAC309" s="35"/>
      <c r="MAD309" s="15"/>
      <c r="MAF309" s="13"/>
      <c r="MAG309" s="35"/>
      <c r="MAH309" s="35"/>
      <c r="MAI309" s="15"/>
      <c r="MAK309" s="13"/>
      <c r="MAL309" s="35"/>
      <c r="MAM309" s="35"/>
      <c r="MAN309" s="15"/>
      <c r="MAP309" s="13"/>
      <c r="MAQ309" s="35"/>
      <c r="MAR309" s="35"/>
      <c r="MAS309" s="15"/>
      <c r="MAU309" s="13"/>
      <c r="MAV309" s="35"/>
      <c r="MAW309" s="35"/>
      <c r="MAX309" s="15"/>
      <c r="MAZ309" s="13"/>
      <c r="MBA309" s="35"/>
      <c r="MBB309" s="35"/>
      <c r="MBC309" s="15"/>
      <c r="MBE309" s="13"/>
      <c r="MBF309" s="35"/>
      <c r="MBG309" s="35"/>
      <c r="MBH309" s="15"/>
      <c r="MBJ309" s="13"/>
      <c r="MBK309" s="35"/>
      <c r="MBL309" s="35"/>
      <c r="MBM309" s="15"/>
      <c r="MBO309" s="13"/>
      <c r="MBP309" s="35"/>
      <c r="MBQ309" s="35"/>
      <c r="MBR309" s="15"/>
      <c r="MBT309" s="13"/>
      <c r="MBU309" s="35"/>
      <c r="MBV309" s="35"/>
      <c r="MBW309" s="15"/>
      <c r="MBY309" s="13"/>
      <c r="MBZ309" s="35"/>
      <c r="MCA309" s="35"/>
      <c r="MCB309" s="15"/>
      <c r="MCD309" s="13"/>
      <c r="MCE309" s="35"/>
      <c r="MCF309" s="35"/>
      <c r="MCG309" s="15"/>
      <c r="MCI309" s="13"/>
      <c r="MCJ309" s="35"/>
      <c r="MCK309" s="35"/>
      <c r="MCL309" s="15"/>
      <c r="MCN309" s="13"/>
      <c r="MCO309" s="35"/>
      <c r="MCP309" s="35"/>
      <c r="MCQ309" s="15"/>
      <c r="MCS309" s="13"/>
      <c r="MCT309" s="35"/>
      <c r="MCU309" s="35"/>
      <c r="MCV309" s="15"/>
      <c r="MCX309" s="13"/>
      <c r="MCY309" s="35"/>
      <c r="MCZ309" s="35"/>
      <c r="MDA309" s="15"/>
      <c r="MDC309" s="13"/>
      <c r="MDD309" s="35"/>
      <c r="MDE309" s="35"/>
      <c r="MDF309" s="15"/>
      <c r="MDH309" s="13"/>
      <c r="MDI309" s="35"/>
      <c r="MDJ309" s="35"/>
      <c r="MDK309" s="15"/>
      <c r="MDM309" s="13"/>
      <c r="MDN309" s="35"/>
      <c r="MDO309" s="35"/>
      <c r="MDP309" s="15"/>
      <c r="MDR309" s="13"/>
      <c r="MDS309" s="35"/>
      <c r="MDT309" s="35"/>
      <c r="MDU309" s="15"/>
      <c r="MDW309" s="13"/>
      <c r="MDX309" s="35"/>
      <c r="MDY309" s="35"/>
      <c r="MDZ309" s="15"/>
      <c r="MEB309" s="13"/>
      <c r="MEC309" s="35"/>
      <c r="MED309" s="35"/>
      <c r="MEE309" s="15"/>
      <c r="MEG309" s="13"/>
      <c r="MEH309" s="35"/>
      <c r="MEI309" s="35"/>
      <c r="MEJ309" s="15"/>
      <c r="MEL309" s="13"/>
      <c r="MEM309" s="35"/>
      <c r="MEN309" s="35"/>
      <c r="MEO309" s="15"/>
      <c r="MEQ309" s="13"/>
      <c r="MER309" s="35"/>
      <c r="MES309" s="35"/>
      <c r="MET309" s="15"/>
      <c r="MEV309" s="13"/>
      <c r="MEW309" s="35"/>
      <c r="MEX309" s="35"/>
      <c r="MEY309" s="15"/>
      <c r="MFA309" s="13"/>
      <c r="MFB309" s="35"/>
      <c r="MFC309" s="35"/>
      <c r="MFD309" s="15"/>
      <c r="MFF309" s="13"/>
      <c r="MFG309" s="35"/>
      <c r="MFH309" s="35"/>
      <c r="MFI309" s="15"/>
      <c r="MFK309" s="13"/>
      <c r="MFL309" s="35"/>
      <c r="MFM309" s="35"/>
      <c r="MFN309" s="15"/>
      <c r="MFP309" s="13"/>
      <c r="MFQ309" s="35"/>
      <c r="MFR309" s="35"/>
      <c r="MFS309" s="15"/>
      <c r="MFU309" s="13"/>
      <c r="MFV309" s="35"/>
      <c r="MFW309" s="35"/>
      <c r="MFX309" s="15"/>
      <c r="MFZ309" s="13"/>
      <c r="MGA309" s="35"/>
      <c r="MGB309" s="35"/>
      <c r="MGC309" s="15"/>
      <c r="MGE309" s="13"/>
      <c r="MGF309" s="35"/>
      <c r="MGG309" s="35"/>
      <c r="MGH309" s="15"/>
      <c r="MGJ309" s="13"/>
      <c r="MGK309" s="35"/>
      <c r="MGL309" s="35"/>
      <c r="MGM309" s="15"/>
      <c r="MGO309" s="13"/>
      <c r="MGP309" s="35"/>
      <c r="MGQ309" s="35"/>
      <c r="MGR309" s="15"/>
      <c r="MGT309" s="13"/>
      <c r="MGU309" s="35"/>
      <c r="MGV309" s="35"/>
      <c r="MGW309" s="15"/>
      <c r="MGY309" s="13"/>
      <c r="MGZ309" s="35"/>
      <c r="MHA309" s="35"/>
      <c r="MHB309" s="15"/>
      <c r="MHD309" s="13"/>
      <c r="MHE309" s="35"/>
      <c r="MHF309" s="35"/>
      <c r="MHG309" s="15"/>
      <c r="MHI309" s="13"/>
      <c r="MHJ309" s="35"/>
      <c r="MHK309" s="35"/>
      <c r="MHL309" s="15"/>
      <c r="MHN309" s="13"/>
      <c r="MHO309" s="35"/>
      <c r="MHP309" s="35"/>
      <c r="MHQ309" s="15"/>
      <c r="MHS309" s="13"/>
      <c r="MHT309" s="35"/>
      <c r="MHU309" s="35"/>
      <c r="MHV309" s="15"/>
      <c r="MHX309" s="13"/>
      <c r="MHY309" s="35"/>
      <c r="MHZ309" s="35"/>
      <c r="MIA309" s="15"/>
      <c r="MIC309" s="13"/>
      <c r="MID309" s="35"/>
      <c r="MIE309" s="35"/>
      <c r="MIF309" s="15"/>
      <c r="MIH309" s="13"/>
      <c r="MII309" s="35"/>
      <c r="MIJ309" s="35"/>
      <c r="MIK309" s="15"/>
      <c r="MIM309" s="13"/>
      <c r="MIN309" s="35"/>
      <c r="MIO309" s="35"/>
      <c r="MIP309" s="15"/>
      <c r="MIR309" s="13"/>
      <c r="MIS309" s="35"/>
      <c r="MIT309" s="35"/>
      <c r="MIU309" s="15"/>
      <c r="MIW309" s="13"/>
      <c r="MIX309" s="35"/>
      <c r="MIY309" s="35"/>
      <c r="MIZ309" s="15"/>
      <c r="MJB309" s="13"/>
      <c r="MJC309" s="35"/>
      <c r="MJD309" s="35"/>
      <c r="MJE309" s="15"/>
      <c r="MJG309" s="13"/>
      <c r="MJH309" s="35"/>
      <c r="MJI309" s="35"/>
      <c r="MJJ309" s="15"/>
      <c r="MJL309" s="13"/>
      <c r="MJM309" s="35"/>
      <c r="MJN309" s="35"/>
      <c r="MJO309" s="15"/>
      <c r="MJQ309" s="13"/>
      <c r="MJR309" s="35"/>
      <c r="MJS309" s="35"/>
      <c r="MJT309" s="15"/>
      <c r="MJV309" s="13"/>
      <c r="MJW309" s="35"/>
      <c r="MJX309" s="35"/>
      <c r="MJY309" s="15"/>
      <c r="MKA309" s="13"/>
      <c r="MKB309" s="35"/>
      <c r="MKC309" s="35"/>
      <c r="MKD309" s="15"/>
      <c r="MKF309" s="13"/>
      <c r="MKG309" s="35"/>
      <c r="MKH309" s="35"/>
      <c r="MKI309" s="15"/>
      <c r="MKK309" s="13"/>
      <c r="MKL309" s="35"/>
      <c r="MKM309" s="35"/>
      <c r="MKN309" s="15"/>
      <c r="MKP309" s="13"/>
      <c r="MKQ309" s="35"/>
      <c r="MKR309" s="35"/>
      <c r="MKS309" s="15"/>
      <c r="MKU309" s="13"/>
      <c r="MKV309" s="35"/>
      <c r="MKW309" s="35"/>
      <c r="MKX309" s="15"/>
      <c r="MKZ309" s="13"/>
      <c r="MLA309" s="35"/>
      <c r="MLB309" s="35"/>
      <c r="MLC309" s="15"/>
      <c r="MLE309" s="13"/>
      <c r="MLF309" s="35"/>
      <c r="MLG309" s="35"/>
      <c r="MLH309" s="15"/>
      <c r="MLJ309" s="13"/>
      <c r="MLK309" s="35"/>
      <c r="MLL309" s="35"/>
      <c r="MLM309" s="15"/>
      <c r="MLO309" s="13"/>
      <c r="MLP309" s="35"/>
      <c r="MLQ309" s="35"/>
      <c r="MLR309" s="15"/>
      <c r="MLT309" s="13"/>
      <c r="MLU309" s="35"/>
      <c r="MLV309" s="35"/>
      <c r="MLW309" s="15"/>
      <c r="MLY309" s="13"/>
      <c r="MLZ309" s="35"/>
      <c r="MMA309" s="35"/>
      <c r="MMB309" s="15"/>
      <c r="MMD309" s="13"/>
      <c r="MME309" s="35"/>
      <c r="MMF309" s="35"/>
      <c r="MMG309" s="15"/>
      <c r="MMI309" s="13"/>
      <c r="MMJ309" s="35"/>
      <c r="MMK309" s="35"/>
      <c r="MML309" s="15"/>
      <c r="MMN309" s="13"/>
      <c r="MMO309" s="35"/>
      <c r="MMP309" s="35"/>
      <c r="MMQ309" s="15"/>
      <c r="MMS309" s="13"/>
      <c r="MMT309" s="35"/>
      <c r="MMU309" s="35"/>
      <c r="MMV309" s="15"/>
      <c r="MMX309" s="13"/>
      <c r="MMY309" s="35"/>
      <c r="MMZ309" s="35"/>
      <c r="MNA309" s="15"/>
      <c r="MNC309" s="13"/>
      <c r="MND309" s="35"/>
      <c r="MNE309" s="35"/>
      <c r="MNF309" s="15"/>
      <c r="MNH309" s="13"/>
      <c r="MNI309" s="35"/>
      <c r="MNJ309" s="35"/>
      <c r="MNK309" s="15"/>
      <c r="MNM309" s="13"/>
      <c r="MNN309" s="35"/>
      <c r="MNO309" s="35"/>
      <c r="MNP309" s="15"/>
      <c r="MNR309" s="13"/>
      <c r="MNS309" s="35"/>
      <c r="MNT309" s="35"/>
      <c r="MNU309" s="15"/>
      <c r="MNW309" s="13"/>
      <c r="MNX309" s="35"/>
      <c r="MNY309" s="35"/>
      <c r="MNZ309" s="15"/>
      <c r="MOB309" s="13"/>
      <c r="MOC309" s="35"/>
      <c r="MOD309" s="35"/>
      <c r="MOE309" s="15"/>
      <c r="MOG309" s="13"/>
      <c r="MOH309" s="35"/>
      <c r="MOI309" s="35"/>
      <c r="MOJ309" s="15"/>
      <c r="MOL309" s="13"/>
      <c r="MOM309" s="35"/>
      <c r="MON309" s="35"/>
      <c r="MOO309" s="15"/>
      <c r="MOQ309" s="13"/>
      <c r="MOR309" s="35"/>
      <c r="MOS309" s="35"/>
      <c r="MOT309" s="15"/>
      <c r="MOV309" s="13"/>
      <c r="MOW309" s="35"/>
      <c r="MOX309" s="35"/>
      <c r="MOY309" s="15"/>
      <c r="MPA309" s="13"/>
      <c r="MPB309" s="35"/>
      <c r="MPC309" s="35"/>
      <c r="MPD309" s="15"/>
      <c r="MPF309" s="13"/>
      <c r="MPG309" s="35"/>
      <c r="MPH309" s="35"/>
      <c r="MPI309" s="15"/>
      <c r="MPK309" s="13"/>
      <c r="MPL309" s="35"/>
      <c r="MPM309" s="35"/>
      <c r="MPN309" s="15"/>
      <c r="MPP309" s="13"/>
      <c r="MPQ309" s="35"/>
      <c r="MPR309" s="35"/>
      <c r="MPS309" s="15"/>
      <c r="MPU309" s="13"/>
      <c r="MPV309" s="35"/>
      <c r="MPW309" s="35"/>
      <c r="MPX309" s="15"/>
      <c r="MPZ309" s="13"/>
      <c r="MQA309" s="35"/>
      <c r="MQB309" s="35"/>
      <c r="MQC309" s="15"/>
      <c r="MQE309" s="13"/>
      <c r="MQF309" s="35"/>
      <c r="MQG309" s="35"/>
      <c r="MQH309" s="15"/>
      <c r="MQJ309" s="13"/>
      <c r="MQK309" s="35"/>
      <c r="MQL309" s="35"/>
      <c r="MQM309" s="15"/>
      <c r="MQO309" s="13"/>
      <c r="MQP309" s="35"/>
      <c r="MQQ309" s="35"/>
      <c r="MQR309" s="15"/>
      <c r="MQT309" s="13"/>
      <c r="MQU309" s="35"/>
      <c r="MQV309" s="35"/>
      <c r="MQW309" s="15"/>
      <c r="MQY309" s="13"/>
      <c r="MQZ309" s="35"/>
      <c r="MRA309" s="35"/>
      <c r="MRB309" s="15"/>
      <c r="MRD309" s="13"/>
      <c r="MRE309" s="35"/>
      <c r="MRF309" s="35"/>
      <c r="MRG309" s="15"/>
      <c r="MRI309" s="13"/>
      <c r="MRJ309" s="35"/>
      <c r="MRK309" s="35"/>
      <c r="MRL309" s="15"/>
      <c r="MRN309" s="13"/>
      <c r="MRO309" s="35"/>
      <c r="MRP309" s="35"/>
      <c r="MRQ309" s="15"/>
      <c r="MRS309" s="13"/>
      <c r="MRT309" s="35"/>
      <c r="MRU309" s="35"/>
      <c r="MRV309" s="15"/>
      <c r="MRX309" s="13"/>
      <c r="MRY309" s="35"/>
      <c r="MRZ309" s="35"/>
      <c r="MSA309" s="15"/>
      <c r="MSC309" s="13"/>
      <c r="MSD309" s="35"/>
      <c r="MSE309" s="35"/>
      <c r="MSF309" s="15"/>
      <c r="MSH309" s="13"/>
      <c r="MSI309" s="35"/>
      <c r="MSJ309" s="35"/>
      <c r="MSK309" s="15"/>
      <c r="MSM309" s="13"/>
      <c r="MSN309" s="35"/>
      <c r="MSO309" s="35"/>
      <c r="MSP309" s="15"/>
      <c r="MSR309" s="13"/>
      <c r="MSS309" s="35"/>
      <c r="MST309" s="35"/>
      <c r="MSU309" s="15"/>
      <c r="MSW309" s="13"/>
      <c r="MSX309" s="35"/>
      <c r="MSY309" s="35"/>
      <c r="MSZ309" s="15"/>
      <c r="MTB309" s="13"/>
      <c r="MTC309" s="35"/>
      <c r="MTD309" s="35"/>
      <c r="MTE309" s="15"/>
      <c r="MTG309" s="13"/>
      <c r="MTH309" s="35"/>
      <c r="MTI309" s="35"/>
      <c r="MTJ309" s="15"/>
      <c r="MTL309" s="13"/>
      <c r="MTM309" s="35"/>
      <c r="MTN309" s="35"/>
      <c r="MTO309" s="15"/>
      <c r="MTQ309" s="13"/>
      <c r="MTR309" s="35"/>
      <c r="MTS309" s="35"/>
      <c r="MTT309" s="15"/>
      <c r="MTV309" s="13"/>
      <c r="MTW309" s="35"/>
      <c r="MTX309" s="35"/>
      <c r="MTY309" s="15"/>
      <c r="MUA309" s="13"/>
      <c r="MUB309" s="35"/>
      <c r="MUC309" s="35"/>
      <c r="MUD309" s="15"/>
      <c r="MUF309" s="13"/>
      <c r="MUG309" s="35"/>
      <c r="MUH309" s="35"/>
      <c r="MUI309" s="15"/>
      <c r="MUK309" s="13"/>
      <c r="MUL309" s="35"/>
      <c r="MUM309" s="35"/>
      <c r="MUN309" s="15"/>
      <c r="MUP309" s="13"/>
      <c r="MUQ309" s="35"/>
      <c r="MUR309" s="35"/>
      <c r="MUS309" s="15"/>
      <c r="MUU309" s="13"/>
      <c r="MUV309" s="35"/>
      <c r="MUW309" s="35"/>
      <c r="MUX309" s="15"/>
      <c r="MUZ309" s="13"/>
      <c r="MVA309" s="35"/>
      <c r="MVB309" s="35"/>
      <c r="MVC309" s="15"/>
      <c r="MVE309" s="13"/>
      <c r="MVF309" s="35"/>
      <c r="MVG309" s="35"/>
      <c r="MVH309" s="15"/>
      <c r="MVJ309" s="13"/>
      <c r="MVK309" s="35"/>
      <c r="MVL309" s="35"/>
      <c r="MVM309" s="15"/>
      <c r="MVO309" s="13"/>
      <c r="MVP309" s="35"/>
      <c r="MVQ309" s="35"/>
      <c r="MVR309" s="15"/>
      <c r="MVT309" s="13"/>
      <c r="MVU309" s="35"/>
      <c r="MVV309" s="35"/>
      <c r="MVW309" s="15"/>
      <c r="MVY309" s="13"/>
      <c r="MVZ309" s="35"/>
      <c r="MWA309" s="35"/>
      <c r="MWB309" s="15"/>
      <c r="MWD309" s="13"/>
      <c r="MWE309" s="35"/>
      <c r="MWF309" s="35"/>
      <c r="MWG309" s="15"/>
      <c r="MWI309" s="13"/>
      <c r="MWJ309" s="35"/>
      <c r="MWK309" s="35"/>
      <c r="MWL309" s="15"/>
      <c r="MWN309" s="13"/>
      <c r="MWO309" s="35"/>
      <c r="MWP309" s="35"/>
      <c r="MWQ309" s="15"/>
      <c r="MWS309" s="13"/>
      <c r="MWT309" s="35"/>
      <c r="MWU309" s="35"/>
      <c r="MWV309" s="15"/>
      <c r="MWX309" s="13"/>
      <c r="MWY309" s="35"/>
      <c r="MWZ309" s="35"/>
      <c r="MXA309" s="15"/>
      <c r="MXC309" s="13"/>
      <c r="MXD309" s="35"/>
      <c r="MXE309" s="35"/>
      <c r="MXF309" s="15"/>
      <c r="MXH309" s="13"/>
      <c r="MXI309" s="35"/>
      <c r="MXJ309" s="35"/>
      <c r="MXK309" s="15"/>
      <c r="MXM309" s="13"/>
      <c r="MXN309" s="35"/>
      <c r="MXO309" s="35"/>
      <c r="MXP309" s="15"/>
      <c r="MXR309" s="13"/>
      <c r="MXS309" s="35"/>
      <c r="MXT309" s="35"/>
      <c r="MXU309" s="15"/>
      <c r="MXW309" s="13"/>
      <c r="MXX309" s="35"/>
      <c r="MXY309" s="35"/>
      <c r="MXZ309" s="15"/>
      <c r="MYB309" s="13"/>
      <c r="MYC309" s="35"/>
      <c r="MYD309" s="35"/>
      <c r="MYE309" s="15"/>
      <c r="MYG309" s="13"/>
      <c r="MYH309" s="35"/>
      <c r="MYI309" s="35"/>
      <c r="MYJ309" s="15"/>
      <c r="MYL309" s="13"/>
      <c r="MYM309" s="35"/>
      <c r="MYN309" s="35"/>
      <c r="MYO309" s="15"/>
      <c r="MYQ309" s="13"/>
      <c r="MYR309" s="35"/>
      <c r="MYS309" s="35"/>
      <c r="MYT309" s="15"/>
      <c r="MYV309" s="13"/>
      <c r="MYW309" s="35"/>
      <c r="MYX309" s="35"/>
      <c r="MYY309" s="15"/>
      <c r="MZA309" s="13"/>
      <c r="MZB309" s="35"/>
      <c r="MZC309" s="35"/>
      <c r="MZD309" s="15"/>
      <c r="MZF309" s="13"/>
      <c r="MZG309" s="35"/>
      <c r="MZH309" s="35"/>
      <c r="MZI309" s="15"/>
      <c r="MZK309" s="13"/>
      <c r="MZL309" s="35"/>
      <c r="MZM309" s="35"/>
      <c r="MZN309" s="15"/>
      <c r="MZP309" s="13"/>
      <c r="MZQ309" s="35"/>
      <c r="MZR309" s="35"/>
      <c r="MZS309" s="15"/>
      <c r="MZU309" s="13"/>
      <c r="MZV309" s="35"/>
      <c r="MZW309" s="35"/>
      <c r="MZX309" s="15"/>
      <c r="MZZ309" s="13"/>
      <c r="NAA309" s="35"/>
      <c r="NAB309" s="35"/>
      <c r="NAC309" s="15"/>
      <c r="NAE309" s="13"/>
      <c r="NAF309" s="35"/>
      <c r="NAG309" s="35"/>
      <c r="NAH309" s="15"/>
      <c r="NAJ309" s="13"/>
      <c r="NAK309" s="35"/>
      <c r="NAL309" s="35"/>
      <c r="NAM309" s="15"/>
      <c r="NAO309" s="13"/>
      <c r="NAP309" s="35"/>
      <c r="NAQ309" s="35"/>
      <c r="NAR309" s="15"/>
      <c r="NAT309" s="13"/>
      <c r="NAU309" s="35"/>
      <c r="NAV309" s="35"/>
      <c r="NAW309" s="15"/>
      <c r="NAY309" s="13"/>
      <c r="NAZ309" s="35"/>
      <c r="NBA309" s="35"/>
      <c r="NBB309" s="15"/>
      <c r="NBD309" s="13"/>
      <c r="NBE309" s="35"/>
      <c r="NBF309" s="35"/>
      <c r="NBG309" s="15"/>
      <c r="NBI309" s="13"/>
      <c r="NBJ309" s="35"/>
      <c r="NBK309" s="35"/>
      <c r="NBL309" s="15"/>
      <c r="NBN309" s="13"/>
      <c r="NBO309" s="35"/>
      <c r="NBP309" s="35"/>
      <c r="NBQ309" s="15"/>
      <c r="NBS309" s="13"/>
      <c r="NBT309" s="35"/>
      <c r="NBU309" s="35"/>
      <c r="NBV309" s="15"/>
      <c r="NBX309" s="13"/>
      <c r="NBY309" s="35"/>
      <c r="NBZ309" s="35"/>
      <c r="NCA309" s="15"/>
      <c r="NCC309" s="13"/>
      <c r="NCD309" s="35"/>
      <c r="NCE309" s="35"/>
      <c r="NCF309" s="15"/>
      <c r="NCH309" s="13"/>
      <c r="NCI309" s="35"/>
      <c r="NCJ309" s="35"/>
      <c r="NCK309" s="15"/>
      <c r="NCM309" s="13"/>
      <c r="NCN309" s="35"/>
      <c r="NCO309" s="35"/>
      <c r="NCP309" s="15"/>
      <c r="NCR309" s="13"/>
      <c r="NCS309" s="35"/>
      <c r="NCT309" s="35"/>
      <c r="NCU309" s="15"/>
      <c r="NCW309" s="13"/>
      <c r="NCX309" s="35"/>
      <c r="NCY309" s="35"/>
      <c r="NCZ309" s="15"/>
      <c r="NDB309" s="13"/>
      <c r="NDC309" s="35"/>
      <c r="NDD309" s="35"/>
      <c r="NDE309" s="15"/>
      <c r="NDG309" s="13"/>
      <c r="NDH309" s="35"/>
      <c r="NDI309" s="35"/>
      <c r="NDJ309" s="15"/>
      <c r="NDL309" s="13"/>
      <c r="NDM309" s="35"/>
      <c r="NDN309" s="35"/>
      <c r="NDO309" s="15"/>
      <c r="NDQ309" s="13"/>
      <c r="NDR309" s="35"/>
      <c r="NDS309" s="35"/>
      <c r="NDT309" s="15"/>
      <c r="NDV309" s="13"/>
      <c r="NDW309" s="35"/>
      <c r="NDX309" s="35"/>
      <c r="NDY309" s="15"/>
      <c r="NEA309" s="13"/>
      <c r="NEB309" s="35"/>
      <c r="NEC309" s="35"/>
      <c r="NED309" s="15"/>
      <c r="NEF309" s="13"/>
      <c r="NEG309" s="35"/>
      <c r="NEH309" s="35"/>
      <c r="NEI309" s="15"/>
      <c r="NEK309" s="13"/>
      <c r="NEL309" s="35"/>
      <c r="NEM309" s="35"/>
      <c r="NEN309" s="15"/>
      <c r="NEP309" s="13"/>
      <c r="NEQ309" s="35"/>
      <c r="NER309" s="35"/>
      <c r="NES309" s="15"/>
      <c r="NEU309" s="13"/>
      <c r="NEV309" s="35"/>
      <c r="NEW309" s="35"/>
      <c r="NEX309" s="15"/>
      <c r="NEZ309" s="13"/>
      <c r="NFA309" s="35"/>
      <c r="NFB309" s="35"/>
      <c r="NFC309" s="15"/>
      <c r="NFE309" s="13"/>
      <c r="NFF309" s="35"/>
      <c r="NFG309" s="35"/>
      <c r="NFH309" s="15"/>
      <c r="NFJ309" s="13"/>
      <c r="NFK309" s="35"/>
      <c r="NFL309" s="35"/>
      <c r="NFM309" s="15"/>
      <c r="NFO309" s="13"/>
      <c r="NFP309" s="35"/>
      <c r="NFQ309" s="35"/>
      <c r="NFR309" s="15"/>
      <c r="NFT309" s="13"/>
      <c r="NFU309" s="35"/>
      <c r="NFV309" s="35"/>
      <c r="NFW309" s="15"/>
      <c r="NFY309" s="13"/>
      <c r="NFZ309" s="35"/>
      <c r="NGA309" s="35"/>
      <c r="NGB309" s="15"/>
      <c r="NGD309" s="13"/>
      <c r="NGE309" s="35"/>
      <c r="NGF309" s="35"/>
      <c r="NGG309" s="15"/>
      <c r="NGI309" s="13"/>
      <c r="NGJ309" s="35"/>
      <c r="NGK309" s="35"/>
      <c r="NGL309" s="15"/>
      <c r="NGN309" s="13"/>
      <c r="NGO309" s="35"/>
      <c r="NGP309" s="35"/>
      <c r="NGQ309" s="15"/>
      <c r="NGS309" s="13"/>
      <c r="NGT309" s="35"/>
      <c r="NGU309" s="35"/>
      <c r="NGV309" s="15"/>
      <c r="NGX309" s="13"/>
      <c r="NGY309" s="35"/>
      <c r="NGZ309" s="35"/>
      <c r="NHA309" s="15"/>
      <c r="NHC309" s="13"/>
      <c r="NHD309" s="35"/>
      <c r="NHE309" s="35"/>
      <c r="NHF309" s="15"/>
      <c r="NHH309" s="13"/>
      <c r="NHI309" s="35"/>
      <c r="NHJ309" s="35"/>
      <c r="NHK309" s="15"/>
      <c r="NHM309" s="13"/>
      <c r="NHN309" s="35"/>
      <c r="NHO309" s="35"/>
      <c r="NHP309" s="15"/>
      <c r="NHR309" s="13"/>
      <c r="NHS309" s="35"/>
      <c r="NHT309" s="35"/>
      <c r="NHU309" s="15"/>
      <c r="NHW309" s="13"/>
      <c r="NHX309" s="35"/>
      <c r="NHY309" s="35"/>
      <c r="NHZ309" s="15"/>
      <c r="NIB309" s="13"/>
      <c r="NIC309" s="35"/>
      <c r="NID309" s="35"/>
      <c r="NIE309" s="15"/>
      <c r="NIG309" s="13"/>
      <c r="NIH309" s="35"/>
      <c r="NII309" s="35"/>
      <c r="NIJ309" s="15"/>
      <c r="NIL309" s="13"/>
      <c r="NIM309" s="35"/>
      <c r="NIN309" s="35"/>
      <c r="NIO309" s="15"/>
      <c r="NIQ309" s="13"/>
      <c r="NIR309" s="35"/>
      <c r="NIS309" s="35"/>
      <c r="NIT309" s="15"/>
      <c r="NIV309" s="13"/>
      <c r="NIW309" s="35"/>
      <c r="NIX309" s="35"/>
      <c r="NIY309" s="15"/>
      <c r="NJA309" s="13"/>
      <c r="NJB309" s="35"/>
      <c r="NJC309" s="35"/>
      <c r="NJD309" s="15"/>
      <c r="NJF309" s="13"/>
      <c r="NJG309" s="35"/>
      <c r="NJH309" s="35"/>
      <c r="NJI309" s="15"/>
      <c r="NJK309" s="13"/>
      <c r="NJL309" s="35"/>
      <c r="NJM309" s="35"/>
      <c r="NJN309" s="15"/>
      <c r="NJP309" s="13"/>
      <c r="NJQ309" s="35"/>
      <c r="NJR309" s="35"/>
      <c r="NJS309" s="15"/>
      <c r="NJU309" s="13"/>
      <c r="NJV309" s="35"/>
      <c r="NJW309" s="35"/>
      <c r="NJX309" s="15"/>
      <c r="NJZ309" s="13"/>
      <c r="NKA309" s="35"/>
      <c r="NKB309" s="35"/>
      <c r="NKC309" s="15"/>
      <c r="NKE309" s="13"/>
      <c r="NKF309" s="35"/>
      <c r="NKG309" s="35"/>
      <c r="NKH309" s="15"/>
      <c r="NKJ309" s="13"/>
      <c r="NKK309" s="35"/>
      <c r="NKL309" s="35"/>
      <c r="NKM309" s="15"/>
      <c r="NKO309" s="13"/>
      <c r="NKP309" s="35"/>
      <c r="NKQ309" s="35"/>
      <c r="NKR309" s="15"/>
      <c r="NKT309" s="13"/>
      <c r="NKU309" s="35"/>
      <c r="NKV309" s="35"/>
      <c r="NKW309" s="15"/>
      <c r="NKY309" s="13"/>
      <c r="NKZ309" s="35"/>
      <c r="NLA309" s="35"/>
      <c r="NLB309" s="15"/>
      <c r="NLD309" s="13"/>
      <c r="NLE309" s="35"/>
      <c r="NLF309" s="35"/>
      <c r="NLG309" s="15"/>
      <c r="NLI309" s="13"/>
      <c r="NLJ309" s="35"/>
      <c r="NLK309" s="35"/>
      <c r="NLL309" s="15"/>
      <c r="NLN309" s="13"/>
      <c r="NLO309" s="35"/>
      <c r="NLP309" s="35"/>
      <c r="NLQ309" s="15"/>
      <c r="NLS309" s="13"/>
      <c r="NLT309" s="35"/>
      <c r="NLU309" s="35"/>
      <c r="NLV309" s="15"/>
      <c r="NLX309" s="13"/>
      <c r="NLY309" s="35"/>
      <c r="NLZ309" s="35"/>
      <c r="NMA309" s="15"/>
      <c r="NMC309" s="13"/>
      <c r="NMD309" s="35"/>
      <c r="NME309" s="35"/>
      <c r="NMF309" s="15"/>
      <c r="NMH309" s="13"/>
      <c r="NMI309" s="35"/>
      <c r="NMJ309" s="35"/>
      <c r="NMK309" s="15"/>
      <c r="NMM309" s="13"/>
      <c r="NMN309" s="35"/>
      <c r="NMO309" s="35"/>
      <c r="NMP309" s="15"/>
      <c r="NMR309" s="13"/>
      <c r="NMS309" s="35"/>
      <c r="NMT309" s="35"/>
      <c r="NMU309" s="15"/>
      <c r="NMW309" s="13"/>
      <c r="NMX309" s="35"/>
      <c r="NMY309" s="35"/>
      <c r="NMZ309" s="15"/>
      <c r="NNB309" s="13"/>
      <c r="NNC309" s="35"/>
      <c r="NND309" s="35"/>
      <c r="NNE309" s="15"/>
      <c r="NNG309" s="13"/>
      <c r="NNH309" s="35"/>
      <c r="NNI309" s="35"/>
      <c r="NNJ309" s="15"/>
      <c r="NNL309" s="13"/>
      <c r="NNM309" s="35"/>
      <c r="NNN309" s="35"/>
      <c r="NNO309" s="15"/>
      <c r="NNQ309" s="13"/>
      <c r="NNR309" s="35"/>
      <c r="NNS309" s="35"/>
      <c r="NNT309" s="15"/>
      <c r="NNV309" s="13"/>
      <c r="NNW309" s="35"/>
      <c r="NNX309" s="35"/>
      <c r="NNY309" s="15"/>
      <c r="NOA309" s="13"/>
      <c r="NOB309" s="35"/>
      <c r="NOC309" s="35"/>
      <c r="NOD309" s="15"/>
      <c r="NOF309" s="13"/>
      <c r="NOG309" s="35"/>
      <c r="NOH309" s="35"/>
      <c r="NOI309" s="15"/>
      <c r="NOK309" s="13"/>
      <c r="NOL309" s="35"/>
      <c r="NOM309" s="35"/>
      <c r="NON309" s="15"/>
      <c r="NOP309" s="13"/>
      <c r="NOQ309" s="35"/>
      <c r="NOR309" s="35"/>
      <c r="NOS309" s="15"/>
      <c r="NOU309" s="13"/>
      <c r="NOV309" s="35"/>
      <c r="NOW309" s="35"/>
      <c r="NOX309" s="15"/>
      <c r="NOZ309" s="13"/>
      <c r="NPA309" s="35"/>
      <c r="NPB309" s="35"/>
      <c r="NPC309" s="15"/>
      <c r="NPE309" s="13"/>
      <c r="NPF309" s="35"/>
      <c r="NPG309" s="35"/>
      <c r="NPH309" s="15"/>
      <c r="NPJ309" s="13"/>
      <c r="NPK309" s="35"/>
      <c r="NPL309" s="35"/>
      <c r="NPM309" s="15"/>
      <c r="NPO309" s="13"/>
      <c r="NPP309" s="35"/>
      <c r="NPQ309" s="35"/>
      <c r="NPR309" s="15"/>
      <c r="NPT309" s="13"/>
      <c r="NPU309" s="35"/>
      <c r="NPV309" s="35"/>
      <c r="NPW309" s="15"/>
      <c r="NPY309" s="13"/>
      <c r="NPZ309" s="35"/>
      <c r="NQA309" s="35"/>
      <c r="NQB309" s="15"/>
      <c r="NQD309" s="13"/>
      <c r="NQE309" s="35"/>
      <c r="NQF309" s="35"/>
      <c r="NQG309" s="15"/>
      <c r="NQI309" s="13"/>
      <c r="NQJ309" s="35"/>
      <c r="NQK309" s="35"/>
      <c r="NQL309" s="15"/>
      <c r="NQN309" s="13"/>
      <c r="NQO309" s="35"/>
      <c r="NQP309" s="35"/>
      <c r="NQQ309" s="15"/>
      <c r="NQS309" s="13"/>
      <c r="NQT309" s="35"/>
      <c r="NQU309" s="35"/>
      <c r="NQV309" s="15"/>
      <c r="NQX309" s="13"/>
      <c r="NQY309" s="35"/>
      <c r="NQZ309" s="35"/>
      <c r="NRA309" s="15"/>
      <c r="NRC309" s="13"/>
      <c r="NRD309" s="35"/>
      <c r="NRE309" s="35"/>
      <c r="NRF309" s="15"/>
      <c r="NRH309" s="13"/>
      <c r="NRI309" s="35"/>
      <c r="NRJ309" s="35"/>
      <c r="NRK309" s="15"/>
      <c r="NRM309" s="13"/>
      <c r="NRN309" s="35"/>
      <c r="NRO309" s="35"/>
      <c r="NRP309" s="15"/>
      <c r="NRR309" s="13"/>
      <c r="NRS309" s="35"/>
      <c r="NRT309" s="35"/>
      <c r="NRU309" s="15"/>
      <c r="NRW309" s="13"/>
      <c r="NRX309" s="35"/>
      <c r="NRY309" s="35"/>
      <c r="NRZ309" s="15"/>
      <c r="NSB309" s="13"/>
      <c r="NSC309" s="35"/>
      <c r="NSD309" s="35"/>
      <c r="NSE309" s="15"/>
      <c r="NSG309" s="13"/>
      <c r="NSH309" s="35"/>
      <c r="NSI309" s="35"/>
      <c r="NSJ309" s="15"/>
      <c r="NSL309" s="13"/>
      <c r="NSM309" s="35"/>
      <c r="NSN309" s="35"/>
      <c r="NSO309" s="15"/>
      <c r="NSQ309" s="13"/>
      <c r="NSR309" s="35"/>
      <c r="NSS309" s="35"/>
      <c r="NST309" s="15"/>
      <c r="NSV309" s="13"/>
      <c r="NSW309" s="35"/>
      <c r="NSX309" s="35"/>
      <c r="NSY309" s="15"/>
      <c r="NTA309" s="13"/>
      <c r="NTB309" s="35"/>
      <c r="NTC309" s="35"/>
      <c r="NTD309" s="15"/>
      <c r="NTF309" s="13"/>
      <c r="NTG309" s="35"/>
      <c r="NTH309" s="35"/>
      <c r="NTI309" s="15"/>
      <c r="NTK309" s="13"/>
      <c r="NTL309" s="35"/>
      <c r="NTM309" s="35"/>
      <c r="NTN309" s="15"/>
      <c r="NTP309" s="13"/>
      <c r="NTQ309" s="35"/>
      <c r="NTR309" s="35"/>
      <c r="NTS309" s="15"/>
      <c r="NTU309" s="13"/>
      <c r="NTV309" s="35"/>
      <c r="NTW309" s="35"/>
      <c r="NTX309" s="15"/>
      <c r="NTZ309" s="13"/>
      <c r="NUA309" s="35"/>
      <c r="NUB309" s="35"/>
      <c r="NUC309" s="15"/>
      <c r="NUE309" s="13"/>
      <c r="NUF309" s="35"/>
      <c r="NUG309" s="35"/>
      <c r="NUH309" s="15"/>
      <c r="NUJ309" s="13"/>
      <c r="NUK309" s="35"/>
      <c r="NUL309" s="35"/>
      <c r="NUM309" s="15"/>
      <c r="NUO309" s="13"/>
      <c r="NUP309" s="35"/>
      <c r="NUQ309" s="35"/>
      <c r="NUR309" s="15"/>
      <c r="NUT309" s="13"/>
      <c r="NUU309" s="35"/>
      <c r="NUV309" s="35"/>
      <c r="NUW309" s="15"/>
      <c r="NUY309" s="13"/>
      <c r="NUZ309" s="35"/>
      <c r="NVA309" s="35"/>
      <c r="NVB309" s="15"/>
      <c r="NVD309" s="13"/>
      <c r="NVE309" s="35"/>
      <c r="NVF309" s="35"/>
      <c r="NVG309" s="15"/>
      <c r="NVI309" s="13"/>
      <c r="NVJ309" s="35"/>
      <c r="NVK309" s="35"/>
      <c r="NVL309" s="15"/>
      <c r="NVN309" s="13"/>
      <c r="NVO309" s="35"/>
      <c r="NVP309" s="35"/>
      <c r="NVQ309" s="15"/>
      <c r="NVS309" s="13"/>
      <c r="NVT309" s="35"/>
      <c r="NVU309" s="35"/>
      <c r="NVV309" s="15"/>
      <c r="NVX309" s="13"/>
      <c r="NVY309" s="35"/>
      <c r="NVZ309" s="35"/>
      <c r="NWA309" s="15"/>
      <c r="NWC309" s="13"/>
      <c r="NWD309" s="35"/>
      <c r="NWE309" s="35"/>
      <c r="NWF309" s="15"/>
      <c r="NWH309" s="13"/>
      <c r="NWI309" s="35"/>
      <c r="NWJ309" s="35"/>
      <c r="NWK309" s="15"/>
      <c r="NWM309" s="13"/>
      <c r="NWN309" s="35"/>
      <c r="NWO309" s="35"/>
      <c r="NWP309" s="15"/>
      <c r="NWR309" s="13"/>
      <c r="NWS309" s="35"/>
      <c r="NWT309" s="35"/>
      <c r="NWU309" s="15"/>
      <c r="NWW309" s="13"/>
      <c r="NWX309" s="35"/>
      <c r="NWY309" s="35"/>
      <c r="NWZ309" s="15"/>
      <c r="NXB309" s="13"/>
      <c r="NXC309" s="35"/>
      <c r="NXD309" s="35"/>
      <c r="NXE309" s="15"/>
      <c r="NXG309" s="13"/>
      <c r="NXH309" s="35"/>
      <c r="NXI309" s="35"/>
      <c r="NXJ309" s="15"/>
      <c r="NXL309" s="13"/>
      <c r="NXM309" s="35"/>
      <c r="NXN309" s="35"/>
      <c r="NXO309" s="15"/>
      <c r="NXQ309" s="13"/>
      <c r="NXR309" s="35"/>
      <c r="NXS309" s="35"/>
      <c r="NXT309" s="15"/>
      <c r="NXV309" s="13"/>
      <c r="NXW309" s="35"/>
      <c r="NXX309" s="35"/>
      <c r="NXY309" s="15"/>
      <c r="NYA309" s="13"/>
      <c r="NYB309" s="35"/>
      <c r="NYC309" s="35"/>
      <c r="NYD309" s="15"/>
      <c r="NYF309" s="13"/>
      <c r="NYG309" s="35"/>
      <c r="NYH309" s="35"/>
      <c r="NYI309" s="15"/>
      <c r="NYK309" s="13"/>
      <c r="NYL309" s="35"/>
      <c r="NYM309" s="35"/>
      <c r="NYN309" s="15"/>
      <c r="NYP309" s="13"/>
      <c r="NYQ309" s="35"/>
      <c r="NYR309" s="35"/>
      <c r="NYS309" s="15"/>
      <c r="NYU309" s="13"/>
      <c r="NYV309" s="35"/>
      <c r="NYW309" s="35"/>
      <c r="NYX309" s="15"/>
      <c r="NYZ309" s="13"/>
      <c r="NZA309" s="35"/>
      <c r="NZB309" s="35"/>
      <c r="NZC309" s="15"/>
      <c r="NZE309" s="13"/>
      <c r="NZF309" s="35"/>
      <c r="NZG309" s="35"/>
      <c r="NZH309" s="15"/>
      <c r="NZJ309" s="13"/>
      <c r="NZK309" s="35"/>
      <c r="NZL309" s="35"/>
      <c r="NZM309" s="15"/>
      <c r="NZO309" s="13"/>
      <c r="NZP309" s="35"/>
      <c r="NZQ309" s="35"/>
      <c r="NZR309" s="15"/>
      <c r="NZT309" s="13"/>
      <c r="NZU309" s="35"/>
      <c r="NZV309" s="35"/>
      <c r="NZW309" s="15"/>
      <c r="NZY309" s="13"/>
      <c r="NZZ309" s="35"/>
      <c r="OAA309" s="35"/>
      <c r="OAB309" s="15"/>
      <c r="OAD309" s="13"/>
      <c r="OAE309" s="35"/>
      <c r="OAF309" s="35"/>
      <c r="OAG309" s="15"/>
      <c r="OAI309" s="13"/>
      <c r="OAJ309" s="35"/>
      <c r="OAK309" s="35"/>
      <c r="OAL309" s="15"/>
      <c r="OAN309" s="13"/>
      <c r="OAO309" s="35"/>
      <c r="OAP309" s="35"/>
      <c r="OAQ309" s="15"/>
      <c r="OAS309" s="13"/>
      <c r="OAT309" s="35"/>
      <c r="OAU309" s="35"/>
      <c r="OAV309" s="15"/>
      <c r="OAX309" s="13"/>
      <c r="OAY309" s="35"/>
      <c r="OAZ309" s="35"/>
      <c r="OBA309" s="15"/>
      <c r="OBC309" s="13"/>
      <c r="OBD309" s="35"/>
      <c r="OBE309" s="35"/>
      <c r="OBF309" s="15"/>
      <c r="OBH309" s="13"/>
      <c r="OBI309" s="35"/>
      <c r="OBJ309" s="35"/>
      <c r="OBK309" s="15"/>
      <c r="OBM309" s="13"/>
      <c r="OBN309" s="35"/>
      <c r="OBO309" s="35"/>
      <c r="OBP309" s="15"/>
      <c r="OBR309" s="13"/>
      <c r="OBS309" s="35"/>
      <c r="OBT309" s="35"/>
      <c r="OBU309" s="15"/>
      <c r="OBW309" s="13"/>
      <c r="OBX309" s="35"/>
      <c r="OBY309" s="35"/>
      <c r="OBZ309" s="15"/>
      <c r="OCB309" s="13"/>
      <c r="OCC309" s="35"/>
      <c r="OCD309" s="35"/>
      <c r="OCE309" s="15"/>
      <c r="OCG309" s="13"/>
      <c r="OCH309" s="35"/>
      <c r="OCI309" s="35"/>
      <c r="OCJ309" s="15"/>
      <c r="OCL309" s="13"/>
      <c r="OCM309" s="35"/>
      <c r="OCN309" s="35"/>
      <c r="OCO309" s="15"/>
      <c r="OCQ309" s="13"/>
      <c r="OCR309" s="35"/>
      <c r="OCS309" s="35"/>
      <c r="OCT309" s="15"/>
      <c r="OCV309" s="13"/>
      <c r="OCW309" s="35"/>
      <c r="OCX309" s="35"/>
      <c r="OCY309" s="15"/>
      <c r="ODA309" s="13"/>
      <c r="ODB309" s="35"/>
      <c r="ODC309" s="35"/>
      <c r="ODD309" s="15"/>
      <c r="ODF309" s="13"/>
      <c r="ODG309" s="35"/>
      <c r="ODH309" s="35"/>
      <c r="ODI309" s="15"/>
      <c r="ODK309" s="13"/>
      <c r="ODL309" s="35"/>
      <c r="ODM309" s="35"/>
      <c r="ODN309" s="15"/>
      <c r="ODP309" s="13"/>
      <c r="ODQ309" s="35"/>
      <c r="ODR309" s="35"/>
      <c r="ODS309" s="15"/>
      <c r="ODU309" s="13"/>
      <c r="ODV309" s="35"/>
      <c r="ODW309" s="35"/>
      <c r="ODX309" s="15"/>
      <c r="ODZ309" s="13"/>
      <c r="OEA309" s="35"/>
      <c r="OEB309" s="35"/>
      <c r="OEC309" s="15"/>
      <c r="OEE309" s="13"/>
      <c r="OEF309" s="35"/>
      <c r="OEG309" s="35"/>
      <c r="OEH309" s="15"/>
      <c r="OEJ309" s="13"/>
      <c r="OEK309" s="35"/>
      <c r="OEL309" s="35"/>
      <c r="OEM309" s="15"/>
      <c r="OEO309" s="13"/>
      <c r="OEP309" s="35"/>
      <c r="OEQ309" s="35"/>
      <c r="OER309" s="15"/>
      <c r="OET309" s="13"/>
      <c r="OEU309" s="35"/>
      <c r="OEV309" s="35"/>
      <c r="OEW309" s="15"/>
      <c r="OEY309" s="13"/>
      <c r="OEZ309" s="35"/>
      <c r="OFA309" s="35"/>
      <c r="OFB309" s="15"/>
      <c r="OFD309" s="13"/>
      <c r="OFE309" s="35"/>
      <c r="OFF309" s="35"/>
      <c r="OFG309" s="15"/>
      <c r="OFI309" s="13"/>
      <c r="OFJ309" s="35"/>
      <c r="OFK309" s="35"/>
      <c r="OFL309" s="15"/>
      <c r="OFN309" s="13"/>
      <c r="OFO309" s="35"/>
      <c r="OFP309" s="35"/>
      <c r="OFQ309" s="15"/>
      <c r="OFS309" s="13"/>
      <c r="OFT309" s="35"/>
      <c r="OFU309" s="35"/>
      <c r="OFV309" s="15"/>
      <c r="OFX309" s="13"/>
      <c r="OFY309" s="35"/>
      <c r="OFZ309" s="35"/>
      <c r="OGA309" s="15"/>
      <c r="OGC309" s="13"/>
      <c r="OGD309" s="35"/>
      <c r="OGE309" s="35"/>
      <c r="OGF309" s="15"/>
      <c r="OGH309" s="13"/>
      <c r="OGI309" s="35"/>
      <c r="OGJ309" s="35"/>
      <c r="OGK309" s="15"/>
      <c r="OGM309" s="13"/>
      <c r="OGN309" s="35"/>
      <c r="OGO309" s="35"/>
      <c r="OGP309" s="15"/>
      <c r="OGR309" s="13"/>
      <c r="OGS309" s="35"/>
      <c r="OGT309" s="35"/>
      <c r="OGU309" s="15"/>
      <c r="OGW309" s="13"/>
      <c r="OGX309" s="35"/>
      <c r="OGY309" s="35"/>
      <c r="OGZ309" s="15"/>
      <c r="OHB309" s="13"/>
      <c r="OHC309" s="35"/>
      <c r="OHD309" s="35"/>
      <c r="OHE309" s="15"/>
      <c r="OHG309" s="13"/>
      <c r="OHH309" s="35"/>
      <c r="OHI309" s="35"/>
      <c r="OHJ309" s="15"/>
      <c r="OHL309" s="13"/>
      <c r="OHM309" s="35"/>
      <c r="OHN309" s="35"/>
      <c r="OHO309" s="15"/>
      <c r="OHQ309" s="13"/>
      <c r="OHR309" s="35"/>
      <c r="OHS309" s="35"/>
      <c r="OHT309" s="15"/>
      <c r="OHV309" s="13"/>
      <c r="OHW309" s="35"/>
      <c r="OHX309" s="35"/>
      <c r="OHY309" s="15"/>
      <c r="OIA309" s="13"/>
      <c r="OIB309" s="35"/>
      <c r="OIC309" s="35"/>
      <c r="OID309" s="15"/>
      <c r="OIF309" s="13"/>
      <c r="OIG309" s="35"/>
      <c r="OIH309" s="35"/>
      <c r="OII309" s="15"/>
      <c r="OIK309" s="13"/>
      <c r="OIL309" s="35"/>
      <c r="OIM309" s="35"/>
      <c r="OIN309" s="15"/>
      <c r="OIP309" s="13"/>
      <c r="OIQ309" s="35"/>
      <c r="OIR309" s="35"/>
      <c r="OIS309" s="15"/>
      <c r="OIU309" s="13"/>
      <c r="OIV309" s="35"/>
      <c r="OIW309" s="35"/>
      <c r="OIX309" s="15"/>
      <c r="OIZ309" s="13"/>
      <c r="OJA309" s="35"/>
      <c r="OJB309" s="35"/>
      <c r="OJC309" s="15"/>
      <c r="OJE309" s="13"/>
      <c r="OJF309" s="35"/>
      <c r="OJG309" s="35"/>
      <c r="OJH309" s="15"/>
      <c r="OJJ309" s="13"/>
      <c r="OJK309" s="35"/>
      <c r="OJL309" s="35"/>
      <c r="OJM309" s="15"/>
      <c r="OJO309" s="13"/>
      <c r="OJP309" s="35"/>
      <c r="OJQ309" s="35"/>
      <c r="OJR309" s="15"/>
      <c r="OJT309" s="13"/>
      <c r="OJU309" s="35"/>
      <c r="OJV309" s="35"/>
      <c r="OJW309" s="15"/>
      <c r="OJY309" s="13"/>
      <c r="OJZ309" s="35"/>
      <c r="OKA309" s="35"/>
      <c r="OKB309" s="15"/>
      <c r="OKD309" s="13"/>
      <c r="OKE309" s="35"/>
      <c r="OKF309" s="35"/>
      <c r="OKG309" s="15"/>
      <c r="OKI309" s="13"/>
      <c r="OKJ309" s="35"/>
      <c r="OKK309" s="35"/>
      <c r="OKL309" s="15"/>
      <c r="OKN309" s="13"/>
      <c r="OKO309" s="35"/>
      <c r="OKP309" s="35"/>
      <c r="OKQ309" s="15"/>
      <c r="OKS309" s="13"/>
      <c r="OKT309" s="35"/>
      <c r="OKU309" s="35"/>
      <c r="OKV309" s="15"/>
      <c r="OKX309" s="13"/>
      <c r="OKY309" s="35"/>
      <c r="OKZ309" s="35"/>
      <c r="OLA309" s="15"/>
      <c r="OLC309" s="13"/>
      <c r="OLD309" s="35"/>
      <c r="OLE309" s="35"/>
      <c r="OLF309" s="15"/>
      <c r="OLH309" s="13"/>
      <c r="OLI309" s="35"/>
      <c r="OLJ309" s="35"/>
      <c r="OLK309" s="15"/>
      <c r="OLM309" s="13"/>
      <c r="OLN309" s="35"/>
      <c r="OLO309" s="35"/>
      <c r="OLP309" s="15"/>
      <c r="OLR309" s="13"/>
      <c r="OLS309" s="35"/>
      <c r="OLT309" s="35"/>
      <c r="OLU309" s="15"/>
      <c r="OLW309" s="13"/>
      <c r="OLX309" s="35"/>
      <c r="OLY309" s="35"/>
      <c r="OLZ309" s="15"/>
      <c r="OMB309" s="13"/>
      <c r="OMC309" s="35"/>
      <c r="OMD309" s="35"/>
      <c r="OME309" s="15"/>
      <c r="OMG309" s="13"/>
      <c r="OMH309" s="35"/>
      <c r="OMI309" s="35"/>
      <c r="OMJ309" s="15"/>
      <c r="OML309" s="13"/>
      <c r="OMM309" s="35"/>
      <c r="OMN309" s="35"/>
      <c r="OMO309" s="15"/>
      <c r="OMQ309" s="13"/>
      <c r="OMR309" s="35"/>
      <c r="OMS309" s="35"/>
      <c r="OMT309" s="15"/>
      <c r="OMV309" s="13"/>
      <c r="OMW309" s="35"/>
      <c r="OMX309" s="35"/>
      <c r="OMY309" s="15"/>
      <c r="ONA309" s="13"/>
      <c r="ONB309" s="35"/>
      <c r="ONC309" s="35"/>
      <c r="OND309" s="15"/>
      <c r="ONF309" s="13"/>
      <c r="ONG309" s="35"/>
      <c r="ONH309" s="35"/>
      <c r="ONI309" s="15"/>
      <c r="ONK309" s="13"/>
      <c r="ONL309" s="35"/>
      <c r="ONM309" s="35"/>
      <c r="ONN309" s="15"/>
      <c r="ONP309" s="13"/>
      <c r="ONQ309" s="35"/>
      <c r="ONR309" s="35"/>
      <c r="ONS309" s="15"/>
      <c r="ONU309" s="13"/>
      <c r="ONV309" s="35"/>
      <c r="ONW309" s="35"/>
      <c r="ONX309" s="15"/>
      <c r="ONZ309" s="13"/>
      <c r="OOA309" s="35"/>
      <c r="OOB309" s="35"/>
      <c r="OOC309" s="15"/>
      <c r="OOE309" s="13"/>
      <c r="OOF309" s="35"/>
      <c r="OOG309" s="35"/>
      <c r="OOH309" s="15"/>
      <c r="OOJ309" s="13"/>
      <c r="OOK309" s="35"/>
      <c r="OOL309" s="35"/>
      <c r="OOM309" s="15"/>
      <c r="OOO309" s="13"/>
      <c r="OOP309" s="35"/>
      <c r="OOQ309" s="35"/>
      <c r="OOR309" s="15"/>
      <c r="OOT309" s="13"/>
      <c r="OOU309" s="35"/>
      <c r="OOV309" s="35"/>
      <c r="OOW309" s="15"/>
      <c r="OOY309" s="13"/>
      <c r="OOZ309" s="35"/>
      <c r="OPA309" s="35"/>
      <c r="OPB309" s="15"/>
      <c r="OPD309" s="13"/>
      <c r="OPE309" s="35"/>
      <c r="OPF309" s="35"/>
      <c r="OPG309" s="15"/>
      <c r="OPI309" s="13"/>
      <c r="OPJ309" s="35"/>
      <c r="OPK309" s="35"/>
      <c r="OPL309" s="15"/>
      <c r="OPN309" s="13"/>
      <c r="OPO309" s="35"/>
      <c r="OPP309" s="35"/>
      <c r="OPQ309" s="15"/>
      <c r="OPS309" s="13"/>
      <c r="OPT309" s="35"/>
      <c r="OPU309" s="35"/>
      <c r="OPV309" s="15"/>
      <c r="OPX309" s="13"/>
      <c r="OPY309" s="35"/>
      <c r="OPZ309" s="35"/>
      <c r="OQA309" s="15"/>
      <c r="OQC309" s="13"/>
      <c r="OQD309" s="35"/>
      <c r="OQE309" s="35"/>
      <c r="OQF309" s="15"/>
      <c r="OQH309" s="13"/>
      <c r="OQI309" s="35"/>
      <c r="OQJ309" s="35"/>
      <c r="OQK309" s="15"/>
      <c r="OQM309" s="13"/>
      <c r="OQN309" s="35"/>
      <c r="OQO309" s="35"/>
      <c r="OQP309" s="15"/>
      <c r="OQR309" s="13"/>
      <c r="OQS309" s="35"/>
      <c r="OQT309" s="35"/>
      <c r="OQU309" s="15"/>
      <c r="OQW309" s="13"/>
      <c r="OQX309" s="35"/>
      <c r="OQY309" s="35"/>
      <c r="OQZ309" s="15"/>
      <c r="ORB309" s="13"/>
      <c r="ORC309" s="35"/>
      <c r="ORD309" s="35"/>
      <c r="ORE309" s="15"/>
      <c r="ORG309" s="13"/>
      <c r="ORH309" s="35"/>
      <c r="ORI309" s="35"/>
      <c r="ORJ309" s="15"/>
      <c r="ORL309" s="13"/>
      <c r="ORM309" s="35"/>
      <c r="ORN309" s="35"/>
      <c r="ORO309" s="15"/>
      <c r="ORQ309" s="13"/>
      <c r="ORR309" s="35"/>
      <c r="ORS309" s="35"/>
      <c r="ORT309" s="15"/>
      <c r="ORV309" s="13"/>
      <c r="ORW309" s="35"/>
      <c r="ORX309" s="35"/>
      <c r="ORY309" s="15"/>
      <c r="OSA309" s="13"/>
      <c r="OSB309" s="35"/>
      <c r="OSC309" s="35"/>
      <c r="OSD309" s="15"/>
      <c r="OSF309" s="13"/>
      <c r="OSG309" s="35"/>
      <c r="OSH309" s="35"/>
      <c r="OSI309" s="15"/>
      <c r="OSK309" s="13"/>
      <c r="OSL309" s="35"/>
      <c r="OSM309" s="35"/>
      <c r="OSN309" s="15"/>
      <c r="OSP309" s="13"/>
      <c r="OSQ309" s="35"/>
      <c r="OSR309" s="35"/>
      <c r="OSS309" s="15"/>
      <c r="OSU309" s="13"/>
      <c r="OSV309" s="35"/>
      <c r="OSW309" s="35"/>
      <c r="OSX309" s="15"/>
      <c r="OSZ309" s="13"/>
      <c r="OTA309" s="35"/>
      <c r="OTB309" s="35"/>
      <c r="OTC309" s="15"/>
      <c r="OTE309" s="13"/>
      <c r="OTF309" s="35"/>
      <c r="OTG309" s="35"/>
      <c r="OTH309" s="15"/>
      <c r="OTJ309" s="13"/>
      <c r="OTK309" s="35"/>
      <c r="OTL309" s="35"/>
      <c r="OTM309" s="15"/>
      <c r="OTO309" s="13"/>
      <c r="OTP309" s="35"/>
      <c r="OTQ309" s="35"/>
      <c r="OTR309" s="15"/>
      <c r="OTT309" s="13"/>
      <c r="OTU309" s="35"/>
      <c r="OTV309" s="35"/>
      <c r="OTW309" s="15"/>
      <c r="OTY309" s="13"/>
      <c r="OTZ309" s="35"/>
      <c r="OUA309" s="35"/>
      <c r="OUB309" s="15"/>
      <c r="OUD309" s="13"/>
      <c r="OUE309" s="35"/>
      <c r="OUF309" s="35"/>
      <c r="OUG309" s="15"/>
      <c r="OUI309" s="13"/>
      <c r="OUJ309" s="35"/>
      <c r="OUK309" s="35"/>
      <c r="OUL309" s="15"/>
      <c r="OUN309" s="13"/>
      <c r="OUO309" s="35"/>
      <c r="OUP309" s="35"/>
      <c r="OUQ309" s="15"/>
      <c r="OUS309" s="13"/>
      <c r="OUT309" s="35"/>
      <c r="OUU309" s="35"/>
      <c r="OUV309" s="15"/>
      <c r="OUX309" s="13"/>
      <c r="OUY309" s="35"/>
      <c r="OUZ309" s="35"/>
      <c r="OVA309" s="15"/>
      <c r="OVC309" s="13"/>
      <c r="OVD309" s="35"/>
      <c r="OVE309" s="35"/>
      <c r="OVF309" s="15"/>
      <c r="OVH309" s="13"/>
      <c r="OVI309" s="35"/>
      <c r="OVJ309" s="35"/>
      <c r="OVK309" s="15"/>
      <c r="OVM309" s="13"/>
      <c r="OVN309" s="35"/>
      <c r="OVO309" s="35"/>
      <c r="OVP309" s="15"/>
      <c r="OVR309" s="13"/>
      <c r="OVS309" s="35"/>
      <c r="OVT309" s="35"/>
      <c r="OVU309" s="15"/>
      <c r="OVW309" s="13"/>
      <c r="OVX309" s="35"/>
      <c r="OVY309" s="35"/>
      <c r="OVZ309" s="15"/>
      <c r="OWB309" s="13"/>
      <c r="OWC309" s="35"/>
      <c r="OWD309" s="35"/>
      <c r="OWE309" s="15"/>
      <c r="OWG309" s="13"/>
      <c r="OWH309" s="35"/>
      <c r="OWI309" s="35"/>
      <c r="OWJ309" s="15"/>
      <c r="OWL309" s="13"/>
      <c r="OWM309" s="35"/>
      <c r="OWN309" s="35"/>
      <c r="OWO309" s="15"/>
      <c r="OWQ309" s="13"/>
      <c r="OWR309" s="35"/>
      <c r="OWS309" s="35"/>
      <c r="OWT309" s="15"/>
      <c r="OWV309" s="13"/>
      <c r="OWW309" s="35"/>
      <c r="OWX309" s="35"/>
      <c r="OWY309" s="15"/>
      <c r="OXA309" s="13"/>
      <c r="OXB309" s="35"/>
      <c r="OXC309" s="35"/>
      <c r="OXD309" s="15"/>
      <c r="OXF309" s="13"/>
      <c r="OXG309" s="35"/>
      <c r="OXH309" s="35"/>
      <c r="OXI309" s="15"/>
      <c r="OXK309" s="13"/>
      <c r="OXL309" s="35"/>
      <c r="OXM309" s="35"/>
      <c r="OXN309" s="15"/>
      <c r="OXP309" s="13"/>
      <c r="OXQ309" s="35"/>
      <c r="OXR309" s="35"/>
      <c r="OXS309" s="15"/>
      <c r="OXU309" s="13"/>
      <c r="OXV309" s="35"/>
      <c r="OXW309" s="35"/>
      <c r="OXX309" s="15"/>
      <c r="OXZ309" s="13"/>
      <c r="OYA309" s="35"/>
      <c r="OYB309" s="35"/>
      <c r="OYC309" s="15"/>
      <c r="OYE309" s="13"/>
      <c r="OYF309" s="35"/>
      <c r="OYG309" s="35"/>
      <c r="OYH309" s="15"/>
      <c r="OYJ309" s="13"/>
      <c r="OYK309" s="35"/>
      <c r="OYL309" s="35"/>
      <c r="OYM309" s="15"/>
      <c r="OYO309" s="13"/>
      <c r="OYP309" s="35"/>
      <c r="OYQ309" s="35"/>
      <c r="OYR309" s="15"/>
      <c r="OYT309" s="13"/>
      <c r="OYU309" s="35"/>
      <c r="OYV309" s="35"/>
      <c r="OYW309" s="15"/>
      <c r="OYY309" s="13"/>
      <c r="OYZ309" s="35"/>
      <c r="OZA309" s="35"/>
      <c r="OZB309" s="15"/>
      <c r="OZD309" s="13"/>
      <c r="OZE309" s="35"/>
      <c r="OZF309" s="35"/>
      <c r="OZG309" s="15"/>
      <c r="OZI309" s="13"/>
      <c r="OZJ309" s="35"/>
      <c r="OZK309" s="35"/>
      <c r="OZL309" s="15"/>
      <c r="OZN309" s="13"/>
      <c r="OZO309" s="35"/>
      <c r="OZP309" s="35"/>
      <c r="OZQ309" s="15"/>
      <c r="OZS309" s="13"/>
      <c r="OZT309" s="35"/>
      <c r="OZU309" s="35"/>
      <c r="OZV309" s="15"/>
      <c r="OZX309" s="13"/>
      <c r="OZY309" s="35"/>
      <c r="OZZ309" s="35"/>
      <c r="PAA309" s="15"/>
      <c r="PAC309" s="13"/>
      <c r="PAD309" s="35"/>
      <c r="PAE309" s="35"/>
      <c r="PAF309" s="15"/>
      <c r="PAH309" s="13"/>
      <c r="PAI309" s="35"/>
      <c r="PAJ309" s="35"/>
      <c r="PAK309" s="15"/>
      <c r="PAM309" s="13"/>
      <c r="PAN309" s="35"/>
      <c r="PAO309" s="35"/>
      <c r="PAP309" s="15"/>
      <c r="PAR309" s="13"/>
      <c r="PAS309" s="35"/>
      <c r="PAT309" s="35"/>
      <c r="PAU309" s="15"/>
      <c r="PAW309" s="13"/>
      <c r="PAX309" s="35"/>
      <c r="PAY309" s="35"/>
      <c r="PAZ309" s="15"/>
      <c r="PBB309" s="13"/>
      <c r="PBC309" s="35"/>
      <c r="PBD309" s="35"/>
      <c r="PBE309" s="15"/>
      <c r="PBG309" s="13"/>
      <c r="PBH309" s="35"/>
      <c r="PBI309" s="35"/>
      <c r="PBJ309" s="15"/>
      <c r="PBL309" s="13"/>
      <c r="PBM309" s="35"/>
      <c r="PBN309" s="35"/>
      <c r="PBO309" s="15"/>
      <c r="PBQ309" s="13"/>
      <c r="PBR309" s="35"/>
      <c r="PBS309" s="35"/>
      <c r="PBT309" s="15"/>
      <c r="PBV309" s="13"/>
      <c r="PBW309" s="35"/>
      <c r="PBX309" s="35"/>
      <c r="PBY309" s="15"/>
      <c r="PCA309" s="13"/>
      <c r="PCB309" s="35"/>
      <c r="PCC309" s="35"/>
      <c r="PCD309" s="15"/>
      <c r="PCF309" s="13"/>
      <c r="PCG309" s="35"/>
      <c r="PCH309" s="35"/>
      <c r="PCI309" s="15"/>
      <c r="PCK309" s="13"/>
      <c r="PCL309" s="35"/>
      <c r="PCM309" s="35"/>
      <c r="PCN309" s="15"/>
      <c r="PCP309" s="13"/>
      <c r="PCQ309" s="35"/>
      <c r="PCR309" s="35"/>
      <c r="PCS309" s="15"/>
      <c r="PCU309" s="13"/>
      <c r="PCV309" s="35"/>
      <c r="PCW309" s="35"/>
      <c r="PCX309" s="15"/>
      <c r="PCZ309" s="13"/>
      <c r="PDA309" s="35"/>
      <c r="PDB309" s="35"/>
      <c r="PDC309" s="15"/>
      <c r="PDE309" s="13"/>
      <c r="PDF309" s="35"/>
      <c r="PDG309" s="35"/>
      <c r="PDH309" s="15"/>
      <c r="PDJ309" s="13"/>
      <c r="PDK309" s="35"/>
      <c r="PDL309" s="35"/>
      <c r="PDM309" s="15"/>
      <c r="PDO309" s="13"/>
      <c r="PDP309" s="35"/>
      <c r="PDQ309" s="35"/>
      <c r="PDR309" s="15"/>
      <c r="PDT309" s="13"/>
      <c r="PDU309" s="35"/>
      <c r="PDV309" s="35"/>
      <c r="PDW309" s="15"/>
      <c r="PDY309" s="13"/>
      <c r="PDZ309" s="35"/>
      <c r="PEA309" s="35"/>
      <c r="PEB309" s="15"/>
      <c r="PED309" s="13"/>
      <c r="PEE309" s="35"/>
      <c r="PEF309" s="35"/>
      <c r="PEG309" s="15"/>
      <c r="PEI309" s="13"/>
      <c r="PEJ309" s="35"/>
      <c r="PEK309" s="35"/>
      <c r="PEL309" s="15"/>
      <c r="PEN309" s="13"/>
      <c r="PEO309" s="35"/>
      <c r="PEP309" s="35"/>
      <c r="PEQ309" s="15"/>
      <c r="PES309" s="13"/>
      <c r="PET309" s="35"/>
      <c r="PEU309" s="35"/>
      <c r="PEV309" s="15"/>
      <c r="PEX309" s="13"/>
      <c r="PEY309" s="35"/>
      <c r="PEZ309" s="35"/>
      <c r="PFA309" s="15"/>
      <c r="PFC309" s="13"/>
      <c r="PFD309" s="35"/>
      <c r="PFE309" s="35"/>
      <c r="PFF309" s="15"/>
      <c r="PFH309" s="13"/>
      <c r="PFI309" s="35"/>
      <c r="PFJ309" s="35"/>
      <c r="PFK309" s="15"/>
      <c r="PFM309" s="13"/>
      <c r="PFN309" s="35"/>
      <c r="PFO309" s="35"/>
      <c r="PFP309" s="15"/>
      <c r="PFR309" s="13"/>
      <c r="PFS309" s="35"/>
      <c r="PFT309" s="35"/>
      <c r="PFU309" s="15"/>
      <c r="PFW309" s="13"/>
      <c r="PFX309" s="35"/>
      <c r="PFY309" s="35"/>
      <c r="PFZ309" s="15"/>
      <c r="PGB309" s="13"/>
      <c r="PGC309" s="35"/>
      <c r="PGD309" s="35"/>
      <c r="PGE309" s="15"/>
      <c r="PGG309" s="13"/>
      <c r="PGH309" s="35"/>
      <c r="PGI309" s="35"/>
      <c r="PGJ309" s="15"/>
      <c r="PGL309" s="13"/>
      <c r="PGM309" s="35"/>
      <c r="PGN309" s="35"/>
      <c r="PGO309" s="15"/>
      <c r="PGQ309" s="13"/>
      <c r="PGR309" s="35"/>
      <c r="PGS309" s="35"/>
      <c r="PGT309" s="15"/>
      <c r="PGV309" s="13"/>
      <c r="PGW309" s="35"/>
      <c r="PGX309" s="35"/>
      <c r="PGY309" s="15"/>
      <c r="PHA309" s="13"/>
      <c r="PHB309" s="35"/>
      <c r="PHC309" s="35"/>
      <c r="PHD309" s="15"/>
      <c r="PHF309" s="13"/>
      <c r="PHG309" s="35"/>
      <c r="PHH309" s="35"/>
      <c r="PHI309" s="15"/>
      <c r="PHK309" s="13"/>
      <c r="PHL309" s="35"/>
      <c r="PHM309" s="35"/>
      <c r="PHN309" s="15"/>
      <c r="PHP309" s="13"/>
      <c r="PHQ309" s="35"/>
      <c r="PHR309" s="35"/>
      <c r="PHS309" s="15"/>
      <c r="PHU309" s="13"/>
      <c r="PHV309" s="35"/>
      <c r="PHW309" s="35"/>
      <c r="PHX309" s="15"/>
      <c r="PHZ309" s="13"/>
      <c r="PIA309" s="35"/>
      <c r="PIB309" s="35"/>
      <c r="PIC309" s="15"/>
      <c r="PIE309" s="13"/>
      <c r="PIF309" s="35"/>
      <c r="PIG309" s="35"/>
      <c r="PIH309" s="15"/>
      <c r="PIJ309" s="13"/>
      <c r="PIK309" s="35"/>
      <c r="PIL309" s="35"/>
      <c r="PIM309" s="15"/>
      <c r="PIO309" s="13"/>
      <c r="PIP309" s="35"/>
      <c r="PIQ309" s="35"/>
      <c r="PIR309" s="15"/>
      <c r="PIT309" s="13"/>
      <c r="PIU309" s="35"/>
      <c r="PIV309" s="35"/>
      <c r="PIW309" s="15"/>
      <c r="PIY309" s="13"/>
      <c r="PIZ309" s="35"/>
      <c r="PJA309" s="35"/>
      <c r="PJB309" s="15"/>
      <c r="PJD309" s="13"/>
      <c r="PJE309" s="35"/>
      <c r="PJF309" s="35"/>
      <c r="PJG309" s="15"/>
      <c r="PJI309" s="13"/>
      <c r="PJJ309" s="35"/>
      <c r="PJK309" s="35"/>
      <c r="PJL309" s="15"/>
      <c r="PJN309" s="13"/>
      <c r="PJO309" s="35"/>
      <c r="PJP309" s="35"/>
      <c r="PJQ309" s="15"/>
      <c r="PJS309" s="13"/>
      <c r="PJT309" s="35"/>
      <c r="PJU309" s="35"/>
      <c r="PJV309" s="15"/>
      <c r="PJX309" s="13"/>
      <c r="PJY309" s="35"/>
      <c r="PJZ309" s="35"/>
      <c r="PKA309" s="15"/>
      <c r="PKC309" s="13"/>
      <c r="PKD309" s="35"/>
      <c r="PKE309" s="35"/>
      <c r="PKF309" s="15"/>
      <c r="PKH309" s="13"/>
      <c r="PKI309" s="35"/>
      <c r="PKJ309" s="35"/>
      <c r="PKK309" s="15"/>
      <c r="PKM309" s="13"/>
      <c r="PKN309" s="35"/>
      <c r="PKO309" s="35"/>
      <c r="PKP309" s="15"/>
      <c r="PKR309" s="13"/>
      <c r="PKS309" s="35"/>
      <c r="PKT309" s="35"/>
      <c r="PKU309" s="15"/>
      <c r="PKW309" s="13"/>
      <c r="PKX309" s="35"/>
      <c r="PKY309" s="35"/>
      <c r="PKZ309" s="15"/>
      <c r="PLB309" s="13"/>
      <c r="PLC309" s="35"/>
      <c r="PLD309" s="35"/>
      <c r="PLE309" s="15"/>
      <c r="PLG309" s="13"/>
      <c r="PLH309" s="35"/>
      <c r="PLI309" s="35"/>
      <c r="PLJ309" s="15"/>
      <c r="PLL309" s="13"/>
      <c r="PLM309" s="35"/>
      <c r="PLN309" s="35"/>
      <c r="PLO309" s="15"/>
      <c r="PLQ309" s="13"/>
      <c r="PLR309" s="35"/>
      <c r="PLS309" s="35"/>
      <c r="PLT309" s="15"/>
      <c r="PLV309" s="13"/>
      <c r="PLW309" s="35"/>
      <c r="PLX309" s="35"/>
      <c r="PLY309" s="15"/>
      <c r="PMA309" s="13"/>
      <c r="PMB309" s="35"/>
      <c r="PMC309" s="35"/>
      <c r="PMD309" s="15"/>
      <c r="PMF309" s="13"/>
      <c r="PMG309" s="35"/>
      <c r="PMH309" s="35"/>
      <c r="PMI309" s="15"/>
      <c r="PMK309" s="13"/>
      <c r="PML309" s="35"/>
      <c r="PMM309" s="35"/>
      <c r="PMN309" s="15"/>
      <c r="PMP309" s="13"/>
      <c r="PMQ309" s="35"/>
      <c r="PMR309" s="35"/>
      <c r="PMS309" s="15"/>
      <c r="PMU309" s="13"/>
      <c r="PMV309" s="35"/>
      <c r="PMW309" s="35"/>
      <c r="PMX309" s="15"/>
      <c r="PMZ309" s="13"/>
      <c r="PNA309" s="35"/>
      <c r="PNB309" s="35"/>
      <c r="PNC309" s="15"/>
      <c r="PNE309" s="13"/>
      <c r="PNF309" s="35"/>
      <c r="PNG309" s="35"/>
      <c r="PNH309" s="15"/>
      <c r="PNJ309" s="13"/>
      <c r="PNK309" s="35"/>
      <c r="PNL309" s="35"/>
      <c r="PNM309" s="15"/>
      <c r="PNO309" s="13"/>
      <c r="PNP309" s="35"/>
      <c r="PNQ309" s="35"/>
      <c r="PNR309" s="15"/>
      <c r="PNT309" s="13"/>
      <c r="PNU309" s="35"/>
      <c r="PNV309" s="35"/>
      <c r="PNW309" s="15"/>
      <c r="PNY309" s="13"/>
      <c r="PNZ309" s="35"/>
      <c r="POA309" s="35"/>
      <c r="POB309" s="15"/>
      <c r="POD309" s="13"/>
      <c r="POE309" s="35"/>
      <c r="POF309" s="35"/>
      <c r="POG309" s="15"/>
      <c r="POI309" s="13"/>
      <c r="POJ309" s="35"/>
      <c r="POK309" s="35"/>
      <c r="POL309" s="15"/>
      <c r="PON309" s="13"/>
      <c r="POO309" s="35"/>
      <c r="POP309" s="35"/>
      <c r="POQ309" s="15"/>
      <c r="POS309" s="13"/>
      <c r="POT309" s="35"/>
      <c r="POU309" s="35"/>
      <c r="POV309" s="15"/>
      <c r="POX309" s="13"/>
      <c r="POY309" s="35"/>
      <c r="POZ309" s="35"/>
      <c r="PPA309" s="15"/>
      <c r="PPC309" s="13"/>
      <c r="PPD309" s="35"/>
      <c r="PPE309" s="35"/>
      <c r="PPF309" s="15"/>
      <c r="PPH309" s="13"/>
      <c r="PPI309" s="35"/>
      <c r="PPJ309" s="35"/>
      <c r="PPK309" s="15"/>
      <c r="PPM309" s="13"/>
      <c r="PPN309" s="35"/>
      <c r="PPO309" s="35"/>
      <c r="PPP309" s="15"/>
      <c r="PPR309" s="13"/>
      <c r="PPS309" s="35"/>
      <c r="PPT309" s="35"/>
      <c r="PPU309" s="15"/>
      <c r="PPW309" s="13"/>
      <c r="PPX309" s="35"/>
      <c r="PPY309" s="35"/>
      <c r="PPZ309" s="15"/>
      <c r="PQB309" s="13"/>
      <c r="PQC309" s="35"/>
      <c r="PQD309" s="35"/>
      <c r="PQE309" s="15"/>
      <c r="PQG309" s="13"/>
      <c r="PQH309" s="35"/>
      <c r="PQI309" s="35"/>
      <c r="PQJ309" s="15"/>
      <c r="PQL309" s="13"/>
      <c r="PQM309" s="35"/>
      <c r="PQN309" s="35"/>
      <c r="PQO309" s="15"/>
      <c r="PQQ309" s="13"/>
      <c r="PQR309" s="35"/>
      <c r="PQS309" s="35"/>
      <c r="PQT309" s="15"/>
      <c r="PQV309" s="13"/>
      <c r="PQW309" s="35"/>
      <c r="PQX309" s="35"/>
      <c r="PQY309" s="15"/>
      <c r="PRA309" s="13"/>
      <c r="PRB309" s="35"/>
      <c r="PRC309" s="35"/>
      <c r="PRD309" s="15"/>
      <c r="PRF309" s="13"/>
      <c r="PRG309" s="35"/>
      <c r="PRH309" s="35"/>
      <c r="PRI309" s="15"/>
      <c r="PRK309" s="13"/>
      <c r="PRL309" s="35"/>
      <c r="PRM309" s="35"/>
      <c r="PRN309" s="15"/>
      <c r="PRP309" s="13"/>
      <c r="PRQ309" s="35"/>
      <c r="PRR309" s="35"/>
      <c r="PRS309" s="15"/>
      <c r="PRU309" s="13"/>
      <c r="PRV309" s="35"/>
      <c r="PRW309" s="35"/>
      <c r="PRX309" s="15"/>
      <c r="PRZ309" s="13"/>
      <c r="PSA309" s="35"/>
      <c r="PSB309" s="35"/>
      <c r="PSC309" s="15"/>
      <c r="PSE309" s="13"/>
      <c r="PSF309" s="35"/>
      <c r="PSG309" s="35"/>
      <c r="PSH309" s="15"/>
      <c r="PSJ309" s="13"/>
      <c r="PSK309" s="35"/>
      <c r="PSL309" s="35"/>
      <c r="PSM309" s="15"/>
      <c r="PSO309" s="13"/>
      <c r="PSP309" s="35"/>
      <c r="PSQ309" s="35"/>
      <c r="PSR309" s="15"/>
      <c r="PST309" s="13"/>
      <c r="PSU309" s="35"/>
      <c r="PSV309" s="35"/>
      <c r="PSW309" s="15"/>
      <c r="PSY309" s="13"/>
      <c r="PSZ309" s="35"/>
      <c r="PTA309" s="35"/>
      <c r="PTB309" s="15"/>
      <c r="PTD309" s="13"/>
      <c r="PTE309" s="35"/>
      <c r="PTF309" s="35"/>
      <c r="PTG309" s="15"/>
      <c r="PTI309" s="13"/>
      <c r="PTJ309" s="35"/>
      <c r="PTK309" s="35"/>
      <c r="PTL309" s="15"/>
      <c r="PTN309" s="13"/>
      <c r="PTO309" s="35"/>
      <c r="PTP309" s="35"/>
      <c r="PTQ309" s="15"/>
      <c r="PTS309" s="13"/>
      <c r="PTT309" s="35"/>
      <c r="PTU309" s="35"/>
      <c r="PTV309" s="15"/>
      <c r="PTX309" s="13"/>
      <c r="PTY309" s="35"/>
      <c r="PTZ309" s="35"/>
      <c r="PUA309" s="15"/>
      <c r="PUC309" s="13"/>
      <c r="PUD309" s="35"/>
      <c r="PUE309" s="35"/>
      <c r="PUF309" s="15"/>
      <c r="PUH309" s="13"/>
      <c r="PUI309" s="35"/>
      <c r="PUJ309" s="35"/>
      <c r="PUK309" s="15"/>
      <c r="PUM309" s="13"/>
      <c r="PUN309" s="35"/>
      <c r="PUO309" s="35"/>
      <c r="PUP309" s="15"/>
      <c r="PUR309" s="13"/>
      <c r="PUS309" s="35"/>
      <c r="PUT309" s="35"/>
      <c r="PUU309" s="15"/>
      <c r="PUW309" s="13"/>
      <c r="PUX309" s="35"/>
      <c r="PUY309" s="35"/>
      <c r="PUZ309" s="15"/>
      <c r="PVB309" s="13"/>
      <c r="PVC309" s="35"/>
      <c r="PVD309" s="35"/>
      <c r="PVE309" s="15"/>
      <c r="PVG309" s="13"/>
      <c r="PVH309" s="35"/>
      <c r="PVI309" s="35"/>
      <c r="PVJ309" s="15"/>
      <c r="PVL309" s="13"/>
      <c r="PVM309" s="35"/>
      <c r="PVN309" s="35"/>
      <c r="PVO309" s="15"/>
      <c r="PVQ309" s="13"/>
      <c r="PVR309" s="35"/>
      <c r="PVS309" s="35"/>
      <c r="PVT309" s="15"/>
      <c r="PVV309" s="13"/>
      <c r="PVW309" s="35"/>
      <c r="PVX309" s="35"/>
      <c r="PVY309" s="15"/>
      <c r="PWA309" s="13"/>
      <c r="PWB309" s="35"/>
      <c r="PWC309" s="35"/>
      <c r="PWD309" s="15"/>
      <c r="PWF309" s="13"/>
      <c r="PWG309" s="35"/>
      <c r="PWH309" s="35"/>
      <c r="PWI309" s="15"/>
      <c r="PWK309" s="13"/>
      <c r="PWL309" s="35"/>
      <c r="PWM309" s="35"/>
      <c r="PWN309" s="15"/>
      <c r="PWP309" s="13"/>
      <c r="PWQ309" s="35"/>
      <c r="PWR309" s="35"/>
      <c r="PWS309" s="15"/>
      <c r="PWU309" s="13"/>
      <c r="PWV309" s="35"/>
      <c r="PWW309" s="35"/>
      <c r="PWX309" s="15"/>
      <c r="PWZ309" s="13"/>
      <c r="PXA309" s="35"/>
      <c r="PXB309" s="35"/>
      <c r="PXC309" s="15"/>
      <c r="PXE309" s="13"/>
      <c r="PXF309" s="35"/>
      <c r="PXG309" s="35"/>
      <c r="PXH309" s="15"/>
      <c r="PXJ309" s="13"/>
      <c r="PXK309" s="35"/>
      <c r="PXL309" s="35"/>
      <c r="PXM309" s="15"/>
      <c r="PXO309" s="13"/>
      <c r="PXP309" s="35"/>
      <c r="PXQ309" s="35"/>
      <c r="PXR309" s="15"/>
      <c r="PXT309" s="13"/>
      <c r="PXU309" s="35"/>
      <c r="PXV309" s="35"/>
      <c r="PXW309" s="15"/>
      <c r="PXY309" s="13"/>
      <c r="PXZ309" s="35"/>
      <c r="PYA309" s="35"/>
      <c r="PYB309" s="15"/>
      <c r="PYD309" s="13"/>
      <c r="PYE309" s="35"/>
      <c r="PYF309" s="35"/>
      <c r="PYG309" s="15"/>
      <c r="PYI309" s="13"/>
      <c r="PYJ309" s="35"/>
      <c r="PYK309" s="35"/>
      <c r="PYL309" s="15"/>
      <c r="PYN309" s="13"/>
      <c r="PYO309" s="35"/>
      <c r="PYP309" s="35"/>
      <c r="PYQ309" s="15"/>
      <c r="PYS309" s="13"/>
      <c r="PYT309" s="35"/>
      <c r="PYU309" s="35"/>
      <c r="PYV309" s="15"/>
      <c r="PYX309" s="13"/>
      <c r="PYY309" s="35"/>
      <c r="PYZ309" s="35"/>
      <c r="PZA309" s="15"/>
      <c r="PZC309" s="13"/>
      <c r="PZD309" s="35"/>
      <c r="PZE309" s="35"/>
      <c r="PZF309" s="15"/>
      <c r="PZH309" s="13"/>
      <c r="PZI309" s="35"/>
      <c r="PZJ309" s="35"/>
      <c r="PZK309" s="15"/>
      <c r="PZM309" s="13"/>
      <c r="PZN309" s="35"/>
      <c r="PZO309" s="35"/>
      <c r="PZP309" s="15"/>
      <c r="PZR309" s="13"/>
      <c r="PZS309" s="35"/>
      <c r="PZT309" s="35"/>
      <c r="PZU309" s="15"/>
      <c r="PZW309" s="13"/>
      <c r="PZX309" s="35"/>
      <c r="PZY309" s="35"/>
      <c r="PZZ309" s="15"/>
      <c r="QAB309" s="13"/>
      <c r="QAC309" s="35"/>
      <c r="QAD309" s="35"/>
      <c r="QAE309" s="15"/>
      <c r="QAG309" s="13"/>
      <c r="QAH309" s="35"/>
      <c r="QAI309" s="35"/>
      <c r="QAJ309" s="15"/>
      <c r="QAL309" s="13"/>
      <c r="QAM309" s="35"/>
      <c r="QAN309" s="35"/>
      <c r="QAO309" s="15"/>
      <c r="QAQ309" s="13"/>
      <c r="QAR309" s="35"/>
      <c r="QAS309" s="35"/>
      <c r="QAT309" s="15"/>
      <c r="QAV309" s="13"/>
      <c r="QAW309" s="35"/>
      <c r="QAX309" s="35"/>
      <c r="QAY309" s="15"/>
      <c r="QBA309" s="13"/>
      <c r="QBB309" s="35"/>
      <c r="QBC309" s="35"/>
      <c r="QBD309" s="15"/>
      <c r="QBF309" s="13"/>
      <c r="QBG309" s="35"/>
      <c r="QBH309" s="35"/>
      <c r="QBI309" s="15"/>
      <c r="QBK309" s="13"/>
      <c r="QBL309" s="35"/>
      <c r="QBM309" s="35"/>
      <c r="QBN309" s="15"/>
      <c r="QBP309" s="13"/>
      <c r="QBQ309" s="35"/>
      <c r="QBR309" s="35"/>
      <c r="QBS309" s="15"/>
      <c r="QBU309" s="13"/>
      <c r="QBV309" s="35"/>
      <c r="QBW309" s="35"/>
      <c r="QBX309" s="15"/>
      <c r="QBZ309" s="13"/>
      <c r="QCA309" s="35"/>
      <c r="QCB309" s="35"/>
      <c r="QCC309" s="15"/>
      <c r="QCE309" s="13"/>
      <c r="QCF309" s="35"/>
      <c r="QCG309" s="35"/>
      <c r="QCH309" s="15"/>
      <c r="QCJ309" s="13"/>
      <c r="QCK309" s="35"/>
      <c r="QCL309" s="35"/>
      <c r="QCM309" s="15"/>
      <c r="QCO309" s="13"/>
      <c r="QCP309" s="35"/>
      <c r="QCQ309" s="35"/>
      <c r="QCR309" s="15"/>
      <c r="QCT309" s="13"/>
      <c r="QCU309" s="35"/>
      <c r="QCV309" s="35"/>
      <c r="QCW309" s="15"/>
      <c r="QCY309" s="13"/>
      <c r="QCZ309" s="35"/>
      <c r="QDA309" s="35"/>
      <c r="QDB309" s="15"/>
      <c r="QDD309" s="13"/>
      <c r="QDE309" s="35"/>
      <c r="QDF309" s="35"/>
      <c r="QDG309" s="15"/>
      <c r="QDI309" s="13"/>
      <c r="QDJ309" s="35"/>
      <c r="QDK309" s="35"/>
      <c r="QDL309" s="15"/>
      <c r="QDN309" s="13"/>
      <c r="QDO309" s="35"/>
      <c r="QDP309" s="35"/>
      <c r="QDQ309" s="15"/>
      <c r="QDS309" s="13"/>
      <c r="QDT309" s="35"/>
      <c r="QDU309" s="35"/>
      <c r="QDV309" s="15"/>
      <c r="QDX309" s="13"/>
      <c r="QDY309" s="35"/>
      <c r="QDZ309" s="35"/>
      <c r="QEA309" s="15"/>
      <c r="QEC309" s="13"/>
      <c r="QED309" s="35"/>
      <c r="QEE309" s="35"/>
      <c r="QEF309" s="15"/>
      <c r="QEH309" s="13"/>
      <c r="QEI309" s="35"/>
      <c r="QEJ309" s="35"/>
      <c r="QEK309" s="15"/>
      <c r="QEM309" s="13"/>
      <c r="QEN309" s="35"/>
      <c r="QEO309" s="35"/>
      <c r="QEP309" s="15"/>
      <c r="QER309" s="13"/>
      <c r="QES309" s="35"/>
      <c r="QET309" s="35"/>
      <c r="QEU309" s="15"/>
      <c r="QEW309" s="13"/>
      <c r="QEX309" s="35"/>
      <c r="QEY309" s="35"/>
      <c r="QEZ309" s="15"/>
      <c r="QFB309" s="13"/>
      <c r="QFC309" s="35"/>
      <c r="QFD309" s="35"/>
      <c r="QFE309" s="15"/>
      <c r="QFG309" s="13"/>
      <c r="QFH309" s="35"/>
      <c r="QFI309" s="35"/>
      <c r="QFJ309" s="15"/>
      <c r="QFL309" s="13"/>
      <c r="QFM309" s="35"/>
      <c r="QFN309" s="35"/>
      <c r="QFO309" s="15"/>
      <c r="QFQ309" s="13"/>
      <c r="QFR309" s="35"/>
      <c r="QFS309" s="35"/>
      <c r="QFT309" s="15"/>
      <c r="QFV309" s="13"/>
      <c r="QFW309" s="35"/>
      <c r="QFX309" s="35"/>
      <c r="QFY309" s="15"/>
      <c r="QGA309" s="13"/>
      <c r="QGB309" s="35"/>
      <c r="QGC309" s="35"/>
      <c r="QGD309" s="15"/>
      <c r="QGF309" s="13"/>
      <c r="QGG309" s="35"/>
      <c r="QGH309" s="35"/>
      <c r="QGI309" s="15"/>
      <c r="QGK309" s="13"/>
      <c r="QGL309" s="35"/>
      <c r="QGM309" s="35"/>
      <c r="QGN309" s="15"/>
      <c r="QGP309" s="13"/>
      <c r="QGQ309" s="35"/>
      <c r="QGR309" s="35"/>
      <c r="QGS309" s="15"/>
      <c r="QGU309" s="13"/>
      <c r="QGV309" s="35"/>
      <c r="QGW309" s="35"/>
      <c r="QGX309" s="15"/>
      <c r="QGZ309" s="13"/>
      <c r="QHA309" s="35"/>
      <c r="QHB309" s="35"/>
      <c r="QHC309" s="15"/>
      <c r="QHE309" s="13"/>
      <c r="QHF309" s="35"/>
      <c r="QHG309" s="35"/>
      <c r="QHH309" s="15"/>
      <c r="QHJ309" s="13"/>
      <c r="QHK309" s="35"/>
      <c r="QHL309" s="35"/>
      <c r="QHM309" s="15"/>
      <c r="QHO309" s="13"/>
      <c r="QHP309" s="35"/>
      <c r="QHQ309" s="35"/>
      <c r="QHR309" s="15"/>
      <c r="QHT309" s="13"/>
      <c r="QHU309" s="35"/>
      <c r="QHV309" s="35"/>
      <c r="QHW309" s="15"/>
      <c r="QHY309" s="13"/>
      <c r="QHZ309" s="35"/>
      <c r="QIA309" s="35"/>
      <c r="QIB309" s="15"/>
      <c r="QID309" s="13"/>
      <c r="QIE309" s="35"/>
      <c r="QIF309" s="35"/>
      <c r="QIG309" s="15"/>
      <c r="QII309" s="13"/>
      <c r="QIJ309" s="35"/>
      <c r="QIK309" s="35"/>
      <c r="QIL309" s="15"/>
      <c r="QIN309" s="13"/>
      <c r="QIO309" s="35"/>
      <c r="QIP309" s="35"/>
      <c r="QIQ309" s="15"/>
      <c r="QIS309" s="13"/>
      <c r="QIT309" s="35"/>
      <c r="QIU309" s="35"/>
      <c r="QIV309" s="15"/>
      <c r="QIX309" s="13"/>
      <c r="QIY309" s="35"/>
      <c r="QIZ309" s="35"/>
      <c r="QJA309" s="15"/>
      <c r="QJC309" s="13"/>
      <c r="QJD309" s="35"/>
      <c r="QJE309" s="35"/>
      <c r="QJF309" s="15"/>
      <c r="QJH309" s="13"/>
      <c r="QJI309" s="35"/>
      <c r="QJJ309" s="35"/>
      <c r="QJK309" s="15"/>
      <c r="QJM309" s="13"/>
      <c r="QJN309" s="35"/>
      <c r="QJO309" s="35"/>
      <c r="QJP309" s="15"/>
      <c r="QJR309" s="13"/>
      <c r="QJS309" s="35"/>
      <c r="QJT309" s="35"/>
      <c r="QJU309" s="15"/>
      <c r="QJW309" s="13"/>
      <c r="QJX309" s="35"/>
      <c r="QJY309" s="35"/>
      <c r="QJZ309" s="15"/>
      <c r="QKB309" s="13"/>
      <c r="QKC309" s="35"/>
      <c r="QKD309" s="35"/>
      <c r="QKE309" s="15"/>
      <c r="QKG309" s="13"/>
      <c r="QKH309" s="35"/>
      <c r="QKI309" s="35"/>
      <c r="QKJ309" s="15"/>
      <c r="QKL309" s="13"/>
      <c r="QKM309" s="35"/>
      <c r="QKN309" s="35"/>
      <c r="QKO309" s="15"/>
      <c r="QKQ309" s="13"/>
      <c r="QKR309" s="35"/>
      <c r="QKS309" s="35"/>
      <c r="QKT309" s="15"/>
      <c r="QKV309" s="13"/>
      <c r="QKW309" s="35"/>
      <c r="QKX309" s="35"/>
      <c r="QKY309" s="15"/>
      <c r="QLA309" s="13"/>
      <c r="QLB309" s="35"/>
      <c r="QLC309" s="35"/>
      <c r="QLD309" s="15"/>
      <c r="QLF309" s="13"/>
      <c r="QLG309" s="35"/>
      <c r="QLH309" s="35"/>
      <c r="QLI309" s="15"/>
      <c r="QLK309" s="13"/>
      <c r="QLL309" s="35"/>
      <c r="QLM309" s="35"/>
      <c r="QLN309" s="15"/>
      <c r="QLP309" s="13"/>
      <c r="QLQ309" s="35"/>
      <c r="QLR309" s="35"/>
      <c r="QLS309" s="15"/>
      <c r="QLU309" s="13"/>
      <c r="QLV309" s="35"/>
      <c r="QLW309" s="35"/>
      <c r="QLX309" s="15"/>
      <c r="QLZ309" s="13"/>
      <c r="QMA309" s="35"/>
      <c r="QMB309" s="35"/>
      <c r="QMC309" s="15"/>
      <c r="QME309" s="13"/>
      <c r="QMF309" s="35"/>
      <c r="QMG309" s="35"/>
      <c r="QMH309" s="15"/>
      <c r="QMJ309" s="13"/>
      <c r="QMK309" s="35"/>
      <c r="QML309" s="35"/>
      <c r="QMM309" s="15"/>
      <c r="QMO309" s="13"/>
      <c r="QMP309" s="35"/>
      <c r="QMQ309" s="35"/>
      <c r="QMR309" s="15"/>
      <c r="QMT309" s="13"/>
      <c r="QMU309" s="35"/>
      <c r="QMV309" s="35"/>
      <c r="QMW309" s="15"/>
      <c r="QMY309" s="13"/>
      <c r="QMZ309" s="35"/>
      <c r="QNA309" s="35"/>
      <c r="QNB309" s="15"/>
      <c r="QND309" s="13"/>
      <c r="QNE309" s="35"/>
      <c r="QNF309" s="35"/>
      <c r="QNG309" s="15"/>
      <c r="QNI309" s="13"/>
      <c r="QNJ309" s="35"/>
      <c r="QNK309" s="35"/>
      <c r="QNL309" s="15"/>
      <c r="QNN309" s="13"/>
      <c r="QNO309" s="35"/>
      <c r="QNP309" s="35"/>
      <c r="QNQ309" s="15"/>
      <c r="QNS309" s="13"/>
      <c r="QNT309" s="35"/>
      <c r="QNU309" s="35"/>
      <c r="QNV309" s="15"/>
      <c r="QNX309" s="13"/>
      <c r="QNY309" s="35"/>
      <c r="QNZ309" s="35"/>
      <c r="QOA309" s="15"/>
      <c r="QOC309" s="13"/>
      <c r="QOD309" s="35"/>
      <c r="QOE309" s="35"/>
      <c r="QOF309" s="15"/>
      <c r="QOH309" s="13"/>
      <c r="QOI309" s="35"/>
      <c r="QOJ309" s="35"/>
      <c r="QOK309" s="15"/>
      <c r="QOM309" s="13"/>
      <c r="QON309" s="35"/>
      <c r="QOO309" s="35"/>
      <c r="QOP309" s="15"/>
      <c r="QOR309" s="13"/>
      <c r="QOS309" s="35"/>
      <c r="QOT309" s="35"/>
      <c r="QOU309" s="15"/>
      <c r="QOW309" s="13"/>
      <c r="QOX309" s="35"/>
      <c r="QOY309" s="35"/>
      <c r="QOZ309" s="15"/>
      <c r="QPB309" s="13"/>
      <c r="QPC309" s="35"/>
      <c r="QPD309" s="35"/>
      <c r="QPE309" s="15"/>
      <c r="QPG309" s="13"/>
      <c r="QPH309" s="35"/>
      <c r="QPI309" s="35"/>
      <c r="QPJ309" s="15"/>
      <c r="QPL309" s="13"/>
      <c r="QPM309" s="35"/>
      <c r="QPN309" s="35"/>
      <c r="QPO309" s="15"/>
      <c r="QPQ309" s="13"/>
      <c r="QPR309" s="35"/>
      <c r="QPS309" s="35"/>
      <c r="QPT309" s="15"/>
      <c r="QPV309" s="13"/>
      <c r="QPW309" s="35"/>
      <c r="QPX309" s="35"/>
      <c r="QPY309" s="15"/>
      <c r="QQA309" s="13"/>
      <c r="QQB309" s="35"/>
      <c r="QQC309" s="35"/>
      <c r="QQD309" s="15"/>
      <c r="QQF309" s="13"/>
      <c r="QQG309" s="35"/>
      <c r="QQH309" s="35"/>
      <c r="QQI309" s="15"/>
      <c r="QQK309" s="13"/>
      <c r="QQL309" s="35"/>
      <c r="QQM309" s="35"/>
      <c r="QQN309" s="15"/>
      <c r="QQP309" s="13"/>
      <c r="QQQ309" s="35"/>
      <c r="QQR309" s="35"/>
      <c r="QQS309" s="15"/>
      <c r="QQU309" s="13"/>
      <c r="QQV309" s="35"/>
      <c r="QQW309" s="35"/>
      <c r="QQX309" s="15"/>
      <c r="QQZ309" s="13"/>
      <c r="QRA309" s="35"/>
      <c r="QRB309" s="35"/>
      <c r="QRC309" s="15"/>
      <c r="QRE309" s="13"/>
      <c r="QRF309" s="35"/>
      <c r="QRG309" s="35"/>
      <c r="QRH309" s="15"/>
      <c r="QRJ309" s="13"/>
      <c r="QRK309" s="35"/>
      <c r="QRL309" s="35"/>
      <c r="QRM309" s="15"/>
      <c r="QRO309" s="13"/>
      <c r="QRP309" s="35"/>
      <c r="QRQ309" s="35"/>
      <c r="QRR309" s="15"/>
      <c r="QRT309" s="13"/>
      <c r="QRU309" s="35"/>
      <c r="QRV309" s="35"/>
      <c r="QRW309" s="15"/>
      <c r="QRY309" s="13"/>
      <c r="QRZ309" s="35"/>
      <c r="QSA309" s="35"/>
      <c r="QSB309" s="15"/>
      <c r="QSD309" s="13"/>
      <c r="QSE309" s="35"/>
      <c r="QSF309" s="35"/>
      <c r="QSG309" s="15"/>
      <c r="QSI309" s="13"/>
      <c r="QSJ309" s="35"/>
      <c r="QSK309" s="35"/>
      <c r="QSL309" s="15"/>
      <c r="QSN309" s="13"/>
      <c r="QSO309" s="35"/>
      <c r="QSP309" s="35"/>
      <c r="QSQ309" s="15"/>
      <c r="QSS309" s="13"/>
      <c r="QST309" s="35"/>
      <c r="QSU309" s="35"/>
      <c r="QSV309" s="15"/>
      <c r="QSX309" s="13"/>
      <c r="QSY309" s="35"/>
      <c r="QSZ309" s="35"/>
      <c r="QTA309" s="15"/>
      <c r="QTC309" s="13"/>
      <c r="QTD309" s="35"/>
      <c r="QTE309" s="35"/>
      <c r="QTF309" s="15"/>
      <c r="QTH309" s="13"/>
      <c r="QTI309" s="35"/>
      <c r="QTJ309" s="35"/>
      <c r="QTK309" s="15"/>
      <c r="QTM309" s="13"/>
      <c r="QTN309" s="35"/>
      <c r="QTO309" s="35"/>
      <c r="QTP309" s="15"/>
      <c r="QTR309" s="13"/>
      <c r="QTS309" s="35"/>
      <c r="QTT309" s="35"/>
      <c r="QTU309" s="15"/>
      <c r="QTW309" s="13"/>
      <c r="QTX309" s="35"/>
      <c r="QTY309" s="35"/>
      <c r="QTZ309" s="15"/>
      <c r="QUB309" s="13"/>
      <c r="QUC309" s="35"/>
      <c r="QUD309" s="35"/>
      <c r="QUE309" s="15"/>
      <c r="QUG309" s="13"/>
      <c r="QUH309" s="35"/>
      <c r="QUI309" s="35"/>
      <c r="QUJ309" s="15"/>
      <c r="QUL309" s="13"/>
      <c r="QUM309" s="35"/>
      <c r="QUN309" s="35"/>
      <c r="QUO309" s="15"/>
      <c r="QUQ309" s="13"/>
      <c r="QUR309" s="35"/>
      <c r="QUS309" s="35"/>
      <c r="QUT309" s="15"/>
      <c r="QUV309" s="13"/>
      <c r="QUW309" s="35"/>
      <c r="QUX309" s="35"/>
      <c r="QUY309" s="15"/>
      <c r="QVA309" s="13"/>
      <c r="QVB309" s="35"/>
      <c r="QVC309" s="35"/>
      <c r="QVD309" s="15"/>
      <c r="QVF309" s="13"/>
      <c r="QVG309" s="35"/>
      <c r="QVH309" s="35"/>
      <c r="QVI309" s="15"/>
      <c r="QVK309" s="13"/>
      <c r="QVL309" s="35"/>
      <c r="QVM309" s="35"/>
      <c r="QVN309" s="15"/>
      <c r="QVP309" s="13"/>
      <c r="QVQ309" s="35"/>
      <c r="QVR309" s="35"/>
      <c r="QVS309" s="15"/>
      <c r="QVU309" s="13"/>
      <c r="QVV309" s="35"/>
      <c r="QVW309" s="35"/>
      <c r="QVX309" s="15"/>
      <c r="QVZ309" s="13"/>
      <c r="QWA309" s="35"/>
      <c r="QWB309" s="35"/>
      <c r="QWC309" s="15"/>
      <c r="QWE309" s="13"/>
      <c r="QWF309" s="35"/>
      <c r="QWG309" s="35"/>
      <c r="QWH309" s="15"/>
      <c r="QWJ309" s="13"/>
      <c r="QWK309" s="35"/>
      <c r="QWL309" s="35"/>
      <c r="QWM309" s="15"/>
      <c r="QWO309" s="13"/>
      <c r="QWP309" s="35"/>
      <c r="QWQ309" s="35"/>
      <c r="QWR309" s="15"/>
      <c r="QWT309" s="13"/>
      <c r="QWU309" s="35"/>
      <c r="QWV309" s="35"/>
      <c r="QWW309" s="15"/>
      <c r="QWY309" s="13"/>
      <c r="QWZ309" s="35"/>
      <c r="QXA309" s="35"/>
      <c r="QXB309" s="15"/>
      <c r="QXD309" s="13"/>
      <c r="QXE309" s="35"/>
      <c r="QXF309" s="35"/>
      <c r="QXG309" s="15"/>
      <c r="QXI309" s="13"/>
      <c r="QXJ309" s="35"/>
      <c r="QXK309" s="35"/>
      <c r="QXL309" s="15"/>
      <c r="QXN309" s="13"/>
      <c r="QXO309" s="35"/>
      <c r="QXP309" s="35"/>
      <c r="QXQ309" s="15"/>
      <c r="QXS309" s="13"/>
      <c r="QXT309" s="35"/>
      <c r="QXU309" s="35"/>
      <c r="QXV309" s="15"/>
      <c r="QXX309" s="13"/>
      <c r="QXY309" s="35"/>
      <c r="QXZ309" s="35"/>
      <c r="QYA309" s="15"/>
      <c r="QYC309" s="13"/>
      <c r="QYD309" s="35"/>
      <c r="QYE309" s="35"/>
      <c r="QYF309" s="15"/>
      <c r="QYH309" s="13"/>
      <c r="QYI309" s="35"/>
      <c r="QYJ309" s="35"/>
      <c r="QYK309" s="15"/>
      <c r="QYM309" s="13"/>
      <c r="QYN309" s="35"/>
      <c r="QYO309" s="35"/>
      <c r="QYP309" s="15"/>
      <c r="QYR309" s="13"/>
      <c r="QYS309" s="35"/>
      <c r="QYT309" s="35"/>
      <c r="QYU309" s="15"/>
      <c r="QYW309" s="13"/>
      <c r="QYX309" s="35"/>
      <c r="QYY309" s="35"/>
      <c r="QYZ309" s="15"/>
      <c r="QZB309" s="13"/>
      <c r="QZC309" s="35"/>
      <c r="QZD309" s="35"/>
      <c r="QZE309" s="15"/>
      <c r="QZG309" s="13"/>
      <c r="QZH309" s="35"/>
      <c r="QZI309" s="35"/>
      <c r="QZJ309" s="15"/>
      <c r="QZL309" s="13"/>
      <c r="QZM309" s="35"/>
      <c r="QZN309" s="35"/>
      <c r="QZO309" s="15"/>
      <c r="QZQ309" s="13"/>
      <c r="QZR309" s="35"/>
      <c r="QZS309" s="35"/>
      <c r="QZT309" s="15"/>
      <c r="QZV309" s="13"/>
      <c r="QZW309" s="35"/>
      <c r="QZX309" s="35"/>
      <c r="QZY309" s="15"/>
      <c r="RAA309" s="13"/>
      <c r="RAB309" s="35"/>
      <c r="RAC309" s="35"/>
      <c r="RAD309" s="15"/>
      <c r="RAF309" s="13"/>
      <c r="RAG309" s="35"/>
      <c r="RAH309" s="35"/>
      <c r="RAI309" s="15"/>
      <c r="RAK309" s="13"/>
      <c r="RAL309" s="35"/>
      <c r="RAM309" s="35"/>
      <c r="RAN309" s="15"/>
      <c r="RAP309" s="13"/>
      <c r="RAQ309" s="35"/>
      <c r="RAR309" s="35"/>
      <c r="RAS309" s="15"/>
      <c r="RAU309" s="13"/>
      <c r="RAV309" s="35"/>
      <c r="RAW309" s="35"/>
      <c r="RAX309" s="15"/>
      <c r="RAZ309" s="13"/>
      <c r="RBA309" s="35"/>
      <c r="RBB309" s="35"/>
      <c r="RBC309" s="15"/>
      <c r="RBE309" s="13"/>
      <c r="RBF309" s="35"/>
      <c r="RBG309" s="35"/>
      <c r="RBH309" s="15"/>
      <c r="RBJ309" s="13"/>
      <c r="RBK309" s="35"/>
      <c r="RBL309" s="35"/>
      <c r="RBM309" s="15"/>
      <c r="RBO309" s="13"/>
      <c r="RBP309" s="35"/>
      <c r="RBQ309" s="35"/>
      <c r="RBR309" s="15"/>
      <c r="RBT309" s="13"/>
      <c r="RBU309" s="35"/>
      <c r="RBV309" s="35"/>
      <c r="RBW309" s="15"/>
      <c r="RBY309" s="13"/>
      <c r="RBZ309" s="35"/>
      <c r="RCA309" s="35"/>
      <c r="RCB309" s="15"/>
      <c r="RCD309" s="13"/>
      <c r="RCE309" s="35"/>
      <c r="RCF309" s="35"/>
      <c r="RCG309" s="15"/>
      <c r="RCI309" s="13"/>
      <c r="RCJ309" s="35"/>
      <c r="RCK309" s="35"/>
      <c r="RCL309" s="15"/>
      <c r="RCN309" s="13"/>
      <c r="RCO309" s="35"/>
      <c r="RCP309" s="35"/>
      <c r="RCQ309" s="15"/>
      <c r="RCS309" s="13"/>
      <c r="RCT309" s="35"/>
      <c r="RCU309" s="35"/>
      <c r="RCV309" s="15"/>
      <c r="RCX309" s="13"/>
      <c r="RCY309" s="35"/>
      <c r="RCZ309" s="35"/>
      <c r="RDA309" s="15"/>
      <c r="RDC309" s="13"/>
      <c r="RDD309" s="35"/>
      <c r="RDE309" s="35"/>
      <c r="RDF309" s="15"/>
      <c r="RDH309" s="13"/>
      <c r="RDI309" s="35"/>
      <c r="RDJ309" s="35"/>
      <c r="RDK309" s="15"/>
      <c r="RDM309" s="13"/>
      <c r="RDN309" s="35"/>
      <c r="RDO309" s="35"/>
      <c r="RDP309" s="15"/>
      <c r="RDR309" s="13"/>
      <c r="RDS309" s="35"/>
      <c r="RDT309" s="35"/>
      <c r="RDU309" s="15"/>
      <c r="RDW309" s="13"/>
      <c r="RDX309" s="35"/>
      <c r="RDY309" s="35"/>
      <c r="RDZ309" s="15"/>
      <c r="REB309" s="13"/>
      <c r="REC309" s="35"/>
      <c r="RED309" s="35"/>
      <c r="REE309" s="15"/>
      <c r="REG309" s="13"/>
      <c r="REH309" s="35"/>
      <c r="REI309" s="35"/>
      <c r="REJ309" s="15"/>
      <c r="REL309" s="13"/>
      <c r="REM309" s="35"/>
      <c r="REN309" s="35"/>
      <c r="REO309" s="15"/>
      <c r="REQ309" s="13"/>
      <c r="RER309" s="35"/>
      <c r="RES309" s="35"/>
      <c r="RET309" s="15"/>
      <c r="REV309" s="13"/>
      <c r="REW309" s="35"/>
      <c r="REX309" s="35"/>
      <c r="REY309" s="15"/>
      <c r="RFA309" s="13"/>
      <c r="RFB309" s="35"/>
      <c r="RFC309" s="35"/>
      <c r="RFD309" s="15"/>
      <c r="RFF309" s="13"/>
      <c r="RFG309" s="35"/>
      <c r="RFH309" s="35"/>
      <c r="RFI309" s="15"/>
      <c r="RFK309" s="13"/>
      <c r="RFL309" s="35"/>
      <c r="RFM309" s="35"/>
      <c r="RFN309" s="15"/>
      <c r="RFP309" s="13"/>
      <c r="RFQ309" s="35"/>
      <c r="RFR309" s="35"/>
      <c r="RFS309" s="15"/>
      <c r="RFU309" s="13"/>
      <c r="RFV309" s="35"/>
      <c r="RFW309" s="35"/>
      <c r="RFX309" s="15"/>
      <c r="RFZ309" s="13"/>
      <c r="RGA309" s="35"/>
      <c r="RGB309" s="35"/>
      <c r="RGC309" s="15"/>
      <c r="RGE309" s="13"/>
      <c r="RGF309" s="35"/>
      <c r="RGG309" s="35"/>
      <c r="RGH309" s="15"/>
      <c r="RGJ309" s="13"/>
      <c r="RGK309" s="35"/>
      <c r="RGL309" s="35"/>
      <c r="RGM309" s="15"/>
      <c r="RGO309" s="13"/>
      <c r="RGP309" s="35"/>
      <c r="RGQ309" s="35"/>
      <c r="RGR309" s="15"/>
      <c r="RGT309" s="13"/>
      <c r="RGU309" s="35"/>
      <c r="RGV309" s="35"/>
      <c r="RGW309" s="15"/>
      <c r="RGY309" s="13"/>
      <c r="RGZ309" s="35"/>
      <c r="RHA309" s="35"/>
      <c r="RHB309" s="15"/>
      <c r="RHD309" s="13"/>
      <c r="RHE309" s="35"/>
      <c r="RHF309" s="35"/>
      <c r="RHG309" s="15"/>
      <c r="RHI309" s="13"/>
      <c r="RHJ309" s="35"/>
      <c r="RHK309" s="35"/>
      <c r="RHL309" s="15"/>
      <c r="RHN309" s="13"/>
      <c r="RHO309" s="35"/>
      <c r="RHP309" s="35"/>
      <c r="RHQ309" s="15"/>
      <c r="RHS309" s="13"/>
      <c r="RHT309" s="35"/>
      <c r="RHU309" s="35"/>
      <c r="RHV309" s="15"/>
      <c r="RHX309" s="13"/>
      <c r="RHY309" s="35"/>
      <c r="RHZ309" s="35"/>
      <c r="RIA309" s="15"/>
      <c r="RIC309" s="13"/>
      <c r="RID309" s="35"/>
      <c r="RIE309" s="35"/>
      <c r="RIF309" s="15"/>
      <c r="RIH309" s="13"/>
      <c r="RII309" s="35"/>
      <c r="RIJ309" s="35"/>
      <c r="RIK309" s="15"/>
      <c r="RIM309" s="13"/>
      <c r="RIN309" s="35"/>
      <c r="RIO309" s="35"/>
      <c r="RIP309" s="15"/>
      <c r="RIR309" s="13"/>
      <c r="RIS309" s="35"/>
      <c r="RIT309" s="35"/>
      <c r="RIU309" s="15"/>
      <c r="RIW309" s="13"/>
      <c r="RIX309" s="35"/>
      <c r="RIY309" s="35"/>
      <c r="RIZ309" s="15"/>
      <c r="RJB309" s="13"/>
      <c r="RJC309" s="35"/>
      <c r="RJD309" s="35"/>
      <c r="RJE309" s="15"/>
      <c r="RJG309" s="13"/>
      <c r="RJH309" s="35"/>
      <c r="RJI309" s="35"/>
      <c r="RJJ309" s="15"/>
      <c r="RJL309" s="13"/>
      <c r="RJM309" s="35"/>
      <c r="RJN309" s="35"/>
      <c r="RJO309" s="15"/>
      <c r="RJQ309" s="13"/>
      <c r="RJR309" s="35"/>
      <c r="RJS309" s="35"/>
      <c r="RJT309" s="15"/>
      <c r="RJV309" s="13"/>
      <c r="RJW309" s="35"/>
      <c r="RJX309" s="35"/>
      <c r="RJY309" s="15"/>
      <c r="RKA309" s="13"/>
      <c r="RKB309" s="35"/>
      <c r="RKC309" s="35"/>
      <c r="RKD309" s="15"/>
      <c r="RKF309" s="13"/>
      <c r="RKG309" s="35"/>
      <c r="RKH309" s="35"/>
      <c r="RKI309" s="15"/>
      <c r="RKK309" s="13"/>
      <c r="RKL309" s="35"/>
      <c r="RKM309" s="35"/>
      <c r="RKN309" s="15"/>
      <c r="RKP309" s="13"/>
      <c r="RKQ309" s="35"/>
      <c r="RKR309" s="35"/>
      <c r="RKS309" s="15"/>
      <c r="RKU309" s="13"/>
      <c r="RKV309" s="35"/>
      <c r="RKW309" s="35"/>
      <c r="RKX309" s="15"/>
      <c r="RKZ309" s="13"/>
      <c r="RLA309" s="35"/>
      <c r="RLB309" s="35"/>
      <c r="RLC309" s="15"/>
      <c r="RLE309" s="13"/>
      <c r="RLF309" s="35"/>
      <c r="RLG309" s="35"/>
      <c r="RLH309" s="15"/>
      <c r="RLJ309" s="13"/>
      <c r="RLK309" s="35"/>
      <c r="RLL309" s="35"/>
      <c r="RLM309" s="15"/>
      <c r="RLO309" s="13"/>
      <c r="RLP309" s="35"/>
      <c r="RLQ309" s="35"/>
      <c r="RLR309" s="15"/>
      <c r="RLT309" s="13"/>
      <c r="RLU309" s="35"/>
      <c r="RLV309" s="35"/>
      <c r="RLW309" s="15"/>
      <c r="RLY309" s="13"/>
      <c r="RLZ309" s="35"/>
      <c r="RMA309" s="35"/>
      <c r="RMB309" s="15"/>
      <c r="RMD309" s="13"/>
      <c r="RME309" s="35"/>
      <c r="RMF309" s="35"/>
      <c r="RMG309" s="15"/>
      <c r="RMI309" s="13"/>
      <c r="RMJ309" s="35"/>
      <c r="RMK309" s="35"/>
      <c r="RML309" s="15"/>
      <c r="RMN309" s="13"/>
      <c r="RMO309" s="35"/>
      <c r="RMP309" s="35"/>
      <c r="RMQ309" s="15"/>
      <c r="RMS309" s="13"/>
      <c r="RMT309" s="35"/>
      <c r="RMU309" s="35"/>
      <c r="RMV309" s="15"/>
      <c r="RMX309" s="13"/>
      <c r="RMY309" s="35"/>
      <c r="RMZ309" s="35"/>
      <c r="RNA309" s="15"/>
      <c r="RNC309" s="13"/>
      <c r="RND309" s="35"/>
      <c r="RNE309" s="35"/>
      <c r="RNF309" s="15"/>
      <c r="RNH309" s="13"/>
      <c r="RNI309" s="35"/>
      <c r="RNJ309" s="35"/>
      <c r="RNK309" s="15"/>
      <c r="RNM309" s="13"/>
      <c r="RNN309" s="35"/>
      <c r="RNO309" s="35"/>
      <c r="RNP309" s="15"/>
      <c r="RNR309" s="13"/>
      <c r="RNS309" s="35"/>
      <c r="RNT309" s="35"/>
      <c r="RNU309" s="15"/>
      <c r="RNW309" s="13"/>
      <c r="RNX309" s="35"/>
      <c r="RNY309" s="35"/>
      <c r="RNZ309" s="15"/>
      <c r="ROB309" s="13"/>
      <c r="ROC309" s="35"/>
      <c r="ROD309" s="35"/>
      <c r="ROE309" s="15"/>
      <c r="ROG309" s="13"/>
      <c r="ROH309" s="35"/>
      <c r="ROI309" s="35"/>
      <c r="ROJ309" s="15"/>
      <c r="ROL309" s="13"/>
      <c r="ROM309" s="35"/>
      <c r="RON309" s="35"/>
      <c r="ROO309" s="15"/>
      <c r="ROQ309" s="13"/>
      <c r="ROR309" s="35"/>
      <c r="ROS309" s="35"/>
      <c r="ROT309" s="15"/>
      <c r="ROV309" s="13"/>
      <c r="ROW309" s="35"/>
      <c r="ROX309" s="35"/>
      <c r="ROY309" s="15"/>
      <c r="RPA309" s="13"/>
      <c r="RPB309" s="35"/>
      <c r="RPC309" s="35"/>
      <c r="RPD309" s="15"/>
      <c r="RPF309" s="13"/>
      <c r="RPG309" s="35"/>
      <c r="RPH309" s="35"/>
      <c r="RPI309" s="15"/>
      <c r="RPK309" s="13"/>
      <c r="RPL309" s="35"/>
      <c r="RPM309" s="35"/>
      <c r="RPN309" s="15"/>
      <c r="RPP309" s="13"/>
      <c r="RPQ309" s="35"/>
      <c r="RPR309" s="35"/>
      <c r="RPS309" s="15"/>
      <c r="RPU309" s="13"/>
      <c r="RPV309" s="35"/>
      <c r="RPW309" s="35"/>
      <c r="RPX309" s="15"/>
      <c r="RPZ309" s="13"/>
      <c r="RQA309" s="35"/>
      <c r="RQB309" s="35"/>
      <c r="RQC309" s="15"/>
      <c r="RQE309" s="13"/>
      <c r="RQF309" s="35"/>
      <c r="RQG309" s="35"/>
      <c r="RQH309" s="15"/>
      <c r="RQJ309" s="13"/>
      <c r="RQK309" s="35"/>
      <c r="RQL309" s="35"/>
      <c r="RQM309" s="15"/>
      <c r="RQO309" s="13"/>
      <c r="RQP309" s="35"/>
      <c r="RQQ309" s="35"/>
      <c r="RQR309" s="15"/>
      <c r="RQT309" s="13"/>
      <c r="RQU309" s="35"/>
      <c r="RQV309" s="35"/>
      <c r="RQW309" s="15"/>
      <c r="RQY309" s="13"/>
      <c r="RQZ309" s="35"/>
      <c r="RRA309" s="35"/>
      <c r="RRB309" s="15"/>
      <c r="RRD309" s="13"/>
      <c r="RRE309" s="35"/>
      <c r="RRF309" s="35"/>
      <c r="RRG309" s="15"/>
      <c r="RRI309" s="13"/>
      <c r="RRJ309" s="35"/>
      <c r="RRK309" s="35"/>
      <c r="RRL309" s="15"/>
      <c r="RRN309" s="13"/>
      <c r="RRO309" s="35"/>
      <c r="RRP309" s="35"/>
      <c r="RRQ309" s="15"/>
      <c r="RRS309" s="13"/>
      <c r="RRT309" s="35"/>
      <c r="RRU309" s="35"/>
      <c r="RRV309" s="15"/>
      <c r="RRX309" s="13"/>
      <c r="RRY309" s="35"/>
      <c r="RRZ309" s="35"/>
      <c r="RSA309" s="15"/>
      <c r="RSC309" s="13"/>
      <c r="RSD309" s="35"/>
      <c r="RSE309" s="35"/>
      <c r="RSF309" s="15"/>
      <c r="RSH309" s="13"/>
      <c r="RSI309" s="35"/>
      <c r="RSJ309" s="35"/>
      <c r="RSK309" s="15"/>
      <c r="RSM309" s="13"/>
      <c r="RSN309" s="35"/>
      <c r="RSO309" s="35"/>
      <c r="RSP309" s="15"/>
      <c r="RSR309" s="13"/>
      <c r="RSS309" s="35"/>
      <c r="RST309" s="35"/>
      <c r="RSU309" s="15"/>
      <c r="RSW309" s="13"/>
      <c r="RSX309" s="35"/>
      <c r="RSY309" s="35"/>
      <c r="RSZ309" s="15"/>
      <c r="RTB309" s="13"/>
      <c r="RTC309" s="35"/>
      <c r="RTD309" s="35"/>
      <c r="RTE309" s="15"/>
      <c r="RTG309" s="13"/>
      <c r="RTH309" s="35"/>
      <c r="RTI309" s="35"/>
      <c r="RTJ309" s="15"/>
      <c r="RTL309" s="13"/>
      <c r="RTM309" s="35"/>
      <c r="RTN309" s="35"/>
      <c r="RTO309" s="15"/>
      <c r="RTQ309" s="13"/>
      <c r="RTR309" s="35"/>
      <c r="RTS309" s="35"/>
      <c r="RTT309" s="15"/>
      <c r="RTV309" s="13"/>
      <c r="RTW309" s="35"/>
      <c r="RTX309" s="35"/>
      <c r="RTY309" s="15"/>
      <c r="RUA309" s="13"/>
      <c r="RUB309" s="35"/>
      <c r="RUC309" s="35"/>
      <c r="RUD309" s="15"/>
      <c r="RUF309" s="13"/>
      <c r="RUG309" s="35"/>
      <c r="RUH309" s="35"/>
      <c r="RUI309" s="15"/>
      <c r="RUK309" s="13"/>
      <c r="RUL309" s="35"/>
      <c r="RUM309" s="35"/>
      <c r="RUN309" s="15"/>
      <c r="RUP309" s="13"/>
      <c r="RUQ309" s="35"/>
      <c r="RUR309" s="35"/>
      <c r="RUS309" s="15"/>
      <c r="RUU309" s="13"/>
      <c r="RUV309" s="35"/>
      <c r="RUW309" s="35"/>
      <c r="RUX309" s="15"/>
      <c r="RUZ309" s="13"/>
      <c r="RVA309" s="35"/>
      <c r="RVB309" s="35"/>
      <c r="RVC309" s="15"/>
      <c r="RVE309" s="13"/>
      <c r="RVF309" s="35"/>
      <c r="RVG309" s="35"/>
      <c r="RVH309" s="15"/>
      <c r="RVJ309" s="13"/>
      <c r="RVK309" s="35"/>
      <c r="RVL309" s="35"/>
      <c r="RVM309" s="15"/>
      <c r="RVO309" s="13"/>
      <c r="RVP309" s="35"/>
      <c r="RVQ309" s="35"/>
      <c r="RVR309" s="15"/>
      <c r="RVT309" s="13"/>
      <c r="RVU309" s="35"/>
      <c r="RVV309" s="35"/>
      <c r="RVW309" s="15"/>
      <c r="RVY309" s="13"/>
      <c r="RVZ309" s="35"/>
      <c r="RWA309" s="35"/>
      <c r="RWB309" s="15"/>
      <c r="RWD309" s="13"/>
      <c r="RWE309" s="35"/>
      <c r="RWF309" s="35"/>
      <c r="RWG309" s="15"/>
      <c r="RWI309" s="13"/>
      <c r="RWJ309" s="35"/>
      <c r="RWK309" s="35"/>
      <c r="RWL309" s="15"/>
      <c r="RWN309" s="13"/>
      <c r="RWO309" s="35"/>
      <c r="RWP309" s="35"/>
      <c r="RWQ309" s="15"/>
      <c r="RWS309" s="13"/>
      <c r="RWT309" s="35"/>
      <c r="RWU309" s="35"/>
      <c r="RWV309" s="15"/>
      <c r="RWX309" s="13"/>
      <c r="RWY309" s="35"/>
      <c r="RWZ309" s="35"/>
      <c r="RXA309" s="15"/>
      <c r="RXC309" s="13"/>
      <c r="RXD309" s="35"/>
      <c r="RXE309" s="35"/>
      <c r="RXF309" s="15"/>
      <c r="RXH309" s="13"/>
      <c r="RXI309" s="35"/>
      <c r="RXJ309" s="35"/>
      <c r="RXK309" s="15"/>
      <c r="RXM309" s="13"/>
      <c r="RXN309" s="35"/>
      <c r="RXO309" s="35"/>
      <c r="RXP309" s="15"/>
      <c r="RXR309" s="13"/>
      <c r="RXS309" s="35"/>
      <c r="RXT309" s="35"/>
      <c r="RXU309" s="15"/>
      <c r="RXW309" s="13"/>
      <c r="RXX309" s="35"/>
      <c r="RXY309" s="35"/>
      <c r="RXZ309" s="15"/>
      <c r="RYB309" s="13"/>
      <c r="RYC309" s="35"/>
      <c r="RYD309" s="35"/>
      <c r="RYE309" s="15"/>
      <c r="RYG309" s="13"/>
      <c r="RYH309" s="35"/>
      <c r="RYI309" s="35"/>
      <c r="RYJ309" s="15"/>
      <c r="RYL309" s="13"/>
      <c r="RYM309" s="35"/>
      <c r="RYN309" s="35"/>
      <c r="RYO309" s="15"/>
      <c r="RYQ309" s="13"/>
      <c r="RYR309" s="35"/>
      <c r="RYS309" s="35"/>
      <c r="RYT309" s="15"/>
      <c r="RYV309" s="13"/>
      <c r="RYW309" s="35"/>
      <c r="RYX309" s="35"/>
      <c r="RYY309" s="15"/>
      <c r="RZA309" s="13"/>
      <c r="RZB309" s="35"/>
      <c r="RZC309" s="35"/>
      <c r="RZD309" s="15"/>
      <c r="RZF309" s="13"/>
      <c r="RZG309" s="35"/>
      <c r="RZH309" s="35"/>
      <c r="RZI309" s="15"/>
      <c r="RZK309" s="13"/>
      <c r="RZL309" s="35"/>
      <c r="RZM309" s="35"/>
      <c r="RZN309" s="15"/>
      <c r="RZP309" s="13"/>
      <c r="RZQ309" s="35"/>
      <c r="RZR309" s="35"/>
      <c r="RZS309" s="15"/>
      <c r="RZU309" s="13"/>
      <c r="RZV309" s="35"/>
      <c r="RZW309" s="35"/>
      <c r="RZX309" s="15"/>
      <c r="RZZ309" s="13"/>
      <c r="SAA309" s="35"/>
      <c r="SAB309" s="35"/>
      <c r="SAC309" s="15"/>
      <c r="SAE309" s="13"/>
      <c r="SAF309" s="35"/>
      <c r="SAG309" s="35"/>
      <c r="SAH309" s="15"/>
      <c r="SAJ309" s="13"/>
      <c r="SAK309" s="35"/>
      <c r="SAL309" s="35"/>
      <c r="SAM309" s="15"/>
      <c r="SAO309" s="13"/>
      <c r="SAP309" s="35"/>
      <c r="SAQ309" s="35"/>
      <c r="SAR309" s="15"/>
      <c r="SAT309" s="13"/>
      <c r="SAU309" s="35"/>
      <c r="SAV309" s="35"/>
      <c r="SAW309" s="15"/>
      <c r="SAY309" s="13"/>
      <c r="SAZ309" s="35"/>
      <c r="SBA309" s="35"/>
      <c r="SBB309" s="15"/>
      <c r="SBD309" s="13"/>
      <c r="SBE309" s="35"/>
      <c r="SBF309" s="35"/>
      <c r="SBG309" s="15"/>
      <c r="SBI309" s="13"/>
      <c r="SBJ309" s="35"/>
      <c r="SBK309" s="35"/>
      <c r="SBL309" s="15"/>
      <c r="SBN309" s="13"/>
      <c r="SBO309" s="35"/>
      <c r="SBP309" s="35"/>
      <c r="SBQ309" s="15"/>
      <c r="SBS309" s="13"/>
      <c r="SBT309" s="35"/>
      <c r="SBU309" s="35"/>
      <c r="SBV309" s="15"/>
      <c r="SBX309" s="13"/>
      <c r="SBY309" s="35"/>
      <c r="SBZ309" s="35"/>
      <c r="SCA309" s="15"/>
      <c r="SCC309" s="13"/>
      <c r="SCD309" s="35"/>
      <c r="SCE309" s="35"/>
      <c r="SCF309" s="15"/>
      <c r="SCH309" s="13"/>
      <c r="SCI309" s="35"/>
      <c r="SCJ309" s="35"/>
      <c r="SCK309" s="15"/>
      <c r="SCM309" s="13"/>
      <c r="SCN309" s="35"/>
      <c r="SCO309" s="35"/>
      <c r="SCP309" s="15"/>
      <c r="SCR309" s="13"/>
      <c r="SCS309" s="35"/>
      <c r="SCT309" s="35"/>
      <c r="SCU309" s="15"/>
      <c r="SCW309" s="13"/>
      <c r="SCX309" s="35"/>
      <c r="SCY309" s="35"/>
      <c r="SCZ309" s="15"/>
      <c r="SDB309" s="13"/>
      <c r="SDC309" s="35"/>
      <c r="SDD309" s="35"/>
      <c r="SDE309" s="15"/>
      <c r="SDG309" s="13"/>
      <c r="SDH309" s="35"/>
      <c r="SDI309" s="35"/>
      <c r="SDJ309" s="15"/>
      <c r="SDL309" s="13"/>
      <c r="SDM309" s="35"/>
      <c r="SDN309" s="35"/>
      <c r="SDO309" s="15"/>
      <c r="SDQ309" s="13"/>
      <c r="SDR309" s="35"/>
      <c r="SDS309" s="35"/>
      <c r="SDT309" s="15"/>
      <c r="SDV309" s="13"/>
      <c r="SDW309" s="35"/>
      <c r="SDX309" s="35"/>
      <c r="SDY309" s="15"/>
      <c r="SEA309" s="13"/>
      <c r="SEB309" s="35"/>
      <c r="SEC309" s="35"/>
      <c r="SED309" s="15"/>
      <c r="SEF309" s="13"/>
      <c r="SEG309" s="35"/>
      <c r="SEH309" s="35"/>
      <c r="SEI309" s="15"/>
      <c r="SEK309" s="13"/>
      <c r="SEL309" s="35"/>
      <c r="SEM309" s="35"/>
      <c r="SEN309" s="15"/>
      <c r="SEP309" s="13"/>
      <c r="SEQ309" s="35"/>
      <c r="SER309" s="35"/>
      <c r="SES309" s="15"/>
      <c r="SEU309" s="13"/>
      <c r="SEV309" s="35"/>
      <c r="SEW309" s="35"/>
      <c r="SEX309" s="15"/>
      <c r="SEZ309" s="13"/>
      <c r="SFA309" s="35"/>
      <c r="SFB309" s="35"/>
      <c r="SFC309" s="15"/>
      <c r="SFE309" s="13"/>
      <c r="SFF309" s="35"/>
      <c r="SFG309" s="35"/>
      <c r="SFH309" s="15"/>
      <c r="SFJ309" s="13"/>
      <c r="SFK309" s="35"/>
      <c r="SFL309" s="35"/>
      <c r="SFM309" s="15"/>
      <c r="SFO309" s="13"/>
      <c r="SFP309" s="35"/>
      <c r="SFQ309" s="35"/>
      <c r="SFR309" s="15"/>
      <c r="SFT309" s="13"/>
      <c r="SFU309" s="35"/>
      <c r="SFV309" s="35"/>
      <c r="SFW309" s="15"/>
      <c r="SFY309" s="13"/>
      <c r="SFZ309" s="35"/>
      <c r="SGA309" s="35"/>
      <c r="SGB309" s="15"/>
      <c r="SGD309" s="13"/>
      <c r="SGE309" s="35"/>
      <c r="SGF309" s="35"/>
      <c r="SGG309" s="15"/>
      <c r="SGI309" s="13"/>
      <c r="SGJ309" s="35"/>
      <c r="SGK309" s="35"/>
      <c r="SGL309" s="15"/>
      <c r="SGN309" s="13"/>
      <c r="SGO309" s="35"/>
      <c r="SGP309" s="35"/>
      <c r="SGQ309" s="15"/>
      <c r="SGS309" s="13"/>
      <c r="SGT309" s="35"/>
      <c r="SGU309" s="35"/>
      <c r="SGV309" s="15"/>
      <c r="SGX309" s="13"/>
      <c r="SGY309" s="35"/>
      <c r="SGZ309" s="35"/>
      <c r="SHA309" s="15"/>
      <c r="SHC309" s="13"/>
      <c r="SHD309" s="35"/>
      <c r="SHE309" s="35"/>
      <c r="SHF309" s="15"/>
      <c r="SHH309" s="13"/>
      <c r="SHI309" s="35"/>
      <c r="SHJ309" s="35"/>
      <c r="SHK309" s="15"/>
      <c r="SHM309" s="13"/>
      <c r="SHN309" s="35"/>
      <c r="SHO309" s="35"/>
      <c r="SHP309" s="15"/>
      <c r="SHR309" s="13"/>
      <c r="SHS309" s="35"/>
      <c r="SHT309" s="35"/>
      <c r="SHU309" s="15"/>
      <c r="SHW309" s="13"/>
      <c r="SHX309" s="35"/>
      <c r="SHY309" s="35"/>
      <c r="SHZ309" s="15"/>
      <c r="SIB309" s="13"/>
      <c r="SIC309" s="35"/>
      <c r="SID309" s="35"/>
      <c r="SIE309" s="15"/>
      <c r="SIG309" s="13"/>
      <c r="SIH309" s="35"/>
      <c r="SII309" s="35"/>
      <c r="SIJ309" s="15"/>
      <c r="SIL309" s="13"/>
      <c r="SIM309" s="35"/>
      <c r="SIN309" s="35"/>
      <c r="SIO309" s="15"/>
      <c r="SIQ309" s="13"/>
      <c r="SIR309" s="35"/>
      <c r="SIS309" s="35"/>
      <c r="SIT309" s="15"/>
      <c r="SIV309" s="13"/>
      <c r="SIW309" s="35"/>
      <c r="SIX309" s="35"/>
      <c r="SIY309" s="15"/>
      <c r="SJA309" s="13"/>
      <c r="SJB309" s="35"/>
      <c r="SJC309" s="35"/>
      <c r="SJD309" s="15"/>
      <c r="SJF309" s="13"/>
      <c r="SJG309" s="35"/>
      <c r="SJH309" s="35"/>
      <c r="SJI309" s="15"/>
      <c r="SJK309" s="13"/>
      <c r="SJL309" s="35"/>
      <c r="SJM309" s="35"/>
      <c r="SJN309" s="15"/>
      <c r="SJP309" s="13"/>
      <c r="SJQ309" s="35"/>
      <c r="SJR309" s="35"/>
      <c r="SJS309" s="15"/>
      <c r="SJU309" s="13"/>
      <c r="SJV309" s="35"/>
      <c r="SJW309" s="35"/>
      <c r="SJX309" s="15"/>
      <c r="SJZ309" s="13"/>
      <c r="SKA309" s="35"/>
      <c r="SKB309" s="35"/>
      <c r="SKC309" s="15"/>
      <c r="SKE309" s="13"/>
      <c r="SKF309" s="35"/>
      <c r="SKG309" s="35"/>
      <c r="SKH309" s="15"/>
      <c r="SKJ309" s="13"/>
      <c r="SKK309" s="35"/>
      <c r="SKL309" s="35"/>
      <c r="SKM309" s="15"/>
      <c r="SKO309" s="13"/>
      <c r="SKP309" s="35"/>
      <c r="SKQ309" s="35"/>
      <c r="SKR309" s="15"/>
      <c r="SKT309" s="13"/>
      <c r="SKU309" s="35"/>
      <c r="SKV309" s="35"/>
      <c r="SKW309" s="15"/>
      <c r="SKY309" s="13"/>
      <c r="SKZ309" s="35"/>
      <c r="SLA309" s="35"/>
      <c r="SLB309" s="15"/>
      <c r="SLD309" s="13"/>
      <c r="SLE309" s="35"/>
      <c r="SLF309" s="35"/>
      <c r="SLG309" s="15"/>
      <c r="SLI309" s="13"/>
      <c r="SLJ309" s="35"/>
      <c r="SLK309" s="35"/>
      <c r="SLL309" s="15"/>
      <c r="SLN309" s="13"/>
      <c r="SLO309" s="35"/>
      <c r="SLP309" s="35"/>
      <c r="SLQ309" s="15"/>
      <c r="SLS309" s="13"/>
      <c r="SLT309" s="35"/>
      <c r="SLU309" s="35"/>
      <c r="SLV309" s="15"/>
      <c r="SLX309" s="13"/>
      <c r="SLY309" s="35"/>
      <c r="SLZ309" s="35"/>
      <c r="SMA309" s="15"/>
      <c r="SMC309" s="13"/>
      <c r="SMD309" s="35"/>
      <c r="SME309" s="35"/>
      <c r="SMF309" s="15"/>
      <c r="SMH309" s="13"/>
      <c r="SMI309" s="35"/>
      <c r="SMJ309" s="35"/>
      <c r="SMK309" s="15"/>
      <c r="SMM309" s="13"/>
      <c r="SMN309" s="35"/>
      <c r="SMO309" s="35"/>
      <c r="SMP309" s="15"/>
      <c r="SMR309" s="13"/>
      <c r="SMS309" s="35"/>
      <c r="SMT309" s="35"/>
      <c r="SMU309" s="15"/>
      <c r="SMW309" s="13"/>
      <c r="SMX309" s="35"/>
      <c r="SMY309" s="35"/>
      <c r="SMZ309" s="15"/>
      <c r="SNB309" s="13"/>
      <c r="SNC309" s="35"/>
      <c r="SND309" s="35"/>
      <c r="SNE309" s="15"/>
      <c r="SNG309" s="13"/>
      <c r="SNH309" s="35"/>
      <c r="SNI309" s="35"/>
      <c r="SNJ309" s="15"/>
      <c r="SNL309" s="13"/>
      <c r="SNM309" s="35"/>
      <c r="SNN309" s="35"/>
      <c r="SNO309" s="15"/>
      <c r="SNQ309" s="13"/>
      <c r="SNR309" s="35"/>
      <c r="SNS309" s="35"/>
      <c r="SNT309" s="15"/>
      <c r="SNV309" s="13"/>
      <c r="SNW309" s="35"/>
      <c r="SNX309" s="35"/>
      <c r="SNY309" s="15"/>
      <c r="SOA309" s="13"/>
      <c r="SOB309" s="35"/>
      <c r="SOC309" s="35"/>
      <c r="SOD309" s="15"/>
      <c r="SOF309" s="13"/>
      <c r="SOG309" s="35"/>
      <c r="SOH309" s="35"/>
      <c r="SOI309" s="15"/>
      <c r="SOK309" s="13"/>
      <c r="SOL309" s="35"/>
      <c r="SOM309" s="35"/>
      <c r="SON309" s="15"/>
      <c r="SOP309" s="13"/>
      <c r="SOQ309" s="35"/>
      <c r="SOR309" s="35"/>
      <c r="SOS309" s="15"/>
      <c r="SOU309" s="13"/>
      <c r="SOV309" s="35"/>
      <c r="SOW309" s="35"/>
      <c r="SOX309" s="15"/>
      <c r="SOZ309" s="13"/>
      <c r="SPA309" s="35"/>
      <c r="SPB309" s="35"/>
      <c r="SPC309" s="15"/>
      <c r="SPE309" s="13"/>
      <c r="SPF309" s="35"/>
      <c r="SPG309" s="35"/>
      <c r="SPH309" s="15"/>
      <c r="SPJ309" s="13"/>
      <c r="SPK309" s="35"/>
      <c r="SPL309" s="35"/>
      <c r="SPM309" s="15"/>
      <c r="SPO309" s="13"/>
      <c r="SPP309" s="35"/>
      <c r="SPQ309" s="35"/>
      <c r="SPR309" s="15"/>
      <c r="SPT309" s="13"/>
      <c r="SPU309" s="35"/>
      <c r="SPV309" s="35"/>
      <c r="SPW309" s="15"/>
      <c r="SPY309" s="13"/>
      <c r="SPZ309" s="35"/>
      <c r="SQA309" s="35"/>
      <c r="SQB309" s="15"/>
      <c r="SQD309" s="13"/>
      <c r="SQE309" s="35"/>
      <c r="SQF309" s="35"/>
      <c r="SQG309" s="15"/>
      <c r="SQI309" s="13"/>
      <c r="SQJ309" s="35"/>
      <c r="SQK309" s="35"/>
      <c r="SQL309" s="15"/>
      <c r="SQN309" s="13"/>
      <c r="SQO309" s="35"/>
      <c r="SQP309" s="35"/>
      <c r="SQQ309" s="15"/>
      <c r="SQS309" s="13"/>
      <c r="SQT309" s="35"/>
      <c r="SQU309" s="35"/>
      <c r="SQV309" s="15"/>
      <c r="SQX309" s="13"/>
      <c r="SQY309" s="35"/>
      <c r="SQZ309" s="35"/>
      <c r="SRA309" s="15"/>
      <c r="SRC309" s="13"/>
      <c r="SRD309" s="35"/>
      <c r="SRE309" s="35"/>
      <c r="SRF309" s="15"/>
      <c r="SRH309" s="13"/>
      <c r="SRI309" s="35"/>
      <c r="SRJ309" s="35"/>
      <c r="SRK309" s="15"/>
      <c r="SRM309" s="13"/>
      <c r="SRN309" s="35"/>
      <c r="SRO309" s="35"/>
      <c r="SRP309" s="15"/>
      <c r="SRR309" s="13"/>
      <c r="SRS309" s="35"/>
      <c r="SRT309" s="35"/>
      <c r="SRU309" s="15"/>
      <c r="SRW309" s="13"/>
      <c r="SRX309" s="35"/>
      <c r="SRY309" s="35"/>
      <c r="SRZ309" s="15"/>
      <c r="SSB309" s="13"/>
      <c r="SSC309" s="35"/>
      <c r="SSD309" s="35"/>
      <c r="SSE309" s="15"/>
      <c r="SSG309" s="13"/>
      <c r="SSH309" s="35"/>
      <c r="SSI309" s="35"/>
      <c r="SSJ309" s="15"/>
      <c r="SSL309" s="13"/>
      <c r="SSM309" s="35"/>
      <c r="SSN309" s="35"/>
      <c r="SSO309" s="15"/>
      <c r="SSQ309" s="13"/>
      <c r="SSR309" s="35"/>
      <c r="SSS309" s="35"/>
      <c r="SST309" s="15"/>
      <c r="SSV309" s="13"/>
      <c r="SSW309" s="35"/>
      <c r="SSX309" s="35"/>
      <c r="SSY309" s="15"/>
      <c r="STA309" s="13"/>
      <c r="STB309" s="35"/>
      <c r="STC309" s="35"/>
      <c r="STD309" s="15"/>
      <c r="STF309" s="13"/>
      <c r="STG309" s="35"/>
      <c r="STH309" s="35"/>
      <c r="STI309" s="15"/>
      <c r="STK309" s="13"/>
      <c r="STL309" s="35"/>
      <c r="STM309" s="35"/>
      <c r="STN309" s="15"/>
      <c r="STP309" s="13"/>
      <c r="STQ309" s="35"/>
      <c r="STR309" s="35"/>
      <c r="STS309" s="15"/>
      <c r="STU309" s="13"/>
      <c r="STV309" s="35"/>
      <c r="STW309" s="35"/>
      <c r="STX309" s="15"/>
      <c r="STZ309" s="13"/>
      <c r="SUA309" s="35"/>
      <c r="SUB309" s="35"/>
      <c r="SUC309" s="15"/>
      <c r="SUE309" s="13"/>
      <c r="SUF309" s="35"/>
      <c r="SUG309" s="35"/>
      <c r="SUH309" s="15"/>
      <c r="SUJ309" s="13"/>
      <c r="SUK309" s="35"/>
      <c r="SUL309" s="35"/>
      <c r="SUM309" s="15"/>
      <c r="SUO309" s="13"/>
      <c r="SUP309" s="35"/>
      <c r="SUQ309" s="35"/>
      <c r="SUR309" s="15"/>
      <c r="SUT309" s="13"/>
      <c r="SUU309" s="35"/>
      <c r="SUV309" s="35"/>
      <c r="SUW309" s="15"/>
      <c r="SUY309" s="13"/>
      <c r="SUZ309" s="35"/>
      <c r="SVA309" s="35"/>
      <c r="SVB309" s="15"/>
      <c r="SVD309" s="13"/>
      <c r="SVE309" s="35"/>
      <c r="SVF309" s="35"/>
      <c r="SVG309" s="15"/>
      <c r="SVI309" s="13"/>
      <c r="SVJ309" s="35"/>
      <c r="SVK309" s="35"/>
      <c r="SVL309" s="15"/>
      <c r="SVN309" s="13"/>
      <c r="SVO309" s="35"/>
      <c r="SVP309" s="35"/>
      <c r="SVQ309" s="15"/>
      <c r="SVS309" s="13"/>
      <c r="SVT309" s="35"/>
      <c r="SVU309" s="35"/>
      <c r="SVV309" s="15"/>
      <c r="SVX309" s="13"/>
      <c r="SVY309" s="35"/>
      <c r="SVZ309" s="35"/>
      <c r="SWA309" s="15"/>
      <c r="SWC309" s="13"/>
      <c r="SWD309" s="35"/>
      <c r="SWE309" s="35"/>
      <c r="SWF309" s="15"/>
      <c r="SWH309" s="13"/>
      <c r="SWI309" s="35"/>
      <c r="SWJ309" s="35"/>
      <c r="SWK309" s="15"/>
      <c r="SWM309" s="13"/>
      <c r="SWN309" s="35"/>
      <c r="SWO309" s="35"/>
      <c r="SWP309" s="15"/>
      <c r="SWR309" s="13"/>
      <c r="SWS309" s="35"/>
      <c r="SWT309" s="35"/>
      <c r="SWU309" s="15"/>
      <c r="SWW309" s="13"/>
      <c r="SWX309" s="35"/>
      <c r="SWY309" s="35"/>
      <c r="SWZ309" s="15"/>
      <c r="SXB309" s="13"/>
      <c r="SXC309" s="35"/>
      <c r="SXD309" s="35"/>
      <c r="SXE309" s="15"/>
      <c r="SXG309" s="13"/>
      <c r="SXH309" s="35"/>
      <c r="SXI309" s="35"/>
      <c r="SXJ309" s="15"/>
      <c r="SXL309" s="13"/>
      <c r="SXM309" s="35"/>
      <c r="SXN309" s="35"/>
      <c r="SXO309" s="15"/>
      <c r="SXQ309" s="13"/>
      <c r="SXR309" s="35"/>
      <c r="SXS309" s="35"/>
      <c r="SXT309" s="15"/>
      <c r="SXV309" s="13"/>
      <c r="SXW309" s="35"/>
      <c r="SXX309" s="35"/>
      <c r="SXY309" s="15"/>
      <c r="SYA309" s="13"/>
      <c r="SYB309" s="35"/>
      <c r="SYC309" s="35"/>
      <c r="SYD309" s="15"/>
      <c r="SYF309" s="13"/>
      <c r="SYG309" s="35"/>
      <c r="SYH309" s="35"/>
      <c r="SYI309" s="15"/>
      <c r="SYK309" s="13"/>
      <c r="SYL309" s="35"/>
      <c r="SYM309" s="35"/>
      <c r="SYN309" s="15"/>
      <c r="SYP309" s="13"/>
      <c r="SYQ309" s="35"/>
      <c r="SYR309" s="35"/>
      <c r="SYS309" s="15"/>
      <c r="SYU309" s="13"/>
      <c r="SYV309" s="35"/>
      <c r="SYW309" s="35"/>
      <c r="SYX309" s="15"/>
      <c r="SYZ309" s="13"/>
      <c r="SZA309" s="35"/>
      <c r="SZB309" s="35"/>
      <c r="SZC309" s="15"/>
      <c r="SZE309" s="13"/>
      <c r="SZF309" s="35"/>
      <c r="SZG309" s="35"/>
      <c r="SZH309" s="15"/>
      <c r="SZJ309" s="13"/>
      <c r="SZK309" s="35"/>
      <c r="SZL309" s="35"/>
      <c r="SZM309" s="15"/>
      <c r="SZO309" s="13"/>
      <c r="SZP309" s="35"/>
      <c r="SZQ309" s="35"/>
      <c r="SZR309" s="15"/>
      <c r="SZT309" s="13"/>
      <c r="SZU309" s="35"/>
      <c r="SZV309" s="35"/>
      <c r="SZW309" s="15"/>
      <c r="SZY309" s="13"/>
      <c r="SZZ309" s="35"/>
      <c r="TAA309" s="35"/>
      <c r="TAB309" s="15"/>
      <c r="TAD309" s="13"/>
      <c r="TAE309" s="35"/>
      <c r="TAF309" s="35"/>
      <c r="TAG309" s="15"/>
      <c r="TAI309" s="13"/>
      <c r="TAJ309" s="35"/>
      <c r="TAK309" s="35"/>
      <c r="TAL309" s="15"/>
      <c r="TAN309" s="13"/>
      <c r="TAO309" s="35"/>
      <c r="TAP309" s="35"/>
      <c r="TAQ309" s="15"/>
      <c r="TAS309" s="13"/>
      <c r="TAT309" s="35"/>
      <c r="TAU309" s="35"/>
      <c r="TAV309" s="15"/>
      <c r="TAX309" s="13"/>
      <c r="TAY309" s="35"/>
      <c r="TAZ309" s="35"/>
      <c r="TBA309" s="15"/>
      <c r="TBC309" s="13"/>
      <c r="TBD309" s="35"/>
      <c r="TBE309" s="35"/>
      <c r="TBF309" s="15"/>
      <c r="TBH309" s="13"/>
      <c r="TBI309" s="35"/>
      <c r="TBJ309" s="35"/>
      <c r="TBK309" s="15"/>
      <c r="TBM309" s="13"/>
      <c r="TBN309" s="35"/>
      <c r="TBO309" s="35"/>
      <c r="TBP309" s="15"/>
      <c r="TBR309" s="13"/>
      <c r="TBS309" s="35"/>
      <c r="TBT309" s="35"/>
      <c r="TBU309" s="15"/>
      <c r="TBW309" s="13"/>
      <c r="TBX309" s="35"/>
      <c r="TBY309" s="35"/>
      <c r="TBZ309" s="15"/>
      <c r="TCB309" s="13"/>
      <c r="TCC309" s="35"/>
      <c r="TCD309" s="35"/>
      <c r="TCE309" s="15"/>
      <c r="TCG309" s="13"/>
      <c r="TCH309" s="35"/>
      <c r="TCI309" s="35"/>
      <c r="TCJ309" s="15"/>
      <c r="TCL309" s="13"/>
      <c r="TCM309" s="35"/>
      <c r="TCN309" s="35"/>
      <c r="TCO309" s="15"/>
      <c r="TCQ309" s="13"/>
      <c r="TCR309" s="35"/>
      <c r="TCS309" s="35"/>
      <c r="TCT309" s="15"/>
      <c r="TCV309" s="13"/>
      <c r="TCW309" s="35"/>
      <c r="TCX309" s="35"/>
      <c r="TCY309" s="15"/>
      <c r="TDA309" s="13"/>
      <c r="TDB309" s="35"/>
      <c r="TDC309" s="35"/>
      <c r="TDD309" s="15"/>
      <c r="TDF309" s="13"/>
      <c r="TDG309" s="35"/>
      <c r="TDH309" s="35"/>
      <c r="TDI309" s="15"/>
      <c r="TDK309" s="13"/>
      <c r="TDL309" s="35"/>
      <c r="TDM309" s="35"/>
      <c r="TDN309" s="15"/>
      <c r="TDP309" s="13"/>
      <c r="TDQ309" s="35"/>
      <c r="TDR309" s="35"/>
      <c r="TDS309" s="15"/>
      <c r="TDU309" s="13"/>
      <c r="TDV309" s="35"/>
      <c r="TDW309" s="35"/>
      <c r="TDX309" s="15"/>
      <c r="TDZ309" s="13"/>
      <c r="TEA309" s="35"/>
      <c r="TEB309" s="35"/>
      <c r="TEC309" s="15"/>
      <c r="TEE309" s="13"/>
      <c r="TEF309" s="35"/>
      <c r="TEG309" s="35"/>
      <c r="TEH309" s="15"/>
      <c r="TEJ309" s="13"/>
      <c r="TEK309" s="35"/>
      <c r="TEL309" s="35"/>
      <c r="TEM309" s="15"/>
      <c r="TEO309" s="13"/>
      <c r="TEP309" s="35"/>
      <c r="TEQ309" s="35"/>
      <c r="TER309" s="15"/>
      <c r="TET309" s="13"/>
      <c r="TEU309" s="35"/>
      <c r="TEV309" s="35"/>
      <c r="TEW309" s="15"/>
      <c r="TEY309" s="13"/>
      <c r="TEZ309" s="35"/>
      <c r="TFA309" s="35"/>
      <c r="TFB309" s="15"/>
      <c r="TFD309" s="13"/>
      <c r="TFE309" s="35"/>
      <c r="TFF309" s="35"/>
      <c r="TFG309" s="15"/>
      <c r="TFI309" s="13"/>
      <c r="TFJ309" s="35"/>
      <c r="TFK309" s="35"/>
      <c r="TFL309" s="15"/>
      <c r="TFN309" s="13"/>
      <c r="TFO309" s="35"/>
      <c r="TFP309" s="35"/>
      <c r="TFQ309" s="15"/>
      <c r="TFS309" s="13"/>
      <c r="TFT309" s="35"/>
      <c r="TFU309" s="35"/>
      <c r="TFV309" s="15"/>
      <c r="TFX309" s="13"/>
      <c r="TFY309" s="35"/>
      <c r="TFZ309" s="35"/>
      <c r="TGA309" s="15"/>
      <c r="TGC309" s="13"/>
      <c r="TGD309" s="35"/>
      <c r="TGE309" s="35"/>
      <c r="TGF309" s="15"/>
      <c r="TGH309" s="13"/>
      <c r="TGI309" s="35"/>
      <c r="TGJ309" s="35"/>
      <c r="TGK309" s="15"/>
      <c r="TGM309" s="13"/>
      <c r="TGN309" s="35"/>
      <c r="TGO309" s="35"/>
      <c r="TGP309" s="15"/>
      <c r="TGR309" s="13"/>
      <c r="TGS309" s="35"/>
      <c r="TGT309" s="35"/>
      <c r="TGU309" s="15"/>
      <c r="TGW309" s="13"/>
      <c r="TGX309" s="35"/>
      <c r="TGY309" s="35"/>
      <c r="TGZ309" s="15"/>
      <c r="THB309" s="13"/>
      <c r="THC309" s="35"/>
      <c r="THD309" s="35"/>
      <c r="THE309" s="15"/>
      <c r="THG309" s="13"/>
      <c r="THH309" s="35"/>
      <c r="THI309" s="35"/>
      <c r="THJ309" s="15"/>
      <c r="THL309" s="13"/>
      <c r="THM309" s="35"/>
      <c r="THN309" s="35"/>
      <c r="THO309" s="15"/>
      <c r="THQ309" s="13"/>
      <c r="THR309" s="35"/>
      <c r="THS309" s="35"/>
      <c r="THT309" s="15"/>
      <c r="THV309" s="13"/>
      <c r="THW309" s="35"/>
      <c r="THX309" s="35"/>
      <c r="THY309" s="15"/>
      <c r="TIA309" s="13"/>
      <c r="TIB309" s="35"/>
      <c r="TIC309" s="35"/>
      <c r="TID309" s="15"/>
      <c r="TIF309" s="13"/>
      <c r="TIG309" s="35"/>
      <c r="TIH309" s="35"/>
      <c r="TII309" s="15"/>
      <c r="TIK309" s="13"/>
      <c r="TIL309" s="35"/>
      <c r="TIM309" s="35"/>
      <c r="TIN309" s="15"/>
      <c r="TIP309" s="13"/>
      <c r="TIQ309" s="35"/>
      <c r="TIR309" s="35"/>
      <c r="TIS309" s="15"/>
      <c r="TIU309" s="13"/>
      <c r="TIV309" s="35"/>
      <c r="TIW309" s="35"/>
      <c r="TIX309" s="15"/>
      <c r="TIZ309" s="13"/>
      <c r="TJA309" s="35"/>
      <c r="TJB309" s="35"/>
      <c r="TJC309" s="15"/>
      <c r="TJE309" s="13"/>
      <c r="TJF309" s="35"/>
      <c r="TJG309" s="35"/>
      <c r="TJH309" s="15"/>
      <c r="TJJ309" s="13"/>
      <c r="TJK309" s="35"/>
      <c r="TJL309" s="35"/>
      <c r="TJM309" s="15"/>
      <c r="TJO309" s="13"/>
      <c r="TJP309" s="35"/>
      <c r="TJQ309" s="35"/>
      <c r="TJR309" s="15"/>
      <c r="TJT309" s="13"/>
      <c r="TJU309" s="35"/>
      <c r="TJV309" s="35"/>
      <c r="TJW309" s="15"/>
      <c r="TJY309" s="13"/>
      <c r="TJZ309" s="35"/>
      <c r="TKA309" s="35"/>
      <c r="TKB309" s="15"/>
      <c r="TKD309" s="13"/>
      <c r="TKE309" s="35"/>
      <c r="TKF309" s="35"/>
      <c r="TKG309" s="15"/>
      <c r="TKI309" s="13"/>
      <c r="TKJ309" s="35"/>
      <c r="TKK309" s="35"/>
      <c r="TKL309" s="15"/>
      <c r="TKN309" s="13"/>
      <c r="TKO309" s="35"/>
      <c r="TKP309" s="35"/>
      <c r="TKQ309" s="15"/>
      <c r="TKS309" s="13"/>
      <c r="TKT309" s="35"/>
      <c r="TKU309" s="35"/>
      <c r="TKV309" s="15"/>
      <c r="TKX309" s="13"/>
      <c r="TKY309" s="35"/>
      <c r="TKZ309" s="35"/>
      <c r="TLA309" s="15"/>
      <c r="TLC309" s="13"/>
      <c r="TLD309" s="35"/>
      <c r="TLE309" s="35"/>
      <c r="TLF309" s="15"/>
      <c r="TLH309" s="13"/>
      <c r="TLI309" s="35"/>
      <c r="TLJ309" s="35"/>
      <c r="TLK309" s="15"/>
      <c r="TLM309" s="13"/>
      <c r="TLN309" s="35"/>
      <c r="TLO309" s="35"/>
      <c r="TLP309" s="15"/>
      <c r="TLR309" s="13"/>
      <c r="TLS309" s="35"/>
      <c r="TLT309" s="35"/>
      <c r="TLU309" s="15"/>
      <c r="TLW309" s="13"/>
      <c r="TLX309" s="35"/>
      <c r="TLY309" s="35"/>
      <c r="TLZ309" s="15"/>
      <c r="TMB309" s="13"/>
      <c r="TMC309" s="35"/>
      <c r="TMD309" s="35"/>
      <c r="TME309" s="15"/>
      <c r="TMG309" s="13"/>
      <c r="TMH309" s="35"/>
      <c r="TMI309" s="35"/>
      <c r="TMJ309" s="15"/>
      <c r="TML309" s="13"/>
      <c r="TMM309" s="35"/>
      <c r="TMN309" s="35"/>
      <c r="TMO309" s="15"/>
      <c r="TMQ309" s="13"/>
      <c r="TMR309" s="35"/>
      <c r="TMS309" s="35"/>
      <c r="TMT309" s="15"/>
      <c r="TMV309" s="13"/>
      <c r="TMW309" s="35"/>
      <c r="TMX309" s="35"/>
      <c r="TMY309" s="15"/>
      <c r="TNA309" s="13"/>
      <c r="TNB309" s="35"/>
      <c r="TNC309" s="35"/>
      <c r="TND309" s="15"/>
      <c r="TNF309" s="13"/>
      <c r="TNG309" s="35"/>
      <c r="TNH309" s="35"/>
      <c r="TNI309" s="15"/>
      <c r="TNK309" s="13"/>
      <c r="TNL309" s="35"/>
      <c r="TNM309" s="35"/>
      <c r="TNN309" s="15"/>
      <c r="TNP309" s="13"/>
      <c r="TNQ309" s="35"/>
      <c r="TNR309" s="35"/>
      <c r="TNS309" s="15"/>
      <c r="TNU309" s="13"/>
      <c r="TNV309" s="35"/>
      <c r="TNW309" s="35"/>
      <c r="TNX309" s="15"/>
      <c r="TNZ309" s="13"/>
      <c r="TOA309" s="35"/>
      <c r="TOB309" s="35"/>
      <c r="TOC309" s="15"/>
      <c r="TOE309" s="13"/>
      <c r="TOF309" s="35"/>
      <c r="TOG309" s="35"/>
      <c r="TOH309" s="15"/>
      <c r="TOJ309" s="13"/>
      <c r="TOK309" s="35"/>
      <c r="TOL309" s="35"/>
      <c r="TOM309" s="15"/>
      <c r="TOO309" s="13"/>
      <c r="TOP309" s="35"/>
      <c r="TOQ309" s="35"/>
      <c r="TOR309" s="15"/>
      <c r="TOT309" s="13"/>
      <c r="TOU309" s="35"/>
      <c r="TOV309" s="35"/>
      <c r="TOW309" s="15"/>
      <c r="TOY309" s="13"/>
      <c r="TOZ309" s="35"/>
      <c r="TPA309" s="35"/>
      <c r="TPB309" s="15"/>
      <c r="TPD309" s="13"/>
      <c r="TPE309" s="35"/>
      <c r="TPF309" s="35"/>
      <c r="TPG309" s="15"/>
      <c r="TPI309" s="13"/>
      <c r="TPJ309" s="35"/>
      <c r="TPK309" s="35"/>
      <c r="TPL309" s="15"/>
      <c r="TPN309" s="13"/>
      <c r="TPO309" s="35"/>
      <c r="TPP309" s="35"/>
      <c r="TPQ309" s="15"/>
      <c r="TPS309" s="13"/>
      <c r="TPT309" s="35"/>
      <c r="TPU309" s="35"/>
      <c r="TPV309" s="15"/>
      <c r="TPX309" s="13"/>
      <c r="TPY309" s="35"/>
      <c r="TPZ309" s="35"/>
      <c r="TQA309" s="15"/>
      <c r="TQC309" s="13"/>
      <c r="TQD309" s="35"/>
      <c r="TQE309" s="35"/>
      <c r="TQF309" s="15"/>
      <c r="TQH309" s="13"/>
      <c r="TQI309" s="35"/>
      <c r="TQJ309" s="35"/>
      <c r="TQK309" s="15"/>
      <c r="TQM309" s="13"/>
      <c r="TQN309" s="35"/>
      <c r="TQO309" s="35"/>
      <c r="TQP309" s="15"/>
      <c r="TQR309" s="13"/>
      <c r="TQS309" s="35"/>
      <c r="TQT309" s="35"/>
      <c r="TQU309" s="15"/>
      <c r="TQW309" s="13"/>
      <c r="TQX309" s="35"/>
      <c r="TQY309" s="35"/>
      <c r="TQZ309" s="15"/>
      <c r="TRB309" s="13"/>
      <c r="TRC309" s="35"/>
      <c r="TRD309" s="35"/>
      <c r="TRE309" s="15"/>
      <c r="TRG309" s="13"/>
      <c r="TRH309" s="35"/>
      <c r="TRI309" s="35"/>
      <c r="TRJ309" s="15"/>
      <c r="TRL309" s="13"/>
      <c r="TRM309" s="35"/>
      <c r="TRN309" s="35"/>
      <c r="TRO309" s="15"/>
      <c r="TRQ309" s="13"/>
      <c r="TRR309" s="35"/>
      <c r="TRS309" s="35"/>
      <c r="TRT309" s="15"/>
      <c r="TRV309" s="13"/>
      <c r="TRW309" s="35"/>
      <c r="TRX309" s="35"/>
      <c r="TRY309" s="15"/>
      <c r="TSA309" s="13"/>
      <c r="TSB309" s="35"/>
      <c r="TSC309" s="35"/>
      <c r="TSD309" s="15"/>
      <c r="TSF309" s="13"/>
      <c r="TSG309" s="35"/>
      <c r="TSH309" s="35"/>
      <c r="TSI309" s="15"/>
      <c r="TSK309" s="13"/>
      <c r="TSL309" s="35"/>
      <c r="TSM309" s="35"/>
      <c r="TSN309" s="15"/>
      <c r="TSP309" s="13"/>
      <c r="TSQ309" s="35"/>
      <c r="TSR309" s="35"/>
      <c r="TSS309" s="15"/>
      <c r="TSU309" s="13"/>
      <c r="TSV309" s="35"/>
      <c r="TSW309" s="35"/>
      <c r="TSX309" s="15"/>
      <c r="TSZ309" s="13"/>
      <c r="TTA309" s="35"/>
      <c r="TTB309" s="35"/>
      <c r="TTC309" s="15"/>
      <c r="TTE309" s="13"/>
      <c r="TTF309" s="35"/>
      <c r="TTG309" s="35"/>
      <c r="TTH309" s="15"/>
      <c r="TTJ309" s="13"/>
      <c r="TTK309" s="35"/>
      <c r="TTL309" s="35"/>
      <c r="TTM309" s="15"/>
      <c r="TTO309" s="13"/>
      <c r="TTP309" s="35"/>
      <c r="TTQ309" s="35"/>
      <c r="TTR309" s="15"/>
      <c r="TTT309" s="13"/>
      <c r="TTU309" s="35"/>
      <c r="TTV309" s="35"/>
      <c r="TTW309" s="15"/>
      <c r="TTY309" s="13"/>
      <c r="TTZ309" s="35"/>
      <c r="TUA309" s="35"/>
      <c r="TUB309" s="15"/>
      <c r="TUD309" s="13"/>
      <c r="TUE309" s="35"/>
      <c r="TUF309" s="35"/>
      <c r="TUG309" s="15"/>
      <c r="TUI309" s="13"/>
      <c r="TUJ309" s="35"/>
      <c r="TUK309" s="35"/>
      <c r="TUL309" s="15"/>
      <c r="TUN309" s="13"/>
      <c r="TUO309" s="35"/>
      <c r="TUP309" s="35"/>
      <c r="TUQ309" s="15"/>
      <c r="TUS309" s="13"/>
      <c r="TUT309" s="35"/>
      <c r="TUU309" s="35"/>
      <c r="TUV309" s="15"/>
      <c r="TUX309" s="13"/>
      <c r="TUY309" s="35"/>
      <c r="TUZ309" s="35"/>
      <c r="TVA309" s="15"/>
      <c r="TVC309" s="13"/>
      <c r="TVD309" s="35"/>
      <c r="TVE309" s="35"/>
      <c r="TVF309" s="15"/>
      <c r="TVH309" s="13"/>
      <c r="TVI309" s="35"/>
      <c r="TVJ309" s="35"/>
      <c r="TVK309" s="15"/>
      <c r="TVM309" s="13"/>
      <c r="TVN309" s="35"/>
      <c r="TVO309" s="35"/>
      <c r="TVP309" s="15"/>
      <c r="TVR309" s="13"/>
      <c r="TVS309" s="35"/>
      <c r="TVT309" s="35"/>
      <c r="TVU309" s="15"/>
      <c r="TVW309" s="13"/>
      <c r="TVX309" s="35"/>
      <c r="TVY309" s="35"/>
      <c r="TVZ309" s="15"/>
      <c r="TWB309" s="13"/>
      <c r="TWC309" s="35"/>
      <c r="TWD309" s="35"/>
      <c r="TWE309" s="15"/>
      <c r="TWG309" s="13"/>
      <c r="TWH309" s="35"/>
      <c r="TWI309" s="35"/>
      <c r="TWJ309" s="15"/>
      <c r="TWL309" s="13"/>
      <c r="TWM309" s="35"/>
      <c r="TWN309" s="35"/>
      <c r="TWO309" s="15"/>
      <c r="TWQ309" s="13"/>
      <c r="TWR309" s="35"/>
      <c r="TWS309" s="35"/>
      <c r="TWT309" s="15"/>
      <c r="TWV309" s="13"/>
      <c r="TWW309" s="35"/>
      <c r="TWX309" s="35"/>
      <c r="TWY309" s="15"/>
      <c r="TXA309" s="13"/>
      <c r="TXB309" s="35"/>
      <c r="TXC309" s="35"/>
      <c r="TXD309" s="15"/>
      <c r="TXF309" s="13"/>
      <c r="TXG309" s="35"/>
      <c r="TXH309" s="35"/>
      <c r="TXI309" s="15"/>
      <c r="TXK309" s="13"/>
      <c r="TXL309" s="35"/>
      <c r="TXM309" s="35"/>
      <c r="TXN309" s="15"/>
      <c r="TXP309" s="13"/>
      <c r="TXQ309" s="35"/>
      <c r="TXR309" s="35"/>
      <c r="TXS309" s="15"/>
      <c r="TXU309" s="13"/>
      <c r="TXV309" s="35"/>
      <c r="TXW309" s="35"/>
      <c r="TXX309" s="15"/>
      <c r="TXZ309" s="13"/>
      <c r="TYA309" s="35"/>
      <c r="TYB309" s="35"/>
      <c r="TYC309" s="15"/>
      <c r="TYE309" s="13"/>
      <c r="TYF309" s="35"/>
      <c r="TYG309" s="35"/>
      <c r="TYH309" s="15"/>
      <c r="TYJ309" s="13"/>
      <c r="TYK309" s="35"/>
      <c r="TYL309" s="35"/>
      <c r="TYM309" s="15"/>
      <c r="TYO309" s="13"/>
      <c r="TYP309" s="35"/>
      <c r="TYQ309" s="35"/>
      <c r="TYR309" s="15"/>
      <c r="TYT309" s="13"/>
      <c r="TYU309" s="35"/>
      <c r="TYV309" s="35"/>
      <c r="TYW309" s="15"/>
      <c r="TYY309" s="13"/>
      <c r="TYZ309" s="35"/>
      <c r="TZA309" s="35"/>
      <c r="TZB309" s="15"/>
      <c r="TZD309" s="13"/>
      <c r="TZE309" s="35"/>
      <c r="TZF309" s="35"/>
      <c r="TZG309" s="15"/>
      <c r="TZI309" s="13"/>
      <c r="TZJ309" s="35"/>
      <c r="TZK309" s="35"/>
      <c r="TZL309" s="15"/>
      <c r="TZN309" s="13"/>
      <c r="TZO309" s="35"/>
      <c r="TZP309" s="35"/>
      <c r="TZQ309" s="15"/>
      <c r="TZS309" s="13"/>
      <c r="TZT309" s="35"/>
      <c r="TZU309" s="35"/>
      <c r="TZV309" s="15"/>
      <c r="TZX309" s="13"/>
      <c r="TZY309" s="35"/>
      <c r="TZZ309" s="35"/>
      <c r="UAA309" s="15"/>
      <c r="UAC309" s="13"/>
      <c r="UAD309" s="35"/>
      <c r="UAE309" s="35"/>
      <c r="UAF309" s="15"/>
      <c r="UAH309" s="13"/>
      <c r="UAI309" s="35"/>
      <c r="UAJ309" s="35"/>
      <c r="UAK309" s="15"/>
      <c r="UAM309" s="13"/>
      <c r="UAN309" s="35"/>
      <c r="UAO309" s="35"/>
      <c r="UAP309" s="15"/>
      <c r="UAR309" s="13"/>
      <c r="UAS309" s="35"/>
      <c r="UAT309" s="35"/>
      <c r="UAU309" s="15"/>
      <c r="UAW309" s="13"/>
      <c r="UAX309" s="35"/>
      <c r="UAY309" s="35"/>
      <c r="UAZ309" s="15"/>
      <c r="UBB309" s="13"/>
      <c r="UBC309" s="35"/>
      <c r="UBD309" s="35"/>
      <c r="UBE309" s="15"/>
      <c r="UBG309" s="13"/>
      <c r="UBH309" s="35"/>
      <c r="UBI309" s="35"/>
      <c r="UBJ309" s="15"/>
      <c r="UBL309" s="13"/>
      <c r="UBM309" s="35"/>
      <c r="UBN309" s="35"/>
      <c r="UBO309" s="15"/>
      <c r="UBQ309" s="13"/>
      <c r="UBR309" s="35"/>
      <c r="UBS309" s="35"/>
      <c r="UBT309" s="15"/>
      <c r="UBV309" s="13"/>
      <c r="UBW309" s="35"/>
      <c r="UBX309" s="35"/>
      <c r="UBY309" s="15"/>
      <c r="UCA309" s="13"/>
      <c r="UCB309" s="35"/>
      <c r="UCC309" s="35"/>
      <c r="UCD309" s="15"/>
      <c r="UCF309" s="13"/>
      <c r="UCG309" s="35"/>
      <c r="UCH309" s="35"/>
      <c r="UCI309" s="15"/>
      <c r="UCK309" s="13"/>
      <c r="UCL309" s="35"/>
      <c r="UCM309" s="35"/>
      <c r="UCN309" s="15"/>
      <c r="UCP309" s="13"/>
      <c r="UCQ309" s="35"/>
      <c r="UCR309" s="35"/>
      <c r="UCS309" s="15"/>
      <c r="UCU309" s="13"/>
      <c r="UCV309" s="35"/>
      <c r="UCW309" s="35"/>
      <c r="UCX309" s="15"/>
      <c r="UCZ309" s="13"/>
      <c r="UDA309" s="35"/>
      <c r="UDB309" s="35"/>
      <c r="UDC309" s="15"/>
      <c r="UDE309" s="13"/>
      <c r="UDF309" s="35"/>
      <c r="UDG309" s="35"/>
      <c r="UDH309" s="15"/>
      <c r="UDJ309" s="13"/>
      <c r="UDK309" s="35"/>
      <c r="UDL309" s="35"/>
      <c r="UDM309" s="15"/>
      <c r="UDO309" s="13"/>
      <c r="UDP309" s="35"/>
      <c r="UDQ309" s="35"/>
      <c r="UDR309" s="15"/>
      <c r="UDT309" s="13"/>
      <c r="UDU309" s="35"/>
      <c r="UDV309" s="35"/>
      <c r="UDW309" s="15"/>
      <c r="UDY309" s="13"/>
      <c r="UDZ309" s="35"/>
      <c r="UEA309" s="35"/>
      <c r="UEB309" s="15"/>
      <c r="UED309" s="13"/>
      <c r="UEE309" s="35"/>
      <c r="UEF309" s="35"/>
      <c r="UEG309" s="15"/>
      <c r="UEI309" s="13"/>
      <c r="UEJ309" s="35"/>
      <c r="UEK309" s="35"/>
      <c r="UEL309" s="15"/>
      <c r="UEN309" s="13"/>
      <c r="UEO309" s="35"/>
      <c r="UEP309" s="35"/>
      <c r="UEQ309" s="15"/>
      <c r="UES309" s="13"/>
      <c r="UET309" s="35"/>
      <c r="UEU309" s="35"/>
      <c r="UEV309" s="15"/>
      <c r="UEX309" s="13"/>
      <c r="UEY309" s="35"/>
      <c r="UEZ309" s="35"/>
      <c r="UFA309" s="15"/>
      <c r="UFC309" s="13"/>
      <c r="UFD309" s="35"/>
      <c r="UFE309" s="35"/>
      <c r="UFF309" s="15"/>
      <c r="UFH309" s="13"/>
      <c r="UFI309" s="35"/>
      <c r="UFJ309" s="35"/>
      <c r="UFK309" s="15"/>
      <c r="UFM309" s="13"/>
      <c r="UFN309" s="35"/>
      <c r="UFO309" s="35"/>
      <c r="UFP309" s="15"/>
      <c r="UFR309" s="13"/>
      <c r="UFS309" s="35"/>
      <c r="UFT309" s="35"/>
      <c r="UFU309" s="15"/>
      <c r="UFW309" s="13"/>
      <c r="UFX309" s="35"/>
      <c r="UFY309" s="35"/>
      <c r="UFZ309" s="15"/>
      <c r="UGB309" s="13"/>
      <c r="UGC309" s="35"/>
      <c r="UGD309" s="35"/>
      <c r="UGE309" s="15"/>
      <c r="UGG309" s="13"/>
      <c r="UGH309" s="35"/>
      <c r="UGI309" s="35"/>
      <c r="UGJ309" s="15"/>
      <c r="UGL309" s="13"/>
      <c r="UGM309" s="35"/>
      <c r="UGN309" s="35"/>
      <c r="UGO309" s="15"/>
      <c r="UGQ309" s="13"/>
      <c r="UGR309" s="35"/>
      <c r="UGS309" s="35"/>
      <c r="UGT309" s="15"/>
      <c r="UGV309" s="13"/>
      <c r="UGW309" s="35"/>
      <c r="UGX309" s="35"/>
      <c r="UGY309" s="15"/>
      <c r="UHA309" s="13"/>
      <c r="UHB309" s="35"/>
      <c r="UHC309" s="35"/>
      <c r="UHD309" s="15"/>
      <c r="UHF309" s="13"/>
      <c r="UHG309" s="35"/>
      <c r="UHH309" s="35"/>
      <c r="UHI309" s="15"/>
      <c r="UHK309" s="13"/>
      <c r="UHL309" s="35"/>
      <c r="UHM309" s="35"/>
      <c r="UHN309" s="15"/>
      <c r="UHP309" s="13"/>
      <c r="UHQ309" s="35"/>
      <c r="UHR309" s="35"/>
      <c r="UHS309" s="15"/>
      <c r="UHU309" s="13"/>
      <c r="UHV309" s="35"/>
      <c r="UHW309" s="35"/>
      <c r="UHX309" s="15"/>
      <c r="UHZ309" s="13"/>
      <c r="UIA309" s="35"/>
      <c r="UIB309" s="35"/>
      <c r="UIC309" s="15"/>
      <c r="UIE309" s="13"/>
      <c r="UIF309" s="35"/>
      <c r="UIG309" s="35"/>
      <c r="UIH309" s="15"/>
      <c r="UIJ309" s="13"/>
      <c r="UIK309" s="35"/>
      <c r="UIL309" s="35"/>
      <c r="UIM309" s="15"/>
      <c r="UIO309" s="13"/>
      <c r="UIP309" s="35"/>
      <c r="UIQ309" s="35"/>
      <c r="UIR309" s="15"/>
      <c r="UIT309" s="13"/>
      <c r="UIU309" s="35"/>
      <c r="UIV309" s="35"/>
      <c r="UIW309" s="15"/>
      <c r="UIY309" s="13"/>
      <c r="UIZ309" s="35"/>
      <c r="UJA309" s="35"/>
      <c r="UJB309" s="15"/>
      <c r="UJD309" s="13"/>
      <c r="UJE309" s="35"/>
      <c r="UJF309" s="35"/>
      <c r="UJG309" s="15"/>
      <c r="UJI309" s="13"/>
      <c r="UJJ309" s="35"/>
      <c r="UJK309" s="35"/>
      <c r="UJL309" s="15"/>
      <c r="UJN309" s="13"/>
      <c r="UJO309" s="35"/>
      <c r="UJP309" s="35"/>
      <c r="UJQ309" s="15"/>
      <c r="UJS309" s="13"/>
      <c r="UJT309" s="35"/>
      <c r="UJU309" s="35"/>
      <c r="UJV309" s="15"/>
      <c r="UJX309" s="13"/>
      <c r="UJY309" s="35"/>
      <c r="UJZ309" s="35"/>
      <c r="UKA309" s="15"/>
      <c r="UKC309" s="13"/>
      <c r="UKD309" s="35"/>
      <c r="UKE309" s="35"/>
      <c r="UKF309" s="15"/>
      <c r="UKH309" s="13"/>
      <c r="UKI309" s="35"/>
      <c r="UKJ309" s="35"/>
      <c r="UKK309" s="15"/>
      <c r="UKM309" s="13"/>
      <c r="UKN309" s="35"/>
      <c r="UKO309" s="35"/>
      <c r="UKP309" s="15"/>
      <c r="UKR309" s="13"/>
      <c r="UKS309" s="35"/>
      <c r="UKT309" s="35"/>
      <c r="UKU309" s="15"/>
      <c r="UKW309" s="13"/>
      <c r="UKX309" s="35"/>
      <c r="UKY309" s="35"/>
      <c r="UKZ309" s="15"/>
      <c r="ULB309" s="13"/>
      <c r="ULC309" s="35"/>
      <c r="ULD309" s="35"/>
      <c r="ULE309" s="15"/>
      <c r="ULG309" s="13"/>
      <c r="ULH309" s="35"/>
      <c r="ULI309" s="35"/>
      <c r="ULJ309" s="15"/>
      <c r="ULL309" s="13"/>
      <c r="ULM309" s="35"/>
      <c r="ULN309" s="35"/>
      <c r="ULO309" s="15"/>
      <c r="ULQ309" s="13"/>
      <c r="ULR309" s="35"/>
      <c r="ULS309" s="35"/>
      <c r="ULT309" s="15"/>
      <c r="ULV309" s="13"/>
      <c r="ULW309" s="35"/>
      <c r="ULX309" s="35"/>
      <c r="ULY309" s="15"/>
      <c r="UMA309" s="13"/>
      <c r="UMB309" s="35"/>
      <c r="UMC309" s="35"/>
      <c r="UMD309" s="15"/>
      <c r="UMF309" s="13"/>
      <c r="UMG309" s="35"/>
      <c r="UMH309" s="35"/>
      <c r="UMI309" s="15"/>
      <c r="UMK309" s="13"/>
      <c r="UML309" s="35"/>
      <c r="UMM309" s="35"/>
      <c r="UMN309" s="15"/>
      <c r="UMP309" s="13"/>
      <c r="UMQ309" s="35"/>
      <c r="UMR309" s="35"/>
      <c r="UMS309" s="15"/>
      <c r="UMU309" s="13"/>
      <c r="UMV309" s="35"/>
      <c r="UMW309" s="35"/>
      <c r="UMX309" s="15"/>
      <c r="UMZ309" s="13"/>
      <c r="UNA309" s="35"/>
      <c r="UNB309" s="35"/>
      <c r="UNC309" s="15"/>
      <c r="UNE309" s="13"/>
      <c r="UNF309" s="35"/>
      <c r="UNG309" s="35"/>
      <c r="UNH309" s="15"/>
      <c r="UNJ309" s="13"/>
      <c r="UNK309" s="35"/>
      <c r="UNL309" s="35"/>
      <c r="UNM309" s="15"/>
      <c r="UNO309" s="13"/>
      <c r="UNP309" s="35"/>
      <c r="UNQ309" s="35"/>
      <c r="UNR309" s="15"/>
      <c r="UNT309" s="13"/>
      <c r="UNU309" s="35"/>
      <c r="UNV309" s="35"/>
      <c r="UNW309" s="15"/>
      <c r="UNY309" s="13"/>
      <c r="UNZ309" s="35"/>
      <c r="UOA309" s="35"/>
      <c r="UOB309" s="15"/>
      <c r="UOD309" s="13"/>
      <c r="UOE309" s="35"/>
      <c r="UOF309" s="35"/>
      <c r="UOG309" s="15"/>
      <c r="UOI309" s="13"/>
      <c r="UOJ309" s="35"/>
      <c r="UOK309" s="35"/>
      <c r="UOL309" s="15"/>
      <c r="UON309" s="13"/>
      <c r="UOO309" s="35"/>
      <c r="UOP309" s="35"/>
      <c r="UOQ309" s="15"/>
      <c r="UOS309" s="13"/>
      <c r="UOT309" s="35"/>
      <c r="UOU309" s="35"/>
      <c r="UOV309" s="15"/>
      <c r="UOX309" s="13"/>
      <c r="UOY309" s="35"/>
      <c r="UOZ309" s="35"/>
      <c r="UPA309" s="15"/>
      <c r="UPC309" s="13"/>
      <c r="UPD309" s="35"/>
      <c r="UPE309" s="35"/>
      <c r="UPF309" s="15"/>
      <c r="UPH309" s="13"/>
      <c r="UPI309" s="35"/>
      <c r="UPJ309" s="35"/>
      <c r="UPK309" s="15"/>
      <c r="UPM309" s="13"/>
      <c r="UPN309" s="35"/>
      <c r="UPO309" s="35"/>
      <c r="UPP309" s="15"/>
      <c r="UPR309" s="13"/>
      <c r="UPS309" s="35"/>
      <c r="UPT309" s="35"/>
      <c r="UPU309" s="15"/>
      <c r="UPW309" s="13"/>
      <c r="UPX309" s="35"/>
      <c r="UPY309" s="35"/>
      <c r="UPZ309" s="15"/>
      <c r="UQB309" s="13"/>
      <c r="UQC309" s="35"/>
      <c r="UQD309" s="35"/>
      <c r="UQE309" s="15"/>
      <c r="UQG309" s="13"/>
      <c r="UQH309" s="35"/>
      <c r="UQI309" s="35"/>
      <c r="UQJ309" s="15"/>
      <c r="UQL309" s="13"/>
      <c r="UQM309" s="35"/>
      <c r="UQN309" s="35"/>
      <c r="UQO309" s="15"/>
      <c r="UQQ309" s="13"/>
      <c r="UQR309" s="35"/>
      <c r="UQS309" s="35"/>
      <c r="UQT309" s="15"/>
      <c r="UQV309" s="13"/>
      <c r="UQW309" s="35"/>
      <c r="UQX309" s="35"/>
      <c r="UQY309" s="15"/>
      <c r="URA309" s="13"/>
      <c r="URB309" s="35"/>
      <c r="URC309" s="35"/>
      <c r="URD309" s="15"/>
      <c r="URF309" s="13"/>
      <c r="URG309" s="35"/>
      <c r="URH309" s="35"/>
      <c r="URI309" s="15"/>
      <c r="URK309" s="13"/>
      <c r="URL309" s="35"/>
      <c r="URM309" s="35"/>
      <c r="URN309" s="15"/>
      <c r="URP309" s="13"/>
      <c r="URQ309" s="35"/>
      <c r="URR309" s="35"/>
      <c r="URS309" s="15"/>
      <c r="URU309" s="13"/>
      <c r="URV309" s="35"/>
      <c r="URW309" s="35"/>
      <c r="URX309" s="15"/>
      <c r="URZ309" s="13"/>
      <c r="USA309" s="35"/>
      <c r="USB309" s="35"/>
      <c r="USC309" s="15"/>
      <c r="USE309" s="13"/>
      <c r="USF309" s="35"/>
      <c r="USG309" s="35"/>
      <c r="USH309" s="15"/>
      <c r="USJ309" s="13"/>
      <c r="USK309" s="35"/>
      <c r="USL309" s="35"/>
      <c r="USM309" s="15"/>
      <c r="USO309" s="13"/>
      <c r="USP309" s="35"/>
      <c r="USQ309" s="35"/>
      <c r="USR309" s="15"/>
      <c r="UST309" s="13"/>
      <c r="USU309" s="35"/>
      <c r="USV309" s="35"/>
      <c r="USW309" s="15"/>
      <c r="USY309" s="13"/>
      <c r="USZ309" s="35"/>
      <c r="UTA309" s="35"/>
      <c r="UTB309" s="15"/>
      <c r="UTD309" s="13"/>
      <c r="UTE309" s="35"/>
      <c r="UTF309" s="35"/>
      <c r="UTG309" s="15"/>
      <c r="UTI309" s="13"/>
      <c r="UTJ309" s="35"/>
      <c r="UTK309" s="35"/>
      <c r="UTL309" s="15"/>
      <c r="UTN309" s="13"/>
      <c r="UTO309" s="35"/>
      <c r="UTP309" s="35"/>
      <c r="UTQ309" s="15"/>
      <c r="UTS309" s="13"/>
      <c r="UTT309" s="35"/>
      <c r="UTU309" s="35"/>
      <c r="UTV309" s="15"/>
      <c r="UTX309" s="13"/>
      <c r="UTY309" s="35"/>
      <c r="UTZ309" s="35"/>
      <c r="UUA309" s="15"/>
      <c r="UUC309" s="13"/>
      <c r="UUD309" s="35"/>
      <c r="UUE309" s="35"/>
      <c r="UUF309" s="15"/>
      <c r="UUH309" s="13"/>
      <c r="UUI309" s="35"/>
      <c r="UUJ309" s="35"/>
      <c r="UUK309" s="15"/>
      <c r="UUM309" s="13"/>
      <c r="UUN309" s="35"/>
      <c r="UUO309" s="35"/>
      <c r="UUP309" s="15"/>
      <c r="UUR309" s="13"/>
      <c r="UUS309" s="35"/>
      <c r="UUT309" s="35"/>
      <c r="UUU309" s="15"/>
      <c r="UUW309" s="13"/>
      <c r="UUX309" s="35"/>
      <c r="UUY309" s="35"/>
      <c r="UUZ309" s="15"/>
      <c r="UVB309" s="13"/>
      <c r="UVC309" s="35"/>
      <c r="UVD309" s="35"/>
      <c r="UVE309" s="15"/>
      <c r="UVG309" s="13"/>
      <c r="UVH309" s="35"/>
      <c r="UVI309" s="35"/>
      <c r="UVJ309" s="15"/>
      <c r="UVL309" s="13"/>
      <c r="UVM309" s="35"/>
      <c r="UVN309" s="35"/>
      <c r="UVO309" s="15"/>
      <c r="UVQ309" s="13"/>
      <c r="UVR309" s="35"/>
      <c r="UVS309" s="35"/>
      <c r="UVT309" s="15"/>
      <c r="UVV309" s="13"/>
      <c r="UVW309" s="35"/>
      <c r="UVX309" s="35"/>
      <c r="UVY309" s="15"/>
      <c r="UWA309" s="13"/>
      <c r="UWB309" s="35"/>
      <c r="UWC309" s="35"/>
      <c r="UWD309" s="15"/>
      <c r="UWF309" s="13"/>
      <c r="UWG309" s="35"/>
      <c r="UWH309" s="35"/>
      <c r="UWI309" s="15"/>
      <c r="UWK309" s="13"/>
      <c r="UWL309" s="35"/>
      <c r="UWM309" s="35"/>
      <c r="UWN309" s="15"/>
      <c r="UWP309" s="13"/>
      <c r="UWQ309" s="35"/>
      <c r="UWR309" s="35"/>
      <c r="UWS309" s="15"/>
      <c r="UWU309" s="13"/>
      <c r="UWV309" s="35"/>
      <c r="UWW309" s="35"/>
      <c r="UWX309" s="15"/>
      <c r="UWZ309" s="13"/>
      <c r="UXA309" s="35"/>
      <c r="UXB309" s="35"/>
      <c r="UXC309" s="15"/>
      <c r="UXE309" s="13"/>
      <c r="UXF309" s="35"/>
      <c r="UXG309" s="35"/>
      <c r="UXH309" s="15"/>
      <c r="UXJ309" s="13"/>
      <c r="UXK309" s="35"/>
      <c r="UXL309" s="35"/>
      <c r="UXM309" s="15"/>
      <c r="UXO309" s="13"/>
      <c r="UXP309" s="35"/>
      <c r="UXQ309" s="35"/>
      <c r="UXR309" s="15"/>
      <c r="UXT309" s="13"/>
      <c r="UXU309" s="35"/>
      <c r="UXV309" s="35"/>
      <c r="UXW309" s="15"/>
      <c r="UXY309" s="13"/>
      <c r="UXZ309" s="35"/>
      <c r="UYA309" s="35"/>
      <c r="UYB309" s="15"/>
      <c r="UYD309" s="13"/>
      <c r="UYE309" s="35"/>
      <c r="UYF309" s="35"/>
      <c r="UYG309" s="15"/>
      <c r="UYI309" s="13"/>
      <c r="UYJ309" s="35"/>
      <c r="UYK309" s="35"/>
      <c r="UYL309" s="15"/>
      <c r="UYN309" s="13"/>
      <c r="UYO309" s="35"/>
      <c r="UYP309" s="35"/>
      <c r="UYQ309" s="15"/>
      <c r="UYS309" s="13"/>
      <c r="UYT309" s="35"/>
      <c r="UYU309" s="35"/>
      <c r="UYV309" s="15"/>
      <c r="UYX309" s="13"/>
      <c r="UYY309" s="35"/>
      <c r="UYZ309" s="35"/>
      <c r="UZA309" s="15"/>
      <c r="UZC309" s="13"/>
      <c r="UZD309" s="35"/>
      <c r="UZE309" s="35"/>
      <c r="UZF309" s="15"/>
      <c r="UZH309" s="13"/>
      <c r="UZI309" s="35"/>
      <c r="UZJ309" s="35"/>
      <c r="UZK309" s="15"/>
      <c r="UZM309" s="13"/>
      <c r="UZN309" s="35"/>
      <c r="UZO309" s="35"/>
      <c r="UZP309" s="15"/>
      <c r="UZR309" s="13"/>
      <c r="UZS309" s="35"/>
      <c r="UZT309" s="35"/>
      <c r="UZU309" s="15"/>
      <c r="UZW309" s="13"/>
      <c r="UZX309" s="35"/>
      <c r="UZY309" s="35"/>
      <c r="UZZ309" s="15"/>
      <c r="VAB309" s="13"/>
      <c r="VAC309" s="35"/>
      <c r="VAD309" s="35"/>
      <c r="VAE309" s="15"/>
      <c r="VAG309" s="13"/>
      <c r="VAH309" s="35"/>
      <c r="VAI309" s="35"/>
      <c r="VAJ309" s="15"/>
      <c r="VAL309" s="13"/>
      <c r="VAM309" s="35"/>
      <c r="VAN309" s="35"/>
      <c r="VAO309" s="15"/>
      <c r="VAQ309" s="13"/>
      <c r="VAR309" s="35"/>
      <c r="VAS309" s="35"/>
      <c r="VAT309" s="15"/>
      <c r="VAV309" s="13"/>
      <c r="VAW309" s="35"/>
      <c r="VAX309" s="35"/>
      <c r="VAY309" s="15"/>
      <c r="VBA309" s="13"/>
      <c r="VBB309" s="35"/>
      <c r="VBC309" s="35"/>
      <c r="VBD309" s="15"/>
      <c r="VBF309" s="13"/>
      <c r="VBG309" s="35"/>
      <c r="VBH309" s="35"/>
      <c r="VBI309" s="15"/>
      <c r="VBK309" s="13"/>
      <c r="VBL309" s="35"/>
      <c r="VBM309" s="35"/>
      <c r="VBN309" s="15"/>
      <c r="VBP309" s="13"/>
      <c r="VBQ309" s="35"/>
      <c r="VBR309" s="35"/>
      <c r="VBS309" s="15"/>
      <c r="VBU309" s="13"/>
      <c r="VBV309" s="35"/>
      <c r="VBW309" s="35"/>
      <c r="VBX309" s="15"/>
      <c r="VBZ309" s="13"/>
      <c r="VCA309" s="35"/>
      <c r="VCB309" s="35"/>
      <c r="VCC309" s="15"/>
      <c r="VCE309" s="13"/>
      <c r="VCF309" s="35"/>
      <c r="VCG309" s="35"/>
      <c r="VCH309" s="15"/>
      <c r="VCJ309" s="13"/>
      <c r="VCK309" s="35"/>
      <c r="VCL309" s="35"/>
      <c r="VCM309" s="15"/>
      <c r="VCO309" s="13"/>
      <c r="VCP309" s="35"/>
      <c r="VCQ309" s="35"/>
      <c r="VCR309" s="15"/>
      <c r="VCT309" s="13"/>
      <c r="VCU309" s="35"/>
      <c r="VCV309" s="35"/>
      <c r="VCW309" s="15"/>
      <c r="VCY309" s="13"/>
      <c r="VCZ309" s="35"/>
      <c r="VDA309" s="35"/>
      <c r="VDB309" s="15"/>
      <c r="VDD309" s="13"/>
      <c r="VDE309" s="35"/>
      <c r="VDF309" s="35"/>
      <c r="VDG309" s="15"/>
      <c r="VDI309" s="13"/>
      <c r="VDJ309" s="35"/>
      <c r="VDK309" s="35"/>
      <c r="VDL309" s="15"/>
      <c r="VDN309" s="13"/>
      <c r="VDO309" s="35"/>
      <c r="VDP309" s="35"/>
      <c r="VDQ309" s="15"/>
      <c r="VDS309" s="13"/>
      <c r="VDT309" s="35"/>
      <c r="VDU309" s="35"/>
      <c r="VDV309" s="15"/>
      <c r="VDX309" s="13"/>
      <c r="VDY309" s="35"/>
      <c r="VDZ309" s="35"/>
      <c r="VEA309" s="15"/>
      <c r="VEC309" s="13"/>
      <c r="VED309" s="35"/>
      <c r="VEE309" s="35"/>
      <c r="VEF309" s="15"/>
      <c r="VEH309" s="13"/>
      <c r="VEI309" s="35"/>
      <c r="VEJ309" s="35"/>
      <c r="VEK309" s="15"/>
      <c r="VEM309" s="13"/>
      <c r="VEN309" s="35"/>
      <c r="VEO309" s="35"/>
      <c r="VEP309" s="15"/>
      <c r="VER309" s="13"/>
      <c r="VES309" s="35"/>
      <c r="VET309" s="35"/>
      <c r="VEU309" s="15"/>
      <c r="VEW309" s="13"/>
      <c r="VEX309" s="35"/>
      <c r="VEY309" s="35"/>
      <c r="VEZ309" s="15"/>
      <c r="VFB309" s="13"/>
      <c r="VFC309" s="35"/>
      <c r="VFD309" s="35"/>
      <c r="VFE309" s="15"/>
      <c r="VFG309" s="13"/>
      <c r="VFH309" s="35"/>
      <c r="VFI309" s="35"/>
      <c r="VFJ309" s="15"/>
      <c r="VFL309" s="13"/>
      <c r="VFM309" s="35"/>
      <c r="VFN309" s="35"/>
      <c r="VFO309" s="15"/>
      <c r="VFQ309" s="13"/>
      <c r="VFR309" s="35"/>
      <c r="VFS309" s="35"/>
      <c r="VFT309" s="15"/>
      <c r="VFV309" s="13"/>
      <c r="VFW309" s="35"/>
      <c r="VFX309" s="35"/>
      <c r="VFY309" s="15"/>
      <c r="VGA309" s="13"/>
      <c r="VGB309" s="35"/>
      <c r="VGC309" s="35"/>
      <c r="VGD309" s="15"/>
      <c r="VGF309" s="13"/>
      <c r="VGG309" s="35"/>
      <c r="VGH309" s="35"/>
      <c r="VGI309" s="15"/>
      <c r="VGK309" s="13"/>
      <c r="VGL309" s="35"/>
      <c r="VGM309" s="35"/>
      <c r="VGN309" s="15"/>
      <c r="VGP309" s="13"/>
      <c r="VGQ309" s="35"/>
      <c r="VGR309" s="35"/>
      <c r="VGS309" s="15"/>
      <c r="VGU309" s="13"/>
      <c r="VGV309" s="35"/>
      <c r="VGW309" s="35"/>
      <c r="VGX309" s="15"/>
      <c r="VGZ309" s="13"/>
      <c r="VHA309" s="35"/>
      <c r="VHB309" s="35"/>
      <c r="VHC309" s="15"/>
      <c r="VHE309" s="13"/>
      <c r="VHF309" s="35"/>
      <c r="VHG309" s="35"/>
      <c r="VHH309" s="15"/>
      <c r="VHJ309" s="13"/>
      <c r="VHK309" s="35"/>
      <c r="VHL309" s="35"/>
      <c r="VHM309" s="15"/>
      <c r="VHO309" s="13"/>
      <c r="VHP309" s="35"/>
      <c r="VHQ309" s="35"/>
      <c r="VHR309" s="15"/>
      <c r="VHT309" s="13"/>
      <c r="VHU309" s="35"/>
      <c r="VHV309" s="35"/>
      <c r="VHW309" s="15"/>
      <c r="VHY309" s="13"/>
      <c r="VHZ309" s="35"/>
      <c r="VIA309" s="35"/>
      <c r="VIB309" s="15"/>
      <c r="VID309" s="13"/>
      <c r="VIE309" s="35"/>
      <c r="VIF309" s="35"/>
      <c r="VIG309" s="15"/>
      <c r="VII309" s="13"/>
      <c r="VIJ309" s="35"/>
      <c r="VIK309" s="35"/>
      <c r="VIL309" s="15"/>
      <c r="VIN309" s="13"/>
      <c r="VIO309" s="35"/>
      <c r="VIP309" s="35"/>
      <c r="VIQ309" s="15"/>
      <c r="VIS309" s="13"/>
      <c r="VIT309" s="35"/>
      <c r="VIU309" s="35"/>
      <c r="VIV309" s="15"/>
      <c r="VIX309" s="13"/>
      <c r="VIY309" s="35"/>
      <c r="VIZ309" s="35"/>
      <c r="VJA309" s="15"/>
      <c r="VJC309" s="13"/>
      <c r="VJD309" s="35"/>
      <c r="VJE309" s="35"/>
      <c r="VJF309" s="15"/>
      <c r="VJH309" s="13"/>
      <c r="VJI309" s="35"/>
      <c r="VJJ309" s="35"/>
      <c r="VJK309" s="15"/>
      <c r="VJM309" s="13"/>
      <c r="VJN309" s="35"/>
      <c r="VJO309" s="35"/>
      <c r="VJP309" s="15"/>
      <c r="VJR309" s="13"/>
      <c r="VJS309" s="35"/>
      <c r="VJT309" s="35"/>
      <c r="VJU309" s="15"/>
      <c r="VJW309" s="13"/>
      <c r="VJX309" s="35"/>
      <c r="VJY309" s="35"/>
      <c r="VJZ309" s="15"/>
      <c r="VKB309" s="13"/>
      <c r="VKC309" s="35"/>
      <c r="VKD309" s="35"/>
      <c r="VKE309" s="15"/>
      <c r="VKG309" s="13"/>
      <c r="VKH309" s="35"/>
      <c r="VKI309" s="35"/>
      <c r="VKJ309" s="15"/>
      <c r="VKL309" s="13"/>
      <c r="VKM309" s="35"/>
      <c r="VKN309" s="35"/>
      <c r="VKO309" s="15"/>
      <c r="VKQ309" s="13"/>
      <c r="VKR309" s="35"/>
      <c r="VKS309" s="35"/>
      <c r="VKT309" s="15"/>
      <c r="VKV309" s="13"/>
      <c r="VKW309" s="35"/>
      <c r="VKX309" s="35"/>
      <c r="VKY309" s="15"/>
      <c r="VLA309" s="13"/>
      <c r="VLB309" s="35"/>
      <c r="VLC309" s="35"/>
      <c r="VLD309" s="15"/>
      <c r="VLF309" s="13"/>
      <c r="VLG309" s="35"/>
      <c r="VLH309" s="35"/>
      <c r="VLI309" s="15"/>
      <c r="VLK309" s="13"/>
      <c r="VLL309" s="35"/>
      <c r="VLM309" s="35"/>
      <c r="VLN309" s="15"/>
      <c r="VLP309" s="13"/>
      <c r="VLQ309" s="35"/>
      <c r="VLR309" s="35"/>
      <c r="VLS309" s="15"/>
      <c r="VLU309" s="13"/>
      <c r="VLV309" s="35"/>
      <c r="VLW309" s="35"/>
      <c r="VLX309" s="15"/>
      <c r="VLZ309" s="13"/>
      <c r="VMA309" s="35"/>
      <c r="VMB309" s="35"/>
      <c r="VMC309" s="15"/>
      <c r="VME309" s="13"/>
      <c r="VMF309" s="35"/>
      <c r="VMG309" s="35"/>
      <c r="VMH309" s="15"/>
      <c r="VMJ309" s="13"/>
      <c r="VMK309" s="35"/>
      <c r="VML309" s="35"/>
      <c r="VMM309" s="15"/>
      <c r="VMO309" s="13"/>
      <c r="VMP309" s="35"/>
      <c r="VMQ309" s="35"/>
      <c r="VMR309" s="15"/>
      <c r="VMT309" s="13"/>
      <c r="VMU309" s="35"/>
      <c r="VMV309" s="35"/>
      <c r="VMW309" s="15"/>
      <c r="VMY309" s="13"/>
      <c r="VMZ309" s="35"/>
      <c r="VNA309" s="35"/>
      <c r="VNB309" s="15"/>
      <c r="VND309" s="13"/>
      <c r="VNE309" s="35"/>
      <c r="VNF309" s="35"/>
      <c r="VNG309" s="15"/>
      <c r="VNI309" s="13"/>
      <c r="VNJ309" s="35"/>
      <c r="VNK309" s="35"/>
      <c r="VNL309" s="15"/>
      <c r="VNN309" s="13"/>
      <c r="VNO309" s="35"/>
      <c r="VNP309" s="35"/>
      <c r="VNQ309" s="15"/>
      <c r="VNS309" s="13"/>
      <c r="VNT309" s="35"/>
      <c r="VNU309" s="35"/>
      <c r="VNV309" s="15"/>
      <c r="VNX309" s="13"/>
      <c r="VNY309" s="35"/>
      <c r="VNZ309" s="35"/>
      <c r="VOA309" s="15"/>
      <c r="VOC309" s="13"/>
      <c r="VOD309" s="35"/>
      <c r="VOE309" s="35"/>
      <c r="VOF309" s="15"/>
      <c r="VOH309" s="13"/>
      <c r="VOI309" s="35"/>
      <c r="VOJ309" s="35"/>
      <c r="VOK309" s="15"/>
      <c r="VOM309" s="13"/>
      <c r="VON309" s="35"/>
      <c r="VOO309" s="35"/>
      <c r="VOP309" s="15"/>
      <c r="VOR309" s="13"/>
      <c r="VOS309" s="35"/>
      <c r="VOT309" s="35"/>
      <c r="VOU309" s="15"/>
      <c r="VOW309" s="13"/>
      <c r="VOX309" s="35"/>
      <c r="VOY309" s="35"/>
      <c r="VOZ309" s="15"/>
      <c r="VPB309" s="13"/>
      <c r="VPC309" s="35"/>
      <c r="VPD309" s="35"/>
      <c r="VPE309" s="15"/>
      <c r="VPG309" s="13"/>
      <c r="VPH309" s="35"/>
      <c r="VPI309" s="35"/>
      <c r="VPJ309" s="15"/>
      <c r="VPL309" s="13"/>
      <c r="VPM309" s="35"/>
      <c r="VPN309" s="35"/>
      <c r="VPO309" s="15"/>
      <c r="VPQ309" s="13"/>
      <c r="VPR309" s="35"/>
      <c r="VPS309" s="35"/>
      <c r="VPT309" s="15"/>
      <c r="VPV309" s="13"/>
      <c r="VPW309" s="35"/>
      <c r="VPX309" s="35"/>
      <c r="VPY309" s="15"/>
      <c r="VQA309" s="13"/>
      <c r="VQB309" s="35"/>
      <c r="VQC309" s="35"/>
      <c r="VQD309" s="15"/>
      <c r="VQF309" s="13"/>
      <c r="VQG309" s="35"/>
      <c r="VQH309" s="35"/>
      <c r="VQI309" s="15"/>
      <c r="VQK309" s="13"/>
      <c r="VQL309" s="35"/>
      <c r="VQM309" s="35"/>
      <c r="VQN309" s="15"/>
      <c r="VQP309" s="13"/>
      <c r="VQQ309" s="35"/>
      <c r="VQR309" s="35"/>
      <c r="VQS309" s="15"/>
      <c r="VQU309" s="13"/>
      <c r="VQV309" s="35"/>
      <c r="VQW309" s="35"/>
      <c r="VQX309" s="15"/>
      <c r="VQZ309" s="13"/>
      <c r="VRA309" s="35"/>
      <c r="VRB309" s="35"/>
      <c r="VRC309" s="15"/>
      <c r="VRE309" s="13"/>
      <c r="VRF309" s="35"/>
      <c r="VRG309" s="35"/>
      <c r="VRH309" s="15"/>
      <c r="VRJ309" s="13"/>
      <c r="VRK309" s="35"/>
      <c r="VRL309" s="35"/>
      <c r="VRM309" s="15"/>
      <c r="VRO309" s="13"/>
      <c r="VRP309" s="35"/>
      <c r="VRQ309" s="35"/>
      <c r="VRR309" s="15"/>
      <c r="VRT309" s="13"/>
      <c r="VRU309" s="35"/>
      <c r="VRV309" s="35"/>
      <c r="VRW309" s="15"/>
      <c r="VRY309" s="13"/>
      <c r="VRZ309" s="35"/>
      <c r="VSA309" s="35"/>
      <c r="VSB309" s="15"/>
      <c r="VSD309" s="13"/>
      <c r="VSE309" s="35"/>
      <c r="VSF309" s="35"/>
      <c r="VSG309" s="15"/>
      <c r="VSI309" s="13"/>
      <c r="VSJ309" s="35"/>
      <c r="VSK309" s="35"/>
      <c r="VSL309" s="15"/>
      <c r="VSN309" s="13"/>
      <c r="VSO309" s="35"/>
      <c r="VSP309" s="35"/>
      <c r="VSQ309" s="15"/>
      <c r="VSS309" s="13"/>
      <c r="VST309" s="35"/>
      <c r="VSU309" s="35"/>
      <c r="VSV309" s="15"/>
      <c r="VSX309" s="13"/>
      <c r="VSY309" s="35"/>
      <c r="VSZ309" s="35"/>
      <c r="VTA309" s="15"/>
      <c r="VTC309" s="13"/>
      <c r="VTD309" s="35"/>
      <c r="VTE309" s="35"/>
      <c r="VTF309" s="15"/>
      <c r="VTH309" s="13"/>
      <c r="VTI309" s="35"/>
      <c r="VTJ309" s="35"/>
      <c r="VTK309" s="15"/>
      <c r="VTM309" s="13"/>
      <c r="VTN309" s="35"/>
      <c r="VTO309" s="35"/>
      <c r="VTP309" s="15"/>
      <c r="VTR309" s="13"/>
      <c r="VTS309" s="35"/>
      <c r="VTT309" s="35"/>
      <c r="VTU309" s="15"/>
      <c r="VTW309" s="13"/>
      <c r="VTX309" s="35"/>
      <c r="VTY309" s="35"/>
      <c r="VTZ309" s="15"/>
      <c r="VUB309" s="13"/>
      <c r="VUC309" s="35"/>
      <c r="VUD309" s="35"/>
      <c r="VUE309" s="15"/>
      <c r="VUG309" s="13"/>
      <c r="VUH309" s="35"/>
      <c r="VUI309" s="35"/>
      <c r="VUJ309" s="15"/>
      <c r="VUL309" s="13"/>
      <c r="VUM309" s="35"/>
      <c r="VUN309" s="35"/>
      <c r="VUO309" s="15"/>
      <c r="VUQ309" s="13"/>
      <c r="VUR309" s="35"/>
      <c r="VUS309" s="35"/>
      <c r="VUT309" s="15"/>
      <c r="VUV309" s="13"/>
      <c r="VUW309" s="35"/>
      <c r="VUX309" s="35"/>
      <c r="VUY309" s="15"/>
      <c r="VVA309" s="13"/>
      <c r="VVB309" s="35"/>
      <c r="VVC309" s="35"/>
      <c r="VVD309" s="15"/>
      <c r="VVF309" s="13"/>
      <c r="VVG309" s="35"/>
      <c r="VVH309" s="35"/>
      <c r="VVI309" s="15"/>
      <c r="VVK309" s="13"/>
      <c r="VVL309" s="35"/>
      <c r="VVM309" s="35"/>
      <c r="VVN309" s="15"/>
      <c r="VVP309" s="13"/>
      <c r="VVQ309" s="35"/>
      <c r="VVR309" s="35"/>
      <c r="VVS309" s="15"/>
      <c r="VVU309" s="13"/>
      <c r="VVV309" s="35"/>
      <c r="VVW309" s="35"/>
      <c r="VVX309" s="15"/>
      <c r="VVZ309" s="13"/>
      <c r="VWA309" s="35"/>
      <c r="VWB309" s="35"/>
      <c r="VWC309" s="15"/>
      <c r="VWE309" s="13"/>
      <c r="VWF309" s="35"/>
      <c r="VWG309" s="35"/>
      <c r="VWH309" s="15"/>
      <c r="VWJ309" s="13"/>
      <c r="VWK309" s="35"/>
      <c r="VWL309" s="35"/>
      <c r="VWM309" s="15"/>
      <c r="VWO309" s="13"/>
      <c r="VWP309" s="35"/>
      <c r="VWQ309" s="35"/>
      <c r="VWR309" s="15"/>
      <c r="VWT309" s="13"/>
      <c r="VWU309" s="35"/>
      <c r="VWV309" s="35"/>
      <c r="VWW309" s="15"/>
      <c r="VWY309" s="13"/>
      <c r="VWZ309" s="35"/>
      <c r="VXA309" s="35"/>
      <c r="VXB309" s="15"/>
      <c r="VXD309" s="13"/>
      <c r="VXE309" s="35"/>
      <c r="VXF309" s="35"/>
      <c r="VXG309" s="15"/>
      <c r="VXI309" s="13"/>
      <c r="VXJ309" s="35"/>
      <c r="VXK309" s="35"/>
      <c r="VXL309" s="15"/>
      <c r="VXN309" s="13"/>
      <c r="VXO309" s="35"/>
      <c r="VXP309" s="35"/>
      <c r="VXQ309" s="15"/>
      <c r="VXS309" s="13"/>
      <c r="VXT309" s="35"/>
      <c r="VXU309" s="35"/>
      <c r="VXV309" s="15"/>
      <c r="VXX309" s="13"/>
      <c r="VXY309" s="35"/>
      <c r="VXZ309" s="35"/>
      <c r="VYA309" s="15"/>
      <c r="VYC309" s="13"/>
      <c r="VYD309" s="35"/>
      <c r="VYE309" s="35"/>
      <c r="VYF309" s="15"/>
      <c r="VYH309" s="13"/>
      <c r="VYI309" s="35"/>
      <c r="VYJ309" s="35"/>
      <c r="VYK309" s="15"/>
      <c r="VYM309" s="13"/>
      <c r="VYN309" s="35"/>
      <c r="VYO309" s="35"/>
      <c r="VYP309" s="15"/>
      <c r="VYR309" s="13"/>
      <c r="VYS309" s="35"/>
      <c r="VYT309" s="35"/>
      <c r="VYU309" s="15"/>
      <c r="VYW309" s="13"/>
      <c r="VYX309" s="35"/>
      <c r="VYY309" s="35"/>
      <c r="VYZ309" s="15"/>
      <c r="VZB309" s="13"/>
      <c r="VZC309" s="35"/>
      <c r="VZD309" s="35"/>
      <c r="VZE309" s="15"/>
      <c r="VZG309" s="13"/>
      <c r="VZH309" s="35"/>
      <c r="VZI309" s="35"/>
      <c r="VZJ309" s="15"/>
      <c r="VZL309" s="13"/>
      <c r="VZM309" s="35"/>
      <c r="VZN309" s="35"/>
      <c r="VZO309" s="15"/>
      <c r="VZQ309" s="13"/>
      <c r="VZR309" s="35"/>
      <c r="VZS309" s="35"/>
      <c r="VZT309" s="15"/>
      <c r="VZV309" s="13"/>
      <c r="VZW309" s="35"/>
      <c r="VZX309" s="35"/>
      <c r="VZY309" s="15"/>
      <c r="WAA309" s="13"/>
      <c r="WAB309" s="35"/>
      <c r="WAC309" s="35"/>
      <c r="WAD309" s="15"/>
      <c r="WAF309" s="13"/>
      <c r="WAG309" s="35"/>
      <c r="WAH309" s="35"/>
      <c r="WAI309" s="15"/>
      <c r="WAK309" s="13"/>
      <c r="WAL309" s="35"/>
      <c r="WAM309" s="35"/>
      <c r="WAN309" s="15"/>
      <c r="WAP309" s="13"/>
      <c r="WAQ309" s="35"/>
      <c r="WAR309" s="35"/>
      <c r="WAS309" s="15"/>
      <c r="WAU309" s="13"/>
      <c r="WAV309" s="35"/>
      <c r="WAW309" s="35"/>
      <c r="WAX309" s="15"/>
      <c r="WAZ309" s="13"/>
      <c r="WBA309" s="35"/>
      <c r="WBB309" s="35"/>
      <c r="WBC309" s="15"/>
      <c r="WBE309" s="13"/>
      <c r="WBF309" s="35"/>
      <c r="WBG309" s="35"/>
      <c r="WBH309" s="15"/>
      <c r="WBJ309" s="13"/>
      <c r="WBK309" s="35"/>
      <c r="WBL309" s="35"/>
      <c r="WBM309" s="15"/>
      <c r="WBO309" s="13"/>
      <c r="WBP309" s="35"/>
      <c r="WBQ309" s="35"/>
      <c r="WBR309" s="15"/>
      <c r="WBT309" s="13"/>
      <c r="WBU309" s="35"/>
      <c r="WBV309" s="35"/>
      <c r="WBW309" s="15"/>
      <c r="WBY309" s="13"/>
      <c r="WBZ309" s="35"/>
      <c r="WCA309" s="35"/>
      <c r="WCB309" s="15"/>
      <c r="WCD309" s="13"/>
      <c r="WCE309" s="35"/>
      <c r="WCF309" s="35"/>
      <c r="WCG309" s="15"/>
      <c r="WCI309" s="13"/>
      <c r="WCJ309" s="35"/>
      <c r="WCK309" s="35"/>
      <c r="WCL309" s="15"/>
      <c r="WCN309" s="13"/>
      <c r="WCO309" s="35"/>
      <c r="WCP309" s="35"/>
      <c r="WCQ309" s="15"/>
      <c r="WCS309" s="13"/>
      <c r="WCT309" s="35"/>
      <c r="WCU309" s="35"/>
      <c r="WCV309" s="15"/>
      <c r="WCX309" s="13"/>
      <c r="WCY309" s="35"/>
      <c r="WCZ309" s="35"/>
      <c r="WDA309" s="15"/>
      <c r="WDC309" s="13"/>
      <c r="WDD309" s="35"/>
      <c r="WDE309" s="35"/>
      <c r="WDF309" s="15"/>
      <c r="WDH309" s="13"/>
      <c r="WDI309" s="35"/>
      <c r="WDJ309" s="35"/>
      <c r="WDK309" s="15"/>
      <c r="WDM309" s="13"/>
      <c r="WDN309" s="35"/>
      <c r="WDO309" s="35"/>
      <c r="WDP309" s="15"/>
      <c r="WDR309" s="13"/>
      <c r="WDS309" s="35"/>
      <c r="WDT309" s="35"/>
      <c r="WDU309" s="15"/>
      <c r="WDW309" s="13"/>
      <c r="WDX309" s="35"/>
      <c r="WDY309" s="35"/>
      <c r="WDZ309" s="15"/>
      <c r="WEB309" s="13"/>
      <c r="WEC309" s="35"/>
      <c r="WED309" s="35"/>
      <c r="WEE309" s="15"/>
      <c r="WEG309" s="13"/>
      <c r="WEH309" s="35"/>
      <c r="WEI309" s="35"/>
      <c r="WEJ309" s="15"/>
      <c r="WEL309" s="13"/>
      <c r="WEM309" s="35"/>
      <c r="WEN309" s="35"/>
      <c r="WEO309" s="15"/>
      <c r="WEQ309" s="13"/>
      <c r="WER309" s="35"/>
      <c r="WES309" s="35"/>
      <c r="WET309" s="15"/>
      <c r="WEV309" s="13"/>
      <c r="WEW309" s="35"/>
      <c r="WEX309" s="35"/>
      <c r="WEY309" s="15"/>
      <c r="WFA309" s="13"/>
      <c r="WFB309" s="35"/>
      <c r="WFC309" s="35"/>
      <c r="WFD309" s="15"/>
      <c r="WFF309" s="13"/>
      <c r="WFG309" s="35"/>
      <c r="WFH309" s="35"/>
      <c r="WFI309" s="15"/>
      <c r="WFK309" s="13"/>
      <c r="WFL309" s="35"/>
      <c r="WFM309" s="35"/>
      <c r="WFN309" s="15"/>
      <c r="WFP309" s="13"/>
      <c r="WFQ309" s="35"/>
      <c r="WFR309" s="35"/>
      <c r="WFS309" s="15"/>
      <c r="WFU309" s="13"/>
      <c r="WFV309" s="35"/>
      <c r="WFW309" s="35"/>
      <c r="WFX309" s="15"/>
      <c r="WFZ309" s="13"/>
      <c r="WGA309" s="35"/>
      <c r="WGB309" s="35"/>
      <c r="WGC309" s="15"/>
      <c r="WGE309" s="13"/>
      <c r="WGF309" s="35"/>
      <c r="WGG309" s="35"/>
      <c r="WGH309" s="15"/>
      <c r="WGJ309" s="13"/>
      <c r="WGK309" s="35"/>
      <c r="WGL309" s="35"/>
      <c r="WGM309" s="15"/>
      <c r="WGO309" s="13"/>
      <c r="WGP309" s="35"/>
      <c r="WGQ309" s="35"/>
      <c r="WGR309" s="15"/>
      <c r="WGT309" s="13"/>
      <c r="WGU309" s="35"/>
      <c r="WGV309" s="35"/>
      <c r="WGW309" s="15"/>
      <c r="WGY309" s="13"/>
      <c r="WGZ309" s="35"/>
      <c r="WHA309" s="35"/>
      <c r="WHB309" s="15"/>
      <c r="WHD309" s="13"/>
      <c r="WHE309" s="35"/>
      <c r="WHF309" s="35"/>
      <c r="WHG309" s="15"/>
      <c r="WHI309" s="13"/>
      <c r="WHJ309" s="35"/>
      <c r="WHK309" s="35"/>
      <c r="WHL309" s="15"/>
      <c r="WHN309" s="13"/>
      <c r="WHO309" s="35"/>
      <c r="WHP309" s="35"/>
      <c r="WHQ309" s="15"/>
      <c r="WHS309" s="13"/>
      <c r="WHT309" s="35"/>
      <c r="WHU309" s="35"/>
      <c r="WHV309" s="15"/>
      <c r="WHX309" s="13"/>
      <c r="WHY309" s="35"/>
      <c r="WHZ309" s="35"/>
      <c r="WIA309" s="15"/>
      <c r="WIC309" s="13"/>
      <c r="WID309" s="35"/>
      <c r="WIE309" s="35"/>
      <c r="WIF309" s="15"/>
      <c r="WIH309" s="13"/>
      <c r="WII309" s="35"/>
      <c r="WIJ309" s="35"/>
      <c r="WIK309" s="15"/>
      <c r="WIM309" s="13"/>
      <c r="WIN309" s="35"/>
      <c r="WIO309" s="35"/>
      <c r="WIP309" s="15"/>
      <c r="WIR309" s="13"/>
      <c r="WIS309" s="35"/>
      <c r="WIT309" s="35"/>
      <c r="WIU309" s="15"/>
      <c r="WIW309" s="13"/>
      <c r="WIX309" s="35"/>
      <c r="WIY309" s="35"/>
      <c r="WIZ309" s="15"/>
      <c r="WJB309" s="13"/>
      <c r="WJC309" s="35"/>
      <c r="WJD309" s="35"/>
      <c r="WJE309" s="15"/>
      <c r="WJG309" s="13"/>
      <c r="WJH309" s="35"/>
      <c r="WJI309" s="35"/>
      <c r="WJJ309" s="15"/>
      <c r="WJL309" s="13"/>
      <c r="WJM309" s="35"/>
      <c r="WJN309" s="35"/>
      <c r="WJO309" s="15"/>
      <c r="WJQ309" s="13"/>
      <c r="WJR309" s="35"/>
      <c r="WJS309" s="35"/>
      <c r="WJT309" s="15"/>
      <c r="WJV309" s="13"/>
      <c r="WJW309" s="35"/>
      <c r="WJX309" s="35"/>
      <c r="WJY309" s="15"/>
      <c r="WKA309" s="13"/>
      <c r="WKB309" s="35"/>
      <c r="WKC309" s="35"/>
      <c r="WKD309" s="15"/>
      <c r="WKF309" s="13"/>
      <c r="WKG309" s="35"/>
      <c r="WKH309" s="35"/>
      <c r="WKI309" s="15"/>
      <c r="WKK309" s="13"/>
      <c r="WKL309" s="35"/>
      <c r="WKM309" s="35"/>
      <c r="WKN309" s="15"/>
      <c r="WKP309" s="13"/>
      <c r="WKQ309" s="35"/>
      <c r="WKR309" s="35"/>
      <c r="WKS309" s="15"/>
      <c r="WKU309" s="13"/>
      <c r="WKV309" s="35"/>
      <c r="WKW309" s="35"/>
      <c r="WKX309" s="15"/>
      <c r="WKZ309" s="13"/>
      <c r="WLA309" s="35"/>
      <c r="WLB309" s="35"/>
      <c r="WLC309" s="15"/>
      <c r="WLE309" s="13"/>
      <c r="WLF309" s="35"/>
      <c r="WLG309" s="35"/>
      <c r="WLH309" s="15"/>
      <c r="WLJ309" s="13"/>
      <c r="WLK309" s="35"/>
      <c r="WLL309" s="35"/>
      <c r="WLM309" s="15"/>
      <c r="WLO309" s="13"/>
      <c r="WLP309" s="35"/>
      <c r="WLQ309" s="35"/>
      <c r="WLR309" s="15"/>
      <c r="WLT309" s="13"/>
      <c r="WLU309" s="35"/>
      <c r="WLV309" s="35"/>
      <c r="WLW309" s="15"/>
      <c r="WLY309" s="13"/>
      <c r="WLZ309" s="35"/>
      <c r="WMA309" s="35"/>
      <c r="WMB309" s="15"/>
      <c r="WMD309" s="13"/>
      <c r="WME309" s="35"/>
      <c r="WMF309" s="35"/>
      <c r="WMG309" s="15"/>
      <c r="WMI309" s="13"/>
      <c r="WMJ309" s="35"/>
      <c r="WMK309" s="35"/>
      <c r="WML309" s="15"/>
      <c r="WMN309" s="13"/>
      <c r="WMO309" s="35"/>
      <c r="WMP309" s="35"/>
      <c r="WMQ309" s="15"/>
      <c r="WMS309" s="13"/>
      <c r="WMT309" s="35"/>
      <c r="WMU309" s="35"/>
      <c r="WMV309" s="15"/>
      <c r="WMX309" s="13"/>
      <c r="WMY309" s="35"/>
      <c r="WMZ309" s="35"/>
      <c r="WNA309" s="15"/>
      <c r="WNC309" s="13"/>
      <c r="WND309" s="35"/>
      <c r="WNE309" s="35"/>
      <c r="WNF309" s="15"/>
      <c r="WNH309" s="13"/>
      <c r="WNI309" s="35"/>
      <c r="WNJ309" s="35"/>
      <c r="WNK309" s="15"/>
      <c r="WNM309" s="13"/>
      <c r="WNN309" s="35"/>
      <c r="WNO309" s="35"/>
      <c r="WNP309" s="15"/>
      <c r="WNR309" s="13"/>
      <c r="WNS309" s="35"/>
      <c r="WNT309" s="35"/>
      <c r="WNU309" s="15"/>
      <c r="WNW309" s="13"/>
      <c r="WNX309" s="35"/>
      <c r="WNY309" s="35"/>
      <c r="WNZ309" s="15"/>
      <c r="WOB309" s="13"/>
      <c r="WOC309" s="35"/>
      <c r="WOD309" s="35"/>
      <c r="WOE309" s="15"/>
      <c r="WOG309" s="13"/>
      <c r="WOH309" s="35"/>
      <c r="WOI309" s="35"/>
      <c r="WOJ309" s="15"/>
      <c r="WOL309" s="13"/>
      <c r="WOM309" s="35"/>
      <c r="WON309" s="35"/>
      <c r="WOO309" s="15"/>
      <c r="WOQ309" s="13"/>
      <c r="WOR309" s="35"/>
      <c r="WOS309" s="35"/>
      <c r="WOT309" s="15"/>
      <c r="WOV309" s="13"/>
      <c r="WOW309" s="35"/>
      <c r="WOX309" s="35"/>
      <c r="WOY309" s="15"/>
      <c r="WPA309" s="13"/>
      <c r="WPB309" s="35"/>
      <c r="WPC309" s="35"/>
      <c r="WPD309" s="15"/>
      <c r="WPF309" s="13"/>
      <c r="WPG309" s="35"/>
      <c r="WPH309" s="35"/>
      <c r="WPI309" s="15"/>
      <c r="WPK309" s="13"/>
      <c r="WPL309" s="35"/>
      <c r="WPM309" s="35"/>
      <c r="WPN309" s="15"/>
      <c r="WPP309" s="13"/>
      <c r="WPQ309" s="35"/>
      <c r="WPR309" s="35"/>
      <c r="WPS309" s="15"/>
      <c r="WPU309" s="13"/>
      <c r="WPV309" s="35"/>
      <c r="WPW309" s="35"/>
      <c r="WPX309" s="15"/>
      <c r="WPZ309" s="13"/>
      <c r="WQA309" s="35"/>
      <c r="WQB309" s="35"/>
      <c r="WQC309" s="15"/>
      <c r="WQE309" s="13"/>
      <c r="WQF309" s="35"/>
      <c r="WQG309" s="35"/>
      <c r="WQH309" s="15"/>
      <c r="WQJ309" s="13"/>
      <c r="WQK309" s="35"/>
      <c r="WQL309" s="35"/>
      <c r="WQM309" s="15"/>
      <c r="WQO309" s="13"/>
      <c r="WQP309" s="35"/>
      <c r="WQQ309" s="35"/>
      <c r="WQR309" s="15"/>
      <c r="WQT309" s="13"/>
      <c r="WQU309" s="35"/>
      <c r="WQV309" s="35"/>
      <c r="WQW309" s="15"/>
      <c r="WQY309" s="13"/>
      <c r="WQZ309" s="35"/>
      <c r="WRA309" s="35"/>
      <c r="WRB309" s="15"/>
      <c r="WRD309" s="13"/>
      <c r="WRE309" s="35"/>
      <c r="WRF309" s="35"/>
      <c r="WRG309" s="15"/>
      <c r="WRI309" s="13"/>
      <c r="WRJ309" s="35"/>
      <c r="WRK309" s="35"/>
      <c r="WRL309" s="15"/>
      <c r="WRN309" s="13"/>
      <c r="WRO309" s="35"/>
      <c r="WRP309" s="35"/>
      <c r="WRQ309" s="15"/>
      <c r="WRS309" s="13"/>
      <c r="WRT309" s="35"/>
      <c r="WRU309" s="35"/>
      <c r="WRV309" s="15"/>
      <c r="WRX309" s="13"/>
      <c r="WRY309" s="35"/>
      <c r="WRZ309" s="35"/>
      <c r="WSA309" s="15"/>
      <c r="WSC309" s="13"/>
      <c r="WSD309" s="35"/>
      <c r="WSE309" s="35"/>
      <c r="WSF309" s="15"/>
      <c r="WSH309" s="13"/>
      <c r="WSI309" s="35"/>
      <c r="WSJ309" s="35"/>
      <c r="WSK309" s="15"/>
      <c r="WSM309" s="13"/>
      <c r="WSN309" s="35"/>
      <c r="WSO309" s="35"/>
      <c r="WSP309" s="15"/>
      <c r="WSR309" s="13"/>
      <c r="WSS309" s="35"/>
      <c r="WST309" s="35"/>
      <c r="WSU309" s="15"/>
      <c r="WSW309" s="13"/>
      <c r="WSX309" s="35"/>
      <c r="WSY309" s="35"/>
      <c r="WSZ309" s="15"/>
      <c r="WTB309" s="13"/>
      <c r="WTC309" s="35"/>
      <c r="WTD309" s="35"/>
      <c r="WTE309" s="15"/>
      <c r="WTG309" s="13"/>
      <c r="WTH309" s="35"/>
      <c r="WTI309" s="35"/>
      <c r="WTJ309" s="15"/>
      <c r="WTL309" s="13"/>
      <c r="WTM309" s="35"/>
      <c r="WTN309" s="35"/>
      <c r="WTO309" s="15"/>
      <c r="WTQ309" s="13"/>
      <c r="WTR309" s="35"/>
      <c r="WTS309" s="35"/>
      <c r="WTT309" s="15"/>
      <c r="WTV309" s="13"/>
      <c r="WTW309" s="35"/>
      <c r="WTX309" s="35"/>
      <c r="WTY309" s="15"/>
      <c r="WUA309" s="13"/>
      <c r="WUB309" s="35"/>
      <c r="WUC309" s="35"/>
      <c r="WUD309" s="15"/>
      <c r="WUF309" s="13"/>
      <c r="WUG309" s="35"/>
      <c r="WUH309" s="35"/>
      <c r="WUI309" s="15"/>
      <c r="WUK309" s="13"/>
      <c r="WUL309" s="35"/>
      <c r="WUM309" s="35"/>
      <c r="WUN309" s="15"/>
      <c r="WUP309" s="13"/>
      <c r="WUQ309" s="35"/>
      <c r="WUR309" s="35"/>
      <c r="WUS309" s="15"/>
      <c r="WUU309" s="13"/>
      <c r="WUV309" s="35"/>
      <c r="WUW309" s="35"/>
      <c r="WUX309" s="15"/>
      <c r="WUZ309" s="13"/>
      <c r="WVA309" s="35"/>
      <c r="WVB309" s="35"/>
      <c r="WVC309" s="15"/>
      <c r="WVE309" s="13"/>
      <c r="WVF309" s="35"/>
      <c r="WVG309" s="35"/>
      <c r="WVH309" s="15"/>
      <c r="WVJ309" s="13"/>
      <c r="WVK309" s="35"/>
      <c r="WVL309" s="35"/>
      <c r="WVM309" s="15"/>
      <c r="WVO309" s="13"/>
      <c r="WVP309" s="35"/>
      <c r="WVQ309" s="35"/>
      <c r="WVR309" s="15"/>
      <c r="WVT309" s="13"/>
      <c r="WVU309" s="35"/>
      <c r="WVV309" s="35"/>
      <c r="WVW309" s="15"/>
      <c r="WVY309" s="13"/>
      <c r="WVZ309" s="35"/>
      <c r="WWA309" s="35"/>
      <c r="WWB309" s="15"/>
      <c r="WWD309" s="13"/>
      <c r="WWE309" s="35"/>
      <c r="WWF309" s="35"/>
      <c r="WWG309" s="15"/>
      <c r="WWI309" s="13"/>
      <c r="WWJ309" s="35"/>
      <c r="WWK309" s="35"/>
      <c r="WWL309" s="15"/>
      <c r="WWN309" s="13"/>
      <c r="WWO309" s="35"/>
      <c r="WWP309" s="35"/>
      <c r="WWQ309" s="15"/>
      <c r="WWS309" s="13"/>
      <c r="WWT309" s="35"/>
      <c r="WWU309" s="35"/>
      <c r="WWV309" s="15"/>
      <c r="WWX309" s="13"/>
      <c r="WWY309" s="35"/>
      <c r="WWZ309" s="35"/>
      <c r="WXA309" s="15"/>
      <c r="WXC309" s="13"/>
      <c r="WXD309" s="35"/>
      <c r="WXE309" s="35"/>
      <c r="WXF309" s="15"/>
      <c r="WXH309" s="13"/>
      <c r="WXI309" s="35"/>
      <c r="WXJ309" s="35"/>
      <c r="WXK309" s="15"/>
      <c r="WXM309" s="13"/>
      <c r="WXN309" s="35"/>
      <c r="WXO309" s="35"/>
      <c r="WXP309" s="15"/>
      <c r="WXR309" s="13"/>
      <c r="WXS309" s="35"/>
      <c r="WXT309" s="35"/>
      <c r="WXU309" s="15"/>
      <c r="WXW309" s="13"/>
      <c r="WXX309" s="35"/>
      <c r="WXY309" s="35"/>
      <c r="WXZ309" s="15"/>
      <c r="WYB309" s="13"/>
      <c r="WYC309" s="35"/>
      <c r="WYD309" s="35"/>
      <c r="WYE309" s="15"/>
      <c r="WYG309" s="13"/>
      <c r="WYH309" s="35"/>
      <c r="WYI309" s="35"/>
      <c r="WYJ309" s="15"/>
      <c r="WYL309" s="13"/>
      <c r="WYM309" s="35"/>
      <c r="WYN309" s="35"/>
      <c r="WYO309" s="15"/>
      <c r="WYQ309" s="13"/>
      <c r="WYR309" s="35"/>
      <c r="WYS309" s="35"/>
      <c r="WYT309" s="15"/>
      <c r="WYV309" s="13"/>
      <c r="WYW309" s="35"/>
      <c r="WYX309" s="35"/>
      <c r="WYY309" s="15"/>
      <c r="WZA309" s="13"/>
      <c r="WZB309" s="35"/>
      <c r="WZC309" s="35"/>
      <c r="WZD309" s="15"/>
      <c r="WZF309" s="13"/>
      <c r="WZG309" s="35"/>
      <c r="WZH309" s="35"/>
      <c r="WZI309" s="15"/>
      <c r="WZK309" s="13"/>
      <c r="WZL309" s="35"/>
      <c r="WZM309" s="35"/>
      <c r="WZN309" s="15"/>
      <c r="WZP309" s="13"/>
      <c r="WZQ309" s="35"/>
      <c r="WZR309" s="35"/>
      <c r="WZS309" s="15"/>
      <c r="WZU309" s="13"/>
      <c r="WZV309" s="35"/>
      <c r="WZW309" s="35"/>
      <c r="WZX309" s="15"/>
      <c r="WZZ309" s="13"/>
      <c r="XAA309" s="35"/>
      <c r="XAB309" s="35"/>
      <c r="XAC309" s="15"/>
      <c r="XAE309" s="13"/>
      <c r="XAF309" s="35"/>
      <c r="XAG309" s="35"/>
      <c r="XAH309" s="15"/>
      <c r="XAJ309" s="13"/>
      <c r="XAK309" s="35"/>
      <c r="XAL309" s="35"/>
      <c r="XAM309" s="15"/>
      <c r="XAO309" s="13"/>
      <c r="XAP309" s="35"/>
      <c r="XAQ309" s="35"/>
      <c r="XAR309" s="15"/>
      <c r="XAT309" s="13"/>
      <c r="XAU309" s="35"/>
      <c r="XAV309" s="35"/>
      <c r="XAW309" s="15"/>
      <c r="XAY309" s="13"/>
      <c r="XAZ309" s="35"/>
      <c r="XBA309" s="35"/>
      <c r="XBB309" s="15"/>
      <c r="XBD309" s="13"/>
      <c r="XBE309" s="35"/>
      <c r="XBF309" s="35"/>
      <c r="XBG309" s="15"/>
      <c r="XBI309" s="13"/>
      <c r="XBJ309" s="35"/>
      <c r="XBK309" s="35"/>
      <c r="XBL309" s="15"/>
      <c r="XBN309" s="13"/>
      <c r="XBO309" s="35"/>
      <c r="XBP309" s="35"/>
      <c r="XBQ309" s="15"/>
      <c r="XBS309" s="13"/>
      <c r="XBT309" s="35"/>
      <c r="XBU309" s="35"/>
      <c r="XBV309" s="15"/>
      <c r="XBX309" s="13"/>
      <c r="XBY309" s="35"/>
      <c r="XBZ309" s="35"/>
      <c r="XCA309" s="15"/>
      <c r="XCC309" s="13"/>
      <c r="XCD309" s="35"/>
      <c r="XCE309" s="35"/>
      <c r="XCF309" s="15"/>
      <c r="XCH309" s="13"/>
      <c r="XCI309" s="35"/>
      <c r="XCJ309" s="35"/>
      <c r="XCK309" s="15"/>
      <c r="XCM309" s="13"/>
      <c r="XCN309" s="35"/>
      <c r="XCO309" s="35"/>
      <c r="XCP309" s="15"/>
      <c r="XCR309" s="13"/>
      <c r="XCS309" s="35"/>
      <c r="XCT309" s="35"/>
      <c r="XCU309" s="15"/>
      <c r="XCW309" s="13"/>
      <c r="XCX309" s="35"/>
      <c r="XCY309" s="35"/>
      <c r="XCZ309" s="15"/>
      <c r="XDB309" s="13"/>
      <c r="XDC309" s="35"/>
      <c r="XDD309" s="35"/>
      <c r="XDE309" s="15"/>
      <c r="XDG309" s="13"/>
      <c r="XDH309" s="35"/>
      <c r="XDI309" s="35"/>
      <c r="XDJ309" s="15"/>
      <c r="XDL309" s="13"/>
      <c r="XDM309" s="35"/>
      <c r="XDN309" s="35"/>
      <c r="XDO309" s="15"/>
      <c r="XDQ309" s="13"/>
      <c r="XDR309" s="35"/>
      <c r="XDS309" s="35"/>
      <c r="XDT309" s="15"/>
      <c r="XDV309" s="13"/>
      <c r="XDW309" s="35"/>
      <c r="XDX309" s="35"/>
      <c r="XDY309" s="15"/>
      <c r="XEA309" s="13"/>
      <c r="XEB309" s="35"/>
      <c r="XEC309" s="35"/>
      <c r="XED309" s="15"/>
      <c r="XEF309" s="13"/>
      <c r="XEG309" s="35"/>
      <c r="XEH309" s="35"/>
      <c r="XEI309" s="15"/>
      <c r="XEK309" s="13"/>
      <c r="XEL309" s="35"/>
      <c r="XEM309" s="35"/>
      <c r="XEN309" s="15"/>
      <c r="XEP309" s="13"/>
      <c r="XEQ309" s="35"/>
      <c r="XER309" s="35"/>
      <c r="XES309" s="15"/>
      <c r="XEU309" s="13"/>
      <c r="XEV309" s="35"/>
      <c r="XEW309" s="35"/>
      <c r="XEX309" s="15"/>
      <c r="XEZ309" s="13"/>
      <c r="XFA309" s="35"/>
      <c r="XFB309" s="35"/>
      <c r="XFC309" s="15"/>
    </row>
    <row r="310" spans="1:1023 1025:2048 2050:6143 6145:7168 7170:11263 11265:12288 12290:16383" x14ac:dyDescent="0.3">
      <c r="A310" s="35">
        <v>46106</v>
      </c>
      <c r="B310" s="35" t="s">
        <v>1072</v>
      </c>
      <c r="C310" s="15" t="s">
        <v>1534</v>
      </c>
      <c r="D310" s="1" t="s">
        <v>701</v>
      </c>
      <c r="E310" s="13">
        <v>46395</v>
      </c>
      <c r="F310" s="53">
        <f t="shared" si="13"/>
        <v>289</v>
      </c>
      <c r="G310" s="19">
        <v>-1063.1867999999999</v>
      </c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  <c r="AO310" s="36"/>
      <c r="AP310" s="36"/>
      <c r="AQ310" s="36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  <c r="BK310" s="36"/>
      <c r="BL310" s="36"/>
      <c r="BM310" s="36"/>
      <c r="BN310" s="36"/>
      <c r="BO310" s="36"/>
      <c r="BP310" s="36"/>
      <c r="BQ310" s="36"/>
      <c r="BR310" s="36"/>
      <c r="BS310" s="36"/>
      <c r="BT310" s="36"/>
      <c r="BU310" s="36"/>
      <c r="BV310" s="36"/>
      <c r="BW310" s="36"/>
      <c r="BX310" s="36"/>
      <c r="BY310" s="36"/>
      <c r="BZ310" s="36"/>
      <c r="CA310" s="36"/>
      <c r="CB310" s="36"/>
      <c r="CC310" s="36"/>
      <c r="CD310" s="36"/>
      <c r="CE310" s="36"/>
      <c r="CF310" s="36"/>
      <c r="CG310" s="36"/>
      <c r="CH310" s="36"/>
      <c r="CI310" s="36"/>
      <c r="CJ310" s="36"/>
      <c r="CK310" s="36"/>
      <c r="CL310" s="36"/>
      <c r="CM310" s="36"/>
      <c r="CN310" s="36"/>
      <c r="CO310" s="36"/>
      <c r="CP310" s="36"/>
      <c r="CQ310" s="36"/>
      <c r="CR310" s="36"/>
      <c r="CS310" s="36"/>
      <c r="CT310" s="36"/>
      <c r="CU310" s="36"/>
      <c r="CV310" s="36"/>
      <c r="CW310" s="36"/>
      <c r="CX310" s="36"/>
      <c r="CY310" s="36"/>
      <c r="CZ310" s="36"/>
      <c r="DA310" s="36"/>
      <c r="DB310" s="36"/>
      <c r="DC310" s="36"/>
      <c r="DD310" s="36"/>
      <c r="DE310" s="36"/>
      <c r="DF310" s="36"/>
      <c r="DG310" s="36"/>
      <c r="DH310" s="36"/>
      <c r="DI310" s="36"/>
      <c r="DJ310" s="36"/>
      <c r="DK310" s="36"/>
      <c r="DL310" s="36"/>
      <c r="DM310" s="36"/>
      <c r="DN310" s="36"/>
      <c r="DO310" s="36"/>
      <c r="DP310" s="36"/>
      <c r="DQ310" s="36"/>
      <c r="DR310" s="36"/>
      <c r="DS310" s="36"/>
      <c r="DT310" s="36"/>
      <c r="DU310" s="36"/>
      <c r="DV310" s="36"/>
      <c r="DW310" s="36"/>
      <c r="DX310" s="36"/>
      <c r="DY310" s="36"/>
      <c r="DZ310" s="36"/>
      <c r="EA310" s="36"/>
      <c r="EB310" s="36"/>
      <c r="EC310" s="36"/>
      <c r="ED310" s="36"/>
      <c r="EE310" s="36"/>
      <c r="EF310" s="36"/>
      <c r="EG310" s="36"/>
      <c r="EH310" s="36"/>
      <c r="EI310" s="36"/>
      <c r="EJ310" s="36"/>
      <c r="EK310" s="36"/>
      <c r="EL310" s="36"/>
      <c r="EM310" s="36"/>
      <c r="EN310" s="36"/>
      <c r="EO310" s="36"/>
      <c r="EP310" s="36"/>
      <c r="EQ310" s="36"/>
      <c r="ER310" s="36"/>
      <c r="ES310" s="36"/>
      <c r="ET310" s="36"/>
      <c r="EU310" s="36"/>
      <c r="EV310" s="36"/>
      <c r="EW310" s="36"/>
      <c r="EX310" s="36"/>
      <c r="EY310" s="36"/>
      <c r="EZ310" s="36"/>
      <c r="FA310" s="36"/>
      <c r="FB310" s="36"/>
      <c r="FC310" s="36"/>
      <c r="FD310" s="36"/>
      <c r="FE310" s="36"/>
      <c r="FF310" s="36"/>
      <c r="FG310" s="36"/>
      <c r="FH310" s="36"/>
      <c r="FI310" s="36"/>
      <c r="FJ310" s="36"/>
      <c r="FK310" s="36"/>
      <c r="FL310" s="36"/>
      <c r="FM310" s="36"/>
      <c r="FN310" s="36"/>
      <c r="FO310" s="36"/>
      <c r="FP310" s="36"/>
      <c r="FQ310" s="36"/>
      <c r="FR310" s="36"/>
      <c r="FS310" s="36"/>
      <c r="FT310" s="36"/>
      <c r="FU310" s="36"/>
      <c r="FV310" s="36"/>
      <c r="FW310" s="36"/>
      <c r="FX310" s="36"/>
      <c r="FY310" s="36"/>
      <c r="FZ310" s="36"/>
      <c r="GA310" s="36"/>
      <c r="GB310" s="36"/>
      <c r="GC310" s="36"/>
      <c r="GD310" s="36"/>
      <c r="GE310" s="36"/>
      <c r="GF310" s="36"/>
      <c r="GG310" s="36"/>
      <c r="GH310" s="36"/>
      <c r="GI310" s="36"/>
      <c r="GJ310" s="36"/>
      <c r="GK310" s="36"/>
      <c r="GL310" s="36"/>
      <c r="GM310" s="36"/>
      <c r="GN310" s="36"/>
      <c r="GO310" s="36"/>
      <c r="GP310" s="36"/>
      <c r="GQ310" s="36"/>
      <c r="GR310" s="36"/>
      <c r="GS310" s="36"/>
      <c r="GT310" s="36"/>
      <c r="GU310" s="36"/>
      <c r="GV310" s="36"/>
      <c r="GW310" s="36"/>
      <c r="GX310" s="36"/>
      <c r="GY310" s="36"/>
      <c r="GZ310" s="36"/>
      <c r="HA310" s="36"/>
      <c r="HB310" s="36"/>
      <c r="HC310" s="36"/>
      <c r="HD310" s="36"/>
      <c r="HE310" s="36"/>
      <c r="HF310" s="36"/>
      <c r="HG310" s="36"/>
      <c r="HH310" s="36"/>
      <c r="HI310" s="36"/>
      <c r="HJ310" s="36"/>
      <c r="HK310" s="36"/>
      <c r="HL310" s="36"/>
      <c r="HM310" s="36"/>
      <c r="HN310" s="36"/>
      <c r="HO310" s="36"/>
      <c r="HP310" s="36"/>
      <c r="HQ310" s="36"/>
      <c r="HR310" s="36"/>
      <c r="HS310" s="36"/>
      <c r="HT310" s="36"/>
      <c r="HU310" s="36"/>
      <c r="HV310" s="36"/>
      <c r="HW310" s="36"/>
      <c r="HX310" s="36"/>
      <c r="HY310" s="36"/>
      <c r="HZ310" s="36"/>
      <c r="IA310" s="36"/>
      <c r="IB310" s="36"/>
      <c r="IC310" s="36"/>
      <c r="ID310" s="36"/>
      <c r="IE310" s="36"/>
      <c r="IF310" s="36"/>
      <c r="IG310" s="36"/>
      <c r="IH310" s="36"/>
      <c r="II310" s="36"/>
      <c r="IJ310" s="36"/>
      <c r="IK310" s="36"/>
      <c r="IL310" s="36"/>
      <c r="IM310" s="36"/>
      <c r="IN310" s="36"/>
      <c r="IO310" s="36"/>
      <c r="IP310" s="36"/>
      <c r="IQ310" s="36"/>
      <c r="IR310" s="36"/>
      <c r="IS310" s="36"/>
      <c r="IT310" s="36"/>
      <c r="IU310" s="36"/>
      <c r="IV310" s="36"/>
      <c r="IW310" s="36"/>
      <c r="IX310" s="36"/>
      <c r="IY310" s="36"/>
      <c r="IZ310" s="36"/>
      <c r="JA310" s="36"/>
      <c r="JB310" s="36"/>
      <c r="JC310" s="36"/>
      <c r="JD310" s="36"/>
      <c r="JE310" s="36"/>
      <c r="JF310" s="36"/>
      <c r="JG310" s="36"/>
      <c r="JH310" s="36"/>
      <c r="JI310" s="36"/>
      <c r="JJ310" s="36"/>
      <c r="JK310" s="36"/>
      <c r="JL310" s="36"/>
      <c r="JM310" s="36"/>
      <c r="JN310" s="36"/>
      <c r="JO310" s="36"/>
      <c r="JP310" s="36"/>
      <c r="JQ310" s="36"/>
      <c r="JR310" s="36"/>
      <c r="JS310" s="36"/>
      <c r="JT310" s="36"/>
      <c r="JU310" s="36"/>
      <c r="JV310" s="36"/>
      <c r="JW310" s="36"/>
      <c r="JX310" s="36"/>
      <c r="JY310" s="36"/>
      <c r="JZ310" s="36"/>
      <c r="KA310" s="36"/>
      <c r="KB310" s="36"/>
      <c r="KC310" s="36"/>
      <c r="KD310" s="36"/>
      <c r="KE310" s="36"/>
      <c r="KF310" s="36"/>
      <c r="KG310" s="36"/>
      <c r="KH310" s="36"/>
      <c r="KI310" s="36"/>
      <c r="KJ310" s="36"/>
      <c r="KK310" s="36"/>
      <c r="KL310" s="36"/>
      <c r="KM310" s="36"/>
      <c r="KN310" s="36"/>
      <c r="KO310" s="36"/>
      <c r="KP310" s="36"/>
      <c r="KQ310" s="36"/>
      <c r="KR310" s="36"/>
      <c r="KS310" s="36"/>
      <c r="KT310" s="36"/>
      <c r="KU310" s="36"/>
      <c r="KV310" s="36"/>
      <c r="KW310" s="36"/>
      <c r="KX310" s="36"/>
      <c r="KY310" s="36"/>
      <c r="KZ310" s="36"/>
      <c r="LA310" s="36"/>
      <c r="LB310" s="36"/>
      <c r="LC310" s="36"/>
      <c r="LD310" s="36"/>
      <c r="LE310" s="36"/>
      <c r="LF310" s="36"/>
      <c r="LG310" s="36"/>
      <c r="LH310" s="36"/>
      <c r="LI310" s="36"/>
      <c r="LJ310" s="36"/>
      <c r="LK310" s="36"/>
      <c r="LL310" s="36"/>
      <c r="LM310" s="36"/>
      <c r="LN310" s="36"/>
      <c r="LO310" s="36"/>
      <c r="LP310" s="36"/>
      <c r="LQ310" s="36"/>
      <c r="LR310" s="36"/>
      <c r="LS310" s="36"/>
      <c r="LT310" s="36"/>
      <c r="LU310" s="36"/>
      <c r="LV310" s="36"/>
      <c r="LW310" s="36"/>
      <c r="LX310" s="36"/>
      <c r="LY310" s="36"/>
      <c r="LZ310" s="36"/>
      <c r="MA310" s="36"/>
      <c r="MB310" s="36"/>
      <c r="MC310" s="36"/>
      <c r="MD310" s="36"/>
      <c r="ME310" s="36"/>
      <c r="MF310" s="36"/>
      <c r="MG310" s="36"/>
      <c r="MH310" s="36"/>
      <c r="MI310" s="36"/>
      <c r="MJ310" s="36"/>
      <c r="MK310" s="36"/>
      <c r="ML310" s="36"/>
      <c r="MM310" s="36"/>
      <c r="MN310" s="36"/>
      <c r="MO310" s="36"/>
      <c r="MP310" s="36"/>
      <c r="MQ310" s="36"/>
      <c r="MR310" s="36"/>
      <c r="MS310" s="36"/>
      <c r="MT310" s="36"/>
      <c r="MU310" s="36"/>
      <c r="MV310" s="36"/>
      <c r="MW310" s="36"/>
      <c r="MX310" s="36"/>
      <c r="MY310" s="36"/>
      <c r="MZ310" s="36"/>
      <c r="NA310" s="36"/>
      <c r="NB310" s="36"/>
      <c r="NC310" s="36"/>
      <c r="ND310" s="36"/>
      <c r="NE310" s="36"/>
      <c r="NF310" s="36"/>
      <c r="NG310" s="36"/>
      <c r="NH310" s="36"/>
      <c r="NI310" s="36"/>
      <c r="NJ310" s="36"/>
      <c r="NK310" s="36"/>
      <c r="NL310" s="36"/>
      <c r="NM310" s="36"/>
      <c r="NN310" s="36"/>
      <c r="NO310" s="36"/>
      <c r="NP310" s="36"/>
      <c r="NQ310" s="36"/>
      <c r="NR310" s="36"/>
      <c r="NS310" s="36"/>
      <c r="NT310" s="36"/>
      <c r="NU310" s="36"/>
      <c r="NV310" s="36"/>
      <c r="NW310" s="36"/>
      <c r="NX310" s="36"/>
      <c r="NY310" s="36"/>
      <c r="NZ310" s="36"/>
      <c r="OA310" s="36"/>
      <c r="OB310" s="36"/>
      <c r="OC310" s="36"/>
      <c r="OD310" s="36"/>
      <c r="OE310" s="36"/>
      <c r="OF310" s="36"/>
      <c r="OG310" s="36"/>
      <c r="OH310" s="36"/>
      <c r="OI310" s="36"/>
      <c r="OJ310" s="36"/>
      <c r="OK310" s="36"/>
      <c r="OL310" s="36"/>
      <c r="OM310" s="36"/>
      <c r="ON310" s="36"/>
      <c r="OO310" s="36"/>
      <c r="OP310" s="36"/>
      <c r="OQ310" s="36"/>
      <c r="OR310" s="36"/>
      <c r="OS310" s="36"/>
      <c r="OT310" s="36"/>
      <c r="OU310" s="36"/>
      <c r="OV310" s="36"/>
      <c r="OW310" s="36"/>
      <c r="OX310" s="36"/>
      <c r="OY310" s="36"/>
      <c r="OZ310" s="36"/>
      <c r="PA310" s="36"/>
      <c r="PB310" s="36"/>
      <c r="PC310" s="36"/>
      <c r="PD310" s="36"/>
      <c r="PE310" s="36"/>
      <c r="PF310" s="36"/>
      <c r="PG310" s="36"/>
      <c r="PH310" s="36"/>
      <c r="PI310" s="36"/>
      <c r="PJ310" s="36"/>
      <c r="PK310" s="36"/>
      <c r="PL310" s="36"/>
      <c r="PM310" s="36"/>
      <c r="PN310" s="36"/>
      <c r="PO310" s="36"/>
      <c r="PP310" s="36"/>
      <c r="PQ310" s="36"/>
      <c r="PR310" s="36"/>
      <c r="PS310" s="36"/>
      <c r="PT310" s="36"/>
      <c r="PU310" s="36"/>
      <c r="PV310" s="36"/>
      <c r="PW310" s="36"/>
      <c r="PX310" s="36"/>
      <c r="PY310" s="36"/>
      <c r="PZ310" s="36"/>
      <c r="QA310" s="36"/>
      <c r="QB310" s="36"/>
      <c r="QC310" s="36"/>
      <c r="QD310" s="36"/>
      <c r="QE310" s="36"/>
      <c r="QF310" s="36"/>
      <c r="QG310" s="36"/>
      <c r="QH310" s="36"/>
      <c r="QI310" s="36"/>
      <c r="QJ310" s="36"/>
      <c r="QK310" s="36"/>
      <c r="QL310" s="36"/>
      <c r="QM310" s="36"/>
      <c r="QN310" s="36"/>
      <c r="QO310" s="36"/>
      <c r="QP310" s="36"/>
      <c r="QQ310" s="36"/>
      <c r="QR310" s="36"/>
      <c r="QS310" s="36"/>
      <c r="QT310" s="36"/>
      <c r="QU310" s="36"/>
      <c r="QV310" s="36"/>
      <c r="QW310" s="36"/>
      <c r="QX310" s="36"/>
      <c r="QY310" s="36"/>
      <c r="QZ310" s="36"/>
      <c r="RA310" s="36"/>
      <c r="RB310" s="36"/>
      <c r="RC310" s="36"/>
      <c r="RD310" s="36"/>
      <c r="RE310" s="36"/>
      <c r="RF310" s="36"/>
      <c r="RG310" s="36"/>
      <c r="RH310" s="36"/>
      <c r="RI310" s="36"/>
      <c r="RJ310" s="36"/>
      <c r="RK310" s="36"/>
      <c r="RL310" s="36"/>
      <c r="RM310" s="36"/>
      <c r="RN310" s="36"/>
      <c r="RO310" s="36"/>
      <c r="RP310" s="36"/>
      <c r="RQ310" s="36"/>
      <c r="RR310" s="36"/>
      <c r="RS310" s="36"/>
      <c r="RT310" s="36"/>
      <c r="RU310" s="36"/>
      <c r="RV310" s="36"/>
      <c r="RW310" s="36"/>
      <c r="RX310" s="36"/>
      <c r="RY310" s="36"/>
      <c r="RZ310" s="36"/>
      <c r="SA310" s="36"/>
      <c r="SB310" s="36"/>
      <c r="SC310" s="36"/>
      <c r="SD310" s="36"/>
      <c r="SE310" s="36"/>
      <c r="SF310" s="36"/>
      <c r="SG310" s="36"/>
      <c r="SH310" s="36"/>
      <c r="SI310" s="36"/>
      <c r="SJ310" s="36"/>
      <c r="SK310" s="36"/>
      <c r="SL310" s="36"/>
      <c r="SM310" s="36"/>
      <c r="SN310" s="36"/>
      <c r="SO310" s="36"/>
      <c r="SP310" s="36"/>
      <c r="SQ310" s="36"/>
      <c r="SR310" s="36"/>
      <c r="SS310" s="36"/>
      <c r="ST310" s="36"/>
      <c r="SU310" s="36"/>
      <c r="SV310" s="36"/>
      <c r="SW310" s="36"/>
      <c r="SX310" s="36"/>
      <c r="SY310" s="36"/>
      <c r="SZ310" s="36"/>
      <c r="TA310" s="36"/>
      <c r="TB310" s="36"/>
      <c r="TC310" s="36"/>
      <c r="TD310" s="36"/>
      <c r="TE310" s="36"/>
      <c r="TF310" s="36"/>
      <c r="TG310" s="36"/>
      <c r="TH310" s="36"/>
      <c r="TI310" s="36"/>
      <c r="TJ310" s="36"/>
      <c r="TK310" s="36"/>
      <c r="TL310" s="36"/>
      <c r="TM310" s="36"/>
      <c r="TN310" s="36"/>
      <c r="TO310" s="36"/>
      <c r="TP310" s="36"/>
      <c r="TQ310" s="36"/>
      <c r="TR310" s="36"/>
      <c r="TS310" s="36"/>
      <c r="TT310" s="36"/>
      <c r="TU310" s="36"/>
      <c r="TV310" s="36"/>
      <c r="TW310" s="36"/>
      <c r="TX310" s="36"/>
      <c r="TY310" s="36"/>
      <c r="TZ310" s="36"/>
      <c r="UA310" s="36"/>
      <c r="UB310" s="36"/>
      <c r="UC310" s="36"/>
      <c r="UD310" s="36"/>
      <c r="UE310" s="36"/>
      <c r="UF310" s="36"/>
      <c r="UG310" s="36"/>
      <c r="UH310" s="36"/>
      <c r="UI310" s="36"/>
      <c r="UJ310" s="36"/>
      <c r="UK310" s="36"/>
      <c r="UL310" s="36"/>
      <c r="UM310" s="36"/>
      <c r="UN310" s="36"/>
      <c r="UO310" s="36"/>
      <c r="UP310" s="36"/>
      <c r="UQ310" s="36"/>
      <c r="UR310" s="36"/>
      <c r="US310" s="36"/>
      <c r="UT310" s="36"/>
      <c r="UU310" s="36"/>
      <c r="UV310" s="36"/>
      <c r="UW310" s="36"/>
      <c r="UX310" s="36"/>
      <c r="UY310" s="36"/>
      <c r="UZ310" s="36"/>
      <c r="VA310" s="36"/>
      <c r="VB310" s="36"/>
      <c r="VC310" s="36"/>
      <c r="VD310" s="36"/>
      <c r="VE310" s="36"/>
      <c r="VF310" s="36"/>
      <c r="VG310" s="36"/>
      <c r="VH310" s="36"/>
      <c r="VI310" s="36"/>
      <c r="VJ310" s="36"/>
      <c r="VK310" s="36"/>
      <c r="VL310" s="36"/>
      <c r="VM310" s="36"/>
      <c r="VN310" s="36"/>
      <c r="VO310" s="36"/>
      <c r="VP310" s="36"/>
      <c r="VQ310" s="36"/>
      <c r="VR310" s="36"/>
      <c r="VS310" s="36"/>
      <c r="VT310" s="36"/>
      <c r="VU310" s="36"/>
      <c r="VV310" s="36"/>
      <c r="VW310" s="36"/>
      <c r="VX310" s="36"/>
      <c r="VY310" s="36"/>
      <c r="VZ310" s="36"/>
      <c r="WA310" s="36"/>
      <c r="WB310" s="36"/>
      <c r="WC310" s="36"/>
      <c r="WD310" s="36"/>
      <c r="WE310" s="36"/>
      <c r="WF310" s="36"/>
      <c r="WG310" s="36"/>
      <c r="WH310" s="36"/>
      <c r="WI310" s="36"/>
      <c r="WJ310" s="36"/>
      <c r="WK310" s="36"/>
      <c r="WL310" s="36"/>
      <c r="WM310" s="36"/>
      <c r="WN310" s="36"/>
      <c r="WO310" s="36"/>
      <c r="WP310" s="36"/>
      <c r="WQ310" s="36"/>
      <c r="WR310" s="36"/>
      <c r="WS310" s="36"/>
      <c r="WT310" s="36"/>
      <c r="WU310" s="36"/>
      <c r="WV310" s="36"/>
      <c r="WW310" s="36"/>
      <c r="WX310" s="36"/>
      <c r="WY310" s="36"/>
      <c r="WZ310" s="36"/>
      <c r="XA310" s="36"/>
      <c r="XB310" s="36"/>
      <c r="XC310" s="36"/>
      <c r="XD310" s="36"/>
      <c r="XE310" s="36"/>
      <c r="XF310" s="36"/>
      <c r="XG310" s="36"/>
      <c r="XH310" s="36"/>
      <c r="XI310" s="36"/>
      <c r="XJ310" s="36"/>
      <c r="XK310" s="36"/>
      <c r="XL310" s="36"/>
      <c r="XM310" s="36"/>
      <c r="XN310" s="36"/>
      <c r="XO310" s="36"/>
      <c r="XP310" s="36"/>
      <c r="XQ310" s="36"/>
      <c r="XR310" s="36"/>
      <c r="XS310" s="36"/>
      <c r="XT310" s="36"/>
      <c r="XU310" s="36"/>
      <c r="XV310" s="36"/>
      <c r="XW310" s="36"/>
      <c r="XX310" s="36"/>
      <c r="XY310" s="36"/>
      <c r="XZ310" s="36"/>
      <c r="YA310" s="36"/>
      <c r="YB310" s="36"/>
      <c r="YC310" s="36"/>
      <c r="YD310" s="36"/>
      <c r="YE310" s="36"/>
      <c r="YF310" s="36"/>
      <c r="YG310" s="36"/>
      <c r="YH310" s="36"/>
      <c r="YI310" s="36"/>
      <c r="YJ310" s="36"/>
      <c r="YK310" s="36"/>
      <c r="YL310" s="36"/>
      <c r="YM310" s="36"/>
      <c r="YN310" s="36"/>
      <c r="YO310" s="36"/>
      <c r="YP310" s="36"/>
      <c r="YQ310" s="36"/>
      <c r="YR310" s="36"/>
      <c r="YS310" s="36"/>
      <c r="YT310" s="36"/>
      <c r="YU310" s="36"/>
      <c r="YV310" s="36"/>
      <c r="YW310" s="36"/>
      <c r="YX310" s="36"/>
      <c r="YY310" s="36"/>
      <c r="YZ310" s="36"/>
      <c r="ZA310" s="36"/>
      <c r="ZB310" s="36"/>
      <c r="ZC310" s="36"/>
      <c r="ZD310" s="36"/>
      <c r="ZE310" s="36"/>
      <c r="ZF310" s="36"/>
      <c r="ZG310" s="36"/>
      <c r="ZH310" s="36"/>
      <c r="ZI310" s="36"/>
      <c r="ZJ310" s="36"/>
      <c r="ZK310" s="36"/>
      <c r="ZL310" s="36"/>
      <c r="ZM310" s="36"/>
      <c r="ZN310" s="36"/>
      <c r="ZO310" s="36"/>
      <c r="ZP310" s="36"/>
      <c r="ZQ310" s="36"/>
      <c r="ZR310" s="36"/>
      <c r="ZS310" s="36"/>
      <c r="ZT310" s="36"/>
      <c r="ZU310" s="36"/>
      <c r="ZV310" s="36"/>
      <c r="ZW310" s="36"/>
      <c r="ZX310" s="36"/>
      <c r="ZY310" s="36"/>
      <c r="ZZ310" s="36"/>
      <c r="AAA310" s="36"/>
      <c r="AAB310" s="36"/>
      <c r="AAC310" s="36"/>
      <c r="AAD310" s="36"/>
      <c r="AAE310" s="36"/>
      <c r="AAF310" s="36"/>
      <c r="AAG310" s="36"/>
      <c r="AAH310" s="36"/>
      <c r="AAI310" s="36"/>
      <c r="AAJ310" s="36"/>
      <c r="AAK310" s="36"/>
      <c r="AAL310" s="36"/>
      <c r="AAM310" s="36"/>
      <c r="AAN310" s="36"/>
      <c r="AAO310" s="36"/>
      <c r="AAP310" s="36"/>
      <c r="AAQ310" s="36"/>
      <c r="AAR310" s="36"/>
      <c r="AAS310" s="36"/>
      <c r="AAT310" s="36"/>
      <c r="AAU310" s="36"/>
      <c r="AAV310" s="36"/>
      <c r="AAW310" s="36"/>
      <c r="AAX310" s="36"/>
      <c r="AAY310" s="36"/>
      <c r="AAZ310" s="36"/>
      <c r="ABA310" s="36"/>
      <c r="ABB310" s="36"/>
      <c r="ABC310" s="36"/>
      <c r="ABD310" s="36"/>
      <c r="ABE310" s="36"/>
      <c r="ABF310" s="36"/>
      <c r="ABG310" s="36"/>
      <c r="ABH310" s="36"/>
      <c r="ABI310" s="36"/>
      <c r="ABJ310" s="36"/>
      <c r="ABK310" s="36"/>
      <c r="ABL310" s="36"/>
      <c r="ABM310" s="36"/>
      <c r="ABN310" s="36"/>
      <c r="ABO310" s="36"/>
      <c r="ABP310" s="36"/>
      <c r="ABQ310" s="36"/>
      <c r="ABR310" s="36"/>
      <c r="ABS310" s="36"/>
      <c r="ABT310" s="36"/>
      <c r="ABV310" s="13"/>
      <c r="ABW310" s="35"/>
      <c r="ABX310" s="35"/>
      <c r="ABY310" s="15"/>
      <c r="ACA310" s="13"/>
      <c r="ACB310" s="35"/>
      <c r="ACC310" s="35"/>
      <c r="ACD310" s="15"/>
      <c r="ACF310" s="13"/>
      <c r="ACG310" s="35"/>
      <c r="ACH310" s="35"/>
      <c r="ACI310" s="15"/>
      <c r="ACK310" s="13"/>
      <c r="ACL310" s="35"/>
      <c r="ACM310" s="35"/>
      <c r="ACN310" s="15"/>
      <c r="ACP310" s="13"/>
      <c r="ACQ310" s="35"/>
      <c r="ACR310" s="35"/>
      <c r="ACS310" s="15"/>
      <c r="ACU310" s="13"/>
      <c r="ACV310" s="35"/>
      <c r="ACW310" s="35"/>
      <c r="ACX310" s="15"/>
      <c r="ACZ310" s="13"/>
      <c r="ADA310" s="35"/>
      <c r="ADB310" s="35"/>
      <c r="ADC310" s="15"/>
      <c r="ADE310" s="13"/>
      <c r="ADF310" s="35"/>
      <c r="ADG310" s="35"/>
      <c r="ADH310" s="15"/>
      <c r="ADJ310" s="13"/>
      <c r="ADK310" s="35"/>
      <c r="ADL310" s="35"/>
      <c r="ADM310" s="15"/>
      <c r="ADO310" s="13"/>
      <c r="ADP310" s="35"/>
      <c r="ADQ310" s="35"/>
      <c r="ADR310" s="15"/>
      <c r="ADT310" s="13"/>
      <c r="ADU310" s="35"/>
      <c r="ADV310" s="35"/>
      <c r="ADW310" s="15"/>
      <c r="ADY310" s="13"/>
      <c r="ADZ310" s="35"/>
      <c r="AEA310" s="35"/>
      <c r="AEB310" s="15"/>
      <c r="AED310" s="13"/>
      <c r="AEE310" s="35"/>
      <c r="AEF310" s="35"/>
      <c r="AEG310" s="15"/>
      <c r="AEI310" s="13"/>
      <c r="AEJ310" s="35"/>
      <c r="AEK310" s="35"/>
      <c r="AEL310" s="15"/>
      <c r="AEN310" s="13"/>
      <c r="AEO310" s="35"/>
      <c r="AEP310" s="35"/>
      <c r="AEQ310" s="15"/>
      <c r="AES310" s="13"/>
      <c r="AET310" s="35"/>
      <c r="AEU310" s="35"/>
      <c r="AEV310" s="15"/>
      <c r="AEX310" s="13"/>
      <c r="AEY310" s="35"/>
      <c r="AEZ310" s="35"/>
      <c r="AFA310" s="15"/>
      <c r="AFC310" s="13"/>
      <c r="AFD310" s="35"/>
      <c r="AFE310" s="35"/>
      <c r="AFF310" s="15"/>
      <c r="AFH310" s="13"/>
      <c r="AFI310" s="35"/>
      <c r="AFJ310" s="35"/>
      <c r="AFK310" s="15"/>
      <c r="AFM310" s="13"/>
      <c r="AFN310" s="35"/>
      <c r="AFO310" s="35"/>
      <c r="AFP310" s="15"/>
      <c r="AFR310" s="13"/>
      <c r="AFS310" s="35"/>
      <c r="AFT310" s="35"/>
      <c r="AFU310" s="15"/>
      <c r="AFW310" s="13"/>
      <c r="AFX310" s="35"/>
      <c r="AFY310" s="35"/>
      <c r="AFZ310" s="15"/>
      <c r="AGB310" s="13"/>
      <c r="AGC310" s="35"/>
      <c r="AGD310" s="35"/>
      <c r="AGE310" s="15"/>
      <c r="AGG310" s="13"/>
      <c r="AGH310" s="35"/>
      <c r="AGI310" s="35"/>
      <c r="AGJ310" s="15"/>
      <c r="AGL310" s="13"/>
      <c r="AGM310" s="35"/>
      <c r="AGN310" s="35"/>
      <c r="AGO310" s="15"/>
      <c r="AGQ310" s="13"/>
      <c r="AGR310" s="35"/>
      <c r="AGS310" s="35"/>
      <c r="AGT310" s="15"/>
      <c r="AGV310" s="13"/>
      <c r="AGW310" s="35"/>
      <c r="AGX310" s="35"/>
      <c r="AGY310" s="15"/>
      <c r="AHA310" s="13"/>
      <c r="AHB310" s="35"/>
      <c r="AHC310" s="35"/>
      <c r="AHD310" s="15"/>
      <c r="AHF310" s="13"/>
      <c r="AHG310" s="35"/>
      <c r="AHH310" s="35"/>
      <c r="AHI310" s="15"/>
      <c r="AHK310" s="13"/>
      <c r="AHL310" s="35"/>
      <c r="AHM310" s="35"/>
      <c r="AHN310" s="15"/>
      <c r="AHP310" s="13"/>
      <c r="AHQ310" s="35"/>
      <c r="AHR310" s="35"/>
      <c r="AHS310" s="15"/>
      <c r="AHU310" s="13"/>
      <c r="AHV310" s="35"/>
      <c r="AHW310" s="35"/>
      <c r="AHX310" s="15"/>
      <c r="AHZ310" s="13"/>
      <c r="AIA310" s="35"/>
      <c r="AIB310" s="35"/>
      <c r="AIC310" s="15"/>
      <c r="AIE310" s="13"/>
      <c r="AIF310" s="35"/>
      <c r="AIG310" s="35"/>
      <c r="AIH310" s="15"/>
      <c r="AIJ310" s="13"/>
      <c r="AIK310" s="35"/>
      <c r="AIL310" s="35"/>
      <c r="AIM310" s="15"/>
      <c r="AIO310" s="13"/>
      <c r="AIP310" s="35"/>
      <c r="AIQ310" s="35"/>
      <c r="AIR310" s="15"/>
      <c r="AIT310" s="13"/>
      <c r="AIU310" s="35"/>
      <c r="AIV310" s="35"/>
      <c r="AIW310" s="15"/>
      <c r="AIY310" s="13"/>
      <c r="AIZ310" s="35"/>
      <c r="AJA310" s="35"/>
      <c r="AJB310" s="15"/>
      <c r="AJD310" s="13"/>
      <c r="AJE310" s="35"/>
      <c r="AJF310" s="35"/>
      <c r="AJG310" s="15"/>
      <c r="AJI310" s="13"/>
      <c r="AJJ310" s="35"/>
      <c r="AJK310" s="35"/>
      <c r="AJL310" s="15"/>
      <c r="AJN310" s="13"/>
      <c r="AJO310" s="35"/>
      <c r="AJP310" s="35"/>
      <c r="AJQ310" s="15"/>
      <c r="AJS310" s="13"/>
      <c r="AJT310" s="35"/>
      <c r="AJU310" s="35"/>
      <c r="AJV310" s="15"/>
      <c r="AJX310" s="13"/>
      <c r="AJY310" s="35"/>
      <c r="AJZ310" s="35"/>
      <c r="AKA310" s="15"/>
      <c r="AKC310" s="13"/>
      <c r="AKD310" s="35"/>
      <c r="AKE310" s="35"/>
      <c r="AKF310" s="15"/>
      <c r="AKH310" s="13"/>
      <c r="AKI310" s="35"/>
      <c r="AKJ310" s="35"/>
      <c r="AKK310" s="15"/>
      <c r="AKM310" s="13"/>
      <c r="AKN310" s="35"/>
      <c r="AKO310" s="35"/>
      <c r="AKP310" s="15"/>
      <c r="AKR310" s="13"/>
      <c r="AKS310" s="35"/>
      <c r="AKT310" s="35"/>
      <c r="AKU310" s="15"/>
      <c r="AKW310" s="13"/>
      <c r="AKX310" s="35"/>
      <c r="AKY310" s="35"/>
      <c r="AKZ310" s="15"/>
      <c r="ALB310" s="13"/>
      <c r="ALC310" s="35"/>
      <c r="ALD310" s="35"/>
      <c r="ALE310" s="15"/>
      <c r="ALG310" s="13"/>
      <c r="ALH310" s="35"/>
      <c r="ALI310" s="35"/>
      <c r="ALJ310" s="15"/>
      <c r="ALL310" s="13"/>
      <c r="ALM310" s="35"/>
      <c r="ALN310" s="35"/>
      <c r="ALO310" s="15"/>
      <c r="ALQ310" s="13"/>
      <c r="ALR310" s="35"/>
      <c r="ALS310" s="35"/>
      <c r="ALT310" s="15"/>
      <c r="ALV310" s="13"/>
      <c r="ALW310" s="35"/>
      <c r="ALX310" s="35"/>
      <c r="ALY310" s="15"/>
      <c r="AMA310" s="13"/>
      <c r="AMB310" s="35"/>
      <c r="AMC310" s="35"/>
      <c r="AMD310" s="15"/>
      <c r="AMF310" s="13"/>
      <c r="AMG310" s="35"/>
      <c r="AMH310" s="35"/>
      <c r="AMI310" s="15"/>
      <c r="AMK310" s="13"/>
      <c r="AML310" s="35"/>
      <c r="AMM310" s="35"/>
      <c r="AMN310" s="15"/>
      <c r="AMP310" s="13"/>
      <c r="AMQ310" s="35"/>
      <c r="AMR310" s="35"/>
      <c r="AMS310" s="15"/>
      <c r="AMU310" s="13"/>
      <c r="AMV310" s="35"/>
      <c r="AMW310" s="35"/>
      <c r="AMX310" s="15"/>
      <c r="AMZ310" s="13"/>
      <c r="ANA310" s="35"/>
      <c r="ANB310" s="35"/>
      <c r="ANC310" s="15"/>
      <c r="ANE310" s="13"/>
      <c r="ANF310" s="35"/>
      <c r="ANG310" s="35"/>
      <c r="ANH310" s="15"/>
      <c r="ANJ310" s="13"/>
      <c r="ANK310" s="35"/>
      <c r="ANL310" s="35"/>
      <c r="ANM310" s="15"/>
      <c r="ANO310" s="13"/>
      <c r="ANP310" s="35"/>
      <c r="ANQ310" s="35"/>
      <c r="ANR310" s="15"/>
      <c r="ANT310" s="13"/>
      <c r="ANU310" s="35"/>
      <c r="ANV310" s="35"/>
      <c r="ANW310" s="15"/>
      <c r="ANY310" s="13"/>
      <c r="ANZ310" s="35"/>
      <c r="AOA310" s="35"/>
      <c r="AOB310" s="15"/>
      <c r="AOD310" s="13"/>
      <c r="AOE310" s="35"/>
      <c r="AOF310" s="35"/>
      <c r="AOG310" s="15"/>
      <c r="AOI310" s="13"/>
      <c r="AOJ310" s="35"/>
      <c r="AOK310" s="35"/>
      <c r="AOL310" s="15"/>
      <c r="AON310" s="13"/>
      <c r="AOO310" s="35"/>
      <c r="AOP310" s="35"/>
      <c r="AOQ310" s="15"/>
      <c r="AOS310" s="13"/>
      <c r="AOT310" s="35"/>
      <c r="AOU310" s="35"/>
      <c r="AOV310" s="15"/>
      <c r="AOX310" s="13"/>
      <c r="AOY310" s="35"/>
      <c r="AOZ310" s="35"/>
      <c r="APA310" s="15"/>
      <c r="APC310" s="13"/>
      <c r="APD310" s="35"/>
      <c r="APE310" s="35"/>
      <c r="APF310" s="15"/>
      <c r="APH310" s="13"/>
      <c r="API310" s="35"/>
      <c r="APJ310" s="35"/>
      <c r="APK310" s="15"/>
      <c r="APM310" s="13"/>
      <c r="APN310" s="35"/>
      <c r="APO310" s="35"/>
      <c r="APP310" s="15"/>
      <c r="APR310" s="13"/>
      <c r="APS310" s="35"/>
      <c r="APT310" s="35"/>
      <c r="APU310" s="15"/>
      <c r="APW310" s="13"/>
      <c r="APX310" s="35"/>
      <c r="APY310" s="35"/>
      <c r="APZ310" s="15"/>
      <c r="AQB310" s="13"/>
      <c r="AQC310" s="35"/>
      <c r="AQD310" s="35"/>
      <c r="AQE310" s="15"/>
      <c r="AQG310" s="13"/>
      <c r="AQH310" s="35"/>
      <c r="AQI310" s="35"/>
      <c r="AQJ310" s="15"/>
      <c r="AQL310" s="13"/>
      <c r="AQM310" s="35"/>
      <c r="AQN310" s="35"/>
      <c r="AQO310" s="15"/>
      <c r="AQQ310" s="13"/>
      <c r="AQR310" s="35"/>
      <c r="AQS310" s="35"/>
      <c r="AQT310" s="15"/>
      <c r="AQV310" s="13"/>
      <c r="AQW310" s="35"/>
      <c r="AQX310" s="35"/>
      <c r="AQY310" s="15"/>
      <c r="ARA310" s="13"/>
      <c r="ARB310" s="35"/>
      <c r="ARC310" s="35"/>
      <c r="ARD310" s="15"/>
      <c r="ARF310" s="13"/>
      <c r="ARG310" s="35"/>
      <c r="ARH310" s="35"/>
      <c r="ARI310" s="15"/>
      <c r="ARK310" s="13"/>
      <c r="ARL310" s="35"/>
      <c r="ARM310" s="35"/>
      <c r="ARN310" s="15"/>
      <c r="ARP310" s="13"/>
      <c r="ARQ310" s="35"/>
      <c r="ARR310" s="35"/>
      <c r="ARS310" s="15"/>
      <c r="ARU310" s="13"/>
      <c r="ARV310" s="35"/>
      <c r="ARW310" s="35"/>
      <c r="ARX310" s="15"/>
      <c r="ARZ310" s="13"/>
      <c r="ASA310" s="35"/>
      <c r="ASB310" s="35"/>
      <c r="ASC310" s="15"/>
      <c r="ASE310" s="13"/>
      <c r="ASF310" s="35"/>
      <c r="ASG310" s="35"/>
      <c r="ASH310" s="15"/>
      <c r="ASJ310" s="13"/>
      <c r="ASK310" s="35"/>
      <c r="ASL310" s="35"/>
      <c r="ASM310" s="15"/>
      <c r="ASO310" s="13"/>
      <c r="ASP310" s="35"/>
      <c r="ASQ310" s="35"/>
      <c r="ASR310" s="15"/>
      <c r="AST310" s="13"/>
      <c r="ASU310" s="35"/>
      <c r="ASV310" s="35"/>
      <c r="ASW310" s="15"/>
      <c r="ASY310" s="13"/>
      <c r="ASZ310" s="35"/>
      <c r="ATA310" s="35"/>
      <c r="ATB310" s="15"/>
      <c r="ATD310" s="13"/>
      <c r="ATE310" s="35"/>
      <c r="ATF310" s="35"/>
      <c r="ATG310" s="15"/>
      <c r="ATI310" s="13"/>
      <c r="ATJ310" s="35"/>
      <c r="ATK310" s="35"/>
      <c r="ATL310" s="15"/>
      <c r="ATN310" s="13"/>
      <c r="ATO310" s="35"/>
      <c r="ATP310" s="35"/>
      <c r="ATQ310" s="15"/>
      <c r="ATS310" s="13"/>
      <c r="ATT310" s="35"/>
      <c r="ATU310" s="35"/>
      <c r="ATV310" s="15"/>
      <c r="ATX310" s="13"/>
      <c r="ATY310" s="35"/>
      <c r="ATZ310" s="35"/>
      <c r="AUA310" s="15"/>
      <c r="AUC310" s="13"/>
      <c r="AUD310" s="35"/>
      <c r="AUE310" s="35"/>
      <c r="AUF310" s="15"/>
      <c r="AUH310" s="13"/>
      <c r="AUI310" s="35"/>
      <c r="AUJ310" s="35"/>
      <c r="AUK310" s="15"/>
      <c r="AUM310" s="13"/>
      <c r="AUN310" s="35"/>
      <c r="AUO310" s="35"/>
      <c r="AUP310" s="15"/>
      <c r="AUR310" s="13"/>
      <c r="AUS310" s="35"/>
      <c r="AUT310" s="35"/>
      <c r="AUU310" s="15"/>
      <c r="AUW310" s="13"/>
      <c r="AUX310" s="35"/>
      <c r="AUY310" s="35"/>
      <c r="AUZ310" s="15"/>
      <c r="AVB310" s="13"/>
      <c r="AVC310" s="35"/>
      <c r="AVD310" s="35"/>
      <c r="AVE310" s="15"/>
      <c r="AVG310" s="13"/>
      <c r="AVH310" s="35"/>
      <c r="AVI310" s="35"/>
      <c r="AVJ310" s="15"/>
      <c r="AVL310" s="13"/>
      <c r="AVM310" s="35"/>
      <c r="AVN310" s="35"/>
      <c r="AVO310" s="15"/>
      <c r="AVQ310" s="13"/>
      <c r="AVR310" s="35"/>
      <c r="AVS310" s="35"/>
      <c r="AVT310" s="15"/>
      <c r="AVV310" s="13"/>
      <c r="AVW310" s="35"/>
      <c r="AVX310" s="35"/>
      <c r="AVY310" s="15"/>
      <c r="AWA310" s="13"/>
      <c r="AWB310" s="35"/>
      <c r="AWC310" s="35"/>
      <c r="AWD310" s="15"/>
      <c r="AWF310" s="13"/>
      <c r="AWG310" s="35"/>
      <c r="AWH310" s="35"/>
      <c r="AWI310" s="15"/>
      <c r="AWK310" s="13"/>
      <c r="AWL310" s="35"/>
      <c r="AWM310" s="35"/>
      <c r="AWN310" s="15"/>
      <c r="AWP310" s="13"/>
      <c r="AWQ310" s="35"/>
      <c r="AWR310" s="35"/>
      <c r="AWS310" s="15"/>
      <c r="AWU310" s="13"/>
      <c r="AWV310" s="35"/>
      <c r="AWW310" s="35"/>
      <c r="AWX310" s="15"/>
      <c r="AWZ310" s="13"/>
      <c r="AXA310" s="35"/>
      <c r="AXB310" s="35"/>
      <c r="AXC310" s="15"/>
      <c r="AXE310" s="13"/>
      <c r="AXF310" s="35"/>
      <c r="AXG310" s="35"/>
      <c r="AXH310" s="15"/>
      <c r="AXJ310" s="13"/>
      <c r="AXK310" s="35"/>
      <c r="AXL310" s="35"/>
      <c r="AXM310" s="15"/>
      <c r="AXO310" s="13"/>
      <c r="AXP310" s="35"/>
      <c r="AXQ310" s="35"/>
      <c r="AXR310" s="15"/>
      <c r="AXT310" s="13"/>
      <c r="AXU310" s="35"/>
      <c r="AXV310" s="35"/>
      <c r="AXW310" s="15"/>
      <c r="AXY310" s="13"/>
      <c r="AXZ310" s="35"/>
      <c r="AYA310" s="35"/>
      <c r="AYB310" s="15"/>
      <c r="AYD310" s="13"/>
      <c r="AYE310" s="35"/>
      <c r="AYF310" s="35"/>
      <c r="AYG310" s="15"/>
      <c r="AYI310" s="13"/>
      <c r="AYJ310" s="35"/>
      <c r="AYK310" s="35"/>
      <c r="AYL310" s="15"/>
      <c r="AYN310" s="13"/>
      <c r="AYO310" s="35"/>
      <c r="AYP310" s="35"/>
      <c r="AYQ310" s="15"/>
      <c r="AYS310" s="13"/>
      <c r="AYT310" s="35"/>
      <c r="AYU310" s="35"/>
      <c r="AYV310" s="15"/>
      <c r="AYX310" s="13"/>
      <c r="AYY310" s="35"/>
      <c r="AYZ310" s="35"/>
      <c r="AZA310" s="15"/>
      <c r="AZC310" s="13"/>
      <c r="AZD310" s="35"/>
      <c r="AZE310" s="35"/>
      <c r="AZF310" s="15"/>
      <c r="AZH310" s="13"/>
      <c r="AZI310" s="35"/>
      <c r="AZJ310" s="35"/>
      <c r="AZK310" s="15"/>
      <c r="AZM310" s="13"/>
      <c r="AZN310" s="35"/>
      <c r="AZO310" s="35"/>
      <c r="AZP310" s="15"/>
      <c r="AZR310" s="13"/>
      <c r="AZS310" s="35"/>
      <c r="AZT310" s="35"/>
      <c r="AZU310" s="15"/>
      <c r="AZW310" s="13"/>
      <c r="AZX310" s="35"/>
      <c r="AZY310" s="35"/>
      <c r="AZZ310" s="15"/>
      <c r="BAB310" s="13"/>
      <c r="BAC310" s="35"/>
      <c r="BAD310" s="35"/>
      <c r="BAE310" s="15"/>
      <c r="BAG310" s="13"/>
      <c r="BAH310" s="35"/>
      <c r="BAI310" s="35"/>
      <c r="BAJ310" s="15"/>
      <c r="BAL310" s="13"/>
      <c r="BAM310" s="35"/>
      <c r="BAN310" s="35"/>
      <c r="BAO310" s="15"/>
      <c r="BAQ310" s="13"/>
      <c r="BAR310" s="35"/>
      <c r="BAS310" s="35"/>
      <c r="BAT310" s="15"/>
      <c r="BAV310" s="13"/>
      <c r="BAW310" s="35"/>
      <c r="BAX310" s="35"/>
      <c r="BAY310" s="15"/>
      <c r="BBA310" s="13"/>
      <c r="BBB310" s="35"/>
      <c r="BBC310" s="35"/>
      <c r="BBD310" s="15"/>
      <c r="BBF310" s="13"/>
      <c r="BBG310" s="35"/>
      <c r="BBH310" s="35"/>
      <c r="BBI310" s="15"/>
      <c r="BBK310" s="13"/>
      <c r="BBL310" s="35"/>
      <c r="BBM310" s="35"/>
      <c r="BBN310" s="15"/>
      <c r="BBP310" s="13"/>
      <c r="BBQ310" s="35"/>
      <c r="BBR310" s="35"/>
      <c r="BBS310" s="15"/>
      <c r="BBU310" s="13"/>
      <c r="BBV310" s="35"/>
      <c r="BBW310" s="35"/>
      <c r="BBX310" s="15"/>
      <c r="BBZ310" s="13"/>
      <c r="BCA310" s="35"/>
      <c r="BCB310" s="35"/>
      <c r="BCC310" s="15"/>
      <c r="BCE310" s="13"/>
      <c r="BCF310" s="35"/>
      <c r="BCG310" s="35"/>
      <c r="BCH310" s="15"/>
      <c r="BCJ310" s="13"/>
      <c r="BCK310" s="35"/>
      <c r="BCL310" s="35"/>
      <c r="BCM310" s="15"/>
      <c r="BCO310" s="13"/>
      <c r="BCP310" s="35"/>
      <c r="BCQ310" s="35"/>
      <c r="BCR310" s="15"/>
      <c r="BCT310" s="13"/>
      <c r="BCU310" s="35"/>
      <c r="BCV310" s="35"/>
      <c r="BCW310" s="15"/>
      <c r="BCY310" s="13"/>
      <c r="BCZ310" s="35"/>
      <c r="BDA310" s="35"/>
      <c r="BDB310" s="15"/>
      <c r="BDD310" s="13"/>
      <c r="BDE310" s="35"/>
      <c r="BDF310" s="35"/>
      <c r="BDG310" s="15"/>
      <c r="BDI310" s="13"/>
      <c r="BDJ310" s="35"/>
      <c r="BDK310" s="35"/>
      <c r="BDL310" s="15"/>
      <c r="BDN310" s="13"/>
      <c r="BDO310" s="35"/>
      <c r="BDP310" s="35"/>
      <c r="BDQ310" s="15"/>
      <c r="BDS310" s="13"/>
      <c r="BDT310" s="35"/>
      <c r="BDU310" s="35"/>
      <c r="BDV310" s="15"/>
      <c r="BDX310" s="13"/>
      <c r="BDY310" s="35"/>
      <c r="BDZ310" s="35"/>
      <c r="BEA310" s="15"/>
      <c r="BEC310" s="13"/>
      <c r="BED310" s="35"/>
      <c r="BEE310" s="35"/>
      <c r="BEF310" s="15"/>
      <c r="BEH310" s="13"/>
      <c r="BEI310" s="35"/>
      <c r="BEJ310" s="35"/>
      <c r="BEK310" s="15"/>
      <c r="BEM310" s="13"/>
      <c r="BEN310" s="35"/>
      <c r="BEO310" s="35"/>
      <c r="BEP310" s="15"/>
      <c r="BER310" s="13"/>
      <c r="BES310" s="35"/>
      <c r="BET310" s="35"/>
      <c r="BEU310" s="15"/>
      <c r="BEW310" s="13"/>
      <c r="BEX310" s="35"/>
      <c r="BEY310" s="35"/>
      <c r="BEZ310" s="15"/>
      <c r="BFB310" s="13"/>
      <c r="BFC310" s="35"/>
      <c r="BFD310" s="35"/>
      <c r="BFE310" s="15"/>
      <c r="BFG310" s="13"/>
      <c r="BFH310" s="35"/>
      <c r="BFI310" s="35"/>
      <c r="BFJ310" s="15"/>
      <c r="BFL310" s="13"/>
      <c r="BFM310" s="35"/>
      <c r="BFN310" s="35"/>
      <c r="BFO310" s="15"/>
      <c r="BFQ310" s="13"/>
      <c r="BFR310" s="35"/>
      <c r="BFS310" s="35"/>
      <c r="BFT310" s="15"/>
      <c r="BFV310" s="13"/>
      <c r="BFW310" s="35"/>
      <c r="BFX310" s="35"/>
      <c r="BFY310" s="15"/>
      <c r="BGA310" s="13"/>
      <c r="BGB310" s="35"/>
      <c r="BGC310" s="35"/>
      <c r="BGD310" s="15"/>
      <c r="BGF310" s="13"/>
      <c r="BGG310" s="35"/>
      <c r="BGH310" s="35"/>
      <c r="BGI310" s="15"/>
      <c r="BGK310" s="13"/>
      <c r="BGL310" s="35"/>
      <c r="BGM310" s="35"/>
      <c r="BGN310" s="15"/>
      <c r="BGP310" s="13"/>
      <c r="BGQ310" s="35"/>
      <c r="BGR310" s="35"/>
      <c r="BGS310" s="15"/>
      <c r="BGU310" s="13"/>
      <c r="BGV310" s="35"/>
      <c r="BGW310" s="35"/>
      <c r="BGX310" s="15"/>
      <c r="BGZ310" s="13"/>
      <c r="BHA310" s="35"/>
      <c r="BHB310" s="35"/>
      <c r="BHC310" s="15"/>
      <c r="BHE310" s="13"/>
      <c r="BHF310" s="35"/>
      <c r="BHG310" s="35"/>
      <c r="BHH310" s="15"/>
      <c r="BHJ310" s="13"/>
      <c r="BHK310" s="35"/>
      <c r="BHL310" s="35"/>
      <c r="BHM310" s="15"/>
      <c r="BHO310" s="13"/>
      <c r="BHP310" s="35"/>
      <c r="BHQ310" s="35"/>
      <c r="BHR310" s="15"/>
      <c r="BHT310" s="13"/>
      <c r="BHU310" s="35"/>
      <c r="BHV310" s="35"/>
      <c r="BHW310" s="15"/>
      <c r="BHY310" s="13"/>
      <c r="BHZ310" s="35"/>
      <c r="BIA310" s="35"/>
      <c r="BIB310" s="15"/>
      <c r="BID310" s="13"/>
      <c r="BIE310" s="35"/>
      <c r="BIF310" s="35"/>
      <c r="BIG310" s="15"/>
      <c r="BII310" s="13"/>
      <c r="BIJ310" s="35"/>
      <c r="BIK310" s="35"/>
      <c r="BIL310" s="15"/>
      <c r="BIN310" s="13"/>
      <c r="BIO310" s="35"/>
      <c r="BIP310" s="35"/>
      <c r="BIQ310" s="15"/>
      <c r="BIS310" s="13"/>
      <c r="BIT310" s="35"/>
      <c r="BIU310" s="35"/>
      <c r="BIV310" s="15"/>
      <c r="BIX310" s="13"/>
      <c r="BIY310" s="35"/>
      <c r="BIZ310" s="35"/>
      <c r="BJA310" s="15"/>
      <c r="BJC310" s="13"/>
      <c r="BJD310" s="35"/>
      <c r="BJE310" s="35"/>
      <c r="BJF310" s="15"/>
      <c r="BJH310" s="13"/>
      <c r="BJI310" s="35"/>
      <c r="BJJ310" s="35"/>
      <c r="BJK310" s="15"/>
      <c r="BJM310" s="13"/>
      <c r="BJN310" s="35"/>
      <c r="BJO310" s="35"/>
      <c r="BJP310" s="15"/>
      <c r="BJR310" s="13"/>
      <c r="BJS310" s="35"/>
      <c r="BJT310" s="35"/>
      <c r="BJU310" s="15"/>
      <c r="BJW310" s="13"/>
      <c r="BJX310" s="35"/>
      <c r="BJY310" s="35"/>
      <c r="BJZ310" s="15"/>
      <c r="BKB310" s="13"/>
      <c r="BKC310" s="35"/>
      <c r="BKD310" s="35"/>
      <c r="BKE310" s="15"/>
      <c r="BKG310" s="13"/>
      <c r="BKH310" s="35"/>
      <c r="BKI310" s="35"/>
      <c r="BKJ310" s="15"/>
      <c r="BKL310" s="13"/>
      <c r="BKM310" s="35"/>
      <c r="BKN310" s="35"/>
      <c r="BKO310" s="15"/>
      <c r="BKQ310" s="13"/>
      <c r="BKR310" s="35"/>
      <c r="BKS310" s="35"/>
      <c r="BKT310" s="15"/>
      <c r="BKV310" s="13"/>
      <c r="BKW310" s="35"/>
      <c r="BKX310" s="35"/>
      <c r="BKY310" s="15"/>
      <c r="BLA310" s="13"/>
      <c r="BLB310" s="35"/>
      <c r="BLC310" s="35"/>
      <c r="BLD310" s="15"/>
      <c r="BLF310" s="13"/>
      <c r="BLG310" s="35"/>
      <c r="BLH310" s="35"/>
      <c r="BLI310" s="15"/>
      <c r="BLK310" s="13"/>
      <c r="BLL310" s="35"/>
      <c r="BLM310" s="35"/>
      <c r="BLN310" s="15"/>
      <c r="BLP310" s="13"/>
      <c r="BLQ310" s="35"/>
      <c r="BLR310" s="35"/>
      <c r="BLS310" s="15"/>
      <c r="BLU310" s="13"/>
      <c r="BLV310" s="35"/>
      <c r="BLW310" s="35"/>
      <c r="BLX310" s="15"/>
      <c r="BLZ310" s="13"/>
      <c r="BMA310" s="35"/>
      <c r="BMB310" s="35"/>
      <c r="BMC310" s="15"/>
      <c r="BME310" s="13"/>
      <c r="BMF310" s="35"/>
      <c r="BMG310" s="35"/>
      <c r="BMH310" s="15"/>
      <c r="BMJ310" s="13"/>
      <c r="BMK310" s="35"/>
      <c r="BML310" s="35"/>
      <c r="BMM310" s="15"/>
      <c r="BMO310" s="13"/>
      <c r="BMP310" s="35"/>
      <c r="BMQ310" s="35"/>
      <c r="BMR310" s="15"/>
      <c r="BMT310" s="13"/>
      <c r="BMU310" s="35"/>
      <c r="BMV310" s="35"/>
      <c r="BMW310" s="15"/>
      <c r="BMY310" s="13"/>
      <c r="BMZ310" s="35"/>
      <c r="BNA310" s="35"/>
      <c r="BNB310" s="15"/>
      <c r="BND310" s="13"/>
      <c r="BNE310" s="35"/>
      <c r="BNF310" s="35"/>
      <c r="BNG310" s="15"/>
      <c r="BNI310" s="13"/>
      <c r="BNJ310" s="35"/>
      <c r="BNK310" s="35"/>
      <c r="BNL310" s="15"/>
      <c r="BNN310" s="13"/>
      <c r="BNO310" s="35"/>
      <c r="BNP310" s="35"/>
      <c r="BNQ310" s="15"/>
      <c r="BNS310" s="13"/>
      <c r="BNT310" s="35"/>
      <c r="BNU310" s="35"/>
      <c r="BNV310" s="15"/>
      <c r="BNX310" s="13"/>
      <c r="BNY310" s="35"/>
      <c r="BNZ310" s="35"/>
      <c r="BOA310" s="15"/>
      <c r="BOC310" s="13"/>
      <c r="BOD310" s="35"/>
      <c r="BOE310" s="35"/>
      <c r="BOF310" s="15"/>
      <c r="BOH310" s="13"/>
      <c r="BOI310" s="35"/>
      <c r="BOJ310" s="35"/>
      <c r="BOK310" s="15"/>
      <c r="BOM310" s="13"/>
      <c r="BON310" s="35"/>
      <c r="BOO310" s="35"/>
      <c r="BOP310" s="15"/>
      <c r="BOR310" s="13"/>
      <c r="BOS310" s="35"/>
      <c r="BOT310" s="35"/>
      <c r="BOU310" s="15"/>
      <c r="BOW310" s="13"/>
      <c r="BOX310" s="35"/>
      <c r="BOY310" s="35"/>
      <c r="BOZ310" s="15"/>
      <c r="BPB310" s="13"/>
      <c r="BPC310" s="35"/>
      <c r="BPD310" s="35"/>
      <c r="BPE310" s="15"/>
      <c r="BPG310" s="13"/>
      <c r="BPH310" s="35"/>
      <c r="BPI310" s="35"/>
      <c r="BPJ310" s="15"/>
      <c r="BPL310" s="13"/>
      <c r="BPM310" s="35"/>
      <c r="BPN310" s="35"/>
      <c r="BPO310" s="15"/>
      <c r="BPQ310" s="13"/>
      <c r="BPR310" s="35"/>
      <c r="BPS310" s="35"/>
      <c r="BPT310" s="15"/>
      <c r="BPV310" s="13"/>
      <c r="BPW310" s="35"/>
      <c r="BPX310" s="35"/>
      <c r="BPY310" s="15"/>
      <c r="BQA310" s="13"/>
      <c r="BQB310" s="35"/>
      <c r="BQC310" s="35"/>
      <c r="BQD310" s="15"/>
      <c r="BQF310" s="13"/>
      <c r="BQG310" s="35"/>
      <c r="BQH310" s="35"/>
      <c r="BQI310" s="15"/>
      <c r="BQK310" s="13"/>
      <c r="BQL310" s="35"/>
      <c r="BQM310" s="35"/>
      <c r="BQN310" s="15"/>
      <c r="BQP310" s="13"/>
      <c r="BQQ310" s="35"/>
      <c r="BQR310" s="35"/>
      <c r="BQS310" s="15"/>
      <c r="BQU310" s="13"/>
      <c r="BQV310" s="35"/>
      <c r="BQW310" s="35"/>
      <c r="BQX310" s="15"/>
      <c r="BQZ310" s="13"/>
      <c r="BRA310" s="35"/>
      <c r="BRB310" s="35"/>
      <c r="BRC310" s="15"/>
      <c r="BRE310" s="13"/>
      <c r="BRF310" s="35"/>
      <c r="BRG310" s="35"/>
      <c r="BRH310" s="15"/>
      <c r="BRJ310" s="13"/>
      <c r="BRK310" s="35"/>
      <c r="BRL310" s="35"/>
      <c r="BRM310" s="15"/>
      <c r="BRO310" s="13"/>
      <c r="BRP310" s="35"/>
      <c r="BRQ310" s="35"/>
      <c r="BRR310" s="15"/>
      <c r="BRT310" s="13"/>
      <c r="BRU310" s="35"/>
      <c r="BRV310" s="35"/>
      <c r="BRW310" s="15"/>
      <c r="BRY310" s="13"/>
      <c r="BRZ310" s="35"/>
      <c r="BSA310" s="35"/>
      <c r="BSB310" s="15"/>
      <c r="BSD310" s="13"/>
      <c r="BSE310" s="35"/>
      <c r="BSF310" s="35"/>
      <c r="BSG310" s="15"/>
      <c r="BSI310" s="13"/>
      <c r="BSJ310" s="35"/>
      <c r="BSK310" s="35"/>
      <c r="BSL310" s="15"/>
      <c r="BSN310" s="13"/>
      <c r="BSO310" s="35"/>
      <c r="BSP310" s="35"/>
      <c r="BSQ310" s="15"/>
      <c r="BSS310" s="13"/>
      <c r="BST310" s="35"/>
      <c r="BSU310" s="35"/>
      <c r="BSV310" s="15"/>
      <c r="BSX310" s="13"/>
      <c r="BSY310" s="35"/>
      <c r="BSZ310" s="35"/>
      <c r="BTA310" s="15"/>
      <c r="BTC310" s="13"/>
      <c r="BTD310" s="35"/>
      <c r="BTE310" s="35"/>
      <c r="BTF310" s="15"/>
      <c r="BTH310" s="13"/>
      <c r="BTI310" s="35"/>
      <c r="BTJ310" s="35"/>
      <c r="BTK310" s="15"/>
      <c r="BTM310" s="13"/>
      <c r="BTN310" s="35"/>
      <c r="BTO310" s="35"/>
      <c r="BTP310" s="15"/>
      <c r="BTR310" s="13"/>
      <c r="BTS310" s="35"/>
      <c r="BTT310" s="35"/>
      <c r="BTU310" s="15"/>
      <c r="BTW310" s="13"/>
      <c r="BTX310" s="35"/>
      <c r="BTY310" s="35"/>
      <c r="BTZ310" s="15"/>
      <c r="BUB310" s="13"/>
      <c r="BUC310" s="35"/>
      <c r="BUD310" s="35"/>
      <c r="BUE310" s="15"/>
      <c r="BUG310" s="13"/>
      <c r="BUH310" s="35"/>
      <c r="BUI310" s="35"/>
      <c r="BUJ310" s="15"/>
      <c r="BUL310" s="13"/>
      <c r="BUM310" s="35"/>
      <c r="BUN310" s="35"/>
      <c r="BUO310" s="15"/>
      <c r="BUQ310" s="13"/>
      <c r="BUR310" s="35"/>
      <c r="BUS310" s="35"/>
      <c r="BUT310" s="15"/>
      <c r="BUV310" s="13"/>
      <c r="BUW310" s="35"/>
      <c r="BUX310" s="35"/>
      <c r="BUY310" s="15"/>
      <c r="BVA310" s="13"/>
      <c r="BVB310" s="35"/>
      <c r="BVC310" s="35"/>
      <c r="BVD310" s="15"/>
      <c r="BVF310" s="13"/>
      <c r="BVG310" s="35"/>
      <c r="BVH310" s="35"/>
      <c r="BVI310" s="15"/>
      <c r="BVK310" s="13"/>
      <c r="BVL310" s="35"/>
      <c r="BVM310" s="35"/>
      <c r="BVN310" s="15"/>
      <c r="BVP310" s="13"/>
      <c r="BVQ310" s="35"/>
      <c r="BVR310" s="35"/>
      <c r="BVS310" s="15"/>
      <c r="BVU310" s="13"/>
      <c r="BVV310" s="35"/>
      <c r="BVW310" s="35"/>
      <c r="BVX310" s="15"/>
      <c r="BVZ310" s="13"/>
      <c r="BWA310" s="35"/>
      <c r="BWB310" s="35"/>
      <c r="BWC310" s="15"/>
      <c r="BWE310" s="13"/>
      <c r="BWF310" s="35"/>
      <c r="BWG310" s="35"/>
      <c r="BWH310" s="15"/>
      <c r="BWJ310" s="13"/>
      <c r="BWK310" s="35"/>
      <c r="BWL310" s="35"/>
      <c r="BWM310" s="15"/>
      <c r="BWO310" s="13"/>
      <c r="BWP310" s="35"/>
      <c r="BWQ310" s="35"/>
      <c r="BWR310" s="15"/>
      <c r="BWT310" s="13"/>
      <c r="BWU310" s="35"/>
      <c r="BWV310" s="35"/>
      <c r="BWW310" s="15"/>
      <c r="BWY310" s="13"/>
      <c r="BWZ310" s="35"/>
      <c r="BXA310" s="35"/>
      <c r="BXB310" s="15"/>
      <c r="BXD310" s="13"/>
      <c r="BXE310" s="35"/>
      <c r="BXF310" s="35"/>
      <c r="BXG310" s="15"/>
      <c r="BXI310" s="13"/>
      <c r="BXJ310" s="35"/>
      <c r="BXK310" s="35"/>
      <c r="BXL310" s="15"/>
      <c r="BXN310" s="13"/>
      <c r="BXO310" s="35"/>
      <c r="BXP310" s="35"/>
      <c r="BXQ310" s="15"/>
      <c r="BXS310" s="13"/>
      <c r="BXT310" s="35"/>
      <c r="BXU310" s="35"/>
      <c r="BXV310" s="15"/>
      <c r="BXX310" s="13"/>
      <c r="BXY310" s="35"/>
      <c r="BXZ310" s="35"/>
      <c r="BYA310" s="15"/>
      <c r="BYC310" s="13"/>
      <c r="BYD310" s="35"/>
      <c r="BYE310" s="35"/>
      <c r="BYF310" s="15"/>
      <c r="BYH310" s="13"/>
      <c r="BYI310" s="35"/>
      <c r="BYJ310" s="35"/>
      <c r="BYK310" s="15"/>
      <c r="BYM310" s="13"/>
      <c r="BYN310" s="35"/>
      <c r="BYO310" s="35"/>
      <c r="BYP310" s="15"/>
      <c r="BYR310" s="13"/>
      <c r="BYS310" s="35"/>
      <c r="BYT310" s="35"/>
      <c r="BYU310" s="15"/>
      <c r="BYW310" s="13"/>
      <c r="BYX310" s="35"/>
      <c r="BYY310" s="35"/>
      <c r="BYZ310" s="15"/>
      <c r="BZB310" s="13"/>
      <c r="BZC310" s="35"/>
      <c r="BZD310" s="35"/>
      <c r="BZE310" s="15"/>
      <c r="BZG310" s="13"/>
      <c r="BZH310" s="35"/>
      <c r="BZI310" s="35"/>
      <c r="BZJ310" s="15"/>
      <c r="BZL310" s="13"/>
      <c r="BZM310" s="35"/>
      <c r="BZN310" s="35"/>
      <c r="BZO310" s="15"/>
      <c r="BZQ310" s="13"/>
      <c r="BZR310" s="35"/>
      <c r="BZS310" s="35"/>
      <c r="BZT310" s="15"/>
      <c r="BZV310" s="13"/>
      <c r="BZW310" s="35"/>
      <c r="BZX310" s="35"/>
      <c r="BZY310" s="15"/>
      <c r="CAA310" s="13"/>
      <c r="CAB310" s="35"/>
      <c r="CAC310" s="35"/>
      <c r="CAD310" s="15"/>
      <c r="CAF310" s="13"/>
      <c r="CAG310" s="35"/>
      <c r="CAH310" s="35"/>
      <c r="CAI310" s="15"/>
      <c r="CAK310" s="13"/>
      <c r="CAL310" s="35"/>
      <c r="CAM310" s="35"/>
      <c r="CAN310" s="15"/>
      <c r="CAP310" s="13"/>
      <c r="CAQ310" s="35"/>
      <c r="CAR310" s="35"/>
      <c r="CAS310" s="15"/>
      <c r="CAU310" s="13"/>
      <c r="CAV310" s="35"/>
      <c r="CAW310" s="35"/>
      <c r="CAX310" s="15"/>
      <c r="CAZ310" s="13"/>
      <c r="CBA310" s="35"/>
      <c r="CBB310" s="35"/>
      <c r="CBC310" s="15"/>
      <c r="CBE310" s="13"/>
      <c r="CBF310" s="35"/>
      <c r="CBG310" s="35"/>
      <c r="CBH310" s="15"/>
      <c r="CBJ310" s="13"/>
      <c r="CBK310" s="35"/>
      <c r="CBL310" s="35"/>
      <c r="CBM310" s="15"/>
      <c r="CBO310" s="13"/>
      <c r="CBP310" s="35"/>
      <c r="CBQ310" s="35"/>
      <c r="CBR310" s="15"/>
      <c r="CBT310" s="13"/>
      <c r="CBU310" s="35"/>
      <c r="CBV310" s="35"/>
      <c r="CBW310" s="15"/>
      <c r="CBY310" s="13"/>
      <c r="CBZ310" s="35"/>
      <c r="CCA310" s="35"/>
      <c r="CCB310" s="15"/>
      <c r="CCD310" s="13"/>
      <c r="CCE310" s="35"/>
      <c r="CCF310" s="35"/>
      <c r="CCG310" s="15"/>
      <c r="CCI310" s="13"/>
      <c r="CCJ310" s="35"/>
      <c r="CCK310" s="35"/>
      <c r="CCL310" s="15"/>
      <c r="CCN310" s="13"/>
      <c r="CCO310" s="35"/>
      <c r="CCP310" s="35"/>
      <c r="CCQ310" s="15"/>
      <c r="CCS310" s="13"/>
      <c r="CCT310" s="35"/>
      <c r="CCU310" s="35"/>
      <c r="CCV310" s="15"/>
      <c r="CCX310" s="13"/>
      <c r="CCY310" s="35"/>
      <c r="CCZ310" s="35"/>
      <c r="CDA310" s="15"/>
      <c r="CDC310" s="13"/>
      <c r="CDD310" s="35"/>
      <c r="CDE310" s="35"/>
      <c r="CDF310" s="15"/>
      <c r="CDH310" s="13"/>
      <c r="CDI310" s="35"/>
      <c r="CDJ310" s="35"/>
      <c r="CDK310" s="15"/>
      <c r="CDM310" s="13"/>
      <c r="CDN310" s="35"/>
      <c r="CDO310" s="35"/>
      <c r="CDP310" s="15"/>
      <c r="CDR310" s="13"/>
      <c r="CDS310" s="35"/>
      <c r="CDT310" s="35"/>
      <c r="CDU310" s="15"/>
      <c r="CDW310" s="13"/>
      <c r="CDX310" s="35"/>
      <c r="CDY310" s="35"/>
      <c r="CDZ310" s="15"/>
      <c r="CEB310" s="13"/>
      <c r="CEC310" s="35"/>
      <c r="CED310" s="35"/>
      <c r="CEE310" s="15"/>
      <c r="CEG310" s="13"/>
      <c r="CEH310" s="35"/>
      <c r="CEI310" s="35"/>
      <c r="CEJ310" s="15"/>
      <c r="CEL310" s="13"/>
      <c r="CEM310" s="35"/>
      <c r="CEN310" s="35"/>
      <c r="CEO310" s="15"/>
      <c r="CEQ310" s="13"/>
      <c r="CER310" s="35"/>
      <c r="CES310" s="35"/>
      <c r="CET310" s="15"/>
      <c r="CEV310" s="13"/>
      <c r="CEW310" s="35"/>
      <c r="CEX310" s="35"/>
      <c r="CEY310" s="15"/>
      <c r="CFA310" s="13"/>
      <c r="CFB310" s="35"/>
      <c r="CFC310" s="35"/>
      <c r="CFD310" s="15"/>
      <c r="CFF310" s="13"/>
      <c r="CFG310" s="35"/>
      <c r="CFH310" s="35"/>
      <c r="CFI310" s="15"/>
      <c r="CFK310" s="13"/>
      <c r="CFL310" s="35"/>
      <c r="CFM310" s="35"/>
      <c r="CFN310" s="15"/>
      <c r="CFP310" s="13"/>
      <c r="CFQ310" s="35"/>
      <c r="CFR310" s="35"/>
      <c r="CFS310" s="15"/>
      <c r="CFU310" s="13"/>
      <c r="CFV310" s="35"/>
      <c r="CFW310" s="35"/>
      <c r="CFX310" s="15"/>
      <c r="CFZ310" s="13"/>
      <c r="CGA310" s="35"/>
      <c r="CGB310" s="35"/>
      <c r="CGC310" s="15"/>
      <c r="CGE310" s="13"/>
      <c r="CGF310" s="35"/>
      <c r="CGG310" s="35"/>
      <c r="CGH310" s="15"/>
      <c r="CGJ310" s="13"/>
      <c r="CGK310" s="35"/>
      <c r="CGL310" s="35"/>
      <c r="CGM310" s="15"/>
      <c r="CGO310" s="13"/>
      <c r="CGP310" s="35"/>
      <c r="CGQ310" s="35"/>
      <c r="CGR310" s="15"/>
      <c r="CGT310" s="13"/>
      <c r="CGU310" s="35"/>
      <c r="CGV310" s="35"/>
      <c r="CGW310" s="15"/>
      <c r="CGY310" s="13"/>
      <c r="CGZ310" s="35"/>
      <c r="CHA310" s="35"/>
      <c r="CHB310" s="15"/>
      <c r="CHD310" s="13"/>
      <c r="CHE310" s="35"/>
      <c r="CHF310" s="35"/>
      <c r="CHG310" s="15"/>
      <c r="CHI310" s="13"/>
      <c r="CHJ310" s="35"/>
      <c r="CHK310" s="35"/>
      <c r="CHL310" s="15"/>
      <c r="CHN310" s="13"/>
      <c r="CHO310" s="35"/>
      <c r="CHP310" s="35"/>
      <c r="CHQ310" s="15"/>
      <c r="CHS310" s="13"/>
      <c r="CHT310" s="35"/>
      <c r="CHU310" s="35"/>
      <c r="CHV310" s="15"/>
      <c r="CHX310" s="13"/>
      <c r="CHY310" s="35"/>
      <c r="CHZ310" s="35"/>
      <c r="CIA310" s="15"/>
      <c r="CIC310" s="13"/>
      <c r="CID310" s="35"/>
      <c r="CIE310" s="35"/>
      <c r="CIF310" s="15"/>
      <c r="CIH310" s="13"/>
      <c r="CII310" s="35"/>
      <c r="CIJ310" s="35"/>
      <c r="CIK310" s="15"/>
      <c r="CIM310" s="13"/>
      <c r="CIN310" s="35"/>
      <c r="CIO310" s="35"/>
      <c r="CIP310" s="15"/>
      <c r="CIR310" s="13"/>
      <c r="CIS310" s="35"/>
      <c r="CIT310" s="35"/>
      <c r="CIU310" s="15"/>
      <c r="CIW310" s="13"/>
      <c r="CIX310" s="35"/>
      <c r="CIY310" s="35"/>
      <c r="CIZ310" s="15"/>
      <c r="CJB310" s="13"/>
      <c r="CJC310" s="35"/>
      <c r="CJD310" s="35"/>
      <c r="CJE310" s="15"/>
      <c r="CJG310" s="13"/>
      <c r="CJH310" s="35"/>
      <c r="CJI310" s="35"/>
      <c r="CJJ310" s="15"/>
      <c r="CJL310" s="13"/>
      <c r="CJM310" s="35"/>
      <c r="CJN310" s="35"/>
      <c r="CJO310" s="15"/>
      <c r="CJQ310" s="13"/>
      <c r="CJR310" s="35"/>
      <c r="CJS310" s="35"/>
      <c r="CJT310" s="15"/>
      <c r="CJV310" s="13"/>
      <c r="CJW310" s="35"/>
      <c r="CJX310" s="35"/>
      <c r="CJY310" s="15"/>
      <c r="CKA310" s="13"/>
      <c r="CKB310" s="35"/>
      <c r="CKC310" s="35"/>
      <c r="CKD310" s="15"/>
      <c r="CKF310" s="13"/>
      <c r="CKG310" s="35"/>
      <c r="CKH310" s="35"/>
      <c r="CKI310" s="15"/>
      <c r="CKK310" s="13"/>
      <c r="CKL310" s="35"/>
      <c r="CKM310" s="35"/>
      <c r="CKN310" s="15"/>
      <c r="CKP310" s="13"/>
      <c r="CKQ310" s="35"/>
      <c r="CKR310" s="35"/>
      <c r="CKS310" s="15"/>
      <c r="CKU310" s="13"/>
      <c r="CKV310" s="35"/>
      <c r="CKW310" s="35"/>
      <c r="CKX310" s="15"/>
      <c r="CKZ310" s="13"/>
      <c r="CLA310" s="35"/>
      <c r="CLB310" s="35"/>
      <c r="CLC310" s="15"/>
      <c r="CLE310" s="13"/>
      <c r="CLF310" s="35"/>
      <c r="CLG310" s="35"/>
      <c r="CLH310" s="15"/>
      <c r="CLJ310" s="13"/>
      <c r="CLK310" s="35"/>
      <c r="CLL310" s="35"/>
      <c r="CLM310" s="15"/>
      <c r="CLO310" s="13"/>
      <c r="CLP310" s="35"/>
      <c r="CLQ310" s="35"/>
      <c r="CLR310" s="15"/>
      <c r="CLT310" s="13"/>
      <c r="CLU310" s="35"/>
      <c r="CLV310" s="35"/>
      <c r="CLW310" s="15"/>
      <c r="CLY310" s="13"/>
      <c r="CLZ310" s="35"/>
      <c r="CMA310" s="35"/>
      <c r="CMB310" s="15"/>
      <c r="CMD310" s="13"/>
      <c r="CME310" s="35"/>
      <c r="CMF310" s="35"/>
      <c r="CMG310" s="15"/>
      <c r="CMI310" s="13"/>
      <c r="CMJ310" s="35"/>
      <c r="CMK310" s="35"/>
      <c r="CML310" s="15"/>
      <c r="CMN310" s="13"/>
      <c r="CMO310" s="35"/>
      <c r="CMP310" s="35"/>
      <c r="CMQ310" s="15"/>
      <c r="CMS310" s="13"/>
      <c r="CMT310" s="35"/>
      <c r="CMU310" s="35"/>
      <c r="CMV310" s="15"/>
      <c r="CMX310" s="13"/>
      <c r="CMY310" s="35"/>
      <c r="CMZ310" s="35"/>
      <c r="CNA310" s="15"/>
      <c r="CNC310" s="13"/>
      <c r="CND310" s="35"/>
      <c r="CNE310" s="35"/>
      <c r="CNF310" s="15"/>
      <c r="CNH310" s="13"/>
      <c r="CNI310" s="35"/>
      <c r="CNJ310" s="35"/>
      <c r="CNK310" s="15"/>
      <c r="CNM310" s="13"/>
      <c r="CNN310" s="35"/>
      <c r="CNO310" s="35"/>
      <c r="CNP310" s="15"/>
      <c r="CNR310" s="13"/>
      <c r="CNS310" s="35"/>
      <c r="CNT310" s="35"/>
      <c r="CNU310" s="15"/>
      <c r="CNW310" s="13"/>
      <c r="CNX310" s="35"/>
      <c r="CNY310" s="35"/>
      <c r="CNZ310" s="15"/>
      <c r="COB310" s="13"/>
      <c r="COC310" s="35"/>
      <c r="COD310" s="35"/>
      <c r="COE310" s="15"/>
      <c r="COG310" s="13"/>
      <c r="COH310" s="35"/>
      <c r="COI310" s="35"/>
      <c r="COJ310" s="15"/>
      <c r="COL310" s="13"/>
      <c r="COM310" s="35"/>
      <c r="CON310" s="35"/>
      <c r="COO310" s="15"/>
      <c r="COQ310" s="13"/>
      <c r="COR310" s="35"/>
      <c r="COS310" s="35"/>
      <c r="COT310" s="15"/>
      <c r="COV310" s="13"/>
      <c r="COW310" s="35"/>
      <c r="COX310" s="35"/>
      <c r="COY310" s="15"/>
      <c r="CPA310" s="13"/>
      <c r="CPB310" s="35"/>
      <c r="CPC310" s="35"/>
      <c r="CPD310" s="15"/>
      <c r="CPF310" s="13"/>
      <c r="CPG310" s="35"/>
      <c r="CPH310" s="35"/>
      <c r="CPI310" s="15"/>
      <c r="CPK310" s="13"/>
      <c r="CPL310" s="35"/>
      <c r="CPM310" s="35"/>
      <c r="CPN310" s="15"/>
      <c r="CPP310" s="13"/>
      <c r="CPQ310" s="35"/>
      <c r="CPR310" s="35"/>
      <c r="CPS310" s="15"/>
      <c r="CPU310" s="13"/>
      <c r="CPV310" s="35"/>
      <c r="CPW310" s="35"/>
      <c r="CPX310" s="15"/>
      <c r="CPZ310" s="13"/>
      <c r="CQA310" s="35"/>
      <c r="CQB310" s="35"/>
      <c r="CQC310" s="15"/>
      <c r="CQE310" s="13"/>
      <c r="CQF310" s="35"/>
      <c r="CQG310" s="35"/>
      <c r="CQH310" s="15"/>
      <c r="CQJ310" s="13"/>
      <c r="CQK310" s="35"/>
      <c r="CQL310" s="35"/>
      <c r="CQM310" s="15"/>
      <c r="CQO310" s="13"/>
      <c r="CQP310" s="35"/>
      <c r="CQQ310" s="35"/>
      <c r="CQR310" s="15"/>
      <c r="CQT310" s="13"/>
      <c r="CQU310" s="35"/>
      <c r="CQV310" s="35"/>
      <c r="CQW310" s="15"/>
      <c r="CQY310" s="13"/>
      <c r="CQZ310" s="35"/>
      <c r="CRA310" s="35"/>
      <c r="CRB310" s="15"/>
      <c r="CRD310" s="13"/>
      <c r="CRE310" s="35"/>
      <c r="CRF310" s="35"/>
      <c r="CRG310" s="15"/>
      <c r="CRI310" s="13"/>
      <c r="CRJ310" s="35"/>
      <c r="CRK310" s="35"/>
      <c r="CRL310" s="15"/>
      <c r="CRN310" s="13"/>
      <c r="CRO310" s="35"/>
      <c r="CRP310" s="35"/>
      <c r="CRQ310" s="15"/>
      <c r="CRS310" s="13"/>
      <c r="CRT310" s="35"/>
      <c r="CRU310" s="35"/>
      <c r="CRV310" s="15"/>
      <c r="CRX310" s="13"/>
      <c r="CRY310" s="35"/>
      <c r="CRZ310" s="35"/>
      <c r="CSA310" s="15"/>
      <c r="CSC310" s="13"/>
      <c r="CSD310" s="35"/>
      <c r="CSE310" s="35"/>
      <c r="CSF310" s="15"/>
      <c r="CSH310" s="13"/>
      <c r="CSI310" s="35"/>
      <c r="CSJ310" s="35"/>
      <c r="CSK310" s="15"/>
      <c r="CSM310" s="13"/>
      <c r="CSN310" s="35"/>
      <c r="CSO310" s="35"/>
      <c r="CSP310" s="15"/>
      <c r="CSR310" s="13"/>
      <c r="CSS310" s="35"/>
      <c r="CST310" s="35"/>
      <c r="CSU310" s="15"/>
      <c r="CSW310" s="13"/>
      <c r="CSX310" s="35"/>
      <c r="CSY310" s="35"/>
      <c r="CSZ310" s="15"/>
      <c r="CTB310" s="13"/>
      <c r="CTC310" s="35"/>
      <c r="CTD310" s="35"/>
      <c r="CTE310" s="15"/>
      <c r="CTG310" s="13"/>
      <c r="CTH310" s="35"/>
      <c r="CTI310" s="35"/>
      <c r="CTJ310" s="15"/>
      <c r="CTL310" s="13"/>
      <c r="CTM310" s="35"/>
      <c r="CTN310" s="35"/>
      <c r="CTO310" s="15"/>
      <c r="CTQ310" s="13"/>
      <c r="CTR310" s="35"/>
      <c r="CTS310" s="35"/>
      <c r="CTT310" s="15"/>
      <c r="CTV310" s="13"/>
      <c r="CTW310" s="35"/>
      <c r="CTX310" s="35"/>
      <c r="CTY310" s="15"/>
      <c r="CUA310" s="13"/>
      <c r="CUB310" s="35"/>
      <c r="CUC310" s="35"/>
      <c r="CUD310" s="15"/>
      <c r="CUF310" s="13"/>
      <c r="CUG310" s="35"/>
      <c r="CUH310" s="35"/>
      <c r="CUI310" s="15"/>
      <c r="CUK310" s="13"/>
      <c r="CUL310" s="35"/>
      <c r="CUM310" s="35"/>
      <c r="CUN310" s="15"/>
      <c r="CUP310" s="13"/>
      <c r="CUQ310" s="35"/>
      <c r="CUR310" s="35"/>
      <c r="CUS310" s="15"/>
      <c r="CUU310" s="13"/>
      <c r="CUV310" s="35"/>
      <c r="CUW310" s="35"/>
      <c r="CUX310" s="15"/>
      <c r="CUZ310" s="13"/>
      <c r="CVA310" s="35"/>
      <c r="CVB310" s="35"/>
      <c r="CVC310" s="15"/>
      <c r="CVE310" s="13"/>
      <c r="CVF310" s="35"/>
      <c r="CVG310" s="35"/>
      <c r="CVH310" s="15"/>
      <c r="CVJ310" s="13"/>
      <c r="CVK310" s="35"/>
      <c r="CVL310" s="35"/>
      <c r="CVM310" s="15"/>
      <c r="CVO310" s="13"/>
      <c r="CVP310" s="35"/>
      <c r="CVQ310" s="35"/>
      <c r="CVR310" s="15"/>
      <c r="CVT310" s="13"/>
      <c r="CVU310" s="35"/>
      <c r="CVV310" s="35"/>
      <c r="CVW310" s="15"/>
      <c r="CVY310" s="13"/>
      <c r="CVZ310" s="35"/>
      <c r="CWA310" s="35"/>
      <c r="CWB310" s="15"/>
      <c r="CWD310" s="13"/>
      <c r="CWE310" s="35"/>
      <c r="CWF310" s="35"/>
      <c r="CWG310" s="15"/>
      <c r="CWI310" s="13"/>
      <c r="CWJ310" s="35"/>
      <c r="CWK310" s="35"/>
      <c r="CWL310" s="15"/>
      <c r="CWN310" s="13"/>
      <c r="CWO310" s="35"/>
      <c r="CWP310" s="35"/>
      <c r="CWQ310" s="15"/>
      <c r="CWS310" s="13"/>
      <c r="CWT310" s="35"/>
      <c r="CWU310" s="35"/>
      <c r="CWV310" s="15"/>
      <c r="CWX310" s="13"/>
      <c r="CWY310" s="35"/>
      <c r="CWZ310" s="35"/>
      <c r="CXA310" s="15"/>
      <c r="CXC310" s="13"/>
      <c r="CXD310" s="35"/>
      <c r="CXE310" s="35"/>
      <c r="CXF310" s="15"/>
      <c r="CXH310" s="13"/>
      <c r="CXI310" s="35"/>
      <c r="CXJ310" s="35"/>
      <c r="CXK310" s="15"/>
      <c r="CXM310" s="13"/>
      <c r="CXN310" s="35"/>
      <c r="CXO310" s="35"/>
      <c r="CXP310" s="15"/>
      <c r="CXR310" s="13"/>
      <c r="CXS310" s="35"/>
      <c r="CXT310" s="35"/>
      <c r="CXU310" s="15"/>
      <c r="CXW310" s="13"/>
      <c r="CXX310" s="35"/>
      <c r="CXY310" s="35"/>
      <c r="CXZ310" s="15"/>
      <c r="CYB310" s="13"/>
      <c r="CYC310" s="35"/>
      <c r="CYD310" s="35"/>
      <c r="CYE310" s="15"/>
      <c r="CYG310" s="13"/>
      <c r="CYH310" s="35"/>
      <c r="CYI310" s="35"/>
      <c r="CYJ310" s="15"/>
      <c r="CYL310" s="13"/>
      <c r="CYM310" s="35"/>
      <c r="CYN310" s="35"/>
      <c r="CYO310" s="15"/>
      <c r="CYQ310" s="13"/>
      <c r="CYR310" s="35"/>
      <c r="CYS310" s="35"/>
      <c r="CYT310" s="15"/>
      <c r="CYV310" s="13"/>
      <c r="CYW310" s="35"/>
      <c r="CYX310" s="35"/>
      <c r="CYY310" s="15"/>
      <c r="CZA310" s="13"/>
      <c r="CZB310" s="35"/>
      <c r="CZC310" s="35"/>
      <c r="CZD310" s="15"/>
      <c r="CZF310" s="13"/>
      <c r="CZG310" s="35"/>
      <c r="CZH310" s="35"/>
      <c r="CZI310" s="15"/>
      <c r="CZK310" s="13"/>
      <c r="CZL310" s="35"/>
      <c r="CZM310" s="35"/>
      <c r="CZN310" s="15"/>
      <c r="CZP310" s="13"/>
      <c r="CZQ310" s="35"/>
      <c r="CZR310" s="35"/>
      <c r="CZS310" s="15"/>
      <c r="CZU310" s="13"/>
      <c r="CZV310" s="35"/>
      <c r="CZW310" s="35"/>
      <c r="CZX310" s="15"/>
      <c r="CZZ310" s="13"/>
      <c r="DAA310" s="35"/>
      <c r="DAB310" s="35"/>
      <c r="DAC310" s="15"/>
      <c r="DAE310" s="13"/>
      <c r="DAF310" s="35"/>
      <c r="DAG310" s="35"/>
      <c r="DAH310" s="15"/>
      <c r="DAJ310" s="13"/>
      <c r="DAK310" s="35"/>
      <c r="DAL310" s="35"/>
      <c r="DAM310" s="15"/>
      <c r="DAO310" s="13"/>
      <c r="DAP310" s="35"/>
      <c r="DAQ310" s="35"/>
      <c r="DAR310" s="15"/>
      <c r="DAT310" s="13"/>
      <c r="DAU310" s="35"/>
      <c r="DAV310" s="35"/>
      <c r="DAW310" s="15"/>
      <c r="DAY310" s="13"/>
      <c r="DAZ310" s="35"/>
      <c r="DBA310" s="35"/>
      <c r="DBB310" s="15"/>
      <c r="DBD310" s="13"/>
      <c r="DBE310" s="35"/>
      <c r="DBF310" s="35"/>
      <c r="DBG310" s="15"/>
      <c r="DBI310" s="13"/>
      <c r="DBJ310" s="35"/>
      <c r="DBK310" s="35"/>
      <c r="DBL310" s="15"/>
      <c r="DBN310" s="13"/>
      <c r="DBO310" s="35"/>
      <c r="DBP310" s="35"/>
      <c r="DBQ310" s="15"/>
      <c r="DBS310" s="13"/>
      <c r="DBT310" s="35"/>
      <c r="DBU310" s="35"/>
      <c r="DBV310" s="15"/>
      <c r="DBX310" s="13"/>
      <c r="DBY310" s="35"/>
      <c r="DBZ310" s="35"/>
      <c r="DCA310" s="15"/>
      <c r="DCC310" s="13"/>
      <c r="DCD310" s="35"/>
      <c r="DCE310" s="35"/>
      <c r="DCF310" s="15"/>
      <c r="DCH310" s="13"/>
      <c r="DCI310" s="35"/>
      <c r="DCJ310" s="35"/>
      <c r="DCK310" s="15"/>
      <c r="DCM310" s="13"/>
      <c r="DCN310" s="35"/>
      <c r="DCO310" s="35"/>
      <c r="DCP310" s="15"/>
      <c r="DCR310" s="13"/>
      <c r="DCS310" s="35"/>
      <c r="DCT310" s="35"/>
      <c r="DCU310" s="15"/>
      <c r="DCW310" s="13"/>
      <c r="DCX310" s="35"/>
      <c r="DCY310" s="35"/>
      <c r="DCZ310" s="15"/>
      <c r="DDB310" s="13"/>
      <c r="DDC310" s="35"/>
      <c r="DDD310" s="35"/>
      <c r="DDE310" s="15"/>
      <c r="DDG310" s="13"/>
      <c r="DDH310" s="35"/>
      <c r="DDI310" s="35"/>
      <c r="DDJ310" s="15"/>
      <c r="DDL310" s="13"/>
      <c r="DDM310" s="35"/>
      <c r="DDN310" s="35"/>
      <c r="DDO310" s="15"/>
      <c r="DDQ310" s="13"/>
      <c r="DDR310" s="35"/>
      <c r="DDS310" s="35"/>
      <c r="DDT310" s="15"/>
      <c r="DDV310" s="13"/>
      <c r="DDW310" s="35"/>
      <c r="DDX310" s="35"/>
      <c r="DDY310" s="15"/>
      <c r="DEA310" s="13"/>
      <c r="DEB310" s="35"/>
      <c r="DEC310" s="35"/>
      <c r="DED310" s="15"/>
      <c r="DEF310" s="13"/>
      <c r="DEG310" s="35"/>
      <c r="DEH310" s="35"/>
      <c r="DEI310" s="15"/>
      <c r="DEK310" s="13"/>
      <c r="DEL310" s="35"/>
      <c r="DEM310" s="35"/>
      <c r="DEN310" s="15"/>
      <c r="DEP310" s="13"/>
      <c r="DEQ310" s="35"/>
      <c r="DER310" s="35"/>
      <c r="DES310" s="15"/>
      <c r="DEU310" s="13"/>
      <c r="DEV310" s="35"/>
      <c r="DEW310" s="35"/>
      <c r="DEX310" s="15"/>
      <c r="DEZ310" s="13"/>
      <c r="DFA310" s="35"/>
      <c r="DFB310" s="35"/>
      <c r="DFC310" s="15"/>
      <c r="DFE310" s="13"/>
      <c r="DFF310" s="35"/>
      <c r="DFG310" s="35"/>
      <c r="DFH310" s="15"/>
      <c r="DFJ310" s="13"/>
      <c r="DFK310" s="35"/>
      <c r="DFL310" s="35"/>
      <c r="DFM310" s="15"/>
      <c r="DFO310" s="13"/>
      <c r="DFP310" s="35"/>
      <c r="DFQ310" s="35"/>
      <c r="DFR310" s="15"/>
      <c r="DFT310" s="13"/>
      <c r="DFU310" s="35"/>
      <c r="DFV310" s="35"/>
      <c r="DFW310" s="15"/>
      <c r="DFY310" s="13"/>
      <c r="DFZ310" s="35"/>
      <c r="DGA310" s="35"/>
      <c r="DGB310" s="15"/>
      <c r="DGD310" s="13"/>
      <c r="DGE310" s="35"/>
      <c r="DGF310" s="35"/>
      <c r="DGG310" s="15"/>
      <c r="DGI310" s="13"/>
      <c r="DGJ310" s="35"/>
      <c r="DGK310" s="35"/>
      <c r="DGL310" s="15"/>
      <c r="DGN310" s="13"/>
      <c r="DGO310" s="35"/>
      <c r="DGP310" s="35"/>
      <c r="DGQ310" s="15"/>
      <c r="DGS310" s="13"/>
      <c r="DGT310" s="35"/>
      <c r="DGU310" s="35"/>
      <c r="DGV310" s="15"/>
      <c r="DGX310" s="13"/>
      <c r="DGY310" s="35"/>
      <c r="DGZ310" s="35"/>
      <c r="DHA310" s="15"/>
      <c r="DHC310" s="13"/>
      <c r="DHD310" s="35"/>
      <c r="DHE310" s="35"/>
      <c r="DHF310" s="15"/>
      <c r="DHH310" s="13"/>
      <c r="DHI310" s="35"/>
      <c r="DHJ310" s="35"/>
      <c r="DHK310" s="15"/>
      <c r="DHM310" s="13"/>
      <c r="DHN310" s="35"/>
      <c r="DHO310" s="35"/>
      <c r="DHP310" s="15"/>
      <c r="DHR310" s="13"/>
      <c r="DHS310" s="35"/>
      <c r="DHT310" s="35"/>
      <c r="DHU310" s="15"/>
      <c r="DHW310" s="13"/>
      <c r="DHX310" s="35"/>
      <c r="DHY310" s="35"/>
      <c r="DHZ310" s="15"/>
      <c r="DIB310" s="13"/>
      <c r="DIC310" s="35"/>
      <c r="DID310" s="35"/>
      <c r="DIE310" s="15"/>
      <c r="DIG310" s="13"/>
      <c r="DIH310" s="35"/>
      <c r="DII310" s="35"/>
      <c r="DIJ310" s="15"/>
      <c r="DIL310" s="13"/>
      <c r="DIM310" s="35"/>
      <c r="DIN310" s="35"/>
      <c r="DIO310" s="15"/>
      <c r="DIQ310" s="13"/>
      <c r="DIR310" s="35"/>
      <c r="DIS310" s="35"/>
      <c r="DIT310" s="15"/>
      <c r="DIV310" s="13"/>
      <c r="DIW310" s="35"/>
      <c r="DIX310" s="35"/>
      <c r="DIY310" s="15"/>
      <c r="DJA310" s="13"/>
      <c r="DJB310" s="35"/>
      <c r="DJC310" s="35"/>
      <c r="DJD310" s="15"/>
      <c r="DJF310" s="13"/>
      <c r="DJG310" s="35"/>
      <c r="DJH310" s="35"/>
      <c r="DJI310" s="15"/>
      <c r="DJK310" s="13"/>
      <c r="DJL310" s="35"/>
      <c r="DJM310" s="35"/>
      <c r="DJN310" s="15"/>
      <c r="DJP310" s="13"/>
      <c r="DJQ310" s="35"/>
      <c r="DJR310" s="35"/>
      <c r="DJS310" s="15"/>
      <c r="DJU310" s="13"/>
      <c r="DJV310" s="35"/>
      <c r="DJW310" s="35"/>
      <c r="DJX310" s="15"/>
      <c r="DJZ310" s="13"/>
      <c r="DKA310" s="35"/>
      <c r="DKB310" s="35"/>
      <c r="DKC310" s="15"/>
      <c r="DKE310" s="13"/>
      <c r="DKF310" s="35"/>
      <c r="DKG310" s="35"/>
      <c r="DKH310" s="15"/>
      <c r="DKJ310" s="13"/>
      <c r="DKK310" s="35"/>
      <c r="DKL310" s="35"/>
      <c r="DKM310" s="15"/>
      <c r="DKO310" s="13"/>
      <c r="DKP310" s="35"/>
      <c r="DKQ310" s="35"/>
      <c r="DKR310" s="15"/>
      <c r="DKT310" s="13"/>
      <c r="DKU310" s="35"/>
      <c r="DKV310" s="35"/>
      <c r="DKW310" s="15"/>
      <c r="DKY310" s="13"/>
      <c r="DKZ310" s="35"/>
      <c r="DLA310" s="35"/>
      <c r="DLB310" s="15"/>
      <c r="DLD310" s="13"/>
      <c r="DLE310" s="35"/>
      <c r="DLF310" s="35"/>
      <c r="DLG310" s="15"/>
      <c r="DLI310" s="13"/>
      <c r="DLJ310" s="35"/>
      <c r="DLK310" s="35"/>
      <c r="DLL310" s="15"/>
      <c r="DLN310" s="13"/>
      <c r="DLO310" s="35"/>
      <c r="DLP310" s="35"/>
      <c r="DLQ310" s="15"/>
      <c r="DLS310" s="13"/>
      <c r="DLT310" s="35"/>
      <c r="DLU310" s="35"/>
      <c r="DLV310" s="15"/>
      <c r="DLX310" s="13"/>
      <c r="DLY310" s="35"/>
      <c r="DLZ310" s="35"/>
      <c r="DMA310" s="15"/>
      <c r="DMC310" s="13"/>
      <c r="DMD310" s="35"/>
      <c r="DME310" s="35"/>
      <c r="DMF310" s="15"/>
      <c r="DMH310" s="13"/>
      <c r="DMI310" s="35"/>
      <c r="DMJ310" s="35"/>
      <c r="DMK310" s="15"/>
      <c r="DMM310" s="13"/>
      <c r="DMN310" s="35"/>
      <c r="DMO310" s="35"/>
      <c r="DMP310" s="15"/>
      <c r="DMR310" s="13"/>
      <c r="DMS310" s="35"/>
      <c r="DMT310" s="35"/>
      <c r="DMU310" s="15"/>
      <c r="DMW310" s="13"/>
      <c r="DMX310" s="35"/>
      <c r="DMY310" s="35"/>
      <c r="DMZ310" s="15"/>
      <c r="DNB310" s="13"/>
      <c r="DNC310" s="35"/>
      <c r="DND310" s="35"/>
      <c r="DNE310" s="15"/>
      <c r="DNG310" s="13"/>
      <c r="DNH310" s="35"/>
      <c r="DNI310" s="35"/>
      <c r="DNJ310" s="15"/>
      <c r="DNL310" s="13"/>
      <c r="DNM310" s="35"/>
      <c r="DNN310" s="35"/>
      <c r="DNO310" s="15"/>
      <c r="DNQ310" s="13"/>
      <c r="DNR310" s="35"/>
      <c r="DNS310" s="35"/>
      <c r="DNT310" s="15"/>
      <c r="DNV310" s="13"/>
      <c r="DNW310" s="35"/>
      <c r="DNX310" s="35"/>
      <c r="DNY310" s="15"/>
      <c r="DOA310" s="13"/>
      <c r="DOB310" s="35"/>
      <c r="DOC310" s="35"/>
      <c r="DOD310" s="15"/>
      <c r="DOF310" s="13"/>
      <c r="DOG310" s="35"/>
      <c r="DOH310" s="35"/>
      <c r="DOI310" s="15"/>
      <c r="DOK310" s="13"/>
      <c r="DOL310" s="35"/>
      <c r="DOM310" s="35"/>
      <c r="DON310" s="15"/>
      <c r="DOP310" s="13"/>
      <c r="DOQ310" s="35"/>
      <c r="DOR310" s="35"/>
      <c r="DOS310" s="15"/>
      <c r="DOU310" s="13"/>
      <c r="DOV310" s="35"/>
      <c r="DOW310" s="35"/>
      <c r="DOX310" s="15"/>
      <c r="DOZ310" s="13"/>
      <c r="DPA310" s="35"/>
      <c r="DPB310" s="35"/>
      <c r="DPC310" s="15"/>
      <c r="DPE310" s="13"/>
      <c r="DPF310" s="35"/>
      <c r="DPG310" s="35"/>
      <c r="DPH310" s="15"/>
      <c r="DPJ310" s="13"/>
      <c r="DPK310" s="35"/>
      <c r="DPL310" s="35"/>
      <c r="DPM310" s="15"/>
      <c r="DPO310" s="13"/>
      <c r="DPP310" s="35"/>
      <c r="DPQ310" s="35"/>
      <c r="DPR310" s="15"/>
      <c r="DPT310" s="13"/>
      <c r="DPU310" s="35"/>
      <c r="DPV310" s="35"/>
      <c r="DPW310" s="15"/>
      <c r="DPY310" s="13"/>
      <c r="DPZ310" s="35"/>
      <c r="DQA310" s="35"/>
      <c r="DQB310" s="15"/>
      <c r="DQD310" s="13"/>
      <c r="DQE310" s="35"/>
      <c r="DQF310" s="35"/>
      <c r="DQG310" s="15"/>
      <c r="DQI310" s="13"/>
      <c r="DQJ310" s="35"/>
      <c r="DQK310" s="35"/>
      <c r="DQL310" s="15"/>
      <c r="DQN310" s="13"/>
      <c r="DQO310" s="35"/>
      <c r="DQP310" s="35"/>
      <c r="DQQ310" s="15"/>
      <c r="DQS310" s="13"/>
      <c r="DQT310" s="35"/>
      <c r="DQU310" s="35"/>
      <c r="DQV310" s="15"/>
      <c r="DQX310" s="13"/>
      <c r="DQY310" s="35"/>
      <c r="DQZ310" s="35"/>
      <c r="DRA310" s="15"/>
      <c r="DRC310" s="13"/>
      <c r="DRD310" s="35"/>
      <c r="DRE310" s="35"/>
      <c r="DRF310" s="15"/>
      <c r="DRH310" s="13"/>
      <c r="DRI310" s="35"/>
      <c r="DRJ310" s="35"/>
      <c r="DRK310" s="15"/>
      <c r="DRM310" s="13"/>
      <c r="DRN310" s="35"/>
      <c r="DRO310" s="35"/>
      <c r="DRP310" s="15"/>
      <c r="DRR310" s="13"/>
      <c r="DRS310" s="35"/>
      <c r="DRT310" s="35"/>
      <c r="DRU310" s="15"/>
      <c r="DRW310" s="13"/>
      <c r="DRX310" s="35"/>
      <c r="DRY310" s="35"/>
      <c r="DRZ310" s="15"/>
      <c r="DSB310" s="13"/>
      <c r="DSC310" s="35"/>
      <c r="DSD310" s="35"/>
      <c r="DSE310" s="15"/>
      <c r="DSG310" s="13"/>
      <c r="DSH310" s="35"/>
      <c r="DSI310" s="35"/>
      <c r="DSJ310" s="15"/>
      <c r="DSL310" s="13"/>
      <c r="DSM310" s="35"/>
      <c r="DSN310" s="35"/>
      <c r="DSO310" s="15"/>
      <c r="DSQ310" s="13"/>
      <c r="DSR310" s="35"/>
      <c r="DSS310" s="35"/>
      <c r="DST310" s="15"/>
      <c r="DSV310" s="13"/>
      <c r="DSW310" s="35"/>
      <c r="DSX310" s="35"/>
      <c r="DSY310" s="15"/>
      <c r="DTA310" s="13"/>
      <c r="DTB310" s="35"/>
      <c r="DTC310" s="35"/>
      <c r="DTD310" s="15"/>
      <c r="DTF310" s="13"/>
      <c r="DTG310" s="35"/>
      <c r="DTH310" s="35"/>
      <c r="DTI310" s="15"/>
      <c r="DTK310" s="13"/>
      <c r="DTL310" s="35"/>
      <c r="DTM310" s="35"/>
      <c r="DTN310" s="15"/>
      <c r="DTP310" s="13"/>
      <c r="DTQ310" s="35"/>
      <c r="DTR310" s="35"/>
      <c r="DTS310" s="15"/>
      <c r="DTU310" s="13"/>
      <c r="DTV310" s="35"/>
      <c r="DTW310" s="35"/>
      <c r="DTX310" s="15"/>
      <c r="DTZ310" s="13"/>
      <c r="DUA310" s="35"/>
      <c r="DUB310" s="35"/>
      <c r="DUC310" s="15"/>
      <c r="DUE310" s="13"/>
      <c r="DUF310" s="35"/>
      <c r="DUG310" s="35"/>
      <c r="DUH310" s="15"/>
      <c r="DUJ310" s="13"/>
      <c r="DUK310" s="35"/>
      <c r="DUL310" s="35"/>
      <c r="DUM310" s="15"/>
      <c r="DUO310" s="13"/>
      <c r="DUP310" s="35"/>
      <c r="DUQ310" s="35"/>
      <c r="DUR310" s="15"/>
      <c r="DUT310" s="13"/>
      <c r="DUU310" s="35"/>
      <c r="DUV310" s="35"/>
      <c r="DUW310" s="15"/>
      <c r="DUY310" s="13"/>
      <c r="DUZ310" s="35"/>
      <c r="DVA310" s="35"/>
      <c r="DVB310" s="15"/>
      <c r="DVD310" s="13"/>
      <c r="DVE310" s="35"/>
      <c r="DVF310" s="35"/>
      <c r="DVG310" s="15"/>
      <c r="DVI310" s="13"/>
      <c r="DVJ310" s="35"/>
      <c r="DVK310" s="35"/>
      <c r="DVL310" s="15"/>
      <c r="DVN310" s="13"/>
      <c r="DVO310" s="35"/>
      <c r="DVP310" s="35"/>
      <c r="DVQ310" s="15"/>
      <c r="DVS310" s="13"/>
      <c r="DVT310" s="35"/>
      <c r="DVU310" s="35"/>
      <c r="DVV310" s="15"/>
      <c r="DVX310" s="13"/>
      <c r="DVY310" s="35"/>
      <c r="DVZ310" s="35"/>
      <c r="DWA310" s="15"/>
      <c r="DWC310" s="13"/>
      <c r="DWD310" s="35"/>
      <c r="DWE310" s="35"/>
      <c r="DWF310" s="15"/>
      <c r="DWH310" s="13"/>
      <c r="DWI310" s="35"/>
      <c r="DWJ310" s="35"/>
      <c r="DWK310" s="15"/>
      <c r="DWM310" s="13"/>
      <c r="DWN310" s="35"/>
      <c r="DWO310" s="35"/>
      <c r="DWP310" s="15"/>
      <c r="DWR310" s="13"/>
      <c r="DWS310" s="35"/>
      <c r="DWT310" s="35"/>
      <c r="DWU310" s="15"/>
      <c r="DWW310" s="13"/>
      <c r="DWX310" s="35"/>
      <c r="DWY310" s="35"/>
      <c r="DWZ310" s="15"/>
      <c r="DXB310" s="13"/>
      <c r="DXC310" s="35"/>
      <c r="DXD310" s="35"/>
      <c r="DXE310" s="15"/>
      <c r="DXG310" s="13"/>
      <c r="DXH310" s="35"/>
      <c r="DXI310" s="35"/>
      <c r="DXJ310" s="15"/>
      <c r="DXL310" s="13"/>
      <c r="DXM310" s="35"/>
      <c r="DXN310" s="35"/>
      <c r="DXO310" s="15"/>
      <c r="DXQ310" s="13"/>
      <c r="DXR310" s="35"/>
      <c r="DXS310" s="35"/>
      <c r="DXT310" s="15"/>
      <c r="DXV310" s="13"/>
      <c r="DXW310" s="35"/>
      <c r="DXX310" s="35"/>
      <c r="DXY310" s="15"/>
      <c r="DYA310" s="13"/>
      <c r="DYB310" s="35"/>
      <c r="DYC310" s="35"/>
      <c r="DYD310" s="15"/>
      <c r="DYF310" s="13"/>
      <c r="DYG310" s="35"/>
      <c r="DYH310" s="35"/>
      <c r="DYI310" s="15"/>
      <c r="DYK310" s="13"/>
      <c r="DYL310" s="35"/>
      <c r="DYM310" s="35"/>
      <c r="DYN310" s="15"/>
      <c r="DYP310" s="13"/>
      <c r="DYQ310" s="35"/>
      <c r="DYR310" s="35"/>
      <c r="DYS310" s="15"/>
      <c r="DYU310" s="13"/>
      <c r="DYV310" s="35"/>
      <c r="DYW310" s="35"/>
      <c r="DYX310" s="15"/>
      <c r="DYZ310" s="13"/>
      <c r="DZA310" s="35"/>
      <c r="DZB310" s="35"/>
      <c r="DZC310" s="15"/>
      <c r="DZE310" s="13"/>
      <c r="DZF310" s="35"/>
      <c r="DZG310" s="35"/>
      <c r="DZH310" s="15"/>
      <c r="DZJ310" s="13"/>
      <c r="DZK310" s="35"/>
      <c r="DZL310" s="35"/>
      <c r="DZM310" s="15"/>
      <c r="DZO310" s="13"/>
      <c r="DZP310" s="35"/>
      <c r="DZQ310" s="35"/>
      <c r="DZR310" s="15"/>
      <c r="DZT310" s="13"/>
      <c r="DZU310" s="35"/>
      <c r="DZV310" s="35"/>
      <c r="DZW310" s="15"/>
      <c r="DZY310" s="13"/>
      <c r="DZZ310" s="35"/>
      <c r="EAA310" s="35"/>
      <c r="EAB310" s="15"/>
      <c r="EAD310" s="13"/>
      <c r="EAE310" s="35"/>
      <c r="EAF310" s="35"/>
      <c r="EAG310" s="15"/>
      <c r="EAI310" s="13"/>
      <c r="EAJ310" s="35"/>
      <c r="EAK310" s="35"/>
      <c r="EAL310" s="15"/>
      <c r="EAN310" s="13"/>
      <c r="EAO310" s="35"/>
      <c r="EAP310" s="35"/>
      <c r="EAQ310" s="15"/>
      <c r="EAS310" s="13"/>
      <c r="EAT310" s="35"/>
      <c r="EAU310" s="35"/>
      <c r="EAV310" s="15"/>
      <c r="EAX310" s="13"/>
      <c r="EAY310" s="35"/>
      <c r="EAZ310" s="35"/>
      <c r="EBA310" s="15"/>
      <c r="EBC310" s="13"/>
      <c r="EBD310" s="35"/>
      <c r="EBE310" s="35"/>
      <c r="EBF310" s="15"/>
      <c r="EBH310" s="13"/>
      <c r="EBI310" s="35"/>
      <c r="EBJ310" s="35"/>
      <c r="EBK310" s="15"/>
      <c r="EBM310" s="13"/>
      <c r="EBN310" s="35"/>
      <c r="EBO310" s="35"/>
      <c r="EBP310" s="15"/>
      <c r="EBR310" s="13"/>
      <c r="EBS310" s="35"/>
      <c r="EBT310" s="35"/>
      <c r="EBU310" s="15"/>
      <c r="EBW310" s="13"/>
      <c r="EBX310" s="35"/>
      <c r="EBY310" s="35"/>
      <c r="EBZ310" s="15"/>
      <c r="ECB310" s="13"/>
      <c r="ECC310" s="35"/>
      <c r="ECD310" s="35"/>
      <c r="ECE310" s="15"/>
      <c r="ECG310" s="13"/>
      <c r="ECH310" s="35"/>
      <c r="ECI310" s="35"/>
      <c r="ECJ310" s="15"/>
      <c r="ECL310" s="13"/>
      <c r="ECM310" s="35"/>
      <c r="ECN310" s="35"/>
      <c r="ECO310" s="15"/>
      <c r="ECQ310" s="13"/>
      <c r="ECR310" s="35"/>
      <c r="ECS310" s="35"/>
      <c r="ECT310" s="15"/>
      <c r="ECV310" s="13"/>
      <c r="ECW310" s="35"/>
      <c r="ECX310" s="35"/>
      <c r="ECY310" s="15"/>
      <c r="EDA310" s="13"/>
      <c r="EDB310" s="35"/>
      <c r="EDC310" s="35"/>
      <c r="EDD310" s="15"/>
      <c r="EDF310" s="13"/>
      <c r="EDG310" s="35"/>
      <c r="EDH310" s="35"/>
      <c r="EDI310" s="15"/>
      <c r="EDK310" s="13"/>
      <c r="EDL310" s="35"/>
      <c r="EDM310" s="35"/>
      <c r="EDN310" s="15"/>
      <c r="EDP310" s="13"/>
      <c r="EDQ310" s="35"/>
      <c r="EDR310" s="35"/>
      <c r="EDS310" s="15"/>
      <c r="EDU310" s="13"/>
      <c r="EDV310" s="35"/>
      <c r="EDW310" s="35"/>
      <c r="EDX310" s="15"/>
      <c r="EDZ310" s="13"/>
      <c r="EEA310" s="35"/>
      <c r="EEB310" s="35"/>
      <c r="EEC310" s="15"/>
      <c r="EEE310" s="13"/>
      <c r="EEF310" s="35"/>
      <c r="EEG310" s="35"/>
      <c r="EEH310" s="15"/>
      <c r="EEJ310" s="13"/>
      <c r="EEK310" s="35"/>
      <c r="EEL310" s="35"/>
      <c r="EEM310" s="15"/>
      <c r="EEO310" s="13"/>
      <c r="EEP310" s="35"/>
      <c r="EEQ310" s="35"/>
      <c r="EER310" s="15"/>
      <c r="EET310" s="13"/>
      <c r="EEU310" s="35"/>
      <c r="EEV310" s="35"/>
      <c r="EEW310" s="15"/>
      <c r="EEY310" s="13"/>
      <c r="EEZ310" s="35"/>
      <c r="EFA310" s="35"/>
      <c r="EFB310" s="15"/>
      <c r="EFD310" s="13"/>
      <c r="EFE310" s="35"/>
      <c r="EFF310" s="35"/>
      <c r="EFG310" s="15"/>
      <c r="EFI310" s="13"/>
      <c r="EFJ310" s="35"/>
      <c r="EFK310" s="35"/>
      <c r="EFL310" s="15"/>
      <c r="EFN310" s="13"/>
      <c r="EFO310" s="35"/>
      <c r="EFP310" s="35"/>
      <c r="EFQ310" s="15"/>
      <c r="EFS310" s="13"/>
      <c r="EFT310" s="35"/>
      <c r="EFU310" s="35"/>
      <c r="EFV310" s="15"/>
      <c r="EFX310" s="13"/>
      <c r="EFY310" s="35"/>
      <c r="EFZ310" s="35"/>
      <c r="EGA310" s="15"/>
      <c r="EGC310" s="13"/>
      <c r="EGD310" s="35"/>
      <c r="EGE310" s="35"/>
      <c r="EGF310" s="15"/>
      <c r="EGH310" s="13"/>
      <c r="EGI310" s="35"/>
      <c r="EGJ310" s="35"/>
      <c r="EGK310" s="15"/>
      <c r="EGM310" s="13"/>
      <c r="EGN310" s="35"/>
      <c r="EGO310" s="35"/>
      <c r="EGP310" s="15"/>
      <c r="EGR310" s="13"/>
      <c r="EGS310" s="35"/>
      <c r="EGT310" s="35"/>
      <c r="EGU310" s="15"/>
      <c r="EGW310" s="13"/>
      <c r="EGX310" s="35"/>
      <c r="EGY310" s="35"/>
      <c r="EGZ310" s="15"/>
      <c r="EHB310" s="13"/>
      <c r="EHC310" s="35"/>
      <c r="EHD310" s="35"/>
      <c r="EHE310" s="15"/>
      <c r="EHG310" s="13"/>
      <c r="EHH310" s="35"/>
      <c r="EHI310" s="35"/>
      <c r="EHJ310" s="15"/>
      <c r="EHL310" s="13"/>
      <c r="EHM310" s="35"/>
      <c r="EHN310" s="35"/>
      <c r="EHO310" s="15"/>
      <c r="EHQ310" s="13"/>
      <c r="EHR310" s="35"/>
      <c r="EHS310" s="35"/>
      <c r="EHT310" s="15"/>
      <c r="EHV310" s="13"/>
      <c r="EHW310" s="35"/>
      <c r="EHX310" s="35"/>
      <c r="EHY310" s="15"/>
      <c r="EIA310" s="13"/>
      <c r="EIB310" s="35"/>
      <c r="EIC310" s="35"/>
      <c r="EID310" s="15"/>
      <c r="EIF310" s="13"/>
      <c r="EIG310" s="35"/>
      <c r="EIH310" s="35"/>
      <c r="EII310" s="15"/>
      <c r="EIK310" s="13"/>
      <c r="EIL310" s="35"/>
      <c r="EIM310" s="35"/>
      <c r="EIN310" s="15"/>
      <c r="EIP310" s="13"/>
      <c r="EIQ310" s="35"/>
      <c r="EIR310" s="35"/>
      <c r="EIS310" s="15"/>
      <c r="EIU310" s="13"/>
      <c r="EIV310" s="35"/>
      <c r="EIW310" s="35"/>
      <c r="EIX310" s="15"/>
      <c r="EIZ310" s="13"/>
      <c r="EJA310" s="35"/>
      <c r="EJB310" s="35"/>
      <c r="EJC310" s="15"/>
      <c r="EJE310" s="13"/>
      <c r="EJF310" s="35"/>
      <c r="EJG310" s="35"/>
      <c r="EJH310" s="15"/>
      <c r="EJJ310" s="13"/>
      <c r="EJK310" s="35"/>
      <c r="EJL310" s="35"/>
      <c r="EJM310" s="15"/>
      <c r="EJO310" s="13"/>
      <c r="EJP310" s="35"/>
      <c r="EJQ310" s="35"/>
      <c r="EJR310" s="15"/>
      <c r="EJT310" s="13"/>
      <c r="EJU310" s="35"/>
      <c r="EJV310" s="35"/>
      <c r="EJW310" s="15"/>
      <c r="EJY310" s="13"/>
      <c r="EJZ310" s="35"/>
      <c r="EKA310" s="35"/>
      <c r="EKB310" s="15"/>
      <c r="EKD310" s="13"/>
      <c r="EKE310" s="35"/>
      <c r="EKF310" s="35"/>
      <c r="EKG310" s="15"/>
      <c r="EKI310" s="13"/>
      <c r="EKJ310" s="35"/>
      <c r="EKK310" s="35"/>
      <c r="EKL310" s="15"/>
      <c r="EKN310" s="13"/>
      <c r="EKO310" s="35"/>
      <c r="EKP310" s="35"/>
      <c r="EKQ310" s="15"/>
      <c r="EKS310" s="13"/>
      <c r="EKT310" s="35"/>
      <c r="EKU310" s="35"/>
      <c r="EKV310" s="15"/>
      <c r="EKX310" s="13"/>
      <c r="EKY310" s="35"/>
      <c r="EKZ310" s="35"/>
      <c r="ELA310" s="15"/>
      <c r="ELC310" s="13"/>
      <c r="ELD310" s="35"/>
      <c r="ELE310" s="35"/>
      <c r="ELF310" s="15"/>
      <c r="ELH310" s="13"/>
      <c r="ELI310" s="35"/>
      <c r="ELJ310" s="35"/>
      <c r="ELK310" s="15"/>
      <c r="ELM310" s="13"/>
      <c r="ELN310" s="35"/>
      <c r="ELO310" s="35"/>
      <c r="ELP310" s="15"/>
      <c r="ELR310" s="13"/>
      <c r="ELS310" s="35"/>
      <c r="ELT310" s="35"/>
      <c r="ELU310" s="15"/>
      <c r="ELW310" s="13"/>
      <c r="ELX310" s="35"/>
      <c r="ELY310" s="35"/>
      <c r="ELZ310" s="15"/>
      <c r="EMB310" s="13"/>
      <c r="EMC310" s="35"/>
      <c r="EMD310" s="35"/>
      <c r="EME310" s="15"/>
      <c r="EMG310" s="13"/>
      <c r="EMH310" s="35"/>
      <c r="EMI310" s="35"/>
      <c r="EMJ310" s="15"/>
      <c r="EML310" s="13"/>
      <c r="EMM310" s="35"/>
      <c r="EMN310" s="35"/>
      <c r="EMO310" s="15"/>
      <c r="EMQ310" s="13"/>
      <c r="EMR310" s="35"/>
      <c r="EMS310" s="35"/>
      <c r="EMT310" s="15"/>
      <c r="EMV310" s="13"/>
      <c r="EMW310" s="35"/>
      <c r="EMX310" s="35"/>
      <c r="EMY310" s="15"/>
      <c r="ENA310" s="13"/>
      <c r="ENB310" s="35"/>
      <c r="ENC310" s="35"/>
      <c r="END310" s="15"/>
      <c r="ENF310" s="13"/>
      <c r="ENG310" s="35"/>
      <c r="ENH310" s="35"/>
      <c r="ENI310" s="15"/>
      <c r="ENK310" s="13"/>
      <c r="ENL310" s="35"/>
      <c r="ENM310" s="35"/>
      <c r="ENN310" s="15"/>
      <c r="ENP310" s="13"/>
      <c r="ENQ310" s="35"/>
      <c r="ENR310" s="35"/>
      <c r="ENS310" s="15"/>
      <c r="ENU310" s="13"/>
      <c r="ENV310" s="35"/>
      <c r="ENW310" s="35"/>
      <c r="ENX310" s="15"/>
      <c r="ENZ310" s="13"/>
      <c r="EOA310" s="35"/>
      <c r="EOB310" s="35"/>
      <c r="EOC310" s="15"/>
      <c r="EOE310" s="13"/>
      <c r="EOF310" s="35"/>
      <c r="EOG310" s="35"/>
      <c r="EOH310" s="15"/>
      <c r="EOJ310" s="13"/>
      <c r="EOK310" s="35"/>
      <c r="EOL310" s="35"/>
      <c r="EOM310" s="15"/>
      <c r="EOO310" s="13"/>
      <c r="EOP310" s="35"/>
      <c r="EOQ310" s="35"/>
      <c r="EOR310" s="15"/>
      <c r="EOT310" s="13"/>
      <c r="EOU310" s="35"/>
      <c r="EOV310" s="35"/>
      <c r="EOW310" s="15"/>
      <c r="EOY310" s="13"/>
      <c r="EOZ310" s="35"/>
      <c r="EPA310" s="35"/>
      <c r="EPB310" s="15"/>
      <c r="EPD310" s="13"/>
      <c r="EPE310" s="35"/>
      <c r="EPF310" s="35"/>
      <c r="EPG310" s="15"/>
      <c r="EPI310" s="13"/>
      <c r="EPJ310" s="35"/>
      <c r="EPK310" s="35"/>
      <c r="EPL310" s="15"/>
      <c r="EPN310" s="13"/>
      <c r="EPO310" s="35"/>
      <c r="EPP310" s="35"/>
      <c r="EPQ310" s="15"/>
      <c r="EPS310" s="13"/>
      <c r="EPT310" s="35"/>
      <c r="EPU310" s="35"/>
      <c r="EPV310" s="15"/>
      <c r="EPX310" s="13"/>
      <c r="EPY310" s="35"/>
      <c r="EPZ310" s="35"/>
      <c r="EQA310" s="15"/>
      <c r="EQC310" s="13"/>
      <c r="EQD310" s="35"/>
      <c r="EQE310" s="35"/>
      <c r="EQF310" s="15"/>
      <c r="EQH310" s="13"/>
      <c r="EQI310" s="35"/>
      <c r="EQJ310" s="35"/>
      <c r="EQK310" s="15"/>
      <c r="EQM310" s="13"/>
      <c r="EQN310" s="35"/>
      <c r="EQO310" s="35"/>
      <c r="EQP310" s="15"/>
      <c r="EQR310" s="13"/>
      <c r="EQS310" s="35"/>
      <c r="EQT310" s="35"/>
      <c r="EQU310" s="15"/>
      <c r="EQW310" s="13"/>
      <c r="EQX310" s="35"/>
      <c r="EQY310" s="35"/>
      <c r="EQZ310" s="15"/>
      <c r="ERB310" s="13"/>
      <c r="ERC310" s="35"/>
      <c r="ERD310" s="35"/>
      <c r="ERE310" s="15"/>
      <c r="ERG310" s="13"/>
      <c r="ERH310" s="35"/>
      <c r="ERI310" s="35"/>
      <c r="ERJ310" s="15"/>
      <c r="ERL310" s="13"/>
      <c r="ERM310" s="35"/>
      <c r="ERN310" s="35"/>
      <c r="ERO310" s="15"/>
      <c r="ERQ310" s="13"/>
      <c r="ERR310" s="35"/>
      <c r="ERS310" s="35"/>
      <c r="ERT310" s="15"/>
      <c r="ERV310" s="13"/>
      <c r="ERW310" s="35"/>
      <c r="ERX310" s="35"/>
      <c r="ERY310" s="15"/>
      <c r="ESA310" s="13"/>
      <c r="ESB310" s="35"/>
      <c r="ESC310" s="35"/>
      <c r="ESD310" s="15"/>
      <c r="ESF310" s="13"/>
      <c r="ESG310" s="35"/>
      <c r="ESH310" s="35"/>
      <c r="ESI310" s="15"/>
      <c r="ESK310" s="13"/>
      <c r="ESL310" s="35"/>
      <c r="ESM310" s="35"/>
      <c r="ESN310" s="15"/>
      <c r="ESP310" s="13"/>
      <c r="ESQ310" s="35"/>
      <c r="ESR310" s="35"/>
      <c r="ESS310" s="15"/>
      <c r="ESU310" s="13"/>
      <c r="ESV310" s="35"/>
      <c r="ESW310" s="35"/>
      <c r="ESX310" s="15"/>
      <c r="ESZ310" s="13"/>
      <c r="ETA310" s="35"/>
      <c r="ETB310" s="35"/>
      <c r="ETC310" s="15"/>
      <c r="ETE310" s="13"/>
      <c r="ETF310" s="35"/>
      <c r="ETG310" s="35"/>
      <c r="ETH310" s="15"/>
      <c r="ETJ310" s="13"/>
      <c r="ETK310" s="35"/>
      <c r="ETL310" s="35"/>
      <c r="ETM310" s="15"/>
      <c r="ETO310" s="13"/>
      <c r="ETP310" s="35"/>
      <c r="ETQ310" s="35"/>
      <c r="ETR310" s="15"/>
      <c r="ETT310" s="13"/>
      <c r="ETU310" s="35"/>
      <c r="ETV310" s="35"/>
      <c r="ETW310" s="15"/>
      <c r="ETY310" s="13"/>
      <c r="ETZ310" s="35"/>
      <c r="EUA310" s="35"/>
      <c r="EUB310" s="15"/>
      <c r="EUD310" s="13"/>
      <c r="EUE310" s="35"/>
      <c r="EUF310" s="35"/>
      <c r="EUG310" s="15"/>
      <c r="EUI310" s="13"/>
      <c r="EUJ310" s="35"/>
      <c r="EUK310" s="35"/>
      <c r="EUL310" s="15"/>
      <c r="EUN310" s="13"/>
      <c r="EUO310" s="35"/>
      <c r="EUP310" s="35"/>
      <c r="EUQ310" s="15"/>
      <c r="EUS310" s="13"/>
      <c r="EUT310" s="35"/>
      <c r="EUU310" s="35"/>
      <c r="EUV310" s="15"/>
      <c r="EUX310" s="13"/>
      <c r="EUY310" s="35"/>
      <c r="EUZ310" s="35"/>
      <c r="EVA310" s="15"/>
      <c r="EVC310" s="13"/>
      <c r="EVD310" s="35"/>
      <c r="EVE310" s="35"/>
      <c r="EVF310" s="15"/>
      <c r="EVH310" s="13"/>
      <c r="EVI310" s="35"/>
      <c r="EVJ310" s="35"/>
      <c r="EVK310" s="15"/>
      <c r="EVM310" s="13"/>
      <c r="EVN310" s="35"/>
      <c r="EVO310" s="35"/>
      <c r="EVP310" s="15"/>
      <c r="EVR310" s="13"/>
      <c r="EVS310" s="35"/>
      <c r="EVT310" s="35"/>
      <c r="EVU310" s="15"/>
      <c r="EVW310" s="13"/>
      <c r="EVX310" s="35"/>
      <c r="EVY310" s="35"/>
      <c r="EVZ310" s="15"/>
      <c r="EWB310" s="13"/>
      <c r="EWC310" s="35"/>
      <c r="EWD310" s="35"/>
      <c r="EWE310" s="15"/>
      <c r="EWG310" s="13"/>
      <c r="EWH310" s="35"/>
      <c r="EWI310" s="35"/>
      <c r="EWJ310" s="15"/>
      <c r="EWL310" s="13"/>
      <c r="EWM310" s="35"/>
      <c r="EWN310" s="35"/>
      <c r="EWO310" s="15"/>
      <c r="EWQ310" s="13"/>
      <c r="EWR310" s="35"/>
      <c r="EWS310" s="35"/>
      <c r="EWT310" s="15"/>
      <c r="EWV310" s="13"/>
      <c r="EWW310" s="35"/>
      <c r="EWX310" s="35"/>
      <c r="EWY310" s="15"/>
      <c r="EXA310" s="13"/>
      <c r="EXB310" s="35"/>
      <c r="EXC310" s="35"/>
      <c r="EXD310" s="15"/>
      <c r="EXF310" s="13"/>
      <c r="EXG310" s="35"/>
      <c r="EXH310" s="35"/>
      <c r="EXI310" s="15"/>
      <c r="EXK310" s="13"/>
      <c r="EXL310" s="35"/>
      <c r="EXM310" s="35"/>
      <c r="EXN310" s="15"/>
      <c r="EXP310" s="13"/>
      <c r="EXQ310" s="35"/>
      <c r="EXR310" s="35"/>
      <c r="EXS310" s="15"/>
      <c r="EXU310" s="13"/>
      <c r="EXV310" s="35"/>
      <c r="EXW310" s="35"/>
      <c r="EXX310" s="15"/>
      <c r="EXZ310" s="13"/>
      <c r="EYA310" s="35"/>
      <c r="EYB310" s="35"/>
      <c r="EYC310" s="15"/>
      <c r="EYE310" s="13"/>
      <c r="EYF310" s="35"/>
      <c r="EYG310" s="35"/>
      <c r="EYH310" s="15"/>
      <c r="EYJ310" s="13"/>
      <c r="EYK310" s="35"/>
      <c r="EYL310" s="35"/>
      <c r="EYM310" s="15"/>
      <c r="EYO310" s="13"/>
      <c r="EYP310" s="35"/>
      <c r="EYQ310" s="35"/>
      <c r="EYR310" s="15"/>
      <c r="EYT310" s="13"/>
      <c r="EYU310" s="35"/>
      <c r="EYV310" s="35"/>
      <c r="EYW310" s="15"/>
      <c r="EYY310" s="13"/>
      <c r="EYZ310" s="35"/>
      <c r="EZA310" s="35"/>
      <c r="EZB310" s="15"/>
      <c r="EZD310" s="13"/>
      <c r="EZE310" s="35"/>
      <c r="EZF310" s="35"/>
      <c r="EZG310" s="15"/>
      <c r="EZI310" s="13"/>
      <c r="EZJ310" s="35"/>
      <c r="EZK310" s="35"/>
      <c r="EZL310" s="15"/>
      <c r="EZN310" s="13"/>
      <c r="EZO310" s="35"/>
      <c r="EZP310" s="35"/>
      <c r="EZQ310" s="15"/>
      <c r="EZS310" s="13"/>
      <c r="EZT310" s="35"/>
      <c r="EZU310" s="35"/>
      <c r="EZV310" s="15"/>
      <c r="EZX310" s="13"/>
      <c r="EZY310" s="35"/>
      <c r="EZZ310" s="35"/>
      <c r="FAA310" s="15"/>
      <c r="FAC310" s="13"/>
      <c r="FAD310" s="35"/>
      <c r="FAE310" s="35"/>
      <c r="FAF310" s="15"/>
      <c r="FAH310" s="13"/>
      <c r="FAI310" s="35"/>
      <c r="FAJ310" s="35"/>
      <c r="FAK310" s="15"/>
      <c r="FAM310" s="13"/>
      <c r="FAN310" s="35"/>
      <c r="FAO310" s="35"/>
      <c r="FAP310" s="15"/>
      <c r="FAR310" s="13"/>
      <c r="FAS310" s="35"/>
      <c r="FAT310" s="35"/>
      <c r="FAU310" s="15"/>
      <c r="FAW310" s="13"/>
      <c r="FAX310" s="35"/>
      <c r="FAY310" s="35"/>
      <c r="FAZ310" s="15"/>
      <c r="FBB310" s="13"/>
      <c r="FBC310" s="35"/>
      <c r="FBD310" s="35"/>
      <c r="FBE310" s="15"/>
      <c r="FBG310" s="13"/>
      <c r="FBH310" s="35"/>
      <c r="FBI310" s="35"/>
      <c r="FBJ310" s="15"/>
      <c r="FBL310" s="13"/>
      <c r="FBM310" s="35"/>
      <c r="FBN310" s="35"/>
      <c r="FBO310" s="15"/>
      <c r="FBQ310" s="13"/>
      <c r="FBR310" s="35"/>
      <c r="FBS310" s="35"/>
      <c r="FBT310" s="15"/>
      <c r="FBV310" s="13"/>
      <c r="FBW310" s="35"/>
      <c r="FBX310" s="35"/>
      <c r="FBY310" s="15"/>
      <c r="FCA310" s="13"/>
      <c r="FCB310" s="35"/>
      <c r="FCC310" s="35"/>
      <c r="FCD310" s="15"/>
      <c r="FCF310" s="13"/>
      <c r="FCG310" s="35"/>
      <c r="FCH310" s="35"/>
      <c r="FCI310" s="15"/>
      <c r="FCK310" s="13"/>
      <c r="FCL310" s="35"/>
      <c r="FCM310" s="35"/>
      <c r="FCN310" s="15"/>
      <c r="FCP310" s="13"/>
      <c r="FCQ310" s="35"/>
      <c r="FCR310" s="35"/>
      <c r="FCS310" s="15"/>
      <c r="FCU310" s="13"/>
      <c r="FCV310" s="35"/>
      <c r="FCW310" s="35"/>
      <c r="FCX310" s="15"/>
      <c r="FCZ310" s="13"/>
      <c r="FDA310" s="35"/>
      <c r="FDB310" s="35"/>
      <c r="FDC310" s="15"/>
      <c r="FDE310" s="13"/>
      <c r="FDF310" s="35"/>
      <c r="FDG310" s="35"/>
      <c r="FDH310" s="15"/>
      <c r="FDJ310" s="13"/>
      <c r="FDK310" s="35"/>
      <c r="FDL310" s="35"/>
      <c r="FDM310" s="15"/>
      <c r="FDO310" s="13"/>
      <c r="FDP310" s="35"/>
      <c r="FDQ310" s="35"/>
      <c r="FDR310" s="15"/>
      <c r="FDT310" s="13"/>
      <c r="FDU310" s="35"/>
      <c r="FDV310" s="35"/>
      <c r="FDW310" s="15"/>
      <c r="FDY310" s="13"/>
      <c r="FDZ310" s="35"/>
      <c r="FEA310" s="35"/>
      <c r="FEB310" s="15"/>
      <c r="FED310" s="13"/>
      <c r="FEE310" s="35"/>
      <c r="FEF310" s="35"/>
      <c r="FEG310" s="15"/>
      <c r="FEI310" s="13"/>
      <c r="FEJ310" s="35"/>
      <c r="FEK310" s="35"/>
      <c r="FEL310" s="15"/>
      <c r="FEN310" s="13"/>
      <c r="FEO310" s="35"/>
      <c r="FEP310" s="35"/>
      <c r="FEQ310" s="15"/>
      <c r="FES310" s="13"/>
      <c r="FET310" s="35"/>
      <c r="FEU310" s="35"/>
      <c r="FEV310" s="15"/>
      <c r="FEX310" s="13"/>
      <c r="FEY310" s="35"/>
      <c r="FEZ310" s="35"/>
      <c r="FFA310" s="15"/>
      <c r="FFC310" s="13"/>
      <c r="FFD310" s="35"/>
      <c r="FFE310" s="35"/>
      <c r="FFF310" s="15"/>
      <c r="FFH310" s="13"/>
      <c r="FFI310" s="35"/>
      <c r="FFJ310" s="35"/>
      <c r="FFK310" s="15"/>
      <c r="FFM310" s="13"/>
      <c r="FFN310" s="35"/>
      <c r="FFO310" s="35"/>
      <c r="FFP310" s="15"/>
      <c r="FFR310" s="13"/>
      <c r="FFS310" s="35"/>
      <c r="FFT310" s="35"/>
      <c r="FFU310" s="15"/>
      <c r="FFW310" s="13"/>
      <c r="FFX310" s="35"/>
      <c r="FFY310" s="35"/>
      <c r="FFZ310" s="15"/>
      <c r="FGB310" s="13"/>
      <c r="FGC310" s="35"/>
      <c r="FGD310" s="35"/>
      <c r="FGE310" s="15"/>
      <c r="FGG310" s="13"/>
      <c r="FGH310" s="35"/>
      <c r="FGI310" s="35"/>
      <c r="FGJ310" s="15"/>
      <c r="FGL310" s="13"/>
      <c r="FGM310" s="35"/>
      <c r="FGN310" s="35"/>
      <c r="FGO310" s="15"/>
      <c r="FGQ310" s="13"/>
      <c r="FGR310" s="35"/>
      <c r="FGS310" s="35"/>
      <c r="FGT310" s="15"/>
      <c r="FGV310" s="13"/>
      <c r="FGW310" s="35"/>
      <c r="FGX310" s="35"/>
      <c r="FGY310" s="15"/>
      <c r="FHA310" s="13"/>
      <c r="FHB310" s="35"/>
      <c r="FHC310" s="35"/>
      <c r="FHD310" s="15"/>
      <c r="FHF310" s="13"/>
      <c r="FHG310" s="35"/>
      <c r="FHH310" s="35"/>
      <c r="FHI310" s="15"/>
      <c r="FHK310" s="13"/>
      <c r="FHL310" s="35"/>
      <c r="FHM310" s="35"/>
      <c r="FHN310" s="15"/>
      <c r="FHP310" s="13"/>
      <c r="FHQ310" s="35"/>
      <c r="FHR310" s="35"/>
      <c r="FHS310" s="15"/>
      <c r="FHU310" s="13"/>
      <c r="FHV310" s="35"/>
      <c r="FHW310" s="35"/>
      <c r="FHX310" s="15"/>
      <c r="FHZ310" s="13"/>
      <c r="FIA310" s="35"/>
      <c r="FIB310" s="35"/>
      <c r="FIC310" s="15"/>
      <c r="FIE310" s="13"/>
      <c r="FIF310" s="35"/>
      <c r="FIG310" s="35"/>
      <c r="FIH310" s="15"/>
      <c r="FIJ310" s="13"/>
      <c r="FIK310" s="35"/>
      <c r="FIL310" s="35"/>
      <c r="FIM310" s="15"/>
      <c r="FIO310" s="13"/>
      <c r="FIP310" s="35"/>
      <c r="FIQ310" s="35"/>
      <c r="FIR310" s="15"/>
      <c r="FIT310" s="13"/>
      <c r="FIU310" s="35"/>
      <c r="FIV310" s="35"/>
      <c r="FIW310" s="15"/>
      <c r="FIY310" s="13"/>
      <c r="FIZ310" s="35"/>
      <c r="FJA310" s="35"/>
      <c r="FJB310" s="15"/>
      <c r="FJD310" s="13"/>
      <c r="FJE310" s="35"/>
      <c r="FJF310" s="35"/>
      <c r="FJG310" s="15"/>
      <c r="FJI310" s="13"/>
      <c r="FJJ310" s="35"/>
      <c r="FJK310" s="35"/>
      <c r="FJL310" s="15"/>
      <c r="FJN310" s="13"/>
      <c r="FJO310" s="35"/>
      <c r="FJP310" s="35"/>
      <c r="FJQ310" s="15"/>
      <c r="FJS310" s="13"/>
      <c r="FJT310" s="35"/>
      <c r="FJU310" s="35"/>
      <c r="FJV310" s="15"/>
      <c r="FJX310" s="13"/>
      <c r="FJY310" s="35"/>
      <c r="FJZ310" s="35"/>
      <c r="FKA310" s="15"/>
      <c r="FKC310" s="13"/>
      <c r="FKD310" s="35"/>
      <c r="FKE310" s="35"/>
      <c r="FKF310" s="15"/>
      <c r="FKH310" s="13"/>
      <c r="FKI310" s="35"/>
      <c r="FKJ310" s="35"/>
      <c r="FKK310" s="15"/>
      <c r="FKM310" s="13"/>
      <c r="FKN310" s="35"/>
      <c r="FKO310" s="35"/>
      <c r="FKP310" s="15"/>
      <c r="FKR310" s="13"/>
      <c r="FKS310" s="35"/>
      <c r="FKT310" s="35"/>
      <c r="FKU310" s="15"/>
      <c r="FKW310" s="13"/>
      <c r="FKX310" s="35"/>
      <c r="FKY310" s="35"/>
      <c r="FKZ310" s="15"/>
      <c r="FLB310" s="13"/>
      <c r="FLC310" s="35"/>
      <c r="FLD310" s="35"/>
      <c r="FLE310" s="15"/>
      <c r="FLG310" s="13"/>
      <c r="FLH310" s="35"/>
      <c r="FLI310" s="35"/>
      <c r="FLJ310" s="15"/>
      <c r="FLL310" s="13"/>
      <c r="FLM310" s="35"/>
      <c r="FLN310" s="35"/>
      <c r="FLO310" s="15"/>
      <c r="FLQ310" s="13"/>
      <c r="FLR310" s="35"/>
      <c r="FLS310" s="35"/>
      <c r="FLT310" s="15"/>
      <c r="FLV310" s="13"/>
      <c r="FLW310" s="35"/>
      <c r="FLX310" s="35"/>
      <c r="FLY310" s="15"/>
      <c r="FMA310" s="13"/>
      <c r="FMB310" s="35"/>
      <c r="FMC310" s="35"/>
      <c r="FMD310" s="15"/>
      <c r="FMF310" s="13"/>
      <c r="FMG310" s="35"/>
      <c r="FMH310" s="35"/>
      <c r="FMI310" s="15"/>
      <c r="FMK310" s="13"/>
      <c r="FML310" s="35"/>
      <c r="FMM310" s="35"/>
      <c r="FMN310" s="15"/>
      <c r="FMP310" s="13"/>
      <c r="FMQ310" s="35"/>
      <c r="FMR310" s="35"/>
      <c r="FMS310" s="15"/>
      <c r="FMU310" s="13"/>
      <c r="FMV310" s="35"/>
      <c r="FMW310" s="35"/>
      <c r="FMX310" s="15"/>
      <c r="FMZ310" s="13"/>
      <c r="FNA310" s="35"/>
      <c r="FNB310" s="35"/>
      <c r="FNC310" s="15"/>
      <c r="FNE310" s="13"/>
      <c r="FNF310" s="35"/>
      <c r="FNG310" s="35"/>
      <c r="FNH310" s="15"/>
      <c r="FNJ310" s="13"/>
      <c r="FNK310" s="35"/>
      <c r="FNL310" s="35"/>
      <c r="FNM310" s="15"/>
      <c r="FNO310" s="13"/>
      <c r="FNP310" s="35"/>
      <c r="FNQ310" s="35"/>
      <c r="FNR310" s="15"/>
      <c r="FNT310" s="13"/>
      <c r="FNU310" s="35"/>
      <c r="FNV310" s="35"/>
      <c r="FNW310" s="15"/>
      <c r="FNY310" s="13"/>
      <c r="FNZ310" s="35"/>
      <c r="FOA310" s="35"/>
      <c r="FOB310" s="15"/>
      <c r="FOD310" s="13"/>
      <c r="FOE310" s="35"/>
      <c r="FOF310" s="35"/>
      <c r="FOG310" s="15"/>
      <c r="FOI310" s="13"/>
      <c r="FOJ310" s="35"/>
      <c r="FOK310" s="35"/>
      <c r="FOL310" s="15"/>
      <c r="FON310" s="13"/>
      <c r="FOO310" s="35"/>
      <c r="FOP310" s="35"/>
      <c r="FOQ310" s="15"/>
      <c r="FOS310" s="13"/>
      <c r="FOT310" s="35"/>
      <c r="FOU310" s="35"/>
      <c r="FOV310" s="15"/>
      <c r="FOX310" s="13"/>
      <c r="FOY310" s="35"/>
      <c r="FOZ310" s="35"/>
      <c r="FPA310" s="15"/>
      <c r="FPC310" s="13"/>
      <c r="FPD310" s="35"/>
      <c r="FPE310" s="35"/>
      <c r="FPF310" s="15"/>
      <c r="FPH310" s="13"/>
      <c r="FPI310" s="35"/>
      <c r="FPJ310" s="35"/>
      <c r="FPK310" s="15"/>
      <c r="FPM310" s="13"/>
      <c r="FPN310" s="35"/>
      <c r="FPO310" s="35"/>
      <c r="FPP310" s="15"/>
      <c r="FPR310" s="13"/>
      <c r="FPS310" s="35"/>
      <c r="FPT310" s="35"/>
      <c r="FPU310" s="15"/>
      <c r="FPW310" s="13"/>
      <c r="FPX310" s="35"/>
      <c r="FPY310" s="35"/>
      <c r="FPZ310" s="15"/>
      <c r="FQB310" s="13"/>
      <c r="FQC310" s="35"/>
      <c r="FQD310" s="35"/>
      <c r="FQE310" s="15"/>
      <c r="FQG310" s="13"/>
      <c r="FQH310" s="35"/>
      <c r="FQI310" s="35"/>
      <c r="FQJ310" s="15"/>
      <c r="FQL310" s="13"/>
      <c r="FQM310" s="35"/>
      <c r="FQN310" s="35"/>
      <c r="FQO310" s="15"/>
      <c r="FQQ310" s="13"/>
      <c r="FQR310" s="35"/>
      <c r="FQS310" s="35"/>
      <c r="FQT310" s="15"/>
      <c r="FQV310" s="13"/>
      <c r="FQW310" s="35"/>
      <c r="FQX310" s="35"/>
      <c r="FQY310" s="15"/>
      <c r="FRA310" s="13"/>
      <c r="FRB310" s="35"/>
      <c r="FRC310" s="35"/>
      <c r="FRD310" s="15"/>
      <c r="FRF310" s="13"/>
      <c r="FRG310" s="35"/>
      <c r="FRH310" s="35"/>
      <c r="FRI310" s="15"/>
      <c r="FRK310" s="13"/>
      <c r="FRL310" s="35"/>
      <c r="FRM310" s="35"/>
      <c r="FRN310" s="15"/>
      <c r="FRP310" s="13"/>
      <c r="FRQ310" s="35"/>
      <c r="FRR310" s="35"/>
      <c r="FRS310" s="15"/>
      <c r="FRU310" s="13"/>
      <c r="FRV310" s="35"/>
      <c r="FRW310" s="35"/>
      <c r="FRX310" s="15"/>
      <c r="FRZ310" s="13"/>
      <c r="FSA310" s="35"/>
      <c r="FSB310" s="35"/>
      <c r="FSC310" s="15"/>
      <c r="FSE310" s="13"/>
      <c r="FSF310" s="35"/>
      <c r="FSG310" s="35"/>
      <c r="FSH310" s="15"/>
      <c r="FSJ310" s="13"/>
      <c r="FSK310" s="35"/>
      <c r="FSL310" s="35"/>
      <c r="FSM310" s="15"/>
      <c r="FSO310" s="13"/>
      <c r="FSP310" s="35"/>
      <c r="FSQ310" s="35"/>
      <c r="FSR310" s="15"/>
      <c r="FST310" s="13"/>
      <c r="FSU310" s="35"/>
      <c r="FSV310" s="35"/>
      <c r="FSW310" s="15"/>
      <c r="FSY310" s="13"/>
      <c r="FSZ310" s="35"/>
      <c r="FTA310" s="35"/>
      <c r="FTB310" s="15"/>
      <c r="FTD310" s="13"/>
      <c r="FTE310" s="35"/>
      <c r="FTF310" s="35"/>
      <c r="FTG310" s="15"/>
      <c r="FTI310" s="13"/>
      <c r="FTJ310" s="35"/>
      <c r="FTK310" s="35"/>
      <c r="FTL310" s="15"/>
      <c r="FTN310" s="13"/>
      <c r="FTO310" s="35"/>
      <c r="FTP310" s="35"/>
      <c r="FTQ310" s="15"/>
      <c r="FTS310" s="13"/>
      <c r="FTT310" s="35"/>
      <c r="FTU310" s="35"/>
      <c r="FTV310" s="15"/>
      <c r="FTX310" s="13"/>
      <c r="FTY310" s="35"/>
      <c r="FTZ310" s="35"/>
      <c r="FUA310" s="15"/>
      <c r="FUC310" s="13"/>
      <c r="FUD310" s="35"/>
      <c r="FUE310" s="35"/>
      <c r="FUF310" s="15"/>
      <c r="FUH310" s="13"/>
      <c r="FUI310" s="35"/>
      <c r="FUJ310" s="35"/>
      <c r="FUK310" s="15"/>
      <c r="FUM310" s="13"/>
      <c r="FUN310" s="35"/>
      <c r="FUO310" s="35"/>
      <c r="FUP310" s="15"/>
      <c r="FUR310" s="13"/>
      <c r="FUS310" s="35"/>
      <c r="FUT310" s="35"/>
      <c r="FUU310" s="15"/>
      <c r="FUW310" s="13"/>
      <c r="FUX310" s="35"/>
      <c r="FUY310" s="35"/>
      <c r="FUZ310" s="15"/>
      <c r="FVB310" s="13"/>
      <c r="FVC310" s="35"/>
      <c r="FVD310" s="35"/>
      <c r="FVE310" s="15"/>
      <c r="FVG310" s="13"/>
      <c r="FVH310" s="35"/>
      <c r="FVI310" s="35"/>
      <c r="FVJ310" s="15"/>
      <c r="FVL310" s="13"/>
      <c r="FVM310" s="35"/>
      <c r="FVN310" s="35"/>
      <c r="FVO310" s="15"/>
      <c r="FVQ310" s="13"/>
      <c r="FVR310" s="35"/>
      <c r="FVS310" s="35"/>
      <c r="FVT310" s="15"/>
      <c r="FVV310" s="13"/>
      <c r="FVW310" s="35"/>
      <c r="FVX310" s="35"/>
      <c r="FVY310" s="15"/>
      <c r="FWA310" s="13"/>
      <c r="FWB310" s="35"/>
      <c r="FWC310" s="35"/>
      <c r="FWD310" s="15"/>
      <c r="FWF310" s="13"/>
      <c r="FWG310" s="35"/>
      <c r="FWH310" s="35"/>
      <c r="FWI310" s="15"/>
      <c r="FWK310" s="13"/>
      <c r="FWL310" s="35"/>
      <c r="FWM310" s="35"/>
      <c r="FWN310" s="15"/>
      <c r="FWP310" s="13"/>
      <c r="FWQ310" s="35"/>
      <c r="FWR310" s="35"/>
      <c r="FWS310" s="15"/>
      <c r="FWU310" s="13"/>
      <c r="FWV310" s="35"/>
      <c r="FWW310" s="35"/>
      <c r="FWX310" s="15"/>
      <c r="FWZ310" s="13"/>
      <c r="FXA310" s="35"/>
      <c r="FXB310" s="35"/>
      <c r="FXC310" s="15"/>
      <c r="FXE310" s="13"/>
      <c r="FXF310" s="35"/>
      <c r="FXG310" s="35"/>
      <c r="FXH310" s="15"/>
      <c r="FXJ310" s="13"/>
      <c r="FXK310" s="35"/>
      <c r="FXL310" s="35"/>
      <c r="FXM310" s="15"/>
      <c r="FXO310" s="13"/>
      <c r="FXP310" s="35"/>
      <c r="FXQ310" s="35"/>
      <c r="FXR310" s="15"/>
      <c r="FXT310" s="13"/>
      <c r="FXU310" s="35"/>
      <c r="FXV310" s="35"/>
      <c r="FXW310" s="15"/>
      <c r="FXY310" s="13"/>
      <c r="FXZ310" s="35"/>
      <c r="FYA310" s="35"/>
      <c r="FYB310" s="15"/>
      <c r="FYD310" s="13"/>
      <c r="FYE310" s="35"/>
      <c r="FYF310" s="35"/>
      <c r="FYG310" s="15"/>
      <c r="FYI310" s="13"/>
      <c r="FYJ310" s="35"/>
      <c r="FYK310" s="35"/>
      <c r="FYL310" s="15"/>
      <c r="FYN310" s="13"/>
      <c r="FYO310" s="35"/>
      <c r="FYP310" s="35"/>
      <c r="FYQ310" s="15"/>
      <c r="FYS310" s="13"/>
      <c r="FYT310" s="35"/>
      <c r="FYU310" s="35"/>
      <c r="FYV310" s="15"/>
      <c r="FYX310" s="13"/>
      <c r="FYY310" s="35"/>
      <c r="FYZ310" s="35"/>
      <c r="FZA310" s="15"/>
      <c r="FZC310" s="13"/>
      <c r="FZD310" s="35"/>
      <c r="FZE310" s="35"/>
      <c r="FZF310" s="15"/>
      <c r="FZH310" s="13"/>
      <c r="FZI310" s="35"/>
      <c r="FZJ310" s="35"/>
      <c r="FZK310" s="15"/>
      <c r="FZM310" s="13"/>
      <c r="FZN310" s="35"/>
      <c r="FZO310" s="35"/>
      <c r="FZP310" s="15"/>
      <c r="FZR310" s="13"/>
      <c r="FZS310" s="35"/>
      <c r="FZT310" s="35"/>
      <c r="FZU310" s="15"/>
      <c r="FZW310" s="13"/>
      <c r="FZX310" s="35"/>
      <c r="FZY310" s="35"/>
      <c r="FZZ310" s="15"/>
      <c r="GAB310" s="13"/>
      <c r="GAC310" s="35"/>
      <c r="GAD310" s="35"/>
      <c r="GAE310" s="15"/>
      <c r="GAG310" s="13"/>
      <c r="GAH310" s="35"/>
      <c r="GAI310" s="35"/>
      <c r="GAJ310" s="15"/>
      <c r="GAL310" s="13"/>
      <c r="GAM310" s="35"/>
      <c r="GAN310" s="35"/>
      <c r="GAO310" s="15"/>
      <c r="GAQ310" s="13"/>
      <c r="GAR310" s="35"/>
      <c r="GAS310" s="35"/>
      <c r="GAT310" s="15"/>
      <c r="GAV310" s="13"/>
      <c r="GAW310" s="35"/>
      <c r="GAX310" s="35"/>
      <c r="GAY310" s="15"/>
      <c r="GBA310" s="13"/>
      <c r="GBB310" s="35"/>
      <c r="GBC310" s="35"/>
      <c r="GBD310" s="15"/>
      <c r="GBF310" s="13"/>
      <c r="GBG310" s="35"/>
      <c r="GBH310" s="35"/>
      <c r="GBI310" s="15"/>
      <c r="GBK310" s="13"/>
      <c r="GBL310" s="35"/>
      <c r="GBM310" s="35"/>
      <c r="GBN310" s="15"/>
      <c r="GBP310" s="13"/>
      <c r="GBQ310" s="35"/>
      <c r="GBR310" s="35"/>
      <c r="GBS310" s="15"/>
      <c r="GBU310" s="13"/>
      <c r="GBV310" s="35"/>
      <c r="GBW310" s="35"/>
      <c r="GBX310" s="15"/>
      <c r="GBZ310" s="13"/>
      <c r="GCA310" s="35"/>
      <c r="GCB310" s="35"/>
      <c r="GCC310" s="15"/>
      <c r="GCE310" s="13"/>
      <c r="GCF310" s="35"/>
      <c r="GCG310" s="35"/>
      <c r="GCH310" s="15"/>
      <c r="GCJ310" s="13"/>
      <c r="GCK310" s="35"/>
      <c r="GCL310" s="35"/>
      <c r="GCM310" s="15"/>
      <c r="GCO310" s="13"/>
      <c r="GCP310" s="35"/>
      <c r="GCQ310" s="35"/>
      <c r="GCR310" s="15"/>
      <c r="GCT310" s="13"/>
      <c r="GCU310" s="35"/>
      <c r="GCV310" s="35"/>
      <c r="GCW310" s="15"/>
      <c r="GCY310" s="13"/>
      <c r="GCZ310" s="35"/>
      <c r="GDA310" s="35"/>
      <c r="GDB310" s="15"/>
      <c r="GDD310" s="13"/>
      <c r="GDE310" s="35"/>
      <c r="GDF310" s="35"/>
      <c r="GDG310" s="15"/>
      <c r="GDI310" s="13"/>
      <c r="GDJ310" s="35"/>
      <c r="GDK310" s="35"/>
      <c r="GDL310" s="15"/>
      <c r="GDN310" s="13"/>
      <c r="GDO310" s="35"/>
      <c r="GDP310" s="35"/>
      <c r="GDQ310" s="15"/>
      <c r="GDS310" s="13"/>
      <c r="GDT310" s="35"/>
      <c r="GDU310" s="35"/>
      <c r="GDV310" s="15"/>
      <c r="GDX310" s="13"/>
      <c r="GDY310" s="35"/>
      <c r="GDZ310" s="35"/>
      <c r="GEA310" s="15"/>
      <c r="GEC310" s="13"/>
      <c r="GED310" s="35"/>
      <c r="GEE310" s="35"/>
      <c r="GEF310" s="15"/>
      <c r="GEH310" s="13"/>
      <c r="GEI310" s="35"/>
      <c r="GEJ310" s="35"/>
      <c r="GEK310" s="15"/>
      <c r="GEM310" s="13"/>
      <c r="GEN310" s="35"/>
      <c r="GEO310" s="35"/>
      <c r="GEP310" s="15"/>
      <c r="GER310" s="13"/>
      <c r="GES310" s="35"/>
      <c r="GET310" s="35"/>
      <c r="GEU310" s="15"/>
      <c r="GEW310" s="13"/>
      <c r="GEX310" s="35"/>
      <c r="GEY310" s="35"/>
      <c r="GEZ310" s="15"/>
      <c r="GFB310" s="13"/>
      <c r="GFC310" s="35"/>
      <c r="GFD310" s="35"/>
      <c r="GFE310" s="15"/>
      <c r="GFG310" s="13"/>
      <c r="GFH310" s="35"/>
      <c r="GFI310" s="35"/>
      <c r="GFJ310" s="15"/>
      <c r="GFL310" s="13"/>
      <c r="GFM310" s="35"/>
      <c r="GFN310" s="35"/>
      <c r="GFO310" s="15"/>
      <c r="GFQ310" s="13"/>
      <c r="GFR310" s="35"/>
      <c r="GFS310" s="35"/>
      <c r="GFT310" s="15"/>
      <c r="GFV310" s="13"/>
      <c r="GFW310" s="35"/>
      <c r="GFX310" s="35"/>
      <c r="GFY310" s="15"/>
      <c r="GGA310" s="13"/>
      <c r="GGB310" s="35"/>
      <c r="GGC310" s="35"/>
      <c r="GGD310" s="15"/>
      <c r="GGF310" s="13"/>
      <c r="GGG310" s="35"/>
      <c r="GGH310" s="35"/>
      <c r="GGI310" s="15"/>
      <c r="GGK310" s="13"/>
      <c r="GGL310" s="35"/>
      <c r="GGM310" s="35"/>
      <c r="GGN310" s="15"/>
      <c r="GGP310" s="13"/>
      <c r="GGQ310" s="35"/>
      <c r="GGR310" s="35"/>
      <c r="GGS310" s="15"/>
      <c r="GGU310" s="13"/>
      <c r="GGV310" s="35"/>
      <c r="GGW310" s="35"/>
      <c r="GGX310" s="15"/>
      <c r="GGZ310" s="13"/>
      <c r="GHA310" s="35"/>
      <c r="GHB310" s="35"/>
      <c r="GHC310" s="15"/>
      <c r="GHE310" s="13"/>
      <c r="GHF310" s="35"/>
      <c r="GHG310" s="35"/>
      <c r="GHH310" s="15"/>
      <c r="GHJ310" s="13"/>
      <c r="GHK310" s="35"/>
      <c r="GHL310" s="35"/>
      <c r="GHM310" s="15"/>
      <c r="GHO310" s="13"/>
      <c r="GHP310" s="35"/>
      <c r="GHQ310" s="35"/>
      <c r="GHR310" s="15"/>
      <c r="GHT310" s="13"/>
      <c r="GHU310" s="35"/>
      <c r="GHV310" s="35"/>
      <c r="GHW310" s="15"/>
      <c r="GHY310" s="13"/>
      <c r="GHZ310" s="35"/>
      <c r="GIA310" s="35"/>
      <c r="GIB310" s="15"/>
      <c r="GID310" s="13"/>
      <c r="GIE310" s="35"/>
      <c r="GIF310" s="35"/>
      <c r="GIG310" s="15"/>
      <c r="GII310" s="13"/>
      <c r="GIJ310" s="35"/>
      <c r="GIK310" s="35"/>
      <c r="GIL310" s="15"/>
      <c r="GIN310" s="13"/>
      <c r="GIO310" s="35"/>
      <c r="GIP310" s="35"/>
      <c r="GIQ310" s="15"/>
      <c r="GIS310" s="13"/>
      <c r="GIT310" s="35"/>
      <c r="GIU310" s="35"/>
      <c r="GIV310" s="15"/>
      <c r="GIX310" s="13"/>
      <c r="GIY310" s="35"/>
      <c r="GIZ310" s="35"/>
      <c r="GJA310" s="15"/>
      <c r="GJC310" s="13"/>
      <c r="GJD310" s="35"/>
      <c r="GJE310" s="35"/>
      <c r="GJF310" s="15"/>
      <c r="GJH310" s="13"/>
      <c r="GJI310" s="35"/>
      <c r="GJJ310" s="35"/>
      <c r="GJK310" s="15"/>
      <c r="GJM310" s="13"/>
      <c r="GJN310" s="35"/>
      <c r="GJO310" s="35"/>
      <c r="GJP310" s="15"/>
      <c r="GJR310" s="13"/>
      <c r="GJS310" s="35"/>
      <c r="GJT310" s="35"/>
      <c r="GJU310" s="15"/>
      <c r="GJW310" s="13"/>
      <c r="GJX310" s="35"/>
      <c r="GJY310" s="35"/>
      <c r="GJZ310" s="15"/>
      <c r="GKB310" s="13"/>
      <c r="GKC310" s="35"/>
      <c r="GKD310" s="35"/>
      <c r="GKE310" s="15"/>
      <c r="GKG310" s="13"/>
      <c r="GKH310" s="35"/>
      <c r="GKI310" s="35"/>
      <c r="GKJ310" s="15"/>
      <c r="GKL310" s="13"/>
      <c r="GKM310" s="35"/>
      <c r="GKN310" s="35"/>
      <c r="GKO310" s="15"/>
      <c r="GKQ310" s="13"/>
      <c r="GKR310" s="35"/>
      <c r="GKS310" s="35"/>
      <c r="GKT310" s="15"/>
      <c r="GKV310" s="13"/>
      <c r="GKW310" s="35"/>
      <c r="GKX310" s="35"/>
      <c r="GKY310" s="15"/>
      <c r="GLA310" s="13"/>
      <c r="GLB310" s="35"/>
      <c r="GLC310" s="35"/>
      <c r="GLD310" s="15"/>
      <c r="GLF310" s="13"/>
      <c r="GLG310" s="35"/>
      <c r="GLH310" s="35"/>
      <c r="GLI310" s="15"/>
      <c r="GLK310" s="13"/>
      <c r="GLL310" s="35"/>
      <c r="GLM310" s="35"/>
      <c r="GLN310" s="15"/>
      <c r="GLP310" s="13"/>
      <c r="GLQ310" s="35"/>
      <c r="GLR310" s="35"/>
      <c r="GLS310" s="15"/>
      <c r="GLU310" s="13"/>
      <c r="GLV310" s="35"/>
      <c r="GLW310" s="35"/>
      <c r="GLX310" s="15"/>
      <c r="GLZ310" s="13"/>
      <c r="GMA310" s="35"/>
      <c r="GMB310" s="35"/>
      <c r="GMC310" s="15"/>
      <c r="GME310" s="13"/>
      <c r="GMF310" s="35"/>
      <c r="GMG310" s="35"/>
      <c r="GMH310" s="15"/>
      <c r="GMJ310" s="13"/>
      <c r="GMK310" s="35"/>
      <c r="GML310" s="35"/>
      <c r="GMM310" s="15"/>
      <c r="GMO310" s="13"/>
      <c r="GMP310" s="35"/>
      <c r="GMQ310" s="35"/>
      <c r="GMR310" s="15"/>
      <c r="GMT310" s="13"/>
      <c r="GMU310" s="35"/>
      <c r="GMV310" s="35"/>
      <c r="GMW310" s="15"/>
      <c r="GMY310" s="13"/>
      <c r="GMZ310" s="35"/>
      <c r="GNA310" s="35"/>
      <c r="GNB310" s="15"/>
      <c r="GND310" s="13"/>
      <c r="GNE310" s="35"/>
      <c r="GNF310" s="35"/>
      <c r="GNG310" s="15"/>
      <c r="GNI310" s="13"/>
      <c r="GNJ310" s="35"/>
      <c r="GNK310" s="35"/>
      <c r="GNL310" s="15"/>
      <c r="GNN310" s="13"/>
      <c r="GNO310" s="35"/>
      <c r="GNP310" s="35"/>
      <c r="GNQ310" s="15"/>
      <c r="GNS310" s="13"/>
      <c r="GNT310" s="35"/>
      <c r="GNU310" s="35"/>
      <c r="GNV310" s="15"/>
      <c r="GNX310" s="13"/>
      <c r="GNY310" s="35"/>
      <c r="GNZ310" s="35"/>
      <c r="GOA310" s="15"/>
      <c r="GOC310" s="13"/>
      <c r="GOD310" s="35"/>
      <c r="GOE310" s="35"/>
      <c r="GOF310" s="15"/>
      <c r="GOH310" s="13"/>
      <c r="GOI310" s="35"/>
      <c r="GOJ310" s="35"/>
      <c r="GOK310" s="15"/>
      <c r="GOM310" s="13"/>
      <c r="GON310" s="35"/>
      <c r="GOO310" s="35"/>
      <c r="GOP310" s="15"/>
      <c r="GOR310" s="13"/>
      <c r="GOS310" s="35"/>
      <c r="GOT310" s="35"/>
      <c r="GOU310" s="15"/>
      <c r="GOW310" s="13"/>
      <c r="GOX310" s="35"/>
      <c r="GOY310" s="35"/>
      <c r="GOZ310" s="15"/>
      <c r="GPB310" s="13"/>
      <c r="GPC310" s="35"/>
      <c r="GPD310" s="35"/>
      <c r="GPE310" s="15"/>
      <c r="GPG310" s="13"/>
      <c r="GPH310" s="35"/>
      <c r="GPI310" s="35"/>
      <c r="GPJ310" s="15"/>
      <c r="GPL310" s="13"/>
      <c r="GPM310" s="35"/>
      <c r="GPN310" s="35"/>
      <c r="GPO310" s="15"/>
      <c r="GPQ310" s="13"/>
      <c r="GPR310" s="35"/>
      <c r="GPS310" s="35"/>
      <c r="GPT310" s="15"/>
      <c r="GPV310" s="13"/>
      <c r="GPW310" s="35"/>
      <c r="GPX310" s="35"/>
      <c r="GPY310" s="15"/>
      <c r="GQA310" s="13"/>
      <c r="GQB310" s="35"/>
      <c r="GQC310" s="35"/>
      <c r="GQD310" s="15"/>
      <c r="GQF310" s="13"/>
      <c r="GQG310" s="35"/>
      <c r="GQH310" s="35"/>
      <c r="GQI310" s="15"/>
      <c r="GQK310" s="13"/>
      <c r="GQL310" s="35"/>
      <c r="GQM310" s="35"/>
      <c r="GQN310" s="15"/>
      <c r="GQP310" s="13"/>
      <c r="GQQ310" s="35"/>
      <c r="GQR310" s="35"/>
      <c r="GQS310" s="15"/>
      <c r="GQU310" s="13"/>
      <c r="GQV310" s="35"/>
      <c r="GQW310" s="35"/>
      <c r="GQX310" s="15"/>
      <c r="GQZ310" s="13"/>
      <c r="GRA310" s="35"/>
      <c r="GRB310" s="35"/>
      <c r="GRC310" s="15"/>
      <c r="GRE310" s="13"/>
      <c r="GRF310" s="35"/>
      <c r="GRG310" s="35"/>
      <c r="GRH310" s="15"/>
      <c r="GRJ310" s="13"/>
      <c r="GRK310" s="35"/>
      <c r="GRL310" s="35"/>
      <c r="GRM310" s="15"/>
      <c r="GRO310" s="13"/>
      <c r="GRP310" s="35"/>
      <c r="GRQ310" s="35"/>
      <c r="GRR310" s="15"/>
      <c r="GRT310" s="13"/>
      <c r="GRU310" s="35"/>
      <c r="GRV310" s="35"/>
      <c r="GRW310" s="15"/>
      <c r="GRY310" s="13"/>
      <c r="GRZ310" s="35"/>
      <c r="GSA310" s="35"/>
      <c r="GSB310" s="15"/>
      <c r="GSD310" s="13"/>
      <c r="GSE310" s="35"/>
      <c r="GSF310" s="35"/>
      <c r="GSG310" s="15"/>
      <c r="GSI310" s="13"/>
      <c r="GSJ310" s="35"/>
      <c r="GSK310" s="35"/>
      <c r="GSL310" s="15"/>
      <c r="GSN310" s="13"/>
      <c r="GSO310" s="35"/>
      <c r="GSP310" s="35"/>
      <c r="GSQ310" s="15"/>
      <c r="GSS310" s="13"/>
      <c r="GST310" s="35"/>
      <c r="GSU310" s="35"/>
      <c r="GSV310" s="15"/>
      <c r="GSX310" s="13"/>
      <c r="GSY310" s="35"/>
      <c r="GSZ310" s="35"/>
      <c r="GTA310" s="15"/>
      <c r="GTC310" s="13"/>
      <c r="GTD310" s="35"/>
      <c r="GTE310" s="35"/>
      <c r="GTF310" s="15"/>
      <c r="GTH310" s="13"/>
      <c r="GTI310" s="35"/>
      <c r="GTJ310" s="35"/>
      <c r="GTK310" s="15"/>
      <c r="GTM310" s="13"/>
      <c r="GTN310" s="35"/>
      <c r="GTO310" s="35"/>
      <c r="GTP310" s="15"/>
      <c r="GTR310" s="13"/>
      <c r="GTS310" s="35"/>
      <c r="GTT310" s="35"/>
      <c r="GTU310" s="15"/>
      <c r="GTW310" s="13"/>
      <c r="GTX310" s="35"/>
      <c r="GTY310" s="35"/>
      <c r="GTZ310" s="15"/>
      <c r="GUB310" s="13"/>
      <c r="GUC310" s="35"/>
      <c r="GUD310" s="35"/>
      <c r="GUE310" s="15"/>
      <c r="GUG310" s="13"/>
      <c r="GUH310" s="35"/>
      <c r="GUI310" s="35"/>
      <c r="GUJ310" s="15"/>
      <c r="GUL310" s="13"/>
      <c r="GUM310" s="35"/>
      <c r="GUN310" s="35"/>
      <c r="GUO310" s="15"/>
      <c r="GUQ310" s="13"/>
      <c r="GUR310" s="35"/>
      <c r="GUS310" s="35"/>
      <c r="GUT310" s="15"/>
      <c r="GUV310" s="13"/>
      <c r="GUW310" s="35"/>
      <c r="GUX310" s="35"/>
      <c r="GUY310" s="15"/>
      <c r="GVA310" s="13"/>
      <c r="GVB310" s="35"/>
      <c r="GVC310" s="35"/>
      <c r="GVD310" s="15"/>
      <c r="GVF310" s="13"/>
      <c r="GVG310" s="35"/>
      <c r="GVH310" s="35"/>
      <c r="GVI310" s="15"/>
      <c r="GVK310" s="13"/>
      <c r="GVL310" s="35"/>
      <c r="GVM310" s="35"/>
      <c r="GVN310" s="15"/>
      <c r="GVP310" s="13"/>
      <c r="GVQ310" s="35"/>
      <c r="GVR310" s="35"/>
      <c r="GVS310" s="15"/>
      <c r="GVU310" s="13"/>
      <c r="GVV310" s="35"/>
      <c r="GVW310" s="35"/>
      <c r="GVX310" s="15"/>
      <c r="GVZ310" s="13"/>
      <c r="GWA310" s="35"/>
      <c r="GWB310" s="35"/>
      <c r="GWC310" s="15"/>
      <c r="GWE310" s="13"/>
      <c r="GWF310" s="35"/>
      <c r="GWG310" s="35"/>
      <c r="GWH310" s="15"/>
      <c r="GWJ310" s="13"/>
      <c r="GWK310" s="35"/>
      <c r="GWL310" s="35"/>
      <c r="GWM310" s="15"/>
      <c r="GWO310" s="13"/>
      <c r="GWP310" s="35"/>
      <c r="GWQ310" s="35"/>
      <c r="GWR310" s="15"/>
      <c r="GWT310" s="13"/>
      <c r="GWU310" s="35"/>
      <c r="GWV310" s="35"/>
      <c r="GWW310" s="15"/>
      <c r="GWY310" s="13"/>
      <c r="GWZ310" s="35"/>
      <c r="GXA310" s="35"/>
      <c r="GXB310" s="15"/>
      <c r="GXD310" s="13"/>
      <c r="GXE310" s="35"/>
      <c r="GXF310" s="35"/>
      <c r="GXG310" s="15"/>
      <c r="GXI310" s="13"/>
      <c r="GXJ310" s="35"/>
      <c r="GXK310" s="35"/>
      <c r="GXL310" s="15"/>
      <c r="GXN310" s="13"/>
      <c r="GXO310" s="35"/>
      <c r="GXP310" s="35"/>
      <c r="GXQ310" s="15"/>
      <c r="GXS310" s="13"/>
      <c r="GXT310" s="35"/>
      <c r="GXU310" s="35"/>
      <c r="GXV310" s="15"/>
      <c r="GXX310" s="13"/>
      <c r="GXY310" s="35"/>
      <c r="GXZ310" s="35"/>
      <c r="GYA310" s="15"/>
      <c r="GYC310" s="13"/>
      <c r="GYD310" s="35"/>
      <c r="GYE310" s="35"/>
      <c r="GYF310" s="15"/>
      <c r="GYH310" s="13"/>
      <c r="GYI310" s="35"/>
      <c r="GYJ310" s="35"/>
      <c r="GYK310" s="15"/>
      <c r="GYM310" s="13"/>
      <c r="GYN310" s="35"/>
      <c r="GYO310" s="35"/>
      <c r="GYP310" s="15"/>
      <c r="GYR310" s="13"/>
      <c r="GYS310" s="35"/>
      <c r="GYT310" s="35"/>
      <c r="GYU310" s="15"/>
      <c r="GYW310" s="13"/>
      <c r="GYX310" s="35"/>
      <c r="GYY310" s="35"/>
      <c r="GYZ310" s="15"/>
      <c r="GZB310" s="13"/>
      <c r="GZC310" s="35"/>
      <c r="GZD310" s="35"/>
      <c r="GZE310" s="15"/>
      <c r="GZG310" s="13"/>
      <c r="GZH310" s="35"/>
      <c r="GZI310" s="35"/>
      <c r="GZJ310" s="15"/>
      <c r="GZL310" s="13"/>
      <c r="GZM310" s="35"/>
      <c r="GZN310" s="35"/>
      <c r="GZO310" s="15"/>
      <c r="GZQ310" s="13"/>
      <c r="GZR310" s="35"/>
      <c r="GZS310" s="35"/>
      <c r="GZT310" s="15"/>
      <c r="GZV310" s="13"/>
      <c r="GZW310" s="35"/>
      <c r="GZX310" s="35"/>
      <c r="GZY310" s="15"/>
      <c r="HAA310" s="13"/>
      <c r="HAB310" s="35"/>
      <c r="HAC310" s="35"/>
      <c r="HAD310" s="15"/>
      <c r="HAF310" s="13"/>
      <c r="HAG310" s="35"/>
      <c r="HAH310" s="35"/>
      <c r="HAI310" s="15"/>
      <c r="HAK310" s="13"/>
      <c r="HAL310" s="35"/>
      <c r="HAM310" s="35"/>
      <c r="HAN310" s="15"/>
      <c r="HAP310" s="13"/>
      <c r="HAQ310" s="35"/>
      <c r="HAR310" s="35"/>
      <c r="HAS310" s="15"/>
      <c r="HAU310" s="13"/>
      <c r="HAV310" s="35"/>
      <c r="HAW310" s="35"/>
      <c r="HAX310" s="15"/>
      <c r="HAZ310" s="13"/>
      <c r="HBA310" s="35"/>
      <c r="HBB310" s="35"/>
      <c r="HBC310" s="15"/>
      <c r="HBE310" s="13"/>
      <c r="HBF310" s="35"/>
      <c r="HBG310" s="35"/>
      <c r="HBH310" s="15"/>
      <c r="HBJ310" s="13"/>
      <c r="HBK310" s="35"/>
      <c r="HBL310" s="35"/>
      <c r="HBM310" s="15"/>
      <c r="HBO310" s="13"/>
      <c r="HBP310" s="35"/>
      <c r="HBQ310" s="35"/>
      <c r="HBR310" s="15"/>
      <c r="HBT310" s="13"/>
      <c r="HBU310" s="35"/>
      <c r="HBV310" s="35"/>
      <c r="HBW310" s="15"/>
      <c r="HBY310" s="13"/>
      <c r="HBZ310" s="35"/>
      <c r="HCA310" s="35"/>
      <c r="HCB310" s="15"/>
      <c r="HCD310" s="13"/>
      <c r="HCE310" s="35"/>
      <c r="HCF310" s="35"/>
      <c r="HCG310" s="15"/>
      <c r="HCI310" s="13"/>
      <c r="HCJ310" s="35"/>
      <c r="HCK310" s="35"/>
      <c r="HCL310" s="15"/>
      <c r="HCN310" s="13"/>
      <c r="HCO310" s="35"/>
      <c r="HCP310" s="35"/>
      <c r="HCQ310" s="15"/>
      <c r="HCS310" s="13"/>
      <c r="HCT310" s="35"/>
      <c r="HCU310" s="35"/>
      <c r="HCV310" s="15"/>
      <c r="HCX310" s="13"/>
      <c r="HCY310" s="35"/>
      <c r="HCZ310" s="35"/>
      <c r="HDA310" s="15"/>
      <c r="HDC310" s="13"/>
      <c r="HDD310" s="35"/>
      <c r="HDE310" s="35"/>
      <c r="HDF310" s="15"/>
      <c r="HDH310" s="13"/>
      <c r="HDI310" s="35"/>
      <c r="HDJ310" s="35"/>
      <c r="HDK310" s="15"/>
      <c r="HDM310" s="13"/>
      <c r="HDN310" s="35"/>
      <c r="HDO310" s="35"/>
      <c r="HDP310" s="15"/>
      <c r="HDR310" s="13"/>
      <c r="HDS310" s="35"/>
      <c r="HDT310" s="35"/>
      <c r="HDU310" s="15"/>
      <c r="HDW310" s="13"/>
      <c r="HDX310" s="35"/>
      <c r="HDY310" s="35"/>
      <c r="HDZ310" s="15"/>
      <c r="HEB310" s="13"/>
      <c r="HEC310" s="35"/>
      <c r="HED310" s="35"/>
      <c r="HEE310" s="15"/>
      <c r="HEG310" s="13"/>
      <c r="HEH310" s="35"/>
      <c r="HEI310" s="35"/>
      <c r="HEJ310" s="15"/>
      <c r="HEL310" s="13"/>
      <c r="HEM310" s="35"/>
      <c r="HEN310" s="35"/>
      <c r="HEO310" s="15"/>
      <c r="HEQ310" s="13"/>
      <c r="HER310" s="35"/>
      <c r="HES310" s="35"/>
      <c r="HET310" s="15"/>
      <c r="HEV310" s="13"/>
      <c r="HEW310" s="35"/>
      <c r="HEX310" s="35"/>
      <c r="HEY310" s="15"/>
      <c r="HFA310" s="13"/>
      <c r="HFB310" s="35"/>
      <c r="HFC310" s="35"/>
      <c r="HFD310" s="15"/>
      <c r="HFF310" s="13"/>
      <c r="HFG310" s="35"/>
      <c r="HFH310" s="35"/>
      <c r="HFI310" s="15"/>
      <c r="HFK310" s="13"/>
      <c r="HFL310" s="35"/>
      <c r="HFM310" s="35"/>
      <c r="HFN310" s="15"/>
      <c r="HFP310" s="13"/>
      <c r="HFQ310" s="35"/>
      <c r="HFR310" s="35"/>
      <c r="HFS310" s="15"/>
      <c r="HFU310" s="13"/>
      <c r="HFV310" s="35"/>
      <c r="HFW310" s="35"/>
      <c r="HFX310" s="15"/>
      <c r="HFZ310" s="13"/>
      <c r="HGA310" s="35"/>
      <c r="HGB310" s="35"/>
      <c r="HGC310" s="15"/>
      <c r="HGE310" s="13"/>
      <c r="HGF310" s="35"/>
      <c r="HGG310" s="35"/>
      <c r="HGH310" s="15"/>
      <c r="HGJ310" s="13"/>
      <c r="HGK310" s="35"/>
      <c r="HGL310" s="35"/>
      <c r="HGM310" s="15"/>
      <c r="HGO310" s="13"/>
      <c r="HGP310" s="35"/>
      <c r="HGQ310" s="35"/>
      <c r="HGR310" s="15"/>
      <c r="HGT310" s="13"/>
      <c r="HGU310" s="35"/>
      <c r="HGV310" s="35"/>
      <c r="HGW310" s="15"/>
      <c r="HGY310" s="13"/>
      <c r="HGZ310" s="35"/>
      <c r="HHA310" s="35"/>
      <c r="HHB310" s="15"/>
      <c r="HHD310" s="13"/>
      <c r="HHE310" s="35"/>
      <c r="HHF310" s="35"/>
      <c r="HHG310" s="15"/>
      <c r="HHI310" s="13"/>
      <c r="HHJ310" s="35"/>
      <c r="HHK310" s="35"/>
      <c r="HHL310" s="15"/>
      <c r="HHN310" s="13"/>
      <c r="HHO310" s="35"/>
      <c r="HHP310" s="35"/>
      <c r="HHQ310" s="15"/>
      <c r="HHS310" s="13"/>
      <c r="HHT310" s="35"/>
      <c r="HHU310" s="35"/>
      <c r="HHV310" s="15"/>
      <c r="HHX310" s="13"/>
      <c r="HHY310" s="35"/>
      <c r="HHZ310" s="35"/>
      <c r="HIA310" s="15"/>
      <c r="HIC310" s="13"/>
      <c r="HID310" s="35"/>
      <c r="HIE310" s="35"/>
      <c r="HIF310" s="15"/>
      <c r="HIH310" s="13"/>
      <c r="HII310" s="35"/>
      <c r="HIJ310" s="35"/>
      <c r="HIK310" s="15"/>
      <c r="HIM310" s="13"/>
      <c r="HIN310" s="35"/>
      <c r="HIO310" s="35"/>
      <c r="HIP310" s="15"/>
      <c r="HIR310" s="13"/>
      <c r="HIS310" s="35"/>
      <c r="HIT310" s="35"/>
      <c r="HIU310" s="15"/>
      <c r="HIW310" s="13"/>
      <c r="HIX310" s="35"/>
      <c r="HIY310" s="35"/>
      <c r="HIZ310" s="15"/>
      <c r="HJB310" s="13"/>
      <c r="HJC310" s="35"/>
      <c r="HJD310" s="35"/>
      <c r="HJE310" s="15"/>
      <c r="HJG310" s="13"/>
      <c r="HJH310" s="35"/>
      <c r="HJI310" s="35"/>
      <c r="HJJ310" s="15"/>
      <c r="HJL310" s="13"/>
      <c r="HJM310" s="35"/>
      <c r="HJN310" s="35"/>
      <c r="HJO310" s="15"/>
      <c r="HJQ310" s="13"/>
      <c r="HJR310" s="35"/>
      <c r="HJS310" s="35"/>
      <c r="HJT310" s="15"/>
      <c r="HJV310" s="13"/>
      <c r="HJW310" s="35"/>
      <c r="HJX310" s="35"/>
      <c r="HJY310" s="15"/>
      <c r="HKA310" s="13"/>
      <c r="HKB310" s="35"/>
      <c r="HKC310" s="35"/>
      <c r="HKD310" s="15"/>
      <c r="HKF310" s="13"/>
      <c r="HKG310" s="35"/>
      <c r="HKH310" s="35"/>
      <c r="HKI310" s="15"/>
      <c r="HKK310" s="13"/>
      <c r="HKL310" s="35"/>
      <c r="HKM310" s="35"/>
      <c r="HKN310" s="15"/>
      <c r="HKP310" s="13"/>
      <c r="HKQ310" s="35"/>
      <c r="HKR310" s="35"/>
      <c r="HKS310" s="15"/>
      <c r="HKU310" s="13"/>
      <c r="HKV310" s="35"/>
      <c r="HKW310" s="35"/>
      <c r="HKX310" s="15"/>
      <c r="HKZ310" s="13"/>
      <c r="HLA310" s="35"/>
      <c r="HLB310" s="35"/>
      <c r="HLC310" s="15"/>
      <c r="HLE310" s="13"/>
      <c r="HLF310" s="35"/>
      <c r="HLG310" s="35"/>
      <c r="HLH310" s="15"/>
      <c r="HLJ310" s="13"/>
      <c r="HLK310" s="35"/>
      <c r="HLL310" s="35"/>
      <c r="HLM310" s="15"/>
      <c r="HLO310" s="13"/>
      <c r="HLP310" s="35"/>
      <c r="HLQ310" s="35"/>
      <c r="HLR310" s="15"/>
      <c r="HLT310" s="13"/>
      <c r="HLU310" s="35"/>
      <c r="HLV310" s="35"/>
      <c r="HLW310" s="15"/>
      <c r="HLY310" s="13"/>
      <c r="HLZ310" s="35"/>
      <c r="HMA310" s="35"/>
      <c r="HMB310" s="15"/>
      <c r="HMD310" s="13"/>
      <c r="HME310" s="35"/>
      <c r="HMF310" s="35"/>
      <c r="HMG310" s="15"/>
      <c r="HMI310" s="13"/>
      <c r="HMJ310" s="35"/>
      <c r="HMK310" s="35"/>
      <c r="HML310" s="15"/>
      <c r="HMN310" s="13"/>
      <c r="HMO310" s="35"/>
      <c r="HMP310" s="35"/>
      <c r="HMQ310" s="15"/>
      <c r="HMS310" s="13"/>
      <c r="HMT310" s="35"/>
      <c r="HMU310" s="35"/>
      <c r="HMV310" s="15"/>
      <c r="HMX310" s="13"/>
      <c r="HMY310" s="35"/>
      <c r="HMZ310" s="35"/>
      <c r="HNA310" s="15"/>
      <c r="HNC310" s="13"/>
      <c r="HND310" s="35"/>
      <c r="HNE310" s="35"/>
      <c r="HNF310" s="15"/>
      <c r="HNH310" s="13"/>
      <c r="HNI310" s="35"/>
      <c r="HNJ310" s="35"/>
      <c r="HNK310" s="15"/>
      <c r="HNM310" s="13"/>
      <c r="HNN310" s="35"/>
      <c r="HNO310" s="35"/>
      <c r="HNP310" s="15"/>
      <c r="HNR310" s="13"/>
      <c r="HNS310" s="35"/>
      <c r="HNT310" s="35"/>
      <c r="HNU310" s="15"/>
      <c r="HNW310" s="13"/>
      <c r="HNX310" s="35"/>
      <c r="HNY310" s="35"/>
      <c r="HNZ310" s="15"/>
      <c r="HOB310" s="13"/>
      <c r="HOC310" s="35"/>
      <c r="HOD310" s="35"/>
      <c r="HOE310" s="15"/>
      <c r="HOG310" s="13"/>
      <c r="HOH310" s="35"/>
      <c r="HOI310" s="35"/>
      <c r="HOJ310" s="15"/>
      <c r="HOL310" s="13"/>
      <c r="HOM310" s="35"/>
      <c r="HON310" s="35"/>
      <c r="HOO310" s="15"/>
      <c r="HOQ310" s="13"/>
      <c r="HOR310" s="35"/>
      <c r="HOS310" s="35"/>
      <c r="HOT310" s="15"/>
      <c r="HOV310" s="13"/>
      <c r="HOW310" s="35"/>
      <c r="HOX310" s="35"/>
      <c r="HOY310" s="15"/>
      <c r="HPA310" s="13"/>
      <c r="HPB310" s="35"/>
      <c r="HPC310" s="35"/>
      <c r="HPD310" s="15"/>
      <c r="HPF310" s="13"/>
      <c r="HPG310" s="35"/>
      <c r="HPH310" s="35"/>
      <c r="HPI310" s="15"/>
      <c r="HPK310" s="13"/>
      <c r="HPL310" s="35"/>
      <c r="HPM310" s="35"/>
      <c r="HPN310" s="15"/>
      <c r="HPP310" s="13"/>
      <c r="HPQ310" s="35"/>
      <c r="HPR310" s="35"/>
      <c r="HPS310" s="15"/>
      <c r="HPU310" s="13"/>
      <c r="HPV310" s="35"/>
      <c r="HPW310" s="35"/>
      <c r="HPX310" s="15"/>
      <c r="HPZ310" s="13"/>
      <c r="HQA310" s="35"/>
      <c r="HQB310" s="35"/>
      <c r="HQC310" s="15"/>
      <c r="HQE310" s="13"/>
      <c r="HQF310" s="35"/>
      <c r="HQG310" s="35"/>
      <c r="HQH310" s="15"/>
      <c r="HQJ310" s="13"/>
      <c r="HQK310" s="35"/>
      <c r="HQL310" s="35"/>
      <c r="HQM310" s="15"/>
      <c r="HQO310" s="13"/>
      <c r="HQP310" s="35"/>
      <c r="HQQ310" s="35"/>
      <c r="HQR310" s="15"/>
      <c r="HQT310" s="13"/>
      <c r="HQU310" s="35"/>
      <c r="HQV310" s="35"/>
      <c r="HQW310" s="15"/>
      <c r="HQY310" s="13"/>
      <c r="HQZ310" s="35"/>
      <c r="HRA310" s="35"/>
      <c r="HRB310" s="15"/>
      <c r="HRD310" s="13"/>
      <c r="HRE310" s="35"/>
      <c r="HRF310" s="35"/>
      <c r="HRG310" s="15"/>
      <c r="HRI310" s="13"/>
      <c r="HRJ310" s="35"/>
      <c r="HRK310" s="35"/>
      <c r="HRL310" s="15"/>
      <c r="HRN310" s="13"/>
      <c r="HRO310" s="35"/>
      <c r="HRP310" s="35"/>
      <c r="HRQ310" s="15"/>
      <c r="HRS310" s="13"/>
      <c r="HRT310" s="35"/>
      <c r="HRU310" s="35"/>
      <c r="HRV310" s="15"/>
      <c r="HRX310" s="13"/>
      <c r="HRY310" s="35"/>
      <c r="HRZ310" s="35"/>
      <c r="HSA310" s="15"/>
      <c r="HSC310" s="13"/>
      <c r="HSD310" s="35"/>
      <c r="HSE310" s="35"/>
      <c r="HSF310" s="15"/>
      <c r="HSH310" s="13"/>
      <c r="HSI310" s="35"/>
      <c r="HSJ310" s="35"/>
      <c r="HSK310" s="15"/>
      <c r="HSM310" s="13"/>
      <c r="HSN310" s="35"/>
      <c r="HSO310" s="35"/>
      <c r="HSP310" s="15"/>
      <c r="HSR310" s="13"/>
      <c r="HSS310" s="35"/>
      <c r="HST310" s="35"/>
      <c r="HSU310" s="15"/>
      <c r="HSW310" s="13"/>
      <c r="HSX310" s="35"/>
      <c r="HSY310" s="35"/>
      <c r="HSZ310" s="15"/>
      <c r="HTB310" s="13"/>
      <c r="HTC310" s="35"/>
      <c r="HTD310" s="35"/>
      <c r="HTE310" s="15"/>
      <c r="HTG310" s="13"/>
      <c r="HTH310" s="35"/>
      <c r="HTI310" s="35"/>
      <c r="HTJ310" s="15"/>
      <c r="HTL310" s="13"/>
      <c r="HTM310" s="35"/>
      <c r="HTN310" s="35"/>
      <c r="HTO310" s="15"/>
      <c r="HTQ310" s="13"/>
      <c r="HTR310" s="35"/>
      <c r="HTS310" s="35"/>
      <c r="HTT310" s="15"/>
      <c r="HTV310" s="13"/>
      <c r="HTW310" s="35"/>
      <c r="HTX310" s="35"/>
      <c r="HTY310" s="15"/>
      <c r="HUA310" s="13"/>
      <c r="HUB310" s="35"/>
      <c r="HUC310" s="35"/>
      <c r="HUD310" s="15"/>
      <c r="HUF310" s="13"/>
      <c r="HUG310" s="35"/>
      <c r="HUH310" s="35"/>
      <c r="HUI310" s="15"/>
      <c r="HUK310" s="13"/>
      <c r="HUL310" s="35"/>
      <c r="HUM310" s="35"/>
      <c r="HUN310" s="15"/>
      <c r="HUP310" s="13"/>
      <c r="HUQ310" s="35"/>
      <c r="HUR310" s="35"/>
      <c r="HUS310" s="15"/>
      <c r="HUU310" s="13"/>
      <c r="HUV310" s="35"/>
      <c r="HUW310" s="35"/>
      <c r="HUX310" s="15"/>
      <c r="HUZ310" s="13"/>
      <c r="HVA310" s="35"/>
      <c r="HVB310" s="35"/>
      <c r="HVC310" s="15"/>
      <c r="HVE310" s="13"/>
      <c r="HVF310" s="35"/>
      <c r="HVG310" s="35"/>
      <c r="HVH310" s="15"/>
      <c r="HVJ310" s="13"/>
      <c r="HVK310" s="35"/>
      <c r="HVL310" s="35"/>
      <c r="HVM310" s="15"/>
      <c r="HVO310" s="13"/>
      <c r="HVP310" s="35"/>
      <c r="HVQ310" s="35"/>
      <c r="HVR310" s="15"/>
      <c r="HVT310" s="13"/>
      <c r="HVU310" s="35"/>
      <c r="HVV310" s="35"/>
      <c r="HVW310" s="15"/>
      <c r="HVY310" s="13"/>
      <c r="HVZ310" s="35"/>
      <c r="HWA310" s="35"/>
      <c r="HWB310" s="15"/>
      <c r="HWD310" s="13"/>
      <c r="HWE310" s="35"/>
      <c r="HWF310" s="35"/>
      <c r="HWG310" s="15"/>
      <c r="HWI310" s="13"/>
      <c r="HWJ310" s="35"/>
      <c r="HWK310" s="35"/>
      <c r="HWL310" s="15"/>
      <c r="HWN310" s="13"/>
      <c r="HWO310" s="35"/>
      <c r="HWP310" s="35"/>
      <c r="HWQ310" s="15"/>
      <c r="HWS310" s="13"/>
      <c r="HWT310" s="35"/>
      <c r="HWU310" s="35"/>
      <c r="HWV310" s="15"/>
      <c r="HWX310" s="13"/>
      <c r="HWY310" s="35"/>
      <c r="HWZ310" s="35"/>
      <c r="HXA310" s="15"/>
      <c r="HXC310" s="13"/>
      <c r="HXD310" s="35"/>
      <c r="HXE310" s="35"/>
      <c r="HXF310" s="15"/>
      <c r="HXH310" s="13"/>
      <c r="HXI310" s="35"/>
      <c r="HXJ310" s="35"/>
      <c r="HXK310" s="15"/>
      <c r="HXM310" s="13"/>
      <c r="HXN310" s="35"/>
      <c r="HXO310" s="35"/>
      <c r="HXP310" s="15"/>
      <c r="HXR310" s="13"/>
      <c r="HXS310" s="35"/>
      <c r="HXT310" s="35"/>
      <c r="HXU310" s="15"/>
      <c r="HXW310" s="13"/>
      <c r="HXX310" s="35"/>
      <c r="HXY310" s="35"/>
      <c r="HXZ310" s="15"/>
      <c r="HYB310" s="13"/>
      <c r="HYC310" s="35"/>
      <c r="HYD310" s="35"/>
      <c r="HYE310" s="15"/>
      <c r="HYG310" s="13"/>
      <c r="HYH310" s="35"/>
      <c r="HYI310" s="35"/>
      <c r="HYJ310" s="15"/>
      <c r="HYL310" s="13"/>
      <c r="HYM310" s="35"/>
      <c r="HYN310" s="35"/>
      <c r="HYO310" s="15"/>
      <c r="HYQ310" s="13"/>
      <c r="HYR310" s="35"/>
      <c r="HYS310" s="35"/>
      <c r="HYT310" s="15"/>
      <c r="HYV310" s="13"/>
      <c r="HYW310" s="35"/>
      <c r="HYX310" s="35"/>
      <c r="HYY310" s="15"/>
      <c r="HZA310" s="13"/>
      <c r="HZB310" s="35"/>
      <c r="HZC310" s="35"/>
      <c r="HZD310" s="15"/>
      <c r="HZF310" s="13"/>
      <c r="HZG310" s="35"/>
      <c r="HZH310" s="35"/>
      <c r="HZI310" s="15"/>
      <c r="HZK310" s="13"/>
      <c r="HZL310" s="35"/>
      <c r="HZM310" s="35"/>
      <c r="HZN310" s="15"/>
      <c r="HZP310" s="13"/>
      <c r="HZQ310" s="35"/>
      <c r="HZR310" s="35"/>
      <c r="HZS310" s="15"/>
      <c r="HZU310" s="13"/>
      <c r="HZV310" s="35"/>
      <c r="HZW310" s="35"/>
      <c r="HZX310" s="15"/>
      <c r="HZZ310" s="13"/>
      <c r="IAA310" s="35"/>
      <c r="IAB310" s="35"/>
      <c r="IAC310" s="15"/>
      <c r="IAE310" s="13"/>
      <c r="IAF310" s="35"/>
      <c r="IAG310" s="35"/>
      <c r="IAH310" s="15"/>
      <c r="IAJ310" s="13"/>
      <c r="IAK310" s="35"/>
      <c r="IAL310" s="35"/>
      <c r="IAM310" s="15"/>
      <c r="IAO310" s="13"/>
      <c r="IAP310" s="35"/>
      <c r="IAQ310" s="35"/>
      <c r="IAR310" s="15"/>
      <c r="IAT310" s="13"/>
      <c r="IAU310" s="35"/>
      <c r="IAV310" s="35"/>
      <c r="IAW310" s="15"/>
      <c r="IAY310" s="13"/>
      <c r="IAZ310" s="35"/>
      <c r="IBA310" s="35"/>
      <c r="IBB310" s="15"/>
      <c r="IBD310" s="13"/>
      <c r="IBE310" s="35"/>
      <c r="IBF310" s="35"/>
      <c r="IBG310" s="15"/>
      <c r="IBI310" s="13"/>
      <c r="IBJ310" s="35"/>
      <c r="IBK310" s="35"/>
      <c r="IBL310" s="15"/>
      <c r="IBN310" s="13"/>
      <c r="IBO310" s="35"/>
      <c r="IBP310" s="35"/>
      <c r="IBQ310" s="15"/>
      <c r="IBS310" s="13"/>
      <c r="IBT310" s="35"/>
      <c r="IBU310" s="35"/>
      <c r="IBV310" s="15"/>
      <c r="IBX310" s="13"/>
      <c r="IBY310" s="35"/>
      <c r="IBZ310" s="35"/>
      <c r="ICA310" s="15"/>
      <c r="ICC310" s="13"/>
      <c r="ICD310" s="35"/>
      <c r="ICE310" s="35"/>
      <c r="ICF310" s="15"/>
      <c r="ICH310" s="13"/>
      <c r="ICI310" s="35"/>
      <c r="ICJ310" s="35"/>
      <c r="ICK310" s="15"/>
      <c r="ICM310" s="13"/>
      <c r="ICN310" s="35"/>
      <c r="ICO310" s="35"/>
      <c r="ICP310" s="15"/>
      <c r="ICR310" s="13"/>
      <c r="ICS310" s="35"/>
      <c r="ICT310" s="35"/>
      <c r="ICU310" s="15"/>
      <c r="ICW310" s="13"/>
      <c r="ICX310" s="35"/>
      <c r="ICY310" s="35"/>
      <c r="ICZ310" s="15"/>
      <c r="IDB310" s="13"/>
      <c r="IDC310" s="35"/>
      <c r="IDD310" s="35"/>
      <c r="IDE310" s="15"/>
      <c r="IDG310" s="13"/>
      <c r="IDH310" s="35"/>
      <c r="IDI310" s="35"/>
      <c r="IDJ310" s="15"/>
      <c r="IDL310" s="13"/>
      <c r="IDM310" s="35"/>
      <c r="IDN310" s="35"/>
      <c r="IDO310" s="15"/>
      <c r="IDQ310" s="13"/>
      <c r="IDR310" s="35"/>
      <c r="IDS310" s="35"/>
      <c r="IDT310" s="15"/>
      <c r="IDV310" s="13"/>
      <c r="IDW310" s="35"/>
      <c r="IDX310" s="35"/>
      <c r="IDY310" s="15"/>
      <c r="IEA310" s="13"/>
      <c r="IEB310" s="35"/>
      <c r="IEC310" s="35"/>
      <c r="IED310" s="15"/>
      <c r="IEF310" s="13"/>
      <c r="IEG310" s="35"/>
      <c r="IEH310" s="35"/>
      <c r="IEI310" s="15"/>
      <c r="IEK310" s="13"/>
      <c r="IEL310" s="35"/>
      <c r="IEM310" s="35"/>
      <c r="IEN310" s="15"/>
      <c r="IEP310" s="13"/>
      <c r="IEQ310" s="35"/>
      <c r="IER310" s="35"/>
      <c r="IES310" s="15"/>
      <c r="IEU310" s="13"/>
      <c r="IEV310" s="35"/>
      <c r="IEW310" s="35"/>
      <c r="IEX310" s="15"/>
      <c r="IEZ310" s="13"/>
      <c r="IFA310" s="35"/>
      <c r="IFB310" s="35"/>
      <c r="IFC310" s="15"/>
      <c r="IFE310" s="13"/>
      <c r="IFF310" s="35"/>
      <c r="IFG310" s="35"/>
      <c r="IFH310" s="15"/>
      <c r="IFJ310" s="13"/>
      <c r="IFK310" s="35"/>
      <c r="IFL310" s="35"/>
      <c r="IFM310" s="15"/>
      <c r="IFO310" s="13"/>
      <c r="IFP310" s="35"/>
      <c r="IFQ310" s="35"/>
      <c r="IFR310" s="15"/>
      <c r="IFT310" s="13"/>
      <c r="IFU310" s="35"/>
      <c r="IFV310" s="35"/>
      <c r="IFW310" s="15"/>
      <c r="IFY310" s="13"/>
      <c r="IFZ310" s="35"/>
      <c r="IGA310" s="35"/>
      <c r="IGB310" s="15"/>
      <c r="IGD310" s="13"/>
      <c r="IGE310" s="35"/>
      <c r="IGF310" s="35"/>
      <c r="IGG310" s="15"/>
      <c r="IGI310" s="13"/>
      <c r="IGJ310" s="35"/>
      <c r="IGK310" s="35"/>
      <c r="IGL310" s="15"/>
      <c r="IGN310" s="13"/>
      <c r="IGO310" s="35"/>
      <c r="IGP310" s="35"/>
      <c r="IGQ310" s="15"/>
      <c r="IGS310" s="13"/>
      <c r="IGT310" s="35"/>
      <c r="IGU310" s="35"/>
      <c r="IGV310" s="15"/>
      <c r="IGX310" s="13"/>
      <c r="IGY310" s="35"/>
      <c r="IGZ310" s="35"/>
      <c r="IHA310" s="15"/>
      <c r="IHC310" s="13"/>
      <c r="IHD310" s="35"/>
      <c r="IHE310" s="35"/>
      <c r="IHF310" s="15"/>
      <c r="IHH310" s="13"/>
      <c r="IHI310" s="35"/>
      <c r="IHJ310" s="35"/>
      <c r="IHK310" s="15"/>
      <c r="IHM310" s="13"/>
      <c r="IHN310" s="35"/>
      <c r="IHO310" s="35"/>
      <c r="IHP310" s="15"/>
      <c r="IHR310" s="13"/>
      <c r="IHS310" s="35"/>
      <c r="IHT310" s="35"/>
      <c r="IHU310" s="15"/>
      <c r="IHW310" s="13"/>
      <c r="IHX310" s="35"/>
      <c r="IHY310" s="35"/>
      <c r="IHZ310" s="15"/>
      <c r="IIB310" s="13"/>
      <c r="IIC310" s="35"/>
      <c r="IID310" s="35"/>
      <c r="IIE310" s="15"/>
      <c r="IIG310" s="13"/>
      <c r="IIH310" s="35"/>
      <c r="III310" s="35"/>
      <c r="IIJ310" s="15"/>
      <c r="IIL310" s="13"/>
      <c r="IIM310" s="35"/>
      <c r="IIN310" s="35"/>
      <c r="IIO310" s="15"/>
      <c r="IIQ310" s="13"/>
      <c r="IIR310" s="35"/>
      <c r="IIS310" s="35"/>
      <c r="IIT310" s="15"/>
      <c r="IIV310" s="13"/>
      <c r="IIW310" s="35"/>
      <c r="IIX310" s="35"/>
      <c r="IIY310" s="15"/>
      <c r="IJA310" s="13"/>
      <c r="IJB310" s="35"/>
      <c r="IJC310" s="35"/>
      <c r="IJD310" s="15"/>
      <c r="IJF310" s="13"/>
      <c r="IJG310" s="35"/>
      <c r="IJH310" s="35"/>
      <c r="IJI310" s="15"/>
      <c r="IJK310" s="13"/>
      <c r="IJL310" s="35"/>
      <c r="IJM310" s="35"/>
      <c r="IJN310" s="15"/>
      <c r="IJP310" s="13"/>
      <c r="IJQ310" s="35"/>
      <c r="IJR310" s="35"/>
      <c r="IJS310" s="15"/>
      <c r="IJU310" s="13"/>
      <c r="IJV310" s="35"/>
      <c r="IJW310" s="35"/>
      <c r="IJX310" s="15"/>
      <c r="IJZ310" s="13"/>
      <c r="IKA310" s="35"/>
      <c r="IKB310" s="35"/>
      <c r="IKC310" s="15"/>
      <c r="IKE310" s="13"/>
      <c r="IKF310" s="35"/>
      <c r="IKG310" s="35"/>
      <c r="IKH310" s="15"/>
      <c r="IKJ310" s="13"/>
      <c r="IKK310" s="35"/>
      <c r="IKL310" s="35"/>
      <c r="IKM310" s="15"/>
      <c r="IKO310" s="13"/>
      <c r="IKP310" s="35"/>
      <c r="IKQ310" s="35"/>
      <c r="IKR310" s="15"/>
      <c r="IKT310" s="13"/>
      <c r="IKU310" s="35"/>
      <c r="IKV310" s="35"/>
      <c r="IKW310" s="15"/>
      <c r="IKY310" s="13"/>
      <c r="IKZ310" s="35"/>
      <c r="ILA310" s="35"/>
      <c r="ILB310" s="15"/>
      <c r="ILD310" s="13"/>
      <c r="ILE310" s="35"/>
      <c r="ILF310" s="35"/>
      <c r="ILG310" s="15"/>
      <c r="ILI310" s="13"/>
      <c r="ILJ310" s="35"/>
      <c r="ILK310" s="35"/>
      <c r="ILL310" s="15"/>
      <c r="ILN310" s="13"/>
      <c r="ILO310" s="35"/>
      <c r="ILP310" s="35"/>
      <c r="ILQ310" s="15"/>
      <c r="ILS310" s="13"/>
      <c r="ILT310" s="35"/>
      <c r="ILU310" s="35"/>
      <c r="ILV310" s="15"/>
      <c r="ILX310" s="13"/>
      <c r="ILY310" s="35"/>
      <c r="ILZ310" s="35"/>
      <c r="IMA310" s="15"/>
      <c r="IMC310" s="13"/>
      <c r="IMD310" s="35"/>
      <c r="IME310" s="35"/>
      <c r="IMF310" s="15"/>
      <c r="IMH310" s="13"/>
      <c r="IMI310" s="35"/>
      <c r="IMJ310" s="35"/>
      <c r="IMK310" s="15"/>
      <c r="IMM310" s="13"/>
      <c r="IMN310" s="35"/>
      <c r="IMO310" s="35"/>
      <c r="IMP310" s="15"/>
      <c r="IMR310" s="13"/>
      <c r="IMS310" s="35"/>
      <c r="IMT310" s="35"/>
      <c r="IMU310" s="15"/>
      <c r="IMW310" s="13"/>
      <c r="IMX310" s="35"/>
      <c r="IMY310" s="35"/>
      <c r="IMZ310" s="15"/>
      <c r="INB310" s="13"/>
      <c r="INC310" s="35"/>
      <c r="IND310" s="35"/>
      <c r="INE310" s="15"/>
      <c r="ING310" s="13"/>
      <c r="INH310" s="35"/>
      <c r="INI310" s="35"/>
      <c r="INJ310" s="15"/>
      <c r="INL310" s="13"/>
      <c r="INM310" s="35"/>
      <c r="INN310" s="35"/>
      <c r="INO310" s="15"/>
      <c r="INQ310" s="13"/>
      <c r="INR310" s="35"/>
      <c r="INS310" s="35"/>
      <c r="INT310" s="15"/>
      <c r="INV310" s="13"/>
      <c r="INW310" s="35"/>
      <c r="INX310" s="35"/>
      <c r="INY310" s="15"/>
      <c r="IOA310" s="13"/>
      <c r="IOB310" s="35"/>
      <c r="IOC310" s="35"/>
      <c r="IOD310" s="15"/>
      <c r="IOF310" s="13"/>
      <c r="IOG310" s="35"/>
      <c r="IOH310" s="35"/>
      <c r="IOI310" s="15"/>
      <c r="IOK310" s="13"/>
      <c r="IOL310" s="35"/>
      <c r="IOM310" s="35"/>
      <c r="ION310" s="15"/>
      <c r="IOP310" s="13"/>
      <c r="IOQ310" s="35"/>
      <c r="IOR310" s="35"/>
      <c r="IOS310" s="15"/>
      <c r="IOU310" s="13"/>
      <c r="IOV310" s="35"/>
      <c r="IOW310" s="35"/>
      <c r="IOX310" s="15"/>
      <c r="IOZ310" s="13"/>
      <c r="IPA310" s="35"/>
      <c r="IPB310" s="35"/>
      <c r="IPC310" s="15"/>
      <c r="IPE310" s="13"/>
      <c r="IPF310" s="35"/>
      <c r="IPG310" s="35"/>
      <c r="IPH310" s="15"/>
      <c r="IPJ310" s="13"/>
      <c r="IPK310" s="35"/>
      <c r="IPL310" s="35"/>
      <c r="IPM310" s="15"/>
      <c r="IPO310" s="13"/>
      <c r="IPP310" s="35"/>
      <c r="IPQ310" s="35"/>
      <c r="IPR310" s="15"/>
      <c r="IPT310" s="13"/>
      <c r="IPU310" s="35"/>
      <c r="IPV310" s="35"/>
      <c r="IPW310" s="15"/>
      <c r="IPY310" s="13"/>
      <c r="IPZ310" s="35"/>
      <c r="IQA310" s="35"/>
      <c r="IQB310" s="15"/>
      <c r="IQD310" s="13"/>
      <c r="IQE310" s="35"/>
      <c r="IQF310" s="35"/>
      <c r="IQG310" s="15"/>
      <c r="IQI310" s="13"/>
      <c r="IQJ310" s="35"/>
      <c r="IQK310" s="35"/>
      <c r="IQL310" s="15"/>
      <c r="IQN310" s="13"/>
      <c r="IQO310" s="35"/>
      <c r="IQP310" s="35"/>
      <c r="IQQ310" s="15"/>
      <c r="IQS310" s="13"/>
      <c r="IQT310" s="35"/>
      <c r="IQU310" s="35"/>
      <c r="IQV310" s="15"/>
      <c r="IQX310" s="13"/>
      <c r="IQY310" s="35"/>
      <c r="IQZ310" s="35"/>
      <c r="IRA310" s="15"/>
      <c r="IRC310" s="13"/>
      <c r="IRD310" s="35"/>
      <c r="IRE310" s="35"/>
      <c r="IRF310" s="15"/>
      <c r="IRH310" s="13"/>
      <c r="IRI310" s="35"/>
      <c r="IRJ310" s="35"/>
      <c r="IRK310" s="15"/>
      <c r="IRM310" s="13"/>
      <c r="IRN310" s="35"/>
      <c r="IRO310" s="35"/>
      <c r="IRP310" s="15"/>
      <c r="IRR310" s="13"/>
      <c r="IRS310" s="35"/>
      <c r="IRT310" s="35"/>
      <c r="IRU310" s="15"/>
      <c r="IRW310" s="13"/>
      <c r="IRX310" s="35"/>
      <c r="IRY310" s="35"/>
      <c r="IRZ310" s="15"/>
      <c r="ISB310" s="13"/>
      <c r="ISC310" s="35"/>
      <c r="ISD310" s="35"/>
      <c r="ISE310" s="15"/>
      <c r="ISG310" s="13"/>
      <c r="ISH310" s="35"/>
      <c r="ISI310" s="35"/>
      <c r="ISJ310" s="15"/>
      <c r="ISL310" s="13"/>
      <c r="ISM310" s="35"/>
      <c r="ISN310" s="35"/>
      <c r="ISO310" s="15"/>
      <c r="ISQ310" s="13"/>
      <c r="ISR310" s="35"/>
      <c r="ISS310" s="35"/>
      <c r="IST310" s="15"/>
      <c r="ISV310" s="13"/>
      <c r="ISW310" s="35"/>
      <c r="ISX310" s="35"/>
      <c r="ISY310" s="15"/>
      <c r="ITA310" s="13"/>
      <c r="ITB310" s="35"/>
      <c r="ITC310" s="35"/>
      <c r="ITD310" s="15"/>
      <c r="ITF310" s="13"/>
      <c r="ITG310" s="35"/>
      <c r="ITH310" s="35"/>
      <c r="ITI310" s="15"/>
      <c r="ITK310" s="13"/>
      <c r="ITL310" s="35"/>
      <c r="ITM310" s="35"/>
      <c r="ITN310" s="15"/>
      <c r="ITP310" s="13"/>
      <c r="ITQ310" s="35"/>
      <c r="ITR310" s="35"/>
      <c r="ITS310" s="15"/>
      <c r="ITU310" s="13"/>
      <c r="ITV310" s="35"/>
      <c r="ITW310" s="35"/>
      <c r="ITX310" s="15"/>
      <c r="ITZ310" s="13"/>
      <c r="IUA310" s="35"/>
      <c r="IUB310" s="35"/>
      <c r="IUC310" s="15"/>
      <c r="IUE310" s="13"/>
      <c r="IUF310" s="35"/>
      <c r="IUG310" s="35"/>
      <c r="IUH310" s="15"/>
      <c r="IUJ310" s="13"/>
      <c r="IUK310" s="35"/>
      <c r="IUL310" s="35"/>
      <c r="IUM310" s="15"/>
      <c r="IUO310" s="13"/>
      <c r="IUP310" s="35"/>
      <c r="IUQ310" s="35"/>
      <c r="IUR310" s="15"/>
      <c r="IUT310" s="13"/>
      <c r="IUU310" s="35"/>
      <c r="IUV310" s="35"/>
      <c r="IUW310" s="15"/>
      <c r="IUY310" s="13"/>
      <c r="IUZ310" s="35"/>
      <c r="IVA310" s="35"/>
      <c r="IVB310" s="15"/>
      <c r="IVD310" s="13"/>
      <c r="IVE310" s="35"/>
      <c r="IVF310" s="35"/>
      <c r="IVG310" s="15"/>
      <c r="IVI310" s="13"/>
      <c r="IVJ310" s="35"/>
      <c r="IVK310" s="35"/>
      <c r="IVL310" s="15"/>
      <c r="IVN310" s="13"/>
      <c r="IVO310" s="35"/>
      <c r="IVP310" s="35"/>
      <c r="IVQ310" s="15"/>
      <c r="IVS310" s="13"/>
      <c r="IVT310" s="35"/>
      <c r="IVU310" s="35"/>
      <c r="IVV310" s="15"/>
      <c r="IVX310" s="13"/>
      <c r="IVY310" s="35"/>
      <c r="IVZ310" s="35"/>
      <c r="IWA310" s="15"/>
      <c r="IWC310" s="13"/>
      <c r="IWD310" s="35"/>
      <c r="IWE310" s="35"/>
      <c r="IWF310" s="15"/>
      <c r="IWH310" s="13"/>
      <c r="IWI310" s="35"/>
      <c r="IWJ310" s="35"/>
      <c r="IWK310" s="15"/>
      <c r="IWM310" s="13"/>
      <c r="IWN310" s="35"/>
      <c r="IWO310" s="35"/>
      <c r="IWP310" s="15"/>
      <c r="IWR310" s="13"/>
      <c r="IWS310" s="35"/>
      <c r="IWT310" s="35"/>
      <c r="IWU310" s="15"/>
      <c r="IWW310" s="13"/>
      <c r="IWX310" s="35"/>
      <c r="IWY310" s="35"/>
      <c r="IWZ310" s="15"/>
      <c r="IXB310" s="13"/>
      <c r="IXC310" s="35"/>
      <c r="IXD310" s="35"/>
      <c r="IXE310" s="15"/>
      <c r="IXG310" s="13"/>
      <c r="IXH310" s="35"/>
      <c r="IXI310" s="35"/>
      <c r="IXJ310" s="15"/>
      <c r="IXL310" s="13"/>
      <c r="IXM310" s="35"/>
      <c r="IXN310" s="35"/>
      <c r="IXO310" s="15"/>
      <c r="IXQ310" s="13"/>
      <c r="IXR310" s="35"/>
      <c r="IXS310" s="35"/>
      <c r="IXT310" s="15"/>
      <c r="IXV310" s="13"/>
      <c r="IXW310" s="35"/>
      <c r="IXX310" s="35"/>
      <c r="IXY310" s="15"/>
      <c r="IYA310" s="13"/>
      <c r="IYB310" s="35"/>
      <c r="IYC310" s="35"/>
      <c r="IYD310" s="15"/>
      <c r="IYF310" s="13"/>
      <c r="IYG310" s="35"/>
      <c r="IYH310" s="35"/>
      <c r="IYI310" s="15"/>
      <c r="IYK310" s="13"/>
      <c r="IYL310" s="35"/>
      <c r="IYM310" s="35"/>
      <c r="IYN310" s="15"/>
      <c r="IYP310" s="13"/>
      <c r="IYQ310" s="35"/>
      <c r="IYR310" s="35"/>
      <c r="IYS310" s="15"/>
      <c r="IYU310" s="13"/>
      <c r="IYV310" s="35"/>
      <c r="IYW310" s="35"/>
      <c r="IYX310" s="15"/>
      <c r="IYZ310" s="13"/>
      <c r="IZA310" s="35"/>
      <c r="IZB310" s="35"/>
      <c r="IZC310" s="15"/>
      <c r="IZE310" s="13"/>
      <c r="IZF310" s="35"/>
      <c r="IZG310" s="35"/>
      <c r="IZH310" s="15"/>
      <c r="IZJ310" s="13"/>
      <c r="IZK310" s="35"/>
      <c r="IZL310" s="35"/>
      <c r="IZM310" s="15"/>
      <c r="IZO310" s="13"/>
      <c r="IZP310" s="35"/>
      <c r="IZQ310" s="35"/>
      <c r="IZR310" s="15"/>
      <c r="IZT310" s="13"/>
      <c r="IZU310" s="35"/>
      <c r="IZV310" s="35"/>
      <c r="IZW310" s="15"/>
      <c r="IZY310" s="13"/>
      <c r="IZZ310" s="35"/>
      <c r="JAA310" s="35"/>
      <c r="JAB310" s="15"/>
      <c r="JAD310" s="13"/>
      <c r="JAE310" s="35"/>
      <c r="JAF310" s="35"/>
      <c r="JAG310" s="15"/>
      <c r="JAI310" s="13"/>
      <c r="JAJ310" s="35"/>
      <c r="JAK310" s="35"/>
      <c r="JAL310" s="15"/>
      <c r="JAN310" s="13"/>
      <c r="JAO310" s="35"/>
      <c r="JAP310" s="35"/>
      <c r="JAQ310" s="15"/>
      <c r="JAS310" s="13"/>
      <c r="JAT310" s="35"/>
      <c r="JAU310" s="35"/>
      <c r="JAV310" s="15"/>
      <c r="JAX310" s="13"/>
      <c r="JAY310" s="35"/>
      <c r="JAZ310" s="35"/>
      <c r="JBA310" s="15"/>
      <c r="JBC310" s="13"/>
      <c r="JBD310" s="35"/>
      <c r="JBE310" s="35"/>
      <c r="JBF310" s="15"/>
      <c r="JBH310" s="13"/>
      <c r="JBI310" s="35"/>
      <c r="JBJ310" s="35"/>
      <c r="JBK310" s="15"/>
      <c r="JBM310" s="13"/>
      <c r="JBN310" s="35"/>
      <c r="JBO310" s="35"/>
      <c r="JBP310" s="15"/>
      <c r="JBR310" s="13"/>
      <c r="JBS310" s="35"/>
      <c r="JBT310" s="35"/>
      <c r="JBU310" s="15"/>
      <c r="JBW310" s="13"/>
      <c r="JBX310" s="35"/>
      <c r="JBY310" s="35"/>
      <c r="JBZ310" s="15"/>
      <c r="JCB310" s="13"/>
      <c r="JCC310" s="35"/>
      <c r="JCD310" s="35"/>
      <c r="JCE310" s="15"/>
      <c r="JCG310" s="13"/>
      <c r="JCH310" s="35"/>
      <c r="JCI310" s="35"/>
      <c r="JCJ310" s="15"/>
      <c r="JCL310" s="13"/>
      <c r="JCM310" s="35"/>
      <c r="JCN310" s="35"/>
      <c r="JCO310" s="15"/>
      <c r="JCQ310" s="13"/>
      <c r="JCR310" s="35"/>
      <c r="JCS310" s="35"/>
      <c r="JCT310" s="15"/>
      <c r="JCV310" s="13"/>
      <c r="JCW310" s="35"/>
      <c r="JCX310" s="35"/>
      <c r="JCY310" s="15"/>
      <c r="JDA310" s="13"/>
      <c r="JDB310" s="35"/>
      <c r="JDC310" s="35"/>
      <c r="JDD310" s="15"/>
      <c r="JDF310" s="13"/>
      <c r="JDG310" s="35"/>
      <c r="JDH310" s="35"/>
      <c r="JDI310" s="15"/>
      <c r="JDK310" s="13"/>
      <c r="JDL310" s="35"/>
      <c r="JDM310" s="35"/>
      <c r="JDN310" s="15"/>
      <c r="JDP310" s="13"/>
      <c r="JDQ310" s="35"/>
      <c r="JDR310" s="35"/>
      <c r="JDS310" s="15"/>
      <c r="JDU310" s="13"/>
      <c r="JDV310" s="35"/>
      <c r="JDW310" s="35"/>
      <c r="JDX310" s="15"/>
      <c r="JDZ310" s="13"/>
      <c r="JEA310" s="35"/>
      <c r="JEB310" s="35"/>
      <c r="JEC310" s="15"/>
      <c r="JEE310" s="13"/>
      <c r="JEF310" s="35"/>
      <c r="JEG310" s="35"/>
      <c r="JEH310" s="15"/>
      <c r="JEJ310" s="13"/>
      <c r="JEK310" s="35"/>
      <c r="JEL310" s="35"/>
      <c r="JEM310" s="15"/>
      <c r="JEO310" s="13"/>
      <c r="JEP310" s="35"/>
      <c r="JEQ310" s="35"/>
      <c r="JER310" s="15"/>
      <c r="JET310" s="13"/>
      <c r="JEU310" s="35"/>
      <c r="JEV310" s="35"/>
      <c r="JEW310" s="15"/>
      <c r="JEY310" s="13"/>
      <c r="JEZ310" s="35"/>
      <c r="JFA310" s="35"/>
      <c r="JFB310" s="15"/>
      <c r="JFD310" s="13"/>
      <c r="JFE310" s="35"/>
      <c r="JFF310" s="35"/>
      <c r="JFG310" s="15"/>
      <c r="JFI310" s="13"/>
      <c r="JFJ310" s="35"/>
      <c r="JFK310" s="35"/>
      <c r="JFL310" s="15"/>
      <c r="JFN310" s="13"/>
      <c r="JFO310" s="35"/>
      <c r="JFP310" s="35"/>
      <c r="JFQ310" s="15"/>
      <c r="JFS310" s="13"/>
      <c r="JFT310" s="35"/>
      <c r="JFU310" s="35"/>
      <c r="JFV310" s="15"/>
      <c r="JFX310" s="13"/>
      <c r="JFY310" s="35"/>
      <c r="JFZ310" s="35"/>
      <c r="JGA310" s="15"/>
      <c r="JGC310" s="13"/>
      <c r="JGD310" s="35"/>
      <c r="JGE310" s="35"/>
      <c r="JGF310" s="15"/>
      <c r="JGH310" s="13"/>
      <c r="JGI310" s="35"/>
      <c r="JGJ310" s="35"/>
      <c r="JGK310" s="15"/>
      <c r="JGM310" s="13"/>
      <c r="JGN310" s="35"/>
      <c r="JGO310" s="35"/>
      <c r="JGP310" s="15"/>
      <c r="JGR310" s="13"/>
      <c r="JGS310" s="35"/>
      <c r="JGT310" s="35"/>
      <c r="JGU310" s="15"/>
      <c r="JGW310" s="13"/>
      <c r="JGX310" s="35"/>
      <c r="JGY310" s="35"/>
      <c r="JGZ310" s="15"/>
      <c r="JHB310" s="13"/>
      <c r="JHC310" s="35"/>
      <c r="JHD310" s="35"/>
      <c r="JHE310" s="15"/>
      <c r="JHG310" s="13"/>
      <c r="JHH310" s="35"/>
      <c r="JHI310" s="35"/>
      <c r="JHJ310" s="15"/>
      <c r="JHL310" s="13"/>
      <c r="JHM310" s="35"/>
      <c r="JHN310" s="35"/>
      <c r="JHO310" s="15"/>
      <c r="JHQ310" s="13"/>
      <c r="JHR310" s="35"/>
      <c r="JHS310" s="35"/>
      <c r="JHT310" s="15"/>
      <c r="JHV310" s="13"/>
      <c r="JHW310" s="35"/>
      <c r="JHX310" s="35"/>
      <c r="JHY310" s="15"/>
      <c r="JIA310" s="13"/>
      <c r="JIB310" s="35"/>
      <c r="JIC310" s="35"/>
      <c r="JID310" s="15"/>
      <c r="JIF310" s="13"/>
      <c r="JIG310" s="35"/>
      <c r="JIH310" s="35"/>
      <c r="JII310" s="15"/>
      <c r="JIK310" s="13"/>
      <c r="JIL310" s="35"/>
      <c r="JIM310" s="35"/>
      <c r="JIN310" s="15"/>
      <c r="JIP310" s="13"/>
      <c r="JIQ310" s="35"/>
      <c r="JIR310" s="35"/>
      <c r="JIS310" s="15"/>
      <c r="JIU310" s="13"/>
      <c r="JIV310" s="35"/>
      <c r="JIW310" s="35"/>
      <c r="JIX310" s="15"/>
      <c r="JIZ310" s="13"/>
      <c r="JJA310" s="35"/>
      <c r="JJB310" s="35"/>
      <c r="JJC310" s="15"/>
      <c r="JJE310" s="13"/>
      <c r="JJF310" s="35"/>
      <c r="JJG310" s="35"/>
      <c r="JJH310" s="15"/>
      <c r="JJJ310" s="13"/>
      <c r="JJK310" s="35"/>
      <c r="JJL310" s="35"/>
      <c r="JJM310" s="15"/>
      <c r="JJO310" s="13"/>
      <c r="JJP310" s="35"/>
      <c r="JJQ310" s="35"/>
      <c r="JJR310" s="15"/>
      <c r="JJT310" s="13"/>
      <c r="JJU310" s="35"/>
      <c r="JJV310" s="35"/>
      <c r="JJW310" s="15"/>
      <c r="JJY310" s="13"/>
      <c r="JJZ310" s="35"/>
      <c r="JKA310" s="35"/>
      <c r="JKB310" s="15"/>
      <c r="JKD310" s="13"/>
      <c r="JKE310" s="35"/>
      <c r="JKF310" s="35"/>
      <c r="JKG310" s="15"/>
      <c r="JKI310" s="13"/>
      <c r="JKJ310" s="35"/>
      <c r="JKK310" s="35"/>
      <c r="JKL310" s="15"/>
      <c r="JKN310" s="13"/>
      <c r="JKO310" s="35"/>
      <c r="JKP310" s="35"/>
      <c r="JKQ310" s="15"/>
      <c r="JKS310" s="13"/>
      <c r="JKT310" s="35"/>
      <c r="JKU310" s="35"/>
      <c r="JKV310" s="15"/>
      <c r="JKX310" s="13"/>
      <c r="JKY310" s="35"/>
      <c r="JKZ310" s="35"/>
      <c r="JLA310" s="15"/>
      <c r="JLC310" s="13"/>
      <c r="JLD310" s="35"/>
      <c r="JLE310" s="35"/>
      <c r="JLF310" s="15"/>
      <c r="JLH310" s="13"/>
      <c r="JLI310" s="35"/>
      <c r="JLJ310" s="35"/>
      <c r="JLK310" s="15"/>
      <c r="JLM310" s="13"/>
      <c r="JLN310" s="35"/>
      <c r="JLO310" s="35"/>
      <c r="JLP310" s="15"/>
      <c r="JLR310" s="13"/>
      <c r="JLS310" s="35"/>
      <c r="JLT310" s="35"/>
      <c r="JLU310" s="15"/>
      <c r="JLW310" s="13"/>
      <c r="JLX310" s="35"/>
      <c r="JLY310" s="35"/>
      <c r="JLZ310" s="15"/>
      <c r="JMB310" s="13"/>
      <c r="JMC310" s="35"/>
      <c r="JMD310" s="35"/>
      <c r="JME310" s="15"/>
      <c r="JMG310" s="13"/>
      <c r="JMH310" s="35"/>
      <c r="JMI310" s="35"/>
      <c r="JMJ310" s="15"/>
      <c r="JML310" s="13"/>
      <c r="JMM310" s="35"/>
      <c r="JMN310" s="35"/>
      <c r="JMO310" s="15"/>
      <c r="JMQ310" s="13"/>
      <c r="JMR310" s="35"/>
      <c r="JMS310" s="35"/>
      <c r="JMT310" s="15"/>
      <c r="JMV310" s="13"/>
      <c r="JMW310" s="35"/>
      <c r="JMX310" s="35"/>
      <c r="JMY310" s="15"/>
      <c r="JNA310" s="13"/>
      <c r="JNB310" s="35"/>
      <c r="JNC310" s="35"/>
      <c r="JND310" s="15"/>
      <c r="JNF310" s="13"/>
      <c r="JNG310" s="35"/>
      <c r="JNH310" s="35"/>
      <c r="JNI310" s="15"/>
      <c r="JNK310" s="13"/>
      <c r="JNL310" s="35"/>
      <c r="JNM310" s="35"/>
      <c r="JNN310" s="15"/>
      <c r="JNP310" s="13"/>
      <c r="JNQ310" s="35"/>
      <c r="JNR310" s="35"/>
      <c r="JNS310" s="15"/>
      <c r="JNU310" s="13"/>
      <c r="JNV310" s="35"/>
      <c r="JNW310" s="35"/>
      <c r="JNX310" s="15"/>
      <c r="JNZ310" s="13"/>
      <c r="JOA310" s="35"/>
      <c r="JOB310" s="35"/>
      <c r="JOC310" s="15"/>
      <c r="JOE310" s="13"/>
      <c r="JOF310" s="35"/>
      <c r="JOG310" s="35"/>
      <c r="JOH310" s="15"/>
      <c r="JOJ310" s="13"/>
      <c r="JOK310" s="35"/>
      <c r="JOL310" s="35"/>
      <c r="JOM310" s="15"/>
      <c r="JOO310" s="13"/>
      <c r="JOP310" s="35"/>
      <c r="JOQ310" s="35"/>
      <c r="JOR310" s="15"/>
      <c r="JOT310" s="13"/>
      <c r="JOU310" s="35"/>
      <c r="JOV310" s="35"/>
      <c r="JOW310" s="15"/>
      <c r="JOY310" s="13"/>
      <c r="JOZ310" s="35"/>
      <c r="JPA310" s="35"/>
      <c r="JPB310" s="15"/>
      <c r="JPD310" s="13"/>
      <c r="JPE310" s="35"/>
      <c r="JPF310" s="35"/>
      <c r="JPG310" s="15"/>
      <c r="JPI310" s="13"/>
      <c r="JPJ310" s="35"/>
      <c r="JPK310" s="35"/>
      <c r="JPL310" s="15"/>
      <c r="JPN310" s="13"/>
      <c r="JPO310" s="35"/>
      <c r="JPP310" s="35"/>
      <c r="JPQ310" s="15"/>
      <c r="JPS310" s="13"/>
      <c r="JPT310" s="35"/>
      <c r="JPU310" s="35"/>
      <c r="JPV310" s="15"/>
      <c r="JPX310" s="13"/>
      <c r="JPY310" s="35"/>
      <c r="JPZ310" s="35"/>
      <c r="JQA310" s="15"/>
      <c r="JQC310" s="13"/>
      <c r="JQD310" s="35"/>
      <c r="JQE310" s="35"/>
      <c r="JQF310" s="15"/>
      <c r="JQH310" s="13"/>
      <c r="JQI310" s="35"/>
      <c r="JQJ310" s="35"/>
      <c r="JQK310" s="15"/>
      <c r="JQM310" s="13"/>
      <c r="JQN310" s="35"/>
      <c r="JQO310" s="35"/>
      <c r="JQP310" s="15"/>
      <c r="JQR310" s="13"/>
      <c r="JQS310" s="35"/>
      <c r="JQT310" s="35"/>
      <c r="JQU310" s="15"/>
      <c r="JQW310" s="13"/>
      <c r="JQX310" s="35"/>
      <c r="JQY310" s="35"/>
      <c r="JQZ310" s="15"/>
      <c r="JRB310" s="13"/>
      <c r="JRC310" s="35"/>
      <c r="JRD310" s="35"/>
      <c r="JRE310" s="15"/>
      <c r="JRG310" s="13"/>
      <c r="JRH310" s="35"/>
      <c r="JRI310" s="35"/>
      <c r="JRJ310" s="15"/>
      <c r="JRL310" s="13"/>
      <c r="JRM310" s="35"/>
      <c r="JRN310" s="35"/>
      <c r="JRO310" s="15"/>
      <c r="JRQ310" s="13"/>
      <c r="JRR310" s="35"/>
      <c r="JRS310" s="35"/>
      <c r="JRT310" s="15"/>
      <c r="JRV310" s="13"/>
      <c r="JRW310" s="35"/>
      <c r="JRX310" s="35"/>
      <c r="JRY310" s="15"/>
      <c r="JSA310" s="13"/>
      <c r="JSB310" s="35"/>
      <c r="JSC310" s="35"/>
      <c r="JSD310" s="15"/>
      <c r="JSF310" s="13"/>
      <c r="JSG310" s="35"/>
      <c r="JSH310" s="35"/>
      <c r="JSI310" s="15"/>
      <c r="JSK310" s="13"/>
      <c r="JSL310" s="35"/>
      <c r="JSM310" s="35"/>
      <c r="JSN310" s="15"/>
      <c r="JSP310" s="13"/>
      <c r="JSQ310" s="35"/>
      <c r="JSR310" s="35"/>
      <c r="JSS310" s="15"/>
      <c r="JSU310" s="13"/>
      <c r="JSV310" s="35"/>
      <c r="JSW310" s="35"/>
      <c r="JSX310" s="15"/>
      <c r="JSZ310" s="13"/>
      <c r="JTA310" s="35"/>
      <c r="JTB310" s="35"/>
      <c r="JTC310" s="15"/>
      <c r="JTE310" s="13"/>
      <c r="JTF310" s="35"/>
      <c r="JTG310" s="35"/>
      <c r="JTH310" s="15"/>
      <c r="JTJ310" s="13"/>
      <c r="JTK310" s="35"/>
      <c r="JTL310" s="35"/>
      <c r="JTM310" s="15"/>
      <c r="JTO310" s="13"/>
      <c r="JTP310" s="35"/>
      <c r="JTQ310" s="35"/>
      <c r="JTR310" s="15"/>
      <c r="JTT310" s="13"/>
      <c r="JTU310" s="35"/>
      <c r="JTV310" s="35"/>
      <c r="JTW310" s="15"/>
      <c r="JTY310" s="13"/>
      <c r="JTZ310" s="35"/>
      <c r="JUA310" s="35"/>
      <c r="JUB310" s="15"/>
      <c r="JUD310" s="13"/>
      <c r="JUE310" s="35"/>
      <c r="JUF310" s="35"/>
      <c r="JUG310" s="15"/>
      <c r="JUI310" s="13"/>
      <c r="JUJ310" s="35"/>
      <c r="JUK310" s="35"/>
      <c r="JUL310" s="15"/>
      <c r="JUN310" s="13"/>
      <c r="JUO310" s="35"/>
      <c r="JUP310" s="35"/>
      <c r="JUQ310" s="15"/>
      <c r="JUS310" s="13"/>
      <c r="JUT310" s="35"/>
      <c r="JUU310" s="35"/>
      <c r="JUV310" s="15"/>
      <c r="JUX310" s="13"/>
      <c r="JUY310" s="35"/>
      <c r="JUZ310" s="35"/>
      <c r="JVA310" s="15"/>
      <c r="JVC310" s="13"/>
      <c r="JVD310" s="35"/>
      <c r="JVE310" s="35"/>
      <c r="JVF310" s="15"/>
      <c r="JVH310" s="13"/>
      <c r="JVI310" s="35"/>
      <c r="JVJ310" s="35"/>
      <c r="JVK310" s="15"/>
      <c r="JVM310" s="13"/>
      <c r="JVN310" s="35"/>
      <c r="JVO310" s="35"/>
      <c r="JVP310" s="15"/>
      <c r="JVR310" s="13"/>
      <c r="JVS310" s="35"/>
      <c r="JVT310" s="35"/>
      <c r="JVU310" s="15"/>
      <c r="JVW310" s="13"/>
      <c r="JVX310" s="35"/>
      <c r="JVY310" s="35"/>
      <c r="JVZ310" s="15"/>
      <c r="JWB310" s="13"/>
      <c r="JWC310" s="35"/>
      <c r="JWD310" s="35"/>
      <c r="JWE310" s="15"/>
      <c r="JWG310" s="13"/>
      <c r="JWH310" s="35"/>
      <c r="JWI310" s="35"/>
      <c r="JWJ310" s="15"/>
      <c r="JWL310" s="13"/>
      <c r="JWM310" s="35"/>
      <c r="JWN310" s="35"/>
      <c r="JWO310" s="15"/>
      <c r="JWQ310" s="13"/>
      <c r="JWR310" s="35"/>
      <c r="JWS310" s="35"/>
      <c r="JWT310" s="15"/>
      <c r="JWV310" s="13"/>
      <c r="JWW310" s="35"/>
      <c r="JWX310" s="35"/>
      <c r="JWY310" s="15"/>
      <c r="JXA310" s="13"/>
      <c r="JXB310" s="35"/>
      <c r="JXC310" s="35"/>
      <c r="JXD310" s="15"/>
      <c r="JXF310" s="13"/>
      <c r="JXG310" s="35"/>
      <c r="JXH310" s="35"/>
      <c r="JXI310" s="15"/>
      <c r="JXK310" s="13"/>
      <c r="JXL310" s="35"/>
      <c r="JXM310" s="35"/>
      <c r="JXN310" s="15"/>
      <c r="JXP310" s="13"/>
      <c r="JXQ310" s="35"/>
      <c r="JXR310" s="35"/>
      <c r="JXS310" s="15"/>
      <c r="JXU310" s="13"/>
      <c r="JXV310" s="35"/>
      <c r="JXW310" s="35"/>
      <c r="JXX310" s="15"/>
      <c r="JXZ310" s="13"/>
      <c r="JYA310" s="35"/>
      <c r="JYB310" s="35"/>
      <c r="JYC310" s="15"/>
      <c r="JYE310" s="13"/>
      <c r="JYF310" s="35"/>
      <c r="JYG310" s="35"/>
      <c r="JYH310" s="15"/>
      <c r="JYJ310" s="13"/>
      <c r="JYK310" s="35"/>
      <c r="JYL310" s="35"/>
      <c r="JYM310" s="15"/>
      <c r="JYO310" s="13"/>
      <c r="JYP310" s="35"/>
      <c r="JYQ310" s="35"/>
      <c r="JYR310" s="15"/>
      <c r="JYT310" s="13"/>
      <c r="JYU310" s="35"/>
      <c r="JYV310" s="35"/>
      <c r="JYW310" s="15"/>
      <c r="JYY310" s="13"/>
      <c r="JYZ310" s="35"/>
      <c r="JZA310" s="35"/>
      <c r="JZB310" s="15"/>
      <c r="JZD310" s="13"/>
      <c r="JZE310" s="35"/>
      <c r="JZF310" s="35"/>
      <c r="JZG310" s="15"/>
      <c r="JZI310" s="13"/>
      <c r="JZJ310" s="35"/>
      <c r="JZK310" s="35"/>
      <c r="JZL310" s="15"/>
      <c r="JZN310" s="13"/>
      <c r="JZO310" s="35"/>
      <c r="JZP310" s="35"/>
      <c r="JZQ310" s="15"/>
      <c r="JZS310" s="13"/>
      <c r="JZT310" s="35"/>
      <c r="JZU310" s="35"/>
      <c r="JZV310" s="15"/>
      <c r="JZX310" s="13"/>
      <c r="JZY310" s="35"/>
      <c r="JZZ310" s="35"/>
      <c r="KAA310" s="15"/>
      <c r="KAC310" s="13"/>
      <c r="KAD310" s="35"/>
      <c r="KAE310" s="35"/>
      <c r="KAF310" s="15"/>
      <c r="KAH310" s="13"/>
      <c r="KAI310" s="35"/>
      <c r="KAJ310" s="35"/>
      <c r="KAK310" s="15"/>
      <c r="KAM310" s="13"/>
      <c r="KAN310" s="35"/>
      <c r="KAO310" s="35"/>
      <c r="KAP310" s="15"/>
      <c r="KAR310" s="13"/>
      <c r="KAS310" s="35"/>
      <c r="KAT310" s="35"/>
      <c r="KAU310" s="15"/>
      <c r="KAW310" s="13"/>
      <c r="KAX310" s="35"/>
      <c r="KAY310" s="35"/>
      <c r="KAZ310" s="15"/>
      <c r="KBB310" s="13"/>
      <c r="KBC310" s="35"/>
      <c r="KBD310" s="35"/>
      <c r="KBE310" s="15"/>
      <c r="KBG310" s="13"/>
      <c r="KBH310" s="35"/>
      <c r="KBI310" s="35"/>
      <c r="KBJ310" s="15"/>
      <c r="KBL310" s="13"/>
      <c r="KBM310" s="35"/>
      <c r="KBN310" s="35"/>
      <c r="KBO310" s="15"/>
      <c r="KBQ310" s="13"/>
      <c r="KBR310" s="35"/>
      <c r="KBS310" s="35"/>
      <c r="KBT310" s="15"/>
      <c r="KBV310" s="13"/>
      <c r="KBW310" s="35"/>
      <c r="KBX310" s="35"/>
      <c r="KBY310" s="15"/>
      <c r="KCA310" s="13"/>
      <c r="KCB310" s="35"/>
      <c r="KCC310" s="35"/>
      <c r="KCD310" s="15"/>
      <c r="KCF310" s="13"/>
      <c r="KCG310" s="35"/>
      <c r="KCH310" s="35"/>
      <c r="KCI310" s="15"/>
      <c r="KCK310" s="13"/>
      <c r="KCL310" s="35"/>
      <c r="KCM310" s="35"/>
      <c r="KCN310" s="15"/>
      <c r="KCP310" s="13"/>
      <c r="KCQ310" s="35"/>
      <c r="KCR310" s="35"/>
      <c r="KCS310" s="15"/>
      <c r="KCU310" s="13"/>
      <c r="KCV310" s="35"/>
      <c r="KCW310" s="35"/>
      <c r="KCX310" s="15"/>
      <c r="KCZ310" s="13"/>
      <c r="KDA310" s="35"/>
      <c r="KDB310" s="35"/>
      <c r="KDC310" s="15"/>
      <c r="KDE310" s="13"/>
      <c r="KDF310" s="35"/>
      <c r="KDG310" s="35"/>
      <c r="KDH310" s="15"/>
      <c r="KDJ310" s="13"/>
      <c r="KDK310" s="35"/>
      <c r="KDL310" s="35"/>
      <c r="KDM310" s="15"/>
      <c r="KDO310" s="13"/>
      <c r="KDP310" s="35"/>
      <c r="KDQ310" s="35"/>
      <c r="KDR310" s="15"/>
      <c r="KDT310" s="13"/>
      <c r="KDU310" s="35"/>
      <c r="KDV310" s="35"/>
      <c r="KDW310" s="15"/>
      <c r="KDY310" s="13"/>
      <c r="KDZ310" s="35"/>
      <c r="KEA310" s="35"/>
      <c r="KEB310" s="15"/>
      <c r="KED310" s="13"/>
      <c r="KEE310" s="35"/>
      <c r="KEF310" s="35"/>
      <c r="KEG310" s="15"/>
      <c r="KEI310" s="13"/>
      <c r="KEJ310" s="35"/>
      <c r="KEK310" s="35"/>
      <c r="KEL310" s="15"/>
      <c r="KEN310" s="13"/>
      <c r="KEO310" s="35"/>
      <c r="KEP310" s="35"/>
      <c r="KEQ310" s="15"/>
      <c r="KES310" s="13"/>
      <c r="KET310" s="35"/>
      <c r="KEU310" s="35"/>
      <c r="KEV310" s="15"/>
      <c r="KEX310" s="13"/>
      <c r="KEY310" s="35"/>
      <c r="KEZ310" s="35"/>
      <c r="KFA310" s="15"/>
      <c r="KFC310" s="13"/>
      <c r="KFD310" s="35"/>
      <c r="KFE310" s="35"/>
      <c r="KFF310" s="15"/>
      <c r="KFH310" s="13"/>
      <c r="KFI310" s="35"/>
      <c r="KFJ310" s="35"/>
      <c r="KFK310" s="15"/>
      <c r="KFM310" s="13"/>
      <c r="KFN310" s="35"/>
      <c r="KFO310" s="35"/>
      <c r="KFP310" s="15"/>
      <c r="KFR310" s="13"/>
      <c r="KFS310" s="35"/>
      <c r="KFT310" s="35"/>
      <c r="KFU310" s="15"/>
      <c r="KFW310" s="13"/>
      <c r="KFX310" s="35"/>
      <c r="KFY310" s="35"/>
      <c r="KFZ310" s="15"/>
      <c r="KGB310" s="13"/>
      <c r="KGC310" s="35"/>
      <c r="KGD310" s="35"/>
      <c r="KGE310" s="15"/>
      <c r="KGG310" s="13"/>
      <c r="KGH310" s="35"/>
      <c r="KGI310" s="35"/>
      <c r="KGJ310" s="15"/>
      <c r="KGL310" s="13"/>
      <c r="KGM310" s="35"/>
      <c r="KGN310" s="35"/>
      <c r="KGO310" s="15"/>
      <c r="KGQ310" s="13"/>
      <c r="KGR310" s="35"/>
      <c r="KGS310" s="35"/>
      <c r="KGT310" s="15"/>
      <c r="KGV310" s="13"/>
      <c r="KGW310" s="35"/>
      <c r="KGX310" s="35"/>
      <c r="KGY310" s="15"/>
      <c r="KHA310" s="13"/>
      <c r="KHB310" s="35"/>
      <c r="KHC310" s="35"/>
      <c r="KHD310" s="15"/>
      <c r="KHF310" s="13"/>
      <c r="KHG310" s="35"/>
      <c r="KHH310" s="35"/>
      <c r="KHI310" s="15"/>
      <c r="KHK310" s="13"/>
      <c r="KHL310" s="35"/>
      <c r="KHM310" s="35"/>
      <c r="KHN310" s="15"/>
      <c r="KHP310" s="13"/>
      <c r="KHQ310" s="35"/>
      <c r="KHR310" s="35"/>
      <c r="KHS310" s="15"/>
      <c r="KHU310" s="13"/>
      <c r="KHV310" s="35"/>
      <c r="KHW310" s="35"/>
      <c r="KHX310" s="15"/>
      <c r="KHZ310" s="13"/>
      <c r="KIA310" s="35"/>
      <c r="KIB310" s="35"/>
      <c r="KIC310" s="15"/>
      <c r="KIE310" s="13"/>
      <c r="KIF310" s="35"/>
      <c r="KIG310" s="35"/>
      <c r="KIH310" s="15"/>
      <c r="KIJ310" s="13"/>
      <c r="KIK310" s="35"/>
      <c r="KIL310" s="35"/>
      <c r="KIM310" s="15"/>
      <c r="KIO310" s="13"/>
      <c r="KIP310" s="35"/>
      <c r="KIQ310" s="35"/>
      <c r="KIR310" s="15"/>
      <c r="KIT310" s="13"/>
      <c r="KIU310" s="35"/>
      <c r="KIV310" s="35"/>
      <c r="KIW310" s="15"/>
      <c r="KIY310" s="13"/>
      <c r="KIZ310" s="35"/>
      <c r="KJA310" s="35"/>
      <c r="KJB310" s="15"/>
      <c r="KJD310" s="13"/>
      <c r="KJE310" s="35"/>
      <c r="KJF310" s="35"/>
      <c r="KJG310" s="15"/>
      <c r="KJI310" s="13"/>
      <c r="KJJ310" s="35"/>
      <c r="KJK310" s="35"/>
      <c r="KJL310" s="15"/>
      <c r="KJN310" s="13"/>
      <c r="KJO310" s="35"/>
      <c r="KJP310" s="35"/>
      <c r="KJQ310" s="15"/>
      <c r="KJS310" s="13"/>
      <c r="KJT310" s="35"/>
      <c r="KJU310" s="35"/>
      <c r="KJV310" s="15"/>
      <c r="KJX310" s="13"/>
      <c r="KJY310" s="35"/>
      <c r="KJZ310" s="35"/>
      <c r="KKA310" s="15"/>
      <c r="KKC310" s="13"/>
      <c r="KKD310" s="35"/>
      <c r="KKE310" s="35"/>
      <c r="KKF310" s="15"/>
      <c r="KKH310" s="13"/>
      <c r="KKI310" s="35"/>
      <c r="KKJ310" s="35"/>
      <c r="KKK310" s="15"/>
      <c r="KKM310" s="13"/>
      <c r="KKN310" s="35"/>
      <c r="KKO310" s="35"/>
      <c r="KKP310" s="15"/>
      <c r="KKR310" s="13"/>
      <c r="KKS310" s="35"/>
      <c r="KKT310" s="35"/>
      <c r="KKU310" s="15"/>
      <c r="KKW310" s="13"/>
      <c r="KKX310" s="35"/>
      <c r="KKY310" s="35"/>
      <c r="KKZ310" s="15"/>
      <c r="KLB310" s="13"/>
      <c r="KLC310" s="35"/>
      <c r="KLD310" s="35"/>
      <c r="KLE310" s="15"/>
      <c r="KLG310" s="13"/>
      <c r="KLH310" s="35"/>
      <c r="KLI310" s="35"/>
      <c r="KLJ310" s="15"/>
      <c r="KLL310" s="13"/>
      <c r="KLM310" s="35"/>
      <c r="KLN310" s="35"/>
      <c r="KLO310" s="15"/>
      <c r="KLQ310" s="13"/>
      <c r="KLR310" s="35"/>
      <c r="KLS310" s="35"/>
      <c r="KLT310" s="15"/>
      <c r="KLV310" s="13"/>
      <c r="KLW310" s="35"/>
      <c r="KLX310" s="35"/>
      <c r="KLY310" s="15"/>
      <c r="KMA310" s="13"/>
      <c r="KMB310" s="35"/>
      <c r="KMC310" s="35"/>
      <c r="KMD310" s="15"/>
      <c r="KMF310" s="13"/>
      <c r="KMG310" s="35"/>
      <c r="KMH310" s="35"/>
      <c r="KMI310" s="15"/>
      <c r="KMK310" s="13"/>
      <c r="KML310" s="35"/>
      <c r="KMM310" s="35"/>
      <c r="KMN310" s="15"/>
      <c r="KMP310" s="13"/>
      <c r="KMQ310" s="35"/>
      <c r="KMR310" s="35"/>
      <c r="KMS310" s="15"/>
      <c r="KMU310" s="13"/>
      <c r="KMV310" s="35"/>
      <c r="KMW310" s="35"/>
      <c r="KMX310" s="15"/>
      <c r="KMZ310" s="13"/>
      <c r="KNA310" s="35"/>
      <c r="KNB310" s="35"/>
      <c r="KNC310" s="15"/>
      <c r="KNE310" s="13"/>
      <c r="KNF310" s="35"/>
      <c r="KNG310" s="35"/>
      <c r="KNH310" s="15"/>
      <c r="KNJ310" s="13"/>
      <c r="KNK310" s="35"/>
      <c r="KNL310" s="35"/>
      <c r="KNM310" s="15"/>
      <c r="KNO310" s="13"/>
      <c r="KNP310" s="35"/>
      <c r="KNQ310" s="35"/>
      <c r="KNR310" s="15"/>
      <c r="KNT310" s="13"/>
      <c r="KNU310" s="35"/>
      <c r="KNV310" s="35"/>
      <c r="KNW310" s="15"/>
      <c r="KNY310" s="13"/>
      <c r="KNZ310" s="35"/>
      <c r="KOA310" s="35"/>
      <c r="KOB310" s="15"/>
      <c r="KOD310" s="13"/>
      <c r="KOE310" s="35"/>
      <c r="KOF310" s="35"/>
      <c r="KOG310" s="15"/>
      <c r="KOI310" s="13"/>
      <c r="KOJ310" s="35"/>
      <c r="KOK310" s="35"/>
      <c r="KOL310" s="15"/>
      <c r="KON310" s="13"/>
      <c r="KOO310" s="35"/>
      <c r="KOP310" s="35"/>
      <c r="KOQ310" s="15"/>
      <c r="KOS310" s="13"/>
      <c r="KOT310" s="35"/>
      <c r="KOU310" s="35"/>
      <c r="KOV310" s="15"/>
      <c r="KOX310" s="13"/>
      <c r="KOY310" s="35"/>
      <c r="KOZ310" s="35"/>
      <c r="KPA310" s="15"/>
      <c r="KPC310" s="13"/>
      <c r="KPD310" s="35"/>
      <c r="KPE310" s="35"/>
      <c r="KPF310" s="15"/>
      <c r="KPH310" s="13"/>
      <c r="KPI310" s="35"/>
      <c r="KPJ310" s="35"/>
      <c r="KPK310" s="15"/>
      <c r="KPM310" s="13"/>
      <c r="KPN310" s="35"/>
      <c r="KPO310" s="35"/>
      <c r="KPP310" s="15"/>
      <c r="KPR310" s="13"/>
      <c r="KPS310" s="35"/>
      <c r="KPT310" s="35"/>
      <c r="KPU310" s="15"/>
      <c r="KPW310" s="13"/>
      <c r="KPX310" s="35"/>
      <c r="KPY310" s="35"/>
      <c r="KPZ310" s="15"/>
      <c r="KQB310" s="13"/>
      <c r="KQC310" s="35"/>
      <c r="KQD310" s="35"/>
      <c r="KQE310" s="15"/>
      <c r="KQG310" s="13"/>
      <c r="KQH310" s="35"/>
      <c r="KQI310" s="35"/>
      <c r="KQJ310" s="15"/>
      <c r="KQL310" s="13"/>
      <c r="KQM310" s="35"/>
      <c r="KQN310" s="35"/>
      <c r="KQO310" s="15"/>
      <c r="KQQ310" s="13"/>
      <c r="KQR310" s="35"/>
      <c r="KQS310" s="35"/>
      <c r="KQT310" s="15"/>
      <c r="KQV310" s="13"/>
      <c r="KQW310" s="35"/>
      <c r="KQX310" s="35"/>
      <c r="KQY310" s="15"/>
      <c r="KRA310" s="13"/>
      <c r="KRB310" s="35"/>
      <c r="KRC310" s="35"/>
      <c r="KRD310" s="15"/>
      <c r="KRF310" s="13"/>
      <c r="KRG310" s="35"/>
      <c r="KRH310" s="35"/>
      <c r="KRI310" s="15"/>
      <c r="KRK310" s="13"/>
      <c r="KRL310" s="35"/>
      <c r="KRM310" s="35"/>
      <c r="KRN310" s="15"/>
      <c r="KRP310" s="13"/>
      <c r="KRQ310" s="35"/>
      <c r="KRR310" s="35"/>
      <c r="KRS310" s="15"/>
      <c r="KRU310" s="13"/>
      <c r="KRV310" s="35"/>
      <c r="KRW310" s="35"/>
      <c r="KRX310" s="15"/>
      <c r="KRZ310" s="13"/>
      <c r="KSA310" s="35"/>
      <c r="KSB310" s="35"/>
      <c r="KSC310" s="15"/>
      <c r="KSE310" s="13"/>
      <c r="KSF310" s="35"/>
      <c r="KSG310" s="35"/>
      <c r="KSH310" s="15"/>
      <c r="KSJ310" s="13"/>
      <c r="KSK310" s="35"/>
      <c r="KSL310" s="35"/>
      <c r="KSM310" s="15"/>
      <c r="KSO310" s="13"/>
      <c r="KSP310" s="35"/>
      <c r="KSQ310" s="35"/>
      <c r="KSR310" s="15"/>
      <c r="KST310" s="13"/>
      <c r="KSU310" s="35"/>
      <c r="KSV310" s="35"/>
      <c r="KSW310" s="15"/>
      <c r="KSY310" s="13"/>
      <c r="KSZ310" s="35"/>
      <c r="KTA310" s="35"/>
      <c r="KTB310" s="15"/>
      <c r="KTD310" s="13"/>
      <c r="KTE310" s="35"/>
      <c r="KTF310" s="35"/>
      <c r="KTG310" s="15"/>
      <c r="KTI310" s="13"/>
      <c r="KTJ310" s="35"/>
      <c r="KTK310" s="35"/>
      <c r="KTL310" s="15"/>
      <c r="KTN310" s="13"/>
      <c r="KTO310" s="35"/>
      <c r="KTP310" s="35"/>
      <c r="KTQ310" s="15"/>
      <c r="KTS310" s="13"/>
      <c r="KTT310" s="35"/>
      <c r="KTU310" s="35"/>
      <c r="KTV310" s="15"/>
      <c r="KTX310" s="13"/>
      <c r="KTY310" s="35"/>
      <c r="KTZ310" s="35"/>
      <c r="KUA310" s="15"/>
      <c r="KUC310" s="13"/>
      <c r="KUD310" s="35"/>
      <c r="KUE310" s="35"/>
      <c r="KUF310" s="15"/>
      <c r="KUH310" s="13"/>
      <c r="KUI310" s="35"/>
      <c r="KUJ310" s="35"/>
      <c r="KUK310" s="15"/>
      <c r="KUM310" s="13"/>
      <c r="KUN310" s="35"/>
      <c r="KUO310" s="35"/>
      <c r="KUP310" s="15"/>
      <c r="KUR310" s="13"/>
      <c r="KUS310" s="35"/>
      <c r="KUT310" s="35"/>
      <c r="KUU310" s="15"/>
      <c r="KUW310" s="13"/>
      <c r="KUX310" s="35"/>
      <c r="KUY310" s="35"/>
      <c r="KUZ310" s="15"/>
      <c r="KVB310" s="13"/>
      <c r="KVC310" s="35"/>
      <c r="KVD310" s="35"/>
      <c r="KVE310" s="15"/>
      <c r="KVG310" s="13"/>
      <c r="KVH310" s="35"/>
      <c r="KVI310" s="35"/>
      <c r="KVJ310" s="15"/>
      <c r="KVL310" s="13"/>
      <c r="KVM310" s="35"/>
      <c r="KVN310" s="35"/>
      <c r="KVO310" s="15"/>
      <c r="KVQ310" s="13"/>
      <c r="KVR310" s="35"/>
      <c r="KVS310" s="35"/>
      <c r="KVT310" s="15"/>
      <c r="KVV310" s="13"/>
      <c r="KVW310" s="35"/>
      <c r="KVX310" s="35"/>
      <c r="KVY310" s="15"/>
      <c r="KWA310" s="13"/>
      <c r="KWB310" s="35"/>
      <c r="KWC310" s="35"/>
      <c r="KWD310" s="15"/>
      <c r="KWF310" s="13"/>
      <c r="KWG310" s="35"/>
      <c r="KWH310" s="35"/>
      <c r="KWI310" s="15"/>
      <c r="KWK310" s="13"/>
      <c r="KWL310" s="35"/>
      <c r="KWM310" s="35"/>
      <c r="KWN310" s="15"/>
      <c r="KWP310" s="13"/>
      <c r="KWQ310" s="35"/>
      <c r="KWR310" s="35"/>
      <c r="KWS310" s="15"/>
      <c r="KWU310" s="13"/>
      <c r="KWV310" s="35"/>
      <c r="KWW310" s="35"/>
      <c r="KWX310" s="15"/>
      <c r="KWZ310" s="13"/>
      <c r="KXA310" s="35"/>
      <c r="KXB310" s="35"/>
      <c r="KXC310" s="15"/>
      <c r="KXE310" s="13"/>
      <c r="KXF310" s="35"/>
      <c r="KXG310" s="35"/>
      <c r="KXH310" s="15"/>
      <c r="KXJ310" s="13"/>
      <c r="KXK310" s="35"/>
      <c r="KXL310" s="35"/>
      <c r="KXM310" s="15"/>
      <c r="KXO310" s="13"/>
      <c r="KXP310" s="35"/>
      <c r="KXQ310" s="35"/>
      <c r="KXR310" s="15"/>
      <c r="KXT310" s="13"/>
      <c r="KXU310" s="35"/>
      <c r="KXV310" s="35"/>
      <c r="KXW310" s="15"/>
      <c r="KXY310" s="13"/>
      <c r="KXZ310" s="35"/>
      <c r="KYA310" s="35"/>
      <c r="KYB310" s="15"/>
      <c r="KYD310" s="13"/>
      <c r="KYE310" s="35"/>
      <c r="KYF310" s="35"/>
      <c r="KYG310" s="15"/>
      <c r="KYI310" s="13"/>
      <c r="KYJ310" s="35"/>
      <c r="KYK310" s="35"/>
      <c r="KYL310" s="15"/>
      <c r="KYN310" s="13"/>
      <c r="KYO310" s="35"/>
      <c r="KYP310" s="35"/>
      <c r="KYQ310" s="15"/>
      <c r="KYS310" s="13"/>
      <c r="KYT310" s="35"/>
      <c r="KYU310" s="35"/>
      <c r="KYV310" s="15"/>
      <c r="KYX310" s="13"/>
      <c r="KYY310" s="35"/>
      <c r="KYZ310" s="35"/>
      <c r="KZA310" s="15"/>
      <c r="KZC310" s="13"/>
      <c r="KZD310" s="35"/>
      <c r="KZE310" s="35"/>
      <c r="KZF310" s="15"/>
      <c r="KZH310" s="13"/>
      <c r="KZI310" s="35"/>
      <c r="KZJ310" s="35"/>
      <c r="KZK310" s="15"/>
      <c r="KZM310" s="13"/>
      <c r="KZN310" s="35"/>
      <c r="KZO310" s="35"/>
      <c r="KZP310" s="15"/>
      <c r="KZR310" s="13"/>
      <c r="KZS310" s="35"/>
      <c r="KZT310" s="35"/>
      <c r="KZU310" s="15"/>
      <c r="KZW310" s="13"/>
      <c r="KZX310" s="35"/>
      <c r="KZY310" s="35"/>
      <c r="KZZ310" s="15"/>
      <c r="LAB310" s="13"/>
      <c r="LAC310" s="35"/>
      <c r="LAD310" s="35"/>
      <c r="LAE310" s="15"/>
      <c r="LAG310" s="13"/>
      <c r="LAH310" s="35"/>
      <c r="LAI310" s="35"/>
      <c r="LAJ310" s="15"/>
      <c r="LAL310" s="13"/>
      <c r="LAM310" s="35"/>
      <c r="LAN310" s="35"/>
      <c r="LAO310" s="15"/>
      <c r="LAQ310" s="13"/>
      <c r="LAR310" s="35"/>
      <c r="LAS310" s="35"/>
      <c r="LAT310" s="15"/>
      <c r="LAV310" s="13"/>
      <c r="LAW310" s="35"/>
      <c r="LAX310" s="35"/>
      <c r="LAY310" s="15"/>
      <c r="LBA310" s="13"/>
      <c r="LBB310" s="35"/>
      <c r="LBC310" s="35"/>
      <c r="LBD310" s="15"/>
      <c r="LBF310" s="13"/>
      <c r="LBG310" s="35"/>
      <c r="LBH310" s="35"/>
      <c r="LBI310" s="15"/>
      <c r="LBK310" s="13"/>
      <c r="LBL310" s="35"/>
      <c r="LBM310" s="35"/>
      <c r="LBN310" s="15"/>
      <c r="LBP310" s="13"/>
      <c r="LBQ310" s="35"/>
      <c r="LBR310" s="35"/>
      <c r="LBS310" s="15"/>
      <c r="LBU310" s="13"/>
      <c r="LBV310" s="35"/>
      <c r="LBW310" s="35"/>
      <c r="LBX310" s="15"/>
      <c r="LBZ310" s="13"/>
      <c r="LCA310" s="35"/>
      <c r="LCB310" s="35"/>
      <c r="LCC310" s="15"/>
      <c r="LCE310" s="13"/>
      <c r="LCF310" s="35"/>
      <c r="LCG310" s="35"/>
      <c r="LCH310" s="15"/>
      <c r="LCJ310" s="13"/>
      <c r="LCK310" s="35"/>
      <c r="LCL310" s="35"/>
      <c r="LCM310" s="15"/>
      <c r="LCO310" s="13"/>
      <c r="LCP310" s="35"/>
      <c r="LCQ310" s="35"/>
      <c r="LCR310" s="15"/>
      <c r="LCT310" s="13"/>
      <c r="LCU310" s="35"/>
      <c r="LCV310" s="35"/>
      <c r="LCW310" s="15"/>
      <c r="LCY310" s="13"/>
      <c r="LCZ310" s="35"/>
      <c r="LDA310" s="35"/>
      <c r="LDB310" s="15"/>
      <c r="LDD310" s="13"/>
      <c r="LDE310" s="35"/>
      <c r="LDF310" s="35"/>
      <c r="LDG310" s="15"/>
      <c r="LDI310" s="13"/>
      <c r="LDJ310" s="35"/>
      <c r="LDK310" s="35"/>
      <c r="LDL310" s="15"/>
      <c r="LDN310" s="13"/>
      <c r="LDO310" s="35"/>
      <c r="LDP310" s="35"/>
      <c r="LDQ310" s="15"/>
      <c r="LDS310" s="13"/>
      <c r="LDT310" s="35"/>
      <c r="LDU310" s="35"/>
      <c r="LDV310" s="15"/>
      <c r="LDX310" s="13"/>
      <c r="LDY310" s="35"/>
      <c r="LDZ310" s="35"/>
      <c r="LEA310" s="15"/>
      <c r="LEC310" s="13"/>
      <c r="LED310" s="35"/>
      <c r="LEE310" s="35"/>
      <c r="LEF310" s="15"/>
      <c r="LEH310" s="13"/>
      <c r="LEI310" s="35"/>
      <c r="LEJ310" s="35"/>
      <c r="LEK310" s="15"/>
      <c r="LEM310" s="13"/>
      <c r="LEN310" s="35"/>
      <c r="LEO310" s="35"/>
      <c r="LEP310" s="15"/>
      <c r="LER310" s="13"/>
      <c r="LES310" s="35"/>
      <c r="LET310" s="35"/>
      <c r="LEU310" s="15"/>
      <c r="LEW310" s="13"/>
      <c r="LEX310" s="35"/>
      <c r="LEY310" s="35"/>
      <c r="LEZ310" s="15"/>
      <c r="LFB310" s="13"/>
      <c r="LFC310" s="35"/>
      <c r="LFD310" s="35"/>
      <c r="LFE310" s="15"/>
      <c r="LFG310" s="13"/>
      <c r="LFH310" s="35"/>
      <c r="LFI310" s="35"/>
      <c r="LFJ310" s="15"/>
      <c r="LFL310" s="13"/>
      <c r="LFM310" s="35"/>
      <c r="LFN310" s="35"/>
      <c r="LFO310" s="15"/>
      <c r="LFQ310" s="13"/>
      <c r="LFR310" s="35"/>
      <c r="LFS310" s="35"/>
      <c r="LFT310" s="15"/>
      <c r="LFV310" s="13"/>
      <c r="LFW310" s="35"/>
      <c r="LFX310" s="35"/>
      <c r="LFY310" s="15"/>
      <c r="LGA310" s="13"/>
      <c r="LGB310" s="35"/>
      <c r="LGC310" s="35"/>
      <c r="LGD310" s="15"/>
      <c r="LGF310" s="13"/>
      <c r="LGG310" s="35"/>
      <c r="LGH310" s="35"/>
      <c r="LGI310" s="15"/>
      <c r="LGK310" s="13"/>
      <c r="LGL310" s="35"/>
      <c r="LGM310" s="35"/>
      <c r="LGN310" s="15"/>
      <c r="LGP310" s="13"/>
      <c r="LGQ310" s="35"/>
      <c r="LGR310" s="35"/>
      <c r="LGS310" s="15"/>
      <c r="LGU310" s="13"/>
      <c r="LGV310" s="35"/>
      <c r="LGW310" s="35"/>
      <c r="LGX310" s="15"/>
      <c r="LGZ310" s="13"/>
      <c r="LHA310" s="35"/>
      <c r="LHB310" s="35"/>
      <c r="LHC310" s="15"/>
      <c r="LHE310" s="13"/>
      <c r="LHF310" s="35"/>
      <c r="LHG310" s="35"/>
      <c r="LHH310" s="15"/>
      <c r="LHJ310" s="13"/>
      <c r="LHK310" s="35"/>
      <c r="LHL310" s="35"/>
      <c r="LHM310" s="15"/>
      <c r="LHO310" s="13"/>
      <c r="LHP310" s="35"/>
      <c r="LHQ310" s="35"/>
      <c r="LHR310" s="15"/>
      <c r="LHT310" s="13"/>
      <c r="LHU310" s="35"/>
      <c r="LHV310" s="35"/>
      <c r="LHW310" s="15"/>
      <c r="LHY310" s="13"/>
      <c r="LHZ310" s="35"/>
      <c r="LIA310" s="35"/>
      <c r="LIB310" s="15"/>
      <c r="LID310" s="13"/>
      <c r="LIE310" s="35"/>
      <c r="LIF310" s="35"/>
      <c r="LIG310" s="15"/>
      <c r="LII310" s="13"/>
      <c r="LIJ310" s="35"/>
      <c r="LIK310" s="35"/>
      <c r="LIL310" s="15"/>
      <c r="LIN310" s="13"/>
      <c r="LIO310" s="35"/>
      <c r="LIP310" s="35"/>
      <c r="LIQ310" s="15"/>
      <c r="LIS310" s="13"/>
      <c r="LIT310" s="35"/>
      <c r="LIU310" s="35"/>
      <c r="LIV310" s="15"/>
      <c r="LIX310" s="13"/>
      <c r="LIY310" s="35"/>
      <c r="LIZ310" s="35"/>
      <c r="LJA310" s="15"/>
      <c r="LJC310" s="13"/>
      <c r="LJD310" s="35"/>
      <c r="LJE310" s="35"/>
      <c r="LJF310" s="15"/>
      <c r="LJH310" s="13"/>
      <c r="LJI310" s="35"/>
      <c r="LJJ310" s="35"/>
      <c r="LJK310" s="15"/>
      <c r="LJM310" s="13"/>
      <c r="LJN310" s="35"/>
      <c r="LJO310" s="35"/>
      <c r="LJP310" s="15"/>
      <c r="LJR310" s="13"/>
      <c r="LJS310" s="35"/>
      <c r="LJT310" s="35"/>
      <c r="LJU310" s="15"/>
      <c r="LJW310" s="13"/>
      <c r="LJX310" s="35"/>
      <c r="LJY310" s="35"/>
      <c r="LJZ310" s="15"/>
      <c r="LKB310" s="13"/>
      <c r="LKC310" s="35"/>
      <c r="LKD310" s="35"/>
      <c r="LKE310" s="15"/>
      <c r="LKG310" s="13"/>
      <c r="LKH310" s="35"/>
      <c r="LKI310" s="35"/>
      <c r="LKJ310" s="15"/>
      <c r="LKL310" s="13"/>
      <c r="LKM310" s="35"/>
      <c r="LKN310" s="35"/>
      <c r="LKO310" s="15"/>
      <c r="LKQ310" s="13"/>
      <c r="LKR310" s="35"/>
      <c r="LKS310" s="35"/>
      <c r="LKT310" s="15"/>
      <c r="LKV310" s="13"/>
      <c r="LKW310" s="35"/>
      <c r="LKX310" s="35"/>
      <c r="LKY310" s="15"/>
      <c r="LLA310" s="13"/>
      <c r="LLB310" s="35"/>
      <c r="LLC310" s="35"/>
      <c r="LLD310" s="15"/>
      <c r="LLF310" s="13"/>
      <c r="LLG310" s="35"/>
      <c r="LLH310" s="35"/>
      <c r="LLI310" s="15"/>
      <c r="LLK310" s="13"/>
      <c r="LLL310" s="35"/>
      <c r="LLM310" s="35"/>
      <c r="LLN310" s="15"/>
      <c r="LLP310" s="13"/>
      <c r="LLQ310" s="35"/>
      <c r="LLR310" s="35"/>
      <c r="LLS310" s="15"/>
      <c r="LLU310" s="13"/>
      <c r="LLV310" s="35"/>
      <c r="LLW310" s="35"/>
      <c r="LLX310" s="15"/>
      <c r="LLZ310" s="13"/>
      <c r="LMA310" s="35"/>
      <c r="LMB310" s="35"/>
      <c r="LMC310" s="15"/>
      <c r="LME310" s="13"/>
      <c r="LMF310" s="35"/>
      <c r="LMG310" s="35"/>
      <c r="LMH310" s="15"/>
      <c r="LMJ310" s="13"/>
      <c r="LMK310" s="35"/>
      <c r="LML310" s="35"/>
      <c r="LMM310" s="15"/>
      <c r="LMO310" s="13"/>
      <c r="LMP310" s="35"/>
      <c r="LMQ310" s="35"/>
      <c r="LMR310" s="15"/>
      <c r="LMT310" s="13"/>
      <c r="LMU310" s="35"/>
      <c r="LMV310" s="35"/>
      <c r="LMW310" s="15"/>
      <c r="LMY310" s="13"/>
      <c r="LMZ310" s="35"/>
      <c r="LNA310" s="35"/>
      <c r="LNB310" s="15"/>
      <c r="LND310" s="13"/>
      <c r="LNE310" s="35"/>
      <c r="LNF310" s="35"/>
      <c r="LNG310" s="15"/>
      <c r="LNI310" s="13"/>
      <c r="LNJ310" s="35"/>
      <c r="LNK310" s="35"/>
      <c r="LNL310" s="15"/>
      <c r="LNN310" s="13"/>
      <c r="LNO310" s="35"/>
      <c r="LNP310" s="35"/>
      <c r="LNQ310" s="15"/>
      <c r="LNS310" s="13"/>
      <c r="LNT310" s="35"/>
      <c r="LNU310" s="35"/>
      <c r="LNV310" s="15"/>
      <c r="LNX310" s="13"/>
      <c r="LNY310" s="35"/>
      <c r="LNZ310" s="35"/>
      <c r="LOA310" s="15"/>
      <c r="LOC310" s="13"/>
      <c r="LOD310" s="35"/>
      <c r="LOE310" s="35"/>
      <c r="LOF310" s="15"/>
      <c r="LOH310" s="13"/>
      <c r="LOI310" s="35"/>
      <c r="LOJ310" s="35"/>
      <c r="LOK310" s="15"/>
      <c r="LOM310" s="13"/>
      <c r="LON310" s="35"/>
      <c r="LOO310" s="35"/>
      <c r="LOP310" s="15"/>
      <c r="LOR310" s="13"/>
      <c r="LOS310" s="35"/>
      <c r="LOT310" s="35"/>
      <c r="LOU310" s="15"/>
      <c r="LOW310" s="13"/>
      <c r="LOX310" s="35"/>
      <c r="LOY310" s="35"/>
      <c r="LOZ310" s="15"/>
      <c r="LPB310" s="13"/>
      <c r="LPC310" s="35"/>
      <c r="LPD310" s="35"/>
      <c r="LPE310" s="15"/>
      <c r="LPG310" s="13"/>
      <c r="LPH310" s="35"/>
      <c r="LPI310" s="35"/>
      <c r="LPJ310" s="15"/>
      <c r="LPL310" s="13"/>
      <c r="LPM310" s="35"/>
      <c r="LPN310" s="35"/>
      <c r="LPO310" s="15"/>
      <c r="LPQ310" s="13"/>
      <c r="LPR310" s="35"/>
      <c r="LPS310" s="35"/>
      <c r="LPT310" s="15"/>
      <c r="LPV310" s="13"/>
      <c r="LPW310" s="35"/>
      <c r="LPX310" s="35"/>
      <c r="LPY310" s="15"/>
      <c r="LQA310" s="13"/>
      <c r="LQB310" s="35"/>
      <c r="LQC310" s="35"/>
      <c r="LQD310" s="15"/>
      <c r="LQF310" s="13"/>
      <c r="LQG310" s="35"/>
      <c r="LQH310" s="35"/>
      <c r="LQI310" s="15"/>
      <c r="LQK310" s="13"/>
      <c r="LQL310" s="35"/>
      <c r="LQM310" s="35"/>
      <c r="LQN310" s="15"/>
      <c r="LQP310" s="13"/>
      <c r="LQQ310" s="35"/>
      <c r="LQR310" s="35"/>
      <c r="LQS310" s="15"/>
      <c r="LQU310" s="13"/>
      <c r="LQV310" s="35"/>
      <c r="LQW310" s="35"/>
      <c r="LQX310" s="15"/>
      <c r="LQZ310" s="13"/>
      <c r="LRA310" s="35"/>
      <c r="LRB310" s="35"/>
      <c r="LRC310" s="15"/>
      <c r="LRE310" s="13"/>
      <c r="LRF310" s="35"/>
      <c r="LRG310" s="35"/>
      <c r="LRH310" s="15"/>
      <c r="LRJ310" s="13"/>
      <c r="LRK310" s="35"/>
      <c r="LRL310" s="35"/>
      <c r="LRM310" s="15"/>
      <c r="LRO310" s="13"/>
      <c r="LRP310" s="35"/>
      <c r="LRQ310" s="35"/>
      <c r="LRR310" s="15"/>
      <c r="LRT310" s="13"/>
      <c r="LRU310" s="35"/>
      <c r="LRV310" s="35"/>
      <c r="LRW310" s="15"/>
      <c r="LRY310" s="13"/>
      <c r="LRZ310" s="35"/>
      <c r="LSA310" s="35"/>
      <c r="LSB310" s="15"/>
      <c r="LSD310" s="13"/>
      <c r="LSE310" s="35"/>
      <c r="LSF310" s="35"/>
      <c r="LSG310" s="15"/>
      <c r="LSI310" s="13"/>
      <c r="LSJ310" s="35"/>
      <c r="LSK310" s="35"/>
      <c r="LSL310" s="15"/>
      <c r="LSN310" s="13"/>
      <c r="LSO310" s="35"/>
      <c r="LSP310" s="35"/>
      <c r="LSQ310" s="15"/>
      <c r="LSS310" s="13"/>
      <c r="LST310" s="35"/>
      <c r="LSU310" s="35"/>
      <c r="LSV310" s="15"/>
      <c r="LSX310" s="13"/>
      <c r="LSY310" s="35"/>
      <c r="LSZ310" s="35"/>
      <c r="LTA310" s="15"/>
      <c r="LTC310" s="13"/>
      <c r="LTD310" s="35"/>
      <c r="LTE310" s="35"/>
      <c r="LTF310" s="15"/>
      <c r="LTH310" s="13"/>
      <c r="LTI310" s="35"/>
      <c r="LTJ310" s="35"/>
      <c r="LTK310" s="15"/>
      <c r="LTM310" s="13"/>
      <c r="LTN310" s="35"/>
      <c r="LTO310" s="35"/>
      <c r="LTP310" s="15"/>
      <c r="LTR310" s="13"/>
      <c r="LTS310" s="35"/>
      <c r="LTT310" s="35"/>
      <c r="LTU310" s="15"/>
      <c r="LTW310" s="13"/>
      <c r="LTX310" s="35"/>
      <c r="LTY310" s="35"/>
      <c r="LTZ310" s="15"/>
      <c r="LUB310" s="13"/>
      <c r="LUC310" s="35"/>
      <c r="LUD310" s="35"/>
      <c r="LUE310" s="15"/>
      <c r="LUG310" s="13"/>
      <c r="LUH310" s="35"/>
      <c r="LUI310" s="35"/>
      <c r="LUJ310" s="15"/>
      <c r="LUL310" s="13"/>
      <c r="LUM310" s="35"/>
      <c r="LUN310" s="35"/>
      <c r="LUO310" s="15"/>
      <c r="LUQ310" s="13"/>
      <c r="LUR310" s="35"/>
      <c r="LUS310" s="35"/>
      <c r="LUT310" s="15"/>
      <c r="LUV310" s="13"/>
      <c r="LUW310" s="35"/>
      <c r="LUX310" s="35"/>
      <c r="LUY310" s="15"/>
      <c r="LVA310" s="13"/>
      <c r="LVB310" s="35"/>
      <c r="LVC310" s="35"/>
      <c r="LVD310" s="15"/>
      <c r="LVF310" s="13"/>
      <c r="LVG310" s="35"/>
      <c r="LVH310" s="35"/>
      <c r="LVI310" s="15"/>
      <c r="LVK310" s="13"/>
      <c r="LVL310" s="35"/>
      <c r="LVM310" s="35"/>
      <c r="LVN310" s="15"/>
      <c r="LVP310" s="13"/>
      <c r="LVQ310" s="35"/>
      <c r="LVR310" s="35"/>
      <c r="LVS310" s="15"/>
      <c r="LVU310" s="13"/>
      <c r="LVV310" s="35"/>
      <c r="LVW310" s="35"/>
      <c r="LVX310" s="15"/>
      <c r="LVZ310" s="13"/>
      <c r="LWA310" s="35"/>
      <c r="LWB310" s="35"/>
      <c r="LWC310" s="15"/>
      <c r="LWE310" s="13"/>
      <c r="LWF310" s="35"/>
      <c r="LWG310" s="35"/>
      <c r="LWH310" s="15"/>
      <c r="LWJ310" s="13"/>
      <c r="LWK310" s="35"/>
      <c r="LWL310" s="35"/>
      <c r="LWM310" s="15"/>
      <c r="LWO310" s="13"/>
      <c r="LWP310" s="35"/>
      <c r="LWQ310" s="35"/>
      <c r="LWR310" s="15"/>
      <c r="LWT310" s="13"/>
      <c r="LWU310" s="35"/>
      <c r="LWV310" s="35"/>
      <c r="LWW310" s="15"/>
      <c r="LWY310" s="13"/>
      <c r="LWZ310" s="35"/>
      <c r="LXA310" s="35"/>
      <c r="LXB310" s="15"/>
      <c r="LXD310" s="13"/>
      <c r="LXE310" s="35"/>
      <c r="LXF310" s="35"/>
      <c r="LXG310" s="15"/>
      <c r="LXI310" s="13"/>
      <c r="LXJ310" s="35"/>
      <c r="LXK310" s="35"/>
      <c r="LXL310" s="15"/>
      <c r="LXN310" s="13"/>
      <c r="LXO310" s="35"/>
      <c r="LXP310" s="35"/>
      <c r="LXQ310" s="15"/>
      <c r="LXS310" s="13"/>
      <c r="LXT310" s="35"/>
      <c r="LXU310" s="35"/>
      <c r="LXV310" s="15"/>
      <c r="LXX310" s="13"/>
      <c r="LXY310" s="35"/>
      <c r="LXZ310" s="35"/>
      <c r="LYA310" s="15"/>
      <c r="LYC310" s="13"/>
      <c r="LYD310" s="35"/>
      <c r="LYE310" s="35"/>
      <c r="LYF310" s="15"/>
      <c r="LYH310" s="13"/>
      <c r="LYI310" s="35"/>
      <c r="LYJ310" s="35"/>
      <c r="LYK310" s="15"/>
      <c r="LYM310" s="13"/>
      <c r="LYN310" s="35"/>
      <c r="LYO310" s="35"/>
      <c r="LYP310" s="15"/>
      <c r="LYR310" s="13"/>
      <c r="LYS310" s="35"/>
      <c r="LYT310" s="35"/>
      <c r="LYU310" s="15"/>
      <c r="LYW310" s="13"/>
      <c r="LYX310" s="35"/>
      <c r="LYY310" s="35"/>
      <c r="LYZ310" s="15"/>
      <c r="LZB310" s="13"/>
      <c r="LZC310" s="35"/>
      <c r="LZD310" s="35"/>
      <c r="LZE310" s="15"/>
      <c r="LZG310" s="13"/>
      <c r="LZH310" s="35"/>
      <c r="LZI310" s="35"/>
      <c r="LZJ310" s="15"/>
      <c r="LZL310" s="13"/>
      <c r="LZM310" s="35"/>
      <c r="LZN310" s="35"/>
      <c r="LZO310" s="15"/>
      <c r="LZQ310" s="13"/>
      <c r="LZR310" s="35"/>
      <c r="LZS310" s="35"/>
      <c r="LZT310" s="15"/>
      <c r="LZV310" s="13"/>
      <c r="LZW310" s="35"/>
      <c r="LZX310" s="35"/>
      <c r="LZY310" s="15"/>
      <c r="MAA310" s="13"/>
      <c r="MAB310" s="35"/>
      <c r="MAC310" s="35"/>
      <c r="MAD310" s="15"/>
      <c r="MAF310" s="13"/>
      <c r="MAG310" s="35"/>
      <c r="MAH310" s="35"/>
      <c r="MAI310" s="15"/>
      <c r="MAK310" s="13"/>
      <c r="MAL310" s="35"/>
      <c r="MAM310" s="35"/>
      <c r="MAN310" s="15"/>
      <c r="MAP310" s="13"/>
      <c r="MAQ310" s="35"/>
      <c r="MAR310" s="35"/>
      <c r="MAS310" s="15"/>
      <c r="MAU310" s="13"/>
      <c r="MAV310" s="35"/>
      <c r="MAW310" s="35"/>
      <c r="MAX310" s="15"/>
      <c r="MAZ310" s="13"/>
      <c r="MBA310" s="35"/>
      <c r="MBB310" s="35"/>
      <c r="MBC310" s="15"/>
      <c r="MBE310" s="13"/>
      <c r="MBF310" s="35"/>
      <c r="MBG310" s="35"/>
      <c r="MBH310" s="15"/>
      <c r="MBJ310" s="13"/>
      <c r="MBK310" s="35"/>
      <c r="MBL310" s="35"/>
      <c r="MBM310" s="15"/>
      <c r="MBO310" s="13"/>
      <c r="MBP310" s="35"/>
      <c r="MBQ310" s="35"/>
      <c r="MBR310" s="15"/>
      <c r="MBT310" s="13"/>
      <c r="MBU310" s="35"/>
      <c r="MBV310" s="35"/>
      <c r="MBW310" s="15"/>
      <c r="MBY310" s="13"/>
      <c r="MBZ310" s="35"/>
      <c r="MCA310" s="35"/>
      <c r="MCB310" s="15"/>
      <c r="MCD310" s="13"/>
      <c r="MCE310" s="35"/>
      <c r="MCF310" s="35"/>
      <c r="MCG310" s="15"/>
      <c r="MCI310" s="13"/>
      <c r="MCJ310" s="35"/>
      <c r="MCK310" s="35"/>
      <c r="MCL310" s="15"/>
      <c r="MCN310" s="13"/>
      <c r="MCO310" s="35"/>
      <c r="MCP310" s="35"/>
      <c r="MCQ310" s="15"/>
      <c r="MCS310" s="13"/>
      <c r="MCT310" s="35"/>
      <c r="MCU310" s="35"/>
      <c r="MCV310" s="15"/>
      <c r="MCX310" s="13"/>
      <c r="MCY310" s="35"/>
      <c r="MCZ310" s="35"/>
      <c r="MDA310" s="15"/>
      <c r="MDC310" s="13"/>
      <c r="MDD310" s="35"/>
      <c r="MDE310" s="35"/>
      <c r="MDF310" s="15"/>
      <c r="MDH310" s="13"/>
      <c r="MDI310" s="35"/>
      <c r="MDJ310" s="35"/>
      <c r="MDK310" s="15"/>
      <c r="MDM310" s="13"/>
      <c r="MDN310" s="35"/>
      <c r="MDO310" s="35"/>
      <c r="MDP310" s="15"/>
      <c r="MDR310" s="13"/>
      <c r="MDS310" s="35"/>
      <c r="MDT310" s="35"/>
      <c r="MDU310" s="15"/>
      <c r="MDW310" s="13"/>
      <c r="MDX310" s="35"/>
      <c r="MDY310" s="35"/>
      <c r="MDZ310" s="15"/>
      <c r="MEB310" s="13"/>
      <c r="MEC310" s="35"/>
      <c r="MED310" s="35"/>
      <c r="MEE310" s="15"/>
      <c r="MEG310" s="13"/>
      <c r="MEH310" s="35"/>
      <c r="MEI310" s="35"/>
      <c r="MEJ310" s="15"/>
      <c r="MEL310" s="13"/>
      <c r="MEM310" s="35"/>
      <c r="MEN310" s="35"/>
      <c r="MEO310" s="15"/>
      <c r="MEQ310" s="13"/>
      <c r="MER310" s="35"/>
      <c r="MES310" s="35"/>
      <c r="MET310" s="15"/>
      <c r="MEV310" s="13"/>
      <c r="MEW310" s="35"/>
      <c r="MEX310" s="35"/>
      <c r="MEY310" s="15"/>
      <c r="MFA310" s="13"/>
      <c r="MFB310" s="35"/>
      <c r="MFC310" s="35"/>
      <c r="MFD310" s="15"/>
      <c r="MFF310" s="13"/>
      <c r="MFG310" s="35"/>
      <c r="MFH310" s="35"/>
      <c r="MFI310" s="15"/>
      <c r="MFK310" s="13"/>
      <c r="MFL310" s="35"/>
      <c r="MFM310" s="35"/>
      <c r="MFN310" s="15"/>
      <c r="MFP310" s="13"/>
      <c r="MFQ310" s="35"/>
      <c r="MFR310" s="35"/>
      <c r="MFS310" s="15"/>
      <c r="MFU310" s="13"/>
      <c r="MFV310" s="35"/>
      <c r="MFW310" s="35"/>
      <c r="MFX310" s="15"/>
      <c r="MFZ310" s="13"/>
      <c r="MGA310" s="35"/>
      <c r="MGB310" s="35"/>
      <c r="MGC310" s="15"/>
      <c r="MGE310" s="13"/>
      <c r="MGF310" s="35"/>
      <c r="MGG310" s="35"/>
      <c r="MGH310" s="15"/>
      <c r="MGJ310" s="13"/>
      <c r="MGK310" s="35"/>
      <c r="MGL310" s="35"/>
      <c r="MGM310" s="15"/>
      <c r="MGO310" s="13"/>
      <c r="MGP310" s="35"/>
      <c r="MGQ310" s="35"/>
      <c r="MGR310" s="15"/>
      <c r="MGT310" s="13"/>
      <c r="MGU310" s="35"/>
      <c r="MGV310" s="35"/>
      <c r="MGW310" s="15"/>
      <c r="MGY310" s="13"/>
      <c r="MGZ310" s="35"/>
      <c r="MHA310" s="35"/>
      <c r="MHB310" s="15"/>
      <c r="MHD310" s="13"/>
      <c r="MHE310" s="35"/>
      <c r="MHF310" s="35"/>
      <c r="MHG310" s="15"/>
      <c r="MHI310" s="13"/>
      <c r="MHJ310" s="35"/>
      <c r="MHK310" s="35"/>
      <c r="MHL310" s="15"/>
      <c r="MHN310" s="13"/>
      <c r="MHO310" s="35"/>
      <c r="MHP310" s="35"/>
      <c r="MHQ310" s="15"/>
      <c r="MHS310" s="13"/>
      <c r="MHT310" s="35"/>
      <c r="MHU310" s="35"/>
      <c r="MHV310" s="15"/>
      <c r="MHX310" s="13"/>
      <c r="MHY310" s="35"/>
      <c r="MHZ310" s="35"/>
      <c r="MIA310" s="15"/>
      <c r="MIC310" s="13"/>
      <c r="MID310" s="35"/>
      <c r="MIE310" s="35"/>
      <c r="MIF310" s="15"/>
      <c r="MIH310" s="13"/>
      <c r="MII310" s="35"/>
      <c r="MIJ310" s="35"/>
      <c r="MIK310" s="15"/>
      <c r="MIM310" s="13"/>
      <c r="MIN310" s="35"/>
      <c r="MIO310" s="35"/>
      <c r="MIP310" s="15"/>
      <c r="MIR310" s="13"/>
      <c r="MIS310" s="35"/>
      <c r="MIT310" s="35"/>
      <c r="MIU310" s="15"/>
      <c r="MIW310" s="13"/>
      <c r="MIX310" s="35"/>
      <c r="MIY310" s="35"/>
      <c r="MIZ310" s="15"/>
      <c r="MJB310" s="13"/>
      <c r="MJC310" s="35"/>
      <c r="MJD310" s="35"/>
      <c r="MJE310" s="15"/>
      <c r="MJG310" s="13"/>
      <c r="MJH310" s="35"/>
      <c r="MJI310" s="35"/>
      <c r="MJJ310" s="15"/>
      <c r="MJL310" s="13"/>
      <c r="MJM310" s="35"/>
      <c r="MJN310" s="35"/>
      <c r="MJO310" s="15"/>
      <c r="MJQ310" s="13"/>
      <c r="MJR310" s="35"/>
      <c r="MJS310" s="35"/>
      <c r="MJT310" s="15"/>
      <c r="MJV310" s="13"/>
      <c r="MJW310" s="35"/>
      <c r="MJX310" s="35"/>
      <c r="MJY310" s="15"/>
      <c r="MKA310" s="13"/>
      <c r="MKB310" s="35"/>
      <c r="MKC310" s="35"/>
      <c r="MKD310" s="15"/>
      <c r="MKF310" s="13"/>
      <c r="MKG310" s="35"/>
      <c r="MKH310" s="35"/>
      <c r="MKI310" s="15"/>
      <c r="MKK310" s="13"/>
      <c r="MKL310" s="35"/>
      <c r="MKM310" s="35"/>
      <c r="MKN310" s="15"/>
      <c r="MKP310" s="13"/>
      <c r="MKQ310" s="35"/>
      <c r="MKR310" s="35"/>
      <c r="MKS310" s="15"/>
      <c r="MKU310" s="13"/>
      <c r="MKV310" s="35"/>
      <c r="MKW310" s="35"/>
      <c r="MKX310" s="15"/>
      <c r="MKZ310" s="13"/>
      <c r="MLA310" s="35"/>
      <c r="MLB310" s="35"/>
      <c r="MLC310" s="15"/>
      <c r="MLE310" s="13"/>
      <c r="MLF310" s="35"/>
      <c r="MLG310" s="35"/>
      <c r="MLH310" s="15"/>
      <c r="MLJ310" s="13"/>
      <c r="MLK310" s="35"/>
      <c r="MLL310" s="35"/>
      <c r="MLM310" s="15"/>
      <c r="MLO310" s="13"/>
      <c r="MLP310" s="35"/>
      <c r="MLQ310" s="35"/>
      <c r="MLR310" s="15"/>
      <c r="MLT310" s="13"/>
      <c r="MLU310" s="35"/>
      <c r="MLV310" s="35"/>
      <c r="MLW310" s="15"/>
      <c r="MLY310" s="13"/>
      <c r="MLZ310" s="35"/>
      <c r="MMA310" s="35"/>
      <c r="MMB310" s="15"/>
      <c r="MMD310" s="13"/>
      <c r="MME310" s="35"/>
      <c r="MMF310" s="35"/>
      <c r="MMG310" s="15"/>
      <c r="MMI310" s="13"/>
      <c r="MMJ310" s="35"/>
      <c r="MMK310" s="35"/>
      <c r="MML310" s="15"/>
      <c r="MMN310" s="13"/>
      <c r="MMO310" s="35"/>
      <c r="MMP310" s="35"/>
      <c r="MMQ310" s="15"/>
      <c r="MMS310" s="13"/>
      <c r="MMT310" s="35"/>
      <c r="MMU310" s="35"/>
      <c r="MMV310" s="15"/>
      <c r="MMX310" s="13"/>
      <c r="MMY310" s="35"/>
      <c r="MMZ310" s="35"/>
      <c r="MNA310" s="15"/>
      <c r="MNC310" s="13"/>
      <c r="MND310" s="35"/>
      <c r="MNE310" s="35"/>
      <c r="MNF310" s="15"/>
      <c r="MNH310" s="13"/>
      <c r="MNI310" s="35"/>
      <c r="MNJ310" s="35"/>
      <c r="MNK310" s="15"/>
      <c r="MNM310" s="13"/>
      <c r="MNN310" s="35"/>
      <c r="MNO310" s="35"/>
      <c r="MNP310" s="15"/>
      <c r="MNR310" s="13"/>
      <c r="MNS310" s="35"/>
      <c r="MNT310" s="35"/>
      <c r="MNU310" s="15"/>
      <c r="MNW310" s="13"/>
      <c r="MNX310" s="35"/>
      <c r="MNY310" s="35"/>
      <c r="MNZ310" s="15"/>
      <c r="MOB310" s="13"/>
      <c r="MOC310" s="35"/>
      <c r="MOD310" s="35"/>
      <c r="MOE310" s="15"/>
      <c r="MOG310" s="13"/>
      <c r="MOH310" s="35"/>
      <c r="MOI310" s="35"/>
      <c r="MOJ310" s="15"/>
      <c r="MOL310" s="13"/>
      <c r="MOM310" s="35"/>
      <c r="MON310" s="35"/>
      <c r="MOO310" s="15"/>
      <c r="MOQ310" s="13"/>
      <c r="MOR310" s="35"/>
      <c r="MOS310" s="35"/>
      <c r="MOT310" s="15"/>
      <c r="MOV310" s="13"/>
      <c r="MOW310" s="35"/>
      <c r="MOX310" s="35"/>
      <c r="MOY310" s="15"/>
      <c r="MPA310" s="13"/>
      <c r="MPB310" s="35"/>
      <c r="MPC310" s="35"/>
      <c r="MPD310" s="15"/>
      <c r="MPF310" s="13"/>
      <c r="MPG310" s="35"/>
      <c r="MPH310" s="35"/>
      <c r="MPI310" s="15"/>
      <c r="MPK310" s="13"/>
      <c r="MPL310" s="35"/>
      <c r="MPM310" s="35"/>
      <c r="MPN310" s="15"/>
      <c r="MPP310" s="13"/>
      <c r="MPQ310" s="35"/>
      <c r="MPR310" s="35"/>
      <c r="MPS310" s="15"/>
      <c r="MPU310" s="13"/>
      <c r="MPV310" s="35"/>
      <c r="MPW310" s="35"/>
      <c r="MPX310" s="15"/>
      <c r="MPZ310" s="13"/>
      <c r="MQA310" s="35"/>
      <c r="MQB310" s="35"/>
      <c r="MQC310" s="15"/>
      <c r="MQE310" s="13"/>
      <c r="MQF310" s="35"/>
      <c r="MQG310" s="35"/>
      <c r="MQH310" s="15"/>
      <c r="MQJ310" s="13"/>
      <c r="MQK310" s="35"/>
      <c r="MQL310" s="35"/>
      <c r="MQM310" s="15"/>
      <c r="MQO310" s="13"/>
      <c r="MQP310" s="35"/>
      <c r="MQQ310" s="35"/>
      <c r="MQR310" s="15"/>
      <c r="MQT310" s="13"/>
      <c r="MQU310" s="35"/>
      <c r="MQV310" s="35"/>
      <c r="MQW310" s="15"/>
      <c r="MQY310" s="13"/>
      <c r="MQZ310" s="35"/>
      <c r="MRA310" s="35"/>
      <c r="MRB310" s="15"/>
      <c r="MRD310" s="13"/>
      <c r="MRE310" s="35"/>
      <c r="MRF310" s="35"/>
      <c r="MRG310" s="15"/>
      <c r="MRI310" s="13"/>
      <c r="MRJ310" s="35"/>
      <c r="MRK310" s="35"/>
      <c r="MRL310" s="15"/>
      <c r="MRN310" s="13"/>
      <c r="MRO310" s="35"/>
      <c r="MRP310" s="35"/>
      <c r="MRQ310" s="15"/>
      <c r="MRS310" s="13"/>
      <c r="MRT310" s="35"/>
      <c r="MRU310" s="35"/>
      <c r="MRV310" s="15"/>
      <c r="MRX310" s="13"/>
      <c r="MRY310" s="35"/>
      <c r="MRZ310" s="35"/>
      <c r="MSA310" s="15"/>
      <c r="MSC310" s="13"/>
      <c r="MSD310" s="35"/>
      <c r="MSE310" s="35"/>
      <c r="MSF310" s="15"/>
      <c r="MSH310" s="13"/>
      <c r="MSI310" s="35"/>
      <c r="MSJ310" s="35"/>
      <c r="MSK310" s="15"/>
      <c r="MSM310" s="13"/>
      <c r="MSN310" s="35"/>
      <c r="MSO310" s="35"/>
      <c r="MSP310" s="15"/>
      <c r="MSR310" s="13"/>
      <c r="MSS310" s="35"/>
      <c r="MST310" s="35"/>
      <c r="MSU310" s="15"/>
      <c r="MSW310" s="13"/>
      <c r="MSX310" s="35"/>
      <c r="MSY310" s="35"/>
      <c r="MSZ310" s="15"/>
      <c r="MTB310" s="13"/>
      <c r="MTC310" s="35"/>
      <c r="MTD310" s="35"/>
      <c r="MTE310" s="15"/>
      <c r="MTG310" s="13"/>
      <c r="MTH310" s="35"/>
      <c r="MTI310" s="35"/>
      <c r="MTJ310" s="15"/>
      <c r="MTL310" s="13"/>
      <c r="MTM310" s="35"/>
      <c r="MTN310" s="35"/>
      <c r="MTO310" s="15"/>
      <c r="MTQ310" s="13"/>
      <c r="MTR310" s="35"/>
      <c r="MTS310" s="35"/>
      <c r="MTT310" s="15"/>
      <c r="MTV310" s="13"/>
      <c r="MTW310" s="35"/>
      <c r="MTX310" s="35"/>
      <c r="MTY310" s="15"/>
      <c r="MUA310" s="13"/>
      <c r="MUB310" s="35"/>
      <c r="MUC310" s="35"/>
      <c r="MUD310" s="15"/>
      <c r="MUF310" s="13"/>
      <c r="MUG310" s="35"/>
      <c r="MUH310" s="35"/>
      <c r="MUI310" s="15"/>
      <c r="MUK310" s="13"/>
      <c r="MUL310" s="35"/>
      <c r="MUM310" s="35"/>
      <c r="MUN310" s="15"/>
      <c r="MUP310" s="13"/>
      <c r="MUQ310" s="35"/>
      <c r="MUR310" s="35"/>
      <c r="MUS310" s="15"/>
      <c r="MUU310" s="13"/>
      <c r="MUV310" s="35"/>
      <c r="MUW310" s="35"/>
      <c r="MUX310" s="15"/>
      <c r="MUZ310" s="13"/>
      <c r="MVA310" s="35"/>
      <c r="MVB310" s="35"/>
      <c r="MVC310" s="15"/>
      <c r="MVE310" s="13"/>
      <c r="MVF310" s="35"/>
      <c r="MVG310" s="35"/>
      <c r="MVH310" s="15"/>
      <c r="MVJ310" s="13"/>
      <c r="MVK310" s="35"/>
      <c r="MVL310" s="35"/>
      <c r="MVM310" s="15"/>
      <c r="MVO310" s="13"/>
      <c r="MVP310" s="35"/>
      <c r="MVQ310" s="35"/>
      <c r="MVR310" s="15"/>
      <c r="MVT310" s="13"/>
      <c r="MVU310" s="35"/>
      <c r="MVV310" s="35"/>
      <c r="MVW310" s="15"/>
      <c r="MVY310" s="13"/>
      <c r="MVZ310" s="35"/>
      <c r="MWA310" s="35"/>
      <c r="MWB310" s="15"/>
      <c r="MWD310" s="13"/>
      <c r="MWE310" s="35"/>
      <c r="MWF310" s="35"/>
      <c r="MWG310" s="15"/>
      <c r="MWI310" s="13"/>
      <c r="MWJ310" s="35"/>
      <c r="MWK310" s="35"/>
      <c r="MWL310" s="15"/>
      <c r="MWN310" s="13"/>
      <c r="MWO310" s="35"/>
      <c r="MWP310" s="35"/>
      <c r="MWQ310" s="15"/>
      <c r="MWS310" s="13"/>
      <c r="MWT310" s="35"/>
      <c r="MWU310" s="35"/>
      <c r="MWV310" s="15"/>
      <c r="MWX310" s="13"/>
      <c r="MWY310" s="35"/>
      <c r="MWZ310" s="35"/>
      <c r="MXA310" s="15"/>
      <c r="MXC310" s="13"/>
      <c r="MXD310" s="35"/>
      <c r="MXE310" s="35"/>
      <c r="MXF310" s="15"/>
      <c r="MXH310" s="13"/>
      <c r="MXI310" s="35"/>
      <c r="MXJ310" s="35"/>
      <c r="MXK310" s="15"/>
      <c r="MXM310" s="13"/>
      <c r="MXN310" s="35"/>
      <c r="MXO310" s="35"/>
      <c r="MXP310" s="15"/>
      <c r="MXR310" s="13"/>
      <c r="MXS310" s="35"/>
      <c r="MXT310" s="35"/>
      <c r="MXU310" s="15"/>
      <c r="MXW310" s="13"/>
      <c r="MXX310" s="35"/>
      <c r="MXY310" s="35"/>
      <c r="MXZ310" s="15"/>
      <c r="MYB310" s="13"/>
      <c r="MYC310" s="35"/>
      <c r="MYD310" s="35"/>
      <c r="MYE310" s="15"/>
      <c r="MYG310" s="13"/>
      <c r="MYH310" s="35"/>
      <c r="MYI310" s="35"/>
      <c r="MYJ310" s="15"/>
      <c r="MYL310" s="13"/>
      <c r="MYM310" s="35"/>
      <c r="MYN310" s="35"/>
      <c r="MYO310" s="15"/>
      <c r="MYQ310" s="13"/>
      <c r="MYR310" s="35"/>
      <c r="MYS310" s="35"/>
      <c r="MYT310" s="15"/>
      <c r="MYV310" s="13"/>
      <c r="MYW310" s="35"/>
      <c r="MYX310" s="35"/>
      <c r="MYY310" s="15"/>
      <c r="MZA310" s="13"/>
      <c r="MZB310" s="35"/>
      <c r="MZC310" s="35"/>
      <c r="MZD310" s="15"/>
      <c r="MZF310" s="13"/>
      <c r="MZG310" s="35"/>
      <c r="MZH310" s="35"/>
      <c r="MZI310" s="15"/>
      <c r="MZK310" s="13"/>
      <c r="MZL310" s="35"/>
      <c r="MZM310" s="35"/>
      <c r="MZN310" s="15"/>
      <c r="MZP310" s="13"/>
      <c r="MZQ310" s="35"/>
      <c r="MZR310" s="35"/>
      <c r="MZS310" s="15"/>
      <c r="MZU310" s="13"/>
      <c r="MZV310" s="35"/>
      <c r="MZW310" s="35"/>
      <c r="MZX310" s="15"/>
      <c r="MZZ310" s="13"/>
      <c r="NAA310" s="35"/>
      <c r="NAB310" s="35"/>
      <c r="NAC310" s="15"/>
      <c r="NAE310" s="13"/>
      <c r="NAF310" s="35"/>
      <c r="NAG310" s="35"/>
      <c r="NAH310" s="15"/>
      <c r="NAJ310" s="13"/>
      <c r="NAK310" s="35"/>
      <c r="NAL310" s="35"/>
      <c r="NAM310" s="15"/>
      <c r="NAO310" s="13"/>
      <c r="NAP310" s="35"/>
      <c r="NAQ310" s="35"/>
      <c r="NAR310" s="15"/>
      <c r="NAT310" s="13"/>
      <c r="NAU310" s="35"/>
      <c r="NAV310" s="35"/>
      <c r="NAW310" s="15"/>
      <c r="NAY310" s="13"/>
      <c r="NAZ310" s="35"/>
      <c r="NBA310" s="35"/>
      <c r="NBB310" s="15"/>
      <c r="NBD310" s="13"/>
      <c r="NBE310" s="35"/>
      <c r="NBF310" s="35"/>
      <c r="NBG310" s="15"/>
      <c r="NBI310" s="13"/>
      <c r="NBJ310" s="35"/>
      <c r="NBK310" s="35"/>
      <c r="NBL310" s="15"/>
      <c r="NBN310" s="13"/>
      <c r="NBO310" s="35"/>
      <c r="NBP310" s="35"/>
      <c r="NBQ310" s="15"/>
      <c r="NBS310" s="13"/>
      <c r="NBT310" s="35"/>
      <c r="NBU310" s="35"/>
      <c r="NBV310" s="15"/>
      <c r="NBX310" s="13"/>
      <c r="NBY310" s="35"/>
      <c r="NBZ310" s="35"/>
      <c r="NCA310" s="15"/>
      <c r="NCC310" s="13"/>
      <c r="NCD310" s="35"/>
      <c r="NCE310" s="35"/>
      <c r="NCF310" s="15"/>
      <c r="NCH310" s="13"/>
      <c r="NCI310" s="35"/>
      <c r="NCJ310" s="35"/>
      <c r="NCK310" s="15"/>
      <c r="NCM310" s="13"/>
      <c r="NCN310" s="35"/>
      <c r="NCO310" s="35"/>
      <c r="NCP310" s="15"/>
      <c r="NCR310" s="13"/>
      <c r="NCS310" s="35"/>
      <c r="NCT310" s="35"/>
      <c r="NCU310" s="15"/>
      <c r="NCW310" s="13"/>
      <c r="NCX310" s="35"/>
      <c r="NCY310" s="35"/>
      <c r="NCZ310" s="15"/>
      <c r="NDB310" s="13"/>
      <c r="NDC310" s="35"/>
      <c r="NDD310" s="35"/>
      <c r="NDE310" s="15"/>
      <c r="NDG310" s="13"/>
      <c r="NDH310" s="35"/>
      <c r="NDI310" s="35"/>
      <c r="NDJ310" s="15"/>
      <c r="NDL310" s="13"/>
      <c r="NDM310" s="35"/>
      <c r="NDN310" s="35"/>
      <c r="NDO310" s="15"/>
      <c r="NDQ310" s="13"/>
      <c r="NDR310" s="35"/>
      <c r="NDS310" s="35"/>
      <c r="NDT310" s="15"/>
      <c r="NDV310" s="13"/>
      <c r="NDW310" s="35"/>
      <c r="NDX310" s="35"/>
      <c r="NDY310" s="15"/>
      <c r="NEA310" s="13"/>
      <c r="NEB310" s="35"/>
      <c r="NEC310" s="35"/>
      <c r="NED310" s="15"/>
      <c r="NEF310" s="13"/>
      <c r="NEG310" s="35"/>
      <c r="NEH310" s="35"/>
      <c r="NEI310" s="15"/>
      <c r="NEK310" s="13"/>
      <c r="NEL310" s="35"/>
      <c r="NEM310" s="35"/>
      <c r="NEN310" s="15"/>
      <c r="NEP310" s="13"/>
      <c r="NEQ310" s="35"/>
      <c r="NER310" s="35"/>
      <c r="NES310" s="15"/>
      <c r="NEU310" s="13"/>
      <c r="NEV310" s="35"/>
      <c r="NEW310" s="35"/>
      <c r="NEX310" s="15"/>
      <c r="NEZ310" s="13"/>
      <c r="NFA310" s="35"/>
      <c r="NFB310" s="35"/>
      <c r="NFC310" s="15"/>
      <c r="NFE310" s="13"/>
      <c r="NFF310" s="35"/>
      <c r="NFG310" s="35"/>
      <c r="NFH310" s="15"/>
      <c r="NFJ310" s="13"/>
      <c r="NFK310" s="35"/>
      <c r="NFL310" s="35"/>
      <c r="NFM310" s="15"/>
      <c r="NFO310" s="13"/>
      <c r="NFP310" s="35"/>
      <c r="NFQ310" s="35"/>
      <c r="NFR310" s="15"/>
      <c r="NFT310" s="13"/>
      <c r="NFU310" s="35"/>
      <c r="NFV310" s="35"/>
      <c r="NFW310" s="15"/>
      <c r="NFY310" s="13"/>
      <c r="NFZ310" s="35"/>
      <c r="NGA310" s="35"/>
      <c r="NGB310" s="15"/>
      <c r="NGD310" s="13"/>
      <c r="NGE310" s="35"/>
      <c r="NGF310" s="35"/>
      <c r="NGG310" s="15"/>
      <c r="NGI310" s="13"/>
      <c r="NGJ310" s="35"/>
      <c r="NGK310" s="35"/>
      <c r="NGL310" s="15"/>
      <c r="NGN310" s="13"/>
      <c r="NGO310" s="35"/>
      <c r="NGP310" s="35"/>
      <c r="NGQ310" s="15"/>
      <c r="NGS310" s="13"/>
      <c r="NGT310" s="35"/>
      <c r="NGU310" s="35"/>
      <c r="NGV310" s="15"/>
      <c r="NGX310" s="13"/>
      <c r="NGY310" s="35"/>
      <c r="NGZ310" s="35"/>
      <c r="NHA310" s="15"/>
      <c r="NHC310" s="13"/>
      <c r="NHD310" s="35"/>
      <c r="NHE310" s="35"/>
      <c r="NHF310" s="15"/>
      <c r="NHH310" s="13"/>
      <c r="NHI310" s="35"/>
      <c r="NHJ310" s="35"/>
      <c r="NHK310" s="15"/>
      <c r="NHM310" s="13"/>
      <c r="NHN310" s="35"/>
      <c r="NHO310" s="35"/>
      <c r="NHP310" s="15"/>
      <c r="NHR310" s="13"/>
      <c r="NHS310" s="35"/>
      <c r="NHT310" s="35"/>
      <c r="NHU310" s="15"/>
      <c r="NHW310" s="13"/>
      <c r="NHX310" s="35"/>
      <c r="NHY310" s="35"/>
      <c r="NHZ310" s="15"/>
      <c r="NIB310" s="13"/>
      <c r="NIC310" s="35"/>
      <c r="NID310" s="35"/>
      <c r="NIE310" s="15"/>
      <c r="NIG310" s="13"/>
      <c r="NIH310" s="35"/>
      <c r="NII310" s="35"/>
      <c r="NIJ310" s="15"/>
      <c r="NIL310" s="13"/>
      <c r="NIM310" s="35"/>
      <c r="NIN310" s="35"/>
      <c r="NIO310" s="15"/>
      <c r="NIQ310" s="13"/>
      <c r="NIR310" s="35"/>
      <c r="NIS310" s="35"/>
      <c r="NIT310" s="15"/>
      <c r="NIV310" s="13"/>
      <c r="NIW310" s="35"/>
      <c r="NIX310" s="35"/>
      <c r="NIY310" s="15"/>
      <c r="NJA310" s="13"/>
      <c r="NJB310" s="35"/>
      <c r="NJC310" s="35"/>
      <c r="NJD310" s="15"/>
      <c r="NJF310" s="13"/>
      <c r="NJG310" s="35"/>
      <c r="NJH310" s="35"/>
      <c r="NJI310" s="15"/>
      <c r="NJK310" s="13"/>
      <c r="NJL310" s="35"/>
      <c r="NJM310" s="35"/>
      <c r="NJN310" s="15"/>
      <c r="NJP310" s="13"/>
      <c r="NJQ310" s="35"/>
      <c r="NJR310" s="35"/>
      <c r="NJS310" s="15"/>
      <c r="NJU310" s="13"/>
      <c r="NJV310" s="35"/>
      <c r="NJW310" s="35"/>
      <c r="NJX310" s="15"/>
      <c r="NJZ310" s="13"/>
      <c r="NKA310" s="35"/>
      <c r="NKB310" s="35"/>
      <c r="NKC310" s="15"/>
      <c r="NKE310" s="13"/>
      <c r="NKF310" s="35"/>
      <c r="NKG310" s="35"/>
      <c r="NKH310" s="15"/>
      <c r="NKJ310" s="13"/>
      <c r="NKK310" s="35"/>
      <c r="NKL310" s="35"/>
      <c r="NKM310" s="15"/>
      <c r="NKO310" s="13"/>
      <c r="NKP310" s="35"/>
      <c r="NKQ310" s="35"/>
      <c r="NKR310" s="15"/>
      <c r="NKT310" s="13"/>
      <c r="NKU310" s="35"/>
      <c r="NKV310" s="35"/>
      <c r="NKW310" s="15"/>
      <c r="NKY310" s="13"/>
      <c r="NKZ310" s="35"/>
      <c r="NLA310" s="35"/>
      <c r="NLB310" s="15"/>
      <c r="NLD310" s="13"/>
      <c r="NLE310" s="35"/>
      <c r="NLF310" s="35"/>
      <c r="NLG310" s="15"/>
      <c r="NLI310" s="13"/>
      <c r="NLJ310" s="35"/>
      <c r="NLK310" s="35"/>
      <c r="NLL310" s="15"/>
      <c r="NLN310" s="13"/>
      <c r="NLO310" s="35"/>
      <c r="NLP310" s="35"/>
      <c r="NLQ310" s="15"/>
      <c r="NLS310" s="13"/>
      <c r="NLT310" s="35"/>
      <c r="NLU310" s="35"/>
      <c r="NLV310" s="15"/>
      <c r="NLX310" s="13"/>
      <c r="NLY310" s="35"/>
      <c r="NLZ310" s="35"/>
      <c r="NMA310" s="15"/>
      <c r="NMC310" s="13"/>
      <c r="NMD310" s="35"/>
      <c r="NME310" s="35"/>
      <c r="NMF310" s="15"/>
      <c r="NMH310" s="13"/>
      <c r="NMI310" s="35"/>
      <c r="NMJ310" s="35"/>
      <c r="NMK310" s="15"/>
      <c r="NMM310" s="13"/>
      <c r="NMN310" s="35"/>
      <c r="NMO310" s="35"/>
      <c r="NMP310" s="15"/>
      <c r="NMR310" s="13"/>
      <c r="NMS310" s="35"/>
      <c r="NMT310" s="35"/>
      <c r="NMU310" s="15"/>
      <c r="NMW310" s="13"/>
      <c r="NMX310" s="35"/>
      <c r="NMY310" s="35"/>
      <c r="NMZ310" s="15"/>
      <c r="NNB310" s="13"/>
      <c r="NNC310" s="35"/>
      <c r="NND310" s="35"/>
      <c r="NNE310" s="15"/>
      <c r="NNG310" s="13"/>
      <c r="NNH310" s="35"/>
      <c r="NNI310" s="35"/>
      <c r="NNJ310" s="15"/>
      <c r="NNL310" s="13"/>
      <c r="NNM310" s="35"/>
      <c r="NNN310" s="35"/>
      <c r="NNO310" s="15"/>
      <c r="NNQ310" s="13"/>
      <c r="NNR310" s="35"/>
      <c r="NNS310" s="35"/>
      <c r="NNT310" s="15"/>
      <c r="NNV310" s="13"/>
      <c r="NNW310" s="35"/>
      <c r="NNX310" s="35"/>
      <c r="NNY310" s="15"/>
      <c r="NOA310" s="13"/>
      <c r="NOB310" s="35"/>
      <c r="NOC310" s="35"/>
      <c r="NOD310" s="15"/>
      <c r="NOF310" s="13"/>
      <c r="NOG310" s="35"/>
      <c r="NOH310" s="35"/>
      <c r="NOI310" s="15"/>
      <c r="NOK310" s="13"/>
      <c r="NOL310" s="35"/>
      <c r="NOM310" s="35"/>
      <c r="NON310" s="15"/>
      <c r="NOP310" s="13"/>
      <c r="NOQ310" s="35"/>
      <c r="NOR310" s="35"/>
      <c r="NOS310" s="15"/>
      <c r="NOU310" s="13"/>
      <c r="NOV310" s="35"/>
      <c r="NOW310" s="35"/>
      <c r="NOX310" s="15"/>
      <c r="NOZ310" s="13"/>
      <c r="NPA310" s="35"/>
      <c r="NPB310" s="35"/>
      <c r="NPC310" s="15"/>
      <c r="NPE310" s="13"/>
      <c r="NPF310" s="35"/>
      <c r="NPG310" s="35"/>
      <c r="NPH310" s="15"/>
      <c r="NPJ310" s="13"/>
      <c r="NPK310" s="35"/>
      <c r="NPL310" s="35"/>
      <c r="NPM310" s="15"/>
      <c r="NPO310" s="13"/>
      <c r="NPP310" s="35"/>
      <c r="NPQ310" s="35"/>
      <c r="NPR310" s="15"/>
      <c r="NPT310" s="13"/>
      <c r="NPU310" s="35"/>
      <c r="NPV310" s="35"/>
      <c r="NPW310" s="15"/>
      <c r="NPY310" s="13"/>
      <c r="NPZ310" s="35"/>
      <c r="NQA310" s="35"/>
      <c r="NQB310" s="15"/>
      <c r="NQD310" s="13"/>
      <c r="NQE310" s="35"/>
      <c r="NQF310" s="35"/>
      <c r="NQG310" s="15"/>
      <c r="NQI310" s="13"/>
      <c r="NQJ310" s="35"/>
      <c r="NQK310" s="35"/>
      <c r="NQL310" s="15"/>
      <c r="NQN310" s="13"/>
      <c r="NQO310" s="35"/>
      <c r="NQP310" s="35"/>
      <c r="NQQ310" s="15"/>
      <c r="NQS310" s="13"/>
      <c r="NQT310" s="35"/>
      <c r="NQU310" s="35"/>
      <c r="NQV310" s="15"/>
      <c r="NQX310" s="13"/>
      <c r="NQY310" s="35"/>
      <c r="NQZ310" s="35"/>
      <c r="NRA310" s="15"/>
      <c r="NRC310" s="13"/>
      <c r="NRD310" s="35"/>
      <c r="NRE310" s="35"/>
      <c r="NRF310" s="15"/>
      <c r="NRH310" s="13"/>
      <c r="NRI310" s="35"/>
      <c r="NRJ310" s="35"/>
      <c r="NRK310" s="15"/>
      <c r="NRM310" s="13"/>
      <c r="NRN310" s="35"/>
      <c r="NRO310" s="35"/>
      <c r="NRP310" s="15"/>
      <c r="NRR310" s="13"/>
      <c r="NRS310" s="35"/>
      <c r="NRT310" s="35"/>
      <c r="NRU310" s="15"/>
      <c r="NRW310" s="13"/>
      <c r="NRX310" s="35"/>
      <c r="NRY310" s="35"/>
      <c r="NRZ310" s="15"/>
      <c r="NSB310" s="13"/>
      <c r="NSC310" s="35"/>
      <c r="NSD310" s="35"/>
      <c r="NSE310" s="15"/>
      <c r="NSG310" s="13"/>
      <c r="NSH310" s="35"/>
      <c r="NSI310" s="35"/>
      <c r="NSJ310" s="15"/>
      <c r="NSL310" s="13"/>
      <c r="NSM310" s="35"/>
      <c r="NSN310" s="35"/>
      <c r="NSO310" s="15"/>
      <c r="NSQ310" s="13"/>
      <c r="NSR310" s="35"/>
      <c r="NSS310" s="35"/>
      <c r="NST310" s="15"/>
      <c r="NSV310" s="13"/>
      <c r="NSW310" s="35"/>
      <c r="NSX310" s="35"/>
      <c r="NSY310" s="15"/>
      <c r="NTA310" s="13"/>
      <c r="NTB310" s="35"/>
      <c r="NTC310" s="35"/>
      <c r="NTD310" s="15"/>
      <c r="NTF310" s="13"/>
      <c r="NTG310" s="35"/>
      <c r="NTH310" s="35"/>
      <c r="NTI310" s="15"/>
      <c r="NTK310" s="13"/>
      <c r="NTL310" s="35"/>
      <c r="NTM310" s="35"/>
      <c r="NTN310" s="15"/>
      <c r="NTP310" s="13"/>
      <c r="NTQ310" s="35"/>
      <c r="NTR310" s="35"/>
      <c r="NTS310" s="15"/>
      <c r="NTU310" s="13"/>
      <c r="NTV310" s="35"/>
      <c r="NTW310" s="35"/>
      <c r="NTX310" s="15"/>
      <c r="NTZ310" s="13"/>
      <c r="NUA310" s="35"/>
      <c r="NUB310" s="35"/>
      <c r="NUC310" s="15"/>
      <c r="NUE310" s="13"/>
      <c r="NUF310" s="35"/>
      <c r="NUG310" s="35"/>
      <c r="NUH310" s="15"/>
      <c r="NUJ310" s="13"/>
      <c r="NUK310" s="35"/>
      <c r="NUL310" s="35"/>
      <c r="NUM310" s="15"/>
      <c r="NUO310" s="13"/>
      <c r="NUP310" s="35"/>
      <c r="NUQ310" s="35"/>
      <c r="NUR310" s="15"/>
      <c r="NUT310" s="13"/>
      <c r="NUU310" s="35"/>
      <c r="NUV310" s="35"/>
      <c r="NUW310" s="15"/>
      <c r="NUY310" s="13"/>
      <c r="NUZ310" s="35"/>
      <c r="NVA310" s="35"/>
      <c r="NVB310" s="15"/>
      <c r="NVD310" s="13"/>
      <c r="NVE310" s="35"/>
      <c r="NVF310" s="35"/>
      <c r="NVG310" s="15"/>
      <c r="NVI310" s="13"/>
      <c r="NVJ310" s="35"/>
      <c r="NVK310" s="35"/>
      <c r="NVL310" s="15"/>
      <c r="NVN310" s="13"/>
      <c r="NVO310" s="35"/>
      <c r="NVP310" s="35"/>
      <c r="NVQ310" s="15"/>
      <c r="NVS310" s="13"/>
      <c r="NVT310" s="35"/>
      <c r="NVU310" s="35"/>
      <c r="NVV310" s="15"/>
      <c r="NVX310" s="13"/>
      <c r="NVY310" s="35"/>
      <c r="NVZ310" s="35"/>
      <c r="NWA310" s="15"/>
      <c r="NWC310" s="13"/>
      <c r="NWD310" s="35"/>
      <c r="NWE310" s="35"/>
      <c r="NWF310" s="15"/>
      <c r="NWH310" s="13"/>
      <c r="NWI310" s="35"/>
      <c r="NWJ310" s="35"/>
      <c r="NWK310" s="15"/>
      <c r="NWM310" s="13"/>
      <c r="NWN310" s="35"/>
      <c r="NWO310" s="35"/>
      <c r="NWP310" s="15"/>
      <c r="NWR310" s="13"/>
      <c r="NWS310" s="35"/>
      <c r="NWT310" s="35"/>
      <c r="NWU310" s="15"/>
      <c r="NWW310" s="13"/>
      <c r="NWX310" s="35"/>
      <c r="NWY310" s="35"/>
      <c r="NWZ310" s="15"/>
      <c r="NXB310" s="13"/>
      <c r="NXC310" s="35"/>
      <c r="NXD310" s="35"/>
      <c r="NXE310" s="15"/>
      <c r="NXG310" s="13"/>
      <c r="NXH310" s="35"/>
      <c r="NXI310" s="35"/>
      <c r="NXJ310" s="15"/>
      <c r="NXL310" s="13"/>
      <c r="NXM310" s="35"/>
      <c r="NXN310" s="35"/>
      <c r="NXO310" s="15"/>
      <c r="NXQ310" s="13"/>
      <c r="NXR310" s="35"/>
      <c r="NXS310" s="35"/>
      <c r="NXT310" s="15"/>
      <c r="NXV310" s="13"/>
      <c r="NXW310" s="35"/>
      <c r="NXX310" s="35"/>
      <c r="NXY310" s="15"/>
      <c r="NYA310" s="13"/>
      <c r="NYB310" s="35"/>
      <c r="NYC310" s="35"/>
      <c r="NYD310" s="15"/>
      <c r="NYF310" s="13"/>
      <c r="NYG310" s="35"/>
      <c r="NYH310" s="35"/>
      <c r="NYI310" s="15"/>
      <c r="NYK310" s="13"/>
      <c r="NYL310" s="35"/>
      <c r="NYM310" s="35"/>
      <c r="NYN310" s="15"/>
      <c r="NYP310" s="13"/>
      <c r="NYQ310" s="35"/>
      <c r="NYR310" s="35"/>
      <c r="NYS310" s="15"/>
      <c r="NYU310" s="13"/>
      <c r="NYV310" s="35"/>
      <c r="NYW310" s="35"/>
      <c r="NYX310" s="15"/>
      <c r="NYZ310" s="13"/>
      <c r="NZA310" s="35"/>
      <c r="NZB310" s="35"/>
      <c r="NZC310" s="15"/>
      <c r="NZE310" s="13"/>
      <c r="NZF310" s="35"/>
      <c r="NZG310" s="35"/>
      <c r="NZH310" s="15"/>
      <c r="NZJ310" s="13"/>
      <c r="NZK310" s="35"/>
      <c r="NZL310" s="35"/>
      <c r="NZM310" s="15"/>
      <c r="NZO310" s="13"/>
      <c r="NZP310" s="35"/>
      <c r="NZQ310" s="35"/>
      <c r="NZR310" s="15"/>
      <c r="NZT310" s="13"/>
      <c r="NZU310" s="35"/>
      <c r="NZV310" s="35"/>
      <c r="NZW310" s="15"/>
      <c r="NZY310" s="13"/>
      <c r="NZZ310" s="35"/>
      <c r="OAA310" s="35"/>
      <c r="OAB310" s="15"/>
      <c r="OAD310" s="13"/>
      <c r="OAE310" s="35"/>
      <c r="OAF310" s="35"/>
      <c r="OAG310" s="15"/>
      <c r="OAI310" s="13"/>
      <c r="OAJ310" s="35"/>
      <c r="OAK310" s="35"/>
      <c r="OAL310" s="15"/>
      <c r="OAN310" s="13"/>
      <c r="OAO310" s="35"/>
      <c r="OAP310" s="35"/>
      <c r="OAQ310" s="15"/>
      <c r="OAS310" s="13"/>
      <c r="OAT310" s="35"/>
      <c r="OAU310" s="35"/>
      <c r="OAV310" s="15"/>
      <c r="OAX310" s="13"/>
      <c r="OAY310" s="35"/>
      <c r="OAZ310" s="35"/>
      <c r="OBA310" s="15"/>
      <c r="OBC310" s="13"/>
      <c r="OBD310" s="35"/>
      <c r="OBE310" s="35"/>
      <c r="OBF310" s="15"/>
      <c r="OBH310" s="13"/>
      <c r="OBI310" s="35"/>
      <c r="OBJ310" s="35"/>
      <c r="OBK310" s="15"/>
      <c r="OBM310" s="13"/>
      <c r="OBN310" s="35"/>
      <c r="OBO310" s="35"/>
      <c r="OBP310" s="15"/>
      <c r="OBR310" s="13"/>
      <c r="OBS310" s="35"/>
      <c r="OBT310" s="35"/>
      <c r="OBU310" s="15"/>
      <c r="OBW310" s="13"/>
      <c r="OBX310" s="35"/>
      <c r="OBY310" s="35"/>
      <c r="OBZ310" s="15"/>
      <c r="OCB310" s="13"/>
      <c r="OCC310" s="35"/>
      <c r="OCD310" s="35"/>
      <c r="OCE310" s="15"/>
      <c r="OCG310" s="13"/>
      <c r="OCH310" s="35"/>
      <c r="OCI310" s="35"/>
      <c r="OCJ310" s="15"/>
      <c r="OCL310" s="13"/>
      <c r="OCM310" s="35"/>
      <c r="OCN310" s="35"/>
      <c r="OCO310" s="15"/>
      <c r="OCQ310" s="13"/>
      <c r="OCR310" s="35"/>
      <c r="OCS310" s="35"/>
      <c r="OCT310" s="15"/>
      <c r="OCV310" s="13"/>
      <c r="OCW310" s="35"/>
      <c r="OCX310" s="35"/>
      <c r="OCY310" s="15"/>
      <c r="ODA310" s="13"/>
      <c r="ODB310" s="35"/>
      <c r="ODC310" s="35"/>
      <c r="ODD310" s="15"/>
      <c r="ODF310" s="13"/>
      <c r="ODG310" s="35"/>
      <c r="ODH310" s="35"/>
      <c r="ODI310" s="15"/>
      <c r="ODK310" s="13"/>
      <c r="ODL310" s="35"/>
      <c r="ODM310" s="35"/>
      <c r="ODN310" s="15"/>
      <c r="ODP310" s="13"/>
      <c r="ODQ310" s="35"/>
      <c r="ODR310" s="35"/>
      <c r="ODS310" s="15"/>
      <c r="ODU310" s="13"/>
      <c r="ODV310" s="35"/>
      <c r="ODW310" s="35"/>
      <c r="ODX310" s="15"/>
      <c r="ODZ310" s="13"/>
      <c r="OEA310" s="35"/>
      <c r="OEB310" s="35"/>
      <c r="OEC310" s="15"/>
      <c r="OEE310" s="13"/>
      <c r="OEF310" s="35"/>
      <c r="OEG310" s="35"/>
      <c r="OEH310" s="15"/>
      <c r="OEJ310" s="13"/>
      <c r="OEK310" s="35"/>
      <c r="OEL310" s="35"/>
      <c r="OEM310" s="15"/>
      <c r="OEO310" s="13"/>
      <c r="OEP310" s="35"/>
      <c r="OEQ310" s="35"/>
      <c r="OER310" s="15"/>
      <c r="OET310" s="13"/>
      <c r="OEU310" s="35"/>
      <c r="OEV310" s="35"/>
      <c r="OEW310" s="15"/>
      <c r="OEY310" s="13"/>
      <c r="OEZ310" s="35"/>
      <c r="OFA310" s="35"/>
      <c r="OFB310" s="15"/>
      <c r="OFD310" s="13"/>
      <c r="OFE310" s="35"/>
      <c r="OFF310" s="35"/>
      <c r="OFG310" s="15"/>
      <c r="OFI310" s="13"/>
      <c r="OFJ310" s="35"/>
      <c r="OFK310" s="35"/>
      <c r="OFL310" s="15"/>
      <c r="OFN310" s="13"/>
      <c r="OFO310" s="35"/>
      <c r="OFP310" s="35"/>
      <c r="OFQ310" s="15"/>
      <c r="OFS310" s="13"/>
      <c r="OFT310" s="35"/>
      <c r="OFU310" s="35"/>
      <c r="OFV310" s="15"/>
      <c r="OFX310" s="13"/>
      <c r="OFY310" s="35"/>
      <c r="OFZ310" s="35"/>
      <c r="OGA310" s="15"/>
      <c r="OGC310" s="13"/>
      <c r="OGD310" s="35"/>
      <c r="OGE310" s="35"/>
      <c r="OGF310" s="15"/>
      <c r="OGH310" s="13"/>
      <c r="OGI310" s="35"/>
      <c r="OGJ310" s="35"/>
      <c r="OGK310" s="15"/>
      <c r="OGM310" s="13"/>
      <c r="OGN310" s="35"/>
      <c r="OGO310" s="35"/>
      <c r="OGP310" s="15"/>
      <c r="OGR310" s="13"/>
      <c r="OGS310" s="35"/>
      <c r="OGT310" s="35"/>
      <c r="OGU310" s="15"/>
      <c r="OGW310" s="13"/>
      <c r="OGX310" s="35"/>
      <c r="OGY310" s="35"/>
      <c r="OGZ310" s="15"/>
      <c r="OHB310" s="13"/>
      <c r="OHC310" s="35"/>
      <c r="OHD310" s="35"/>
      <c r="OHE310" s="15"/>
      <c r="OHG310" s="13"/>
      <c r="OHH310" s="35"/>
      <c r="OHI310" s="35"/>
      <c r="OHJ310" s="15"/>
      <c r="OHL310" s="13"/>
      <c r="OHM310" s="35"/>
      <c r="OHN310" s="35"/>
      <c r="OHO310" s="15"/>
      <c r="OHQ310" s="13"/>
      <c r="OHR310" s="35"/>
      <c r="OHS310" s="35"/>
      <c r="OHT310" s="15"/>
      <c r="OHV310" s="13"/>
      <c r="OHW310" s="35"/>
      <c r="OHX310" s="35"/>
      <c r="OHY310" s="15"/>
      <c r="OIA310" s="13"/>
      <c r="OIB310" s="35"/>
      <c r="OIC310" s="35"/>
      <c r="OID310" s="15"/>
      <c r="OIF310" s="13"/>
      <c r="OIG310" s="35"/>
      <c r="OIH310" s="35"/>
      <c r="OII310" s="15"/>
      <c r="OIK310" s="13"/>
      <c r="OIL310" s="35"/>
      <c r="OIM310" s="35"/>
      <c r="OIN310" s="15"/>
      <c r="OIP310" s="13"/>
      <c r="OIQ310" s="35"/>
      <c r="OIR310" s="35"/>
      <c r="OIS310" s="15"/>
      <c r="OIU310" s="13"/>
      <c r="OIV310" s="35"/>
      <c r="OIW310" s="35"/>
      <c r="OIX310" s="15"/>
      <c r="OIZ310" s="13"/>
      <c r="OJA310" s="35"/>
      <c r="OJB310" s="35"/>
      <c r="OJC310" s="15"/>
      <c r="OJE310" s="13"/>
      <c r="OJF310" s="35"/>
      <c r="OJG310" s="35"/>
      <c r="OJH310" s="15"/>
      <c r="OJJ310" s="13"/>
      <c r="OJK310" s="35"/>
      <c r="OJL310" s="35"/>
      <c r="OJM310" s="15"/>
      <c r="OJO310" s="13"/>
      <c r="OJP310" s="35"/>
      <c r="OJQ310" s="35"/>
      <c r="OJR310" s="15"/>
      <c r="OJT310" s="13"/>
      <c r="OJU310" s="35"/>
      <c r="OJV310" s="35"/>
      <c r="OJW310" s="15"/>
      <c r="OJY310" s="13"/>
      <c r="OJZ310" s="35"/>
      <c r="OKA310" s="35"/>
      <c r="OKB310" s="15"/>
      <c r="OKD310" s="13"/>
      <c r="OKE310" s="35"/>
      <c r="OKF310" s="35"/>
      <c r="OKG310" s="15"/>
      <c r="OKI310" s="13"/>
      <c r="OKJ310" s="35"/>
      <c r="OKK310" s="35"/>
      <c r="OKL310" s="15"/>
      <c r="OKN310" s="13"/>
      <c r="OKO310" s="35"/>
      <c r="OKP310" s="35"/>
      <c r="OKQ310" s="15"/>
      <c r="OKS310" s="13"/>
      <c r="OKT310" s="35"/>
      <c r="OKU310" s="35"/>
      <c r="OKV310" s="15"/>
      <c r="OKX310" s="13"/>
      <c r="OKY310" s="35"/>
      <c r="OKZ310" s="35"/>
      <c r="OLA310" s="15"/>
      <c r="OLC310" s="13"/>
      <c r="OLD310" s="35"/>
      <c r="OLE310" s="35"/>
      <c r="OLF310" s="15"/>
      <c r="OLH310" s="13"/>
      <c r="OLI310" s="35"/>
      <c r="OLJ310" s="35"/>
      <c r="OLK310" s="15"/>
      <c r="OLM310" s="13"/>
      <c r="OLN310" s="35"/>
      <c r="OLO310" s="35"/>
      <c r="OLP310" s="15"/>
      <c r="OLR310" s="13"/>
      <c r="OLS310" s="35"/>
      <c r="OLT310" s="35"/>
      <c r="OLU310" s="15"/>
      <c r="OLW310" s="13"/>
      <c r="OLX310" s="35"/>
      <c r="OLY310" s="35"/>
      <c r="OLZ310" s="15"/>
      <c r="OMB310" s="13"/>
      <c r="OMC310" s="35"/>
      <c r="OMD310" s="35"/>
      <c r="OME310" s="15"/>
      <c r="OMG310" s="13"/>
      <c r="OMH310" s="35"/>
      <c r="OMI310" s="35"/>
      <c r="OMJ310" s="15"/>
      <c r="OML310" s="13"/>
      <c r="OMM310" s="35"/>
      <c r="OMN310" s="35"/>
      <c r="OMO310" s="15"/>
      <c r="OMQ310" s="13"/>
      <c r="OMR310" s="35"/>
      <c r="OMS310" s="35"/>
      <c r="OMT310" s="15"/>
      <c r="OMV310" s="13"/>
      <c r="OMW310" s="35"/>
      <c r="OMX310" s="35"/>
      <c r="OMY310" s="15"/>
      <c r="ONA310" s="13"/>
      <c r="ONB310" s="35"/>
      <c r="ONC310" s="35"/>
      <c r="OND310" s="15"/>
      <c r="ONF310" s="13"/>
      <c r="ONG310" s="35"/>
      <c r="ONH310" s="35"/>
      <c r="ONI310" s="15"/>
      <c r="ONK310" s="13"/>
      <c r="ONL310" s="35"/>
      <c r="ONM310" s="35"/>
      <c r="ONN310" s="15"/>
      <c r="ONP310" s="13"/>
      <c r="ONQ310" s="35"/>
      <c r="ONR310" s="35"/>
      <c r="ONS310" s="15"/>
      <c r="ONU310" s="13"/>
      <c r="ONV310" s="35"/>
      <c r="ONW310" s="35"/>
      <c r="ONX310" s="15"/>
      <c r="ONZ310" s="13"/>
      <c r="OOA310" s="35"/>
      <c r="OOB310" s="35"/>
      <c r="OOC310" s="15"/>
      <c r="OOE310" s="13"/>
      <c r="OOF310" s="35"/>
      <c r="OOG310" s="35"/>
      <c r="OOH310" s="15"/>
      <c r="OOJ310" s="13"/>
      <c r="OOK310" s="35"/>
      <c r="OOL310" s="35"/>
      <c r="OOM310" s="15"/>
      <c r="OOO310" s="13"/>
      <c r="OOP310" s="35"/>
      <c r="OOQ310" s="35"/>
      <c r="OOR310" s="15"/>
      <c r="OOT310" s="13"/>
      <c r="OOU310" s="35"/>
      <c r="OOV310" s="35"/>
      <c r="OOW310" s="15"/>
      <c r="OOY310" s="13"/>
      <c r="OOZ310" s="35"/>
      <c r="OPA310" s="35"/>
      <c r="OPB310" s="15"/>
      <c r="OPD310" s="13"/>
      <c r="OPE310" s="35"/>
      <c r="OPF310" s="35"/>
      <c r="OPG310" s="15"/>
      <c r="OPI310" s="13"/>
      <c r="OPJ310" s="35"/>
      <c r="OPK310" s="35"/>
      <c r="OPL310" s="15"/>
      <c r="OPN310" s="13"/>
      <c r="OPO310" s="35"/>
      <c r="OPP310" s="35"/>
      <c r="OPQ310" s="15"/>
      <c r="OPS310" s="13"/>
      <c r="OPT310" s="35"/>
      <c r="OPU310" s="35"/>
      <c r="OPV310" s="15"/>
      <c r="OPX310" s="13"/>
      <c r="OPY310" s="35"/>
      <c r="OPZ310" s="35"/>
      <c r="OQA310" s="15"/>
      <c r="OQC310" s="13"/>
      <c r="OQD310" s="35"/>
      <c r="OQE310" s="35"/>
      <c r="OQF310" s="15"/>
      <c r="OQH310" s="13"/>
      <c r="OQI310" s="35"/>
      <c r="OQJ310" s="35"/>
      <c r="OQK310" s="15"/>
      <c r="OQM310" s="13"/>
      <c r="OQN310" s="35"/>
      <c r="OQO310" s="35"/>
      <c r="OQP310" s="15"/>
      <c r="OQR310" s="13"/>
      <c r="OQS310" s="35"/>
      <c r="OQT310" s="35"/>
      <c r="OQU310" s="15"/>
      <c r="OQW310" s="13"/>
      <c r="OQX310" s="35"/>
      <c r="OQY310" s="35"/>
      <c r="OQZ310" s="15"/>
      <c r="ORB310" s="13"/>
      <c r="ORC310" s="35"/>
      <c r="ORD310" s="35"/>
      <c r="ORE310" s="15"/>
      <c r="ORG310" s="13"/>
      <c r="ORH310" s="35"/>
      <c r="ORI310" s="35"/>
      <c r="ORJ310" s="15"/>
      <c r="ORL310" s="13"/>
      <c r="ORM310" s="35"/>
      <c r="ORN310" s="35"/>
      <c r="ORO310" s="15"/>
      <c r="ORQ310" s="13"/>
      <c r="ORR310" s="35"/>
      <c r="ORS310" s="35"/>
      <c r="ORT310" s="15"/>
      <c r="ORV310" s="13"/>
      <c r="ORW310" s="35"/>
      <c r="ORX310" s="35"/>
      <c r="ORY310" s="15"/>
      <c r="OSA310" s="13"/>
      <c r="OSB310" s="35"/>
      <c r="OSC310" s="35"/>
      <c r="OSD310" s="15"/>
      <c r="OSF310" s="13"/>
      <c r="OSG310" s="35"/>
      <c r="OSH310" s="35"/>
      <c r="OSI310" s="15"/>
      <c r="OSK310" s="13"/>
      <c r="OSL310" s="35"/>
      <c r="OSM310" s="35"/>
      <c r="OSN310" s="15"/>
      <c r="OSP310" s="13"/>
      <c r="OSQ310" s="35"/>
      <c r="OSR310" s="35"/>
      <c r="OSS310" s="15"/>
      <c r="OSU310" s="13"/>
      <c r="OSV310" s="35"/>
      <c r="OSW310" s="35"/>
      <c r="OSX310" s="15"/>
      <c r="OSZ310" s="13"/>
      <c r="OTA310" s="35"/>
      <c r="OTB310" s="35"/>
      <c r="OTC310" s="15"/>
      <c r="OTE310" s="13"/>
      <c r="OTF310" s="35"/>
      <c r="OTG310" s="35"/>
      <c r="OTH310" s="15"/>
      <c r="OTJ310" s="13"/>
      <c r="OTK310" s="35"/>
      <c r="OTL310" s="35"/>
      <c r="OTM310" s="15"/>
      <c r="OTO310" s="13"/>
      <c r="OTP310" s="35"/>
      <c r="OTQ310" s="35"/>
      <c r="OTR310" s="15"/>
      <c r="OTT310" s="13"/>
      <c r="OTU310" s="35"/>
      <c r="OTV310" s="35"/>
      <c r="OTW310" s="15"/>
      <c r="OTY310" s="13"/>
      <c r="OTZ310" s="35"/>
      <c r="OUA310" s="35"/>
      <c r="OUB310" s="15"/>
      <c r="OUD310" s="13"/>
      <c r="OUE310" s="35"/>
      <c r="OUF310" s="35"/>
      <c r="OUG310" s="15"/>
      <c r="OUI310" s="13"/>
      <c r="OUJ310" s="35"/>
      <c r="OUK310" s="35"/>
      <c r="OUL310" s="15"/>
      <c r="OUN310" s="13"/>
      <c r="OUO310" s="35"/>
      <c r="OUP310" s="35"/>
      <c r="OUQ310" s="15"/>
      <c r="OUS310" s="13"/>
      <c r="OUT310" s="35"/>
      <c r="OUU310" s="35"/>
      <c r="OUV310" s="15"/>
      <c r="OUX310" s="13"/>
      <c r="OUY310" s="35"/>
      <c r="OUZ310" s="35"/>
      <c r="OVA310" s="15"/>
      <c r="OVC310" s="13"/>
      <c r="OVD310" s="35"/>
      <c r="OVE310" s="35"/>
      <c r="OVF310" s="15"/>
      <c r="OVH310" s="13"/>
      <c r="OVI310" s="35"/>
      <c r="OVJ310" s="35"/>
      <c r="OVK310" s="15"/>
      <c r="OVM310" s="13"/>
      <c r="OVN310" s="35"/>
      <c r="OVO310" s="35"/>
      <c r="OVP310" s="15"/>
      <c r="OVR310" s="13"/>
      <c r="OVS310" s="35"/>
      <c r="OVT310" s="35"/>
      <c r="OVU310" s="15"/>
      <c r="OVW310" s="13"/>
      <c r="OVX310" s="35"/>
      <c r="OVY310" s="35"/>
      <c r="OVZ310" s="15"/>
      <c r="OWB310" s="13"/>
      <c r="OWC310" s="35"/>
      <c r="OWD310" s="35"/>
      <c r="OWE310" s="15"/>
      <c r="OWG310" s="13"/>
      <c r="OWH310" s="35"/>
      <c r="OWI310" s="35"/>
      <c r="OWJ310" s="15"/>
      <c r="OWL310" s="13"/>
      <c r="OWM310" s="35"/>
      <c r="OWN310" s="35"/>
      <c r="OWO310" s="15"/>
      <c r="OWQ310" s="13"/>
      <c r="OWR310" s="35"/>
      <c r="OWS310" s="35"/>
      <c r="OWT310" s="15"/>
      <c r="OWV310" s="13"/>
      <c r="OWW310" s="35"/>
      <c r="OWX310" s="35"/>
      <c r="OWY310" s="15"/>
      <c r="OXA310" s="13"/>
      <c r="OXB310" s="35"/>
      <c r="OXC310" s="35"/>
      <c r="OXD310" s="15"/>
      <c r="OXF310" s="13"/>
      <c r="OXG310" s="35"/>
      <c r="OXH310" s="35"/>
      <c r="OXI310" s="15"/>
      <c r="OXK310" s="13"/>
      <c r="OXL310" s="35"/>
      <c r="OXM310" s="35"/>
      <c r="OXN310" s="15"/>
      <c r="OXP310" s="13"/>
      <c r="OXQ310" s="35"/>
      <c r="OXR310" s="35"/>
      <c r="OXS310" s="15"/>
      <c r="OXU310" s="13"/>
      <c r="OXV310" s="35"/>
      <c r="OXW310" s="35"/>
      <c r="OXX310" s="15"/>
      <c r="OXZ310" s="13"/>
      <c r="OYA310" s="35"/>
      <c r="OYB310" s="35"/>
      <c r="OYC310" s="15"/>
      <c r="OYE310" s="13"/>
      <c r="OYF310" s="35"/>
      <c r="OYG310" s="35"/>
      <c r="OYH310" s="15"/>
      <c r="OYJ310" s="13"/>
      <c r="OYK310" s="35"/>
      <c r="OYL310" s="35"/>
      <c r="OYM310" s="15"/>
      <c r="OYO310" s="13"/>
      <c r="OYP310" s="35"/>
      <c r="OYQ310" s="35"/>
      <c r="OYR310" s="15"/>
      <c r="OYT310" s="13"/>
      <c r="OYU310" s="35"/>
      <c r="OYV310" s="35"/>
      <c r="OYW310" s="15"/>
      <c r="OYY310" s="13"/>
      <c r="OYZ310" s="35"/>
      <c r="OZA310" s="35"/>
      <c r="OZB310" s="15"/>
      <c r="OZD310" s="13"/>
      <c r="OZE310" s="35"/>
      <c r="OZF310" s="35"/>
      <c r="OZG310" s="15"/>
      <c r="OZI310" s="13"/>
      <c r="OZJ310" s="35"/>
      <c r="OZK310" s="35"/>
      <c r="OZL310" s="15"/>
      <c r="OZN310" s="13"/>
      <c r="OZO310" s="35"/>
      <c r="OZP310" s="35"/>
      <c r="OZQ310" s="15"/>
      <c r="OZS310" s="13"/>
      <c r="OZT310" s="35"/>
      <c r="OZU310" s="35"/>
      <c r="OZV310" s="15"/>
      <c r="OZX310" s="13"/>
      <c r="OZY310" s="35"/>
      <c r="OZZ310" s="35"/>
      <c r="PAA310" s="15"/>
      <c r="PAC310" s="13"/>
      <c r="PAD310" s="35"/>
      <c r="PAE310" s="35"/>
      <c r="PAF310" s="15"/>
      <c r="PAH310" s="13"/>
      <c r="PAI310" s="35"/>
      <c r="PAJ310" s="35"/>
      <c r="PAK310" s="15"/>
      <c r="PAM310" s="13"/>
      <c r="PAN310" s="35"/>
      <c r="PAO310" s="35"/>
      <c r="PAP310" s="15"/>
      <c r="PAR310" s="13"/>
      <c r="PAS310" s="35"/>
      <c r="PAT310" s="35"/>
      <c r="PAU310" s="15"/>
      <c r="PAW310" s="13"/>
      <c r="PAX310" s="35"/>
      <c r="PAY310" s="35"/>
      <c r="PAZ310" s="15"/>
      <c r="PBB310" s="13"/>
      <c r="PBC310" s="35"/>
      <c r="PBD310" s="35"/>
      <c r="PBE310" s="15"/>
      <c r="PBG310" s="13"/>
      <c r="PBH310" s="35"/>
      <c r="PBI310" s="35"/>
      <c r="PBJ310" s="15"/>
      <c r="PBL310" s="13"/>
      <c r="PBM310" s="35"/>
      <c r="PBN310" s="35"/>
      <c r="PBO310" s="15"/>
      <c r="PBQ310" s="13"/>
      <c r="PBR310" s="35"/>
      <c r="PBS310" s="35"/>
      <c r="PBT310" s="15"/>
      <c r="PBV310" s="13"/>
      <c r="PBW310" s="35"/>
      <c r="PBX310" s="35"/>
      <c r="PBY310" s="15"/>
      <c r="PCA310" s="13"/>
      <c r="PCB310" s="35"/>
      <c r="PCC310" s="35"/>
      <c r="PCD310" s="15"/>
      <c r="PCF310" s="13"/>
      <c r="PCG310" s="35"/>
      <c r="PCH310" s="35"/>
      <c r="PCI310" s="15"/>
      <c r="PCK310" s="13"/>
      <c r="PCL310" s="35"/>
      <c r="PCM310" s="35"/>
      <c r="PCN310" s="15"/>
      <c r="PCP310" s="13"/>
      <c r="PCQ310" s="35"/>
      <c r="PCR310" s="35"/>
      <c r="PCS310" s="15"/>
      <c r="PCU310" s="13"/>
      <c r="PCV310" s="35"/>
      <c r="PCW310" s="35"/>
      <c r="PCX310" s="15"/>
      <c r="PCZ310" s="13"/>
      <c r="PDA310" s="35"/>
      <c r="PDB310" s="35"/>
      <c r="PDC310" s="15"/>
      <c r="PDE310" s="13"/>
      <c r="PDF310" s="35"/>
      <c r="PDG310" s="35"/>
      <c r="PDH310" s="15"/>
      <c r="PDJ310" s="13"/>
      <c r="PDK310" s="35"/>
      <c r="PDL310" s="35"/>
      <c r="PDM310" s="15"/>
      <c r="PDO310" s="13"/>
      <c r="PDP310" s="35"/>
      <c r="PDQ310" s="35"/>
      <c r="PDR310" s="15"/>
      <c r="PDT310" s="13"/>
      <c r="PDU310" s="35"/>
      <c r="PDV310" s="35"/>
      <c r="PDW310" s="15"/>
      <c r="PDY310" s="13"/>
      <c r="PDZ310" s="35"/>
      <c r="PEA310" s="35"/>
      <c r="PEB310" s="15"/>
      <c r="PED310" s="13"/>
      <c r="PEE310" s="35"/>
      <c r="PEF310" s="35"/>
      <c r="PEG310" s="15"/>
      <c r="PEI310" s="13"/>
      <c r="PEJ310" s="35"/>
      <c r="PEK310" s="35"/>
      <c r="PEL310" s="15"/>
      <c r="PEN310" s="13"/>
      <c r="PEO310" s="35"/>
      <c r="PEP310" s="35"/>
      <c r="PEQ310" s="15"/>
      <c r="PES310" s="13"/>
      <c r="PET310" s="35"/>
      <c r="PEU310" s="35"/>
      <c r="PEV310" s="15"/>
      <c r="PEX310" s="13"/>
      <c r="PEY310" s="35"/>
      <c r="PEZ310" s="35"/>
      <c r="PFA310" s="15"/>
      <c r="PFC310" s="13"/>
      <c r="PFD310" s="35"/>
      <c r="PFE310" s="35"/>
      <c r="PFF310" s="15"/>
      <c r="PFH310" s="13"/>
      <c r="PFI310" s="35"/>
      <c r="PFJ310" s="35"/>
      <c r="PFK310" s="15"/>
      <c r="PFM310" s="13"/>
      <c r="PFN310" s="35"/>
      <c r="PFO310" s="35"/>
      <c r="PFP310" s="15"/>
      <c r="PFR310" s="13"/>
      <c r="PFS310" s="35"/>
      <c r="PFT310" s="35"/>
      <c r="PFU310" s="15"/>
      <c r="PFW310" s="13"/>
      <c r="PFX310" s="35"/>
      <c r="PFY310" s="35"/>
      <c r="PFZ310" s="15"/>
      <c r="PGB310" s="13"/>
      <c r="PGC310" s="35"/>
      <c r="PGD310" s="35"/>
      <c r="PGE310" s="15"/>
      <c r="PGG310" s="13"/>
      <c r="PGH310" s="35"/>
      <c r="PGI310" s="35"/>
      <c r="PGJ310" s="15"/>
      <c r="PGL310" s="13"/>
      <c r="PGM310" s="35"/>
      <c r="PGN310" s="35"/>
      <c r="PGO310" s="15"/>
      <c r="PGQ310" s="13"/>
      <c r="PGR310" s="35"/>
      <c r="PGS310" s="35"/>
      <c r="PGT310" s="15"/>
      <c r="PGV310" s="13"/>
      <c r="PGW310" s="35"/>
      <c r="PGX310" s="35"/>
      <c r="PGY310" s="15"/>
      <c r="PHA310" s="13"/>
      <c r="PHB310" s="35"/>
      <c r="PHC310" s="35"/>
      <c r="PHD310" s="15"/>
      <c r="PHF310" s="13"/>
      <c r="PHG310" s="35"/>
      <c r="PHH310" s="35"/>
      <c r="PHI310" s="15"/>
      <c r="PHK310" s="13"/>
      <c r="PHL310" s="35"/>
      <c r="PHM310" s="35"/>
      <c r="PHN310" s="15"/>
      <c r="PHP310" s="13"/>
      <c r="PHQ310" s="35"/>
      <c r="PHR310" s="35"/>
      <c r="PHS310" s="15"/>
      <c r="PHU310" s="13"/>
      <c r="PHV310" s="35"/>
      <c r="PHW310" s="35"/>
      <c r="PHX310" s="15"/>
      <c r="PHZ310" s="13"/>
      <c r="PIA310" s="35"/>
      <c r="PIB310" s="35"/>
      <c r="PIC310" s="15"/>
      <c r="PIE310" s="13"/>
      <c r="PIF310" s="35"/>
      <c r="PIG310" s="35"/>
      <c r="PIH310" s="15"/>
      <c r="PIJ310" s="13"/>
      <c r="PIK310" s="35"/>
      <c r="PIL310" s="35"/>
      <c r="PIM310" s="15"/>
      <c r="PIO310" s="13"/>
      <c r="PIP310" s="35"/>
      <c r="PIQ310" s="35"/>
      <c r="PIR310" s="15"/>
      <c r="PIT310" s="13"/>
      <c r="PIU310" s="35"/>
      <c r="PIV310" s="35"/>
      <c r="PIW310" s="15"/>
      <c r="PIY310" s="13"/>
      <c r="PIZ310" s="35"/>
      <c r="PJA310" s="35"/>
      <c r="PJB310" s="15"/>
      <c r="PJD310" s="13"/>
      <c r="PJE310" s="35"/>
      <c r="PJF310" s="35"/>
      <c r="PJG310" s="15"/>
      <c r="PJI310" s="13"/>
      <c r="PJJ310" s="35"/>
      <c r="PJK310" s="35"/>
      <c r="PJL310" s="15"/>
      <c r="PJN310" s="13"/>
      <c r="PJO310" s="35"/>
      <c r="PJP310" s="35"/>
      <c r="PJQ310" s="15"/>
      <c r="PJS310" s="13"/>
      <c r="PJT310" s="35"/>
      <c r="PJU310" s="35"/>
      <c r="PJV310" s="15"/>
      <c r="PJX310" s="13"/>
      <c r="PJY310" s="35"/>
      <c r="PJZ310" s="35"/>
      <c r="PKA310" s="15"/>
      <c r="PKC310" s="13"/>
      <c r="PKD310" s="35"/>
      <c r="PKE310" s="35"/>
      <c r="PKF310" s="15"/>
      <c r="PKH310" s="13"/>
      <c r="PKI310" s="35"/>
      <c r="PKJ310" s="35"/>
      <c r="PKK310" s="15"/>
      <c r="PKM310" s="13"/>
      <c r="PKN310" s="35"/>
      <c r="PKO310" s="35"/>
      <c r="PKP310" s="15"/>
      <c r="PKR310" s="13"/>
      <c r="PKS310" s="35"/>
      <c r="PKT310" s="35"/>
      <c r="PKU310" s="15"/>
      <c r="PKW310" s="13"/>
      <c r="PKX310" s="35"/>
      <c r="PKY310" s="35"/>
      <c r="PKZ310" s="15"/>
      <c r="PLB310" s="13"/>
      <c r="PLC310" s="35"/>
      <c r="PLD310" s="35"/>
      <c r="PLE310" s="15"/>
      <c r="PLG310" s="13"/>
      <c r="PLH310" s="35"/>
      <c r="PLI310" s="35"/>
      <c r="PLJ310" s="15"/>
      <c r="PLL310" s="13"/>
      <c r="PLM310" s="35"/>
      <c r="PLN310" s="35"/>
      <c r="PLO310" s="15"/>
      <c r="PLQ310" s="13"/>
      <c r="PLR310" s="35"/>
      <c r="PLS310" s="35"/>
      <c r="PLT310" s="15"/>
      <c r="PLV310" s="13"/>
      <c r="PLW310" s="35"/>
      <c r="PLX310" s="35"/>
      <c r="PLY310" s="15"/>
      <c r="PMA310" s="13"/>
      <c r="PMB310" s="35"/>
      <c r="PMC310" s="35"/>
      <c r="PMD310" s="15"/>
      <c r="PMF310" s="13"/>
      <c r="PMG310" s="35"/>
      <c r="PMH310" s="35"/>
      <c r="PMI310" s="15"/>
      <c r="PMK310" s="13"/>
      <c r="PML310" s="35"/>
      <c r="PMM310" s="35"/>
      <c r="PMN310" s="15"/>
      <c r="PMP310" s="13"/>
      <c r="PMQ310" s="35"/>
      <c r="PMR310" s="35"/>
      <c r="PMS310" s="15"/>
      <c r="PMU310" s="13"/>
      <c r="PMV310" s="35"/>
      <c r="PMW310" s="35"/>
      <c r="PMX310" s="15"/>
      <c r="PMZ310" s="13"/>
      <c r="PNA310" s="35"/>
      <c r="PNB310" s="35"/>
      <c r="PNC310" s="15"/>
      <c r="PNE310" s="13"/>
      <c r="PNF310" s="35"/>
      <c r="PNG310" s="35"/>
      <c r="PNH310" s="15"/>
      <c r="PNJ310" s="13"/>
      <c r="PNK310" s="35"/>
      <c r="PNL310" s="35"/>
      <c r="PNM310" s="15"/>
      <c r="PNO310" s="13"/>
      <c r="PNP310" s="35"/>
      <c r="PNQ310" s="35"/>
      <c r="PNR310" s="15"/>
      <c r="PNT310" s="13"/>
      <c r="PNU310" s="35"/>
      <c r="PNV310" s="35"/>
      <c r="PNW310" s="15"/>
      <c r="PNY310" s="13"/>
      <c r="PNZ310" s="35"/>
      <c r="POA310" s="35"/>
      <c r="POB310" s="15"/>
      <c r="POD310" s="13"/>
      <c r="POE310" s="35"/>
      <c r="POF310" s="35"/>
      <c r="POG310" s="15"/>
      <c r="POI310" s="13"/>
      <c r="POJ310" s="35"/>
      <c r="POK310" s="35"/>
      <c r="POL310" s="15"/>
      <c r="PON310" s="13"/>
      <c r="POO310" s="35"/>
      <c r="POP310" s="35"/>
      <c r="POQ310" s="15"/>
      <c r="POS310" s="13"/>
      <c r="POT310" s="35"/>
      <c r="POU310" s="35"/>
      <c r="POV310" s="15"/>
      <c r="POX310" s="13"/>
      <c r="POY310" s="35"/>
      <c r="POZ310" s="35"/>
      <c r="PPA310" s="15"/>
      <c r="PPC310" s="13"/>
      <c r="PPD310" s="35"/>
      <c r="PPE310" s="35"/>
      <c r="PPF310" s="15"/>
      <c r="PPH310" s="13"/>
      <c r="PPI310" s="35"/>
      <c r="PPJ310" s="35"/>
      <c r="PPK310" s="15"/>
      <c r="PPM310" s="13"/>
      <c r="PPN310" s="35"/>
      <c r="PPO310" s="35"/>
      <c r="PPP310" s="15"/>
      <c r="PPR310" s="13"/>
      <c r="PPS310" s="35"/>
      <c r="PPT310" s="35"/>
      <c r="PPU310" s="15"/>
      <c r="PPW310" s="13"/>
      <c r="PPX310" s="35"/>
      <c r="PPY310" s="35"/>
      <c r="PPZ310" s="15"/>
      <c r="PQB310" s="13"/>
      <c r="PQC310" s="35"/>
      <c r="PQD310" s="35"/>
      <c r="PQE310" s="15"/>
      <c r="PQG310" s="13"/>
      <c r="PQH310" s="35"/>
      <c r="PQI310" s="35"/>
      <c r="PQJ310" s="15"/>
      <c r="PQL310" s="13"/>
      <c r="PQM310" s="35"/>
      <c r="PQN310" s="35"/>
      <c r="PQO310" s="15"/>
      <c r="PQQ310" s="13"/>
      <c r="PQR310" s="35"/>
      <c r="PQS310" s="35"/>
      <c r="PQT310" s="15"/>
      <c r="PQV310" s="13"/>
      <c r="PQW310" s="35"/>
      <c r="PQX310" s="35"/>
      <c r="PQY310" s="15"/>
      <c r="PRA310" s="13"/>
      <c r="PRB310" s="35"/>
      <c r="PRC310" s="35"/>
      <c r="PRD310" s="15"/>
      <c r="PRF310" s="13"/>
      <c r="PRG310" s="35"/>
      <c r="PRH310" s="35"/>
      <c r="PRI310" s="15"/>
      <c r="PRK310" s="13"/>
      <c r="PRL310" s="35"/>
      <c r="PRM310" s="35"/>
      <c r="PRN310" s="15"/>
      <c r="PRP310" s="13"/>
      <c r="PRQ310" s="35"/>
      <c r="PRR310" s="35"/>
      <c r="PRS310" s="15"/>
      <c r="PRU310" s="13"/>
      <c r="PRV310" s="35"/>
      <c r="PRW310" s="35"/>
      <c r="PRX310" s="15"/>
      <c r="PRZ310" s="13"/>
      <c r="PSA310" s="35"/>
      <c r="PSB310" s="35"/>
      <c r="PSC310" s="15"/>
      <c r="PSE310" s="13"/>
      <c r="PSF310" s="35"/>
      <c r="PSG310" s="35"/>
      <c r="PSH310" s="15"/>
      <c r="PSJ310" s="13"/>
      <c r="PSK310" s="35"/>
      <c r="PSL310" s="35"/>
      <c r="PSM310" s="15"/>
      <c r="PSO310" s="13"/>
      <c r="PSP310" s="35"/>
      <c r="PSQ310" s="35"/>
      <c r="PSR310" s="15"/>
      <c r="PST310" s="13"/>
      <c r="PSU310" s="35"/>
      <c r="PSV310" s="35"/>
      <c r="PSW310" s="15"/>
      <c r="PSY310" s="13"/>
      <c r="PSZ310" s="35"/>
      <c r="PTA310" s="35"/>
      <c r="PTB310" s="15"/>
      <c r="PTD310" s="13"/>
      <c r="PTE310" s="35"/>
      <c r="PTF310" s="35"/>
      <c r="PTG310" s="15"/>
      <c r="PTI310" s="13"/>
      <c r="PTJ310" s="35"/>
      <c r="PTK310" s="35"/>
      <c r="PTL310" s="15"/>
      <c r="PTN310" s="13"/>
      <c r="PTO310" s="35"/>
      <c r="PTP310" s="35"/>
      <c r="PTQ310" s="15"/>
      <c r="PTS310" s="13"/>
      <c r="PTT310" s="35"/>
      <c r="PTU310" s="35"/>
      <c r="PTV310" s="15"/>
      <c r="PTX310" s="13"/>
      <c r="PTY310" s="35"/>
      <c r="PTZ310" s="35"/>
      <c r="PUA310" s="15"/>
      <c r="PUC310" s="13"/>
      <c r="PUD310" s="35"/>
      <c r="PUE310" s="35"/>
      <c r="PUF310" s="15"/>
      <c r="PUH310" s="13"/>
      <c r="PUI310" s="35"/>
      <c r="PUJ310" s="35"/>
      <c r="PUK310" s="15"/>
      <c r="PUM310" s="13"/>
      <c r="PUN310" s="35"/>
      <c r="PUO310" s="35"/>
      <c r="PUP310" s="15"/>
      <c r="PUR310" s="13"/>
      <c r="PUS310" s="35"/>
      <c r="PUT310" s="35"/>
      <c r="PUU310" s="15"/>
      <c r="PUW310" s="13"/>
      <c r="PUX310" s="35"/>
      <c r="PUY310" s="35"/>
      <c r="PUZ310" s="15"/>
      <c r="PVB310" s="13"/>
      <c r="PVC310" s="35"/>
      <c r="PVD310" s="35"/>
      <c r="PVE310" s="15"/>
      <c r="PVG310" s="13"/>
      <c r="PVH310" s="35"/>
      <c r="PVI310" s="35"/>
      <c r="PVJ310" s="15"/>
      <c r="PVL310" s="13"/>
      <c r="PVM310" s="35"/>
      <c r="PVN310" s="35"/>
      <c r="PVO310" s="15"/>
      <c r="PVQ310" s="13"/>
      <c r="PVR310" s="35"/>
      <c r="PVS310" s="35"/>
      <c r="PVT310" s="15"/>
      <c r="PVV310" s="13"/>
      <c r="PVW310" s="35"/>
      <c r="PVX310" s="35"/>
      <c r="PVY310" s="15"/>
      <c r="PWA310" s="13"/>
      <c r="PWB310" s="35"/>
      <c r="PWC310" s="35"/>
      <c r="PWD310" s="15"/>
      <c r="PWF310" s="13"/>
      <c r="PWG310" s="35"/>
      <c r="PWH310" s="35"/>
      <c r="PWI310" s="15"/>
      <c r="PWK310" s="13"/>
      <c r="PWL310" s="35"/>
      <c r="PWM310" s="35"/>
      <c r="PWN310" s="15"/>
      <c r="PWP310" s="13"/>
      <c r="PWQ310" s="35"/>
      <c r="PWR310" s="35"/>
      <c r="PWS310" s="15"/>
      <c r="PWU310" s="13"/>
      <c r="PWV310" s="35"/>
      <c r="PWW310" s="35"/>
      <c r="PWX310" s="15"/>
      <c r="PWZ310" s="13"/>
      <c r="PXA310" s="35"/>
      <c r="PXB310" s="35"/>
      <c r="PXC310" s="15"/>
      <c r="PXE310" s="13"/>
      <c r="PXF310" s="35"/>
      <c r="PXG310" s="35"/>
      <c r="PXH310" s="15"/>
      <c r="PXJ310" s="13"/>
      <c r="PXK310" s="35"/>
      <c r="PXL310" s="35"/>
      <c r="PXM310" s="15"/>
      <c r="PXO310" s="13"/>
      <c r="PXP310" s="35"/>
      <c r="PXQ310" s="35"/>
      <c r="PXR310" s="15"/>
      <c r="PXT310" s="13"/>
      <c r="PXU310" s="35"/>
      <c r="PXV310" s="35"/>
      <c r="PXW310" s="15"/>
      <c r="PXY310" s="13"/>
      <c r="PXZ310" s="35"/>
      <c r="PYA310" s="35"/>
      <c r="PYB310" s="15"/>
      <c r="PYD310" s="13"/>
      <c r="PYE310" s="35"/>
      <c r="PYF310" s="35"/>
      <c r="PYG310" s="15"/>
      <c r="PYI310" s="13"/>
      <c r="PYJ310" s="35"/>
      <c r="PYK310" s="35"/>
      <c r="PYL310" s="15"/>
      <c r="PYN310" s="13"/>
      <c r="PYO310" s="35"/>
      <c r="PYP310" s="35"/>
      <c r="PYQ310" s="15"/>
      <c r="PYS310" s="13"/>
      <c r="PYT310" s="35"/>
      <c r="PYU310" s="35"/>
      <c r="PYV310" s="15"/>
      <c r="PYX310" s="13"/>
      <c r="PYY310" s="35"/>
      <c r="PYZ310" s="35"/>
      <c r="PZA310" s="15"/>
      <c r="PZC310" s="13"/>
      <c r="PZD310" s="35"/>
      <c r="PZE310" s="35"/>
      <c r="PZF310" s="15"/>
      <c r="PZH310" s="13"/>
      <c r="PZI310" s="35"/>
      <c r="PZJ310" s="35"/>
      <c r="PZK310" s="15"/>
      <c r="PZM310" s="13"/>
      <c r="PZN310" s="35"/>
      <c r="PZO310" s="35"/>
      <c r="PZP310" s="15"/>
      <c r="PZR310" s="13"/>
      <c r="PZS310" s="35"/>
      <c r="PZT310" s="35"/>
      <c r="PZU310" s="15"/>
      <c r="PZW310" s="13"/>
      <c r="PZX310" s="35"/>
      <c r="PZY310" s="35"/>
      <c r="PZZ310" s="15"/>
      <c r="QAB310" s="13"/>
      <c r="QAC310" s="35"/>
      <c r="QAD310" s="35"/>
      <c r="QAE310" s="15"/>
      <c r="QAG310" s="13"/>
      <c r="QAH310" s="35"/>
      <c r="QAI310" s="35"/>
      <c r="QAJ310" s="15"/>
      <c r="QAL310" s="13"/>
      <c r="QAM310" s="35"/>
      <c r="QAN310" s="35"/>
      <c r="QAO310" s="15"/>
      <c r="QAQ310" s="13"/>
      <c r="QAR310" s="35"/>
      <c r="QAS310" s="35"/>
      <c r="QAT310" s="15"/>
      <c r="QAV310" s="13"/>
      <c r="QAW310" s="35"/>
      <c r="QAX310" s="35"/>
      <c r="QAY310" s="15"/>
      <c r="QBA310" s="13"/>
      <c r="QBB310" s="35"/>
      <c r="QBC310" s="35"/>
      <c r="QBD310" s="15"/>
      <c r="QBF310" s="13"/>
      <c r="QBG310" s="35"/>
      <c r="QBH310" s="35"/>
      <c r="QBI310" s="15"/>
      <c r="QBK310" s="13"/>
      <c r="QBL310" s="35"/>
      <c r="QBM310" s="35"/>
      <c r="QBN310" s="15"/>
      <c r="QBP310" s="13"/>
      <c r="QBQ310" s="35"/>
      <c r="QBR310" s="35"/>
      <c r="QBS310" s="15"/>
      <c r="QBU310" s="13"/>
      <c r="QBV310" s="35"/>
      <c r="QBW310" s="35"/>
      <c r="QBX310" s="15"/>
      <c r="QBZ310" s="13"/>
      <c r="QCA310" s="35"/>
      <c r="QCB310" s="35"/>
      <c r="QCC310" s="15"/>
      <c r="QCE310" s="13"/>
      <c r="QCF310" s="35"/>
      <c r="QCG310" s="35"/>
      <c r="QCH310" s="15"/>
      <c r="QCJ310" s="13"/>
      <c r="QCK310" s="35"/>
      <c r="QCL310" s="35"/>
      <c r="QCM310" s="15"/>
      <c r="QCO310" s="13"/>
      <c r="QCP310" s="35"/>
      <c r="QCQ310" s="35"/>
      <c r="QCR310" s="15"/>
      <c r="QCT310" s="13"/>
      <c r="QCU310" s="35"/>
      <c r="QCV310" s="35"/>
      <c r="QCW310" s="15"/>
      <c r="QCY310" s="13"/>
      <c r="QCZ310" s="35"/>
      <c r="QDA310" s="35"/>
      <c r="QDB310" s="15"/>
      <c r="QDD310" s="13"/>
      <c r="QDE310" s="35"/>
      <c r="QDF310" s="35"/>
      <c r="QDG310" s="15"/>
      <c r="QDI310" s="13"/>
      <c r="QDJ310" s="35"/>
      <c r="QDK310" s="35"/>
      <c r="QDL310" s="15"/>
      <c r="QDN310" s="13"/>
      <c r="QDO310" s="35"/>
      <c r="QDP310" s="35"/>
      <c r="QDQ310" s="15"/>
      <c r="QDS310" s="13"/>
      <c r="QDT310" s="35"/>
      <c r="QDU310" s="35"/>
      <c r="QDV310" s="15"/>
      <c r="QDX310" s="13"/>
      <c r="QDY310" s="35"/>
      <c r="QDZ310" s="35"/>
      <c r="QEA310" s="15"/>
      <c r="QEC310" s="13"/>
      <c r="QED310" s="35"/>
      <c r="QEE310" s="35"/>
      <c r="QEF310" s="15"/>
      <c r="QEH310" s="13"/>
      <c r="QEI310" s="35"/>
      <c r="QEJ310" s="35"/>
      <c r="QEK310" s="15"/>
      <c r="QEM310" s="13"/>
      <c r="QEN310" s="35"/>
      <c r="QEO310" s="35"/>
      <c r="QEP310" s="15"/>
      <c r="QER310" s="13"/>
      <c r="QES310" s="35"/>
      <c r="QET310" s="35"/>
      <c r="QEU310" s="15"/>
      <c r="QEW310" s="13"/>
      <c r="QEX310" s="35"/>
      <c r="QEY310" s="35"/>
      <c r="QEZ310" s="15"/>
      <c r="QFB310" s="13"/>
      <c r="QFC310" s="35"/>
      <c r="QFD310" s="35"/>
      <c r="QFE310" s="15"/>
      <c r="QFG310" s="13"/>
      <c r="QFH310" s="35"/>
      <c r="QFI310" s="35"/>
      <c r="QFJ310" s="15"/>
      <c r="QFL310" s="13"/>
      <c r="QFM310" s="35"/>
      <c r="QFN310" s="35"/>
      <c r="QFO310" s="15"/>
      <c r="QFQ310" s="13"/>
      <c r="QFR310" s="35"/>
      <c r="QFS310" s="35"/>
      <c r="QFT310" s="15"/>
      <c r="QFV310" s="13"/>
      <c r="QFW310" s="35"/>
      <c r="QFX310" s="35"/>
      <c r="QFY310" s="15"/>
      <c r="QGA310" s="13"/>
      <c r="QGB310" s="35"/>
      <c r="QGC310" s="35"/>
      <c r="QGD310" s="15"/>
      <c r="QGF310" s="13"/>
      <c r="QGG310" s="35"/>
      <c r="QGH310" s="35"/>
      <c r="QGI310" s="15"/>
      <c r="QGK310" s="13"/>
      <c r="QGL310" s="35"/>
      <c r="QGM310" s="35"/>
      <c r="QGN310" s="15"/>
      <c r="QGP310" s="13"/>
      <c r="QGQ310" s="35"/>
      <c r="QGR310" s="35"/>
      <c r="QGS310" s="15"/>
      <c r="QGU310" s="13"/>
      <c r="QGV310" s="35"/>
      <c r="QGW310" s="35"/>
      <c r="QGX310" s="15"/>
      <c r="QGZ310" s="13"/>
      <c r="QHA310" s="35"/>
      <c r="QHB310" s="35"/>
      <c r="QHC310" s="15"/>
      <c r="QHE310" s="13"/>
      <c r="QHF310" s="35"/>
      <c r="QHG310" s="35"/>
      <c r="QHH310" s="15"/>
      <c r="QHJ310" s="13"/>
      <c r="QHK310" s="35"/>
      <c r="QHL310" s="35"/>
      <c r="QHM310" s="15"/>
      <c r="QHO310" s="13"/>
      <c r="QHP310" s="35"/>
      <c r="QHQ310" s="35"/>
      <c r="QHR310" s="15"/>
      <c r="QHT310" s="13"/>
      <c r="QHU310" s="35"/>
      <c r="QHV310" s="35"/>
      <c r="QHW310" s="15"/>
      <c r="QHY310" s="13"/>
      <c r="QHZ310" s="35"/>
      <c r="QIA310" s="35"/>
      <c r="QIB310" s="15"/>
      <c r="QID310" s="13"/>
      <c r="QIE310" s="35"/>
      <c r="QIF310" s="35"/>
      <c r="QIG310" s="15"/>
      <c r="QII310" s="13"/>
      <c r="QIJ310" s="35"/>
      <c r="QIK310" s="35"/>
      <c r="QIL310" s="15"/>
      <c r="QIN310" s="13"/>
      <c r="QIO310" s="35"/>
      <c r="QIP310" s="35"/>
      <c r="QIQ310" s="15"/>
      <c r="QIS310" s="13"/>
      <c r="QIT310" s="35"/>
      <c r="QIU310" s="35"/>
      <c r="QIV310" s="15"/>
      <c r="QIX310" s="13"/>
      <c r="QIY310" s="35"/>
      <c r="QIZ310" s="35"/>
      <c r="QJA310" s="15"/>
      <c r="QJC310" s="13"/>
      <c r="QJD310" s="35"/>
      <c r="QJE310" s="35"/>
      <c r="QJF310" s="15"/>
      <c r="QJH310" s="13"/>
      <c r="QJI310" s="35"/>
      <c r="QJJ310" s="35"/>
      <c r="QJK310" s="15"/>
      <c r="QJM310" s="13"/>
      <c r="QJN310" s="35"/>
      <c r="QJO310" s="35"/>
      <c r="QJP310" s="15"/>
      <c r="QJR310" s="13"/>
      <c r="QJS310" s="35"/>
      <c r="QJT310" s="35"/>
      <c r="QJU310" s="15"/>
      <c r="QJW310" s="13"/>
      <c r="QJX310" s="35"/>
      <c r="QJY310" s="35"/>
      <c r="QJZ310" s="15"/>
      <c r="QKB310" s="13"/>
      <c r="QKC310" s="35"/>
      <c r="QKD310" s="35"/>
      <c r="QKE310" s="15"/>
      <c r="QKG310" s="13"/>
      <c r="QKH310" s="35"/>
      <c r="QKI310" s="35"/>
      <c r="QKJ310" s="15"/>
      <c r="QKL310" s="13"/>
      <c r="QKM310" s="35"/>
      <c r="QKN310" s="35"/>
      <c r="QKO310" s="15"/>
      <c r="QKQ310" s="13"/>
      <c r="QKR310" s="35"/>
      <c r="QKS310" s="35"/>
      <c r="QKT310" s="15"/>
      <c r="QKV310" s="13"/>
      <c r="QKW310" s="35"/>
      <c r="QKX310" s="35"/>
      <c r="QKY310" s="15"/>
      <c r="QLA310" s="13"/>
      <c r="QLB310" s="35"/>
      <c r="QLC310" s="35"/>
      <c r="QLD310" s="15"/>
      <c r="QLF310" s="13"/>
      <c r="QLG310" s="35"/>
      <c r="QLH310" s="35"/>
      <c r="QLI310" s="15"/>
      <c r="QLK310" s="13"/>
      <c r="QLL310" s="35"/>
      <c r="QLM310" s="35"/>
      <c r="QLN310" s="15"/>
      <c r="QLP310" s="13"/>
      <c r="QLQ310" s="35"/>
      <c r="QLR310" s="35"/>
      <c r="QLS310" s="15"/>
      <c r="QLU310" s="13"/>
      <c r="QLV310" s="35"/>
      <c r="QLW310" s="35"/>
      <c r="QLX310" s="15"/>
      <c r="QLZ310" s="13"/>
      <c r="QMA310" s="35"/>
      <c r="QMB310" s="35"/>
      <c r="QMC310" s="15"/>
      <c r="QME310" s="13"/>
      <c r="QMF310" s="35"/>
      <c r="QMG310" s="35"/>
      <c r="QMH310" s="15"/>
      <c r="QMJ310" s="13"/>
      <c r="QMK310" s="35"/>
      <c r="QML310" s="35"/>
      <c r="QMM310" s="15"/>
      <c r="QMO310" s="13"/>
      <c r="QMP310" s="35"/>
      <c r="QMQ310" s="35"/>
      <c r="QMR310" s="15"/>
      <c r="QMT310" s="13"/>
      <c r="QMU310" s="35"/>
      <c r="QMV310" s="35"/>
      <c r="QMW310" s="15"/>
      <c r="QMY310" s="13"/>
      <c r="QMZ310" s="35"/>
      <c r="QNA310" s="35"/>
      <c r="QNB310" s="15"/>
      <c r="QND310" s="13"/>
      <c r="QNE310" s="35"/>
      <c r="QNF310" s="35"/>
      <c r="QNG310" s="15"/>
      <c r="QNI310" s="13"/>
      <c r="QNJ310" s="35"/>
      <c r="QNK310" s="35"/>
      <c r="QNL310" s="15"/>
      <c r="QNN310" s="13"/>
      <c r="QNO310" s="35"/>
      <c r="QNP310" s="35"/>
      <c r="QNQ310" s="15"/>
      <c r="QNS310" s="13"/>
      <c r="QNT310" s="35"/>
      <c r="QNU310" s="35"/>
      <c r="QNV310" s="15"/>
      <c r="QNX310" s="13"/>
      <c r="QNY310" s="35"/>
      <c r="QNZ310" s="35"/>
      <c r="QOA310" s="15"/>
      <c r="QOC310" s="13"/>
      <c r="QOD310" s="35"/>
      <c r="QOE310" s="35"/>
      <c r="QOF310" s="15"/>
      <c r="QOH310" s="13"/>
      <c r="QOI310" s="35"/>
      <c r="QOJ310" s="35"/>
      <c r="QOK310" s="15"/>
      <c r="QOM310" s="13"/>
      <c r="QON310" s="35"/>
      <c r="QOO310" s="35"/>
      <c r="QOP310" s="15"/>
      <c r="QOR310" s="13"/>
      <c r="QOS310" s="35"/>
      <c r="QOT310" s="35"/>
      <c r="QOU310" s="15"/>
      <c r="QOW310" s="13"/>
      <c r="QOX310" s="35"/>
      <c r="QOY310" s="35"/>
      <c r="QOZ310" s="15"/>
      <c r="QPB310" s="13"/>
      <c r="QPC310" s="35"/>
      <c r="QPD310" s="35"/>
      <c r="QPE310" s="15"/>
      <c r="QPG310" s="13"/>
      <c r="QPH310" s="35"/>
      <c r="QPI310" s="35"/>
      <c r="QPJ310" s="15"/>
      <c r="QPL310" s="13"/>
      <c r="QPM310" s="35"/>
      <c r="QPN310" s="35"/>
      <c r="QPO310" s="15"/>
      <c r="QPQ310" s="13"/>
      <c r="QPR310" s="35"/>
      <c r="QPS310" s="35"/>
      <c r="QPT310" s="15"/>
      <c r="QPV310" s="13"/>
      <c r="QPW310" s="35"/>
      <c r="QPX310" s="35"/>
      <c r="QPY310" s="15"/>
      <c r="QQA310" s="13"/>
      <c r="QQB310" s="35"/>
      <c r="QQC310" s="35"/>
      <c r="QQD310" s="15"/>
      <c r="QQF310" s="13"/>
      <c r="QQG310" s="35"/>
      <c r="QQH310" s="35"/>
      <c r="QQI310" s="15"/>
      <c r="QQK310" s="13"/>
      <c r="QQL310" s="35"/>
      <c r="QQM310" s="35"/>
      <c r="QQN310" s="15"/>
      <c r="QQP310" s="13"/>
      <c r="QQQ310" s="35"/>
      <c r="QQR310" s="35"/>
      <c r="QQS310" s="15"/>
      <c r="QQU310" s="13"/>
      <c r="QQV310" s="35"/>
      <c r="QQW310" s="35"/>
      <c r="QQX310" s="15"/>
      <c r="QQZ310" s="13"/>
      <c r="QRA310" s="35"/>
      <c r="QRB310" s="35"/>
      <c r="QRC310" s="15"/>
      <c r="QRE310" s="13"/>
      <c r="QRF310" s="35"/>
      <c r="QRG310" s="35"/>
      <c r="QRH310" s="15"/>
      <c r="QRJ310" s="13"/>
      <c r="QRK310" s="35"/>
      <c r="QRL310" s="35"/>
      <c r="QRM310" s="15"/>
      <c r="QRO310" s="13"/>
      <c r="QRP310" s="35"/>
      <c r="QRQ310" s="35"/>
      <c r="QRR310" s="15"/>
      <c r="QRT310" s="13"/>
      <c r="QRU310" s="35"/>
      <c r="QRV310" s="35"/>
      <c r="QRW310" s="15"/>
      <c r="QRY310" s="13"/>
      <c r="QRZ310" s="35"/>
      <c r="QSA310" s="35"/>
      <c r="QSB310" s="15"/>
      <c r="QSD310" s="13"/>
      <c r="QSE310" s="35"/>
      <c r="QSF310" s="35"/>
      <c r="QSG310" s="15"/>
      <c r="QSI310" s="13"/>
      <c r="QSJ310" s="35"/>
      <c r="QSK310" s="35"/>
      <c r="QSL310" s="15"/>
      <c r="QSN310" s="13"/>
      <c r="QSO310" s="35"/>
      <c r="QSP310" s="35"/>
      <c r="QSQ310" s="15"/>
      <c r="QSS310" s="13"/>
      <c r="QST310" s="35"/>
      <c r="QSU310" s="35"/>
      <c r="QSV310" s="15"/>
      <c r="QSX310" s="13"/>
      <c r="QSY310" s="35"/>
      <c r="QSZ310" s="35"/>
      <c r="QTA310" s="15"/>
      <c r="QTC310" s="13"/>
      <c r="QTD310" s="35"/>
      <c r="QTE310" s="35"/>
      <c r="QTF310" s="15"/>
      <c r="QTH310" s="13"/>
      <c r="QTI310" s="35"/>
      <c r="QTJ310" s="35"/>
      <c r="QTK310" s="15"/>
      <c r="QTM310" s="13"/>
      <c r="QTN310" s="35"/>
      <c r="QTO310" s="35"/>
      <c r="QTP310" s="15"/>
      <c r="QTR310" s="13"/>
      <c r="QTS310" s="35"/>
      <c r="QTT310" s="35"/>
      <c r="QTU310" s="15"/>
      <c r="QTW310" s="13"/>
      <c r="QTX310" s="35"/>
      <c r="QTY310" s="35"/>
      <c r="QTZ310" s="15"/>
      <c r="QUB310" s="13"/>
      <c r="QUC310" s="35"/>
      <c r="QUD310" s="35"/>
      <c r="QUE310" s="15"/>
      <c r="QUG310" s="13"/>
      <c r="QUH310" s="35"/>
      <c r="QUI310" s="35"/>
      <c r="QUJ310" s="15"/>
      <c r="QUL310" s="13"/>
      <c r="QUM310" s="35"/>
      <c r="QUN310" s="35"/>
      <c r="QUO310" s="15"/>
      <c r="QUQ310" s="13"/>
      <c r="QUR310" s="35"/>
      <c r="QUS310" s="35"/>
      <c r="QUT310" s="15"/>
      <c r="QUV310" s="13"/>
      <c r="QUW310" s="35"/>
      <c r="QUX310" s="35"/>
      <c r="QUY310" s="15"/>
      <c r="QVA310" s="13"/>
      <c r="QVB310" s="35"/>
      <c r="QVC310" s="35"/>
      <c r="QVD310" s="15"/>
      <c r="QVF310" s="13"/>
      <c r="QVG310" s="35"/>
      <c r="QVH310" s="35"/>
      <c r="QVI310" s="15"/>
      <c r="QVK310" s="13"/>
      <c r="QVL310" s="35"/>
      <c r="QVM310" s="35"/>
      <c r="QVN310" s="15"/>
      <c r="QVP310" s="13"/>
      <c r="QVQ310" s="35"/>
      <c r="QVR310" s="35"/>
      <c r="QVS310" s="15"/>
      <c r="QVU310" s="13"/>
      <c r="QVV310" s="35"/>
      <c r="QVW310" s="35"/>
      <c r="QVX310" s="15"/>
      <c r="QVZ310" s="13"/>
      <c r="QWA310" s="35"/>
      <c r="QWB310" s="35"/>
      <c r="QWC310" s="15"/>
      <c r="QWE310" s="13"/>
      <c r="QWF310" s="35"/>
      <c r="QWG310" s="35"/>
      <c r="QWH310" s="15"/>
      <c r="QWJ310" s="13"/>
      <c r="QWK310" s="35"/>
      <c r="QWL310" s="35"/>
      <c r="QWM310" s="15"/>
      <c r="QWO310" s="13"/>
      <c r="QWP310" s="35"/>
      <c r="QWQ310" s="35"/>
      <c r="QWR310" s="15"/>
      <c r="QWT310" s="13"/>
      <c r="QWU310" s="35"/>
      <c r="QWV310" s="35"/>
      <c r="QWW310" s="15"/>
      <c r="QWY310" s="13"/>
      <c r="QWZ310" s="35"/>
      <c r="QXA310" s="35"/>
      <c r="QXB310" s="15"/>
      <c r="QXD310" s="13"/>
      <c r="QXE310" s="35"/>
      <c r="QXF310" s="35"/>
      <c r="QXG310" s="15"/>
      <c r="QXI310" s="13"/>
      <c r="QXJ310" s="35"/>
      <c r="QXK310" s="35"/>
      <c r="QXL310" s="15"/>
      <c r="QXN310" s="13"/>
      <c r="QXO310" s="35"/>
      <c r="QXP310" s="35"/>
      <c r="QXQ310" s="15"/>
      <c r="QXS310" s="13"/>
      <c r="QXT310" s="35"/>
      <c r="QXU310" s="35"/>
      <c r="QXV310" s="15"/>
      <c r="QXX310" s="13"/>
      <c r="QXY310" s="35"/>
      <c r="QXZ310" s="35"/>
      <c r="QYA310" s="15"/>
      <c r="QYC310" s="13"/>
      <c r="QYD310" s="35"/>
      <c r="QYE310" s="35"/>
      <c r="QYF310" s="15"/>
      <c r="QYH310" s="13"/>
      <c r="QYI310" s="35"/>
      <c r="QYJ310" s="35"/>
      <c r="QYK310" s="15"/>
      <c r="QYM310" s="13"/>
      <c r="QYN310" s="35"/>
      <c r="QYO310" s="35"/>
      <c r="QYP310" s="15"/>
      <c r="QYR310" s="13"/>
      <c r="QYS310" s="35"/>
      <c r="QYT310" s="35"/>
      <c r="QYU310" s="15"/>
      <c r="QYW310" s="13"/>
      <c r="QYX310" s="35"/>
      <c r="QYY310" s="35"/>
      <c r="QYZ310" s="15"/>
      <c r="QZB310" s="13"/>
      <c r="QZC310" s="35"/>
      <c r="QZD310" s="35"/>
      <c r="QZE310" s="15"/>
      <c r="QZG310" s="13"/>
      <c r="QZH310" s="35"/>
      <c r="QZI310" s="35"/>
      <c r="QZJ310" s="15"/>
      <c r="QZL310" s="13"/>
      <c r="QZM310" s="35"/>
      <c r="QZN310" s="35"/>
      <c r="QZO310" s="15"/>
      <c r="QZQ310" s="13"/>
      <c r="QZR310" s="35"/>
      <c r="QZS310" s="35"/>
      <c r="QZT310" s="15"/>
      <c r="QZV310" s="13"/>
      <c r="QZW310" s="35"/>
      <c r="QZX310" s="35"/>
      <c r="QZY310" s="15"/>
      <c r="RAA310" s="13"/>
      <c r="RAB310" s="35"/>
      <c r="RAC310" s="35"/>
      <c r="RAD310" s="15"/>
      <c r="RAF310" s="13"/>
      <c r="RAG310" s="35"/>
      <c r="RAH310" s="35"/>
      <c r="RAI310" s="15"/>
      <c r="RAK310" s="13"/>
      <c r="RAL310" s="35"/>
      <c r="RAM310" s="35"/>
      <c r="RAN310" s="15"/>
      <c r="RAP310" s="13"/>
      <c r="RAQ310" s="35"/>
      <c r="RAR310" s="35"/>
      <c r="RAS310" s="15"/>
      <c r="RAU310" s="13"/>
      <c r="RAV310" s="35"/>
      <c r="RAW310" s="35"/>
      <c r="RAX310" s="15"/>
      <c r="RAZ310" s="13"/>
      <c r="RBA310" s="35"/>
      <c r="RBB310" s="35"/>
      <c r="RBC310" s="15"/>
      <c r="RBE310" s="13"/>
      <c r="RBF310" s="35"/>
      <c r="RBG310" s="35"/>
      <c r="RBH310" s="15"/>
      <c r="RBJ310" s="13"/>
      <c r="RBK310" s="35"/>
      <c r="RBL310" s="35"/>
      <c r="RBM310" s="15"/>
      <c r="RBO310" s="13"/>
      <c r="RBP310" s="35"/>
      <c r="RBQ310" s="35"/>
      <c r="RBR310" s="15"/>
      <c r="RBT310" s="13"/>
      <c r="RBU310" s="35"/>
      <c r="RBV310" s="35"/>
      <c r="RBW310" s="15"/>
      <c r="RBY310" s="13"/>
      <c r="RBZ310" s="35"/>
      <c r="RCA310" s="35"/>
      <c r="RCB310" s="15"/>
      <c r="RCD310" s="13"/>
      <c r="RCE310" s="35"/>
      <c r="RCF310" s="35"/>
      <c r="RCG310" s="15"/>
      <c r="RCI310" s="13"/>
      <c r="RCJ310" s="35"/>
      <c r="RCK310" s="35"/>
      <c r="RCL310" s="15"/>
      <c r="RCN310" s="13"/>
      <c r="RCO310" s="35"/>
      <c r="RCP310" s="35"/>
      <c r="RCQ310" s="15"/>
      <c r="RCS310" s="13"/>
      <c r="RCT310" s="35"/>
      <c r="RCU310" s="35"/>
      <c r="RCV310" s="15"/>
      <c r="RCX310" s="13"/>
      <c r="RCY310" s="35"/>
      <c r="RCZ310" s="35"/>
      <c r="RDA310" s="15"/>
      <c r="RDC310" s="13"/>
      <c r="RDD310" s="35"/>
      <c r="RDE310" s="35"/>
      <c r="RDF310" s="15"/>
      <c r="RDH310" s="13"/>
      <c r="RDI310" s="35"/>
      <c r="RDJ310" s="35"/>
      <c r="RDK310" s="15"/>
      <c r="RDM310" s="13"/>
      <c r="RDN310" s="35"/>
      <c r="RDO310" s="35"/>
      <c r="RDP310" s="15"/>
      <c r="RDR310" s="13"/>
      <c r="RDS310" s="35"/>
      <c r="RDT310" s="35"/>
      <c r="RDU310" s="15"/>
      <c r="RDW310" s="13"/>
      <c r="RDX310" s="35"/>
      <c r="RDY310" s="35"/>
      <c r="RDZ310" s="15"/>
      <c r="REB310" s="13"/>
      <c r="REC310" s="35"/>
      <c r="RED310" s="35"/>
      <c r="REE310" s="15"/>
      <c r="REG310" s="13"/>
      <c r="REH310" s="35"/>
      <c r="REI310" s="35"/>
      <c r="REJ310" s="15"/>
      <c r="REL310" s="13"/>
      <c r="REM310" s="35"/>
      <c r="REN310" s="35"/>
      <c r="REO310" s="15"/>
      <c r="REQ310" s="13"/>
      <c r="RER310" s="35"/>
      <c r="RES310" s="35"/>
      <c r="RET310" s="15"/>
      <c r="REV310" s="13"/>
      <c r="REW310" s="35"/>
      <c r="REX310" s="35"/>
      <c r="REY310" s="15"/>
      <c r="RFA310" s="13"/>
      <c r="RFB310" s="35"/>
      <c r="RFC310" s="35"/>
      <c r="RFD310" s="15"/>
      <c r="RFF310" s="13"/>
      <c r="RFG310" s="35"/>
      <c r="RFH310" s="35"/>
      <c r="RFI310" s="15"/>
      <c r="RFK310" s="13"/>
      <c r="RFL310" s="35"/>
      <c r="RFM310" s="35"/>
      <c r="RFN310" s="15"/>
      <c r="RFP310" s="13"/>
      <c r="RFQ310" s="35"/>
      <c r="RFR310" s="35"/>
      <c r="RFS310" s="15"/>
      <c r="RFU310" s="13"/>
      <c r="RFV310" s="35"/>
      <c r="RFW310" s="35"/>
      <c r="RFX310" s="15"/>
      <c r="RFZ310" s="13"/>
      <c r="RGA310" s="35"/>
      <c r="RGB310" s="35"/>
      <c r="RGC310" s="15"/>
      <c r="RGE310" s="13"/>
      <c r="RGF310" s="35"/>
      <c r="RGG310" s="35"/>
      <c r="RGH310" s="15"/>
      <c r="RGJ310" s="13"/>
      <c r="RGK310" s="35"/>
      <c r="RGL310" s="35"/>
      <c r="RGM310" s="15"/>
      <c r="RGO310" s="13"/>
      <c r="RGP310" s="35"/>
      <c r="RGQ310" s="35"/>
      <c r="RGR310" s="15"/>
      <c r="RGT310" s="13"/>
      <c r="RGU310" s="35"/>
      <c r="RGV310" s="35"/>
      <c r="RGW310" s="15"/>
      <c r="RGY310" s="13"/>
      <c r="RGZ310" s="35"/>
      <c r="RHA310" s="35"/>
      <c r="RHB310" s="15"/>
      <c r="RHD310" s="13"/>
      <c r="RHE310" s="35"/>
      <c r="RHF310" s="35"/>
      <c r="RHG310" s="15"/>
      <c r="RHI310" s="13"/>
      <c r="RHJ310" s="35"/>
      <c r="RHK310" s="35"/>
      <c r="RHL310" s="15"/>
      <c r="RHN310" s="13"/>
      <c r="RHO310" s="35"/>
      <c r="RHP310" s="35"/>
      <c r="RHQ310" s="15"/>
      <c r="RHS310" s="13"/>
      <c r="RHT310" s="35"/>
      <c r="RHU310" s="35"/>
      <c r="RHV310" s="15"/>
      <c r="RHX310" s="13"/>
      <c r="RHY310" s="35"/>
      <c r="RHZ310" s="35"/>
      <c r="RIA310" s="15"/>
      <c r="RIC310" s="13"/>
      <c r="RID310" s="35"/>
      <c r="RIE310" s="35"/>
      <c r="RIF310" s="15"/>
      <c r="RIH310" s="13"/>
      <c r="RII310" s="35"/>
      <c r="RIJ310" s="35"/>
      <c r="RIK310" s="15"/>
      <c r="RIM310" s="13"/>
      <c r="RIN310" s="35"/>
      <c r="RIO310" s="35"/>
      <c r="RIP310" s="15"/>
      <c r="RIR310" s="13"/>
      <c r="RIS310" s="35"/>
      <c r="RIT310" s="35"/>
      <c r="RIU310" s="15"/>
      <c r="RIW310" s="13"/>
      <c r="RIX310" s="35"/>
      <c r="RIY310" s="35"/>
      <c r="RIZ310" s="15"/>
      <c r="RJB310" s="13"/>
      <c r="RJC310" s="35"/>
      <c r="RJD310" s="35"/>
      <c r="RJE310" s="15"/>
      <c r="RJG310" s="13"/>
      <c r="RJH310" s="35"/>
      <c r="RJI310" s="35"/>
      <c r="RJJ310" s="15"/>
      <c r="RJL310" s="13"/>
      <c r="RJM310" s="35"/>
      <c r="RJN310" s="35"/>
      <c r="RJO310" s="15"/>
      <c r="RJQ310" s="13"/>
      <c r="RJR310" s="35"/>
      <c r="RJS310" s="35"/>
      <c r="RJT310" s="15"/>
      <c r="RJV310" s="13"/>
      <c r="RJW310" s="35"/>
      <c r="RJX310" s="35"/>
      <c r="RJY310" s="15"/>
      <c r="RKA310" s="13"/>
      <c r="RKB310" s="35"/>
      <c r="RKC310" s="35"/>
      <c r="RKD310" s="15"/>
      <c r="RKF310" s="13"/>
      <c r="RKG310" s="35"/>
      <c r="RKH310" s="35"/>
      <c r="RKI310" s="15"/>
      <c r="RKK310" s="13"/>
      <c r="RKL310" s="35"/>
      <c r="RKM310" s="35"/>
      <c r="RKN310" s="15"/>
      <c r="RKP310" s="13"/>
      <c r="RKQ310" s="35"/>
      <c r="RKR310" s="35"/>
      <c r="RKS310" s="15"/>
      <c r="RKU310" s="13"/>
      <c r="RKV310" s="35"/>
      <c r="RKW310" s="35"/>
      <c r="RKX310" s="15"/>
      <c r="RKZ310" s="13"/>
      <c r="RLA310" s="35"/>
      <c r="RLB310" s="35"/>
      <c r="RLC310" s="15"/>
      <c r="RLE310" s="13"/>
      <c r="RLF310" s="35"/>
      <c r="RLG310" s="35"/>
      <c r="RLH310" s="15"/>
      <c r="RLJ310" s="13"/>
      <c r="RLK310" s="35"/>
      <c r="RLL310" s="35"/>
      <c r="RLM310" s="15"/>
      <c r="RLO310" s="13"/>
      <c r="RLP310" s="35"/>
      <c r="RLQ310" s="35"/>
      <c r="RLR310" s="15"/>
      <c r="RLT310" s="13"/>
      <c r="RLU310" s="35"/>
      <c r="RLV310" s="35"/>
      <c r="RLW310" s="15"/>
      <c r="RLY310" s="13"/>
      <c r="RLZ310" s="35"/>
      <c r="RMA310" s="35"/>
      <c r="RMB310" s="15"/>
      <c r="RMD310" s="13"/>
      <c r="RME310" s="35"/>
      <c r="RMF310" s="35"/>
      <c r="RMG310" s="15"/>
      <c r="RMI310" s="13"/>
      <c r="RMJ310" s="35"/>
      <c r="RMK310" s="35"/>
      <c r="RML310" s="15"/>
      <c r="RMN310" s="13"/>
      <c r="RMO310" s="35"/>
      <c r="RMP310" s="35"/>
      <c r="RMQ310" s="15"/>
      <c r="RMS310" s="13"/>
      <c r="RMT310" s="35"/>
      <c r="RMU310" s="35"/>
      <c r="RMV310" s="15"/>
      <c r="RMX310" s="13"/>
      <c r="RMY310" s="35"/>
      <c r="RMZ310" s="35"/>
      <c r="RNA310" s="15"/>
      <c r="RNC310" s="13"/>
      <c r="RND310" s="35"/>
      <c r="RNE310" s="35"/>
      <c r="RNF310" s="15"/>
      <c r="RNH310" s="13"/>
      <c r="RNI310" s="35"/>
      <c r="RNJ310" s="35"/>
      <c r="RNK310" s="15"/>
      <c r="RNM310" s="13"/>
      <c r="RNN310" s="35"/>
      <c r="RNO310" s="35"/>
      <c r="RNP310" s="15"/>
      <c r="RNR310" s="13"/>
      <c r="RNS310" s="35"/>
      <c r="RNT310" s="35"/>
      <c r="RNU310" s="15"/>
      <c r="RNW310" s="13"/>
      <c r="RNX310" s="35"/>
      <c r="RNY310" s="35"/>
      <c r="RNZ310" s="15"/>
      <c r="ROB310" s="13"/>
      <c r="ROC310" s="35"/>
      <c r="ROD310" s="35"/>
      <c r="ROE310" s="15"/>
      <c r="ROG310" s="13"/>
      <c r="ROH310" s="35"/>
      <c r="ROI310" s="35"/>
      <c r="ROJ310" s="15"/>
      <c r="ROL310" s="13"/>
      <c r="ROM310" s="35"/>
      <c r="RON310" s="35"/>
      <c r="ROO310" s="15"/>
      <c r="ROQ310" s="13"/>
      <c r="ROR310" s="35"/>
      <c r="ROS310" s="35"/>
      <c r="ROT310" s="15"/>
      <c r="ROV310" s="13"/>
      <c r="ROW310" s="35"/>
      <c r="ROX310" s="35"/>
      <c r="ROY310" s="15"/>
      <c r="RPA310" s="13"/>
      <c r="RPB310" s="35"/>
      <c r="RPC310" s="35"/>
      <c r="RPD310" s="15"/>
      <c r="RPF310" s="13"/>
      <c r="RPG310" s="35"/>
      <c r="RPH310" s="35"/>
      <c r="RPI310" s="15"/>
      <c r="RPK310" s="13"/>
      <c r="RPL310" s="35"/>
      <c r="RPM310" s="35"/>
      <c r="RPN310" s="15"/>
      <c r="RPP310" s="13"/>
      <c r="RPQ310" s="35"/>
      <c r="RPR310" s="35"/>
      <c r="RPS310" s="15"/>
      <c r="RPU310" s="13"/>
      <c r="RPV310" s="35"/>
      <c r="RPW310" s="35"/>
      <c r="RPX310" s="15"/>
      <c r="RPZ310" s="13"/>
      <c r="RQA310" s="35"/>
      <c r="RQB310" s="35"/>
      <c r="RQC310" s="15"/>
      <c r="RQE310" s="13"/>
      <c r="RQF310" s="35"/>
      <c r="RQG310" s="35"/>
      <c r="RQH310" s="15"/>
      <c r="RQJ310" s="13"/>
      <c r="RQK310" s="35"/>
      <c r="RQL310" s="35"/>
      <c r="RQM310" s="15"/>
      <c r="RQO310" s="13"/>
      <c r="RQP310" s="35"/>
      <c r="RQQ310" s="35"/>
      <c r="RQR310" s="15"/>
      <c r="RQT310" s="13"/>
      <c r="RQU310" s="35"/>
      <c r="RQV310" s="35"/>
      <c r="RQW310" s="15"/>
      <c r="RQY310" s="13"/>
      <c r="RQZ310" s="35"/>
      <c r="RRA310" s="35"/>
      <c r="RRB310" s="15"/>
      <c r="RRD310" s="13"/>
      <c r="RRE310" s="35"/>
      <c r="RRF310" s="35"/>
      <c r="RRG310" s="15"/>
      <c r="RRI310" s="13"/>
      <c r="RRJ310" s="35"/>
      <c r="RRK310" s="35"/>
      <c r="RRL310" s="15"/>
      <c r="RRN310" s="13"/>
      <c r="RRO310" s="35"/>
      <c r="RRP310" s="35"/>
      <c r="RRQ310" s="15"/>
      <c r="RRS310" s="13"/>
      <c r="RRT310" s="35"/>
      <c r="RRU310" s="35"/>
      <c r="RRV310" s="15"/>
      <c r="RRX310" s="13"/>
      <c r="RRY310" s="35"/>
      <c r="RRZ310" s="35"/>
      <c r="RSA310" s="15"/>
      <c r="RSC310" s="13"/>
      <c r="RSD310" s="35"/>
      <c r="RSE310" s="35"/>
      <c r="RSF310" s="15"/>
      <c r="RSH310" s="13"/>
      <c r="RSI310" s="35"/>
      <c r="RSJ310" s="35"/>
      <c r="RSK310" s="15"/>
      <c r="RSM310" s="13"/>
      <c r="RSN310" s="35"/>
      <c r="RSO310" s="35"/>
      <c r="RSP310" s="15"/>
      <c r="RSR310" s="13"/>
      <c r="RSS310" s="35"/>
      <c r="RST310" s="35"/>
      <c r="RSU310" s="15"/>
      <c r="RSW310" s="13"/>
      <c r="RSX310" s="35"/>
      <c r="RSY310" s="35"/>
      <c r="RSZ310" s="15"/>
      <c r="RTB310" s="13"/>
      <c r="RTC310" s="35"/>
      <c r="RTD310" s="35"/>
      <c r="RTE310" s="15"/>
      <c r="RTG310" s="13"/>
      <c r="RTH310" s="35"/>
      <c r="RTI310" s="35"/>
      <c r="RTJ310" s="15"/>
      <c r="RTL310" s="13"/>
      <c r="RTM310" s="35"/>
      <c r="RTN310" s="35"/>
      <c r="RTO310" s="15"/>
      <c r="RTQ310" s="13"/>
      <c r="RTR310" s="35"/>
      <c r="RTS310" s="35"/>
      <c r="RTT310" s="15"/>
      <c r="RTV310" s="13"/>
      <c r="RTW310" s="35"/>
      <c r="RTX310" s="35"/>
      <c r="RTY310" s="15"/>
      <c r="RUA310" s="13"/>
      <c r="RUB310" s="35"/>
      <c r="RUC310" s="35"/>
      <c r="RUD310" s="15"/>
      <c r="RUF310" s="13"/>
      <c r="RUG310" s="35"/>
      <c r="RUH310" s="35"/>
      <c r="RUI310" s="15"/>
      <c r="RUK310" s="13"/>
      <c r="RUL310" s="35"/>
      <c r="RUM310" s="35"/>
      <c r="RUN310" s="15"/>
      <c r="RUP310" s="13"/>
      <c r="RUQ310" s="35"/>
      <c r="RUR310" s="35"/>
      <c r="RUS310" s="15"/>
      <c r="RUU310" s="13"/>
      <c r="RUV310" s="35"/>
      <c r="RUW310" s="35"/>
      <c r="RUX310" s="15"/>
      <c r="RUZ310" s="13"/>
      <c r="RVA310" s="35"/>
      <c r="RVB310" s="35"/>
      <c r="RVC310" s="15"/>
      <c r="RVE310" s="13"/>
      <c r="RVF310" s="35"/>
      <c r="RVG310" s="35"/>
      <c r="RVH310" s="15"/>
      <c r="RVJ310" s="13"/>
      <c r="RVK310" s="35"/>
      <c r="RVL310" s="35"/>
      <c r="RVM310" s="15"/>
      <c r="RVO310" s="13"/>
      <c r="RVP310" s="35"/>
      <c r="RVQ310" s="35"/>
      <c r="RVR310" s="15"/>
      <c r="RVT310" s="13"/>
      <c r="RVU310" s="35"/>
      <c r="RVV310" s="35"/>
      <c r="RVW310" s="15"/>
      <c r="RVY310" s="13"/>
      <c r="RVZ310" s="35"/>
      <c r="RWA310" s="35"/>
      <c r="RWB310" s="15"/>
      <c r="RWD310" s="13"/>
      <c r="RWE310" s="35"/>
      <c r="RWF310" s="35"/>
      <c r="RWG310" s="15"/>
      <c r="RWI310" s="13"/>
      <c r="RWJ310" s="35"/>
      <c r="RWK310" s="35"/>
      <c r="RWL310" s="15"/>
      <c r="RWN310" s="13"/>
      <c r="RWO310" s="35"/>
      <c r="RWP310" s="35"/>
      <c r="RWQ310" s="15"/>
      <c r="RWS310" s="13"/>
      <c r="RWT310" s="35"/>
      <c r="RWU310" s="35"/>
      <c r="RWV310" s="15"/>
      <c r="RWX310" s="13"/>
      <c r="RWY310" s="35"/>
      <c r="RWZ310" s="35"/>
      <c r="RXA310" s="15"/>
      <c r="RXC310" s="13"/>
      <c r="RXD310" s="35"/>
      <c r="RXE310" s="35"/>
      <c r="RXF310" s="15"/>
      <c r="RXH310" s="13"/>
      <c r="RXI310" s="35"/>
      <c r="RXJ310" s="35"/>
      <c r="RXK310" s="15"/>
      <c r="RXM310" s="13"/>
      <c r="RXN310" s="35"/>
      <c r="RXO310" s="35"/>
      <c r="RXP310" s="15"/>
      <c r="RXR310" s="13"/>
      <c r="RXS310" s="35"/>
      <c r="RXT310" s="35"/>
      <c r="RXU310" s="15"/>
      <c r="RXW310" s="13"/>
      <c r="RXX310" s="35"/>
      <c r="RXY310" s="35"/>
      <c r="RXZ310" s="15"/>
      <c r="RYB310" s="13"/>
      <c r="RYC310" s="35"/>
      <c r="RYD310" s="35"/>
      <c r="RYE310" s="15"/>
      <c r="RYG310" s="13"/>
      <c r="RYH310" s="35"/>
      <c r="RYI310" s="35"/>
      <c r="RYJ310" s="15"/>
      <c r="RYL310" s="13"/>
      <c r="RYM310" s="35"/>
      <c r="RYN310" s="35"/>
      <c r="RYO310" s="15"/>
      <c r="RYQ310" s="13"/>
      <c r="RYR310" s="35"/>
      <c r="RYS310" s="35"/>
      <c r="RYT310" s="15"/>
      <c r="RYV310" s="13"/>
      <c r="RYW310" s="35"/>
      <c r="RYX310" s="35"/>
      <c r="RYY310" s="15"/>
      <c r="RZA310" s="13"/>
      <c r="RZB310" s="35"/>
      <c r="RZC310" s="35"/>
      <c r="RZD310" s="15"/>
      <c r="RZF310" s="13"/>
      <c r="RZG310" s="35"/>
      <c r="RZH310" s="35"/>
      <c r="RZI310" s="15"/>
      <c r="RZK310" s="13"/>
      <c r="RZL310" s="35"/>
      <c r="RZM310" s="35"/>
      <c r="RZN310" s="15"/>
      <c r="RZP310" s="13"/>
      <c r="RZQ310" s="35"/>
      <c r="RZR310" s="35"/>
      <c r="RZS310" s="15"/>
      <c r="RZU310" s="13"/>
      <c r="RZV310" s="35"/>
      <c r="RZW310" s="35"/>
      <c r="RZX310" s="15"/>
      <c r="RZZ310" s="13"/>
      <c r="SAA310" s="35"/>
      <c r="SAB310" s="35"/>
      <c r="SAC310" s="15"/>
      <c r="SAE310" s="13"/>
      <c r="SAF310" s="35"/>
      <c r="SAG310" s="35"/>
      <c r="SAH310" s="15"/>
      <c r="SAJ310" s="13"/>
      <c r="SAK310" s="35"/>
      <c r="SAL310" s="35"/>
      <c r="SAM310" s="15"/>
      <c r="SAO310" s="13"/>
      <c r="SAP310" s="35"/>
      <c r="SAQ310" s="35"/>
      <c r="SAR310" s="15"/>
      <c r="SAT310" s="13"/>
      <c r="SAU310" s="35"/>
      <c r="SAV310" s="35"/>
      <c r="SAW310" s="15"/>
      <c r="SAY310" s="13"/>
      <c r="SAZ310" s="35"/>
      <c r="SBA310" s="35"/>
      <c r="SBB310" s="15"/>
      <c r="SBD310" s="13"/>
      <c r="SBE310" s="35"/>
      <c r="SBF310" s="35"/>
      <c r="SBG310" s="15"/>
      <c r="SBI310" s="13"/>
      <c r="SBJ310" s="35"/>
      <c r="SBK310" s="35"/>
      <c r="SBL310" s="15"/>
      <c r="SBN310" s="13"/>
      <c r="SBO310" s="35"/>
      <c r="SBP310" s="35"/>
      <c r="SBQ310" s="15"/>
      <c r="SBS310" s="13"/>
      <c r="SBT310" s="35"/>
      <c r="SBU310" s="35"/>
      <c r="SBV310" s="15"/>
      <c r="SBX310" s="13"/>
      <c r="SBY310" s="35"/>
      <c r="SBZ310" s="35"/>
      <c r="SCA310" s="15"/>
      <c r="SCC310" s="13"/>
      <c r="SCD310" s="35"/>
      <c r="SCE310" s="35"/>
      <c r="SCF310" s="15"/>
      <c r="SCH310" s="13"/>
      <c r="SCI310" s="35"/>
      <c r="SCJ310" s="35"/>
      <c r="SCK310" s="15"/>
      <c r="SCM310" s="13"/>
      <c r="SCN310" s="35"/>
      <c r="SCO310" s="35"/>
      <c r="SCP310" s="15"/>
      <c r="SCR310" s="13"/>
      <c r="SCS310" s="35"/>
      <c r="SCT310" s="35"/>
      <c r="SCU310" s="15"/>
      <c r="SCW310" s="13"/>
      <c r="SCX310" s="35"/>
      <c r="SCY310" s="35"/>
      <c r="SCZ310" s="15"/>
      <c r="SDB310" s="13"/>
      <c r="SDC310" s="35"/>
      <c r="SDD310" s="35"/>
      <c r="SDE310" s="15"/>
      <c r="SDG310" s="13"/>
      <c r="SDH310" s="35"/>
      <c r="SDI310" s="35"/>
      <c r="SDJ310" s="15"/>
      <c r="SDL310" s="13"/>
      <c r="SDM310" s="35"/>
      <c r="SDN310" s="35"/>
      <c r="SDO310" s="15"/>
      <c r="SDQ310" s="13"/>
      <c r="SDR310" s="35"/>
      <c r="SDS310" s="35"/>
      <c r="SDT310" s="15"/>
      <c r="SDV310" s="13"/>
      <c r="SDW310" s="35"/>
      <c r="SDX310" s="35"/>
      <c r="SDY310" s="15"/>
      <c r="SEA310" s="13"/>
      <c r="SEB310" s="35"/>
      <c r="SEC310" s="35"/>
      <c r="SED310" s="15"/>
      <c r="SEF310" s="13"/>
      <c r="SEG310" s="35"/>
      <c r="SEH310" s="35"/>
      <c r="SEI310" s="15"/>
      <c r="SEK310" s="13"/>
      <c r="SEL310" s="35"/>
      <c r="SEM310" s="35"/>
      <c r="SEN310" s="15"/>
      <c r="SEP310" s="13"/>
      <c r="SEQ310" s="35"/>
      <c r="SER310" s="35"/>
      <c r="SES310" s="15"/>
      <c r="SEU310" s="13"/>
      <c r="SEV310" s="35"/>
      <c r="SEW310" s="35"/>
      <c r="SEX310" s="15"/>
      <c r="SEZ310" s="13"/>
      <c r="SFA310" s="35"/>
      <c r="SFB310" s="35"/>
      <c r="SFC310" s="15"/>
      <c r="SFE310" s="13"/>
      <c r="SFF310" s="35"/>
      <c r="SFG310" s="35"/>
      <c r="SFH310" s="15"/>
      <c r="SFJ310" s="13"/>
      <c r="SFK310" s="35"/>
      <c r="SFL310" s="35"/>
      <c r="SFM310" s="15"/>
      <c r="SFO310" s="13"/>
      <c r="SFP310" s="35"/>
      <c r="SFQ310" s="35"/>
      <c r="SFR310" s="15"/>
      <c r="SFT310" s="13"/>
      <c r="SFU310" s="35"/>
      <c r="SFV310" s="35"/>
      <c r="SFW310" s="15"/>
      <c r="SFY310" s="13"/>
      <c r="SFZ310" s="35"/>
      <c r="SGA310" s="35"/>
      <c r="SGB310" s="15"/>
      <c r="SGD310" s="13"/>
      <c r="SGE310" s="35"/>
      <c r="SGF310" s="35"/>
      <c r="SGG310" s="15"/>
      <c r="SGI310" s="13"/>
      <c r="SGJ310" s="35"/>
      <c r="SGK310" s="35"/>
      <c r="SGL310" s="15"/>
      <c r="SGN310" s="13"/>
      <c r="SGO310" s="35"/>
      <c r="SGP310" s="35"/>
      <c r="SGQ310" s="15"/>
      <c r="SGS310" s="13"/>
      <c r="SGT310" s="35"/>
      <c r="SGU310" s="35"/>
      <c r="SGV310" s="15"/>
      <c r="SGX310" s="13"/>
      <c r="SGY310" s="35"/>
      <c r="SGZ310" s="35"/>
      <c r="SHA310" s="15"/>
      <c r="SHC310" s="13"/>
      <c r="SHD310" s="35"/>
      <c r="SHE310" s="35"/>
      <c r="SHF310" s="15"/>
      <c r="SHH310" s="13"/>
      <c r="SHI310" s="35"/>
      <c r="SHJ310" s="35"/>
      <c r="SHK310" s="15"/>
      <c r="SHM310" s="13"/>
      <c r="SHN310" s="35"/>
      <c r="SHO310" s="35"/>
      <c r="SHP310" s="15"/>
      <c r="SHR310" s="13"/>
      <c r="SHS310" s="35"/>
      <c r="SHT310" s="35"/>
      <c r="SHU310" s="15"/>
      <c r="SHW310" s="13"/>
      <c r="SHX310" s="35"/>
      <c r="SHY310" s="35"/>
      <c r="SHZ310" s="15"/>
      <c r="SIB310" s="13"/>
      <c r="SIC310" s="35"/>
      <c r="SID310" s="35"/>
      <c r="SIE310" s="15"/>
      <c r="SIG310" s="13"/>
      <c r="SIH310" s="35"/>
      <c r="SII310" s="35"/>
      <c r="SIJ310" s="15"/>
      <c r="SIL310" s="13"/>
      <c r="SIM310" s="35"/>
      <c r="SIN310" s="35"/>
      <c r="SIO310" s="15"/>
      <c r="SIQ310" s="13"/>
      <c r="SIR310" s="35"/>
      <c r="SIS310" s="35"/>
      <c r="SIT310" s="15"/>
      <c r="SIV310" s="13"/>
      <c r="SIW310" s="35"/>
      <c r="SIX310" s="35"/>
      <c r="SIY310" s="15"/>
      <c r="SJA310" s="13"/>
      <c r="SJB310" s="35"/>
      <c r="SJC310" s="35"/>
      <c r="SJD310" s="15"/>
      <c r="SJF310" s="13"/>
      <c r="SJG310" s="35"/>
      <c r="SJH310" s="35"/>
      <c r="SJI310" s="15"/>
      <c r="SJK310" s="13"/>
      <c r="SJL310" s="35"/>
      <c r="SJM310" s="35"/>
      <c r="SJN310" s="15"/>
      <c r="SJP310" s="13"/>
      <c r="SJQ310" s="35"/>
      <c r="SJR310" s="35"/>
      <c r="SJS310" s="15"/>
      <c r="SJU310" s="13"/>
      <c r="SJV310" s="35"/>
      <c r="SJW310" s="35"/>
      <c r="SJX310" s="15"/>
      <c r="SJZ310" s="13"/>
      <c r="SKA310" s="35"/>
      <c r="SKB310" s="35"/>
      <c r="SKC310" s="15"/>
      <c r="SKE310" s="13"/>
      <c r="SKF310" s="35"/>
      <c r="SKG310" s="35"/>
      <c r="SKH310" s="15"/>
      <c r="SKJ310" s="13"/>
      <c r="SKK310" s="35"/>
      <c r="SKL310" s="35"/>
      <c r="SKM310" s="15"/>
      <c r="SKO310" s="13"/>
      <c r="SKP310" s="35"/>
      <c r="SKQ310" s="35"/>
      <c r="SKR310" s="15"/>
      <c r="SKT310" s="13"/>
      <c r="SKU310" s="35"/>
      <c r="SKV310" s="35"/>
      <c r="SKW310" s="15"/>
      <c r="SKY310" s="13"/>
      <c r="SKZ310" s="35"/>
      <c r="SLA310" s="35"/>
      <c r="SLB310" s="15"/>
      <c r="SLD310" s="13"/>
      <c r="SLE310" s="35"/>
      <c r="SLF310" s="35"/>
      <c r="SLG310" s="15"/>
      <c r="SLI310" s="13"/>
      <c r="SLJ310" s="35"/>
      <c r="SLK310" s="35"/>
      <c r="SLL310" s="15"/>
      <c r="SLN310" s="13"/>
      <c r="SLO310" s="35"/>
      <c r="SLP310" s="35"/>
      <c r="SLQ310" s="15"/>
      <c r="SLS310" s="13"/>
      <c r="SLT310" s="35"/>
      <c r="SLU310" s="35"/>
      <c r="SLV310" s="15"/>
      <c r="SLX310" s="13"/>
      <c r="SLY310" s="35"/>
      <c r="SLZ310" s="35"/>
      <c r="SMA310" s="15"/>
      <c r="SMC310" s="13"/>
      <c r="SMD310" s="35"/>
      <c r="SME310" s="35"/>
      <c r="SMF310" s="15"/>
      <c r="SMH310" s="13"/>
      <c r="SMI310" s="35"/>
      <c r="SMJ310" s="35"/>
      <c r="SMK310" s="15"/>
      <c r="SMM310" s="13"/>
      <c r="SMN310" s="35"/>
      <c r="SMO310" s="35"/>
      <c r="SMP310" s="15"/>
      <c r="SMR310" s="13"/>
      <c r="SMS310" s="35"/>
      <c r="SMT310" s="35"/>
      <c r="SMU310" s="15"/>
      <c r="SMW310" s="13"/>
      <c r="SMX310" s="35"/>
      <c r="SMY310" s="35"/>
      <c r="SMZ310" s="15"/>
      <c r="SNB310" s="13"/>
      <c r="SNC310" s="35"/>
      <c r="SND310" s="35"/>
      <c r="SNE310" s="15"/>
      <c r="SNG310" s="13"/>
      <c r="SNH310" s="35"/>
      <c r="SNI310" s="35"/>
      <c r="SNJ310" s="15"/>
      <c r="SNL310" s="13"/>
      <c r="SNM310" s="35"/>
      <c r="SNN310" s="35"/>
      <c r="SNO310" s="15"/>
      <c r="SNQ310" s="13"/>
      <c r="SNR310" s="35"/>
      <c r="SNS310" s="35"/>
      <c r="SNT310" s="15"/>
      <c r="SNV310" s="13"/>
      <c r="SNW310" s="35"/>
      <c r="SNX310" s="35"/>
      <c r="SNY310" s="15"/>
      <c r="SOA310" s="13"/>
      <c r="SOB310" s="35"/>
      <c r="SOC310" s="35"/>
      <c r="SOD310" s="15"/>
      <c r="SOF310" s="13"/>
      <c r="SOG310" s="35"/>
      <c r="SOH310" s="35"/>
      <c r="SOI310" s="15"/>
      <c r="SOK310" s="13"/>
      <c r="SOL310" s="35"/>
      <c r="SOM310" s="35"/>
      <c r="SON310" s="15"/>
      <c r="SOP310" s="13"/>
      <c r="SOQ310" s="35"/>
      <c r="SOR310" s="35"/>
      <c r="SOS310" s="15"/>
      <c r="SOU310" s="13"/>
      <c r="SOV310" s="35"/>
      <c r="SOW310" s="35"/>
      <c r="SOX310" s="15"/>
      <c r="SOZ310" s="13"/>
      <c r="SPA310" s="35"/>
      <c r="SPB310" s="35"/>
      <c r="SPC310" s="15"/>
      <c r="SPE310" s="13"/>
      <c r="SPF310" s="35"/>
      <c r="SPG310" s="35"/>
      <c r="SPH310" s="15"/>
      <c r="SPJ310" s="13"/>
      <c r="SPK310" s="35"/>
      <c r="SPL310" s="35"/>
      <c r="SPM310" s="15"/>
      <c r="SPO310" s="13"/>
      <c r="SPP310" s="35"/>
      <c r="SPQ310" s="35"/>
      <c r="SPR310" s="15"/>
      <c r="SPT310" s="13"/>
      <c r="SPU310" s="35"/>
      <c r="SPV310" s="35"/>
      <c r="SPW310" s="15"/>
      <c r="SPY310" s="13"/>
      <c r="SPZ310" s="35"/>
      <c r="SQA310" s="35"/>
      <c r="SQB310" s="15"/>
      <c r="SQD310" s="13"/>
      <c r="SQE310" s="35"/>
      <c r="SQF310" s="35"/>
      <c r="SQG310" s="15"/>
      <c r="SQI310" s="13"/>
      <c r="SQJ310" s="35"/>
      <c r="SQK310" s="35"/>
      <c r="SQL310" s="15"/>
      <c r="SQN310" s="13"/>
      <c r="SQO310" s="35"/>
      <c r="SQP310" s="35"/>
      <c r="SQQ310" s="15"/>
      <c r="SQS310" s="13"/>
      <c r="SQT310" s="35"/>
      <c r="SQU310" s="35"/>
      <c r="SQV310" s="15"/>
      <c r="SQX310" s="13"/>
      <c r="SQY310" s="35"/>
      <c r="SQZ310" s="35"/>
      <c r="SRA310" s="15"/>
      <c r="SRC310" s="13"/>
      <c r="SRD310" s="35"/>
      <c r="SRE310" s="35"/>
      <c r="SRF310" s="15"/>
      <c r="SRH310" s="13"/>
      <c r="SRI310" s="35"/>
      <c r="SRJ310" s="35"/>
      <c r="SRK310" s="15"/>
      <c r="SRM310" s="13"/>
      <c r="SRN310" s="35"/>
      <c r="SRO310" s="35"/>
      <c r="SRP310" s="15"/>
      <c r="SRR310" s="13"/>
      <c r="SRS310" s="35"/>
      <c r="SRT310" s="35"/>
      <c r="SRU310" s="15"/>
      <c r="SRW310" s="13"/>
      <c r="SRX310" s="35"/>
      <c r="SRY310" s="35"/>
      <c r="SRZ310" s="15"/>
      <c r="SSB310" s="13"/>
      <c r="SSC310" s="35"/>
      <c r="SSD310" s="35"/>
      <c r="SSE310" s="15"/>
      <c r="SSG310" s="13"/>
      <c r="SSH310" s="35"/>
      <c r="SSI310" s="35"/>
      <c r="SSJ310" s="15"/>
      <c r="SSL310" s="13"/>
      <c r="SSM310" s="35"/>
      <c r="SSN310" s="35"/>
      <c r="SSO310" s="15"/>
      <c r="SSQ310" s="13"/>
      <c r="SSR310" s="35"/>
      <c r="SSS310" s="35"/>
      <c r="SST310" s="15"/>
      <c r="SSV310" s="13"/>
      <c r="SSW310" s="35"/>
      <c r="SSX310" s="35"/>
      <c r="SSY310" s="15"/>
      <c r="STA310" s="13"/>
      <c r="STB310" s="35"/>
      <c r="STC310" s="35"/>
      <c r="STD310" s="15"/>
      <c r="STF310" s="13"/>
      <c r="STG310" s="35"/>
      <c r="STH310" s="35"/>
      <c r="STI310" s="15"/>
      <c r="STK310" s="13"/>
      <c r="STL310" s="35"/>
      <c r="STM310" s="35"/>
      <c r="STN310" s="15"/>
      <c r="STP310" s="13"/>
      <c r="STQ310" s="35"/>
      <c r="STR310" s="35"/>
      <c r="STS310" s="15"/>
      <c r="STU310" s="13"/>
      <c r="STV310" s="35"/>
      <c r="STW310" s="35"/>
      <c r="STX310" s="15"/>
      <c r="STZ310" s="13"/>
      <c r="SUA310" s="35"/>
      <c r="SUB310" s="35"/>
      <c r="SUC310" s="15"/>
      <c r="SUE310" s="13"/>
      <c r="SUF310" s="35"/>
      <c r="SUG310" s="35"/>
      <c r="SUH310" s="15"/>
      <c r="SUJ310" s="13"/>
      <c r="SUK310" s="35"/>
      <c r="SUL310" s="35"/>
      <c r="SUM310" s="15"/>
      <c r="SUO310" s="13"/>
      <c r="SUP310" s="35"/>
      <c r="SUQ310" s="35"/>
      <c r="SUR310" s="15"/>
      <c r="SUT310" s="13"/>
      <c r="SUU310" s="35"/>
      <c r="SUV310" s="35"/>
      <c r="SUW310" s="15"/>
      <c r="SUY310" s="13"/>
      <c r="SUZ310" s="35"/>
      <c r="SVA310" s="35"/>
      <c r="SVB310" s="15"/>
      <c r="SVD310" s="13"/>
      <c r="SVE310" s="35"/>
      <c r="SVF310" s="35"/>
      <c r="SVG310" s="15"/>
      <c r="SVI310" s="13"/>
      <c r="SVJ310" s="35"/>
      <c r="SVK310" s="35"/>
      <c r="SVL310" s="15"/>
      <c r="SVN310" s="13"/>
      <c r="SVO310" s="35"/>
      <c r="SVP310" s="35"/>
      <c r="SVQ310" s="15"/>
      <c r="SVS310" s="13"/>
      <c r="SVT310" s="35"/>
      <c r="SVU310" s="35"/>
      <c r="SVV310" s="15"/>
      <c r="SVX310" s="13"/>
      <c r="SVY310" s="35"/>
      <c r="SVZ310" s="35"/>
      <c r="SWA310" s="15"/>
      <c r="SWC310" s="13"/>
      <c r="SWD310" s="35"/>
      <c r="SWE310" s="35"/>
      <c r="SWF310" s="15"/>
      <c r="SWH310" s="13"/>
      <c r="SWI310" s="35"/>
      <c r="SWJ310" s="35"/>
      <c r="SWK310" s="15"/>
      <c r="SWM310" s="13"/>
      <c r="SWN310" s="35"/>
      <c r="SWO310" s="35"/>
      <c r="SWP310" s="15"/>
      <c r="SWR310" s="13"/>
      <c r="SWS310" s="35"/>
      <c r="SWT310" s="35"/>
      <c r="SWU310" s="15"/>
      <c r="SWW310" s="13"/>
      <c r="SWX310" s="35"/>
      <c r="SWY310" s="35"/>
      <c r="SWZ310" s="15"/>
      <c r="SXB310" s="13"/>
      <c r="SXC310" s="35"/>
      <c r="SXD310" s="35"/>
      <c r="SXE310" s="15"/>
      <c r="SXG310" s="13"/>
      <c r="SXH310" s="35"/>
      <c r="SXI310" s="35"/>
      <c r="SXJ310" s="15"/>
      <c r="SXL310" s="13"/>
      <c r="SXM310" s="35"/>
      <c r="SXN310" s="35"/>
      <c r="SXO310" s="15"/>
      <c r="SXQ310" s="13"/>
      <c r="SXR310" s="35"/>
      <c r="SXS310" s="35"/>
      <c r="SXT310" s="15"/>
      <c r="SXV310" s="13"/>
      <c r="SXW310" s="35"/>
      <c r="SXX310" s="35"/>
      <c r="SXY310" s="15"/>
      <c r="SYA310" s="13"/>
      <c r="SYB310" s="35"/>
      <c r="SYC310" s="35"/>
      <c r="SYD310" s="15"/>
      <c r="SYF310" s="13"/>
      <c r="SYG310" s="35"/>
      <c r="SYH310" s="35"/>
      <c r="SYI310" s="15"/>
      <c r="SYK310" s="13"/>
      <c r="SYL310" s="35"/>
      <c r="SYM310" s="35"/>
      <c r="SYN310" s="15"/>
      <c r="SYP310" s="13"/>
      <c r="SYQ310" s="35"/>
      <c r="SYR310" s="35"/>
      <c r="SYS310" s="15"/>
      <c r="SYU310" s="13"/>
      <c r="SYV310" s="35"/>
      <c r="SYW310" s="35"/>
      <c r="SYX310" s="15"/>
      <c r="SYZ310" s="13"/>
      <c r="SZA310" s="35"/>
      <c r="SZB310" s="35"/>
      <c r="SZC310" s="15"/>
      <c r="SZE310" s="13"/>
      <c r="SZF310" s="35"/>
      <c r="SZG310" s="35"/>
      <c r="SZH310" s="15"/>
      <c r="SZJ310" s="13"/>
      <c r="SZK310" s="35"/>
      <c r="SZL310" s="35"/>
      <c r="SZM310" s="15"/>
      <c r="SZO310" s="13"/>
      <c r="SZP310" s="35"/>
      <c r="SZQ310" s="35"/>
      <c r="SZR310" s="15"/>
      <c r="SZT310" s="13"/>
      <c r="SZU310" s="35"/>
      <c r="SZV310" s="35"/>
      <c r="SZW310" s="15"/>
      <c r="SZY310" s="13"/>
      <c r="SZZ310" s="35"/>
      <c r="TAA310" s="35"/>
      <c r="TAB310" s="15"/>
      <c r="TAD310" s="13"/>
      <c r="TAE310" s="35"/>
      <c r="TAF310" s="35"/>
      <c r="TAG310" s="15"/>
      <c r="TAI310" s="13"/>
      <c r="TAJ310" s="35"/>
      <c r="TAK310" s="35"/>
      <c r="TAL310" s="15"/>
      <c r="TAN310" s="13"/>
      <c r="TAO310" s="35"/>
      <c r="TAP310" s="35"/>
      <c r="TAQ310" s="15"/>
      <c r="TAS310" s="13"/>
      <c r="TAT310" s="35"/>
      <c r="TAU310" s="35"/>
      <c r="TAV310" s="15"/>
      <c r="TAX310" s="13"/>
      <c r="TAY310" s="35"/>
      <c r="TAZ310" s="35"/>
      <c r="TBA310" s="15"/>
      <c r="TBC310" s="13"/>
      <c r="TBD310" s="35"/>
      <c r="TBE310" s="35"/>
      <c r="TBF310" s="15"/>
      <c r="TBH310" s="13"/>
      <c r="TBI310" s="35"/>
      <c r="TBJ310" s="35"/>
      <c r="TBK310" s="15"/>
      <c r="TBM310" s="13"/>
      <c r="TBN310" s="35"/>
      <c r="TBO310" s="35"/>
      <c r="TBP310" s="15"/>
      <c r="TBR310" s="13"/>
      <c r="TBS310" s="35"/>
      <c r="TBT310" s="35"/>
      <c r="TBU310" s="15"/>
      <c r="TBW310" s="13"/>
      <c r="TBX310" s="35"/>
      <c r="TBY310" s="35"/>
      <c r="TBZ310" s="15"/>
      <c r="TCB310" s="13"/>
      <c r="TCC310" s="35"/>
      <c r="TCD310" s="35"/>
      <c r="TCE310" s="15"/>
      <c r="TCG310" s="13"/>
      <c r="TCH310" s="35"/>
      <c r="TCI310" s="35"/>
      <c r="TCJ310" s="15"/>
      <c r="TCL310" s="13"/>
      <c r="TCM310" s="35"/>
      <c r="TCN310" s="35"/>
      <c r="TCO310" s="15"/>
      <c r="TCQ310" s="13"/>
      <c r="TCR310" s="35"/>
      <c r="TCS310" s="35"/>
      <c r="TCT310" s="15"/>
      <c r="TCV310" s="13"/>
      <c r="TCW310" s="35"/>
      <c r="TCX310" s="35"/>
      <c r="TCY310" s="15"/>
      <c r="TDA310" s="13"/>
      <c r="TDB310" s="35"/>
      <c r="TDC310" s="35"/>
      <c r="TDD310" s="15"/>
      <c r="TDF310" s="13"/>
      <c r="TDG310" s="35"/>
      <c r="TDH310" s="35"/>
      <c r="TDI310" s="15"/>
      <c r="TDK310" s="13"/>
      <c r="TDL310" s="35"/>
      <c r="TDM310" s="35"/>
      <c r="TDN310" s="15"/>
      <c r="TDP310" s="13"/>
      <c r="TDQ310" s="35"/>
      <c r="TDR310" s="35"/>
      <c r="TDS310" s="15"/>
      <c r="TDU310" s="13"/>
      <c r="TDV310" s="35"/>
      <c r="TDW310" s="35"/>
      <c r="TDX310" s="15"/>
      <c r="TDZ310" s="13"/>
      <c r="TEA310" s="35"/>
      <c r="TEB310" s="35"/>
      <c r="TEC310" s="15"/>
      <c r="TEE310" s="13"/>
      <c r="TEF310" s="35"/>
      <c r="TEG310" s="35"/>
      <c r="TEH310" s="15"/>
      <c r="TEJ310" s="13"/>
      <c r="TEK310" s="35"/>
      <c r="TEL310" s="35"/>
      <c r="TEM310" s="15"/>
      <c r="TEO310" s="13"/>
      <c r="TEP310" s="35"/>
      <c r="TEQ310" s="35"/>
      <c r="TER310" s="15"/>
      <c r="TET310" s="13"/>
      <c r="TEU310" s="35"/>
      <c r="TEV310" s="35"/>
      <c r="TEW310" s="15"/>
      <c r="TEY310" s="13"/>
      <c r="TEZ310" s="35"/>
      <c r="TFA310" s="35"/>
      <c r="TFB310" s="15"/>
      <c r="TFD310" s="13"/>
      <c r="TFE310" s="35"/>
      <c r="TFF310" s="35"/>
      <c r="TFG310" s="15"/>
      <c r="TFI310" s="13"/>
      <c r="TFJ310" s="35"/>
      <c r="TFK310" s="35"/>
      <c r="TFL310" s="15"/>
      <c r="TFN310" s="13"/>
      <c r="TFO310" s="35"/>
      <c r="TFP310" s="35"/>
      <c r="TFQ310" s="15"/>
      <c r="TFS310" s="13"/>
      <c r="TFT310" s="35"/>
      <c r="TFU310" s="35"/>
      <c r="TFV310" s="15"/>
      <c r="TFX310" s="13"/>
      <c r="TFY310" s="35"/>
      <c r="TFZ310" s="35"/>
      <c r="TGA310" s="15"/>
      <c r="TGC310" s="13"/>
      <c r="TGD310" s="35"/>
      <c r="TGE310" s="35"/>
      <c r="TGF310" s="15"/>
      <c r="TGH310" s="13"/>
      <c r="TGI310" s="35"/>
      <c r="TGJ310" s="35"/>
      <c r="TGK310" s="15"/>
      <c r="TGM310" s="13"/>
      <c r="TGN310" s="35"/>
      <c r="TGO310" s="35"/>
      <c r="TGP310" s="15"/>
      <c r="TGR310" s="13"/>
      <c r="TGS310" s="35"/>
      <c r="TGT310" s="35"/>
      <c r="TGU310" s="15"/>
      <c r="TGW310" s="13"/>
      <c r="TGX310" s="35"/>
      <c r="TGY310" s="35"/>
      <c r="TGZ310" s="15"/>
      <c r="THB310" s="13"/>
      <c r="THC310" s="35"/>
      <c r="THD310" s="35"/>
      <c r="THE310" s="15"/>
      <c r="THG310" s="13"/>
      <c r="THH310" s="35"/>
      <c r="THI310" s="35"/>
      <c r="THJ310" s="15"/>
      <c r="THL310" s="13"/>
      <c r="THM310" s="35"/>
      <c r="THN310" s="35"/>
      <c r="THO310" s="15"/>
      <c r="THQ310" s="13"/>
      <c r="THR310" s="35"/>
      <c r="THS310" s="35"/>
      <c r="THT310" s="15"/>
      <c r="THV310" s="13"/>
      <c r="THW310" s="35"/>
      <c r="THX310" s="35"/>
      <c r="THY310" s="15"/>
      <c r="TIA310" s="13"/>
      <c r="TIB310" s="35"/>
      <c r="TIC310" s="35"/>
      <c r="TID310" s="15"/>
      <c r="TIF310" s="13"/>
      <c r="TIG310" s="35"/>
      <c r="TIH310" s="35"/>
      <c r="TII310" s="15"/>
      <c r="TIK310" s="13"/>
      <c r="TIL310" s="35"/>
      <c r="TIM310" s="35"/>
      <c r="TIN310" s="15"/>
      <c r="TIP310" s="13"/>
      <c r="TIQ310" s="35"/>
      <c r="TIR310" s="35"/>
      <c r="TIS310" s="15"/>
      <c r="TIU310" s="13"/>
      <c r="TIV310" s="35"/>
      <c r="TIW310" s="35"/>
      <c r="TIX310" s="15"/>
      <c r="TIZ310" s="13"/>
      <c r="TJA310" s="35"/>
      <c r="TJB310" s="35"/>
      <c r="TJC310" s="15"/>
      <c r="TJE310" s="13"/>
      <c r="TJF310" s="35"/>
      <c r="TJG310" s="35"/>
      <c r="TJH310" s="15"/>
      <c r="TJJ310" s="13"/>
      <c r="TJK310" s="35"/>
      <c r="TJL310" s="35"/>
      <c r="TJM310" s="15"/>
      <c r="TJO310" s="13"/>
      <c r="TJP310" s="35"/>
      <c r="TJQ310" s="35"/>
      <c r="TJR310" s="15"/>
      <c r="TJT310" s="13"/>
      <c r="TJU310" s="35"/>
      <c r="TJV310" s="35"/>
      <c r="TJW310" s="15"/>
      <c r="TJY310" s="13"/>
      <c r="TJZ310" s="35"/>
      <c r="TKA310" s="35"/>
      <c r="TKB310" s="15"/>
      <c r="TKD310" s="13"/>
      <c r="TKE310" s="35"/>
      <c r="TKF310" s="35"/>
      <c r="TKG310" s="15"/>
      <c r="TKI310" s="13"/>
      <c r="TKJ310" s="35"/>
      <c r="TKK310" s="35"/>
      <c r="TKL310" s="15"/>
      <c r="TKN310" s="13"/>
      <c r="TKO310" s="35"/>
      <c r="TKP310" s="35"/>
      <c r="TKQ310" s="15"/>
      <c r="TKS310" s="13"/>
      <c r="TKT310" s="35"/>
      <c r="TKU310" s="35"/>
      <c r="TKV310" s="15"/>
      <c r="TKX310" s="13"/>
      <c r="TKY310" s="35"/>
      <c r="TKZ310" s="35"/>
      <c r="TLA310" s="15"/>
      <c r="TLC310" s="13"/>
      <c r="TLD310" s="35"/>
      <c r="TLE310" s="35"/>
      <c r="TLF310" s="15"/>
      <c r="TLH310" s="13"/>
      <c r="TLI310" s="35"/>
      <c r="TLJ310" s="35"/>
      <c r="TLK310" s="15"/>
      <c r="TLM310" s="13"/>
      <c r="TLN310" s="35"/>
      <c r="TLO310" s="35"/>
      <c r="TLP310" s="15"/>
      <c r="TLR310" s="13"/>
      <c r="TLS310" s="35"/>
      <c r="TLT310" s="35"/>
      <c r="TLU310" s="15"/>
      <c r="TLW310" s="13"/>
      <c r="TLX310" s="35"/>
      <c r="TLY310" s="35"/>
      <c r="TLZ310" s="15"/>
      <c r="TMB310" s="13"/>
      <c r="TMC310" s="35"/>
      <c r="TMD310" s="35"/>
      <c r="TME310" s="15"/>
      <c r="TMG310" s="13"/>
      <c r="TMH310" s="35"/>
      <c r="TMI310" s="35"/>
      <c r="TMJ310" s="15"/>
      <c r="TML310" s="13"/>
      <c r="TMM310" s="35"/>
      <c r="TMN310" s="35"/>
      <c r="TMO310" s="15"/>
      <c r="TMQ310" s="13"/>
      <c r="TMR310" s="35"/>
      <c r="TMS310" s="35"/>
      <c r="TMT310" s="15"/>
      <c r="TMV310" s="13"/>
      <c r="TMW310" s="35"/>
      <c r="TMX310" s="35"/>
      <c r="TMY310" s="15"/>
      <c r="TNA310" s="13"/>
      <c r="TNB310" s="35"/>
      <c r="TNC310" s="35"/>
      <c r="TND310" s="15"/>
      <c r="TNF310" s="13"/>
      <c r="TNG310" s="35"/>
      <c r="TNH310" s="35"/>
      <c r="TNI310" s="15"/>
      <c r="TNK310" s="13"/>
      <c r="TNL310" s="35"/>
      <c r="TNM310" s="35"/>
      <c r="TNN310" s="15"/>
      <c r="TNP310" s="13"/>
      <c r="TNQ310" s="35"/>
      <c r="TNR310" s="35"/>
      <c r="TNS310" s="15"/>
      <c r="TNU310" s="13"/>
      <c r="TNV310" s="35"/>
      <c r="TNW310" s="35"/>
      <c r="TNX310" s="15"/>
      <c r="TNZ310" s="13"/>
      <c r="TOA310" s="35"/>
      <c r="TOB310" s="35"/>
      <c r="TOC310" s="15"/>
      <c r="TOE310" s="13"/>
      <c r="TOF310" s="35"/>
      <c r="TOG310" s="35"/>
      <c r="TOH310" s="15"/>
      <c r="TOJ310" s="13"/>
      <c r="TOK310" s="35"/>
      <c r="TOL310" s="35"/>
      <c r="TOM310" s="15"/>
      <c r="TOO310" s="13"/>
      <c r="TOP310" s="35"/>
      <c r="TOQ310" s="35"/>
      <c r="TOR310" s="15"/>
      <c r="TOT310" s="13"/>
      <c r="TOU310" s="35"/>
      <c r="TOV310" s="35"/>
      <c r="TOW310" s="15"/>
      <c r="TOY310" s="13"/>
      <c r="TOZ310" s="35"/>
      <c r="TPA310" s="35"/>
      <c r="TPB310" s="15"/>
      <c r="TPD310" s="13"/>
      <c r="TPE310" s="35"/>
      <c r="TPF310" s="35"/>
      <c r="TPG310" s="15"/>
      <c r="TPI310" s="13"/>
      <c r="TPJ310" s="35"/>
      <c r="TPK310" s="35"/>
      <c r="TPL310" s="15"/>
      <c r="TPN310" s="13"/>
      <c r="TPO310" s="35"/>
      <c r="TPP310" s="35"/>
      <c r="TPQ310" s="15"/>
      <c r="TPS310" s="13"/>
      <c r="TPT310" s="35"/>
      <c r="TPU310" s="35"/>
      <c r="TPV310" s="15"/>
      <c r="TPX310" s="13"/>
      <c r="TPY310" s="35"/>
      <c r="TPZ310" s="35"/>
      <c r="TQA310" s="15"/>
      <c r="TQC310" s="13"/>
      <c r="TQD310" s="35"/>
      <c r="TQE310" s="35"/>
      <c r="TQF310" s="15"/>
      <c r="TQH310" s="13"/>
      <c r="TQI310" s="35"/>
      <c r="TQJ310" s="35"/>
      <c r="TQK310" s="15"/>
      <c r="TQM310" s="13"/>
      <c r="TQN310" s="35"/>
      <c r="TQO310" s="35"/>
      <c r="TQP310" s="15"/>
      <c r="TQR310" s="13"/>
      <c r="TQS310" s="35"/>
      <c r="TQT310" s="35"/>
      <c r="TQU310" s="15"/>
      <c r="TQW310" s="13"/>
      <c r="TQX310" s="35"/>
      <c r="TQY310" s="35"/>
      <c r="TQZ310" s="15"/>
      <c r="TRB310" s="13"/>
      <c r="TRC310" s="35"/>
      <c r="TRD310" s="35"/>
      <c r="TRE310" s="15"/>
      <c r="TRG310" s="13"/>
      <c r="TRH310" s="35"/>
      <c r="TRI310" s="35"/>
      <c r="TRJ310" s="15"/>
      <c r="TRL310" s="13"/>
      <c r="TRM310" s="35"/>
      <c r="TRN310" s="35"/>
      <c r="TRO310" s="15"/>
      <c r="TRQ310" s="13"/>
      <c r="TRR310" s="35"/>
      <c r="TRS310" s="35"/>
      <c r="TRT310" s="15"/>
      <c r="TRV310" s="13"/>
      <c r="TRW310" s="35"/>
      <c r="TRX310" s="35"/>
      <c r="TRY310" s="15"/>
      <c r="TSA310" s="13"/>
      <c r="TSB310" s="35"/>
      <c r="TSC310" s="35"/>
      <c r="TSD310" s="15"/>
      <c r="TSF310" s="13"/>
      <c r="TSG310" s="35"/>
      <c r="TSH310" s="35"/>
      <c r="TSI310" s="15"/>
      <c r="TSK310" s="13"/>
      <c r="TSL310" s="35"/>
      <c r="TSM310" s="35"/>
      <c r="TSN310" s="15"/>
      <c r="TSP310" s="13"/>
      <c r="TSQ310" s="35"/>
      <c r="TSR310" s="35"/>
      <c r="TSS310" s="15"/>
      <c r="TSU310" s="13"/>
      <c r="TSV310" s="35"/>
      <c r="TSW310" s="35"/>
      <c r="TSX310" s="15"/>
      <c r="TSZ310" s="13"/>
      <c r="TTA310" s="35"/>
      <c r="TTB310" s="35"/>
      <c r="TTC310" s="15"/>
      <c r="TTE310" s="13"/>
      <c r="TTF310" s="35"/>
      <c r="TTG310" s="35"/>
      <c r="TTH310" s="15"/>
      <c r="TTJ310" s="13"/>
      <c r="TTK310" s="35"/>
      <c r="TTL310" s="35"/>
      <c r="TTM310" s="15"/>
      <c r="TTO310" s="13"/>
      <c r="TTP310" s="35"/>
      <c r="TTQ310" s="35"/>
      <c r="TTR310" s="15"/>
      <c r="TTT310" s="13"/>
      <c r="TTU310" s="35"/>
      <c r="TTV310" s="35"/>
      <c r="TTW310" s="15"/>
      <c r="TTY310" s="13"/>
      <c r="TTZ310" s="35"/>
      <c r="TUA310" s="35"/>
      <c r="TUB310" s="15"/>
      <c r="TUD310" s="13"/>
      <c r="TUE310" s="35"/>
      <c r="TUF310" s="35"/>
      <c r="TUG310" s="15"/>
      <c r="TUI310" s="13"/>
      <c r="TUJ310" s="35"/>
      <c r="TUK310" s="35"/>
      <c r="TUL310" s="15"/>
      <c r="TUN310" s="13"/>
      <c r="TUO310" s="35"/>
      <c r="TUP310" s="35"/>
      <c r="TUQ310" s="15"/>
      <c r="TUS310" s="13"/>
      <c r="TUT310" s="35"/>
      <c r="TUU310" s="35"/>
      <c r="TUV310" s="15"/>
      <c r="TUX310" s="13"/>
      <c r="TUY310" s="35"/>
      <c r="TUZ310" s="35"/>
      <c r="TVA310" s="15"/>
      <c r="TVC310" s="13"/>
      <c r="TVD310" s="35"/>
      <c r="TVE310" s="35"/>
      <c r="TVF310" s="15"/>
      <c r="TVH310" s="13"/>
      <c r="TVI310" s="35"/>
      <c r="TVJ310" s="35"/>
      <c r="TVK310" s="15"/>
      <c r="TVM310" s="13"/>
      <c r="TVN310" s="35"/>
      <c r="TVO310" s="35"/>
      <c r="TVP310" s="15"/>
      <c r="TVR310" s="13"/>
      <c r="TVS310" s="35"/>
      <c r="TVT310" s="35"/>
      <c r="TVU310" s="15"/>
      <c r="TVW310" s="13"/>
      <c r="TVX310" s="35"/>
      <c r="TVY310" s="35"/>
      <c r="TVZ310" s="15"/>
      <c r="TWB310" s="13"/>
      <c r="TWC310" s="35"/>
      <c r="TWD310" s="35"/>
      <c r="TWE310" s="15"/>
      <c r="TWG310" s="13"/>
      <c r="TWH310" s="35"/>
      <c r="TWI310" s="35"/>
      <c r="TWJ310" s="15"/>
      <c r="TWL310" s="13"/>
      <c r="TWM310" s="35"/>
      <c r="TWN310" s="35"/>
      <c r="TWO310" s="15"/>
      <c r="TWQ310" s="13"/>
      <c r="TWR310" s="35"/>
      <c r="TWS310" s="35"/>
      <c r="TWT310" s="15"/>
      <c r="TWV310" s="13"/>
      <c r="TWW310" s="35"/>
      <c r="TWX310" s="35"/>
      <c r="TWY310" s="15"/>
      <c r="TXA310" s="13"/>
      <c r="TXB310" s="35"/>
      <c r="TXC310" s="35"/>
      <c r="TXD310" s="15"/>
      <c r="TXF310" s="13"/>
      <c r="TXG310" s="35"/>
      <c r="TXH310" s="35"/>
      <c r="TXI310" s="15"/>
      <c r="TXK310" s="13"/>
      <c r="TXL310" s="35"/>
      <c r="TXM310" s="35"/>
      <c r="TXN310" s="15"/>
      <c r="TXP310" s="13"/>
      <c r="TXQ310" s="35"/>
      <c r="TXR310" s="35"/>
      <c r="TXS310" s="15"/>
      <c r="TXU310" s="13"/>
      <c r="TXV310" s="35"/>
      <c r="TXW310" s="35"/>
      <c r="TXX310" s="15"/>
      <c r="TXZ310" s="13"/>
      <c r="TYA310" s="35"/>
      <c r="TYB310" s="35"/>
      <c r="TYC310" s="15"/>
      <c r="TYE310" s="13"/>
      <c r="TYF310" s="35"/>
      <c r="TYG310" s="35"/>
      <c r="TYH310" s="15"/>
      <c r="TYJ310" s="13"/>
      <c r="TYK310" s="35"/>
      <c r="TYL310" s="35"/>
      <c r="TYM310" s="15"/>
      <c r="TYO310" s="13"/>
      <c r="TYP310" s="35"/>
      <c r="TYQ310" s="35"/>
      <c r="TYR310" s="15"/>
      <c r="TYT310" s="13"/>
      <c r="TYU310" s="35"/>
      <c r="TYV310" s="35"/>
      <c r="TYW310" s="15"/>
      <c r="TYY310" s="13"/>
      <c r="TYZ310" s="35"/>
      <c r="TZA310" s="35"/>
      <c r="TZB310" s="15"/>
      <c r="TZD310" s="13"/>
      <c r="TZE310" s="35"/>
      <c r="TZF310" s="35"/>
      <c r="TZG310" s="15"/>
      <c r="TZI310" s="13"/>
      <c r="TZJ310" s="35"/>
      <c r="TZK310" s="35"/>
      <c r="TZL310" s="15"/>
      <c r="TZN310" s="13"/>
      <c r="TZO310" s="35"/>
      <c r="TZP310" s="35"/>
      <c r="TZQ310" s="15"/>
      <c r="TZS310" s="13"/>
      <c r="TZT310" s="35"/>
      <c r="TZU310" s="35"/>
      <c r="TZV310" s="15"/>
      <c r="TZX310" s="13"/>
      <c r="TZY310" s="35"/>
      <c r="TZZ310" s="35"/>
      <c r="UAA310" s="15"/>
      <c r="UAC310" s="13"/>
      <c r="UAD310" s="35"/>
      <c r="UAE310" s="35"/>
      <c r="UAF310" s="15"/>
      <c r="UAH310" s="13"/>
      <c r="UAI310" s="35"/>
      <c r="UAJ310" s="35"/>
      <c r="UAK310" s="15"/>
      <c r="UAM310" s="13"/>
      <c r="UAN310" s="35"/>
      <c r="UAO310" s="35"/>
      <c r="UAP310" s="15"/>
      <c r="UAR310" s="13"/>
      <c r="UAS310" s="35"/>
      <c r="UAT310" s="35"/>
      <c r="UAU310" s="15"/>
      <c r="UAW310" s="13"/>
      <c r="UAX310" s="35"/>
      <c r="UAY310" s="35"/>
      <c r="UAZ310" s="15"/>
      <c r="UBB310" s="13"/>
      <c r="UBC310" s="35"/>
      <c r="UBD310" s="35"/>
      <c r="UBE310" s="15"/>
      <c r="UBG310" s="13"/>
      <c r="UBH310" s="35"/>
      <c r="UBI310" s="35"/>
      <c r="UBJ310" s="15"/>
      <c r="UBL310" s="13"/>
      <c r="UBM310" s="35"/>
      <c r="UBN310" s="35"/>
      <c r="UBO310" s="15"/>
      <c r="UBQ310" s="13"/>
      <c r="UBR310" s="35"/>
      <c r="UBS310" s="35"/>
      <c r="UBT310" s="15"/>
      <c r="UBV310" s="13"/>
      <c r="UBW310" s="35"/>
      <c r="UBX310" s="35"/>
      <c r="UBY310" s="15"/>
      <c r="UCA310" s="13"/>
      <c r="UCB310" s="35"/>
      <c r="UCC310" s="35"/>
      <c r="UCD310" s="15"/>
      <c r="UCF310" s="13"/>
      <c r="UCG310" s="35"/>
      <c r="UCH310" s="35"/>
      <c r="UCI310" s="15"/>
      <c r="UCK310" s="13"/>
      <c r="UCL310" s="35"/>
      <c r="UCM310" s="35"/>
      <c r="UCN310" s="15"/>
      <c r="UCP310" s="13"/>
      <c r="UCQ310" s="35"/>
      <c r="UCR310" s="35"/>
      <c r="UCS310" s="15"/>
      <c r="UCU310" s="13"/>
      <c r="UCV310" s="35"/>
      <c r="UCW310" s="35"/>
      <c r="UCX310" s="15"/>
      <c r="UCZ310" s="13"/>
      <c r="UDA310" s="35"/>
      <c r="UDB310" s="35"/>
      <c r="UDC310" s="15"/>
      <c r="UDE310" s="13"/>
      <c r="UDF310" s="35"/>
      <c r="UDG310" s="35"/>
      <c r="UDH310" s="15"/>
      <c r="UDJ310" s="13"/>
      <c r="UDK310" s="35"/>
      <c r="UDL310" s="35"/>
      <c r="UDM310" s="15"/>
      <c r="UDO310" s="13"/>
      <c r="UDP310" s="35"/>
      <c r="UDQ310" s="35"/>
      <c r="UDR310" s="15"/>
      <c r="UDT310" s="13"/>
      <c r="UDU310" s="35"/>
      <c r="UDV310" s="35"/>
      <c r="UDW310" s="15"/>
      <c r="UDY310" s="13"/>
      <c r="UDZ310" s="35"/>
      <c r="UEA310" s="35"/>
      <c r="UEB310" s="15"/>
      <c r="UED310" s="13"/>
      <c r="UEE310" s="35"/>
      <c r="UEF310" s="35"/>
      <c r="UEG310" s="15"/>
      <c r="UEI310" s="13"/>
      <c r="UEJ310" s="35"/>
      <c r="UEK310" s="35"/>
      <c r="UEL310" s="15"/>
      <c r="UEN310" s="13"/>
      <c r="UEO310" s="35"/>
      <c r="UEP310" s="35"/>
      <c r="UEQ310" s="15"/>
      <c r="UES310" s="13"/>
      <c r="UET310" s="35"/>
      <c r="UEU310" s="35"/>
      <c r="UEV310" s="15"/>
      <c r="UEX310" s="13"/>
      <c r="UEY310" s="35"/>
      <c r="UEZ310" s="35"/>
      <c r="UFA310" s="15"/>
      <c r="UFC310" s="13"/>
      <c r="UFD310" s="35"/>
      <c r="UFE310" s="35"/>
      <c r="UFF310" s="15"/>
      <c r="UFH310" s="13"/>
      <c r="UFI310" s="35"/>
      <c r="UFJ310" s="35"/>
      <c r="UFK310" s="15"/>
      <c r="UFM310" s="13"/>
      <c r="UFN310" s="35"/>
      <c r="UFO310" s="35"/>
      <c r="UFP310" s="15"/>
      <c r="UFR310" s="13"/>
      <c r="UFS310" s="35"/>
      <c r="UFT310" s="35"/>
      <c r="UFU310" s="15"/>
      <c r="UFW310" s="13"/>
      <c r="UFX310" s="35"/>
      <c r="UFY310" s="35"/>
      <c r="UFZ310" s="15"/>
      <c r="UGB310" s="13"/>
      <c r="UGC310" s="35"/>
      <c r="UGD310" s="35"/>
      <c r="UGE310" s="15"/>
      <c r="UGG310" s="13"/>
      <c r="UGH310" s="35"/>
      <c r="UGI310" s="35"/>
      <c r="UGJ310" s="15"/>
      <c r="UGL310" s="13"/>
      <c r="UGM310" s="35"/>
      <c r="UGN310" s="35"/>
      <c r="UGO310" s="15"/>
      <c r="UGQ310" s="13"/>
      <c r="UGR310" s="35"/>
      <c r="UGS310" s="35"/>
      <c r="UGT310" s="15"/>
      <c r="UGV310" s="13"/>
      <c r="UGW310" s="35"/>
      <c r="UGX310" s="35"/>
      <c r="UGY310" s="15"/>
      <c r="UHA310" s="13"/>
      <c r="UHB310" s="35"/>
      <c r="UHC310" s="35"/>
      <c r="UHD310" s="15"/>
      <c r="UHF310" s="13"/>
      <c r="UHG310" s="35"/>
      <c r="UHH310" s="35"/>
      <c r="UHI310" s="15"/>
      <c r="UHK310" s="13"/>
      <c r="UHL310" s="35"/>
      <c r="UHM310" s="35"/>
      <c r="UHN310" s="15"/>
      <c r="UHP310" s="13"/>
      <c r="UHQ310" s="35"/>
      <c r="UHR310" s="35"/>
      <c r="UHS310" s="15"/>
      <c r="UHU310" s="13"/>
      <c r="UHV310" s="35"/>
      <c r="UHW310" s="35"/>
      <c r="UHX310" s="15"/>
      <c r="UHZ310" s="13"/>
      <c r="UIA310" s="35"/>
      <c r="UIB310" s="35"/>
      <c r="UIC310" s="15"/>
      <c r="UIE310" s="13"/>
      <c r="UIF310" s="35"/>
      <c r="UIG310" s="35"/>
      <c r="UIH310" s="15"/>
      <c r="UIJ310" s="13"/>
      <c r="UIK310" s="35"/>
      <c r="UIL310" s="35"/>
      <c r="UIM310" s="15"/>
      <c r="UIO310" s="13"/>
      <c r="UIP310" s="35"/>
      <c r="UIQ310" s="35"/>
      <c r="UIR310" s="15"/>
      <c r="UIT310" s="13"/>
      <c r="UIU310" s="35"/>
      <c r="UIV310" s="35"/>
      <c r="UIW310" s="15"/>
      <c r="UIY310" s="13"/>
      <c r="UIZ310" s="35"/>
      <c r="UJA310" s="35"/>
      <c r="UJB310" s="15"/>
      <c r="UJD310" s="13"/>
      <c r="UJE310" s="35"/>
      <c r="UJF310" s="35"/>
      <c r="UJG310" s="15"/>
      <c r="UJI310" s="13"/>
      <c r="UJJ310" s="35"/>
      <c r="UJK310" s="35"/>
      <c r="UJL310" s="15"/>
      <c r="UJN310" s="13"/>
      <c r="UJO310" s="35"/>
      <c r="UJP310" s="35"/>
      <c r="UJQ310" s="15"/>
      <c r="UJS310" s="13"/>
      <c r="UJT310" s="35"/>
      <c r="UJU310" s="35"/>
      <c r="UJV310" s="15"/>
      <c r="UJX310" s="13"/>
      <c r="UJY310" s="35"/>
      <c r="UJZ310" s="35"/>
      <c r="UKA310" s="15"/>
      <c r="UKC310" s="13"/>
      <c r="UKD310" s="35"/>
      <c r="UKE310" s="35"/>
      <c r="UKF310" s="15"/>
      <c r="UKH310" s="13"/>
      <c r="UKI310" s="35"/>
      <c r="UKJ310" s="35"/>
      <c r="UKK310" s="15"/>
      <c r="UKM310" s="13"/>
      <c r="UKN310" s="35"/>
      <c r="UKO310" s="35"/>
      <c r="UKP310" s="15"/>
      <c r="UKR310" s="13"/>
      <c r="UKS310" s="35"/>
      <c r="UKT310" s="35"/>
      <c r="UKU310" s="15"/>
      <c r="UKW310" s="13"/>
      <c r="UKX310" s="35"/>
      <c r="UKY310" s="35"/>
      <c r="UKZ310" s="15"/>
      <c r="ULB310" s="13"/>
      <c r="ULC310" s="35"/>
      <c r="ULD310" s="35"/>
      <c r="ULE310" s="15"/>
      <c r="ULG310" s="13"/>
      <c r="ULH310" s="35"/>
      <c r="ULI310" s="35"/>
      <c r="ULJ310" s="15"/>
      <c r="ULL310" s="13"/>
      <c r="ULM310" s="35"/>
      <c r="ULN310" s="35"/>
      <c r="ULO310" s="15"/>
      <c r="ULQ310" s="13"/>
      <c r="ULR310" s="35"/>
      <c r="ULS310" s="35"/>
      <c r="ULT310" s="15"/>
      <c r="ULV310" s="13"/>
      <c r="ULW310" s="35"/>
      <c r="ULX310" s="35"/>
      <c r="ULY310" s="15"/>
      <c r="UMA310" s="13"/>
      <c r="UMB310" s="35"/>
      <c r="UMC310" s="35"/>
      <c r="UMD310" s="15"/>
      <c r="UMF310" s="13"/>
      <c r="UMG310" s="35"/>
      <c r="UMH310" s="35"/>
      <c r="UMI310" s="15"/>
      <c r="UMK310" s="13"/>
      <c r="UML310" s="35"/>
      <c r="UMM310" s="35"/>
      <c r="UMN310" s="15"/>
      <c r="UMP310" s="13"/>
      <c r="UMQ310" s="35"/>
      <c r="UMR310" s="35"/>
      <c r="UMS310" s="15"/>
      <c r="UMU310" s="13"/>
      <c r="UMV310" s="35"/>
      <c r="UMW310" s="35"/>
      <c r="UMX310" s="15"/>
      <c r="UMZ310" s="13"/>
      <c r="UNA310" s="35"/>
      <c r="UNB310" s="35"/>
      <c r="UNC310" s="15"/>
      <c r="UNE310" s="13"/>
      <c r="UNF310" s="35"/>
      <c r="UNG310" s="35"/>
      <c r="UNH310" s="15"/>
      <c r="UNJ310" s="13"/>
      <c r="UNK310" s="35"/>
      <c r="UNL310" s="35"/>
      <c r="UNM310" s="15"/>
      <c r="UNO310" s="13"/>
      <c r="UNP310" s="35"/>
      <c r="UNQ310" s="35"/>
      <c r="UNR310" s="15"/>
      <c r="UNT310" s="13"/>
      <c r="UNU310" s="35"/>
      <c r="UNV310" s="35"/>
      <c r="UNW310" s="15"/>
      <c r="UNY310" s="13"/>
      <c r="UNZ310" s="35"/>
      <c r="UOA310" s="35"/>
      <c r="UOB310" s="15"/>
      <c r="UOD310" s="13"/>
      <c r="UOE310" s="35"/>
      <c r="UOF310" s="35"/>
      <c r="UOG310" s="15"/>
      <c r="UOI310" s="13"/>
      <c r="UOJ310" s="35"/>
      <c r="UOK310" s="35"/>
      <c r="UOL310" s="15"/>
      <c r="UON310" s="13"/>
      <c r="UOO310" s="35"/>
      <c r="UOP310" s="35"/>
      <c r="UOQ310" s="15"/>
      <c r="UOS310" s="13"/>
      <c r="UOT310" s="35"/>
      <c r="UOU310" s="35"/>
      <c r="UOV310" s="15"/>
      <c r="UOX310" s="13"/>
      <c r="UOY310" s="35"/>
      <c r="UOZ310" s="35"/>
      <c r="UPA310" s="15"/>
      <c r="UPC310" s="13"/>
      <c r="UPD310" s="35"/>
      <c r="UPE310" s="35"/>
      <c r="UPF310" s="15"/>
      <c r="UPH310" s="13"/>
      <c r="UPI310" s="35"/>
      <c r="UPJ310" s="35"/>
      <c r="UPK310" s="15"/>
      <c r="UPM310" s="13"/>
      <c r="UPN310" s="35"/>
      <c r="UPO310" s="35"/>
      <c r="UPP310" s="15"/>
      <c r="UPR310" s="13"/>
      <c r="UPS310" s="35"/>
      <c r="UPT310" s="35"/>
      <c r="UPU310" s="15"/>
      <c r="UPW310" s="13"/>
      <c r="UPX310" s="35"/>
      <c r="UPY310" s="35"/>
      <c r="UPZ310" s="15"/>
      <c r="UQB310" s="13"/>
      <c r="UQC310" s="35"/>
      <c r="UQD310" s="35"/>
      <c r="UQE310" s="15"/>
      <c r="UQG310" s="13"/>
      <c r="UQH310" s="35"/>
      <c r="UQI310" s="35"/>
      <c r="UQJ310" s="15"/>
      <c r="UQL310" s="13"/>
      <c r="UQM310" s="35"/>
      <c r="UQN310" s="35"/>
      <c r="UQO310" s="15"/>
      <c r="UQQ310" s="13"/>
      <c r="UQR310" s="35"/>
      <c r="UQS310" s="35"/>
      <c r="UQT310" s="15"/>
      <c r="UQV310" s="13"/>
      <c r="UQW310" s="35"/>
      <c r="UQX310" s="35"/>
      <c r="UQY310" s="15"/>
      <c r="URA310" s="13"/>
      <c r="URB310" s="35"/>
      <c r="URC310" s="35"/>
      <c r="URD310" s="15"/>
      <c r="URF310" s="13"/>
      <c r="URG310" s="35"/>
      <c r="URH310" s="35"/>
      <c r="URI310" s="15"/>
      <c r="URK310" s="13"/>
      <c r="URL310" s="35"/>
      <c r="URM310" s="35"/>
      <c r="URN310" s="15"/>
      <c r="URP310" s="13"/>
      <c r="URQ310" s="35"/>
      <c r="URR310" s="35"/>
      <c r="URS310" s="15"/>
      <c r="URU310" s="13"/>
      <c r="URV310" s="35"/>
      <c r="URW310" s="35"/>
      <c r="URX310" s="15"/>
      <c r="URZ310" s="13"/>
      <c r="USA310" s="35"/>
      <c r="USB310" s="35"/>
      <c r="USC310" s="15"/>
      <c r="USE310" s="13"/>
      <c r="USF310" s="35"/>
      <c r="USG310" s="35"/>
      <c r="USH310" s="15"/>
      <c r="USJ310" s="13"/>
      <c r="USK310" s="35"/>
      <c r="USL310" s="35"/>
      <c r="USM310" s="15"/>
      <c r="USO310" s="13"/>
      <c r="USP310" s="35"/>
      <c r="USQ310" s="35"/>
      <c r="USR310" s="15"/>
      <c r="UST310" s="13"/>
      <c r="USU310" s="35"/>
      <c r="USV310" s="35"/>
      <c r="USW310" s="15"/>
      <c r="USY310" s="13"/>
      <c r="USZ310" s="35"/>
      <c r="UTA310" s="35"/>
      <c r="UTB310" s="15"/>
      <c r="UTD310" s="13"/>
      <c r="UTE310" s="35"/>
      <c r="UTF310" s="35"/>
      <c r="UTG310" s="15"/>
      <c r="UTI310" s="13"/>
      <c r="UTJ310" s="35"/>
      <c r="UTK310" s="35"/>
      <c r="UTL310" s="15"/>
      <c r="UTN310" s="13"/>
      <c r="UTO310" s="35"/>
      <c r="UTP310" s="35"/>
      <c r="UTQ310" s="15"/>
      <c r="UTS310" s="13"/>
      <c r="UTT310" s="35"/>
      <c r="UTU310" s="35"/>
      <c r="UTV310" s="15"/>
      <c r="UTX310" s="13"/>
      <c r="UTY310" s="35"/>
      <c r="UTZ310" s="35"/>
      <c r="UUA310" s="15"/>
      <c r="UUC310" s="13"/>
      <c r="UUD310" s="35"/>
      <c r="UUE310" s="35"/>
      <c r="UUF310" s="15"/>
      <c r="UUH310" s="13"/>
      <c r="UUI310" s="35"/>
      <c r="UUJ310" s="35"/>
      <c r="UUK310" s="15"/>
      <c r="UUM310" s="13"/>
      <c r="UUN310" s="35"/>
      <c r="UUO310" s="35"/>
      <c r="UUP310" s="15"/>
      <c r="UUR310" s="13"/>
      <c r="UUS310" s="35"/>
      <c r="UUT310" s="35"/>
      <c r="UUU310" s="15"/>
      <c r="UUW310" s="13"/>
      <c r="UUX310" s="35"/>
      <c r="UUY310" s="35"/>
      <c r="UUZ310" s="15"/>
      <c r="UVB310" s="13"/>
      <c r="UVC310" s="35"/>
      <c r="UVD310" s="35"/>
      <c r="UVE310" s="15"/>
      <c r="UVG310" s="13"/>
      <c r="UVH310" s="35"/>
      <c r="UVI310" s="35"/>
      <c r="UVJ310" s="15"/>
      <c r="UVL310" s="13"/>
      <c r="UVM310" s="35"/>
      <c r="UVN310" s="35"/>
      <c r="UVO310" s="15"/>
      <c r="UVQ310" s="13"/>
      <c r="UVR310" s="35"/>
      <c r="UVS310" s="35"/>
      <c r="UVT310" s="15"/>
      <c r="UVV310" s="13"/>
      <c r="UVW310" s="35"/>
      <c r="UVX310" s="35"/>
      <c r="UVY310" s="15"/>
      <c r="UWA310" s="13"/>
      <c r="UWB310" s="35"/>
      <c r="UWC310" s="35"/>
      <c r="UWD310" s="15"/>
      <c r="UWF310" s="13"/>
      <c r="UWG310" s="35"/>
      <c r="UWH310" s="35"/>
      <c r="UWI310" s="15"/>
      <c r="UWK310" s="13"/>
      <c r="UWL310" s="35"/>
      <c r="UWM310" s="35"/>
      <c r="UWN310" s="15"/>
      <c r="UWP310" s="13"/>
      <c r="UWQ310" s="35"/>
      <c r="UWR310" s="35"/>
      <c r="UWS310" s="15"/>
      <c r="UWU310" s="13"/>
      <c r="UWV310" s="35"/>
      <c r="UWW310" s="35"/>
      <c r="UWX310" s="15"/>
      <c r="UWZ310" s="13"/>
      <c r="UXA310" s="35"/>
      <c r="UXB310" s="35"/>
      <c r="UXC310" s="15"/>
      <c r="UXE310" s="13"/>
      <c r="UXF310" s="35"/>
      <c r="UXG310" s="35"/>
      <c r="UXH310" s="15"/>
      <c r="UXJ310" s="13"/>
      <c r="UXK310" s="35"/>
      <c r="UXL310" s="35"/>
      <c r="UXM310" s="15"/>
      <c r="UXO310" s="13"/>
      <c r="UXP310" s="35"/>
      <c r="UXQ310" s="35"/>
      <c r="UXR310" s="15"/>
      <c r="UXT310" s="13"/>
      <c r="UXU310" s="35"/>
      <c r="UXV310" s="35"/>
      <c r="UXW310" s="15"/>
      <c r="UXY310" s="13"/>
      <c r="UXZ310" s="35"/>
      <c r="UYA310" s="35"/>
      <c r="UYB310" s="15"/>
      <c r="UYD310" s="13"/>
      <c r="UYE310" s="35"/>
      <c r="UYF310" s="35"/>
      <c r="UYG310" s="15"/>
      <c r="UYI310" s="13"/>
      <c r="UYJ310" s="35"/>
      <c r="UYK310" s="35"/>
      <c r="UYL310" s="15"/>
      <c r="UYN310" s="13"/>
      <c r="UYO310" s="35"/>
      <c r="UYP310" s="35"/>
      <c r="UYQ310" s="15"/>
      <c r="UYS310" s="13"/>
      <c r="UYT310" s="35"/>
      <c r="UYU310" s="35"/>
      <c r="UYV310" s="15"/>
      <c r="UYX310" s="13"/>
      <c r="UYY310" s="35"/>
      <c r="UYZ310" s="35"/>
      <c r="UZA310" s="15"/>
      <c r="UZC310" s="13"/>
      <c r="UZD310" s="35"/>
      <c r="UZE310" s="35"/>
      <c r="UZF310" s="15"/>
      <c r="UZH310" s="13"/>
      <c r="UZI310" s="35"/>
      <c r="UZJ310" s="35"/>
      <c r="UZK310" s="15"/>
      <c r="UZM310" s="13"/>
      <c r="UZN310" s="35"/>
      <c r="UZO310" s="35"/>
      <c r="UZP310" s="15"/>
      <c r="UZR310" s="13"/>
      <c r="UZS310" s="35"/>
      <c r="UZT310" s="35"/>
      <c r="UZU310" s="15"/>
      <c r="UZW310" s="13"/>
      <c r="UZX310" s="35"/>
      <c r="UZY310" s="35"/>
      <c r="UZZ310" s="15"/>
      <c r="VAB310" s="13"/>
      <c r="VAC310" s="35"/>
      <c r="VAD310" s="35"/>
      <c r="VAE310" s="15"/>
      <c r="VAG310" s="13"/>
      <c r="VAH310" s="35"/>
      <c r="VAI310" s="35"/>
      <c r="VAJ310" s="15"/>
      <c r="VAL310" s="13"/>
      <c r="VAM310" s="35"/>
      <c r="VAN310" s="35"/>
      <c r="VAO310" s="15"/>
      <c r="VAQ310" s="13"/>
      <c r="VAR310" s="35"/>
      <c r="VAS310" s="35"/>
      <c r="VAT310" s="15"/>
      <c r="VAV310" s="13"/>
      <c r="VAW310" s="35"/>
      <c r="VAX310" s="35"/>
      <c r="VAY310" s="15"/>
      <c r="VBA310" s="13"/>
      <c r="VBB310" s="35"/>
      <c r="VBC310" s="35"/>
      <c r="VBD310" s="15"/>
      <c r="VBF310" s="13"/>
      <c r="VBG310" s="35"/>
      <c r="VBH310" s="35"/>
      <c r="VBI310" s="15"/>
      <c r="VBK310" s="13"/>
      <c r="VBL310" s="35"/>
      <c r="VBM310" s="35"/>
      <c r="VBN310" s="15"/>
      <c r="VBP310" s="13"/>
      <c r="VBQ310" s="35"/>
      <c r="VBR310" s="35"/>
      <c r="VBS310" s="15"/>
      <c r="VBU310" s="13"/>
      <c r="VBV310" s="35"/>
      <c r="VBW310" s="35"/>
      <c r="VBX310" s="15"/>
      <c r="VBZ310" s="13"/>
      <c r="VCA310" s="35"/>
      <c r="VCB310" s="35"/>
      <c r="VCC310" s="15"/>
      <c r="VCE310" s="13"/>
      <c r="VCF310" s="35"/>
      <c r="VCG310" s="35"/>
      <c r="VCH310" s="15"/>
      <c r="VCJ310" s="13"/>
      <c r="VCK310" s="35"/>
      <c r="VCL310" s="35"/>
      <c r="VCM310" s="15"/>
      <c r="VCO310" s="13"/>
      <c r="VCP310" s="35"/>
      <c r="VCQ310" s="35"/>
      <c r="VCR310" s="15"/>
      <c r="VCT310" s="13"/>
      <c r="VCU310" s="35"/>
      <c r="VCV310" s="35"/>
      <c r="VCW310" s="15"/>
      <c r="VCY310" s="13"/>
      <c r="VCZ310" s="35"/>
      <c r="VDA310" s="35"/>
      <c r="VDB310" s="15"/>
      <c r="VDD310" s="13"/>
      <c r="VDE310" s="35"/>
      <c r="VDF310" s="35"/>
      <c r="VDG310" s="15"/>
      <c r="VDI310" s="13"/>
      <c r="VDJ310" s="35"/>
      <c r="VDK310" s="35"/>
      <c r="VDL310" s="15"/>
      <c r="VDN310" s="13"/>
      <c r="VDO310" s="35"/>
      <c r="VDP310" s="35"/>
      <c r="VDQ310" s="15"/>
      <c r="VDS310" s="13"/>
      <c r="VDT310" s="35"/>
      <c r="VDU310" s="35"/>
      <c r="VDV310" s="15"/>
      <c r="VDX310" s="13"/>
      <c r="VDY310" s="35"/>
      <c r="VDZ310" s="35"/>
      <c r="VEA310" s="15"/>
      <c r="VEC310" s="13"/>
      <c r="VED310" s="35"/>
      <c r="VEE310" s="35"/>
      <c r="VEF310" s="15"/>
      <c r="VEH310" s="13"/>
      <c r="VEI310" s="35"/>
      <c r="VEJ310" s="35"/>
      <c r="VEK310" s="15"/>
      <c r="VEM310" s="13"/>
      <c r="VEN310" s="35"/>
      <c r="VEO310" s="35"/>
      <c r="VEP310" s="15"/>
      <c r="VER310" s="13"/>
      <c r="VES310" s="35"/>
      <c r="VET310" s="35"/>
      <c r="VEU310" s="15"/>
      <c r="VEW310" s="13"/>
      <c r="VEX310" s="35"/>
      <c r="VEY310" s="35"/>
      <c r="VEZ310" s="15"/>
      <c r="VFB310" s="13"/>
      <c r="VFC310" s="35"/>
      <c r="VFD310" s="35"/>
      <c r="VFE310" s="15"/>
      <c r="VFG310" s="13"/>
      <c r="VFH310" s="35"/>
      <c r="VFI310" s="35"/>
      <c r="VFJ310" s="15"/>
      <c r="VFL310" s="13"/>
      <c r="VFM310" s="35"/>
      <c r="VFN310" s="35"/>
      <c r="VFO310" s="15"/>
      <c r="VFQ310" s="13"/>
      <c r="VFR310" s="35"/>
      <c r="VFS310" s="35"/>
      <c r="VFT310" s="15"/>
      <c r="VFV310" s="13"/>
      <c r="VFW310" s="35"/>
      <c r="VFX310" s="35"/>
      <c r="VFY310" s="15"/>
      <c r="VGA310" s="13"/>
      <c r="VGB310" s="35"/>
      <c r="VGC310" s="35"/>
      <c r="VGD310" s="15"/>
      <c r="VGF310" s="13"/>
      <c r="VGG310" s="35"/>
      <c r="VGH310" s="35"/>
      <c r="VGI310" s="15"/>
      <c r="VGK310" s="13"/>
      <c r="VGL310" s="35"/>
      <c r="VGM310" s="35"/>
      <c r="VGN310" s="15"/>
      <c r="VGP310" s="13"/>
      <c r="VGQ310" s="35"/>
      <c r="VGR310" s="35"/>
      <c r="VGS310" s="15"/>
      <c r="VGU310" s="13"/>
      <c r="VGV310" s="35"/>
      <c r="VGW310" s="35"/>
      <c r="VGX310" s="15"/>
      <c r="VGZ310" s="13"/>
      <c r="VHA310" s="35"/>
      <c r="VHB310" s="35"/>
      <c r="VHC310" s="15"/>
      <c r="VHE310" s="13"/>
      <c r="VHF310" s="35"/>
      <c r="VHG310" s="35"/>
      <c r="VHH310" s="15"/>
      <c r="VHJ310" s="13"/>
      <c r="VHK310" s="35"/>
      <c r="VHL310" s="35"/>
      <c r="VHM310" s="15"/>
      <c r="VHO310" s="13"/>
      <c r="VHP310" s="35"/>
      <c r="VHQ310" s="35"/>
      <c r="VHR310" s="15"/>
      <c r="VHT310" s="13"/>
      <c r="VHU310" s="35"/>
      <c r="VHV310" s="35"/>
      <c r="VHW310" s="15"/>
      <c r="VHY310" s="13"/>
      <c r="VHZ310" s="35"/>
      <c r="VIA310" s="35"/>
      <c r="VIB310" s="15"/>
      <c r="VID310" s="13"/>
      <c r="VIE310" s="35"/>
      <c r="VIF310" s="35"/>
      <c r="VIG310" s="15"/>
      <c r="VII310" s="13"/>
      <c r="VIJ310" s="35"/>
      <c r="VIK310" s="35"/>
      <c r="VIL310" s="15"/>
      <c r="VIN310" s="13"/>
      <c r="VIO310" s="35"/>
      <c r="VIP310" s="35"/>
      <c r="VIQ310" s="15"/>
      <c r="VIS310" s="13"/>
      <c r="VIT310" s="35"/>
      <c r="VIU310" s="35"/>
      <c r="VIV310" s="15"/>
      <c r="VIX310" s="13"/>
      <c r="VIY310" s="35"/>
      <c r="VIZ310" s="35"/>
      <c r="VJA310" s="15"/>
      <c r="VJC310" s="13"/>
      <c r="VJD310" s="35"/>
      <c r="VJE310" s="35"/>
      <c r="VJF310" s="15"/>
      <c r="VJH310" s="13"/>
      <c r="VJI310" s="35"/>
      <c r="VJJ310" s="35"/>
      <c r="VJK310" s="15"/>
      <c r="VJM310" s="13"/>
      <c r="VJN310" s="35"/>
      <c r="VJO310" s="35"/>
      <c r="VJP310" s="15"/>
      <c r="VJR310" s="13"/>
      <c r="VJS310" s="35"/>
      <c r="VJT310" s="35"/>
      <c r="VJU310" s="15"/>
      <c r="VJW310" s="13"/>
      <c r="VJX310" s="35"/>
      <c r="VJY310" s="35"/>
      <c r="VJZ310" s="15"/>
      <c r="VKB310" s="13"/>
      <c r="VKC310" s="35"/>
      <c r="VKD310" s="35"/>
      <c r="VKE310" s="15"/>
      <c r="VKG310" s="13"/>
      <c r="VKH310" s="35"/>
      <c r="VKI310" s="35"/>
      <c r="VKJ310" s="15"/>
      <c r="VKL310" s="13"/>
      <c r="VKM310" s="35"/>
      <c r="VKN310" s="35"/>
      <c r="VKO310" s="15"/>
      <c r="VKQ310" s="13"/>
      <c r="VKR310" s="35"/>
      <c r="VKS310" s="35"/>
      <c r="VKT310" s="15"/>
      <c r="VKV310" s="13"/>
      <c r="VKW310" s="35"/>
      <c r="VKX310" s="35"/>
      <c r="VKY310" s="15"/>
      <c r="VLA310" s="13"/>
      <c r="VLB310" s="35"/>
      <c r="VLC310" s="35"/>
      <c r="VLD310" s="15"/>
      <c r="VLF310" s="13"/>
      <c r="VLG310" s="35"/>
      <c r="VLH310" s="35"/>
      <c r="VLI310" s="15"/>
      <c r="VLK310" s="13"/>
      <c r="VLL310" s="35"/>
      <c r="VLM310" s="35"/>
      <c r="VLN310" s="15"/>
      <c r="VLP310" s="13"/>
      <c r="VLQ310" s="35"/>
      <c r="VLR310" s="35"/>
      <c r="VLS310" s="15"/>
      <c r="VLU310" s="13"/>
      <c r="VLV310" s="35"/>
      <c r="VLW310" s="35"/>
      <c r="VLX310" s="15"/>
      <c r="VLZ310" s="13"/>
      <c r="VMA310" s="35"/>
      <c r="VMB310" s="35"/>
      <c r="VMC310" s="15"/>
      <c r="VME310" s="13"/>
      <c r="VMF310" s="35"/>
      <c r="VMG310" s="35"/>
      <c r="VMH310" s="15"/>
      <c r="VMJ310" s="13"/>
      <c r="VMK310" s="35"/>
      <c r="VML310" s="35"/>
      <c r="VMM310" s="15"/>
      <c r="VMO310" s="13"/>
      <c r="VMP310" s="35"/>
      <c r="VMQ310" s="35"/>
      <c r="VMR310" s="15"/>
      <c r="VMT310" s="13"/>
      <c r="VMU310" s="35"/>
      <c r="VMV310" s="35"/>
      <c r="VMW310" s="15"/>
      <c r="VMY310" s="13"/>
      <c r="VMZ310" s="35"/>
      <c r="VNA310" s="35"/>
      <c r="VNB310" s="15"/>
      <c r="VND310" s="13"/>
      <c r="VNE310" s="35"/>
      <c r="VNF310" s="35"/>
      <c r="VNG310" s="15"/>
      <c r="VNI310" s="13"/>
      <c r="VNJ310" s="35"/>
      <c r="VNK310" s="35"/>
      <c r="VNL310" s="15"/>
      <c r="VNN310" s="13"/>
      <c r="VNO310" s="35"/>
      <c r="VNP310" s="35"/>
      <c r="VNQ310" s="15"/>
      <c r="VNS310" s="13"/>
      <c r="VNT310" s="35"/>
      <c r="VNU310" s="35"/>
      <c r="VNV310" s="15"/>
      <c r="VNX310" s="13"/>
      <c r="VNY310" s="35"/>
      <c r="VNZ310" s="35"/>
      <c r="VOA310" s="15"/>
      <c r="VOC310" s="13"/>
      <c r="VOD310" s="35"/>
      <c r="VOE310" s="35"/>
      <c r="VOF310" s="15"/>
      <c r="VOH310" s="13"/>
      <c r="VOI310" s="35"/>
      <c r="VOJ310" s="35"/>
      <c r="VOK310" s="15"/>
      <c r="VOM310" s="13"/>
      <c r="VON310" s="35"/>
      <c r="VOO310" s="35"/>
      <c r="VOP310" s="15"/>
      <c r="VOR310" s="13"/>
      <c r="VOS310" s="35"/>
      <c r="VOT310" s="35"/>
      <c r="VOU310" s="15"/>
      <c r="VOW310" s="13"/>
      <c r="VOX310" s="35"/>
      <c r="VOY310" s="35"/>
      <c r="VOZ310" s="15"/>
      <c r="VPB310" s="13"/>
      <c r="VPC310" s="35"/>
      <c r="VPD310" s="35"/>
      <c r="VPE310" s="15"/>
      <c r="VPG310" s="13"/>
      <c r="VPH310" s="35"/>
      <c r="VPI310" s="35"/>
      <c r="VPJ310" s="15"/>
      <c r="VPL310" s="13"/>
      <c r="VPM310" s="35"/>
      <c r="VPN310" s="35"/>
      <c r="VPO310" s="15"/>
      <c r="VPQ310" s="13"/>
      <c r="VPR310" s="35"/>
      <c r="VPS310" s="35"/>
      <c r="VPT310" s="15"/>
      <c r="VPV310" s="13"/>
      <c r="VPW310" s="35"/>
      <c r="VPX310" s="35"/>
      <c r="VPY310" s="15"/>
      <c r="VQA310" s="13"/>
      <c r="VQB310" s="35"/>
      <c r="VQC310" s="35"/>
      <c r="VQD310" s="15"/>
      <c r="VQF310" s="13"/>
      <c r="VQG310" s="35"/>
      <c r="VQH310" s="35"/>
      <c r="VQI310" s="15"/>
      <c r="VQK310" s="13"/>
      <c r="VQL310" s="35"/>
      <c r="VQM310" s="35"/>
      <c r="VQN310" s="15"/>
      <c r="VQP310" s="13"/>
      <c r="VQQ310" s="35"/>
      <c r="VQR310" s="35"/>
      <c r="VQS310" s="15"/>
      <c r="VQU310" s="13"/>
      <c r="VQV310" s="35"/>
      <c r="VQW310" s="35"/>
      <c r="VQX310" s="15"/>
      <c r="VQZ310" s="13"/>
      <c r="VRA310" s="35"/>
      <c r="VRB310" s="35"/>
      <c r="VRC310" s="15"/>
      <c r="VRE310" s="13"/>
      <c r="VRF310" s="35"/>
      <c r="VRG310" s="35"/>
      <c r="VRH310" s="15"/>
      <c r="VRJ310" s="13"/>
      <c r="VRK310" s="35"/>
      <c r="VRL310" s="35"/>
      <c r="VRM310" s="15"/>
      <c r="VRO310" s="13"/>
      <c r="VRP310" s="35"/>
      <c r="VRQ310" s="35"/>
      <c r="VRR310" s="15"/>
      <c r="VRT310" s="13"/>
      <c r="VRU310" s="35"/>
      <c r="VRV310" s="35"/>
      <c r="VRW310" s="15"/>
      <c r="VRY310" s="13"/>
      <c r="VRZ310" s="35"/>
      <c r="VSA310" s="35"/>
      <c r="VSB310" s="15"/>
      <c r="VSD310" s="13"/>
      <c r="VSE310" s="35"/>
      <c r="VSF310" s="35"/>
      <c r="VSG310" s="15"/>
      <c r="VSI310" s="13"/>
      <c r="VSJ310" s="35"/>
      <c r="VSK310" s="35"/>
      <c r="VSL310" s="15"/>
      <c r="VSN310" s="13"/>
      <c r="VSO310" s="35"/>
      <c r="VSP310" s="35"/>
      <c r="VSQ310" s="15"/>
      <c r="VSS310" s="13"/>
      <c r="VST310" s="35"/>
      <c r="VSU310" s="35"/>
      <c r="VSV310" s="15"/>
      <c r="VSX310" s="13"/>
      <c r="VSY310" s="35"/>
      <c r="VSZ310" s="35"/>
      <c r="VTA310" s="15"/>
      <c r="VTC310" s="13"/>
      <c r="VTD310" s="35"/>
      <c r="VTE310" s="35"/>
      <c r="VTF310" s="15"/>
      <c r="VTH310" s="13"/>
      <c r="VTI310" s="35"/>
      <c r="VTJ310" s="35"/>
      <c r="VTK310" s="15"/>
      <c r="VTM310" s="13"/>
      <c r="VTN310" s="35"/>
      <c r="VTO310" s="35"/>
      <c r="VTP310" s="15"/>
      <c r="VTR310" s="13"/>
      <c r="VTS310" s="35"/>
      <c r="VTT310" s="35"/>
      <c r="VTU310" s="15"/>
      <c r="VTW310" s="13"/>
      <c r="VTX310" s="35"/>
      <c r="VTY310" s="35"/>
      <c r="VTZ310" s="15"/>
      <c r="VUB310" s="13"/>
      <c r="VUC310" s="35"/>
      <c r="VUD310" s="35"/>
      <c r="VUE310" s="15"/>
      <c r="VUG310" s="13"/>
      <c r="VUH310" s="35"/>
      <c r="VUI310" s="35"/>
      <c r="VUJ310" s="15"/>
      <c r="VUL310" s="13"/>
      <c r="VUM310" s="35"/>
      <c r="VUN310" s="35"/>
      <c r="VUO310" s="15"/>
      <c r="VUQ310" s="13"/>
      <c r="VUR310" s="35"/>
      <c r="VUS310" s="35"/>
      <c r="VUT310" s="15"/>
      <c r="VUV310" s="13"/>
      <c r="VUW310" s="35"/>
      <c r="VUX310" s="35"/>
      <c r="VUY310" s="15"/>
      <c r="VVA310" s="13"/>
      <c r="VVB310" s="35"/>
      <c r="VVC310" s="35"/>
      <c r="VVD310" s="15"/>
      <c r="VVF310" s="13"/>
      <c r="VVG310" s="35"/>
      <c r="VVH310" s="35"/>
      <c r="VVI310" s="15"/>
      <c r="VVK310" s="13"/>
      <c r="VVL310" s="35"/>
      <c r="VVM310" s="35"/>
      <c r="VVN310" s="15"/>
      <c r="VVP310" s="13"/>
      <c r="VVQ310" s="35"/>
      <c r="VVR310" s="35"/>
      <c r="VVS310" s="15"/>
      <c r="VVU310" s="13"/>
      <c r="VVV310" s="35"/>
      <c r="VVW310" s="35"/>
      <c r="VVX310" s="15"/>
      <c r="VVZ310" s="13"/>
      <c r="VWA310" s="35"/>
      <c r="VWB310" s="35"/>
      <c r="VWC310" s="15"/>
      <c r="VWE310" s="13"/>
      <c r="VWF310" s="35"/>
      <c r="VWG310" s="35"/>
      <c r="VWH310" s="15"/>
      <c r="VWJ310" s="13"/>
      <c r="VWK310" s="35"/>
      <c r="VWL310" s="35"/>
      <c r="VWM310" s="15"/>
      <c r="VWO310" s="13"/>
      <c r="VWP310" s="35"/>
      <c r="VWQ310" s="35"/>
      <c r="VWR310" s="15"/>
      <c r="VWT310" s="13"/>
      <c r="VWU310" s="35"/>
      <c r="VWV310" s="35"/>
      <c r="VWW310" s="15"/>
      <c r="VWY310" s="13"/>
      <c r="VWZ310" s="35"/>
      <c r="VXA310" s="35"/>
      <c r="VXB310" s="15"/>
      <c r="VXD310" s="13"/>
      <c r="VXE310" s="35"/>
      <c r="VXF310" s="35"/>
      <c r="VXG310" s="15"/>
      <c r="VXI310" s="13"/>
      <c r="VXJ310" s="35"/>
      <c r="VXK310" s="35"/>
      <c r="VXL310" s="15"/>
      <c r="VXN310" s="13"/>
      <c r="VXO310" s="35"/>
      <c r="VXP310" s="35"/>
      <c r="VXQ310" s="15"/>
      <c r="VXS310" s="13"/>
      <c r="VXT310" s="35"/>
      <c r="VXU310" s="35"/>
      <c r="VXV310" s="15"/>
      <c r="VXX310" s="13"/>
      <c r="VXY310" s="35"/>
      <c r="VXZ310" s="35"/>
      <c r="VYA310" s="15"/>
      <c r="VYC310" s="13"/>
      <c r="VYD310" s="35"/>
      <c r="VYE310" s="35"/>
      <c r="VYF310" s="15"/>
      <c r="VYH310" s="13"/>
      <c r="VYI310" s="35"/>
      <c r="VYJ310" s="35"/>
      <c r="VYK310" s="15"/>
      <c r="VYM310" s="13"/>
      <c r="VYN310" s="35"/>
      <c r="VYO310" s="35"/>
      <c r="VYP310" s="15"/>
      <c r="VYR310" s="13"/>
      <c r="VYS310" s="35"/>
      <c r="VYT310" s="35"/>
      <c r="VYU310" s="15"/>
      <c r="VYW310" s="13"/>
      <c r="VYX310" s="35"/>
      <c r="VYY310" s="35"/>
      <c r="VYZ310" s="15"/>
      <c r="VZB310" s="13"/>
      <c r="VZC310" s="35"/>
      <c r="VZD310" s="35"/>
      <c r="VZE310" s="15"/>
      <c r="VZG310" s="13"/>
      <c r="VZH310" s="35"/>
      <c r="VZI310" s="35"/>
      <c r="VZJ310" s="15"/>
      <c r="VZL310" s="13"/>
      <c r="VZM310" s="35"/>
      <c r="VZN310" s="35"/>
      <c r="VZO310" s="15"/>
      <c r="VZQ310" s="13"/>
      <c r="VZR310" s="35"/>
      <c r="VZS310" s="35"/>
      <c r="VZT310" s="15"/>
      <c r="VZV310" s="13"/>
      <c r="VZW310" s="35"/>
      <c r="VZX310" s="35"/>
      <c r="VZY310" s="15"/>
      <c r="WAA310" s="13"/>
      <c r="WAB310" s="35"/>
      <c r="WAC310" s="35"/>
      <c r="WAD310" s="15"/>
      <c r="WAF310" s="13"/>
      <c r="WAG310" s="35"/>
      <c r="WAH310" s="35"/>
      <c r="WAI310" s="15"/>
      <c r="WAK310" s="13"/>
      <c r="WAL310" s="35"/>
      <c r="WAM310" s="35"/>
      <c r="WAN310" s="15"/>
      <c r="WAP310" s="13"/>
      <c r="WAQ310" s="35"/>
      <c r="WAR310" s="35"/>
      <c r="WAS310" s="15"/>
      <c r="WAU310" s="13"/>
      <c r="WAV310" s="35"/>
      <c r="WAW310" s="35"/>
      <c r="WAX310" s="15"/>
      <c r="WAZ310" s="13"/>
      <c r="WBA310" s="35"/>
      <c r="WBB310" s="35"/>
      <c r="WBC310" s="15"/>
      <c r="WBE310" s="13"/>
      <c r="WBF310" s="35"/>
      <c r="WBG310" s="35"/>
      <c r="WBH310" s="15"/>
      <c r="WBJ310" s="13"/>
      <c r="WBK310" s="35"/>
      <c r="WBL310" s="35"/>
      <c r="WBM310" s="15"/>
      <c r="WBO310" s="13"/>
      <c r="WBP310" s="35"/>
      <c r="WBQ310" s="35"/>
      <c r="WBR310" s="15"/>
      <c r="WBT310" s="13"/>
      <c r="WBU310" s="35"/>
      <c r="WBV310" s="35"/>
      <c r="WBW310" s="15"/>
      <c r="WBY310" s="13"/>
      <c r="WBZ310" s="35"/>
      <c r="WCA310" s="35"/>
      <c r="WCB310" s="15"/>
      <c r="WCD310" s="13"/>
      <c r="WCE310" s="35"/>
      <c r="WCF310" s="35"/>
      <c r="WCG310" s="15"/>
      <c r="WCI310" s="13"/>
      <c r="WCJ310" s="35"/>
      <c r="WCK310" s="35"/>
      <c r="WCL310" s="15"/>
      <c r="WCN310" s="13"/>
      <c r="WCO310" s="35"/>
      <c r="WCP310" s="35"/>
      <c r="WCQ310" s="15"/>
      <c r="WCS310" s="13"/>
      <c r="WCT310" s="35"/>
      <c r="WCU310" s="35"/>
      <c r="WCV310" s="15"/>
      <c r="WCX310" s="13"/>
      <c r="WCY310" s="35"/>
      <c r="WCZ310" s="35"/>
      <c r="WDA310" s="15"/>
      <c r="WDC310" s="13"/>
      <c r="WDD310" s="35"/>
      <c r="WDE310" s="35"/>
      <c r="WDF310" s="15"/>
      <c r="WDH310" s="13"/>
      <c r="WDI310" s="35"/>
      <c r="WDJ310" s="35"/>
      <c r="WDK310" s="15"/>
      <c r="WDM310" s="13"/>
      <c r="WDN310" s="35"/>
      <c r="WDO310" s="35"/>
      <c r="WDP310" s="15"/>
      <c r="WDR310" s="13"/>
      <c r="WDS310" s="35"/>
      <c r="WDT310" s="35"/>
      <c r="WDU310" s="15"/>
      <c r="WDW310" s="13"/>
      <c r="WDX310" s="35"/>
      <c r="WDY310" s="35"/>
      <c r="WDZ310" s="15"/>
      <c r="WEB310" s="13"/>
      <c r="WEC310" s="35"/>
      <c r="WED310" s="35"/>
      <c r="WEE310" s="15"/>
      <c r="WEG310" s="13"/>
      <c r="WEH310" s="35"/>
      <c r="WEI310" s="35"/>
      <c r="WEJ310" s="15"/>
      <c r="WEL310" s="13"/>
      <c r="WEM310" s="35"/>
      <c r="WEN310" s="35"/>
      <c r="WEO310" s="15"/>
      <c r="WEQ310" s="13"/>
      <c r="WER310" s="35"/>
      <c r="WES310" s="35"/>
      <c r="WET310" s="15"/>
      <c r="WEV310" s="13"/>
      <c r="WEW310" s="35"/>
      <c r="WEX310" s="35"/>
      <c r="WEY310" s="15"/>
      <c r="WFA310" s="13"/>
      <c r="WFB310" s="35"/>
      <c r="WFC310" s="35"/>
      <c r="WFD310" s="15"/>
      <c r="WFF310" s="13"/>
      <c r="WFG310" s="35"/>
      <c r="WFH310" s="35"/>
      <c r="WFI310" s="15"/>
      <c r="WFK310" s="13"/>
      <c r="WFL310" s="35"/>
      <c r="WFM310" s="35"/>
      <c r="WFN310" s="15"/>
      <c r="WFP310" s="13"/>
      <c r="WFQ310" s="35"/>
      <c r="WFR310" s="35"/>
      <c r="WFS310" s="15"/>
      <c r="WFU310" s="13"/>
      <c r="WFV310" s="35"/>
      <c r="WFW310" s="35"/>
      <c r="WFX310" s="15"/>
      <c r="WFZ310" s="13"/>
      <c r="WGA310" s="35"/>
      <c r="WGB310" s="35"/>
      <c r="WGC310" s="15"/>
      <c r="WGE310" s="13"/>
      <c r="WGF310" s="35"/>
      <c r="WGG310" s="35"/>
      <c r="WGH310" s="15"/>
      <c r="WGJ310" s="13"/>
      <c r="WGK310" s="35"/>
      <c r="WGL310" s="35"/>
      <c r="WGM310" s="15"/>
      <c r="WGO310" s="13"/>
      <c r="WGP310" s="35"/>
      <c r="WGQ310" s="35"/>
      <c r="WGR310" s="15"/>
      <c r="WGT310" s="13"/>
      <c r="WGU310" s="35"/>
      <c r="WGV310" s="35"/>
      <c r="WGW310" s="15"/>
      <c r="WGY310" s="13"/>
      <c r="WGZ310" s="35"/>
      <c r="WHA310" s="35"/>
      <c r="WHB310" s="15"/>
      <c r="WHD310" s="13"/>
      <c r="WHE310" s="35"/>
      <c r="WHF310" s="35"/>
      <c r="WHG310" s="15"/>
      <c r="WHI310" s="13"/>
      <c r="WHJ310" s="35"/>
      <c r="WHK310" s="35"/>
      <c r="WHL310" s="15"/>
      <c r="WHN310" s="13"/>
      <c r="WHO310" s="35"/>
      <c r="WHP310" s="35"/>
      <c r="WHQ310" s="15"/>
      <c r="WHS310" s="13"/>
      <c r="WHT310" s="35"/>
      <c r="WHU310" s="35"/>
      <c r="WHV310" s="15"/>
      <c r="WHX310" s="13"/>
      <c r="WHY310" s="35"/>
      <c r="WHZ310" s="35"/>
      <c r="WIA310" s="15"/>
      <c r="WIC310" s="13"/>
      <c r="WID310" s="35"/>
      <c r="WIE310" s="35"/>
      <c r="WIF310" s="15"/>
      <c r="WIH310" s="13"/>
      <c r="WII310" s="35"/>
      <c r="WIJ310" s="35"/>
      <c r="WIK310" s="15"/>
      <c r="WIM310" s="13"/>
      <c r="WIN310" s="35"/>
      <c r="WIO310" s="35"/>
      <c r="WIP310" s="15"/>
      <c r="WIR310" s="13"/>
      <c r="WIS310" s="35"/>
      <c r="WIT310" s="35"/>
      <c r="WIU310" s="15"/>
      <c r="WIW310" s="13"/>
      <c r="WIX310" s="35"/>
      <c r="WIY310" s="35"/>
      <c r="WIZ310" s="15"/>
      <c r="WJB310" s="13"/>
      <c r="WJC310" s="35"/>
      <c r="WJD310" s="35"/>
      <c r="WJE310" s="15"/>
      <c r="WJG310" s="13"/>
      <c r="WJH310" s="35"/>
      <c r="WJI310" s="35"/>
      <c r="WJJ310" s="15"/>
      <c r="WJL310" s="13"/>
      <c r="WJM310" s="35"/>
      <c r="WJN310" s="35"/>
      <c r="WJO310" s="15"/>
      <c r="WJQ310" s="13"/>
      <c r="WJR310" s="35"/>
      <c r="WJS310" s="35"/>
      <c r="WJT310" s="15"/>
      <c r="WJV310" s="13"/>
      <c r="WJW310" s="35"/>
      <c r="WJX310" s="35"/>
      <c r="WJY310" s="15"/>
      <c r="WKA310" s="13"/>
      <c r="WKB310" s="35"/>
      <c r="WKC310" s="35"/>
      <c r="WKD310" s="15"/>
      <c r="WKF310" s="13"/>
      <c r="WKG310" s="35"/>
      <c r="WKH310" s="35"/>
      <c r="WKI310" s="15"/>
      <c r="WKK310" s="13"/>
      <c r="WKL310" s="35"/>
      <c r="WKM310" s="35"/>
      <c r="WKN310" s="15"/>
      <c r="WKP310" s="13"/>
      <c r="WKQ310" s="35"/>
      <c r="WKR310" s="35"/>
      <c r="WKS310" s="15"/>
      <c r="WKU310" s="13"/>
      <c r="WKV310" s="35"/>
      <c r="WKW310" s="35"/>
      <c r="WKX310" s="15"/>
      <c r="WKZ310" s="13"/>
      <c r="WLA310" s="35"/>
      <c r="WLB310" s="35"/>
      <c r="WLC310" s="15"/>
      <c r="WLE310" s="13"/>
      <c r="WLF310" s="35"/>
      <c r="WLG310" s="35"/>
      <c r="WLH310" s="15"/>
      <c r="WLJ310" s="13"/>
      <c r="WLK310" s="35"/>
      <c r="WLL310" s="35"/>
      <c r="WLM310" s="15"/>
      <c r="WLO310" s="13"/>
      <c r="WLP310" s="35"/>
      <c r="WLQ310" s="35"/>
      <c r="WLR310" s="15"/>
      <c r="WLT310" s="13"/>
      <c r="WLU310" s="35"/>
      <c r="WLV310" s="35"/>
      <c r="WLW310" s="15"/>
      <c r="WLY310" s="13"/>
      <c r="WLZ310" s="35"/>
      <c r="WMA310" s="35"/>
      <c r="WMB310" s="15"/>
      <c r="WMD310" s="13"/>
      <c r="WME310" s="35"/>
      <c r="WMF310" s="35"/>
      <c r="WMG310" s="15"/>
      <c r="WMI310" s="13"/>
      <c r="WMJ310" s="35"/>
      <c r="WMK310" s="35"/>
      <c r="WML310" s="15"/>
      <c r="WMN310" s="13"/>
      <c r="WMO310" s="35"/>
      <c r="WMP310" s="35"/>
      <c r="WMQ310" s="15"/>
      <c r="WMS310" s="13"/>
      <c r="WMT310" s="35"/>
      <c r="WMU310" s="35"/>
      <c r="WMV310" s="15"/>
      <c r="WMX310" s="13"/>
      <c r="WMY310" s="35"/>
      <c r="WMZ310" s="35"/>
      <c r="WNA310" s="15"/>
      <c r="WNC310" s="13"/>
      <c r="WND310" s="35"/>
      <c r="WNE310" s="35"/>
      <c r="WNF310" s="15"/>
      <c r="WNH310" s="13"/>
      <c r="WNI310" s="35"/>
      <c r="WNJ310" s="35"/>
      <c r="WNK310" s="15"/>
      <c r="WNM310" s="13"/>
      <c r="WNN310" s="35"/>
      <c r="WNO310" s="35"/>
      <c r="WNP310" s="15"/>
      <c r="WNR310" s="13"/>
      <c r="WNS310" s="35"/>
      <c r="WNT310" s="35"/>
      <c r="WNU310" s="15"/>
      <c r="WNW310" s="13"/>
      <c r="WNX310" s="35"/>
      <c r="WNY310" s="35"/>
      <c r="WNZ310" s="15"/>
      <c r="WOB310" s="13"/>
      <c r="WOC310" s="35"/>
      <c r="WOD310" s="35"/>
      <c r="WOE310" s="15"/>
      <c r="WOG310" s="13"/>
      <c r="WOH310" s="35"/>
      <c r="WOI310" s="35"/>
      <c r="WOJ310" s="15"/>
      <c r="WOL310" s="13"/>
      <c r="WOM310" s="35"/>
      <c r="WON310" s="35"/>
      <c r="WOO310" s="15"/>
      <c r="WOQ310" s="13"/>
      <c r="WOR310" s="35"/>
      <c r="WOS310" s="35"/>
      <c r="WOT310" s="15"/>
      <c r="WOV310" s="13"/>
      <c r="WOW310" s="35"/>
      <c r="WOX310" s="35"/>
      <c r="WOY310" s="15"/>
      <c r="WPA310" s="13"/>
      <c r="WPB310" s="35"/>
      <c r="WPC310" s="35"/>
      <c r="WPD310" s="15"/>
      <c r="WPF310" s="13"/>
      <c r="WPG310" s="35"/>
      <c r="WPH310" s="35"/>
      <c r="WPI310" s="15"/>
      <c r="WPK310" s="13"/>
      <c r="WPL310" s="35"/>
      <c r="WPM310" s="35"/>
      <c r="WPN310" s="15"/>
      <c r="WPP310" s="13"/>
      <c r="WPQ310" s="35"/>
      <c r="WPR310" s="35"/>
      <c r="WPS310" s="15"/>
      <c r="WPU310" s="13"/>
      <c r="WPV310" s="35"/>
      <c r="WPW310" s="35"/>
      <c r="WPX310" s="15"/>
      <c r="WPZ310" s="13"/>
      <c r="WQA310" s="35"/>
      <c r="WQB310" s="35"/>
      <c r="WQC310" s="15"/>
      <c r="WQE310" s="13"/>
      <c r="WQF310" s="35"/>
      <c r="WQG310" s="35"/>
      <c r="WQH310" s="15"/>
      <c r="WQJ310" s="13"/>
      <c r="WQK310" s="35"/>
      <c r="WQL310" s="35"/>
      <c r="WQM310" s="15"/>
      <c r="WQO310" s="13"/>
      <c r="WQP310" s="35"/>
      <c r="WQQ310" s="35"/>
      <c r="WQR310" s="15"/>
      <c r="WQT310" s="13"/>
      <c r="WQU310" s="35"/>
      <c r="WQV310" s="35"/>
      <c r="WQW310" s="15"/>
      <c r="WQY310" s="13"/>
      <c r="WQZ310" s="35"/>
      <c r="WRA310" s="35"/>
      <c r="WRB310" s="15"/>
      <c r="WRD310" s="13"/>
      <c r="WRE310" s="35"/>
      <c r="WRF310" s="35"/>
      <c r="WRG310" s="15"/>
      <c r="WRI310" s="13"/>
      <c r="WRJ310" s="35"/>
      <c r="WRK310" s="35"/>
      <c r="WRL310" s="15"/>
      <c r="WRN310" s="13"/>
      <c r="WRO310" s="35"/>
      <c r="WRP310" s="35"/>
      <c r="WRQ310" s="15"/>
      <c r="WRS310" s="13"/>
      <c r="WRT310" s="35"/>
      <c r="WRU310" s="35"/>
      <c r="WRV310" s="15"/>
      <c r="WRX310" s="13"/>
      <c r="WRY310" s="35"/>
      <c r="WRZ310" s="35"/>
      <c r="WSA310" s="15"/>
      <c r="WSC310" s="13"/>
      <c r="WSD310" s="35"/>
      <c r="WSE310" s="35"/>
      <c r="WSF310" s="15"/>
      <c r="WSH310" s="13"/>
      <c r="WSI310" s="35"/>
      <c r="WSJ310" s="35"/>
      <c r="WSK310" s="15"/>
      <c r="WSM310" s="13"/>
      <c r="WSN310" s="35"/>
      <c r="WSO310" s="35"/>
      <c r="WSP310" s="15"/>
      <c r="WSR310" s="13"/>
      <c r="WSS310" s="35"/>
      <c r="WST310" s="35"/>
      <c r="WSU310" s="15"/>
      <c r="WSW310" s="13"/>
      <c r="WSX310" s="35"/>
      <c r="WSY310" s="35"/>
      <c r="WSZ310" s="15"/>
      <c r="WTB310" s="13"/>
      <c r="WTC310" s="35"/>
      <c r="WTD310" s="35"/>
      <c r="WTE310" s="15"/>
      <c r="WTG310" s="13"/>
      <c r="WTH310" s="35"/>
      <c r="WTI310" s="35"/>
      <c r="WTJ310" s="15"/>
      <c r="WTL310" s="13"/>
      <c r="WTM310" s="35"/>
      <c r="WTN310" s="35"/>
      <c r="WTO310" s="15"/>
      <c r="WTQ310" s="13"/>
      <c r="WTR310" s="35"/>
      <c r="WTS310" s="35"/>
      <c r="WTT310" s="15"/>
      <c r="WTV310" s="13"/>
      <c r="WTW310" s="35"/>
      <c r="WTX310" s="35"/>
      <c r="WTY310" s="15"/>
      <c r="WUA310" s="13"/>
      <c r="WUB310" s="35"/>
      <c r="WUC310" s="35"/>
      <c r="WUD310" s="15"/>
      <c r="WUF310" s="13"/>
      <c r="WUG310" s="35"/>
      <c r="WUH310" s="35"/>
      <c r="WUI310" s="15"/>
      <c r="WUK310" s="13"/>
      <c r="WUL310" s="35"/>
      <c r="WUM310" s="35"/>
      <c r="WUN310" s="15"/>
      <c r="WUP310" s="13"/>
      <c r="WUQ310" s="35"/>
      <c r="WUR310" s="35"/>
      <c r="WUS310" s="15"/>
      <c r="WUU310" s="13"/>
      <c r="WUV310" s="35"/>
      <c r="WUW310" s="35"/>
      <c r="WUX310" s="15"/>
      <c r="WUZ310" s="13"/>
      <c r="WVA310" s="35"/>
      <c r="WVB310" s="35"/>
      <c r="WVC310" s="15"/>
      <c r="WVE310" s="13"/>
      <c r="WVF310" s="35"/>
      <c r="WVG310" s="35"/>
      <c r="WVH310" s="15"/>
      <c r="WVJ310" s="13"/>
      <c r="WVK310" s="35"/>
      <c r="WVL310" s="35"/>
      <c r="WVM310" s="15"/>
      <c r="WVO310" s="13"/>
      <c r="WVP310" s="35"/>
      <c r="WVQ310" s="35"/>
      <c r="WVR310" s="15"/>
      <c r="WVT310" s="13"/>
      <c r="WVU310" s="35"/>
      <c r="WVV310" s="35"/>
      <c r="WVW310" s="15"/>
      <c r="WVY310" s="13"/>
      <c r="WVZ310" s="35"/>
      <c r="WWA310" s="35"/>
      <c r="WWB310" s="15"/>
      <c r="WWD310" s="13"/>
      <c r="WWE310" s="35"/>
      <c r="WWF310" s="35"/>
      <c r="WWG310" s="15"/>
      <c r="WWI310" s="13"/>
      <c r="WWJ310" s="35"/>
      <c r="WWK310" s="35"/>
      <c r="WWL310" s="15"/>
      <c r="WWN310" s="13"/>
      <c r="WWO310" s="35"/>
      <c r="WWP310" s="35"/>
      <c r="WWQ310" s="15"/>
      <c r="WWS310" s="13"/>
      <c r="WWT310" s="35"/>
      <c r="WWU310" s="35"/>
      <c r="WWV310" s="15"/>
      <c r="WWX310" s="13"/>
      <c r="WWY310" s="35"/>
      <c r="WWZ310" s="35"/>
      <c r="WXA310" s="15"/>
      <c r="WXC310" s="13"/>
      <c r="WXD310" s="35"/>
      <c r="WXE310" s="35"/>
      <c r="WXF310" s="15"/>
      <c r="WXH310" s="13"/>
      <c r="WXI310" s="35"/>
      <c r="WXJ310" s="35"/>
      <c r="WXK310" s="15"/>
      <c r="WXM310" s="13"/>
      <c r="WXN310" s="35"/>
      <c r="WXO310" s="35"/>
      <c r="WXP310" s="15"/>
      <c r="WXR310" s="13"/>
      <c r="WXS310" s="35"/>
      <c r="WXT310" s="35"/>
      <c r="WXU310" s="15"/>
      <c r="WXW310" s="13"/>
      <c r="WXX310" s="35"/>
      <c r="WXY310" s="35"/>
      <c r="WXZ310" s="15"/>
      <c r="WYB310" s="13"/>
      <c r="WYC310" s="35"/>
      <c r="WYD310" s="35"/>
      <c r="WYE310" s="15"/>
      <c r="WYG310" s="13"/>
      <c r="WYH310" s="35"/>
      <c r="WYI310" s="35"/>
      <c r="WYJ310" s="15"/>
      <c r="WYL310" s="13"/>
      <c r="WYM310" s="35"/>
      <c r="WYN310" s="35"/>
      <c r="WYO310" s="15"/>
      <c r="WYQ310" s="13"/>
      <c r="WYR310" s="35"/>
      <c r="WYS310" s="35"/>
      <c r="WYT310" s="15"/>
      <c r="WYV310" s="13"/>
      <c r="WYW310" s="35"/>
      <c r="WYX310" s="35"/>
      <c r="WYY310" s="15"/>
      <c r="WZA310" s="13"/>
      <c r="WZB310" s="35"/>
      <c r="WZC310" s="35"/>
      <c r="WZD310" s="15"/>
      <c r="WZF310" s="13"/>
      <c r="WZG310" s="35"/>
      <c r="WZH310" s="35"/>
      <c r="WZI310" s="15"/>
      <c r="WZK310" s="13"/>
      <c r="WZL310" s="35"/>
      <c r="WZM310" s="35"/>
      <c r="WZN310" s="15"/>
      <c r="WZP310" s="13"/>
      <c r="WZQ310" s="35"/>
      <c r="WZR310" s="35"/>
      <c r="WZS310" s="15"/>
      <c r="WZU310" s="13"/>
      <c r="WZV310" s="35"/>
      <c r="WZW310" s="35"/>
      <c r="WZX310" s="15"/>
      <c r="WZZ310" s="13"/>
      <c r="XAA310" s="35"/>
      <c r="XAB310" s="35"/>
      <c r="XAC310" s="15"/>
      <c r="XAE310" s="13"/>
      <c r="XAF310" s="35"/>
      <c r="XAG310" s="35"/>
      <c r="XAH310" s="15"/>
      <c r="XAJ310" s="13"/>
      <c r="XAK310" s="35"/>
      <c r="XAL310" s="35"/>
      <c r="XAM310" s="15"/>
      <c r="XAO310" s="13"/>
      <c r="XAP310" s="35"/>
      <c r="XAQ310" s="35"/>
      <c r="XAR310" s="15"/>
      <c r="XAT310" s="13"/>
      <c r="XAU310" s="35"/>
      <c r="XAV310" s="35"/>
      <c r="XAW310" s="15"/>
      <c r="XAY310" s="13"/>
      <c r="XAZ310" s="35"/>
      <c r="XBA310" s="35"/>
      <c r="XBB310" s="15"/>
      <c r="XBD310" s="13"/>
      <c r="XBE310" s="35"/>
      <c r="XBF310" s="35"/>
      <c r="XBG310" s="15"/>
      <c r="XBI310" s="13"/>
      <c r="XBJ310" s="35"/>
      <c r="XBK310" s="35"/>
      <c r="XBL310" s="15"/>
      <c r="XBN310" s="13"/>
      <c r="XBO310" s="35"/>
      <c r="XBP310" s="35"/>
      <c r="XBQ310" s="15"/>
      <c r="XBS310" s="13"/>
      <c r="XBT310" s="35"/>
      <c r="XBU310" s="35"/>
      <c r="XBV310" s="15"/>
      <c r="XBX310" s="13"/>
      <c r="XBY310" s="35"/>
      <c r="XBZ310" s="35"/>
      <c r="XCA310" s="15"/>
      <c r="XCC310" s="13"/>
      <c r="XCD310" s="35"/>
      <c r="XCE310" s="35"/>
      <c r="XCF310" s="15"/>
      <c r="XCH310" s="13"/>
      <c r="XCI310" s="35"/>
      <c r="XCJ310" s="35"/>
      <c r="XCK310" s="15"/>
      <c r="XCM310" s="13"/>
      <c r="XCN310" s="35"/>
      <c r="XCO310" s="35"/>
      <c r="XCP310" s="15"/>
      <c r="XCR310" s="13"/>
      <c r="XCS310" s="35"/>
      <c r="XCT310" s="35"/>
      <c r="XCU310" s="15"/>
      <c r="XCW310" s="13"/>
      <c r="XCX310" s="35"/>
      <c r="XCY310" s="35"/>
      <c r="XCZ310" s="15"/>
      <c r="XDB310" s="13"/>
      <c r="XDC310" s="35"/>
      <c r="XDD310" s="35"/>
      <c r="XDE310" s="15"/>
      <c r="XDG310" s="13"/>
      <c r="XDH310" s="35"/>
      <c r="XDI310" s="35"/>
      <c r="XDJ310" s="15"/>
      <c r="XDL310" s="13"/>
      <c r="XDM310" s="35"/>
      <c r="XDN310" s="35"/>
      <c r="XDO310" s="15"/>
      <c r="XDQ310" s="13"/>
      <c r="XDR310" s="35"/>
      <c r="XDS310" s="35"/>
      <c r="XDT310" s="15"/>
      <c r="XDV310" s="13"/>
      <c r="XDW310" s="35"/>
      <c r="XDX310" s="35"/>
      <c r="XDY310" s="15"/>
      <c r="XEA310" s="13"/>
      <c r="XEB310" s="35"/>
      <c r="XEC310" s="35"/>
      <c r="XED310" s="15"/>
      <c r="XEF310" s="13"/>
      <c r="XEG310" s="35"/>
      <c r="XEH310" s="35"/>
      <c r="XEI310" s="15"/>
      <c r="XEK310" s="13"/>
      <c r="XEL310" s="35"/>
      <c r="XEM310" s="35"/>
      <c r="XEN310" s="15"/>
      <c r="XEP310" s="13"/>
      <c r="XEQ310" s="35"/>
      <c r="XER310" s="35"/>
      <c r="XES310" s="15"/>
      <c r="XEU310" s="13"/>
      <c r="XEV310" s="35"/>
      <c r="XEW310" s="35"/>
      <c r="XEX310" s="15"/>
      <c r="XEZ310" s="13"/>
      <c r="XFA310" s="35"/>
      <c r="XFB310" s="35"/>
      <c r="XFC310" s="15"/>
    </row>
    <row r="311" spans="1:1023 1025:2048 2050:6143 6145:7168 7170:11263 11265:12288 12290:16383" x14ac:dyDescent="0.3">
      <c r="A311" s="35">
        <v>46106</v>
      </c>
      <c r="B311" s="35" t="s">
        <v>1072</v>
      </c>
      <c r="C311" s="15" t="s">
        <v>1449</v>
      </c>
      <c r="D311" s="1" t="s">
        <v>701</v>
      </c>
      <c r="E311" s="13">
        <v>46297</v>
      </c>
      <c r="F311" s="53">
        <f t="shared" si="13"/>
        <v>191</v>
      </c>
      <c r="G311" s="19">
        <v>-666.999999</v>
      </c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  <c r="AK311" s="36"/>
      <c r="AL311" s="36"/>
      <c r="AM311" s="36"/>
      <c r="AN311" s="36"/>
      <c r="AO311" s="36"/>
      <c r="AP311" s="36"/>
      <c r="AQ311" s="36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  <c r="BK311" s="36"/>
      <c r="BL311" s="36"/>
      <c r="BM311" s="36"/>
      <c r="BN311" s="36"/>
      <c r="BO311" s="36"/>
      <c r="BP311" s="36"/>
      <c r="BQ311" s="36"/>
      <c r="BR311" s="36"/>
      <c r="BS311" s="36"/>
      <c r="BT311" s="36"/>
      <c r="BU311" s="36"/>
      <c r="BV311" s="36"/>
      <c r="BW311" s="36"/>
      <c r="BX311" s="36"/>
      <c r="BY311" s="36"/>
      <c r="BZ311" s="36"/>
      <c r="CA311" s="36"/>
      <c r="CB311" s="36"/>
      <c r="CC311" s="36"/>
      <c r="CD311" s="36"/>
      <c r="CE311" s="36"/>
      <c r="CF311" s="36"/>
      <c r="CG311" s="36"/>
      <c r="CH311" s="36"/>
      <c r="CI311" s="36"/>
      <c r="CJ311" s="36"/>
      <c r="CK311" s="36"/>
      <c r="CL311" s="36"/>
      <c r="CM311" s="36"/>
      <c r="CN311" s="36"/>
      <c r="CO311" s="36"/>
      <c r="CP311" s="36"/>
      <c r="CQ311" s="36"/>
      <c r="CR311" s="36"/>
      <c r="CS311" s="36"/>
      <c r="CT311" s="36"/>
      <c r="CU311" s="36"/>
      <c r="CV311" s="36"/>
      <c r="CW311" s="36"/>
      <c r="CX311" s="36"/>
      <c r="CY311" s="36"/>
      <c r="CZ311" s="36"/>
      <c r="DA311" s="36"/>
      <c r="DB311" s="36"/>
      <c r="DC311" s="36"/>
      <c r="DD311" s="36"/>
      <c r="DE311" s="36"/>
      <c r="DF311" s="36"/>
      <c r="DG311" s="36"/>
      <c r="DH311" s="36"/>
      <c r="DI311" s="36"/>
      <c r="DJ311" s="36"/>
      <c r="DK311" s="36"/>
      <c r="DL311" s="36"/>
      <c r="DM311" s="36"/>
      <c r="DN311" s="36"/>
      <c r="DO311" s="36"/>
      <c r="DP311" s="36"/>
      <c r="DQ311" s="36"/>
      <c r="DR311" s="36"/>
      <c r="DS311" s="36"/>
      <c r="DT311" s="36"/>
      <c r="DU311" s="36"/>
      <c r="DV311" s="36"/>
      <c r="DW311" s="36"/>
      <c r="DX311" s="36"/>
      <c r="DY311" s="36"/>
      <c r="DZ311" s="36"/>
      <c r="EA311" s="36"/>
      <c r="EB311" s="36"/>
      <c r="EC311" s="36"/>
      <c r="ED311" s="36"/>
      <c r="EE311" s="36"/>
      <c r="EF311" s="36"/>
      <c r="EG311" s="36"/>
      <c r="EH311" s="36"/>
      <c r="EI311" s="36"/>
      <c r="EJ311" s="36"/>
      <c r="EK311" s="36"/>
      <c r="EL311" s="36"/>
      <c r="EM311" s="36"/>
      <c r="EN311" s="36"/>
      <c r="EO311" s="36"/>
      <c r="EP311" s="36"/>
      <c r="EQ311" s="36"/>
      <c r="ER311" s="36"/>
      <c r="ES311" s="36"/>
      <c r="ET311" s="36"/>
      <c r="EU311" s="36"/>
      <c r="EV311" s="36"/>
      <c r="EW311" s="36"/>
      <c r="EX311" s="36"/>
      <c r="EY311" s="36"/>
      <c r="EZ311" s="36"/>
      <c r="FA311" s="36"/>
      <c r="FB311" s="36"/>
      <c r="FC311" s="36"/>
      <c r="FD311" s="36"/>
      <c r="FE311" s="36"/>
      <c r="FF311" s="36"/>
      <c r="FG311" s="36"/>
      <c r="FH311" s="36"/>
      <c r="FI311" s="36"/>
      <c r="FJ311" s="36"/>
      <c r="FK311" s="36"/>
      <c r="FL311" s="36"/>
      <c r="FM311" s="36"/>
      <c r="FN311" s="36"/>
      <c r="FO311" s="36"/>
      <c r="FP311" s="36"/>
      <c r="FQ311" s="36"/>
      <c r="FR311" s="36"/>
      <c r="FS311" s="36"/>
      <c r="FT311" s="36"/>
      <c r="FU311" s="36"/>
      <c r="FV311" s="36"/>
      <c r="FW311" s="36"/>
      <c r="FX311" s="36"/>
      <c r="FY311" s="36"/>
      <c r="FZ311" s="36"/>
      <c r="GA311" s="36"/>
      <c r="GB311" s="36"/>
      <c r="GC311" s="36"/>
      <c r="GD311" s="36"/>
      <c r="GE311" s="36"/>
      <c r="GF311" s="36"/>
      <c r="GG311" s="36"/>
      <c r="GH311" s="36"/>
      <c r="GI311" s="36"/>
      <c r="GJ311" s="36"/>
      <c r="GK311" s="36"/>
      <c r="GL311" s="36"/>
      <c r="GM311" s="36"/>
      <c r="GN311" s="36"/>
      <c r="GO311" s="36"/>
      <c r="GP311" s="36"/>
      <c r="GQ311" s="36"/>
      <c r="GR311" s="36"/>
      <c r="GS311" s="36"/>
      <c r="GT311" s="36"/>
      <c r="GU311" s="36"/>
      <c r="GV311" s="36"/>
      <c r="GW311" s="36"/>
      <c r="GX311" s="36"/>
      <c r="GY311" s="36"/>
      <c r="GZ311" s="36"/>
      <c r="HA311" s="36"/>
      <c r="HB311" s="36"/>
      <c r="HC311" s="36"/>
      <c r="HD311" s="36"/>
      <c r="HE311" s="36"/>
      <c r="HF311" s="36"/>
      <c r="HG311" s="36"/>
      <c r="HH311" s="36"/>
      <c r="HI311" s="36"/>
      <c r="HJ311" s="36"/>
      <c r="HK311" s="36"/>
      <c r="HL311" s="36"/>
      <c r="HM311" s="36"/>
      <c r="HN311" s="36"/>
      <c r="HO311" s="36"/>
      <c r="HP311" s="36"/>
      <c r="HQ311" s="36"/>
      <c r="HR311" s="36"/>
      <c r="HS311" s="36"/>
      <c r="HT311" s="36"/>
      <c r="HU311" s="36"/>
      <c r="HV311" s="36"/>
      <c r="HW311" s="36"/>
      <c r="HX311" s="36"/>
      <c r="HY311" s="36"/>
      <c r="HZ311" s="36"/>
      <c r="IA311" s="36"/>
      <c r="IB311" s="36"/>
      <c r="IC311" s="36"/>
      <c r="ID311" s="36"/>
      <c r="IE311" s="36"/>
      <c r="IF311" s="36"/>
      <c r="IG311" s="36"/>
      <c r="IH311" s="36"/>
      <c r="II311" s="36"/>
      <c r="IJ311" s="36"/>
      <c r="IK311" s="36"/>
      <c r="IL311" s="36"/>
      <c r="IM311" s="36"/>
      <c r="IN311" s="36"/>
      <c r="IO311" s="36"/>
      <c r="IP311" s="36"/>
      <c r="IQ311" s="36"/>
      <c r="IR311" s="36"/>
      <c r="IS311" s="36"/>
      <c r="IT311" s="36"/>
      <c r="IU311" s="36"/>
      <c r="IV311" s="36"/>
      <c r="IW311" s="36"/>
      <c r="IX311" s="36"/>
      <c r="IY311" s="36"/>
      <c r="IZ311" s="36"/>
      <c r="JA311" s="36"/>
      <c r="JB311" s="36"/>
      <c r="JC311" s="36"/>
      <c r="JD311" s="36"/>
      <c r="JE311" s="36"/>
      <c r="JF311" s="36"/>
      <c r="JG311" s="36"/>
      <c r="JH311" s="36"/>
      <c r="JI311" s="36"/>
      <c r="JJ311" s="36"/>
      <c r="JK311" s="36"/>
      <c r="JL311" s="36"/>
      <c r="JM311" s="36"/>
      <c r="JN311" s="36"/>
      <c r="JO311" s="36"/>
      <c r="JP311" s="36"/>
      <c r="JQ311" s="36"/>
      <c r="JR311" s="36"/>
      <c r="JS311" s="36"/>
      <c r="JT311" s="36"/>
      <c r="JU311" s="36"/>
      <c r="JV311" s="36"/>
      <c r="JW311" s="36"/>
      <c r="JX311" s="36"/>
      <c r="JY311" s="36"/>
      <c r="JZ311" s="36"/>
      <c r="KA311" s="36"/>
      <c r="KB311" s="36"/>
      <c r="KC311" s="36"/>
      <c r="KD311" s="36"/>
      <c r="KE311" s="36"/>
      <c r="KF311" s="36"/>
      <c r="KG311" s="36"/>
      <c r="KH311" s="36"/>
      <c r="KI311" s="36"/>
      <c r="KJ311" s="36"/>
      <c r="KK311" s="36"/>
      <c r="KL311" s="36"/>
      <c r="KM311" s="36"/>
      <c r="KN311" s="36"/>
      <c r="KO311" s="36"/>
      <c r="KP311" s="36"/>
      <c r="KQ311" s="36"/>
      <c r="KR311" s="36"/>
      <c r="KS311" s="36"/>
      <c r="KT311" s="36"/>
      <c r="KU311" s="36"/>
      <c r="KV311" s="36"/>
      <c r="KW311" s="36"/>
      <c r="KX311" s="36"/>
      <c r="KY311" s="36"/>
      <c r="KZ311" s="36"/>
      <c r="LA311" s="36"/>
      <c r="LB311" s="36"/>
      <c r="LC311" s="36"/>
      <c r="LD311" s="36"/>
      <c r="LE311" s="36"/>
      <c r="LF311" s="36"/>
      <c r="LG311" s="36"/>
      <c r="LH311" s="36"/>
      <c r="LI311" s="36"/>
      <c r="LJ311" s="36"/>
      <c r="LK311" s="36"/>
      <c r="LL311" s="36"/>
      <c r="LM311" s="36"/>
      <c r="LN311" s="36"/>
      <c r="LO311" s="36"/>
      <c r="LP311" s="36"/>
      <c r="LQ311" s="36"/>
      <c r="LR311" s="36"/>
      <c r="LS311" s="36"/>
      <c r="LT311" s="36"/>
      <c r="LU311" s="36"/>
      <c r="LV311" s="36"/>
      <c r="LW311" s="36"/>
      <c r="LX311" s="36"/>
      <c r="LY311" s="36"/>
      <c r="LZ311" s="36"/>
      <c r="MA311" s="36"/>
      <c r="MB311" s="36"/>
      <c r="MC311" s="36"/>
      <c r="MD311" s="36"/>
      <c r="ME311" s="36"/>
      <c r="MF311" s="36"/>
      <c r="MG311" s="36"/>
      <c r="MH311" s="36"/>
      <c r="MI311" s="36"/>
      <c r="MJ311" s="36"/>
      <c r="MK311" s="36"/>
      <c r="ML311" s="36"/>
      <c r="MM311" s="36"/>
      <c r="MN311" s="36"/>
      <c r="MO311" s="36"/>
      <c r="MP311" s="36"/>
      <c r="MQ311" s="36"/>
      <c r="MR311" s="36"/>
      <c r="MS311" s="36"/>
      <c r="MT311" s="36"/>
      <c r="MU311" s="36"/>
      <c r="MV311" s="36"/>
      <c r="MW311" s="36"/>
      <c r="MX311" s="36"/>
      <c r="MY311" s="36"/>
      <c r="MZ311" s="36"/>
      <c r="NA311" s="36"/>
      <c r="NB311" s="36"/>
      <c r="NC311" s="36"/>
      <c r="ND311" s="36"/>
      <c r="NE311" s="36"/>
      <c r="NF311" s="36"/>
      <c r="NG311" s="36"/>
      <c r="NH311" s="36"/>
      <c r="NI311" s="36"/>
      <c r="NJ311" s="36"/>
      <c r="NK311" s="36"/>
      <c r="NL311" s="36"/>
      <c r="NM311" s="36"/>
      <c r="NN311" s="36"/>
      <c r="NO311" s="36"/>
      <c r="NP311" s="36"/>
      <c r="NQ311" s="36"/>
      <c r="NR311" s="36"/>
      <c r="NS311" s="36"/>
      <c r="NT311" s="36"/>
      <c r="NU311" s="36"/>
      <c r="NV311" s="36"/>
      <c r="NW311" s="36"/>
      <c r="NX311" s="36"/>
      <c r="NY311" s="36"/>
      <c r="NZ311" s="36"/>
      <c r="OA311" s="36"/>
      <c r="OB311" s="36"/>
      <c r="OC311" s="36"/>
      <c r="OD311" s="36"/>
      <c r="OE311" s="36"/>
      <c r="OF311" s="36"/>
      <c r="OG311" s="36"/>
      <c r="OH311" s="36"/>
      <c r="OI311" s="36"/>
      <c r="OJ311" s="36"/>
      <c r="OK311" s="36"/>
      <c r="OL311" s="36"/>
      <c r="OM311" s="36"/>
      <c r="ON311" s="36"/>
      <c r="OO311" s="36"/>
      <c r="OP311" s="36"/>
      <c r="OQ311" s="36"/>
      <c r="OR311" s="36"/>
      <c r="OS311" s="36"/>
      <c r="OT311" s="36"/>
      <c r="OU311" s="36"/>
      <c r="OV311" s="36"/>
      <c r="OW311" s="36"/>
      <c r="OX311" s="36"/>
      <c r="OY311" s="36"/>
      <c r="OZ311" s="36"/>
      <c r="PA311" s="36"/>
      <c r="PB311" s="36"/>
      <c r="PC311" s="36"/>
      <c r="PD311" s="36"/>
      <c r="PE311" s="36"/>
      <c r="PF311" s="36"/>
      <c r="PG311" s="36"/>
      <c r="PH311" s="36"/>
      <c r="PI311" s="36"/>
      <c r="PJ311" s="36"/>
      <c r="PK311" s="36"/>
      <c r="PL311" s="36"/>
      <c r="PM311" s="36"/>
      <c r="PN311" s="36"/>
      <c r="PO311" s="36"/>
      <c r="PP311" s="36"/>
      <c r="PQ311" s="36"/>
      <c r="PR311" s="36"/>
      <c r="PS311" s="36"/>
      <c r="PT311" s="36"/>
      <c r="PU311" s="36"/>
      <c r="PV311" s="36"/>
      <c r="PW311" s="36"/>
      <c r="PX311" s="36"/>
      <c r="PY311" s="36"/>
      <c r="PZ311" s="36"/>
      <c r="QA311" s="36"/>
      <c r="QB311" s="36"/>
      <c r="QC311" s="36"/>
      <c r="QD311" s="36"/>
      <c r="QE311" s="36"/>
      <c r="QF311" s="36"/>
      <c r="QG311" s="36"/>
      <c r="QH311" s="36"/>
      <c r="QI311" s="36"/>
      <c r="QJ311" s="36"/>
      <c r="QK311" s="36"/>
      <c r="QL311" s="36"/>
      <c r="QM311" s="36"/>
      <c r="QN311" s="36"/>
      <c r="QO311" s="36"/>
      <c r="QP311" s="36"/>
      <c r="QQ311" s="36"/>
      <c r="QR311" s="36"/>
      <c r="QS311" s="36"/>
      <c r="QT311" s="36"/>
      <c r="QU311" s="36"/>
      <c r="QV311" s="36"/>
      <c r="QW311" s="36"/>
      <c r="QX311" s="36"/>
      <c r="QY311" s="36"/>
      <c r="QZ311" s="36"/>
      <c r="RA311" s="36"/>
      <c r="RB311" s="36"/>
      <c r="RC311" s="36"/>
      <c r="RD311" s="36"/>
      <c r="RE311" s="36"/>
      <c r="RF311" s="36"/>
      <c r="RG311" s="36"/>
      <c r="RH311" s="36"/>
      <c r="RI311" s="36"/>
      <c r="RJ311" s="36"/>
      <c r="RK311" s="36"/>
      <c r="RL311" s="36"/>
      <c r="RM311" s="36"/>
      <c r="RN311" s="36"/>
      <c r="RO311" s="36"/>
      <c r="RP311" s="36"/>
      <c r="RQ311" s="36"/>
      <c r="RR311" s="36"/>
      <c r="RS311" s="36"/>
      <c r="RT311" s="36"/>
      <c r="RU311" s="36"/>
      <c r="RV311" s="36"/>
      <c r="RW311" s="36"/>
      <c r="RX311" s="36"/>
      <c r="RY311" s="36"/>
      <c r="RZ311" s="36"/>
      <c r="SA311" s="36"/>
      <c r="SB311" s="36"/>
      <c r="SC311" s="36"/>
      <c r="SD311" s="36"/>
      <c r="SE311" s="36"/>
      <c r="SF311" s="36"/>
      <c r="SG311" s="36"/>
      <c r="SH311" s="36"/>
      <c r="SI311" s="36"/>
      <c r="SJ311" s="36"/>
      <c r="SK311" s="36"/>
      <c r="SL311" s="36"/>
      <c r="SM311" s="36"/>
      <c r="SN311" s="36"/>
      <c r="SO311" s="36"/>
      <c r="SP311" s="36"/>
      <c r="SQ311" s="36"/>
      <c r="SR311" s="36"/>
      <c r="SS311" s="36"/>
      <c r="ST311" s="36"/>
      <c r="SU311" s="36"/>
      <c r="SV311" s="36"/>
      <c r="SW311" s="36"/>
      <c r="SX311" s="36"/>
      <c r="SY311" s="36"/>
      <c r="SZ311" s="36"/>
      <c r="TA311" s="36"/>
      <c r="TB311" s="36"/>
      <c r="TC311" s="36"/>
      <c r="TD311" s="36"/>
      <c r="TE311" s="36"/>
      <c r="TF311" s="36"/>
      <c r="TG311" s="36"/>
      <c r="TH311" s="36"/>
      <c r="TI311" s="36"/>
      <c r="TJ311" s="36"/>
      <c r="TK311" s="36"/>
      <c r="TL311" s="36"/>
      <c r="TM311" s="36"/>
      <c r="TN311" s="36"/>
      <c r="TO311" s="36"/>
      <c r="TP311" s="36"/>
      <c r="TQ311" s="36"/>
      <c r="TR311" s="36"/>
      <c r="TS311" s="36"/>
      <c r="TT311" s="36"/>
      <c r="TU311" s="36"/>
      <c r="TV311" s="36"/>
      <c r="TW311" s="36"/>
      <c r="TX311" s="36"/>
      <c r="TY311" s="36"/>
      <c r="TZ311" s="36"/>
      <c r="UA311" s="36"/>
      <c r="UB311" s="36"/>
      <c r="UC311" s="36"/>
      <c r="UD311" s="36"/>
      <c r="UE311" s="36"/>
      <c r="UF311" s="36"/>
      <c r="UG311" s="36"/>
      <c r="UH311" s="36"/>
      <c r="UI311" s="36"/>
      <c r="UJ311" s="36"/>
      <c r="UK311" s="36"/>
      <c r="UL311" s="36"/>
      <c r="UM311" s="36"/>
      <c r="UN311" s="36"/>
      <c r="UO311" s="36"/>
      <c r="UP311" s="36"/>
      <c r="UQ311" s="36"/>
      <c r="UR311" s="36"/>
      <c r="US311" s="36"/>
      <c r="UT311" s="36"/>
      <c r="UU311" s="36"/>
      <c r="UV311" s="36"/>
      <c r="UW311" s="36"/>
      <c r="UX311" s="36"/>
      <c r="UY311" s="36"/>
      <c r="UZ311" s="36"/>
      <c r="VA311" s="36"/>
      <c r="VB311" s="36"/>
      <c r="VC311" s="36"/>
      <c r="VD311" s="36"/>
      <c r="VE311" s="36"/>
      <c r="VF311" s="36"/>
      <c r="VG311" s="36"/>
      <c r="VH311" s="36"/>
      <c r="VI311" s="36"/>
      <c r="VJ311" s="36"/>
      <c r="VK311" s="36"/>
      <c r="VL311" s="36"/>
      <c r="VM311" s="36"/>
      <c r="VN311" s="36"/>
      <c r="VO311" s="36"/>
      <c r="VP311" s="36"/>
      <c r="VQ311" s="36"/>
      <c r="VR311" s="36"/>
      <c r="VS311" s="36"/>
      <c r="VT311" s="36"/>
      <c r="VU311" s="36"/>
      <c r="VV311" s="36"/>
      <c r="VW311" s="36"/>
      <c r="VX311" s="36"/>
      <c r="VY311" s="36"/>
      <c r="VZ311" s="36"/>
      <c r="WA311" s="36"/>
      <c r="WB311" s="36"/>
      <c r="WC311" s="36"/>
      <c r="WD311" s="36"/>
      <c r="WE311" s="36"/>
      <c r="WF311" s="36"/>
      <c r="WG311" s="36"/>
      <c r="WH311" s="36"/>
      <c r="WI311" s="36"/>
      <c r="WJ311" s="36"/>
      <c r="WK311" s="36"/>
      <c r="WL311" s="36"/>
      <c r="WM311" s="36"/>
      <c r="WN311" s="36"/>
      <c r="WO311" s="36"/>
      <c r="WP311" s="36"/>
      <c r="WQ311" s="36"/>
      <c r="WR311" s="36"/>
      <c r="WS311" s="36"/>
      <c r="WT311" s="36"/>
      <c r="WU311" s="36"/>
      <c r="WV311" s="36"/>
      <c r="WW311" s="36"/>
      <c r="WX311" s="36"/>
      <c r="WY311" s="36"/>
      <c r="WZ311" s="36"/>
      <c r="XA311" s="36"/>
      <c r="XB311" s="36"/>
      <c r="XC311" s="36"/>
      <c r="XD311" s="36"/>
      <c r="XE311" s="36"/>
      <c r="XF311" s="36"/>
      <c r="XG311" s="36"/>
      <c r="XH311" s="36"/>
      <c r="XI311" s="36"/>
      <c r="XJ311" s="36"/>
      <c r="XK311" s="36"/>
      <c r="XL311" s="36"/>
      <c r="XM311" s="36"/>
      <c r="XN311" s="36"/>
      <c r="XO311" s="36"/>
      <c r="XP311" s="36"/>
      <c r="XQ311" s="36"/>
      <c r="XR311" s="36"/>
      <c r="XS311" s="36"/>
      <c r="XT311" s="36"/>
      <c r="XU311" s="36"/>
      <c r="XV311" s="36"/>
      <c r="XW311" s="36"/>
      <c r="XX311" s="36"/>
      <c r="XY311" s="36"/>
      <c r="XZ311" s="36"/>
      <c r="YA311" s="36"/>
      <c r="YB311" s="36"/>
      <c r="YC311" s="36"/>
      <c r="YD311" s="36"/>
      <c r="YE311" s="36"/>
      <c r="YF311" s="36"/>
      <c r="YG311" s="36"/>
      <c r="YH311" s="36"/>
      <c r="YI311" s="36"/>
      <c r="YJ311" s="36"/>
      <c r="YK311" s="36"/>
      <c r="YL311" s="36"/>
      <c r="YM311" s="36"/>
      <c r="YN311" s="36"/>
      <c r="YO311" s="36"/>
      <c r="YP311" s="36"/>
      <c r="YQ311" s="36"/>
      <c r="YR311" s="36"/>
      <c r="YS311" s="36"/>
      <c r="YT311" s="36"/>
      <c r="YU311" s="36"/>
      <c r="YV311" s="36"/>
      <c r="YW311" s="36"/>
      <c r="YX311" s="36"/>
      <c r="YY311" s="36"/>
      <c r="YZ311" s="36"/>
      <c r="ZA311" s="36"/>
      <c r="ZB311" s="36"/>
      <c r="ZC311" s="36"/>
      <c r="ZD311" s="36"/>
      <c r="ZE311" s="36"/>
      <c r="ZF311" s="36"/>
      <c r="ZG311" s="36"/>
      <c r="ZH311" s="36"/>
      <c r="ZI311" s="36"/>
      <c r="ZJ311" s="36"/>
      <c r="ZK311" s="36"/>
      <c r="ZL311" s="36"/>
      <c r="ZM311" s="36"/>
      <c r="ZN311" s="36"/>
      <c r="ZO311" s="36"/>
      <c r="ZP311" s="36"/>
      <c r="ZQ311" s="36"/>
      <c r="ZR311" s="36"/>
      <c r="ZS311" s="36"/>
      <c r="ZT311" s="36"/>
      <c r="ZU311" s="36"/>
      <c r="ZV311" s="36"/>
      <c r="ZW311" s="36"/>
      <c r="ZX311" s="36"/>
      <c r="ZY311" s="36"/>
      <c r="ZZ311" s="36"/>
      <c r="AAA311" s="36"/>
      <c r="AAB311" s="36"/>
      <c r="AAC311" s="36"/>
      <c r="AAD311" s="36"/>
      <c r="AAE311" s="36"/>
      <c r="AAF311" s="36"/>
      <c r="AAG311" s="36"/>
      <c r="AAH311" s="36"/>
      <c r="AAI311" s="36"/>
      <c r="AAJ311" s="36"/>
      <c r="AAK311" s="36"/>
      <c r="AAL311" s="36"/>
      <c r="AAM311" s="36"/>
      <c r="AAN311" s="36"/>
      <c r="AAO311" s="36"/>
      <c r="AAP311" s="36"/>
      <c r="AAQ311" s="36"/>
      <c r="AAR311" s="36"/>
      <c r="AAS311" s="36"/>
      <c r="AAT311" s="36"/>
      <c r="AAU311" s="36"/>
      <c r="AAV311" s="36"/>
      <c r="AAW311" s="36"/>
      <c r="AAX311" s="36"/>
      <c r="AAY311" s="36"/>
      <c r="AAZ311" s="36"/>
      <c r="ABA311" s="36"/>
      <c r="ABB311" s="36"/>
      <c r="ABC311" s="36"/>
      <c r="ABD311" s="36"/>
      <c r="ABE311" s="36"/>
      <c r="ABF311" s="36"/>
      <c r="ABG311" s="36"/>
      <c r="ABH311" s="36"/>
      <c r="ABI311" s="36"/>
      <c r="ABJ311" s="36"/>
      <c r="ABK311" s="36"/>
      <c r="ABL311" s="36"/>
      <c r="ABM311" s="36"/>
      <c r="ABN311" s="36"/>
      <c r="ABO311" s="36"/>
      <c r="ABP311" s="36"/>
      <c r="ABQ311" s="36"/>
      <c r="ABR311" s="36"/>
      <c r="ABS311" s="36"/>
      <c r="ABT311" s="36"/>
      <c r="ABV311" s="13"/>
      <c r="ABW311" s="35"/>
      <c r="ABX311" s="35"/>
      <c r="ABY311" s="15"/>
      <c r="ACA311" s="13"/>
      <c r="ACB311" s="35"/>
      <c r="ACC311" s="35"/>
      <c r="ACD311" s="15"/>
      <c r="ACF311" s="13"/>
      <c r="ACG311" s="35"/>
      <c r="ACH311" s="35"/>
      <c r="ACI311" s="15"/>
      <c r="ACK311" s="13"/>
      <c r="ACL311" s="35"/>
      <c r="ACM311" s="35"/>
      <c r="ACN311" s="15"/>
      <c r="ACP311" s="13"/>
      <c r="ACQ311" s="35"/>
      <c r="ACR311" s="35"/>
      <c r="ACS311" s="15"/>
      <c r="ACU311" s="13"/>
      <c r="ACV311" s="35"/>
      <c r="ACW311" s="35"/>
      <c r="ACX311" s="15"/>
      <c r="ACZ311" s="13"/>
      <c r="ADA311" s="35"/>
      <c r="ADB311" s="35"/>
      <c r="ADC311" s="15"/>
      <c r="ADE311" s="13"/>
      <c r="ADF311" s="35"/>
      <c r="ADG311" s="35"/>
      <c r="ADH311" s="15"/>
      <c r="ADJ311" s="13"/>
      <c r="ADK311" s="35"/>
      <c r="ADL311" s="35"/>
      <c r="ADM311" s="15"/>
      <c r="ADO311" s="13"/>
      <c r="ADP311" s="35"/>
      <c r="ADQ311" s="35"/>
      <c r="ADR311" s="15"/>
      <c r="ADT311" s="13"/>
      <c r="ADU311" s="35"/>
      <c r="ADV311" s="35"/>
      <c r="ADW311" s="15"/>
      <c r="ADY311" s="13"/>
      <c r="ADZ311" s="35"/>
      <c r="AEA311" s="35"/>
      <c r="AEB311" s="15"/>
      <c r="AED311" s="13"/>
      <c r="AEE311" s="35"/>
      <c r="AEF311" s="35"/>
      <c r="AEG311" s="15"/>
      <c r="AEI311" s="13"/>
      <c r="AEJ311" s="35"/>
      <c r="AEK311" s="35"/>
      <c r="AEL311" s="15"/>
      <c r="AEN311" s="13"/>
      <c r="AEO311" s="35"/>
      <c r="AEP311" s="35"/>
      <c r="AEQ311" s="15"/>
      <c r="AES311" s="13"/>
      <c r="AET311" s="35"/>
      <c r="AEU311" s="35"/>
      <c r="AEV311" s="15"/>
      <c r="AEX311" s="13"/>
      <c r="AEY311" s="35"/>
      <c r="AEZ311" s="35"/>
      <c r="AFA311" s="15"/>
      <c r="AFC311" s="13"/>
      <c r="AFD311" s="35"/>
      <c r="AFE311" s="35"/>
      <c r="AFF311" s="15"/>
      <c r="AFH311" s="13"/>
      <c r="AFI311" s="35"/>
      <c r="AFJ311" s="35"/>
      <c r="AFK311" s="15"/>
      <c r="AFM311" s="13"/>
      <c r="AFN311" s="35"/>
      <c r="AFO311" s="35"/>
      <c r="AFP311" s="15"/>
      <c r="AFR311" s="13"/>
      <c r="AFS311" s="35"/>
      <c r="AFT311" s="35"/>
      <c r="AFU311" s="15"/>
      <c r="AFW311" s="13"/>
      <c r="AFX311" s="35"/>
      <c r="AFY311" s="35"/>
      <c r="AFZ311" s="15"/>
      <c r="AGB311" s="13"/>
      <c r="AGC311" s="35"/>
      <c r="AGD311" s="35"/>
      <c r="AGE311" s="15"/>
      <c r="AGG311" s="13"/>
      <c r="AGH311" s="35"/>
      <c r="AGI311" s="35"/>
      <c r="AGJ311" s="15"/>
      <c r="AGL311" s="13"/>
      <c r="AGM311" s="35"/>
      <c r="AGN311" s="35"/>
      <c r="AGO311" s="15"/>
      <c r="AGQ311" s="13"/>
      <c r="AGR311" s="35"/>
      <c r="AGS311" s="35"/>
      <c r="AGT311" s="15"/>
      <c r="AGV311" s="13"/>
      <c r="AGW311" s="35"/>
      <c r="AGX311" s="35"/>
      <c r="AGY311" s="15"/>
      <c r="AHA311" s="13"/>
      <c r="AHB311" s="35"/>
      <c r="AHC311" s="35"/>
      <c r="AHD311" s="15"/>
      <c r="AHF311" s="13"/>
      <c r="AHG311" s="35"/>
      <c r="AHH311" s="35"/>
      <c r="AHI311" s="15"/>
      <c r="AHK311" s="13"/>
      <c r="AHL311" s="35"/>
      <c r="AHM311" s="35"/>
      <c r="AHN311" s="15"/>
      <c r="AHP311" s="13"/>
      <c r="AHQ311" s="35"/>
      <c r="AHR311" s="35"/>
      <c r="AHS311" s="15"/>
      <c r="AHU311" s="13"/>
      <c r="AHV311" s="35"/>
      <c r="AHW311" s="35"/>
      <c r="AHX311" s="15"/>
      <c r="AHZ311" s="13"/>
      <c r="AIA311" s="35"/>
      <c r="AIB311" s="35"/>
      <c r="AIC311" s="15"/>
      <c r="AIE311" s="13"/>
      <c r="AIF311" s="35"/>
      <c r="AIG311" s="35"/>
      <c r="AIH311" s="15"/>
      <c r="AIJ311" s="13"/>
      <c r="AIK311" s="35"/>
      <c r="AIL311" s="35"/>
      <c r="AIM311" s="15"/>
      <c r="AIO311" s="13"/>
      <c r="AIP311" s="35"/>
      <c r="AIQ311" s="35"/>
      <c r="AIR311" s="15"/>
      <c r="AIT311" s="13"/>
      <c r="AIU311" s="35"/>
      <c r="AIV311" s="35"/>
      <c r="AIW311" s="15"/>
      <c r="AIY311" s="13"/>
      <c r="AIZ311" s="35"/>
      <c r="AJA311" s="35"/>
      <c r="AJB311" s="15"/>
      <c r="AJD311" s="13"/>
      <c r="AJE311" s="35"/>
      <c r="AJF311" s="35"/>
      <c r="AJG311" s="15"/>
      <c r="AJI311" s="13"/>
      <c r="AJJ311" s="35"/>
      <c r="AJK311" s="35"/>
      <c r="AJL311" s="15"/>
      <c r="AJN311" s="13"/>
      <c r="AJO311" s="35"/>
      <c r="AJP311" s="35"/>
      <c r="AJQ311" s="15"/>
      <c r="AJS311" s="13"/>
      <c r="AJT311" s="35"/>
      <c r="AJU311" s="35"/>
      <c r="AJV311" s="15"/>
      <c r="AJX311" s="13"/>
      <c r="AJY311" s="35"/>
      <c r="AJZ311" s="35"/>
      <c r="AKA311" s="15"/>
      <c r="AKC311" s="13"/>
      <c r="AKD311" s="35"/>
      <c r="AKE311" s="35"/>
      <c r="AKF311" s="15"/>
      <c r="AKH311" s="13"/>
      <c r="AKI311" s="35"/>
      <c r="AKJ311" s="35"/>
      <c r="AKK311" s="15"/>
      <c r="AKM311" s="13"/>
      <c r="AKN311" s="35"/>
      <c r="AKO311" s="35"/>
      <c r="AKP311" s="15"/>
      <c r="AKR311" s="13"/>
      <c r="AKS311" s="35"/>
      <c r="AKT311" s="35"/>
      <c r="AKU311" s="15"/>
      <c r="AKW311" s="13"/>
      <c r="AKX311" s="35"/>
      <c r="AKY311" s="35"/>
      <c r="AKZ311" s="15"/>
      <c r="ALB311" s="13"/>
      <c r="ALC311" s="35"/>
      <c r="ALD311" s="35"/>
      <c r="ALE311" s="15"/>
      <c r="ALG311" s="13"/>
      <c r="ALH311" s="35"/>
      <c r="ALI311" s="35"/>
      <c r="ALJ311" s="15"/>
      <c r="ALL311" s="13"/>
      <c r="ALM311" s="35"/>
      <c r="ALN311" s="35"/>
      <c r="ALO311" s="15"/>
      <c r="ALQ311" s="13"/>
      <c r="ALR311" s="35"/>
      <c r="ALS311" s="35"/>
      <c r="ALT311" s="15"/>
      <c r="ALV311" s="13"/>
      <c r="ALW311" s="35"/>
      <c r="ALX311" s="35"/>
      <c r="ALY311" s="15"/>
      <c r="AMA311" s="13"/>
      <c r="AMB311" s="35"/>
      <c r="AMC311" s="35"/>
      <c r="AMD311" s="15"/>
      <c r="AMF311" s="13"/>
      <c r="AMG311" s="35"/>
      <c r="AMH311" s="35"/>
      <c r="AMI311" s="15"/>
      <c r="AMK311" s="13"/>
      <c r="AML311" s="35"/>
      <c r="AMM311" s="35"/>
      <c r="AMN311" s="15"/>
      <c r="AMP311" s="13"/>
      <c r="AMQ311" s="35"/>
      <c r="AMR311" s="35"/>
      <c r="AMS311" s="15"/>
      <c r="AMU311" s="13"/>
      <c r="AMV311" s="35"/>
      <c r="AMW311" s="35"/>
      <c r="AMX311" s="15"/>
      <c r="AMZ311" s="13"/>
      <c r="ANA311" s="35"/>
      <c r="ANB311" s="35"/>
      <c r="ANC311" s="15"/>
      <c r="ANE311" s="13"/>
      <c r="ANF311" s="35"/>
      <c r="ANG311" s="35"/>
      <c r="ANH311" s="15"/>
      <c r="ANJ311" s="13"/>
      <c r="ANK311" s="35"/>
      <c r="ANL311" s="35"/>
      <c r="ANM311" s="15"/>
      <c r="ANO311" s="13"/>
      <c r="ANP311" s="35"/>
      <c r="ANQ311" s="35"/>
      <c r="ANR311" s="15"/>
      <c r="ANT311" s="13"/>
      <c r="ANU311" s="35"/>
      <c r="ANV311" s="35"/>
      <c r="ANW311" s="15"/>
      <c r="ANY311" s="13"/>
      <c r="ANZ311" s="35"/>
      <c r="AOA311" s="35"/>
      <c r="AOB311" s="15"/>
      <c r="AOD311" s="13"/>
      <c r="AOE311" s="35"/>
      <c r="AOF311" s="35"/>
      <c r="AOG311" s="15"/>
      <c r="AOI311" s="13"/>
      <c r="AOJ311" s="35"/>
      <c r="AOK311" s="35"/>
      <c r="AOL311" s="15"/>
      <c r="AON311" s="13"/>
      <c r="AOO311" s="35"/>
      <c r="AOP311" s="35"/>
      <c r="AOQ311" s="15"/>
      <c r="AOS311" s="13"/>
      <c r="AOT311" s="35"/>
      <c r="AOU311" s="35"/>
      <c r="AOV311" s="15"/>
      <c r="AOX311" s="13"/>
      <c r="AOY311" s="35"/>
      <c r="AOZ311" s="35"/>
      <c r="APA311" s="15"/>
      <c r="APC311" s="13"/>
      <c r="APD311" s="35"/>
      <c r="APE311" s="35"/>
      <c r="APF311" s="15"/>
      <c r="APH311" s="13"/>
      <c r="API311" s="35"/>
      <c r="APJ311" s="35"/>
      <c r="APK311" s="15"/>
      <c r="APM311" s="13"/>
      <c r="APN311" s="35"/>
      <c r="APO311" s="35"/>
      <c r="APP311" s="15"/>
      <c r="APR311" s="13"/>
      <c r="APS311" s="35"/>
      <c r="APT311" s="35"/>
      <c r="APU311" s="15"/>
      <c r="APW311" s="13"/>
      <c r="APX311" s="35"/>
      <c r="APY311" s="35"/>
      <c r="APZ311" s="15"/>
      <c r="AQB311" s="13"/>
      <c r="AQC311" s="35"/>
      <c r="AQD311" s="35"/>
      <c r="AQE311" s="15"/>
      <c r="AQG311" s="13"/>
      <c r="AQH311" s="35"/>
      <c r="AQI311" s="35"/>
      <c r="AQJ311" s="15"/>
      <c r="AQL311" s="13"/>
      <c r="AQM311" s="35"/>
      <c r="AQN311" s="35"/>
      <c r="AQO311" s="15"/>
      <c r="AQQ311" s="13"/>
      <c r="AQR311" s="35"/>
      <c r="AQS311" s="35"/>
      <c r="AQT311" s="15"/>
      <c r="AQV311" s="13"/>
      <c r="AQW311" s="35"/>
      <c r="AQX311" s="35"/>
      <c r="AQY311" s="15"/>
      <c r="ARA311" s="13"/>
      <c r="ARB311" s="35"/>
      <c r="ARC311" s="35"/>
      <c r="ARD311" s="15"/>
      <c r="ARF311" s="13"/>
      <c r="ARG311" s="35"/>
      <c r="ARH311" s="35"/>
      <c r="ARI311" s="15"/>
      <c r="ARK311" s="13"/>
      <c r="ARL311" s="35"/>
      <c r="ARM311" s="35"/>
      <c r="ARN311" s="15"/>
      <c r="ARP311" s="13"/>
      <c r="ARQ311" s="35"/>
      <c r="ARR311" s="35"/>
      <c r="ARS311" s="15"/>
      <c r="ARU311" s="13"/>
      <c r="ARV311" s="35"/>
      <c r="ARW311" s="35"/>
      <c r="ARX311" s="15"/>
      <c r="ARZ311" s="13"/>
      <c r="ASA311" s="35"/>
      <c r="ASB311" s="35"/>
      <c r="ASC311" s="15"/>
      <c r="ASE311" s="13"/>
      <c r="ASF311" s="35"/>
      <c r="ASG311" s="35"/>
      <c r="ASH311" s="15"/>
      <c r="ASJ311" s="13"/>
      <c r="ASK311" s="35"/>
      <c r="ASL311" s="35"/>
      <c r="ASM311" s="15"/>
      <c r="ASO311" s="13"/>
      <c r="ASP311" s="35"/>
      <c r="ASQ311" s="35"/>
      <c r="ASR311" s="15"/>
      <c r="AST311" s="13"/>
      <c r="ASU311" s="35"/>
      <c r="ASV311" s="35"/>
      <c r="ASW311" s="15"/>
      <c r="ASY311" s="13"/>
      <c r="ASZ311" s="35"/>
      <c r="ATA311" s="35"/>
      <c r="ATB311" s="15"/>
      <c r="ATD311" s="13"/>
      <c r="ATE311" s="35"/>
      <c r="ATF311" s="35"/>
      <c r="ATG311" s="15"/>
      <c r="ATI311" s="13"/>
      <c r="ATJ311" s="35"/>
      <c r="ATK311" s="35"/>
      <c r="ATL311" s="15"/>
      <c r="ATN311" s="13"/>
      <c r="ATO311" s="35"/>
      <c r="ATP311" s="35"/>
      <c r="ATQ311" s="15"/>
      <c r="ATS311" s="13"/>
      <c r="ATT311" s="35"/>
      <c r="ATU311" s="35"/>
      <c r="ATV311" s="15"/>
      <c r="ATX311" s="13"/>
      <c r="ATY311" s="35"/>
      <c r="ATZ311" s="35"/>
      <c r="AUA311" s="15"/>
      <c r="AUC311" s="13"/>
      <c r="AUD311" s="35"/>
      <c r="AUE311" s="35"/>
      <c r="AUF311" s="15"/>
      <c r="AUH311" s="13"/>
      <c r="AUI311" s="35"/>
      <c r="AUJ311" s="35"/>
      <c r="AUK311" s="15"/>
      <c r="AUM311" s="13"/>
      <c r="AUN311" s="35"/>
      <c r="AUO311" s="35"/>
      <c r="AUP311" s="15"/>
      <c r="AUR311" s="13"/>
      <c r="AUS311" s="35"/>
      <c r="AUT311" s="35"/>
      <c r="AUU311" s="15"/>
      <c r="AUW311" s="13"/>
      <c r="AUX311" s="35"/>
      <c r="AUY311" s="35"/>
      <c r="AUZ311" s="15"/>
      <c r="AVB311" s="13"/>
      <c r="AVC311" s="35"/>
      <c r="AVD311" s="35"/>
      <c r="AVE311" s="15"/>
      <c r="AVG311" s="13"/>
      <c r="AVH311" s="35"/>
      <c r="AVI311" s="35"/>
      <c r="AVJ311" s="15"/>
      <c r="AVL311" s="13"/>
      <c r="AVM311" s="35"/>
      <c r="AVN311" s="35"/>
      <c r="AVO311" s="15"/>
      <c r="AVQ311" s="13"/>
      <c r="AVR311" s="35"/>
      <c r="AVS311" s="35"/>
      <c r="AVT311" s="15"/>
      <c r="AVV311" s="13"/>
      <c r="AVW311" s="35"/>
      <c r="AVX311" s="35"/>
      <c r="AVY311" s="15"/>
      <c r="AWA311" s="13"/>
      <c r="AWB311" s="35"/>
      <c r="AWC311" s="35"/>
      <c r="AWD311" s="15"/>
      <c r="AWF311" s="13"/>
      <c r="AWG311" s="35"/>
      <c r="AWH311" s="35"/>
      <c r="AWI311" s="15"/>
      <c r="AWK311" s="13"/>
      <c r="AWL311" s="35"/>
      <c r="AWM311" s="35"/>
      <c r="AWN311" s="15"/>
      <c r="AWP311" s="13"/>
      <c r="AWQ311" s="35"/>
      <c r="AWR311" s="35"/>
      <c r="AWS311" s="15"/>
      <c r="AWU311" s="13"/>
      <c r="AWV311" s="35"/>
      <c r="AWW311" s="35"/>
      <c r="AWX311" s="15"/>
      <c r="AWZ311" s="13"/>
      <c r="AXA311" s="35"/>
      <c r="AXB311" s="35"/>
      <c r="AXC311" s="15"/>
      <c r="AXE311" s="13"/>
      <c r="AXF311" s="35"/>
      <c r="AXG311" s="35"/>
      <c r="AXH311" s="15"/>
      <c r="AXJ311" s="13"/>
      <c r="AXK311" s="35"/>
      <c r="AXL311" s="35"/>
      <c r="AXM311" s="15"/>
      <c r="AXO311" s="13"/>
      <c r="AXP311" s="35"/>
      <c r="AXQ311" s="35"/>
      <c r="AXR311" s="15"/>
      <c r="AXT311" s="13"/>
      <c r="AXU311" s="35"/>
      <c r="AXV311" s="35"/>
      <c r="AXW311" s="15"/>
      <c r="AXY311" s="13"/>
      <c r="AXZ311" s="35"/>
      <c r="AYA311" s="35"/>
      <c r="AYB311" s="15"/>
      <c r="AYD311" s="13"/>
      <c r="AYE311" s="35"/>
      <c r="AYF311" s="35"/>
      <c r="AYG311" s="15"/>
      <c r="AYI311" s="13"/>
      <c r="AYJ311" s="35"/>
      <c r="AYK311" s="35"/>
      <c r="AYL311" s="15"/>
      <c r="AYN311" s="13"/>
      <c r="AYO311" s="35"/>
      <c r="AYP311" s="35"/>
      <c r="AYQ311" s="15"/>
      <c r="AYS311" s="13"/>
      <c r="AYT311" s="35"/>
      <c r="AYU311" s="35"/>
      <c r="AYV311" s="15"/>
      <c r="AYX311" s="13"/>
      <c r="AYY311" s="35"/>
      <c r="AYZ311" s="35"/>
      <c r="AZA311" s="15"/>
      <c r="AZC311" s="13"/>
      <c r="AZD311" s="35"/>
      <c r="AZE311" s="35"/>
      <c r="AZF311" s="15"/>
      <c r="AZH311" s="13"/>
      <c r="AZI311" s="35"/>
      <c r="AZJ311" s="35"/>
      <c r="AZK311" s="15"/>
      <c r="AZM311" s="13"/>
      <c r="AZN311" s="35"/>
      <c r="AZO311" s="35"/>
      <c r="AZP311" s="15"/>
      <c r="AZR311" s="13"/>
      <c r="AZS311" s="35"/>
      <c r="AZT311" s="35"/>
      <c r="AZU311" s="15"/>
      <c r="AZW311" s="13"/>
      <c r="AZX311" s="35"/>
      <c r="AZY311" s="35"/>
      <c r="AZZ311" s="15"/>
      <c r="BAB311" s="13"/>
      <c r="BAC311" s="35"/>
      <c r="BAD311" s="35"/>
      <c r="BAE311" s="15"/>
      <c r="BAG311" s="13"/>
      <c r="BAH311" s="35"/>
      <c r="BAI311" s="35"/>
      <c r="BAJ311" s="15"/>
      <c r="BAL311" s="13"/>
      <c r="BAM311" s="35"/>
      <c r="BAN311" s="35"/>
      <c r="BAO311" s="15"/>
      <c r="BAQ311" s="13"/>
      <c r="BAR311" s="35"/>
      <c r="BAS311" s="35"/>
      <c r="BAT311" s="15"/>
      <c r="BAV311" s="13"/>
      <c r="BAW311" s="35"/>
      <c r="BAX311" s="35"/>
      <c r="BAY311" s="15"/>
      <c r="BBA311" s="13"/>
      <c r="BBB311" s="35"/>
      <c r="BBC311" s="35"/>
      <c r="BBD311" s="15"/>
      <c r="BBF311" s="13"/>
      <c r="BBG311" s="35"/>
      <c r="BBH311" s="35"/>
      <c r="BBI311" s="15"/>
      <c r="BBK311" s="13"/>
      <c r="BBL311" s="35"/>
      <c r="BBM311" s="35"/>
      <c r="BBN311" s="15"/>
      <c r="BBP311" s="13"/>
      <c r="BBQ311" s="35"/>
      <c r="BBR311" s="35"/>
      <c r="BBS311" s="15"/>
      <c r="BBU311" s="13"/>
      <c r="BBV311" s="35"/>
      <c r="BBW311" s="35"/>
      <c r="BBX311" s="15"/>
      <c r="BBZ311" s="13"/>
      <c r="BCA311" s="35"/>
      <c r="BCB311" s="35"/>
      <c r="BCC311" s="15"/>
      <c r="BCE311" s="13"/>
      <c r="BCF311" s="35"/>
      <c r="BCG311" s="35"/>
      <c r="BCH311" s="15"/>
      <c r="BCJ311" s="13"/>
      <c r="BCK311" s="35"/>
      <c r="BCL311" s="35"/>
      <c r="BCM311" s="15"/>
      <c r="BCO311" s="13"/>
      <c r="BCP311" s="35"/>
      <c r="BCQ311" s="35"/>
      <c r="BCR311" s="15"/>
      <c r="BCT311" s="13"/>
      <c r="BCU311" s="35"/>
      <c r="BCV311" s="35"/>
      <c r="BCW311" s="15"/>
      <c r="BCY311" s="13"/>
      <c r="BCZ311" s="35"/>
      <c r="BDA311" s="35"/>
      <c r="BDB311" s="15"/>
      <c r="BDD311" s="13"/>
      <c r="BDE311" s="35"/>
      <c r="BDF311" s="35"/>
      <c r="BDG311" s="15"/>
      <c r="BDI311" s="13"/>
      <c r="BDJ311" s="35"/>
      <c r="BDK311" s="35"/>
      <c r="BDL311" s="15"/>
      <c r="BDN311" s="13"/>
      <c r="BDO311" s="35"/>
      <c r="BDP311" s="35"/>
      <c r="BDQ311" s="15"/>
      <c r="BDS311" s="13"/>
      <c r="BDT311" s="35"/>
      <c r="BDU311" s="35"/>
      <c r="BDV311" s="15"/>
      <c r="BDX311" s="13"/>
      <c r="BDY311" s="35"/>
      <c r="BDZ311" s="35"/>
      <c r="BEA311" s="15"/>
      <c r="BEC311" s="13"/>
      <c r="BED311" s="35"/>
      <c r="BEE311" s="35"/>
      <c r="BEF311" s="15"/>
      <c r="BEH311" s="13"/>
      <c r="BEI311" s="35"/>
      <c r="BEJ311" s="35"/>
      <c r="BEK311" s="15"/>
      <c r="BEM311" s="13"/>
      <c r="BEN311" s="35"/>
      <c r="BEO311" s="35"/>
      <c r="BEP311" s="15"/>
      <c r="BER311" s="13"/>
      <c r="BES311" s="35"/>
      <c r="BET311" s="35"/>
      <c r="BEU311" s="15"/>
      <c r="BEW311" s="13"/>
      <c r="BEX311" s="35"/>
      <c r="BEY311" s="35"/>
      <c r="BEZ311" s="15"/>
      <c r="BFB311" s="13"/>
      <c r="BFC311" s="35"/>
      <c r="BFD311" s="35"/>
      <c r="BFE311" s="15"/>
      <c r="BFG311" s="13"/>
      <c r="BFH311" s="35"/>
      <c r="BFI311" s="35"/>
      <c r="BFJ311" s="15"/>
      <c r="BFL311" s="13"/>
      <c r="BFM311" s="35"/>
      <c r="BFN311" s="35"/>
      <c r="BFO311" s="15"/>
      <c r="BFQ311" s="13"/>
      <c r="BFR311" s="35"/>
      <c r="BFS311" s="35"/>
      <c r="BFT311" s="15"/>
      <c r="BFV311" s="13"/>
      <c r="BFW311" s="35"/>
      <c r="BFX311" s="35"/>
      <c r="BFY311" s="15"/>
      <c r="BGA311" s="13"/>
      <c r="BGB311" s="35"/>
      <c r="BGC311" s="35"/>
      <c r="BGD311" s="15"/>
      <c r="BGF311" s="13"/>
      <c r="BGG311" s="35"/>
      <c r="BGH311" s="35"/>
      <c r="BGI311" s="15"/>
      <c r="BGK311" s="13"/>
      <c r="BGL311" s="35"/>
      <c r="BGM311" s="35"/>
      <c r="BGN311" s="15"/>
      <c r="BGP311" s="13"/>
      <c r="BGQ311" s="35"/>
      <c r="BGR311" s="35"/>
      <c r="BGS311" s="15"/>
      <c r="BGU311" s="13"/>
      <c r="BGV311" s="35"/>
      <c r="BGW311" s="35"/>
      <c r="BGX311" s="15"/>
      <c r="BGZ311" s="13"/>
      <c r="BHA311" s="35"/>
      <c r="BHB311" s="35"/>
      <c r="BHC311" s="15"/>
      <c r="BHE311" s="13"/>
      <c r="BHF311" s="35"/>
      <c r="BHG311" s="35"/>
      <c r="BHH311" s="15"/>
      <c r="BHJ311" s="13"/>
      <c r="BHK311" s="35"/>
      <c r="BHL311" s="35"/>
      <c r="BHM311" s="15"/>
      <c r="BHO311" s="13"/>
      <c r="BHP311" s="35"/>
      <c r="BHQ311" s="35"/>
      <c r="BHR311" s="15"/>
      <c r="BHT311" s="13"/>
      <c r="BHU311" s="35"/>
      <c r="BHV311" s="35"/>
      <c r="BHW311" s="15"/>
      <c r="BHY311" s="13"/>
      <c r="BHZ311" s="35"/>
      <c r="BIA311" s="35"/>
      <c r="BIB311" s="15"/>
      <c r="BID311" s="13"/>
      <c r="BIE311" s="35"/>
      <c r="BIF311" s="35"/>
      <c r="BIG311" s="15"/>
      <c r="BII311" s="13"/>
      <c r="BIJ311" s="35"/>
      <c r="BIK311" s="35"/>
      <c r="BIL311" s="15"/>
      <c r="BIN311" s="13"/>
      <c r="BIO311" s="35"/>
      <c r="BIP311" s="35"/>
      <c r="BIQ311" s="15"/>
      <c r="BIS311" s="13"/>
      <c r="BIT311" s="35"/>
      <c r="BIU311" s="35"/>
      <c r="BIV311" s="15"/>
      <c r="BIX311" s="13"/>
      <c r="BIY311" s="35"/>
      <c r="BIZ311" s="35"/>
      <c r="BJA311" s="15"/>
      <c r="BJC311" s="13"/>
      <c r="BJD311" s="35"/>
      <c r="BJE311" s="35"/>
      <c r="BJF311" s="15"/>
      <c r="BJH311" s="13"/>
      <c r="BJI311" s="35"/>
      <c r="BJJ311" s="35"/>
      <c r="BJK311" s="15"/>
      <c r="BJM311" s="13"/>
      <c r="BJN311" s="35"/>
      <c r="BJO311" s="35"/>
      <c r="BJP311" s="15"/>
      <c r="BJR311" s="13"/>
      <c r="BJS311" s="35"/>
      <c r="BJT311" s="35"/>
      <c r="BJU311" s="15"/>
      <c r="BJW311" s="13"/>
      <c r="BJX311" s="35"/>
      <c r="BJY311" s="35"/>
      <c r="BJZ311" s="15"/>
      <c r="BKB311" s="13"/>
      <c r="BKC311" s="35"/>
      <c r="BKD311" s="35"/>
      <c r="BKE311" s="15"/>
      <c r="BKG311" s="13"/>
      <c r="BKH311" s="35"/>
      <c r="BKI311" s="35"/>
      <c r="BKJ311" s="15"/>
      <c r="BKL311" s="13"/>
      <c r="BKM311" s="35"/>
      <c r="BKN311" s="35"/>
      <c r="BKO311" s="15"/>
      <c r="BKQ311" s="13"/>
      <c r="BKR311" s="35"/>
      <c r="BKS311" s="35"/>
      <c r="BKT311" s="15"/>
      <c r="BKV311" s="13"/>
      <c r="BKW311" s="35"/>
      <c r="BKX311" s="35"/>
      <c r="BKY311" s="15"/>
      <c r="BLA311" s="13"/>
      <c r="BLB311" s="35"/>
      <c r="BLC311" s="35"/>
      <c r="BLD311" s="15"/>
      <c r="BLF311" s="13"/>
      <c r="BLG311" s="35"/>
      <c r="BLH311" s="35"/>
      <c r="BLI311" s="15"/>
      <c r="BLK311" s="13"/>
      <c r="BLL311" s="35"/>
      <c r="BLM311" s="35"/>
      <c r="BLN311" s="15"/>
      <c r="BLP311" s="13"/>
      <c r="BLQ311" s="35"/>
      <c r="BLR311" s="35"/>
      <c r="BLS311" s="15"/>
      <c r="BLU311" s="13"/>
      <c r="BLV311" s="35"/>
      <c r="BLW311" s="35"/>
      <c r="BLX311" s="15"/>
      <c r="BLZ311" s="13"/>
      <c r="BMA311" s="35"/>
      <c r="BMB311" s="35"/>
      <c r="BMC311" s="15"/>
      <c r="BME311" s="13"/>
      <c r="BMF311" s="35"/>
      <c r="BMG311" s="35"/>
      <c r="BMH311" s="15"/>
      <c r="BMJ311" s="13"/>
      <c r="BMK311" s="35"/>
      <c r="BML311" s="35"/>
      <c r="BMM311" s="15"/>
      <c r="BMO311" s="13"/>
      <c r="BMP311" s="35"/>
      <c r="BMQ311" s="35"/>
      <c r="BMR311" s="15"/>
      <c r="BMT311" s="13"/>
      <c r="BMU311" s="35"/>
      <c r="BMV311" s="35"/>
      <c r="BMW311" s="15"/>
      <c r="BMY311" s="13"/>
      <c r="BMZ311" s="35"/>
      <c r="BNA311" s="35"/>
      <c r="BNB311" s="15"/>
      <c r="BND311" s="13"/>
      <c r="BNE311" s="35"/>
      <c r="BNF311" s="35"/>
      <c r="BNG311" s="15"/>
      <c r="BNI311" s="13"/>
      <c r="BNJ311" s="35"/>
      <c r="BNK311" s="35"/>
      <c r="BNL311" s="15"/>
      <c r="BNN311" s="13"/>
      <c r="BNO311" s="35"/>
      <c r="BNP311" s="35"/>
      <c r="BNQ311" s="15"/>
      <c r="BNS311" s="13"/>
      <c r="BNT311" s="35"/>
      <c r="BNU311" s="35"/>
      <c r="BNV311" s="15"/>
      <c r="BNX311" s="13"/>
      <c r="BNY311" s="35"/>
      <c r="BNZ311" s="35"/>
      <c r="BOA311" s="15"/>
      <c r="BOC311" s="13"/>
      <c r="BOD311" s="35"/>
      <c r="BOE311" s="35"/>
      <c r="BOF311" s="15"/>
      <c r="BOH311" s="13"/>
      <c r="BOI311" s="35"/>
      <c r="BOJ311" s="35"/>
      <c r="BOK311" s="15"/>
      <c r="BOM311" s="13"/>
      <c r="BON311" s="35"/>
      <c r="BOO311" s="35"/>
      <c r="BOP311" s="15"/>
      <c r="BOR311" s="13"/>
      <c r="BOS311" s="35"/>
      <c r="BOT311" s="35"/>
      <c r="BOU311" s="15"/>
      <c r="BOW311" s="13"/>
      <c r="BOX311" s="35"/>
      <c r="BOY311" s="35"/>
      <c r="BOZ311" s="15"/>
      <c r="BPB311" s="13"/>
      <c r="BPC311" s="35"/>
      <c r="BPD311" s="35"/>
      <c r="BPE311" s="15"/>
      <c r="BPG311" s="13"/>
      <c r="BPH311" s="35"/>
      <c r="BPI311" s="35"/>
      <c r="BPJ311" s="15"/>
      <c r="BPL311" s="13"/>
      <c r="BPM311" s="35"/>
      <c r="BPN311" s="35"/>
      <c r="BPO311" s="15"/>
      <c r="BPQ311" s="13"/>
      <c r="BPR311" s="35"/>
      <c r="BPS311" s="35"/>
      <c r="BPT311" s="15"/>
      <c r="BPV311" s="13"/>
      <c r="BPW311" s="35"/>
      <c r="BPX311" s="35"/>
      <c r="BPY311" s="15"/>
      <c r="BQA311" s="13"/>
      <c r="BQB311" s="35"/>
      <c r="BQC311" s="35"/>
      <c r="BQD311" s="15"/>
      <c r="BQF311" s="13"/>
      <c r="BQG311" s="35"/>
      <c r="BQH311" s="35"/>
      <c r="BQI311" s="15"/>
      <c r="BQK311" s="13"/>
      <c r="BQL311" s="35"/>
      <c r="BQM311" s="35"/>
      <c r="BQN311" s="15"/>
      <c r="BQP311" s="13"/>
      <c r="BQQ311" s="35"/>
      <c r="BQR311" s="35"/>
      <c r="BQS311" s="15"/>
      <c r="BQU311" s="13"/>
      <c r="BQV311" s="35"/>
      <c r="BQW311" s="35"/>
      <c r="BQX311" s="15"/>
      <c r="BQZ311" s="13"/>
      <c r="BRA311" s="35"/>
      <c r="BRB311" s="35"/>
      <c r="BRC311" s="15"/>
      <c r="BRE311" s="13"/>
      <c r="BRF311" s="35"/>
      <c r="BRG311" s="35"/>
      <c r="BRH311" s="15"/>
      <c r="BRJ311" s="13"/>
      <c r="BRK311" s="35"/>
      <c r="BRL311" s="35"/>
      <c r="BRM311" s="15"/>
      <c r="BRO311" s="13"/>
      <c r="BRP311" s="35"/>
      <c r="BRQ311" s="35"/>
      <c r="BRR311" s="15"/>
      <c r="BRT311" s="13"/>
      <c r="BRU311" s="35"/>
      <c r="BRV311" s="35"/>
      <c r="BRW311" s="15"/>
      <c r="BRY311" s="13"/>
      <c r="BRZ311" s="35"/>
      <c r="BSA311" s="35"/>
      <c r="BSB311" s="15"/>
      <c r="BSD311" s="13"/>
      <c r="BSE311" s="35"/>
      <c r="BSF311" s="35"/>
      <c r="BSG311" s="15"/>
      <c r="BSI311" s="13"/>
      <c r="BSJ311" s="35"/>
      <c r="BSK311" s="35"/>
      <c r="BSL311" s="15"/>
      <c r="BSN311" s="13"/>
      <c r="BSO311" s="35"/>
      <c r="BSP311" s="35"/>
      <c r="BSQ311" s="15"/>
      <c r="BSS311" s="13"/>
      <c r="BST311" s="35"/>
      <c r="BSU311" s="35"/>
      <c r="BSV311" s="15"/>
      <c r="BSX311" s="13"/>
      <c r="BSY311" s="35"/>
      <c r="BSZ311" s="35"/>
      <c r="BTA311" s="15"/>
      <c r="BTC311" s="13"/>
      <c r="BTD311" s="35"/>
      <c r="BTE311" s="35"/>
      <c r="BTF311" s="15"/>
      <c r="BTH311" s="13"/>
      <c r="BTI311" s="35"/>
      <c r="BTJ311" s="35"/>
      <c r="BTK311" s="15"/>
      <c r="BTM311" s="13"/>
      <c r="BTN311" s="35"/>
      <c r="BTO311" s="35"/>
      <c r="BTP311" s="15"/>
      <c r="BTR311" s="13"/>
      <c r="BTS311" s="35"/>
      <c r="BTT311" s="35"/>
      <c r="BTU311" s="15"/>
      <c r="BTW311" s="13"/>
      <c r="BTX311" s="35"/>
      <c r="BTY311" s="35"/>
      <c r="BTZ311" s="15"/>
      <c r="BUB311" s="13"/>
      <c r="BUC311" s="35"/>
      <c r="BUD311" s="35"/>
      <c r="BUE311" s="15"/>
      <c r="BUG311" s="13"/>
      <c r="BUH311" s="35"/>
      <c r="BUI311" s="35"/>
      <c r="BUJ311" s="15"/>
      <c r="BUL311" s="13"/>
      <c r="BUM311" s="35"/>
      <c r="BUN311" s="35"/>
      <c r="BUO311" s="15"/>
      <c r="BUQ311" s="13"/>
      <c r="BUR311" s="35"/>
      <c r="BUS311" s="35"/>
      <c r="BUT311" s="15"/>
      <c r="BUV311" s="13"/>
      <c r="BUW311" s="35"/>
      <c r="BUX311" s="35"/>
      <c r="BUY311" s="15"/>
      <c r="BVA311" s="13"/>
      <c r="BVB311" s="35"/>
      <c r="BVC311" s="35"/>
      <c r="BVD311" s="15"/>
      <c r="BVF311" s="13"/>
      <c r="BVG311" s="35"/>
      <c r="BVH311" s="35"/>
      <c r="BVI311" s="15"/>
      <c r="BVK311" s="13"/>
      <c r="BVL311" s="35"/>
      <c r="BVM311" s="35"/>
      <c r="BVN311" s="15"/>
      <c r="BVP311" s="13"/>
      <c r="BVQ311" s="35"/>
      <c r="BVR311" s="35"/>
      <c r="BVS311" s="15"/>
      <c r="BVU311" s="13"/>
      <c r="BVV311" s="35"/>
      <c r="BVW311" s="35"/>
      <c r="BVX311" s="15"/>
      <c r="BVZ311" s="13"/>
      <c r="BWA311" s="35"/>
      <c r="BWB311" s="35"/>
      <c r="BWC311" s="15"/>
      <c r="BWE311" s="13"/>
      <c r="BWF311" s="35"/>
      <c r="BWG311" s="35"/>
      <c r="BWH311" s="15"/>
      <c r="BWJ311" s="13"/>
      <c r="BWK311" s="35"/>
      <c r="BWL311" s="35"/>
      <c r="BWM311" s="15"/>
      <c r="BWO311" s="13"/>
      <c r="BWP311" s="35"/>
      <c r="BWQ311" s="35"/>
      <c r="BWR311" s="15"/>
      <c r="BWT311" s="13"/>
      <c r="BWU311" s="35"/>
      <c r="BWV311" s="35"/>
      <c r="BWW311" s="15"/>
      <c r="BWY311" s="13"/>
      <c r="BWZ311" s="35"/>
      <c r="BXA311" s="35"/>
      <c r="BXB311" s="15"/>
      <c r="BXD311" s="13"/>
      <c r="BXE311" s="35"/>
      <c r="BXF311" s="35"/>
      <c r="BXG311" s="15"/>
      <c r="BXI311" s="13"/>
      <c r="BXJ311" s="35"/>
      <c r="BXK311" s="35"/>
      <c r="BXL311" s="15"/>
      <c r="BXN311" s="13"/>
      <c r="BXO311" s="35"/>
      <c r="BXP311" s="35"/>
      <c r="BXQ311" s="15"/>
      <c r="BXS311" s="13"/>
      <c r="BXT311" s="35"/>
      <c r="BXU311" s="35"/>
      <c r="BXV311" s="15"/>
      <c r="BXX311" s="13"/>
      <c r="BXY311" s="35"/>
      <c r="BXZ311" s="35"/>
      <c r="BYA311" s="15"/>
      <c r="BYC311" s="13"/>
      <c r="BYD311" s="35"/>
      <c r="BYE311" s="35"/>
      <c r="BYF311" s="15"/>
      <c r="BYH311" s="13"/>
      <c r="BYI311" s="35"/>
      <c r="BYJ311" s="35"/>
      <c r="BYK311" s="15"/>
      <c r="BYM311" s="13"/>
      <c r="BYN311" s="35"/>
      <c r="BYO311" s="35"/>
      <c r="BYP311" s="15"/>
      <c r="BYR311" s="13"/>
      <c r="BYS311" s="35"/>
      <c r="BYT311" s="35"/>
      <c r="BYU311" s="15"/>
      <c r="BYW311" s="13"/>
      <c r="BYX311" s="35"/>
      <c r="BYY311" s="35"/>
      <c r="BYZ311" s="15"/>
      <c r="BZB311" s="13"/>
      <c r="BZC311" s="35"/>
      <c r="BZD311" s="35"/>
      <c r="BZE311" s="15"/>
      <c r="BZG311" s="13"/>
      <c r="BZH311" s="35"/>
      <c r="BZI311" s="35"/>
      <c r="BZJ311" s="15"/>
      <c r="BZL311" s="13"/>
      <c r="BZM311" s="35"/>
      <c r="BZN311" s="35"/>
      <c r="BZO311" s="15"/>
      <c r="BZQ311" s="13"/>
      <c r="BZR311" s="35"/>
      <c r="BZS311" s="35"/>
      <c r="BZT311" s="15"/>
      <c r="BZV311" s="13"/>
      <c r="BZW311" s="35"/>
      <c r="BZX311" s="35"/>
      <c r="BZY311" s="15"/>
      <c r="CAA311" s="13"/>
      <c r="CAB311" s="35"/>
      <c r="CAC311" s="35"/>
      <c r="CAD311" s="15"/>
      <c r="CAF311" s="13"/>
      <c r="CAG311" s="35"/>
      <c r="CAH311" s="35"/>
      <c r="CAI311" s="15"/>
      <c r="CAK311" s="13"/>
      <c r="CAL311" s="35"/>
      <c r="CAM311" s="35"/>
      <c r="CAN311" s="15"/>
      <c r="CAP311" s="13"/>
      <c r="CAQ311" s="35"/>
      <c r="CAR311" s="35"/>
      <c r="CAS311" s="15"/>
      <c r="CAU311" s="13"/>
      <c r="CAV311" s="35"/>
      <c r="CAW311" s="35"/>
      <c r="CAX311" s="15"/>
      <c r="CAZ311" s="13"/>
      <c r="CBA311" s="35"/>
      <c r="CBB311" s="35"/>
      <c r="CBC311" s="15"/>
      <c r="CBE311" s="13"/>
      <c r="CBF311" s="35"/>
      <c r="CBG311" s="35"/>
      <c r="CBH311" s="15"/>
      <c r="CBJ311" s="13"/>
      <c r="CBK311" s="35"/>
      <c r="CBL311" s="35"/>
      <c r="CBM311" s="15"/>
      <c r="CBO311" s="13"/>
      <c r="CBP311" s="35"/>
      <c r="CBQ311" s="35"/>
      <c r="CBR311" s="15"/>
      <c r="CBT311" s="13"/>
      <c r="CBU311" s="35"/>
      <c r="CBV311" s="35"/>
      <c r="CBW311" s="15"/>
      <c r="CBY311" s="13"/>
      <c r="CBZ311" s="35"/>
      <c r="CCA311" s="35"/>
      <c r="CCB311" s="15"/>
      <c r="CCD311" s="13"/>
      <c r="CCE311" s="35"/>
      <c r="CCF311" s="35"/>
      <c r="CCG311" s="15"/>
      <c r="CCI311" s="13"/>
      <c r="CCJ311" s="35"/>
      <c r="CCK311" s="35"/>
      <c r="CCL311" s="15"/>
      <c r="CCN311" s="13"/>
      <c r="CCO311" s="35"/>
      <c r="CCP311" s="35"/>
      <c r="CCQ311" s="15"/>
      <c r="CCS311" s="13"/>
      <c r="CCT311" s="35"/>
      <c r="CCU311" s="35"/>
      <c r="CCV311" s="15"/>
      <c r="CCX311" s="13"/>
      <c r="CCY311" s="35"/>
      <c r="CCZ311" s="35"/>
      <c r="CDA311" s="15"/>
      <c r="CDC311" s="13"/>
      <c r="CDD311" s="35"/>
      <c r="CDE311" s="35"/>
      <c r="CDF311" s="15"/>
      <c r="CDH311" s="13"/>
      <c r="CDI311" s="35"/>
      <c r="CDJ311" s="35"/>
      <c r="CDK311" s="15"/>
      <c r="CDM311" s="13"/>
      <c r="CDN311" s="35"/>
      <c r="CDO311" s="35"/>
      <c r="CDP311" s="15"/>
      <c r="CDR311" s="13"/>
      <c r="CDS311" s="35"/>
      <c r="CDT311" s="35"/>
      <c r="CDU311" s="15"/>
      <c r="CDW311" s="13"/>
      <c r="CDX311" s="35"/>
      <c r="CDY311" s="35"/>
      <c r="CDZ311" s="15"/>
      <c r="CEB311" s="13"/>
      <c r="CEC311" s="35"/>
      <c r="CED311" s="35"/>
      <c r="CEE311" s="15"/>
      <c r="CEG311" s="13"/>
      <c r="CEH311" s="35"/>
      <c r="CEI311" s="35"/>
      <c r="CEJ311" s="15"/>
      <c r="CEL311" s="13"/>
      <c r="CEM311" s="35"/>
      <c r="CEN311" s="35"/>
      <c r="CEO311" s="15"/>
      <c r="CEQ311" s="13"/>
      <c r="CER311" s="35"/>
      <c r="CES311" s="35"/>
      <c r="CET311" s="15"/>
      <c r="CEV311" s="13"/>
      <c r="CEW311" s="35"/>
      <c r="CEX311" s="35"/>
      <c r="CEY311" s="15"/>
      <c r="CFA311" s="13"/>
      <c r="CFB311" s="35"/>
      <c r="CFC311" s="35"/>
      <c r="CFD311" s="15"/>
      <c r="CFF311" s="13"/>
      <c r="CFG311" s="35"/>
      <c r="CFH311" s="35"/>
      <c r="CFI311" s="15"/>
      <c r="CFK311" s="13"/>
      <c r="CFL311" s="35"/>
      <c r="CFM311" s="35"/>
      <c r="CFN311" s="15"/>
      <c r="CFP311" s="13"/>
      <c r="CFQ311" s="35"/>
      <c r="CFR311" s="35"/>
      <c r="CFS311" s="15"/>
      <c r="CFU311" s="13"/>
      <c r="CFV311" s="35"/>
      <c r="CFW311" s="35"/>
      <c r="CFX311" s="15"/>
      <c r="CFZ311" s="13"/>
      <c r="CGA311" s="35"/>
      <c r="CGB311" s="35"/>
      <c r="CGC311" s="15"/>
      <c r="CGE311" s="13"/>
      <c r="CGF311" s="35"/>
      <c r="CGG311" s="35"/>
      <c r="CGH311" s="15"/>
      <c r="CGJ311" s="13"/>
      <c r="CGK311" s="35"/>
      <c r="CGL311" s="35"/>
      <c r="CGM311" s="15"/>
      <c r="CGO311" s="13"/>
      <c r="CGP311" s="35"/>
      <c r="CGQ311" s="35"/>
      <c r="CGR311" s="15"/>
      <c r="CGT311" s="13"/>
      <c r="CGU311" s="35"/>
      <c r="CGV311" s="35"/>
      <c r="CGW311" s="15"/>
      <c r="CGY311" s="13"/>
      <c r="CGZ311" s="35"/>
      <c r="CHA311" s="35"/>
      <c r="CHB311" s="15"/>
      <c r="CHD311" s="13"/>
      <c r="CHE311" s="35"/>
      <c r="CHF311" s="35"/>
      <c r="CHG311" s="15"/>
      <c r="CHI311" s="13"/>
      <c r="CHJ311" s="35"/>
      <c r="CHK311" s="35"/>
      <c r="CHL311" s="15"/>
      <c r="CHN311" s="13"/>
      <c r="CHO311" s="35"/>
      <c r="CHP311" s="35"/>
      <c r="CHQ311" s="15"/>
      <c r="CHS311" s="13"/>
      <c r="CHT311" s="35"/>
      <c r="CHU311" s="35"/>
      <c r="CHV311" s="15"/>
      <c r="CHX311" s="13"/>
      <c r="CHY311" s="35"/>
      <c r="CHZ311" s="35"/>
      <c r="CIA311" s="15"/>
      <c r="CIC311" s="13"/>
      <c r="CID311" s="35"/>
      <c r="CIE311" s="35"/>
      <c r="CIF311" s="15"/>
      <c r="CIH311" s="13"/>
      <c r="CII311" s="35"/>
      <c r="CIJ311" s="35"/>
      <c r="CIK311" s="15"/>
      <c r="CIM311" s="13"/>
      <c r="CIN311" s="35"/>
      <c r="CIO311" s="35"/>
      <c r="CIP311" s="15"/>
      <c r="CIR311" s="13"/>
      <c r="CIS311" s="35"/>
      <c r="CIT311" s="35"/>
      <c r="CIU311" s="15"/>
      <c r="CIW311" s="13"/>
      <c r="CIX311" s="35"/>
      <c r="CIY311" s="35"/>
      <c r="CIZ311" s="15"/>
      <c r="CJB311" s="13"/>
      <c r="CJC311" s="35"/>
      <c r="CJD311" s="35"/>
      <c r="CJE311" s="15"/>
      <c r="CJG311" s="13"/>
      <c r="CJH311" s="35"/>
      <c r="CJI311" s="35"/>
      <c r="CJJ311" s="15"/>
      <c r="CJL311" s="13"/>
      <c r="CJM311" s="35"/>
      <c r="CJN311" s="35"/>
      <c r="CJO311" s="15"/>
      <c r="CJQ311" s="13"/>
      <c r="CJR311" s="35"/>
      <c r="CJS311" s="35"/>
      <c r="CJT311" s="15"/>
      <c r="CJV311" s="13"/>
      <c r="CJW311" s="35"/>
      <c r="CJX311" s="35"/>
      <c r="CJY311" s="15"/>
      <c r="CKA311" s="13"/>
      <c r="CKB311" s="35"/>
      <c r="CKC311" s="35"/>
      <c r="CKD311" s="15"/>
      <c r="CKF311" s="13"/>
      <c r="CKG311" s="35"/>
      <c r="CKH311" s="35"/>
      <c r="CKI311" s="15"/>
      <c r="CKK311" s="13"/>
      <c r="CKL311" s="35"/>
      <c r="CKM311" s="35"/>
      <c r="CKN311" s="15"/>
      <c r="CKP311" s="13"/>
      <c r="CKQ311" s="35"/>
      <c r="CKR311" s="35"/>
      <c r="CKS311" s="15"/>
      <c r="CKU311" s="13"/>
      <c r="CKV311" s="35"/>
      <c r="CKW311" s="35"/>
      <c r="CKX311" s="15"/>
      <c r="CKZ311" s="13"/>
      <c r="CLA311" s="35"/>
      <c r="CLB311" s="35"/>
      <c r="CLC311" s="15"/>
      <c r="CLE311" s="13"/>
      <c r="CLF311" s="35"/>
      <c r="CLG311" s="35"/>
      <c r="CLH311" s="15"/>
      <c r="CLJ311" s="13"/>
      <c r="CLK311" s="35"/>
      <c r="CLL311" s="35"/>
      <c r="CLM311" s="15"/>
      <c r="CLO311" s="13"/>
      <c r="CLP311" s="35"/>
      <c r="CLQ311" s="35"/>
      <c r="CLR311" s="15"/>
      <c r="CLT311" s="13"/>
      <c r="CLU311" s="35"/>
      <c r="CLV311" s="35"/>
      <c r="CLW311" s="15"/>
      <c r="CLY311" s="13"/>
      <c r="CLZ311" s="35"/>
      <c r="CMA311" s="35"/>
      <c r="CMB311" s="15"/>
      <c r="CMD311" s="13"/>
      <c r="CME311" s="35"/>
      <c r="CMF311" s="35"/>
      <c r="CMG311" s="15"/>
      <c r="CMI311" s="13"/>
      <c r="CMJ311" s="35"/>
      <c r="CMK311" s="35"/>
      <c r="CML311" s="15"/>
      <c r="CMN311" s="13"/>
      <c r="CMO311" s="35"/>
      <c r="CMP311" s="35"/>
      <c r="CMQ311" s="15"/>
      <c r="CMS311" s="13"/>
      <c r="CMT311" s="35"/>
      <c r="CMU311" s="35"/>
      <c r="CMV311" s="15"/>
      <c r="CMX311" s="13"/>
      <c r="CMY311" s="35"/>
      <c r="CMZ311" s="35"/>
      <c r="CNA311" s="15"/>
      <c r="CNC311" s="13"/>
      <c r="CND311" s="35"/>
      <c r="CNE311" s="35"/>
      <c r="CNF311" s="15"/>
      <c r="CNH311" s="13"/>
      <c r="CNI311" s="35"/>
      <c r="CNJ311" s="35"/>
      <c r="CNK311" s="15"/>
      <c r="CNM311" s="13"/>
      <c r="CNN311" s="35"/>
      <c r="CNO311" s="35"/>
      <c r="CNP311" s="15"/>
      <c r="CNR311" s="13"/>
      <c r="CNS311" s="35"/>
      <c r="CNT311" s="35"/>
      <c r="CNU311" s="15"/>
      <c r="CNW311" s="13"/>
      <c r="CNX311" s="35"/>
      <c r="CNY311" s="35"/>
      <c r="CNZ311" s="15"/>
      <c r="COB311" s="13"/>
      <c r="COC311" s="35"/>
      <c r="COD311" s="35"/>
      <c r="COE311" s="15"/>
      <c r="COG311" s="13"/>
      <c r="COH311" s="35"/>
      <c r="COI311" s="35"/>
      <c r="COJ311" s="15"/>
      <c r="COL311" s="13"/>
      <c r="COM311" s="35"/>
      <c r="CON311" s="35"/>
      <c r="COO311" s="15"/>
      <c r="COQ311" s="13"/>
      <c r="COR311" s="35"/>
      <c r="COS311" s="35"/>
      <c r="COT311" s="15"/>
      <c r="COV311" s="13"/>
      <c r="COW311" s="35"/>
      <c r="COX311" s="35"/>
      <c r="COY311" s="15"/>
      <c r="CPA311" s="13"/>
      <c r="CPB311" s="35"/>
      <c r="CPC311" s="35"/>
      <c r="CPD311" s="15"/>
      <c r="CPF311" s="13"/>
      <c r="CPG311" s="35"/>
      <c r="CPH311" s="35"/>
      <c r="CPI311" s="15"/>
      <c r="CPK311" s="13"/>
      <c r="CPL311" s="35"/>
      <c r="CPM311" s="35"/>
      <c r="CPN311" s="15"/>
      <c r="CPP311" s="13"/>
      <c r="CPQ311" s="35"/>
      <c r="CPR311" s="35"/>
      <c r="CPS311" s="15"/>
      <c r="CPU311" s="13"/>
      <c r="CPV311" s="35"/>
      <c r="CPW311" s="35"/>
      <c r="CPX311" s="15"/>
      <c r="CPZ311" s="13"/>
      <c r="CQA311" s="35"/>
      <c r="CQB311" s="35"/>
      <c r="CQC311" s="15"/>
      <c r="CQE311" s="13"/>
      <c r="CQF311" s="35"/>
      <c r="CQG311" s="35"/>
      <c r="CQH311" s="15"/>
      <c r="CQJ311" s="13"/>
      <c r="CQK311" s="35"/>
      <c r="CQL311" s="35"/>
      <c r="CQM311" s="15"/>
      <c r="CQO311" s="13"/>
      <c r="CQP311" s="35"/>
      <c r="CQQ311" s="35"/>
      <c r="CQR311" s="15"/>
      <c r="CQT311" s="13"/>
      <c r="CQU311" s="35"/>
      <c r="CQV311" s="35"/>
      <c r="CQW311" s="15"/>
      <c r="CQY311" s="13"/>
      <c r="CQZ311" s="35"/>
      <c r="CRA311" s="35"/>
      <c r="CRB311" s="15"/>
      <c r="CRD311" s="13"/>
      <c r="CRE311" s="35"/>
      <c r="CRF311" s="35"/>
      <c r="CRG311" s="15"/>
      <c r="CRI311" s="13"/>
      <c r="CRJ311" s="35"/>
      <c r="CRK311" s="35"/>
      <c r="CRL311" s="15"/>
      <c r="CRN311" s="13"/>
      <c r="CRO311" s="35"/>
      <c r="CRP311" s="35"/>
      <c r="CRQ311" s="15"/>
      <c r="CRS311" s="13"/>
      <c r="CRT311" s="35"/>
      <c r="CRU311" s="35"/>
      <c r="CRV311" s="15"/>
      <c r="CRX311" s="13"/>
      <c r="CRY311" s="35"/>
      <c r="CRZ311" s="35"/>
      <c r="CSA311" s="15"/>
      <c r="CSC311" s="13"/>
      <c r="CSD311" s="35"/>
      <c r="CSE311" s="35"/>
      <c r="CSF311" s="15"/>
      <c r="CSH311" s="13"/>
      <c r="CSI311" s="35"/>
      <c r="CSJ311" s="35"/>
      <c r="CSK311" s="15"/>
      <c r="CSM311" s="13"/>
      <c r="CSN311" s="35"/>
      <c r="CSO311" s="35"/>
      <c r="CSP311" s="15"/>
      <c r="CSR311" s="13"/>
      <c r="CSS311" s="35"/>
      <c r="CST311" s="35"/>
      <c r="CSU311" s="15"/>
      <c r="CSW311" s="13"/>
      <c r="CSX311" s="35"/>
      <c r="CSY311" s="35"/>
      <c r="CSZ311" s="15"/>
      <c r="CTB311" s="13"/>
      <c r="CTC311" s="35"/>
      <c r="CTD311" s="35"/>
      <c r="CTE311" s="15"/>
      <c r="CTG311" s="13"/>
      <c r="CTH311" s="35"/>
      <c r="CTI311" s="35"/>
      <c r="CTJ311" s="15"/>
      <c r="CTL311" s="13"/>
      <c r="CTM311" s="35"/>
      <c r="CTN311" s="35"/>
      <c r="CTO311" s="15"/>
      <c r="CTQ311" s="13"/>
      <c r="CTR311" s="35"/>
      <c r="CTS311" s="35"/>
      <c r="CTT311" s="15"/>
      <c r="CTV311" s="13"/>
      <c r="CTW311" s="35"/>
      <c r="CTX311" s="35"/>
      <c r="CTY311" s="15"/>
      <c r="CUA311" s="13"/>
      <c r="CUB311" s="35"/>
      <c r="CUC311" s="35"/>
      <c r="CUD311" s="15"/>
      <c r="CUF311" s="13"/>
      <c r="CUG311" s="35"/>
      <c r="CUH311" s="35"/>
      <c r="CUI311" s="15"/>
      <c r="CUK311" s="13"/>
      <c r="CUL311" s="35"/>
      <c r="CUM311" s="35"/>
      <c r="CUN311" s="15"/>
      <c r="CUP311" s="13"/>
      <c r="CUQ311" s="35"/>
      <c r="CUR311" s="35"/>
      <c r="CUS311" s="15"/>
      <c r="CUU311" s="13"/>
      <c r="CUV311" s="35"/>
      <c r="CUW311" s="35"/>
      <c r="CUX311" s="15"/>
      <c r="CUZ311" s="13"/>
      <c r="CVA311" s="35"/>
      <c r="CVB311" s="35"/>
      <c r="CVC311" s="15"/>
      <c r="CVE311" s="13"/>
      <c r="CVF311" s="35"/>
      <c r="CVG311" s="35"/>
      <c r="CVH311" s="15"/>
      <c r="CVJ311" s="13"/>
      <c r="CVK311" s="35"/>
      <c r="CVL311" s="35"/>
      <c r="CVM311" s="15"/>
      <c r="CVO311" s="13"/>
      <c r="CVP311" s="35"/>
      <c r="CVQ311" s="35"/>
      <c r="CVR311" s="15"/>
      <c r="CVT311" s="13"/>
      <c r="CVU311" s="35"/>
      <c r="CVV311" s="35"/>
      <c r="CVW311" s="15"/>
      <c r="CVY311" s="13"/>
      <c r="CVZ311" s="35"/>
      <c r="CWA311" s="35"/>
      <c r="CWB311" s="15"/>
      <c r="CWD311" s="13"/>
      <c r="CWE311" s="35"/>
      <c r="CWF311" s="35"/>
      <c r="CWG311" s="15"/>
      <c r="CWI311" s="13"/>
      <c r="CWJ311" s="35"/>
      <c r="CWK311" s="35"/>
      <c r="CWL311" s="15"/>
      <c r="CWN311" s="13"/>
      <c r="CWO311" s="35"/>
      <c r="CWP311" s="35"/>
      <c r="CWQ311" s="15"/>
      <c r="CWS311" s="13"/>
      <c r="CWT311" s="35"/>
      <c r="CWU311" s="35"/>
      <c r="CWV311" s="15"/>
      <c r="CWX311" s="13"/>
      <c r="CWY311" s="35"/>
      <c r="CWZ311" s="35"/>
      <c r="CXA311" s="15"/>
      <c r="CXC311" s="13"/>
      <c r="CXD311" s="35"/>
      <c r="CXE311" s="35"/>
      <c r="CXF311" s="15"/>
      <c r="CXH311" s="13"/>
      <c r="CXI311" s="35"/>
      <c r="CXJ311" s="35"/>
      <c r="CXK311" s="15"/>
      <c r="CXM311" s="13"/>
      <c r="CXN311" s="35"/>
      <c r="CXO311" s="35"/>
      <c r="CXP311" s="15"/>
      <c r="CXR311" s="13"/>
      <c r="CXS311" s="35"/>
      <c r="CXT311" s="35"/>
      <c r="CXU311" s="15"/>
      <c r="CXW311" s="13"/>
      <c r="CXX311" s="35"/>
      <c r="CXY311" s="35"/>
      <c r="CXZ311" s="15"/>
      <c r="CYB311" s="13"/>
      <c r="CYC311" s="35"/>
      <c r="CYD311" s="35"/>
      <c r="CYE311" s="15"/>
      <c r="CYG311" s="13"/>
      <c r="CYH311" s="35"/>
      <c r="CYI311" s="35"/>
      <c r="CYJ311" s="15"/>
      <c r="CYL311" s="13"/>
      <c r="CYM311" s="35"/>
      <c r="CYN311" s="35"/>
      <c r="CYO311" s="15"/>
      <c r="CYQ311" s="13"/>
      <c r="CYR311" s="35"/>
      <c r="CYS311" s="35"/>
      <c r="CYT311" s="15"/>
      <c r="CYV311" s="13"/>
      <c r="CYW311" s="35"/>
      <c r="CYX311" s="35"/>
      <c r="CYY311" s="15"/>
      <c r="CZA311" s="13"/>
      <c r="CZB311" s="35"/>
      <c r="CZC311" s="35"/>
      <c r="CZD311" s="15"/>
      <c r="CZF311" s="13"/>
      <c r="CZG311" s="35"/>
      <c r="CZH311" s="35"/>
      <c r="CZI311" s="15"/>
      <c r="CZK311" s="13"/>
      <c r="CZL311" s="35"/>
      <c r="CZM311" s="35"/>
      <c r="CZN311" s="15"/>
      <c r="CZP311" s="13"/>
      <c r="CZQ311" s="35"/>
      <c r="CZR311" s="35"/>
      <c r="CZS311" s="15"/>
      <c r="CZU311" s="13"/>
      <c r="CZV311" s="35"/>
      <c r="CZW311" s="35"/>
      <c r="CZX311" s="15"/>
      <c r="CZZ311" s="13"/>
      <c r="DAA311" s="35"/>
      <c r="DAB311" s="35"/>
      <c r="DAC311" s="15"/>
      <c r="DAE311" s="13"/>
      <c r="DAF311" s="35"/>
      <c r="DAG311" s="35"/>
      <c r="DAH311" s="15"/>
      <c r="DAJ311" s="13"/>
      <c r="DAK311" s="35"/>
      <c r="DAL311" s="35"/>
      <c r="DAM311" s="15"/>
      <c r="DAO311" s="13"/>
      <c r="DAP311" s="35"/>
      <c r="DAQ311" s="35"/>
      <c r="DAR311" s="15"/>
      <c r="DAT311" s="13"/>
      <c r="DAU311" s="35"/>
      <c r="DAV311" s="35"/>
      <c r="DAW311" s="15"/>
      <c r="DAY311" s="13"/>
      <c r="DAZ311" s="35"/>
      <c r="DBA311" s="35"/>
      <c r="DBB311" s="15"/>
      <c r="DBD311" s="13"/>
      <c r="DBE311" s="35"/>
      <c r="DBF311" s="35"/>
      <c r="DBG311" s="15"/>
      <c r="DBI311" s="13"/>
      <c r="DBJ311" s="35"/>
      <c r="DBK311" s="35"/>
      <c r="DBL311" s="15"/>
      <c r="DBN311" s="13"/>
      <c r="DBO311" s="35"/>
      <c r="DBP311" s="35"/>
      <c r="DBQ311" s="15"/>
      <c r="DBS311" s="13"/>
      <c r="DBT311" s="35"/>
      <c r="DBU311" s="35"/>
      <c r="DBV311" s="15"/>
      <c r="DBX311" s="13"/>
      <c r="DBY311" s="35"/>
      <c r="DBZ311" s="35"/>
      <c r="DCA311" s="15"/>
      <c r="DCC311" s="13"/>
      <c r="DCD311" s="35"/>
      <c r="DCE311" s="35"/>
      <c r="DCF311" s="15"/>
      <c r="DCH311" s="13"/>
      <c r="DCI311" s="35"/>
      <c r="DCJ311" s="35"/>
      <c r="DCK311" s="15"/>
      <c r="DCM311" s="13"/>
      <c r="DCN311" s="35"/>
      <c r="DCO311" s="35"/>
      <c r="DCP311" s="15"/>
      <c r="DCR311" s="13"/>
      <c r="DCS311" s="35"/>
      <c r="DCT311" s="35"/>
      <c r="DCU311" s="15"/>
      <c r="DCW311" s="13"/>
      <c r="DCX311" s="35"/>
      <c r="DCY311" s="35"/>
      <c r="DCZ311" s="15"/>
      <c r="DDB311" s="13"/>
      <c r="DDC311" s="35"/>
      <c r="DDD311" s="35"/>
      <c r="DDE311" s="15"/>
      <c r="DDG311" s="13"/>
      <c r="DDH311" s="35"/>
      <c r="DDI311" s="35"/>
      <c r="DDJ311" s="15"/>
      <c r="DDL311" s="13"/>
      <c r="DDM311" s="35"/>
      <c r="DDN311" s="35"/>
      <c r="DDO311" s="15"/>
      <c r="DDQ311" s="13"/>
      <c r="DDR311" s="35"/>
      <c r="DDS311" s="35"/>
      <c r="DDT311" s="15"/>
      <c r="DDV311" s="13"/>
      <c r="DDW311" s="35"/>
      <c r="DDX311" s="35"/>
      <c r="DDY311" s="15"/>
      <c r="DEA311" s="13"/>
      <c r="DEB311" s="35"/>
      <c r="DEC311" s="35"/>
      <c r="DED311" s="15"/>
      <c r="DEF311" s="13"/>
      <c r="DEG311" s="35"/>
      <c r="DEH311" s="35"/>
      <c r="DEI311" s="15"/>
      <c r="DEK311" s="13"/>
      <c r="DEL311" s="35"/>
      <c r="DEM311" s="35"/>
      <c r="DEN311" s="15"/>
      <c r="DEP311" s="13"/>
      <c r="DEQ311" s="35"/>
      <c r="DER311" s="35"/>
      <c r="DES311" s="15"/>
      <c r="DEU311" s="13"/>
      <c r="DEV311" s="35"/>
      <c r="DEW311" s="35"/>
      <c r="DEX311" s="15"/>
      <c r="DEZ311" s="13"/>
      <c r="DFA311" s="35"/>
      <c r="DFB311" s="35"/>
      <c r="DFC311" s="15"/>
      <c r="DFE311" s="13"/>
      <c r="DFF311" s="35"/>
      <c r="DFG311" s="35"/>
      <c r="DFH311" s="15"/>
      <c r="DFJ311" s="13"/>
      <c r="DFK311" s="35"/>
      <c r="DFL311" s="35"/>
      <c r="DFM311" s="15"/>
      <c r="DFO311" s="13"/>
      <c r="DFP311" s="35"/>
      <c r="DFQ311" s="35"/>
      <c r="DFR311" s="15"/>
      <c r="DFT311" s="13"/>
      <c r="DFU311" s="35"/>
      <c r="DFV311" s="35"/>
      <c r="DFW311" s="15"/>
      <c r="DFY311" s="13"/>
      <c r="DFZ311" s="35"/>
      <c r="DGA311" s="35"/>
      <c r="DGB311" s="15"/>
      <c r="DGD311" s="13"/>
      <c r="DGE311" s="35"/>
      <c r="DGF311" s="35"/>
      <c r="DGG311" s="15"/>
      <c r="DGI311" s="13"/>
      <c r="DGJ311" s="35"/>
      <c r="DGK311" s="35"/>
      <c r="DGL311" s="15"/>
      <c r="DGN311" s="13"/>
      <c r="DGO311" s="35"/>
      <c r="DGP311" s="35"/>
      <c r="DGQ311" s="15"/>
      <c r="DGS311" s="13"/>
      <c r="DGT311" s="35"/>
      <c r="DGU311" s="35"/>
      <c r="DGV311" s="15"/>
      <c r="DGX311" s="13"/>
      <c r="DGY311" s="35"/>
      <c r="DGZ311" s="35"/>
      <c r="DHA311" s="15"/>
      <c r="DHC311" s="13"/>
      <c r="DHD311" s="35"/>
      <c r="DHE311" s="35"/>
      <c r="DHF311" s="15"/>
      <c r="DHH311" s="13"/>
      <c r="DHI311" s="35"/>
      <c r="DHJ311" s="35"/>
      <c r="DHK311" s="15"/>
      <c r="DHM311" s="13"/>
      <c r="DHN311" s="35"/>
      <c r="DHO311" s="35"/>
      <c r="DHP311" s="15"/>
      <c r="DHR311" s="13"/>
      <c r="DHS311" s="35"/>
      <c r="DHT311" s="35"/>
      <c r="DHU311" s="15"/>
      <c r="DHW311" s="13"/>
      <c r="DHX311" s="35"/>
      <c r="DHY311" s="35"/>
      <c r="DHZ311" s="15"/>
      <c r="DIB311" s="13"/>
      <c r="DIC311" s="35"/>
      <c r="DID311" s="35"/>
      <c r="DIE311" s="15"/>
      <c r="DIG311" s="13"/>
      <c r="DIH311" s="35"/>
      <c r="DII311" s="35"/>
      <c r="DIJ311" s="15"/>
      <c r="DIL311" s="13"/>
      <c r="DIM311" s="35"/>
      <c r="DIN311" s="35"/>
      <c r="DIO311" s="15"/>
      <c r="DIQ311" s="13"/>
      <c r="DIR311" s="35"/>
      <c r="DIS311" s="35"/>
      <c r="DIT311" s="15"/>
      <c r="DIV311" s="13"/>
      <c r="DIW311" s="35"/>
      <c r="DIX311" s="35"/>
      <c r="DIY311" s="15"/>
      <c r="DJA311" s="13"/>
      <c r="DJB311" s="35"/>
      <c r="DJC311" s="35"/>
      <c r="DJD311" s="15"/>
      <c r="DJF311" s="13"/>
      <c r="DJG311" s="35"/>
      <c r="DJH311" s="35"/>
      <c r="DJI311" s="15"/>
      <c r="DJK311" s="13"/>
      <c r="DJL311" s="35"/>
      <c r="DJM311" s="35"/>
      <c r="DJN311" s="15"/>
      <c r="DJP311" s="13"/>
      <c r="DJQ311" s="35"/>
      <c r="DJR311" s="35"/>
      <c r="DJS311" s="15"/>
      <c r="DJU311" s="13"/>
      <c r="DJV311" s="35"/>
      <c r="DJW311" s="35"/>
      <c r="DJX311" s="15"/>
      <c r="DJZ311" s="13"/>
      <c r="DKA311" s="35"/>
      <c r="DKB311" s="35"/>
      <c r="DKC311" s="15"/>
      <c r="DKE311" s="13"/>
      <c r="DKF311" s="35"/>
      <c r="DKG311" s="35"/>
      <c r="DKH311" s="15"/>
      <c r="DKJ311" s="13"/>
      <c r="DKK311" s="35"/>
      <c r="DKL311" s="35"/>
      <c r="DKM311" s="15"/>
      <c r="DKO311" s="13"/>
      <c r="DKP311" s="35"/>
      <c r="DKQ311" s="35"/>
      <c r="DKR311" s="15"/>
      <c r="DKT311" s="13"/>
      <c r="DKU311" s="35"/>
      <c r="DKV311" s="35"/>
      <c r="DKW311" s="15"/>
      <c r="DKY311" s="13"/>
      <c r="DKZ311" s="35"/>
      <c r="DLA311" s="35"/>
      <c r="DLB311" s="15"/>
      <c r="DLD311" s="13"/>
      <c r="DLE311" s="35"/>
      <c r="DLF311" s="35"/>
      <c r="DLG311" s="15"/>
      <c r="DLI311" s="13"/>
      <c r="DLJ311" s="35"/>
      <c r="DLK311" s="35"/>
      <c r="DLL311" s="15"/>
      <c r="DLN311" s="13"/>
      <c r="DLO311" s="35"/>
      <c r="DLP311" s="35"/>
      <c r="DLQ311" s="15"/>
      <c r="DLS311" s="13"/>
      <c r="DLT311" s="35"/>
      <c r="DLU311" s="35"/>
      <c r="DLV311" s="15"/>
      <c r="DLX311" s="13"/>
      <c r="DLY311" s="35"/>
      <c r="DLZ311" s="35"/>
      <c r="DMA311" s="15"/>
      <c r="DMC311" s="13"/>
      <c r="DMD311" s="35"/>
      <c r="DME311" s="35"/>
      <c r="DMF311" s="15"/>
      <c r="DMH311" s="13"/>
      <c r="DMI311" s="35"/>
      <c r="DMJ311" s="35"/>
      <c r="DMK311" s="15"/>
      <c r="DMM311" s="13"/>
      <c r="DMN311" s="35"/>
      <c r="DMO311" s="35"/>
      <c r="DMP311" s="15"/>
      <c r="DMR311" s="13"/>
      <c r="DMS311" s="35"/>
      <c r="DMT311" s="35"/>
      <c r="DMU311" s="15"/>
      <c r="DMW311" s="13"/>
      <c r="DMX311" s="35"/>
      <c r="DMY311" s="35"/>
      <c r="DMZ311" s="15"/>
      <c r="DNB311" s="13"/>
      <c r="DNC311" s="35"/>
      <c r="DND311" s="35"/>
      <c r="DNE311" s="15"/>
      <c r="DNG311" s="13"/>
      <c r="DNH311" s="35"/>
      <c r="DNI311" s="35"/>
      <c r="DNJ311" s="15"/>
      <c r="DNL311" s="13"/>
      <c r="DNM311" s="35"/>
      <c r="DNN311" s="35"/>
      <c r="DNO311" s="15"/>
      <c r="DNQ311" s="13"/>
      <c r="DNR311" s="35"/>
      <c r="DNS311" s="35"/>
      <c r="DNT311" s="15"/>
      <c r="DNV311" s="13"/>
      <c r="DNW311" s="35"/>
      <c r="DNX311" s="35"/>
      <c r="DNY311" s="15"/>
      <c r="DOA311" s="13"/>
      <c r="DOB311" s="35"/>
      <c r="DOC311" s="35"/>
      <c r="DOD311" s="15"/>
      <c r="DOF311" s="13"/>
      <c r="DOG311" s="35"/>
      <c r="DOH311" s="35"/>
      <c r="DOI311" s="15"/>
      <c r="DOK311" s="13"/>
      <c r="DOL311" s="35"/>
      <c r="DOM311" s="35"/>
      <c r="DON311" s="15"/>
      <c r="DOP311" s="13"/>
      <c r="DOQ311" s="35"/>
      <c r="DOR311" s="35"/>
      <c r="DOS311" s="15"/>
      <c r="DOU311" s="13"/>
      <c r="DOV311" s="35"/>
      <c r="DOW311" s="35"/>
      <c r="DOX311" s="15"/>
      <c r="DOZ311" s="13"/>
      <c r="DPA311" s="35"/>
      <c r="DPB311" s="35"/>
      <c r="DPC311" s="15"/>
      <c r="DPE311" s="13"/>
      <c r="DPF311" s="35"/>
      <c r="DPG311" s="35"/>
      <c r="DPH311" s="15"/>
      <c r="DPJ311" s="13"/>
      <c r="DPK311" s="35"/>
      <c r="DPL311" s="35"/>
      <c r="DPM311" s="15"/>
      <c r="DPO311" s="13"/>
      <c r="DPP311" s="35"/>
      <c r="DPQ311" s="35"/>
      <c r="DPR311" s="15"/>
      <c r="DPT311" s="13"/>
      <c r="DPU311" s="35"/>
      <c r="DPV311" s="35"/>
      <c r="DPW311" s="15"/>
      <c r="DPY311" s="13"/>
      <c r="DPZ311" s="35"/>
      <c r="DQA311" s="35"/>
      <c r="DQB311" s="15"/>
      <c r="DQD311" s="13"/>
      <c r="DQE311" s="35"/>
      <c r="DQF311" s="35"/>
      <c r="DQG311" s="15"/>
      <c r="DQI311" s="13"/>
      <c r="DQJ311" s="35"/>
      <c r="DQK311" s="35"/>
      <c r="DQL311" s="15"/>
      <c r="DQN311" s="13"/>
      <c r="DQO311" s="35"/>
      <c r="DQP311" s="35"/>
      <c r="DQQ311" s="15"/>
      <c r="DQS311" s="13"/>
      <c r="DQT311" s="35"/>
      <c r="DQU311" s="35"/>
      <c r="DQV311" s="15"/>
      <c r="DQX311" s="13"/>
      <c r="DQY311" s="35"/>
      <c r="DQZ311" s="35"/>
      <c r="DRA311" s="15"/>
      <c r="DRC311" s="13"/>
      <c r="DRD311" s="35"/>
      <c r="DRE311" s="35"/>
      <c r="DRF311" s="15"/>
      <c r="DRH311" s="13"/>
      <c r="DRI311" s="35"/>
      <c r="DRJ311" s="35"/>
      <c r="DRK311" s="15"/>
      <c r="DRM311" s="13"/>
      <c r="DRN311" s="35"/>
      <c r="DRO311" s="35"/>
      <c r="DRP311" s="15"/>
      <c r="DRR311" s="13"/>
      <c r="DRS311" s="35"/>
      <c r="DRT311" s="35"/>
      <c r="DRU311" s="15"/>
      <c r="DRW311" s="13"/>
      <c r="DRX311" s="35"/>
      <c r="DRY311" s="35"/>
      <c r="DRZ311" s="15"/>
      <c r="DSB311" s="13"/>
      <c r="DSC311" s="35"/>
      <c r="DSD311" s="35"/>
      <c r="DSE311" s="15"/>
      <c r="DSG311" s="13"/>
      <c r="DSH311" s="35"/>
      <c r="DSI311" s="35"/>
      <c r="DSJ311" s="15"/>
      <c r="DSL311" s="13"/>
      <c r="DSM311" s="35"/>
      <c r="DSN311" s="35"/>
      <c r="DSO311" s="15"/>
      <c r="DSQ311" s="13"/>
      <c r="DSR311" s="35"/>
      <c r="DSS311" s="35"/>
      <c r="DST311" s="15"/>
      <c r="DSV311" s="13"/>
      <c r="DSW311" s="35"/>
      <c r="DSX311" s="35"/>
      <c r="DSY311" s="15"/>
      <c r="DTA311" s="13"/>
      <c r="DTB311" s="35"/>
      <c r="DTC311" s="35"/>
      <c r="DTD311" s="15"/>
      <c r="DTF311" s="13"/>
      <c r="DTG311" s="35"/>
      <c r="DTH311" s="35"/>
      <c r="DTI311" s="15"/>
      <c r="DTK311" s="13"/>
      <c r="DTL311" s="35"/>
      <c r="DTM311" s="35"/>
      <c r="DTN311" s="15"/>
      <c r="DTP311" s="13"/>
      <c r="DTQ311" s="35"/>
      <c r="DTR311" s="35"/>
      <c r="DTS311" s="15"/>
      <c r="DTU311" s="13"/>
      <c r="DTV311" s="35"/>
      <c r="DTW311" s="35"/>
      <c r="DTX311" s="15"/>
      <c r="DTZ311" s="13"/>
      <c r="DUA311" s="35"/>
      <c r="DUB311" s="35"/>
      <c r="DUC311" s="15"/>
      <c r="DUE311" s="13"/>
      <c r="DUF311" s="35"/>
      <c r="DUG311" s="35"/>
      <c r="DUH311" s="15"/>
      <c r="DUJ311" s="13"/>
      <c r="DUK311" s="35"/>
      <c r="DUL311" s="35"/>
      <c r="DUM311" s="15"/>
      <c r="DUO311" s="13"/>
      <c r="DUP311" s="35"/>
      <c r="DUQ311" s="35"/>
      <c r="DUR311" s="15"/>
      <c r="DUT311" s="13"/>
      <c r="DUU311" s="35"/>
      <c r="DUV311" s="35"/>
      <c r="DUW311" s="15"/>
      <c r="DUY311" s="13"/>
      <c r="DUZ311" s="35"/>
      <c r="DVA311" s="35"/>
      <c r="DVB311" s="15"/>
      <c r="DVD311" s="13"/>
      <c r="DVE311" s="35"/>
      <c r="DVF311" s="35"/>
      <c r="DVG311" s="15"/>
      <c r="DVI311" s="13"/>
      <c r="DVJ311" s="35"/>
      <c r="DVK311" s="35"/>
      <c r="DVL311" s="15"/>
      <c r="DVN311" s="13"/>
      <c r="DVO311" s="35"/>
      <c r="DVP311" s="35"/>
      <c r="DVQ311" s="15"/>
      <c r="DVS311" s="13"/>
      <c r="DVT311" s="35"/>
      <c r="DVU311" s="35"/>
      <c r="DVV311" s="15"/>
      <c r="DVX311" s="13"/>
      <c r="DVY311" s="35"/>
      <c r="DVZ311" s="35"/>
      <c r="DWA311" s="15"/>
      <c r="DWC311" s="13"/>
      <c r="DWD311" s="35"/>
      <c r="DWE311" s="35"/>
      <c r="DWF311" s="15"/>
      <c r="DWH311" s="13"/>
      <c r="DWI311" s="35"/>
      <c r="DWJ311" s="35"/>
      <c r="DWK311" s="15"/>
      <c r="DWM311" s="13"/>
      <c r="DWN311" s="35"/>
      <c r="DWO311" s="35"/>
      <c r="DWP311" s="15"/>
      <c r="DWR311" s="13"/>
      <c r="DWS311" s="35"/>
      <c r="DWT311" s="35"/>
      <c r="DWU311" s="15"/>
      <c r="DWW311" s="13"/>
      <c r="DWX311" s="35"/>
      <c r="DWY311" s="35"/>
      <c r="DWZ311" s="15"/>
      <c r="DXB311" s="13"/>
      <c r="DXC311" s="35"/>
      <c r="DXD311" s="35"/>
      <c r="DXE311" s="15"/>
      <c r="DXG311" s="13"/>
      <c r="DXH311" s="35"/>
      <c r="DXI311" s="35"/>
      <c r="DXJ311" s="15"/>
      <c r="DXL311" s="13"/>
      <c r="DXM311" s="35"/>
      <c r="DXN311" s="35"/>
      <c r="DXO311" s="15"/>
      <c r="DXQ311" s="13"/>
      <c r="DXR311" s="35"/>
      <c r="DXS311" s="35"/>
      <c r="DXT311" s="15"/>
      <c r="DXV311" s="13"/>
      <c r="DXW311" s="35"/>
      <c r="DXX311" s="35"/>
      <c r="DXY311" s="15"/>
      <c r="DYA311" s="13"/>
      <c r="DYB311" s="35"/>
      <c r="DYC311" s="35"/>
      <c r="DYD311" s="15"/>
      <c r="DYF311" s="13"/>
      <c r="DYG311" s="35"/>
      <c r="DYH311" s="35"/>
      <c r="DYI311" s="15"/>
      <c r="DYK311" s="13"/>
      <c r="DYL311" s="35"/>
      <c r="DYM311" s="35"/>
      <c r="DYN311" s="15"/>
      <c r="DYP311" s="13"/>
      <c r="DYQ311" s="35"/>
      <c r="DYR311" s="35"/>
      <c r="DYS311" s="15"/>
      <c r="DYU311" s="13"/>
      <c r="DYV311" s="35"/>
      <c r="DYW311" s="35"/>
      <c r="DYX311" s="15"/>
      <c r="DYZ311" s="13"/>
      <c r="DZA311" s="35"/>
      <c r="DZB311" s="35"/>
      <c r="DZC311" s="15"/>
      <c r="DZE311" s="13"/>
      <c r="DZF311" s="35"/>
      <c r="DZG311" s="35"/>
      <c r="DZH311" s="15"/>
      <c r="DZJ311" s="13"/>
      <c r="DZK311" s="35"/>
      <c r="DZL311" s="35"/>
      <c r="DZM311" s="15"/>
      <c r="DZO311" s="13"/>
      <c r="DZP311" s="35"/>
      <c r="DZQ311" s="35"/>
      <c r="DZR311" s="15"/>
      <c r="DZT311" s="13"/>
      <c r="DZU311" s="35"/>
      <c r="DZV311" s="35"/>
      <c r="DZW311" s="15"/>
      <c r="DZY311" s="13"/>
      <c r="DZZ311" s="35"/>
      <c r="EAA311" s="35"/>
      <c r="EAB311" s="15"/>
      <c r="EAD311" s="13"/>
      <c r="EAE311" s="35"/>
      <c r="EAF311" s="35"/>
      <c r="EAG311" s="15"/>
      <c r="EAI311" s="13"/>
      <c r="EAJ311" s="35"/>
      <c r="EAK311" s="35"/>
      <c r="EAL311" s="15"/>
      <c r="EAN311" s="13"/>
      <c r="EAO311" s="35"/>
      <c r="EAP311" s="35"/>
      <c r="EAQ311" s="15"/>
      <c r="EAS311" s="13"/>
      <c r="EAT311" s="35"/>
      <c r="EAU311" s="35"/>
      <c r="EAV311" s="15"/>
      <c r="EAX311" s="13"/>
      <c r="EAY311" s="35"/>
      <c r="EAZ311" s="35"/>
      <c r="EBA311" s="15"/>
      <c r="EBC311" s="13"/>
      <c r="EBD311" s="35"/>
      <c r="EBE311" s="35"/>
      <c r="EBF311" s="15"/>
      <c r="EBH311" s="13"/>
      <c r="EBI311" s="35"/>
      <c r="EBJ311" s="35"/>
      <c r="EBK311" s="15"/>
      <c r="EBM311" s="13"/>
      <c r="EBN311" s="35"/>
      <c r="EBO311" s="35"/>
      <c r="EBP311" s="15"/>
      <c r="EBR311" s="13"/>
      <c r="EBS311" s="35"/>
      <c r="EBT311" s="35"/>
      <c r="EBU311" s="15"/>
      <c r="EBW311" s="13"/>
      <c r="EBX311" s="35"/>
      <c r="EBY311" s="35"/>
      <c r="EBZ311" s="15"/>
      <c r="ECB311" s="13"/>
      <c r="ECC311" s="35"/>
      <c r="ECD311" s="35"/>
      <c r="ECE311" s="15"/>
      <c r="ECG311" s="13"/>
      <c r="ECH311" s="35"/>
      <c r="ECI311" s="35"/>
      <c r="ECJ311" s="15"/>
      <c r="ECL311" s="13"/>
      <c r="ECM311" s="35"/>
      <c r="ECN311" s="35"/>
      <c r="ECO311" s="15"/>
      <c r="ECQ311" s="13"/>
      <c r="ECR311" s="35"/>
      <c r="ECS311" s="35"/>
      <c r="ECT311" s="15"/>
      <c r="ECV311" s="13"/>
      <c r="ECW311" s="35"/>
      <c r="ECX311" s="35"/>
      <c r="ECY311" s="15"/>
      <c r="EDA311" s="13"/>
      <c r="EDB311" s="35"/>
      <c r="EDC311" s="35"/>
      <c r="EDD311" s="15"/>
      <c r="EDF311" s="13"/>
      <c r="EDG311" s="35"/>
      <c r="EDH311" s="35"/>
      <c r="EDI311" s="15"/>
      <c r="EDK311" s="13"/>
      <c r="EDL311" s="35"/>
      <c r="EDM311" s="35"/>
      <c r="EDN311" s="15"/>
      <c r="EDP311" s="13"/>
      <c r="EDQ311" s="35"/>
      <c r="EDR311" s="35"/>
      <c r="EDS311" s="15"/>
      <c r="EDU311" s="13"/>
      <c r="EDV311" s="35"/>
      <c r="EDW311" s="35"/>
      <c r="EDX311" s="15"/>
      <c r="EDZ311" s="13"/>
      <c r="EEA311" s="35"/>
      <c r="EEB311" s="35"/>
      <c r="EEC311" s="15"/>
      <c r="EEE311" s="13"/>
      <c r="EEF311" s="35"/>
      <c r="EEG311" s="35"/>
      <c r="EEH311" s="15"/>
      <c r="EEJ311" s="13"/>
      <c r="EEK311" s="35"/>
      <c r="EEL311" s="35"/>
      <c r="EEM311" s="15"/>
      <c r="EEO311" s="13"/>
      <c r="EEP311" s="35"/>
      <c r="EEQ311" s="35"/>
      <c r="EER311" s="15"/>
      <c r="EET311" s="13"/>
      <c r="EEU311" s="35"/>
      <c r="EEV311" s="35"/>
      <c r="EEW311" s="15"/>
      <c r="EEY311" s="13"/>
      <c r="EEZ311" s="35"/>
      <c r="EFA311" s="35"/>
      <c r="EFB311" s="15"/>
      <c r="EFD311" s="13"/>
      <c r="EFE311" s="35"/>
      <c r="EFF311" s="35"/>
      <c r="EFG311" s="15"/>
      <c r="EFI311" s="13"/>
      <c r="EFJ311" s="35"/>
      <c r="EFK311" s="35"/>
      <c r="EFL311" s="15"/>
      <c r="EFN311" s="13"/>
      <c r="EFO311" s="35"/>
      <c r="EFP311" s="35"/>
      <c r="EFQ311" s="15"/>
      <c r="EFS311" s="13"/>
      <c r="EFT311" s="35"/>
      <c r="EFU311" s="35"/>
      <c r="EFV311" s="15"/>
      <c r="EFX311" s="13"/>
      <c r="EFY311" s="35"/>
      <c r="EFZ311" s="35"/>
      <c r="EGA311" s="15"/>
      <c r="EGC311" s="13"/>
      <c r="EGD311" s="35"/>
      <c r="EGE311" s="35"/>
      <c r="EGF311" s="15"/>
      <c r="EGH311" s="13"/>
      <c r="EGI311" s="35"/>
      <c r="EGJ311" s="35"/>
      <c r="EGK311" s="15"/>
      <c r="EGM311" s="13"/>
      <c r="EGN311" s="35"/>
      <c r="EGO311" s="35"/>
      <c r="EGP311" s="15"/>
      <c r="EGR311" s="13"/>
      <c r="EGS311" s="35"/>
      <c r="EGT311" s="35"/>
      <c r="EGU311" s="15"/>
      <c r="EGW311" s="13"/>
      <c r="EGX311" s="35"/>
      <c r="EGY311" s="35"/>
      <c r="EGZ311" s="15"/>
      <c r="EHB311" s="13"/>
      <c r="EHC311" s="35"/>
      <c r="EHD311" s="35"/>
      <c r="EHE311" s="15"/>
      <c r="EHG311" s="13"/>
      <c r="EHH311" s="35"/>
      <c r="EHI311" s="35"/>
      <c r="EHJ311" s="15"/>
      <c r="EHL311" s="13"/>
      <c r="EHM311" s="35"/>
      <c r="EHN311" s="35"/>
      <c r="EHO311" s="15"/>
      <c r="EHQ311" s="13"/>
      <c r="EHR311" s="35"/>
      <c r="EHS311" s="35"/>
      <c r="EHT311" s="15"/>
      <c r="EHV311" s="13"/>
      <c r="EHW311" s="35"/>
      <c r="EHX311" s="35"/>
      <c r="EHY311" s="15"/>
      <c r="EIA311" s="13"/>
      <c r="EIB311" s="35"/>
      <c r="EIC311" s="35"/>
      <c r="EID311" s="15"/>
      <c r="EIF311" s="13"/>
      <c r="EIG311" s="35"/>
      <c r="EIH311" s="35"/>
      <c r="EII311" s="15"/>
      <c r="EIK311" s="13"/>
      <c r="EIL311" s="35"/>
      <c r="EIM311" s="35"/>
      <c r="EIN311" s="15"/>
      <c r="EIP311" s="13"/>
      <c r="EIQ311" s="35"/>
      <c r="EIR311" s="35"/>
      <c r="EIS311" s="15"/>
      <c r="EIU311" s="13"/>
      <c r="EIV311" s="35"/>
      <c r="EIW311" s="35"/>
      <c r="EIX311" s="15"/>
      <c r="EIZ311" s="13"/>
      <c r="EJA311" s="35"/>
      <c r="EJB311" s="35"/>
      <c r="EJC311" s="15"/>
      <c r="EJE311" s="13"/>
      <c r="EJF311" s="35"/>
      <c r="EJG311" s="35"/>
      <c r="EJH311" s="15"/>
      <c r="EJJ311" s="13"/>
      <c r="EJK311" s="35"/>
      <c r="EJL311" s="35"/>
      <c r="EJM311" s="15"/>
      <c r="EJO311" s="13"/>
      <c r="EJP311" s="35"/>
      <c r="EJQ311" s="35"/>
      <c r="EJR311" s="15"/>
      <c r="EJT311" s="13"/>
      <c r="EJU311" s="35"/>
      <c r="EJV311" s="35"/>
      <c r="EJW311" s="15"/>
      <c r="EJY311" s="13"/>
      <c r="EJZ311" s="35"/>
      <c r="EKA311" s="35"/>
      <c r="EKB311" s="15"/>
      <c r="EKD311" s="13"/>
      <c r="EKE311" s="35"/>
      <c r="EKF311" s="35"/>
      <c r="EKG311" s="15"/>
      <c r="EKI311" s="13"/>
      <c r="EKJ311" s="35"/>
      <c r="EKK311" s="35"/>
      <c r="EKL311" s="15"/>
      <c r="EKN311" s="13"/>
      <c r="EKO311" s="35"/>
      <c r="EKP311" s="35"/>
      <c r="EKQ311" s="15"/>
      <c r="EKS311" s="13"/>
      <c r="EKT311" s="35"/>
      <c r="EKU311" s="35"/>
      <c r="EKV311" s="15"/>
      <c r="EKX311" s="13"/>
      <c r="EKY311" s="35"/>
      <c r="EKZ311" s="35"/>
      <c r="ELA311" s="15"/>
      <c r="ELC311" s="13"/>
      <c r="ELD311" s="35"/>
      <c r="ELE311" s="35"/>
      <c r="ELF311" s="15"/>
      <c r="ELH311" s="13"/>
      <c r="ELI311" s="35"/>
      <c r="ELJ311" s="35"/>
      <c r="ELK311" s="15"/>
      <c r="ELM311" s="13"/>
      <c r="ELN311" s="35"/>
      <c r="ELO311" s="35"/>
      <c r="ELP311" s="15"/>
      <c r="ELR311" s="13"/>
      <c r="ELS311" s="35"/>
      <c r="ELT311" s="35"/>
      <c r="ELU311" s="15"/>
      <c r="ELW311" s="13"/>
      <c r="ELX311" s="35"/>
      <c r="ELY311" s="35"/>
      <c r="ELZ311" s="15"/>
      <c r="EMB311" s="13"/>
      <c r="EMC311" s="35"/>
      <c r="EMD311" s="35"/>
      <c r="EME311" s="15"/>
      <c r="EMG311" s="13"/>
      <c r="EMH311" s="35"/>
      <c r="EMI311" s="35"/>
      <c r="EMJ311" s="15"/>
      <c r="EML311" s="13"/>
      <c r="EMM311" s="35"/>
      <c r="EMN311" s="35"/>
      <c r="EMO311" s="15"/>
      <c r="EMQ311" s="13"/>
      <c r="EMR311" s="35"/>
      <c r="EMS311" s="35"/>
      <c r="EMT311" s="15"/>
      <c r="EMV311" s="13"/>
      <c r="EMW311" s="35"/>
      <c r="EMX311" s="35"/>
      <c r="EMY311" s="15"/>
      <c r="ENA311" s="13"/>
      <c r="ENB311" s="35"/>
      <c r="ENC311" s="35"/>
      <c r="END311" s="15"/>
      <c r="ENF311" s="13"/>
      <c r="ENG311" s="35"/>
      <c r="ENH311" s="35"/>
      <c r="ENI311" s="15"/>
      <c r="ENK311" s="13"/>
      <c r="ENL311" s="35"/>
      <c r="ENM311" s="35"/>
      <c r="ENN311" s="15"/>
      <c r="ENP311" s="13"/>
      <c r="ENQ311" s="35"/>
      <c r="ENR311" s="35"/>
      <c r="ENS311" s="15"/>
      <c r="ENU311" s="13"/>
      <c r="ENV311" s="35"/>
      <c r="ENW311" s="35"/>
      <c r="ENX311" s="15"/>
      <c r="ENZ311" s="13"/>
      <c r="EOA311" s="35"/>
      <c r="EOB311" s="35"/>
      <c r="EOC311" s="15"/>
      <c r="EOE311" s="13"/>
      <c r="EOF311" s="35"/>
      <c r="EOG311" s="35"/>
      <c r="EOH311" s="15"/>
      <c r="EOJ311" s="13"/>
      <c r="EOK311" s="35"/>
      <c r="EOL311" s="35"/>
      <c r="EOM311" s="15"/>
      <c r="EOO311" s="13"/>
      <c r="EOP311" s="35"/>
      <c r="EOQ311" s="35"/>
      <c r="EOR311" s="15"/>
      <c r="EOT311" s="13"/>
      <c r="EOU311" s="35"/>
      <c r="EOV311" s="35"/>
      <c r="EOW311" s="15"/>
      <c r="EOY311" s="13"/>
      <c r="EOZ311" s="35"/>
      <c r="EPA311" s="35"/>
      <c r="EPB311" s="15"/>
      <c r="EPD311" s="13"/>
      <c r="EPE311" s="35"/>
      <c r="EPF311" s="35"/>
      <c r="EPG311" s="15"/>
      <c r="EPI311" s="13"/>
      <c r="EPJ311" s="35"/>
      <c r="EPK311" s="35"/>
      <c r="EPL311" s="15"/>
      <c r="EPN311" s="13"/>
      <c r="EPO311" s="35"/>
      <c r="EPP311" s="35"/>
      <c r="EPQ311" s="15"/>
      <c r="EPS311" s="13"/>
      <c r="EPT311" s="35"/>
      <c r="EPU311" s="35"/>
      <c r="EPV311" s="15"/>
      <c r="EPX311" s="13"/>
      <c r="EPY311" s="35"/>
      <c r="EPZ311" s="35"/>
      <c r="EQA311" s="15"/>
      <c r="EQC311" s="13"/>
      <c r="EQD311" s="35"/>
      <c r="EQE311" s="35"/>
      <c r="EQF311" s="15"/>
      <c r="EQH311" s="13"/>
      <c r="EQI311" s="35"/>
      <c r="EQJ311" s="35"/>
      <c r="EQK311" s="15"/>
      <c r="EQM311" s="13"/>
      <c r="EQN311" s="35"/>
      <c r="EQO311" s="35"/>
      <c r="EQP311" s="15"/>
      <c r="EQR311" s="13"/>
      <c r="EQS311" s="35"/>
      <c r="EQT311" s="35"/>
      <c r="EQU311" s="15"/>
      <c r="EQW311" s="13"/>
      <c r="EQX311" s="35"/>
      <c r="EQY311" s="35"/>
      <c r="EQZ311" s="15"/>
      <c r="ERB311" s="13"/>
      <c r="ERC311" s="35"/>
      <c r="ERD311" s="35"/>
      <c r="ERE311" s="15"/>
      <c r="ERG311" s="13"/>
      <c r="ERH311" s="35"/>
      <c r="ERI311" s="35"/>
      <c r="ERJ311" s="15"/>
      <c r="ERL311" s="13"/>
      <c r="ERM311" s="35"/>
      <c r="ERN311" s="35"/>
      <c r="ERO311" s="15"/>
      <c r="ERQ311" s="13"/>
      <c r="ERR311" s="35"/>
      <c r="ERS311" s="35"/>
      <c r="ERT311" s="15"/>
      <c r="ERV311" s="13"/>
      <c r="ERW311" s="35"/>
      <c r="ERX311" s="35"/>
      <c r="ERY311" s="15"/>
      <c r="ESA311" s="13"/>
      <c r="ESB311" s="35"/>
      <c r="ESC311" s="35"/>
      <c r="ESD311" s="15"/>
      <c r="ESF311" s="13"/>
      <c r="ESG311" s="35"/>
      <c r="ESH311" s="35"/>
      <c r="ESI311" s="15"/>
      <c r="ESK311" s="13"/>
      <c r="ESL311" s="35"/>
      <c r="ESM311" s="35"/>
      <c r="ESN311" s="15"/>
      <c r="ESP311" s="13"/>
      <c r="ESQ311" s="35"/>
      <c r="ESR311" s="35"/>
      <c r="ESS311" s="15"/>
      <c r="ESU311" s="13"/>
      <c r="ESV311" s="35"/>
      <c r="ESW311" s="35"/>
      <c r="ESX311" s="15"/>
      <c r="ESZ311" s="13"/>
      <c r="ETA311" s="35"/>
      <c r="ETB311" s="35"/>
      <c r="ETC311" s="15"/>
      <c r="ETE311" s="13"/>
      <c r="ETF311" s="35"/>
      <c r="ETG311" s="35"/>
      <c r="ETH311" s="15"/>
      <c r="ETJ311" s="13"/>
      <c r="ETK311" s="35"/>
      <c r="ETL311" s="35"/>
      <c r="ETM311" s="15"/>
      <c r="ETO311" s="13"/>
      <c r="ETP311" s="35"/>
      <c r="ETQ311" s="35"/>
      <c r="ETR311" s="15"/>
      <c r="ETT311" s="13"/>
      <c r="ETU311" s="35"/>
      <c r="ETV311" s="35"/>
      <c r="ETW311" s="15"/>
      <c r="ETY311" s="13"/>
      <c r="ETZ311" s="35"/>
      <c r="EUA311" s="35"/>
      <c r="EUB311" s="15"/>
      <c r="EUD311" s="13"/>
      <c r="EUE311" s="35"/>
      <c r="EUF311" s="35"/>
      <c r="EUG311" s="15"/>
      <c r="EUI311" s="13"/>
      <c r="EUJ311" s="35"/>
      <c r="EUK311" s="35"/>
      <c r="EUL311" s="15"/>
      <c r="EUN311" s="13"/>
      <c r="EUO311" s="35"/>
      <c r="EUP311" s="35"/>
      <c r="EUQ311" s="15"/>
      <c r="EUS311" s="13"/>
      <c r="EUT311" s="35"/>
      <c r="EUU311" s="35"/>
      <c r="EUV311" s="15"/>
      <c r="EUX311" s="13"/>
      <c r="EUY311" s="35"/>
      <c r="EUZ311" s="35"/>
      <c r="EVA311" s="15"/>
      <c r="EVC311" s="13"/>
      <c r="EVD311" s="35"/>
      <c r="EVE311" s="35"/>
      <c r="EVF311" s="15"/>
      <c r="EVH311" s="13"/>
      <c r="EVI311" s="35"/>
      <c r="EVJ311" s="35"/>
      <c r="EVK311" s="15"/>
      <c r="EVM311" s="13"/>
      <c r="EVN311" s="35"/>
      <c r="EVO311" s="35"/>
      <c r="EVP311" s="15"/>
      <c r="EVR311" s="13"/>
      <c r="EVS311" s="35"/>
      <c r="EVT311" s="35"/>
      <c r="EVU311" s="15"/>
      <c r="EVW311" s="13"/>
      <c r="EVX311" s="35"/>
      <c r="EVY311" s="35"/>
      <c r="EVZ311" s="15"/>
      <c r="EWB311" s="13"/>
      <c r="EWC311" s="35"/>
      <c r="EWD311" s="35"/>
      <c r="EWE311" s="15"/>
      <c r="EWG311" s="13"/>
      <c r="EWH311" s="35"/>
      <c r="EWI311" s="35"/>
      <c r="EWJ311" s="15"/>
      <c r="EWL311" s="13"/>
      <c r="EWM311" s="35"/>
      <c r="EWN311" s="35"/>
      <c r="EWO311" s="15"/>
      <c r="EWQ311" s="13"/>
      <c r="EWR311" s="35"/>
      <c r="EWS311" s="35"/>
      <c r="EWT311" s="15"/>
      <c r="EWV311" s="13"/>
      <c r="EWW311" s="35"/>
      <c r="EWX311" s="35"/>
      <c r="EWY311" s="15"/>
      <c r="EXA311" s="13"/>
      <c r="EXB311" s="35"/>
      <c r="EXC311" s="35"/>
      <c r="EXD311" s="15"/>
      <c r="EXF311" s="13"/>
      <c r="EXG311" s="35"/>
      <c r="EXH311" s="35"/>
      <c r="EXI311" s="15"/>
      <c r="EXK311" s="13"/>
      <c r="EXL311" s="35"/>
      <c r="EXM311" s="35"/>
      <c r="EXN311" s="15"/>
      <c r="EXP311" s="13"/>
      <c r="EXQ311" s="35"/>
      <c r="EXR311" s="35"/>
      <c r="EXS311" s="15"/>
      <c r="EXU311" s="13"/>
      <c r="EXV311" s="35"/>
      <c r="EXW311" s="35"/>
      <c r="EXX311" s="15"/>
      <c r="EXZ311" s="13"/>
      <c r="EYA311" s="35"/>
      <c r="EYB311" s="35"/>
      <c r="EYC311" s="15"/>
      <c r="EYE311" s="13"/>
      <c r="EYF311" s="35"/>
      <c r="EYG311" s="35"/>
      <c r="EYH311" s="15"/>
      <c r="EYJ311" s="13"/>
      <c r="EYK311" s="35"/>
      <c r="EYL311" s="35"/>
      <c r="EYM311" s="15"/>
      <c r="EYO311" s="13"/>
      <c r="EYP311" s="35"/>
      <c r="EYQ311" s="35"/>
      <c r="EYR311" s="15"/>
      <c r="EYT311" s="13"/>
      <c r="EYU311" s="35"/>
      <c r="EYV311" s="35"/>
      <c r="EYW311" s="15"/>
      <c r="EYY311" s="13"/>
      <c r="EYZ311" s="35"/>
      <c r="EZA311" s="35"/>
      <c r="EZB311" s="15"/>
      <c r="EZD311" s="13"/>
      <c r="EZE311" s="35"/>
      <c r="EZF311" s="35"/>
      <c r="EZG311" s="15"/>
      <c r="EZI311" s="13"/>
      <c r="EZJ311" s="35"/>
      <c r="EZK311" s="35"/>
      <c r="EZL311" s="15"/>
      <c r="EZN311" s="13"/>
      <c r="EZO311" s="35"/>
      <c r="EZP311" s="35"/>
      <c r="EZQ311" s="15"/>
      <c r="EZS311" s="13"/>
      <c r="EZT311" s="35"/>
      <c r="EZU311" s="35"/>
      <c r="EZV311" s="15"/>
      <c r="EZX311" s="13"/>
      <c r="EZY311" s="35"/>
      <c r="EZZ311" s="35"/>
      <c r="FAA311" s="15"/>
      <c r="FAC311" s="13"/>
      <c r="FAD311" s="35"/>
      <c r="FAE311" s="35"/>
      <c r="FAF311" s="15"/>
      <c r="FAH311" s="13"/>
      <c r="FAI311" s="35"/>
      <c r="FAJ311" s="35"/>
      <c r="FAK311" s="15"/>
      <c r="FAM311" s="13"/>
      <c r="FAN311" s="35"/>
      <c r="FAO311" s="35"/>
      <c r="FAP311" s="15"/>
      <c r="FAR311" s="13"/>
      <c r="FAS311" s="35"/>
      <c r="FAT311" s="35"/>
      <c r="FAU311" s="15"/>
      <c r="FAW311" s="13"/>
      <c r="FAX311" s="35"/>
      <c r="FAY311" s="35"/>
      <c r="FAZ311" s="15"/>
      <c r="FBB311" s="13"/>
      <c r="FBC311" s="35"/>
      <c r="FBD311" s="35"/>
      <c r="FBE311" s="15"/>
      <c r="FBG311" s="13"/>
      <c r="FBH311" s="35"/>
      <c r="FBI311" s="35"/>
      <c r="FBJ311" s="15"/>
      <c r="FBL311" s="13"/>
      <c r="FBM311" s="35"/>
      <c r="FBN311" s="35"/>
      <c r="FBO311" s="15"/>
      <c r="FBQ311" s="13"/>
      <c r="FBR311" s="35"/>
      <c r="FBS311" s="35"/>
      <c r="FBT311" s="15"/>
      <c r="FBV311" s="13"/>
      <c r="FBW311" s="35"/>
      <c r="FBX311" s="35"/>
      <c r="FBY311" s="15"/>
      <c r="FCA311" s="13"/>
      <c r="FCB311" s="35"/>
      <c r="FCC311" s="35"/>
      <c r="FCD311" s="15"/>
      <c r="FCF311" s="13"/>
      <c r="FCG311" s="35"/>
      <c r="FCH311" s="35"/>
      <c r="FCI311" s="15"/>
      <c r="FCK311" s="13"/>
      <c r="FCL311" s="35"/>
      <c r="FCM311" s="35"/>
      <c r="FCN311" s="15"/>
      <c r="FCP311" s="13"/>
      <c r="FCQ311" s="35"/>
      <c r="FCR311" s="35"/>
      <c r="FCS311" s="15"/>
      <c r="FCU311" s="13"/>
      <c r="FCV311" s="35"/>
      <c r="FCW311" s="35"/>
      <c r="FCX311" s="15"/>
      <c r="FCZ311" s="13"/>
      <c r="FDA311" s="35"/>
      <c r="FDB311" s="35"/>
      <c r="FDC311" s="15"/>
      <c r="FDE311" s="13"/>
      <c r="FDF311" s="35"/>
      <c r="FDG311" s="35"/>
      <c r="FDH311" s="15"/>
      <c r="FDJ311" s="13"/>
      <c r="FDK311" s="35"/>
      <c r="FDL311" s="35"/>
      <c r="FDM311" s="15"/>
      <c r="FDO311" s="13"/>
      <c r="FDP311" s="35"/>
      <c r="FDQ311" s="35"/>
      <c r="FDR311" s="15"/>
      <c r="FDT311" s="13"/>
      <c r="FDU311" s="35"/>
      <c r="FDV311" s="35"/>
      <c r="FDW311" s="15"/>
      <c r="FDY311" s="13"/>
      <c r="FDZ311" s="35"/>
      <c r="FEA311" s="35"/>
      <c r="FEB311" s="15"/>
      <c r="FED311" s="13"/>
      <c r="FEE311" s="35"/>
      <c r="FEF311" s="35"/>
      <c r="FEG311" s="15"/>
      <c r="FEI311" s="13"/>
      <c r="FEJ311" s="35"/>
      <c r="FEK311" s="35"/>
      <c r="FEL311" s="15"/>
      <c r="FEN311" s="13"/>
      <c r="FEO311" s="35"/>
      <c r="FEP311" s="35"/>
      <c r="FEQ311" s="15"/>
      <c r="FES311" s="13"/>
      <c r="FET311" s="35"/>
      <c r="FEU311" s="35"/>
      <c r="FEV311" s="15"/>
      <c r="FEX311" s="13"/>
      <c r="FEY311" s="35"/>
      <c r="FEZ311" s="35"/>
      <c r="FFA311" s="15"/>
      <c r="FFC311" s="13"/>
      <c r="FFD311" s="35"/>
      <c r="FFE311" s="35"/>
      <c r="FFF311" s="15"/>
      <c r="FFH311" s="13"/>
      <c r="FFI311" s="35"/>
      <c r="FFJ311" s="35"/>
      <c r="FFK311" s="15"/>
      <c r="FFM311" s="13"/>
      <c r="FFN311" s="35"/>
      <c r="FFO311" s="35"/>
      <c r="FFP311" s="15"/>
      <c r="FFR311" s="13"/>
      <c r="FFS311" s="35"/>
      <c r="FFT311" s="35"/>
      <c r="FFU311" s="15"/>
      <c r="FFW311" s="13"/>
      <c r="FFX311" s="35"/>
      <c r="FFY311" s="35"/>
      <c r="FFZ311" s="15"/>
      <c r="FGB311" s="13"/>
      <c r="FGC311" s="35"/>
      <c r="FGD311" s="35"/>
      <c r="FGE311" s="15"/>
      <c r="FGG311" s="13"/>
      <c r="FGH311" s="35"/>
      <c r="FGI311" s="35"/>
      <c r="FGJ311" s="15"/>
      <c r="FGL311" s="13"/>
      <c r="FGM311" s="35"/>
      <c r="FGN311" s="35"/>
      <c r="FGO311" s="15"/>
      <c r="FGQ311" s="13"/>
      <c r="FGR311" s="35"/>
      <c r="FGS311" s="35"/>
      <c r="FGT311" s="15"/>
      <c r="FGV311" s="13"/>
      <c r="FGW311" s="35"/>
      <c r="FGX311" s="35"/>
      <c r="FGY311" s="15"/>
      <c r="FHA311" s="13"/>
      <c r="FHB311" s="35"/>
      <c r="FHC311" s="35"/>
      <c r="FHD311" s="15"/>
      <c r="FHF311" s="13"/>
      <c r="FHG311" s="35"/>
      <c r="FHH311" s="35"/>
      <c r="FHI311" s="15"/>
      <c r="FHK311" s="13"/>
      <c r="FHL311" s="35"/>
      <c r="FHM311" s="35"/>
      <c r="FHN311" s="15"/>
      <c r="FHP311" s="13"/>
      <c r="FHQ311" s="35"/>
      <c r="FHR311" s="35"/>
      <c r="FHS311" s="15"/>
      <c r="FHU311" s="13"/>
      <c r="FHV311" s="35"/>
      <c r="FHW311" s="35"/>
      <c r="FHX311" s="15"/>
      <c r="FHZ311" s="13"/>
      <c r="FIA311" s="35"/>
      <c r="FIB311" s="35"/>
      <c r="FIC311" s="15"/>
      <c r="FIE311" s="13"/>
      <c r="FIF311" s="35"/>
      <c r="FIG311" s="35"/>
      <c r="FIH311" s="15"/>
      <c r="FIJ311" s="13"/>
      <c r="FIK311" s="35"/>
      <c r="FIL311" s="35"/>
      <c r="FIM311" s="15"/>
      <c r="FIO311" s="13"/>
      <c r="FIP311" s="35"/>
      <c r="FIQ311" s="35"/>
      <c r="FIR311" s="15"/>
      <c r="FIT311" s="13"/>
      <c r="FIU311" s="35"/>
      <c r="FIV311" s="35"/>
      <c r="FIW311" s="15"/>
      <c r="FIY311" s="13"/>
      <c r="FIZ311" s="35"/>
      <c r="FJA311" s="35"/>
      <c r="FJB311" s="15"/>
      <c r="FJD311" s="13"/>
      <c r="FJE311" s="35"/>
      <c r="FJF311" s="35"/>
      <c r="FJG311" s="15"/>
      <c r="FJI311" s="13"/>
      <c r="FJJ311" s="35"/>
      <c r="FJK311" s="35"/>
      <c r="FJL311" s="15"/>
      <c r="FJN311" s="13"/>
      <c r="FJO311" s="35"/>
      <c r="FJP311" s="35"/>
      <c r="FJQ311" s="15"/>
      <c r="FJS311" s="13"/>
      <c r="FJT311" s="35"/>
      <c r="FJU311" s="35"/>
      <c r="FJV311" s="15"/>
      <c r="FJX311" s="13"/>
      <c r="FJY311" s="35"/>
      <c r="FJZ311" s="35"/>
      <c r="FKA311" s="15"/>
      <c r="FKC311" s="13"/>
      <c r="FKD311" s="35"/>
      <c r="FKE311" s="35"/>
      <c r="FKF311" s="15"/>
      <c r="FKH311" s="13"/>
      <c r="FKI311" s="35"/>
      <c r="FKJ311" s="35"/>
      <c r="FKK311" s="15"/>
      <c r="FKM311" s="13"/>
      <c r="FKN311" s="35"/>
      <c r="FKO311" s="35"/>
      <c r="FKP311" s="15"/>
      <c r="FKR311" s="13"/>
      <c r="FKS311" s="35"/>
      <c r="FKT311" s="35"/>
      <c r="FKU311" s="15"/>
      <c r="FKW311" s="13"/>
      <c r="FKX311" s="35"/>
      <c r="FKY311" s="35"/>
      <c r="FKZ311" s="15"/>
      <c r="FLB311" s="13"/>
      <c r="FLC311" s="35"/>
      <c r="FLD311" s="35"/>
      <c r="FLE311" s="15"/>
      <c r="FLG311" s="13"/>
      <c r="FLH311" s="35"/>
      <c r="FLI311" s="35"/>
      <c r="FLJ311" s="15"/>
      <c r="FLL311" s="13"/>
      <c r="FLM311" s="35"/>
      <c r="FLN311" s="35"/>
      <c r="FLO311" s="15"/>
      <c r="FLQ311" s="13"/>
      <c r="FLR311" s="35"/>
      <c r="FLS311" s="35"/>
      <c r="FLT311" s="15"/>
      <c r="FLV311" s="13"/>
      <c r="FLW311" s="35"/>
      <c r="FLX311" s="35"/>
      <c r="FLY311" s="15"/>
      <c r="FMA311" s="13"/>
      <c r="FMB311" s="35"/>
      <c r="FMC311" s="35"/>
      <c r="FMD311" s="15"/>
      <c r="FMF311" s="13"/>
      <c r="FMG311" s="35"/>
      <c r="FMH311" s="35"/>
      <c r="FMI311" s="15"/>
      <c r="FMK311" s="13"/>
      <c r="FML311" s="35"/>
      <c r="FMM311" s="35"/>
      <c r="FMN311" s="15"/>
      <c r="FMP311" s="13"/>
      <c r="FMQ311" s="35"/>
      <c r="FMR311" s="35"/>
      <c r="FMS311" s="15"/>
      <c r="FMU311" s="13"/>
      <c r="FMV311" s="35"/>
      <c r="FMW311" s="35"/>
      <c r="FMX311" s="15"/>
      <c r="FMZ311" s="13"/>
      <c r="FNA311" s="35"/>
      <c r="FNB311" s="35"/>
      <c r="FNC311" s="15"/>
      <c r="FNE311" s="13"/>
      <c r="FNF311" s="35"/>
      <c r="FNG311" s="35"/>
      <c r="FNH311" s="15"/>
      <c r="FNJ311" s="13"/>
      <c r="FNK311" s="35"/>
      <c r="FNL311" s="35"/>
      <c r="FNM311" s="15"/>
      <c r="FNO311" s="13"/>
      <c r="FNP311" s="35"/>
      <c r="FNQ311" s="35"/>
      <c r="FNR311" s="15"/>
      <c r="FNT311" s="13"/>
      <c r="FNU311" s="35"/>
      <c r="FNV311" s="35"/>
      <c r="FNW311" s="15"/>
      <c r="FNY311" s="13"/>
      <c r="FNZ311" s="35"/>
      <c r="FOA311" s="35"/>
      <c r="FOB311" s="15"/>
      <c r="FOD311" s="13"/>
      <c r="FOE311" s="35"/>
      <c r="FOF311" s="35"/>
      <c r="FOG311" s="15"/>
      <c r="FOI311" s="13"/>
      <c r="FOJ311" s="35"/>
      <c r="FOK311" s="35"/>
      <c r="FOL311" s="15"/>
      <c r="FON311" s="13"/>
      <c r="FOO311" s="35"/>
      <c r="FOP311" s="35"/>
      <c r="FOQ311" s="15"/>
      <c r="FOS311" s="13"/>
      <c r="FOT311" s="35"/>
      <c r="FOU311" s="35"/>
      <c r="FOV311" s="15"/>
      <c r="FOX311" s="13"/>
      <c r="FOY311" s="35"/>
      <c r="FOZ311" s="35"/>
      <c r="FPA311" s="15"/>
      <c r="FPC311" s="13"/>
      <c r="FPD311" s="35"/>
      <c r="FPE311" s="35"/>
      <c r="FPF311" s="15"/>
      <c r="FPH311" s="13"/>
      <c r="FPI311" s="35"/>
      <c r="FPJ311" s="35"/>
      <c r="FPK311" s="15"/>
      <c r="FPM311" s="13"/>
      <c r="FPN311" s="35"/>
      <c r="FPO311" s="35"/>
      <c r="FPP311" s="15"/>
      <c r="FPR311" s="13"/>
      <c r="FPS311" s="35"/>
      <c r="FPT311" s="35"/>
      <c r="FPU311" s="15"/>
      <c r="FPW311" s="13"/>
      <c r="FPX311" s="35"/>
      <c r="FPY311" s="35"/>
      <c r="FPZ311" s="15"/>
      <c r="FQB311" s="13"/>
      <c r="FQC311" s="35"/>
      <c r="FQD311" s="35"/>
      <c r="FQE311" s="15"/>
      <c r="FQG311" s="13"/>
      <c r="FQH311" s="35"/>
      <c r="FQI311" s="35"/>
      <c r="FQJ311" s="15"/>
      <c r="FQL311" s="13"/>
      <c r="FQM311" s="35"/>
      <c r="FQN311" s="35"/>
      <c r="FQO311" s="15"/>
      <c r="FQQ311" s="13"/>
      <c r="FQR311" s="35"/>
      <c r="FQS311" s="35"/>
      <c r="FQT311" s="15"/>
      <c r="FQV311" s="13"/>
      <c r="FQW311" s="35"/>
      <c r="FQX311" s="35"/>
      <c r="FQY311" s="15"/>
      <c r="FRA311" s="13"/>
      <c r="FRB311" s="35"/>
      <c r="FRC311" s="35"/>
      <c r="FRD311" s="15"/>
      <c r="FRF311" s="13"/>
      <c r="FRG311" s="35"/>
      <c r="FRH311" s="35"/>
      <c r="FRI311" s="15"/>
      <c r="FRK311" s="13"/>
      <c r="FRL311" s="35"/>
      <c r="FRM311" s="35"/>
      <c r="FRN311" s="15"/>
      <c r="FRP311" s="13"/>
      <c r="FRQ311" s="35"/>
      <c r="FRR311" s="35"/>
      <c r="FRS311" s="15"/>
      <c r="FRU311" s="13"/>
      <c r="FRV311" s="35"/>
      <c r="FRW311" s="35"/>
      <c r="FRX311" s="15"/>
      <c r="FRZ311" s="13"/>
      <c r="FSA311" s="35"/>
      <c r="FSB311" s="35"/>
      <c r="FSC311" s="15"/>
      <c r="FSE311" s="13"/>
      <c r="FSF311" s="35"/>
      <c r="FSG311" s="35"/>
      <c r="FSH311" s="15"/>
      <c r="FSJ311" s="13"/>
      <c r="FSK311" s="35"/>
      <c r="FSL311" s="35"/>
      <c r="FSM311" s="15"/>
      <c r="FSO311" s="13"/>
      <c r="FSP311" s="35"/>
      <c r="FSQ311" s="35"/>
      <c r="FSR311" s="15"/>
      <c r="FST311" s="13"/>
      <c r="FSU311" s="35"/>
      <c r="FSV311" s="35"/>
      <c r="FSW311" s="15"/>
      <c r="FSY311" s="13"/>
      <c r="FSZ311" s="35"/>
      <c r="FTA311" s="35"/>
      <c r="FTB311" s="15"/>
      <c r="FTD311" s="13"/>
      <c r="FTE311" s="35"/>
      <c r="FTF311" s="35"/>
      <c r="FTG311" s="15"/>
      <c r="FTI311" s="13"/>
      <c r="FTJ311" s="35"/>
      <c r="FTK311" s="35"/>
      <c r="FTL311" s="15"/>
      <c r="FTN311" s="13"/>
      <c r="FTO311" s="35"/>
      <c r="FTP311" s="35"/>
      <c r="FTQ311" s="15"/>
      <c r="FTS311" s="13"/>
      <c r="FTT311" s="35"/>
      <c r="FTU311" s="35"/>
      <c r="FTV311" s="15"/>
      <c r="FTX311" s="13"/>
      <c r="FTY311" s="35"/>
      <c r="FTZ311" s="35"/>
      <c r="FUA311" s="15"/>
      <c r="FUC311" s="13"/>
      <c r="FUD311" s="35"/>
      <c r="FUE311" s="35"/>
      <c r="FUF311" s="15"/>
      <c r="FUH311" s="13"/>
      <c r="FUI311" s="35"/>
      <c r="FUJ311" s="35"/>
      <c r="FUK311" s="15"/>
      <c r="FUM311" s="13"/>
      <c r="FUN311" s="35"/>
      <c r="FUO311" s="35"/>
      <c r="FUP311" s="15"/>
      <c r="FUR311" s="13"/>
      <c r="FUS311" s="35"/>
      <c r="FUT311" s="35"/>
      <c r="FUU311" s="15"/>
      <c r="FUW311" s="13"/>
      <c r="FUX311" s="35"/>
      <c r="FUY311" s="35"/>
      <c r="FUZ311" s="15"/>
      <c r="FVB311" s="13"/>
      <c r="FVC311" s="35"/>
      <c r="FVD311" s="35"/>
      <c r="FVE311" s="15"/>
      <c r="FVG311" s="13"/>
      <c r="FVH311" s="35"/>
      <c r="FVI311" s="35"/>
      <c r="FVJ311" s="15"/>
      <c r="FVL311" s="13"/>
      <c r="FVM311" s="35"/>
      <c r="FVN311" s="35"/>
      <c r="FVO311" s="15"/>
      <c r="FVQ311" s="13"/>
      <c r="FVR311" s="35"/>
      <c r="FVS311" s="35"/>
      <c r="FVT311" s="15"/>
      <c r="FVV311" s="13"/>
      <c r="FVW311" s="35"/>
      <c r="FVX311" s="35"/>
      <c r="FVY311" s="15"/>
      <c r="FWA311" s="13"/>
      <c r="FWB311" s="35"/>
      <c r="FWC311" s="35"/>
      <c r="FWD311" s="15"/>
      <c r="FWF311" s="13"/>
      <c r="FWG311" s="35"/>
      <c r="FWH311" s="35"/>
      <c r="FWI311" s="15"/>
      <c r="FWK311" s="13"/>
      <c r="FWL311" s="35"/>
      <c r="FWM311" s="35"/>
      <c r="FWN311" s="15"/>
      <c r="FWP311" s="13"/>
      <c r="FWQ311" s="35"/>
      <c r="FWR311" s="35"/>
      <c r="FWS311" s="15"/>
      <c r="FWU311" s="13"/>
      <c r="FWV311" s="35"/>
      <c r="FWW311" s="35"/>
      <c r="FWX311" s="15"/>
      <c r="FWZ311" s="13"/>
      <c r="FXA311" s="35"/>
      <c r="FXB311" s="35"/>
      <c r="FXC311" s="15"/>
      <c r="FXE311" s="13"/>
      <c r="FXF311" s="35"/>
      <c r="FXG311" s="35"/>
      <c r="FXH311" s="15"/>
      <c r="FXJ311" s="13"/>
      <c r="FXK311" s="35"/>
      <c r="FXL311" s="35"/>
      <c r="FXM311" s="15"/>
      <c r="FXO311" s="13"/>
      <c r="FXP311" s="35"/>
      <c r="FXQ311" s="35"/>
      <c r="FXR311" s="15"/>
      <c r="FXT311" s="13"/>
      <c r="FXU311" s="35"/>
      <c r="FXV311" s="35"/>
      <c r="FXW311" s="15"/>
      <c r="FXY311" s="13"/>
      <c r="FXZ311" s="35"/>
      <c r="FYA311" s="35"/>
      <c r="FYB311" s="15"/>
      <c r="FYD311" s="13"/>
      <c r="FYE311" s="35"/>
      <c r="FYF311" s="35"/>
      <c r="FYG311" s="15"/>
      <c r="FYI311" s="13"/>
      <c r="FYJ311" s="35"/>
      <c r="FYK311" s="35"/>
      <c r="FYL311" s="15"/>
      <c r="FYN311" s="13"/>
      <c r="FYO311" s="35"/>
      <c r="FYP311" s="35"/>
      <c r="FYQ311" s="15"/>
      <c r="FYS311" s="13"/>
      <c r="FYT311" s="35"/>
      <c r="FYU311" s="35"/>
      <c r="FYV311" s="15"/>
      <c r="FYX311" s="13"/>
      <c r="FYY311" s="35"/>
      <c r="FYZ311" s="35"/>
      <c r="FZA311" s="15"/>
      <c r="FZC311" s="13"/>
      <c r="FZD311" s="35"/>
      <c r="FZE311" s="35"/>
      <c r="FZF311" s="15"/>
      <c r="FZH311" s="13"/>
      <c r="FZI311" s="35"/>
      <c r="FZJ311" s="35"/>
      <c r="FZK311" s="15"/>
      <c r="FZM311" s="13"/>
      <c r="FZN311" s="35"/>
      <c r="FZO311" s="35"/>
      <c r="FZP311" s="15"/>
      <c r="FZR311" s="13"/>
      <c r="FZS311" s="35"/>
      <c r="FZT311" s="35"/>
      <c r="FZU311" s="15"/>
      <c r="FZW311" s="13"/>
      <c r="FZX311" s="35"/>
      <c r="FZY311" s="35"/>
      <c r="FZZ311" s="15"/>
      <c r="GAB311" s="13"/>
      <c r="GAC311" s="35"/>
      <c r="GAD311" s="35"/>
      <c r="GAE311" s="15"/>
      <c r="GAG311" s="13"/>
      <c r="GAH311" s="35"/>
      <c r="GAI311" s="35"/>
      <c r="GAJ311" s="15"/>
      <c r="GAL311" s="13"/>
      <c r="GAM311" s="35"/>
      <c r="GAN311" s="35"/>
      <c r="GAO311" s="15"/>
      <c r="GAQ311" s="13"/>
      <c r="GAR311" s="35"/>
      <c r="GAS311" s="35"/>
      <c r="GAT311" s="15"/>
      <c r="GAV311" s="13"/>
      <c r="GAW311" s="35"/>
      <c r="GAX311" s="35"/>
      <c r="GAY311" s="15"/>
      <c r="GBA311" s="13"/>
      <c r="GBB311" s="35"/>
      <c r="GBC311" s="35"/>
      <c r="GBD311" s="15"/>
      <c r="GBF311" s="13"/>
      <c r="GBG311" s="35"/>
      <c r="GBH311" s="35"/>
      <c r="GBI311" s="15"/>
      <c r="GBK311" s="13"/>
      <c r="GBL311" s="35"/>
      <c r="GBM311" s="35"/>
      <c r="GBN311" s="15"/>
      <c r="GBP311" s="13"/>
      <c r="GBQ311" s="35"/>
      <c r="GBR311" s="35"/>
      <c r="GBS311" s="15"/>
      <c r="GBU311" s="13"/>
      <c r="GBV311" s="35"/>
      <c r="GBW311" s="35"/>
      <c r="GBX311" s="15"/>
      <c r="GBZ311" s="13"/>
      <c r="GCA311" s="35"/>
      <c r="GCB311" s="35"/>
      <c r="GCC311" s="15"/>
      <c r="GCE311" s="13"/>
      <c r="GCF311" s="35"/>
      <c r="GCG311" s="35"/>
      <c r="GCH311" s="15"/>
      <c r="GCJ311" s="13"/>
      <c r="GCK311" s="35"/>
      <c r="GCL311" s="35"/>
      <c r="GCM311" s="15"/>
      <c r="GCO311" s="13"/>
      <c r="GCP311" s="35"/>
      <c r="GCQ311" s="35"/>
      <c r="GCR311" s="15"/>
      <c r="GCT311" s="13"/>
      <c r="GCU311" s="35"/>
      <c r="GCV311" s="35"/>
      <c r="GCW311" s="15"/>
      <c r="GCY311" s="13"/>
      <c r="GCZ311" s="35"/>
      <c r="GDA311" s="35"/>
      <c r="GDB311" s="15"/>
      <c r="GDD311" s="13"/>
      <c r="GDE311" s="35"/>
      <c r="GDF311" s="35"/>
      <c r="GDG311" s="15"/>
      <c r="GDI311" s="13"/>
      <c r="GDJ311" s="35"/>
      <c r="GDK311" s="35"/>
      <c r="GDL311" s="15"/>
      <c r="GDN311" s="13"/>
      <c r="GDO311" s="35"/>
      <c r="GDP311" s="35"/>
      <c r="GDQ311" s="15"/>
      <c r="GDS311" s="13"/>
      <c r="GDT311" s="35"/>
      <c r="GDU311" s="35"/>
      <c r="GDV311" s="15"/>
      <c r="GDX311" s="13"/>
      <c r="GDY311" s="35"/>
      <c r="GDZ311" s="35"/>
      <c r="GEA311" s="15"/>
      <c r="GEC311" s="13"/>
      <c r="GED311" s="35"/>
      <c r="GEE311" s="35"/>
      <c r="GEF311" s="15"/>
      <c r="GEH311" s="13"/>
      <c r="GEI311" s="35"/>
      <c r="GEJ311" s="35"/>
      <c r="GEK311" s="15"/>
      <c r="GEM311" s="13"/>
      <c r="GEN311" s="35"/>
      <c r="GEO311" s="35"/>
      <c r="GEP311" s="15"/>
      <c r="GER311" s="13"/>
      <c r="GES311" s="35"/>
      <c r="GET311" s="35"/>
      <c r="GEU311" s="15"/>
      <c r="GEW311" s="13"/>
      <c r="GEX311" s="35"/>
      <c r="GEY311" s="35"/>
      <c r="GEZ311" s="15"/>
      <c r="GFB311" s="13"/>
      <c r="GFC311" s="35"/>
      <c r="GFD311" s="35"/>
      <c r="GFE311" s="15"/>
      <c r="GFG311" s="13"/>
      <c r="GFH311" s="35"/>
      <c r="GFI311" s="35"/>
      <c r="GFJ311" s="15"/>
      <c r="GFL311" s="13"/>
      <c r="GFM311" s="35"/>
      <c r="GFN311" s="35"/>
      <c r="GFO311" s="15"/>
      <c r="GFQ311" s="13"/>
      <c r="GFR311" s="35"/>
      <c r="GFS311" s="35"/>
      <c r="GFT311" s="15"/>
      <c r="GFV311" s="13"/>
      <c r="GFW311" s="35"/>
      <c r="GFX311" s="35"/>
      <c r="GFY311" s="15"/>
      <c r="GGA311" s="13"/>
      <c r="GGB311" s="35"/>
      <c r="GGC311" s="35"/>
      <c r="GGD311" s="15"/>
      <c r="GGF311" s="13"/>
      <c r="GGG311" s="35"/>
      <c r="GGH311" s="35"/>
      <c r="GGI311" s="15"/>
      <c r="GGK311" s="13"/>
      <c r="GGL311" s="35"/>
      <c r="GGM311" s="35"/>
      <c r="GGN311" s="15"/>
      <c r="GGP311" s="13"/>
      <c r="GGQ311" s="35"/>
      <c r="GGR311" s="35"/>
      <c r="GGS311" s="15"/>
      <c r="GGU311" s="13"/>
      <c r="GGV311" s="35"/>
      <c r="GGW311" s="35"/>
      <c r="GGX311" s="15"/>
      <c r="GGZ311" s="13"/>
      <c r="GHA311" s="35"/>
      <c r="GHB311" s="35"/>
      <c r="GHC311" s="15"/>
      <c r="GHE311" s="13"/>
      <c r="GHF311" s="35"/>
      <c r="GHG311" s="35"/>
      <c r="GHH311" s="15"/>
      <c r="GHJ311" s="13"/>
      <c r="GHK311" s="35"/>
      <c r="GHL311" s="35"/>
      <c r="GHM311" s="15"/>
      <c r="GHO311" s="13"/>
      <c r="GHP311" s="35"/>
      <c r="GHQ311" s="35"/>
      <c r="GHR311" s="15"/>
      <c r="GHT311" s="13"/>
      <c r="GHU311" s="35"/>
      <c r="GHV311" s="35"/>
      <c r="GHW311" s="15"/>
      <c r="GHY311" s="13"/>
      <c r="GHZ311" s="35"/>
      <c r="GIA311" s="35"/>
      <c r="GIB311" s="15"/>
      <c r="GID311" s="13"/>
      <c r="GIE311" s="35"/>
      <c r="GIF311" s="35"/>
      <c r="GIG311" s="15"/>
      <c r="GII311" s="13"/>
      <c r="GIJ311" s="35"/>
      <c r="GIK311" s="35"/>
      <c r="GIL311" s="15"/>
      <c r="GIN311" s="13"/>
      <c r="GIO311" s="35"/>
      <c r="GIP311" s="35"/>
      <c r="GIQ311" s="15"/>
      <c r="GIS311" s="13"/>
      <c r="GIT311" s="35"/>
      <c r="GIU311" s="35"/>
      <c r="GIV311" s="15"/>
      <c r="GIX311" s="13"/>
      <c r="GIY311" s="35"/>
      <c r="GIZ311" s="35"/>
      <c r="GJA311" s="15"/>
      <c r="GJC311" s="13"/>
      <c r="GJD311" s="35"/>
      <c r="GJE311" s="35"/>
      <c r="GJF311" s="15"/>
      <c r="GJH311" s="13"/>
      <c r="GJI311" s="35"/>
      <c r="GJJ311" s="35"/>
      <c r="GJK311" s="15"/>
      <c r="GJM311" s="13"/>
      <c r="GJN311" s="35"/>
      <c r="GJO311" s="35"/>
      <c r="GJP311" s="15"/>
      <c r="GJR311" s="13"/>
      <c r="GJS311" s="35"/>
      <c r="GJT311" s="35"/>
      <c r="GJU311" s="15"/>
      <c r="GJW311" s="13"/>
      <c r="GJX311" s="35"/>
      <c r="GJY311" s="35"/>
      <c r="GJZ311" s="15"/>
      <c r="GKB311" s="13"/>
      <c r="GKC311" s="35"/>
      <c r="GKD311" s="35"/>
      <c r="GKE311" s="15"/>
      <c r="GKG311" s="13"/>
      <c r="GKH311" s="35"/>
      <c r="GKI311" s="35"/>
      <c r="GKJ311" s="15"/>
      <c r="GKL311" s="13"/>
      <c r="GKM311" s="35"/>
      <c r="GKN311" s="35"/>
      <c r="GKO311" s="15"/>
      <c r="GKQ311" s="13"/>
      <c r="GKR311" s="35"/>
      <c r="GKS311" s="35"/>
      <c r="GKT311" s="15"/>
      <c r="GKV311" s="13"/>
      <c r="GKW311" s="35"/>
      <c r="GKX311" s="35"/>
      <c r="GKY311" s="15"/>
      <c r="GLA311" s="13"/>
      <c r="GLB311" s="35"/>
      <c r="GLC311" s="35"/>
      <c r="GLD311" s="15"/>
      <c r="GLF311" s="13"/>
      <c r="GLG311" s="35"/>
      <c r="GLH311" s="35"/>
      <c r="GLI311" s="15"/>
      <c r="GLK311" s="13"/>
      <c r="GLL311" s="35"/>
      <c r="GLM311" s="35"/>
      <c r="GLN311" s="15"/>
      <c r="GLP311" s="13"/>
      <c r="GLQ311" s="35"/>
      <c r="GLR311" s="35"/>
      <c r="GLS311" s="15"/>
      <c r="GLU311" s="13"/>
      <c r="GLV311" s="35"/>
      <c r="GLW311" s="35"/>
      <c r="GLX311" s="15"/>
      <c r="GLZ311" s="13"/>
      <c r="GMA311" s="35"/>
      <c r="GMB311" s="35"/>
      <c r="GMC311" s="15"/>
      <c r="GME311" s="13"/>
      <c r="GMF311" s="35"/>
      <c r="GMG311" s="35"/>
      <c r="GMH311" s="15"/>
      <c r="GMJ311" s="13"/>
      <c r="GMK311" s="35"/>
      <c r="GML311" s="35"/>
      <c r="GMM311" s="15"/>
      <c r="GMO311" s="13"/>
      <c r="GMP311" s="35"/>
      <c r="GMQ311" s="35"/>
      <c r="GMR311" s="15"/>
      <c r="GMT311" s="13"/>
      <c r="GMU311" s="35"/>
      <c r="GMV311" s="35"/>
      <c r="GMW311" s="15"/>
      <c r="GMY311" s="13"/>
      <c r="GMZ311" s="35"/>
      <c r="GNA311" s="35"/>
      <c r="GNB311" s="15"/>
      <c r="GND311" s="13"/>
      <c r="GNE311" s="35"/>
      <c r="GNF311" s="35"/>
      <c r="GNG311" s="15"/>
      <c r="GNI311" s="13"/>
      <c r="GNJ311" s="35"/>
      <c r="GNK311" s="35"/>
      <c r="GNL311" s="15"/>
      <c r="GNN311" s="13"/>
      <c r="GNO311" s="35"/>
      <c r="GNP311" s="35"/>
      <c r="GNQ311" s="15"/>
      <c r="GNS311" s="13"/>
      <c r="GNT311" s="35"/>
      <c r="GNU311" s="35"/>
      <c r="GNV311" s="15"/>
      <c r="GNX311" s="13"/>
      <c r="GNY311" s="35"/>
      <c r="GNZ311" s="35"/>
      <c r="GOA311" s="15"/>
      <c r="GOC311" s="13"/>
      <c r="GOD311" s="35"/>
      <c r="GOE311" s="35"/>
      <c r="GOF311" s="15"/>
      <c r="GOH311" s="13"/>
      <c r="GOI311" s="35"/>
      <c r="GOJ311" s="35"/>
      <c r="GOK311" s="15"/>
      <c r="GOM311" s="13"/>
      <c r="GON311" s="35"/>
      <c r="GOO311" s="35"/>
      <c r="GOP311" s="15"/>
      <c r="GOR311" s="13"/>
      <c r="GOS311" s="35"/>
      <c r="GOT311" s="35"/>
      <c r="GOU311" s="15"/>
      <c r="GOW311" s="13"/>
      <c r="GOX311" s="35"/>
      <c r="GOY311" s="35"/>
      <c r="GOZ311" s="15"/>
      <c r="GPB311" s="13"/>
      <c r="GPC311" s="35"/>
      <c r="GPD311" s="35"/>
      <c r="GPE311" s="15"/>
      <c r="GPG311" s="13"/>
      <c r="GPH311" s="35"/>
      <c r="GPI311" s="35"/>
      <c r="GPJ311" s="15"/>
      <c r="GPL311" s="13"/>
      <c r="GPM311" s="35"/>
      <c r="GPN311" s="35"/>
      <c r="GPO311" s="15"/>
      <c r="GPQ311" s="13"/>
      <c r="GPR311" s="35"/>
      <c r="GPS311" s="35"/>
      <c r="GPT311" s="15"/>
      <c r="GPV311" s="13"/>
      <c r="GPW311" s="35"/>
      <c r="GPX311" s="35"/>
      <c r="GPY311" s="15"/>
      <c r="GQA311" s="13"/>
      <c r="GQB311" s="35"/>
      <c r="GQC311" s="35"/>
      <c r="GQD311" s="15"/>
      <c r="GQF311" s="13"/>
      <c r="GQG311" s="35"/>
      <c r="GQH311" s="35"/>
      <c r="GQI311" s="15"/>
      <c r="GQK311" s="13"/>
      <c r="GQL311" s="35"/>
      <c r="GQM311" s="35"/>
      <c r="GQN311" s="15"/>
      <c r="GQP311" s="13"/>
      <c r="GQQ311" s="35"/>
      <c r="GQR311" s="35"/>
      <c r="GQS311" s="15"/>
      <c r="GQU311" s="13"/>
      <c r="GQV311" s="35"/>
      <c r="GQW311" s="35"/>
      <c r="GQX311" s="15"/>
      <c r="GQZ311" s="13"/>
      <c r="GRA311" s="35"/>
      <c r="GRB311" s="35"/>
      <c r="GRC311" s="15"/>
      <c r="GRE311" s="13"/>
      <c r="GRF311" s="35"/>
      <c r="GRG311" s="35"/>
      <c r="GRH311" s="15"/>
      <c r="GRJ311" s="13"/>
      <c r="GRK311" s="35"/>
      <c r="GRL311" s="35"/>
      <c r="GRM311" s="15"/>
      <c r="GRO311" s="13"/>
      <c r="GRP311" s="35"/>
      <c r="GRQ311" s="35"/>
      <c r="GRR311" s="15"/>
      <c r="GRT311" s="13"/>
      <c r="GRU311" s="35"/>
      <c r="GRV311" s="35"/>
      <c r="GRW311" s="15"/>
      <c r="GRY311" s="13"/>
      <c r="GRZ311" s="35"/>
      <c r="GSA311" s="35"/>
      <c r="GSB311" s="15"/>
      <c r="GSD311" s="13"/>
      <c r="GSE311" s="35"/>
      <c r="GSF311" s="35"/>
      <c r="GSG311" s="15"/>
      <c r="GSI311" s="13"/>
      <c r="GSJ311" s="35"/>
      <c r="GSK311" s="35"/>
      <c r="GSL311" s="15"/>
      <c r="GSN311" s="13"/>
      <c r="GSO311" s="35"/>
      <c r="GSP311" s="35"/>
      <c r="GSQ311" s="15"/>
      <c r="GSS311" s="13"/>
      <c r="GST311" s="35"/>
      <c r="GSU311" s="35"/>
      <c r="GSV311" s="15"/>
      <c r="GSX311" s="13"/>
      <c r="GSY311" s="35"/>
      <c r="GSZ311" s="35"/>
      <c r="GTA311" s="15"/>
      <c r="GTC311" s="13"/>
      <c r="GTD311" s="35"/>
      <c r="GTE311" s="35"/>
      <c r="GTF311" s="15"/>
      <c r="GTH311" s="13"/>
      <c r="GTI311" s="35"/>
      <c r="GTJ311" s="35"/>
      <c r="GTK311" s="15"/>
      <c r="GTM311" s="13"/>
      <c r="GTN311" s="35"/>
      <c r="GTO311" s="35"/>
      <c r="GTP311" s="15"/>
      <c r="GTR311" s="13"/>
      <c r="GTS311" s="35"/>
      <c r="GTT311" s="35"/>
      <c r="GTU311" s="15"/>
      <c r="GTW311" s="13"/>
      <c r="GTX311" s="35"/>
      <c r="GTY311" s="35"/>
      <c r="GTZ311" s="15"/>
      <c r="GUB311" s="13"/>
      <c r="GUC311" s="35"/>
      <c r="GUD311" s="35"/>
      <c r="GUE311" s="15"/>
      <c r="GUG311" s="13"/>
      <c r="GUH311" s="35"/>
      <c r="GUI311" s="35"/>
      <c r="GUJ311" s="15"/>
      <c r="GUL311" s="13"/>
      <c r="GUM311" s="35"/>
      <c r="GUN311" s="35"/>
      <c r="GUO311" s="15"/>
      <c r="GUQ311" s="13"/>
      <c r="GUR311" s="35"/>
      <c r="GUS311" s="35"/>
      <c r="GUT311" s="15"/>
      <c r="GUV311" s="13"/>
      <c r="GUW311" s="35"/>
      <c r="GUX311" s="35"/>
      <c r="GUY311" s="15"/>
      <c r="GVA311" s="13"/>
      <c r="GVB311" s="35"/>
      <c r="GVC311" s="35"/>
      <c r="GVD311" s="15"/>
      <c r="GVF311" s="13"/>
      <c r="GVG311" s="35"/>
      <c r="GVH311" s="35"/>
      <c r="GVI311" s="15"/>
      <c r="GVK311" s="13"/>
      <c r="GVL311" s="35"/>
      <c r="GVM311" s="35"/>
      <c r="GVN311" s="15"/>
      <c r="GVP311" s="13"/>
      <c r="GVQ311" s="35"/>
      <c r="GVR311" s="35"/>
      <c r="GVS311" s="15"/>
      <c r="GVU311" s="13"/>
      <c r="GVV311" s="35"/>
      <c r="GVW311" s="35"/>
      <c r="GVX311" s="15"/>
      <c r="GVZ311" s="13"/>
      <c r="GWA311" s="35"/>
      <c r="GWB311" s="35"/>
      <c r="GWC311" s="15"/>
      <c r="GWE311" s="13"/>
      <c r="GWF311" s="35"/>
      <c r="GWG311" s="35"/>
      <c r="GWH311" s="15"/>
      <c r="GWJ311" s="13"/>
      <c r="GWK311" s="35"/>
      <c r="GWL311" s="35"/>
      <c r="GWM311" s="15"/>
      <c r="GWO311" s="13"/>
      <c r="GWP311" s="35"/>
      <c r="GWQ311" s="35"/>
      <c r="GWR311" s="15"/>
      <c r="GWT311" s="13"/>
      <c r="GWU311" s="35"/>
      <c r="GWV311" s="35"/>
      <c r="GWW311" s="15"/>
      <c r="GWY311" s="13"/>
      <c r="GWZ311" s="35"/>
      <c r="GXA311" s="35"/>
      <c r="GXB311" s="15"/>
      <c r="GXD311" s="13"/>
      <c r="GXE311" s="35"/>
      <c r="GXF311" s="35"/>
      <c r="GXG311" s="15"/>
      <c r="GXI311" s="13"/>
      <c r="GXJ311" s="35"/>
      <c r="GXK311" s="35"/>
      <c r="GXL311" s="15"/>
      <c r="GXN311" s="13"/>
      <c r="GXO311" s="35"/>
      <c r="GXP311" s="35"/>
      <c r="GXQ311" s="15"/>
      <c r="GXS311" s="13"/>
      <c r="GXT311" s="35"/>
      <c r="GXU311" s="35"/>
      <c r="GXV311" s="15"/>
      <c r="GXX311" s="13"/>
      <c r="GXY311" s="35"/>
      <c r="GXZ311" s="35"/>
      <c r="GYA311" s="15"/>
      <c r="GYC311" s="13"/>
      <c r="GYD311" s="35"/>
      <c r="GYE311" s="35"/>
      <c r="GYF311" s="15"/>
      <c r="GYH311" s="13"/>
      <c r="GYI311" s="35"/>
      <c r="GYJ311" s="35"/>
      <c r="GYK311" s="15"/>
      <c r="GYM311" s="13"/>
      <c r="GYN311" s="35"/>
      <c r="GYO311" s="35"/>
      <c r="GYP311" s="15"/>
      <c r="GYR311" s="13"/>
      <c r="GYS311" s="35"/>
      <c r="GYT311" s="35"/>
      <c r="GYU311" s="15"/>
      <c r="GYW311" s="13"/>
      <c r="GYX311" s="35"/>
      <c r="GYY311" s="35"/>
      <c r="GYZ311" s="15"/>
      <c r="GZB311" s="13"/>
      <c r="GZC311" s="35"/>
      <c r="GZD311" s="35"/>
      <c r="GZE311" s="15"/>
      <c r="GZG311" s="13"/>
      <c r="GZH311" s="35"/>
      <c r="GZI311" s="35"/>
      <c r="GZJ311" s="15"/>
      <c r="GZL311" s="13"/>
      <c r="GZM311" s="35"/>
      <c r="GZN311" s="35"/>
      <c r="GZO311" s="15"/>
      <c r="GZQ311" s="13"/>
      <c r="GZR311" s="35"/>
      <c r="GZS311" s="35"/>
      <c r="GZT311" s="15"/>
      <c r="GZV311" s="13"/>
      <c r="GZW311" s="35"/>
      <c r="GZX311" s="35"/>
      <c r="GZY311" s="15"/>
      <c r="HAA311" s="13"/>
      <c r="HAB311" s="35"/>
      <c r="HAC311" s="35"/>
      <c r="HAD311" s="15"/>
      <c r="HAF311" s="13"/>
      <c r="HAG311" s="35"/>
      <c r="HAH311" s="35"/>
      <c r="HAI311" s="15"/>
      <c r="HAK311" s="13"/>
      <c r="HAL311" s="35"/>
      <c r="HAM311" s="35"/>
      <c r="HAN311" s="15"/>
      <c r="HAP311" s="13"/>
      <c r="HAQ311" s="35"/>
      <c r="HAR311" s="35"/>
      <c r="HAS311" s="15"/>
      <c r="HAU311" s="13"/>
      <c r="HAV311" s="35"/>
      <c r="HAW311" s="35"/>
      <c r="HAX311" s="15"/>
      <c r="HAZ311" s="13"/>
      <c r="HBA311" s="35"/>
      <c r="HBB311" s="35"/>
      <c r="HBC311" s="15"/>
      <c r="HBE311" s="13"/>
      <c r="HBF311" s="35"/>
      <c r="HBG311" s="35"/>
      <c r="HBH311" s="15"/>
      <c r="HBJ311" s="13"/>
      <c r="HBK311" s="35"/>
      <c r="HBL311" s="35"/>
      <c r="HBM311" s="15"/>
      <c r="HBO311" s="13"/>
      <c r="HBP311" s="35"/>
      <c r="HBQ311" s="35"/>
      <c r="HBR311" s="15"/>
      <c r="HBT311" s="13"/>
      <c r="HBU311" s="35"/>
      <c r="HBV311" s="35"/>
      <c r="HBW311" s="15"/>
      <c r="HBY311" s="13"/>
      <c r="HBZ311" s="35"/>
      <c r="HCA311" s="35"/>
      <c r="HCB311" s="15"/>
      <c r="HCD311" s="13"/>
      <c r="HCE311" s="35"/>
      <c r="HCF311" s="35"/>
      <c r="HCG311" s="15"/>
      <c r="HCI311" s="13"/>
      <c r="HCJ311" s="35"/>
      <c r="HCK311" s="35"/>
      <c r="HCL311" s="15"/>
      <c r="HCN311" s="13"/>
      <c r="HCO311" s="35"/>
      <c r="HCP311" s="35"/>
      <c r="HCQ311" s="15"/>
      <c r="HCS311" s="13"/>
      <c r="HCT311" s="35"/>
      <c r="HCU311" s="35"/>
      <c r="HCV311" s="15"/>
      <c r="HCX311" s="13"/>
      <c r="HCY311" s="35"/>
      <c r="HCZ311" s="35"/>
      <c r="HDA311" s="15"/>
      <c r="HDC311" s="13"/>
      <c r="HDD311" s="35"/>
      <c r="HDE311" s="35"/>
      <c r="HDF311" s="15"/>
      <c r="HDH311" s="13"/>
      <c r="HDI311" s="35"/>
      <c r="HDJ311" s="35"/>
      <c r="HDK311" s="15"/>
      <c r="HDM311" s="13"/>
      <c r="HDN311" s="35"/>
      <c r="HDO311" s="35"/>
      <c r="HDP311" s="15"/>
      <c r="HDR311" s="13"/>
      <c r="HDS311" s="35"/>
      <c r="HDT311" s="35"/>
      <c r="HDU311" s="15"/>
      <c r="HDW311" s="13"/>
      <c r="HDX311" s="35"/>
      <c r="HDY311" s="35"/>
      <c r="HDZ311" s="15"/>
      <c r="HEB311" s="13"/>
      <c r="HEC311" s="35"/>
      <c r="HED311" s="35"/>
      <c r="HEE311" s="15"/>
      <c r="HEG311" s="13"/>
      <c r="HEH311" s="35"/>
      <c r="HEI311" s="35"/>
      <c r="HEJ311" s="15"/>
      <c r="HEL311" s="13"/>
      <c r="HEM311" s="35"/>
      <c r="HEN311" s="35"/>
      <c r="HEO311" s="15"/>
      <c r="HEQ311" s="13"/>
      <c r="HER311" s="35"/>
      <c r="HES311" s="35"/>
      <c r="HET311" s="15"/>
      <c r="HEV311" s="13"/>
      <c r="HEW311" s="35"/>
      <c r="HEX311" s="35"/>
      <c r="HEY311" s="15"/>
      <c r="HFA311" s="13"/>
      <c r="HFB311" s="35"/>
      <c r="HFC311" s="35"/>
      <c r="HFD311" s="15"/>
      <c r="HFF311" s="13"/>
      <c r="HFG311" s="35"/>
      <c r="HFH311" s="35"/>
      <c r="HFI311" s="15"/>
      <c r="HFK311" s="13"/>
      <c r="HFL311" s="35"/>
      <c r="HFM311" s="35"/>
      <c r="HFN311" s="15"/>
      <c r="HFP311" s="13"/>
      <c r="HFQ311" s="35"/>
      <c r="HFR311" s="35"/>
      <c r="HFS311" s="15"/>
      <c r="HFU311" s="13"/>
      <c r="HFV311" s="35"/>
      <c r="HFW311" s="35"/>
      <c r="HFX311" s="15"/>
      <c r="HFZ311" s="13"/>
      <c r="HGA311" s="35"/>
      <c r="HGB311" s="35"/>
      <c r="HGC311" s="15"/>
      <c r="HGE311" s="13"/>
      <c r="HGF311" s="35"/>
      <c r="HGG311" s="35"/>
      <c r="HGH311" s="15"/>
      <c r="HGJ311" s="13"/>
      <c r="HGK311" s="35"/>
      <c r="HGL311" s="35"/>
      <c r="HGM311" s="15"/>
      <c r="HGO311" s="13"/>
      <c r="HGP311" s="35"/>
      <c r="HGQ311" s="35"/>
      <c r="HGR311" s="15"/>
      <c r="HGT311" s="13"/>
      <c r="HGU311" s="35"/>
      <c r="HGV311" s="35"/>
      <c r="HGW311" s="15"/>
      <c r="HGY311" s="13"/>
      <c r="HGZ311" s="35"/>
      <c r="HHA311" s="35"/>
      <c r="HHB311" s="15"/>
      <c r="HHD311" s="13"/>
      <c r="HHE311" s="35"/>
      <c r="HHF311" s="35"/>
      <c r="HHG311" s="15"/>
      <c r="HHI311" s="13"/>
      <c r="HHJ311" s="35"/>
      <c r="HHK311" s="35"/>
      <c r="HHL311" s="15"/>
      <c r="HHN311" s="13"/>
      <c r="HHO311" s="35"/>
      <c r="HHP311" s="35"/>
      <c r="HHQ311" s="15"/>
      <c r="HHS311" s="13"/>
      <c r="HHT311" s="35"/>
      <c r="HHU311" s="35"/>
      <c r="HHV311" s="15"/>
      <c r="HHX311" s="13"/>
      <c r="HHY311" s="35"/>
      <c r="HHZ311" s="35"/>
      <c r="HIA311" s="15"/>
      <c r="HIC311" s="13"/>
      <c r="HID311" s="35"/>
      <c r="HIE311" s="35"/>
      <c r="HIF311" s="15"/>
      <c r="HIH311" s="13"/>
      <c r="HII311" s="35"/>
      <c r="HIJ311" s="35"/>
      <c r="HIK311" s="15"/>
      <c r="HIM311" s="13"/>
      <c r="HIN311" s="35"/>
      <c r="HIO311" s="35"/>
      <c r="HIP311" s="15"/>
      <c r="HIR311" s="13"/>
      <c r="HIS311" s="35"/>
      <c r="HIT311" s="35"/>
      <c r="HIU311" s="15"/>
      <c r="HIW311" s="13"/>
      <c r="HIX311" s="35"/>
      <c r="HIY311" s="35"/>
      <c r="HIZ311" s="15"/>
      <c r="HJB311" s="13"/>
      <c r="HJC311" s="35"/>
      <c r="HJD311" s="35"/>
      <c r="HJE311" s="15"/>
      <c r="HJG311" s="13"/>
      <c r="HJH311" s="35"/>
      <c r="HJI311" s="35"/>
      <c r="HJJ311" s="15"/>
      <c r="HJL311" s="13"/>
      <c r="HJM311" s="35"/>
      <c r="HJN311" s="35"/>
      <c r="HJO311" s="15"/>
      <c r="HJQ311" s="13"/>
      <c r="HJR311" s="35"/>
      <c r="HJS311" s="35"/>
      <c r="HJT311" s="15"/>
      <c r="HJV311" s="13"/>
      <c r="HJW311" s="35"/>
      <c r="HJX311" s="35"/>
      <c r="HJY311" s="15"/>
      <c r="HKA311" s="13"/>
      <c r="HKB311" s="35"/>
      <c r="HKC311" s="35"/>
      <c r="HKD311" s="15"/>
      <c r="HKF311" s="13"/>
      <c r="HKG311" s="35"/>
      <c r="HKH311" s="35"/>
      <c r="HKI311" s="15"/>
      <c r="HKK311" s="13"/>
      <c r="HKL311" s="35"/>
      <c r="HKM311" s="35"/>
      <c r="HKN311" s="15"/>
      <c r="HKP311" s="13"/>
      <c r="HKQ311" s="35"/>
      <c r="HKR311" s="35"/>
      <c r="HKS311" s="15"/>
      <c r="HKU311" s="13"/>
      <c r="HKV311" s="35"/>
      <c r="HKW311" s="35"/>
      <c r="HKX311" s="15"/>
      <c r="HKZ311" s="13"/>
      <c r="HLA311" s="35"/>
      <c r="HLB311" s="35"/>
      <c r="HLC311" s="15"/>
      <c r="HLE311" s="13"/>
      <c r="HLF311" s="35"/>
      <c r="HLG311" s="35"/>
      <c r="HLH311" s="15"/>
      <c r="HLJ311" s="13"/>
      <c r="HLK311" s="35"/>
      <c r="HLL311" s="35"/>
      <c r="HLM311" s="15"/>
      <c r="HLO311" s="13"/>
      <c r="HLP311" s="35"/>
      <c r="HLQ311" s="35"/>
      <c r="HLR311" s="15"/>
      <c r="HLT311" s="13"/>
      <c r="HLU311" s="35"/>
      <c r="HLV311" s="35"/>
      <c r="HLW311" s="15"/>
      <c r="HLY311" s="13"/>
      <c r="HLZ311" s="35"/>
      <c r="HMA311" s="35"/>
      <c r="HMB311" s="15"/>
      <c r="HMD311" s="13"/>
      <c r="HME311" s="35"/>
      <c r="HMF311" s="35"/>
      <c r="HMG311" s="15"/>
      <c r="HMI311" s="13"/>
      <c r="HMJ311" s="35"/>
      <c r="HMK311" s="35"/>
      <c r="HML311" s="15"/>
      <c r="HMN311" s="13"/>
      <c r="HMO311" s="35"/>
      <c r="HMP311" s="35"/>
      <c r="HMQ311" s="15"/>
      <c r="HMS311" s="13"/>
      <c r="HMT311" s="35"/>
      <c r="HMU311" s="35"/>
      <c r="HMV311" s="15"/>
      <c r="HMX311" s="13"/>
      <c r="HMY311" s="35"/>
      <c r="HMZ311" s="35"/>
      <c r="HNA311" s="15"/>
      <c r="HNC311" s="13"/>
      <c r="HND311" s="35"/>
      <c r="HNE311" s="35"/>
      <c r="HNF311" s="15"/>
      <c r="HNH311" s="13"/>
      <c r="HNI311" s="35"/>
      <c r="HNJ311" s="35"/>
      <c r="HNK311" s="15"/>
      <c r="HNM311" s="13"/>
      <c r="HNN311" s="35"/>
      <c r="HNO311" s="35"/>
      <c r="HNP311" s="15"/>
      <c r="HNR311" s="13"/>
      <c r="HNS311" s="35"/>
      <c r="HNT311" s="35"/>
      <c r="HNU311" s="15"/>
      <c r="HNW311" s="13"/>
      <c r="HNX311" s="35"/>
      <c r="HNY311" s="35"/>
      <c r="HNZ311" s="15"/>
      <c r="HOB311" s="13"/>
      <c r="HOC311" s="35"/>
      <c r="HOD311" s="35"/>
      <c r="HOE311" s="15"/>
      <c r="HOG311" s="13"/>
      <c r="HOH311" s="35"/>
      <c r="HOI311" s="35"/>
      <c r="HOJ311" s="15"/>
      <c r="HOL311" s="13"/>
      <c r="HOM311" s="35"/>
      <c r="HON311" s="35"/>
      <c r="HOO311" s="15"/>
      <c r="HOQ311" s="13"/>
      <c r="HOR311" s="35"/>
      <c r="HOS311" s="35"/>
      <c r="HOT311" s="15"/>
      <c r="HOV311" s="13"/>
      <c r="HOW311" s="35"/>
      <c r="HOX311" s="35"/>
      <c r="HOY311" s="15"/>
      <c r="HPA311" s="13"/>
      <c r="HPB311" s="35"/>
      <c r="HPC311" s="35"/>
      <c r="HPD311" s="15"/>
      <c r="HPF311" s="13"/>
      <c r="HPG311" s="35"/>
      <c r="HPH311" s="35"/>
      <c r="HPI311" s="15"/>
      <c r="HPK311" s="13"/>
      <c r="HPL311" s="35"/>
      <c r="HPM311" s="35"/>
      <c r="HPN311" s="15"/>
      <c r="HPP311" s="13"/>
      <c r="HPQ311" s="35"/>
      <c r="HPR311" s="35"/>
      <c r="HPS311" s="15"/>
      <c r="HPU311" s="13"/>
      <c r="HPV311" s="35"/>
      <c r="HPW311" s="35"/>
      <c r="HPX311" s="15"/>
      <c r="HPZ311" s="13"/>
      <c r="HQA311" s="35"/>
      <c r="HQB311" s="35"/>
      <c r="HQC311" s="15"/>
      <c r="HQE311" s="13"/>
      <c r="HQF311" s="35"/>
      <c r="HQG311" s="35"/>
      <c r="HQH311" s="15"/>
      <c r="HQJ311" s="13"/>
      <c r="HQK311" s="35"/>
      <c r="HQL311" s="35"/>
      <c r="HQM311" s="15"/>
      <c r="HQO311" s="13"/>
      <c r="HQP311" s="35"/>
      <c r="HQQ311" s="35"/>
      <c r="HQR311" s="15"/>
      <c r="HQT311" s="13"/>
      <c r="HQU311" s="35"/>
      <c r="HQV311" s="35"/>
      <c r="HQW311" s="15"/>
      <c r="HQY311" s="13"/>
      <c r="HQZ311" s="35"/>
      <c r="HRA311" s="35"/>
      <c r="HRB311" s="15"/>
      <c r="HRD311" s="13"/>
      <c r="HRE311" s="35"/>
      <c r="HRF311" s="35"/>
      <c r="HRG311" s="15"/>
      <c r="HRI311" s="13"/>
      <c r="HRJ311" s="35"/>
      <c r="HRK311" s="35"/>
      <c r="HRL311" s="15"/>
      <c r="HRN311" s="13"/>
      <c r="HRO311" s="35"/>
      <c r="HRP311" s="35"/>
      <c r="HRQ311" s="15"/>
      <c r="HRS311" s="13"/>
      <c r="HRT311" s="35"/>
      <c r="HRU311" s="35"/>
      <c r="HRV311" s="15"/>
      <c r="HRX311" s="13"/>
      <c r="HRY311" s="35"/>
      <c r="HRZ311" s="35"/>
      <c r="HSA311" s="15"/>
      <c r="HSC311" s="13"/>
      <c r="HSD311" s="35"/>
      <c r="HSE311" s="35"/>
      <c r="HSF311" s="15"/>
      <c r="HSH311" s="13"/>
      <c r="HSI311" s="35"/>
      <c r="HSJ311" s="35"/>
      <c r="HSK311" s="15"/>
      <c r="HSM311" s="13"/>
      <c r="HSN311" s="35"/>
      <c r="HSO311" s="35"/>
      <c r="HSP311" s="15"/>
      <c r="HSR311" s="13"/>
      <c r="HSS311" s="35"/>
      <c r="HST311" s="35"/>
      <c r="HSU311" s="15"/>
      <c r="HSW311" s="13"/>
      <c r="HSX311" s="35"/>
      <c r="HSY311" s="35"/>
      <c r="HSZ311" s="15"/>
      <c r="HTB311" s="13"/>
      <c r="HTC311" s="35"/>
      <c r="HTD311" s="35"/>
      <c r="HTE311" s="15"/>
      <c r="HTG311" s="13"/>
      <c r="HTH311" s="35"/>
      <c r="HTI311" s="35"/>
      <c r="HTJ311" s="15"/>
      <c r="HTL311" s="13"/>
      <c r="HTM311" s="35"/>
      <c r="HTN311" s="35"/>
      <c r="HTO311" s="15"/>
      <c r="HTQ311" s="13"/>
      <c r="HTR311" s="35"/>
      <c r="HTS311" s="35"/>
      <c r="HTT311" s="15"/>
      <c r="HTV311" s="13"/>
      <c r="HTW311" s="35"/>
      <c r="HTX311" s="35"/>
      <c r="HTY311" s="15"/>
      <c r="HUA311" s="13"/>
      <c r="HUB311" s="35"/>
      <c r="HUC311" s="35"/>
      <c r="HUD311" s="15"/>
      <c r="HUF311" s="13"/>
      <c r="HUG311" s="35"/>
      <c r="HUH311" s="35"/>
      <c r="HUI311" s="15"/>
      <c r="HUK311" s="13"/>
      <c r="HUL311" s="35"/>
      <c r="HUM311" s="35"/>
      <c r="HUN311" s="15"/>
      <c r="HUP311" s="13"/>
      <c r="HUQ311" s="35"/>
      <c r="HUR311" s="35"/>
      <c r="HUS311" s="15"/>
      <c r="HUU311" s="13"/>
      <c r="HUV311" s="35"/>
      <c r="HUW311" s="35"/>
      <c r="HUX311" s="15"/>
      <c r="HUZ311" s="13"/>
      <c r="HVA311" s="35"/>
      <c r="HVB311" s="35"/>
      <c r="HVC311" s="15"/>
      <c r="HVE311" s="13"/>
      <c r="HVF311" s="35"/>
      <c r="HVG311" s="35"/>
      <c r="HVH311" s="15"/>
      <c r="HVJ311" s="13"/>
      <c r="HVK311" s="35"/>
      <c r="HVL311" s="35"/>
      <c r="HVM311" s="15"/>
      <c r="HVO311" s="13"/>
      <c r="HVP311" s="35"/>
      <c r="HVQ311" s="35"/>
      <c r="HVR311" s="15"/>
      <c r="HVT311" s="13"/>
      <c r="HVU311" s="35"/>
      <c r="HVV311" s="35"/>
      <c r="HVW311" s="15"/>
      <c r="HVY311" s="13"/>
      <c r="HVZ311" s="35"/>
      <c r="HWA311" s="35"/>
      <c r="HWB311" s="15"/>
      <c r="HWD311" s="13"/>
      <c r="HWE311" s="35"/>
      <c r="HWF311" s="35"/>
      <c r="HWG311" s="15"/>
      <c r="HWI311" s="13"/>
      <c r="HWJ311" s="35"/>
      <c r="HWK311" s="35"/>
      <c r="HWL311" s="15"/>
      <c r="HWN311" s="13"/>
      <c r="HWO311" s="35"/>
      <c r="HWP311" s="35"/>
      <c r="HWQ311" s="15"/>
      <c r="HWS311" s="13"/>
      <c r="HWT311" s="35"/>
      <c r="HWU311" s="35"/>
      <c r="HWV311" s="15"/>
      <c r="HWX311" s="13"/>
      <c r="HWY311" s="35"/>
      <c r="HWZ311" s="35"/>
      <c r="HXA311" s="15"/>
      <c r="HXC311" s="13"/>
      <c r="HXD311" s="35"/>
      <c r="HXE311" s="35"/>
      <c r="HXF311" s="15"/>
      <c r="HXH311" s="13"/>
      <c r="HXI311" s="35"/>
      <c r="HXJ311" s="35"/>
      <c r="HXK311" s="15"/>
      <c r="HXM311" s="13"/>
      <c r="HXN311" s="35"/>
      <c r="HXO311" s="35"/>
      <c r="HXP311" s="15"/>
      <c r="HXR311" s="13"/>
      <c r="HXS311" s="35"/>
      <c r="HXT311" s="35"/>
      <c r="HXU311" s="15"/>
      <c r="HXW311" s="13"/>
      <c r="HXX311" s="35"/>
      <c r="HXY311" s="35"/>
      <c r="HXZ311" s="15"/>
      <c r="HYB311" s="13"/>
      <c r="HYC311" s="35"/>
      <c r="HYD311" s="35"/>
      <c r="HYE311" s="15"/>
      <c r="HYG311" s="13"/>
      <c r="HYH311" s="35"/>
      <c r="HYI311" s="35"/>
      <c r="HYJ311" s="15"/>
      <c r="HYL311" s="13"/>
      <c r="HYM311" s="35"/>
      <c r="HYN311" s="35"/>
      <c r="HYO311" s="15"/>
      <c r="HYQ311" s="13"/>
      <c r="HYR311" s="35"/>
      <c r="HYS311" s="35"/>
      <c r="HYT311" s="15"/>
      <c r="HYV311" s="13"/>
      <c r="HYW311" s="35"/>
      <c r="HYX311" s="35"/>
      <c r="HYY311" s="15"/>
      <c r="HZA311" s="13"/>
      <c r="HZB311" s="35"/>
      <c r="HZC311" s="35"/>
      <c r="HZD311" s="15"/>
      <c r="HZF311" s="13"/>
      <c r="HZG311" s="35"/>
      <c r="HZH311" s="35"/>
      <c r="HZI311" s="15"/>
      <c r="HZK311" s="13"/>
      <c r="HZL311" s="35"/>
      <c r="HZM311" s="35"/>
      <c r="HZN311" s="15"/>
      <c r="HZP311" s="13"/>
      <c r="HZQ311" s="35"/>
      <c r="HZR311" s="35"/>
      <c r="HZS311" s="15"/>
      <c r="HZU311" s="13"/>
      <c r="HZV311" s="35"/>
      <c r="HZW311" s="35"/>
      <c r="HZX311" s="15"/>
      <c r="HZZ311" s="13"/>
      <c r="IAA311" s="35"/>
      <c r="IAB311" s="35"/>
      <c r="IAC311" s="15"/>
      <c r="IAE311" s="13"/>
      <c r="IAF311" s="35"/>
      <c r="IAG311" s="35"/>
      <c r="IAH311" s="15"/>
      <c r="IAJ311" s="13"/>
      <c r="IAK311" s="35"/>
      <c r="IAL311" s="35"/>
      <c r="IAM311" s="15"/>
      <c r="IAO311" s="13"/>
      <c r="IAP311" s="35"/>
      <c r="IAQ311" s="35"/>
      <c r="IAR311" s="15"/>
      <c r="IAT311" s="13"/>
      <c r="IAU311" s="35"/>
      <c r="IAV311" s="35"/>
      <c r="IAW311" s="15"/>
      <c r="IAY311" s="13"/>
      <c r="IAZ311" s="35"/>
      <c r="IBA311" s="35"/>
      <c r="IBB311" s="15"/>
      <c r="IBD311" s="13"/>
      <c r="IBE311" s="35"/>
      <c r="IBF311" s="35"/>
      <c r="IBG311" s="15"/>
      <c r="IBI311" s="13"/>
      <c r="IBJ311" s="35"/>
      <c r="IBK311" s="35"/>
      <c r="IBL311" s="15"/>
      <c r="IBN311" s="13"/>
      <c r="IBO311" s="35"/>
      <c r="IBP311" s="35"/>
      <c r="IBQ311" s="15"/>
      <c r="IBS311" s="13"/>
      <c r="IBT311" s="35"/>
      <c r="IBU311" s="35"/>
      <c r="IBV311" s="15"/>
      <c r="IBX311" s="13"/>
      <c r="IBY311" s="35"/>
      <c r="IBZ311" s="35"/>
      <c r="ICA311" s="15"/>
      <c r="ICC311" s="13"/>
      <c r="ICD311" s="35"/>
      <c r="ICE311" s="35"/>
      <c r="ICF311" s="15"/>
      <c r="ICH311" s="13"/>
      <c r="ICI311" s="35"/>
      <c r="ICJ311" s="35"/>
      <c r="ICK311" s="15"/>
      <c r="ICM311" s="13"/>
      <c r="ICN311" s="35"/>
      <c r="ICO311" s="35"/>
      <c r="ICP311" s="15"/>
      <c r="ICR311" s="13"/>
      <c r="ICS311" s="35"/>
      <c r="ICT311" s="35"/>
      <c r="ICU311" s="15"/>
      <c r="ICW311" s="13"/>
      <c r="ICX311" s="35"/>
      <c r="ICY311" s="35"/>
      <c r="ICZ311" s="15"/>
      <c r="IDB311" s="13"/>
      <c r="IDC311" s="35"/>
      <c r="IDD311" s="35"/>
      <c r="IDE311" s="15"/>
      <c r="IDG311" s="13"/>
      <c r="IDH311" s="35"/>
      <c r="IDI311" s="35"/>
      <c r="IDJ311" s="15"/>
      <c r="IDL311" s="13"/>
      <c r="IDM311" s="35"/>
      <c r="IDN311" s="35"/>
      <c r="IDO311" s="15"/>
      <c r="IDQ311" s="13"/>
      <c r="IDR311" s="35"/>
      <c r="IDS311" s="35"/>
      <c r="IDT311" s="15"/>
      <c r="IDV311" s="13"/>
      <c r="IDW311" s="35"/>
      <c r="IDX311" s="35"/>
      <c r="IDY311" s="15"/>
      <c r="IEA311" s="13"/>
      <c r="IEB311" s="35"/>
      <c r="IEC311" s="35"/>
      <c r="IED311" s="15"/>
      <c r="IEF311" s="13"/>
      <c r="IEG311" s="35"/>
      <c r="IEH311" s="35"/>
      <c r="IEI311" s="15"/>
      <c r="IEK311" s="13"/>
      <c r="IEL311" s="35"/>
      <c r="IEM311" s="35"/>
      <c r="IEN311" s="15"/>
      <c r="IEP311" s="13"/>
      <c r="IEQ311" s="35"/>
      <c r="IER311" s="35"/>
      <c r="IES311" s="15"/>
      <c r="IEU311" s="13"/>
      <c r="IEV311" s="35"/>
      <c r="IEW311" s="35"/>
      <c r="IEX311" s="15"/>
      <c r="IEZ311" s="13"/>
      <c r="IFA311" s="35"/>
      <c r="IFB311" s="35"/>
      <c r="IFC311" s="15"/>
      <c r="IFE311" s="13"/>
      <c r="IFF311" s="35"/>
      <c r="IFG311" s="35"/>
      <c r="IFH311" s="15"/>
      <c r="IFJ311" s="13"/>
      <c r="IFK311" s="35"/>
      <c r="IFL311" s="35"/>
      <c r="IFM311" s="15"/>
      <c r="IFO311" s="13"/>
      <c r="IFP311" s="35"/>
      <c r="IFQ311" s="35"/>
      <c r="IFR311" s="15"/>
      <c r="IFT311" s="13"/>
      <c r="IFU311" s="35"/>
      <c r="IFV311" s="35"/>
      <c r="IFW311" s="15"/>
      <c r="IFY311" s="13"/>
      <c r="IFZ311" s="35"/>
      <c r="IGA311" s="35"/>
      <c r="IGB311" s="15"/>
      <c r="IGD311" s="13"/>
      <c r="IGE311" s="35"/>
      <c r="IGF311" s="35"/>
      <c r="IGG311" s="15"/>
      <c r="IGI311" s="13"/>
      <c r="IGJ311" s="35"/>
      <c r="IGK311" s="35"/>
      <c r="IGL311" s="15"/>
      <c r="IGN311" s="13"/>
      <c r="IGO311" s="35"/>
      <c r="IGP311" s="35"/>
      <c r="IGQ311" s="15"/>
      <c r="IGS311" s="13"/>
      <c r="IGT311" s="35"/>
      <c r="IGU311" s="35"/>
      <c r="IGV311" s="15"/>
      <c r="IGX311" s="13"/>
      <c r="IGY311" s="35"/>
      <c r="IGZ311" s="35"/>
      <c r="IHA311" s="15"/>
      <c r="IHC311" s="13"/>
      <c r="IHD311" s="35"/>
      <c r="IHE311" s="35"/>
      <c r="IHF311" s="15"/>
      <c r="IHH311" s="13"/>
      <c r="IHI311" s="35"/>
      <c r="IHJ311" s="35"/>
      <c r="IHK311" s="15"/>
      <c r="IHM311" s="13"/>
      <c r="IHN311" s="35"/>
      <c r="IHO311" s="35"/>
      <c r="IHP311" s="15"/>
      <c r="IHR311" s="13"/>
      <c r="IHS311" s="35"/>
      <c r="IHT311" s="35"/>
      <c r="IHU311" s="15"/>
      <c r="IHW311" s="13"/>
      <c r="IHX311" s="35"/>
      <c r="IHY311" s="35"/>
      <c r="IHZ311" s="15"/>
      <c r="IIB311" s="13"/>
      <c r="IIC311" s="35"/>
      <c r="IID311" s="35"/>
      <c r="IIE311" s="15"/>
      <c r="IIG311" s="13"/>
      <c r="IIH311" s="35"/>
      <c r="III311" s="35"/>
      <c r="IIJ311" s="15"/>
      <c r="IIL311" s="13"/>
      <c r="IIM311" s="35"/>
      <c r="IIN311" s="35"/>
      <c r="IIO311" s="15"/>
      <c r="IIQ311" s="13"/>
      <c r="IIR311" s="35"/>
      <c r="IIS311" s="35"/>
      <c r="IIT311" s="15"/>
      <c r="IIV311" s="13"/>
      <c r="IIW311" s="35"/>
      <c r="IIX311" s="35"/>
      <c r="IIY311" s="15"/>
      <c r="IJA311" s="13"/>
      <c r="IJB311" s="35"/>
      <c r="IJC311" s="35"/>
      <c r="IJD311" s="15"/>
      <c r="IJF311" s="13"/>
      <c r="IJG311" s="35"/>
      <c r="IJH311" s="35"/>
      <c r="IJI311" s="15"/>
      <c r="IJK311" s="13"/>
      <c r="IJL311" s="35"/>
      <c r="IJM311" s="35"/>
      <c r="IJN311" s="15"/>
      <c r="IJP311" s="13"/>
      <c r="IJQ311" s="35"/>
      <c r="IJR311" s="35"/>
      <c r="IJS311" s="15"/>
      <c r="IJU311" s="13"/>
      <c r="IJV311" s="35"/>
      <c r="IJW311" s="35"/>
      <c r="IJX311" s="15"/>
      <c r="IJZ311" s="13"/>
      <c r="IKA311" s="35"/>
      <c r="IKB311" s="35"/>
      <c r="IKC311" s="15"/>
      <c r="IKE311" s="13"/>
      <c r="IKF311" s="35"/>
      <c r="IKG311" s="35"/>
      <c r="IKH311" s="15"/>
      <c r="IKJ311" s="13"/>
      <c r="IKK311" s="35"/>
      <c r="IKL311" s="35"/>
      <c r="IKM311" s="15"/>
      <c r="IKO311" s="13"/>
      <c r="IKP311" s="35"/>
      <c r="IKQ311" s="35"/>
      <c r="IKR311" s="15"/>
      <c r="IKT311" s="13"/>
      <c r="IKU311" s="35"/>
      <c r="IKV311" s="35"/>
      <c r="IKW311" s="15"/>
      <c r="IKY311" s="13"/>
      <c r="IKZ311" s="35"/>
      <c r="ILA311" s="35"/>
      <c r="ILB311" s="15"/>
      <c r="ILD311" s="13"/>
      <c r="ILE311" s="35"/>
      <c r="ILF311" s="35"/>
      <c r="ILG311" s="15"/>
      <c r="ILI311" s="13"/>
      <c r="ILJ311" s="35"/>
      <c r="ILK311" s="35"/>
      <c r="ILL311" s="15"/>
      <c r="ILN311" s="13"/>
      <c r="ILO311" s="35"/>
      <c r="ILP311" s="35"/>
      <c r="ILQ311" s="15"/>
      <c r="ILS311" s="13"/>
      <c r="ILT311" s="35"/>
      <c r="ILU311" s="35"/>
      <c r="ILV311" s="15"/>
      <c r="ILX311" s="13"/>
      <c r="ILY311" s="35"/>
      <c r="ILZ311" s="35"/>
      <c r="IMA311" s="15"/>
      <c r="IMC311" s="13"/>
      <c r="IMD311" s="35"/>
      <c r="IME311" s="35"/>
      <c r="IMF311" s="15"/>
      <c r="IMH311" s="13"/>
      <c r="IMI311" s="35"/>
      <c r="IMJ311" s="35"/>
      <c r="IMK311" s="15"/>
      <c r="IMM311" s="13"/>
      <c r="IMN311" s="35"/>
      <c r="IMO311" s="35"/>
      <c r="IMP311" s="15"/>
      <c r="IMR311" s="13"/>
      <c r="IMS311" s="35"/>
      <c r="IMT311" s="35"/>
      <c r="IMU311" s="15"/>
      <c r="IMW311" s="13"/>
      <c r="IMX311" s="35"/>
      <c r="IMY311" s="35"/>
      <c r="IMZ311" s="15"/>
      <c r="INB311" s="13"/>
      <c r="INC311" s="35"/>
      <c r="IND311" s="35"/>
      <c r="INE311" s="15"/>
      <c r="ING311" s="13"/>
      <c r="INH311" s="35"/>
      <c r="INI311" s="35"/>
      <c r="INJ311" s="15"/>
      <c r="INL311" s="13"/>
      <c r="INM311" s="35"/>
      <c r="INN311" s="35"/>
      <c r="INO311" s="15"/>
      <c r="INQ311" s="13"/>
      <c r="INR311" s="35"/>
      <c r="INS311" s="35"/>
      <c r="INT311" s="15"/>
      <c r="INV311" s="13"/>
      <c r="INW311" s="35"/>
      <c r="INX311" s="35"/>
      <c r="INY311" s="15"/>
      <c r="IOA311" s="13"/>
      <c r="IOB311" s="35"/>
      <c r="IOC311" s="35"/>
      <c r="IOD311" s="15"/>
      <c r="IOF311" s="13"/>
      <c r="IOG311" s="35"/>
      <c r="IOH311" s="35"/>
      <c r="IOI311" s="15"/>
      <c r="IOK311" s="13"/>
      <c r="IOL311" s="35"/>
      <c r="IOM311" s="35"/>
      <c r="ION311" s="15"/>
      <c r="IOP311" s="13"/>
      <c r="IOQ311" s="35"/>
      <c r="IOR311" s="35"/>
      <c r="IOS311" s="15"/>
      <c r="IOU311" s="13"/>
      <c r="IOV311" s="35"/>
      <c r="IOW311" s="35"/>
      <c r="IOX311" s="15"/>
      <c r="IOZ311" s="13"/>
      <c r="IPA311" s="35"/>
      <c r="IPB311" s="35"/>
      <c r="IPC311" s="15"/>
      <c r="IPE311" s="13"/>
      <c r="IPF311" s="35"/>
      <c r="IPG311" s="35"/>
      <c r="IPH311" s="15"/>
      <c r="IPJ311" s="13"/>
      <c r="IPK311" s="35"/>
      <c r="IPL311" s="35"/>
      <c r="IPM311" s="15"/>
      <c r="IPO311" s="13"/>
      <c r="IPP311" s="35"/>
      <c r="IPQ311" s="35"/>
      <c r="IPR311" s="15"/>
      <c r="IPT311" s="13"/>
      <c r="IPU311" s="35"/>
      <c r="IPV311" s="35"/>
      <c r="IPW311" s="15"/>
      <c r="IPY311" s="13"/>
      <c r="IPZ311" s="35"/>
      <c r="IQA311" s="35"/>
      <c r="IQB311" s="15"/>
      <c r="IQD311" s="13"/>
      <c r="IQE311" s="35"/>
      <c r="IQF311" s="35"/>
      <c r="IQG311" s="15"/>
      <c r="IQI311" s="13"/>
      <c r="IQJ311" s="35"/>
      <c r="IQK311" s="35"/>
      <c r="IQL311" s="15"/>
      <c r="IQN311" s="13"/>
      <c r="IQO311" s="35"/>
      <c r="IQP311" s="35"/>
      <c r="IQQ311" s="15"/>
      <c r="IQS311" s="13"/>
      <c r="IQT311" s="35"/>
      <c r="IQU311" s="35"/>
      <c r="IQV311" s="15"/>
      <c r="IQX311" s="13"/>
      <c r="IQY311" s="35"/>
      <c r="IQZ311" s="35"/>
      <c r="IRA311" s="15"/>
      <c r="IRC311" s="13"/>
      <c r="IRD311" s="35"/>
      <c r="IRE311" s="35"/>
      <c r="IRF311" s="15"/>
      <c r="IRH311" s="13"/>
      <c r="IRI311" s="35"/>
      <c r="IRJ311" s="35"/>
      <c r="IRK311" s="15"/>
      <c r="IRM311" s="13"/>
      <c r="IRN311" s="35"/>
      <c r="IRO311" s="35"/>
      <c r="IRP311" s="15"/>
      <c r="IRR311" s="13"/>
      <c r="IRS311" s="35"/>
      <c r="IRT311" s="35"/>
      <c r="IRU311" s="15"/>
      <c r="IRW311" s="13"/>
      <c r="IRX311" s="35"/>
      <c r="IRY311" s="35"/>
      <c r="IRZ311" s="15"/>
      <c r="ISB311" s="13"/>
      <c r="ISC311" s="35"/>
      <c r="ISD311" s="35"/>
      <c r="ISE311" s="15"/>
      <c r="ISG311" s="13"/>
      <c r="ISH311" s="35"/>
      <c r="ISI311" s="35"/>
      <c r="ISJ311" s="15"/>
      <c r="ISL311" s="13"/>
      <c r="ISM311" s="35"/>
      <c r="ISN311" s="35"/>
      <c r="ISO311" s="15"/>
      <c r="ISQ311" s="13"/>
      <c r="ISR311" s="35"/>
      <c r="ISS311" s="35"/>
      <c r="IST311" s="15"/>
      <c r="ISV311" s="13"/>
      <c r="ISW311" s="35"/>
      <c r="ISX311" s="35"/>
      <c r="ISY311" s="15"/>
      <c r="ITA311" s="13"/>
      <c r="ITB311" s="35"/>
      <c r="ITC311" s="35"/>
      <c r="ITD311" s="15"/>
      <c r="ITF311" s="13"/>
      <c r="ITG311" s="35"/>
      <c r="ITH311" s="35"/>
      <c r="ITI311" s="15"/>
      <c r="ITK311" s="13"/>
      <c r="ITL311" s="35"/>
      <c r="ITM311" s="35"/>
      <c r="ITN311" s="15"/>
      <c r="ITP311" s="13"/>
      <c r="ITQ311" s="35"/>
      <c r="ITR311" s="35"/>
      <c r="ITS311" s="15"/>
      <c r="ITU311" s="13"/>
      <c r="ITV311" s="35"/>
      <c r="ITW311" s="35"/>
      <c r="ITX311" s="15"/>
      <c r="ITZ311" s="13"/>
      <c r="IUA311" s="35"/>
      <c r="IUB311" s="35"/>
      <c r="IUC311" s="15"/>
      <c r="IUE311" s="13"/>
      <c r="IUF311" s="35"/>
      <c r="IUG311" s="35"/>
      <c r="IUH311" s="15"/>
      <c r="IUJ311" s="13"/>
      <c r="IUK311" s="35"/>
      <c r="IUL311" s="35"/>
      <c r="IUM311" s="15"/>
      <c r="IUO311" s="13"/>
      <c r="IUP311" s="35"/>
      <c r="IUQ311" s="35"/>
      <c r="IUR311" s="15"/>
      <c r="IUT311" s="13"/>
      <c r="IUU311" s="35"/>
      <c r="IUV311" s="35"/>
      <c r="IUW311" s="15"/>
      <c r="IUY311" s="13"/>
      <c r="IUZ311" s="35"/>
      <c r="IVA311" s="35"/>
      <c r="IVB311" s="15"/>
      <c r="IVD311" s="13"/>
      <c r="IVE311" s="35"/>
      <c r="IVF311" s="35"/>
      <c r="IVG311" s="15"/>
      <c r="IVI311" s="13"/>
      <c r="IVJ311" s="35"/>
      <c r="IVK311" s="35"/>
      <c r="IVL311" s="15"/>
      <c r="IVN311" s="13"/>
      <c r="IVO311" s="35"/>
      <c r="IVP311" s="35"/>
      <c r="IVQ311" s="15"/>
      <c r="IVS311" s="13"/>
      <c r="IVT311" s="35"/>
      <c r="IVU311" s="35"/>
      <c r="IVV311" s="15"/>
      <c r="IVX311" s="13"/>
      <c r="IVY311" s="35"/>
      <c r="IVZ311" s="35"/>
      <c r="IWA311" s="15"/>
      <c r="IWC311" s="13"/>
      <c r="IWD311" s="35"/>
      <c r="IWE311" s="35"/>
      <c r="IWF311" s="15"/>
      <c r="IWH311" s="13"/>
      <c r="IWI311" s="35"/>
      <c r="IWJ311" s="35"/>
      <c r="IWK311" s="15"/>
      <c r="IWM311" s="13"/>
      <c r="IWN311" s="35"/>
      <c r="IWO311" s="35"/>
      <c r="IWP311" s="15"/>
      <c r="IWR311" s="13"/>
      <c r="IWS311" s="35"/>
      <c r="IWT311" s="35"/>
      <c r="IWU311" s="15"/>
      <c r="IWW311" s="13"/>
      <c r="IWX311" s="35"/>
      <c r="IWY311" s="35"/>
      <c r="IWZ311" s="15"/>
      <c r="IXB311" s="13"/>
      <c r="IXC311" s="35"/>
      <c r="IXD311" s="35"/>
      <c r="IXE311" s="15"/>
      <c r="IXG311" s="13"/>
      <c r="IXH311" s="35"/>
      <c r="IXI311" s="35"/>
      <c r="IXJ311" s="15"/>
      <c r="IXL311" s="13"/>
      <c r="IXM311" s="35"/>
      <c r="IXN311" s="35"/>
      <c r="IXO311" s="15"/>
      <c r="IXQ311" s="13"/>
      <c r="IXR311" s="35"/>
      <c r="IXS311" s="35"/>
      <c r="IXT311" s="15"/>
      <c r="IXV311" s="13"/>
      <c r="IXW311" s="35"/>
      <c r="IXX311" s="35"/>
      <c r="IXY311" s="15"/>
      <c r="IYA311" s="13"/>
      <c r="IYB311" s="35"/>
      <c r="IYC311" s="35"/>
      <c r="IYD311" s="15"/>
      <c r="IYF311" s="13"/>
      <c r="IYG311" s="35"/>
      <c r="IYH311" s="35"/>
      <c r="IYI311" s="15"/>
      <c r="IYK311" s="13"/>
      <c r="IYL311" s="35"/>
      <c r="IYM311" s="35"/>
      <c r="IYN311" s="15"/>
      <c r="IYP311" s="13"/>
      <c r="IYQ311" s="35"/>
      <c r="IYR311" s="35"/>
      <c r="IYS311" s="15"/>
      <c r="IYU311" s="13"/>
      <c r="IYV311" s="35"/>
      <c r="IYW311" s="35"/>
      <c r="IYX311" s="15"/>
      <c r="IYZ311" s="13"/>
      <c r="IZA311" s="35"/>
      <c r="IZB311" s="35"/>
      <c r="IZC311" s="15"/>
      <c r="IZE311" s="13"/>
      <c r="IZF311" s="35"/>
      <c r="IZG311" s="35"/>
      <c r="IZH311" s="15"/>
      <c r="IZJ311" s="13"/>
      <c r="IZK311" s="35"/>
      <c r="IZL311" s="35"/>
      <c r="IZM311" s="15"/>
      <c r="IZO311" s="13"/>
      <c r="IZP311" s="35"/>
      <c r="IZQ311" s="35"/>
      <c r="IZR311" s="15"/>
      <c r="IZT311" s="13"/>
      <c r="IZU311" s="35"/>
      <c r="IZV311" s="35"/>
      <c r="IZW311" s="15"/>
      <c r="IZY311" s="13"/>
      <c r="IZZ311" s="35"/>
      <c r="JAA311" s="35"/>
      <c r="JAB311" s="15"/>
      <c r="JAD311" s="13"/>
      <c r="JAE311" s="35"/>
      <c r="JAF311" s="35"/>
      <c r="JAG311" s="15"/>
      <c r="JAI311" s="13"/>
      <c r="JAJ311" s="35"/>
      <c r="JAK311" s="35"/>
      <c r="JAL311" s="15"/>
      <c r="JAN311" s="13"/>
      <c r="JAO311" s="35"/>
      <c r="JAP311" s="35"/>
      <c r="JAQ311" s="15"/>
      <c r="JAS311" s="13"/>
      <c r="JAT311" s="35"/>
      <c r="JAU311" s="35"/>
      <c r="JAV311" s="15"/>
      <c r="JAX311" s="13"/>
      <c r="JAY311" s="35"/>
      <c r="JAZ311" s="35"/>
      <c r="JBA311" s="15"/>
      <c r="JBC311" s="13"/>
      <c r="JBD311" s="35"/>
      <c r="JBE311" s="35"/>
      <c r="JBF311" s="15"/>
      <c r="JBH311" s="13"/>
      <c r="JBI311" s="35"/>
      <c r="JBJ311" s="35"/>
      <c r="JBK311" s="15"/>
      <c r="JBM311" s="13"/>
      <c r="JBN311" s="35"/>
      <c r="JBO311" s="35"/>
      <c r="JBP311" s="15"/>
      <c r="JBR311" s="13"/>
      <c r="JBS311" s="35"/>
      <c r="JBT311" s="35"/>
      <c r="JBU311" s="15"/>
      <c r="JBW311" s="13"/>
      <c r="JBX311" s="35"/>
      <c r="JBY311" s="35"/>
      <c r="JBZ311" s="15"/>
      <c r="JCB311" s="13"/>
      <c r="JCC311" s="35"/>
      <c r="JCD311" s="35"/>
      <c r="JCE311" s="15"/>
      <c r="JCG311" s="13"/>
      <c r="JCH311" s="35"/>
      <c r="JCI311" s="35"/>
      <c r="JCJ311" s="15"/>
      <c r="JCL311" s="13"/>
      <c r="JCM311" s="35"/>
      <c r="JCN311" s="35"/>
      <c r="JCO311" s="15"/>
      <c r="JCQ311" s="13"/>
      <c r="JCR311" s="35"/>
      <c r="JCS311" s="35"/>
      <c r="JCT311" s="15"/>
      <c r="JCV311" s="13"/>
      <c r="JCW311" s="35"/>
      <c r="JCX311" s="35"/>
      <c r="JCY311" s="15"/>
      <c r="JDA311" s="13"/>
      <c r="JDB311" s="35"/>
      <c r="JDC311" s="35"/>
      <c r="JDD311" s="15"/>
      <c r="JDF311" s="13"/>
      <c r="JDG311" s="35"/>
      <c r="JDH311" s="35"/>
      <c r="JDI311" s="15"/>
      <c r="JDK311" s="13"/>
      <c r="JDL311" s="35"/>
      <c r="JDM311" s="35"/>
      <c r="JDN311" s="15"/>
      <c r="JDP311" s="13"/>
      <c r="JDQ311" s="35"/>
      <c r="JDR311" s="35"/>
      <c r="JDS311" s="15"/>
      <c r="JDU311" s="13"/>
      <c r="JDV311" s="35"/>
      <c r="JDW311" s="35"/>
      <c r="JDX311" s="15"/>
      <c r="JDZ311" s="13"/>
      <c r="JEA311" s="35"/>
      <c r="JEB311" s="35"/>
      <c r="JEC311" s="15"/>
      <c r="JEE311" s="13"/>
      <c r="JEF311" s="35"/>
      <c r="JEG311" s="35"/>
      <c r="JEH311" s="15"/>
      <c r="JEJ311" s="13"/>
      <c r="JEK311" s="35"/>
      <c r="JEL311" s="35"/>
      <c r="JEM311" s="15"/>
      <c r="JEO311" s="13"/>
      <c r="JEP311" s="35"/>
      <c r="JEQ311" s="35"/>
      <c r="JER311" s="15"/>
      <c r="JET311" s="13"/>
      <c r="JEU311" s="35"/>
      <c r="JEV311" s="35"/>
      <c r="JEW311" s="15"/>
      <c r="JEY311" s="13"/>
      <c r="JEZ311" s="35"/>
      <c r="JFA311" s="35"/>
      <c r="JFB311" s="15"/>
      <c r="JFD311" s="13"/>
      <c r="JFE311" s="35"/>
      <c r="JFF311" s="35"/>
      <c r="JFG311" s="15"/>
      <c r="JFI311" s="13"/>
      <c r="JFJ311" s="35"/>
      <c r="JFK311" s="35"/>
      <c r="JFL311" s="15"/>
      <c r="JFN311" s="13"/>
      <c r="JFO311" s="35"/>
      <c r="JFP311" s="35"/>
      <c r="JFQ311" s="15"/>
      <c r="JFS311" s="13"/>
      <c r="JFT311" s="35"/>
      <c r="JFU311" s="35"/>
      <c r="JFV311" s="15"/>
      <c r="JFX311" s="13"/>
      <c r="JFY311" s="35"/>
      <c r="JFZ311" s="35"/>
      <c r="JGA311" s="15"/>
      <c r="JGC311" s="13"/>
      <c r="JGD311" s="35"/>
      <c r="JGE311" s="35"/>
      <c r="JGF311" s="15"/>
      <c r="JGH311" s="13"/>
      <c r="JGI311" s="35"/>
      <c r="JGJ311" s="35"/>
      <c r="JGK311" s="15"/>
      <c r="JGM311" s="13"/>
      <c r="JGN311" s="35"/>
      <c r="JGO311" s="35"/>
      <c r="JGP311" s="15"/>
      <c r="JGR311" s="13"/>
      <c r="JGS311" s="35"/>
      <c r="JGT311" s="35"/>
      <c r="JGU311" s="15"/>
      <c r="JGW311" s="13"/>
      <c r="JGX311" s="35"/>
      <c r="JGY311" s="35"/>
      <c r="JGZ311" s="15"/>
      <c r="JHB311" s="13"/>
      <c r="JHC311" s="35"/>
      <c r="JHD311" s="35"/>
      <c r="JHE311" s="15"/>
      <c r="JHG311" s="13"/>
      <c r="JHH311" s="35"/>
      <c r="JHI311" s="35"/>
      <c r="JHJ311" s="15"/>
      <c r="JHL311" s="13"/>
      <c r="JHM311" s="35"/>
      <c r="JHN311" s="35"/>
      <c r="JHO311" s="15"/>
      <c r="JHQ311" s="13"/>
      <c r="JHR311" s="35"/>
      <c r="JHS311" s="35"/>
      <c r="JHT311" s="15"/>
      <c r="JHV311" s="13"/>
      <c r="JHW311" s="35"/>
      <c r="JHX311" s="35"/>
      <c r="JHY311" s="15"/>
      <c r="JIA311" s="13"/>
      <c r="JIB311" s="35"/>
      <c r="JIC311" s="35"/>
      <c r="JID311" s="15"/>
      <c r="JIF311" s="13"/>
      <c r="JIG311" s="35"/>
      <c r="JIH311" s="35"/>
      <c r="JII311" s="15"/>
      <c r="JIK311" s="13"/>
      <c r="JIL311" s="35"/>
      <c r="JIM311" s="35"/>
      <c r="JIN311" s="15"/>
      <c r="JIP311" s="13"/>
      <c r="JIQ311" s="35"/>
      <c r="JIR311" s="35"/>
      <c r="JIS311" s="15"/>
      <c r="JIU311" s="13"/>
      <c r="JIV311" s="35"/>
      <c r="JIW311" s="35"/>
      <c r="JIX311" s="15"/>
      <c r="JIZ311" s="13"/>
      <c r="JJA311" s="35"/>
      <c r="JJB311" s="35"/>
      <c r="JJC311" s="15"/>
      <c r="JJE311" s="13"/>
      <c r="JJF311" s="35"/>
      <c r="JJG311" s="35"/>
      <c r="JJH311" s="15"/>
      <c r="JJJ311" s="13"/>
      <c r="JJK311" s="35"/>
      <c r="JJL311" s="35"/>
      <c r="JJM311" s="15"/>
      <c r="JJO311" s="13"/>
      <c r="JJP311" s="35"/>
      <c r="JJQ311" s="35"/>
      <c r="JJR311" s="15"/>
      <c r="JJT311" s="13"/>
      <c r="JJU311" s="35"/>
      <c r="JJV311" s="35"/>
      <c r="JJW311" s="15"/>
      <c r="JJY311" s="13"/>
      <c r="JJZ311" s="35"/>
      <c r="JKA311" s="35"/>
      <c r="JKB311" s="15"/>
      <c r="JKD311" s="13"/>
      <c r="JKE311" s="35"/>
      <c r="JKF311" s="35"/>
      <c r="JKG311" s="15"/>
      <c r="JKI311" s="13"/>
      <c r="JKJ311" s="35"/>
      <c r="JKK311" s="35"/>
      <c r="JKL311" s="15"/>
      <c r="JKN311" s="13"/>
      <c r="JKO311" s="35"/>
      <c r="JKP311" s="35"/>
      <c r="JKQ311" s="15"/>
      <c r="JKS311" s="13"/>
      <c r="JKT311" s="35"/>
      <c r="JKU311" s="35"/>
      <c r="JKV311" s="15"/>
      <c r="JKX311" s="13"/>
      <c r="JKY311" s="35"/>
      <c r="JKZ311" s="35"/>
      <c r="JLA311" s="15"/>
      <c r="JLC311" s="13"/>
      <c r="JLD311" s="35"/>
      <c r="JLE311" s="35"/>
      <c r="JLF311" s="15"/>
      <c r="JLH311" s="13"/>
      <c r="JLI311" s="35"/>
      <c r="JLJ311" s="35"/>
      <c r="JLK311" s="15"/>
      <c r="JLM311" s="13"/>
      <c r="JLN311" s="35"/>
      <c r="JLO311" s="35"/>
      <c r="JLP311" s="15"/>
      <c r="JLR311" s="13"/>
      <c r="JLS311" s="35"/>
      <c r="JLT311" s="35"/>
      <c r="JLU311" s="15"/>
      <c r="JLW311" s="13"/>
      <c r="JLX311" s="35"/>
      <c r="JLY311" s="35"/>
      <c r="JLZ311" s="15"/>
      <c r="JMB311" s="13"/>
      <c r="JMC311" s="35"/>
      <c r="JMD311" s="35"/>
      <c r="JME311" s="15"/>
      <c r="JMG311" s="13"/>
      <c r="JMH311" s="35"/>
      <c r="JMI311" s="35"/>
      <c r="JMJ311" s="15"/>
      <c r="JML311" s="13"/>
      <c r="JMM311" s="35"/>
      <c r="JMN311" s="35"/>
      <c r="JMO311" s="15"/>
      <c r="JMQ311" s="13"/>
      <c r="JMR311" s="35"/>
      <c r="JMS311" s="35"/>
      <c r="JMT311" s="15"/>
      <c r="JMV311" s="13"/>
      <c r="JMW311" s="35"/>
      <c r="JMX311" s="35"/>
      <c r="JMY311" s="15"/>
      <c r="JNA311" s="13"/>
      <c r="JNB311" s="35"/>
      <c r="JNC311" s="35"/>
      <c r="JND311" s="15"/>
      <c r="JNF311" s="13"/>
      <c r="JNG311" s="35"/>
      <c r="JNH311" s="35"/>
      <c r="JNI311" s="15"/>
      <c r="JNK311" s="13"/>
      <c r="JNL311" s="35"/>
      <c r="JNM311" s="35"/>
      <c r="JNN311" s="15"/>
      <c r="JNP311" s="13"/>
      <c r="JNQ311" s="35"/>
      <c r="JNR311" s="35"/>
      <c r="JNS311" s="15"/>
      <c r="JNU311" s="13"/>
      <c r="JNV311" s="35"/>
      <c r="JNW311" s="35"/>
      <c r="JNX311" s="15"/>
      <c r="JNZ311" s="13"/>
      <c r="JOA311" s="35"/>
      <c r="JOB311" s="35"/>
      <c r="JOC311" s="15"/>
      <c r="JOE311" s="13"/>
      <c r="JOF311" s="35"/>
      <c r="JOG311" s="35"/>
      <c r="JOH311" s="15"/>
      <c r="JOJ311" s="13"/>
      <c r="JOK311" s="35"/>
      <c r="JOL311" s="35"/>
      <c r="JOM311" s="15"/>
      <c r="JOO311" s="13"/>
      <c r="JOP311" s="35"/>
      <c r="JOQ311" s="35"/>
      <c r="JOR311" s="15"/>
      <c r="JOT311" s="13"/>
      <c r="JOU311" s="35"/>
      <c r="JOV311" s="35"/>
      <c r="JOW311" s="15"/>
      <c r="JOY311" s="13"/>
      <c r="JOZ311" s="35"/>
      <c r="JPA311" s="35"/>
      <c r="JPB311" s="15"/>
      <c r="JPD311" s="13"/>
      <c r="JPE311" s="35"/>
      <c r="JPF311" s="35"/>
      <c r="JPG311" s="15"/>
      <c r="JPI311" s="13"/>
      <c r="JPJ311" s="35"/>
      <c r="JPK311" s="35"/>
      <c r="JPL311" s="15"/>
      <c r="JPN311" s="13"/>
      <c r="JPO311" s="35"/>
      <c r="JPP311" s="35"/>
      <c r="JPQ311" s="15"/>
      <c r="JPS311" s="13"/>
      <c r="JPT311" s="35"/>
      <c r="JPU311" s="35"/>
      <c r="JPV311" s="15"/>
      <c r="JPX311" s="13"/>
      <c r="JPY311" s="35"/>
      <c r="JPZ311" s="35"/>
      <c r="JQA311" s="15"/>
      <c r="JQC311" s="13"/>
      <c r="JQD311" s="35"/>
      <c r="JQE311" s="35"/>
      <c r="JQF311" s="15"/>
      <c r="JQH311" s="13"/>
      <c r="JQI311" s="35"/>
      <c r="JQJ311" s="35"/>
      <c r="JQK311" s="15"/>
      <c r="JQM311" s="13"/>
      <c r="JQN311" s="35"/>
      <c r="JQO311" s="35"/>
      <c r="JQP311" s="15"/>
      <c r="JQR311" s="13"/>
      <c r="JQS311" s="35"/>
      <c r="JQT311" s="35"/>
      <c r="JQU311" s="15"/>
      <c r="JQW311" s="13"/>
      <c r="JQX311" s="35"/>
      <c r="JQY311" s="35"/>
      <c r="JQZ311" s="15"/>
      <c r="JRB311" s="13"/>
      <c r="JRC311" s="35"/>
      <c r="JRD311" s="35"/>
      <c r="JRE311" s="15"/>
      <c r="JRG311" s="13"/>
      <c r="JRH311" s="35"/>
      <c r="JRI311" s="35"/>
      <c r="JRJ311" s="15"/>
      <c r="JRL311" s="13"/>
      <c r="JRM311" s="35"/>
      <c r="JRN311" s="35"/>
      <c r="JRO311" s="15"/>
      <c r="JRQ311" s="13"/>
      <c r="JRR311" s="35"/>
      <c r="JRS311" s="35"/>
      <c r="JRT311" s="15"/>
      <c r="JRV311" s="13"/>
      <c r="JRW311" s="35"/>
      <c r="JRX311" s="35"/>
      <c r="JRY311" s="15"/>
      <c r="JSA311" s="13"/>
      <c r="JSB311" s="35"/>
      <c r="JSC311" s="35"/>
      <c r="JSD311" s="15"/>
      <c r="JSF311" s="13"/>
      <c r="JSG311" s="35"/>
      <c r="JSH311" s="35"/>
      <c r="JSI311" s="15"/>
      <c r="JSK311" s="13"/>
      <c r="JSL311" s="35"/>
      <c r="JSM311" s="35"/>
      <c r="JSN311" s="15"/>
      <c r="JSP311" s="13"/>
      <c r="JSQ311" s="35"/>
      <c r="JSR311" s="35"/>
      <c r="JSS311" s="15"/>
      <c r="JSU311" s="13"/>
      <c r="JSV311" s="35"/>
      <c r="JSW311" s="35"/>
      <c r="JSX311" s="15"/>
      <c r="JSZ311" s="13"/>
      <c r="JTA311" s="35"/>
      <c r="JTB311" s="35"/>
      <c r="JTC311" s="15"/>
      <c r="JTE311" s="13"/>
      <c r="JTF311" s="35"/>
      <c r="JTG311" s="35"/>
      <c r="JTH311" s="15"/>
      <c r="JTJ311" s="13"/>
      <c r="JTK311" s="35"/>
      <c r="JTL311" s="35"/>
      <c r="JTM311" s="15"/>
      <c r="JTO311" s="13"/>
      <c r="JTP311" s="35"/>
      <c r="JTQ311" s="35"/>
      <c r="JTR311" s="15"/>
      <c r="JTT311" s="13"/>
      <c r="JTU311" s="35"/>
      <c r="JTV311" s="35"/>
      <c r="JTW311" s="15"/>
      <c r="JTY311" s="13"/>
      <c r="JTZ311" s="35"/>
      <c r="JUA311" s="35"/>
      <c r="JUB311" s="15"/>
      <c r="JUD311" s="13"/>
      <c r="JUE311" s="35"/>
      <c r="JUF311" s="35"/>
      <c r="JUG311" s="15"/>
      <c r="JUI311" s="13"/>
      <c r="JUJ311" s="35"/>
      <c r="JUK311" s="35"/>
      <c r="JUL311" s="15"/>
      <c r="JUN311" s="13"/>
      <c r="JUO311" s="35"/>
      <c r="JUP311" s="35"/>
      <c r="JUQ311" s="15"/>
      <c r="JUS311" s="13"/>
      <c r="JUT311" s="35"/>
      <c r="JUU311" s="35"/>
      <c r="JUV311" s="15"/>
      <c r="JUX311" s="13"/>
      <c r="JUY311" s="35"/>
      <c r="JUZ311" s="35"/>
      <c r="JVA311" s="15"/>
      <c r="JVC311" s="13"/>
      <c r="JVD311" s="35"/>
      <c r="JVE311" s="35"/>
      <c r="JVF311" s="15"/>
      <c r="JVH311" s="13"/>
      <c r="JVI311" s="35"/>
      <c r="JVJ311" s="35"/>
      <c r="JVK311" s="15"/>
      <c r="JVM311" s="13"/>
      <c r="JVN311" s="35"/>
      <c r="JVO311" s="35"/>
      <c r="JVP311" s="15"/>
      <c r="JVR311" s="13"/>
      <c r="JVS311" s="35"/>
      <c r="JVT311" s="35"/>
      <c r="JVU311" s="15"/>
      <c r="JVW311" s="13"/>
      <c r="JVX311" s="35"/>
      <c r="JVY311" s="35"/>
      <c r="JVZ311" s="15"/>
      <c r="JWB311" s="13"/>
      <c r="JWC311" s="35"/>
      <c r="JWD311" s="35"/>
      <c r="JWE311" s="15"/>
      <c r="JWG311" s="13"/>
      <c r="JWH311" s="35"/>
      <c r="JWI311" s="35"/>
      <c r="JWJ311" s="15"/>
      <c r="JWL311" s="13"/>
      <c r="JWM311" s="35"/>
      <c r="JWN311" s="35"/>
      <c r="JWO311" s="15"/>
      <c r="JWQ311" s="13"/>
      <c r="JWR311" s="35"/>
      <c r="JWS311" s="35"/>
      <c r="JWT311" s="15"/>
      <c r="JWV311" s="13"/>
      <c r="JWW311" s="35"/>
      <c r="JWX311" s="35"/>
      <c r="JWY311" s="15"/>
      <c r="JXA311" s="13"/>
      <c r="JXB311" s="35"/>
      <c r="JXC311" s="35"/>
      <c r="JXD311" s="15"/>
      <c r="JXF311" s="13"/>
      <c r="JXG311" s="35"/>
      <c r="JXH311" s="35"/>
      <c r="JXI311" s="15"/>
      <c r="JXK311" s="13"/>
      <c r="JXL311" s="35"/>
      <c r="JXM311" s="35"/>
      <c r="JXN311" s="15"/>
      <c r="JXP311" s="13"/>
      <c r="JXQ311" s="35"/>
      <c r="JXR311" s="35"/>
      <c r="JXS311" s="15"/>
      <c r="JXU311" s="13"/>
      <c r="JXV311" s="35"/>
      <c r="JXW311" s="35"/>
      <c r="JXX311" s="15"/>
      <c r="JXZ311" s="13"/>
      <c r="JYA311" s="35"/>
      <c r="JYB311" s="35"/>
      <c r="JYC311" s="15"/>
      <c r="JYE311" s="13"/>
      <c r="JYF311" s="35"/>
      <c r="JYG311" s="35"/>
      <c r="JYH311" s="15"/>
      <c r="JYJ311" s="13"/>
      <c r="JYK311" s="35"/>
      <c r="JYL311" s="35"/>
      <c r="JYM311" s="15"/>
      <c r="JYO311" s="13"/>
      <c r="JYP311" s="35"/>
      <c r="JYQ311" s="35"/>
      <c r="JYR311" s="15"/>
      <c r="JYT311" s="13"/>
      <c r="JYU311" s="35"/>
      <c r="JYV311" s="35"/>
      <c r="JYW311" s="15"/>
      <c r="JYY311" s="13"/>
      <c r="JYZ311" s="35"/>
      <c r="JZA311" s="35"/>
      <c r="JZB311" s="15"/>
      <c r="JZD311" s="13"/>
      <c r="JZE311" s="35"/>
      <c r="JZF311" s="35"/>
      <c r="JZG311" s="15"/>
      <c r="JZI311" s="13"/>
      <c r="JZJ311" s="35"/>
      <c r="JZK311" s="35"/>
      <c r="JZL311" s="15"/>
      <c r="JZN311" s="13"/>
      <c r="JZO311" s="35"/>
      <c r="JZP311" s="35"/>
      <c r="JZQ311" s="15"/>
      <c r="JZS311" s="13"/>
      <c r="JZT311" s="35"/>
      <c r="JZU311" s="35"/>
      <c r="JZV311" s="15"/>
      <c r="JZX311" s="13"/>
      <c r="JZY311" s="35"/>
      <c r="JZZ311" s="35"/>
      <c r="KAA311" s="15"/>
      <c r="KAC311" s="13"/>
      <c r="KAD311" s="35"/>
      <c r="KAE311" s="35"/>
      <c r="KAF311" s="15"/>
      <c r="KAH311" s="13"/>
      <c r="KAI311" s="35"/>
      <c r="KAJ311" s="35"/>
      <c r="KAK311" s="15"/>
      <c r="KAM311" s="13"/>
      <c r="KAN311" s="35"/>
      <c r="KAO311" s="35"/>
      <c r="KAP311" s="15"/>
      <c r="KAR311" s="13"/>
      <c r="KAS311" s="35"/>
      <c r="KAT311" s="35"/>
      <c r="KAU311" s="15"/>
      <c r="KAW311" s="13"/>
      <c r="KAX311" s="35"/>
      <c r="KAY311" s="35"/>
      <c r="KAZ311" s="15"/>
      <c r="KBB311" s="13"/>
      <c r="KBC311" s="35"/>
      <c r="KBD311" s="35"/>
      <c r="KBE311" s="15"/>
      <c r="KBG311" s="13"/>
      <c r="KBH311" s="35"/>
      <c r="KBI311" s="35"/>
      <c r="KBJ311" s="15"/>
      <c r="KBL311" s="13"/>
      <c r="KBM311" s="35"/>
      <c r="KBN311" s="35"/>
      <c r="KBO311" s="15"/>
      <c r="KBQ311" s="13"/>
      <c r="KBR311" s="35"/>
      <c r="KBS311" s="35"/>
      <c r="KBT311" s="15"/>
      <c r="KBV311" s="13"/>
      <c r="KBW311" s="35"/>
      <c r="KBX311" s="35"/>
      <c r="KBY311" s="15"/>
      <c r="KCA311" s="13"/>
      <c r="KCB311" s="35"/>
      <c r="KCC311" s="35"/>
      <c r="KCD311" s="15"/>
      <c r="KCF311" s="13"/>
      <c r="KCG311" s="35"/>
      <c r="KCH311" s="35"/>
      <c r="KCI311" s="15"/>
      <c r="KCK311" s="13"/>
      <c r="KCL311" s="35"/>
      <c r="KCM311" s="35"/>
      <c r="KCN311" s="15"/>
      <c r="KCP311" s="13"/>
      <c r="KCQ311" s="35"/>
      <c r="KCR311" s="35"/>
      <c r="KCS311" s="15"/>
      <c r="KCU311" s="13"/>
      <c r="KCV311" s="35"/>
      <c r="KCW311" s="35"/>
      <c r="KCX311" s="15"/>
      <c r="KCZ311" s="13"/>
      <c r="KDA311" s="35"/>
      <c r="KDB311" s="35"/>
      <c r="KDC311" s="15"/>
      <c r="KDE311" s="13"/>
      <c r="KDF311" s="35"/>
      <c r="KDG311" s="35"/>
      <c r="KDH311" s="15"/>
      <c r="KDJ311" s="13"/>
      <c r="KDK311" s="35"/>
      <c r="KDL311" s="35"/>
      <c r="KDM311" s="15"/>
      <c r="KDO311" s="13"/>
      <c r="KDP311" s="35"/>
      <c r="KDQ311" s="35"/>
      <c r="KDR311" s="15"/>
      <c r="KDT311" s="13"/>
      <c r="KDU311" s="35"/>
      <c r="KDV311" s="35"/>
      <c r="KDW311" s="15"/>
      <c r="KDY311" s="13"/>
      <c r="KDZ311" s="35"/>
      <c r="KEA311" s="35"/>
      <c r="KEB311" s="15"/>
      <c r="KED311" s="13"/>
      <c r="KEE311" s="35"/>
      <c r="KEF311" s="35"/>
      <c r="KEG311" s="15"/>
      <c r="KEI311" s="13"/>
      <c r="KEJ311" s="35"/>
      <c r="KEK311" s="35"/>
      <c r="KEL311" s="15"/>
      <c r="KEN311" s="13"/>
      <c r="KEO311" s="35"/>
      <c r="KEP311" s="35"/>
      <c r="KEQ311" s="15"/>
      <c r="KES311" s="13"/>
      <c r="KET311" s="35"/>
      <c r="KEU311" s="35"/>
      <c r="KEV311" s="15"/>
      <c r="KEX311" s="13"/>
      <c r="KEY311" s="35"/>
      <c r="KEZ311" s="35"/>
      <c r="KFA311" s="15"/>
      <c r="KFC311" s="13"/>
      <c r="KFD311" s="35"/>
      <c r="KFE311" s="35"/>
      <c r="KFF311" s="15"/>
      <c r="KFH311" s="13"/>
      <c r="KFI311" s="35"/>
      <c r="KFJ311" s="35"/>
      <c r="KFK311" s="15"/>
      <c r="KFM311" s="13"/>
      <c r="KFN311" s="35"/>
      <c r="KFO311" s="35"/>
      <c r="KFP311" s="15"/>
      <c r="KFR311" s="13"/>
      <c r="KFS311" s="35"/>
      <c r="KFT311" s="35"/>
      <c r="KFU311" s="15"/>
      <c r="KFW311" s="13"/>
      <c r="KFX311" s="35"/>
      <c r="KFY311" s="35"/>
      <c r="KFZ311" s="15"/>
      <c r="KGB311" s="13"/>
      <c r="KGC311" s="35"/>
      <c r="KGD311" s="35"/>
      <c r="KGE311" s="15"/>
      <c r="KGG311" s="13"/>
      <c r="KGH311" s="35"/>
      <c r="KGI311" s="35"/>
      <c r="KGJ311" s="15"/>
      <c r="KGL311" s="13"/>
      <c r="KGM311" s="35"/>
      <c r="KGN311" s="35"/>
      <c r="KGO311" s="15"/>
      <c r="KGQ311" s="13"/>
      <c r="KGR311" s="35"/>
      <c r="KGS311" s="35"/>
      <c r="KGT311" s="15"/>
      <c r="KGV311" s="13"/>
      <c r="KGW311" s="35"/>
      <c r="KGX311" s="35"/>
      <c r="KGY311" s="15"/>
      <c r="KHA311" s="13"/>
      <c r="KHB311" s="35"/>
      <c r="KHC311" s="35"/>
      <c r="KHD311" s="15"/>
      <c r="KHF311" s="13"/>
      <c r="KHG311" s="35"/>
      <c r="KHH311" s="35"/>
      <c r="KHI311" s="15"/>
      <c r="KHK311" s="13"/>
      <c r="KHL311" s="35"/>
      <c r="KHM311" s="35"/>
      <c r="KHN311" s="15"/>
      <c r="KHP311" s="13"/>
      <c r="KHQ311" s="35"/>
      <c r="KHR311" s="35"/>
      <c r="KHS311" s="15"/>
      <c r="KHU311" s="13"/>
      <c r="KHV311" s="35"/>
      <c r="KHW311" s="35"/>
      <c r="KHX311" s="15"/>
      <c r="KHZ311" s="13"/>
      <c r="KIA311" s="35"/>
      <c r="KIB311" s="35"/>
      <c r="KIC311" s="15"/>
      <c r="KIE311" s="13"/>
      <c r="KIF311" s="35"/>
      <c r="KIG311" s="35"/>
      <c r="KIH311" s="15"/>
      <c r="KIJ311" s="13"/>
      <c r="KIK311" s="35"/>
      <c r="KIL311" s="35"/>
      <c r="KIM311" s="15"/>
      <c r="KIO311" s="13"/>
      <c r="KIP311" s="35"/>
      <c r="KIQ311" s="35"/>
      <c r="KIR311" s="15"/>
      <c r="KIT311" s="13"/>
      <c r="KIU311" s="35"/>
      <c r="KIV311" s="35"/>
      <c r="KIW311" s="15"/>
      <c r="KIY311" s="13"/>
      <c r="KIZ311" s="35"/>
      <c r="KJA311" s="35"/>
      <c r="KJB311" s="15"/>
      <c r="KJD311" s="13"/>
      <c r="KJE311" s="35"/>
      <c r="KJF311" s="35"/>
      <c r="KJG311" s="15"/>
      <c r="KJI311" s="13"/>
      <c r="KJJ311" s="35"/>
      <c r="KJK311" s="35"/>
      <c r="KJL311" s="15"/>
      <c r="KJN311" s="13"/>
      <c r="KJO311" s="35"/>
      <c r="KJP311" s="35"/>
      <c r="KJQ311" s="15"/>
      <c r="KJS311" s="13"/>
      <c r="KJT311" s="35"/>
      <c r="KJU311" s="35"/>
      <c r="KJV311" s="15"/>
      <c r="KJX311" s="13"/>
      <c r="KJY311" s="35"/>
      <c r="KJZ311" s="35"/>
      <c r="KKA311" s="15"/>
      <c r="KKC311" s="13"/>
      <c r="KKD311" s="35"/>
      <c r="KKE311" s="35"/>
      <c r="KKF311" s="15"/>
      <c r="KKH311" s="13"/>
      <c r="KKI311" s="35"/>
      <c r="KKJ311" s="35"/>
      <c r="KKK311" s="15"/>
      <c r="KKM311" s="13"/>
      <c r="KKN311" s="35"/>
      <c r="KKO311" s="35"/>
      <c r="KKP311" s="15"/>
      <c r="KKR311" s="13"/>
      <c r="KKS311" s="35"/>
      <c r="KKT311" s="35"/>
      <c r="KKU311" s="15"/>
      <c r="KKW311" s="13"/>
      <c r="KKX311" s="35"/>
      <c r="KKY311" s="35"/>
      <c r="KKZ311" s="15"/>
      <c r="KLB311" s="13"/>
      <c r="KLC311" s="35"/>
      <c r="KLD311" s="35"/>
      <c r="KLE311" s="15"/>
      <c r="KLG311" s="13"/>
      <c r="KLH311" s="35"/>
      <c r="KLI311" s="35"/>
      <c r="KLJ311" s="15"/>
      <c r="KLL311" s="13"/>
      <c r="KLM311" s="35"/>
      <c r="KLN311" s="35"/>
      <c r="KLO311" s="15"/>
      <c r="KLQ311" s="13"/>
      <c r="KLR311" s="35"/>
      <c r="KLS311" s="35"/>
      <c r="KLT311" s="15"/>
      <c r="KLV311" s="13"/>
      <c r="KLW311" s="35"/>
      <c r="KLX311" s="35"/>
      <c r="KLY311" s="15"/>
      <c r="KMA311" s="13"/>
      <c r="KMB311" s="35"/>
      <c r="KMC311" s="35"/>
      <c r="KMD311" s="15"/>
      <c r="KMF311" s="13"/>
      <c r="KMG311" s="35"/>
      <c r="KMH311" s="35"/>
      <c r="KMI311" s="15"/>
      <c r="KMK311" s="13"/>
      <c r="KML311" s="35"/>
      <c r="KMM311" s="35"/>
      <c r="KMN311" s="15"/>
      <c r="KMP311" s="13"/>
      <c r="KMQ311" s="35"/>
      <c r="KMR311" s="35"/>
      <c r="KMS311" s="15"/>
      <c r="KMU311" s="13"/>
      <c r="KMV311" s="35"/>
      <c r="KMW311" s="35"/>
      <c r="KMX311" s="15"/>
      <c r="KMZ311" s="13"/>
      <c r="KNA311" s="35"/>
      <c r="KNB311" s="35"/>
      <c r="KNC311" s="15"/>
      <c r="KNE311" s="13"/>
      <c r="KNF311" s="35"/>
      <c r="KNG311" s="35"/>
      <c r="KNH311" s="15"/>
      <c r="KNJ311" s="13"/>
      <c r="KNK311" s="35"/>
      <c r="KNL311" s="35"/>
      <c r="KNM311" s="15"/>
      <c r="KNO311" s="13"/>
      <c r="KNP311" s="35"/>
      <c r="KNQ311" s="35"/>
      <c r="KNR311" s="15"/>
      <c r="KNT311" s="13"/>
      <c r="KNU311" s="35"/>
      <c r="KNV311" s="35"/>
      <c r="KNW311" s="15"/>
      <c r="KNY311" s="13"/>
      <c r="KNZ311" s="35"/>
      <c r="KOA311" s="35"/>
      <c r="KOB311" s="15"/>
      <c r="KOD311" s="13"/>
      <c r="KOE311" s="35"/>
      <c r="KOF311" s="35"/>
      <c r="KOG311" s="15"/>
      <c r="KOI311" s="13"/>
      <c r="KOJ311" s="35"/>
      <c r="KOK311" s="35"/>
      <c r="KOL311" s="15"/>
      <c r="KON311" s="13"/>
      <c r="KOO311" s="35"/>
      <c r="KOP311" s="35"/>
      <c r="KOQ311" s="15"/>
      <c r="KOS311" s="13"/>
      <c r="KOT311" s="35"/>
      <c r="KOU311" s="35"/>
      <c r="KOV311" s="15"/>
      <c r="KOX311" s="13"/>
      <c r="KOY311" s="35"/>
      <c r="KOZ311" s="35"/>
      <c r="KPA311" s="15"/>
      <c r="KPC311" s="13"/>
      <c r="KPD311" s="35"/>
      <c r="KPE311" s="35"/>
      <c r="KPF311" s="15"/>
      <c r="KPH311" s="13"/>
      <c r="KPI311" s="35"/>
      <c r="KPJ311" s="35"/>
      <c r="KPK311" s="15"/>
      <c r="KPM311" s="13"/>
      <c r="KPN311" s="35"/>
      <c r="KPO311" s="35"/>
      <c r="KPP311" s="15"/>
      <c r="KPR311" s="13"/>
      <c r="KPS311" s="35"/>
      <c r="KPT311" s="35"/>
      <c r="KPU311" s="15"/>
      <c r="KPW311" s="13"/>
      <c r="KPX311" s="35"/>
      <c r="KPY311" s="35"/>
      <c r="KPZ311" s="15"/>
      <c r="KQB311" s="13"/>
      <c r="KQC311" s="35"/>
      <c r="KQD311" s="35"/>
      <c r="KQE311" s="15"/>
      <c r="KQG311" s="13"/>
      <c r="KQH311" s="35"/>
      <c r="KQI311" s="35"/>
      <c r="KQJ311" s="15"/>
      <c r="KQL311" s="13"/>
      <c r="KQM311" s="35"/>
      <c r="KQN311" s="35"/>
      <c r="KQO311" s="15"/>
      <c r="KQQ311" s="13"/>
      <c r="KQR311" s="35"/>
      <c r="KQS311" s="35"/>
      <c r="KQT311" s="15"/>
      <c r="KQV311" s="13"/>
      <c r="KQW311" s="35"/>
      <c r="KQX311" s="35"/>
      <c r="KQY311" s="15"/>
      <c r="KRA311" s="13"/>
      <c r="KRB311" s="35"/>
      <c r="KRC311" s="35"/>
      <c r="KRD311" s="15"/>
      <c r="KRF311" s="13"/>
      <c r="KRG311" s="35"/>
      <c r="KRH311" s="35"/>
      <c r="KRI311" s="15"/>
      <c r="KRK311" s="13"/>
      <c r="KRL311" s="35"/>
      <c r="KRM311" s="35"/>
      <c r="KRN311" s="15"/>
      <c r="KRP311" s="13"/>
      <c r="KRQ311" s="35"/>
      <c r="KRR311" s="35"/>
      <c r="KRS311" s="15"/>
      <c r="KRU311" s="13"/>
      <c r="KRV311" s="35"/>
      <c r="KRW311" s="35"/>
      <c r="KRX311" s="15"/>
      <c r="KRZ311" s="13"/>
      <c r="KSA311" s="35"/>
      <c r="KSB311" s="35"/>
      <c r="KSC311" s="15"/>
      <c r="KSE311" s="13"/>
      <c r="KSF311" s="35"/>
      <c r="KSG311" s="35"/>
      <c r="KSH311" s="15"/>
      <c r="KSJ311" s="13"/>
      <c r="KSK311" s="35"/>
      <c r="KSL311" s="35"/>
      <c r="KSM311" s="15"/>
      <c r="KSO311" s="13"/>
      <c r="KSP311" s="35"/>
      <c r="KSQ311" s="35"/>
      <c r="KSR311" s="15"/>
      <c r="KST311" s="13"/>
      <c r="KSU311" s="35"/>
      <c r="KSV311" s="35"/>
      <c r="KSW311" s="15"/>
      <c r="KSY311" s="13"/>
      <c r="KSZ311" s="35"/>
      <c r="KTA311" s="35"/>
      <c r="KTB311" s="15"/>
      <c r="KTD311" s="13"/>
      <c r="KTE311" s="35"/>
      <c r="KTF311" s="35"/>
      <c r="KTG311" s="15"/>
      <c r="KTI311" s="13"/>
      <c r="KTJ311" s="35"/>
      <c r="KTK311" s="35"/>
      <c r="KTL311" s="15"/>
      <c r="KTN311" s="13"/>
      <c r="KTO311" s="35"/>
      <c r="KTP311" s="35"/>
      <c r="KTQ311" s="15"/>
      <c r="KTS311" s="13"/>
      <c r="KTT311" s="35"/>
      <c r="KTU311" s="35"/>
      <c r="KTV311" s="15"/>
      <c r="KTX311" s="13"/>
      <c r="KTY311" s="35"/>
      <c r="KTZ311" s="35"/>
      <c r="KUA311" s="15"/>
      <c r="KUC311" s="13"/>
      <c r="KUD311" s="35"/>
      <c r="KUE311" s="35"/>
      <c r="KUF311" s="15"/>
      <c r="KUH311" s="13"/>
      <c r="KUI311" s="35"/>
      <c r="KUJ311" s="35"/>
      <c r="KUK311" s="15"/>
      <c r="KUM311" s="13"/>
      <c r="KUN311" s="35"/>
      <c r="KUO311" s="35"/>
      <c r="KUP311" s="15"/>
      <c r="KUR311" s="13"/>
      <c r="KUS311" s="35"/>
      <c r="KUT311" s="35"/>
      <c r="KUU311" s="15"/>
      <c r="KUW311" s="13"/>
      <c r="KUX311" s="35"/>
      <c r="KUY311" s="35"/>
      <c r="KUZ311" s="15"/>
      <c r="KVB311" s="13"/>
      <c r="KVC311" s="35"/>
      <c r="KVD311" s="35"/>
      <c r="KVE311" s="15"/>
      <c r="KVG311" s="13"/>
      <c r="KVH311" s="35"/>
      <c r="KVI311" s="35"/>
      <c r="KVJ311" s="15"/>
      <c r="KVL311" s="13"/>
      <c r="KVM311" s="35"/>
      <c r="KVN311" s="35"/>
      <c r="KVO311" s="15"/>
      <c r="KVQ311" s="13"/>
      <c r="KVR311" s="35"/>
      <c r="KVS311" s="35"/>
      <c r="KVT311" s="15"/>
      <c r="KVV311" s="13"/>
      <c r="KVW311" s="35"/>
      <c r="KVX311" s="35"/>
      <c r="KVY311" s="15"/>
      <c r="KWA311" s="13"/>
      <c r="KWB311" s="35"/>
      <c r="KWC311" s="35"/>
      <c r="KWD311" s="15"/>
      <c r="KWF311" s="13"/>
      <c r="KWG311" s="35"/>
      <c r="KWH311" s="35"/>
      <c r="KWI311" s="15"/>
      <c r="KWK311" s="13"/>
      <c r="KWL311" s="35"/>
      <c r="KWM311" s="35"/>
      <c r="KWN311" s="15"/>
      <c r="KWP311" s="13"/>
      <c r="KWQ311" s="35"/>
      <c r="KWR311" s="35"/>
      <c r="KWS311" s="15"/>
      <c r="KWU311" s="13"/>
      <c r="KWV311" s="35"/>
      <c r="KWW311" s="35"/>
      <c r="KWX311" s="15"/>
      <c r="KWZ311" s="13"/>
      <c r="KXA311" s="35"/>
      <c r="KXB311" s="35"/>
      <c r="KXC311" s="15"/>
      <c r="KXE311" s="13"/>
      <c r="KXF311" s="35"/>
      <c r="KXG311" s="35"/>
      <c r="KXH311" s="15"/>
      <c r="KXJ311" s="13"/>
      <c r="KXK311" s="35"/>
      <c r="KXL311" s="35"/>
      <c r="KXM311" s="15"/>
      <c r="KXO311" s="13"/>
      <c r="KXP311" s="35"/>
      <c r="KXQ311" s="35"/>
      <c r="KXR311" s="15"/>
      <c r="KXT311" s="13"/>
      <c r="KXU311" s="35"/>
      <c r="KXV311" s="35"/>
      <c r="KXW311" s="15"/>
      <c r="KXY311" s="13"/>
      <c r="KXZ311" s="35"/>
      <c r="KYA311" s="35"/>
      <c r="KYB311" s="15"/>
      <c r="KYD311" s="13"/>
      <c r="KYE311" s="35"/>
      <c r="KYF311" s="35"/>
      <c r="KYG311" s="15"/>
      <c r="KYI311" s="13"/>
      <c r="KYJ311" s="35"/>
      <c r="KYK311" s="35"/>
      <c r="KYL311" s="15"/>
      <c r="KYN311" s="13"/>
      <c r="KYO311" s="35"/>
      <c r="KYP311" s="35"/>
      <c r="KYQ311" s="15"/>
      <c r="KYS311" s="13"/>
      <c r="KYT311" s="35"/>
      <c r="KYU311" s="35"/>
      <c r="KYV311" s="15"/>
      <c r="KYX311" s="13"/>
      <c r="KYY311" s="35"/>
      <c r="KYZ311" s="35"/>
      <c r="KZA311" s="15"/>
      <c r="KZC311" s="13"/>
      <c r="KZD311" s="35"/>
      <c r="KZE311" s="35"/>
      <c r="KZF311" s="15"/>
      <c r="KZH311" s="13"/>
      <c r="KZI311" s="35"/>
      <c r="KZJ311" s="35"/>
      <c r="KZK311" s="15"/>
      <c r="KZM311" s="13"/>
      <c r="KZN311" s="35"/>
      <c r="KZO311" s="35"/>
      <c r="KZP311" s="15"/>
      <c r="KZR311" s="13"/>
      <c r="KZS311" s="35"/>
      <c r="KZT311" s="35"/>
      <c r="KZU311" s="15"/>
      <c r="KZW311" s="13"/>
      <c r="KZX311" s="35"/>
      <c r="KZY311" s="35"/>
      <c r="KZZ311" s="15"/>
      <c r="LAB311" s="13"/>
      <c r="LAC311" s="35"/>
      <c r="LAD311" s="35"/>
      <c r="LAE311" s="15"/>
      <c r="LAG311" s="13"/>
      <c r="LAH311" s="35"/>
      <c r="LAI311" s="35"/>
      <c r="LAJ311" s="15"/>
      <c r="LAL311" s="13"/>
      <c r="LAM311" s="35"/>
      <c r="LAN311" s="35"/>
      <c r="LAO311" s="15"/>
      <c r="LAQ311" s="13"/>
      <c r="LAR311" s="35"/>
      <c r="LAS311" s="35"/>
      <c r="LAT311" s="15"/>
      <c r="LAV311" s="13"/>
      <c r="LAW311" s="35"/>
      <c r="LAX311" s="35"/>
      <c r="LAY311" s="15"/>
      <c r="LBA311" s="13"/>
      <c r="LBB311" s="35"/>
      <c r="LBC311" s="35"/>
      <c r="LBD311" s="15"/>
      <c r="LBF311" s="13"/>
      <c r="LBG311" s="35"/>
      <c r="LBH311" s="35"/>
      <c r="LBI311" s="15"/>
      <c r="LBK311" s="13"/>
      <c r="LBL311" s="35"/>
      <c r="LBM311" s="35"/>
      <c r="LBN311" s="15"/>
      <c r="LBP311" s="13"/>
      <c r="LBQ311" s="35"/>
      <c r="LBR311" s="35"/>
      <c r="LBS311" s="15"/>
      <c r="LBU311" s="13"/>
      <c r="LBV311" s="35"/>
      <c r="LBW311" s="35"/>
      <c r="LBX311" s="15"/>
      <c r="LBZ311" s="13"/>
      <c r="LCA311" s="35"/>
      <c r="LCB311" s="35"/>
      <c r="LCC311" s="15"/>
      <c r="LCE311" s="13"/>
      <c r="LCF311" s="35"/>
      <c r="LCG311" s="35"/>
      <c r="LCH311" s="15"/>
      <c r="LCJ311" s="13"/>
      <c r="LCK311" s="35"/>
      <c r="LCL311" s="35"/>
      <c r="LCM311" s="15"/>
      <c r="LCO311" s="13"/>
      <c r="LCP311" s="35"/>
      <c r="LCQ311" s="35"/>
      <c r="LCR311" s="15"/>
      <c r="LCT311" s="13"/>
      <c r="LCU311" s="35"/>
      <c r="LCV311" s="35"/>
      <c r="LCW311" s="15"/>
      <c r="LCY311" s="13"/>
      <c r="LCZ311" s="35"/>
      <c r="LDA311" s="35"/>
      <c r="LDB311" s="15"/>
      <c r="LDD311" s="13"/>
      <c r="LDE311" s="35"/>
      <c r="LDF311" s="35"/>
      <c r="LDG311" s="15"/>
      <c r="LDI311" s="13"/>
      <c r="LDJ311" s="35"/>
      <c r="LDK311" s="35"/>
      <c r="LDL311" s="15"/>
      <c r="LDN311" s="13"/>
      <c r="LDO311" s="35"/>
      <c r="LDP311" s="35"/>
      <c r="LDQ311" s="15"/>
      <c r="LDS311" s="13"/>
      <c r="LDT311" s="35"/>
      <c r="LDU311" s="35"/>
      <c r="LDV311" s="15"/>
      <c r="LDX311" s="13"/>
      <c r="LDY311" s="35"/>
      <c r="LDZ311" s="35"/>
      <c r="LEA311" s="15"/>
      <c r="LEC311" s="13"/>
      <c r="LED311" s="35"/>
      <c r="LEE311" s="35"/>
      <c r="LEF311" s="15"/>
      <c r="LEH311" s="13"/>
      <c r="LEI311" s="35"/>
      <c r="LEJ311" s="35"/>
      <c r="LEK311" s="15"/>
      <c r="LEM311" s="13"/>
      <c r="LEN311" s="35"/>
      <c r="LEO311" s="35"/>
      <c r="LEP311" s="15"/>
      <c r="LER311" s="13"/>
      <c r="LES311" s="35"/>
      <c r="LET311" s="35"/>
      <c r="LEU311" s="15"/>
      <c r="LEW311" s="13"/>
      <c r="LEX311" s="35"/>
      <c r="LEY311" s="35"/>
      <c r="LEZ311" s="15"/>
      <c r="LFB311" s="13"/>
      <c r="LFC311" s="35"/>
      <c r="LFD311" s="35"/>
      <c r="LFE311" s="15"/>
      <c r="LFG311" s="13"/>
      <c r="LFH311" s="35"/>
      <c r="LFI311" s="35"/>
      <c r="LFJ311" s="15"/>
      <c r="LFL311" s="13"/>
      <c r="LFM311" s="35"/>
      <c r="LFN311" s="35"/>
      <c r="LFO311" s="15"/>
      <c r="LFQ311" s="13"/>
      <c r="LFR311" s="35"/>
      <c r="LFS311" s="35"/>
      <c r="LFT311" s="15"/>
      <c r="LFV311" s="13"/>
      <c r="LFW311" s="35"/>
      <c r="LFX311" s="35"/>
      <c r="LFY311" s="15"/>
      <c r="LGA311" s="13"/>
      <c r="LGB311" s="35"/>
      <c r="LGC311" s="35"/>
      <c r="LGD311" s="15"/>
      <c r="LGF311" s="13"/>
      <c r="LGG311" s="35"/>
      <c r="LGH311" s="35"/>
      <c r="LGI311" s="15"/>
      <c r="LGK311" s="13"/>
      <c r="LGL311" s="35"/>
      <c r="LGM311" s="35"/>
      <c r="LGN311" s="15"/>
      <c r="LGP311" s="13"/>
      <c r="LGQ311" s="35"/>
      <c r="LGR311" s="35"/>
      <c r="LGS311" s="15"/>
      <c r="LGU311" s="13"/>
      <c r="LGV311" s="35"/>
      <c r="LGW311" s="35"/>
      <c r="LGX311" s="15"/>
      <c r="LGZ311" s="13"/>
      <c r="LHA311" s="35"/>
      <c r="LHB311" s="35"/>
      <c r="LHC311" s="15"/>
      <c r="LHE311" s="13"/>
      <c r="LHF311" s="35"/>
      <c r="LHG311" s="35"/>
      <c r="LHH311" s="15"/>
      <c r="LHJ311" s="13"/>
      <c r="LHK311" s="35"/>
      <c r="LHL311" s="35"/>
      <c r="LHM311" s="15"/>
      <c r="LHO311" s="13"/>
      <c r="LHP311" s="35"/>
      <c r="LHQ311" s="35"/>
      <c r="LHR311" s="15"/>
      <c r="LHT311" s="13"/>
      <c r="LHU311" s="35"/>
      <c r="LHV311" s="35"/>
      <c r="LHW311" s="15"/>
      <c r="LHY311" s="13"/>
      <c r="LHZ311" s="35"/>
      <c r="LIA311" s="35"/>
      <c r="LIB311" s="15"/>
      <c r="LID311" s="13"/>
      <c r="LIE311" s="35"/>
      <c r="LIF311" s="35"/>
      <c r="LIG311" s="15"/>
      <c r="LII311" s="13"/>
      <c r="LIJ311" s="35"/>
      <c r="LIK311" s="35"/>
      <c r="LIL311" s="15"/>
      <c r="LIN311" s="13"/>
      <c r="LIO311" s="35"/>
      <c r="LIP311" s="35"/>
      <c r="LIQ311" s="15"/>
      <c r="LIS311" s="13"/>
      <c r="LIT311" s="35"/>
      <c r="LIU311" s="35"/>
      <c r="LIV311" s="15"/>
      <c r="LIX311" s="13"/>
      <c r="LIY311" s="35"/>
      <c r="LIZ311" s="35"/>
      <c r="LJA311" s="15"/>
      <c r="LJC311" s="13"/>
      <c r="LJD311" s="35"/>
      <c r="LJE311" s="35"/>
      <c r="LJF311" s="15"/>
      <c r="LJH311" s="13"/>
      <c r="LJI311" s="35"/>
      <c r="LJJ311" s="35"/>
      <c r="LJK311" s="15"/>
      <c r="LJM311" s="13"/>
      <c r="LJN311" s="35"/>
      <c r="LJO311" s="35"/>
      <c r="LJP311" s="15"/>
      <c r="LJR311" s="13"/>
      <c r="LJS311" s="35"/>
      <c r="LJT311" s="35"/>
      <c r="LJU311" s="15"/>
      <c r="LJW311" s="13"/>
      <c r="LJX311" s="35"/>
      <c r="LJY311" s="35"/>
      <c r="LJZ311" s="15"/>
      <c r="LKB311" s="13"/>
      <c r="LKC311" s="35"/>
      <c r="LKD311" s="35"/>
      <c r="LKE311" s="15"/>
      <c r="LKG311" s="13"/>
      <c r="LKH311" s="35"/>
      <c r="LKI311" s="35"/>
      <c r="LKJ311" s="15"/>
      <c r="LKL311" s="13"/>
      <c r="LKM311" s="35"/>
      <c r="LKN311" s="35"/>
      <c r="LKO311" s="15"/>
      <c r="LKQ311" s="13"/>
      <c r="LKR311" s="35"/>
      <c r="LKS311" s="35"/>
      <c r="LKT311" s="15"/>
      <c r="LKV311" s="13"/>
      <c r="LKW311" s="35"/>
      <c r="LKX311" s="35"/>
      <c r="LKY311" s="15"/>
      <c r="LLA311" s="13"/>
      <c r="LLB311" s="35"/>
      <c r="LLC311" s="35"/>
      <c r="LLD311" s="15"/>
      <c r="LLF311" s="13"/>
      <c r="LLG311" s="35"/>
      <c r="LLH311" s="35"/>
      <c r="LLI311" s="15"/>
      <c r="LLK311" s="13"/>
      <c r="LLL311" s="35"/>
      <c r="LLM311" s="35"/>
      <c r="LLN311" s="15"/>
      <c r="LLP311" s="13"/>
      <c r="LLQ311" s="35"/>
      <c r="LLR311" s="35"/>
      <c r="LLS311" s="15"/>
      <c r="LLU311" s="13"/>
      <c r="LLV311" s="35"/>
      <c r="LLW311" s="35"/>
      <c r="LLX311" s="15"/>
      <c r="LLZ311" s="13"/>
      <c r="LMA311" s="35"/>
      <c r="LMB311" s="35"/>
      <c r="LMC311" s="15"/>
      <c r="LME311" s="13"/>
      <c r="LMF311" s="35"/>
      <c r="LMG311" s="35"/>
      <c r="LMH311" s="15"/>
      <c r="LMJ311" s="13"/>
      <c r="LMK311" s="35"/>
      <c r="LML311" s="35"/>
      <c r="LMM311" s="15"/>
      <c r="LMO311" s="13"/>
      <c r="LMP311" s="35"/>
      <c r="LMQ311" s="35"/>
      <c r="LMR311" s="15"/>
      <c r="LMT311" s="13"/>
      <c r="LMU311" s="35"/>
      <c r="LMV311" s="35"/>
      <c r="LMW311" s="15"/>
      <c r="LMY311" s="13"/>
      <c r="LMZ311" s="35"/>
      <c r="LNA311" s="35"/>
      <c r="LNB311" s="15"/>
      <c r="LND311" s="13"/>
      <c r="LNE311" s="35"/>
      <c r="LNF311" s="35"/>
      <c r="LNG311" s="15"/>
      <c r="LNI311" s="13"/>
      <c r="LNJ311" s="35"/>
      <c r="LNK311" s="35"/>
      <c r="LNL311" s="15"/>
      <c r="LNN311" s="13"/>
      <c r="LNO311" s="35"/>
      <c r="LNP311" s="35"/>
      <c r="LNQ311" s="15"/>
      <c r="LNS311" s="13"/>
      <c r="LNT311" s="35"/>
      <c r="LNU311" s="35"/>
      <c r="LNV311" s="15"/>
      <c r="LNX311" s="13"/>
      <c r="LNY311" s="35"/>
      <c r="LNZ311" s="35"/>
      <c r="LOA311" s="15"/>
      <c r="LOC311" s="13"/>
      <c r="LOD311" s="35"/>
      <c r="LOE311" s="35"/>
      <c r="LOF311" s="15"/>
      <c r="LOH311" s="13"/>
      <c r="LOI311" s="35"/>
      <c r="LOJ311" s="35"/>
      <c r="LOK311" s="15"/>
      <c r="LOM311" s="13"/>
      <c r="LON311" s="35"/>
      <c r="LOO311" s="35"/>
      <c r="LOP311" s="15"/>
      <c r="LOR311" s="13"/>
      <c r="LOS311" s="35"/>
      <c r="LOT311" s="35"/>
      <c r="LOU311" s="15"/>
      <c r="LOW311" s="13"/>
      <c r="LOX311" s="35"/>
      <c r="LOY311" s="35"/>
      <c r="LOZ311" s="15"/>
      <c r="LPB311" s="13"/>
      <c r="LPC311" s="35"/>
      <c r="LPD311" s="35"/>
      <c r="LPE311" s="15"/>
      <c r="LPG311" s="13"/>
      <c r="LPH311" s="35"/>
      <c r="LPI311" s="35"/>
      <c r="LPJ311" s="15"/>
      <c r="LPL311" s="13"/>
      <c r="LPM311" s="35"/>
      <c r="LPN311" s="35"/>
      <c r="LPO311" s="15"/>
      <c r="LPQ311" s="13"/>
      <c r="LPR311" s="35"/>
      <c r="LPS311" s="35"/>
      <c r="LPT311" s="15"/>
      <c r="LPV311" s="13"/>
      <c r="LPW311" s="35"/>
      <c r="LPX311" s="35"/>
      <c r="LPY311" s="15"/>
      <c r="LQA311" s="13"/>
      <c r="LQB311" s="35"/>
      <c r="LQC311" s="35"/>
      <c r="LQD311" s="15"/>
      <c r="LQF311" s="13"/>
      <c r="LQG311" s="35"/>
      <c r="LQH311" s="35"/>
      <c r="LQI311" s="15"/>
      <c r="LQK311" s="13"/>
      <c r="LQL311" s="35"/>
      <c r="LQM311" s="35"/>
      <c r="LQN311" s="15"/>
      <c r="LQP311" s="13"/>
      <c r="LQQ311" s="35"/>
      <c r="LQR311" s="35"/>
      <c r="LQS311" s="15"/>
      <c r="LQU311" s="13"/>
      <c r="LQV311" s="35"/>
      <c r="LQW311" s="35"/>
      <c r="LQX311" s="15"/>
      <c r="LQZ311" s="13"/>
      <c r="LRA311" s="35"/>
      <c r="LRB311" s="35"/>
      <c r="LRC311" s="15"/>
      <c r="LRE311" s="13"/>
      <c r="LRF311" s="35"/>
      <c r="LRG311" s="35"/>
      <c r="LRH311" s="15"/>
      <c r="LRJ311" s="13"/>
      <c r="LRK311" s="35"/>
      <c r="LRL311" s="35"/>
      <c r="LRM311" s="15"/>
      <c r="LRO311" s="13"/>
      <c r="LRP311" s="35"/>
      <c r="LRQ311" s="35"/>
      <c r="LRR311" s="15"/>
      <c r="LRT311" s="13"/>
      <c r="LRU311" s="35"/>
      <c r="LRV311" s="35"/>
      <c r="LRW311" s="15"/>
      <c r="LRY311" s="13"/>
      <c r="LRZ311" s="35"/>
      <c r="LSA311" s="35"/>
      <c r="LSB311" s="15"/>
      <c r="LSD311" s="13"/>
      <c r="LSE311" s="35"/>
      <c r="LSF311" s="35"/>
      <c r="LSG311" s="15"/>
      <c r="LSI311" s="13"/>
      <c r="LSJ311" s="35"/>
      <c r="LSK311" s="35"/>
      <c r="LSL311" s="15"/>
      <c r="LSN311" s="13"/>
      <c r="LSO311" s="35"/>
      <c r="LSP311" s="35"/>
      <c r="LSQ311" s="15"/>
      <c r="LSS311" s="13"/>
      <c r="LST311" s="35"/>
      <c r="LSU311" s="35"/>
      <c r="LSV311" s="15"/>
      <c r="LSX311" s="13"/>
      <c r="LSY311" s="35"/>
      <c r="LSZ311" s="35"/>
      <c r="LTA311" s="15"/>
      <c r="LTC311" s="13"/>
      <c r="LTD311" s="35"/>
      <c r="LTE311" s="35"/>
      <c r="LTF311" s="15"/>
      <c r="LTH311" s="13"/>
      <c r="LTI311" s="35"/>
      <c r="LTJ311" s="35"/>
      <c r="LTK311" s="15"/>
      <c r="LTM311" s="13"/>
      <c r="LTN311" s="35"/>
      <c r="LTO311" s="35"/>
      <c r="LTP311" s="15"/>
      <c r="LTR311" s="13"/>
      <c r="LTS311" s="35"/>
      <c r="LTT311" s="35"/>
      <c r="LTU311" s="15"/>
      <c r="LTW311" s="13"/>
      <c r="LTX311" s="35"/>
      <c r="LTY311" s="35"/>
      <c r="LTZ311" s="15"/>
      <c r="LUB311" s="13"/>
      <c r="LUC311" s="35"/>
      <c r="LUD311" s="35"/>
      <c r="LUE311" s="15"/>
      <c r="LUG311" s="13"/>
      <c r="LUH311" s="35"/>
      <c r="LUI311" s="35"/>
      <c r="LUJ311" s="15"/>
      <c r="LUL311" s="13"/>
      <c r="LUM311" s="35"/>
      <c r="LUN311" s="35"/>
      <c r="LUO311" s="15"/>
      <c r="LUQ311" s="13"/>
      <c r="LUR311" s="35"/>
      <c r="LUS311" s="35"/>
      <c r="LUT311" s="15"/>
      <c r="LUV311" s="13"/>
      <c r="LUW311" s="35"/>
      <c r="LUX311" s="35"/>
      <c r="LUY311" s="15"/>
      <c r="LVA311" s="13"/>
      <c r="LVB311" s="35"/>
      <c r="LVC311" s="35"/>
      <c r="LVD311" s="15"/>
      <c r="LVF311" s="13"/>
      <c r="LVG311" s="35"/>
      <c r="LVH311" s="35"/>
      <c r="LVI311" s="15"/>
      <c r="LVK311" s="13"/>
      <c r="LVL311" s="35"/>
      <c r="LVM311" s="35"/>
      <c r="LVN311" s="15"/>
      <c r="LVP311" s="13"/>
      <c r="LVQ311" s="35"/>
      <c r="LVR311" s="35"/>
      <c r="LVS311" s="15"/>
      <c r="LVU311" s="13"/>
      <c r="LVV311" s="35"/>
      <c r="LVW311" s="35"/>
      <c r="LVX311" s="15"/>
      <c r="LVZ311" s="13"/>
      <c r="LWA311" s="35"/>
      <c r="LWB311" s="35"/>
      <c r="LWC311" s="15"/>
      <c r="LWE311" s="13"/>
      <c r="LWF311" s="35"/>
      <c r="LWG311" s="35"/>
      <c r="LWH311" s="15"/>
      <c r="LWJ311" s="13"/>
      <c r="LWK311" s="35"/>
      <c r="LWL311" s="35"/>
      <c r="LWM311" s="15"/>
      <c r="LWO311" s="13"/>
      <c r="LWP311" s="35"/>
      <c r="LWQ311" s="35"/>
      <c r="LWR311" s="15"/>
      <c r="LWT311" s="13"/>
      <c r="LWU311" s="35"/>
      <c r="LWV311" s="35"/>
      <c r="LWW311" s="15"/>
      <c r="LWY311" s="13"/>
      <c r="LWZ311" s="35"/>
      <c r="LXA311" s="35"/>
      <c r="LXB311" s="15"/>
      <c r="LXD311" s="13"/>
      <c r="LXE311" s="35"/>
      <c r="LXF311" s="35"/>
      <c r="LXG311" s="15"/>
      <c r="LXI311" s="13"/>
      <c r="LXJ311" s="35"/>
      <c r="LXK311" s="35"/>
      <c r="LXL311" s="15"/>
      <c r="LXN311" s="13"/>
      <c r="LXO311" s="35"/>
      <c r="LXP311" s="35"/>
      <c r="LXQ311" s="15"/>
      <c r="LXS311" s="13"/>
      <c r="LXT311" s="35"/>
      <c r="LXU311" s="35"/>
      <c r="LXV311" s="15"/>
      <c r="LXX311" s="13"/>
      <c r="LXY311" s="35"/>
      <c r="LXZ311" s="35"/>
      <c r="LYA311" s="15"/>
      <c r="LYC311" s="13"/>
      <c r="LYD311" s="35"/>
      <c r="LYE311" s="35"/>
      <c r="LYF311" s="15"/>
      <c r="LYH311" s="13"/>
      <c r="LYI311" s="35"/>
      <c r="LYJ311" s="35"/>
      <c r="LYK311" s="15"/>
      <c r="LYM311" s="13"/>
      <c r="LYN311" s="35"/>
      <c r="LYO311" s="35"/>
      <c r="LYP311" s="15"/>
      <c r="LYR311" s="13"/>
      <c r="LYS311" s="35"/>
      <c r="LYT311" s="35"/>
      <c r="LYU311" s="15"/>
      <c r="LYW311" s="13"/>
      <c r="LYX311" s="35"/>
      <c r="LYY311" s="35"/>
      <c r="LYZ311" s="15"/>
      <c r="LZB311" s="13"/>
      <c r="LZC311" s="35"/>
      <c r="LZD311" s="35"/>
      <c r="LZE311" s="15"/>
      <c r="LZG311" s="13"/>
      <c r="LZH311" s="35"/>
      <c r="LZI311" s="35"/>
      <c r="LZJ311" s="15"/>
      <c r="LZL311" s="13"/>
      <c r="LZM311" s="35"/>
      <c r="LZN311" s="35"/>
      <c r="LZO311" s="15"/>
      <c r="LZQ311" s="13"/>
      <c r="LZR311" s="35"/>
      <c r="LZS311" s="35"/>
      <c r="LZT311" s="15"/>
      <c r="LZV311" s="13"/>
      <c r="LZW311" s="35"/>
      <c r="LZX311" s="35"/>
      <c r="LZY311" s="15"/>
      <c r="MAA311" s="13"/>
      <c r="MAB311" s="35"/>
      <c r="MAC311" s="35"/>
      <c r="MAD311" s="15"/>
      <c r="MAF311" s="13"/>
      <c r="MAG311" s="35"/>
      <c r="MAH311" s="35"/>
      <c r="MAI311" s="15"/>
      <c r="MAK311" s="13"/>
      <c r="MAL311" s="35"/>
      <c r="MAM311" s="35"/>
      <c r="MAN311" s="15"/>
      <c r="MAP311" s="13"/>
      <c r="MAQ311" s="35"/>
      <c r="MAR311" s="35"/>
      <c r="MAS311" s="15"/>
      <c r="MAU311" s="13"/>
      <c r="MAV311" s="35"/>
      <c r="MAW311" s="35"/>
      <c r="MAX311" s="15"/>
      <c r="MAZ311" s="13"/>
      <c r="MBA311" s="35"/>
      <c r="MBB311" s="35"/>
      <c r="MBC311" s="15"/>
      <c r="MBE311" s="13"/>
      <c r="MBF311" s="35"/>
      <c r="MBG311" s="35"/>
      <c r="MBH311" s="15"/>
      <c r="MBJ311" s="13"/>
      <c r="MBK311" s="35"/>
      <c r="MBL311" s="35"/>
      <c r="MBM311" s="15"/>
      <c r="MBO311" s="13"/>
      <c r="MBP311" s="35"/>
      <c r="MBQ311" s="35"/>
      <c r="MBR311" s="15"/>
      <c r="MBT311" s="13"/>
      <c r="MBU311" s="35"/>
      <c r="MBV311" s="35"/>
      <c r="MBW311" s="15"/>
      <c r="MBY311" s="13"/>
      <c r="MBZ311" s="35"/>
      <c r="MCA311" s="35"/>
      <c r="MCB311" s="15"/>
      <c r="MCD311" s="13"/>
      <c r="MCE311" s="35"/>
      <c r="MCF311" s="35"/>
      <c r="MCG311" s="15"/>
      <c r="MCI311" s="13"/>
      <c r="MCJ311" s="35"/>
      <c r="MCK311" s="35"/>
      <c r="MCL311" s="15"/>
      <c r="MCN311" s="13"/>
      <c r="MCO311" s="35"/>
      <c r="MCP311" s="35"/>
      <c r="MCQ311" s="15"/>
      <c r="MCS311" s="13"/>
      <c r="MCT311" s="35"/>
      <c r="MCU311" s="35"/>
      <c r="MCV311" s="15"/>
      <c r="MCX311" s="13"/>
      <c r="MCY311" s="35"/>
      <c r="MCZ311" s="35"/>
      <c r="MDA311" s="15"/>
      <c r="MDC311" s="13"/>
      <c r="MDD311" s="35"/>
      <c r="MDE311" s="35"/>
      <c r="MDF311" s="15"/>
      <c r="MDH311" s="13"/>
      <c r="MDI311" s="35"/>
      <c r="MDJ311" s="35"/>
      <c r="MDK311" s="15"/>
      <c r="MDM311" s="13"/>
      <c r="MDN311" s="35"/>
      <c r="MDO311" s="35"/>
      <c r="MDP311" s="15"/>
      <c r="MDR311" s="13"/>
      <c r="MDS311" s="35"/>
      <c r="MDT311" s="35"/>
      <c r="MDU311" s="15"/>
      <c r="MDW311" s="13"/>
      <c r="MDX311" s="35"/>
      <c r="MDY311" s="35"/>
      <c r="MDZ311" s="15"/>
      <c r="MEB311" s="13"/>
      <c r="MEC311" s="35"/>
      <c r="MED311" s="35"/>
      <c r="MEE311" s="15"/>
      <c r="MEG311" s="13"/>
      <c r="MEH311" s="35"/>
      <c r="MEI311" s="35"/>
      <c r="MEJ311" s="15"/>
      <c r="MEL311" s="13"/>
      <c r="MEM311" s="35"/>
      <c r="MEN311" s="35"/>
      <c r="MEO311" s="15"/>
      <c r="MEQ311" s="13"/>
      <c r="MER311" s="35"/>
      <c r="MES311" s="35"/>
      <c r="MET311" s="15"/>
      <c r="MEV311" s="13"/>
      <c r="MEW311" s="35"/>
      <c r="MEX311" s="35"/>
      <c r="MEY311" s="15"/>
      <c r="MFA311" s="13"/>
      <c r="MFB311" s="35"/>
      <c r="MFC311" s="35"/>
      <c r="MFD311" s="15"/>
      <c r="MFF311" s="13"/>
      <c r="MFG311" s="35"/>
      <c r="MFH311" s="35"/>
      <c r="MFI311" s="15"/>
      <c r="MFK311" s="13"/>
      <c r="MFL311" s="35"/>
      <c r="MFM311" s="35"/>
      <c r="MFN311" s="15"/>
      <c r="MFP311" s="13"/>
      <c r="MFQ311" s="35"/>
      <c r="MFR311" s="35"/>
      <c r="MFS311" s="15"/>
      <c r="MFU311" s="13"/>
      <c r="MFV311" s="35"/>
      <c r="MFW311" s="35"/>
      <c r="MFX311" s="15"/>
      <c r="MFZ311" s="13"/>
      <c r="MGA311" s="35"/>
      <c r="MGB311" s="35"/>
      <c r="MGC311" s="15"/>
      <c r="MGE311" s="13"/>
      <c r="MGF311" s="35"/>
      <c r="MGG311" s="35"/>
      <c r="MGH311" s="15"/>
      <c r="MGJ311" s="13"/>
      <c r="MGK311" s="35"/>
      <c r="MGL311" s="35"/>
      <c r="MGM311" s="15"/>
      <c r="MGO311" s="13"/>
      <c r="MGP311" s="35"/>
      <c r="MGQ311" s="35"/>
      <c r="MGR311" s="15"/>
      <c r="MGT311" s="13"/>
      <c r="MGU311" s="35"/>
      <c r="MGV311" s="35"/>
      <c r="MGW311" s="15"/>
      <c r="MGY311" s="13"/>
      <c r="MGZ311" s="35"/>
      <c r="MHA311" s="35"/>
      <c r="MHB311" s="15"/>
      <c r="MHD311" s="13"/>
      <c r="MHE311" s="35"/>
      <c r="MHF311" s="35"/>
      <c r="MHG311" s="15"/>
      <c r="MHI311" s="13"/>
      <c r="MHJ311" s="35"/>
      <c r="MHK311" s="35"/>
      <c r="MHL311" s="15"/>
      <c r="MHN311" s="13"/>
      <c r="MHO311" s="35"/>
      <c r="MHP311" s="35"/>
      <c r="MHQ311" s="15"/>
      <c r="MHS311" s="13"/>
      <c r="MHT311" s="35"/>
      <c r="MHU311" s="35"/>
      <c r="MHV311" s="15"/>
      <c r="MHX311" s="13"/>
      <c r="MHY311" s="35"/>
      <c r="MHZ311" s="35"/>
      <c r="MIA311" s="15"/>
      <c r="MIC311" s="13"/>
      <c r="MID311" s="35"/>
      <c r="MIE311" s="35"/>
      <c r="MIF311" s="15"/>
      <c r="MIH311" s="13"/>
      <c r="MII311" s="35"/>
      <c r="MIJ311" s="35"/>
      <c r="MIK311" s="15"/>
      <c r="MIM311" s="13"/>
      <c r="MIN311" s="35"/>
      <c r="MIO311" s="35"/>
      <c r="MIP311" s="15"/>
      <c r="MIR311" s="13"/>
      <c r="MIS311" s="35"/>
      <c r="MIT311" s="35"/>
      <c r="MIU311" s="15"/>
      <c r="MIW311" s="13"/>
      <c r="MIX311" s="35"/>
      <c r="MIY311" s="35"/>
      <c r="MIZ311" s="15"/>
      <c r="MJB311" s="13"/>
      <c r="MJC311" s="35"/>
      <c r="MJD311" s="35"/>
      <c r="MJE311" s="15"/>
      <c r="MJG311" s="13"/>
      <c r="MJH311" s="35"/>
      <c r="MJI311" s="35"/>
      <c r="MJJ311" s="15"/>
      <c r="MJL311" s="13"/>
      <c r="MJM311" s="35"/>
      <c r="MJN311" s="35"/>
      <c r="MJO311" s="15"/>
      <c r="MJQ311" s="13"/>
      <c r="MJR311" s="35"/>
      <c r="MJS311" s="35"/>
      <c r="MJT311" s="15"/>
      <c r="MJV311" s="13"/>
      <c r="MJW311" s="35"/>
      <c r="MJX311" s="35"/>
      <c r="MJY311" s="15"/>
      <c r="MKA311" s="13"/>
      <c r="MKB311" s="35"/>
      <c r="MKC311" s="35"/>
      <c r="MKD311" s="15"/>
      <c r="MKF311" s="13"/>
      <c r="MKG311" s="35"/>
      <c r="MKH311" s="35"/>
      <c r="MKI311" s="15"/>
      <c r="MKK311" s="13"/>
      <c r="MKL311" s="35"/>
      <c r="MKM311" s="35"/>
      <c r="MKN311" s="15"/>
      <c r="MKP311" s="13"/>
      <c r="MKQ311" s="35"/>
      <c r="MKR311" s="35"/>
      <c r="MKS311" s="15"/>
      <c r="MKU311" s="13"/>
      <c r="MKV311" s="35"/>
      <c r="MKW311" s="35"/>
      <c r="MKX311" s="15"/>
      <c r="MKZ311" s="13"/>
      <c r="MLA311" s="35"/>
      <c r="MLB311" s="35"/>
      <c r="MLC311" s="15"/>
      <c r="MLE311" s="13"/>
      <c r="MLF311" s="35"/>
      <c r="MLG311" s="35"/>
      <c r="MLH311" s="15"/>
      <c r="MLJ311" s="13"/>
      <c r="MLK311" s="35"/>
      <c r="MLL311" s="35"/>
      <c r="MLM311" s="15"/>
      <c r="MLO311" s="13"/>
      <c r="MLP311" s="35"/>
      <c r="MLQ311" s="35"/>
      <c r="MLR311" s="15"/>
      <c r="MLT311" s="13"/>
      <c r="MLU311" s="35"/>
      <c r="MLV311" s="35"/>
      <c r="MLW311" s="15"/>
      <c r="MLY311" s="13"/>
      <c r="MLZ311" s="35"/>
      <c r="MMA311" s="35"/>
      <c r="MMB311" s="15"/>
      <c r="MMD311" s="13"/>
      <c r="MME311" s="35"/>
      <c r="MMF311" s="35"/>
      <c r="MMG311" s="15"/>
      <c r="MMI311" s="13"/>
      <c r="MMJ311" s="35"/>
      <c r="MMK311" s="35"/>
      <c r="MML311" s="15"/>
      <c r="MMN311" s="13"/>
      <c r="MMO311" s="35"/>
      <c r="MMP311" s="35"/>
      <c r="MMQ311" s="15"/>
      <c r="MMS311" s="13"/>
      <c r="MMT311" s="35"/>
      <c r="MMU311" s="35"/>
      <c r="MMV311" s="15"/>
      <c r="MMX311" s="13"/>
      <c r="MMY311" s="35"/>
      <c r="MMZ311" s="35"/>
      <c r="MNA311" s="15"/>
      <c r="MNC311" s="13"/>
      <c r="MND311" s="35"/>
      <c r="MNE311" s="35"/>
      <c r="MNF311" s="15"/>
      <c r="MNH311" s="13"/>
      <c r="MNI311" s="35"/>
      <c r="MNJ311" s="35"/>
      <c r="MNK311" s="15"/>
      <c r="MNM311" s="13"/>
      <c r="MNN311" s="35"/>
      <c r="MNO311" s="35"/>
      <c r="MNP311" s="15"/>
      <c r="MNR311" s="13"/>
      <c r="MNS311" s="35"/>
      <c r="MNT311" s="35"/>
      <c r="MNU311" s="15"/>
      <c r="MNW311" s="13"/>
      <c r="MNX311" s="35"/>
      <c r="MNY311" s="35"/>
      <c r="MNZ311" s="15"/>
      <c r="MOB311" s="13"/>
      <c r="MOC311" s="35"/>
      <c r="MOD311" s="35"/>
      <c r="MOE311" s="15"/>
      <c r="MOG311" s="13"/>
      <c r="MOH311" s="35"/>
      <c r="MOI311" s="35"/>
      <c r="MOJ311" s="15"/>
      <c r="MOL311" s="13"/>
      <c r="MOM311" s="35"/>
      <c r="MON311" s="35"/>
      <c r="MOO311" s="15"/>
      <c r="MOQ311" s="13"/>
      <c r="MOR311" s="35"/>
      <c r="MOS311" s="35"/>
      <c r="MOT311" s="15"/>
      <c r="MOV311" s="13"/>
      <c r="MOW311" s="35"/>
      <c r="MOX311" s="35"/>
      <c r="MOY311" s="15"/>
      <c r="MPA311" s="13"/>
      <c r="MPB311" s="35"/>
      <c r="MPC311" s="35"/>
      <c r="MPD311" s="15"/>
      <c r="MPF311" s="13"/>
      <c r="MPG311" s="35"/>
      <c r="MPH311" s="35"/>
      <c r="MPI311" s="15"/>
      <c r="MPK311" s="13"/>
      <c r="MPL311" s="35"/>
      <c r="MPM311" s="35"/>
      <c r="MPN311" s="15"/>
      <c r="MPP311" s="13"/>
      <c r="MPQ311" s="35"/>
      <c r="MPR311" s="35"/>
      <c r="MPS311" s="15"/>
      <c r="MPU311" s="13"/>
      <c r="MPV311" s="35"/>
      <c r="MPW311" s="35"/>
      <c r="MPX311" s="15"/>
      <c r="MPZ311" s="13"/>
      <c r="MQA311" s="35"/>
      <c r="MQB311" s="35"/>
      <c r="MQC311" s="15"/>
      <c r="MQE311" s="13"/>
      <c r="MQF311" s="35"/>
      <c r="MQG311" s="35"/>
      <c r="MQH311" s="15"/>
      <c r="MQJ311" s="13"/>
      <c r="MQK311" s="35"/>
      <c r="MQL311" s="35"/>
      <c r="MQM311" s="15"/>
      <c r="MQO311" s="13"/>
      <c r="MQP311" s="35"/>
      <c r="MQQ311" s="35"/>
      <c r="MQR311" s="15"/>
      <c r="MQT311" s="13"/>
      <c r="MQU311" s="35"/>
      <c r="MQV311" s="35"/>
      <c r="MQW311" s="15"/>
      <c r="MQY311" s="13"/>
      <c r="MQZ311" s="35"/>
      <c r="MRA311" s="35"/>
      <c r="MRB311" s="15"/>
      <c r="MRD311" s="13"/>
      <c r="MRE311" s="35"/>
      <c r="MRF311" s="35"/>
      <c r="MRG311" s="15"/>
      <c r="MRI311" s="13"/>
      <c r="MRJ311" s="35"/>
      <c r="MRK311" s="35"/>
      <c r="MRL311" s="15"/>
      <c r="MRN311" s="13"/>
      <c r="MRO311" s="35"/>
      <c r="MRP311" s="35"/>
      <c r="MRQ311" s="15"/>
      <c r="MRS311" s="13"/>
      <c r="MRT311" s="35"/>
      <c r="MRU311" s="35"/>
      <c r="MRV311" s="15"/>
      <c r="MRX311" s="13"/>
      <c r="MRY311" s="35"/>
      <c r="MRZ311" s="35"/>
      <c r="MSA311" s="15"/>
      <c r="MSC311" s="13"/>
      <c r="MSD311" s="35"/>
      <c r="MSE311" s="35"/>
      <c r="MSF311" s="15"/>
      <c r="MSH311" s="13"/>
      <c r="MSI311" s="35"/>
      <c r="MSJ311" s="35"/>
      <c r="MSK311" s="15"/>
      <c r="MSM311" s="13"/>
      <c r="MSN311" s="35"/>
      <c r="MSO311" s="35"/>
      <c r="MSP311" s="15"/>
      <c r="MSR311" s="13"/>
      <c r="MSS311" s="35"/>
      <c r="MST311" s="35"/>
      <c r="MSU311" s="15"/>
      <c r="MSW311" s="13"/>
      <c r="MSX311" s="35"/>
      <c r="MSY311" s="35"/>
      <c r="MSZ311" s="15"/>
      <c r="MTB311" s="13"/>
      <c r="MTC311" s="35"/>
      <c r="MTD311" s="35"/>
      <c r="MTE311" s="15"/>
      <c r="MTG311" s="13"/>
      <c r="MTH311" s="35"/>
      <c r="MTI311" s="35"/>
      <c r="MTJ311" s="15"/>
      <c r="MTL311" s="13"/>
      <c r="MTM311" s="35"/>
      <c r="MTN311" s="35"/>
      <c r="MTO311" s="15"/>
      <c r="MTQ311" s="13"/>
      <c r="MTR311" s="35"/>
      <c r="MTS311" s="35"/>
      <c r="MTT311" s="15"/>
      <c r="MTV311" s="13"/>
      <c r="MTW311" s="35"/>
      <c r="MTX311" s="35"/>
      <c r="MTY311" s="15"/>
      <c r="MUA311" s="13"/>
      <c r="MUB311" s="35"/>
      <c r="MUC311" s="35"/>
      <c r="MUD311" s="15"/>
      <c r="MUF311" s="13"/>
      <c r="MUG311" s="35"/>
      <c r="MUH311" s="35"/>
      <c r="MUI311" s="15"/>
      <c r="MUK311" s="13"/>
      <c r="MUL311" s="35"/>
      <c r="MUM311" s="35"/>
      <c r="MUN311" s="15"/>
      <c r="MUP311" s="13"/>
      <c r="MUQ311" s="35"/>
      <c r="MUR311" s="35"/>
      <c r="MUS311" s="15"/>
      <c r="MUU311" s="13"/>
      <c r="MUV311" s="35"/>
      <c r="MUW311" s="35"/>
      <c r="MUX311" s="15"/>
      <c r="MUZ311" s="13"/>
      <c r="MVA311" s="35"/>
      <c r="MVB311" s="35"/>
      <c r="MVC311" s="15"/>
      <c r="MVE311" s="13"/>
      <c r="MVF311" s="35"/>
      <c r="MVG311" s="35"/>
      <c r="MVH311" s="15"/>
      <c r="MVJ311" s="13"/>
      <c r="MVK311" s="35"/>
      <c r="MVL311" s="35"/>
      <c r="MVM311" s="15"/>
      <c r="MVO311" s="13"/>
      <c r="MVP311" s="35"/>
      <c r="MVQ311" s="35"/>
      <c r="MVR311" s="15"/>
      <c r="MVT311" s="13"/>
      <c r="MVU311" s="35"/>
      <c r="MVV311" s="35"/>
      <c r="MVW311" s="15"/>
      <c r="MVY311" s="13"/>
      <c r="MVZ311" s="35"/>
      <c r="MWA311" s="35"/>
      <c r="MWB311" s="15"/>
      <c r="MWD311" s="13"/>
      <c r="MWE311" s="35"/>
      <c r="MWF311" s="35"/>
      <c r="MWG311" s="15"/>
      <c r="MWI311" s="13"/>
      <c r="MWJ311" s="35"/>
      <c r="MWK311" s="35"/>
      <c r="MWL311" s="15"/>
      <c r="MWN311" s="13"/>
      <c r="MWO311" s="35"/>
      <c r="MWP311" s="35"/>
      <c r="MWQ311" s="15"/>
      <c r="MWS311" s="13"/>
      <c r="MWT311" s="35"/>
      <c r="MWU311" s="35"/>
      <c r="MWV311" s="15"/>
      <c r="MWX311" s="13"/>
      <c r="MWY311" s="35"/>
      <c r="MWZ311" s="35"/>
      <c r="MXA311" s="15"/>
      <c r="MXC311" s="13"/>
      <c r="MXD311" s="35"/>
      <c r="MXE311" s="35"/>
      <c r="MXF311" s="15"/>
      <c r="MXH311" s="13"/>
      <c r="MXI311" s="35"/>
      <c r="MXJ311" s="35"/>
      <c r="MXK311" s="15"/>
      <c r="MXM311" s="13"/>
      <c r="MXN311" s="35"/>
      <c r="MXO311" s="35"/>
      <c r="MXP311" s="15"/>
      <c r="MXR311" s="13"/>
      <c r="MXS311" s="35"/>
      <c r="MXT311" s="35"/>
      <c r="MXU311" s="15"/>
      <c r="MXW311" s="13"/>
      <c r="MXX311" s="35"/>
      <c r="MXY311" s="35"/>
      <c r="MXZ311" s="15"/>
      <c r="MYB311" s="13"/>
      <c r="MYC311" s="35"/>
      <c r="MYD311" s="35"/>
      <c r="MYE311" s="15"/>
      <c r="MYG311" s="13"/>
      <c r="MYH311" s="35"/>
      <c r="MYI311" s="35"/>
      <c r="MYJ311" s="15"/>
      <c r="MYL311" s="13"/>
      <c r="MYM311" s="35"/>
      <c r="MYN311" s="35"/>
      <c r="MYO311" s="15"/>
      <c r="MYQ311" s="13"/>
      <c r="MYR311" s="35"/>
      <c r="MYS311" s="35"/>
      <c r="MYT311" s="15"/>
      <c r="MYV311" s="13"/>
      <c r="MYW311" s="35"/>
      <c r="MYX311" s="35"/>
      <c r="MYY311" s="15"/>
      <c r="MZA311" s="13"/>
      <c r="MZB311" s="35"/>
      <c r="MZC311" s="35"/>
      <c r="MZD311" s="15"/>
      <c r="MZF311" s="13"/>
      <c r="MZG311" s="35"/>
      <c r="MZH311" s="35"/>
      <c r="MZI311" s="15"/>
      <c r="MZK311" s="13"/>
      <c r="MZL311" s="35"/>
      <c r="MZM311" s="35"/>
      <c r="MZN311" s="15"/>
      <c r="MZP311" s="13"/>
      <c r="MZQ311" s="35"/>
      <c r="MZR311" s="35"/>
      <c r="MZS311" s="15"/>
      <c r="MZU311" s="13"/>
      <c r="MZV311" s="35"/>
      <c r="MZW311" s="35"/>
      <c r="MZX311" s="15"/>
      <c r="MZZ311" s="13"/>
      <c r="NAA311" s="35"/>
      <c r="NAB311" s="35"/>
      <c r="NAC311" s="15"/>
      <c r="NAE311" s="13"/>
      <c r="NAF311" s="35"/>
      <c r="NAG311" s="35"/>
      <c r="NAH311" s="15"/>
      <c r="NAJ311" s="13"/>
      <c r="NAK311" s="35"/>
      <c r="NAL311" s="35"/>
      <c r="NAM311" s="15"/>
      <c r="NAO311" s="13"/>
      <c r="NAP311" s="35"/>
      <c r="NAQ311" s="35"/>
      <c r="NAR311" s="15"/>
      <c r="NAT311" s="13"/>
      <c r="NAU311" s="35"/>
      <c r="NAV311" s="35"/>
      <c r="NAW311" s="15"/>
      <c r="NAY311" s="13"/>
      <c r="NAZ311" s="35"/>
      <c r="NBA311" s="35"/>
      <c r="NBB311" s="15"/>
      <c r="NBD311" s="13"/>
      <c r="NBE311" s="35"/>
      <c r="NBF311" s="35"/>
      <c r="NBG311" s="15"/>
      <c r="NBI311" s="13"/>
      <c r="NBJ311" s="35"/>
      <c r="NBK311" s="35"/>
      <c r="NBL311" s="15"/>
      <c r="NBN311" s="13"/>
      <c r="NBO311" s="35"/>
      <c r="NBP311" s="35"/>
      <c r="NBQ311" s="15"/>
      <c r="NBS311" s="13"/>
      <c r="NBT311" s="35"/>
      <c r="NBU311" s="35"/>
      <c r="NBV311" s="15"/>
      <c r="NBX311" s="13"/>
      <c r="NBY311" s="35"/>
      <c r="NBZ311" s="35"/>
      <c r="NCA311" s="15"/>
      <c r="NCC311" s="13"/>
      <c r="NCD311" s="35"/>
      <c r="NCE311" s="35"/>
      <c r="NCF311" s="15"/>
      <c r="NCH311" s="13"/>
      <c r="NCI311" s="35"/>
      <c r="NCJ311" s="35"/>
      <c r="NCK311" s="15"/>
      <c r="NCM311" s="13"/>
      <c r="NCN311" s="35"/>
      <c r="NCO311" s="35"/>
      <c r="NCP311" s="15"/>
      <c r="NCR311" s="13"/>
      <c r="NCS311" s="35"/>
      <c r="NCT311" s="35"/>
      <c r="NCU311" s="15"/>
      <c r="NCW311" s="13"/>
      <c r="NCX311" s="35"/>
      <c r="NCY311" s="35"/>
      <c r="NCZ311" s="15"/>
      <c r="NDB311" s="13"/>
      <c r="NDC311" s="35"/>
      <c r="NDD311" s="35"/>
      <c r="NDE311" s="15"/>
      <c r="NDG311" s="13"/>
      <c r="NDH311" s="35"/>
      <c r="NDI311" s="35"/>
      <c r="NDJ311" s="15"/>
      <c r="NDL311" s="13"/>
      <c r="NDM311" s="35"/>
      <c r="NDN311" s="35"/>
      <c r="NDO311" s="15"/>
      <c r="NDQ311" s="13"/>
      <c r="NDR311" s="35"/>
      <c r="NDS311" s="35"/>
      <c r="NDT311" s="15"/>
      <c r="NDV311" s="13"/>
      <c r="NDW311" s="35"/>
      <c r="NDX311" s="35"/>
      <c r="NDY311" s="15"/>
      <c r="NEA311" s="13"/>
      <c r="NEB311" s="35"/>
      <c r="NEC311" s="35"/>
      <c r="NED311" s="15"/>
      <c r="NEF311" s="13"/>
      <c r="NEG311" s="35"/>
      <c r="NEH311" s="35"/>
      <c r="NEI311" s="15"/>
      <c r="NEK311" s="13"/>
      <c r="NEL311" s="35"/>
      <c r="NEM311" s="35"/>
      <c r="NEN311" s="15"/>
      <c r="NEP311" s="13"/>
      <c r="NEQ311" s="35"/>
      <c r="NER311" s="35"/>
      <c r="NES311" s="15"/>
      <c r="NEU311" s="13"/>
      <c r="NEV311" s="35"/>
      <c r="NEW311" s="35"/>
      <c r="NEX311" s="15"/>
      <c r="NEZ311" s="13"/>
      <c r="NFA311" s="35"/>
      <c r="NFB311" s="35"/>
      <c r="NFC311" s="15"/>
      <c r="NFE311" s="13"/>
      <c r="NFF311" s="35"/>
      <c r="NFG311" s="35"/>
      <c r="NFH311" s="15"/>
      <c r="NFJ311" s="13"/>
      <c r="NFK311" s="35"/>
      <c r="NFL311" s="35"/>
      <c r="NFM311" s="15"/>
      <c r="NFO311" s="13"/>
      <c r="NFP311" s="35"/>
      <c r="NFQ311" s="35"/>
      <c r="NFR311" s="15"/>
      <c r="NFT311" s="13"/>
      <c r="NFU311" s="35"/>
      <c r="NFV311" s="35"/>
      <c r="NFW311" s="15"/>
      <c r="NFY311" s="13"/>
      <c r="NFZ311" s="35"/>
      <c r="NGA311" s="35"/>
      <c r="NGB311" s="15"/>
      <c r="NGD311" s="13"/>
      <c r="NGE311" s="35"/>
      <c r="NGF311" s="35"/>
      <c r="NGG311" s="15"/>
      <c r="NGI311" s="13"/>
      <c r="NGJ311" s="35"/>
      <c r="NGK311" s="35"/>
      <c r="NGL311" s="15"/>
      <c r="NGN311" s="13"/>
      <c r="NGO311" s="35"/>
      <c r="NGP311" s="35"/>
      <c r="NGQ311" s="15"/>
      <c r="NGS311" s="13"/>
      <c r="NGT311" s="35"/>
      <c r="NGU311" s="35"/>
      <c r="NGV311" s="15"/>
      <c r="NGX311" s="13"/>
      <c r="NGY311" s="35"/>
      <c r="NGZ311" s="35"/>
      <c r="NHA311" s="15"/>
      <c r="NHC311" s="13"/>
      <c r="NHD311" s="35"/>
      <c r="NHE311" s="35"/>
      <c r="NHF311" s="15"/>
      <c r="NHH311" s="13"/>
      <c r="NHI311" s="35"/>
      <c r="NHJ311" s="35"/>
      <c r="NHK311" s="15"/>
      <c r="NHM311" s="13"/>
      <c r="NHN311" s="35"/>
      <c r="NHO311" s="35"/>
      <c r="NHP311" s="15"/>
      <c r="NHR311" s="13"/>
      <c r="NHS311" s="35"/>
      <c r="NHT311" s="35"/>
      <c r="NHU311" s="15"/>
      <c r="NHW311" s="13"/>
      <c r="NHX311" s="35"/>
      <c r="NHY311" s="35"/>
      <c r="NHZ311" s="15"/>
      <c r="NIB311" s="13"/>
      <c r="NIC311" s="35"/>
      <c r="NID311" s="35"/>
      <c r="NIE311" s="15"/>
      <c r="NIG311" s="13"/>
      <c r="NIH311" s="35"/>
      <c r="NII311" s="35"/>
      <c r="NIJ311" s="15"/>
      <c r="NIL311" s="13"/>
      <c r="NIM311" s="35"/>
      <c r="NIN311" s="35"/>
      <c r="NIO311" s="15"/>
      <c r="NIQ311" s="13"/>
      <c r="NIR311" s="35"/>
      <c r="NIS311" s="35"/>
      <c r="NIT311" s="15"/>
      <c r="NIV311" s="13"/>
      <c r="NIW311" s="35"/>
      <c r="NIX311" s="35"/>
      <c r="NIY311" s="15"/>
      <c r="NJA311" s="13"/>
      <c r="NJB311" s="35"/>
      <c r="NJC311" s="35"/>
      <c r="NJD311" s="15"/>
      <c r="NJF311" s="13"/>
      <c r="NJG311" s="35"/>
      <c r="NJH311" s="35"/>
      <c r="NJI311" s="15"/>
      <c r="NJK311" s="13"/>
      <c r="NJL311" s="35"/>
      <c r="NJM311" s="35"/>
      <c r="NJN311" s="15"/>
      <c r="NJP311" s="13"/>
      <c r="NJQ311" s="35"/>
      <c r="NJR311" s="35"/>
      <c r="NJS311" s="15"/>
      <c r="NJU311" s="13"/>
      <c r="NJV311" s="35"/>
      <c r="NJW311" s="35"/>
      <c r="NJX311" s="15"/>
      <c r="NJZ311" s="13"/>
      <c r="NKA311" s="35"/>
      <c r="NKB311" s="35"/>
      <c r="NKC311" s="15"/>
      <c r="NKE311" s="13"/>
      <c r="NKF311" s="35"/>
      <c r="NKG311" s="35"/>
      <c r="NKH311" s="15"/>
      <c r="NKJ311" s="13"/>
      <c r="NKK311" s="35"/>
      <c r="NKL311" s="35"/>
      <c r="NKM311" s="15"/>
      <c r="NKO311" s="13"/>
      <c r="NKP311" s="35"/>
      <c r="NKQ311" s="35"/>
      <c r="NKR311" s="15"/>
      <c r="NKT311" s="13"/>
      <c r="NKU311" s="35"/>
      <c r="NKV311" s="35"/>
      <c r="NKW311" s="15"/>
      <c r="NKY311" s="13"/>
      <c r="NKZ311" s="35"/>
      <c r="NLA311" s="35"/>
      <c r="NLB311" s="15"/>
      <c r="NLD311" s="13"/>
      <c r="NLE311" s="35"/>
      <c r="NLF311" s="35"/>
      <c r="NLG311" s="15"/>
      <c r="NLI311" s="13"/>
      <c r="NLJ311" s="35"/>
      <c r="NLK311" s="35"/>
      <c r="NLL311" s="15"/>
      <c r="NLN311" s="13"/>
      <c r="NLO311" s="35"/>
      <c r="NLP311" s="35"/>
      <c r="NLQ311" s="15"/>
      <c r="NLS311" s="13"/>
      <c r="NLT311" s="35"/>
      <c r="NLU311" s="35"/>
      <c r="NLV311" s="15"/>
      <c r="NLX311" s="13"/>
      <c r="NLY311" s="35"/>
      <c r="NLZ311" s="35"/>
      <c r="NMA311" s="15"/>
      <c r="NMC311" s="13"/>
      <c r="NMD311" s="35"/>
      <c r="NME311" s="35"/>
      <c r="NMF311" s="15"/>
      <c r="NMH311" s="13"/>
      <c r="NMI311" s="35"/>
      <c r="NMJ311" s="35"/>
      <c r="NMK311" s="15"/>
      <c r="NMM311" s="13"/>
      <c r="NMN311" s="35"/>
      <c r="NMO311" s="35"/>
      <c r="NMP311" s="15"/>
      <c r="NMR311" s="13"/>
      <c r="NMS311" s="35"/>
      <c r="NMT311" s="35"/>
      <c r="NMU311" s="15"/>
      <c r="NMW311" s="13"/>
      <c r="NMX311" s="35"/>
      <c r="NMY311" s="35"/>
      <c r="NMZ311" s="15"/>
      <c r="NNB311" s="13"/>
      <c r="NNC311" s="35"/>
      <c r="NND311" s="35"/>
      <c r="NNE311" s="15"/>
      <c r="NNG311" s="13"/>
      <c r="NNH311" s="35"/>
      <c r="NNI311" s="35"/>
      <c r="NNJ311" s="15"/>
      <c r="NNL311" s="13"/>
      <c r="NNM311" s="35"/>
      <c r="NNN311" s="35"/>
      <c r="NNO311" s="15"/>
      <c r="NNQ311" s="13"/>
      <c r="NNR311" s="35"/>
      <c r="NNS311" s="35"/>
      <c r="NNT311" s="15"/>
      <c r="NNV311" s="13"/>
      <c r="NNW311" s="35"/>
      <c r="NNX311" s="35"/>
      <c r="NNY311" s="15"/>
      <c r="NOA311" s="13"/>
      <c r="NOB311" s="35"/>
      <c r="NOC311" s="35"/>
      <c r="NOD311" s="15"/>
      <c r="NOF311" s="13"/>
      <c r="NOG311" s="35"/>
      <c r="NOH311" s="35"/>
      <c r="NOI311" s="15"/>
      <c r="NOK311" s="13"/>
      <c r="NOL311" s="35"/>
      <c r="NOM311" s="35"/>
      <c r="NON311" s="15"/>
      <c r="NOP311" s="13"/>
      <c r="NOQ311" s="35"/>
      <c r="NOR311" s="35"/>
      <c r="NOS311" s="15"/>
      <c r="NOU311" s="13"/>
      <c r="NOV311" s="35"/>
      <c r="NOW311" s="35"/>
      <c r="NOX311" s="15"/>
      <c r="NOZ311" s="13"/>
      <c r="NPA311" s="35"/>
      <c r="NPB311" s="35"/>
      <c r="NPC311" s="15"/>
      <c r="NPE311" s="13"/>
      <c r="NPF311" s="35"/>
      <c r="NPG311" s="35"/>
      <c r="NPH311" s="15"/>
      <c r="NPJ311" s="13"/>
      <c r="NPK311" s="35"/>
      <c r="NPL311" s="35"/>
      <c r="NPM311" s="15"/>
      <c r="NPO311" s="13"/>
      <c r="NPP311" s="35"/>
      <c r="NPQ311" s="35"/>
      <c r="NPR311" s="15"/>
      <c r="NPT311" s="13"/>
      <c r="NPU311" s="35"/>
      <c r="NPV311" s="35"/>
      <c r="NPW311" s="15"/>
      <c r="NPY311" s="13"/>
      <c r="NPZ311" s="35"/>
      <c r="NQA311" s="35"/>
      <c r="NQB311" s="15"/>
      <c r="NQD311" s="13"/>
      <c r="NQE311" s="35"/>
      <c r="NQF311" s="35"/>
      <c r="NQG311" s="15"/>
      <c r="NQI311" s="13"/>
      <c r="NQJ311" s="35"/>
      <c r="NQK311" s="35"/>
      <c r="NQL311" s="15"/>
      <c r="NQN311" s="13"/>
      <c r="NQO311" s="35"/>
      <c r="NQP311" s="35"/>
      <c r="NQQ311" s="15"/>
      <c r="NQS311" s="13"/>
      <c r="NQT311" s="35"/>
      <c r="NQU311" s="35"/>
      <c r="NQV311" s="15"/>
      <c r="NQX311" s="13"/>
      <c r="NQY311" s="35"/>
      <c r="NQZ311" s="35"/>
      <c r="NRA311" s="15"/>
      <c r="NRC311" s="13"/>
      <c r="NRD311" s="35"/>
      <c r="NRE311" s="35"/>
      <c r="NRF311" s="15"/>
      <c r="NRH311" s="13"/>
      <c r="NRI311" s="35"/>
      <c r="NRJ311" s="35"/>
      <c r="NRK311" s="15"/>
      <c r="NRM311" s="13"/>
      <c r="NRN311" s="35"/>
      <c r="NRO311" s="35"/>
      <c r="NRP311" s="15"/>
      <c r="NRR311" s="13"/>
      <c r="NRS311" s="35"/>
      <c r="NRT311" s="35"/>
      <c r="NRU311" s="15"/>
      <c r="NRW311" s="13"/>
      <c r="NRX311" s="35"/>
      <c r="NRY311" s="35"/>
      <c r="NRZ311" s="15"/>
      <c r="NSB311" s="13"/>
      <c r="NSC311" s="35"/>
      <c r="NSD311" s="35"/>
      <c r="NSE311" s="15"/>
      <c r="NSG311" s="13"/>
      <c r="NSH311" s="35"/>
      <c r="NSI311" s="35"/>
      <c r="NSJ311" s="15"/>
      <c r="NSL311" s="13"/>
      <c r="NSM311" s="35"/>
      <c r="NSN311" s="35"/>
      <c r="NSO311" s="15"/>
      <c r="NSQ311" s="13"/>
      <c r="NSR311" s="35"/>
      <c r="NSS311" s="35"/>
      <c r="NST311" s="15"/>
      <c r="NSV311" s="13"/>
      <c r="NSW311" s="35"/>
      <c r="NSX311" s="35"/>
      <c r="NSY311" s="15"/>
      <c r="NTA311" s="13"/>
      <c r="NTB311" s="35"/>
      <c r="NTC311" s="35"/>
      <c r="NTD311" s="15"/>
      <c r="NTF311" s="13"/>
      <c r="NTG311" s="35"/>
      <c r="NTH311" s="35"/>
      <c r="NTI311" s="15"/>
      <c r="NTK311" s="13"/>
      <c r="NTL311" s="35"/>
      <c r="NTM311" s="35"/>
      <c r="NTN311" s="15"/>
      <c r="NTP311" s="13"/>
      <c r="NTQ311" s="35"/>
      <c r="NTR311" s="35"/>
      <c r="NTS311" s="15"/>
      <c r="NTU311" s="13"/>
      <c r="NTV311" s="35"/>
      <c r="NTW311" s="35"/>
      <c r="NTX311" s="15"/>
      <c r="NTZ311" s="13"/>
      <c r="NUA311" s="35"/>
      <c r="NUB311" s="35"/>
      <c r="NUC311" s="15"/>
      <c r="NUE311" s="13"/>
      <c r="NUF311" s="35"/>
      <c r="NUG311" s="35"/>
      <c r="NUH311" s="15"/>
      <c r="NUJ311" s="13"/>
      <c r="NUK311" s="35"/>
      <c r="NUL311" s="35"/>
      <c r="NUM311" s="15"/>
      <c r="NUO311" s="13"/>
      <c r="NUP311" s="35"/>
      <c r="NUQ311" s="35"/>
      <c r="NUR311" s="15"/>
      <c r="NUT311" s="13"/>
      <c r="NUU311" s="35"/>
      <c r="NUV311" s="35"/>
      <c r="NUW311" s="15"/>
      <c r="NUY311" s="13"/>
      <c r="NUZ311" s="35"/>
      <c r="NVA311" s="35"/>
      <c r="NVB311" s="15"/>
      <c r="NVD311" s="13"/>
      <c r="NVE311" s="35"/>
      <c r="NVF311" s="35"/>
      <c r="NVG311" s="15"/>
      <c r="NVI311" s="13"/>
      <c r="NVJ311" s="35"/>
      <c r="NVK311" s="35"/>
      <c r="NVL311" s="15"/>
      <c r="NVN311" s="13"/>
      <c r="NVO311" s="35"/>
      <c r="NVP311" s="35"/>
      <c r="NVQ311" s="15"/>
      <c r="NVS311" s="13"/>
      <c r="NVT311" s="35"/>
      <c r="NVU311" s="35"/>
      <c r="NVV311" s="15"/>
      <c r="NVX311" s="13"/>
      <c r="NVY311" s="35"/>
      <c r="NVZ311" s="35"/>
      <c r="NWA311" s="15"/>
      <c r="NWC311" s="13"/>
      <c r="NWD311" s="35"/>
      <c r="NWE311" s="35"/>
      <c r="NWF311" s="15"/>
      <c r="NWH311" s="13"/>
      <c r="NWI311" s="35"/>
      <c r="NWJ311" s="35"/>
      <c r="NWK311" s="15"/>
      <c r="NWM311" s="13"/>
      <c r="NWN311" s="35"/>
      <c r="NWO311" s="35"/>
      <c r="NWP311" s="15"/>
      <c r="NWR311" s="13"/>
      <c r="NWS311" s="35"/>
      <c r="NWT311" s="35"/>
      <c r="NWU311" s="15"/>
      <c r="NWW311" s="13"/>
      <c r="NWX311" s="35"/>
      <c r="NWY311" s="35"/>
      <c r="NWZ311" s="15"/>
      <c r="NXB311" s="13"/>
      <c r="NXC311" s="35"/>
      <c r="NXD311" s="35"/>
      <c r="NXE311" s="15"/>
      <c r="NXG311" s="13"/>
      <c r="NXH311" s="35"/>
      <c r="NXI311" s="35"/>
      <c r="NXJ311" s="15"/>
      <c r="NXL311" s="13"/>
      <c r="NXM311" s="35"/>
      <c r="NXN311" s="35"/>
      <c r="NXO311" s="15"/>
      <c r="NXQ311" s="13"/>
      <c r="NXR311" s="35"/>
      <c r="NXS311" s="35"/>
      <c r="NXT311" s="15"/>
      <c r="NXV311" s="13"/>
      <c r="NXW311" s="35"/>
      <c r="NXX311" s="35"/>
      <c r="NXY311" s="15"/>
      <c r="NYA311" s="13"/>
      <c r="NYB311" s="35"/>
      <c r="NYC311" s="35"/>
      <c r="NYD311" s="15"/>
      <c r="NYF311" s="13"/>
      <c r="NYG311" s="35"/>
      <c r="NYH311" s="35"/>
      <c r="NYI311" s="15"/>
      <c r="NYK311" s="13"/>
      <c r="NYL311" s="35"/>
      <c r="NYM311" s="35"/>
      <c r="NYN311" s="15"/>
      <c r="NYP311" s="13"/>
      <c r="NYQ311" s="35"/>
      <c r="NYR311" s="35"/>
      <c r="NYS311" s="15"/>
      <c r="NYU311" s="13"/>
      <c r="NYV311" s="35"/>
      <c r="NYW311" s="35"/>
      <c r="NYX311" s="15"/>
      <c r="NYZ311" s="13"/>
      <c r="NZA311" s="35"/>
      <c r="NZB311" s="35"/>
      <c r="NZC311" s="15"/>
      <c r="NZE311" s="13"/>
      <c r="NZF311" s="35"/>
      <c r="NZG311" s="35"/>
      <c r="NZH311" s="15"/>
      <c r="NZJ311" s="13"/>
      <c r="NZK311" s="35"/>
      <c r="NZL311" s="35"/>
      <c r="NZM311" s="15"/>
      <c r="NZO311" s="13"/>
      <c r="NZP311" s="35"/>
      <c r="NZQ311" s="35"/>
      <c r="NZR311" s="15"/>
      <c r="NZT311" s="13"/>
      <c r="NZU311" s="35"/>
      <c r="NZV311" s="35"/>
      <c r="NZW311" s="15"/>
      <c r="NZY311" s="13"/>
      <c r="NZZ311" s="35"/>
      <c r="OAA311" s="35"/>
      <c r="OAB311" s="15"/>
      <c r="OAD311" s="13"/>
      <c r="OAE311" s="35"/>
      <c r="OAF311" s="35"/>
      <c r="OAG311" s="15"/>
      <c r="OAI311" s="13"/>
      <c r="OAJ311" s="35"/>
      <c r="OAK311" s="35"/>
      <c r="OAL311" s="15"/>
      <c r="OAN311" s="13"/>
      <c r="OAO311" s="35"/>
      <c r="OAP311" s="35"/>
      <c r="OAQ311" s="15"/>
      <c r="OAS311" s="13"/>
      <c r="OAT311" s="35"/>
      <c r="OAU311" s="35"/>
      <c r="OAV311" s="15"/>
      <c r="OAX311" s="13"/>
      <c r="OAY311" s="35"/>
      <c r="OAZ311" s="35"/>
      <c r="OBA311" s="15"/>
      <c r="OBC311" s="13"/>
      <c r="OBD311" s="35"/>
      <c r="OBE311" s="35"/>
      <c r="OBF311" s="15"/>
      <c r="OBH311" s="13"/>
      <c r="OBI311" s="35"/>
      <c r="OBJ311" s="35"/>
      <c r="OBK311" s="15"/>
      <c r="OBM311" s="13"/>
      <c r="OBN311" s="35"/>
      <c r="OBO311" s="35"/>
      <c r="OBP311" s="15"/>
      <c r="OBR311" s="13"/>
      <c r="OBS311" s="35"/>
      <c r="OBT311" s="35"/>
      <c r="OBU311" s="15"/>
      <c r="OBW311" s="13"/>
      <c r="OBX311" s="35"/>
      <c r="OBY311" s="35"/>
      <c r="OBZ311" s="15"/>
      <c r="OCB311" s="13"/>
      <c r="OCC311" s="35"/>
      <c r="OCD311" s="35"/>
      <c r="OCE311" s="15"/>
      <c r="OCG311" s="13"/>
      <c r="OCH311" s="35"/>
      <c r="OCI311" s="35"/>
      <c r="OCJ311" s="15"/>
      <c r="OCL311" s="13"/>
      <c r="OCM311" s="35"/>
      <c r="OCN311" s="35"/>
      <c r="OCO311" s="15"/>
      <c r="OCQ311" s="13"/>
      <c r="OCR311" s="35"/>
      <c r="OCS311" s="35"/>
      <c r="OCT311" s="15"/>
      <c r="OCV311" s="13"/>
      <c r="OCW311" s="35"/>
      <c r="OCX311" s="35"/>
      <c r="OCY311" s="15"/>
      <c r="ODA311" s="13"/>
      <c r="ODB311" s="35"/>
      <c r="ODC311" s="35"/>
      <c r="ODD311" s="15"/>
      <c r="ODF311" s="13"/>
      <c r="ODG311" s="35"/>
      <c r="ODH311" s="35"/>
      <c r="ODI311" s="15"/>
      <c r="ODK311" s="13"/>
      <c r="ODL311" s="35"/>
      <c r="ODM311" s="35"/>
      <c r="ODN311" s="15"/>
      <c r="ODP311" s="13"/>
      <c r="ODQ311" s="35"/>
      <c r="ODR311" s="35"/>
      <c r="ODS311" s="15"/>
      <c r="ODU311" s="13"/>
      <c r="ODV311" s="35"/>
      <c r="ODW311" s="35"/>
      <c r="ODX311" s="15"/>
      <c r="ODZ311" s="13"/>
      <c r="OEA311" s="35"/>
      <c r="OEB311" s="35"/>
      <c r="OEC311" s="15"/>
      <c r="OEE311" s="13"/>
      <c r="OEF311" s="35"/>
      <c r="OEG311" s="35"/>
      <c r="OEH311" s="15"/>
      <c r="OEJ311" s="13"/>
      <c r="OEK311" s="35"/>
      <c r="OEL311" s="35"/>
      <c r="OEM311" s="15"/>
      <c r="OEO311" s="13"/>
      <c r="OEP311" s="35"/>
      <c r="OEQ311" s="35"/>
      <c r="OER311" s="15"/>
      <c r="OET311" s="13"/>
      <c r="OEU311" s="35"/>
      <c r="OEV311" s="35"/>
      <c r="OEW311" s="15"/>
      <c r="OEY311" s="13"/>
      <c r="OEZ311" s="35"/>
      <c r="OFA311" s="35"/>
      <c r="OFB311" s="15"/>
      <c r="OFD311" s="13"/>
      <c r="OFE311" s="35"/>
      <c r="OFF311" s="35"/>
      <c r="OFG311" s="15"/>
      <c r="OFI311" s="13"/>
      <c r="OFJ311" s="35"/>
      <c r="OFK311" s="35"/>
      <c r="OFL311" s="15"/>
      <c r="OFN311" s="13"/>
      <c r="OFO311" s="35"/>
      <c r="OFP311" s="35"/>
      <c r="OFQ311" s="15"/>
      <c r="OFS311" s="13"/>
      <c r="OFT311" s="35"/>
      <c r="OFU311" s="35"/>
      <c r="OFV311" s="15"/>
      <c r="OFX311" s="13"/>
      <c r="OFY311" s="35"/>
      <c r="OFZ311" s="35"/>
      <c r="OGA311" s="15"/>
      <c r="OGC311" s="13"/>
      <c r="OGD311" s="35"/>
      <c r="OGE311" s="35"/>
      <c r="OGF311" s="15"/>
      <c r="OGH311" s="13"/>
      <c r="OGI311" s="35"/>
      <c r="OGJ311" s="35"/>
      <c r="OGK311" s="15"/>
      <c r="OGM311" s="13"/>
      <c r="OGN311" s="35"/>
      <c r="OGO311" s="35"/>
      <c r="OGP311" s="15"/>
      <c r="OGR311" s="13"/>
      <c r="OGS311" s="35"/>
      <c r="OGT311" s="35"/>
      <c r="OGU311" s="15"/>
      <c r="OGW311" s="13"/>
      <c r="OGX311" s="35"/>
      <c r="OGY311" s="35"/>
      <c r="OGZ311" s="15"/>
      <c r="OHB311" s="13"/>
      <c r="OHC311" s="35"/>
      <c r="OHD311" s="35"/>
      <c r="OHE311" s="15"/>
      <c r="OHG311" s="13"/>
      <c r="OHH311" s="35"/>
      <c r="OHI311" s="35"/>
      <c r="OHJ311" s="15"/>
      <c r="OHL311" s="13"/>
      <c r="OHM311" s="35"/>
      <c r="OHN311" s="35"/>
      <c r="OHO311" s="15"/>
      <c r="OHQ311" s="13"/>
      <c r="OHR311" s="35"/>
      <c r="OHS311" s="35"/>
      <c r="OHT311" s="15"/>
      <c r="OHV311" s="13"/>
      <c r="OHW311" s="35"/>
      <c r="OHX311" s="35"/>
      <c r="OHY311" s="15"/>
      <c r="OIA311" s="13"/>
      <c r="OIB311" s="35"/>
      <c r="OIC311" s="35"/>
      <c r="OID311" s="15"/>
      <c r="OIF311" s="13"/>
      <c r="OIG311" s="35"/>
      <c r="OIH311" s="35"/>
      <c r="OII311" s="15"/>
      <c r="OIK311" s="13"/>
      <c r="OIL311" s="35"/>
      <c r="OIM311" s="35"/>
      <c r="OIN311" s="15"/>
      <c r="OIP311" s="13"/>
      <c r="OIQ311" s="35"/>
      <c r="OIR311" s="35"/>
      <c r="OIS311" s="15"/>
      <c r="OIU311" s="13"/>
      <c r="OIV311" s="35"/>
      <c r="OIW311" s="35"/>
      <c r="OIX311" s="15"/>
      <c r="OIZ311" s="13"/>
      <c r="OJA311" s="35"/>
      <c r="OJB311" s="35"/>
      <c r="OJC311" s="15"/>
      <c r="OJE311" s="13"/>
      <c r="OJF311" s="35"/>
      <c r="OJG311" s="35"/>
      <c r="OJH311" s="15"/>
      <c r="OJJ311" s="13"/>
      <c r="OJK311" s="35"/>
      <c r="OJL311" s="35"/>
      <c r="OJM311" s="15"/>
      <c r="OJO311" s="13"/>
      <c r="OJP311" s="35"/>
      <c r="OJQ311" s="35"/>
      <c r="OJR311" s="15"/>
      <c r="OJT311" s="13"/>
      <c r="OJU311" s="35"/>
      <c r="OJV311" s="35"/>
      <c r="OJW311" s="15"/>
      <c r="OJY311" s="13"/>
      <c r="OJZ311" s="35"/>
      <c r="OKA311" s="35"/>
      <c r="OKB311" s="15"/>
      <c r="OKD311" s="13"/>
      <c r="OKE311" s="35"/>
      <c r="OKF311" s="35"/>
      <c r="OKG311" s="15"/>
      <c r="OKI311" s="13"/>
      <c r="OKJ311" s="35"/>
      <c r="OKK311" s="35"/>
      <c r="OKL311" s="15"/>
      <c r="OKN311" s="13"/>
      <c r="OKO311" s="35"/>
      <c r="OKP311" s="35"/>
      <c r="OKQ311" s="15"/>
      <c r="OKS311" s="13"/>
      <c r="OKT311" s="35"/>
      <c r="OKU311" s="35"/>
      <c r="OKV311" s="15"/>
      <c r="OKX311" s="13"/>
      <c r="OKY311" s="35"/>
      <c r="OKZ311" s="35"/>
      <c r="OLA311" s="15"/>
      <c r="OLC311" s="13"/>
      <c r="OLD311" s="35"/>
      <c r="OLE311" s="35"/>
      <c r="OLF311" s="15"/>
      <c r="OLH311" s="13"/>
      <c r="OLI311" s="35"/>
      <c r="OLJ311" s="35"/>
      <c r="OLK311" s="15"/>
      <c r="OLM311" s="13"/>
      <c r="OLN311" s="35"/>
      <c r="OLO311" s="35"/>
      <c r="OLP311" s="15"/>
      <c r="OLR311" s="13"/>
      <c r="OLS311" s="35"/>
      <c r="OLT311" s="35"/>
      <c r="OLU311" s="15"/>
      <c r="OLW311" s="13"/>
      <c r="OLX311" s="35"/>
      <c r="OLY311" s="35"/>
      <c r="OLZ311" s="15"/>
      <c r="OMB311" s="13"/>
      <c r="OMC311" s="35"/>
      <c r="OMD311" s="35"/>
      <c r="OME311" s="15"/>
      <c r="OMG311" s="13"/>
      <c r="OMH311" s="35"/>
      <c r="OMI311" s="35"/>
      <c r="OMJ311" s="15"/>
      <c r="OML311" s="13"/>
      <c r="OMM311" s="35"/>
      <c r="OMN311" s="35"/>
      <c r="OMO311" s="15"/>
      <c r="OMQ311" s="13"/>
      <c r="OMR311" s="35"/>
      <c r="OMS311" s="35"/>
      <c r="OMT311" s="15"/>
      <c r="OMV311" s="13"/>
      <c r="OMW311" s="35"/>
      <c r="OMX311" s="35"/>
      <c r="OMY311" s="15"/>
      <c r="ONA311" s="13"/>
      <c r="ONB311" s="35"/>
      <c r="ONC311" s="35"/>
      <c r="OND311" s="15"/>
      <c r="ONF311" s="13"/>
      <c r="ONG311" s="35"/>
      <c r="ONH311" s="35"/>
      <c r="ONI311" s="15"/>
      <c r="ONK311" s="13"/>
      <c r="ONL311" s="35"/>
      <c r="ONM311" s="35"/>
      <c r="ONN311" s="15"/>
      <c r="ONP311" s="13"/>
      <c r="ONQ311" s="35"/>
      <c r="ONR311" s="35"/>
      <c r="ONS311" s="15"/>
      <c r="ONU311" s="13"/>
      <c r="ONV311" s="35"/>
      <c r="ONW311" s="35"/>
      <c r="ONX311" s="15"/>
      <c r="ONZ311" s="13"/>
      <c r="OOA311" s="35"/>
      <c r="OOB311" s="35"/>
      <c r="OOC311" s="15"/>
      <c r="OOE311" s="13"/>
      <c r="OOF311" s="35"/>
      <c r="OOG311" s="35"/>
      <c r="OOH311" s="15"/>
      <c r="OOJ311" s="13"/>
      <c r="OOK311" s="35"/>
      <c r="OOL311" s="35"/>
      <c r="OOM311" s="15"/>
      <c r="OOO311" s="13"/>
      <c r="OOP311" s="35"/>
      <c r="OOQ311" s="35"/>
      <c r="OOR311" s="15"/>
      <c r="OOT311" s="13"/>
      <c r="OOU311" s="35"/>
      <c r="OOV311" s="35"/>
      <c r="OOW311" s="15"/>
      <c r="OOY311" s="13"/>
      <c r="OOZ311" s="35"/>
      <c r="OPA311" s="35"/>
      <c r="OPB311" s="15"/>
      <c r="OPD311" s="13"/>
      <c r="OPE311" s="35"/>
      <c r="OPF311" s="35"/>
      <c r="OPG311" s="15"/>
      <c r="OPI311" s="13"/>
      <c r="OPJ311" s="35"/>
      <c r="OPK311" s="35"/>
      <c r="OPL311" s="15"/>
      <c r="OPN311" s="13"/>
      <c r="OPO311" s="35"/>
      <c r="OPP311" s="35"/>
      <c r="OPQ311" s="15"/>
      <c r="OPS311" s="13"/>
      <c r="OPT311" s="35"/>
      <c r="OPU311" s="35"/>
      <c r="OPV311" s="15"/>
      <c r="OPX311" s="13"/>
      <c r="OPY311" s="35"/>
      <c r="OPZ311" s="35"/>
      <c r="OQA311" s="15"/>
      <c r="OQC311" s="13"/>
      <c r="OQD311" s="35"/>
      <c r="OQE311" s="35"/>
      <c r="OQF311" s="15"/>
      <c r="OQH311" s="13"/>
      <c r="OQI311" s="35"/>
      <c r="OQJ311" s="35"/>
      <c r="OQK311" s="15"/>
      <c r="OQM311" s="13"/>
      <c r="OQN311" s="35"/>
      <c r="OQO311" s="35"/>
      <c r="OQP311" s="15"/>
      <c r="OQR311" s="13"/>
      <c r="OQS311" s="35"/>
      <c r="OQT311" s="35"/>
      <c r="OQU311" s="15"/>
      <c r="OQW311" s="13"/>
      <c r="OQX311" s="35"/>
      <c r="OQY311" s="35"/>
      <c r="OQZ311" s="15"/>
      <c r="ORB311" s="13"/>
      <c r="ORC311" s="35"/>
      <c r="ORD311" s="35"/>
      <c r="ORE311" s="15"/>
      <c r="ORG311" s="13"/>
      <c r="ORH311" s="35"/>
      <c r="ORI311" s="35"/>
      <c r="ORJ311" s="15"/>
      <c r="ORL311" s="13"/>
      <c r="ORM311" s="35"/>
      <c r="ORN311" s="35"/>
      <c r="ORO311" s="15"/>
      <c r="ORQ311" s="13"/>
      <c r="ORR311" s="35"/>
      <c r="ORS311" s="35"/>
      <c r="ORT311" s="15"/>
      <c r="ORV311" s="13"/>
      <c r="ORW311" s="35"/>
      <c r="ORX311" s="35"/>
      <c r="ORY311" s="15"/>
      <c r="OSA311" s="13"/>
      <c r="OSB311" s="35"/>
      <c r="OSC311" s="35"/>
      <c r="OSD311" s="15"/>
      <c r="OSF311" s="13"/>
      <c r="OSG311" s="35"/>
      <c r="OSH311" s="35"/>
      <c r="OSI311" s="15"/>
      <c r="OSK311" s="13"/>
      <c r="OSL311" s="35"/>
      <c r="OSM311" s="35"/>
      <c r="OSN311" s="15"/>
      <c r="OSP311" s="13"/>
      <c r="OSQ311" s="35"/>
      <c r="OSR311" s="35"/>
      <c r="OSS311" s="15"/>
      <c r="OSU311" s="13"/>
      <c r="OSV311" s="35"/>
      <c r="OSW311" s="35"/>
      <c r="OSX311" s="15"/>
      <c r="OSZ311" s="13"/>
      <c r="OTA311" s="35"/>
      <c r="OTB311" s="35"/>
      <c r="OTC311" s="15"/>
      <c r="OTE311" s="13"/>
      <c r="OTF311" s="35"/>
      <c r="OTG311" s="35"/>
      <c r="OTH311" s="15"/>
      <c r="OTJ311" s="13"/>
      <c r="OTK311" s="35"/>
      <c r="OTL311" s="35"/>
      <c r="OTM311" s="15"/>
      <c r="OTO311" s="13"/>
      <c r="OTP311" s="35"/>
      <c r="OTQ311" s="35"/>
      <c r="OTR311" s="15"/>
      <c r="OTT311" s="13"/>
      <c r="OTU311" s="35"/>
      <c r="OTV311" s="35"/>
      <c r="OTW311" s="15"/>
      <c r="OTY311" s="13"/>
      <c r="OTZ311" s="35"/>
      <c r="OUA311" s="35"/>
      <c r="OUB311" s="15"/>
      <c r="OUD311" s="13"/>
      <c r="OUE311" s="35"/>
      <c r="OUF311" s="35"/>
      <c r="OUG311" s="15"/>
      <c r="OUI311" s="13"/>
      <c r="OUJ311" s="35"/>
      <c r="OUK311" s="35"/>
      <c r="OUL311" s="15"/>
      <c r="OUN311" s="13"/>
      <c r="OUO311" s="35"/>
      <c r="OUP311" s="35"/>
      <c r="OUQ311" s="15"/>
      <c r="OUS311" s="13"/>
      <c r="OUT311" s="35"/>
      <c r="OUU311" s="35"/>
      <c r="OUV311" s="15"/>
      <c r="OUX311" s="13"/>
      <c r="OUY311" s="35"/>
      <c r="OUZ311" s="35"/>
      <c r="OVA311" s="15"/>
      <c r="OVC311" s="13"/>
      <c r="OVD311" s="35"/>
      <c r="OVE311" s="35"/>
      <c r="OVF311" s="15"/>
      <c r="OVH311" s="13"/>
      <c r="OVI311" s="35"/>
      <c r="OVJ311" s="35"/>
      <c r="OVK311" s="15"/>
      <c r="OVM311" s="13"/>
      <c r="OVN311" s="35"/>
      <c r="OVO311" s="35"/>
      <c r="OVP311" s="15"/>
      <c r="OVR311" s="13"/>
      <c r="OVS311" s="35"/>
      <c r="OVT311" s="35"/>
      <c r="OVU311" s="15"/>
      <c r="OVW311" s="13"/>
      <c r="OVX311" s="35"/>
      <c r="OVY311" s="35"/>
      <c r="OVZ311" s="15"/>
      <c r="OWB311" s="13"/>
      <c r="OWC311" s="35"/>
      <c r="OWD311" s="35"/>
      <c r="OWE311" s="15"/>
      <c r="OWG311" s="13"/>
      <c r="OWH311" s="35"/>
      <c r="OWI311" s="35"/>
      <c r="OWJ311" s="15"/>
      <c r="OWL311" s="13"/>
      <c r="OWM311" s="35"/>
      <c r="OWN311" s="35"/>
      <c r="OWO311" s="15"/>
      <c r="OWQ311" s="13"/>
      <c r="OWR311" s="35"/>
      <c r="OWS311" s="35"/>
      <c r="OWT311" s="15"/>
      <c r="OWV311" s="13"/>
      <c r="OWW311" s="35"/>
      <c r="OWX311" s="35"/>
      <c r="OWY311" s="15"/>
      <c r="OXA311" s="13"/>
      <c r="OXB311" s="35"/>
      <c r="OXC311" s="35"/>
      <c r="OXD311" s="15"/>
      <c r="OXF311" s="13"/>
      <c r="OXG311" s="35"/>
      <c r="OXH311" s="35"/>
      <c r="OXI311" s="15"/>
      <c r="OXK311" s="13"/>
      <c r="OXL311" s="35"/>
      <c r="OXM311" s="35"/>
      <c r="OXN311" s="15"/>
      <c r="OXP311" s="13"/>
      <c r="OXQ311" s="35"/>
      <c r="OXR311" s="35"/>
      <c r="OXS311" s="15"/>
      <c r="OXU311" s="13"/>
      <c r="OXV311" s="35"/>
      <c r="OXW311" s="35"/>
      <c r="OXX311" s="15"/>
      <c r="OXZ311" s="13"/>
      <c r="OYA311" s="35"/>
      <c r="OYB311" s="35"/>
      <c r="OYC311" s="15"/>
      <c r="OYE311" s="13"/>
      <c r="OYF311" s="35"/>
      <c r="OYG311" s="35"/>
      <c r="OYH311" s="15"/>
      <c r="OYJ311" s="13"/>
      <c r="OYK311" s="35"/>
      <c r="OYL311" s="35"/>
      <c r="OYM311" s="15"/>
      <c r="OYO311" s="13"/>
      <c r="OYP311" s="35"/>
      <c r="OYQ311" s="35"/>
      <c r="OYR311" s="15"/>
      <c r="OYT311" s="13"/>
      <c r="OYU311" s="35"/>
      <c r="OYV311" s="35"/>
      <c r="OYW311" s="15"/>
      <c r="OYY311" s="13"/>
      <c r="OYZ311" s="35"/>
      <c r="OZA311" s="35"/>
      <c r="OZB311" s="15"/>
      <c r="OZD311" s="13"/>
      <c r="OZE311" s="35"/>
      <c r="OZF311" s="35"/>
      <c r="OZG311" s="15"/>
      <c r="OZI311" s="13"/>
      <c r="OZJ311" s="35"/>
      <c r="OZK311" s="35"/>
      <c r="OZL311" s="15"/>
      <c r="OZN311" s="13"/>
      <c r="OZO311" s="35"/>
      <c r="OZP311" s="35"/>
      <c r="OZQ311" s="15"/>
      <c r="OZS311" s="13"/>
      <c r="OZT311" s="35"/>
      <c r="OZU311" s="35"/>
      <c r="OZV311" s="15"/>
      <c r="OZX311" s="13"/>
      <c r="OZY311" s="35"/>
      <c r="OZZ311" s="35"/>
      <c r="PAA311" s="15"/>
      <c r="PAC311" s="13"/>
      <c r="PAD311" s="35"/>
      <c r="PAE311" s="35"/>
      <c r="PAF311" s="15"/>
      <c r="PAH311" s="13"/>
      <c r="PAI311" s="35"/>
      <c r="PAJ311" s="35"/>
      <c r="PAK311" s="15"/>
      <c r="PAM311" s="13"/>
      <c r="PAN311" s="35"/>
      <c r="PAO311" s="35"/>
      <c r="PAP311" s="15"/>
      <c r="PAR311" s="13"/>
      <c r="PAS311" s="35"/>
      <c r="PAT311" s="35"/>
      <c r="PAU311" s="15"/>
      <c r="PAW311" s="13"/>
      <c r="PAX311" s="35"/>
      <c r="PAY311" s="35"/>
      <c r="PAZ311" s="15"/>
      <c r="PBB311" s="13"/>
      <c r="PBC311" s="35"/>
      <c r="PBD311" s="35"/>
      <c r="PBE311" s="15"/>
      <c r="PBG311" s="13"/>
      <c r="PBH311" s="35"/>
      <c r="PBI311" s="35"/>
      <c r="PBJ311" s="15"/>
      <c r="PBL311" s="13"/>
      <c r="PBM311" s="35"/>
      <c r="PBN311" s="35"/>
      <c r="PBO311" s="15"/>
      <c r="PBQ311" s="13"/>
      <c r="PBR311" s="35"/>
      <c r="PBS311" s="35"/>
      <c r="PBT311" s="15"/>
      <c r="PBV311" s="13"/>
      <c r="PBW311" s="35"/>
      <c r="PBX311" s="35"/>
      <c r="PBY311" s="15"/>
      <c r="PCA311" s="13"/>
      <c r="PCB311" s="35"/>
      <c r="PCC311" s="35"/>
      <c r="PCD311" s="15"/>
      <c r="PCF311" s="13"/>
      <c r="PCG311" s="35"/>
      <c r="PCH311" s="35"/>
      <c r="PCI311" s="15"/>
      <c r="PCK311" s="13"/>
      <c r="PCL311" s="35"/>
      <c r="PCM311" s="35"/>
      <c r="PCN311" s="15"/>
      <c r="PCP311" s="13"/>
      <c r="PCQ311" s="35"/>
      <c r="PCR311" s="35"/>
      <c r="PCS311" s="15"/>
      <c r="PCU311" s="13"/>
      <c r="PCV311" s="35"/>
      <c r="PCW311" s="35"/>
      <c r="PCX311" s="15"/>
      <c r="PCZ311" s="13"/>
      <c r="PDA311" s="35"/>
      <c r="PDB311" s="35"/>
      <c r="PDC311" s="15"/>
      <c r="PDE311" s="13"/>
      <c r="PDF311" s="35"/>
      <c r="PDG311" s="35"/>
      <c r="PDH311" s="15"/>
      <c r="PDJ311" s="13"/>
      <c r="PDK311" s="35"/>
      <c r="PDL311" s="35"/>
      <c r="PDM311" s="15"/>
      <c r="PDO311" s="13"/>
      <c r="PDP311" s="35"/>
      <c r="PDQ311" s="35"/>
      <c r="PDR311" s="15"/>
      <c r="PDT311" s="13"/>
      <c r="PDU311" s="35"/>
      <c r="PDV311" s="35"/>
      <c r="PDW311" s="15"/>
      <c r="PDY311" s="13"/>
      <c r="PDZ311" s="35"/>
      <c r="PEA311" s="35"/>
      <c r="PEB311" s="15"/>
      <c r="PED311" s="13"/>
      <c r="PEE311" s="35"/>
      <c r="PEF311" s="35"/>
      <c r="PEG311" s="15"/>
      <c r="PEI311" s="13"/>
      <c r="PEJ311" s="35"/>
      <c r="PEK311" s="35"/>
      <c r="PEL311" s="15"/>
      <c r="PEN311" s="13"/>
      <c r="PEO311" s="35"/>
      <c r="PEP311" s="35"/>
      <c r="PEQ311" s="15"/>
      <c r="PES311" s="13"/>
      <c r="PET311" s="35"/>
      <c r="PEU311" s="35"/>
      <c r="PEV311" s="15"/>
      <c r="PEX311" s="13"/>
      <c r="PEY311" s="35"/>
      <c r="PEZ311" s="35"/>
      <c r="PFA311" s="15"/>
      <c r="PFC311" s="13"/>
      <c r="PFD311" s="35"/>
      <c r="PFE311" s="35"/>
      <c r="PFF311" s="15"/>
      <c r="PFH311" s="13"/>
      <c r="PFI311" s="35"/>
      <c r="PFJ311" s="35"/>
      <c r="PFK311" s="15"/>
      <c r="PFM311" s="13"/>
      <c r="PFN311" s="35"/>
      <c r="PFO311" s="35"/>
      <c r="PFP311" s="15"/>
      <c r="PFR311" s="13"/>
      <c r="PFS311" s="35"/>
      <c r="PFT311" s="35"/>
      <c r="PFU311" s="15"/>
      <c r="PFW311" s="13"/>
      <c r="PFX311" s="35"/>
      <c r="PFY311" s="35"/>
      <c r="PFZ311" s="15"/>
      <c r="PGB311" s="13"/>
      <c r="PGC311" s="35"/>
      <c r="PGD311" s="35"/>
      <c r="PGE311" s="15"/>
      <c r="PGG311" s="13"/>
      <c r="PGH311" s="35"/>
      <c r="PGI311" s="35"/>
      <c r="PGJ311" s="15"/>
      <c r="PGL311" s="13"/>
      <c r="PGM311" s="35"/>
      <c r="PGN311" s="35"/>
      <c r="PGO311" s="15"/>
      <c r="PGQ311" s="13"/>
      <c r="PGR311" s="35"/>
      <c r="PGS311" s="35"/>
      <c r="PGT311" s="15"/>
      <c r="PGV311" s="13"/>
      <c r="PGW311" s="35"/>
      <c r="PGX311" s="35"/>
      <c r="PGY311" s="15"/>
      <c r="PHA311" s="13"/>
      <c r="PHB311" s="35"/>
      <c r="PHC311" s="35"/>
      <c r="PHD311" s="15"/>
      <c r="PHF311" s="13"/>
      <c r="PHG311" s="35"/>
      <c r="PHH311" s="35"/>
      <c r="PHI311" s="15"/>
      <c r="PHK311" s="13"/>
      <c r="PHL311" s="35"/>
      <c r="PHM311" s="35"/>
      <c r="PHN311" s="15"/>
      <c r="PHP311" s="13"/>
      <c r="PHQ311" s="35"/>
      <c r="PHR311" s="35"/>
      <c r="PHS311" s="15"/>
      <c r="PHU311" s="13"/>
      <c r="PHV311" s="35"/>
      <c r="PHW311" s="35"/>
      <c r="PHX311" s="15"/>
      <c r="PHZ311" s="13"/>
      <c r="PIA311" s="35"/>
      <c r="PIB311" s="35"/>
      <c r="PIC311" s="15"/>
      <c r="PIE311" s="13"/>
      <c r="PIF311" s="35"/>
      <c r="PIG311" s="35"/>
      <c r="PIH311" s="15"/>
      <c r="PIJ311" s="13"/>
      <c r="PIK311" s="35"/>
      <c r="PIL311" s="35"/>
      <c r="PIM311" s="15"/>
      <c r="PIO311" s="13"/>
      <c r="PIP311" s="35"/>
      <c r="PIQ311" s="35"/>
      <c r="PIR311" s="15"/>
      <c r="PIT311" s="13"/>
      <c r="PIU311" s="35"/>
      <c r="PIV311" s="35"/>
      <c r="PIW311" s="15"/>
      <c r="PIY311" s="13"/>
      <c r="PIZ311" s="35"/>
      <c r="PJA311" s="35"/>
      <c r="PJB311" s="15"/>
      <c r="PJD311" s="13"/>
      <c r="PJE311" s="35"/>
      <c r="PJF311" s="35"/>
      <c r="PJG311" s="15"/>
      <c r="PJI311" s="13"/>
      <c r="PJJ311" s="35"/>
      <c r="PJK311" s="35"/>
      <c r="PJL311" s="15"/>
      <c r="PJN311" s="13"/>
      <c r="PJO311" s="35"/>
      <c r="PJP311" s="35"/>
      <c r="PJQ311" s="15"/>
      <c r="PJS311" s="13"/>
      <c r="PJT311" s="35"/>
      <c r="PJU311" s="35"/>
      <c r="PJV311" s="15"/>
      <c r="PJX311" s="13"/>
      <c r="PJY311" s="35"/>
      <c r="PJZ311" s="35"/>
      <c r="PKA311" s="15"/>
      <c r="PKC311" s="13"/>
      <c r="PKD311" s="35"/>
      <c r="PKE311" s="35"/>
      <c r="PKF311" s="15"/>
      <c r="PKH311" s="13"/>
      <c r="PKI311" s="35"/>
      <c r="PKJ311" s="35"/>
      <c r="PKK311" s="15"/>
      <c r="PKM311" s="13"/>
      <c r="PKN311" s="35"/>
      <c r="PKO311" s="35"/>
      <c r="PKP311" s="15"/>
      <c r="PKR311" s="13"/>
      <c r="PKS311" s="35"/>
      <c r="PKT311" s="35"/>
      <c r="PKU311" s="15"/>
      <c r="PKW311" s="13"/>
      <c r="PKX311" s="35"/>
      <c r="PKY311" s="35"/>
      <c r="PKZ311" s="15"/>
      <c r="PLB311" s="13"/>
      <c r="PLC311" s="35"/>
      <c r="PLD311" s="35"/>
      <c r="PLE311" s="15"/>
      <c r="PLG311" s="13"/>
      <c r="PLH311" s="35"/>
      <c r="PLI311" s="35"/>
      <c r="PLJ311" s="15"/>
      <c r="PLL311" s="13"/>
      <c r="PLM311" s="35"/>
      <c r="PLN311" s="35"/>
      <c r="PLO311" s="15"/>
      <c r="PLQ311" s="13"/>
      <c r="PLR311" s="35"/>
      <c r="PLS311" s="35"/>
      <c r="PLT311" s="15"/>
      <c r="PLV311" s="13"/>
      <c r="PLW311" s="35"/>
      <c r="PLX311" s="35"/>
      <c r="PLY311" s="15"/>
      <c r="PMA311" s="13"/>
      <c r="PMB311" s="35"/>
      <c r="PMC311" s="35"/>
      <c r="PMD311" s="15"/>
      <c r="PMF311" s="13"/>
      <c r="PMG311" s="35"/>
      <c r="PMH311" s="35"/>
      <c r="PMI311" s="15"/>
      <c r="PMK311" s="13"/>
      <c r="PML311" s="35"/>
      <c r="PMM311" s="35"/>
      <c r="PMN311" s="15"/>
      <c r="PMP311" s="13"/>
      <c r="PMQ311" s="35"/>
      <c r="PMR311" s="35"/>
      <c r="PMS311" s="15"/>
      <c r="PMU311" s="13"/>
      <c r="PMV311" s="35"/>
      <c r="PMW311" s="35"/>
      <c r="PMX311" s="15"/>
      <c r="PMZ311" s="13"/>
      <c r="PNA311" s="35"/>
      <c r="PNB311" s="35"/>
      <c r="PNC311" s="15"/>
      <c r="PNE311" s="13"/>
      <c r="PNF311" s="35"/>
      <c r="PNG311" s="35"/>
      <c r="PNH311" s="15"/>
      <c r="PNJ311" s="13"/>
      <c r="PNK311" s="35"/>
      <c r="PNL311" s="35"/>
      <c r="PNM311" s="15"/>
      <c r="PNO311" s="13"/>
      <c r="PNP311" s="35"/>
      <c r="PNQ311" s="35"/>
      <c r="PNR311" s="15"/>
      <c r="PNT311" s="13"/>
      <c r="PNU311" s="35"/>
      <c r="PNV311" s="35"/>
      <c r="PNW311" s="15"/>
      <c r="PNY311" s="13"/>
      <c r="PNZ311" s="35"/>
      <c r="POA311" s="35"/>
      <c r="POB311" s="15"/>
      <c r="POD311" s="13"/>
      <c r="POE311" s="35"/>
      <c r="POF311" s="35"/>
      <c r="POG311" s="15"/>
      <c r="POI311" s="13"/>
      <c r="POJ311" s="35"/>
      <c r="POK311" s="35"/>
      <c r="POL311" s="15"/>
      <c r="PON311" s="13"/>
      <c r="POO311" s="35"/>
      <c r="POP311" s="35"/>
      <c r="POQ311" s="15"/>
      <c r="POS311" s="13"/>
      <c r="POT311" s="35"/>
      <c r="POU311" s="35"/>
      <c r="POV311" s="15"/>
      <c r="POX311" s="13"/>
      <c r="POY311" s="35"/>
      <c r="POZ311" s="35"/>
      <c r="PPA311" s="15"/>
      <c r="PPC311" s="13"/>
      <c r="PPD311" s="35"/>
      <c r="PPE311" s="35"/>
      <c r="PPF311" s="15"/>
      <c r="PPH311" s="13"/>
      <c r="PPI311" s="35"/>
      <c r="PPJ311" s="35"/>
      <c r="PPK311" s="15"/>
      <c r="PPM311" s="13"/>
      <c r="PPN311" s="35"/>
      <c r="PPO311" s="35"/>
      <c r="PPP311" s="15"/>
      <c r="PPR311" s="13"/>
      <c r="PPS311" s="35"/>
      <c r="PPT311" s="35"/>
      <c r="PPU311" s="15"/>
      <c r="PPW311" s="13"/>
      <c r="PPX311" s="35"/>
      <c r="PPY311" s="35"/>
      <c r="PPZ311" s="15"/>
      <c r="PQB311" s="13"/>
      <c r="PQC311" s="35"/>
      <c r="PQD311" s="35"/>
      <c r="PQE311" s="15"/>
      <c r="PQG311" s="13"/>
      <c r="PQH311" s="35"/>
      <c r="PQI311" s="35"/>
      <c r="PQJ311" s="15"/>
      <c r="PQL311" s="13"/>
      <c r="PQM311" s="35"/>
      <c r="PQN311" s="35"/>
      <c r="PQO311" s="15"/>
      <c r="PQQ311" s="13"/>
      <c r="PQR311" s="35"/>
      <c r="PQS311" s="35"/>
      <c r="PQT311" s="15"/>
      <c r="PQV311" s="13"/>
      <c r="PQW311" s="35"/>
      <c r="PQX311" s="35"/>
      <c r="PQY311" s="15"/>
      <c r="PRA311" s="13"/>
      <c r="PRB311" s="35"/>
      <c r="PRC311" s="35"/>
      <c r="PRD311" s="15"/>
      <c r="PRF311" s="13"/>
      <c r="PRG311" s="35"/>
      <c r="PRH311" s="35"/>
      <c r="PRI311" s="15"/>
      <c r="PRK311" s="13"/>
      <c r="PRL311" s="35"/>
      <c r="PRM311" s="35"/>
      <c r="PRN311" s="15"/>
      <c r="PRP311" s="13"/>
      <c r="PRQ311" s="35"/>
      <c r="PRR311" s="35"/>
      <c r="PRS311" s="15"/>
      <c r="PRU311" s="13"/>
      <c r="PRV311" s="35"/>
      <c r="PRW311" s="35"/>
      <c r="PRX311" s="15"/>
      <c r="PRZ311" s="13"/>
      <c r="PSA311" s="35"/>
      <c r="PSB311" s="35"/>
      <c r="PSC311" s="15"/>
      <c r="PSE311" s="13"/>
      <c r="PSF311" s="35"/>
      <c r="PSG311" s="35"/>
      <c r="PSH311" s="15"/>
      <c r="PSJ311" s="13"/>
      <c r="PSK311" s="35"/>
      <c r="PSL311" s="35"/>
      <c r="PSM311" s="15"/>
      <c r="PSO311" s="13"/>
      <c r="PSP311" s="35"/>
      <c r="PSQ311" s="35"/>
      <c r="PSR311" s="15"/>
      <c r="PST311" s="13"/>
      <c r="PSU311" s="35"/>
      <c r="PSV311" s="35"/>
      <c r="PSW311" s="15"/>
      <c r="PSY311" s="13"/>
      <c r="PSZ311" s="35"/>
      <c r="PTA311" s="35"/>
      <c r="PTB311" s="15"/>
      <c r="PTD311" s="13"/>
      <c r="PTE311" s="35"/>
      <c r="PTF311" s="35"/>
      <c r="PTG311" s="15"/>
      <c r="PTI311" s="13"/>
      <c r="PTJ311" s="35"/>
      <c r="PTK311" s="35"/>
      <c r="PTL311" s="15"/>
      <c r="PTN311" s="13"/>
      <c r="PTO311" s="35"/>
      <c r="PTP311" s="35"/>
      <c r="PTQ311" s="15"/>
      <c r="PTS311" s="13"/>
      <c r="PTT311" s="35"/>
      <c r="PTU311" s="35"/>
      <c r="PTV311" s="15"/>
      <c r="PTX311" s="13"/>
      <c r="PTY311" s="35"/>
      <c r="PTZ311" s="35"/>
      <c r="PUA311" s="15"/>
      <c r="PUC311" s="13"/>
      <c r="PUD311" s="35"/>
      <c r="PUE311" s="35"/>
      <c r="PUF311" s="15"/>
      <c r="PUH311" s="13"/>
      <c r="PUI311" s="35"/>
      <c r="PUJ311" s="35"/>
      <c r="PUK311" s="15"/>
      <c r="PUM311" s="13"/>
      <c r="PUN311" s="35"/>
      <c r="PUO311" s="35"/>
      <c r="PUP311" s="15"/>
      <c r="PUR311" s="13"/>
      <c r="PUS311" s="35"/>
      <c r="PUT311" s="35"/>
      <c r="PUU311" s="15"/>
      <c r="PUW311" s="13"/>
      <c r="PUX311" s="35"/>
      <c r="PUY311" s="35"/>
      <c r="PUZ311" s="15"/>
      <c r="PVB311" s="13"/>
      <c r="PVC311" s="35"/>
      <c r="PVD311" s="35"/>
      <c r="PVE311" s="15"/>
      <c r="PVG311" s="13"/>
      <c r="PVH311" s="35"/>
      <c r="PVI311" s="35"/>
      <c r="PVJ311" s="15"/>
      <c r="PVL311" s="13"/>
      <c r="PVM311" s="35"/>
      <c r="PVN311" s="35"/>
      <c r="PVO311" s="15"/>
      <c r="PVQ311" s="13"/>
      <c r="PVR311" s="35"/>
      <c r="PVS311" s="35"/>
      <c r="PVT311" s="15"/>
      <c r="PVV311" s="13"/>
      <c r="PVW311" s="35"/>
      <c r="PVX311" s="35"/>
      <c r="PVY311" s="15"/>
      <c r="PWA311" s="13"/>
      <c r="PWB311" s="35"/>
      <c r="PWC311" s="35"/>
      <c r="PWD311" s="15"/>
      <c r="PWF311" s="13"/>
      <c r="PWG311" s="35"/>
      <c r="PWH311" s="35"/>
      <c r="PWI311" s="15"/>
      <c r="PWK311" s="13"/>
      <c r="PWL311" s="35"/>
      <c r="PWM311" s="35"/>
      <c r="PWN311" s="15"/>
      <c r="PWP311" s="13"/>
      <c r="PWQ311" s="35"/>
      <c r="PWR311" s="35"/>
      <c r="PWS311" s="15"/>
      <c r="PWU311" s="13"/>
      <c r="PWV311" s="35"/>
      <c r="PWW311" s="35"/>
      <c r="PWX311" s="15"/>
      <c r="PWZ311" s="13"/>
      <c r="PXA311" s="35"/>
      <c r="PXB311" s="35"/>
      <c r="PXC311" s="15"/>
      <c r="PXE311" s="13"/>
      <c r="PXF311" s="35"/>
      <c r="PXG311" s="35"/>
      <c r="PXH311" s="15"/>
      <c r="PXJ311" s="13"/>
      <c r="PXK311" s="35"/>
      <c r="PXL311" s="35"/>
      <c r="PXM311" s="15"/>
      <c r="PXO311" s="13"/>
      <c r="PXP311" s="35"/>
      <c r="PXQ311" s="35"/>
      <c r="PXR311" s="15"/>
      <c r="PXT311" s="13"/>
      <c r="PXU311" s="35"/>
      <c r="PXV311" s="35"/>
      <c r="PXW311" s="15"/>
      <c r="PXY311" s="13"/>
      <c r="PXZ311" s="35"/>
      <c r="PYA311" s="35"/>
      <c r="PYB311" s="15"/>
      <c r="PYD311" s="13"/>
      <c r="PYE311" s="35"/>
      <c r="PYF311" s="35"/>
      <c r="PYG311" s="15"/>
      <c r="PYI311" s="13"/>
      <c r="PYJ311" s="35"/>
      <c r="PYK311" s="35"/>
      <c r="PYL311" s="15"/>
      <c r="PYN311" s="13"/>
      <c r="PYO311" s="35"/>
      <c r="PYP311" s="35"/>
      <c r="PYQ311" s="15"/>
      <c r="PYS311" s="13"/>
      <c r="PYT311" s="35"/>
      <c r="PYU311" s="35"/>
      <c r="PYV311" s="15"/>
      <c r="PYX311" s="13"/>
      <c r="PYY311" s="35"/>
      <c r="PYZ311" s="35"/>
      <c r="PZA311" s="15"/>
      <c r="PZC311" s="13"/>
      <c r="PZD311" s="35"/>
      <c r="PZE311" s="35"/>
      <c r="PZF311" s="15"/>
      <c r="PZH311" s="13"/>
      <c r="PZI311" s="35"/>
      <c r="PZJ311" s="35"/>
      <c r="PZK311" s="15"/>
      <c r="PZM311" s="13"/>
      <c r="PZN311" s="35"/>
      <c r="PZO311" s="35"/>
      <c r="PZP311" s="15"/>
      <c r="PZR311" s="13"/>
      <c r="PZS311" s="35"/>
      <c r="PZT311" s="35"/>
      <c r="PZU311" s="15"/>
      <c r="PZW311" s="13"/>
      <c r="PZX311" s="35"/>
      <c r="PZY311" s="35"/>
      <c r="PZZ311" s="15"/>
      <c r="QAB311" s="13"/>
      <c r="QAC311" s="35"/>
      <c r="QAD311" s="35"/>
      <c r="QAE311" s="15"/>
      <c r="QAG311" s="13"/>
      <c r="QAH311" s="35"/>
      <c r="QAI311" s="35"/>
      <c r="QAJ311" s="15"/>
      <c r="QAL311" s="13"/>
      <c r="QAM311" s="35"/>
      <c r="QAN311" s="35"/>
      <c r="QAO311" s="15"/>
      <c r="QAQ311" s="13"/>
      <c r="QAR311" s="35"/>
      <c r="QAS311" s="35"/>
      <c r="QAT311" s="15"/>
      <c r="QAV311" s="13"/>
      <c r="QAW311" s="35"/>
      <c r="QAX311" s="35"/>
      <c r="QAY311" s="15"/>
      <c r="QBA311" s="13"/>
      <c r="QBB311" s="35"/>
      <c r="QBC311" s="35"/>
      <c r="QBD311" s="15"/>
      <c r="QBF311" s="13"/>
      <c r="QBG311" s="35"/>
      <c r="QBH311" s="35"/>
      <c r="QBI311" s="15"/>
      <c r="QBK311" s="13"/>
      <c r="QBL311" s="35"/>
      <c r="QBM311" s="35"/>
      <c r="QBN311" s="15"/>
      <c r="QBP311" s="13"/>
      <c r="QBQ311" s="35"/>
      <c r="QBR311" s="35"/>
      <c r="QBS311" s="15"/>
      <c r="QBU311" s="13"/>
      <c r="QBV311" s="35"/>
      <c r="QBW311" s="35"/>
      <c r="QBX311" s="15"/>
      <c r="QBZ311" s="13"/>
      <c r="QCA311" s="35"/>
      <c r="QCB311" s="35"/>
      <c r="QCC311" s="15"/>
      <c r="QCE311" s="13"/>
      <c r="QCF311" s="35"/>
      <c r="QCG311" s="35"/>
      <c r="QCH311" s="15"/>
      <c r="QCJ311" s="13"/>
      <c r="QCK311" s="35"/>
      <c r="QCL311" s="35"/>
      <c r="QCM311" s="15"/>
      <c r="QCO311" s="13"/>
      <c r="QCP311" s="35"/>
      <c r="QCQ311" s="35"/>
      <c r="QCR311" s="15"/>
      <c r="QCT311" s="13"/>
      <c r="QCU311" s="35"/>
      <c r="QCV311" s="35"/>
      <c r="QCW311" s="15"/>
      <c r="QCY311" s="13"/>
      <c r="QCZ311" s="35"/>
      <c r="QDA311" s="35"/>
      <c r="QDB311" s="15"/>
      <c r="QDD311" s="13"/>
      <c r="QDE311" s="35"/>
      <c r="QDF311" s="35"/>
      <c r="QDG311" s="15"/>
      <c r="QDI311" s="13"/>
      <c r="QDJ311" s="35"/>
      <c r="QDK311" s="35"/>
      <c r="QDL311" s="15"/>
      <c r="QDN311" s="13"/>
      <c r="QDO311" s="35"/>
      <c r="QDP311" s="35"/>
      <c r="QDQ311" s="15"/>
      <c r="QDS311" s="13"/>
      <c r="QDT311" s="35"/>
      <c r="QDU311" s="35"/>
      <c r="QDV311" s="15"/>
      <c r="QDX311" s="13"/>
      <c r="QDY311" s="35"/>
      <c r="QDZ311" s="35"/>
      <c r="QEA311" s="15"/>
      <c r="QEC311" s="13"/>
      <c r="QED311" s="35"/>
      <c r="QEE311" s="35"/>
      <c r="QEF311" s="15"/>
      <c r="QEH311" s="13"/>
      <c r="QEI311" s="35"/>
      <c r="QEJ311" s="35"/>
      <c r="QEK311" s="15"/>
      <c r="QEM311" s="13"/>
      <c r="QEN311" s="35"/>
      <c r="QEO311" s="35"/>
      <c r="QEP311" s="15"/>
      <c r="QER311" s="13"/>
      <c r="QES311" s="35"/>
      <c r="QET311" s="35"/>
      <c r="QEU311" s="15"/>
      <c r="QEW311" s="13"/>
      <c r="QEX311" s="35"/>
      <c r="QEY311" s="35"/>
      <c r="QEZ311" s="15"/>
      <c r="QFB311" s="13"/>
      <c r="QFC311" s="35"/>
      <c r="QFD311" s="35"/>
      <c r="QFE311" s="15"/>
      <c r="QFG311" s="13"/>
      <c r="QFH311" s="35"/>
      <c r="QFI311" s="35"/>
      <c r="QFJ311" s="15"/>
      <c r="QFL311" s="13"/>
      <c r="QFM311" s="35"/>
      <c r="QFN311" s="35"/>
      <c r="QFO311" s="15"/>
      <c r="QFQ311" s="13"/>
      <c r="QFR311" s="35"/>
      <c r="QFS311" s="35"/>
      <c r="QFT311" s="15"/>
      <c r="QFV311" s="13"/>
      <c r="QFW311" s="35"/>
      <c r="QFX311" s="35"/>
      <c r="QFY311" s="15"/>
      <c r="QGA311" s="13"/>
      <c r="QGB311" s="35"/>
      <c r="QGC311" s="35"/>
      <c r="QGD311" s="15"/>
      <c r="QGF311" s="13"/>
      <c r="QGG311" s="35"/>
      <c r="QGH311" s="35"/>
      <c r="QGI311" s="15"/>
      <c r="QGK311" s="13"/>
      <c r="QGL311" s="35"/>
      <c r="QGM311" s="35"/>
      <c r="QGN311" s="15"/>
      <c r="QGP311" s="13"/>
      <c r="QGQ311" s="35"/>
      <c r="QGR311" s="35"/>
      <c r="QGS311" s="15"/>
      <c r="QGU311" s="13"/>
      <c r="QGV311" s="35"/>
      <c r="QGW311" s="35"/>
      <c r="QGX311" s="15"/>
      <c r="QGZ311" s="13"/>
      <c r="QHA311" s="35"/>
      <c r="QHB311" s="35"/>
      <c r="QHC311" s="15"/>
      <c r="QHE311" s="13"/>
      <c r="QHF311" s="35"/>
      <c r="QHG311" s="35"/>
      <c r="QHH311" s="15"/>
      <c r="QHJ311" s="13"/>
      <c r="QHK311" s="35"/>
      <c r="QHL311" s="35"/>
      <c r="QHM311" s="15"/>
      <c r="QHO311" s="13"/>
      <c r="QHP311" s="35"/>
      <c r="QHQ311" s="35"/>
      <c r="QHR311" s="15"/>
      <c r="QHT311" s="13"/>
      <c r="QHU311" s="35"/>
      <c r="QHV311" s="35"/>
      <c r="QHW311" s="15"/>
      <c r="QHY311" s="13"/>
      <c r="QHZ311" s="35"/>
      <c r="QIA311" s="35"/>
      <c r="QIB311" s="15"/>
      <c r="QID311" s="13"/>
      <c r="QIE311" s="35"/>
      <c r="QIF311" s="35"/>
      <c r="QIG311" s="15"/>
      <c r="QII311" s="13"/>
      <c r="QIJ311" s="35"/>
      <c r="QIK311" s="35"/>
      <c r="QIL311" s="15"/>
      <c r="QIN311" s="13"/>
      <c r="QIO311" s="35"/>
      <c r="QIP311" s="35"/>
      <c r="QIQ311" s="15"/>
      <c r="QIS311" s="13"/>
      <c r="QIT311" s="35"/>
      <c r="QIU311" s="35"/>
      <c r="QIV311" s="15"/>
      <c r="QIX311" s="13"/>
      <c r="QIY311" s="35"/>
      <c r="QIZ311" s="35"/>
      <c r="QJA311" s="15"/>
      <c r="QJC311" s="13"/>
      <c r="QJD311" s="35"/>
      <c r="QJE311" s="35"/>
      <c r="QJF311" s="15"/>
      <c r="QJH311" s="13"/>
      <c r="QJI311" s="35"/>
      <c r="QJJ311" s="35"/>
      <c r="QJK311" s="15"/>
      <c r="QJM311" s="13"/>
      <c r="QJN311" s="35"/>
      <c r="QJO311" s="35"/>
      <c r="QJP311" s="15"/>
      <c r="QJR311" s="13"/>
      <c r="QJS311" s="35"/>
      <c r="QJT311" s="35"/>
      <c r="QJU311" s="15"/>
      <c r="QJW311" s="13"/>
      <c r="QJX311" s="35"/>
      <c r="QJY311" s="35"/>
      <c r="QJZ311" s="15"/>
      <c r="QKB311" s="13"/>
      <c r="QKC311" s="35"/>
      <c r="QKD311" s="35"/>
      <c r="QKE311" s="15"/>
      <c r="QKG311" s="13"/>
      <c r="QKH311" s="35"/>
      <c r="QKI311" s="35"/>
      <c r="QKJ311" s="15"/>
      <c r="QKL311" s="13"/>
      <c r="QKM311" s="35"/>
      <c r="QKN311" s="35"/>
      <c r="QKO311" s="15"/>
      <c r="QKQ311" s="13"/>
      <c r="QKR311" s="35"/>
      <c r="QKS311" s="35"/>
      <c r="QKT311" s="15"/>
      <c r="QKV311" s="13"/>
      <c r="QKW311" s="35"/>
      <c r="QKX311" s="35"/>
      <c r="QKY311" s="15"/>
      <c r="QLA311" s="13"/>
      <c r="QLB311" s="35"/>
      <c r="QLC311" s="35"/>
      <c r="QLD311" s="15"/>
      <c r="QLF311" s="13"/>
      <c r="QLG311" s="35"/>
      <c r="QLH311" s="35"/>
      <c r="QLI311" s="15"/>
      <c r="QLK311" s="13"/>
      <c r="QLL311" s="35"/>
      <c r="QLM311" s="35"/>
      <c r="QLN311" s="15"/>
      <c r="QLP311" s="13"/>
      <c r="QLQ311" s="35"/>
      <c r="QLR311" s="35"/>
      <c r="QLS311" s="15"/>
      <c r="QLU311" s="13"/>
      <c r="QLV311" s="35"/>
      <c r="QLW311" s="35"/>
      <c r="QLX311" s="15"/>
      <c r="QLZ311" s="13"/>
      <c r="QMA311" s="35"/>
      <c r="QMB311" s="35"/>
      <c r="QMC311" s="15"/>
      <c r="QME311" s="13"/>
      <c r="QMF311" s="35"/>
      <c r="QMG311" s="35"/>
      <c r="QMH311" s="15"/>
      <c r="QMJ311" s="13"/>
      <c r="QMK311" s="35"/>
      <c r="QML311" s="35"/>
      <c r="QMM311" s="15"/>
      <c r="QMO311" s="13"/>
      <c r="QMP311" s="35"/>
      <c r="QMQ311" s="35"/>
      <c r="QMR311" s="15"/>
      <c r="QMT311" s="13"/>
      <c r="QMU311" s="35"/>
      <c r="QMV311" s="35"/>
      <c r="QMW311" s="15"/>
      <c r="QMY311" s="13"/>
      <c r="QMZ311" s="35"/>
      <c r="QNA311" s="35"/>
      <c r="QNB311" s="15"/>
      <c r="QND311" s="13"/>
      <c r="QNE311" s="35"/>
      <c r="QNF311" s="35"/>
      <c r="QNG311" s="15"/>
      <c r="QNI311" s="13"/>
      <c r="QNJ311" s="35"/>
      <c r="QNK311" s="35"/>
      <c r="QNL311" s="15"/>
      <c r="QNN311" s="13"/>
      <c r="QNO311" s="35"/>
      <c r="QNP311" s="35"/>
      <c r="QNQ311" s="15"/>
      <c r="QNS311" s="13"/>
      <c r="QNT311" s="35"/>
      <c r="QNU311" s="35"/>
      <c r="QNV311" s="15"/>
      <c r="QNX311" s="13"/>
      <c r="QNY311" s="35"/>
      <c r="QNZ311" s="35"/>
      <c r="QOA311" s="15"/>
      <c r="QOC311" s="13"/>
      <c r="QOD311" s="35"/>
      <c r="QOE311" s="35"/>
      <c r="QOF311" s="15"/>
      <c r="QOH311" s="13"/>
      <c r="QOI311" s="35"/>
      <c r="QOJ311" s="35"/>
      <c r="QOK311" s="15"/>
      <c r="QOM311" s="13"/>
      <c r="QON311" s="35"/>
      <c r="QOO311" s="35"/>
      <c r="QOP311" s="15"/>
      <c r="QOR311" s="13"/>
      <c r="QOS311" s="35"/>
      <c r="QOT311" s="35"/>
      <c r="QOU311" s="15"/>
      <c r="QOW311" s="13"/>
      <c r="QOX311" s="35"/>
      <c r="QOY311" s="35"/>
      <c r="QOZ311" s="15"/>
      <c r="QPB311" s="13"/>
      <c r="QPC311" s="35"/>
      <c r="QPD311" s="35"/>
      <c r="QPE311" s="15"/>
      <c r="QPG311" s="13"/>
      <c r="QPH311" s="35"/>
      <c r="QPI311" s="35"/>
      <c r="QPJ311" s="15"/>
      <c r="QPL311" s="13"/>
      <c r="QPM311" s="35"/>
      <c r="QPN311" s="35"/>
      <c r="QPO311" s="15"/>
      <c r="QPQ311" s="13"/>
      <c r="QPR311" s="35"/>
      <c r="QPS311" s="35"/>
      <c r="QPT311" s="15"/>
      <c r="QPV311" s="13"/>
      <c r="QPW311" s="35"/>
      <c r="QPX311" s="35"/>
      <c r="QPY311" s="15"/>
      <c r="QQA311" s="13"/>
      <c r="QQB311" s="35"/>
      <c r="QQC311" s="35"/>
      <c r="QQD311" s="15"/>
      <c r="QQF311" s="13"/>
      <c r="QQG311" s="35"/>
      <c r="QQH311" s="35"/>
      <c r="QQI311" s="15"/>
      <c r="QQK311" s="13"/>
      <c r="QQL311" s="35"/>
      <c r="QQM311" s="35"/>
      <c r="QQN311" s="15"/>
      <c r="QQP311" s="13"/>
      <c r="QQQ311" s="35"/>
      <c r="QQR311" s="35"/>
      <c r="QQS311" s="15"/>
      <c r="QQU311" s="13"/>
      <c r="QQV311" s="35"/>
      <c r="QQW311" s="35"/>
      <c r="QQX311" s="15"/>
      <c r="QQZ311" s="13"/>
      <c r="QRA311" s="35"/>
      <c r="QRB311" s="35"/>
      <c r="QRC311" s="15"/>
      <c r="QRE311" s="13"/>
      <c r="QRF311" s="35"/>
      <c r="QRG311" s="35"/>
      <c r="QRH311" s="15"/>
      <c r="QRJ311" s="13"/>
      <c r="QRK311" s="35"/>
      <c r="QRL311" s="35"/>
      <c r="QRM311" s="15"/>
      <c r="QRO311" s="13"/>
      <c r="QRP311" s="35"/>
      <c r="QRQ311" s="35"/>
      <c r="QRR311" s="15"/>
      <c r="QRT311" s="13"/>
      <c r="QRU311" s="35"/>
      <c r="QRV311" s="35"/>
      <c r="QRW311" s="15"/>
      <c r="QRY311" s="13"/>
      <c r="QRZ311" s="35"/>
      <c r="QSA311" s="35"/>
      <c r="QSB311" s="15"/>
      <c r="QSD311" s="13"/>
      <c r="QSE311" s="35"/>
      <c r="QSF311" s="35"/>
      <c r="QSG311" s="15"/>
      <c r="QSI311" s="13"/>
      <c r="QSJ311" s="35"/>
      <c r="QSK311" s="35"/>
      <c r="QSL311" s="15"/>
      <c r="QSN311" s="13"/>
      <c r="QSO311" s="35"/>
      <c r="QSP311" s="35"/>
      <c r="QSQ311" s="15"/>
      <c r="QSS311" s="13"/>
      <c r="QST311" s="35"/>
      <c r="QSU311" s="35"/>
      <c r="QSV311" s="15"/>
      <c r="QSX311" s="13"/>
      <c r="QSY311" s="35"/>
      <c r="QSZ311" s="35"/>
      <c r="QTA311" s="15"/>
      <c r="QTC311" s="13"/>
      <c r="QTD311" s="35"/>
      <c r="QTE311" s="35"/>
      <c r="QTF311" s="15"/>
      <c r="QTH311" s="13"/>
      <c r="QTI311" s="35"/>
      <c r="QTJ311" s="35"/>
      <c r="QTK311" s="15"/>
      <c r="QTM311" s="13"/>
      <c r="QTN311" s="35"/>
      <c r="QTO311" s="35"/>
      <c r="QTP311" s="15"/>
      <c r="QTR311" s="13"/>
      <c r="QTS311" s="35"/>
      <c r="QTT311" s="35"/>
      <c r="QTU311" s="15"/>
      <c r="QTW311" s="13"/>
      <c r="QTX311" s="35"/>
      <c r="QTY311" s="35"/>
      <c r="QTZ311" s="15"/>
      <c r="QUB311" s="13"/>
      <c r="QUC311" s="35"/>
      <c r="QUD311" s="35"/>
      <c r="QUE311" s="15"/>
      <c r="QUG311" s="13"/>
      <c r="QUH311" s="35"/>
      <c r="QUI311" s="35"/>
      <c r="QUJ311" s="15"/>
      <c r="QUL311" s="13"/>
      <c r="QUM311" s="35"/>
      <c r="QUN311" s="35"/>
      <c r="QUO311" s="15"/>
      <c r="QUQ311" s="13"/>
      <c r="QUR311" s="35"/>
      <c r="QUS311" s="35"/>
      <c r="QUT311" s="15"/>
      <c r="QUV311" s="13"/>
      <c r="QUW311" s="35"/>
      <c r="QUX311" s="35"/>
      <c r="QUY311" s="15"/>
      <c r="QVA311" s="13"/>
      <c r="QVB311" s="35"/>
      <c r="QVC311" s="35"/>
      <c r="QVD311" s="15"/>
      <c r="QVF311" s="13"/>
      <c r="QVG311" s="35"/>
      <c r="QVH311" s="35"/>
      <c r="QVI311" s="15"/>
      <c r="QVK311" s="13"/>
      <c r="QVL311" s="35"/>
      <c r="QVM311" s="35"/>
      <c r="QVN311" s="15"/>
      <c r="QVP311" s="13"/>
      <c r="QVQ311" s="35"/>
      <c r="QVR311" s="35"/>
      <c r="QVS311" s="15"/>
      <c r="QVU311" s="13"/>
      <c r="QVV311" s="35"/>
      <c r="QVW311" s="35"/>
      <c r="QVX311" s="15"/>
      <c r="QVZ311" s="13"/>
      <c r="QWA311" s="35"/>
      <c r="QWB311" s="35"/>
      <c r="QWC311" s="15"/>
      <c r="QWE311" s="13"/>
      <c r="QWF311" s="35"/>
      <c r="QWG311" s="35"/>
      <c r="QWH311" s="15"/>
      <c r="QWJ311" s="13"/>
      <c r="QWK311" s="35"/>
      <c r="QWL311" s="35"/>
      <c r="QWM311" s="15"/>
      <c r="QWO311" s="13"/>
      <c r="QWP311" s="35"/>
      <c r="QWQ311" s="35"/>
      <c r="QWR311" s="15"/>
      <c r="QWT311" s="13"/>
      <c r="QWU311" s="35"/>
      <c r="QWV311" s="35"/>
      <c r="QWW311" s="15"/>
      <c r="QWY311" s="13"/>
      <c r="QWZ311" s="35"/>
      <c r="QXA311" s="35"/>
      <c r="QXB311" s="15"/>
      <c r="QXD311" s="13"/>
      <c r="QXE311" s="35"/>
      <c r="QXF311" s="35"/>
      <c r="QXG311" s="15"/>
      <c r="QXI311" s="13"/>
      <c r="QXJ311" s="35"/>
      <c r="QXK311" s="35"/>
      <c r="QXL311" s="15"/>
      <c r="QXN311" s="13"/>
      <c r="QXO311" s="35"/>
      <c r="QXP311" s="35"/>
      <c r="QXQ311" s="15"/>
      <c r="QXS311" s="13"/>
      <c r="QXT311" s="35"/>
      <c r="QXU311" s="35"/>
      <c r="QXV311" s="15"/>
      <c r="QXX311" s="13"/>
      <c r="QXY311" s="35"/>
      <c r="QXZ311" s="35"/>
      <c r="QYA311" s="15"/>
      <c r="QYC311" s="13"/>
      <c r="QYD311" s="35"/>
      <c r="QYE311" s="35"/>
      <c r="QYF311" s="15"/>
      <c r="QYH311" s="13"/>
      <c r="QYI311" s="35"/>
      <c r="QYJ311" s="35"/>
      <c r="QYK311" s="15"/>
      <c r="QYM311" s="13"/>
      <c r="QYN311" s="35"/>
      <c r="QYO311" s="35"/>
      <c r="QYP311" s="15"/>
      <c r="QYR311" s="13"/>
      <c r="QYS311" s="35"/>
      <c r="QYT311" s="35"/>
      <c r="QYU311" s="15"/>
      <c r="QYW311" s="13"/>
      <c r="QYX311" s="35"/>
      <c r="QYY311" s="35"/>
      <c r="QYZ311" s="15"/>
      <c r="QZB311" s="13"/>
      <c r="QZC311" s="35"/>
      <c r="QZD311" s="35"/>
      <c r="QZE311" s="15"/>
      <c r="QZG311" s="13"/>
      <c r="QZH311" s="35"/>
      <c r="QZI311" s="35"/>
      <c r="QZJ311" s="15"/>
      <c r="QZL311" s="13"/>
      <c r="QZM311" s="35"/>
      <c r="QZN311" s="35"/>
      <c r="QZO311" s="15"/>
      <c r="QZQ311" s="13"/>
      <c r="QZR311" s="35"/>
      <c r="QZS311" s="35"/>
      <c r="QZT311" s="15"/>
      <c r="QZV311" s="13"/>
      <c r="QZW311" s="35"/>
      <c r="QZX311" s="35"/>
      <c r="QZY311" s="15"/>
      <c r="RAA311" s="13"/>
      <c r="RAB311" s="35"/>
      <c r="RAC311" s="35"/>
      <c r="RAD311" s="15"/>
      <c r="RAF311" s="13"/>
      <c r="RAG311" s="35"/>
      <c r="RAH311" s="35"/>
      <c r="RAI311" s="15"/>
      <c r="RAK311" s="13"/>
      <c r="RAL311" s="35"/>
      <c r="RAM311" s="35"/>
      <c r="RAN311" s="15"/>
      <c r="RAP311" s="13"/>
      <c r="RAQ311" s="35"/>
      <c r="RAR311" s="35"/>
      <c r="RAS311" s="15"/>
      <c r="RAU311" s="13"/>
      <c r="RAV311" s="35"/>
      <c r="RAW311" s="35"/>
      <c r="RAX311" s="15"/>
      <c r="RAZ311" s="13"/>
      <c r="RBA311" s="35"/>
      <c r="RBB311" s="35"/>
      <c r="RBC311" s="15"/>
      <c r="RBE311" s="13"/>
      <c r="RBF311" s="35"/>
      <c r="RBG311" s="35"/>
      <c r="RBH311" s="15"/>
      <c r="RBJ311" s="13"/>
      <c r="RBK311" s="35"/>
      <c r="RBL311" s="35"/>
      <c r="RBM311" s="15"/>
      <c r="RBO311" s="13"/>
      <c r="RBP311" s="35"/>
      <c r="RBQ311" s="35"/>
      <c r="RBR311" s="15"/>
      <c r="RBT311" s="13"/>
      <c r="RBU311" s="35"/>
      <c r="RBV311" s="35"/>
      <c r="RBW311" s="15"/>
      <c r="RBY311" s="13"/>
      <c r="RBZ311" s="35"/>
      <c r="RCA311" s="35"/>
      <c r="RCB311" s="15"/>
      <c r="RCD311" s="13"/>
      <c r="RCE311" s="35"/>
      <c r="RCF311" s="35"/>
      <c r="RCG311" s="15"/>
      <c r="RCI311" s="13"/>
      <c r="RCJ311" s="35"/>
      <c r="RCK311" s="35"/>
      <c r="RCL311" s="15"/>
      <c r="RCN311" s="13"/>
      <c r="RCO311" s="35"/>
      <c r="RCP311" s="35"/>
      <c r="RCQ311" s="15"/>
      <c r="RCS311" s="13"/>
      <c r="RCT311" s="35"/>
      <c r="RCU311" s="35"/>
      <c r="RCV311" s="15"/>
      <c r="RCX311" s="13"/>
      <c r="RCY311" s="35"/>
      <c r="RCZ311" s="35"/>
      <c r="RDA311" s="15"/>
      <c r="RDC311" s="13"/>
      <c r="RDD311" s="35"/>
      <c r="RDE311" s="35"/>
      <c r="RDF311" s="15"/>
      <c r="RDH311" s="13"/>
      <c r="RDI311" s="35"/>
      <c r="RDJ311" s="35"/>
      <c r="RDK311" s="15"/>
      <c r="RDM311" s="13"/>
      <c r="RDN311" s="35"/>
      <c r="RDO311" s="35"/>
      <c r="RDP311" s="15"/>
      <c r="RDR311" s="13"/>
      <c r="RDS311" s="35"/>
      <c r="RDT311" s="35"/>
      <c r="RDU311" s="15"/>
      <c r="RDW311" s="13"/>
      <c r="RDX311" s="35"/>
      <c r="RDY311" s="35"/>
      <c r="RDZ311" s="15"/>
      <c r="REB311" s="13"/>
      <c r="REC311" s="35"/>
      <c r="RED311" s="35"/>
      <c r="REE311" s="15"/>
      <c r="REG311" s="13"/>
      <c r="REH311" s="35"/>
      <c r="REI311" s="35"/>
      <c r="REJ311" s="15"/>
      <c r="REL311" s="13"/>
      <c r="REM311" s="35"/>
      <c r="REN311" s="35"/>
      <c r="REO311" s="15"/>
      <c r="REQ311" s="13"/>
      <c r="RER311" s="35"/>
      <c r="RES311" s="35"/>
      <c r="RET311" s="15"/>
      <c r="REV311" s="13"/>
      <c r="REW311" s="35"/>
      <c r="REX311" s="35"/>
      <c r="REY311" s="15"/>
      <c r="RFA311" s="13"/>
      <c r="RFB311" s="35"/>
      <c r="RFC311" s="35"/>
      <c r="RFD311" s="15"/>
      <c r="RFF311" s="13"/>
      <c r="RFG311" s="35"/>
      <c r="RFH311" s="35"/>
      <c r="RFI311" s="15"/>
      <c r="RFK311" s="13"/>
      <c r="RFL311" s="35"/>
      <c r="RFM311" s="35"/>
      <c r="RFN311" s="15"/>
      <c r="RFP311" s="13"/>
      <c r="RFQ311" s="35"/>
      <c r="RFR311" s="35"/>
      <c r="RFS311" s="15"/>
      <c r="RFU311" s="13"/>
      <c r="RFV311" s="35"/>
      <c r="RFW311" s="35"/>
      <c r="RFX311" s="15"/>
      <c r="RFZ311" s="13"/>
      <c r="RGA311" s="35"/>
      <c r="RGB311" s="35"/>
      <c r="RGC311" s="15"/>
      <c r="RGE311" s="13"/>
      <c r="RGF311" s="35"/>
      <c r="RGG311" s="35"/>
      <c r="RGH311" s="15"/>
      <c r="RGJ311" s="13"/>
      <c r="RGK311" s="35"/>
      <c r="RGL311" s="35"/>
      <c r="RGM311" s="15"/>
      <c r="RGO311" s="13"/>
      <c r="RGP311" s="35"/>
      <c r="RGQ311" s="35"/>
      <c r="RGR311" s="15"/>
      <c r="RGT311" s="13"/>
      <c r="RGU311" s="35"/>
      <c r="RGV311" s="35"/>
      <c r="RGW311" s="15"/>
      <c r="RGY311" s="13"/>
      <c r="RGZ311" s="35"/>
      <c r="RHA311" s="35"/>
      <c r="RHB311" s="15"/>
      <c r="RHD311" s="13"/>
      <c r="RHE311" s="35"/>
      <c r="RHF311" s="35"/>
      <c r="RHG311" s="15"/>
      <c r="RHI311" s="13"/>
      <c r="RHJ311" s="35"/>
      <c r="RHK311" s="35"/>
      <c r="RHL311" s="15"/>
      <c r="RHN311" s="13"/>
      <c r="RHO311" s="35"/>
      <c r="RHP311" s="35"/>
      <c r="RHQ311" s="15"/>
      <c r="RHS311" s="13"/>
      <c r="RHT311" s="35"/>
      <c r="RHU311" s="35"/>
      <c r="RHV311" s="15"/>
      <c r="RHX311" s="13"/>
      <c r="RHY311" s="35"/>
      <c r="RHZ311" s="35"/>
      <c r="RIA311" s="15"/>
      <c r="RIC311" s="13"/>
      <c r="RID311" s="35"/>
      <c r="RIE311" s="35"/>
      <c r="RIF311" s="15"/>
      <c r="RIH311" s="13"/>
      <c r="RII311" s="35"/>
      <c r="RIJ311" s="35"/>
      <c r="RIK311" s="15"/>
      <c r="RIM311" s="13"/>
      <c r="RIN311" s="35"/>
      <c r="RIO311" s="35"/>
      <c r="RIP311" s="15"/>
      <c r="RIR311" s="13"/>
      <c r="RIS311" s="35"/>
      <c r="RIT311" s="35"/>
      <c r="RIU311" s="15"/>
      <c r="RIW311" s="13"/>
      <c r="RIX311" s="35"/>
      <c r="RIY311" s="35"/>
      <c r="RIZ311" s="15"/>
      <c r="RJB311" s="13"/>
      <c r="RJC311" s="35"/>
      <c r="RJD311" s="35"/>
      <c r="RJE311" s="15"/>
      <c r="RJG311" s="13"/>
      <c r="RJH311" s="35"/>
      <c r="RJI311" s="35"/>
      <c r="RJJ311" s="15"/>
      <c r="RJL311" s="13"/>
      <c r="RJM311" s="35"/>
      <c r="RJN311" s="35"/>
      <c r="RJO311" s="15"/>
      <c r="RJQ311" s="13"/>
      <c r="RJR311" s="35"/>
      <c r="RJS311" s="35"/>
      <c r="RJT311" s="15"/>
      <c r="RJV311" s="13"/>
      <c r="RJW311" s="35"/>
      <c r="RJX311" s="35"/>
      <c r="RJY311" s="15"/>
      <c r="RKA311" s="13"/>
      <c r="RKB311" s="35"/>
      <c r="RKC311" s="35"/>
      <c r="RKD311" s="15"/>
      <c r="RKF311" s="13"/>
      <c r="RKG311" s="35"/>
      <c r="RKH311" s="35"/>
      <c r="RKI311" s="15"/>
      <c r="RKK311" s="13"/>
      <c r="RKL311" s="35"/>
      <c r="RKM311" s="35"/>
      <c r="RKN311" s="15"/>
      <c r="RKP311" s="13"/>
      <c r="RKQ311" s="35"/>
      <c r="RKR311" s="35"/>
      <c r="RKS311" s="15"/>
      <c r="RKU311" s="13"/>
      <c r="RKV311" s="35"/>
      <c r="RKW311" s="35"/>
      <c r="RKX311" s="15"/>
      <c r="RKZ311" s="13"/>
      <c r="RLA311" s="35"/>
      <c r="RLB311" s="35"/>
      <c r="RLC311" s="15"/>
      <c r="RLE311" s="13"/>
      <c r="RLF311" s="35"/>
      <c r="RLG311" s="35"/>
      <c r="RLH311" s="15"/>
      <c r="RLJ311" s="13"/>
      <c r="RLK311" s="35"/>
      <c r="RLL311" s="35"/>
      <c r="RLM311" s="15"/>
      <c r="RLO311" s="13"/>
      <c r="RLP311" s="35"/>
      <c r="RLQ311" s="35"/>
      <c r="RLR311" s="15"/>
      <c r="RLT311" s="13"/>
      <c r="RLU311" s="35"/>
      <c r="RLV311" s="35"/>
      <c r="RLW311" s="15"/>
      <c r="RLY311" s="13"/>
      <c r="RLZ311" s="35"/>
      <c r="RMA311" s="35"/>
      <c r="RMB311" s="15"/>
      <c r="RMD311" s="13"/>
      <c r="RME311" s="35"/>
      <c r="RMF311" s="35"/>
      <c r="RMG311" s="15"/>
      <c r="RMI311" s="13"/>
      <c r="RMJ311" s="35"/>
      <c r="RMK311" s="35"/>
      <c r="RML311" s="15"/>
      <c r="RMN311" s="13"/>
      <c r="RMO311" s="35"/>
      <c r="RMP311" s="35"/>
      <c r="RMQ311" s="15"/>
      <c r="RMS311" s="13"/>
      <c r="RMT311" s="35"/>
      <c r="RMU311" s="35"/>
      <c r="RMV311" s="15"/>
      <c r="RMX311" s="13"/>
      <c r="RMY311" s="35"/>
      <c r="RMZ311" s="35"/>
      <c r="RNA311" s="15"/>
      <c r="RNC311" s="13"/>
      <c r="RND311" s="35"/>
      <c r="RNE311" s="35"/>
      <c r="RNF311" s="15"/>
      <c r="RNH311" s="13"/>
      <c r="RNI311" s="35"/>
      <c r="RNJ311" s="35"/>
      <c r="RNK311" s="15"/>
      <c r="RNM311" s="13"/>
      <c r="RNN311" s="35"/>
      <c r="RNO311" s="35"/>
      <c r="RNP311" s="15"/>
      <c r="RNR311" s="13"/>
      <c r="RNS311" s="35"/>
      <c r="RNT311" s="35"/>
      <c r="RNU311" s="15"/>
      <c r="RNW311" s="13"/>
      <c r="RNX311" s="35"/>
      <c r="RNY311" s="35"/>
      <c r="RNZ311" s="15"/>
      <c r="ROB311" s="13"/>
      <c r="ROC311" s="35"/>
      <c r="ROD311" s="35"/>
      <c r="ROE311" s="15"/>
      <c r="ROG311" s="13"/>
      <c r="ROH311" s="35"/>
      <c r="ROI311" s="35"/>
      <c r="ROJ311" s="15"/>
      <c r="ROL311" s="13"/>
      <c r="ROM311" s="35"/>
      <c r="RON311" s="35"/>
      <c r="ROO311" s="15"/>
      <c r="ROQ311" s="13"/>
      <c r="ROR311" s="35"/>
      <c r="ROS311" s="35"/>
      <c r="ROT311" s="15"/>
      <c r="ROV311" s="13"/>
      <c r="ROW311" s="35"/>
      <c r="ROX311" s="35"/>
      <c r="ROY311" s="15"/>
      <c r="RPA311" s="13"/>
      <c r="RPB311" s="35"/>
      <c r="RPC311" s="35"/>
      <c r="RPD311" s="15"/>
      <c r="RPF311" s="13"/>
      <c r="RPG311" s="35"/>
      <c r="RPH311" s="35"/>
      <c r="RPI311" s="15"/>
      <c r="RPK311" s="13"/>
      <c r="RPL311" s="35"/>
      <c r="RPM311" s="35"/>
      <c r="RPN311" s="15"/>
      <c r="RPP311" s="13"/>
      <c r="RPQ311" s="35"/>
      <c r="RPR311" s="35"/>
      <c r="RPS311" s="15"/>
      <c r="RPU311" s="13"/>
      <c r="RPV311" s="35"/>
      <c r="RPW311" s="35"/>
      <c r="RPX311" s="15"/>
      <c r="RPZ311" s="13"/>
      <c r="RQA311" s="35"/>
      <c r="RQB311" s="35"/>
      <c r="RQC311" s="15"/>
      <c r="RQE311" s="13"/>
      <c r="RQF311" s="35"/>
      <c r="RQG311" s="35"/>
      <c r="RQH311" s="15"/>
      <c r="RQJ311" s="13"/>
      <c r="RQK311" s="35"/>
      <c r="RQL311" s="35"/>
      <c r="RQM311" s="15"/>
      <c r="RQO311" s="13"/>
      <c r="RQP311" s="35"/>
      <c r="RQQ311" s="35"/>
      <c r="RQR311" s="15"/>
      <c r="RQT311" s="13"/>
      <c r="RQU311" s="35"/>
      <c r="RQV311" s="35"/>
      <c r="RQW311" s="15"/>
      <c r="RQY311" s="13"/>
      <c r="RQZ311" s="35"/>
      <c r="RRA311" s="35"/>
      <c r="RRB311" s="15"/>
      <c r="RRD311" s="13"/>
      <c r="RRE311" s="35"/>
      <c r="RRF311" s="35"/>
      <c r="RRG311" s="15"/>
      <c r="RRI311" s="13"/>
      <c r="RRJ311" s="35"/>
      <c r="RRK311" s="35"/>
      <c r="RRL311" s="15"/>
      <c r="RRN311" s="13"/>
      <c r="RRO311" s="35"/>
      <c r="RRP311" s="35"/>
      <c r="RRQ311" s="15"/>
      <c r="RRS311" s="13"/>
      <c r="RRT311" s="35"/>
      <c r="RRU311" s="35"/>
      <c r="RRV311" s="15"/>
      <c r="RRX311" s="13"/>
      <c r="RRY311" s="35"/>
      <c r="RRZ311" s="35"/>
      <c r="RSA311" s="15"/>
      <c r="RSC311" s="13"/>
      <c r="RSD311" s="35"/>
      <c r="RSE311" s="35"/>
      <c r="RSF311" s="15"/>
      <c r="RSH311" s="13"/>
      <c r="RSI311" s="35"/>
      <c r="RSJ311" s="35"/>
      <c r="RSK311" s="15"/>
      <c r="RSM311" s="13"/>
      <c r="RSN311" s="35"/>
      <c r="RSO311" s="35"/>
      <c r="RSP311" s="15"/>
      <c r="RSR311" s="13"/>
      <c r="RSS311" s="35"/>
      <c r="RST311" s="35"/>
      <c r="RSU311" s="15"/>
      <c r="RSW311" s="13"/>
      <c r="RSX311" s="35"/>
      <c r="RSY311" s="35"/>
      <c r="RSZ311" s="15"/>
      <c r="RTB311" s="13"/>
      <c r="RTC311" s="35"/>
      <c r="RTD311" s="35"/>
      <c r="RTE311" s="15"/>
      <c r="RTG311" s="13"/>
      <c r="RTH311" s="35"/>
      <c r="RTI311" s="35"/>
      <c r="RTJ311" s="15"/>
      <c r="RTL311" s="13"/>
      <c r="RTM311" s="35"/>
      <c r="RTN311" s="35"/>
      <c r="RTO311" s="15"/>
      <c r="RTQ311" s="13"/>
      <c r="RTR311" s="35"/>
      <c r="RTS311" s="35"/>
      <c r="RTT311" s="15"/>
      <c r="RTV311" s="13"/>
      <c r="RTW311" s="35"/>
      <c r="RTX311" s="35"/>
      <c r="RTY311" s="15"/>
      <c r="RUA311" s="13"/>
      <c r="RUB311" s="35"/>
      <c r="RUC311" s="35"/>
      <c r="RUD311" s="15"/>
      <c r="RUF311" s="13"/>
      <c r="RUG311" s="35"/>
      <c r="RUH311" s="35"/>
      <c r="RUI311" s="15"/>
      <c r="RUK311" s="13"/>
      <c r="RUL311" s="35"/>
      <c r="RUM311" s="35"/>
      <c r="RUN311" s="15"/>
      <c r="RUP311" s="13"/>
      <c r="RUQ311" s="35"/>
      <c r="RUR311" s="35"/>
      <c r="RUS311" s="15"/>
      <c r="RUU311" s="13"/>
      <c r="RUV311" s="35"/>
      <c r="RUW311" s="35"/>
      <c r="RUX311" s="15"/>
      <c r="RUZ311" s="13"/>
      <c r="RVA311" s="35"/>
      <c r="RVB311" s="35"/>
      <c r="RVC311" s="15"/>
      <c r="RVE311" s="13"/>
      <c r="RVF311" s="35"/>
      <c r="RVG311" s="35"/>
      <c r="RVH311" s="15"/>
      <c r="RVJ311" s="13"/>
      <c r="RVK311" s="35"/>
      <c r="RVL311" s="35"/>
      <c r="RVM311" s="15"/>
      <c r="RVO311" s="13"/>
      <c r="RVP311" s="35"/>
      <c r="RVQ311" s="35"/>
      <c r="RVR311" s="15"/>
      <c r="RVT311" s="13"/>
      <c r="RVU311" s="35"/>
      <c r="RVV311" s="35"/>
      <c r="RVW311" s="15"/>
      <c r="RVY311" s="13"/>
      <c r="RVZ311" s="35"/>
      <c r="RWA311" s="35"/>
      <c r="RWB311" s="15"/>
      <c r="RWD311" s="13"/>
      <c r="RWE311" s="35"/>
      <c r="RWF311" s="35"/>
      <c r="RWG311" s="15"/>
      <c r="RWI311" s="13"/>
      <c r="RWJ311" s="35"/>
      <c r="RWK311" s="35"/>
      <c r="RWL311" s="15"/>
      <c r="RWN311" s="13"/>
      <c r="RWO311" s="35"/>
      <c r="RWP311" s="35"/>
      <c r="RWQ311" s="15"/>
      <c r="RWS311" s="13"/>
      <c r="RWT311" s="35"/>
      <c r="RWU311" s="35"/>
      <c r="RWV311" s="15"/>
      <c r="RWX311" s="13"/>
      <c r="RWY311" s="35"/>
      <c r="RWZ311" s="35"/>
      <c r="RXA311" s="15"/>
      <c r="RXC311" s="13"/>
      <c r="RXD311" s="35"/>
      <c r="RXE311" s="35"/>
      <c r="RXF311" s="15"/>
      <c r="RXH311" s="13"/>
      <c r="RXI311" s="35"/>
      <c r="RXJ311" s="35"/>
      <c r="RXK311" s="15"/>
      <c r="RXM311" s="13"/>
      <c r="RXN311" s="35"/>
      <c r="RXO311" s="35"/>
      <c r="RXP311" s="15"/>
      <c r="RXR311" s="13"/>
      <c r="RXS311" s="35"/>
      <c r="RXT311" s="35"/>
      <c r="RXU311" s="15"/>
      <c r="RXW311" s="13"/>
      <c r="RXX311" s="35"/>
      <c r="RXY311" s="35"/>
      <c r="RXZ311" s="15"/>
      <c r="RYB311" s="13"/>
      <c r="RYC311" s="35"/>
      <c r="RYD311" s="35"/>
      <c r="RYE311" s="15"/>
      <c r="RYG311" s="13"/>
      <c r="RYH311" s="35"/>
      <c r="RYI311" s="35"/>
      <c r="RYJ311" s="15"/>
      <c r="RYL311" s="13"/>
      <c r="RYM311" s="35"/>
      <c r="RYN311" s="35"/>
      <c r="RYO311" s="15"/>
      <c r="RYQ311" s="13"/>
      <c r="RYR311" s="35"/>
      <c r="RYS311" s="35"/>
      <c r="RYT311" s="15"/>
      <c r="RYV311" s="13"/>
      <c r="RYW311" s="35"/>
      <c r="RYX311" s="35"/>
      <c r="RYY311" s="15"/>
      <c r="RZA311" s="13"/>
      <c r="RZB311" s="35"/>
      <c r="RZC311" s="35"/>
      <c r="RZD311" s="15"/>
      <c r="RZF311" s="13"/>
      <c r="RZG311" s="35"/>
      <c r="RZH311" s="35"/>
      <c r="RZI311" s="15"/>
      <c r="RZK311" s="13"/>
      <c r="RZL311" s="35"/>
      <c r="RZM311" s="35"/>
      <c r="RZN311" s="15"/>
      <c r="RZP311" s="13"/>
      <c r="RZQ311" s="35"/>
      <c r="RZR311" s="35"/>
      <c r="RZS311" s="15"/>
      <c r="RZU311" s="13"/>
      <c r="RZV311" s="35"/>
      <c r="RZW311" s="35"/>
      <c r="RZX311" s="15"/>
      <c r="RZZ311" s="13"/>
      <c r="SAA311" s="35"/>
      <c r="SAB311" s="35"/>
      <c r="SAC311" s="15"/>
      <c r="SAE311" s="13"/>
      <c r="SAF311" s="35"/>
      <c r="SAG311" s="35"/>
      <c r="SAH311" s="15"/>
      <c r="SAJ311" s="13"/>
      <c r="SAK311" s="35"/>
      <c r="SAL311" s="35"/>
      <c r="SAM311" s="15"/>
      <c r="SAO311" s="13"/>
      <c r="SAP311" s="35"/>
      <c r="SAQ311" s="35"/>
      <c r="SAR311" s="15"/>
      <c r="SAT311" s="13"/>
      <c r="SAU311" s="35"/>
      <c r="SAV311" s="35"/>
      <c r="SAW311" s="15"/>
      <c r="SAY311" s="13"/>
      <c r="SAZ311" s="35"/>
      <c r="SBA311" s="35"/>
      <c r="SBB311" s="15"/>
      <c r="SBD311" s="13"/>
      <c r="SBE311" s="35"/>
      <c r="SBF311" s="35"/>
      <c r="SBG311" s="15"/>
      <c r="SBI311" s="13"/>
      <c r="SBJ311" s="35"/>
      <c r="SBK311" s="35"/>
      <c r="SBL311" s="15"/>
      <c r="SBN311" s="13"/>
      <c r="SBO311" s="35"/>
      <c r="SBP311" s="35"/>
      <c r="SBQ311" s="15"/>
      <c r="SBS311" s="13"/>
      <c r="SBT311" s="35"/>
      <c r="SBU311" s="35"/>
      <c r="SBV311" s="15"/>
      <c r="SBX311" s="13"/>
      <c r="SBY311" s="35"/>
      <c r="SBZ311" s="35"/>
      <c r="SCA311" s="15"/>
      <c r="SCC311" s="13"/>
      <c r="SCD311" s="35"/>
      <c r="SCE311" s="35"/>
      <c r="SCF311" s="15"/>
      <c r="SCH311" s="13"/>
      <c r="SCI311" s="35"/>
      <c r="SCJ311" s="35"/>
      <c r="SCK311" s="15"/>
      <c r="SCM311" s="13"/>
      <c r="SCN311" s="35"/>
      <c r="SCO311" s="35"/>
      <c r="SCP311" s="15"/>
      <c r="SCR311" s="13"/>
      <c r="SCS311" s="35"/>
      <c r="SCT311" s="35"/>
      <c r="SCU311" s="15"/>
      <c r="SCW311" s="13"/>
      <c r="SCX311" s="35"/>
      <c r="SCY311" s="35"/>
      <c r="SCZ311" s="15"/>
      <c r="SDB311" s="13"/>
      <c r="SDC311" s="35"/>
      <c r="SDD311" s="35"/>
      <c r="SDE311" s="15"/>
      <c r="SDG311" s="13"/>
      <c r="SDH311" s="35"/>
      <c r="SDI311" s="35"/>
      <c r="SDJ311" s="15"/>
      <c r="SDL311" s="13"/>
      <c r="SDM311" s="35"/>
      <c r="SDN311" s="35"/>
      <c r="SDO311" s="15"/>
      <c r="SDQ311" s="13"/>
      <c r="SDR311" s="35"/>
      <c r="SDS311" s="35"/>
      <c r="SDT311" s="15"/>
      <c r="SDV311" s="13"/>
      <c r="SDW311" s="35"/>
      <c r="SDX311" s="35"/>
      <c r="SDY311" s="15"/>
      <c r="SEA311" s="13"/>
      <c r="SEB311" s="35"/>
      <c r="SEC311" s="35"/>
      <c r="SED311" s="15"/>
      <c r="SEF311" s="13"/>
      <c r="SEG311" s="35"/>
      <c r="SEH311" s="35"/>
      <c r="SEI311" s="15"/>
      <c r="SEK311" s="13"/>
      <c r="SEL311" s="35"/>
      <c r="SEM311" s="35"/>
      <c r="SEN311" s="15"/>
      <c r="SEP311" s="13"/>
      <c r="SEQ311" s="35"/>
      <c r="SER311" s="35"/>
      <c r="SES311" s="15"/>
      <c r="SEU311" s="13"/>
      <c r="SEV311" s="35"/>
      <c r="SEW311" s="35"/>
      <c r="SEX311" s="15"/>
      <c r="SEZ311" s="13"/>
      <c r="SFA311" s="35"/>
      <c r="SFB311" s="35"/>
      <c r="SFC311" s="15"/>
      <c r="SFE311" s="13"/>
      <c r="SFF311" s="35"/>
      <c r="SFG311" s="35"/>
      <c r="SFH311" s="15"/>
      <c r="SFJ311" s="13"/>
      <c r="SFK311" s="35"/>
      <c r="SFL311" s="35"/>
      <c r="SFM311" s="15"/>
      <c r="SFO311" s="13"/>
      <c r="SFP311" s="35"/>
      <c r="SFQ311" s="35"/>
      <c r="SFR311" s="15"/>
      <c r="SFT311" s="13"/>
      <c r="SFU311" s="35"/>
      <c r="SFV311" s="35"/>
      <c r="SFW311" s="15"/>
      <c r="SFY311" s="13"/>
      <c r="SFZ311" s="35"/>
      <c r="SGA311" s="35"/>
      <c r="SGB311" s="15"/>
      <c r="SGD311" s="13"/>
      <c r="SGE311" s="35"/>
      <c r="SGF311" s="35"/>
      <c r="SGG311" s="15"/>
      <c r="SGI311" s="13"/>
      <c r="SGJ311" s="35"/>
      <c r="SGK311" s="35"/>
      <c r="SGL311" s="15"/>
      <c r="SGN311" s="13"/>
      <c r="SGO311" s="35"/>
      <c r="SGP311" s="35"/>
      <c r="SGQ311" s="15"/>
      <c r="SGS311" s="13"/>
      <c r="SGT311" s="35"/>
      <c r="SGU311" s="35"/>
      <c r="SGV311" s="15"/>
      <c r="SGX311" s="13"/>
      <c r="SGY311" s="35"/>
      <c r="SGZ311" s="35"/>
      <c r="SHA311" s="15"/>
      <c r="SHC311" s="13"/>
      <c r="SHD311" s="35"/>
      <c r="SHE311" s="35"/>
      <c r="SHF311" s="15"/>
      <c r="SHH311" s="13"/>
      <c r="SHI311" s="35"/>
      <c r="SHJ311" s="35"/>
      <c r="SHK311" s="15"/>
      <c r="SHM311" s="13"/>
      <c r="SHN311" s="35"/>
      <c r="SHO311" s="35"/>
      <c r="SHP311" s="15"/>
      <c r="SHR311" s="13"/>
      <c r="SHS311" s="35"/>
      <c r="SHT311" s="35"/>
      <c r="SHU311" s="15"/>
      <c r="SHW311" s="13"/>
      <c r="SHX311" s="35"/>
      <c r="SHY311" s="35"/>
      <c r="SHZ311" s="15"/>
      <c r="SIB311" s="13"/>
      <c r="SIC311" s="35"/>
      <c r="SID311" s="35"/>
      <c r="SIE311" s="15"/>
      <c r="SIG311" s="13"/>
      <c r="SIH311" s="35"/>
      <c r="SII311" s="35"/>
      <c r="SIJ311" s="15"/>
      <c r="SIL311" s="13"/>
      <c r="SIM311" s="35"/>
      <c r="SIN311" s="35"/>
      <c r="SIO311" s="15"/>
      <c r="SIQ311" s="13"/>
      <c r="SIR311" s="35"/>
      <c r="SIS311" s="35"/>
      <c r="SIT311" s="15"/>
      <c r="SIV311" s="13"/>
      <c r="SIW311" s="35"/>
      <c r="SIX311" s="35"/>
      <c r="SIY311" s="15"/>
      <c r="SJA311" s="13"/>
      <c r="SJB311" s="35"/>
      <c r="SJC311" s="35"/>
      <c r="SJD311" s="15"/>
      <c r="SJF311" s="13"/>
      <c r="SJG311" s="35"/>
      <c r="SJH311" s="35"/>
      <c r="SJI311" s="15"/>
      <c r="SJK311" s="13"/>
      <c r="SJL311" s="35"/>
      <c r="SJM311" s="35"/>
      <c r="SJN311" s="15"/>
      <c r="SJP311" s="13"/>
      <c r="SJQ311" s="35"/>
      <c r="SJR311" s="35"/>
      <c r="SJS311" s="15"/>
      <c r="SJU311" s="13"/>
      <c r="SJV311" s="35"/>
      <c r="SJW311" s="35"/>
      <c r="SJX311" s="15"/>
      <c r="SJZ311" s="13"/>
      <c r="SKA311" s="35"/>
      <c r="SKB311" s="35"/>
      <c r="SKC311" s="15"/>
      <c r="SKE311" s="13"/>
      <c r="SKF311" s="35"/>
      <c r="SKG311" s="35"/>
      <c r="SKH311" s="15"/>
      <c r="SKJ311" s="13"/>
      <c r="SKK311" s="35"/>
      <c r="SKL311" s="35"/>
      <c r="SKM311" s="15"/>
      <c r="SKO311" s="13"/>
      <c r="SKP311" s="35"/>
      <c r="SKQ311" s="35"/>
      <c r="SKR311" s="15"/>
      <c r="SKT311" s="13"/>
      <c r="SKU311" s="35"/>
      <c r="SKV311" s="35"/>
      <c r="SKW311" s="15"/>
      <c r="SKY311" s="13"/>
      <c r="SKZ311" s="35"/>
      <c r="SLA311" s="35"/>
      <c r="SLB311" s="15"/>
      <c r="SLD311" s="13"/>
      <c r="SLE311" s="35"/>
      <c r="SLF311" s="35"/>
      <c r="SLG311" s="15"/>
      <c r="SLI311" s="13"/>
      <c r="SLJ311" s="35"/>
      <c r="SLK311" s="35"/>
      <c r="SLL311" s="15"/>
      <c r="SLN311" s="13"/>
      <c r="SLO311" s="35"/>
      <c r="SLP311" s="35"/>
      <c r="SLQ311" s="15"/>
      <c r="SLS311" s="13"/>
      <c r="SLT311" s="35"/>
      <c r="SLU311" s="35"/>
      <c r="SLV311" s="15"/>
      <c r="SLX311" s="13"/>
      <c r="SLY311" s="35"/>
      <c r="SLZ311" s="35"/>
      <c r="SMA311" s="15"/>
      <c r="SMC311" s="13"/>
      <c r="SMD311" s="35"/>
      <c r="SME311" s="35"/>
      <c r="SMF311" s="15"/>
      <c r="SMH311" s="13"/>
      <c r="SMI311" s="35"/>
      <c r="SMJ311" s="35"/>
      <c r="SMK311" s="15"/>
      <c r="SMM311" s="13"/>
      <c r="SMN311" s="35"/>
      <c r="SMO311" s="35"/>
      <c r="SMP311" s="15"/>
      <c r="SMR311" s="13"/>
      <c r="SMS311" s="35"/>
      <c r="SMT311" s="35"/>
      <c r="SMU311" s="15"/>
      <c r="SMW311" s="13"/>
      <c r="SMX311" s="35"/>
      <c r="SMY311" s="35"/>
      <c r="SMZ311" s="15"/>
      <c r="SNB311" s="13"/>
      <c r="SNC311" s="35"/>
      <c r="SND311" s="35"/>
      <c r="SNE311" s="15"/>
      <c r="SNG311" s="13"/>
      <c r="SNH311" s="35"/>
      <c r="SNI311" s="35"/>
      <c r="SNJ311" s="15"/>
      <c r="SNL311" s="13"/>
      <c r="SNM311" s="35"/>
      <c r="SNN311" s="35"/>
      <c r="SNO311" s="15"/>
      <c r="SNQ311" s="13"/>
      <c r="SNR311" s="35"/>
      <c r="SNS311" s="35"/>
      <c r="SNT311" s="15"/>
      <c r="SNV311" s="13"/>
      <c r="SNW311" s="35"/>
      <c r="SNX311" s="35"/>
      <c r="SNY311" s="15"/>
      <c r="SOA311" s="13"/>
      <c r="SOB311" s="35"/>
      <c r="SOC311" s="35"/>
      <c r="SOD311" s="15"/>
      <c r="SOF311" s="13"/>
      <c r="SOG311" s="35"/>
      <c r="SOH311" s="35"/>
      <c r="SOI311" s="15"/>
      <c r="SOK311" s="13"/>
      <c r="SOL311" s="35"/>
      <c r="SOM311" s="35"/>
      <c r="SON311" s="15"/>
      <c r="SOP311" s="13"/>
      <c r="SOQ311" s="35"/>
      <c r="SOR311" s="35"/>
      <c r="SOS311" s="15"/>
      <c r="SOU311" s="13"/>
      <c r="SOV311" s="35"/>
      <c r="SOW311" s="35"/>
      <c r="SOX311" s="15"/>
      <c r="SOZ311" s="13"/>
      <c r="SPA311" s="35"/>
      <c r="SPB311" s="35"/>
      <c r="SPC311" s="15"/>
      <c r="SPE311" s="13"/>
      <c r="SPF311" s="35"/>
      <c r="SPG311" s="35"/>
      <c r="SPH311" s="15"/>
      <c r="SPJ311" s="13"/>
      <c r="SPK311" s="35"/>
      <c r="SPL311" s="35"/>
      <c r="SPM311" s="15"/>
      <c r="SPO311" s="13"/>
      <c r="SPP311" s="35"/>
      <c r="SPQ311" s="35"/>
      <c r="SPR311" s="15"/>
      <c r="SPT311" s="13"/>
      <c r="SPU311" s="35"/>
      <c r="SPV311" s="35"/>
      <c r="SPW311" s="15"/>
      <c r="SPY311" s="13"/>
      <c r="SPZ311" s="35"/>
      <c r="SQA311" s="35"/>
      <c r="SQB311" s="15"/>
      <c r="SQD311" s="13"/>
      <c r="SQE311" s="35"/>
      <c r="SQF311" s="35"/>
      <c r="SQG311" s="15"/>
      <c r="SQI311" s="13"/>
      <c r="SQJ311" s="35"/>
      <c r="SQK311" s="35"/>
      <c r="SQL311" s="15"/>
      <c r="SQN311" s="13"/>
      <c r="SQO311" s="35"/>
      <c r="SQP311" s="35"/>
      <c r="SQQ311" s="15"/>
      <c r="SQS311" s="13"/>
      <c r="SQT311" s="35"/>
      <c r="SQU311" s="35"/>
      <c r="SQV311" s="15"/>
      <c r="SQX311" s="13"/>
      <c r="SQY311" s="35"/>
      <c r="SQZ311" s="35"/>
      <c r="SRA311" s="15"/>
      <c r="SRC311" s="13"/>
      <c r="SRD311" s="35"/>
      <c r="SRE311" s="35"/>
      <c r="SRF311" s="15"/>
      <c r="SRH311" s="13"/>
      <c r="SRI311" s="35"/>
      <c r="SRJ311" s="35"/>
      <c r="SRK311" s="15"/>
      <c r="SRM311" s="13"/>
      <c r="SRN311" s="35"/>
      <c r="SRO311" s="35"/>
      <c r="SRP311" s="15"/>
      <c r="SRR311" s="13"/>
      <c r="SRS311" s="35"/>
      <c r="SRT311" s="35"/>
      <c r="SRU311" s="15"/>
      <c r="SRW311" s="13"/>
      <c r="SRX311" s="35"/>
      <c r="SRY311" s="35"/>
      <c r="SRZ311" s="15"/>
      <c r="SSB311" s="13"/>
      <c r="SSC311" s="35"/>
      <c r="SSD311" s="35"/>
      <c r="SSE311" s="15"/>
      <c r="SSG311" s="13"/>
      <c r="SSH311" s="35"/>
      <c r="SSI311" s="35"/>
      <c r="SSJ311" s="15"/>
      <c r="SSL311" s="13"/>
      <c r="SSM311" s="35"/>
      <c r="SSN311" s="35"/>
      <c r="SSO311" s="15"/>
      <c r="SSQ311" s="13"/>
      <c r="SSR311" s="35"/>
      <c r="SSS311" s="35"/>
      <c r="SST311" s="15"/>
      <c r="SSV311" s="13"/>
      <c r="SSW311" s="35"/>
      <c r="SSX311" s="35"/>
      <c r="SSY311" s="15"/>
      <c r="STA311" s="13"/>
      <c r="STB311" s="35"/>
      <c r="STC311" s="35"/>
      <c r="STD311" s="15"/>
      <c r="STF311" s="13"/>
      <c r="STG311" s="35"/>
      <c r="STH311" s="35"/>
      <c r="STI311" s="15"/>
      <c r="STK311" s="13"/>
      <c r="STL311" s="35"/>
      <c r="STM311" s="35"/>
      <c r="STN311" s="15"/>
      <c r="STP311" s="13"/>
      <c r="STQ311" s="35"/>
      <c r="STR311" s="35"/>
      <c r="STS311" s="15"/>
      <c r="STU311" s="13"/>
      <c r="STV311" s="35"/>
      <c r="STW311" s="35"/>
      <c r="STX311" s="15"/>
      <c r="STZ311" s="13"/>
      <c r="SUA311" s="35"/>
      <c r="SUB311" s="35"/>
      <c r="SUC311" s="15"/>
      <c r="SUE311" s="13"/>
      <c r="SUF311" s="35"/>
      <c r="SUG311" s="35"/>
      <c r="SUH311" s="15"/>
      <c r="SUJ311" s="13"/>
      <c r="SUK311" s="35"/>
      <c r="SUL311" s="35"/>
      <c r="SUM311" s="15"/>
      <c r="SUO311" s="13"/>
      <c r="SUP311" s="35"/>
      <c r="SUQ311" s="35"/>
      <c r="SUR311" s="15"/>
      <c r="SUT311" s="13"/>
      <c r="SUU311" s="35"/>
      <c r="SUV311" s="35"/>
      <c r="SUW311" s="15"/>
      <c r="SUY311" s="13"/>
      <c r="SUZ311" s="35"/>
      <c r="SVA311" s="35"/>
      <c r="SVB311" s="15"/>
      <c r="SVD311" s="13"/>
      <c r="SVE311" s="35"/>
      <c r="SVF311" s="35"/>
      <c r="SVG311" s="15"/>
      <c r="SVI311" s="13"/>
      <c r="SVJ311" s="35"/>
      <c r="SVK311" s="35"/>
      <c r="SVL311" s="15"/>
      <c r="SVN311" s="13"/>
      <c r="SVO311" s="35"/>
      <c r="SVP311" s="35"/>
      <c r="SVQ311" s="15"/>
      <c r="SVS311" s="13"/>
      <c r="SVT311" s="35"/>
      <c r="SVU311" s="35"/>
      <c r="SVV311" s="15"/>
      <c r="SVX311" s="13"/>
      <c r="SVY311" s="35"/>
      <c r="SVZ311" s="35"/>
      <c r="SWA311" s="15"/>
      <c r="SWC311" s="13"/>
      <c r="SWD311" s="35"/>
      <c r="SWE311" s="35"/>
      <c r="SWF311" s="15"/>
      <c r="SWH311" s="13"/>
      <c r="SWI311" s="35"/>
      <c r="SWJ311" s="35"/>
      <c r="SWK311" s="15"/>
      <c r="SWM311" s="13"/>
      <c r="SWN311" s="35"/>
      <c r="SWO311" s="35"/>
      <c r="SWP311" s="15"/>
      <c r="SWR311" s="13"/>
      <c r="SWS311" s="35"/>
      <c r="SWT311" s="35"/>
      <c r="SWU311" s="15"/>
      <c r="SWW311" s="13"/>
      <c r="SWX311" s="35"/>
      <c r="SWY311" s="35"/>
      <c r="SWZ311" s="15"/>
      <c r="SXB311" s="13"/>
      <c r="SXC311" s="35"/>
      <c r="SXD311" s="35"/>
      <c r="SXE311" s="15"/>
      <c r="SXG311" s="13"/>
      <c r="SXH311" s="35"/>
      <c r="SXI311" s="35"/>
      <c r="SXJ311" s="15"/>
      <c r="SXL311" s="13"/>
      <c r="SXM311" s="35"/>
      <c r="SXN311" s="35"/>
      <c r="SXO311" s="15"/>
      <c r="SXQ311" s="13"/>
      <c r="SXR311" s="35"/>
      <c r="SXS311" s="35"/>
      <c r="SXT311" s="15"/>
      <c r="SXV311" s="13"/>
      <c r="SXW311" s="35"/>
      <c r="SXX311" s="35"/>
      <c r="SXY311" s="15"/>
      <c r="SYA311" s="13"/>
      <c r="SYB311" s="35"/>
      <c r="SYC311" s="35"/>
      <c r="SYD311" s="15"/>
      <c r="SYF311" s="13"/>
      <c r="SYG311" s="35"/>
      <c r="SYH311" s="35"/>
      <c r="SYI311" s="15"/>
      <c r="SYK311" s="13"/>
      <c r="SYL311" s="35"/>
      <c r="SYM311" s="35"/>
      <c r="SYN311" s="15"/>
      <c r="SYP311" s="13"/>
      <c r="SYQ311" s="35"/>
      <c r="SYR311" s="35"/>
      <c r="SYS311" s="15"/>
      <c r="SYU311" s="13"/>
      <c r="SYV311" s="35"/>
      <c r="SYW311" s="35"/>
      <c r="SYX311" s="15"/>
      <c r="SYZ311" s="13"/>
      <c r="SZA311" s="35"/>
      <c r="SZB311" s="35"/>
      <c r="SZC311" s="15"/>
      <c r="SZE311" s="13"/>
      <c r="SZF311" s="35"/>
      <c r="SZG311" s="35"/>
      <c r="SZH311" s="15"/>
      <c r="SZJ311" s="13"/>
      <c r="SZK311" s="35"/>
      <c r="SZL311" s="35"/>
      <c r="SZM311" s="15"/>
      <c r="SZO311" s="13"/>
      <c r="SZP311" s="35"/>
      <c r="SZQ311" s="35"/>
      <c r="SZR311" s="15"/>
      <c r="SZT311" s="13"/>
      <c r="SZU311" s="35"/>
      <c r="SZV311" s="35"/>
      <c r="SZW311" s="15"/>
      <c r="SZY311" s="13"/>
      <c r="SZZ311" s="35"/>
      <c r="TAA311" s="35"/>
      <c r="TAB311" s="15"/>
      <c r="TAD311" s="13"/>
      <c r="TAE311" s="35"/>
      <c r="TAF311" s="35"/>
      <c r="TAG311" s="15"/>
      <c r="TAI311" s="13"/>
      <c r="TAJ311" s="35"/>
      <c r="TAK311" s="35"/>
      <c r="TAL311" s="15"/>
      <c r="TAN311" s="13"/>
      <c r="TAO311" s="35"/>
      <c r="TAP311" s="35"/>
      <c r="TAQ311" s="15"/>
      <c r="TAS311" s="13"/>
      <c r="TAT311" s="35"/>
      <c r="TAU311" s="35"/>
      <c r="TAV311" s="15"/>
      <c r="TAX311" s="13"/>
      <c r="TAY311" s="35"/>
      <c r="TAZ311" s="35"/>
      <c r="TBA311" s="15"/>
      <c r="TBC311" s="13"/>
      <c r="TBD311" s="35"/>
      <c r="TBE311" s="35"/>
      <c r="TBF311" s="15"/>
      <c r="TBH311" s="13"/>
      <c r="TBI311" s="35"/>
      <c r="TBJ311" s="35"/>
      <c r="TBK311" s="15"/>
      <c r="TBM311" s="13"/>
      <c r="TBN311" s="35"/>
      <c r="TBO311" s="35"/>
      <c r="TBP311" s="15"/>
      <c r="TBR311" s="13"/>
      <c r="TBS311" s="35"/>
      <c r="TBT311" s="35"/>
      <c r="TBU311" s="15"/>
      <c r="TBW311" s="13"/>
      <c r="TBX311" s="35"/>
      <c r="TBY311" s="35"/>
      <c r="TBZ311" s="15"/>
      <c r="TCB311" s="13"/>
      <c r="TCC311" s="35"/>
      <c r="TCD311" s="35"/>
      <c r="TCE311" s="15"/>
      <c r="TCG311" s="13"/>
      <c r="TCH311" s="35"/>
      <c r="TCI311" s="35"/>
      <c r="TCJ311" s="15"/>
      <c r="TCL311" s="13"/>
      <c r="TCM311" s="35"/>
      <c r="TCN311" s="35"/>
      <c r="TCO311" s="15"/>
      <c r="TCQ311" s="13"/>
      <c r="TCR311" s="35"/>
      <c r="TCS311" s="35"/>
      <c r="TCT311" s="15"/>
      <c r="TCV311" s="13"/>
      <c r="TCW311" s="35"/>
      <c r="TCX311" s="35"/>
      <c r="TCY311" s="15"/>
      <c r="TDA311" s="13"/>
      <c r="TDB311" s="35"/>
      <c r="TDC311" s="35"/>
      <c r="TDD311" s="15"/>
      <c r="TDF311" s="13"/>
      <c r="TDG311" s="35"/>
      <c r="TDH311" s="35"/>
      <c r="TDI311" s="15"/>
      <c r="TDK311" s="13"/>
      <c r="TDL311" s="35"/>
      <c r="TDM311" s="35"/>
      <c r="TDN311" s="15"/>
      <c r="TDP311" s="13"/>
      <c r="TDQ311" s="35"/>
      <c r="TDR311" s="35"/>
      <c r="TDS311" s="15"/>
      <c r="TDU311" s="13"/>
      <c r="TDV311" s="35"/>
      <c r="TDW311" s="35"/>
      <c r="TDX311" s="15"/>
      <c r="TDZ311" s="13"/>
      <c r="TEA311" s="35"/>
      <c r="TEB311" s="35"/>
      <c r="TEC311" s="15"/>
      <c r="TEE311" s="13"/>
      <c r="TEF311" s="35"/>
      <c r="TEG311" s="35"/>
      <c r="TEH311" s="15"/>
      <c r="TEJ311" s="13"/>
      <c r="TEK311" s="35"/>
      <c r="TEL311" s="35"/>
      <c r="TEM311" s="15"/>
      <c r="TEO311" s="13"/>
      <c r="TEP311" s="35"/>
      <c r="TEQ311" s="35"/>
      <c r="TER311" s="15"/>
      <c r="TET311" s="13"/>
      <c r="TEU311" s="35"/>
      <c r="TEV311" s="35"/>
      <c r="TEW311" s="15"/>
      <c r="TEY311" s="13"/>
      <c r="TEZ311" s="35"/>
      <c r="TFA311" s="35"/>
      <c r="TFB311" s="15"/>
      <c r="TFD311" s="13"/>
      <c r="TFE311" s="35"/>
      <c r="TFF311" s="35"/>
      <c r="TFG311" s="15"/>
      <c r="TFI311" s="13"/>
      <c r="TFJ311" s="35"/>
      <c r="TFK311" s="35"/>
      <c r="TFL311" s="15"/>
      <c r="TFN311" s="13"/>
      <c r="TFO311" s="35"/>
      <c r="TFP311" s="35"/>
      <c r="TFQ311" s="15"/>
      <c r="TFS311" s="13"/>
      <c r="TFT311" s="35"/>
      <c r="TFU311" s="35"/>
      <c r="TFV311" s="15"/>
      <c r="TFX311" s="13"/>
      <c r="TFY311" s="35"/>
      <c r="TFZ311" s="35"/>
      <c r="TGA311" s="15"/>
      <c r="TGC311" s="13"/>
      <c r="TGD311" s="35"/>
      <c r="TGE311" s="35"/>
      <c r="TGF311" s="15"/>
      <c r="TGH311" s="13"/>
      <c r="TGI311" s="35"/>
      <c r="TGJ311" s="35"/>
      <c r="TGK311" s="15"/>
      <c r="TGM311" s="13"/>
      <c r="TGN311" s="35"/>
      <c r="TGO311" s="35"/>
      <c r="TGP311" s="15"/>
      <c r="TGR311" s="13"/>
      <c r="TGS311" s="35"/>
      <c r="TGT311" s="35"/>
      <c r="TGU311" s="15"/>
      <c r="TGW311" s="13"/>
      <c r="TGX311" s="35"/>
      <c r="TGY311" s="35"/>
      <c r="TGZ311" s="15"/>
      <c r="THB311" s="13"/>
      <c r="THC311" s="35"/>
      <c r="THD311" s="35"/>
      <c r="THE311" s="15"/>
      <c r="THG311" s="13"/>
      <c r="THH311" s="35"/>
      <c r="THI311" s="35"/>
      <c r="THJ311" s="15"/>
      <c r="THL311" s="13"/>
      <c r="THM311" s="35"/>
      <c r="THN311" s="35"/>
      <c r="THO311" s="15"/>
      <c r="THQ311" s="13"/>
      <c r="THR311" s="35"/>
      <c r="THS311" s="35"/>
      <c r="THT311" s="15"/>
      <c r="THV311" s="13"/>
      <c r="THW311" s="35"/>
      <c r="THX311" s="35"/>
      <c r="THY311" s="15"/>
      <c r="TIA311" s="13"/>
      <c r="TIB311" s="35"/>
      <c r="TIC311" s="35"/>
      <c r="TID311" s="15"/>
      <c r="TIF311" s="13"/>
      <c r="TIG311" s="35"/>
      <c r="TIH311" s="35"/>
      <c r="TII311" s="15"/>
      <c r="TIK311" s="13"/>
      <c r="TIL311" s="35"/>
      <c r="TIM311" s="35"/>
      <c r="TIN311" s="15"/>
      <c r="TIP311" s="13"/>
      <c r="TIQ311" s="35"/>
      <c r="TIR311" s="35"/>
      <c r="TIS311" s="15"/>
      <c r="TIU311" s="13"/>
      <c r="TIV311" s="35"/>
      <c r="TIW311" s="35"/>
      <c r="TIX311" s="15"/>
      <c r="TIZ311" s="13"/>
      <c r="TJA311" s="35"/>
      <c r="TJB311" s="35"/>
      <c r="TJC311" s="15"/>
      <c r="TJE311" s="13"/>
      <c r="TJF311" s="35"/>
      <c r="TJG311" s="35"/>
      <c r="TJH311" s="15"/>
      <c r="TJJ311" s="13"/>
      <c r="TJK311" s="35"/>
      <c r="TJL311" s="35"/>
      <c r="TJM311" s="15"/>
      <c r="TJO311" s="13"/>
      <c r="TJP311" s="35"/>
      <c r="TJQ311" s="35"/>
      <c r="TJR311" s="15"/>
      <c r="TJT311" s="13"/>
      <c r="TJU311" s="35"/>
      <c r="TJV311" s="35"/>
      <c r="TJW311" s="15"/>
      <c r="TJY311" s="13"/>
      <c r="TJZ311" s="35"/>
      <c r="TKA311" s="35"/>
      <c r="TKB311" s="15"/>
      <c r="TKD311" s="13"/>
      <c r="TKE311" s="35"/>
      <c r="TKF311" s="35"/>
      <c r="TKG311" s="15"/>
      <c r="TKI311" s="13"/>
      <c r="TKJ311" s="35"/>
      <c r="TKK311" s="35"/>
      <c r="TKL311" s="15"/>
      <c r="TKN311" s="13"/>
      <c r="TKO311" s="35"/>
      <c r="TKP311" s="35"/>
      <c r="TKQ311" s="15"/>
      <c r="TKS311" s="13"/>
      <c r="TKT311" s="35"/>
      <c r="TKU311" s="35"/>
      <c r="TKV311" s="15"/>
      <c r="TKX311" s="13"/>
      <c r="TKY311" s="35"/>
      <c r="TKZ311" s="35"/>
      <c r="TLA311" s="15"/>
      <c r="TLC311" s="13"/>
      <c r="TLD311" s="35"/>
      <c r="TLE311" s="35"/>
      <c r="TLF311" s="15"/>
      <c r="TLH311" s="13"/>
      <c r="TLI311" s="35"/>
      <c r="TLJ311" s="35"/>
      <c r="TLK311" s="15"/>
      <c r="TLM311" s="13"/>
      <c r="TLN311" s="35"/>
      <c r="TLO311" s="35"/>
      <c r="TLP311" s="15"/>
      <c r="TLR311" s="13"/>
      <c r="TLS311" s="35"/>
      <c r="TLT311" s="35"/>
      <c r="TLU311" s="15"/>
      <c r="TLW311" s="13"/>
      <c r="TLX311" s="35"/>
      <c r="TLY311" s="35"/>
      <c r="TLZ311" s="15"/>
      <c r="TMB311" s="13"/>
      <c r="TMC311" s="35"/>
      <c r="TMD311" s="35"/>
      <c r="TME311" s="15"/>
      <c r="TMG311" s="13"/>
      <c r="TMH311" s="35"/>
      <c r="TMI311" s="35"/>
      <c r="TMJ311" s="15"/>
      <c r="TML311" s="13"/>
      <c r="TMM311" s="35"/>
      <c r="TMN311" s="35"/>
      <c r="TMO311" s="15"/>
      <c r="TMQ311" s="13"/>
      <c r="TMR311" s="35"/>
      <c r="TMS311" s="35"/>
      <c r="TMT311" s="15"/>
      <c r="TMV311" s="13"/>
      <c r="TMW311" s="35"/>
      <c r="TMX311" s="35"/>
      <c r="TMY311" s="15"/>
      <c r="TNA311" s="13"/>
      <c r="TNB311" s="35"/>
      <c r="TNC311" s="35"/>
      <c r="TND311" s="15"/>
      <c r="TNF311" s="13"/>
      <c r="TNG311" s="35"/>
      <c r="TNH311" s="35"/>
      <c r="TNI311" s="15"/>
      <c r="TNK311" s="13"/>
      <c r="TNL311" s="35"/>
      <c r="TNM311" s="35"/>
      <c r="TNN311" s="15"/>
      <c r="TNP311" s="13"/>
      <c r="TNQ311" s="35"/>
      <c r="TNR311" s="35"/>
      <c r="TNS311" s="15"/>
      <c r="TNU311" s="13"/>
      <c r="TNV311" s="35"/>
      <c r="TNW311" s="35"/>
      <c r="TNX311" s="15"/>
      <c r="TNZ311" s="13"/>
      <c r="TOA311" s="35"/>
      <c r="TOB311" s="35"/>
      <c r="TOC311" s="15"/>
      <c r="TOE311" s="13"/>
      <c r="TOF311" s="35"/>
      <c r="TOG311" s="35"/>
      <c r="TOH311" s="15"/>
      <c r="TOJ311" s="13"/>
      <c r="TOK311" s="35"/>
      <c r="TOL311" s="35"/>
      <c r="TOM311" s="15"/>
      <c r="TOO311" s="13"/>
      <c r="TOP311" s="35"/>
      <c r="TOQ311" s="35"/>
      <c r="TOR311" s="15"/>
      <c r="TOT311" s="13"/>
      <c r="TOU311" s="35"/>
      <c r="TOV311" s="35"/>
      <c r="TOW311" s="15"/>
      <c r="TOY311" s="13"/>
      <c r="TOZ311" s="35"/>
      <c r="TPA311" s="35"/>
      <c r="TPB311" s="15"/>
      <c r="TPD311" s="13"/>
      <c r="TPE311" s="35"/>
      <c r="TPF311" s="35"/>
      <c r="TPG311" s="15"/>
      <c r="TPI311" s="13"/>
      <c r="TPJ311" s="35"/>
      <c r="TPK311" s="35"/>
      <c r="TPL311" s="15"/>
      <c r="TPN311" s="13"/>
      <c r="TPO311" s="35"/>
      <c r="TPP311" s="35"/>
      <c r="TPQ311" s="15"/>
      <c r="TPS311" s="13"/>
      <c r="TPT311" s="35"/>
      <c r="TPU311" s="35"/>
      <c r="TPV311" s="15"/>
      <c r="TPX311" s="13"/>
      <c r="TPY311" s="35"/>
      <c r="TPZ311" s="35"/>
      <c r="TQA311" s="15"/>
      <c r="TQC311" s="13"/>
      <c r="TQD311" s="35"/>
      <c r="TQE311" s="35"/>
      <c r="TQF311" s="15"/>
      <c r="TQH311" s="13"/>
      <c r="TQI311" s="35"/>
      <c r="TQJ311" s="35"/>
      <c r="TQK311" s="15"/>
      <c r="TQM311" s="13"/>
      <c r="TQN311" s="35"/>
      <c r="TQO311" s="35"/>
      <c r="TQP311" s="15"/>
      <c r="TQR311" s="13"/>
      <c r="TQS311" s="35"/>
      <c r="TQT311" s="35"/>
      <c r="TQU311" s="15"/>
      <c r="TQW311" s="13"/>
      <c r="TQX311" s="35"/>
      <c r="TQY311" s="35"/>
      <c r="TQZ311" s="15"/>
      <c r="TRB311" s="13"/>
      <c r="TRC311" s="35"/>
      <c r="TRD311" s="35"/>
      <c r="TRE311" s="15"/>
      <c r="TRG311" s="13"/>
      <c r="TRH311" s="35"/>
      <c r="TRI311" s="35"/>
      <c r="TRJ311" s="15"/>
      <c r="TRL311" s="13"/>
      <c r="TRM311" s="35"/>
      <c r="TRN311" s="35"/>
      <c r="TRO311" s="15"/>
      <c r="TRQ311" s="13"/>
      <c r="TRR311" s="35"/>
      <c r="TRS311" s="35"/>
      <c r="TRT311" s="15"/>
      <c r="TRV311" s="13"/>
      <c r="TRW311" s="35"/>
      <c r="TRX311" s="35"/>
      <c r="TRY311" s="15"/>
      <c r="TSA311" s="13"/>
      <c r="TSB311" s="35"/>
      <c r="TSC311" s="35"/>
      <c r="TSD311" s="15"/>
      <c r="TSF311" s="13"/>
      <c r="TSG311" s="35"/>
      <c r="TSH311" s="35"/>
      <c r="TSI311" s="15"/>
      <c r="TSK311" s="13"/>
      <c r="TSL311" s="35"/>
      <c r="TSM311" s="35"/>
      <c r="TSN311" s="15"/>
      <c r="TSP311" s="13"/>
      <c r="TSQ311" s="35"/>
      <c r="TSR311" s="35"/>
      <c r="TSS311" s="15"/>
      <c r="TSU311" s="13"/>
      <c r="TSV311" s="35"/>
      <c r="TSW311" s="35"/>
      <c r="TSX311" s="15"/>
      <c r="TSZ311" s="13"/>
      <c r="TTA311" s="35"/>
      <c r="TTB311" s="35"/>
      <c r="TTC311" s="15"/>
      <c r="TTE311" s="13"/>
      <c r="TTF311" s="35"/>
      <c r="TTG311" s="35"/>
      <c r="TTH311" s="15"/>
      <c r="TTJ311" s="13"/>
      <c r="TTK311" s="35"/>
      <c r="TTL311" s="35"/>
      <c r="TTM311" s="15"/>
      <c r="TTO311" s="13"/>
      <c r="TTP311" s="35"/>
      <c r="TTQ311" s="35"/>
      <c r="TTR311" s="15"/>
      <c r="TTT311" s="13"/>
      <c r="TTU311" s="35"/>
      <c r="TTV311" s="35"/>
      <c r="TTW311" s="15"/>
      <c r="TTY311" s="13"/>
      <c r="TTZ311" s="35"/>
      <c r="TUA311" s="35"/>
      <c r="TUB311" s="15"/>
      <c r="TUD311" s="13"/>
      <c r="TUE311" s="35"/>
      <c r="TUF311" s="35"/>
      <c r="TUG311" s="15"/>
      <c r="TUI311" s="13"/>
      <c r="TUJ311" s="35"/>
      <c r="TUK311" s="35"/>
      <c r="TUL311" s="15"/>
      <c r="TUN311" s="13"/>
      <c r="TUO311" s="35"/>
      <c r="TUP311" s="35"/>
      <c r="TUQ311" s="15"/>
      <c r="TUS311" s="13"/>
      <c r="TUT311" s="35"/>
      <c r="TUU311" s="35"/>
      <c r="TUV311" s="15"/>
      <c r="TUX311" s="13"/>
      <c r="TUY311" s="35"/>
      <c r="TUZ311" s="35"/>
      <c r="TVA311" s="15"/>
      <c r="TVC311" s="13"/>
      <c r="TVD311" s="35"/>
      <c r="TVE311" s="35"/>
      <c r="TVF311" s="15"/>
      <c r="TVH311" s="13"/>
      <c r="TVI311" s="35"/>
      <c r="TVJ311" s="35"/>
      <c r="TVK311" s="15"/>
      <c r="TVM311" s="13"/>
      <c r="TVN311" s="35"/>
      <c r="TVO311" s="35"/>
      <c r="TVP311" s="15"/>
      <c r="TVR311" s="13"/>
      <c r="TVS311" s="35"/>
      <c r="TVT311" s="35"/>
      <c r="TVU311" s="15"/>
      <c r="TVW311" s="13"/>
      <c r="TVX311" s="35"/>
      <c r="TVY311" s="35"/>
      <c r="TVZ311" s="15"/>
      <c r="TWB311" s="13"/>
      <c r="TWC311" s="35"/>
      <c r="TWD311" s="35"/>
      <c r="TWE311" s="15"/>
      <c r="TWG311" s="13"/>
      <c r="TWH311" s="35"/>
      <c r="TWI311" s="35"/>
      <c r="TWJ311" s="15"/>
      <c r="TWL311" s="13"/>
      <c r="TWM311" s="35"/>
      <c r="TWN311" s="35"/>
      <c r="TWO311" s="15"/>
      <c r="TWQ311" s="13"/>
      <c r="TWR311" s="35"/>
      <c r="TWS311" s="35"/>
      <c r="TWT311" s="15"/>
      <c r="TWV311" s="13"/>
      <c r="TWW311" s="35"/>
      <c r="TWX311" s="35"/>
      <c r="TWY311" s="15"/>
      <c r="TXA311" s="13"/>
      <c r="TXB311" s="35"/>
      <c r="TXC311" s="35"/>
      <c r="TXD311" s="15"/>
      <c r="TXF311" s="13"/>
      <c r="TXG311" s="35"/>
      <c r="TXH311" s="35"/>
      <c r="TXI311" s="15"/>
      <c r="TXK311" s="13"/>
      <c r="TXL311" s="35"/>
      <c r="TXM311" s="35"/>
      <c r="TXN311" s="15"/>
      <c r="TXP311" s="13"/>
      <c r="TXQ311" s="35"/>
      <c r="TXR311" s="35"/>
      <c r="TXS311" s="15"/>
      <c r="TXU311" s="13"/>
      <c r="TXV311" s="35"/>
      <c r="TXW311" s="35"/>
      <c r="TXX311" s="15"/>
      <c r="TXZ311" s="13"/>
      <c r="TYA311" s="35"/>
      <c r="TYB311" s="35"/>
      <c r="TYC311" s="15"/>
      <c r="TYE311" s="13"/>
      <c r="TYF311" s="35"/>
      <c r="TYG311" s="35"/>
      <c r="TYH311" s="15"/>
      <c r="TYJ311" s="13"/>
      <c r="TYK311" s="35"/>
      <c r="TYL311" s="35"/>
      <c r="TYM311" s="15"/>
      <c r="TYO311" s="13"/>
      <c r="TYP311" s="35"/>
      <c r="TYQ311" s="35"/>
      <c r="TYR311" s="15"/>
      <c r="TYT311" s="13"/>
      <c r="TYU311" s="35"/>
      <c r="TYV311" s="35"/>
      <c r="TYW311" s="15"/>
      <c r="TYY311" s="13"/>
      <c r="TYZ311" s="35"/>
      <c r="TZA311" s="35"/>
      <c r="TZB311" s="15"/>
      <c r="TZD311" s="13"/>
      <c r="TZE311" s="35"/>
      <c r="TZF311" s="35"/>
      <c r="TZG311" s="15"/>
      <c r="TZI311" s="13"/>
      <c r="TZJ311" s="35"/>
      <c r="TZK311" s="35"/>
      <c r="TZL311" s="15"/>
      <c r="TZN311" s="13"/>
      <c r="TZO311" s="35"/>
      <c r="TZP311" s="35"/>
      <c r="TZQ311" s="15"/>
      <c r="TZS311" s="13"/>
      <c r="TZT311" s="35"/>
      <c r="TZU311" s="35"/>
      <c r="TZV311" s="15"/>
      <c r="TZX311" s="13"/>
      <c r="TZY311" s="35"/>
      <c r="TZZ311" s="35"/>
      <c r="UAA311" s="15"/>
      <c r="UAC311" s="13"/>
      <c r="UAD311" s="35"/>
      <c r="UAE311" s="35"/>
      <c r="UAF311" s="15"/>
      <c r="UAH311" s="13"/>
      <c r="UAI311" s="35"/>
      <c r="UAJ311" s="35"/>
      <c r="UAK311" s="15"/>
      <c r="UAM311" s="13"/>
      <c r="UAN311" s="35"/>
      <c r="UAO311" s="35"/>
      <c r="UAP311" s="15"/>
      <c r="UAR311" s="13"/>
      <c r="UAS311" s="35"/>
      <c r="UAT311" s="35"/>
      <c r="UAU311" s="15"/>
      <c r="UAW311" s="13"/>
      <c r="UAX311" s="35"/>
      <c r="UAY311" s="35"/>
      <c r="UAZ311" s="15"/>
      <c r="UBB311" s="13"/>
      <c r="UBC311" s="35"/>
      <c r="UBD311" s="35"/>
      <c r="UBE311" s="15"/>
      <c r="UBG311" s="13"/>
      <c r="UBH311" s="35"/>
      <c r="UBI311" s="35"/>
      <c r="UBJ311" s="15"/>
      <c r="UBL311" s="13"/>
      <c r="UBM311" s="35"/>
      <c r="UBN311" s="35"/>
      <c r="UBO311" s="15"/>
      <c r="UBQ311" s="13"/>
      <c r="UBR311" s="35"/>
      <c r="UBS311" s="35"/>
      <c r="UBT311" s="15"/>
      <c r="UBV311" s="13"/>
      <c r="UBW311" s="35"/>
      <c r="UBX311" s="35"/>
      <c r="UBY311" s="15"/>
      <c r="UCA311" s="13"/>
      <c r="UCB311" s="35"/>
      <c r="UCC311" s="35"/>
      <c r="UCD311" s="15"/>
      <c r="UCF311" s="13"/>
      <c r="UCG311" s="35"/>
      <c r="UCH311" s="35"/>
      <c r="UCI311" s="15"/>
      <c r="UCK311" s="13"/>
      <c r="UCL311" s="35"/>
      <c r="UCM311" s="35"/>
      <c r="UCN311" s="15"/>
      <c r="UCP311" s="13"/>
      <c r="UCQ311" s="35"/>
      <c r="UCR311" s="35"/>
      <c r="UCS311" s="15"/>
      <c r="UCU311" s="13"/>
      <c r="UCV311" s="35"/>
      <c r="UCW311" s="35"/>
      <c r="UCX311" s="15"/>
      <c r="UCZ311" s="13"/>
      <c r="UDA311" s="35"/>
      <c r="UDB311" s="35"/>
      <c r="UDC311" s="15"/>
      <c r="UDE311" s="13"/>
      <c r="UDF311" s="35"/>
      <c r="UDG311" s="35"/>
      <c r="UDH311" s="15"/>
      <c r="UDJ311" s="13"/>
      <c r="UDK311" s="35"/>
      <c r="UDL311" s="35"/>
      <c r="UDM311" s="15"/>
      <c r="UDO311" s="13"/>
      <c r="UDP311" s="35"/>
      <c r="UDQ311" s="35"/>
      <c r="UDR311" s="15"/>
      <c r="UDT311" s="13"/>
      <c r="UDU311" s="35"/>
      <c r="UDV311" s="35"/>
      <c r="UDW311" s="15"/>
      <c r="UDY311" s="13"/>
      <c r="UDZ311" s="35"/>
      <c r="UEA311" s="35"/>
      <c r="UEB311" s="15"/>
      <c r="UED311" s="13"/>
      <c r="UEE311" s="35"/>
      <c r="UEF311" s="35"/>
      <c r="UEG311" s="15"/>
      <c r="UEI311" s="13"/>
      <c r="UEJ311" s="35"/>
      <c r="UEK311" s="35"/>
      <c r="UEL311" s="15"/>
      <c r="UEN311" s="13"/>
      <c r="UEO311" s="35"/>
      <c r="UEP311" s="35"/>
      <c r="UEQ311" s="15"/>
      <c r="UES311" s="13"/>
      <c r="UET311" s="35"/>
      <c r="UEU311" s="35"/>
      <c r="UEV311" s="15"/>
      <c r="UEX311" s="13"/>
      <c r="UEY311" s="35"/>
      <c r="UEZ311" s="35"/>
      <c r="UFA311" s="15"/>
      <c r="UFC311" s="13"/>
      <c r="UFD311" s="35"/>
      <c r="UFE311" s="35"/>
      <c r="UFF311" s="15"/>
      <c r="UFH311" s="13"/>
      <c r="UFI311" s="35"/>
      <c r="UFJ311" s="35"/>
      <c r="UFK311" s="15"/>
      <c r="UFM311" s="13"/>
      <c r="UFN311" s="35"/>
      <c r="UFO311" s="35"/>
      <c r="UFP311" s="15"/>
      <c r="UFR311" s="13"/>
      <c r="UFS311" s="35"/>
      <c r="UFT311" s="35"/>
      <c r="UFU311" s="15"/>
      <c r="UFW311" s="13"/>
      <c r="UFX311" s="35"/>
      <c r="UFY311" s="35"/>
      <c r="UFZ311" s="15"/>
      <c r="UGB311" s="13"/>
      <c r="UGC311" s="35"/>
      <c r="UGD311" s="35"/>
      <c r="UGE311" s="15"/>
      <c r="UGG311" s="13"/>
      <c r="UGH311" s="35"/>
      <c r="UGI311" s="35"/>
      <c r="UGJ311" s="15"/>
      <c r="UGL311" s="13"/>
      <c r="UGM311" s="35"/>
      <c r="UGN311" s="35"/>
      <c r="UGO311" s="15"/>
      <c r="UGQ311" s="13"/>
      <c r="UGR311" s="35"/>
      <c r="UGS311" s="35"/>
      <c r="UGT311" s="15"/>
      <c r="UGV311" s="13"/>
      <c r="UGW311" s="35"/>
      <c r="UGX311" s="35"/>
      <c r="UGY311" s="15"/>
      <c r="UHA311" s="13"/>
      <c r="UHB311" s="35"/>
      <c r="UHC311" s="35"/>
      <c r="UHD311" s="15"/>
      <c r="UHF311" s="13"/>
      <c r="UHG311" s="35"/>
      <c r="UHH311" s="35"/>
      <c r="UHI311" s="15"/>
      <c r="UHK311" s="13"/>
      <c r="UHL311" s="35"/>
      <c r="UHM311" s="35"/>
      <c r="UHN311" s="15"/>
      <c r="UHP311" s="13"/>
      <c r="UHQ311" s="35"/>
      <c r="UHR311" s="35"/>
      <c r="UHS311" s="15"/>
      <c r="UHU311" s="13"/>
      <c r="UHV311" s="35"/>
      <c r="UHW311" s="35"/>
      <c r="UHX311" s="15"/>
      <c r="UHZ311" s="13"/>
      <c r="UIA311" s="35"/>
      <c r="UIB311" s="35"/>
      <c r="UIC311" s="15"/>
      <c r="UIE311" s="13"/>
      <c r="UIF311" s="35"/>
      <c r="UIG311" s="35"/>
      <c r="UIH311" s="15"/>
      <c r="UIJ311" s="13"/>
      <c r="UIK311" s="35"/>
      <c r="UIL311" s="35"/>
      <c r="UIM311" s="15"/>
      <c r="UIO311" s="13"/>
      <c r="UIP311" s="35"/>
      <c r="UIQ311" s="35"/>
      <c r="UIR311" s="15"/>
      <c r="UIT311" s="13"/>
      <c r="UIU311" s="35"/>
      <c r="UIV311" s="35"/>
      <c r="UIW311" s="15"/>
      <c r="UIY311" s="13"/>
      <c r="UIZ311" s="35"/>
      <c r="UJA311" s="35"/>
      <c r="UJB311" s="15"/>
      <c r="UJD311" s="13"/>
      <c r="UJE311" s="35"/>
      <c r="UJF311" s="35"/>
      <c r="UJG311" s="15"/>
      <c r="UJI311" s="13"/>
      <c r="UJJ311" s="35"/>
      <c r="UJK311" s="35"/>
      <c r="UJL311" s="15"/>
      <c r="UJN311" s="13"/>
      <c r="UJO311" s="35"/>
      <c r="UJP311" s="35"/>
      <c r="UJQ311" s="15"/>
      <c r="UJS311" s="13"/>
      <c r="UJT311" s="35"/>
      <c r="UJU311" s="35"/>
      <c r="UJV311" s="15"/>
      <c r="UJX311" s="13"/>
      <c r="UJY311" s="35"/>
      <c r="UJZ311" s="35"/>
      <c r="UKA311" s="15"/>
      <c r="UKC311" s="13"/>
      <c r="UKD311" s="35"/>
      <c r="UKE311" s="35"/>
      <c r="UKF311" s="15"/>
      <c r="UKH311" s="13"/>
      <c r="UKI311" s="35"/>
      <c r="UKJ311" s="35"/>
      <c r="UKK311" s="15"/>
      <c r="UKM311" s="13"/>
      <c r="UKN311" s="35"/>
      <c r="UKO311" s="35"/>
      <c r="UKP311" s="15"/>
      <c r="UKR311" s="13"/>
      <c r="UKS311" s="35"/>
      <c r="UKT311" s="35"/>
      <c r="UKU311" s="15"/>
      <c r="UKW311" s="13"/>
      <c r="UKX311" s="35"/>
      <c r="UKY311" s="35"/>
      <c r="UKZ311" s="15"/>
      <c r="ULB311" s="13"/>
      <c r="ULC311" s="35"/>
      <c r="ULD311" s="35"/>
      <c r="ULE311" s="15"/>
      <c r="ULG311" s="13"/>
      <c r="ULH311" s="35"/>
      <c r="ULI311" s="35"/>
      <c r="ULJ311" s="15"/>
      <c r="ULL311" s="13"/>
      <c r="ULM311" s="35"/>
      <c r="ULN311" s="35"/>
      <c r="ULO311" s="15"/>
      <c r="ULQ311" s="13"/>
      <c r="ULR311" s="35"/>
      <c r="ULS311" s="35"/>
      <c r="ULT311" s="15"/>
      <c r="ULV311" s="13"/>
      <c r="ULW311" s="35"/>
      <c r="ULX311" s="35"/>
      <c r="ULY311" s="15"/>
      <c r="UMA311" s="13"/>
      <c r="UMB311" s="35"/>
      <c r="UMC311" s="35"/>
      <c r="UMD311" s="15"/>
      <c r="UMF311" s="13"/>
      <c r="UMG311" s="35"/>
      <c r="UMH311" s="35"/>
      <c r="UMI311" s="15"/>
      <c r="UMK311" s="13"/>
      <c r="UML311" s="35"/>
      <c r="UMM311" s="35"/>
      <c r="UMN311" s="15"/>
      <c r="UMP311" s="13"/>
      <c r="UMQ311" s="35"/>
      <c r="UMR311" s="35"/>
      <c r="UMS311" s="15"/>
      <c r="UMU311" s="13"/>
      <c r="UMV311" s="35"/>
      <c r="UMW311" s="35"/>
      <c r="UMX311" s="15"/>
      <c r="UMZ311" s="13"/>
      <c r="UNA311" s="35"/>
      <c r="UNB311" s="35"/>
      <c r="UNC311" s="15"/>
      <c r="UNE311" s="13"/>
      <c r="UNF311" s="35"/>
      <c r="UNG311" s="35"/>
      <c r="UNH311" s="15"/>
      <c r="UNJ311" s="13"/>
      <c r="UNK311" s="35"/>
      <c r="UNL311" s="35"/>
      <c r="UNM311" s="15"/>
      <c r="UNO311" s="13"/>
      <c r="UNP311" s="35"/>
      <c r="UNQ311" s="35"/>
      <c r="UNR311" s="15"/>
      <c r="UNT311" s="13"/>
      <c r="UNU311" s="35"/>
      <c r="UNV311" s="35"/>
      <c r="UNW311" s="15"/>
      <c r="UNY311" s="13"/>
      <c r="UNZ311" s="35"/>
      <c r="UOA311" s="35"/>
      <c r="UOB311" s="15"/>
      <c r="UOD311" s="13"/>
      <c r="UOE311" s="35"/>
      <c r="UOF311" s="35"/>
      <c r="UOG311" s="15"/>
      <c r="UOI311" s="13"/>
      <c r="UOJ311" s="35"/>
      <c r="UOK311" s="35"/>
      <c r="UOL311" s="15"/>
      <c r="UON311" s="13"/>
      <c r="UOO311" s="35"/>
      <c r="UOP311" s="35"/>
      <c r="UOQ311" s="15"/>
      <c r="UOS311" s="13"/>
      <c r="UOT311" s="35"/>
      <c r="UOU311" s="35"/>
      <c r="UOV311" s="15"/>
      <c r="UOX311" s="13"/>
      <c r="UOY311" s="35"/>
      <c r="UOZ311" s="35"/>
      <c r="UPA311" s="15"/>
      <c r="UPC311" s="13"/>
      <c r="UPD311" s="35"/>
      <c r="UPE311" s="35"/>
      <c r="UPF311" s="15"/>
      <c r="UPH311" s="13"/>
      <c r="UPI311" s="35"/>
      <c r="UPJ311" s="35"/>
      <c r="UPK311" s="15"/>
      <c r="UPM311" s="13"/>
      <c r="UPN311" s="35"/>
      <c r="UPO311" s="35"/>
      <c r="UPP311" s="15"/>
      <c r="UPR311" s="13"/>
      <c r="UPS311" s="35"/>
      <c r="UPT311" s="35"/>
      <c r="UPU311" s="15"/>
      <c r="UPW311" s="13"/>
      <c r="UPX311" s="35"/>
      <c r="UPY311" s="35"/>
      <c r="UPZ311" s="15"/>
      <c r="UQB311" s="13"/>
      <c r="UQC311" s="35"/>
      <c r="UQD311" s="35"/>
      <c r="UQE311" s="15"/>
      <c r="UQG311" s="13"/>
      <c r="UQH311" s="35"/>
      <c r="UQI311" s="35"/>
      <c r="UQJ311" s="15"/>
      <c r="UQL311" s="13"/>
      <c r="UQM311" s="35"/>
      <c r="UQN311" s="35"/>
      <c r="UQO311" s="15"/>
      <c r="UQQ311" s="13"/>
      <c r="UQR311" s="35"/>
      <c r="UQS311" s="35"/>
      <c r="UQT311" s="15"/>
      <c r="UQV311" s="13"/>
      <c r="UQW311" s="35"/>
      <c r="UQX311" s="35"/>
      <c r="UQY311" s="15"/>
      <c r="URA311" s="13"/>
      <c r="URB311" s="35"/>
      <c r="URC311" s="35"/>
      <c r="URD311" s="15"/>
      <c r="URF311" s="13"/>
      <c r="URG311" s="35"/>
      <c r="URH311" s="35"/>
      <c r="URI311" s="15"/>
      <c r="URK311" s="13"/>
      <c r="URL311" s="35"/>
      <c r="URM311" s="35"/>
      <c r="URN311" s="15"/>
      <c r="URP311" s="13"/>
      <c r="URQ311" s="35"/>
      <c r="URR311" s="35"/>
      <c r="URS311" s="15"/>
      <c r="URU311" s="13"/>
      <c r="URV311" s="35"/>
      <c r="URW311" s="35"/>
      <c r="URX311" s="15"/>
      <c r="URZ311" s="13"/>
      <c r="USA311" s="35"/>
      <c r="USB311" s="35"/>
      <c r="USC311" s="15"/>
      <c r="USE311" s="13"/>
      <c r="USF311" s="35"/>
      <c r="USG311" s="35"/>
      <c r="USH311" s="15"/>
      <c r="USJ311" s="13"/>
      <c r="USK311" s="35"/>
      <c r="USL311" s="35"/>
      <c r="USM311" s="15"/>
      <c r="USO311" s="13"/>
      <c r="USP311" s="35"/>
      <c r="USQ311" s="35"/>
      <c r="USR311" s="15"/>
      <c r="UST311" s="13"/>
      <c r="USU311" s="35"/>
      <c r="USV311" s="35"/>
      <c r="USW311" s="15"/>
      <c r="USY311" s="13"/>
      <c r="USZ311" s="35"/>
      <c r="UTA311" s="35"/>
      <c r="UTB311" s="15"/>
      <c r="UTD311" s="13"/>
      <c r="UTE311" s="35"/>
      <c r="UTF311" s="35"/>
      <c r="UTG311" s="15"/>
      <c r="UTI311" s="13"/>
      <c r="UTJ311" s="35"/>
      <c r="UTK311" s="35"/>
      <c r="UTL311" s="15"/>
      <c r="UTN311" s="13"/>
      <c r="UTO311" s="35"/>
      <c r="UTP311" s="35"/>
      <c r="UTQ311" s="15"/>
      <c r="UTS311" s="13"/>
      <c r="UTT311" s="35"/>
      <c r="UTU311" s="35"/>
      <c r="UTV311" s="15"/>
      <c r="UTX311" s="13"/>
      <c r="UTY311" s="35"/>
      <c r="UTZ311" s="35"/>
      <c r="UUA311" s="15"/>
      <c r="UUC311" s="13"/>
      <c r="UUD311" s="35"/>
      <c r="UUE311" s="35"/>
      <c r="UUF311" s="15"/>
      <c r="UUH311" s="13"/>
      <c r="UUI311" s="35"/>
      <c r="UUJ311" s="35"/>
      <c r="UUK311" s="15"/>
      <c r="UUM311" s="13"/>
      <c r="UUN311" s="35"/>
      <c r="UUO311" s="35"/>
      <c r="UUP311" s="15"/>
      <c r="UUR311" s="13"/>
      <c r="UUS311" s="35"/>
      <c r="UUT311" s="35"/>
      <c r="UUU311" s="15"/>
      <c r="UUW311" s="13"/>
      <c r="UUX311" s="35"/>
      <c r="UUY311" s="35"/>
      <c r="UUZ311" s="15"/>
      <c r="UVB311" s="13"/>
      <c r="UVC311" s="35"/>
      <c r="UVD311" s="35"/>
      <c r="UVE311" s="15"/>
      <c r="UVG311" s="13"/>
      <c r="UVH311" s="35"/>
      <c r="UVI311" s="35"/>
      <c r="UVJ311" s="15"/>
      <c r="UVL311" s="13"/>
      <c r="UVM311" s="35"/>
      <c r="UVN311" s="35"/>
      <c r="UVO311" s="15"/>
      <c r="UVQ311" s="13"/>
      <c r="UVR311" s="35"/>
      <c r="UVS311" s="35"/>
      <c r="UVT311" s="15"/>
      <c r="UVV311" s="13"/>
      <c r="UVW311" s="35"/>
      <c r="UVX311" s="35"/>
      <c r="UVY311" s="15"/>
      <c r="UWA311" s="13"/>
      <c r="UWB311" s="35"/>
      <c r="UWC311" s="35"/>
      <c r="UWD311" s="15"/>
      <c r="UWF311" s="13"/>
      <c r="UWG311" s="35"/>
      <c r="UWH311" s="35"/>
      <c r="UWI311" s="15"/>
      <c r="UWK311" s="13"/>
      <c r="UWL311" s="35"/>
      <c r="UWM311" s="35"/>
      <c r="UWN311" s="15"/>
      <c r="UWP311" s="13"/>
      <c r="UWQ311" s="35"/>
      <c r="UWR311" s="35"/>
      <c r="UWS311" s="15"/>
      <c r="UWU311" s="13"/>
      <c r="UWV311" s="35"/>
      <c r="UWW311" s="35"/>
      <c r="UWX311" s="15"/>
      <c r="UWZ311" s="13"/>
      <c r="UXA311" s="35"/>
      <c r="UXB311" s="35"/>
      <c r="UXC311" s="15"/>
      <c r="UXE311" s="13"/>
      <c r="UXF311" s="35"/>
      <c r="UXG311" s="35"/>
      <c r="UXH311" s="15"/>
      <c r="UXJ311" s="13"/>
      <c r="UXK311" s="35"/>
      <c r="UXL311" s="35"/>
      <c r="UXM311" s="15"/>
      <c r="UXO311" s="13"/>
      <c r="UXP311" s="35"/>
      <c r="UXQ311" s="35"/>
      <c r="UXR311" s="15"/>
      <c r="UXT311" s="13"/>
      <c r="UXU311" s="35"/>
      <c r="UXV311" s="35"/>
      <c r="UXW311" s="15"/>
      <c r="UXY311" s="13"/>
      <c r="UXZ311" s="35"/>
      <c r="UYA311" s="35"/>
      <c r="UYB311" s="15"/>
      <c r="UYD311" s="13"/>
      <c r="UYE311" s="35"/>
      <c r="UYF311" s="35"/>
      <c r="UYG311" s="15"/>
      <c r="UYI311" s="13"/>
      <c r="UYJ311" s="35"/>
      <c r="UYK311" s="35"/>
      <c r="UYL311" s="15"/>
      <c r="UYN311" s="13"/>
      <c r="UYO311" s="35"/>
      <c r="UYP311" s="35"/>
      <c r="UYQ311" s="15"/>
      <c r="UYS311" s="13"/>
      <c r="UYT311" s="35"/>
      <c r="UYU311" s="35"/>
      <c r="UYV311" s="15"/>
      <c r="UYX311" s="13"/>
      <c r="UYY311" s="35"/>
      <c r="UYZ311" s="35"/>
      <c r="UZA311" s="15"/>
      <c r="UZC311" s="13"/>
      <c r="UZD311" s="35"/>
      <c r="UZE311" s="35"/>
      <c r="UZF311" s="15"/>
      <c r="UZH311" s="13"/>
      <c r="UZI311" s="35"/>
      <c r="UZJ311" s="35"/>
      <c r="UZK311" s="15"/>
      <c r="UZM311" s="13"/>
      <c r="UZN311" s="35"/>
      <c r="UZO311" s="35"/>
      <c r="UZP311" s="15"/>
      <c r="UZR311" s="13"/>
      <c r="UZS311" s="35"/>
      <c r="UZT311" s="35"/>
      <c r="UZU311" s="15"/>
      <c r="UZW311" s="13"/>
      <c r="UZX311" s="35"/>
      <c r="UZY311" s="35"/>
      <c r="UZZ311" s="15"/>
      <c r="VAB311" s="13"/>
      <c r="VAC311" s="35"/>
      <c r="VAD311" s="35"/>
      <c r="VAE311" s="15"/>
      <c r="VAG311" s="13"/>
      <c r="VAH311" s="35"/>
      <c r="VAI311" s="35"/>
      <c r="VAJ311" s="15"/>
      <c r="VAL311" s="13"/>
      <c r="VAM311" s="35"/>
      <c r="VAN311" s="35"/>
      <c r="VAO311" s="15"/>
      <c r="VAQ311" s="13"/>
      <c r="VAR311" s="35"/>
      <c r="VAS311" s="35"/>
      <c r="VAT311" s="15"/>
      <c r="VAV311" s="13"/>
      <c r="VAW311" s="35"/>
      <c r="VAX311" s="35"/>
      <c r="VAY311" s="15"/>
      <c r="VBA311" s="13"/>
      <c r="VBB311" s="35"/>
      <c r="VBC311" s="35"/>
      <c r="VBD311" s="15"/>
      <c r="VBF311" s="13"/>
      <c r="VBG311" s="35"/>
      <c r="VBH311" s="35"/>
      <c r="VBI311" s="15"/>
      <c r="VBK311" s="13"/>
      <c r="VBL311" s="35"/>
      <c r="VBM311" s="35"/>
      <c r="VBN311" s="15"/>
      <c r="VBP311" s="13"/>
      <c r="VBQ311" s="35"/>
      <c r="VBR311" s="35"/>
      <c r="VBS311" s="15"/>
      <c r="VBU311" s="13"/>
      <c r="VBV311" s="35"/>
      <c r="VBW311" s="35"/>
      <c r="VBX311" s="15"/>
      <c r="VBZ311" s="13"/>
      <c r="VCA311" s="35"/>
      <c r="VCB311" s="35"/>
      <c r="VCC311" s="15"/>
      <c r="VCE311" s="13"/>
      <c r="VCF311" s="35"/>
      <c r="VCG311" s="35"/>
      <c r="VCH311" s="15"/>
      <c r="VCJ311" s="13"/>
      <c r="VCK311" s="35"/>
      <c r="VCL311" s="35"/>
      <c r="VCM311" s="15"/>
      <c r="VCO311" s="13"/>
      <c r="VCP311" s="35"/>
      <c r="VCQ311" s="35"/>
      <c r="VCR311" s="15"/>
      <c r="VCT311" s="13"/>
      <c r="VCU311" s="35"/>
      <c r="VCV311" s="35"/>
      <c r="VCW311" s="15"/>
      <c r="VCY311" s="13"/>
      <c r="VCZ311" s="35"/>
      <c r="VDA311" s="35"/>
      <c r="VDB311" s="15"/>
      <c r="VDD311" s="13"/>
      <c r="VDE311" s="35"/>
      <c r="VDF311" s="35"/>
      <c r="VDG311" s="15"/>
      <c r="VDI311" s="13"/>
      <c r="VDJ311" s="35"/>
      <c r="VDK311" s="35"/>
      <c r="VDL311" s="15"/>
      <c r="VDN311" s="13"/>
      <c r="VDO311" s="35"/>
      <c r="VDP311" s="35"/>
      <c r="VDQ311" s="15"/>
      <c r="VDS311" s="13"/>
      <c r="VDT311" s="35"/>
      <c r="VDU311" s="35"/>
      <c r="VDV311" s="15"/>
      <c r="VDX311" s="13"/>
      <c r="VDY311" s="35"/>
      <c r="VDZ311" s="35"/>
      <c r="VEA311" s="15"/>
      <c r="VEC311" s="13"/>
      <c r="VED311" s="35"/>
      <c r="VEE311" s="35"/>
      <c r="VEF311" s="15"/>
      <c r="VEH311" s="13"/>
      <c r="VEI311" s="35"/>
      <c r="VEJ311" s="35"/>
      <c r="VEK311" s="15"/>
      <c r="VEM311" s="13"/>
      <c r="VEN311" s="35"/>
      <c r="VEO311" s="35"/>
      <c r="VEP311" s="15"/>
      <c r="VER311" s="13"/>
      <c r="VES311" s="35"/>
      <c r="VET311" s="35"/>
      <c r="VEU311" s="15"/>
      <c r="VEW311" s="13"/>
      <c r="VEX311" s="35"/>
      <c r="VEY311" s="35"/>
      <c r="VEZ311" s="15"/>
      <c r="VFB311" s="13"/>
      <c r="VFC311" s="35"/>
      <c r="VFD311" s="35"/>
      <c r="VFE311" s="15"/>
      <c r="VFG311" s="13"/>
      <c r="VFH311" s="35"/>
      <c r="VFI311" s="35"/>
      <c r="VFJ311" s="15"/>
      <c r="VFL311" s="13"/>
      <c r="VFM311" s="35"/>
      <c r="VFN311" s="35"/>
      <c r="VFO311" s="15"/>
      <c r="VFQ311" s="13"/>
      <c r="VFR311" s="35"/>
      <c r="VFS311" s="35"/>
      <c r="VFT311" s="15"/>
      <c r="VFV311" s="13"/>
      <c r="VFW311" s="35"/>
      <c r="VFX311" s="35"/>
      <c r="VFY311" s="15"/>
      <c r="VGA311" s="13"/>
      <c r="VGB311" s="35"/>
      <c r="VGC311" s="35"/>
      <c r="VGD311" s="15"/>
      <c r="VGF311" s="13"/>
      <c r="VGG311" s="35"/>
      <c r="VGH311" s="35"/>
      <c r="VGI311" s="15"/>
      <c r="VGK311" s="13"/>
      <c r="VGL311" s="35"/>
      <c r="VGM311" s="35"/>
      <c r="VGN311" s="15"/>
      <c r="VGP311" s="13"/>
      <c r="VGQ311" s="35"/>
      <c r="VGR311" s="35"/>
      <c r="VGS311" s="15"/>
      <c r="VGU311" s="13"/>
      <c r="VGV311" s="35"/>
      <c r="VGW311" s="35"/>
      <c r="VGX311" s="15"/>
      <c r="VGZ311" s="13"/>
      <c r="VHA311" s="35"/>
      <c r="VHB311" s="35"/>
      <c r="VHC311" s="15"/>
      <c r="VHE311" s="13"/>
      <c r="VHF311" s="35"/>
      <c r="VHG311" s="35"/>
      <c r="VHH311" s="15"/>
      <c r="VHJ311" s="13"/>
      <c r="VHK311" s="35"/>
      <c r="VHL311" s="35"/>
      <c r="VHM311" s="15"/>
      <c r="VHO311" s="13"/>
      <c r="VHP311" s="35"/>
      <c r="VHQ311" s="35"/>
      <c r="VHR311" s="15"/>
      <c r="VHT311" s="13"/>
      <c r="VHU311" s="35"/>
      <c r="VHV311" s="35"/>
      <c r="VHW311" s="15"/>
      <c r="VHY311" s="13"/>
      <c r="VHZ311" s="35"/>
      <c r="VIA311" s="35"/>
      <c r="VIB311" s="15"/>
      <c r="VID311" s="13"/>
      <c r="VIE311" s="35"/>
      <c r="VIF311" s="35"/>
      <c r="VIG311" s="15"/>
      <c r="VII311" s="13"/>
      <c r="VIJ311" s="35"/>
      <c r="VIK311" s="35"/>
      <c r="VIL311" s="15"/>
      <c r="VIN311" s="13"/>
      <c r="VIO311" s="35"/>
      <c r="VIP311" s="35"/>
      <c r="VIQ311" s="15"/>
      <c r="VIS311" s="13"/>
      <c r="VIT311" s="35"/>
      <c r="VIU311" s="35"/>
      <c r="VIV311" s="15"/>
      <c r="VIX311" s="13"/>
      <c r="VIY311" s="35"/>
      <c r="VIZ311" s="35"/>
      <c r="VJA311" s="15"/>
      <c r="VJC311" s="13"/>
      <c r="VJD311" s="35"/>
      <c r="VJE311" s="35"/>
      <c r="VJF311" s="15"/>
      <c r="VJH311" s="13"/>
      <c r="VJI311" s="35"/>
      <c r="VJJ311" s="35"/>
      <c r="VJK311" s="15"/>
      <c r="VJM311" s="13"/>
      <c r="VJN311" s="35"/>
      <c r="VJO311" s="35"/>
      <c r="VJP311" s="15"/>
      <c r="VJR311" s="13"/>
      <c r="VJS311" s="35"/>
      <c r="VJT311" s="35"/>
      <c r="VJU311" s="15"/>
      <c r="VJW311" s="13"/>
      <c r="VJX311" s="35"/>
      <c r="VJY311" s="35"/>
      <c r="VJZ311" s="15"/>
      <c r="VKB311" s="13"/>
      <c r="VKC311" s="35"/>
      <c r="VKD311" s="35"/>
      <c r="VKE311" s="15"/>
      <c r="VKG311" s="13"/>
      <c r="VKH311" s="35"/>
      <c r="VKI311" s="35"/>
      <c r="VKJ311" s="15"/>
      <c r="VKL311" s="13"/>
      <c r="VKM311" s="35"/>
      <c r="VKN311" s="35"/>
      <c r="VKO311" s="15"/>
      <c r="VKQ311" s="13"/>
      <c r="VKR311" s="35"/>
      <c r="VKS311" s="35"/>
      <c r="VKT311" s="15"/>
      <c r="VKV311" s="13"/>
      <c r="VKW311" s="35"/>
      <c r="VKX311" s="35"/>
      <c r="VKY311" s="15"/>
      <c r="VLA311" s="13"/>
      <c r="VLB311" s="35"/>
      <c r="VLC311" s="35"/>
      <c r="VLD311" s="15"/>
      <c r="VLF311" s="13"/>
      <c r="VLG311" s="35"/>
      <c r="VLH311" s="35"/>
      <c r="VLI311" s="15"/>
      <c r="VLK311" s="13"/>
      <c r="VLL311" s="35"/>
      <c r="VLM311" s="35"/>
      <c r="VLN311" s="15"/>
      <c r="VLP311" s="13"/>
      <c r="VLQ311" s="35"/>
      <c r="VLR311" s="35"/>
      <c r="VLS311" s="15"/>
      <c r="VLU311" s="13"/>
      <c r="VLV311" s="35"/>
      <c r="VLW311" s="35"/>
      <c r="VLX311" s="15"/>
      <c r="VLZ311" s="13"/>
      <c r="VMA311" s="35"/>
      <c r="VMB311" s="35"/>
      <c r="VMC311" s="15"/>
      <c r="VME311" s="13"/>
      <c r="VMF311" s="35"/>
      <c r="VMG311" s="35"/>
      <c r="VMH311" s="15"/>
      <c r="VMJ311" s="13"/>
      <c r="VMK311" s="35"/>
      <c r="VML311" s="35"/>
      <c r="VMM311" s="15"/>
      <c r="VMO311" s="13"/>
      <c r="VMP311" s="35"/>
      <c r="VMQ311" s="35"/>
      <c r="VMR311" s="15"/>
      <c r="VMT311" s="13"/>
      <c r="VMU311" s="35"/>
      <c r="VMV311" s="35"/>
      <c r="VMW311" s="15"/>
      <c r="VMY311" s="13"/>
      <c r="VMZ311" s="35"/>
      <c r="VNA311" s="35"/>
      <c r="VNB311" s="15"/>
      <c r="VND311" s="13"/>
      <c r="VNE311" s="35"/>
      <c r="VNF311" s="35"/>
      <c r="VNG311" s="15"/>
      <c r="VNI311" s="13"/>
      <c r="VNJ311" s="35"/>
      <c r="VNK311" s="35"/>
      <c r="VNL311" s="15"/>
      <c r="VNN311" s="13"/>
      <c r="VNO311" s="35"/>
      <c r="VNP311" s="35"/>
      <c r="VNQ311" s="15"/>
      <c r="VNS311" s="13"/>
      <c r="VNT311" s="35"/>
      <c r="VNU311" s="35"/>
      <c r="VNV311" s="15"/>
      <c r="VNX311" s="13"/>
      <c r="VNY311" s="35"/>
      <c r="VNZ311" s="35"/>
      <c r="VOA311" s="15"/>
      <c r="VOC311" s="13"/>
      <c r="VOD311" s="35"/>
      <c r="VOE311" s="35"/>
      <c r="VOF311" s="15"/>
      <c r="VOH311" s="13"/>
      <c r="VOI311" s="35"/>
      <c r="VOJ311" s="35"/>
      <c r="VOK311" s="15"/>
      <c r="VOM311" s="13"/>
      <c r="VON311" s="35"/>
      <c r="VOO311" s="35"/>
      <c r="VOP311" s="15"/>
      <c r="VOR311" s="13"/>
      <c r="VOS311" s="35"/>
      <c r="VOT311" s="35"/>
      <c r="VOU311" s="15"/>
      <c r="VOW311" s="13"/>
      <c r="VOX311" s="35"/>
      <c r="VOY311" s="35"/>
      <c r="VOZ311" s="15"/>
      <c r="VPB311" s="13"/>
      <c r="VPC311" s="35"/>
      <c r="VPD311" s="35"/>
      <c r="VPE311" s="15"/>
      <c r="VPG311" s="13"/>
      <c r="VPH311" s="35"/>
      <c r="VPI311" s="35"/>
      <c r="VPJ311" s="15"/>
      <c r="VPL311" s="13"/>
      <c r="VPM311" s="35"/>
      <c r="VPN311" s="35"/>
      <c r="VPO311" s="15"/>
      <c r="VPQ311" s="13"/>
      <c r="VPR311" s="35"/>
      <c r="VPS311" s="35"/>
      <c r="VPT311" s="15"/>
      <c r="VPV311" s="13"/>
      <c r="VPW311" s="35"/>
      <c r="VPX311" s="35"/>
      <c r="VPY311" s="15"/>
      <c r="VQA311" s="13"/>
      <c r="VQB311" s="35"/>
      <c r="VQC311" s="35"/>
      <c r="VQD311" s="15"/>
      <c r="VQF311" s="13"/>
      <c r="VQG311" s="35"/>
      <c r="VQH311" s="35"/>
      <c r="VQI311" s="15"/>
      <c r="VQK311" s="13"/>
      <c r="VQL311" s="35"/>
      <c r="VQM311" s="35"/>
      <c r="VQN311" s="15"/>
      <c r="VQP311" s="13"/>
      <c r="VQQ311" s="35"/>
      <c r="VQR311" s="35"/>
      <c r="VQS311" s="15"/>
      <c r="VQU311" s="13"/>
      <c r="VQV311" s="35"/>
      <c r="VQW311" s="35"/>
      <c r="VQX311" s="15"/>
      <c r="VQZ311" s="13"/>
      <c r="VRA311" s="35"/>
      <c r="VRB311" s="35"/>
      <c r="VRC311" s="15"/>
      <c r="VRE311" s="13"/>
      <c r="VRF311" s="35"/>
      <c r="VRG311" s="35"/>
      <c r="VRH311" s="15"/>
      <c r="VRJ311" s="13"/>
      <c r="VRK311" s="35"/>
      <c r="VRL311" s="35"/>
      <c r="VRM311" s="15"/>
      <c r="VRO311" s="13"/>
      <c r="VRP311" s="35"/>
      <c r="VRQ311" s="35"/>
      <c r="VRR311" s="15"/>
      <c r="VRT311" s="13"/>
      <c r="VRU311" s="35"/>
      <c r="VRV311" s="35"/>
      <c r="VRW311" s="15"/>
      <c r="VRY311" s="13"/>
      <c r="VRZ311" s="35"/>
      <c r="VSA311" s="35"/>
      <c r="VSB311" s="15"/>
      <c r="VSD311" s="13"/>
      <c r="VSE311" s="35"/>
      <c r="VSF311" s="35"/>
      <c r="VSG311" s="15"/>
      <c r="VSI311" s="13"/>
      <c r="VSJ311" s="35"/>
      <c r="VSK311" s="35"/>
      <c r="VSL311" s="15"/>
      <c r="VSN311" s="13"/>
      <c r="VSO311" s="35"/>
      <c r="VSP311" s="35"/>
      <c r="VSQ311" s="15"/>
      <c r="VSS311" s="13"/>
      <c r="VST311" s="35"/>
      <c r="VSU311" s="35"/>
      <c r="VSV311" s="15"/>
      <c r="VSX311" s="13"/>
      <c r="VSY311" s="35"/>
      <c r="VSZ311" s="35"/>
      <c r="VTA311" s="15"/>
      <c r="VTC311" s="13"/>
      <c r="VTD311" s="35"/>
      <c r="VTE311" s="35"/>
      <c r="VTF311" s="15"/>
      <c r="VTH311" s="13"/>
      <c r="VTI311" s="35"/>
      <c r="VTJ311" s="35"/>
      <c r="VTK311" s="15"/>
      <c r="VTM311" s="13"/>
      <c r="VTN311" s="35"/>
      <c r="VTO311" s="35"/>
      <c r="VTP311" s="15"/>
      <c r="VTR311" s="13"/>
      <c r="VTS311" s="35"/>
      <c r="VTT311" s="35"/>
      <c r="VTU311" s="15"/>
      <c r="VTW311" s="13"/>
      <c r="VTX311" s="35"/>
      <c r="VTY311" s="35"/>
      <c r="VTZ311" s="15"/>
      <c r="VUB311" s="13"/>
      <c r="VUC311" s="35"/>
      <c r="VUD311" s="35"/>
      <c r="VUE311" s="15"/>
      <c r="VUG311" s="13"/>
      <c r="VUH311" s="35"/>
      <c r="VUI311" s="35"/>
      <c r="VUJ311" s="15"/>
      <c r="VUL311" s="13"/>
      <c r="VUM311" s="35"/>
      <c r="VUN311" s="35"/>
      <c r="VUO311" s="15"/>
      <c r="VUQ311" s="13"/>
      <c r="VUR311" s="35"/>
      <c r="VUS311" s="35"/>
      <c r="VUT311" s="15"/>
      <c r="VUV311" s="13"/>
      <c r="VUW311" s="35"/>
      <c r="VUX311" s="35"/>
      <c r="VUY311" s="15"/>
      <c r="VVA311" s="13"/>
      <c r="VVB311" s="35"/>
      <c r="VVC311" s="35"/>
      <c r="VVD311" s="15"/>
      <c r="VVF311" s="13"/>
      <c r="VVG311" s="35"/>
      <c r="VVH311" s="35"/>
      <c r="VVI311" s="15"/>
      <c r="VVK311" s="13"/>
      <c r="VVL311" s="35"/>
      <c r="VVM311" s="35"/>
      <c r="VVN311" s="15"/>
      <c r="VVP311" s="13"/>
      <c r="VVQ311" s="35"/>
      <c r="VVR311" s="35"/>
      <c r="VVS311" s="15"/>
      <c r="VVU311" s="13"/>
      <c r="VVV311" s="35"/>
      <c r="VVW311" s="35"/>
      <c r="VVX311" s="15"/>
      <c r="VVZ311" s="13"/>
      <c r="VWA311" s="35"/>
      <c r="VWB311" s="35"/>
      <c r="VWC311" s="15"/>
      <c r="VWE311" s="13"/>
      <c r="VWF311" s="35"/>
      <c r="VWG311" s="35"/>
      <c r="VWH311" s="15"/>
      <c r="VWJ311" s="13"/>
      <c r="VWK311" s="35"/>
      <c r="VWL311" s="35"/>
      <c r="VWM311" s="15"/>
      <c r="VWO311" s="13"/>
      <c r="VWP311" s="35"/>
      <c r="VWQ311" s="35"/>
      <c r="VWR311" s="15"/>
      <c r="VWT311" s="13"/>
      <c r="VWU311" s="35"/>
      <c r="VWV311" s="35"/>
      <c r="VWW311" s="15"/>
      <c r="VWY311" s="13"/>
      <c r="VWZ311" s="35"/>
      <c r="VXA311" s="35"/>
      <c r="VXB311" s="15"/>
      <c r="VXD311" s="13"/>
      <c r="VXE311" s="35"/>
      <c r="VXF311" s="35"/>
      <c r="VXG311" s="15"/>
      <c r="VXI311" s="13"/>
      <c r="VXJ311" s="35"/>
      <c r="VXK311" s="35"/>
      <c r="VXL311" s="15"/>
      <c r="VXN311" s="13"/>
      <c r="VXO311" s="35"/>
      <c r="VXP311" s="35"/>
      <c r="VXQ311" s="15"/>
      <c r="VXS311" s="13"/>
      <c r="VXT311" s="35"/>
      <c r="VXU311" s="35"/>
      <c r="VXV311" s="15"/>
      <c r="VXX311" s="13"/>
      <c r="VXY311" s="35"/>
      <c r="VXZ311" s="35"/>
      <c r="VYA311" s="15"/>
      <c r="VYC311" s="13"/>
      <c r="VYD311" s="35"/>
      <c r="VYE311" s="35"/>
      <c r="VYF311" s="15"/>
      <c r="VYH311" s="13"/>
      <c r="VYI311" s="35"/>
      <c r="VYJ311" s="35"/>
      <c r="VYK311" s="15"/>
      <c r="VYM311" s="13"/>
      <c r="VYN311" s="35"/>
      <c r="VYO311" s="35"/>
      <c r="VYP311" s="15"/>
      <c r="VYR311" s="13"/>
      <c r="VYS311" s="35"/>
      <c r="VYT311" s="35"/>
      <c r="VYU311" s="15"/>
      <c r="VYW311" s="13"/>
      <c r="VYX311" s="35"/>
      <c r="VYY311" s="35"/>
      <c r="VYZ311" s="15"/>
      <c r="VZB311" s="13"/>
      <c r="VZC311" s="35"/>
      <c r="VZD311" s="35"/>
      <c r="VZE311" s="15"/>
      <c r="VZG311" s="13"/>
      <c r="VZH311" s="35"/>
      <c r="VZI311" s="35"/>
      <c r="VZJ311" s="15"/>
      <c r="VZL311" s="13"/>
      <c r="VZM311" s="35"/>
      <c r="VZN311" s="35"/>
      <c r="VZO311" s="15"/>
      <c r="VZQ311" s="13"/>
      <c r="VZR311" s="35"/>
      <c r="VZS311" s="35"/>
      <c r="VZT311" s="15"/>
      <c r="VZV311" s="13"/>
      <c r="VZW311" s="35"/>
      <c r="VZX311" s="35"/>
      <c r="VZY311" s="15"/>
      <c r="WAA311" s="13"/>
      <c r="WAB311" s="35"/>
      <c r="WAC311" s="35"/>
      <c r="WAD311" s="15"/>
      <c r="WAF311" s="13"/>
      <c r="WAG311" s="35"/>
      <c r="WAH311" s="35"/>
      <c r="WAI311" s="15"/>
      <c r="WAK311" s="13"/>
      <c r="WAL311" s="35"/>
      <c r="WAM311" s="35"/>
      <c r="WAN311" s="15"/>
      <c r="WAP311" s="13"/>
      <c r="WAQ311" s="35"/>
      <c r="WAR311" s="35"/>
      <c r="WAS311" s="15"/>
      <c r="WAU311" s="13"/>
      <c r="WAV311" s="35"/>
      <c r="WAW311" s="35"/>
      <c r="WAX311" s="15"/>
      <c r="WAZ311" s="13"/>
      <c r="WBA311" s="35"/>
      <c r="WBB311" s="35"/>
      <c r="WBC311" s="15"/>
      <c r="WBE311" s="13"/>
      <c r="WBF311" s="35"/>
      <c r="WBG311" s="35"/>
      <c r="WBH311" s="15"/>
      <c r="WBJ311" s="13"/>
      <c r="WBK311" s="35"/>
      <c r="WBL311" s="35"/>
      <c r="WBM311" s="15"/>
      <c r="WBO311" s="13"/>
      <c r="WBP311" s="35"/>
      <c r="WBQ311" s="35"/>
      <c r="WBR311" s="15"/>
      <c r="WBT311" s="13"/>
      <c r="WBU311" s="35"/>
      <c r="WBV311" s="35"/>
      <c r="WBW311" s="15"/>
      <c r="WBY311" s="13"/>
      <c r="WBZ311" s="35"/>
      <c r="WCA311" s="35"/>
      <c r="WCB311" s="15"/>
      <c r="WCD311" s="13"/>
      <c r="WCE311" s="35"/>
      <c r="WCF311" s="35"/>
      <c r="WCG311" s="15"/>
      <c r="WCI311" s="13"/>
      <c r="WCJ311" s="35"/>
      <c r="WCK311" s="35"/>
      <c r="WCL311" s="15"/>
      <c r="WCN311" s="13"/>
      <c r="WCO311" s="35"/>
      <c r="WCP311" s="35"/>
      <c r="WCQ311" s="15"/>
      <c r="WCS311" s="13"/>
      <c r="WCT311" s="35"/>
      <c r="WCU311" s="35"/>
      <c r="WCV311" s="15"/>
      <c r="WCX311" s="13"/>
      <c r="WCY311" s="35"/>
      <c r="WCZ311" s="35"/>
      <c r="WDA311" s="15"/>
      <c r="WDC311" s="13"/>
      <c r="WDD311" s="35"/>
      <c r="WDE311" s="35"/>
      <c r="WDF311" s="15"/>
      <c r="WDH311" s="13"/>
      <c r="WDI311" s="35"/>
      <c r="WDJ311" s="35"/>
      <c r="WDK311" s="15"/>
      <c r="WDM311" s="13"/>
      <c r="WDN311" s="35"/>
      <c r="WDO311" s="35"/>
      <c r="WDP311" s="15"/>
      <c r="WDR311" s="13"/>
      <c r="WDS311" s="35"/>
      <c r="WDT311" s="35"/>
      <c r="WDU311" s="15"/>
      <c r="WDW311" s="13"/>
      <c r="WDX311" s="35"/>
      <c r="WDY311" s="35"/>
      <c r="WDZ311" s="15"/>
      <c r="WEB311" s="13"/>
      <c r="WEC311" s="35"/>
      <c r="WED311" s="35"/>
      <c r="WEE311" s="15"/>
      <c r="WEG311" s="13"/>
      <c r="WEH311" s="35"/>
      <c r="WEI311" s="35"/>
      <c r="WEJ311" s="15"/>
      <c r="WEL311" s="13"/>
      <c r="WEM311" s="35"/>
      <c r="WEN311" s="35"/>
      <c r="WEO311" s="15"/>
      <c r="WEQ311" s="13"/>
      <c r="WER311" s="35"/>
      <c r="WES311" s="35"/>
      <c r="WET311" s="15"/>
      <c r="WEV311" s="13"/>
      <c r="WEW311" s="35"/>
      <c r="WEX311" s="35"/>
      <c r="WEY311" s="15"/>
      <c r="WFA311" s="13"/>
      <c r="WFB311" s="35"/>
      <c r="WFC311" s="35"/>
      <c r="WFD311" s="15"/>
      <c r="WFF311" s="13"/>
      <c r="WFG311" s="35"/>
      <c r="WFH311" s="35"/>
      <c r="WFI311" s="15"/>
      <c r="WFK311" s="13"/>
      <c r="WFL311" s="35"/>
      <c r="WFM311" s="35"/>
      <c r="WFN311" s="15"/>
      <c r="WFP311" s="13"/>
      <c r="WFQ311" s="35"/>
      <c r="WFR311" s="35"/>
      <c r="WFS311" s="15"/>
      <c r="WFU311" s="13"/>
      <c r="WFV311" s="35"/>
      <c r="WFW311" s="35"/>
      <c r="WFX311" s="15"/>
      <c r="WFZ311" s="13"/>
      <c r="WGA311" s="35"/>
      <c r="WGB311" s="35"/>
      <c r="WGC311" s="15"/>
      <c r="WGE311" s="13"/>
      <c r="WGF311" s="35"/>
      <c r="WGG311" s="35"/>
      <c r="WGH311" s="15"/>
      <c r="WGJ311" s="13"/>
      <c r="WGK311" s="35"/>
      <c r="WGL311" s="35"/>
      <c r="WGM311" s="15"/>
      <c r="WGO311" s="13"/>
      <c r="WGP311" s="35"/>
      <c r="WGQ311" s="35"/>
      <c r="WGR311" s="15"/>
      <c r="WGT311" s="13"/>
      <c r="WGU311" s="35"/>
      <c r="WGV311" s="35"/>
      <c r="WGW311" s="15"/>
      <c r="WGY311" s="13"/>
      <c r="WGZ311" s="35"/>
      <c r="WHA311" s="35"/>
      <c r="WHB311" s="15"/>
      <c r="WHD311" s="13"/>
      <c r="WHE311" s="35"/>
      <c r="WHF311" s="35"/>
      <c r="WHG311" s="15"/>
      <c r="WHI311" s="13"/>
      <c r="WHJ311" s="35"/>
      <c r="WHK311" s="35"/>
      <c r="WHL311" s="15"/>
      <c r="WHN311" s="13"/>
      <c r="WHO311" s="35"/>
      <c r="WHP311" s="35"/>
      <c r="WHQ311" s="15"/>
      <c r="WHS311" s="13"/>
      <c r="WHT311" s="35"/>
      <c r="WHU311" s="35"/>
      <c r="WHV311" s="15"/>
      <c r="WHX311" s="13"/>
      <c r="WHY311" s="35"/>
      <c r="WHZ311" s="35"/>
      <c r="WIA311" s="15"/>
      <c r="WIC311" s="13"/>
      <c r="WID311" s="35"/>
      <c r="WIE311" s="35"/>
      <c r="WIF311" s="15"/>
      <c r="WIH311" s="13"/>
      <c r="WII311" s="35"/>
      <c r="WIJ311" s="35"/>
      <c r="WIK311" s="15"/>
      <c r="WIM311" s="13"/>
      <c r="WIN311" s="35"/>
      <c r="WIO311" s="35"/>
      <c r="WIP311" s="15"/>
      <c r="WIR311" s="13"/>
      <c r="WIS311" s="35"/>
      <c r="WIT311" s="35"/>
      <c r="WIU311" s="15"/>
      <c r="WIW311" s="13"/>
      <c r="WIX311" s="35"/>
      <c r="WIY311" s="35"/>
      <c r="WIZ311" s="15"/>
      <c r="WJB311" s="13"/>
      <c r="WJC311" s="35"/>
      <c r="WJD311" s="35"/>
      <c r="WJE311" s="15"/>
      <c r="WJG311" s="13"/>
      <c r="WJH311" s="35"/>
      <c r="WJI311" s="35"/>
      <c r="WJJ311" s="15"/>
      <c r="WJL311" s="13"/>
      <c r="WJM311" s="35"/>
      <c r="WJN311" s="35"/>
      <c r="WJO311" s="15"/>
      <c r="WJQ311" s="13"/>
      <c r="WJR311" s="35"/>
      <c r="WJS311" s="35"/>
      <c r="WJT311" s="15"/>
      <c r="WJV311" s="13"/>
      <c r="WJW311" s="35"/>
      <c r="WJX311" s="35"/>
      <c r="WJY311" s="15"/>
      <c r="WKA311" s="13"/>
      <c r="WKB311" s="35"/>
      <c r="WKC311" s="35"/>
      <c r="WKD311" s="15"/>
      <c r="WKF311" s="13"/>
      <c r="WKG311" s="35"/>
      <c r="WKH311" s="35"/>
      <c r="WKI311" s="15"/>
      <c r="WKK311" s="13"/>
      <c r="WKL311" s="35"/>
      <c r="WKM311" s="35"/>
      <c r="WKN311" s="15"/>
      <c r="WKP311" s="13"/>
      <c r="WKQ311" s="35"/>
      <c r="WKR311" s="35"/>
      <c r="WKS311" s="15"/>
      <c r="WKU311" s="13"/>
      <c r="WKV311" s="35"/>
      <c r="WKW311" s="35"/>
      <c r="WKX311" s="15"/>
      <c r="WKZ311" s="13"/>
      <c r="WLA311" s="35"/>
      <c r="WLB311" s="35"/>
      <c r="WLC311" s="15"/>
      <c r="WLE311" s="13"/>
      <c r="WLF311" s="35"/>
      <c r="WLG311" s="35"/>
      <c r="WLH311" s="15"/>
      <c r="WLJ311" s="13"/>
      <c r="WLK311" s="35"/>
      <c r="WLL311" s="35"/>
      <c r="WLM311" s="15"/>
      <c r="WLO311" s="13"/>
      <c r="WLP311" s="35"/>
      <c r="WLQ311" s="35"/>
      <c r="WLR311" s="15"/>
      <c r="WLT311" s="13"/>
      <c r="WLU311" s="35"/>
      <c r="WLV311" s="35"/>
      <c r="WLW311" s="15"/>
      <c r="WLY311" s="13"/>
      <c r="WLZ311" s="35"/>
      <c r="WMA311" s="35"/>
      <c r="WMB311" s="15"/>
      <c r="WMD311" s="13"/>
      <c r="WME311" s="35"/>
      <c r="WMF311" s="35"/>
      <c r="WMG311" s="15"/>
      <c r="WMI311" s="13"/>
      <c r="WMJ311" s="35"/>
      <c r="WMK311" s="35"/>
      <c r="WML311" s="15"/>
      <c r="WMN311" s="13"/>
      <c r="WMO311" s="35"/>
      <c r="WMP311" s="35"/>
      <c r="WMQ311" s="15"/>
      <c r="WMS311" s="13"/>
      <c r="WMT311" s="35"/>
      <c r="WMU311" s="35"/>
      <c r="WMV311" s="15"/>
      <c r="WMX311" s="13"/>
      <c r="WMY311" s="35"/>
      <c r="WMZ311" s="35"/>
      <c r="WNA311" s="15"/>
      <c r="WNC311" s="13"/>
      <c r="WND311" s="35"/>
      <c r="WNE311" s="35"/>
      <c r="WNF311" s="15"/>
      <c r="WNH311" s="13"/>
      <c r="WNI311" s="35"/>
      <c r="WNJ311" s="35"/>
      <c r="WNK311" s="15"/>
      <c r="WNM311" s="13"/>
      <c r="WNN311" s="35"/>
      <c r="WNO311" s="35"/>
      <c r="WNP311" s="15"/>
      <c r="WNR311" s="13"/>
      <c r="WNS311" s="35"/>
      <c r="WNT311" s="35"/>
      <c r="WNU311" s="15"/>
      <c r="WNW311" s="13"/>
      <c r="WNX311" s="35"/>
      <c r="WNY311" s="35"/>
      <c r="WNZ311" s="15"/>
      <c r="WOB311" s="13"/>
      <c r="WOC311" s="35"/>
      <c r="WOD311" s="35"/>
      <c r="WOE311" s="15"/>
      <c r="WOG311" s="13"/>
      <c r="WOH311" s="35"/>
      <c r="WOI311" s="35"/>
      <c r="WOJ311" s="15"/>
      <c r="WOL311" s="13"/>
      <c r="WOM311" s="35"/>
      <c r="WON311" s="35"/>
      <c r="WOO311" s="15"/>
      <c r="WOQ311" s="13"/>
      <c r="WOR311" s="35"/>
      <c r="WOS311" s="35"/>
      <c r="WOT311" s="15"/>
      <c r="WOV311" s="13"/>
      <c r="WOW311" s="35"/>
      <c r="WOX311" s="35"/>
      <c r="WOY311" s="15"/>
      <c r="WPA311" s="13"/>
      <c r="WPB311" s="35"/>
      <c r="WPC311" s="35"/>
      <c r="WPD311" s="15"/>
      <c r="WPF311" s="13"/>
      <c r="WPG311" s="35"/>
      <c r="WPH311" s="35"/>
      <c r="WPI311" s="15"/>
      <c r="WPK311" s="13"/>
      <c r="WPL311" s="35"/>
      <c r="WPM311" s="35"/>
      <c r="WPN311" s="15"/>
      <c r="WPP311" s="13"/>
      <c r="WPQ311" s="35"/>
      <c r="WPR311" s="35"/>
      <c r="WPS311" s="15"/>
      <c r="WPU311" s="13"/>
      <c r="WPV311" s="35"/>
      <c r="WPW311" s="35"/>
      <c r="WPX311" s="15"/>
      <c r="WPZ311" s="13"/>
      <c r="WQA311" s="35"/>
      <c r="WQB311" s="35"/>
      <c r="WQC311" s="15"/>
      <c r="WQE311" s="13"/>
      <c r="WQF311" s="35"/>
      <c r="WQG311" s="35"/>
      <c r="WQH311" s="15"/>
      <c r="WQJ311" s="13"/>
      <c r="WQK311" s="35"/>
      <c r="WQL311" s="35"/>
      <c r="WQM311" s="15"/>
      <c r="WQO311" s="13"/>
      <c r="WQP311" s="35"/>
      <c r="WQQ311" s="35"/>
      <c r="WQR311" s="15"/>
      <c r="WQT311" s="13"/>
      <c r="WQU311" s="35"/>
      <c r="WQV311" s="35"/>
      <c r="WQW311" s="15"/>
      <c r="WQY311" s="13"/>
      <c r="WQZ311" s="35"/>
      <c r="WRA311" s="35"/>
      <c r="WRB311" s="15"/>
      <c r="WRD311" s="13"/>
      <c r="WRE311" s="35"/>
      <c r="WRF311" s="35"/>
      <c r="WRG311" s="15"/>
      <c r="WRI311" s="13"/>
      <c r="WRJ311" s="35"/>
      <c r="WRK311" s="35"/>
      <c r="WRL311" s="15"/>
      <c r="WRN311" s="13"/>
      <c r="WRO311" s="35"/>
      <c r="WRP311" s="35"/>
      <c r="WRQ311" s="15"/>
      <c r="WRS311" s="13"/>
      <c r="WRT311" s="35"/>
      <c r="WRU311" s="35"/>
      <c r="WRV311" s="15"/>
      <c r="WRX311" s="13"/>
      <c r="WRY311" s="35"/>
      <c r="WRZ311" s="35"/>
      <c r="WSA311" s="15"/>
      <c r="WSC311" s="13"/>
      <c r="WSD311" s="35"/>
      <c r="WSE311" s="35"/>
      <c r="WSF311" s="15"/>
      <c r="WSH311" s="13"/>
      <c r="WSI311" s="35"/>
      <c r="WSJ311" s="35"/>
      <c r="WSK311" s="15"/>
      <c r="WSM311" s="13"/>
      <c r="WSN311" s="35"/>
      <c r="WSO311" s="35"/>
      <c r="WSP311" s="15"/>
      <c r="WSR311" s="13"/>
      <c r="WSS311" s="35"/>
      <c r="WST311" s="35"/>
      <c r="WSU311" s="15"/>
      <c r="WSW311" s="13"/>
      <c r="WSX311" s="35"/>
      <c r="WSY311" s="35"/>
      <c r="WSZ311" s="15"/>
      <c r="WTB311" s="13"/>
      <c r="WTC311" s="35"/>
      <c r="WTD311" s="35"/>
      <c r="WTE311" s="15"/>
      <c r="WTG311" s="13"/>
      <c r="WTH311" s="35"/>
      <c r="WTI311" s="35"/>
      <c r="WTJ311" s="15"/>
      <c r="WTL311" s="13"/>
      <c r="WTM311" s="35"/>
      <c r="WTN311" s="35"/>
      <c r="WTO311" s="15"/>
      <c r="WTQ311" s="13"/>
      <c r="WTR311" s="35"/>
      <c r="WTS311" s="35"/>
      <c r="WTT311" s="15"/>
      <c r="WTV311" s="13"/>
      <c r="WTW311" s="35"/>
      <c r="WTX311" s="35"/>
      <c r="WTY311" s="15"/>
      <c r="WUA311" s="13"/>
      <c r="WUB311" s="35"/>
      <c r="WUC311" s="35"/>
      <c r="WUD311" s="15"/>
      <c r="WUF311" s="13"/>
      <c r="WUG311" s="35"/>
      <c r="WUH311" s="35"/>
      <c r="WUI311" s="15"/>
      <c r="WUK311" s="13"/>
      <c r="WUL311" s="35"/>
      <c r="WUM311" s="35"/>
      <c r="WUN311" s="15"/>
      <c r="WUP311" s="13"/>
      <c r="WUQ311" s="35"/>
      <c r="WUR311" s="35"/>
      <c r="WUS311" s="15"/>
      <c r="WUU311" s="13"/>
      <c r="WUV311" s="35"/>
      <c r="WUW311" s="35"/>
      <c r="WUX311" s="15"/>
      <c r="WUZ311" s="13"/>
      <c r="WVA311" s="35"/>
      <c r="WVB311" s="35"/>
      <c r="WVC311" s="15"/>
      <c r="WVE311" s="13"/>
      <c r="WVF311" s="35"/>
      <c r="WVG311" s="35"/>
      <c r="WVH311" s="15"/>
      <c r="WVJ311" s="13"/>
      <c r="WVK311" s="35"/>
      <c r="WVL311" s="35"/>
      <c r="WVM311" s="15"/>
      <c r="WVO311" s="13"/>
      <c r="WVP311" s="35"/>
      <c r="WVQ311" s="35"/>
      <c r="WVR311" s="15"/>
      <c r="WVT311" s="13"/>
      <c r="WVU311" s="35"/>
      <c r="WVV311" s="35"/>
      <c r="WVW311" s="15"/>
      <c r="WVY311" s="13"/>
      <c r="WVZ311" s="35"/>
      <c r="WWA311" s="35"/>
      <c r="WWB311" s="15"/>
      <c r="WWD311" s="13"/>
      <c r="WWE311" s="35"/>
      <c r="WWF311" s="35"/>
      <c r="WWG311" s="15"/>
      <c r="WWI311" s="13"/>
      <c r="WWJ311" s="35"/>
      <c r="WWK311" s="35"/>
      <c r="WWL311" s="15"/>
      <c r="WWN311" s="13"/>
      <c r="WWO311" s="35"/>
      <c r="WWP311" s="35"/>
      <c r="WWQ311" s="15"/>
      <c r="WWS311" s="13"/>
      <c r="WWT311" s="35"/>
      <c r="WWU311" s="35"/>
      <c r="WWV311" s="15"/>
      <c r="WWX311" s="13"/>
      <c r="WWY311" s="35"/>
      <c r="WWZ311" s="35"/>
      <c r="WXA311" s="15"/>
      <c r="WXC311" s="13"/>
      <c r="WXD311" s="35"/>
      <c r="WXE311" s="35"/>
      <c r="WXF311" s="15"/>
      <c r="WXH311" s="13"/>
      <c r="WXI311" s="35"/>
      <c r="WXJ311" s="35"/>
      <c r="WXK311" s="15"/>
      <c r="WXM311" s="13"/>
      <c r="WXN311" s="35"/>
      <c r="WXO311" s="35"/>
      <c r="WXP311" s="15"/>
      <c r="WXR311" s="13"/>
      <c r="WXS311" s="35"/>
      <c r="WXT311" s="35"/>
      <c r="WXU311" s="15"/>
      <c r="WXW311" s="13"/>
      <c r="WXX311" s="35"/>
      <c r="WXY311" s="35"/>
      <c r="WXZ311" s="15"/>
      <c r="WYB311" s="13"/>
      <c r="WYC311" s="35"/>
      <c r="WYD311" s="35"/>
      <c r="WYE311" s="15"/>
      <c r="WYG311" s="13"/>
      <c r="WYH311" s="35"/>
      <c r="WYI311" s="35"/>
      <c r="WYJ311" s="15"/>
      <c r="WYL311" s="13"/>
      <c r="WYM311" s="35"/>
      <c r="WYN311" s="35"/>
      <c r="WYO311" s="15"/>
      <c r="WYQ311" s="13"/>
      <c r="WYR311" s="35"/>
      <c r="WYS311" s="35"/>
      <c r="WYT311" s="15"/>
      <c r="WYV311" s="13"/>
      <c r="WYW311" s="35"/>
      <c r="WYX311" s="35"/>
      <c r="WYY311" s="15"/>
      <c r="WZA311" s="13"/>
      <c r="WZB311" s="35"/>
      <c r="WZC311" s="35"/>
      <c r="WZD311" s="15"/>
      <c r="WZF311" s="13"/>
      <c r="WZG311" s="35"/>
      <c r="WZH311" s="35"/>
      <c r="WZI311" s="15"/>
      <c r="WZK311" s="13"/>
      <c r="WZL311" s="35"/>
      <c r="WZM311" s="35"/>
      <c r="WZN311" s="15"/>
      <c r="WZP311" s="13"/>
      <c r="WZQ311" s="35"/>
      <c r="WZR311" s="35"/>
      <c r="WZS311" s="15"/>
      <c r="WZU311" s="13"/>
      <c r="WZV311" s="35"/>
      <c r="WZW311" s="35"/>
      <c r="WZX311" s="15"/>
      <c r="WZZ311" s="13"/>
      <c r="XAA311" s="35"/>
      <c r="XAB311" s="35"/>
      <c r="XAC311" s="15"/>
      <c r="XAE311" s="13"/>
      <c r="XAF311" s="35"/>
      <c r="XAG311" s="35"/>
      <c r="XAH311" s="15"/>
      <c r="XAJ311" s="13"/>
      <c r="XAK311" s="35"/>
      <c r="XAL311" s="35"/>
      <c r="XAM311" s="15"/>
      <c r="XAO311" s="13"/>
      <c r="XAP311" s="35"/>
      <c r="XAQ311" s="35"/>
      <c r="XAR311" s="15"/>
      <c r="XAT311" s="13"/>
      <c r="XAU311" s="35"/>
      <c r="XAV311" s="35"/>
      <c r="XAW311" s="15"/>
      <c r="XAY311" s="13"/>
      <c r="XAZ311" s="35"/>
      <c r="XBA311" s="35"/>
      <c r="XBB311" s="15"/>
      <c r="XBD311" s="13"/>
      <c r="XBE311" s="35"/>
      <c r="XBF311" s="35"/>
      <c r="XBG311" s="15"/>
      <c r="XBI311" s="13"/>
      <c r="XBJ311" s="35"/>
      <c r="XBK311" s="35"/>
      <c r="XBL311" s="15"/>
      <c r="XBN311" s="13"/>
      <c r="XBO311" s="35"/>
      <c r="XBP311" s="35"/>
      <c r="XBQ311" s="15"/>
      <c r="XBS311" s="13"/>
      <c r="XBT311" s="35"/>
      <c r="XBU311" s="35"/>
      <c r="XBV311" s="15"/>
      <c r="XBX311" s="13"/>
      <c r="XBY311" s="35"/>
      <c r="XBZ311" s="35"/>
      <c r="XCA311" s="15"/>
      <c r="XCC311" s="13"/>
      <c r="XCD311" s="35"/>
      <c r="XCE311" s="35"/>
      <c r="XCF311" s="15"/>
      <c r="XCH311" s="13"/>
      <c r="XCI311" s="35"/>
      <c r="XCJ311" s="35"/>
      <c r="XCK311" s="15"/>
      <c r="XCM311" s="13"/>
      <c r="XCN311" s="35"/>
      <c r="XCO311" s="35"/>
      <c r="XCP311" s="15"/>
      <c r="XCR311" s="13"/>
      <c r="XCS311" s="35"/>
      <c r="XCT311" s="35"/>
      <c r="XCU311" s="15"/>
      <c r="XCW311" s="13"/>
      <c r="XCX311" s="35"/>
      <c r="XCY311" s="35"/>
      <c r="XCZ311" s="15"/>
      <c r="XDB311" s="13"/>
      <c r="XDC311" s="35"/>
      <c r="XDD311" s="35"/>
      <c r="XDE311" s="15"/>
      <c r="XDG311" s="13"/>
      <c r="XDH311" s="35"/>
      <c r="XDI311" s="35"/>
      <c r="XDJ311" s="15"/>
      <c r="XDL311" s="13"/>
      <c r="XDM311" s="35"/>
      <c r="XDN311" s="35"/>
      <c r="XDO311" s="15"/>
      <c r="XDQ311" s="13"/>
      <c r="XDR311" s="35"/>
      <c r="XDS311" s="35"/>
      <c r="XDT311" s="15"/>
      <c r="XDV311" s="13"/>
      <c r="XDW311" s="35"/>
      <c r="XDX311" s="35"/>
      <c r="XDY311" s="15"/>
      <c r="XEA311" s="13"/>
      <c r="XEB311" s="35"/>
      <c r="XEC311" s="35"/>
      <c r="XED311" s="15"/>
      <c r="XEF311" s="13"/>
      <c r="XEG311" s="35"/>
      <c r="XEH311" s="35"/>
      <c r="XEI311" s="15"/>
      <c r="XEK311" s="13"/>
      <c r="XEL311" s="35"/>
      <c r="XEM311" s="35"/>
      <c r="XEN311" s="15"/>
      <c r="XEP311" s="13"/>
      <c r="XEQ311" s="35"/>
      <c r="XER311" s="35"/>
      <c r="XES311" s="15"/>
      <c r="XEU311" s="13"/>
      <c r="XEV311" s="35"/>
      <c r="XEW311" s="35"/>
      <c r="XEX311" s="15"/>
      <c r="XEZ311" s="13"/>
      <c r="XFA311" s="35"/>
      <c r="XFB311" s="35"/>
      <c r="XFC311" s="15"/>
    </row>
    <row r="312" spans="1:1023 1025:2048 2050:6143 6145:7168 7170:11263 11265:12288 12290:16383" x14ac:dyDescent="0.3">
      <c r="A312" s="35">
        <v>46106</v>
      </c>
      <c r="B312" s="35" t="s">
        <v>1072</v>
      </c>
      <c r="C312" s="15" t="s">
        <v>1478</v>
      </c>
      <c r="D312" s="1" t="s">
        <v>701</v>
      </c>
      <c r="E312" s="13">
        <v>46325</v>
      </c>
      <c r="F312" s="53">
        <f t="shared" si="13"/>
        <v>219</v>
      </c>
      <c r="G312" s="19">
        <v>-230.482088</v>
      </c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  <c r="AK312" s="36"/>
      <c r="AL312" s="36"/>
      <c r="AM312" s="36"/>
      <c r="AN312" s="36"/>
      <c r="AO312" s="36"/>
      <c r="AP312" s="36"/>
      <c r="AQ312" s="36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  <c r="BK312" s="36"/>
      <c r="BL312" s="36"/>
      <c r="BM312" s="36"/>
      <c r="BN312" s="36"/>
      <c r="BO312" s="36"/>
      <c r="BP312" s="36"/>
      <c r="BQ312" s="36"/>
      <c r="BR312" s="36"/>
      <c r="BS312" s="36"/>
      <c r="BT312" s="36"/>
      <c r="BU312" s="36"/>
      <c r="BV312" s="36"/>
      <c r="BW312" s="36"/>
      <c r="BX312" s="36"/>
      <c r="BY312" s="36"/>
      <c r="BZ312" s="36"/>
      <c r="CA312" s="36"/>
      <c r="CB312" s="36"/>
      <c r="CC312" s="36"/>
      <c r="CD312" s="36"/>
      <c r="CE312" s="36"/>
      <c r="CF312" s="36"/>
      <c r="CG312" s="36"/>
      <c r="CH312" s="36"/>
      <c r="CI312" s="36"/>
      <c r="CJ312" s="36"/>
      <c r="CK312" s="36"/>
      <c r="CL312" s="36"/>
      <c r="CM312" s="36"/>
      <c r="CN312" s="36"/>
      <c r="CO312" s="36"/>
      <c r="CP312" s="36"/>
      <c r="CQ312" s="36"/>
      <c r="CR312" s="36"/>
      <c r="CS312" s="36"/>
      <c r="CT312" s="36"/>
      <c r="CU312" s="36"/>
      <c r="CV312" s="36"/>
      <c r="CW312" s="36"/>
      <c r="CX312" s="36"/>
      <c r="CY312" s="36"/>
      <c r="CZ312" s="36"/>
      <c r="DA312" s="36"/>
      <c r="DB312" s="36"/>
      <c r="DC312" s="36"/>
      <c r="DD312" s="36"/>
      <c r="DE312" s="36"/>
      <c r="DF312" s="36"/>
      <c r="DG312" s="36"/>
      <c r="DH312" s="36"/>
      <c r="DI312" s="36"/>
      <c r="DJ312" s="36"/>
      <c r="DK312" s="36"/>
      <c r="DL312" s="36"/>
      <c r="DM312" s="36"/>
      <c r="DN312" s="36"/>
      <c r="DO312" s="36"/>
      <c r="DP312" s="36"/>
      <c r="DQ312" s="36"/>
      <c r="DR312" s="36"/>
      <c r="DS312" s="36"/>
      <c r="DT312" s="36"/>
      <c r="DU312" s="36"/>
      <c r="DV312" s="36"/>
      <c r="DW312" s="36"/>
      <c r="DX312" s="36"/>
      <c r="DY312" s="36"/>
      <c r="DZ312" s="36"/>
      <c r="EA312" s="36"/>
      <c r="EB312" s="36"/>
      <c r="EC312" s="36"/>
      <c r="ED312" s="36"/>
      <c r="EE312" s="36"/>
      <c r="EF312" s="36"/>
      <c r="EG312" s="36"/>
      <c r="EH312" s="36"/>
      <c r="EI312" s="36"/>
      <c r="EJ312" s="36"/>
      <c r="EK312" s="36"/>
      <c r="EL312" s="36"/>
      <c r="EM312" s="36"/>
      <c r="EN312" s="36"/>
      <c r="EO312" s="36"/>
      <c r="EP312" s="36"/>
      <c r="EQ312" s="36"/>
      <c r="ER312" s="36"/>
      <c r="ES312" s="36"/>
      <c r="ET312" s="36"/>
      <c r="EU312" s="36"/>
      <c r="EV312" s="36"/>
      <c r="EW312" s="36"/>
      <c r="EX312" s="36"/>
      <c r="EY312" s="36"/>
      <c r="EZ312" s="36"/>
      <c r="FA312" s="36"/>
      <c r="FB312" s="36"/>
      <c r="FC312" s="36"/>
      <c r="FD312" s="36"/>
      <c r="FE312" s="36"/>
      <c r="FF312" s="36"/>
      <c r="FG312" s="36"/>
      <c r="FH312" s="36"/>
      <c r="FI312" s="36"/>
      <c r="FJ312" s="36"/>
      <c r="FK312" s="36"/>
      <c r="FL312" s="36"/>
      <c r="FM312" s="36"/>
      <c r="FN312" s="36"/>
      <c r="FO312" s="36"/>
      <c r="FP312" s="36"/>
      <c r="FQ312" s="36"/>
      <c r="FR312" s="36"/>
      <c r="FS312" s="36"/>
      <c r="FT312" s="36"/>
      <c r="FU312" s="36"/>
      <c r="FV312" s="36"/>
      <c r="FW312" s="36"/>
      <c r="FX312" s="36"/>
      <c r="FY312" s="36"/>
      <c r="FZ312" s="36"/>
      <c r="GA312" s="36"/>
      <c r="GB312" s="36"/>
      <c r="GC312" s="36"/>
      <c r="GD312" s="36"/>
      <c r="GE312" s="36"/>
      <c r="GF312" s="36"/>
      <c r="GG312" s="36"/>
      <c r="GH312" s="36"/>
      <c r="GI312" s="36"/>
      <c r="GJ312" s="36"/>
      <c r="GK312" s="36"/>
      <c r="GL312" s="36"/>
      <c r="GM312" s="36"/>
      <c r="GN312" s="36"/>
      <c r="GO312" s="36"/>
      <c r="GP312" s="36"/>
      <c r="GQ312" s="36"/>
      <c r="GR312" s="36"/>
      <c r="GS312" s="36"/>
      <c r="GT312" s="36"/>
      <c r="GU312" s="36"/>
      <c r="GV312" s="36"/>
      <c r="GW312" s="36"/>
      <c r="GX312" s="36"/>
      <c r="GY312" s="36"/>
      <c r="GZ312" s="36"/>
      <c r="HA312" s="36"/>
      <c r="HB312" s="36"/>
      <c r="HC312" s="36"/>
      <c r="HD312" s="36"/>
      <c r="HE312" s="36"/>
      <c r="HF312" s="36"/>
      <c r="HG312" s="36"/>
      <c r="HH312" s="36"/>
      <c r="HI312" s="36"/>
      <c r="HJ312" s="36"/>
      <c r="HK312" s="36"/>
      <c r="HL312" s="36"/>
      <c r="HM312" s="36"/>
      <c r="HN312" s="36"/>
      <c r="HO312" s="36"/>
      <c r="HP312" s="36"/>
      <c r="HQ312" s="36"/>
      <c r="HR312" s="36"/>
      <c r="HS312" s="36"/>
      <c r="HT312" s="36"/>
      <c r="HU312" s="36"/>
      <c r="HV312" s="36"/>
      <c r="HW312" s="36"/>
      <c r="HX312" s="36"/>
      <c r="HY312" s="36"/>
      <c r="HZ312" s="36"/>
      <c r="IA312" s="36"/>
      <c r="IB312" s="36"/>
      <c r="IC312" s="36"/>
      <c r="ID312" s="36"/>
      <c r="IE312" s="36"/>
      <c r="IF312" s="36"/>
      <c r="IG312" s="36"/>
      <c r="IH312" s="36"/>
      <c r="II312" s="36"/>
      <c r="IJ312" s="36"/>
      <c r="IK312" s="36"/>
      <c r="IL312" s="36"/>
      <c r="IM312" s="36"/>
      <c r="IN312" s="36"/>
      <c r="IO312" s="36"/>
      <c r="IP312" s="36"/>
      <c r="IQ312" s="36"/>
      <c r="IR312" s="36"/>
      <c r="IS312" s="36"/>
      <c r="IT312" s="36"/>
      <c r="IU312" s="36"/>
      <c r="IV312" s="36"/>
      <c r="IW312" s="36"/>
      <c r="IX312" s="36"/>
      <c r="IY312" s="36"/>
      <c r="IZ312" s="36"/>
      <c r="JA312" s="36"/>
      <c r="JB312" s="36"/>
      <c r="JC312" s="36"/>
      <c r="JD312" s="36"/>
      <c r="JE312" s="36"/>
      <c r="JF312" s="36"/>
      <c r="JG312" s="36"/>
      <c r="JH312" s="36"/>
      <c r="JI312" s="36"/>
      <c r="JJ312" s="36"/>
      <c r="JK312" s="36"/>
      <c r="JL312" s="36"/>
      <c r="JM312" s="36"/>
      <c r="JN312" s="36"/>
      <c r="JO312" s="36"/>
      <c r="JP312" s="36"/>
      <c r="JQ312" s="36"/>
      <c r="JR312" s="36"/>
      <c r="JS312" s="36"/>
      <c r="JT312" s="36"/>
      <c r="JU312" s="36"/>
      <c r="JV312" s="36"/>
      <c r="JW312" s="36"/>
      <c r="JX312" s="36"/>
      <c r="JY312" s="36"/>
      <c r="JZ312" s="36"/>
      <c r="KA312" s="36"/>
      <c r="KB312" s="36"/>
      <c r="KC312" s="36"/>
      <c r="KD312" s="36"/>
      <c r="KE312" s="36"/>
      <c r="KF312" s="36"/>
      <c r="KG312" s="36"/>
      <c r="KH312" s="36"/>
      <c r="KI312" s="36"/>
      <c r="KJ312" s="36"/>
      <c r="KK312" s="36"/>
      <c r="KL312" s="36"/>
      <c r="KM312" s="36"/>
      <c r="KN312" s="36"/>
      <c r="KO312" s="36"/>
      <c r="KP312" s="36"/>
      <c r="KQ312" s="36"/>
      <c r="KR312" s="36"/>
      <c r="KS312" s="36"/>
      <c r="KT312" s="36"/>
      <c r="KU312" s="36"/>
      <c r="KV312" s="36"/>
      <c r="KW312" s="36"/>
      <c r="KX312" s="36"/>
      <c r="KY312" s="36"/>
      <c r="KZ312" s="36"/>
      <c r="LA312" s="36"/>
      <c r="LB312" s="36"/>
      <c r="LC312" s="36"/>
      <c r="LD312" s="36"/>
      <c r="LE312" s="36"/>
      <c r="LF312" s="36"/>
      <c r="LG312" s="36"/>
      <c r="LH312" s="36"/>
      <c r="LI312" s="36"/>
      <c r="LJ312" s="36"/>
      <c r="LK312" s="36"/>
      <c r="LL312" s="36"/>
      <c r="LM312" s="36"/>
      <c r="LN312" s="36"/>
      <c r="LO312" s="36"/>
      <c r="LP312" s="36"/>
      <c r="LQ312" s="36"/>
      <c r="LR312" s="36"/>
      <c r="LS312" s="36"/>
      <c r="LT312" s="36"/>
      <c r="LU312" s="36"/>
      <c r="LV312" s="36"/>
      <c r="LW312" s="36"/>
      <c r="LX312" s="36"/>
      <c r="LY312" s="36"/>
      <c r="LZ312" s="36"/>
      <c r="MA312" s="36"/>
      <c r="MB312" s="36"/>
      <c r="MC312" s="36"/>
      <c r="MD312" s="36"/>
      <c r="ME312" s="36"/>
      <c r="MF312" s="36"/>
      <c r="MG312" s="36"/>
      <c r="MH312" s="36"/>
      <c r="MI312" s="36"/>
      <c r="MJ312" s="36"/>
      <c r="MK312" s="36"/>
      <c r="ML312" s="36"/>
      <c r="MM312" s="36"/>
      <c r="MN312" s="36"/>
      <c r="MO312" s="36"/>
      <c r="MP312" s="36"/>
      <c r="MQ312" s="36"/>
      <c r="MR312" s="36"/>
      <c r="MS312" s="36"/>
      <c r="MT312" s="36"/>
      <c r="MU312" s="36"/>
      <c r="MV312" s="36"/>
      <c r="MW312" s="36"/>
      <c r="MX312" s="36"/>
      <c r="MY312" s="36"/>
      <c r="MZ312" s="36"/>
      <c r="NA312" s="36"/>
      <c r="NB312" s="36"/>
      <c r="NC312" s="36"/>
      <c r="ND312" s="36"/>
      <c r="NE312" s="36"/>
      <c r="NF312" s="36"/>
      <c r="NG312" s="36"/>
      <c r="NH312" s="36"/>
      <c r="NI312" s="36"/>
      <c r="NJ312" s="36"/>
      <c r="NK312" s="36"/>
      <c r="NL312" s="36"/>
      <c r="NM312" s="36"/>
      <c r="NN312" s="36"/>
      <c r="NO312" s="36"/>
      <c r="NP312" s="36"/>
      <c r="NQ312" s="36"/>
      <c r="NR312" s="36"/>
      <c r="NS312" s="36"/>
      <c r="NT312" s="36"/>
      <c r="NU312" s="36"/>
      <c r="NV312" s="36"/>
      <c r="NW312" s="36"/>
      <c r="NX312" s="36"/>
      <c r="NY312" s="36"/>
      <c r="NZ312" s="36"/>
      <c r="OA312" s="36"/>
      <c r="OB312" s="36"/>
      <c r="OC312" s="36"/>
      <c r="OD312" s="36"/>
      <c r="OE312" s="36"/>
      <c r="OF312" s="36"/>
      <c r="OG312" s="36"/>
      <c r="OH312" s="36"/>
      <c r="OI312" s="36"/>
      <c r="OJ312" s="36"/>
      <c r="OK312" s="36"/>
      <c r="OL312" s="36"/>
      <c r="OM312" s="36"/>
      <c r="ON312" s="36"/>
      <c r="OO312" s="36"/>
      <c r="OP312" s="36"/>
      <c r="OQ312" s="36"/>
      <c r="OR312" s="36"/>
      <c r="OS312" s="36"/>
      <c r="OT312" s="36"/>
      <c r="OU312" s="36"/>
      <c r="OV312" s="36"/>
      <c r="OW312" s="36"/>
      <c r="OX312" s="36"/>
      <c r="OY312" s="36"/>
      <c r="OZ312" s="36"/>
      <c r="PA312" s="36"/>
      <c r="PB312" s="36"/>
      <c r="PC312" s="36"/>
      <c r="PD312" s="36"/>
      <c r="PE312" s="36"/>
      <c r="PF312" s="36"/>
      <c r="PG312" s="36"/>
      <c r="PH312" s="36"/>
      <c r="PI312" s="36"/>
      <c r="PJ312" s="36"/>
      <c r="PK312" s="36"/>
      <c r="PL312" s="36"/>
      <c r="PM312" s="36"/>
      <c r="PN312" s="36"/>
      <c r="PO312" s="36"/>
      <c r="PP312" s="36"/>
      <c r="PQ312" s="36"/>
      <c r="PR312" s="36"/>
      <c r="PS312" s="36"/>
      <c r="PT312" s="36"/>
      <c r="PU312" s="36"/>
      <c r="PV312" s="36"/>
      <c r="PW312" s="36"/>
      <c r="PX312" s="36"/>
      <c r="PY312" s="36"/>
      <c r="PZ312" s="36"/>
      <c r="QA312" s="36"/>
      <c r="QB312" s="36"/>
      <c r="QC312" s="36"/>
      <c r="QD312" s="36"/>
      <c r="QE312" s="36"/>
      <c r="QF312" s="36"/>
      <c r="QG312" s="36"/>
      <c r="QH312" s="36"/>
      <c r="QI312" s="36"/>
      <c r="QJ312" s="36"/>
      <c r="QK312" s="36"/>
      <c r="QL312" s="36"/>
      <c r="QM312" s="36"/>
      <c r="QN312" s="36"/>
      <c r="QO312" s="36"/>
      <c r="QP312" s="36"/>
      <c r="QQ312" s="36"/>
      <c r="QR312" s="36"/>
      <c r="QS312" s="36"/>
      <c r="QT312" s="36"/>
      <c r="QU312" s="36"/>
      <c r="QV312" s="36"/>
      <c r="QW312" s="36"/>
      <c r="QX312" s="36"/>
      <c r="QY312" s="36"/>
      <c r="QZ312" s="36"/>
      <c r="RA312" s="36"/>
      <c r="RB312" s="36"/>
      <c r="RC312" s="36"/>
      <c r="RD312" s="36"/>
      <c r="RE312" s="36"/>
      <c r="RF312" s="36"/>
      <c r="RG312" s="36"/>
      <c r="RH312" s="36"/>
      <c r="RI312" s="36"/>
      <c r="RJ312" s="36"/>
      <c r="RK312" s="36"/>
      <c r="RL312" s="36"/>
      <c r="RM312" s="36"/>
      <c r="RN312" s="36"/>
      <c r="RO312" s="36"/>
      <c r="RP312" s="36"/>
      <c r="RQ312" s="36"/>
      <c r="RR312" s="36"/>
      <c r="RS312" s="36"/>
      <c r="RT312" s="36"/>
      <c r="RU312" s="36"/>
      <c r="RV312" s="36"/>
      <c r="RW312" s="36"/>
      <c r="RX312" s="36"/>
      <c r="RY312" s="36"/>
      <c r="RZ312" s="36"/>
      <c r="SA312" s="36"/>
      <c r="SB312" s="36"/>
      <c r="SC312" s="36"/>
      <c r="SD312" s="36"/>
      <c r="SE312" s="36"/>
      <c r="SF312" s="36"/>
      <c r="SG312" s="36"/>
      <c r="SH312" s="36"/>
      <c r="SI312" s="36"/>
      <c r="SJ312" s="36"/>
      <c r="SK312" s="36"/>
      <c r="SL312" s="36"/>
      <c r="SM312" s="36"/>
      <c r="SN312" s="36"/>
      <c r="SO312" s="36"/>
      <c r="SP312" s="36"/>
      <c r="SQ312" s="36"/>
      <c r="SR312" s="36"/>
      <c r="SS312" s="36"/>
      <c r="ST312" s="36"/>
      <c r="SU312" s="36"/>
      <c r="SV312" s="36"/>
      <c r="SW312" s="36"/>
      <c r="SX312" s="36"/>
      <c r="SY312" s="36"/>
      <c r="SZ312" s="36"/>
      <c r="TA312" s="36"/>
      <c r="TB312" s="36"/>
      <c r="TC312" s="36"/>
      <c r="TD312" s="36"/>
      <c r="TE312" s="36"/>
      <c r="TF312" s="36"/>
      <c r="TG312" s="36"/>
      <c r="TH312" s="36"/>
      <c r="TI312" s="36"/>
      <c r="TJ312" s="36"/>
      <c r="TK312" s="36"/>
      <c r="TL312" s="36"/>
      <c r="TM312" s="36"/>
      <c r="TN312" s="36"/>
      <c r="TO312" s="36"/>
      <c r="TP312" s="36"/>
      <c r="TQ312" s="36"/>
      <c r="TR312" s="36"/>
      <c r="TS312" s="36"/>
      <c r="TT312" s="36"/>
      <c r="TU312" s="36"/>
      <c r="TV312" s="36"/>
      <c r="TW312" s="36"/>
      <c r="TX312" s="36"/>
      <c r="TY312" s="36"/>
      <c r="TZ312" s="36"/>
      <c r="UA312" s="36"/>
      <c r="UB312" s="36"/>
      <c r="UC312" s="36"/>
      <c r="UD312" s="36"/>
      <c r="UE312" s="36"/>
      <c r="UF312" s="36"/>
      <c r="UG312" s="36"/>
      <c r="UH312" s="36"/>
      <c r="UI312" s="36"/>
      <c r="UJ312" s="36"/>
      <c r="UK312" s="36"/>
      <c r="UL312" s="36"/>
      <c r="UM312" s="36"/>
      <c r="UN312" s="36"/>
      <c r="UO312" s="36"/>
      <c r="UP312" s="36"/>
      <c r="UQ312" s="36"/>
      <c r="UR312" s="36"/>
      <c r="US312" s="36"/>
      <c r="UT312" s="36"/>
      <c r="UU312" s="36"/>
      <c r="UV312" s="36"/>
      <c r="UW312" s="36"/>
      <c r="UX312" s="36"/>
      <c r="UY312" s="36"/>
      <c r="UZ312" s="36"/>
      <c r="VA312" s="36"/>
      <c r="VB312" s="36"/>
      <c r="VC312" s="36"/>
      <c r="VD312" s="36"/>
      <c r="VE312" s="36"/>
      <c r="VF312" s="36"/>
      <c r="VG312" s="36"/>
      <c r="VH312" s="36"/>
      <c r="VI312" s="36"/>
      <c r="VJ312" s="36"/>
      <c r="VK312" s="36"/>
      <c r="VL312" s="36"/>
      <c r="VM312" s="36"/>
      <c r="VN312" s="36"/>
      <c r="VO312" s="36"/>
      <c r="VP312" s="36"/>
      <c r="VQ312" s="36"/>
      <c r="VR312" s="36"/>
      <c r="VS312" s="36"/>
      <c r="VT312" s="36"/>
      <c r="VU312" s="36"/>
      <c r="VV312" s="36"/>
      <c r="VW312" s="36"/>
      <c r="VX312" s="36"/>
      <c r="VY312" s="36"/>
      <c r="VZ312" s="36"/>
      <c r="WA312" s="36"/>
      <c r="WB312" s="36"/>
      <c r="WC312" s="36"/>
      <c r="WD312" s="36"/>
      <c r="WE312" s="36"/>
      <c r="WF312" s="36"/>
      <c r="WG312" s="36"/>
      <c r="WH312" s="36"/>
      <c r="WI312" s="36"/>
      <c r="WJ312" s="36"/>
      <c r="WK312" s="36"/>
      <c r="WL312" s="36"/>
      <c r="WM312" s="36"/>
      <c r="WN312" s="36"/>
      <c r="WO312" s="36"/>
      <c r="WP312" s="36"/>
      <c r="WQ312" s="36"/>
      <c r="WR312" s="36"/>
      <c r="WS312" s="36"/>
      <c r="WT312" s="36"/>
      <c r="WU312" s="36"/>
      <c r="WV312" s="36"/>
      <c r="WW312" s="36"/>
      <c r="WX312" s="36"/>
      <c r="WY312" s="36"/>
      <c r="WZ312" s="36"/>
      <c r="XA312" s="36"/>
      <c r="XB312" s="36"/>
      <c r="XC312" s="36"/>
      <c r="XD312" s="36"/>
      <c r="XE312" s="36"/>
      <c r="XF312" s="36"/>
      <c r="XG312" s="36"/>
      <c r="XH312" s="36"/>
      <c r="XI312" s="36"/>
      <c r="XJ312" s="36"/>
      <c r="XK312" s="36"/>
      <c r="XL312" s="36"/>
      <c r="XM312" s="36"/>
      <c r="XN312" s="36"/>
      <c r="XO312" s="36"/>
      <c r="XP312" s="36"/>
      <c r="XQ312" s="36"/>
      <c r="XR312" s="36"/>
      <c r="XS312" s="36"/>
      <c r="XT312" s="36"/>
      <c r="XU312" s="36"/>
      <c r="XV312" s="36"/>
      <c r="XW312" s="36"/>
      <c r="XX312" s="36"/>
      <c r="XY312" s="36"/>
      <c r="XZ312" s="36"/>
      <c r="YA312" s="36"/>
      <c r="YB312" s="36"/>
      <c r="YC312" s="36"/>
      <c r="YD312" s="36"/>
      <c r="YE312" s="36"/>
      <c r="YF312" s="36"/>
      <c r="YG312" s="36"/>
      <c r="YH312" s="36"/>
      <c r="YI312" s="36"/>
      <c r="YJ312" s="36"/>
      <c r="YK312" s="36"/>
      <c r="YL312" s="36"/>
      <c r="YM312" s="36"/>
      <c r="YN312" s="36"/>
      <c r="YO312" s="36"/>
      <c r="YP312" s="36"/>
      <c r="YQ312" s="36"/>
      <c r="YR312" s="36"/>
      <c r="YS312" s="36"/>
      <c r="YT312" s="36"/>
      <c r="YU312" s="36"/>
      <c r="YV312" s="36"/>
      <c r="YW312" s="36"/>
      <c r="YX312" s="36"/>
      <c r="YY312" s="36"/>
      <c r="YZ312" s="36"/>
      <c r="ZA312" s="36"/>
      <c r="ZB312" s="36"/>
      <c r="ZC312" s="36"/>
      <c r="ZD312" s="36"/>
      <c r="ZE312" s="36"/>
      <c r="ZF312" s="36"/>
      <c r="ZG312" s="36"/>
      <c r="ZH312" s="36"/>
      <c r="ZI312" s="36"/>
      <c r="ZJ312" s="36"/>
      <c r="ZK312" s="36"/>
      <c r="ZL312" s="36"/>
      <c r="ZM312" s="36"/>
      <c r="ZN312" s="36"/>
      <c r="ZO312" s="36"/>
      <c r="ZP312" s="36"/>
      <c r="ZQ312" s="36"/>
      <c r="ZR312" s="36"/>
      <c r="ZS312" s="36"/>
      <c r="ZT312" s="36"/>
      <c r="ZU312" s="36"/>
      <c r="ZV312" s="36"/>
      <c r="ZW312" s="36"/>
      <c r="ZX312" s="36"/>
      <c r="ZY312" s="36"/>
      <c r="ZZ312" s="36"/>
      <c r="AAA312" s="36"/>
      <c r="AAB312" s="36"/>
      <c r="AAC312" s="36"/>
      <c r="AAD312" s="36"/>
      <c r="AAE312" s="36"/>
      <c r="AAF312" s="36"/>
      <c r="AAG312" s="36"/>
      <c r="AAH312" s="36"/>
      <c r="AAI312" s="36"/>
      <c r="AAJ312" s="36"/>
      <c r="AAK312" s="36"/>
      <c r="AAL312" s="36"/>
      <c r="AAM312" s="36"/>
      <c r="AAN312" s="36"/>
      <c r="AAO312" s="36"/>
      <c r="AAP312" s="36"/>
      <c r="AAQ312" s="36"/>
      <c r="AAR312" s="36"/>
      <c r="AAS312" s="36"/>
      <c r="AAT312" s="36"/>
      <c r="AAU312" s="36"/>
      <c r="AAV312" s="36"/>
      <c r="AAW312" s="36"/>
      <c r="AAX312" s="36"/>
      <c r="AAY312" s="36"/>
      <c r="AAZ312" s="36"/>
      <c r="ABA312" s="36"/>
      <c r="ABB312" s="36"/>
      <c r="ABC312" s="36"/>
      <c r="ABD312" s="36"/>
      <c r="ABE312" s="36"/>
      <c r="ABF312" s="36"/>
      <c r="ABG312" s="36"/>
      <c r="ABH312" s="36"/>
      <c r="ABI312" s="36"/>
      <c r="ABJ312" s="36"/>
      <c r="ABK312" s="36"/>
      <c r="ABL312" s="36"/>
      <c r="ABM312" s="36"/>
      <c r="ABN312" s="36"/>
      <c r="ABO312" s="36"/>
      <c r="ABP312" s="36"/>
      <c r="ABQ312" s="36"/>
      <c r="ABR312" s="36"/>
      <c r="ABS312" s="36"/>
      <c r="ABT312" s="36"/>
      <c r="ABV312" s="13"/>
      <c r="ABW312" s="35"/>
      <c r="ABX312" s="35"/>
      <c r="ABY312" s="15"/>
      <c r="ACA312" s="13"/>
      <c r="ACB312" s="35"/>
      <c r="ACC312" s="35"/>
      <c r="ACD312" s="15"/>
      <c r="ACF312" s="13"/>
      <c r="ACG312" s="35"/>
      <c r="ACH312" s="35"/>
      <c r="ACI312" s="15"/>
      <c r="ACK312" s="13"/>
      <c r="ACL312" s="35"/>
      <c r="ACM312" s="35"/>
      <c r="ACN312" s="15"/>
      <c r="ACP312" s="13"/>
      <c r="ACQ312" s="35"/>
      <c r="ACR312" s="35"/>
      <c r="ACS312" s="15"/>
      <c r="ACU312" s="13"/>
      <c r="ACV312" s="35"/>
      <c r="ACW312" s="35"/>
      <c r="ACX312" s="15"/>
      <c r="ACZ312" s="13"/>
      <c r="ADA312" s="35"/>
      <c r="ADB312" s="35"/>
      <c r="ADC312" s="15"/>
      <c r="ADE312" s="13"/>
      <c r="ADF312" s="35"/>
      <c r="ADG312" s="35"/>
      <c r="ADH312" s="15"/>
      <c r="ADJ312" s="13"/>
      <c r="ADK312" s="35"/>
      <c r="ADL312" s="35"/>
      <c r="ADM312" s="15"/>
      <c r="ADO312" s="13"/>
      <c r="ADP312" s="35"/>
      <c r="ADQ312" s="35"/>
      <c r="ADR312" s="15"/>
      <c r="ADT312" s="13"/>
      <c r="ADU312" s="35"/>
      <c r="ADV312" s="35"/>
      <c r="ADW312" s="15"/>
      <c r="ADY312" s="13"/>
      <c r="ADZ312" s="35"/>
      <c r="AEA312" s="35"/>
      <c r="AEB312" s="15"/>
      <c r="AED312" s="13"/>
      <c r="AEE312" s="35"/>
      <c r="AEF312" s="35"/>
      <c r="AEG312" s="15"/>
      <c r="AEI312" s="13"/>
      <c r="AEJ312" s="35"/>
      <c r="AEK312" s="35"/>
      <c r="AEL312" s="15"/>
      <c r="AEN312" s="13"/>
      <c r="AEO312" s="35"/>
      <c r="AEP312" s="35"/>
      <c r="AEQ312" s="15"/>
      <c r="AES312" s="13"/>
      <c r="AET312" s="35"/>
      <c r="AEU312" s="35"/>
      <c r="AEV312" s="15"/>
      <c r="AEX312" s="13"/>
      <c r="AEY312" s="35"/>
      <c r="AEZ312" s="35"/>
      <c r="AFA312" s="15"/>
      <c r="AFC312" s="13"/>
      <c r="AFD312" s="35"/>
      <c r="AFE312" s="35"/>
      <c r="AFF312" s="15"/>
      <c r="AFH312" s="13"/>
      <c r="AFI312" s="35"/>
      <c r="AFJ312" s="35"/>
      <c r="AFK312" s="15"/>
      <c r="AFM312" s="13"/>
      <c r="AFN312" s="35"/>
      <c r="AFO312" s="35"/>
      <c r="AFP312" s="15"/>
      <c r="AFR312" s="13"/>
      <c r="AFS312" s="35"/>
      <c r="AFT312" s="35"/>
      <c r="AFU312" s="15"/>
      <c r="AFW312" s="13"/>
      <c r="AFX312" s="35"/>
      <c r="AFY312" s="35"/>
      <c r="AFZ312" s="15"/>
      <c r="AGB312" s="13"/>
      <c r="AGC312" s="35"/>
      <c r="AGD312" s="35"/>
      <c r="AGE312" s="15"/>
      <c r="AGG312" s="13"/>
      <c r="AGH312" s="35"/>
      <c r="AGI312" s="35"/>
      <c r="AGJ312" s="15"/>
      <c r="AGL312" s="13"/>
      <c r="AGM312" s="35"/>
      <c r="AGN312" s="35"/>
      <c r="AGO312" s="15"/>
      <c r="AGQ312" s="13"/>
      <c r="AGR312" s="35"/>
      <c r="AGS312" s="35"/>
      <c r="AGT312" s="15"/>
      <c r="AGV312" s="13"/>
      <c r="AGW312" s="35"/>
      <c r="AGX312" s="35"/>
      <c r="AGY312" s="15"/>
      <c r="AHA312" s="13"/>
      <c r="AHB312" s="35"/>
      <c r="AHC312" s="35"/>
      <c r="AHD312" s="15"/>
      <c r="AHF312" s="13"/>
      <c r="AHG312" s="35"/>
      <c r="AHH312" s="35"/>
      <c r="AHI312" s="15"/>
      <c r="AHK312" s="13"/>
      <c r="AHL312" s="35"/>
      <c r="AHM312" s="35"/>
      <c r="AHN312" s="15"/>
      <c r="AHP312" s="13"/>
      <c r="AHQ312" s="35"/>
      <c r="AHR312" s="35"/>
      <c r="AHS312" s="15"/>
      <c r="AHU312" s="13"/>
      <c r="AHV312" s="35"/>
      <c r="AHW312" s="35"/>
      <c r="AHX312" s="15"/>
      <c r="AHZ312" s="13"/>
      <c r="AIA312" s="35"/>
      <c r="AIB312" s="35"/>
      <c r="AIC312" s="15"/>
      <c r="AIE312" s="13"/>
      <c r="AIF312" s="35"/>
      <c r="AIG312" s="35"/>
      <c r="AIH312" s="15"/>
      <c r="AIJ312" s="13"/>
      <c r="AIK312" s="35"/>
      <c r="AIL312" s="35"/>
      <c r="AIM312" s="15"/>
      <c r="AIO312" s="13"/>
      <c r="AIP312" s="35"/>
      <c r="AIQ312" s="35"/>
      <c r="AIR312" s="15"/>
      <c r="AIT312" s="13"/>
      <c r="AIU312" s="35"/>
      <c r="AIV312" s="35"/>
      <c r="AIW312" s="15"/>
      <c r="AIY312" s="13"/>
      <c r="AIZ312" s="35"/>
      <c r="AJA312" s="35"/>
      <c r="AJB312" s="15"/>
      <c r="AJD312" s="13"/>
      <c r="AJE312" s="35"/>
      <c r="AJF312" s="35"/>
      <c r="AJG312" s="15"/>
      <c r="AJI312" s="13"/>
      <c r="AJJ312" s="35"/>
      <c r="AJK312" s="35"/>
      <c r="AJL312" s="15"/>
      <c r="AJN312" s="13"/>
      <c r="AJO312" s="35"/>
      <c r="AJP312" s="35"/>
      <c r="AJQ312" s="15"/>
      <c r="AJS312" s="13"/>
      <c r="AJT312" s="35"/>
      <c r="AJU312" s="35"/>
      <c r="AJV312" s="15"/>
      <c r="AJX312" s="13"/>
      <c r="AJY312" s="35"/>
      <c r="AJZ312" s="35"/>
      <c r="AKA312" s="15"/>
      <c r="AKC312" s="13"/>
      <c r="AKD312" s="35"/>
      <c r="AKE312" s="35"/>
      <c r="AKF312" s="15"/>
      <c r="AKH312" s="13"/>
      <c r="AKI312" s="35"/>
      <c r="AKJ312" s="35"/>
      <c r="AKK312" s="15"/>
      <c r="AKM312" s="13"/>
      <c r="AKN312" s="35"/>
      <c r="AKO312" s="35"/>
      <c r="AKP312" s="15"/>
      <c r="AKR312" s="13"/>
      <c r="AKS312" s="35"/>
      <c r="AKT312" s="35"/>
      <c r="AKU312" s="15"/>
      <c r="AKW312" s="13"/>
      <c r="AKX312" s="35"/>
      <c r="AKY312" s="35"/>
      <c r="AKZ312" s="15"/>
      <c r="ALB312" s="13"/>
      <c r="ALC312" s="35"/>
      <c r="ALD312" s="35"/>
      <c r="ALE312" s="15"/>
      <c r="ALG312" s="13"/>
      <c r="ALH312" s="35"/>
      <c r="ALI312" s="35"/>
      <c r="ALJ312" s="15"/>
      <c r="ALL312" s="13"/>
      <c r="ALM312" s="35"/>
      <c r="ALN312" s="35"/>
      <c r="ALO312" s="15"/>
      <c r="ALQ312" s="13"/>
      <c r="ALR312" s="35"/>
      <c r="ALS312" s="35"/>
      <c r="ALT312" s="15"/>
      <c r="ALV312" s="13"/>
      <c r="ALW312" s="35"/>
      <c r="ALX312" s="35"/>
      <c r="ALY312" s="15"/>
      <c r="AMA312" s="13"/>
      <c r="AMB312" s="35"/>
      <c r="AMC312" s="35"/>
      <c r="AMD312" s="15"/>
      <c r="AMF312" s="13"/>
      <c r="AMG312" s="35"/>
      <c r="AMH312" s="35"/>
      <c r="AMI312" s="15"/>
      <c r="AMK312" s="13"/>
      <c r="AML312" s="35"/>
      <c r="AMM312" s="35"/>
      <c r="AMN312" s="15"/>
      <c r="AMP312" s="13"/>
      <c r="AMQ312" s="35"/>
      <c r="AMR312" s="35"/>
      <c r="AMS312" s="15"/>
      <c r="AMU312" s="13"/>
      <c r="AMV312" s="35"/>
      <c r="AMW312" s="35"/>
      <c r="AMX312" s="15"/>
      <c r="AMZ312" s="13"/>
      <c r="ANA312" s="35"/>
      <c r="ANB312" s="35"/>
      <c r="ANC312" s="15"/>
      <c r="ANE312" s="13"/>
      <c r="ANF312" s="35"/>
      <c r="ANG312" s="35"/>
      <c r="ANH312" s="15"/>
      <c r="ANJ312" s="13"/>
      <c r="ANK312" s="35"/>
      <c r="ANL312" s="35"/>
      <c r="ANM312" s="15"/>
      <c r="ANO312" s="13"/>
      <c r="ANP312" s="35"/>
      <c r="ANQ312" s="35"/>
      <c r="ANR312" s="15"/>
      <c r="ANT312" s="13"/>
      <c r="ANU312" s="35"/>
      <c r="ANV312" s="35"/>
      <c r="ANW312" s="15"/>
      <c r="ANY312" s="13"/>
      <c r="ANZ312" s="35"/>
      <c r="AOA312" s="35"/>
      <c r="AOB312" s="15"/>
      <c r="AOD312" s="13"/>
      <c r="AOE312" s="35"/>
      <c r="AOF312" s="35"/>
      <c r="AOG312" s="15"/>
      <c r="AOI312" s="13"/>
      <c r="AOJ312" s="35"/>
      <c r="AOK312" s="35"/>
      <c r="AOL312" s="15"/>
      <c r="AON312" s="13"/>
      <c r="AOO312" s="35"/>
      <c r="AOP312" s="35"/>
      <c r="AOQ312" s="15"/>
      <c r="AOS312" s="13"/>
      <c r="AOT312" s="35"/>
      <c r="AOU312" s="35"/>
      <c r="AOV312" s="15"/>
      <c r="AOX312" s="13"/>
      <c r="AOY312" s="35"/>
      <c r="AOZ312" s="35"/>
      <c r="APA312" s="15"/>
      <c r="APC312" s="13"/>
      <c r="APD312" s="35"/>
      <c r="APE312" s="35"/>
      <c r="APF312" s="15"/>
      <c r="APH312" s="13"/>
      <c r="API312" s="35"/>
      <c r="APJ312" s="35"/>
      <c r="APK312" s="15"/>
      <c r="APM312" s="13"/>
      <c r="APN312" s="35"/>
      <c r="APO312" s="35"/>
      <c r="APP312" s="15"/>
      <c r="APR312" s="13"/>
      <c r="APS312" s="35"/>
      <c r="APT312" s="35"/>
      <c r="APU312" s="15"/>
      <c r="APW312" s="13"/>
      <c r="APX312" s="35"/>
      <c r="APY312" s="35"/>
      <c r="APZ312" s="15"/>
      <c r="AQB312" s="13"/>
      <c r="AQC312" s="35"/>
      <c r="AQD312" s="35"/>
      <c r="AQE312" s="15"/>
      <c r="AQG312" s="13"/>
      <c r="AQH312" s="35"/>
      <c r="AQI312" s="35"/>
      <c r="AQJ312" s="15"/>
      <c r="AQL312" s="13"/>
      <c r="AQM312" s="35"/>
      <c r="AQN312" s="35"/>
      <c r="AQO312" s="15"/>
      <c r="AQQ312" s="13"/>
      <c r="AQR312" s="35"/>
      <c r="AQS312" s="35"/>
      <c r="AQT312" s="15"/>
      <c r="AQV312" s="13"/>
      <c r="AQW312" s="35"/>
      <c r="AQX312" s="35"/>
      <c r="AQY312" s="15"/>
      <c r="ARA312" s="13"/>
      <c r="ARB312" s="35"/>
      <c r="ARC312" s="35"/>
      <c r="ARD312" s="15"/>
      <c r="ARF312" s="13"/>
      <c r="ARG312" s="35"/>
      <c r="ARH312" s="35"/>
      <c r="ARI312" s="15"/>
      <c r="ARK312" s="13"/>
      <c r="ARL312" s="35"/>
      <c r="ARM312" s="35"/>
      <c r="ARN312" s="15"/>
      <c r="ARP312" s="13"/>
      <c r="ARQ312" s="35"/>
      <c r="ARR312" s="35"/>
      <c r="ARS312" s="15"/>
      <c r="ARU312" s="13"/>
      <c r="ARV312" s="35"/>
      <c r="ARW312" s="35"/>
      <c r="ARX312" s="15"/>
      <c r="ARZ312" s="13"/>
      <c r="ASA312" s="35"/>
      <c r="ASB312" s="35"/>
      <c r="ASC312" s="15"/>
      <c r="ASE312" s="13"/>
      <c r="ASF312" s="35"/>
      <c r="ASG312" s="35"/>
      <c r="ASH312" s="15"/>
      <c r="ASJ312" s="13"/>
      <c r="ASK312" s="35"/>
      <c r="ASL312" s="35"/>
      <c r="ASM312" s="15"/>
      <c r="ASO312" s="13"/>
      <c r="ASP312" s="35"/>
      <c r="ASQ312" s="35"/>
      <c r="ASR312" s="15"/>
      <c r="AST312" s="13"/>
      <c r="ASU312" s="35"/>
      <c r="ASV312" s="35"/>
      <c r="ASW312" s="15"/>
      <c r="ASY312" s="13"/>
      <c r="ASZ312" s="35"/>
      <c r="ATA312" s="35"/>
      <c r="ATB312" s="15"/>
      <c r="ATD312" s="13"/>
      <c r="ATE312" s="35"/>
      <c r="ATF312" s="35"/>
      <c r="ATG312" s="15"/>
      <c r="ATI312" s="13"/>
      <c r="ATJ312" s="35"/>
      <c r="ATK312" s="35"/>
      <c r="ATL312" s="15"/>
      <c r="ATN312" s="13"/>
      <c r="ATO312" s="35"/>
      <c r="ATP312" s="35"/>
      <c r="ATQ312" s="15"/>
      <c r="ATS312" s="13"/>
      <c r="ATT312" s="35"/>
      <c r="ATU312" s="35"/>
      <c r="ATV312" s="15"/>
      <c r="ATX312" s="13"/>
      <c r="ATY312" s="35"/>
      <c r="ATZ312" s="35"/>
      <c r="AUA312" s="15"/>
      <c r="AUC312" s="13"/>
      <c r="AUD312" s="35"/>
      <c r="AUE312" s="35"/>
      <c r="AUF312" s="15"/>
      <c r="AUH312" s="13"/>
      <c r="AUI312" s="35"/>
      <c r="AUJ312" s="35"/>
      <c r="AUK312" s="15"/>
      <c r="AUM312" s="13"/>
      <c r="AUN312" s="35"/>
      <c r="AUO312" s="35"/>
      <c r="AUP312" s="15"/>
      <c r="AUR312" s="13"/>
      <c r="AUS312" s="35"/>
      <c r="AUT312" s="35"/>
      <c r="AUU312" s="15"/>
      <c r="AUW312" s="13"/>
      <c r="AUX312" s="35"/>
      <c r="AUY312" s="35"/>
      <c r="AUZ312" s="15"/>
      <c r="AVB312" s="13"/>
      <c r="AVC312" s="35"/>
      <c r="AVD312" s="35"/>
      <c r="AVE312" s="15"/>
      <c r="AVG312" s="13"/>
      <c r="AVH312" s="35"/>
      <c r="AVI312" s="35"/>
      <c r="AVJ312" s="15"/>
      <c r="AVL312" s="13"/>
      <c r="AVM312" s="35"/>
      <c r="AVN312" s="35"/>
      <c r="AVO312" s="15"/>
      <c r="AVQ312" s="13"/>
      <c r="AVR312" s="35"/>
      <c r="AVS312" s="35"/>
      <c r="AVT312" s="15"/>
      <c r="AVV312" s="13"/>
      <c r="AVW312" s="35"/>
      <c r="AVX312" s="35"/>
      <c r="AVY312" s="15"/>
      <c r="AWA312" s="13"/>
      <c r="AWB312" s="35"/>
      <c r="AWC312" s="35"/>
      <c r="AWD312" s="15"/>
      <c r="AWF312" s="13"/>
      <c r="AWG312" s="35"/>
      <c r="AWH312" s="35"/>
      <c r="AWI312" s="15"/>
      <c r="AWK312" s="13"/>
      <c r="AWL312" s="35"/>
      <c r="AWM312" s="35"/>
      <c r="AWN312" s="15"/>
      <c r="AWP312" s="13"/>
      <c r="AWQ312" s="35"/>
      <c r="AWR312" s="35"/>
      <c r="AWS312" s="15"/>
      <c r="AWU312" s="13"/>
      <c r="AWV312" s="35"/>
      <c r="AWW312" s="35"/>
      <c r="AWX312" s="15"/>
      <c r="AWZ312" s="13"/>
      <c r="AXA312" s="35"/>
      <c r="AXB312" s="35"/>
      <c r="AXC312" s="15"/>
      <c r="AXE312" s="13"/>
      <c r="AXF312" s="35"/>
      <c r="AXG312" s="35"/>
      <c r="AXH312" s="15"/>
      <c r="AXJ312" s="13"/>
      <c r="AXK312" s="35"/>
      <c r="AXL312" s="35"/>
      <c r="AXM312" s="15"/>
      <c r="AXO312" s="13"/>
      <c r="AXP312" s="35"/>
      <c r="AXQ312" s="35"/>
      <c r="AXR312" s="15"/>
      <c r="AXT312" s="13"/>
      <c r="AXU312" s="35"/>
      <c r="AXV312" s="35"/>
      <c r="AXW312" s="15"/>
      <c r="AXY312" s="13"/>
      <c r="AXZ312" s="35"/>
      <c r="AYA312" s="35"/>
      <c r="AYB312" s="15"/>
      <c r="AYD312" s="13"/>
      <c r="AYE312" s="35"/>
      <c r="AYF312" s="35"/>
      <c r="AYG312" s="15"/>
      <c r="AYI312" s="13"/>
      <c r="AYJ312" s="35"/>
      <c r="AYK312" s="35"/>
      <c r="AYL312" s="15"/>
      <c r="AYN312" s="13"/>
      <c r="AYO312" s="35"/>
      <c r="AYP312" s="35"/>
      <c r="AYQ312" s="15"/>
      <c r="AYS312" s="13"/>
      <c r="AYT312" s="35"/>
      <c r="AYU312" s="35"/>
      <c r="AYV312" s="15"/>
      <c r="AYX312" s="13"/>
      <c r="AYY312" s="35"/>
      <c r="AYZ312" s="35"/>
      <c r="AZA312" s="15"/>
      <c r="AZC312" s="13"/>
      <c r="AZD312" s="35"/>
      <c r="AZE312" s="35"/>
      <c r="AZF312" s="15"/>
      <c r="AZH312" s="13"/>
      <c r="AZI312" s="35"/>
      <c r="AZJ312" s="35"/>
      <c r="AZK312" s="15"/>
      <c r="AZM312" s="13"/>
      <c r="AZN312" s="35"/>
      <c r="AZO312" s="35"/>
      <c r="AZP312" s="15"/>
      <c r="AZR312" s="13"/>
      <c r="AZS312" s="35"/>
      <c r="AZT312" s="35"/>
      <c r="AZU312" s="15"/>
      <c r="AZW312" s="13"/>
      <c r="AZX312" s="35"/>
      <c r="AZY312" s="35"/>
      <c r="AZZ312" s="15"/>
      <c r="BAB312" s="13"/>
      <c r="BAC312" s="35"/>
      <c r="BAD312" s="35"/>
      <c r="BAE312" s="15"/>
      <c r="BAG312" s="13"/>
      <c r="BAH312" s="35"/>
      <c r="BAI312" s="35"/>
      <c r="BAJ312" s="15"/>
      <c r="BAL312" s="13"/>
      <c r="BAM312" s="35"/>
      <c r="BAN312" s="35"/>
      <c r="BAO312" s="15"/>
      <c r="BAQ312" s="13"/>
      <c r="BAR312" s="35"/>
      <c r="BAS312" s="35"/>
      <c r="BAT312" s="15"/>
      <c r="BAV312" s="13"/>
      <c r="BAW312" s="35"/>
      <c r="BAX312" s="35"/>
      <c r="BAY312" s="15"/>
      <c r="BBA312" s="13"/>
      <c r="BBB312" s="35"/>
      <c r="BBC312" s="35"/>
      <c r="BBD312" s="15"/>
      <c r="BBF312" s="13"/>
      <c r="BBG312" s="35"/>
      <c r="BBH312" s="35"/>
      <c r="BBI312" s="15"/>
      <c r="BBK312" s="13"/>
      <c r="BBL312" s="35"/>
      <c r="BBM312" s="35"/>
      <c r="BBN312" s="15"/>
      <c r="BBP312" s="13"/>
      <c r="BBQ312" s="35"/>
      <c r="BBR312" s="35"/>
      <c r="BBS312" s="15"/>
      <c r="BBU312" s="13"/>
      <c r="BBV312" s="35"/>
      <c r="BBW312" s="35"/>
      <c r="BBX312" s="15"/>
      <c r="BBZ312" s="13"/>
      <c r="BCA312" s="35"/>
      <c r="BCB312" s="35"/>
      <c r="BCC312" s="15"/>
      <c r="BCE312" s="13"/>
      <c r="BCF312" s="35"/>
      <c r="BCG312" s="35"/>
      <c r="BCH312" s="15"/>
      <c r="BCJ312" s="13"/>
      <c r="BCK312" s="35"/>
      <c r="BCL312" s="35"/>
      <c r="BCM312" s="15"/>
      <c r="BCO312" s="13"/>
      <c r="BCP312" s="35"/>
      <c r="BCQ312" s="35"/>
      <c r="BCR312" s="15"/>
      <c r="BCT312" s="13"/>
      <c r="BCU312" s="35"/>
      <c r="BCV312" s="35"/>
      <c r="BCW312" s="15"/>
      <c r="BCY312" s="13"/>
      <c r="BCZ312" s="35"/>
      <c r="BDA312" s="35"/>
      <c r="BDB312" s="15"/>
      <c r="BDD312" s="13"/>
      <c r="BDE312" s="35"/>
      <c r="BDF312" s="35"/>
      <c r="BDG312" s="15"/>
      <c r="BDI312" s="13"/>
      <c r="BDJ312" s="35"/>
      <c r="BDK312" s="35"/>
      <c r="BDL312" s="15"/>
      <c r="BDN312" s="13"/>
      <c r="BDO312" s="35"/>
      <c r="BDP312" s="35"/>
      <c r="BDQ312" s="15"/>
      <c r="BDS312" s="13"/>
      <c r="BDT312" s="35"/>
      <c r="BDU312" s="35"/>
      <c r="BDV312" s="15"/>
      <c r="BDX312" s="13"/>
      <c r="BDY312" s="35"/>
      <c r="BDZ312" s="35"/>
      <c r="BEA312" s="15"/>
      <c r="BEC312" s="13"/>
      <c r="BED312" s="35"/>
      <c r="BEE312" s="35"/>
      <c r="BEF312" s="15"/>
      <c r="BEH312" s="13"/>
      <c r="BEI312" s="35"/>
      <c r="BEJ312" s="35"/>
      <c r="BEK312" s="15"/>
      <c r="BEM312" s="13"/>
      <c r="BEN312" s="35"/>
      <c r="BEO312" s="35"/>
      <c r="BEP312" s="15"/>
      <c r="BER312" s="13"/>
      <c r="BES312" s="35"/>
      <c r="BET312" s="35"/>
      <c r="BEU312" s="15"/>
      <c r="BEW312" s="13"/>
      <c r="BEX312" s="35"/>
      <c r="BEY312" s="35"/>
      <c r="BEZ312" s="15"/>
      <c r="BFB312" s="13"/>
      <c r="BFC312" s="35"/>
      <c r="BFD312" s="35"/>
      <c r="BFE312" s="15"/>
      <c r="BFG312" s="13"/>
      <c r="BFH312" s="35"/>
      <c r="BFI312" s="35"/>
      <c r="BFJ312" s="15"/>
      <c r="BFL312" s="13"/>
      <c r="BFM312" s="35"/>
      <c r="BFN312" s="35"/>
      <c r="BFO312" s="15"/>
      <c r="BFQ312" s="13"/>
      <c r="BFR312" s="35"/>
      <c r="BFS312" s="35"/>
      <c r="BFT312" s="15"/>
      <c r="BFV312" s="13"/>
      <c r="BFW312" s="35"/>
      <c r="BFX312" s="35"/>
      <c r="BFY312" s="15"/>
      <c r="BGA312" s="13"/>
      <c r="BGB312" s="35"/>
      <c r="BGC312" s="35"/>
      <c r="BGD312" s="15"/>
      <c r="BGF312" s="13"/>
      <c r="BGG312" s="35"/>
      <c r="BGH312" s="35"/>
      <c r="BGI312" s="15"/>
      <c r="BGK312" s="13"/>
      <c r="BGL312" s="35"/>
      <c r="BGM312" s="35"/>
      <c r="BGN312" s="15"/>
      <c r="BGP312" s="13"/>
      <c r="BGQ312" s="35"/>
      <c r="BGR312" s="35"/>
      <c r="BGS312" s="15"/>
      <c r="BGU312" s="13"/>
      <c r="BGV312" s="35"/>
      <c r="BGW312" s="35"/>
      <c r="BGX312" s="15"/>
      <c r="BGZ312" s="13"/>
      <c r="BHA312" s="35"/>
      <c r="BHB312" s="35"/>
      <c r="BHC312" s="15"/>
      <c r="BHE312" s="13"/>
      <c r="BHF312" s="35"/>
      <c r="BHG312" s="35"/>
      <c r="BHH312" s="15"/>
      <c r="BHJ312" s="13"/>
      <c r="BHK312" s="35"/>
      <c r="BHL312" s="35"/>
      <c r="BHM312" s="15"/>
      <c r="BHO312" s="13"/>
      <c r="BHP312" s="35"/>
      <c r="BHQ312" s="35"/>
      <c r="BHR312" s="15"/>
      <c r="BHT312" s="13"/>
      <c r="BHU312" s="35"/>
      <c r="BHV312" s="35"/>
      <c r="BHW312" s="15"/>
      <c r="BHY312" s="13"/>
      <c r="BHZ312" s="35"/>
      <c r="BIA312" s="35"/>
      <c r="BIB312" s="15"/>
      <c r="BID312" s="13"/>
      <c r="BIE312" s="35"/>
      <c r="BIF312" s="35"/>
      <c r="BIG312" s="15"/>
      <c r="BII312" s="13"/>
      <c r="BIJ312" s="35"/>
      <c r="BIK312" s="35"/>
      <c r="BIL312" s="15"/>
      <c r="BIN312" s="13"/>
      <c r="BIO312" s="35"/>
      <c r="BIP312" s="35"/>
      <c r="BIQ312" s="15"/>
      <c r="BIS312" s="13"/>
      <c r="BIT312" s="35"/>
      <c r="BIU312" s="35"/>
      <c r="BIV312" s="15"/>
      <c r="BIX312" s="13"/>
      <c r="BIY312" s="35"/>
      <c r="BIZ312" s="35"/>
      <c r="BJA312" s="15"/>
      <c r="BJC312" s="13"/>
      <c r="BJD312" s="35"/>
      <c r="BJE312" s="35"/>
      <c r="BJF312" s="15"/>
      <c r="BJH312" s="13"/>
      <c r="BJI312" s="35"/>
      <c r="BJJ312" s="35"/>
      <c r="BJK312" s="15"/>
      <c r="BJM312" s="13"/>
      <c r="BJN312" s="35"/>
      <c r="BJO312" s="35"/>
      <c r="BJP312" s="15"/>
      <c r="BJR312" s="13"/>
      <c r="BJS312" s="35"/>
      <c r="BJT312" s="35"/>
      <c r="BJU312" s="15"/>
      <c r="BJW312" s="13"/>
      <c r="BJX312" s="35"/>
      <c r="BJY312" s="35"/>
      <c r="BJZ312" s="15"/>
      <c r="BKB312" s="13"/>
      <c r="BKC312" s="35"/>
      <c r="BKD312" s="35"/>
      <c r="BKE312" s="15"/>
      <c r="BKG312" s="13"/>
      <c r="BKH312" s="35"/>
      <c r="BKI312" s="35"/>
      <c r="BKJ312" s="15"/>
      <c r="BKL312" s="13"/>
      <c r="BKM312" s="35"/>
      <c r="BKN312" s="35"/>
      <c r="BKO312" s="15"/>
      <c r="BKQ312" s="13"/>
      <c r="BKR312" s="35"/>
      <c r="BKS312" s="35"/>
      <c r="BKT312" s="15"/>
      <c r="BKV312" s="13"/>
      <c r="BKW312" s="35"/>
      <c r="BKX312" s="35"/>
      <c r="BKY312" s="15"/>
      <c r="BLA312" s="13"/>
      <c r="BLB312" s="35"/>
      <c r="BLC312" s="35"/>
      <c r="BLD312" s="15"/>
      <c r="BLF312" s="13"/>
      <c r="BLG312" s="35"/>
      <c r="BLH312" s="35"/>
      <c r="BLI312" s="15"/>
      <c r="BLK312" s="13"/>
      <c r="BLL312" s="35"/>
      <c r="BLM312" s="35"/>
      <c r="BLN312" s="15"/>
      <c r="BLP312" s="13"/>
      <c r="BLQ312" s="35"/>
      <c r="BLR312" s="35"/>
      <c r="BLS312" s="15"/>
      <c r="BLU312" s="13"/>
      <c r="BLV312" s="35"/>
      <c r="BLW312" s="35"/>
      <c r="BLX312" s="15"/>
      <c r="BLZ312" s="13"/>
      <c r="BMA312" s="35"/>
      <c r="BMB312" s="35"/>
      <c r="BMC312" s="15"/>
      <c r="BME312" s="13"/>
      <c r="BMF312" s="35"/>
      <c r="BMG312" s="35"/>
      <c r="BMH312" s="15"/>
      <c r="BMJ312" s="13"/>
      <c r="BMK312" s="35"/>
      <c r="BML312" s="35"/>
      <c r="BMM312" s="15"/>
      <c r="BMO312" s="13"/>
      <c r="BMP312" s="35"/>
      <c r="BMQ312" s="35"/>
      <c r="BMR312" s="15"/>
      <c r="BMT312" s="13"/>
      <c r="BMU312" s="35"/>
      <c r="BMV312" s="35"/>
      <c r="BMW312" s="15"/>
      <c r="BMY312" s="13"/>
      <c r="BMZ312" s="35"/>
      <c r="BNA312" s="35"/>
      <c r="BNB312" s="15"/>
      <c r="BND312" s="13"/>
      <c r="BNE312" s="35"/>
      <c r="BNF312" s="35"/>
      <c r="BNG312" s="15"/>
      <c r="BNI312" s="13"/>
      <c r="BNJ312" s="35"/>
      <c r="BNK312" s="35"/>
      <c r="BNL312" s="15"/>
      <c r="BNN312" s="13"/>
      <c r="BNO312" s="35"/>
      <c r="BNP312" s="35"/>
      <c r="BNQ312" s="15"/>
      <c r="BNS312" s="13"/>
      <c r="BNT312" s="35"/>
      <c r="BNU312" s="35"/>
      <c r="BNV312" s="15"/>
      <c r="BNX312" s="13"/>
      <c r="BNY312" s="35"/>
      <c r="BNZ312" s="35"/>
      <c r="BOA312" s="15"/>
      <c r="BOC312" s="13"/>
      <c r="BOD312" s="35"/>
      <c r="BOE312" s="35"/>
      <c r="BOF312" s="15"/>
      <c r="BOH312" s="13"/>
      <c r="BOI312" s="35"/>
      <c r="BOJ312" s="35"/>
      <c r="BOK312" s="15"/>
      <c r="BOM312" s="13"/>
      <c r="BON312" s="35"/>
      <c r="BOO312" s="35"/>
      <c r="BOP312" s="15"/>
      <c r="BOR312" s="13"/>
      <c r="BOS312" s="35"/>
      <c r="BOT312" s="35"/>
      <c r="BOU312" s="15"/>
      <c r="BOW312" s="13"/>
      <c r="BOX312" s="35"/>
      <c r="BOY312" s="35"/>
      <c r="BOZ312" s="15"/>
      <c r="BPB312" s="13"/>
      <c r="BPC312" s="35"/>
      <c r="BPD312" s="35"/>
      <c r="BPE312" s="15"/>
      <c r="BPG312" s="13"/>
      <c r="BPH312" s="35"/>
      <c r="BPI312" s="35"/>
      <c r="BPJ312" s="15"/>
      <c r="BPL312" s="13"/>
      <c r="BPM312" s="35"/>
      <c r="BPN312" s="35"/>
      <c r="BPO312" s="15"/>
      <c r="BPQ312" s="13"/>
      <c r="BPR312" s="35"/>
      <c r="BPS312" s="35"/>
      <c r="BPT312" s="15"/>
      <c r="BPV312" s="13"/>
      <c r="BPW312" s="35"/>
      <c r="BPX312" s="35"/>
      <c r="BPY312" s="15"/>
      <c r="BQA312" s="13"/>
      <c r="BQB312" s="35"/>
      <c r="BQC312" s="35"/>
      <c r="BQD312" s="15"/>
      <c r="BQF312" s="13"/>
      <c r="BQG312" s="35"/>
      <c r="BQH312" s="35"/>
      <c r="BQI312" s="15"/>
      <c r="BQK312" s="13"/>
      <c r="BQL312" s="35"/>
      <c r="BQM312" s="35"/>
      <c r="BQN312" s="15"/>
      <c r="BQP312" s="13"/>
      <c r="BQQ312" s="35"/>
      <c r="BQR312" s="35"/>
      <c r="BQS312" s="15"/>
      <c r="BQU312" s="13"/>
      <c r="BQV312" s="35"/>
      <c r="BQW312" s="35"/>
      <c r="BQX312" s="15"/>
      <c r="BQZ312" s="13"/>
      <c r="BRA312" s="35"/>
      <c r="BRB312" s="35"/>
      <c r="BRC312" s="15"/>
      <c r="BRE312" s="13"/>
      <c r="BRF312" s="35"/>
      <c r="BRG312" s="35"/>
      <c r="BRH312" s="15"/>
      <c r="BRJ312" s="13"/>
      <c r="BRK312" s="35"/>
      <c r="BRL312" s="35"/>
      <c r="BRM312" s="15"/>
      <c r="BRO312" s="13"/>
      <c r="BRP312" s="35"/>
      <c r="BRQ312" s="35"/>
      <c r="BRR312" s="15"/>
      <c r="BRT312" s="13"/>
      <c r="BRU312" s="35"/>
      <c r="BRV312" s="35"/>
      <c r="BRW312" s="15"/>
      <c r="BRY312" s="13"/>
      <c r="BRZ312" s="35"/>
      <c r="BSA312" s="35"/>
      <c r="BSB312" s="15"/>
      <c r="BSD312" s="13"/>
      <c r="BSE312" s="35"/>
      <c r="BSF312" s="35"/>
      <c r="BSG312" s="15"/>
      <c r="BSI312" s="13"/>
      <c r="BSJ312" s="35"/>
      <c r="BSK312" s="35"/>
      <c r="BSL312" s="15"/>
      <c r="BSN312" s="13"/>
      <c r="BSO312" s="35"/>
      <c r="BSP312" s="35"/>
      <c r="BSQ312" s="15"/>
      <c r="BSS312" s="13"/>
      <c r="BST312" s="35"/>
      <c r="BSU312" s="35"/>
      <c r="BSV312" s="15"/>
      <c r="BSX312" s="13"/>
      <c r="BSY312" s="35"/>
      <c r="BSZ312" s="35"/>
      <c r="BTA312" s="15"/>
      <c r="BTC312" s="13"/>
      <c r="BTD312" s="35"/>
      <c r="BTE312" s="35"/>
      <c r="BTF312" s="15"/>
      <c r="BTH312" s="13"/>
      <c r="BTI312" s="35"/>
      <c r="BTJ312" s="35"/>
      <c r="BTK312" s="15"/>
      <c r="BTM312" s="13"/>
      <c r="BTN312" s="35"/>
      <c r="BTO312" s="35"/>
      <c r="BTP312" s="15"/>
      <c r="BTR312" s="13"/>
      <c r="BTS312" s="35"/>
      <c r="BTT312" s="35"/>
      <c r="BTU312" s="15"/>
      <c r="BTW312" s="13"/>
      <c r="BTX312" s="35"/>
      <c r="BTY312" s="35"/>
      <c r="BTZ312" s="15"/>
      <c r="BUB312" s="13"/>
      <c r="BUC312" s="35"/>
      <c r="BUD312" s="35"/>
      <c r="BUE312" s="15"/>
      <c r="BUG312" s="13"/>
      <c r="BUH312" s="35"/>
      <c r="BUI312" s="35"/>
      <c r="BUJ312" s="15"/>
      <c r="BUL312" s="13"/>
      <c r="BUM312" s="35"/>
      <c r="BUN312" s="35"/>
      <c r="BUO312" s="15"/>
      <c r="BUQ312" s="13"/>
      <c r="BUR312" s="35"/>
      <c r="BUS312" s="35"/>
      <c r="BUT312" s="15"/>
      <c r="BUV312" s="13"/>
      <c r="BUW312" s="35"/>
      <c r="BUX312" s="35"/>
      <c r="BUY312" s="15"/>
      <c r="BVA312" s="13"/>
      <c r="BVB312" s="35"/>
      <c r="BVC312" s="35"/>
      <c r="BVD312" s="15"/>
      <c r="BVF312" s="13"/>
      <c r="BVG312" s="35"/>
      <c r="BVH312" s="35"/>
      <c r="BVI312" s="15"/>
      <c r="BVK312" s="13"/>
      <c r="BVL312" s="35"/>
      <c r="BVM312" s="35"/>
      <c r="BVN312" s="15"/>
      <c r="BVP312" s="13"/>
      <c r="BVQ312" s="35"/>
      <c r="BVR312" s="35"/>
      <c r="BVS312" s="15"/>
      <c r="BVU312" s="13"/>
      <c r="BVV312" s="35"/>
      <c r="BVW312" s="35"/>
      <c r="BVX312" s="15"/>
      <c r="BVZ312" s="13"/>
      <c r="BWA312" s="35"/>
      <c r="BWB312" s="35"/>
      <c r="BWC312" s="15"/>
      <c r="BWE312" s="13"/>
      <c r="BWF312" s="35"/>
      <c r="BWG312" s="35"/>
      <c r="BWH312" s="15"/>
      <c r="BWJ312" s="13"/>
      <c r="BWK312" s="35"/>
      <c r="BWL312" s="35"/>
      <c r="BWM312" s="15"/>
      <c r="BWO312" s="13"/>
      <c r="BWP312" s="35"/>
      <c r="BWQ312" s="35"/>
      <c r="BWR312" s="15"/>
      <c r="BWT312" s="13"/>
      <c r="BWU312" s="35"/>
      <c r="BWV312" s="35"/>
      <c r="BWW312" s="15"/>
      <c r="BWY312" s="13"/>
      <c r="BWZ312" s="35"/>
      <c r="BXA312" s="35"/>
      <c r="BXB312" s="15"/>
      <c r="BXD312" s="13"/>
      <c r="BXE312" s="35"/>
      <c r="BXF312" s="35"/>
      <c r="BXG312" s="15"/>
      <c r="BXI312" s="13"/>
      <c r="BXJ312" s="35"/>
      <c r="BXK312" s="35"/>
      <c r="BXL312" s="15"/>
      <c r="BXN312" s="13"/>
      <c r="BXO312" s="35"/>
      <c r="BXP312" s="35"/>
      <c r="BXQ312" s="15"/>
      <c r="BXS312" s="13"/>
      <c r="BXT312" s="35"/>
      <c r="BXU312" s="35"/>
      <c r="BXV312" s="15"/>
      <c r="BXX312" s="13"/>
      <c r="BXY312" s="35"/>
      <c r="BXZ312" s="35"/>
      <c r="BYA312" s="15"/>
      <c r="BYC312" s="13"/>
      <c r="BYD312" s="35"/>
      <c r="BYE312" s="35"/>
      <c r="BYF312" s="15"/>
      <c r="BYH312" s="13"/>
      <c r="BYI312" s="35"/>
      <c r="BYJ312" s="35"/>
      <c r="BYK312" s="15"/>
      <c r="BYM312" s="13"/>
      <c r="BYN312" s="35"/>
      <c r="BYO312" s="35"/>
      <c r="BYP312" s="15"/>
      <c r="BYR312" s="13"/>
      <c r="BYS312" s="35"/>
      <c r="BYT312" s="35"/>
      <c r="BYU312" s="15"/>
      <c r="BYW312" s="13"/>
      <c r="BYX312" s="35"/>
      <c r="BYY312" s="35"/>
      <c r="BYZ312" s="15"/>
      <c r="BZB312" s="13"/>
      <c r="BZC312" s="35"/>
      <c r="BZD312" s="35"/>
      <c r="BZE312" s="15"/>
      <c r="BZG312" s="13"/>
      <c r="BZH312" s="35"/>
      <c r="BZI312" s="35"/>
      <c r="BZJ312" s="15"/>
      <c r="BZL312" s="13"/>
      <c r="BZM312" s="35"/>
      <c r="BZN312" s="35"/>
      <c r="BZO312" s="15"/>
      <c r="BZQ312" s="13"/>
      <c r="BZR312" s="35"/>
      <c r="BZS312" s="35"/>
      <c r="BZT312" s="15"/>
      <c r="BZV312" s="13"/>
      <c r="BZW312" s="35"/>
      <c r="BZX312" s="35"/>
      <c r="BZY312" s="15"/>
      <c r="CAA312" s="13"/>
      <c r="CAB312" s="35"/>
      <c r="CAC312" s="35"/>
      <c r="CAD312" s="15"/>
      <c r="CAF312" s="13"/>
      <c r="CAG312" s="35"/>
      <c r="CAH312" s="35"/>
      <c r="CAI312" s="15"/>
      <c r="CAK312" s="13"/>
      <c r="CAL312" s="35"/>
      <c r="CAM312" s="35"/>
      <c r="CAN312" s="15"/>
      <c r="CAP312" s="13"/>
      <c r="CAQ312" s="35"/>
      <c r="CAR312" s="35"/>
      <c r="CAS312" s="15"/>
      <c r="CAU312" s="13"/>
      <c r="CAV312" s="35"/>
      <c r="CAW312" s="35"/>
      <c r="CAX312" s="15"/>
      <c r="CAZ312" s="13"/>
      <c r="CBA312" s="35"/>
      <c r="CBB312" s="35"/>
      <c r="CBC312" s="15"/>
      <c r="CBE312" s="13"/>
      <c r="CBF312" s="35"/>
      <c r="CBG312" s="35"/>
      <c r="CBH312" s="15"/>
      <c r="CBJ312" s="13"/>
      <c r="CBK312" s="35"/>
      <c r="CBL312" s="35"/>
      <c r="CBM312" s="15"/>
      <c r="CBO312" s="13"/>
      <c r="CBP312" s="35"/>
      <c r="CBQ312" s="35"/>
      <c r="CBR312" s="15"/>
      <c r="CBT312" s="13"/>
      <c r="CBU312" s="35"/>
      <c r="CBV312" s="35"/>
      <c r="CBW312" s="15"/>
      <c r="CBY312" s="13"/>
      <c r="CBZ312" s="35"/>
      <c r="CCA312" s="35"/>
      <c r="CCB312" s="15"/>
      <c r="CCD312" s="13"/>
      <c r="CCE312" s="35"/>
      <c r="CCF312" s="35"/>
      <c r="CCG312" s="15"/>
      <c r="CCI312" s="13"/>
      <c r="CCJ312" s="35"/>
      <c r="CCK312" s="35"/>
      <c r="CCL312" s="15"/>
      <c r="CCN312" s="13"/>
      <c r="CCO312" s="35"/>
      <c r="CCP312" s="35"/>
      <c r="CCQ312" s="15"/>
      <c r="CCS312" s="13"/>
      <c r="CCT312" s="35"/>
      <c r="CCU312" s="35"/>
      <c r="CCV312" s="15"/>
      <c r="CCX312" s="13"/>
      <c r="CCY312" s="35"/>
      <c r="CCZ312" s="35"/>
      <c r="CDA312" s="15"/>
      <c r="CDC312" s="13"/>
      <c r="CDD312" s="35"/>
      <c r="CDE312" s="35"/>
      <c r="CDF312" s="15"/>
      <c r="CDH312" s="13"/>
      <c r="CDI312" s="35"/>
      <c r="CDJ312" s="35"/>
      <c r="CDK312" s="15"/>
      <c r="CDM312" s="13"/>
      <c r="CDN312" s="35"/>
      <c r="CDO312" s="35"/>
      <c r="CDP312" s="15"/>
      <c r="CDR312" s="13"/>
      <c r="CDS312" s="35"/>
      <c r="CDT312" s="35"/>
      <c r="CDU312" s="15"/>
      <c r="CDW312" s="13"/>
      <c r="CDX312" s="35"/>
      <c r="CDY312" s="35"/>
      <c r="CDZ312" s="15"/>
      <c r="CEB312" s="13"/>
      <c r="CEC312" s="35"/>
      <c r="CED312" s="35"/>
      <c r="CEE312" s="15"/>
      <c r="CEG312" s="13"/>
      <c r="CEH312" s="35"/>
      <c r="CEI312" s="35"/>
      <c r="CEJ312" s="15"/>
      <c r="CEL312" s="13"/>
      <c r="CEM312" s="35"/>
      <c r="CEN312" s="35"/>
      <c r="CEO312" s="15"/>
      <c r="CEQ312" s="13"/>
      <c r="CER312" s="35"/>
      <c r="CES312" s="35"/>
      <c r="CET312" s="15"/>
      <c r="CEV312" s="13"/>
      <c r="CEW312" s="35"/>
      <c r="CEX312" s="35"/>
      <c r="CEY312" s="15"/>
      <c r="CFA312" s="13"/>
      <c r="CFB312" s="35"/>
      <c r="CFC312" s="35"/>
      <c r="CFD312" s="15"/>
      <c r="CFF312" s="13"/>
      <c r="CFG312" s="35"/>
      <c r="CFH312" s="35"/>
      <c r="CFI312" s="15"/>
      <c r="CFK312" s="13"/>
      <c r="CFL312" s="35"/>
      <c r="CFM312" s="35"/>
      <c r="CFN312" s="15"/>
      <c r="CFP312" s="13"/>
      <c r="CFQ312" s="35"/>
      <c r="CFR312" s="35"/>
      <c r="CFS312" s="15"/>
      <c r="CFU312" s="13"/>
      <c r="CFV312" s="35"/>
      <c r="CFW312" s="35"/>
      <c r="CFX312" s="15"/>
      <c r="CFZ312" s="13"/>
      <c r="CGA312" s="35"/>
      <c r="CGB312" s="35"/>
      <c r="CGC312" s="15"/>
      <c r="CGE312" s="13"/>
      <c r="CGF312" s="35"/>
      <c r="CGG312" s="35"/>
      <c r="CGH312" s="15"/>
      <c r="CGJ312" s="13"/>
      <c r="CGK312" s="35"/>
      <c r="CGL312" s="35"/>
      <c r="CGM312" s="15"/>
      <c r="CGO312" s="13"/>
      <c r="CGP312" s="35"/>
      <c r="CGQ312" s="35"/>
      <c r="CGR312" s="15"/>
      <c r="CGT312" s="13"/>
      <c r="CGU312" s="35"/>
      <c r="CGV312" s="35"/>
      <c r="CGW312" s="15"/>
      <c r="CGY312" s="13"/>
      <c r="CGZ312" s="35"/>
      <c r="CHA312" s="35"/>
      <c r="CHB312" s="15"/>
      <c r="CHD312" s="13"/>
      <c r="CHE312" s="35"/>
      <c r="CHF312" s="35"/>
      <c r="CHG312" s="15"/>
      <c r="CHI312" s="13"/>
      <c r="CHJ312" s="35"/>
      <c r="CHK312" s="35"/>
      <c r="CHL312" s="15"/>
      <c r="CHN312" s="13"/>
      <c r="CHO312" s="35"/>
      <c r="CHP312" s="35"/>
      <c r="CHQ312" s="15"/>
      <c r="CHS312" s="13"/>
      <c r="CHT312" s="35"/>
      <c r="CHU312" s="35"/>
      <c r="CHV312" s="15"/>
      <c r="CHX312" s="13"/>
      <c r="CHY312" s="35"/>
      <c r="CHZ312" s="35"/>
      <c r="CIA312" s="15"/>
      <c r="CIC312" s="13"/>
      <c r="CID312" s="35"/>
      <c r="CIE312" s="35"/>
      <c r="CIF312" s="15"/>
      <c r="CIH312" s="13"/>
      <c r="CII312" s="35"/>
      <c r="CIJ312" s="35"/>
      <c r="CIK312" s="15"/>
      <c r="CIM312" s="13"/>
      <c r="CIN312" s="35"/>
      <c r="CIO312" s="35"/>
      <c r="CIP312" s="15"/>
      <c r="CIR312" s="13"/>
      <c r="CIS312" s="35"/>
      <c r="CIT312" s="35"/>
      <c r="CIU312" s="15"/>
      <c r="CIW312" s="13"/>
      <c r="CIX312" s="35"/>
      <c r="CIY312" s="35"/>
      <c r="CIZ312" s="15"/>
      <c r="CJB312" s="13"/>
      <c r="CJC312" s="35"/>
      <c r="CJD312" s="35"/>
      <c r="CJE312" s="15"/>
      <c r="CJG312" s="13"/>
      <c r="CJH312" s="35"/>
      <c r="CJI312" s="35"/>
      <c r="CJJ312" s="15"/>
      <c r="CJL312" s="13"/>
      <c r="CJM312" s="35"/>
      <c r="CJN312" s="35"/>
      <c r="CJO312" s="15"/>
      <c r="CJQ312" s="13"/>
      <c r="CJR312" s="35"/>
      <c r="CJS312" s="35"/>
      <c r="CJT312" s="15"/>
      <c r="CJV312" s="13"/>
      <c r="CJW312" s="35"/>
      <c r="CJX312" s="35"/>
      <c r="CJY312" s="15"/>
      <c r="CKA312" s="13"/>
      <c r="CKB312" s="35"/>
      <c r="CKC312" s="35"/>
      <c r="CKD312" s="15"/>
      <c r="CKF312" s="13"/>
      <c r="CKG312" s="35"/>
      <c r="CKH312" s="35"/>
      <c r="CKI312" s="15"/>
      <c r="CKK312" s="13"/>
      <c r="CKL312" s="35"/>
      <c r="CKM312" s="35"/>
      <c r="CKN312" s="15"/>
      <c r="CKP312" s="13"/>
      <c r="CKQ312" s="35"/>
      <c r="CKR312" s="35"/>
      <c r="CKS312" s="15"/>
      <c r="CKU312" s="13"/>
      <c r="CKV312" s="35"/>
      <c r="CKW312" s="35"/>
      <c r="CKX312" s="15"/>
      <c r="CKZ312" s="13"/>
      <c r="CLA312" s="35"/>
      <c r="CLB312" s="35"/>
      <c r="CLC312" s="15"/>
      <c r="CLE312" s="13"/>
      <c r="CLF312" s="35"/>
      <c r="CLG312" s="35"/>
      <c r="CLH312" s="15"/>
      <c r="CLJ312" s="13"/>
      <c r="CLK312" s="35"/>
      <c r="CLL312" s="35"/>
      <c r="CLM312" s="15"/>
      <c r="CLO312" s="13"/>
      <c r="CLP312" s="35"/>
      <c r="CLQ312" s="35"/>
      <c r="CLR312" s="15"/>
      <c r="CLT312" s="13"/>
      <c r="CLU312" s="35"/>
      <c r="CLV312" s="35"/>
      <c r="CLW312" s="15"/>
      <c r="CLY312" s="13"/>
      <c r="CLZ312" s="35"/>
      <c r="CMA312" s="35"/>
      <c r="CMB312" s="15"/>
      <c r="CMD312" s="13"/>
      <c r="CME312" s="35"/>
      <c r="CMF312" s="35"/>
      <c r="CMG312" s="15"/>
      <c r="CMI312" s="13"/>
      <c r="CMJ312" s="35"/>
      <c r="CMK312" s="35"/>
      <c r="CML312" s="15"/>
      <c r="CMN312" s="13"/>
      <c r="CMO312" s="35"/>
      <c r="CMP312" s="35"/>
      <c r="CMQ312" s="15"/>
      <c r="CMS312" s="13"/>
      <c r="CMT312" s="35"/>
      <c r="CMU312" s="35"/>
      <c r="CMV312" s="15"/>
      <c r="CMX312" s="13"/>
      <c r="CMY312" s="35"/>
      <c r="CMZ312" s="35"/>
      <c r="CNA312" s="15"/>
      <c r="CNC312" s="13"/>
      <c r="CND312" s="35"/>
      <c r="CNE312" s="35"/>
      <c r="CNF312" s="15"/>
      <c r="CNH312" s="13"/>
      <c r="CNI312" s="35"/>
      <c r="CNJ312" s="35"/>
      <c r="CNK312" s="15"/>
      <c r="CNM312" s="13"/>
      <c r="CNN312" s="35"/>
      <c r="CNO312" s="35"/>
      <c r="CNP312" s="15"/>
      <c r="CNR312" s="13"/>
      <c r="CNS312" s="35"/>
      <c r="CNT312" s="35"/>
      <c r="CNU312" s="15"/>
      <c r="CNW312" s="13"/>
      <c r="CNX312" s="35"/>
      <c r="CNY312" s="35"/>
      <c r="CNZ312" s="15"/>
      <c r="COB312" s="13"/>
      <c r="COC312" s="35"/>
      <c r="COD312" s="35"/>
      <c r="COE312" s="15"/>
      <c r="COG312" s="13"/>
      <c r="COH312" s="35"/>
      <c r="COI312" s="35"/>
      <c r="COJ312" s="15"/>
      <c r="COL312" s="13"/>
      <c r="COM312" s="35"/>
      <c r="CON312" s="35"/>
      <c r="COO312" s="15"/>
      <c r="COQ312" s="13"/>
      <c r="COR312" s="35"/>
      <c r="COS312" s="35"/>
      <c r="COT312" s="15"/>
      <c r="COV312" s="13"/>
      <c r="COW312" s="35"/>
      <c r="COX312" s="35"/>
      <c r="COY312" s="15"/>
      <c r="CPA312" s="13"/>
      <c r="CPB312" s="35"/>
      <c r="CPC312" s="35"/>
      <c r="CPD312" s="15"/>
      <c r="CPF312" s="13"/>
      <c r="CPG312" s="35"/>
      <c r="CPH312" s="35"/>
      <c r="CPI312" s="15"/>
      <c r="CPK312" s="13"/>
      <c r="CPL312" s="35"/>
      <c r="CPM312" s="35"/>
      <c r="CPN312" s="15"/>
      <c r="CPP312" s="13"/>
      <c r="CPQ312" s="35"/>
      <c r="CPR312" s="35"/>
      <c r="CPS312" s="15"/>
      <c r="CPU312" s="13"/>
      <c r="CPV312" s="35"/>
      <c r="CPW312" s="35"/>
      <c r="CPX312" s="15"/>
      <c r="CPZ312" s="13"/>
      <c r="CQA312" s="35"/>
      <c r="CQB312" s="35"/>
      <c r="CQC312" s="15"/>
      <c r="CQE312" s="13"/>
      <c r="CQF312" s="35"/>
      <c r="CQG312" s="35"/>
      <c r="CQH312" s="15"/>
      <c r="CQJ312" s="13"/>
      <c r="CQK312" s="35"/>
      <c r="CQL312" s="35"/>
      <c r="CQM312" s="15"/>
      <c r="CQO312" s="13"/>
      <c r="CQP312" s="35"/>
      <c r="CQQ312" s="35"/>
      <c r="CQR312" s="15"/>
      <c r="CQT312" s="13"/>
      <c r="CQU312" s="35"/>
      <c r="CQV312" s="35"/>
      <c r="CQW312" s="15"/>
      <c r="CQY312" s="13"/>
      <c r="CQZ312" s="35"/>
      <c r="CRA312" s="35"/>
      <c r="CRB312" s="15"/>
      <c r="CRD312" s="13"/>
      <c r="CRE312" s="35"/>
      <c r="CRF312" s="35"/>
      <c r="CRG312" s="15"/>
      <c r="CRI312" s="13"/>
      <c r="CRJ312" s="35"/>
      <c r="CRK312" s="35"/>
      <c r="CRL312" s="15"/>
      <c r="CRN312" s="13"/>
      <c r="CRO312" s="35"/>
      <c r="CRP312" s="35"/>
      <c r="CRQ312" s="15"/>
      <c r="CRS312" s="13"/>
      <c r="CRT312" s="35"/>
      <c r="CRU312" s="35"/>
      <c r="CRV312" s="15"/>
      <c r="CRX312" s="13"/>
      <c r="CRY312" s="35"/>
      <c r="CRZ312" s="35"/>
      <c r="CSA312" s="15"/>
      <c r="CSC312" s="13"/>
      <c r="CSD312" s="35"/>
      <c r="CSE312" s="35"/>
      <c r="CSF312" s="15"/>
      <c r="CSH312" s="13"/>
      <c r="CSI312" s="35"/>
      <c r="CSJ312" s="35"/>
      <c r="CSK312" s="15"/>
      <c r="CSM312" s="13"/>
      <c r="CSN312" s="35"/>
      <c r="CSO312" s="35"/>
      <c r="CSP312" s="15"/>
      <c r="CSR312" s="13"/>
      <c r="CSS312" s="35"/>
      <c r="CST312" s="35"/>
      <c r="CSU312" s="15"/>
      <c r="CSW312" s="13"/>
      <c r="CSX312" s="35"/>
      <c r="CSY312" s="35"/>
      <c r="CSZ312" s="15"/>
      <c r="CTB312" s="13"/>
      <c r="CTC312" s="35"/>
      <c r="CTD312" s="35"/>
      <c r="CTE312" s="15"/>
      <c r="CTG312" s="13"/>
      <c r="CTH312" s="35"/>
      <c r="CTI312" s="35"/>
      <c r="CTJ312" s="15"/>
      <c r="CTL312" s="13"/>
      <c r="CTM312" s="35"/>
      <c r="CTN312" s="35"/>
      <c r="CTO312" s="15"/>
      <c r="CTQ312" s="13"/>
      <c r="CTR312" s="35"/>
      <c r="CTS312" s="35"/>
      <c r="CTT312" s="15"/>
      <c r="CTV312" s="13"/>
      <c r="CTW312" s="35"/>
      <c r="CTX312" s="35"/>
      <c r="CTY312" s="15"/>
      <c r="CUA312" s="13"/>
      <c r="CUB312" s="35"/>
      <c r="CUC312" s="35"/>
      <c r="CUD312" s="15"/>
      <c r="CUF312" s="13"/>
      <c r="CUG312" s="35"/>
      <c r="CUH312" s="35"/>
      <c r="CUI312" s="15"/>
      <c r="CUK312" s="13"/>
      <c r="CUL312" s="35"/>
      <c r="CUM312" s="35"/>
      <c r="CUN312" s="15"/>
      <c r="CUP312" s="13"/>
      <c r="CUQ312" s="35"/>
      <c r="CUR312" s="35"/>
      <c r="CUS312" s="15"/>
      <c r="CUU312" s="13"/>
      <c r="CUV312" s="35"/>
      <c r="CUW312" s="35"/>
      <c r="CUX312" s="15"/>
      <c r="CUZ312" s="13"/>
      <c r="CVA312" s="35"/>
      <c r="CVB312" s="35"/>
      <c r="CVC312" s="15"/>
      <c r="CVE312" s="13"/>
      <c r="CVF312" s="35"/>
      <c r="CVG312" s="35"/>
      <c r="CVH312" s="15"/>
      <c r="CVJ312" s="13"/>
      <c r="CVK312" s="35"/>
      <c r="CVL312" s="35"/>
      <c r="CVM312" s="15"/>
      <c r="CVO312" s="13"/>
      <c r="CVP312" s="35"/>
      <c r="CVQ312" s="35"/>
      <c r="CVR312" s="15"/>
      <c r="CVT312" s="13"/>
      <c r="CVU312" s="35"/>
      <c r="CVV312" s="35"/>
      <c r="CVW312" s="15"/>
      <c r="CVY312" s="13"/>
      <c r="CVZ312" s="35"/>
      <c r="CWA312" s="35"/>
      <c r="CWB312" s="15"/>
      <c r="CWD312" s="13"/>
      <c r="CWE312" s="35"/>
      <c r="CWF312" s="35"/>
      <c r="CWG312" s="15"/>
      <c r="CWI312" s="13"/>
      <c r="CWJ312" s="35"/>
      <c r="CWK312" s="35"/>
      <c r="CWL312" s="15"/>
      <c r="CWN312" s="13"/>
      <c r="CWO312" s="35"/>
      <c r="CWP312" s="35"/>
      <c r="CWQ312" s="15"/>
      <c r="CWS312" s="13"/>
      <c r="CWT312" s="35"/>
      <c r="CWU312" s="35"/>
      <c r="CWV312" s="15"/>
      <c r="CWX312" s="13"/>
      <c r="CWY312" s="35"/>
      <c r="CWZ312" s="35"/>
      <c r="CXA312" s="15"/>
      <c r="CXC312" s="13"/>
      <c r="CXD312" s="35"/>
      <c r="CXE312" s="35"/>
      <c r="CXF312" s="15"/>
      <c r="CXH312" s="13"/>
      <c r="CXI312" s="35"/>
      <c r="CXJ312" s="35"/>
      <c r="CXK312" s="15"/>
      <c r="CXM312" s="13"/>
      <c r="CXN312" s="35"/>
      <c r="CXO312" s="35"/>
      <c r="CXP312" s="15"/>
      <c r="CXR312" s="13"/>
      <c r="CXS312" s="35"/>
      <c r="CXT312" s="35"/>
      <c r="CXU312" s="15"/>
      <c r="CXW312" s="13"/>
      <c r="CXX312" s="35"/>
      <c r="CXY312" s="35"/>
      <c r="CXZ312" s="15"/>
      <c r="CYB312" s="13"/>
      <c r="CYC312" s="35"/>
      <c r="CYD312" s="35"/>
      <c r="CYE312" s="15"/>
      <c r="CYG312" s="13"/>
      <c r="CYH312" s="35"/>
      <c r="CYI312" s="35"/>
      <c r="CYJ312" s="15"/>
      <c r="CYL312" s="13"/>
      <c r="CYM312" s="35"/>
      <c r="CYN312" s="35"/>
      <c r="CYO312" s="15"/>
      <c r="CYQ312" s="13"/>
      <c r="CYR312" s="35"/>
      <c r="CYS312" s="35"/>
      <c r="CYT312" s="15"/>
      <c r="CYV312" s="13"/>
      <c r="CYW312" s="35"/>
      <c r="CYX312" s="35"/>
      <c r="CYY312" s="15"/>
      <c r="CZA312" s="13"/>
      <c r="CZB312" s="35"/>
      <c r="CZC312" s="35"/>
      <c r="CZD312" s="15"/>
      <c r="CZF312" s="13"/>
      <c r="CZG312" s="35"/>
      <c r="CZH312" s="35"/>
      <c r="CZI312" s="15"/>
      <c r="CZK312" s="13"/>
      <c r="CZL312" s="35"/>
      <c r="CZM312" s="35"/>
      <c r="CZN312" s="15"/>
      <c r="CZP312" s="13"/>
      <c r="CZQ312" s="35"/>
      <c r="CZR312" s="35"/>
      <c r="CZS312" s="15"/>
      <c r="CZU312" s="13"/>
      <c r="CZV312" s="35"/>
      <c r="CZW312" s="35"/>
      <c r="CZX312" s="15"/>
      <c r="CZZ312" s="13"/>
      <c r="DAA312" s="35"/>
      <c r="DAB312" s="35"/>
      <c r="DAC312" s="15"/>
      <c r="DAE312" s="13"/>
      <c r="DAF312" s="35"/>
      <c r="DAG312" s="35"/>
      <c r="DAH312" s="15"/>
      <c r="DAJ312" s="13"/>
      <c r="DAK312" s="35"/>
      <c r="DAL312" s="35"/>
      <c r="DAM312" s="15"/>
      <c r="DAO312" s="13"/>
      <c r="DAP312" s="35"/>
      <c r="DAQ312" s="35"/>
      <c r="DAR312" s="15"/>
      <c r="DAT312" s="13"/>
      <c r="DAU312" s="35"/>
      <c r="DAV312" s="35"/>
      <c r="DAW312" s="15"/>
      <c r="DAY312" s="13"/>
      <c r="DAZ312" s="35"/>
      <c r="DBA312" s="35"/>
      <c r="DBB312" s="15"/>
      <c r="DBD312" s="13"/>
      <c r="DBE312" s="35"/>
      <c r="DBF312" s="35"/>
      <c r="DBG312" s="15"/>
      <c r="DBI312" s="13"/>
      <c r="DBJ312" s="35"/>
      <c r="DBK312" s="35"/>
      <c r="DBL312" s="15"/>
      <c r="DBN312" s="13"/>
      <c r="DBO312" s="35"/>
      <c r="DBP312" s="35"/>
      <c r="DBQ312" s="15"/>
      <c r="DBS312" s="13"/>
      <c r="DBT312" s="35"/>
      <c r="DBU312" s="35"/>
      <c r="DBV312" s="15"/>
      <c r="DBX312" s="13"/>
      <c r="DBY312" s="35"/>
      <c r="DBZ312" s="35"/>
      <c r="DCA312" s="15"/>
      <c r="DCC312" s="13"/>
      <c r="DCD312" s="35"/>
      <c r="DCE312" s="35"/>
      <c r="DCF312" s="15"/>
      <c r="DCH312" s="13"/>
      <c r="DCI312" s="35"/>
      <c r="DCJ312" s="35"/>
      <c r="DCK312" s="15"/>
      <c r="DCM312" s="13"/>
      <c r="DCN312" s="35"/>
      <c r="DCO312" s="35"/>
      <c r="DCP312" s="15"/>
      <c r="DCR312" s="13"/>
      <c r="DCS312" s="35"/>
      <c r="DCT312" s="35"/>
      <c r="DCU312" s="15"/>
      <c r="DCW312" s="13"/>
      <c r="DCX312" s="35"/>
      <c r="DCY312" s="35"/>
      <c r="DCZ312" s="15"/>
      <c r="DDB312" s="13"/>
      <c r="DDC312" s="35"/>
      <c r="DDD312" s="35"/>
      <c r="DDE312" s="15"/>
      <c r="DDG312" s="13"/>
      <c r="DDH312" s="35"/>
      <c r="DDI312" s="35"/>
      <c r="DDJ312" s="15"/>
      <c r="DDL312" s="13"/>
      <c r="DDM312" s="35"/>
      <c r="DDN312" s="35"/>
      <c r="DDO312" s="15"/>
      <c r="DDQ312" s="13"/>
      <c r="DDR312" s="35"/>
      <c r="DDS312" s="35"/>
      <c r="DDT312" s="15"/>
      <c r="DDV312" s="13"/>
      <c r="DDW312" s="35"/>
      <c r="DDX312" s="35"/>
      <c r="DDY312" s="15"/>
      <c r="DEA312" s="13"/>
      <c r="DEB312" s="35"/>
      <c r="DEC312" s="35"/>
      <c r="DED312" s="15"/>
      <c r="DEF312" s="13"/>
      <c r="DEG312" s="35"/>
      <c r="DEH312" s="35"/>
      <c r="DEI312" s="15"/>
      <c r="DEK312" s="13"/>
      <c r="DEL312" s="35"/>
      <c r="DEM312" s="35"/>
      <c r="DEN312" s="15"/>
      <c r="DEP312" s="13"/>
      <c r="DEQ312" s="35"/>
      <c r="DER312" s="35"/>
      <c r="DES312" s="15"/>
      <c r="DEU312" s="13"/>
      <c r="DEV312" s="35"/>
      <c r="DEW312" s="35"/>
      <c r="DEX312" s="15"/>
      <c r="DEZ312" s="13"/>
      <c r="DFA312" s="35"/>
      <c r="DFB312" s="35"/>
      <c r="DFC312" s="15"/>
      <c r="DFE312" s="13"/>
      <c r="DFF312" s="35"/>
      <c r="DFG312" s="35"/>
      <c r="DFH312" s="15"/>
      <c r="DFJ312" s="13"/>
      <c r="DFK312" s="35"/>
      <c r="DFL312" s="35"/>
      <c r="DFM312" s="15"/>
      <c r="DFO312" s="13"/>
      <c r="DFP312" s="35"/>
      <c r="DFQ312" s="35"/>
      <c r="DFR312" s="15"/>
      <c r="DFT312" s="13"/>
      <c r="DFU312" s="35"/>
      <c r="DFV312" s="35"/>
      <c r="DFW312" s="15"/>
      <c r="DFY312" s="13"/>
      <c r="DFZ312" s="35"/>
      <c r="DGA312" s="35"/>
      <c r="DGB312" s="15"/>
      <c r="DGD312" s="13"/>
      <c r="DGE312" s="35"/>
      <c r="DGF312" s="35"/>
      <c r="DGG312" s="15"/>
      <c r="DGI312" s="13"/>
      <c r="DGJ312" s="35"/>
      <c r="DGK312" s="35"/>
      <c r="DGL312" s="15"/>
      <c r="DGN312" s="13"/>
      <c r="DGO312" s="35"/>
      <c r="DGP312" s="35"/>
      <c r="DGQ312" s="15"/>
      <c r="DGS312" s="13"/>
      <c r="DGT312" s="35"/>
      <c r="DGU312" s="35"/>
      <c r="DGV312" s="15"/>
      <c r="DGX312" s="13"/>
      <c r="DGY312" s="35"/>
      <c r="DGZ312" s="35"/>
      <c r="DHA312" s="15"/>
      <c r="DHC312" s="13"/>
      <c r="DHD312" s="35"/>
      <c r="DHE312" s="35"/>
      <c r="DHF312" s="15"/>
      <c r="DHH312" s="13"/>
      <c r="DHI312" s="35"/>
      <c r="DHJ312" s="35"/>
      <c r="DHK312" s="15"/>
      <c r="DHM312" s="13"/>
      <c r="DHN312" s="35"/>
      <c r="DHO312" s="35"/>
      <c r="DHP312" s="15"/>
      <c r="DHR312" s="13"/>
      <c r="DHS312" s="35"/>
      <c r="DHT312" s="35"/>
      <c r="DHU312" s="15"/>
      <c r="DHW312" s="13"/>
      <c r="DHX312" s="35"/>
      <c r="DHY312" s="35"/>
      <c r="DHZ312" s="15"/>
      <c r="DIB312" s="13"/>
      <c r="DIC312" s="35"/>
      <c r="DID312" s="35"/>
      <c r="DIE312" s="15"/>
      <c r="DIG312" s="13"/>
      <c r="DIH312" s="35"/>
      <c r="DII312" s="35"/>
      <c r="DIJ312" s="15"/>
      <c r="DIL312" s="13"/>
      <c r="DIM312" s="35"/>
      <c r="DIN312" s="35"/>
      <c r="DIO312" s="15"/>
      <c r="DIQ312" s="13"/>
      <c r="DIR312" s="35"/>
      <c r="DIS312" s="35"/>
      <c r="DIT312" s="15"/>
      <c r="DIV312" s="13"/>
      <c r="DIW312" s="35"/>
      <c r="DIX312" s="35"/>
      <c r="DIY312" s="15"/>
      <c r="DJA312" s="13"/>
      <c r="DJB312" s="35"/>
      <c r="DJC312" s="35"/>
      <c r="DJD312" s="15"/>
      <c r="DJF312" s="13"/>
      <c r="DJG312" s="35"/>
      <c r="DJH312" s="35"/>
      <c r="DJI312" s="15"/>
      <c r="DJK312" s="13"/>
      <c r="DJL312" s="35"/>
      <c r="DJM312" s="35"/>
      <c r="DJN312" s="15"/>
      <c r="DJP312" s="13"/>
      <c r="DJQ312" s="35"/>
      <c r="DJR312" s="35"/>
      <c r="DJS312" s="15"/>
      <c r="DJU312" s="13"/>
      <c r="DJV312" s="35"/>
      <c r="DJW312" s="35"/>
      <c r="DJX312" s="15"/>
      <c r="DJZ312" s="13"/>
      <c r="DKA312" s="35"/>
      <c r="DKB312" s="35"/>
      <c r="DKC312" s="15"/>
      <c r="DKE312" s="13"/>
      <c r="DKF312" s="35"/>
      <c r="DKG312" s="35"/>
      <c r="DKH312" s="15"/>
      <c r="DKJ312" s="13"/>
      <c r="DKK312" s="35"/>
      <c r="DKL312" s="35"/>
      <c r="DKM312" s="15"/>
      <c r="DKO312" s="13"/>
      <c r="DKP312" s="35"/>
      <c r="DKQ312" s="35"/>
      <c r="DKR312" s="15"/>
      <c r="DKT312" s="13"/>
      <c r="DKU312" s="35"/>
      <c r="DKV312" s="35"/>
      <c r="DKW312" s="15"/>
      <c r="DKY312" s="13"/>
      <c r="DKZ312" s="35"/>
      <c r="DLA312" s="35"/>
      <c r="DLB312" s="15"/>
      <c r="DLD312" s="13"/>
      <c r="DLE312" s="35"/>
      <c r="DLF312" s="35"/>
      <c r="DLG312" s="15"/>
      <c r="DLI312" s="13"/>
      <c r="DLJ312" s="35"/>
      <c r="DLK312" s="35"/>
      <c r="DLL312" s="15"/>
      <c r="DLN312" s="13"/>
      <c r="DLO312" s="35"/>
      <c r="DLP312" s="35"/>
      <c r="DLQ312" s="15"/>
      <c r="DLS312" s="13"/>
      <c r="DLT312" s="35"/>
      <c r="DLU312" s="35"/>
      <c r="DLV312" s="15"/>
      <c r="DLX312" s="13"/>
      <c r="DLY312" s="35"/>
      <c r="DLZ312" s="35"/>
      <c r="DMA312" s="15"/>
      <c r="DMC312" s="13"/>
      <c r="DMD312" s="35"/>
      <c r="DME312" s="35"/>
      <c r="DMF312" s="15"/>
      <c r="DMH312" s="13"/>
      <c r="DMI312" s="35"/>
      <c r="DMJ312" s="35"/>
      <c r="DMK312" s="15"/>
      <c r="DMM312" s="13"/>
      <c r="DMN312" s="35"/>
      <c r="DMO312" s="35"/>
      <c r="DMP312" s="15"/>
      <c r="DMR312" s="13"/>
      <c r="DMS312" s="35"/>
      <c r="DMT312" s="35"/>
      <c r="DMU312" s="15"/>
      <c r="DMW312" s="13"/>
      <c r="DMX312" s="35"/>
      <c r="DMY312" s="35"/>
      <c r="DMZ312" s="15"/>
      <c r="DNB312" s="13"/>
      <c r="DNC312" s="35"/>
      <c r="DND312" s="35"/>
      <c r="DNE312" s="15"/>
      <c r="DNG312" s="13"/>
      <c r="DNH312" s="35"/>
      <c r="DNI312" s="35"/>
      <c r="DNJ312" s="15"/>
      <c r="DNL312" s="13"/>
      <c r="DNM312" s="35"/>
      <c r="DNN312" s="35"/>
      <c r="DNO312" s="15"/>
      <c r="DNQ312" s="13"/>
      <c r="DNR312" s="35"/>
      <c r="DNS312" s="35"/>
      <c r="DNT312" s="15"/>
      <c r="DNV312" s="13"/>
      <c r="DNW312" s="35"/>
      <c r="DNX312" s="35"/>
      <c r="DNY312" s="15"/>
      <c r="DOA312" s="13"/>
      <c r="DOB312" s="35"/>
      <c r="DOC312" s="35"/>
      <c r="DOD312" s="15"/>
      <c r="DOF312" s="13"/>
      <c r="DOG312" s="35"/>
      <c r="DOH312" s="35"/>
      <c r="DOI312" s="15"/>
      <c r="DOK312" s="13"/>
      <c r="DOL312" s="35"/>
      <c r="DOM312" s="35"/>
      <c r="DON312" s="15"/>
      <c r="DOP312" s="13"/>
      <c r="DOQ312" s="35"/>
      <c r="DOR312" s="35"/>
      <c r="DOS312" s="15"/>
      <c r="DOU312" s="13"/>
      <c r="DOV312" s="35"/>
      <c r="DOW312" s="35"/>
      <c r="DOX312" s="15"/>
      <c r="DOZ312" s="13"/>
      <c r="DPA312" s="35"/>
      <c r="DPB312" s="35"/>
      <c r="DPC312" s="15"/>
      <c r="DPE312" s="13"/>
      <c r="DPF312" s="35"/>
      <c r="DPG312" s="35"/>
      <c r="DPH312" s="15"/>
      <c r="DPJ312" s="13"/>
      <c r="DPK312" s="35"/>
      <c r="DPL312" s="35"/>
      <c r="DPM312" s="15"/>
      <c r="DPO312" s="13"/>
      <c r="DPP312" s="35"/>
      <c r="DPQ312" s="35"/>
      <c r="DPR312" s="15"/>
      <c r="DPT312" s="13"/>
      <c r="DPU312" s="35"/>
      <c r="DPV312" s="35"/>
      <c r="DPW312" s="15"/>
      <c r="DPY312" s="13"/>
      <c r="DPZ312" s="35"/>
      <c r="DQA312" s="35"/>
      <c r="DQB312" s="15"/>
      <c r="DQD312" s="13"/>
      <c r="DQE312" s="35"/>
      <c r="DQF312" s="35"/>
      <c r="DQG312" s="15"/>
      <c r="DQI312" s="13"/>
      <c r="DQJ312" s="35"/>
      <c r="DQK312" s="35"/>
      <c r="DQL312" s="15"/>
      <c r="DQN312" s="13"/>
      <c r="DQO312" s="35"/>
      <c r="DQP312" s="35"/>
      <c r="DQQ312" s="15"/>
      <c r="DQS312" s="13"/>
      <c r="DQT312" s="35"/>
      <c r="DQU312" s="35"/>
      <c r="DQV312" s="15"/>
      <c r="DQX312" s="13"/>
      <c r="DQY312" s="35"/>
      <c r="DQZ312" s="35"/>
      <c r="DRA312" s="15"/>
      <c r="DRC312" s="13"/>
      <c r="DRD312" s="35"/>
      <c r="DRE312" s="35"/>
      <c r="DRF312" s="15"/>
      <c r="DRH312" s="13"/>
      <c r="DRI312" s="35"/>
      <c r="DRJ312" s="35"/>
      <c r="DRK312" s="15"/>
      <c r="DRM312" s="13"/>
      <c r="DRN312" s="35"/>
      <c r="DRO312" s="35"/>
      <c r="DRP312" s="15"/>
      <c r="DRR312" s="13"/>
      <c r="DRS312" s="35"/>
      <c r="DRT312" s="35"/>
      <c r="DRU312" s="15"/>
      <c r="DRW312" s="13"/>
      <c r="DRX312" s="35"/>
      <c r="DRY312" s="35"/>
      <c r="DRZ312" s="15"/>
      <c r="DSB312" s="13"/>
      <c r="DSC312" s="35"/>
      <c r="DSD312" s="35"/>
      <c r="DSE312" s="15"/>
      <c r="DSG312" s="13"/>
      <c r="DSH312" s="35"/>
      <c r="DSI312" s="35"/>
      <c r="DSJ312" s="15"/>
      <c r="DSL312" s="13"/>
      <c r="DSM312" s="35"/>
      <c r="DSN312" s="35"/>
      <c r="DSO312" s="15"/>
      <c r="DSQ312" s="13"/>
      <c r="DSR312" s="35"/>
      <c r="DSS312" s="35"/>
      <c r="DST312" s="15"/>
      <c r="DSV312" s="13"/>
      <c r="DSW312" s="35"/>
      <c r="DSX312" s="35"/>
      <c r="DSY312" s="15"/>
      <c r="DTA312" s="13"/>
      <c r="DTB312" s="35"/>
      <c r="DTC312" s="35"/>
      <c r="DTD312" s="15"/>
      <c r="DTF312" s="13"/>
      <c r="DTG312" s="35"/>
      <c r="DTH312" s="35"/>
      <c r="DTI312" s="15"/>
      <c r="DTK312" s="13"/>
      <c r="DTL312" s="35"/>
      <c r="DTM312" s="35"/>
      <c r="DTN312" s="15"/>
      <c r="DTP312" s="13"/>
      <c r="DTQ312" s="35"/>
      <c r="DTR312" s="35"/>
      <c r="DTS312" s="15"/>
      <c r="DTU312" s="13"/>
      <c r="DTV312" s="35"/>
      <c r="DTW312" s="35"/>
      <c r="DTX312" s="15"/>
      <c r="DTZ312" s="13"/>
      <c r="DUA312" s="35"/>
      <c r="DUB312" s="35"/>
      <c r="DUC312" s="15"/>
      <c r="DUE312" s="13"/>
      <c r="DUF312" s="35"/>
      <c r="DUG312" s="35"/>
      <c r="DUH312" s="15"/>
      <c r="DUJ312" s="13"/>
      <c r="DUK312" s="35"/>
      <c r="DUL312" s="35"/>
      <c r="DUM312" s="15"/>
      <c r="DUO312" s="13"/>
      <c r="DUP312" s="35"/>
      <c r="DUQ312" s="35"/>
      <c r="DUR312" s="15"/>
      <c r="DUT312" s="13"/>
      <c r="DUU312" s="35"/>
      <c r="DUV312" s="35"/>
      <c r="DUW312" s="15"/>
      <c r="DUY312" s="13"/>
      <c r="DUZ312" s="35"/>
      <c r="DVA312" s="35"/>
      <c r="DVB312" s="15"/>
      <c r="DVD312" s="13"/>
      <c r="DVE312" s="35"/>
      <c r="DVF312" s="35"/>
      <c r="DVG312" s="15"/>
      <c r="DVI312" s="13"/>
      <c r="DVJ312" s="35"/>
      <c r="DVK312" s="35"/>
      <c r="DVL312" s="15"/>
      <c r="DVN312" s="13"/>
      <c r="DVO312" s="35"/>
      <c r="DVP312" s="35"/>
      <c r="DVQ312" s="15"/>
      <c r="DVS312" s="13"/>
      <c r="DVT312" s="35"/>
      <c r="DVU312" s="35"/>
      <c r="DVV312" s="15"/>
      <c r="DVX312" s="13"/>
      <c r="DVY312" s="35"/>
      <c r="DVZ312" s="35"/>
      <c r="DWA312" s="15"/>
      <c r="DWC312" s="13"/>
      <c r="DWD312" s="35"/>
      <c r="DWE312" s="35"/>
      <c r="DWF312" s="15"/>
      <c r="DWH312" s="13"/>
      <c r="DWI312" s="35"/>
      <c r="DWJ312" s="35"/>
      <c r="DWK312" s="15"/>
      <c r="DWM312" s="13"/>
      <c r="DWN312" s="35"/>
      <c r="DWO312" s="35"/>
      <c r="DWP312" s="15"/>
      <c r="DWR312" s="13"/>
      <c r="DWS312" s="35"/>
      <c r="DWT312" s="35"/>
      <c r="DWU312" s="15"/>
      <c r="DWW312" s="13"/>
      <c r="DWX312" s="35"/>
      <c r="DWY312" s="35"/>
      <c r="DWZ312" s="15"/>
      <c r="DXB312" s="13"/>
      <c r="DXC312" s="35"/>
      <c r="DXD312" s="35"/>
      <c r="DXE312" s="15"/>
      <c r="DXG312" s="13"/>
      <c r="DXH312" s="35"/>
      <c r="DXI312" s="35"/>
      <c r="DXJ312" s="15"/>
      <c r="DXL312" s="13"/>
      <c r="DXM312" s="35"/>
      <c r="DXN312" s="35"/>
      <c r="DXO312" s="15"/>
      <c r="DXQ312" s="13"/>
      <c r="DXR312" s="35"/>
      <c r="DXS312" s="35"/>
      <c r="DXT312" s="15"/>
      <c r="DXV312" s="13"/>
      <c r="DXW312" s="35"/>
      <c r="DXX312" s="35"/>
      <c r="DXY312" s="15"/>
      <c r="DYA312" s="13"/>
      <c r="DYB312" s="35"/>
      <c r="DYC312" s="35"/>
      <c r="DYD312" s="15"/>
      <c r="DYF312" s="13"/>
      <c r="DYG312" s="35"/>
      <c r="DYH312" s="35"/>
      <c r="DYI312" s="15"/>
      <c r="DYK312" s="13"/>
      <c r="DYL312" s="35"/>
      <c r="DYM312" s="35"/>
      <c r="DYN312" s="15"/>
      <c r="DYP312" s="13"/>
      <c r="DYQ312" s="35"/>
      <c r="DYR312" s="35"/>
      <c r="DYS312" s="15"/>
      <c r="DYU312" s="13"/>
      <c r="DYV312" s="35"/>
      <c r="DYW312" s="35"/>
      <c r="DYX312" s="15"/>
      <c r="DYZ312" s="13"/>
      <c r="DZA312" s="35"/>
      <c r="DZB312" s="35"/>
      <c r="DZC312" s="15"/>
      <c r="DZE312" s="13"/>
      <c r="DZF312" s="35"/>
      <c r="DZG312" s="35"/>
      <c r="DZH312" s="15"/>
      <c r="DZJ312" s="13"/>
      <c r="DZK312" s="35"/>
      <c r="DZL312" s="35"/>
      <c r="DZM312" s="15"/>
      <c r="DZO312" s="13"/>
      <c r="DZP312" s="35"/>
      <c r="DZQ312" s="35"/>
      <c r="DZR312" s="15"/>
      <c r="DZT312" s="13"/>
      <c r="DZU312" s="35"/>
      <c r="DZV312" s="35"/>
      <c r="DZW312" s="15"/>
      <c r="DZY312" s="13"/>
      <c r="DZZ312" s="35"/>
      <c r="EAA312" s="35"/>
      <c r="EAB312" s="15"/>
      <c r="EAD312" s="13"/>
      <c r="EAE312" s="35"/>
      <c r="EAF312" s="35"/>
      <c r="EAG312" s="15"/>
      <c r="EAI312" s="13"/>
      <c r="EAJ312" s="35"/>
      <c r="EAK312" s="35"/>
      <c r="EAL312" s="15"/>
      <c r="EAN312" s="13"/>
      <c r="EAO312" s="35"/>
      <c r="EAP312" s="35"/>
      <c r="EAQ312" s="15"/>
      <c r="EAS312" s="13"/>
      <c r="EAT312" s="35"/>
      <c r="EAU312" s="35"/>
      <c r="EAV312" s="15"/>
      <c r="EAX312" s="13"/>
      <c r="EAY312" s="35"/>
      <c r="EAZ312" s="35"/>
      <c r="EBA312" s="15"/>
      <c r="EBC312" s="13"/>
      <c r="EBD312" s="35"/>
      <c r="EBE312" s="35"/>
      <c r="EBF312" s="15"/>
      <c r="EBH312" s="13"/>
      <c r="EBI312" s="35"/>
      <c r="EBJ312" s="35"/>
      <c r="EBK312" s="15"/>
      <c r="EBM312" s="13"/>
      <c r="EBN312" s="35"/>
      <c r="EBO312" s="35"/>
      <c r="EBP312" s="15"/>
      <c r="EBR312" s="13"/>
      <c r="EBS312" s="35"/>
      <c r="EBT312" s="35"/>
      <c r="EBU312" s="15"/>
      <c r="EBW312" s="13"/>
      <c r="EBX312" s="35"/>
      <c r="EBY312" s="35"/>
      <c r="EBZ312" s="15"/>
      <c r="ECB312" s="13"/>
      <c r="ECC312" s="35"/>
      <c r="ECD312" s="35"/>
      <c r="ECE312" s="15"/>
      <c r="ECG312" s="13"/>
      <c r="ECH312" s="35"/>
      <c r="ECI312" s="35"/>
      <c r="ECJ312" s="15"/>
      <c r="ECL312" s="13"/>
      <c r="ECM312" s="35"/>
      <c r="ECN312" s="35"/>
      <c r="ECO312" s="15"/>
      <c r="ECQ312" s="13"/>
      <c r="ECR312" s="35"/>
      <c r="ECS312" s="35"/>
      <c r="ECT312" s="15"/>
      <c r="ECV312" s="13"/>
      <c r="ECW312" s="35"/>
      <c r="ECX312" s="35"/>
      <c r="ECY312" s="15"/>
      <c r="EDA312" s="13"/>
      <c r="EDB312" s="35"/>
      <c r="EDC312" s="35"/>
      <c r="EDD312" s="15"/>
      <c r="EDF312" s="13"/>
      <c r="EDG312" s="35"/>
      <c r="EDH312" s="35"/>
      <c r="EDI312" s="15"/>
      <c r="EDK312" s="13"/>
      <c r="EDL312" s="35"/>
      <c r="EDM312" s="35"/>
      <c r="EDN312" s="15"/>
      <c r="EDP312" s="13"/>
      <c r="EDQ312" s="35"/>
      <c r="EDR312" s="35"/>
      <c r="EDS312" s="15"/>
      <c r="EDU312" s="13"/>
      <c r="EDV312" s="35"/>
      <c r="EDW312" s="35"/>
      <c r="EDX312" s="15"/>
      <c r="EDZ312" s="13"/>
      <c r="EEA312" s="35"/>
      <c r="EEB312" s="35"/>
      <c r="EEC312" s="15"/>
      <c r="EEE312" s="13"/>
      <c r="EEF312" s="35"/>
      <c r="EEG312" s="35"/>
      <c r="EEH312" s="15"/>
      <c r="EEJ312" s="13"/>
      <c r="EEK312" s="35"/>
      <c r="EEL312" s="35"/>
      <c r="EEM312" s="15"/>
      <c r="EEO312" s="13"/>
      <c r="EEP312" s="35"/>
      <c r="EEQ312" s="35"/>
      <c r="EER312" s="15"/>
      <c r="EET312" s="13"/>
      <c r="EEU312" s="35"/>
      <c r="EEV312" s="35"/>
      <c r="EEW312" s="15"/>
      <c r="EEY312" s="13"/>
      <c r="EEZ312" s="35"/>
      <c r="EFA312" s="35"/>
      <c r="EFB312" s="15"/>
      <c r="EFD312" s="13"/>
      <c r="EFE312" s="35"/>
      <c r="EFF312" s="35"/>
      <c r="EFG312" s="15"/>
      <c r="EFI312" s="13"/>
      <c r="EFJ312" s="35"/>
      <c r="EFK312" s="35"/>
      <c r="EFL312" s="15"/>
      <c r="EFN312" s="13"/>
      <c r="EFO312" s="35"/>
      <c r="EFP312" s="35"/>
      <c r="EFQ312" s="15"/>
      <c r="EFS312" s="13"/>
      <c r="EFT312" s="35"/>
      <c r="EFU312" s="35"/>
      <c r="EFV312" s="15"/>
      <c r="EFX312" s="13"/>
      <c r="EFY312" s="35"/>
      <c r="EFZ312" s="35"/>
      <c r="EGA312" s="15"/>
      <c r="EGC312" s="13"/>
      <c r="EGD312" s="35"/>
      <c r="EGE312" s="35"/>
      <c r="EGF312" s="15"/>
      <c r="EGH312" s="13"/>
      <c r="EGI312" s="35"/>
      <c r="EGJ312" s="35"/>
      <c r="EGK312" s="15"/>
      <c r="EGM312" s="13"/>
      <c r="EGN312" s="35"/>
      <c r="EGO312" s="35"/>
      <c r="EGP312" s="15"/>
      <c r="EGR312" s="13"/>
      <c r="EGS312" s="35"/>
      <c r="EGT312" s="35"/>
      <c r="EGU312" s="15"/>
      <c r="EGW312" s="13"/>
      <c r="EGX312" s="35"/>
      <c r="EGY312" s="35"/>
      <c r="EGZ312" s="15"/>
      <c r="EHB312" s="13"/>
      <c r="EHC312" s="35"/>
      <c r="EHD312" s="35"/>
      <c r="EHE312" s="15"/>
      <c r="EHG312" s="13"/>
      <c r="EHH312" s="35"/>
      <c r="EHI312" s="35"/>
      <c r="EHJ312" s="15"/>
      <c r="EHL312" s="13"/>
      <c r="EHM312" s="35"/>
      <c r="EHN312" s="35"/>
      <c r="EHO312" s="15"/>
      <c r="EHQ312" s="13"/>
      <c r="EHR312" s="35"/>
      <c r="EHS312" s="35"/>
      <c r="EHT312" s="15"/>
      <c r="EHV312" s="13"/>
      <c r="EHW312" s="35"/>
      <c r="EHX312" s="35"/>
      <c r="EHY312" s="15"/>
      <c r="EIA312" s="13"/>
      <c r="EIB312" s="35"/>
      <c r="EIC312" s="35"/>
      <c r="EID312" s="15"/>
      <c r="EIF312" s="13"/>
      <c r="EIG312" s="35"/>
      <c r="EIH312" s="35"/>
      <c r="EII312" s="15"/>
      <c r="EIK312" s="13"/>
      <c r="EIL312" s="35"/>
      <c r="EIM312" s="35"/>
      <c r="EIN312" s="15"/>
      <c r="EIP312" s="13"/>
      <c r="EIQ312" s="35"/>
      <c r="EIR312" s="35"/>
      <c r="EIS312" s="15"/>
      <c r="EIU312" s="13"/>
      <c r="EIV312" s="35"/>
      <c r="EIW312" s="35"/>
      <c r="EIX312" s="15"/>
      <c r="EIZ312" s="13"/>
      <c r="EJA312" s="35"/>
      <c r="EJB312" s="35"/>
      <c r="EJC312" s="15"/>
      <c r="EJE312" s="13"/>
      <c r="EJF312" s="35"/>
      <c r="EJG312" s="35"/>
      <c r="EJH312" s="15"/>
      <c r="EJJ312" s="13"/>
      <c r="EJK312" s="35"/>
      <c r="EJL312" s="35"/>
      <c r="EJM312" s="15"/>
      <c r="EJO312" s="13"/>
      <c r="EJP312" s="35"/>
      <c r="EJQ312" s="35"/>
      <c r="EJR312" s="15"/>
      <c r="EJT312" s="13"/>
      <c r="EJU312" s="35"/>
      <c r="EJV312" s="35"/>
      <c r="EJW312" s="15"/>
      <c r="EJY312" s="13"/>
      <c r="EJZ312" s="35"/>
      <c r="EKA312" s="35"/>
      <c r="EKB312" s="15"/>
      <c r="EKD312" s="13"/>
      <c r="EKE312" s="35"/>
      <c r="EKF312" s="35"/>
      <c r="EKG312" s="15"/>
      <c r="EKI312" s="13"/>
      <c r="EKJ312" s="35"/>
      <c r="EKK312" s="35"/>
      <c r="EKL312" s="15"/>
      <c r="EKN312" s="13"/>
      <c r="EKO312" s="35"/>
      <c r="EKP312" s="35"/>
      <c r="EKQ312" s="15"/>
      <c r="EKS312" s="13"/>
      <c r="EKT312" s="35"/>
      <c r="EKU312" s="35"/>
      <c r="EKV312" s="15"/>
      <c r="EKX312" s="13"/>
      <c r="EKY312" s="35"/>
      <c r="EKZ312" s="35"/>
      <c r="ELA312" s="15"/>
      <c r="ELC312" s="13"/>
      <c r="ELD312" s="35"/>
      <c r="ELE312" s="35"/>
      <c r="ELF312" s="15"/>
      <c r="ELH312" s="13"/>
      <c r="ELI312" s="35"/>
      <c r="ELJ312" s="35"/>
      <c r="ELK312" s="15"/>
      <c r="ELM312" s="13"/>
      <c r="ELN312" s="35"/>
      <c r="ELO312" s="35"/>
      <c r="ELP312" s="15"/>
      <c r="ELR312" s="13"/>
      <c r="ELS312" s="35"/>
      <c r="ELT312" s="35"/>
      <c r="ELU312" s="15"/>
      <c r="ELW312" s="13"/>
      <c r="ELX312" s="35"/>
      <c r="ELY312" s="35"/>
      <c r="ELZ312" s="15"/>
      <c r="EMB312" s="13"/>
      <c r="EMC312" s="35"/>
      <c r="EMD312" s="35"/>
      <c r="EME312" s="15"/>
      <c r="EMG312" s="13"/>
      <c r="EMH312" s="35"/>
      <c r="EMI312" s="35"/>
      <c r="EMJ312" s="15"/>
      <c r="EML312" s="13"/>
      <c r="EMM312" s="35"/>
      <c r="EMN312" s="35"/>
      <c r="EMO312" s="15"/>
      <c r="EMQ312" s="13"/>
      <c r="EMR312" s="35"/>
      <c r="EMS312" s="35"/>
      <c r="EMT312" s="15"/>
      <c r="EMV312" s="13"/>
      <c r="EMW312" s="35"/>
      <c r="EMX312" s="35"/>
      <c r="EMY312" s="15"/>
      <c r="ENA312" s="13"/>
      <c r="ENB312" s="35"/>
      <c r="ENC312" s="35"/>
      <c r="END312" s="15"/>
      <c r="ENF312" s="13"/>
      <c r="ENG312" s="35"/>
      <c r="ENH312" s="35"/>
      <c r="ENI312" s="15"/>
      <c r="ENK312" s="13"/>
      <c r="ENL312" s="35"/>
      <c r="ENM312" s="35"/>
      <c r="ENN312" s="15"/>
      <c r="ENP312" s="13"/>
      <c r="ENQ312" s="35"/>
      <c r="ENR312" s="35"/>
      <c r="ENS312" s="15"/>
      <c r="ENU312" s="13"/>
      <c r="ENV312" s="35"/>
      <c r="ENW312" s="35"/>
      <c r="ENX312" s="15"/>
      <c r="ENZ312" s="13"/>
      <c r="EOA312" s="35"/>
      <c r="EOB312" s="35"/>
      <c r="EOC312" s="15"/>
      <c r="EOE312" s="13"/>
      <c r="EOF312" s="35"/>
      <c r="EOG312" s="35"/>
      <c r="EOH312" s="15"/>
      <c r="EOJ312" s="13"/>
      <c r="EOK312" s="35"/>
      <c r="EOL312" s="35"/>
      <c r="EOM312" s="15"/>
      <c r="EOO312" s="13"/>
      <c r="EOP312" s="35"/>
      <c r="EOQ312" s="35"/>
      <c r="EOR312" s="15"/>
      <c r="EOT312" s="13"/>
      <c r="EOU312" s="35"/>
      <c r="EOV312" s="35"/>
      <c r="EOW312" s="15"/>
      <c r="EOY312" s="13"/>
      <c r="EOZ312" s="35"/>
      <c r="EPA312" s="35"/>
      <c r="EPB312" s="15"/>
      <c r="EPD312" s="13"/>
      <c r="EPE312" s="35"/>
      <c r="EPF312" s="35"/>
      <c r="EPG312" s="15"/>
      <c r="EPI312" s="13"/>
      <c r="EPJ312" s="35"/>
      <c r="EPK312" s="35"/>
      <c r="EPL312" s="15"/>
      <c r="EPN312" s="13"/>
      <c r="EPO312" s="35"/>
      <c r="EPP312" s="35"/>
      <c r="EPQ312" s="15"/>
      <c r="EPS312" s="13"/>
      <c r="EPT312" s="35"/>
      <c r="EPU312" s="35"/>
      <c r="EPV312" s="15"/>
      <c r="EPX312" s="13"/>
      <c r="EPY312" s="35"/>
      <c r="EPZ312" s="35"/>
      <c r="EQA312" s="15"/>
      <c r="EQC312" s="13"/>
      <c r="EQD312" s="35"/>
      <c r="EQE312" s="35"/>
      <c r="EQF312" s="15"/>
      <c r="EQH312" s="13"/>
      <c r="EQI312" s="35"/>
      <c r="EQJ312" s="35"/>
      <c r="EQK312" s="15"/>
      <c r="EQM312" s="13"/>
      <c r="EQN312" s="35"/>
      <c r="EQO312" s="35"/>
      <c r="EQP312" s="15"/>
      <c r="EQR312" s="13"/>
      <c r="EQS312" s="35"/>
      <c r="EQT312" s="35"/>
      <c r="EQU312" s="15"/>
      <c r="EQW312" s="13"/>
      <c r="EQX312" s="35"/>
      <c r="EQY312" s="35"/>
      <c r="EQZ312" s="15"/>
      <c r="ERB312" s="13"/>
      <c r="ERC312" s="35"/>
      <c r="ERD312" s="35"/>
      <c r="ERE312" s="15"/>
      <c r="ERG312" s="13"/>
      <c r="ERH312" s="35"/>
      <c r="ERI312" s="35"/>
      <c r="ERJ312" s="15"/>
      <c r="ERL312" s="13"/>
      <c r="ERM312" s="35"/>
      <c r="ERN312" s="35"/>
      <c r="ERO312" s="15"/>
      <c r="ERQ312" s="13"/>
      <c r="ERR312" s="35"/>
      <c r="ERS312" s="35"/>
      <c r="ERT312" s="15"/>
      <c r="ERV312" s="13"/>
      <c r="ERW312" s="35"/>
      <c r="ERX312" s="35"/>
      <c r="ERY312" s="15"/>
      <c r="ESA312" s="13"/>
      <c r="ESB312" s="35"/>
      <c r="ESC312" s="35"/>
      <c r="ESD312" s="15"/>
      <c r="ESF312" s="13"/>
      <c r="ESG312" s="35"/>
      <c r="ESH312" s="35"/>
      <c r="ESI312" s="15"/>
      <c r="ESK312" s="13"/>
      <c r="ESL312" s="35"/>
      <c r="ESM312" s="35"/>
      <c r="ESN312" s="15"/>
      <c r="ESP312" s="13"/>
      <c r="ESQ312" s="35"/>
      <c r="ESR312" s="35"/>
      <c r="ESS312" s="15"/>
      <c r="ESU312" s="13"/>
      <c r="ESV312" s="35"/>
      <c r="ESW312" s="35"/>
      <c r="ESX312" s="15"/>
      <c r="ESZ312" s="13"/>
      <c r="ETA312" s="35"/>
      <c r="ETB312" s="35"/>
      <c r="ETC312" s="15"/>
      <c r="ETE312" s="13"/>
      <c r="ETF312" s="35"/>
      <c r="ETG312" s="35"/>
      <c r="ETH312" s="15"/>
      <c r="ETJ312" s="13"/>
      <c r="ETK312" s="35"/>
      <c r="ETL312" s="35"/>
      <c r="ETM312" s="15"/>
      <c r="ETO312" s="13"/>
      <c r="ETP312" s="35"/>
      <c r="ETQ312" s="35"/>
      <c r="ETR312" s="15"/>
      <c r="ETT312" s="13"/>
      <c r="ETU312" s="35"/>
      <c r="ETV312" s="35"/>
      <c r="ETW312" s="15"/>
      <c r="ETY312" s="13"/>
      <c r="ETZ312" s="35"/>
      <c r="EUA312" s="35"/>
      <c r="EUB312" s="15"/>
      <c r="EUD312" s="13"/>
      <c r="EUE312" s="35"/>
      <c r="EUF312" s="35"/>
      <c r="EUG312" s="15"/>
      <c r="EUI312" s="13"/>
      <c r="EUJ312" s="35"/>
      <c r="EUK312" s="35"/>
      <c r="EUL312" s="15"/>
      <c r="EUN312" s="13"/>
      <c r="EUO312" s="35"/>
      <c r="EUP312" s="35"/>
      <c r="EUQ312" s="15"/>
      <c r="EUS312" s="13"/>
      <c r="EUT312" s="35"/>
      <c r="EUU312" s="35"/>
      <c r="EUV312" s="15"/>
      <c r="EUX312" s="13"/>
      <c r="EUY312" s="35"/>
      <c r="EUZ312" s="35"/>
      <c r="EVA312" s="15"/>
      <c r="EVC312" s="13"/>
      <c r="EVD312" s="35"/>
      <c r="EVE312" s="35"/>
      <c r="EVF312" s="15"/>
      <c r="EVH312" s="13"/>
      <c r="EVI312" s="35"/>
      <c r="EVJ312" s="35"/>
      <c r="EVK312" s="15"/>
      <c r="EVM312" s="13"/>
      <c r="EVN312" s="35"/>
      <c r="EVO312" s="35"/>
      <c r="EVP312" s="15"/>
      <c r="EVR312" s="13"/>
      <c r="EVS312" s="35"/>
      <c r="EVT312" s="35"/>
      <c r="EVU312" s="15"/>
      <c r="EVW312" s="13"/>
      <c r="EVX312" s="35"/>
      <c r="EVY312" s="35"/>
      <c r="EVZ312" s="15"/>
      <c r="EWB312" s="13"/>
      <c r="EWC312" s="35"/>
      <c r="EWD312" s="35"/>
      <c r="EWE312" s="15"/>
      <c r="EWG312" s="13"/>
      <c r="EWH312" s="35"/>
      <c r="EWI312" s="35"/>
      <c r="EWJ312" s="15"/>
      <c r="EWL312" s="13"/>
      <c r="EWM312" s="35"/>
      <c r="EWN312" s="35"/>
      <c r="EWO312" s="15"/>
      <c r="EWQ312" s="13"/>
      <c r="EWR312" s="35"/>
      <c r="EWS312" s="35"/>
      <c r="EWT312" s="15"/>
      <c r="EWV312" s="13"/>
      <c r="EWW312" s="35"/>
      <c r="EWX312" s="35"/>
      <c r="EWY312" s="15"/>
      <c r="EXA312" s="13"/>
      <c r="EXB312" s="35"/>
      <c r="EXC312" s="35"/>
      <c r="EXD312" s="15"/>
      <c r="EXF312" s="13"/>
      <c r="EXG312" s="35"/>
      <c r="EXH312" s="35"/>
      <c r="EXI312" s="15"/>
      <c r="EXK312" s="13"/>
      <c r="EXL312" s="35"/>
      <c r="EXM312" s="35"/>
      <c r="EXN312" s="15"/>
      <c r="EXP312" s="13"/>
      <c r="EXQ312" s="35"/>
      <c r="EXR312" s="35"/>
      <c r="EXS312" s="15"/>
      <c r="EXU312" s="13"/>
      <c r="EXV312" s="35"/>
      <c r="EXW312" s="35"/>
      <c r="EXX312" s="15"/>
      <c r="EXZ312" s="13"/>
      <c r="EYA312" s="35"/>
      <c r="EYB312" s="35"/>
      <c r="EYC312" s="15"/>
      <c r="EYE312" s="13"/>
      <c r="EYF312" s="35"/>
      <c r="EYG312" s="35"/>
      <c r="EYH312" s="15"/>
      <c r="EYJ312" s="13"/>
      <c r="EYK312" s="35"/>
      <c r="EYL312" s="35"/>
      <c r="EYM312" s="15"/>
      <c r="EYO312" s="13"/>
      <c r="EYP312" s="35"/>
      <c r="EYQ312" s="35"/>
      <c r="EYR312" s="15"/>
      <c r="EYT312" s="13"/>
      <c r="EYU312" s="35"/>
      <c r="EYV312" s="35"/>
      <c r="EYW312" s="15"/>
      <c r="EYY312" s="13"/>
      <c r="EYZ312" s="35"/>
      <c r="EZA312" s="35"/>
      <c r="EZB312" s="15"/>
      <c r="EZD312" s="13"/>
      <c r="EZE312" s="35"/>
      <c r="EZF312" s="35"/>
      <c r="EZG312" s="15"/>
      <c r="EZI312" s="13"/>
      <c r="EZJ312" s="35"/>
      <c r="EZK312" s="35"/>
      <c r="EZL312" s="15"/>
      <c r="EZN312" s="13"/>
      <c r="EZO312" s="35"/>
      <c r="EZP312" s="35"/>
      <c r="EZQ312" s="15"/>
      <c r="EZS312" s="13"/>
      <c r="EZT312" s="35"/>
      <c r="EZU312" s="35"/>
      <c r="EZV312" s="15"/>
      <c r="EZX312" s="13"/>
      <c r="EZY312" s="35"/>
      <c r="EZZ312" s="35"/>
      <c r="FAA312" s="15"/>
      <c r="FAC312" s="13"/>
      <c r="FAD312" s="35"/>
      <c r="FAE312" s="35"/>
      <c r="FAF312" s="15"/>
      <c r="FAH312" s="13"/>
      <c r="FAI312" s="35"/>
      <c r="FAJ312" s="35"/>
      <c r="FAK312" s="15"/>
      <c r="FAM312" s="13"/>
      <c r="FAN312" s="35"/>
      <c r="FAO312" s="35"/>
      <c r="FAP312" s="15"/>
      <c r="FAR312" s="13"/>
      <c r="FAS312" s="35"/>
      <c r="FAT312" s="35"/>
      <c r="FAU312" s="15"/>
      <c r="FAW312" s="13"/>
      <c r="FAX312" s="35"/>
      <c r="FAY312" s="35"/>
      <c r="FAZ312" s="15"/>
      <c r="FBB312" s="13"/>
      <c r="FBC312" s="35"/>
      <c r="FBD312" s="35"/>
      <c r="FBE312" s="15"/>
      <c r="FBG312" s="13"/>
      <c r="FBH312" s="35"/>
      <c r="FBI312" s="35"/>
      <c r="FBJ312" s="15"/>
      <c r="FBL312" s="13"/>
      <c r="FBM312" s="35"/>
      <c r="FBN312" s="35"/>
      <c r="FBO312" s="15"/>
      <c r="FBQ312" s="13"/>
      <c r="FBR312" s="35"/>
      <c r="FBS312" s="35"/>
      <c r="FBT312" s="15"/>
      <c r="FBV312" s="13"/>
      <c r="FBW312" s="35"/>
      <c r="FBX312" s="35"/>
      <c r="FBY312" s="15"/>
      <c r="FCA312" s="13"/>
      <c r="FCB312" s="35"/>
      <c r="FCC312" s="35"/>
      <c r="FCD312" s="15"/>
      <c r="FCF312" s="13"/>
      <c r="FCG312" s="35"/>
      <c r="FCH312" s="35"/>
      <c r="FCI312" s="15"/>
      <c r="FCK312" s="13"/>
      <c r="FCL312" s="35"/>
      <c r="FCM312" s="35"/>
      <c r="FCN312" s="15"/>
      <c r="FCP312" s="13"/>
      <c r="FCQ312" s="35"/>
      <c r="FCR312" s="35"/>
      <c r="FCS312" s="15"/>
      <c r="FCU312" s="13"/>
      <c r="FCV312" s="35"/>
      <c r="FCW312" s="35"/>
      <c r="FCX312" s="15"/>
      <c r="FCZ312" s="13"/>
      <c r="FDA312" s="35"/>
      <c r="FDB312" s="35"/>
      <c r="FDC312" s="15"/>
      <c r="FDE312" s="13"/>
      <c r="FDF312" s="35"/>
      <c r="FDG312" s="35"/>
      <c r="FDH312" s="15"/>
      <c r="FDJ312" s="13"/>
      <c r="FDK312" s="35"/>
      <c r="FDL312" s="35"/>
      <c r="FDM312" s="15"/>
      <c r="FDO312" s="13"/>
      <c r="FDP312" s="35"/>
      <c r="FDQ312" s="35"/>
      <c r="FDR312" s="15"/>
      <c r="FDT312" s="13"/>
      <c r="FDU312" s="35"/>
      <c r="FDV312" s="35"/>
      <c r="FDW312" s="15"/>
      <c r="FDY312" s="13"/>
      <c r="FDZ312" s="35"/>
      <c r="FEA312" s="35"/>
      <c r="FEB312" s="15"/>
      <c r="FED312" s="13"/>
      <c r="FEE312" s="35"/>
      <c r="FEF312" s="35"/>
      <c r="FEG312" s="15"/>
      <c r="FEI312" s="13"/>
      <c r="FEJ312" s="35"/>
      <c r="FEK312" s="35"/>
      <c r="FEL312" s="15"/>
      <c r="FEN312" s="13"/>
      <c r="FEO312" s="35"/>
      <c r="FEP312" s="35"/>
      <c r="FEQ312" s="15"/>
      <c r="FES312" s="13"/>
      <c r="FET312" s="35"/>
      <c r="FEU312" s="35"/>
      <c r="FEV312" s="15"/>
      <c r="FEX312" s="13"/>
      <c r="FEY312" s="35"/>
      <c r="FEZ312" s="35"/>
      <c r="FFA312" s="15"/>
      <c r="FFC312" s="13"/>
      <c r="FFD312" s="35"/>
      <c r="FFE312" s="35"/>
      <c r="FFF312" s="15"/>
      <c r="FFH312" s="13"/>
      <c r="FFI312" s="35"/>
      <c r="FFJ312" s="35"/>
      <c r="FFK312" s="15"/>
      <c r="FFM312" s="13"/>
      <c r="FFN312" s="35"/>
      <c r="FFO312" s="35"/>
      <c r="FFP312" s="15"/>
      <c r="FFR312" s="13"/>
      <c r="FFS312" s="35"/>
      <c r="FFT312" s="35"/>
      <c r="FFU312" s="15"/>
      <c r="FFW312" s="13"/>
      <c r="FFX312" s="35"/>
      <c r="FFY312" s="35"/>
      <c r="FFZ312" s="15"/>
      <c r="FGB312" s="13"/>
      <c r="FGC312" s="35"/>
      <c r="FGD312" s="35"/>
      <c r="FGE312" s="15"/>
      <c r="FGG312" s="13"/>
      <c r="FGH312" s="35"/>
      <c r="FGI312" s="35"/>
      <c r="FGJ312" s="15"/>
      <c r="FGL312" s="13"/>
      <c r="FGM312" s="35"/>
      <c r="FGN312" s="35"/>
      <c r="FGO312" s="15"/>
      <c r="FGQ312" s="13"/>
      <c r="FGR312" s="35"/>
      <c r="FGS312" s="35"/>
      <c r="FGT312" s="15"/>
      <c r="FGV312" s="13"/>
      <c r="FGW312" s="35"/>
      <c r="FGX312" s="35"/>
      <c r="FGY312" s="15"/>
      <c r="FHA312" s="13"/>
      <c r="FHB312" s="35"/>
      <c r="FHC312" s="35"/>
      <c r="FHD312" s="15"/>
      <c r="FHF312" s="13"/>
      <c r="FHG312" s="35"/>
      <c r="FHH312" s="35"/>
      <c r="FHI312" s="15"/>
      <c r="FHK312" s="13"/>
      <c r="FHL312" s="35"/>
      <c r="FHM312" s="35"/>
      <c r="FHN312" s="15"/>
      <c r="FHP312" s="13"/>
      <c r="FHQ312" s="35"/>
      <c r="FHR312" s="35"/>
      <c r="FHS312" s="15"/>
      <c r="FHU312" s="13"/>
      <c r="FHV312" s="35"/>
      <c r="FHW312" s="35"/>
      <c r="FHX312" s="15"/>
      <c r="FHZ312" s="13"/>
      <c r="FIA312" s="35"/>
      <c r="FIB312" s="35"/>
      <c r="FIC312" s="15"/>
      <c r="FIE312" s="13"/>
      <c r="FIF312" s="35"/>
      <c r="FIG312" s="35"/>
      <c r="FIH312" s="15"/>
      <c r="FIJ312" s="13"/>
      <c r="FIK312" s="35"/>
      <c r="FIL312" s="35"/>
      <c r="FIM312" s="15"/>
      <c r="FIO312" s="13"/>
      <c r="FIP312" s="35"/>
      <c r="FIQ312" s="35"/>
      <c r="FIR312" s="15"/>
      <c r="FIT312" s="13"/>
      <c r="FIU312" s="35"/>
      <c r="FIV312" s="35"/>
      <c r="FIW312" s="15"/>
      <c r="FIY312" s="13"/>
      <c r="FIZ312" s="35"/>
      <c r="FJA312" s="35"/>
      <c r="FJB312" s="15"/>
      <c r="FJD312" s="13"/>
      <c r="FJE312" s="35"/>
      <c r="FJF312" s="35"/>
      <c r="FJG312" s="15"/>
      <c r="FJI312" s="13"/>
      <c r="FJJ312" s="35"/>
      <c r="FJK312" s="35"/>
      <c r="FJL312" s="15"/>
      <c r="FJN312" s="13"/>
      <c r="FJO312" s="35"/>
      <c r="FJP312" s="35"/>
      <c r="FJQ312" s="15"/>
      <c r="FJS312" s="13"/>
      <c r="FJT312" s="35"/>
      <c r="FJU312" s="35"/>
      <c r="FJV312" s="15"/>
      <c r="FJX312" s="13"/>
      <c r="FJY312" s="35"/>
      <c r="FJZ312" s="35"/>
      <c r="FKA312" s="15"/>
      <c r="FKC312" s="13"/>
      <c r="FKD312" s="35"/>
      <c r="FKE312" s="35"/>
      <c r="FKF312" s="15"/>
      <c r="FKH312" s="13"/>
      <c r="FKI312" s="35"/>
      <c r="FKJ312" s="35"/>
      <c r="FKK312" s="15"/>
      <c r="FKM312" s="13"/>
      <c r="FKN312" s="35"/>
      <c r="FKO312" s="35"/>
      <c r="FKP312" s="15"/>
      <c r="FKR312" s="13"/>
      <c r="FKS312" s="35"/>
      <c r="FKT312" s="35"/>
      <c r="FKU312" s="15"/>
      <c r="FKW312" s="13"/>
      <c r="FKX312" s="35"/>
      <c r="FKY312" s="35"/>
      <c r="FKZ312" s="15"/>
      <c r="FLB312" s="13"/>
      <c r="FLC312" s="35"/>
      <c r="FLD312" s="35"/>
      <c r="FLE312" s="15"/>
      <c r="FLG312" s="13"/>
      <c r="FLH312" s="35"/>
      <c r="FLI312" s="35"/>
      <c r="FLJ312" s="15"/>
      <c r="FLL312" s="13"/>
      <c r="FLM312" s="35"/>
      <c r="FLN312" s="35"/>
      <c r="FLO312" s="15"/>
      <c r="FLQ312" s="13"/>
      <c r="FLR312" s="35"/>
      <c r="FLS312" s="35"/>
      <c r="FLT312" s="15"/>
      <c r="FLV312" s="13"/>
      <c r="FLW312" s="35"/>
      <c r="FLX312" s="35"/>
      <c r="FLY312" s="15"/>
      <c r="FMA312" s="13"/>
      <c r="FMB312" s="35"/>
      <c r="FMC312" s="35"/>
      <c r="FMD312" s="15"/>
      <c r="FMF312" s="13"/>
      <c r="FMG312" s="35"/>
      <c r="FMH312" s="35"/>
      <c r="FMI312" s="15"/>
      <c r="FMK312" s="13"/>
      <c r="FML312" s="35"/>
      <c r="FMM312" s="35"/>
      <c r="FMN312" s="15"/>
      <c r="FMP312" s="13"/>
      <c r="FMQ312" s="35"/>
      <c r="FMR312" s="35"/>
      <c r="FMS312" s="15"/>
      <c r="FMU312" s="13"/>
      <c r="FMV312" s="35"/>
      <c r="FMW312" s="35"/>
      <c r="FMX312" s="15"/>
      <c r="FMZ312" s="13"/>
      <c r="FNA312" s="35"/>
      <c r="FNB312" s="35"/>
      <c r="FNC312" s="15"/>
      <c r="FNE312" s="13"/>
      <c r="FNF312" s="35"/>
      <c r="FNG312" s="35"/>
      <c r="FNH312" s="15"/>
      <c r="FNJ312" s="13"/>
      <c r="FNK312" s="35"/>
      <c r="FNL312" s="35"/>
      <c r="FNM312" s="15"/>
      <c r="FNO312" s="13"/>
      <c r="FNP312" s="35"/>
      <c r="FNQ312" s="35"/>
      <c r="FNR312" s="15"/>
      <c r="FNT312" s="13"/>
      <c r="FNU312" s="35"/>
      <c r="FNV312" s="35"/>
      <c r="FNW312" s="15"/>
      <c r="FNY312" s="13"/>
      <c r="FNZ312" s="35"/>
      <c r="FOA312" s="35"/>
      <c r="FOB312" s="15"/>
      <c r="FOD312" s="13"/>
      <c r="FOE312" s="35"/>
      <c r="FOF312" s="35"/>
      <c r="FOG312" s="15"/>
      <c r="FOI312" s="13"/>
      <c r="FOJ312" s="35"/>
      <c r="FOK312" s="35"/>
      <c r="FOL312" s="15"/>
      <c r="FON312" s="13"/>
      <c r="FOO312" s="35"/>
      <c r="FOP312" s="35"/>
      <c r="FOQ312" s="15"/>
      <c r="FOS312" s="13"/>
      <c r="FOT312" s="35"/>
      <c r="FOU312" s="35"/>
      <c r="FOV312" s="15"/>
      <c r="FOX312" s="13"/>
      <c r="FOY312" s="35"/>
      <c r="FOZ312" s="35"/>
      <c r="FPA312" s="15"/>
      <c r="FPC312" s="13"/>
      <c r="FPD312" s="35"/>
      <c r="FPE312" s="35"/>
      <c r="FPF312" s="15"/>
      <c r="FPH312" s="13"/>
      <c r="FPI312" s="35"/>
      <c r="FPJ312" s="35"/>
      <c r="FPK312" s="15"/>
      <c r="FPM312" s="13"/>
      <c r="FPN312" s="35"/>
      <c r="FPO312" s="35"/>
      <c r="FPP312" s="15"/>
      <c r="FPR312" s="13"/>
      <c r="FPS312" s="35"/>
      <c r="FPT312" s="35"/>
      <c r="FPU312" s="15"/>
      <c r="FPW312" s="13"/>
      <c r="FPX312" s="35"/>
      <c r="FPY312" s="35"/>
      <c r="FPZ312" s="15"/>
      <c r="FQB312" s="13"/>
      <c r="FQC312" s="35"/>
      <c r="FQD312" s="35"/>
      <c r="FQE312" s="15"/>
      <c r="FQG312" s="13"/>
      <c r="FQH312" s="35"/>
      <c r="FQI312" s="35"/>
      <c r="FQJ312" s="15"/>
      <c r="FQL312" s="13"/>
      <c r="FQM312" s="35"/>
      <c r="FQN312" s="35"/>
      <c r="FQO312" s="15"/>
      <c r="FQQ312" s="13"/>
      <c r="FQR312" s="35"/>
      <c r="FQS312" s="35"/>
      <c r="FQT312" s="15"/>
      <c r="FQV312" s="13"/>
      <c r="FQW312" s="35"/>
      <c r="FQX312" s="35"/>
      <c r="FQY312" s="15"/>
      <c r="FRA312" s="13"/>
      <c r="FRB312" s="35"/>
      <c r="FRC312" s="35"/>
      <c r="FRD312" s="15"/>
      <c r="FRF312" s="13"/>
      <c r="FRG312" s="35"/>
      <c r="FRH312" s="35"/>
      <c r="FRI312" s="15"/>
      <c r="FRK312" s="13"/>
      <c r="FRL312" s="35"/>
      <c r="FRM312" s="35"/>
      <c r="FRN312" s="15"/>
      <c r="FRP312" s="13"/>
      <c r="FRQ312" s="35"/>
      <c r="FRR312" s="35"/>
      <c r="FRS312" s="15"/>
      <c r="FRU312" s="13"/>
      <c r="FRV312" s="35"/>
      <c r="FRW312" s="35"/>
      <c r="FRX312" s="15"/>
      <c r="FRZ312" s="13"/>
      <c r="FSA312" s="35"/>
      <c r="FSB312" s="35"/>
      <c r="FSC312" s="15"/>
      <c r="FSE312" s="13"/>
      <c r="FSF312" s="35"/>
      <c r="FSG312" s="35"/>
      <c r="FSH312" s="15"/>
      <c r="FSJ312" s="13"/>
      <c r="FSK312" s="35"/>
      <c r="FSL312" s="35"/>
      <c r="FSM312" s="15"/>
      <c r="FSO312" s="13"/>
      <c r="FSP312" s="35"/>
      <c r="FSQ312" s="35"/>
      <c r="FSR312" s="15"/>
      <c r="FST312" s="13"/>
      <c r="FSU312" s="35"/>
      <c r="FSV312" s="35"/>
      <c r="FSW312" s="15"/>
      <c r="FSY312" s="13"/>
      <c r="FSZ312" s="35"/>
      <c r="FTA312" s="35"/>
      <c r="FTB312" s="15"/>
      <c r="FTD312" s="13"/>
      <c r="FTE312" s="35"/>
      <c r="FTF312" s="35"/>
      <c r="FTG312" s="15"/>
      <c r="FTI312" s="13"/>
      <c r="FTJ312" s="35"/>
      <c r="FTK312" s="35"/>
      <c r="FTL312" s="15"/>
      <c r="FTN312" s="13"/>
      <c r="FTO312" s="35"/>
      <c r="FTP312" s="35"/>
      <c r="FTQ312" s="15"/>
      <c r="FTS312" s="13"/>
      <c r="FTT312" s="35"/>
      <c r="FTU312" s="35"/>
      <c r="FTV312" s="15"/>
      <c r="FTX312" s="13"/>
      <c r="FTY312" s="35"/>
      <c r="FTZ312" s="35"/>
      <c r="FUA312" s="15"/>
      <c r="FUC312" s="13"/>
      <c r="FUD312" s="35"/>
      <c r="FUE312" s="35"/>
      <c r="FUF312" s="15"/>
      <c r="FUH312" s="13"/>
      <c r="FUI312" s="35"/>
      <c r="FUJ312" s="35"/>
      <c r="FUK312" s="15"/>
      <c r="FUM312" s="13"/>
      <c r="FUN312" s="35"/>
      <c r="FUO312" s="35"/>
      <c r="FUP312" s="15"/>
      <c r="FUR312" s="13"/>
      <c r="FUS312" s="35"/>
      <c r="FUT312" s="35"/>
      <c r="FUU312" s="15"/>
      <c r="FUW312" s="13"/>
      <c r="FUX312" s="35"/>
      <c r="FUY312" s="35"/>
      <c r="FUZ312" s="15"/>
      <c r="FVB312" s="13"/>
      <c r="FVC312" s="35"/>
      <c r="FVD312" s="35"/>
      <c r="FVE312" s="15"/>
      <c r="FVG312" s="13"/>
      <c r="FVH312" s="35"/>
      <c r="FVI312" s="35"/>
      <c r="FVJ312" s="15"/>
      <c r="FVL312" s="13"/>
      <c r="FVM312" s="35"/>
      <c r="FVN312" s="35"/>
      <c r="FVO312" s="15"/>
      <c r="FVQ312" s="13"/>
      <c r="FVR312" s="35"/>
      <c r="FVS312" s="35"/>
      <c r="FVT312" s="15"/>
      <c r="FVV312" s="13"/>
      <c r="FVW312" s="35"/>
      <c r="FVX312" s="35"/>
      <c r="FVY312" s="15"/>
      <c r="FWA312" s="13"/>
      <c r="FWB312" s="35"/>
      <c r="FWC312" s="35"/>
      <c r="FWD312" s="15"/>
      <c r="FWF312" s="13"/>
      <c r="FWG312" s="35"/>
      <c r="FWH312" s="35"/>
      <c r="FWI312" s="15"/>
      <c r="FWK312" s="13"/>
      <c r="FWL312" s="35"/>
      <c r="FWM312" s="35"/>
      <c r="FWN312" s="15"/>
      <c r="FWP312" s="13"/>
      <c r="FWQ312" s="35"/>
      <c r="FWR312" s="35"/>
      <c r="FWS312" s="15"/>
      <c r="FWU312" s="13"/>
      <c r="FWV312" s="35"/>
      <c r="FWW312" s="35"/>
      <c r="FWX312" s="15"/>
      <c r="FWZ312" s="13"/>
      <c r="FXA312" s="35"/>
      <c r="FXB312" s="35"/>
      <c r="FXC312" s="15"/>
      <c r="FXE312" s="13"/>
      <c r="FXF312" s="35"/>
      <c r="FXG312" s="35"/>
      <c r="FXH312" s="15"/>
      <c r="FXJ312" s="13"/>
      <c r="FXK312" s="35"/>
      <c r="FXL312" s="35"/>
      <c r="FXM312" s="15"/>
      <c r="FXO312" s="13"/>
      <c r="FXP312" s="35"/>
      <c r="FXQ312" s="35"/>
      <c r="FXR312" s="15"/>
      <c r="FXT312" s="13"/>
      <c r="FXU312" s="35"/>
      <c r="FXV312" s="35"/>
      <c r="FXW312" s="15"/>
      <c r="FXY312" s="13"/>
      <c r="FXZ312" s="35"/>
      <c r="FYA312" s="35"/>
      <c r="FYB312" s="15"/>
      <c r="FYD312" s="13"/>
      <c r="FYE312" s="35"/>
      <c r="FYF312" s="35"/>
      <c r="FYG312" s="15"/>
      <c r="FYI312" s="13"/>
      <c r="FYJ312" s="35"/>
      <c r="FYK312" s="35"/>
      <c r="FYL312" s="15"/>
      <c r="FYN312" s="13"/>
      <c r="FYO312" s="35"/>
      <c r="FYP312" s="35"/>
      <c r="FYQ312" s="15"/>
      <c r="FYS312" s="13"/>
      <c r="FYT312" s="35"/>
      <c r="FYU312" s="35"/>
      <c r="FYV312" s="15"/>
      <c r="FYX312" s="13"/>
      <c r="FYY312" s="35"/>
      <c r="FYZ312" s="35"/>
      <c r="FZA312" s="15"/>
      <c r="FZC312" s="13"/>
      <c r="FZD312" s="35"/>
      <c r="FZE312" s="35"/>
      <c r="FZF312" s="15"/>
      <c r="FZH312" s="13"/>
      <c r="FZI312" s="35"/>
      <c r="FZJ312" s="35"/>
      <c r="FZK312" s="15"/>
      <c r="FZM312" s="13"/>
      <c r="FZN312" s="35"/>
      <c r="FZO312" s="35"/>
      <c r="FZP312" s="15"/>
      <c r="FZR312" s="13"/>
      <c r="FZS312" s="35"/>
      <c r="FZT312" s="35"/>
      <c r="FZU312" s="15"/>
      <c r="FZW312" s="13"/>
      <c r="FZX312" s="35"/>
      <c r="FZY312" s="35"/>
      <c r="FZZ312" s="15"/>
      <c r="GAB312" s="13"/>
      <c r="GAC312" s="35"/>
      <c r="GAD312" s="35"/>
      <c r="GAE312" s="15"/>
      <c r="GAG312" s="13"/>
      <c r="GAH312" s="35"/>
      <c r="GAI312" s="35"/>
      <c r="GAJ312" s="15"/>
      <c r="GAL312" s="13"/>
      <c r="GAM312" s="35"/>
      <c r="GAN312" s="35"/>
      <c r="GAO312" s="15"/>
      <c r="GAQ312" s="13"/>
      <c r="GAR312" s="35"/>
      <c r="GAS312" s="35"/>
      <c r="GAT312" s="15"/>
      <c r="GAV312" s="13"/>
      <c r="GAW312" s="35"/>
      <c r="GAX312" s="35"/>
      <c r="GAY312" s="15"/>
      <c r="GBA312" s="13"/>
      <c r="GBB312" s="35"/>
      <c r="GBC312" s="35"/>
      <c r="GBD312" s="15"/>
      <c r="GBF312" s="13"/>
      <c r="GBG312" s="35"/>
      <c r="GBH312" s="35"/>
      <c r="GBI312" s="15"/>
      <c r="GBK312" s="13"/>
      <c r="GBL312" s="35"/>
      <c r="GBM312" s="35"/>
      <c r="GBN312" s="15"/>
      <c r="GBP312" s="13"/>
      <c r="GBQ312" s="35"/>
      <c r="GBR312" s="35"/>
      <c r="GBS312" s="15"/>
      <c r="GBU312" s="13"/>
      <c r="GBV312" s="35"/>
      <c r="GBW312" s="35"/>
      <c r="GBX312" s="15"/>
      <c r="GBZ312" s="13"/>
      <c r="GCA312" s="35"/>
      <c r="GCB312" s="35"/>
      <c r="GCC312" s="15"/>
      <c r="GCE312" s="13"/>
      <c r="GCF312" s="35"/>
      <c r="GCG312" s="35"/>
      <c r="GCH312" s="15"/>
      <c r="GCJ312" s="13"/>
      <c r="GCK312" s="35"/>
      <c r="GCL312" s="35"/>
      <c r="GCM312" s="15"/>
      <c r="GCO312" s="13"/>
      <c r="GCP312" s="35"/>
      <c r="GCQ312" s="35"/>
      <c r="GCR312" s="15"/>
      <c r="GCT312" s="13"/>
      <c r="GCU312" s="35"/>
      <c r="GCV312" s="35"/>
      <c r="GCW312" s="15"/>
      <c r="GCY312" s="13"/>
      <c r="GCZ312" s="35"/>
      <c r="GDA312" s="35"/>
      <c r="GDB312" s="15"/>
      <c r="GDD312" s="13"/>
      <c r="GDE312" s="35"/>
      <c r="GDF312" s="35"/>
      <c r="GDG312" s="15"/>
      <c r="GDI312" s="13"/>
      <c r="GDJ312" s="35"/>
      <c r="GDK312" s="35"/>
      <c r="GDL312" s="15"/>
      <c r="GDN312" s="13"/>
      <c r="GDO312" s="35"/>
      <c r="GDP312" s="35"/>
      <c r="GDQ312" s="15"/>
      <c r="GDS312" s="13"/>
      <c r="GDT312" s="35"/>
      <c r="GDU312" s="35"/>
      <c r="GDV312" s="15"/>
      <c r="GDX312" s="13"/>
      <c r="GDY312" s="35"/>
      <c r="GDZ312" s="35"/>
      <c r="GEA312" s="15"/>
      <c r="GEC312" s="13"/>
      <c r="GED312" s="35"/>
      <c r="GEE312" s="35"/>
      <c r="GEF312" s="15"/>
      <c r="GEH312" s="13"/>
      <c r="GEI312" s="35"/>
      <c r="GEJ312" s="35"/>
      <c r="GEK312" s="15"/>
      <c r="GEM312" s="13"/>
      <c r="GEN312" s="35"/>
      <c r="GEO312" s="35"/>
      <c r="GEP312" s="15"/>
      <c r="GER312" s="13"/>
      <c r="GES312" s="35"/>
      <c r="GET312" s="35"/>
      <c r="GEU312" s="15"/>
      <c r="GEW312" s="13"/>
      <c r="GEX312" s="35"/>
      <c r="GEY312" s="35"/>
      <c r="GEZ312" s="15"/>
      <c r="GFB312" s="13"/>
      <c r="GFC312" s="35"/>
      <c r="GFD312" s="35"/>
      <c r="GFE312" s="15"/>
      <c r="GFG312" s="13"/>
      <c r="GFH312" s="35"/>
      <c r="GFI312" s="35"/>
      <c r="GFJ312" s="15"/>
      <c r="GFL312" s="13"/>
      <c r="GFM312" s="35"/>
      <c r="GFN312" s="35"/>
      <c r="GFO312" s="15"/>
      <c r="GFQ312" s="13"/>
      <c r="GFR312" s="35"/>
      <c r="GFS312" s="35"/>
      <c r="GFT312" s="15"/>
      <c r="GFV312" s="13"/>
      <c r="GFW312" s="35"/>
      <c r="GFX312" s="35"/>
      <c r="GFY312" s="15"/>
      <c r="GGA312" s="13"/>
      <c r="GGB312" s="35"/>
      <c r="GGC312" s="35"/>
      <c r="GGD312" s="15"/>
      <c r="GGF312" s="13"/>
      <c r="GGG312" s="35"/>
      <c r="GGH312" s="35"/>
      <c r="GGI312" s="15"/>
      <c r="GGK312" s="13"/>
      <c r="GGL312" s="35"/>
      <c r="GGM312" s="35"/>
      <c r="GGN312" s="15"/>
      <c r="GGP312" s="13"/>
      <c r="GGQ312" s="35"/>
      <c r="GGR312" s="35"/>
      <c r="GGS312" s="15"/>
      <c r="GGU312" s="13"/>
      <c r="GGV312" s="35"/>
      <c r="GGW312" s="35"/>
      <c r="GGX312" s="15"/>
      <c r="GGZ312" s="13"/>
      <c r="GHA312" s="35"/>
      <c r="GHB312" s="35"/>
      <c r="GHC312" s="15"/>
      <c r="GHE312" s="13"/>
      <c r="GHF312" s="35"/>
      <c r="GHG312" s="35"/>
      <c r="GHH312" s="15"/>
      <c r="GHJ312" s="13"/>
      <c r="GHK312" s="35"/>
      <c r="GHL312" s="35"/>
      <c r="GHM312" s="15"/>
      <c r="GHO312" s="13"/>
      <c r="GHP312" s="35"/>
      <c r="GHQ312" s="35"/>
      <c r="GHR312" s="15"/>
      <c r="GHT312" s="13"/>
      <c r="GHU312" s="35"/>
      <c r="GHV312" s="35"/>
      <c r="GHW312" s="15"/>
      <c r="GHY312" s="13"/>
      <c r="GHZ312" s="35"/>
      <c r="GIA312" s="35"/>
      <c r="GIB312" s="15"/>
      <c r="GID312" s="13"/>
      <c r="GIE312" s="35"/>
      <c r="GIF312" s="35"/>
      <c r="GIG312" s="15"/>
      <c r="GII312" s="13"/>
      <c r="GIJ312" s="35"/>
      <c r="GIK312" s="35"/>
      <c r="GIL312" s="15"/>
      <c r="GIN312" s="13"/>
      <c r="GIO312" s="35"/>
      <c r="GIP312" s="35"/>
      <c r="GIQ312" s="15"/>
      <c r="GIS312" s="13"/>
      <c r="GIT312" s="35"/>
      <c r="GIU312" s="35"/>
      <c r="GIV312" s="15"/>
      <c r="GIX312" s="13"/>
      <c r="GIY312" s="35"/>
      <c r="GIZ312" s="35"/>
      <c r="GJA312" s="15"/>
      <c r="GJC312" s="13"/>
      <c r="GJD312" s="35"/>
      <c r="GJE312" s="35"/>
      <c r="GJF312" s="15"/>
      <c r="GJH312" s="13"/>
      <c r="GJI312" s="35"/>
      <c r="GJJ312" s="35"/>
      <c r="GJK312" s="15"/>
      <c r="GJM312" s="13"/>
      <c r="GJN312" s="35"/>
      <c r="GJO312" s="35"/>
      <c r="GJP312" s="15"/>
      <c r="GJR312" s="13"/>
      <c r="GJS312" s="35"/>
      <c r="GJT312" s="35"/>
      <c r="GJU312" s="15"/>
      <c r="GJW312" s="13"/>
      <c r="GJX312" s="35"/>
      <c r="GJY312" s="35"/>
      <c r="GJZ312" s="15"/>
      <c r="GKB312" s="13"/>
      <c r="GKC312" s="35"/>
      <c r="GKD312" s="35"/>
      <c r="GKE312" s="15"/>
      <c r="GKG312" s="13"/>
      <c r="GKH312" s="35"/>
      <c r="GKI312" s="35"/>
      <c r="GKJ312" s="15"/>
      <c r="GKL312" s="13"/>
      <c r="GKM312" s="35"/>
      <c r="GKN312" s="35"/>
      <c r="GKO312" s="15"/>
      <c r="GKQ312" s="13"/>
      <c r="GKR312" s="35"/>
      <c r="GKS312" s="35"/>
      <c r="GKT312" s="15"/>
      <c r="GKV312" s="13"/>
      <c r="GKW312" s="35"/>
      <c r="GKX312" s="35"/>
      <c r="GKY312" s="15"/>
      <c r="GLA312" s="13"/>
      <c r="GLB312" s="35"/>
      <c r="GLC312" s="35"/>
      <c r="GLD312" s="15"/>
      <c r="GLF312" s="13"/>
      <c r="GLG312" s="35"/>
      <c r="GLH312" s="35"/>
      <c r="GLI312" s="15"/>
      <c r="GLK312" s="13"/>
      <c r="GLL312" s="35"/>
      <c r="GLM312" s="35"/>
      <c r="GLN312" s="15"/>
      <c r="GLP312" s="13"/>
      <c r="GLQ312" s="35"/>
      <c r="GLR312" s="35"/>
      <c r="GLS312" s="15"/>
      <c r="GLU312" s="13"/>
      <c r="GLV312" s="35"/>
      <c r="GLW312" s="35"/>
      <c r="GLX312" s="15"/>
      <c r="GLZ312" s="13"/>
      <c r="GMA312" s="35"/>
      <c r="GMB312" s="35"/>
      <c r="GMC312" s="15"/>
      <c r="GME312" s="13"/>
      <c r="GMF312" s="35"/>
      <c r="GMG312" s="35"/>
      <c r="GMH312" s="15"/>
      <c r="GMJ312" s="13"/>
      <c r="GMK312" s="35"/>
      <c r="GML312" s="35"/>
      <c r="GMM312" s="15"/>
      <c r="GMO312" s="13"/>
      <c r="GMP312" s="35"/>
      <c r="GMQ312" s="35"/>
      <c r="GMR312" s="15"/>
      <c r="GMT312" s="13"/>
      <c r="GMU312" s="35"/>
      <c r="GMV312" s="35"/>
      <c r="GMW312" s="15"/>
      <c r="GMY312" s="13"/>
      <c r="GMZ312" s="35"/>
      <c r="GNA312" s="35"/>
      <c r="GNB312" s="15"/>
      <c r="GND312" s="13"/>
      <c r="GNE312" s="35"/>
      <c r="GNF312" s="35"/>
      <c r="GNG312" s="15"/>
      <c r="GNI312" s="13"/>
      <c r="GNJ312" s="35"/>
      <c r="GNK312" s="35"/>
      <c r="GNL312" s="15"/>
      <c r="GNN312" s="13"/>
      <c r="GNO312" s="35"/>
      <c r="GNP312" s="35"/>
      <c r="GNQ312" s="15"/>
      <c r="GNS312" s="13"/>
      <c r="GNT312" s="35"/>
      <c r="GNU312" s="35"/>
      <c r="GNV312" s="15"/>
      <c r="GNX312" s="13"/>
      <c r="GNY312" s="35"/>
      <c r="GNZ312" s="35"/>
      <c r="GOA312" s="15"/>
      <c r="GOC312" s="13"/>
      <c r="GOD312" s="35"/>
      <c r="GOE312" s="35"/>
      <c r="GOF312" s="15"/>
      <c r="GOH312" s="13"/>
      <c r="GOI312" s="35"/>
      <c r="GOJ312" s="35"/>
      <c r="GOK312" s="15"/>
      <c r="GOM312" s="13"/>
      <c r="GON312" s="35"/>
      <c r="GOO312" s="35"/>
      <c r="GOP312" s="15"/>
      <c r="GOR312" s="13"/>
      <c r="GOS312" s="35"/>
      <c r="GOT312" s="35"/>
      <c r="GOU312" s="15"/>
      <c r="GOW312" s="13"/>
      <c r="GOX312" s="35"/>
      <c r="GOY312" s="35"/>
      <c r="GOZ312" s="15"/>
      <c r="GPB312" s="13"/>
      <c r="GPC312" s="35"/>
      <c r="GPD312" s="35"/>
      <c r="GPE312" s="15"/>
      <c r="GPG312" s="13"/>
      <c r="GPH312" s="35"/>
      <c r="GPI312" s="35"/>
      <c r="GPJ312" s="15"/>
      <c r="GPL312" s="13"/>
      <c r="GPM312" s="35"/>
      <c r="GPN312" s="35"/>
      <c r="GPO312" s="15"/>
      <c r="GPQ312" s="13"/>
      <c r="GPR312" s="35"/>
      <c r="GPS312" s="35"/>
      <c r="GPT312" s="15"/>
      <c r="GPV312" s="13"/>
      <c r="GPW312" s="35"/>
      <c r="GPX312" s="35"/>
      <c r="GPY312" s="15"/>
      <c r="GQA312" s="13"/>
      <c r="GQB312" s="35"/>
      <c r="GQC312" s="35"/>
      <c r="GQD312" s="15"/>
      <c r="GQF312" s="13"/>
      <c r="GQG312" s="35"/>
      <c r="GQH312" s="35"/>
      <c r="GQI312" s="15"/>
      <c r="GQK312" s="13"/>
      <c r="GQL312" s="35"/>
      <c r="GQM312" s="35"/>
      <c r="GQN312" s="15"/>
      <c r="GQP312" s="13"/>
      <c r="GQQ312" s="35"/>
      <c r="GQR312" s="35"/>
      <c r="GQS312" s="15"/>
      <c r="GQU312" s="13"/>
      <c r="GQV312" s="35"/>
      <c r="GQW312" s="35"/>
      <c r="GQX312" s="15"/>
      <c r="GQZ312" s="13"/>
      <c r="GRA312" s="35"/>
      <c r="GRB312" s="35"/>
      <c r="GRC312" s="15"/>
      <c r="GRE312" s="13"/>
      <c r="GRF312" s="35"/>
      <c r="GRG312" s="35"/>
      <c r="GRH312" s="15"/>
      <c r="GRJ312" s="13"/>
      <c r="GRK312" s="35"/>
      <c r="GRL312" s="35"/>
      <c r="GRM312" s="15"/>
      <c r="GRO312" s="13"/>
      <c r="GRP312" s="35"/>
      <c r="GRQ312" s="35"/>
      <c r="GRR312" s="15"/>
      <c r="GRT312" s="13"/>
      <c r="GRU312" s="35"/>
      <c r="GRV312" s="35"/>
      <c r="GRW312" s="15"/>
      <c r="GRY312" s="13"/>
      <c r="GRZ312" s="35"/>
      <c r="GSA312" s="35"/>
      <c r="GSB312" s="15"/>
      <c r="GSD312" s="13"/>
      <c r="GSE312" s="35"/>
      <c r="GSF312" s="35"/>
      <c r="GSG312" s="15"/>
      <c r="GSI312" s="13"/>
      <c r="GSJ312" s="35"/>
      <c r="GSK312" s="35"/>
      <c r="GSL312" s="15"/>
      <c r="GSN312" s="13"/>
      <c r="GSO312" s="35"/>
      <c r="GSP312" s="35"/>
      <c r="GSQ312" s="15"/>
      <c r="GSS312" s="13"/>
      <c r="GST312" s="35"/>
      <c r="GSU312" s="35"/>
      <c r="GSV312" s="15"/>
      <c r="GSX312" s="13"/>
      <c r="GSY312" s="35"/>
      <c r="GSZ312" s="35"/>
      <c r="GTA312" s="15"/>
      <c r="GTC312" s="13"/>
      <c r="GTD312" s="35"/>
      <c r="GTE312" s="35"/>
      <c r="GTF312" s="15"/>
      <c r="GTH312" s="13"/>
      <c r="GTI312" s="35"/>
      <c r="GTJ312" s="35"/>
      <c r="GTK312" s="15"/>
      <c r="GTM312" s="13"/>
      <c r="GTN312" s="35"/>
      <c r="GTO312" s="35"/>
      <c r="GTP312" s="15"/>
      <c r="GTR312" s="13"/>
      <c r="GTS312" s="35"/>
      <c r="GTT312" s="35"/>
      <c r="GTU312" s="15"/>
      <c r="GTW312" s="13"/>
      <c r="GTX312" s="35"/>
      <c r="GTY312" s="35"/>
      <c r="GTZ312" s="15"/>
      <c r="GUB312" s="13"/>
      <c r="GUC312" s="35"/>
      <c r="GUD312" s="35"/>
      <c r="GUE312" s="15"/>
      <c r="GUG312" s="13"/>
      <c r="GUH312" s="35"/>
      <c r="GUI312" s="35"/>
      <c r="GUJ312" s="15"/>
      <c r="GUL312" s="13"/>
      <c r="GUM312" s="35"/>
      <c r="GUN312" s="35"/>
      <c r="GUO312" s="15"/>
      <c r="GUQ312" s="13"/>
      <c r="GUR312" s="35"/>
      <c r="GUS312" s="35"/>
      <c r="GUT312" s="15"/>
      <c r="GUV312" s="13"/>
      <c r="GUW312" s="35"/>
      <c r="GUX312" s="35"/>
      <c r="GUY312" s="15"/>
      <c r="GVA312" s="13"/>
      <c r="GVB312" s="35"/>
      <c r="GVC312" s="35"/>
      <c r="GVD312" s="15"/>
      <c r="GVF312" s="13"/>
      <c r="GVG312" s="35"/>
      <c r="GVH312" s="35"/>
      <c r="GVI312" s="15"/>
      <c r="GVK312" s="13"/>
      <c r="GVL312" s="35"/>
      <c r="GVM312" s="35"/>
      <c r="GVN312" s="15"/>
      <c r="GVP312" s="13"/>
      <c r="GVQ312" s="35"/>
      <c r="GVR312" s="35"/>
      <c r="GVS312" s="15"/>
      <c r="GVU312" s="13"/>
      <c r="GVV312" s="35"/>
      <c r="GVW312" s="35"/>
      <c r="GVX312" s="15"/>
      <c r="GVZ312" s="13"/>
      <c r="GWA312" s="35"/>
      <c r="GWB312" s="35"/>
      <c r="GWC312" s="15"/>
      <c r="GWE312" s="13"/>
      <c r="GWF312" s="35"/>
      <c r="GWG312" s="35"/>
      <c r="GWH312" s="15"/>
      <c r="GWJ312" s="13"/>
      <c r="GWK312" s="35"/>
      <c r="GWL312" s="35"/>
      <c r="GWM312" s="15"/>
      <c r="GWO312" s="13"/>
      <c r="GWP312" s="35"/>
      <c r="GWQ312" s="35"/>
      <c r="GWR312" s="15"/>
      <c r="GWT312" s="13"/>
      <c r="GWU312" s="35"/>
      <c r="GWV312" s="35"/>
      <c r="GWW312" s="15"/>
      <c r="GWY312" s="13"/>
      <c r="GWZ312" s="35"/>
      <c r="GXA312" s="35"/>
      <c r="GXB312" s="15"/>
      <c r="GXD312" s="13"/>
      <c r="GXE312" s="35"/>
      <c r="GXF312" s="35"/>
      <c r="GXG312" s="15"/>
      <c r="GXI312" s="13"/>
      <c r="GXJ312" s="35"/>
      <c r="GXK312" s="35"/>
      <c r="GXL312" s="15"/>
      <c r="GXN312" s="13"/>
      <c r="GXO312" s="35"/>
      <c r="GXP312" s="35"/>
      <c r="GXQ312" s="15"/>
      <c r="GXS312" s="13"/>
      <c r="GXT312" s="35"/>
      <c r="GXU312" s="35"/>
      <c r="GXV312" s="15"/>
      <c r="GXX312" s="13"/>
      <c r="GXY312" s="35"/>
      <c r="GXZ312" s="35"/>
      <c r="GYA312" s="15"/>
      <c r="GYC312" s="13"/>
      <c r="GYD312" s="35"/>
      <c r="GYE312" s="35"/>
      <c r="GYF312" s="15"/>
      <c r="GYH312" s="13"/>
      <c r="GYI312" s="35"/>
      <c r="GYJ312" s="35"/>
      <c r="GYK312" s="15"/>
      <c r="GYM312" s="13"/>
      <c r="GYN312" s="35"/>
      <c r="GYO312" s="35"/>
      <c r="GYP312" s="15"/>
      <c r="GYR312" s="13"/>
      <c r="GYS312" s="35"/>
      <c r="GYT312" s="35"/>
      <c r="GYU312" s="15"/>
      <c r="GYW312" s="13"/>
      <c r="GYX312" s="35"/>
      <c r="GYY312" s="35"/>
      <c r="GYZ312" s="15"/>
      <c r="GZB312" s="13"/>
      <c r="GZC312" s="35"/>
      <c r="GZD312" s="35"/>
      <c r="GZE312" s="15"/>
      <c r="GZG312" s="13"/>
      <c r="GZH312" s="35"/>
      <c r="GZI312" s="35"/>
      <c r="GZJ312" s="15"/>
      <c r="GZL312" s="13"/>
      <c r="GZM312" s="35"/>
      <c r="GZN312" s="35"/>
      <c r="GZO312" s="15"/>
      <c r="GZQ312" s="13"/>
      <c r="GZR312" s="35"/>
      <c r="GZS312" s="35"/>
      <c r="GZT312" s="15"/>
      <c r="GZV312" s="13"/>
      <c r="GZW312" s="35"/>
      <c r="GZX312" s="35"/>
      <c r="GZY312" s="15"/>
      <c r="HAA312" s="13"/>
      <c r="HAB312" s="35"/>
      <c r="HAC312" s="35"/>
      <c r="HAD312" s="15"/>
      <c r="HAF312" s="13"/>
      <c r="HAG312" s="35"/>
      <c r="HAH312" s="35"/>
      <c r="HAI312" s="15"/>
      <c r="HAK312" s="13"/>
      <c r="HAL312" s="35"/>
      <c r="HAM312" s="35"/>
      <c r="HAN312" s="15"/>
      <c r="HAP312" s="13"/>
      <c r="HAQ312" s="35"/>
      <c r="HAR312" s="35"/>
      <c r="HAS312" s="15"/>
      <c r="HAU312" s="13"/>
      <c r="HAV312" s="35"/>
      <c r="HAW312" s="35"/>
      <c r="HAX312" s="15"/>
      <c r="HAZ312" s="13"/>
      <c r="HBA312" s="35"/>
      <c r="HBB312" s="35"/>
      <c r="HBC312" s="15"/>
      <c r="HBE312" s="13"/>
      <c r="HBF312" s="35"/>
      <c r="HBG312" s="35"/>
      <c r="HBH312" s="15"/>
      <c r="HBJ312" s="13"/>
      <c r="HBK312" s="35"/>
      <c r="HBL312" s="35"/>
      <c r="HBM312" s="15"/>
      <c r="HBO312" s="13"/>
      <c r="HBP312" s="35"/>
      <c r="HBQ312" s="35"/>
      <c r="HBR312" s="15"/>
      <c r="HBT312" s="13"/>
      <c r="HBU312" s="35"/>
      <c r="HBV312" s="35"/>
      <c r="HBW312" s="15"/>
      <c r="HBY312" s="13"/>
      <c r="HBZ312" s="35"/>
      <c r="HCA312" s="35"/>
      <c r="HCB312" s="15"/>
      <c r="HCD312" s="13"/>
      <c r="HCE312" s="35"/>
      <c r="HCF312" s="35"/>
      <c r="HCG312" s="15"/>
      <c r="HCI312" s="13"/>
      <c r="HCJ312" s="35"/>
      <c r="HCK312" s="35"/>
      <c r="HCL312" s="15"/>
      <c r="HCN312" s="13"/>
      <c r="HCO312" s="35"/>
      <c r="HCP312" s="35"/>
      <c r="HCQ312" s="15"/>
      <c r="HCS312" s="13"/>
      <c r="HCT312" s="35"/>
      <c r="HCU312" s="35"/>
      <c r="HCV312" s="15"/>
      <c r="HCX312" s="13"/>
      <c r="HCY312" s="35"/>
      <c r="HCZ312" s="35"/>
      <c r="HDA312" s="15"/>
      <c r="HDC312" s="13"/>
      <c r="HDD312" s="35"/>
      <c r="HDE312" s="35"/>
      <c r="HDF312" s="15"/>
      <c r="HDH312" s="13"/>
      <c r="HDI312" s="35"/>
      <c r="HDJ312" s="35"/>
      <c r="HDK312" s="15"/>
      <c r="HDM312" s="13"/>
      <c r="HDN312" s="35"/>
      <c r="HDO312" s="35"/>
      <c r="HDP312" s="15"/>
      <c r="HDR312" s="13"/>
      <c r="HDS312" s="35"/>
      <c r="HDT312" s="35"/>
      <c r="HDU312" s="15"/>
      <c r="HDW312" s="13"/>
      <c r="HDX312" s="35"/>
      <c r="HDY312" s="35"/>
      <c r="HDZ312" s="15"/>
      <c r="HEB312" s="13"/>
      <c r="HEC312" s="35"/>
      <c r="HED312" s="35"/>
      <c r="HEE312" s="15"/>
      <c r="HEG312" s="13"/>
      <c r="HEH312" s="35"/>
      <c r="HEI312" s="35"/>
      <c r="HEJ312" s="15"/>
      <c r="HEL312" s="13"/>
      <c r="HEM312" s="35"/>
      <c r="HEN312" s="35"/>
      <c r="HEO312" s="15"/>
      <c r="HEQ312" s="13"/>
      <c r="HER312" s="35"/>
      <c r="HES312" s="35"/>
      <c r="HET312" s="15"/>
      <c r="HEV312" s="13"/>
      <c r="HEW312" s="35"/>
      <c r="HEX312" s="35"/>
      <c r="HEY312" s="15"/>
      <c r="HFA312" s="13"/>
      <c r="HFB312" s="35"/>
      <c r="HFC312" s="35"/>
      <c r="HFD312" s="15"/>
      <c r="HFF312" s="13"/>
      <c r="HFG312" s="35"/>
      <c r="HFH312" s="35"/>
      <c r="HFI312" s="15"/>
      <c r="HFK312" s="13"/>
      <c r="HFL312" s="35"/>
      <c r="HFM312" s="35"/>
      <c r="HFN312" s="15"/>
      <c r="HFP312" s="13"/>
      <c r="HFQ312" s="35"/>
      <c r="HFR312" s="35"/>
      <c r="HFS312" s="15"/>
      <c r="HFU312" s="13"/>
      <c r="HFV312" s="35"/>
      <c r="HFW312" s="35"/>
      <c r="HFX312" s="15"/>
      <c r="HFZ312" s="13"/>
      <c r="HGA312" s="35"/>
      <c r="HGB312" s="35"/>
      <c r="HGC312" s="15"/>
      <c r="HGE312" s="13"/>
      <c r="HGF312" s="35"/>
      <c r="HGG312" s="35"/>
      <c r="HGH312" s="15"/>
      <c r="HGJ312" s="13"/>
      <c r="HGK312" s="35"/>
      <c r="HGL312" s="35"/>
      <c r="HGM312" s="15"/>
      <c r="HGO312" s="13"/>
      <c r="HGP312" s="35"/>
      <c r="HGQ312" s="35"/>
      <c r="HGR312" s="15"/>
      <c r="HGT312" s="13"/>
      <c r="HGU312" s="35"/>
      <c r="HGV312" s="35"/>
      <c r="HGW312" s="15"/>
      <c r="HGY312" s="13"/>
      <c r="HGZ312" s="35"/>
      <c r="HHA312" s="35"/>
      <c r="HHB312" s="15"/>
      <c r="HHD312" s="13"/>
      <c r="HHE312" s="35"/>
      <c r="HHF312" s="35"/>
      <c r="HHG312" s="15"/>
      <c r="HHI312" s="13"/>
      <c r="HHJ312" s="35"/>
      <c r="HHK312" s="35"/>
      <c r="HHL312" s="15"/>
      <c r="HHN312" s="13"/>
      <c r="HHO312" s="35"/>
      <c r="HHP312" s="35"/>
      <c r="HHQ312" s="15"/>
      <c r="HHS312" s="13"/>
      <c r="HHT312" s="35"/>
      <c r="HHU312" s="35"/>
      <c r="HHV312" s="15"/>
      <c r="HHX312" s="13"/>
      <c r="HHY312" s="35"/>
      <c r="HHZ312" s="35"/>
      <c r="HIA312" s="15"/>
      <c r="HIC312" s="13"/>
      <c r="HID312" s="35"/>
      <c r="HIE312" s="35"/>
      <c r="HIF312" s="15"/>
      <c r="HIH312" s="13"/>
      <c r="HII312" s="35"/>
      <c r="HIJ312" s="35"/>
      <c r="HIK312" s="15"/>
      <c r="HIM312" s="13"/>
      <c r="HIN312" s="35"/>
      <c r="HIO312" s="35"/>
      <c r="HIP312" s="15"/>
      <c r="HIR312" s="13"/>
      <c r="HIS312" s="35"/>
      <c r="HIT312" s="35"/>
      <c r="HIU312" s="15"/>
      <c r="HIW312" s="13"/>
      <c r="HIX312" s="35"/>
      <c r="HIY312" s="35"/>
      <c r="HIZ312" s="15"/>
      <c r="HJB312" s="13"/>
      <c r="HJC312" s="35"/>
      <c r="HJD312" s="35"/>
      <c r="HJE312" s="15"/>
      <c r="HJG312" s="13"/>
      <c r="HJH312" s="35"/>
      <c r="HJI312" s="35"/>
      <c r="HJJ312" s="15"/>
      <c r="HJL312" s="13"/>
      <c r="HJM312" s="35"/>
      <c r="HJN312" s="35"/>
      <c r="HJO312" s="15"/>
      <c r="HJQ312" s="13"/>
      <c r="HJR312" s="35"/>
      <c r="HJS312" s="35"/>
      <c r="HJT312" s="15"/>
      <c r="HJV312" s="13"/>
      <c r="HJW312" s="35"/>
      <c r="HJX312" s="35"/>
      <c r="HJY312" s="15"/>
      <c r="HKA312" s="13"/>
      <c r="HKB312" s="35"/>
      <c r="HKC312" s="35"/>
      <c r="HKD312" s="15"/>
      <c r="HKF312" s="13"/>
      <c r="HKG312" s="35"/>
      <c r="HKH312" s="35"/>
      <c r="HKI312" s="15"/>
      <c r="HKK312" s="13"/>
      <c r="HKL312" s="35"/>
      <c r="HKM312" s="35"/>
      <c r="HKN312" s="15"/>
      <c r="HKP312" s="13"/>
      <c r="HKQ312" s="35"/>
      <c r="HKR312" s="35"/>
      <c r="HKS312" s="15"/>
      <c r="HKU312" s="13"/>
      <c r="HKV312" s="35"/>
      <c r="HKW312" s="35"/>
      <c r="HKX312" s="15"/>
      <c r="HKZ312" s="13"/>
      <c r="HLA312" s="35"/>
      <c r="HLB312" s="35"/>
      <c r="HLC312" s="15"/>
      <c r="HLE312" s="13"/>
      <c r="HLF312" s="35"/>
      <c r="HLG312" s="35"/>
      <c r="HLH312" s="15"/>
      <c r="HLJ312" s="13"/>
      <c r="HLK312" s="35"/>
      <c r="HLL312" s="35"/>
      <c r="HLM312" s="15"/>
      <c r="HLO312" s="13"/>
      <c r="HLP312" s="35"/>
      <c r="HLQ312" s="35"/>
      <c r="HLR312" s="15"/>
      <c r="HLT312" s="13"/>
      <c r="HLU312" s="35"/>
      <c r="HLV312" s="35"/>
      <c r="HLW312" s="15"/>
      <c r="HLY312" s="13"/>
      <c r="HLZ312" s="35"/>
      <c r="HMA312" s="35"/>
      <c r="HMB312" s="15"/>
      <c r="HMD312" s="13"/>
      <c r="HME312" s="35"/>
      <c r="HMF312" s="35"/>
      <c r="HMG312" s="15"/>
      <c r="HMI312" s="13"/>
      <c r="HMJ312" s="35"/>
      <c r="HMK312" s="35"/>
      <c r="HML312" s="15"/>
      <c r="HMN312" s="13"/>
      <c r="HMO312" s="35"/>
      <c r="HMP312" s="35"/>
      <c r="HMQ312" s="15"/>
      <c r="HMS312" s="13"/>
      <c r="HMT312" s="35"/>
      <c r="HMU312" s="35"/>
      <c r="HMV312" s="15"/>
      <c r="HMX312" s="13"/>
      <c r="HMY312" s="35"/>
      <c r="HMZ312" s="35"/>
      <c r="HNA312" s="15"/>
      <c r="HNC312" s="13"/>
      <c r="HND312" s="35"/>
      <c r="HNE312" s="35"/>
      <c r="HNF312" s="15"/>
      <c r="HNH312" s="13"/>
      <c r="HNI312" s="35"/>
      <c r="HNJ312" s="35"/>
      <c r="HNK312" s="15"/>
      <c r="HNM312" s="13"/>
      <c r="HNN312" s="35"/>
      <c r="HNO312" s="35"/>
      <c r="HNP312" s="15"/>
      <c r="HNR312" s="13"/>
      <c r="HNS312" s="35"/>
      <c r="HNT312" s="35"/>
      <c r="HNU312" s="15"/>
      <c r="HNW312" s="13"/>
      <c r="HNX312" s="35"/>
      <c r="HNY312" s="35"/>
      <c r="HNZ312" s="15"/>
      <c r="HOB312" s="13"/>
      <c r="HOC312" s="35"/>
      <c r="HOD312" s="35"/>
      <c r="HOE312" s="15"/>
      <c r="HOG312" s="13"/>
      <c r="HOH312" s="35"/>
      <c r="HOI312" s="35"/>
      <c r="HOJ312" s="15"/>
      <c r="HOL312" s="13"/>
      <c r="HOM312" s="35"/>
      <c r="HON312" s="35"/>
      <c r="HOO312" s="15"/>
      <c r="HOQ312" s="13"/>
      <c r="HOR312" s="35"/>
      <c r="HOS312" s="35"/>
      <c r="HOT312" s="15"/>
      <c r="HOV312" s="13"/>
      <c r="HOW312" s="35"/>
      <c r="HOX312" s="35"/>
      <c r="HOY312" s="15"/>
      <c r="HPA312" s="13"/>
      <c r="HPB312" s="35"/>
      <c r="HPC312" s="35"/>
      <c r="HPD312" s="15"/>
      <c r="HPF312" s="13"/>
      <c r="HPG312" s="35"/>
      <c r="HPH312" s="35"/>
      <c r="HPI312" s="15"/>
      <c r="HPK312" s="13"/>
      <c r="HPL312" s="35"/>
      <c r="HPM312" s="35"/>
      <c r="HPN312" s="15"/>
      <c r="HPP312" s="13"/>
      <c r="HPQ312" s="35"/>
      <c r="HPR312" s="35"/>
      <c r="HPS312" s="15"/>
      <c r="HPU312" s="13"/>
      <c r="HPV312" s="35"/>
      <c r="HPW312" s="35"/>
      <c r="HPX312" s="15"/>
      <c r="HPZ312" s="13"/>
      <c r="HQA312" s="35"/>
      <c r="HQB312" s="35"/>
      <c r="HQC312" s="15"/>
      <c r="HQE312" s="13"/>
      <c r="HQF312" s="35"/>
      <c r="HQG312" s="35"/>
      <c r="HQH312" s="15"/>
      <c r="HQJ312" s="13"/>
      <c r="HQK312" s="35"/>
      <c r="HQL312" s="35"/>
      <c r="HQM312" s="15"/>
      <c r="HQO312" s="13"/>
      <c r="HQP312" s="35"/>
      <c r="HQQ312" s="35"/>
      <c r="HQR312" s="15"/>
      <c r="HQT312" s="13"/>
      <c r="HQU312" s="35"/>
      <c r="HQV312" s="35"/>
      <c r="HQW312" s="15"/>
      <c r="HQY312" s="13"/>
      <c r="HQZ312" s="35"/>
      <c r="HRA312" s="35"/>
      <c r="HRB312" s="15"/>
      <c r="HRD312" s="13"/>
      <c r="HRE312" s="35"/>
      <c r="HRF312" s="35"/>
      <c r="HRG312" s="15"/>
      <c r="HRI312" s="13"/>
      <c r="HRJ312" s="35"/>
      <c r="HRK312" s="35"/>
      <c r="HRL312" s="15"/>
      <c r="HRN312" s="13"/>
      <c r="HRO312" s="35"/>
      <c r="HRP312" s="35"/>
      <c r="HRQ312" s="15"/>
      <c r="HRS312" s="13"/>
      <c r="HRT312" s="35"/>
      <c r="HRU312" s="35"/>
      <c r="HRV312" s="15"/>
      <c r="HRX312" s="13"/>
      <c r="HRY312" s="35"/>
      <c r="HRZ312" s="35"/>
      <c r="HSA312" s="15"/>
      <c r="HSC312" s="13"/>
      <c r="HSD312" s="35"/>
      <c r="HSE312" s="35"/>
      <c r="HSF312" s="15"/>
      <c r="HSH312" s="13"/>
      <c r="HSI312" s="35"/>
      <c r="HSJ312" s="35"/>
      <c r="HSK312" s="15"/>
      <c r="HSM312" s="13"/>
      <c r="HSN312" s="35"/>
      <c r="HSO312" s="35"/>
      <c r="HSP312" s="15"/>
      <c r="HSR312" s="13"/>
      <c r="HSS312" s="35"/>
      <c r="HST312" s="35"/>
      <c r="HSU312" s="15"/>
      <c r="HSW312" s="13"/>
      <c r="HSX312" s="35"/>
      <c r="HSY312" s="35"/>
      <c r="HSZ312" s="15"/>
      <c r="HTB312" s="13"/>
      <c r="HTC312" s="35"/>
      <c r="HTD312" s="35"/>
      <c r="HTE312" s="15"/>
      <c r="HTG312" s="13"/>
      <c r="HTH312" s="35"/>
      <c r="HTI312" s="35"/>
      <c r="HTJ312" s="15"/>
      <c r="HTL312" s="13"/>
      <c r="HTM312" s="35"/>
      <c r="HTN312" s="35"/>
      <c r="HTO312" s="15"/>
      <c r="HTQ312" s="13"/>
      <c r="HTR312" s="35"/>
      <c r="HTS312" s="35"/>
      <c r="HTT312" s="15"/>
      <c r="HTV312" s="13"/>
      <c r="HTW312" s="35"/>
      <c r="HTX312" s="35"/>
      <c r="HTY312" s="15"/>
      <c r="HUA312" s="13"/>
      <c r="HUB312" s="35"/>
      <c r="HUC312" s="35"/>
      <c r="HUD312" s="15"/>
      <c r="HUF312" s="13"/>
      <c r="HUG312" s="35"/>
      <c r="HUH312" s="35"/>
      <c r="HUI312" s="15"/>
      <c r="HUK312" s="13"/>
      <c r="HUL312" s="35"/>
      <c r="HUM312" s="35"/>
      <c r="HUN312" s="15"/>
      <c r="HUP312" s="13"/>
      <c r="HUQ312" s="35"/>
      <c r="HUR312" s="35"/>
      <c r="HUS312" s="15"/>
      <c r="HUU312" s="13"/>
      <c r="HUV312" s="35"/>
      <c r="HUW312" s="35"/>
      <c r="HUX312" s="15"/>
      <c r="HUZ312" s="13"/>
      <c r="HVA312" s="35"/>
      <c r="HVB312" s="35"/>
      <c r="HVC312" s="15"/>
      <c r="HVE312" s="13"/>
      <c r="HVF312" s="35"/>
      <c r="HVG312" s="35"/>
      <c r="HVH312" s="15"/>
      <c r="HVJ312" s="13"/>
      <c r="HVK312" s="35"/>
      <c r="HVL312" s="35"/>
      <c r="HVM312" s="15"/>
      <c r="HVO312" s="13"/>
      <c r="HVP312" s="35"/>
      <c r="HVQ312" s="35"/>
      <c r="HVR312" s="15"/>
      <c r="HVT312" s="13"/>
      <c r="HVU312" s="35"/>
      <c r="HVV312" s="35"/>
      <c r="HVW312" s="15"/>
      <c r="HVY312" s="13"/>
      <c r="HVZ312" s="35"/>
      <c r="HWA312" s="35"/>
      <c r="HWB312" s="15"/>
      <c r="HWD312" s="13"/>
      <c r="HWE312" s="35"/>
      <c r="HWF312" s="35"/>
      <c r="HWG312" s="15"/>
      <c r="HWI312" s="13"/>
      <c r="HWJ312" s="35"/>
      <c r="HWK312" s="35"/>
      <c r="HWL312" s="15"/>
      <c r="HWN312" s="13"/>
      <c r="HWO312" s="35"/>
      <c r="HWP312" s="35"/>
      <c r="HWQ312" s="15"/>
      <c r="HWS312" s="13"/>
      <c r="HWT312" s="35"/>
      <c r="HWU312" s="35"/>
      <c r="HWV312" s="15"/>
      <c r="HWX312" s="13"/>
      <c r="HWY312" s="35"/>
      <c r="HWZ312" s="35"/>
      <c r="HXA312" s="15"/>
      <c r="HXC312" s="13"/>
      <c r="HXD312" s="35"/>
      <c r="HXE312" s="35"/>
      <c r="HXF312" s="15"/>
      <c r="HXH312" s="13"/>
      <c r="HXI312" s="35"/>
      <c r="HXJ312" s="35"/>
      <c r="HXK312" s="15"/>
      <c r="HXM312" s="13"/>
      <c r="HXN312" s="35"/>
      <c r="HXO312" s="35"/>
      <c r="HXP312" s="15"/>
      <c r="HXR312" s="13"/>
      <c r="HXS312" s="35"/>
      <c r="HXT312" s="35"/>
      <c r="HXU312" s="15"/>
      <c r="HXW312" s="13"/>
      <c r="HXX312" s="35"/>
      <c r="HXY312" s="35"/>
      <c r="HXZ312" s="15"/>
      <c r="HYB312" s="13"/>
      <c r="HYC312" s="35"/>
      <c r="HYD312" s="35"/>
      <c r="HYE312" s="15"/>
      <c r="HYG312" s="13"/>
      <c r="HYH312" s="35"/>
      <c r="HYI312" s="35"/>
      <c r="HYJ312" s="15"/>
      <c r="HYL312" s="13"/>
      <c r="HYM312" s="35"/>
      <c r="HYN312" s="35"/>
      <c r="HYO312" s="15"/>
      <c r="HYQ312" s="13"/>
      <c r="HYR312" s="35"/>
      <c r="HYS312" s="35"/>
      <c r="HYT312" s="15"/>
      <c r="HYV312" s="13"/>
      <c r="HYW312" s="35"/>
      <c r="HYX312" s="35"/>
      <c r="HYY312" s="15"/>
      <c r="HZA312" s="13"/>
      <c r="HZB312" s="35"/>
      <c r="HZC312" s="35"/>
      <c r="HZD312" s="15"/>
      <c r="HZF312" s="13"/>
      <c r="HZG312" s="35"/>
      <c r="HZH312" s="35"/>
      <c r="HZI312" s="15"/>
      <c r="HZK312" s="13"/>
      <c r="HZL312" s="35"/>
      <c r="HZM312" s="35"/>
      <c r="HZN312" s="15"/>
      <c r="HZP312" s="13"/>
      <c r="HZQ312" s="35"/>
      <c r="HZR312" s="35"/>
      <c r="HZS312" s="15"/>
      <c r="HZU312" s="13"/>
      <c r="HZV312" s="35"/>
      <c r="HZW312" s="35"/>
      <c r="HZX312" s="15"/>
      <c r="HZZ312" s="13"/>
      <c r="IAA312" s="35"/>
      <c r="IAB312" s="35"/>
      <c r="IAC312" s="15"/>
      <c r="IAE312" s="13"/>
      <c r="IAF312" s="35"/>
      <c r="IAG312" s="35"/>
      <c r="IAH312" s="15"/>
      <c r="IAJ312" s="13"/>
      <c r="IAK312" s="35"/>
      <c r="IAL312" s="35"/>
      <c r="IAM312" s="15"/>
      <c r="IAO312" s="13"/>
      <c r="IAP312" s="35"/>
      <c r="IAQ312" s="35"/>
      <c r="IAR312" s="15"/>
      <c r="IAT312" s="13"/>
      <c r="IAU312" s="35"/>
      <c r="IAV312" s="35"/>
      <c r="IAW312" s="15"/>
      <c r="IAY312" s="13"/>
      <c r="IAZ312" s="35"/>
      <c r="IBA312" s="35"/>
      <c r="IBB312" s="15"/>
      <c r="IBD312" s="13"/>
      <c r="IBE312" s="35"/>
      <c r="IBF312" s="35"/>
      <c r="IBG312" s="15"/>
      <c r="IBI312" s="13"/>
      <c r="IBJ312" s="35"/>
      <c r="IBK312" s="35"/>
      <c r="IBL312" s="15"/>
      <c r="IBN312" s="13"/>
      <c r="IBO312" s="35"/>
      <c r="IBP312" s="35"/>
      <c r="IBQ312" s="15"/>
      <c r="IBS312" s="13"/>
      <c r="IBT312" s="35"/>
      <c r="IBU312" s="35"/>
      <c r="IBV312" s="15"/>
      <c r="IBX312" s="13"/>
      <c r="IBY312" s="35"/>
      <c r="IBZ312" s="35"/>
      <c r="ICA312" s="15"/>
      <c r="ICC312" s="13"/>
      <c r="ICD312" s="35"/>
      <c r="ICE312" s="35"/>
      <c r="ICF312" s="15"/>
      <c r="ICH312" s="13"/>
      <c r="ICI312" s="35"/>
      <c r="ICJ312" s="35"/>
      <c r="ICK312" s="15"/>
      <c r="ICM312" s="13"/>
      <c r="ICN312" s="35"/>
      <c r="ICO312" s="35"/>
      <c r="ICP312" s="15"/>
      <c r="ICR312" s="13"/>
      <c r="ICS312" s="35"/>
      <c r="ICT312" s="35"/>
      <c r="ICU312" s="15"/>
      <c r="ICW312" s="13"/>
      <c r="ICX312" s="35"/>
      <c r="ICY312" s="35"/>
      <c r="ICZ312" s="15"/>
      <c r="IDB312" s="13"/>
      <c r="IDC312" s="35"/>
      <c r="IDD312" s="35"/>
      <c r="IDE312" s="15"/>
      <c r="IDG312" s="13"/>
      <c r="IDH312" s="35"/>
      <c r="IDI312" s="35"/>
      <c r="IDJ312" s="15"/>
      <c r="IDL312" s="13"/>
      <c r="IDM312" s="35"/>
      <c r="IDN312" s="35"/>
      <c r="IDO312" s="15"/>
      <c r="IDQ312" s="13"/>
      <c r="IDR312" s="35"/>
      <c r="IDS312" s="35"/>
      <c r="IDT312" s="15"/>
      <c r="IDV312" s="13"/>
      <c r="IDW312" s="35"/>
      <c r="IDX312" s="35"/>
      <c r="IDY312" s="15"/>
      <c r="IEA312" s="13"/>
      <c r="IEB312" s="35"/>
      <c r="IEC312" s="35"/>
      <c r="IED312" s="15"/>
      <c r="IEF312" s="13"/>
      <c r="IEG312" s="35"/>
      <c r="IEH312" s="35"/>
      <c r="IEI312" s="15"/>
      <c r="IEK312" s="13"/>
      <c r="IEL312" s="35"/>
      <c r="IEM312" s="35"/>
      <c r="IEN312" s="15"/>
      <c r="IEP312" s="13"/>
      <c r="IEQ312" s="35"/>
      <c r="IER312" s="35"/>
      <c r="IES312" s="15"/>
      <c r="IEU312" s="13"/>
      <c r="IEV312" s="35"/>
      <c r="IEW312" s="35"/>
      <c r="IEX312" s="15"/>
      <c r="IEZ312" s="13"/>
      <c r="IFA312" s="35"/>
      <c r="IFB312" s="35"/>
      <c r="IFC312" s="15"/>
      <c r="IFE312" s="13"/>
      <c r="IFF312" s="35"/>
      <c r="IFG312" s="35"/>
      <c r="IFH312" s="15"/>
      <c r="IFJ312" s="13"/>
      <c r="IFK312" s="35"/>
      <c r="IFL312" s="35"/>
      <c r="IFM312" s="15"/>
      <c r="IFO312" s="13"/>
      <c r="IFP312" s="35"/>
      <c r="IFQ312" s="35"/>
      <c r="IFR312" s="15"/>
      <c r="IFT312" s="13"/>
      <c r="IFU312" s="35"/>
      <c r="IFV312" s="35"/>
      <c r="IFW312" s="15"/>
      <c r="IFY312" s="13"/>
      <c r="IFZ312" s="35"/>
      <c r="IGA312" s="35"/>
      <c r="IGB312" s="15"/>
      <c r="IGD312" s="13"/>
      <c r="IGE312" s="35"/>
      <c r="IGF312" s="35"/>
      <c r="IGG312" s="15"/>
      <c r="IGI312" s="13"/>
      <c r="IGJ312" s="35"/>
      <c r="IGK312" s="35"/>
      <c r="IGL312" s="15"/>
      <c r="IGN312" s="13"/>
      <c r="IGO312" s="35"/>
      <c r="IGP312" s="35"/>
      <c r="IGQ312" s="15"/>
      <c r="IGS312" s="13"/>
      <c r="IGT312" s="35"/>
      <c r="IGU312" s="35"/>
      <c r="IGV312" s="15"/>
      <c r="IGX312" s="13"/>
      <c r="IGY312" s="35"/>
      <c r="IGZ312" s="35"/>
      <c r="IHA312" s="15"/>
      <c r="IHC312" s="13"/>
      <c r="IHD312" s="35"/>
      <c r="IHE312" s="35"/>
      <c r="IHF312" s="15"/>
      <c r="IHH312" s="13"/>
      <c r="IHI312" s="35"/>
      <c r="IHJ312" s="35"/>
      <c r="IHK312" s="15"/>
      <c r="IHM312" s="13"/>
      <c r="IHN312" s="35"/>
      <c r="IHO312" s="35"/>
      <c r="IHP312" s="15"/>
      <c r="IHR312" s="13"/>
      <c r="IHS312" s="35"/>
      <c r="IHT312" s="35"/>
      <c r="IHU312" s="15"/>
      <c r="IHW312" s="13"/>
      <c r="IHX312" s="35"/>
      <c r="IHY312" s="35"/>
      <c r="IHZ312" s="15"/>
      <c r="IIB312" s="13"/>
      <c r="IIC312" s="35"/>
      <c r="IID312" s="35"/>
      <c r="IIE312" s="15"/>
      <c r="IIG312" s="13"/>
      <c r="IIH312" s="35"/>
      <c r="III312" s="35"/>
      <c r="IIJ312" s="15"/>
      <c r="IIL312" s="13"/>
      <c r="IIM312" s="35"/>
      <c r="IIN312" s="35"/>
      <c r="IIO312" s="15"/>
      <c r="IIQ312" s="13"/>
      <c r="IIR312" s="35"/>
      <c r="IIS312" s="35"/>
      <c r="IIT312" s="15"/>
      <c r="IIV312" s="13"/>
      <c r="IIW312" s="35"/>
      <c r="IIX312" s="35"/>
      <c r="IIY312" s="15"/>
      <c r="IJA312" s="13"/>
      <c r="IJB312" s="35"/>
      <c r="IJC312" s="35"/>
      <c r="IJD312" s="15"/>
      <c r="IJF312" s="13"/>
      <c r="IJG312" s="35"/>
      <c r="IJH312" s="35"/>
      <c r="IJI312" s="15"/>
      <c r="IJK312" s="13"/>
      <c r="IJL312" s="35"/>
      <c r="IJM312" s="35"/>
      <c r="IJN312" s="15"/>
      <c r="IJP312" s="13"/>
      <c r="IJQ312" s="35"/>
      <c r="IJR312" s="35"/>
      <c r="IJS312" s="15"/>
      <c r="IJU312" s="13"/>
      <c r="IJV312" s="35"/>
      <c r="IJW312" s="35"/>
      <c r="IJX312" s="15"/>
      <c r="IJZ312" s="13"/>
      <c r="IKA312" s="35"/>
      <c r="IKB312" s="35"/>
      <c r="IKC312" s="15"/>
      <c r="IKE312" s="13"/>
      <c r="IKF312" s="35"/>
      <c r="IKG312" s="35"/>
      <c r="IKH312" s="15"/>
      <c r="IKJ312" s="13"/>
      <c r="IKK312" s="35"/>
      <c r="IKL312" s="35"/>
      <c r="IKM312" s="15"/>
      <c r="IKO312" s="13"/>
      <c r="IKP312" s="35"/>
      <c r="IKQ312" s="35"/>
      <c r="IKR312" s="15"/>
      <c r="IKT312" s="13"/>
      <c r="IKU312" s="35"/>
      <c r="IKV312" s="35"/>
      <c r="IKW312" s="15"/>
      <c r="IKY312" s="13"/>
      <c r="IKZ312" s="35"/>
      <c r="ILA312" s="35"/>
      <c r="ILB312" s="15"/>
      <c r="ILD312" s="13"/>
      <c r="ILE312" s="35"/>
      <c r="ILF312" s="35"/>
      <c r="ILG312" s="15"/>
      <c r="ILI312" s="13"/>
      <c r="ILJ312" s="35"/>
      <c r="ILK312" s="35"/>
      <c r="ILL312" s="15"/>
      <c r="ILN312" s="13"/>
      <c r="ILO312" s="35"/>
      <c r="ILP312" s="35"/>
      <c r="ILQ312" s="15"/>
      <c r="ILS312" s="13"/>
      <c r="ILT312" s="35"/>
      <c r="ILU312" s="35"/>
      <c r="ILV312" s="15"/>
      <c r="ILX312" s="13"/>
      <c r="ILY312" s="35"/>
      <c r="ILZ312" s="35"/>
      <c r="IMA312" s="15"/>
      <c r="IMC312" s="13"/>
      <c r="IMD312" s="35"/>
      <c r="IME312" s="35"/>
      <c r="IMF312" s="15"/>
      <c r="IMH312" s="13"/>
      <c r="IMI312" s="35"/>
      <c r="IMJ312" s="35"/>
      <c r="IMK312" s="15"/>
      <c r="IMM312" s="13"/>
      <c r="IMN312" s="35"/>
      <c r="IMO312" s="35"/>
      <c r="IMP312" s="15"/>
      <c r="IMR312" s="13"/>
      <c r="IMS312" s="35"/>
      <c r="IMT312" s="35"/>
      <c r="IMU312" s="15"/>
      <c r="IMW312" s="13"/>
      <c r="IMX312" s="35"/>
      <c r="IMY312" s="35"/>
      <c r="IMZ312" s="15"/>
      <c r="INB312" s="13"/>
      <c r="INC312" s="35"/>
      <c r="IND312" s="35"/>
      <c r="INE312" s="15"/>
      <c r="ING312" s="13"/>
      <c r="INH312" s="35"/>
      <c r="INI312" s="35"/>
      <c r="INJ312" s="15"/>
      <c r="INL312" s="13"/>
      <c r="INM312" s="35"/>
      <c r="INN312" s="35"/>
      <c r="INO312" s="15"/>
      <c r="INQ312" s="13"/>
      <c r="INR312" s="35"/>
      <c r="INS312" s="35"/>
      <c r="INT312" s="15"/>
      <c r="INV312" s="13"/>
      <c r="INW312" s="35"/>
      <c r="INX312" s="35"/>
      <c r="INY312" s="15"/>
      <c r="IOA312" s="13"/>
      <c r="IOB312" s="35"/>
      <c r="IOC312" s="35"/>
      <c r="IOD312" s="15"/>
      <c r="IOF312" s="13"/>
      <c r="IOG312" s="35"/>
      <c r="IOH312" s="35"/>
      <c r="IOI312" s="15"/>
      <c r="IOK312" s="13"/>
      <c r="IOL312" s="35"/>
      <c r="IOM312" s="35"/>
      <c r="ION312" s="15"/>
      <c r="IOP312" s="13"/>
      <c r="IOQ312" s="35"/>
      <c r="IOR312" s="35"/>
      <c r="IOS312" s="15"/>
      <c r="IOU312" s="13"/>
      <c r="IOV312" s="35"/>
      <c r="IOW312" s="35"/>
      <c r="IOX312" s="15"/>
      <c r="IOZ312" s="13"/>
      <c r="IPA312" s="35"/>
      <c r="IPB312" s="35"/>
      <c r="IPC312" s="15"/>
      <c r="IPE312" s="13"/>
      <c r="IPF312" s="35"/>
      <c r="IPG312" s="35"/>
      <c r="IPH312" s="15"/>
      <c r="IPJ312" s="13"/>
      <c r="IPK312" s="35"/>
      <c r="IPL312" s="35"/>
      <c r="IPM312" s="15"/>
      <c r="IPO312" s="13"/>
      <c r="IPP312" s="35"/>
      <c r="IPQ312" s="35"/>
      <c r="IPR312" s="15"/>
      <c r="IPT312" s="13"/>
      <c r="IPU312" s="35"/>
      <c r="IPV312" s="35"/>
      <c r="IPW312" s="15"/>
      <c r="IPY312" s="13"/>
      <c r="IPZ312" s="35"/>
      <c r="IQA312" s="35"/>
      <c r="IQB312" s="15"/>
      <c r="IQD312" s="13"/>
      <c r="IQE312" s="35"/>
      <c r="IQF312" s="35"/>
      <c r="IQG312" s="15"/>
      <c r="IQI312" s="13"/>
      <c r="IQJ312" s="35"/>
      <c r="IQK312" s="35"/>
      <c r="IQL312" s="15"/>
      <c r="IQN312" s="13"/>
      <c r="IQO312" s="35"/>
      <c r="IQP312" s="35"/>
      <c r="IQQ312" s="15"/>
      <c r="IQS312" s="13"/>
      <c r="IQT312" s="35"/>
      <c r="IQU312" s="35"/>
      <c r="IQV312" s="15"/>
      <c r="IQX312" s="13"/>
      <c r="IQY312" s="35"/>
      <c r="IQZ312" s="35"/>
      <c r="IRA312" s="15"/>
      <c r="IRC312" s="13"/>
      <c r="IRD312" s="35"/>
      <c r="IRE312" s="35"/>
      <c r="IRF312" s="15"/>
      <c r="IRH312" s="13"/>
      <c r="IRI312" s="35"/>
      <c r="IRJ312" s="35"/>
      <c r="IRK312" s="15"/>
      <c r="IRM312" s="13"/>
      <c r="IRN312" s="35"/>
      <c r="IRO312" s="35"/>
      <c r="IRP312" s="15"/>
      <c r="IRR312" s="13"/>
      <c r="IRS312" s="35"/>
      <c r="IRT312" s="35"/>
      <c r="IRU312" s="15"/>
      <c r="IRW312" s="13"/>
      <c r="IRX312" s="35"/>
      <c r="IRY312" s="35"/>
      <c r="IRZ312" s="15"/>
      <c r="ISB312" s="13"/>
      <c r="ISC312" s="35"/>
      <c r="ISD312" s="35"/>
      <c r="ISE312" s="15"/>
      <c r="ISG312" s="13"/>
      <c r="ISH312" s="35"/>
      <c r="ISI312" s="35"/>
      <c r="ISJ312" s="15"/>
      <c r="ISL312" s="13"/>
      <c r="ISM312" s="35"/>
      <c r="ISN312" s="35"/>
      <c r="ISO312" s="15"/>
      <c r="ISQ312" s="13"/>
      <c r="ISR312" s="35"/>
      <c r="ISS312" s="35"/>
      <c r="IST312" s="15"/>
      <c r="ISV312" s="13"/>
      <c r="ISW312" s="35"/>
      <c r="ISX312" s="35"/>
      <c r="ISY312" s="15"/>
      <c r="ITA312" s="13"/>
      <c r="ITB312" s="35"/>
      <c r="ITC312" s="35"/>
      <c r="ITD312" s="15"/>
      <c r="ITF312" s="13"/>
      <c r="ITG312" s="35"/>
      <c r="ITH312" s="35"/>
      <c r="ITI312" s="15"/>
      <c r="ITK312" s="13"/>
      <c r="ITL312" s="35"/>
      <c r="ITM312" s="35"/>
      <c r="ITN312" s="15"/>
      <c r="ITP312" s="13"/>
      <c r="ITQ312" s="35"/>
      <c r="ITR312" s="35"/>
      <c r="ITS312" s="15"/>
      <c r="ITU312" s="13"/>
      <c r="ITV312" s="35"/>
      <c r="ITW312" s="35"/>
      <c r="ITX312" s="15"/>
      <c r="ITZ312" s="13"/>
      <c r="IUA312" s="35"/>
      <c r="IUB312" s="35"/>
      <c r="IUC312" s="15"/>
      <c r="IUE312" s="13"/>
      <c r="IUF312" s="35"/>
      <c r="IUG312" s="35"/>
      <c r="IUH312" s="15"/>
      <c r="IUJ312" s="13"/>
      <c r="IUK312" s="35"/>
      <c r="IUL312" s="35"/>
      <c r="IUM312" s="15"/>
      <c r="IUO312" s="13"/>
      <c r="IUP312" s="35"/>
      <c r="IUQ312" s="35"/>
      <c r="IUR312" s="15"/>
      <c r="IUT312" s="13"/>
      <c r="IUU312" s="35"/>
      <c r="IUV312" s="35"/>
      <c r="IUW312" s="15"/>
      <c r="IUY312" s="13"/>
      <c r="IUZ312" s="35"/>
      <c r="IVA312" s="35"/>
      <c r="IVB312" s="15"/>
      <c r="IVD312" s="13"/>
      <c r="IVE312" s="35"/>
      <c r="IVF312" s="35"/>
      <c r="IVG312" s="15"/>
      <c r="IVI312" s="13"/>
      <c r="IVJ312" s="35"/>
      <c r="IVK312" s="35"/>
      <c r="IVL312" s="15"/>
      <c r="IVN312" s="13"/>
      <c r="IVO312" s="35"/>
      <c r="IVP312" s="35"/>
      <c r="IVQ312" s="15"/>
      <c r="IVS312" s="13"/>
      <c r="IVT312" s="35"/>
      <c r="IVU312" s="35"/>
      <c r="IVV312" s="15"/>
      <c r="IVX312" s="13"/>
      <c r="IVY312" s="35"/>
      <c r="IVZ312" s="35"/>
      <c r="IWA312" s="15"/>
      <c r="IWC312" s="13"/>
      <c r="IWD312" s="35"/>
      <c r="IWE312" s="35"/>
      <c r="IWF312" s="15"/>
      <c r="IWH312" s="13"/>
      <c r="IWI312" s="35"/>
      <c r="IWJ312" s="35"/>
      <c r="IWK312" s="15"/>
      <c r="IWM312" s="13"/>
      <c r="IWN312" s="35"/>
      <c r="IWO312" s="35"/>
      <c r="IWP312" s="15"/>
      <c r="IWR312" s="13"/>
      <c r="IWS312" s="35"/>
      <c r="IWT312" s="35"/>
      <c r="IWU312" s="15"/>
      <c r="IWW312" s="13"/>
      <c r="IWX312" s="35"/>
      <c r="IWY312" s="35"/>
      <c r="IWZ312" s="15"/>
      <c r="IXB312" s="13"/>
      <c r="IXC312" s="35"/>
      <c r="IXD312" s="35"/>
      <c r="IXE312" s="15"/>
      <c r="IXG312" s="13"/>
      <c r="IXH312" s="35"/>
      <c r="IXI312" s="35"/>
      <c r="IXJ312" s="15"/>
      <c r="IXL312" s="13"/>
      <c r="IXM312" s="35"/>
      <c r="IXN312" s="35"/>
      <c r="IXO312" s="15"/>
      <c r="IXQ312" s="13"/>
      <c r="IXR312" s="35"/>
      <c r="IXS312" s="35"/>
      <c r="IXT312" s="15"/>
      <c r="IXV312" s="13"/>
      <c r="IXW312" s="35"/>
      <c r="IXX312" s="35"/>
      <c r="IXY312" s="15"/>
      <c r="IYA312" s="13"/>
      <c r="IYB312" s="35"/>
      <c r="IYC312" s="35"/>
      <c r="IYD312" s="15"/>
      <c r="IYF312" s="13"/>
      <c r="IYG312" s="35"/>
      <c r="IYH312" s="35"/>
      <c r="IYI312" s="15"/>
      <c r="IYK312" s="13"/>
      <c r="IYL312" s="35"/>
      <c r="IYM312" s="35"/>
      <c r="IYN312" s="15"/>
      <c r="IYP312" s="13"/>
      <c r="IYQ312" s="35"/>
      <c r="IYR312" s="35"/>
      <c r="IYS312" s="15"/>
      <c r="IYU312" s="13"/>
      <c r="IYV312" s="35"/>
      <c r="IYW312" s="35"/>
      <c r="IYX312" s="15"/>
      <c r="IYZ312" s="13"/>
      <c r="IZA312" s="35"/>
      <c r="IZB312" s="35"/>
      <c r="IZC312" s="15"/>
      <c r="IZE312" s="13"/>
      <c r="IZF312" s="35"/>
      <c r="IZG312" s="35"/>
      <c r="IZH312" s="15"/>
      <c r="IZJ312" s="13"/>
      <c r="IZK312" s="35"/>
      <c r="IZL312" s="35"/>
      <c r="IZM312" s="15"/>
      <c r="IZO312" s="13"/>
      <c r="IZP312" s="35"/>
      <c r="IZQ312" s="35"/>
      <c r="IZR312" s="15"/>
      <c r="IZT312" s="13"/>
      <c r="IZU312" s="35"/>
      <c r="IZV312" s="35"/>
      <c r="IZW312" s="15"/>
      <c r="IZY312" s="13"/>
      <c r="IZZ312" s="35"/>
      <c r="JAA312" s="35"/>
      <c r="JAB312" s="15"/>
      <c r="JAD312" s="13"/>
      <c r="JAE312" s="35"/>
      <c r="JAF312" s="35"/>
      <c r="JAG312" s="15"/>
      <c r="JAI312" s="13"/>
      <c r="JAJ312" s="35"/>
      <c r="JAK312" s="35"/>
      <c r="JAL312" s="15"/>
      <c r="JAN312" s="13"/>
      <c r="JAO312" s="35"/>
      <c r="JAP312" s="35"/>
      <c r="JAQ312" s="15"/>
      <c r="JAS312" s="13"/>
      <c r="JAT312" s="35"/>
      <c r="JAU312" s="35"/>
      <c r="JAV312" s="15"/>
      <c r="JAX312" s="13"/>
      <c r="JAY312" s="35"/>
      <c r="JAZ312" s="35"/>
      <c r="JBA312" s="15"/>
      <c r="JBC312" s="13"/>
      <c r="JBD312" s="35"/>
      <c r="JBE312" s="35"/>
      <c r="JBF312" s="15"/>
      <c r="JBH312" s="13"/>
      <c r="JBI312" s="35"/>
      <c r="JBJ312" s="35"/>
      <c r="JBK312" s="15"/>
      <c r="JBM312" s="13"/>
      <c r="JBN312" s="35"/>
      <c r="JBO312" s="35"/>
      <c r="JBP312" s="15"/>
      <c r="JBR312" s="13"/>
      <c r="JBS312" s="35"/>
      <c r="JBT312" s="35"/>
      <c r="JBU312" s="15"/>
      <c r="JBW312" s="13"/>
      <c r="JBX312" s="35"/>
      <c r="JBY312" s="35"/>
      <c r="JBZ312" s="15"/>
      <c r="JCB312" s="13"/>
      <c r="JCC312" s="35"/>
      <c r="JCD312" s="35"/>
      <c r="JCE312" s="15"/>
      <c r="JCG312" s="13"/>
      <c r="JCH312" s="35"/>
      <c r="JCI312" s="35"/>
      <c r="JCJ312" s="15"/>
      <c r="JCL312" s="13"/>
      <c r="JCM312" s="35"/>
      <c r="JCN312" s="35"/>
      <c r="JCO312" s="15"/>
      <c r="JCQ312" s="13"/>
      <c r="JCR312" s="35"/>
      <c r="JCS312" s="35"/>
      <c r="JCT312" s="15"/>
      <c r="JCV312" s="13"/>
      <c r="JCW312" s="35"/>
      <c r="JCX312" s="35"/>
      <c r="JCY312" s="15"/>
      <c r="JDA312" s="13"/>
      <c r="JDB312" s="35"/>
      <c r="JDC312" s="35"/>
      <c r="JDD312" s="15"/>
      <c r="JDF312" s="13"/>
      <c r="JDG312" s="35"/>
      <c r="JDH312" s="35"/>
      <c r="JDI312" s="15"/>
      <c r="JDK312" s="13"/>
      <c r="JDL312" s="35"/>
      <c r="JDM312" s="35"/>
      <c r="JDN312" s="15"/>
      <c r="JDP312" s="13"/>
      <c r="JDQ312" s="35"/>
      <c r="JDR312" s="35"/>
      <c r="JDS312" s="15"/>
      <c r="JDU312" s="13"/>
      <c r="JDV312" s="35"/>
      <c r="JDW312" s="35"/>
      <c r="JDX312" s="15"/>
      <c r="JDZ312" s="13"/>
      <c r="JEA312" s="35"/>
      <c r="JEB312" s="35"/>
      <c r="JEC312" s="15"/>
      <c r="JEE312" s="13"/>
      <c r="JEF312" s="35"/>
      <c r="JEG312" s="35"/>
      <c r="JEH312" s="15"/>
      <c r="JEJ312" s="13"/>
      <c r="JEK312" s="35"/>
      <c r="JEL312" s="35"/>
      <c r="JEM312" s="15"/>
      <c r="JEO312" s="13"/>
      <c r="JEP312" s="35"/>
      <c r="JEQ312" s="35"/>
      <c r="JER312" s="15"/>
      <c r="JET312" s="13"/>
      <c r="JEU312" s="35"/>
      <c r="JEV312" s="35"/>
      <c r="JEW312" s="15"/>
      <c r="JEY312" s="13"/>
      <c r="JEZ312" s="35"/>
      <c r="JFA312" s="35"/>
      <c r="JFB312" s="15"/>
      <c r="JFD312" s="13"/>
      <c r="JFE312" s="35"/>
      <c r="JFF312" s="35"/>
      <c r="JFG312" s="15"/>
      <c r="JFI312" s="13"/>
      <c r="JFJ312" s="35"/>
      <c r="JFK312" s="35"/>
      <c r="JFL312" s="15"/>
      <c r="JFN312" s="13"/>
      <c r="JFO312" s="35"/>
      <c r="JFP312" s="35"/>
      <c r="JFQ312" s="15"/>
      <c r="JFS312" s="13"/>
      <c r="JFT312" s="35"/>
      <c r="JFU312" s="35"/>
      <c r="JFV312" s="15"/>
      <c r="JFX312" s="13"/>
      <c r="JFY312" s="35"/>
      <c r="JFZ312" s="35"/>
      <c r="JGA312" s="15"/>
      <c r="JGC312" s="13"/>
      <c r="JGD312" s="35"/>
      <c r="JGE312" s="35"/>
      <c r="JGF312" s="15"/>
      <c r="JGH312" s="13"/>
      <c r="JGI312" s="35"/>
      <c r="JGJ312" s="35"/>
      <c r="JGK312" s="15"/>
      <c r="JGM312" s="13"/>
      <c r="JGN312" s="35"/>
      <c r="JGO312" s="35"/>
      <c r="JGP312" s="15"/>
      <c r="JGR312" s="13"/>
      <c r="JGS312" s="35"/>
      <c r="JGT312" s="35"/>
      <c r="JGU312" s="15"/>
      <c r="JGW312" s="13"/>
      <c r="JGX312" s="35"/>
      <c r="JGY312" s="35"/>
      <c r="JGZ312" s="15"/>
      <c r="JHB312" s="13"/>
      <c r="JHC312" s="35"/>
      <c r="JHD312" s="35"/>
      <c r="JHE312" s="15"/>
      <c r="JHG312" s="13"/>
      <c r="JHH312" s="35"/>
      <c r="JHI312" s="35"/>
      <c r="JHJ312" s="15"/>
      <c r="JHL312" s="13"/>
      <c r="JHM312" s="35"/>
      <c r="JHN312" s="35"/>
      <c r="JHO312" s="15"/>
      <c r="JHQ312" s="13"/>
      <c r="JHR312" s="35"/>
      <c r="JHS312" s="35"/>
      <c r="JHT312" s="15"/>
      <c r="JHV312" s="13"/>
      <c r="JHW312" s="35"/>
      <c r="JHX312" s="35"/>
      <c r="JHY312" s="15"/>
      <c r="JIA312" s="13"/>
      <c r="JIB312" s="35"/>
      <c r="JIC312" s="35"/>
      <c r="JID312" s="15"/>
      <c r="JIF312" s="13"/>
      <c r="JIG312" s="35"/>
      <c r="JIH312" s="35"/>
      <c r="JII312" s="15"/>
      <c r="JIK312" s="13"/>
      <c r="JIL312" s="35"/>
      <c r="JIM312" s="35"/>
      <c r="JIN312" s="15"/>
      <c r="JIP312" s="13"/>
      <c r="JIQ312" s="35"/>
      <c r="JIR312" s="35"/>
      <c r="JIS312" s="15"/>
      <c r="JIU312" s="13"/>
      <c r="JIV312" s="35"/>
      <c r="JIW312" s="35"/>
      <c r="JIX312" s="15"/>
      <c r="JIZ312" s="13"/>
      <c r="JJA312" s="35"/>
      <c r="JJB312" s="35"/>
      <c r="JJC312" s="15"/>
      <c r="JJE312" s="13"/>
      <c r="JJF312" s="35"/>
      <c r="JJG312" s="35"/>
      <c r="JJH312" s="15"/>
      <c r="JJJ312" s="13"/>
      <c r="JJK312" s="35"/>
      <c r="JJL312" s="35"/>
      <c r="JJM312" s="15"/>
      <c r="JJO312" s="13"/>
      <c r="JJP312" s="35"/>
      <c r="JJQ312" s="35"/>
      <c r="JJR312" s="15"/>
      <c r="JJT312" s="13"/>
      <c r="JJU312" s="35"/>
      <c r="JJV312" s="35"/>
      <c r="JJW312" s="15"/>
      <c r="JJY312" s="13"/>
      <c r="JJZ312" s="35"/>
      <c r="JKA312" s="35"/>
      <c r="JKB312" s="15"/>
      <c r="JKD312" s="13"/>
      <c r="JKE312" s="35"/>
      <c r="JKF312" s="35"/>
      <c r="JKG312" s="15"/>
      <c r="JKI312" s="13"/>
      <c r="JKJ312" s="35"/>
      <c r="JKK312" s="35"/>
      <c r="JKL312" s="15"/>
      <c r="JKN312" s="13"/>
      <c r="JKO312" s="35"/>
      <c r="JKP312" s="35"/>
      <c r="JKQ312" s="15"/>
      <c r="JKS312" s="13"/>
      <c r="JKT312" s="35"/>
      <c r="JKU312" s="35"/>
      <c r="JKV312" s="15"/>
      <c r="JKX312" s="13"/>
      <c r="JKY312" s="35"/>
      <c r="JKZ312" s="35"/>
      <c r="JLA312" s="15"/>
      <c r="JLC312" s="13"/>
      <c r="JLD312" s="35"/>
      <c r="JLE312" s="35"/>
      <c r="JLF312" s="15"/>
      <c r="JLH312" s="13"/>
      <c r="JLI312" s="35"/>
      <c r="JLJ312" s="35"/>
      <c r="JLK312" s="15"/>
      <c r="JLM312" s="13"/>
      <c r="JLN312" s="35"/>
      <c r="JLO312" s="35"/>
      <c r="JLP312" s="15"/>
      <c r="JLR312" s="13"/>
      <c r="JLS312" s="35"/>
      <c r="JLT312" s="35"/>
      <c r="JLU312" s="15"/>
      <c r="JLW312" s="13"/>
      <c r="JLX312" s="35"/>
      <c r="JLY312" s="35"/>
      <c r="JLZ312" s="15"/>
      <c r="JMB312" s="13"/>
      <c r="JMC312" s="35"/>
      <c r="JMD312" s="35"/>
      <c r="JME312" s="15"/>
      <c r="JMG312" s="13"/>
      <c r="JMH312" s="35"/>
      <c r="JMI312" s="35"/>
      <c r="JMJ312" s="15"/>
      <c r="JML312" s="13"/>
      <c r="JMM312" s="35"/>
      <c r="JMN312" s="35"/>
      <c r="JMO312" s="15"/>
      <c r="JMQ312" s="13"/>
      <c r="JMR312" s="35"/>
      <c r="JMS312" s="35"/>
      <c r="JMT312" s="15"/>
      <c r="JMV312" s="13"/>
      <c r="JMW312" s="35"/>
      <c r="JMX312" s="35"/>
      <c r="JMY312" s="15"/>
      <c r="JNA312" s="13"/>
      <c r="JNB312" s="35"/>
      <c r="JNC312" s="35"/>
      <c r="JND312" s="15"/>
      <c r="JNF312" s="13"/>
      <c r="JNG312" s="35"/>
      <c r="JNH312" s="35"/>
      <c r="JNI312" s="15"/>
      <c r="JNK312" s="13"/>
      <c r="JNL312" s="35"/>
      <c r="JNM312" s="35"/>
      <c r="JNN312" s="15"/>
      <c r="JNP312" s="13"/>
      <c r="JNQ312" s="35"/>
      <c r="JNR312" s="35"/>
      <c r="JNS312" s="15"/>
      <c r="JNU312" s="13"/>
      <c r="JNV312" s="35"/>
      <c r="JNW312" s="35"/>
      <c r="JNX312" s="15"/>
      <c r="JNZ312" s="13"/>
      <c r="JOA312" s="35"/>
      <c r="JOB312" s="35"/>
      <c r="JOC312" s="15"/>
      <c r="JOE312" s="13"/>
      <c r="JOF312" s="35"/>
      <c r="JOG312" s="35"/>
      <c r="JOH312" s="15"/>
      <c r="JOJ312" s="13"/>
      <c r="JOK312" s="35"/>
      <c r="JOL312" s="35"/>
      <c r="JOM312" s="15"/>
      <c r="JOO312" s="13"/>
      <c r="JOP312" s="35"/>
      <c r="JOQ312" s="35"/>
      <c r="JOR312" s="15"/>
      <c r="JOT312" s="13"/>
      <c r="JOU312" s="35"/>
      <c r="JOV312" s="35"/>
      <c r="JOW312" s="15"/>
      <c r="JOY312" s="13"/>
      <c r="JOZ312" s="35"/>
      <c r="JPA312" s="35"/>
      <c r="JPB312" s="15"/>
      <c r="JPD312" s="13"/>
      <c r="JPE312" s="35"/>
      <c r="JPF312" s="35"/>
      <c r="JPG312" s="15"/>
      <c r="JPI312" s="13"/>
      <c r="JPJ312" s="35"/>
      <c r="JPK312" s="35"/>
      <c r="JPL312" s="15"/>
      <c r="JPN312" s="13"/>
      <c r="JPO312" s="35"/>
      <c r="JPP312" s="35"/>
      <c r="JPQ312" s="15"/>
      <c r="JPS312" s="13"/>
      <c r="JPT312" s="35"/>
      <c r="JPU312" s="35"/>
      <c r="JPV312" s="15"/>
      <c r="JPX312" s="13"/>
      <c r="JPY312" s="35"/>
      <c r="JPZ312" s="35"/>
      <c r="JQA312" s="15"/>
      <c r="JQC312" s="13"/>
      <c r="JQD312" s="35"/>
      <c r="JQE312" s="35"/>
      <c r="JQF312" s="15"/>
      <c r="JQH312" s="13"/>
      <c r="JQI312" s="35"/>
      <c r="JQJ312" s="35"/>
      <c r="JQK312" s="15"/>
      <c r="JQM312" s="13"/>
      <c r="JQN312" s="35"/>
      <c r="JQO312" s="35"/>
      <c r="JQP312" s="15"/>
      <c r="JQR312" s="13"/>
      <c r="JQS312" s="35"/>
      <c r="JQT312" s="35"/>
      <c r="JQU312" s="15"/>
      <c r="JQW312" s="13"/>
      <c r="JQX312" s="35"/>
      <c r="JQY312" s="35"/>
      <c r="JQZ312" s="15"/>
      <c r="JRB312" s="13"/>
      <c r="JRC312" s="35"/>
      <c r="JRD312" s="35"/>
      <c r="JRE312" s="15"/>
      <c r="JRG312" s="13"/>
      <c r="JRH312" s="35"/>
      <c r="JRI312" s="35"/>
      <c r="JRJ312" s="15"/>
      <c r="JRL312" s="13"/>
      <c r="JRM312" s="35"/>
      <c r="JRN312" s="35"/>
      <c r="JRO312" s="15"/>
      <c r="JRQ312" s="13"/>
      <c r="JRR312" s="35"/>
      <c r="JRS312" s="35"/>
      <c r="JRT312" s="15"/>
      <c r="JRV312" s="13"/>
      <c r="JRW312" s="35"/>
      <c r="JRX312" s="35"/>
      <c r="JRY312" s="15"/>
      <c r="JSA312" s="13"/>
      <c r="JSB312" s="35"/>
      <c r="JSC312" s="35"/>
      <c r="JSD312" s="15"/>
      <c r="JSF312" s="13"/>
      <c r="JSG312" s="35"/>
      <c r="JSH312" s="35"/>
      <c r="JSI312" s="15"/>
      <c r="JSK312" s="13"/>
      <c r="JSL312" s="35"/>
      <c r="JSM312" s="35"/>
      <c r="JSN312" s="15"/>
      <c r="JSP312" s="13"/>
      <c r="JSQ312" s="35"/>
      <c r="JSR312" s="35"/>
      <c r="JSS312" s="15"/>
      <c r="JSU312" s="13"/>
      <c r="JSV312" s="35"/>
      <c r="JSW312" s="35"/>
      <c r="JSX312" s="15"/>
      <c r="JSZ312" s="13"/>
      <c r="JTA312" s="35"/>
      <c r="JTB312" s="35"/>
      <c r="JTC312" s="15"/>
      <c r="JTE312" s="13"/>
      <c r="JTF312" s="35"/>
      <c r="JTG312" s="35"/>
      <c r="JTH312" s="15"/>
      <c r="JTJ312" s="13"/>
      <c r="JTK312" s="35"/>
      <c r="JTL312" s="35"/>
      <c r="JTM312" s="15"/>
      <c r="JTO312" s="13"/>
      <c r="JTP312" s="35"/>
      <c r="JTQ312" s="35"/>
      <c r="JTR312" s="15"/>
      <c r="JTT312" s="13"/>
      <c r="JTU312" s="35"/>
      <c r="JTV312" s="35"/>
      <c r="JTW312" s="15"/>
      <c r="JTY312" s="13"/>
      <c r="JTZ312" s="35"/>
      <c r="JUA312" s="35"/>
      <c r="JUB312" s="15"/>
      <c r="JUD312" s="13"/>
      <c r="JUE312" s="35"/>
      <c r="JUF312" s="35"/>
      <c r="JUG312" s="15"/>
      <c r="JUI312" s="13"/>
      <c r="JUJ312" s="35"/>
      <c r="JUK312" s="35"/>
      <c r="JUL312" s="15"/>
      <c r="JUN312" s="13"/>
      <c r="JUO312" s="35"/>
      <c r="JUP312" s="35"/>
      <c r="JUQ312" s="15"/>
      <c r="JUS312" s="13"/>
      <c r="JUT312" s="35"/>
      <c r="JUU312" s="35"/>
      <c r="JUV312" s="15"/>
      <c r="JUX312" s="13"/>
      <c r="JUY312" s="35"/>
      <c r="JUZ312" s="35"/>
      <c r="JVA312" s="15"/>
      <c r="JVC312" s="13"/>
      <c r="JVD312" s="35"/>
      <c r="JVE312" s="35"/>
      <c r="JVF312" s="15"/>
      <c r="JVH312" s="13"/>
      <c r="JVI312" s="35"/>
      <c r="JVJ312" s="35"/>
      <c r="JVK312" s="15"/>
      <c r="JVM312" s="13"/>
      <c r="JVN312" s="35"/>
      <c r="JVO312" s="35"/>
      <c r="JVP312" s="15"/>
      <c r="JVR312" s="13"/>
      <c r="JVS312" s="35"/>
      <c r="JVT312" s="35"/>
      <c r="JVU312" s="15"/>
      <c r="JVW312" s="13"/>
      <c r="JVX312" s="35"/>
      <c r="JVY312" s="35"/>
      <c r="JVZ312" s="15"/>
      <c r="JWB312" s="13"/>
      <c r="JWC312" s="35"/>
      <c r="JWD312" s="35"/>
      <c r="JWE312" s="15"/>
      <c r="JWG312" s="13"/>
      <c r="JWH312" s="35"/>
      <c r="JWI312" s="35"/>
      <c r="JWJ312" s="15"/>
      <c r="JWL312" s="13"/>
      <c r="JWM312" s="35"/>
      <c r="JWN312" s="35"/>
      <c r="JWO312" s="15"/>
      <c r="JWQ312" s="13"/>
      <c r="JWR312" s="35"/>
      <c r="JWS312" s="35"/>
      <c r="JWT312" s="15"/>
      <c r="JWV312" s="13"/>
      <c r="JWW312" s="35"/>
      <c r="JWX312" s="35"/>
      <c r="JWY312" s="15"/>
      <c r="JXA312" s="13"/>
      <c r="JXB312" s="35"/>
      <c r="JXC312" s="35"/>
      <c r="JXD312" s="15"/>
      <c r="JXF312" s="13"/>
      <c r="JXG312" s="35"/>
      <c r="JXH312" s="35"/>
      <c r="JXI312" s="15"/>
      <c r="JXK312" s="13"/>
      <c r="JXL312" s="35"/>
      <c r="JXM312" s="35"/>
      <c r="JXN312" s="15"/>
      <c r="JXP312" s="13"/>
      <c r="JXQ312" s="35"/>
      <c r="JXR312" s="35"/>
      <c r="JXS312" s="15"/>
      <c r="JXU312" s="13"/>
      <c r="JXV312" s="35"/>
      <c r="JXW312" s="35"/>
      <c r="JXX312" s="15"/>
      <c r="JXZ312" s="13"/>
      <c r="JYA312" s="35"/>
      <c r="JYB312" s="35"/>
      <c r="JYC312" s="15"/>
      <c r="JYE312" s="13"/>
      <c r="JYF312" s="35"/>
      <c r="JYG312" s="35"/>
      <c r="JYH312" s="15"/>
      <c r="JYJ312" s="13"/>
      <c r="JYK312" s="35"/>
      <c r="JYL312" s="35"/>
      <c r="JYM312" s="15"/>
      <c r="JYO312" s="13"/>
      <c r="JYP312" s="35"/>
      <c r="JYQ312" s="35"/>
      <c r="JYR312" s="15"/>
      <c r="JYT312" s="13"/>
      <c r="JYU312" s="35"/>
      <c r="JYV312" s="35"/>
      <c r="JYW312" s="15"/>
      <c r="JYY312" s="13"/>
      <c r="JYZ312" s="35"/>
      <c r="JZA312" s="35"/>
      <c r="JZB312" s="15"/>
      <c r="JZD312" s="13"/>
      <c r="JZE312" s="35"/>
      <c r="JZF312" s="35"/>
      <c r="JZG312" s="15"/>
      <c r="JZI312" s="13"/>
      <c r="JZJ312" s="35"/>
      <c r="JZK312" s="35"/>
      <c r="JZL312" s="15"/>
      <c r="JZN312" s="13"/>
      <c r="JZO312" s="35"/>
      <c r="JZP312" s="35"/>
      <c r="JZQ312" s="15"/>
      <c r="JZS312" s="13"/>
      <c r="JZT312" s="35"/>
      <c r="JZU312" s="35"/>
      <c r="JZV312" s="15"/>
      <c r="JZX312" s="13"/>
      <c r="JZY312" s="35"/>
      <c r="JZZ312" s="35"/>
      <c r="KAA312" s="15"/>
      <c r="KAC312" s="13"/>
      <c r="KAD312" s="35"/>
      <c r="KAE312" s="35"/>
      <c r="KAF312" s="15"/>
      <c r="KAH312" s="13"/>
      <c r="KAI312" s="35"/>
      <c r="KAJ312" s="35"/>
      <c r="KAK312" s="15"/>
      <c r="KAM312" s="13"/>
      <c r="KAN312" s="35"/>
      <c r="KAO312" s="35"/>
      <c r="KAP312" s="15"/>
      <c r="KAR312" s="13"/>
      <c r="KAS312" s="35"/>
      <c r="KAT312" s="35"/>
      <c r="KAU312" s="15"/>
      <c r="KAW312" s="13"/>
      <c r="KAX312" s="35"/>
      <c r="KAY312" s="35"/>
      <c r="KAZ312" s="15"/>
      <c r="KBB312" s="13"/>
      <c r="KBC312" s="35"/>
      <c r="KBD312" s="35"/>
      <c r="KBE312" s="15"/>
      <c r="KBG312" s="13"/>
      <c r="KBH312" s="35"/>
      <c r="KBI312" s="35"/>
      <c r="KBJ312" s="15"/>
      <c r="KBL312" s="13"/>
      <c r="KBM312" s="35"/>
      <c r="KBN312" s="35"/>
      <c r="KBO312" s="15"/>
      <c r="KBQ312" s="13"/>
      <c r="KBR312" s="35"/>
      <c r="KBS312" s="35"/>
      <c r="KBT312" s="15"/>
      <c r="KBV312" s="13"/>
      <c r="KBW312" s="35"/>
      <c r="KBX312" s="35"/>
      <c r="KBY312" s="15"/>
      <c r="KCA312" s="13"/>
      <c r="KCB312" s="35"/>
      <c r="KCC312" s="35"/>
      <c r="KCD312" s="15"/>
      <c r="KCF312" s="13"/>
      <c r="KCG312" s="35"/>
      <c r="KCH312" s="35"/>
      <c r="KCI312" s="15"/>
      <c r="KCK312" s="13"/>
      <c r="KCL312" s="35"/>
      <c r="KCM312" s="35"/>
      <c r="KCN312" s="15"/>
      <c r="KCP312" s="13"/>
      <c r="KCQ312" s="35"/>
      <c r="KCR312" s="35"/>
      <c r="KCS312" s="15"/>
      <c r="KCU312" s="13"/>
      <c r="KCV312" s="35"/>
      <c r="KCW312" s="35"/>
      <c r="KCX312" s="15"/>
      <c r="KCZ312" s="13"/>
      <c r="KDA312" s="35"/>
      <c r="KDB312" s="35"/>
      <c r="KDC312" s="15"/>
      <c r="KDE312" s="13"/>
      <c r="KDF312" s="35"/>
      <c r="KDG312" s="35"/>
      <c r="KDH312" s="15"/>
      <c r="KDJ312" s="13"/>
      <c r="KDK312" s="35"/>
      <c r="KDL312" s="35"/>
      <c r="KDM312" s="15"/>
      <c r="KDO312" s="13"/>
      <c r="KDP312" s="35"/>
      <c r="KDQ312" s="35"/>
      <c r="KDR312" s="15"/>
      <c r="KDT312" s="13"/>
      <c r="KDU312" s="35"/>
      <c r="KDV312" s="35"/>
      <c r="KDW312" s="15"/>
      <c r="KDY312" s="13"/>
      <c r="KDZ312" s="35"/>
      <c r="KEA312" s="35"/>
      <c r="KEB312" s="15"/>
      <c r="KED312" s="13"/>
      <c r="KEE312" s="35"/>
      <c r="KEF312" s="35"/>
      <c r="KEG312" s="15"/>
      <c r="KEI312" s="13"/>
      <c r="KEJ312" s="35"/>
      <c r="KEK312" s="35"/>
      <c r="KEL312" s="15"/>
      <c r="KEN312" s="13"/>
      <c r="KEO312" s="35"/>
      <c r="KEP312" s="35"/>
      <c r="KEQ312" s="15"/>
      <c r="KES312" s="13"/>
      <c r="KET312" s="35"/>
      <c r="KEU312" s="35"/>
      <c r="KEV312" s="15"/>
      <c r="KEX312" s="13"/>
      <c r="KEY312" s="35"/>
      <c r="KEZ312" s="35"/>
      <c r="KFA312" s="15"/>
      <c r="KFC312" s="13"/>
      <c r="KFD312" s="35"/>
      <c r="KFE312" s="35"/>
      <c r="KFF312" s="15"/>
      <c r="KFH312" s="13"/>
      <c r="KFI312" s="35"/>
      <c r="KFJ312" s="35"/>
      <c r="KFK312" s="15"/>
      <c r="KFM312" s="13"/>
      <c r="KFN312" s="35"/>
      <c r="KFO312" s="35"/>
      <c r="KFP312" s="15"/>
      <c r="KFR312" s="13"/>
      <c r="KFS312" s="35"/>
      <c r="KFT312" s="35"/>
      <c r="KFU312" s="15"/>
      <c r="KFW312" s="13"/>
      <c r="KFX312" s="35"/>
      <c r="KFY312" s="35"/>
      <c r="KFZ312" s="15"/>
      <c r="KGB312" s="13"/>
      <c r="KGC312" s="35"/>
      <c r="KGD312" s="35"/>
      <c r="KGE312" s="15"/>
      <c r="KGG312" s="13"/>
      <c r="KGH312" s="35"/>
      <c r="KGI312" s="35"/>
      <c r="KGJ312" s="15"/>
      <c r="KGL312" s="13"/>
      <c r="KGM312" s="35"/>
      <c r="KGN312" s="35"/>
      <c r="KGO312" s="15"/>
      <c r="KGQ312" s="13"/>
      <c r="KGR312" s="35"/>
      <c r="KGS312" s="35"/>
      <c r="KGT312" s="15"/>
      <c r="KGV312" s="13"/>
      <c r="KGW312" s="35"/>
      <c r="KGX312" s="35"/>
      <c r="KGY312" s="15"/>
      <c r="KHA312" s="13"/>
      <c r="KHB312" s="35"/>
      <c r="KHC312" s="35"/>
      <c r="KHD312" s="15"/>
      <c r="KHF312" s="13"/>
      <c r="KHG312" s="35"/>
      <c r="KHH312" s="35"/>
      <c r="KHI312" s="15"/>
      <c r="KHK312" s="13"/>
      <c r="KHL312" s="35"/>
      <c r="KHM312" s="35"/>
      <c r="KHN312" s="15"/>
      <c r="KHP312" s="13"/>
      <c r="KHQ312" s="35"/>
      <c r="KHR312" s="35"/>
      <c r="KHS312" s="15"/>
      <c r="KHU312" s="13"/>
      <c r="KHV312" s="35"/>
      <c r="KHW312" s="35"/>
      <c r="KHX312" s="15"/>
      <c r="KHZ312" s="13"/>
      <c r="KIA312" s="35"/>
      <c r="KIB312" s="35"/>
      <c r="KIC312" s="15"/>
      <c r="KIE312" s="13"/>
      <c r="KIF312" s="35"/>
      <c r="KIG312" s="35"/>
      <c r="KIH312" s="15"/>
      <c r="KIJ312" s="13"/>
      <c r="KIK312" s="35"/>
      <c r="KIL312" s="35"/>
      <c r="KIM312" s="15"/>
      <c r="KIO312" s="13"/>
      <c r="KIP312" s="35"/>
      <c r="KIQ312" s="35"/>
      <c r="KIR312" s="15"/>
      <c r="KIT312" s="13"/>
      <c r="KIU312" s="35"/>
      <c r="KIV312" s="35"/>
      <c r="KIW312" s="15"/>
      <c r="KIY312" s="13"/>
      <c r="KIZ312" s="35"/>
      <c r="KJA312" s="35"/>
      <c r="KJB312" s="15"/>
      <c r="KJD312" s="13"/>
      <c r="KJE312" s="35"/>
      <c r="KJF312" s="35"/>
      <c r="KJG312" s="15"/>
      <c r="KJI312" s="13"/>
      <c r="KJJ312" s="35"/>
      <c r="KJK312" s="35"/>
      <c r="KJL312" s="15"/>
      <c r="KJN312" s="13"/>
      <c r="KJO312" s="35"/>
      <c r="KJP312" s="35"/>
      <c r="KJQ312" s="15"/>
      <c r="KJS312" s="13"/>
      <c r="KJT312" s="35"/>
      <c r="KJU312" s="35"/>
      <c r="KJV312" s="15"/>
      <c r="KJX312" s="13"/>
      <c r="KJY312" s="35"/>
      <c r="KJZ312" s="35"/>
      <c r="KKA312" s="15"/>
      <c r="KKC312" s="13"/>
      <c r="KKD312" s="35"/>
      <c r="KKE312" s="35"/>
      <c r="KKF312" s="15"/>
      <c r="KKH312" s="13"/>
      <c r="KKI312" s="35"/>
      <c r="KKJ312" s="35"/>
      <c r="KKK312" s="15"/>
      <c r="KKM312" s="13"/>
      <c r="KKN312" s="35"/>
      <c r="KKO312" s="35"/>
      <c r="KKP312" s="15"/>
      <c r="KKR312" s="13"/>
      <c r="KKS312" s="35"/>
      <c r="KKT312" s="35"/>
      <c r="KKU312" s="15"/>
      <c r="KKW312" s="13"/>
      <c r="KKX312" s="35"/>
      <c r="KKY312" s="35"/>
      <c r="KKZ312" s="15"/>
      <c r="KLB312" s="13"/>
      <c r="KLC312" s="35"/>
      <c r="KLD312" s="35"/>
      <c r="KLE312" s="15"/>
      <c r="KLG312" s="13"/>
      <c r="KLH312" s="35"/>
      <c r="KLI312" s="35"/>
      <c r="KLJ312" s="15"/>
      <c r="KLL312" s="13"/>
      <c r="KLM312" s="35"/>
      <c r="KLN312" s="35"/>
      <c r="KLO312" s="15"/>
      <c r="KLQ312" s="13"/>
      <c r="KLR312" s="35"/>
      <c r="KLS312" s="35"/>
      <c r="KLT312" s="15"/>
      <c r="KLV312" s="13"/>
      <c r="KLW312" s="35"/>
      <c r="KLX312" s="35"/>
      <c r="KLY312" s="15"/>
      <c r="KMA312" s="13"/>
      <c r="KMB312" s="35"/>
      <c r="KMC312" s="35"/>
      <c r="KMD312" s="15"/>
      <c r="KMF312" s="13"/>
      <c r="KMG312" s="35"/>
      <c r="KMH312" s="35"/>
      <c r="KMI312" s="15"/>
      <c r="KMK312" s="13"/>
      <c r="KML312" s="35"/>
      <c r="KMM312" s="35"/>
      <c r="KMN312" s="15"/>
      <c r="KMP312" s="13"/>
      <c r="KMQ312" s="35"/>
      <c r="KMR312" s="35"/>
      <c r="KMS312" s="15"/>
      <c r="KMU312" s="13"/>
      <c r="KMV312" s="35"/>
      <c r="KMW312" s="35"/>
      <c r="KMX312" s="15"/>
      <c r="KMZ312" s="13"/>
      <c r="KNA312" s="35"/>
      <c r="KNB312" s="35"/>
      <c r="KNC312" s="15"/>
      <c r="KNE312" s="13"/>
      <c r="KNF312" s="35"/>
      <c r="KNG312" s="35"/>
      <c r="KNH312" s="15"/>
      <c r="KNJ312" s="13"/>
      <c r="KNK312" s="35"/>
      <c r="KNL312" s="35"/>
      <c r="KNM312" s="15"/>
      <c r="KNO312" s="13"/>
      <c r="KNP312" s="35"/>
      <c r="KNQ312" s="35"/>
      <c r="KNR312" s="15"/>
      <c r="KNT312" s="13"/>
      <c r="KNU312" s="35"/>
      <c r="KNV312" s="35"/>
      <c r="KNW312" s="15"/>
      <c r="KNY312" s="13"/>
      <c r="KNZ312" s="35"/>
      <c r="KOA312" s="35"/>
      <c r="KOB312" s="15"/>
      <c r="KOD312" s="13"/>
      <c r="KOE312" s="35"/>
      <c r="KOF312" s="35"/>
      <c r="KOG312" s="15"/>
      <c r="KOI312" s="13"/>
      <c r="KOJ312" s="35"/>
      <c r="KOK312" s="35"/>
      <c r="KOL312" s="15"/>
      <c r="KON312" s="13"/>
      <c r="KOO312" s="35"/>
      <c r="KOP312" s="35"/>
      <c r="KOQ312" s="15"/>
      <c r="KOS312" s="13"/>
      <c r="KOT312" s="35"/>
      <c r="KOU312" s="35"/>
      <c r="KOV312" s="15"/>
      <c r="KOX312" s="13"/>
      <c r="KOY312" s="35"/>
      <c r="KOZ312" s="35"/>
      <c r="KPA312" s="15"/>
      <c r="KPC312" s="13"/>
      <c r="KPD312" s="35"/>
      <c r="KPE312" s="35"/>
      <c r="KPF312" s="15"/>
      <c r="KPH312" s="13"/>
      <c r="KPI312" s="35"/>
      <c r="KPJ312" s="35"/>
      <c r="KPK312" s="15"/>
      <c r="KPM312" s="13"/>
      <c r="KPN312" s="35"/>
      <c r="KPO312" s="35"/>
      <c r="KPP312" s="15"/>
      <c r="KPR312" s="13"/>
      <c r="KPS312" s="35"/>
      <c r="KPT312" s="35"/>
      <c r="KPU312" s="15"/>
      <c r="KPW312" s="13"/>
      <c r="KPX312" s="35"/>
      <c r="KPY312" s="35"/>
      <c r="KPZ312" s="15"/>
      <c r="KQB312" s="13"/>
      <c r="KQC312" s="35"/>
      <c r="KQD312" s="35"/>
      <c r="KQE312" s="15"/>
      <c r="KQG312" s="13"/>
      <c r="KQH312" s="35"/>
      <c r="KQI312" s="35"/>
      <c r="KQJ312" s="15"/>
      <c r="KQL312" s="13"/>
      <c r="KQM312" s="35"/>
      <c r="KQN312" s="35"/>
      <c r="KQO312" s="15"/>
      <c r="KQQ312" s="13"/>
      <c r="KQR312" s="35"/>
      <c r="KQS312" s="35"/>
      <c r="KQT312" s="15"/>
      <c r="KQV312" s="13"/>
      <c r="KQW312" s="35"/>
      <c r="KQX312" s="35"/>
      <c r="KQY312" s="15"/>
      <c r="KRA312" s="13"/>
      <c r="KRB312" s="35"/>
      <c r="KRC312" s="35"/>
      <c r="KRD312" s="15"/>
      <c r="KRF312" s="13"/>
      <c r="KRG312" s="35"/>
      <c r="KRH312" s="35"/>
      <c r="KRI312" s="15"/>
      <c r="KRK312" s="13"/>
      <c r="KRL312" s="35"/>
      <c r="KRM312" s="35"/>
      <c r="KRN312" s="15"/>
      <c r="KRP312" s="13"/>
      <c r="KRQ312" s="35"/>
      <c r="KRR312" s="35"/>
      <c r="KRS312" s="15"/>
      <c r="KRU312" s="13"/>
      <c r="KRV312" s="35"/>
      <c r="KRW312" s="35"/>
      <c r="KRX312" s="15"/>
      <c r="KRZ312" s="13"/>
      <c r="KSA312" s="35"/>
      <c r="KSB312" s="35"/>
      <c r="KSC312" s="15"/>
      <c r="KSE312" s="13"/>
      <c r="KSF312" s="35"/>
      <c r="KSG312" s="35"/>
      <c r="KSH312" s="15"/>
      <c r="KSJ312" s="13"/>
      <c r="KSK312" s="35"/>
      <c r="KSL312" s="35"/>
      <c r="KSM312" s="15"/>
      <c r="KSO312" s="13"/>
      <c r="KSP312" s="35"/>
      <c r="KSQ312" s="35"/>
      <c r="KSR312" s="15"/>
      <c r="KST312" s="13"/>
      <c r="KSU312" s="35"/>
      <c r="KSV312" s="35"/>
      <c r="KSW312" s="15"/>
      <c r="KSY312" s="13"/>
      <c r="KSZ312" s="35"/>
      <c r="KTA312" s="35"/>
      <c r="KTB312" s="15"/>
      <c r="KTD312" s="13"/>
      <c r="KTE312" s="35"/>
      <c r="KTF312" s="35"/>
      <c r="KTG312" s="15"/>
      <c r="KTI312" s="13"/>
      <c r="KTJ312" s="35"/>
      <c r="KTK312" s="35"/>
      <c r="KTL312" s="15"/>
      <c r="KTN312" s="13"/>
      <c r="KTO312" s="35"/>
      <c r="KTP312" s="35"/>
      <c r="KTQ312" s="15"/>
      <c r="KTS312" s="13"/>
      <c r="KTT312" s="35"/>
      <c r="KTU312" s="35"/>
      <c r="KTV312" s="15"/>
      <c r="KTX312" s="13"/>
      <c r="KTY312" s="35"/>
      <c r="KTZ312" s="35"/>
      <c r="KUA312" s="15"/>
      <c r="KUC312" s="13"/>
      <c r="KUD312" s="35"/>
      <c r="KUE312" s="35"/>
      <c r="KUF312" s="15"/>
      <c r="KUH312" s="13"/>
      <c r="KUI312" s="35"/>
      <c r="KUJ312" s="35"/>
      <c r="KUK312" s="15"/>
      <c r="KUM312" s="13"/>
      <c r="KUN312" s="35"/>
      <c r="KUO312" s="35"/>
      <c r="KUP312" s="15"/>
      <c r="KUR312" s="13"/>
      <c r="KUS312" s="35"/>
      <c r="KUT312" s="35"/>
      <c r="KUU312" s="15"/>
      <c r="KUW312" s="13"/>
      <c r="KUX312" s="35"/>
      <c r="KUY312" s="35"/>
      <c r="KUZ312" s="15"/>
      <c r="KVB312" s="13"/>
      <c r="KVC312" s="35"/>
      <c r="KVD312" s="35"/>
      <c r="KVE312" s="15"/>
      <c r="KVG312" s="13"/>
      <c r="KVH312" s="35"/>
      <c r="KVI312" s="35"/>
      <c r="KVJ312" s="15"/>
      <c r="KVL312" s="13"/>
      <c r="KVM312" s="35"/>
      <c r="KVN312" s="35"/>
      <c r="KVO312" s="15"/>
      <c r="KVQ312" s="13"/>
      <c r="KVR312" s="35"/>
      <c r="KVS312" s="35"/>
      <c r="KVT312" s="15"/>
      <c r="KVV312" s="13"/>
      <c r="KVW312" s="35"/>
      <c r="KVX312" s="35"/>
      <c r="KVY312" s="15"/>
      <c r="KWA312" s="13"/>
      <c r="KWB312" s="35"/>
      <c r="KWC312" s="35"/>
      <c r="KWD312" s="15"/>
      <c r="KWF312" s="13"/>
      <c r="KWG312" s="35"/>
      <c r="KWH312" s="35"/>
      <c r="KWI312" s="15"/>
      <c r="KWK312" s="13"/>
      <c r="KWL312" s="35"/>
      <c r="KWM312" s="35"/>
      <c r="KWN312" s="15"/>
      <c r="KWP312" s="13"/>
      <c r="KWQ312" s="35"/>
      <c r="KWR312" s="35"/>
      <c r="KWS312" s="15"/>
      <c r="KWU312" s="13"/>
      <c r="KWV312" s="35"/>
      <c r="KWW312" s="35"/>
      <c r="KWX312" s="15"/>
      <c r="KWZ312" s="13"/>
      <c r="KXA312" s="35"/>
      <c r="KXB312" s="35"/>
      <c r="KXC312" s="15"/>
      <c r="KXE312" s="13"/>
      <c r="KXF312" s="35"/>
      <c r="KXG312" s="35"/>
      <c r="KXH312" s="15"/>
      <c r="KXJ312" s="13"/>
      <c r="KXK312" s="35"/>
      <c r="KXL312" s="35"/>
      <c r="KXM312" s="15"/>
      <c r="KXO312" s="13"/>
      <c r="KXP312" s="35"/>
      <c r="KXQ312" s="35"/>
      <c r="KXR312" s="15"/>
      <c r="KXT312" s="13"/>
      <c r="KXU312" s="35"/>
      <c r="KXV312" s="35"/>
      <c r="KXW312" s="15"/>
      <c r="KXY312" s="13"/>
      <c r="KXZ312" s="35"/>
      <c r="KYA312" s="35"/>
      <c r="KYB312" s="15"/>
      <c r="KYD312" s="13"/>
      <c r="KYE312" s="35"/>
      <c r="KYF312" s="35"/>
      <c r="KYG312" s="15"/>
      <c r="KYI312" s="13"/>
      <c r="KYJ312" s="35"/>
      <c r="KYK312" s="35"/>
      <c r="KYL312" s="15"/>
      <c r="KYN312" s="13"/>
      <c r="KYO312" s="35"/>
      <c r="KYP312" s="35"/>
      <c r="KYQ312" s="15"/>
      <c r="KYS312" s="13"/>
      <c r="KYT312" s="35"/>
      <c r="KYU312" s="35"/>
      <c r="KYV312" s="15"/>
      <c r="KYX312" s="13"/>
      <c r="KYY312" s="35"/>
      <c r="KYZ312" s="35"/>
      <c r="KZA312" s="15"/>
      <c r="KZC312" s="13"/>
      <c r="KZD312" s="35"/>
      <c r="KZE312" s="35"/>
      <c r="KZF312" s="15"/>
      <c r="KZH312" s="13"/>
      <c r="KZI312" s="35"/>
      <c r="KZJ312" s="35"/>
      <c r="KZK312" s="15"/>
      <c r="KZM312" s="13"/>
      <c r="KZN312" s="35"/>
      <c r="KZO312" s="35"/>
      <c r="KZP312" s="15"/>
      <c r="KZR312" s="13"/>
      <c r="KZS312" s="35"/>
      <c r="KZT312" s="35"/>
      <c r="KZU312" s="15"/>
      <c r="KZW312" s="13"/>
      <c r="KZX312" s="35"/>
      <c r="KZY312" s="35"/>
      <c r="KZZ312" s="15"/>
      <c r="LAB312" s="13"/>
      <c r="LAC312" s="35"/>
      <c r="LAD312" s="35"/>
      <c r="LAE312" s="15"/>
      <c r="LAG312" s="13"/>
      <c r="LAH312" s="35"/>
      <c r="LAI312" s="35"/>
      <c r="LAJ312" s="15"/>
      <c r="LAL312" s="13"/>
      <c r="LAM312" s="35"/>
      <c r="LAN312" s="35"/>
      <c r="LAO312" s="15"/>
      <c r="LAQ312" s="13"/>
      <c r="LAR312" s="35"/>
      <c r="LAS312" s="35"/>
      <c r="LAT312" s="15"/>
      <c r="LAV312" s="13"/>
      <c r="LAW312" s="35"/>
      <c r="LAX312" s="35"/>
      <c r="LAY312" s="15"/>
      <c r="LBA312" s="13"/>
      <c r="LBB312" s="35"/>
      <c r="LBC312" s="35"/>
      <c r="LBD312" s="15"/>
      <c r="LBF312" s="13"/>
      <c r="LBG312" s="35"/>
      <c r="LBH312" s="35"/>
      <c r="LBI312" s="15"/>
      <c r="LBK312" s="13"/>
      <c r="LBL312" s="35"/>
      <c r="LBM312" s="35"/>
      <c r="LBN312" s="15"/>
      <c r="LBP312" s="13"/>
      <c r="LBQ312" s="35"/>
      <c r="LBR312" s="35"/>
      <c r="LBS312" s="15"/>
      <c r="LBU312" s="13"/>
      <c r="LBV312" s="35"/>
      <c r="LBW312" s="35"/>
      <c r="LBX312" s="15"/>
      <c r="LBZ312" s="13"/>
      <c r="LCA312" s="35"/>
      <c r="LCB312" s="35"/>
      <c r="LCC312" s="15"/>
      <c r="LCE312" s="13"/>
      <c r="LCF312" s="35"/>
      <c r="LCG312" s="35"/>
      <c r="LCH312" s="15"/>
      <c r="LCJ312" s="13"/>
      <c r="LCK312" s="35"/>
      <c r="LCL312" s="35"/>
      <c r="LCM312" s="15"/>
      <c r="LCO312" s="13"/>
      <c r="LCP312" s="35"/>
      <c r="LCQ312" s="35"/>
      <c r="LCR312" s="15"/>
      <c r="LCT312" s="13"/>
      <c r="LCU312" s="35"/>
      <c r="LCV312" s="35"/>
      <c r="LCW312" s="15"/>
      <c r="LCY312" s="13"/>
      <c r="LCZ312" s="35"/>
      <c r="LDA312" s="35"/>
      <c r="LDB312" s="15"/>
      <c r="LDD312" s="13"/>
      <c r="LDE312" s="35"/>
      <c r="LDF312" s="35"/>
      <c r="LDG312" s="15"/>
      <c r="LDI312" s="13"/>
      <c r="LDJ312" s="35"/>
      <c r="LDK312" s="35"/>
      <c r="LDL312" s="15"/>
      <c r="LDN312" s="13"/>
      <c r="LDO312" s="35"/>
      <c r="LDP312" s="35"/>
      <c r="LDQ312" s="15"/>
      <c r="LDS312" s="13"/>
      <c r="LDT312" s="35"/>
      <c r="LDU312" s="35"/>
      <c r="LDV312" s="15"/>
      <c r="LDX312" s="13"/>
      <c r="LDY312" s="35"/>
      <c r="LDZ312" s="35"/>
      <c r="LEA312" s="15"/>
      <c r="LEC312" s="13"/>
      <c r="LED312" s="35"/>
      <c r="LEE312" s="35"/>
      <c r="LEF312" s="15"/>
      <c r="LEH312" s="13"/>
      <c r="LEI312" s="35"/>
      <c r="LEJ312" s="35"/>
      <c r="LEK312" s="15"/>
      <c r="LEM312" s="13"/>
      <c r="LEN312" s="35"/>
      <c r="LEO312" s="35"/>
      <c r="LEP312" s="15"/>
      <c r="LER312" s="13"/>
      <c r="LES312" s="35"/>
      <c r="LET312" s="35"/>
      <c r="LEU312" s="15"/>
      <c r="LEW312" s="13"/>
      <c r="LEX312" s="35"/>
      <c r="LEY312" s="35"/>
      <c r="LEZ312" s="15"/>
      <c r="LFB312" s="13"/>
      <c r="LFC312" s="35"/>
      <c r="LFD312" s="35"/>
      <c r="LFE312" s="15"/>
      <c r="LFG312" s="13"/>
      <c r="LFH312" s="35"/>
      <c r="LFI312" s="35"/>
      <c r="LFJ312" s="15"/>
      <c r="LFL312" s="13"/>
      <c r="LFM312" s="35"/>
      <c r="LFN312" s="35"/>
      <c r="LFO312" s="15"/>
      <c r="LFQ312" s="13"/>
      <c r="LFR312" s="35"/>
      <c r="LFS312" s="35"/>
      <c r="LFT312" s="15"/>
      <c r="LFV312" s="13"/>
      <c r="LFW312" s="35"/>
      <c r="LFX312" s="35"/>
      <c r="LFY312" s="15"/>
      <c r="LGA312" s="13"/>
      <c r="LGB312" s="35"/>
      <c r="LGC312" s="35"/>
      <c r="LGD312" s="15"/>
      <c r="LGF312" s="13"/>
      <c r="LGG312" s="35"/>
      <c r="LGH312" s="35"/>
      <c r="LGI312" s="15"/>
      <c r="LGK312" s="13"/>
      <c r="LGL312" s="35"/>
      <c r="LGM312" s="35"/>
      <c r="LGN312" s="15"/>
      <c r="LGP312" s="13"/>
      <c r="LGQ312" s="35"/>
      <c r="LGR312" s="35"/>
      <c r="LGS312" s="15"/>
      <c r="LGU312" s="13"/>
      <c r="LGV312" s="35"/>
      <c r="LGW312" s="35"/>
      <c r="LGX312" s="15"/>
      <c r="LGZ312" s="13"/>
      <c r="LHA312" s="35"/>
      <c r="LHB312" s="35"/>
      <c r="LHC312" s="15"/>
      <c r="LHE312" s="13"/>
      <c r="LHF312" s="35"/>
      <c r="LHG312" s="35"/>
      <c r="LHH312" s="15"/>
      <c r="LHJ312" s="13"/>
      <c r="LHK312" s="35"/>
      <c r="LHL312" s="35"/>
      <c r="LHM312" s="15"/>
      <c r="LHO312" s="13"/>
      <c r="LHP312" s="35"/>
      <c r="LHQ312" s="35"/>
      <c r="LHR312" s="15"/>
      <c r="LHT312" s="13"/>
      <c r="LHU312" s="35"/>
      <c r="LHV312" s="35"/>
      <c r="LHW312" s="15"/>
      <c r="LHY312" s="13"/>
      <c r="LHZ312" s="35"/>
      <c r="LIA312" s="35"/>
      <c r="LIB312" s="15"/>
      <c r="LID312" s="13"/>
      <c r="LIE312" s="35"/>
      <c r="LIF312" s="35"/>
      <c r="LIG312" s="15"/>
      <c r="LII312" s="13"/>
      <c r="LIJ312" s="35"/>
      <c r="LIK312" s="35"/>
      <c r="LIL312" s="15"/>
      <c r="LIN312" s="13"/>
      <c r="LIO312" s="35"/>
      <c r="LIP312" s="35"/>
      <c r="LIQ312" s="15"/>
      <c r="LIS312" s="13"/>
      <c r="LIT312" s="35"/>
      <c r="LIU312" s="35"/>
      <c r="LIV312" s="15"/>
      <c r="LIX312" s="13"/>
      <c r="LIY312" s="35"/>
      <c r="LIZ312" s="35"/>
      <c r="LJA312" s="15"/>
      <c r="LJC312" s="13"/>
      <c r="LJD312" s="35"/>
      <c r="LJE312" s="35"/>
      <c r="LJF312" s="15"/>
      <c r="LJH312" s="13"/>
      <c r="LJI312" s="35"/>
      <c r="LJJ312" s="35"/>
      <c r="LJK312" s="15"/>
      <c r="LJM312" s="13"/>
      <c r="LJN312" s="35"/>
      <c r="LJO312" s="35"/>
      <c r="LJP312" s="15"/>
      <c r="LJR312" s="13"/>
      <c r="LJS312" s="35"/>
      <c r="LJT312" s="35"/>
      <c r="LJU312" s="15"/>
      <c r="LJW312" s="13"/>
      <c r="LJX312" s="35"/>
      <c r="LJY312" s="35"/>
      <c r="LJZ312" s="15"/>
      <c r="LKB312" s="13"/>
      <c r="LKC312" s="35"/>
      <c r="LKD312" s="35"/>
      <c r="LKE312" s="15"/>
      <c r="LKG312" s="13"/>
      <c r="LKH312" s="35"/>
      <c r="LKI312" s="35"/>
      <c r="LKJ312" s="15"/>
      <c r="LKL312" s="13"/>
      <c r="LKM312" s="35"/>
      <c r="LKN312" s="35"/>
      <c r="LKO312" s="15"/>
      <c r="LKQ312" s="13"/>
      <c r="LKR312" s="35"/>
      <c r="LKS312" s="35"/>
      <c r="LKT312" s="15"/>
      <c r="LKV312" s="13"/>
      <c r="LKW312" s="35"/>
      <c r="LKX312" s="35"/>
      <c r="LKY312" s="15"/>
      <c r="LLA312" s="13"/>
      <c r="LLB312" s="35"/>
      <c r="LLC312" s="35"/>
      <c r="LLD312" s="15"/>
      <c r="LLF312" s="13"/>
      <c r="LLG312" s="35"/>
      <c r="LLH312" s="35"/>
      <c r="LLI312" s="15"/>
      <c r="LLK312" s="13"/>
      <c r="LLL312" s="35"/>
      <c r="LLM312" s="35"/>
      <c r="LLN312" s="15"/>
      <c r="LLP312" s="13"/>
      <c r="LLQ312" s="35"/>
      <c r="LLR312" s="35"/>
      <c r="LLS312" s="15"/>
      <c r="LLU312" s="13"/>
      <c r="LLV312" s="35"/>
      <c r="LLW312" s="35"/>
      <c r="LLX312" s="15"/>
      <c r="LLZ312" s="13"/>
      <c r="LMA312" s="35"/>
      <c r="LMB312" s="35"/>
      <c r="LMC312" s="15"/>
      <c r="LME312" s="13"/>
      <c r="LMF312" s="35"/>
      <c r="LMG312" s="35"/>
      <c r="LMH312" s="15"/>
      <c r="LMJ312" s="13"/>
      <c r="LMK312" s="35"/>
      <c r="LML312" s="35"/>
      <c r="LMM312" s="15"/>
      <c r="LMO312" s="13"/>
      <c r="LMP312" s="35"/>
      <c r="LMQ312" s="35"/>
      <c r="LMR312" s="15"/>
      <c r="LMT312" s="13"/>
      <c r="LMU312" s="35"/>
      <c r="LMV312" s="35"/>
      <c r="LMW312" s="15"/>
      <c r="LMY312" s="13"/>
      <c r="LMZ312" s="35"/>
      <c r="LNA312" s="35"/>
      <c r="LNB312" s="15"/>
      <c r="LND312" s="13"/>
      <c r="LNE312" s="35"/>
      <c r="LNF312" s="35"/>
      <c r="LNG312" s="15"/>
      <c r="LNI312" s="13"/>
      <c r="LNJ312" s="35"/>
      <c r="LNK312" s="35"/>
      <c r="LNL312" s="15"/>
      <c r="LNN312" s="13"/>
      <c r="LNO312" s="35"/>
      <c r="LNP312" s="35"/>
      <c r="LNQ312" s="15"/>
      <c r="LNS312" s="13"/>
      <c r="LNT312" s="35"/>
      <c r="LNU312" s="35"/>
      <c r="LNV312" s="15"/>
      <c r="LNX312" s="13"/>
      <c r="LNY312" s="35"/>
      <c r="LNZ312" s="35"/>
      <c r="LOA312" s="15"/>
      <c r="LOC312" s="13"/>
      <c r="LOD312" s="35"/>
      <c r="LOE312" s="35"/>
      <c r="LOF312" s="15"/>
      <c r="LOH312" s="13"/>
      <c r="LOI312" s="35"/>
      <c r="LOJ312" s="35"/>
      <c r="LOK312" s="15"/>
      <c r="LOM312" s="13"/>
      <c r="LON312" s="35"/>
      <c r="LOO312" s="35"/>
      <c r="LOP312" s="15"/>
      <c r="LOR312" s="13"/>
      <c r="LOS312" s="35"/>
      <c r="LOT312" s="35"/>
      <c r="LOU312" s="15"/>
      <c r="LOW312" s="13"/>
      <c r="LOX312" s="35"/>
      <c r="LOY312" s="35"/>
      <c r="LOZ312" s="15"/>
      <c r="LPB312" s="13"/>
      <c r="LPC312" s="35"/>
      <c r="LPD312" s="35"/>
      <c r="LPE312" s="15"/>
      <c r="LPG312" s="13"/>
      <c r="LPH312" s="35"/>
      <c r="LPI312" s="35"/>
      <c r="LPJ312" s="15"/>
      <c r="LPL312" s="13"/>
      <c r="LPM312" s="35"/>
      <c r="LPN312" s="35"/>
      <c r="LPO312" s="15"/>
      <c r="LPQ312" s="13"/>
      <c r="LPR312" s="35"/>
      <c r="LPS312" s="35"/>
      <c r="LPT312" s="15"/>
      <c r="LPV312" s="13"/>
      <c r="LPW312" s="35"/>
      <c r="LPX312" s="35"/>
      <c r="LPY312" s="15"/>
      <c r="LQA312" s="13"/>
      <c r="LQB312" s="35"/>
      <c r="LQC312" s="35"/>
      <c r="LQD312" s="15"/>
      <c r="LQF312" s="13"/>
      <c r="LQG312" s="35"/>
      <c r="LQH312" s="35"/>
      <c r="LQI312" s="15"/>
      <c r="LQK312" s="13"/>
      <c r="LQL312" s="35"/>
      <c r="LQM312" s="35"/>
      <c r="LQN312" s="15"/>
      <c r="LQP312" s="13"/>
      <c r="LQQ312" s="35"/>
      <c r="LQR312" s="35"/>
      <c r="LQS312" s="15"/>
      <c r="LQU312" s="13"/>
      <c r="LQV312" s="35"/>
      <c r="LQW312" s="35"/>
      <c r="LQX312" s="15"/>
      <c r="LQZ312" s="13"/>
      <c r="LRA312" s="35"/>
      <c r="LRB312" s="35"/>
      <c r="LRC312" s="15"/>
      <c r="LRE312" s="13"/>
      <c r="LRF312" s="35"/>
      <c r="LRG312" s="35"/>
      <c r="LRH312" s="15"/>
      <c r="LRJ312" s="13"/>
      <c r="LRK312" s="35"/>
      <c r="LRL312" s="35"/>
      <c r="LRM312" s="15"/>
      <c r="LRO312" s="13"/>
      <c r="LRP312" s="35"/>
      <c r="LRQ312" s="35"/>
      <c r="LRR312" s="15"/>
      <c r="LRT312" s="13"/>
      <c r="LRU312" s="35"/>
      <c r="LRV312" s="35"/>
      <c r="LRW312" s="15"/>
      <c r="LRY312" s="13"/>
      <c r="LRZ312" s="35"/>
      <c r="LSA312" s="35"/>
      <c r="LSB312" s="15"/>
      <c r="LSD312" s="13"/>
      <c r="LSE312" s="35"/>
      <c r="LSF312" s="35"/>
      <c r="LSG312" s="15"/>
      <c r="LSI312" s="13"/>
      <c r="LSJ312" s="35"/>
      <c r="LSK312" s="35"/>
      <c r="LSL312" s="15"/>
      <c r="LSN312" s="13"/>
      <c r="LSO312" s="35"/>
      <c r="LSP312" s="35"/>
      <c r="LSQ312" s="15"/>
      <c r="LSS312" s="13"/>
      <c r="LST312" s="35"/>
      <c r="LSU312" s="35"/>
      <c r="LSV312" s="15"/>
      <c r="LSX312" s="13"/>
      <c r="LSY312" s="35"/>
      <c r="LSZ312" s="35"/>
      <c r="LTA312" s="15"/>
      <c r="LTC312" s="13"/>
      <c r="LTD312" s="35"/>
      <c r="LTE312" s="35"/>
      <c r="LTF312" s="15"/>
      <c r="LTH312" s="13"/>
      <c r="LTI312" s="35"/>
      <c r="LTJ312" s="35"/>
      <c r="LTK312" s="15"/>
      <c r="LTM312" s="13"/>
      <c r="LTN312" s="35"/>
      <c r="LTO312" s="35"/>
      <c r="LTP312" s="15"/>
      <c r="LTR312" s="13"/>
      <c r="LTS312" s="35"/>
      <c r="LTT312" s="35"/>
      <c r="LTU312" s="15"/>
      <c r="LTW312" s="13"/>
      <c r="LTX312" s="35"/>
      <c r="LTY312" s="35"/>
      <c r="LTZ312" s="15"/>
      <c r="LUB312" s="13"/>
      <c r="LUC312" s="35"/>
      <c r="LUD312" s="35"/>
      <c r="LUE312" s="15"/>
      <c r="LUG312" s="13"/>
      <c r="LUH312" s="35"/>
      <c r="LUI312" s="35"/>
      <c r="LUJ312" s="15"/>
      <c r="LUL312" s="13"/>
      <c r="LUM312" s="35"/>
      <c r="LUN312" s="35"/>
      <c r="LUO312" s="15"/>
      <c r="LUQ312" s="13"/>
      <c r="LUR312" s="35"/>
      <c r="LUS312" s="35"/>
      <c r="LUT312" s="15"/>
      <c r="LUV312" s="13"/>
      <c r="LUW312" s="35"/>
      <c r="LUX312" s="35"/>
      <c r="LUY312" s="15"/>
      <c r="LVA312" s="13"/>
      <c r="LVB312" s="35"/>
      <c r="LVC312" s="35"/>
      <c r="LVD312" s="15"/>
      <c r="LVF312" s="13"/>
      <c r="LVG312" s="35"/>
      <c r="LVH312" s="35"/>
      <c r="LVI312" s="15"/>
      <c r="LVK312" s="13"/>
      <c r="LVL312" s="35"/>
      <c r="LVM312" s="35"/>
      <c r="LVN312" s="15"/>
      <c r="LVP312" s="13"/>
      <c r="LVQ312" s="35"/>
      <c r="LVR312" s="35"/>
      <c r="LVS312" s="15"/>
      <c r="LVU312" s="13"/>
      <c r="LVV312" s="35"/>
      <c r="LVW312" s="35"/>
      <c r="LVX312" s="15"/>
      <c r="LVZ312" s="13"/>
      <c r="LWA312" s="35"/>
      <c r="LWB312" s="35"/>
      <c r="LWC312" s="15"/>
      <c r="LWE312" s="13"/>
      <c r="LWF312" s="35"/>
      <c r="LWG312" s="35"/>
      <c r="LWH312" s="15"/>
      <c r="LWJ312" s="13"/>
      <c r="LWK312" s="35"/>
      <c r="LWL312" s="35"/>
      <c r="LWM312" s="15"/>
      <c r="LWO312" s="13"/>
      <c r="LWP312" s="35"/>
      <c r="LWQ312" s="35"/>
      <c r="LWR312" s="15"/>
      <c r="LWT312" s="13"/>
      <c r="LWU312" s="35"/>
      <c r="LWV312" s="35"/>
      <c r="LWW312" s="15"/>
      <c r="LWY312" s="13"/>
      <c r="LWZ312" s="35"/>
      <c r="LXA312" s="35"/>
      <c r="LXB312" s="15"/>
      <c r="LXD312" s="13"/>
      <c r="LXE312" s="35"/>
      <c r="LXF312" s="35"/>
      <c r="LXG312" s="15"/>
      <c r="LXI312" s="13"/>
      <c r="LXJ312" s="35"/>
      <c r="LXK312" s="35"/>
      <c r="LXL312" s="15"/>
      <c r="LXN312" s="13"/>
      <c r="LXO312" s="35"/>
      <c r="LXP312" s="35"/>
      <c r="LXQ312" s="15"/>
      <c r="LXS312" s="13"/>
      <c r="LXT312" s="35"/>
      <c r="LXU312" s="35"/>
      <c r="LXV312" s="15"/>
      <c r="LXX312" s="13"/>
      <c r="LXY312" s="35"/>
      <c r="LXZ312" s="35"/>
      <c r="LYA312" s="15"/>
      <c r="LYC312" s="13"/>
      <c r="LYD312" s="35"/>
      <c r="LYE312" s="35"/>
      <c r="LYF312" s="15"/>
      <c r="LYH312" s="13"/>
      <c r="LYI312" s="35"/>
      <c r="LYJ312" s="35"/>
      <c r="LYK312" s="15"/>
      <c r="LYM312" s="13"/>
      <c r="LYN312" s="35"/>
      <c r="LYO312" s="35"/>
      <c r="LYP312" s="15"/>
      <c r="LYR312" s="13"/>
      <c r="LYS312" s="35"/>
      <c r="LYT312" s="35"/>
      <c r="LYU312" s="15"/>
      <c r="LYW312" s="13"/>
      <c r="LYX312" s="35"/>
      <c r="LYY312" s="35"/>
      <c r="LYZ312" s="15"/>
      <c r="LZB312" s="13"/>
      <c r="LZC312" s="35"/>
      <c r="LZD312" s="35"/>
      <c r="LZE312" s="15"/>
      <c r="LZG312" s="13"/>
      <c r="LZH312" s="35"/>
      <c r="LZI312" s="35"/>
      <c r="LZJ312" s="15"/>
      <c r="LZL312" s="13"/>
      <c r="LZM312" s="35"/>
      <c r="LZN312" s="35"/>
      <c r="LZO312" s="15"/>
      <c r="LZQ312" s="13"/>
      <c r="LZR312" s="35"/>
      <c r="LZS312" s="35"/>
      <c r="LZT312" s="15"/>
      <c r="LZV312" s="13"/>
      <c r="LZW312" s="35"/>
      <c r="LZX312" s="35"/>
      <c r="LZY312" s="15"/>
      <c r="MAA312" s="13"/>
      <c r="MAB312" s="35"/>
      <c r="MAC312" s="35"/>
      <c r="MAD312" s="15"/>
      <c r="MAF312" s="13"/>
      <c r="MAG312" s="35"/>
      <c r="MAH312" s="35"/>
      <c r="MAI312" s="15"/>
      <c r="MAK312" s="13"/>
      <c r="MAL312" s="35"/>
      <c r="MAM312" s="35"/>
      <c r="MAN312" s="15"/>
      <c r="MAP312" s="13"/>
      <c r="MAQ312" s="35"/>
      <c r="MAR312" s="35"/>
      <c r="MAS312" s="15"/>
      <c r="MAU312" s="13"/>
      <c r="MAV312" s="35"/>
      <c r="MAW312" s="35"/>
      <c r="MAX312" s="15"/>
      <c r="MAZ312" s="13"/>
      <c r="MBA312" s="35"/>
      <c r="MBB312" s="35"/>
      <c r="MBC312" s="15"/>
      <c r="MBE312" s="13"/>
      <c r="MBF312" s="35"/>
      <c r="MBG312" s="35"/>
      <c r="MBH312" s="15"/>
      <c r="MBJ312" s="13"/>
      <c r="MBK312" s="35"/>
      <c r="MBL312" s="35"/>
      <c r="MBM312" s="15"/>
      <c r="MBO312" s="13"/>
      <c r="MBP312" s="35"/>
      <c r="MBQ312" s="35"/>
      <c r="MBR312" s="15"/>
      <c r="MBT312" s="13"/>
      <c r="MBU312" s="35"/>
      <c r="MBV312" s="35"/>
      <c r="MBW312" s="15"/>
      <c r="MBY312" s="13"/>
      <c r="MBZ312" s="35"/>
      <c r="MCA312" s="35"/>
      <c r="MCB312" s="15"/>
      <c r="MCD312" s="13"/>
      <c r="MCE312" s="35"/>
      <c r="MCF312" s="35"/>
      <c r="MCG312" s="15"/>
      <c r="MCI312" s="13"/>
      <c r="MCJ312" s="35"/>
      <c r="MCK312" s="35"/>
      <c r="MCL312" s="15"/>
      <c r="MCN312" s="13"/>
      <c r="MCO312" s="35"/>
      <c r="MCP312" s="35"/>
      <c r="MCQ312" s="15"/>
      <c r="MCS312" s="13"/>
      <c r="MCT312" s="35"/>
      <c r="MCU312" s="35"/>
      <c r="MCV312" s="15"/>
      <c r="MCX312" s="13"/>
      <c r="MCY312" s="35"/>
      <c r="MCZ312" s="35"/>
      <c r="MDA312" s="15"/>
      <c r="MDC312" s="13"/>
      <c r="MDD312" s="35"/>
      <c r="MDE312" s="35"/>
      <c r="MDF312" s="15"/>
      <c r="MDH312" s="13"/>
      <c r="MDI312" s="35"/>
      <c r="MDJ312" s="35"/>
      <c r="MDK312" s="15"/>
      <c r="MDM312" s="13"/>
      <c r="MDN312" s="35"/>
      <c r="MDO312" s="35"/>
      <c r="MDP312" s="15"/>
      <c r="MDR312" s="13"/>
      <c r="MDS312" s="35"/>
      <c r="MDT312" s="35"/>
      <c r="MDU312" s="15"/>
      <c r="MDW312" s="13"/>
      <c r="MDX312" s="35"/>
      <c r="MDY312" s="35"/>
      <c r="MDZ312" s="15"/>
      <c r="MEB312" s="13"/>
      <c r="MEC312" s="35"/>
      <c r="MED312" s="35"/>
      <c r="MEE312" s="15"/>
      <c r="MEG312" s="13"/>
      <c r="MEH312" s="35"/>
      <c r="MEI312" s="35"/>
      <c r="MEJ312" s="15"/>
      <c r="MEL312" s="13"/>
      <c r="MEM312" s="35"/>
      <c r="MEN312" s="35"/>
      <c r="MEO312" s="15"/>
      <c r="MEQ312" s="13"/>
      <c r="MER312" s="35"/>
      <c r="MES312" s="35"/>
      <c r="MET312" s="15"/>
      <c r="MEV312" s="13"/>
      <c r="MEW312" s="35"/>
      <c r="MEX312" s="35"/>
      <c r="MEY312" s="15"/>
      <c r="MFA312" s="13"/>
      <c r="MFB312" s="35"/>
      <c r="MFC312" s="35"/>
      <c r="MFD312" s="15"/>
      <c r="MFF312" s="13"/>
      <c r="MFG312" s="35"/>
      <c r="MFH312" s="35"/>
      <c r="MFI312" s="15"/>
      <c r="MFK312" s="13"/>
      <c r="MFL312" s="35"/>
      <c r="MFM312" s="35"/>
      <c r="MFN312" s="15"/>
      <c r="MFP312" s="13"/>
      <c r="MFQ312" s="35"/>
      <c r="MFR312" s="35"/>
      <c r="MFS312" s="15"/>
      <c r="MFU312" s="13"/>
      <c r="MFV312" s="35"/>
      <c r="MFW312" s="35"/>
      <c r="MFX312" s="15"/>
      <c r="MFZ312" s="13"/>
      <c r="MGA312" s="35"/>
      <c r="MGB312" s="35"/>
      <c r="MGC312" s="15"/>
      <c r="MGE312" s="13"/>
      <c r="MGF312" s="35"/>
      <c r="MGG312" s="35"/>
      <c r="MGH312" s="15"/>
      <c r="MGJ312" s="13"/>
      <c r="MGK312" s="35"/>
      <c r="MGL312" s="35"/>
      <c r="MGM312" s="15"/>
      <c r="MGO312" s="13"/>
      <c r="MGP312" s="35"/>
      <c r="MGQ312" s="35"/>
      <c r="MGR312" s="15"/>
      <c r="MGT312" s="13"/>
      <c r="MGU312" s="35"/>
      <c r="MGV312" s="35"/>
      <c r="MGW312" s="15"/>
      <c r="MGY312" s="13"/>
      <c r="MGZ312" s="35"/>
      <c r="MHA312" s="35"/>
      <c r="MHB312" s="15"/>
      <c r="MHD312" s="13"/>
      <c r="MHE312" s="35"/>
      <c r="MHF312" s="35"/>
      <c r="MHG312" s="15"/>
      <c r="MHI312" s="13"/>
      <c r="MHJ312" s="35"/>
      <c r="MHK312" s="35"/>
      <c r="MHL312" s="15"/>
      <c r="MHN312" s="13"/>
      <c r="MHO312" s="35"/>
      <c r="MHP312" s="35"/>
      <c r="MHQ312" s="15"/>
      <c r="MHS312" s="13"/>
      <c r="MHT312" s="35"/>
      <c r="MHU312" s="35"/>
      <c r="MHV312" s="15"/>
      <c r="MHX312" s="13"/>
      <c r="MHY312" s="35"/>
      <c r="MHZ312" s="35"/>
      <c r="MIA312" s="15"/>
      <c r="MIC312" s="13"/>
      <c r="MID312" s="35"/>
      <c r="MIE312" s="35"/>
      <c r="MIF312" s="15"/>
      <c r="MIH312" s="13"/>
      <c r="MII312" s="35"/>
      <c r="MIJ312" s="35"/>
      <c r="MIK312" s="15"/>
      <c r="MIM312" s="13"/>
      <c r="MIN312" s="35"/>
      <c r="MIO312" s="35"/>
      <c r="MIP312" s="15"/>
      <c r="MIR312" s="13"/>
      <c r="MIS312" s="35"/>
      <c r="MIT312" s="35"/>
      <c r="MIU312" s="15"/>
      <c r="MIW312" s="13"/>
      <c r="MIX312" s="35"/>
      <c r="MIY312" s="35"/>
      <c r="MIZ312" s="15"/>
      <c r="MJB312" s="13"/>
      <c r="MJC312" s="35"/>
      <c r="MJD312" s="35"/>
      <c r="MJE312" s="15"/>
      <c r="MJG312" s="13"/>
      <c r="MJH312" s="35"/>
      <c r="MJI312" s="35"/>
      <c r="MJJ312" s="15"/>
      <c r="MJL312" s="13"/>
      <c r="MJM312" s="35"/>
      <c r="MJN312" s="35"/>
      <c r="MJO312" s="15"/>
      <c r="MJQ312" s="13"/>
      <c r="MJR312" s="35"/>
      <c r="MJS312" s="35"/>
      <c r="MJT312" s="15"/>
      <c r="MJV312" s="13"/>
      <c r="MJW312" s="35"/>
      <c r="MJX312" s="35"/>
      <c r="MJY312" s="15"/>
      <c r="MKA312" s="13"/>
      <c r="MKB312" s="35"/>
      <c r="MKC312" s="35"/>
      <c r="MKD312" s="15"/>
      <c r="MKF312" s="13"/>
      <c r="MKG312" s="35"/>
      <c r="MKH312" s="35"/>
      <c r="MKI312" s="15"/>
      <c r="MKK312" s="13"/>
      <c r="MKL312" s="35"/>
      <c r="MKM312" s="35"/>
      <c r="MKN312" s="15"/>
      <c r="MKP312" s="13"/>
      <c r="MKQ312" s="35"/>
      <c r="MKR312" s="35"/>
      <c r="MKS312" s="15"/>
      <c r="MKU312" s="13"/>
      <c r="MKV312" s="35"/>
      <c r="MKW312" s="35"/>
      <c r="MKX312" s="15"/>
      <c r="MKZ312" s="13"/>
      <c r="MLA312" s="35"/>
      <c r="MLB312" s="35"/>
      <c r="MLC312" s="15"/>
      <c r="MLE312" s="13"/>
      <c r="MLF312" s="35"/>
      <c r="MLG312" s="35"/>
      <c r="MLH312" s="15"/>
      <c r="MLJ312" s="13"/>
      <c r="MLK312" s="35"/>
      <c r="MLL312" s="35"/>
      <c r="MLM312" s="15"/>
      <c r="MLO312" s="13"/>
      <c r="MLP312" s="35"/>
      <c r="MLQ312" s="35"/>
      <c r="MLR312" s="15"/>
      <c r="MLT312" s="13"/>
      <c r="MLU312" s="35"/>
      <c r="MLV312" s="35"/>
      <c r="MLW312" s="15"/>
      <c r="MLY312" s="13"/>
      <c r="MLZ312" s="35"/>
      <c r="MMA312" s="35"/>
      <c r="MMB312" s="15"/>
      <c r="MMD312" s="13"/>
      <c r="MME312" s="35"/>
      <c r="MMF312" s="35"/>
      <c r="MMG312" s="15"/>
      <c r="MMI312" s="13"/>
      <c r="MMJ312" s="35"/>
      <c r="MMK312" s="35"/>
      <c r="MML312" s="15"/>
      <c r="MMN312" s="13"/>
      <c r="MMO312" s="35"/>
      <c r="MMP312" s="35"/>
      <c r="MMQ312" s="15"/>
      <c r="MMS312" s="13"/>
      <c r="MMT312" s="35"/>
      <c r="MMU312" s="35"/>
      <c r="MMV312" s="15"/>
      <c r="MMX312" s="13"/>
      <c r="MMY312" s="35"/>
      <c r="MMZ312" s="35"/>
      <c r="MNA312" s="15"/>
      <c r="MNC312" s="13"/>
      <c r="MND312" s="35"/>
      <c r="MNE312" s="35"/>
      <c r="MNF312" s="15"/>
      <c r="MNH312" s="13"/>
      <c r="MNI312" s="35"/>
      <c r="MNJ312" s="35"/>
      <c r="MNK312" s="15"/>
      <c r="MNM312" s="13"/>
      <c r="MNN312" s="35"/>
      <c r="MNO312" s="35"/>
      <c r="MNP312" s="15"/>
      <c r="MNR312" s="13"/>
      <c r="MNS312" s="35"/>
      <c r="MNT312" s="35"/>
      <c r="MNU312" s="15"/>
      <c r="MNW312" s="13"/>
      <c r="MNX312" s="35"/>
      <c r="MNY312" s="35"/>
      <c r="MNZ312" s="15"/>
      <c r="MOB312" s="13"/>
      <c r="MOC312" s="35"/>
      <c r="MOD312" s="35"/>
      <c r="MOE312" s="15"/>
      <c r="MOG312" s="13"/>
      <c r="MOH312" s="35"/>
      <c r="MOI312" s="35"/>
      <c r="MOJ312" s="15"/>
      <c r="MOL312" s="13"/>
      <c r="MOM312" s="35"/>
      <c r="MON312" s="35"/>
      <c r="MOO312" s="15"/>
      <c r="MOQ312" s="13"/>
      <c r="MOR312" s="35"/>
      <c r="MOS312" s="35"/>
      <c r="MOT312" s="15"/>
      <c r="MOV312" s="13"/>
      <c r="MOW312" s="35"/>
      <c r="MOX312" s="35"/>
      <c r="MOY312" s="15"/>
      <c r="MPA312" s="13"/>
      <c r="MPB312" s="35"/>
      <c r="MPC312" s="35"/>
      <c r="MPD312" s="15"/>
      <c r="MPF312" s="13"/>
      <c r="MPG312" s="35"/>
      <c r="MPH312" s="35"/>
      <c r="MPI312" s="15"/>
      <c r="MPK312" s="13"/>
      <c r="MPL312" s="35"/>
      <c r="MPM312" s="35"/>
      <c r="MPN312" s="15"/>
      <c r="MPP312" s="13"/>
      <c r="MPQ312" s="35"/>
      <c r="MPR312" s="35"/>
      <c r="MPS312" s="15"/>
      <c r="MPU312" s="13"/>
      <c r="MPV312" s="35"/>
      <c r="MPW312" s="35"/>
      <c r="MPX312" s="15"/>
      <c r="MPZ312" s="13"/>
      <c r="MQA312" s="35"/>
      <c r="MQB312" s="35"/>
      <c r="MQC312" s="15"/>
      <c r="MQE312" s="13"/>
      <c r="MQF312" s="35"/>
      <c r="MQG312" s="35"/>
      <c r="MQH312" s="15"/>
      <c r="MQJ312" s="13"/>
      <c r="MQK312" s="35"/>
      <c r="MQL312" s="35"/>
      <c r="MQM312" s="15"/>
      <c r="MQO312" s="13"/>
      <c r="MQP312" s="35"/>
      <c r="MQQ312" s="35"/>
      <c r="MQR312" s="15"/>
      <c r="MQT312" s="13"/>
      <c r="MQU312" s="35"/>
      <c r="MQV312" s="35"/>
      <c r="MQW312" s="15"/>
      <c r="MQY312" s="13"/>
      <c r="MQZ312" s="35"/>
      <c r="MRA312" s="35"/>
      <c r="MRB312" s="15"/>
      <c r="MRD312" s="13"/>
      <c r="MRE312" s="35"/>
      <c r="MRF312" s="35"/>
      <c r="MRG312" s="15"/>
      <c r="MRI312" s="13"/>
      <c r="MRJ312" s="35"/>
      <c r="MRK312" s="35"/>
      <c r="MRL312" s="15"/>
      <c r="MRN312" s="13"/>
      <c r="MRO312" s="35"/>
      <c r="MRP312" s="35"/>
      <c r="MRQ312" s="15"/>
      <c r="MRS312" s="13"/>
      <c r="MRT312" s="35"/>
      <c r="MRU312" s="35"/>
      <c r="MRV312" s="15"/>
      <c r="MRX312" s="13"/>
      <c r="MRY312" s="35"/>
      <c r="MRZ312" s="35"/>
      <c r="MSA312" s="15"/>
      <c r="MSC312" s="13"/>
      <c r="MSD312" s="35"/>
      <c r="MSE312" s="35"/>
      <c r="MSF312" s="15"/>
      <c r="MSH312" s="13"/>
      <c r="MSI312" s="35"/>
      <c r="MSJ312" s="35"/>
      <c r="MSK312" s="15"/>
      <c r="MSM312" s="13"/>
      <c r="MSN312" s="35"/>
      <c r="MSO312" s="35"/>
      <c r="MSP312" s="15"/>
      <c r="MSR312" s="13"/>
      <c r="MSS312" s="35"/>
      <c r="MST312" s="35"/>
      <c r="MSU312" s="15"/>
      <c r="MSW312" s="13"/>
      <c r="MSX312" s="35"/>
      <c r="MSY312" s="35"/>
      <c r="MSZ312" s="15"/>
      <c r="MTB312" s="13"/>
      <c r="MTC312" s="35"/>
      <c r="MTD312" s="35"/>
      <c r="MTE312" s="15"/>
      <c r="MTG312" s="13"/>
      <c r="MTH312" s="35"/>
      <c r="MTI312" s="35"/>
      <c r="MTJ312" s="15"/>
      <c r="MTL312" s="13"/>
      <c r="MTM312" s="35"/>
      <c r="MTN312" s="35"/>
      <c r="MTO312" s="15"/>
      <c r="MTQ312" s="13"/>
      <c r="MTR312" s="35"/>
      <c r="MTS312" s="35"/>
      <c r="MTT312" s="15"/>
      <c r="MTV312" s="13"/>
      <c r="MTW312" s="35"/>
      <c r="MTX312" s="35"/>
      <c r="MTY312" s="15"/>
      <c r="MUA312" s="13"/>
      <c r="MUB312" s="35"/>
      <c r="MUC312" s="35"/>
      <c r="MUD312" s="15"/>
      <c r="MUF312" s="13"/>
      <c r="MUG312" s="35"/>
      <c r="MUH312" s="35"/>
      <c r="MUI312" s="15"/>
      <c r="MUK312" s="13"/>
      <c r="MUL312" s="35"/>
      <c r="MUM312" s="35"/>
      <c r="MUN312" s="15"/>
      <c r="MUP312" s="13"/>
      <c r="MUQ312" s="35"/>
      <c r="MUR312" s="35"/>
      <c r="MUS312" s="15"/>
      <c r="MUU312" s="13"/>
      <c r="MUV312" s="35"/>
      <c r="MUW312" s="35"/>
      <c r="MUX312" s="15"/>
      <c r="MUZ312" s="13"/>
      <c r="MVA312" s="35"/>
      <c r="MVB312" s="35"/>
      <c r="MVC312" s="15"/>
      <c r="MVE312" s="13"/>
      <c r="MVF312" s="35"/>
      <c r="MVG312" s="35"/>
      <c r="MVH312" s="15"/>
      <c r="MVJ312" s="13"/>
      <c r="MVK312" s="35"/>
      <c r="MVL312" s="35"/>
      <c r="MVM312" s="15"/>
      <c r="MVO312" s="13"/>
      <c r="MVP312" s="35"/>
      <c r="MVQ312" s="35"/>
      <c r="MVR312" s="15"/>
      <c r="MVT312" s="13"/>
      <c r="MVU312" s="35"/>
      <c r="MVV312" s="35"/>
      <c r="MVW312" s="15"/>
      <c r="MVY312" s="13"/>
      <c r="MVZ312" s="35"/>
      <c r="MWA312" s="35"/>
      <c r="MWB312" s="15"/>
      <c r="MWD312" s="13"/>
      <c r="MWE312" s="35"/>
      <c r="MWF312" s="35"/>
      <c r="MWG312" s="15"/>
      <c r="MWI312" s="13"/>
      <c r="MWJ312" s="35"/>
      <c r="MWK312" s="35"/>
      <c r="MWL312" s="15"/>
      <c r="MWN312" s="13"/>
      <c r="MWO312" s="35"/>
      <c r="MWP312" s="35"/>
      <c r="MWQ312" s="15"/>
      <c r="MWS312" s="13"/>
      <c r="MWT312" s="35"/>
      <c r="MWU312" s="35"/>
      <c r="MWV312" s="15"/>
      <c r="MWX312" s="13"/>
      <c r="MWY312" s="35"/>
      <c r="MWZ312" s="35"/>
      <c r="MXA312" s="15"/>
      <c r="MXC312" s="13"/>
      <c r="MXD312" s="35"/>
      <c r="MXE312" s="35"/>
      <c r="MXF312" s="15"/>
      <c r="MXH312" s="13"/>
      <c r="MXI312" s="35"/>
      <c r="MXJ312" s="35"/>
      <c r="MXK312" s="15"/>
      <c r="MXM312" s="13"/>
      <c r="MXN312" s="35"/>
      <c r="MXO312" s="35"/>
      <c r="MXP312" s="15"/>
      <c r="MXR312" s="13"/>
      <c r="MXS312" s="35"/>
      <c r="MXT312" s="35"/>
      <c r="MXU312" s="15"/>
      <c r="MXW312" s="13"/>
      <c r="MXX312" s="35"/>
      <c r="MXY312" s="35"/>
      <c r="MXZ312" s="15"/>
      <c r="MYB312" s="13"/>
      <c r="MYC312" s="35"/>
      <c r="MYD312" s="35"/>
      <c r="MYE312" s="15"/>
      <c r="MYG312" s="13"/>
      <c r="MYH312" s="35"/>
      <c r="MYI312" s="35"/>
      <c r="MYJ312" s="15"/>
      <c r="MYL312" s="13"/>
      <c r="MYM312" s="35"/>
      <c r="MYN312" s="35"/>
      <c r="MYO312" s="15"/>
      <c r="MYQ312" s="13"/>
      <c r="MYR312" s="35"/>
      <c r="MYS312" s="35"/>
      <c r="MYT312" s="15"/>
      <c r="MYV312" s="13"/>
      <c r="MYW312" s="35"/>
      <c r="MYX312" s="35"/>
      <c r="MYY312" s="15"/>
      <c r="MZA312" s="13"/>
      <c r="MZB312" s="35"/>
      <c r="MZC312" s="35"/>
      <c r="MZD312" s="15"/>
      <c r="MZF312" s="13"/>
      <c r="MZG312" s="35"/>
      <c r="MZH312" s="35"/>
      <c r="MZI312" s="15"/>
      <c r="MZK312" s="13"/>
      <c r="MZL312" s="35"/>
      <c r="MZM312" s="35"/>
      <c r="MZN312" s="15"/>
      <c r="MZP312" s="13"/>
      <c r="MZQ312" s="35"/>
      <c r="MZR312" s="35"/>
      <c r="MZS312" s="15"/>
      <c r="MZU312" s="13"/>
      <c r="MZV312" s="35"/>
      <c r="MZW312" s="35"/>
      <c r="MZX312" s="15"/>
      <c r="MZZ312" s="13"/>
      <c r="NAA312" s="35"/>
      <c r="NAB312" s="35"/>
      <c r="NAC312" s="15"/>
      <c r="NAE312" s="13"/>
      <c r="NAF312" s="35"/>
      <c r="NAG312" s="35"/>
      <c r="NAH312" s="15"/>
      <c r="NAJ312" s="13"/>
      <c r="NAK312" s="35"/>
      <c r="NAL312" s="35"/>
      <c r="NAM312" s="15"/>
      <c r="NAO312" s="13"/>
      <c r="NAP312" s="35"/>
      <c r="NAQ312" s="35"/>
      <c r="NAR312" s="15"/>
      <c r="NAT312" s="13"/>
      <c r="NAU312" s="35"/>
      <c r="NAV312" s="35"/>
      <c r="NAW312" s="15"/>
      <c r="NAY312" s="13"/>
      <c r="NAZ312" s="35"/>
      <c r="NBA312" s="35"/>
      <c r="NBB312" s="15"/>
      <c r="NBD312" s="13"/>
      <c r="NBE312" s="35"/>
      <c r="NBF312" s="35"/>
      <c r="NBG312" s="15"/>
      <c r="NBI312" s="13"/>
      <c r="NBJ312" s="35"/>
      <c r="NBK312" s="35"/>
      <c r="NBL312" s="15"/>
      <c r="NBN312" s="13"/>
      <c r="NBO312" s="35"/>
      <c r="NBP312" s="35"/>
      <c r="NBQ312" s="15"/>
      <c r="NBS312" s="13"/>
      <c r="NBT312" s="35"/>
      <c r="NBU312" s="35"/>
      <c r="NBV312" s="15"/>
      <c r="NBX312" s="13"/>
      <c r="NBY312" s="35"/>
      <c r="NBZ312" s="35"/>
      <c r="NCA312" s="15"/>
      <c r="NCC312" s="13"/>
      <c r="NCD312" s="35"/>
      <c r="NCE312" s="35"/>
      <c r="NCF312" s="15"/>
      <c r="NCH312" s="13"/>
      <c r="NCI312" s="35"/>
      <c r="NCJ312" s="35"/>
      <c r="NCK312" s="15"/>
      <c r="NCM312" s="13"/>
      <c r="NCN312" s="35"/>
      <c r="NCO312" s="35"/>
      <c r="NCP312" s="15"/>
      <c r="NCR312" s="13"/>
      <c r="NCS312" s="35"/>
      <c r="NCT312" s="35"/>
      <c r="NCU312" s="15"/>
      <c r="NCW312" s="13"/>
      <c r="NCX312" s="35"/>
      <c r="NCY312" s="35"/>
      <c r="NCZ312" s="15"/>
      <c r="NDB312" s="13"/>
      <c r="NDC312" s="35"/>
      <c r="NDD312" s="35"/>
      <c r="NDE312" s="15"/>
      <c r="NDG312" s="13"/>
      <c r="NDH312" s="35"/>
      <c r="NDI312" s="35"/>
      <c r="NDJ312" s="15"/>
      <c r="NDL312" s="13"/>
      <c r="NDM312" s="35"/>
      <c r="NDN312" s="35"/>
      <c r="NDO312" s="15"/>
      <c r="NDQ312" s="13"/>
      <c r="NDR312" s="35"/>
      <c r="NDS312" s="35"/>
      <c r="NDT312" s="15"/>
      <c r="NDV312" s="13"/>
      <c r="NDW312" s="35"/>
      <c r="NDX312" s="35"/>
      <c r="NDY312" s="15"/>
      <c r="NEA312" s="13"/>
      <c r="NEB312" s="35"/>
      <c r="NEC312" s="35"/>
      <c r="NED312" s="15"/>
      <c r="NEF312" s="13"/>
      <c r="NEG312" s="35"/>
      <c r="NEH312" s="35"/>
      <c r="NEI312" s="15"/>
      <c r="NEK312" s="13"/>
      <c r="NEL312" s="35"/>
      <c r="NEM312" s="35"/>
      <c r="NEN312" s="15"/>
      <c r="NEP312" s="13"/>
      <c r="NEQ312" s="35"/>
      <c r="NER312" s="35"/>
      <c r="NES312" s="15"/>
      <c r="NEU312" s="13"/>
      <c r="NEV312" s="35"/>
      <c r="NEW312" s="35"/>
      <c r="NEX312" s="15"/>
      <c r="NEZ312" s="13"/>
      <c r="NFA312" s="35"/>
      <c r="NFB312" s="35"/>
      <c r="NFC312" s="15"/>
      <c r="NFE312" s="13"/>
      <c r="NFF312" s="35"/>
      <c r="NFG312" s="35"/>
      <c r="NFH312" s="15"/>
      <c r="NFJ312" s="13"/>
      <c r="NFK312" s="35"/>
      <c r="NFL312" s="35"/>
      <c r="NFM312" s="15"/>
      <c r="NFO312" s="13"/>
      <c r="NFP312" s="35"/>
      <c r="NFQ312" s="35"/>
      <c r="NFR312" s="15"/>
      <c r="NFT312" s="13"/>
      <c r="NFU312" s="35"/>
      <c r="NFV312" s="35"/>
      <c r="NFW312" s="15"/>
      <c r="NFY312" s="13"/>
      <c r="NFZ312" s="35"/>
      <c r="NGA312" s="35"/>
      <c r="NGB312" s="15"/>
      <c r="NGD312" s="13"/>
      <c r="NGE312" s="35"/>
      <c r="NGF312" s="35"/>
      <c r="NGG312" s="15"/>
      <c r="NGI312" s="13"/>
      <c r="NGJ312" s="35"/>
      <c r="NGK312" s="35"/>
      <c r="NGL312" s="15"/>
      <c r="NGN312" s="13"/>
      <c r="NGO312" s="35"/>
      <c r="NGP312" s="35"/>
      <c r="NGQ312" s="15"/>
      <c r="NGS312" s="13"/>
      <c r="NGT312" s="35"/>
      <c r="NGU312" s="35"/>
      <c r="NGV312" s="15"/>
      <c r="NGX312" s="13"/>
      <c r="NGY312" s="35"/>
      <c r="NGZ312" s="35"/>
      <c r="NHA312" s="15"/>
      <c r="NHC312" s="13"/>
      <c r="NHD312" s="35"/>
      <c r="NHE312" s="35"/>
      <c r="NHF312" s="15"/>
      <c r="NHH312" s="13"/>
      <c r="NHI312" s="35"/>
      <c r="NHJ312" s="35"/>
      <c r="NHK312" s="15"/>
      <c r="NHM312" s="13"/>
      <c r="NHN312" s="35"/>
      <c r="NHO312" s="35"/>
      <c r="NHP312" s="15"/>
      <c r="NHR312" s="13"/>
      <c r="NHS312" s="35"/>
      <c r="NHT312" s="35"/>
      <c r="NHU312" s="15"/>
      <c r="NHW312" s="13"/>
      <c r="NHX312" s="35"/>
      <c r="NHY312" s="35"/>
      <c r="NHZ312" s="15"/>
      <c r="NIB312" s="13"/>
      <c r="NIC312" s="35"/>
      <c r="NID312" s="35"/>
      <c r="NIE312" s="15"/>
      <c r="NIG312" s="13"/>
      <c r="NIH312" s="35"/>
      <c r="NII312" s="35"/>
      <c r="NIJ312" s="15"/>
      <c r="NIL312" s="13"/>
      <c r="NIM312" s="35"/>
      <c r="NIN312" s="35"/>
      <c r="NIO312" s="15"/>
      <c r="NIQ312" s="13"/>
      <c r="NIR312" s="35"/>
      <c r="NIS312" s="35"/>
      <c r="NIT312" s="15"/>
      <c r="NIV312" s="13"/>
      <c r="NIW312" s="35"/>
      <c r="NIX312" s="35"/>
      <c r="NIY312" s="15"/>
      <c r="NJA312" s="13"/>
      <c r="NJB312" s="35"/>
      <c r="NJC312" s="35"/>
      <c r="NJD312" s="15"/>
      <c r="NJF312" s="13"/>
      <c r="NJG312" s="35"/>
      <c r="NJH312" s="35"/>
      <c r="NJI312" s="15"/>
      <c r="NJK312" s="13"/>
      <c r="NJL312" s="35"/>
      <c r="NJM312" s="35"/>
      <c r="NJN312" s="15"/>
      <c r="NJP312" s="13"/>
      <c r="NJQ312" s="35"/>
      <c r="NJR312" s="35"/>
      <c r="NJS312" s="15"/>
      <c r="NJU312" s="13"/>
      <c r="NJV312" s="35"/>
      <c r="NJW312" s="35"/>
      <c r="NJX312" s="15"/>
      <c r="NJZ312" s="13"/>
      <c r="NKA312" s="35"/>
      <c r="NKB312" s="35"/>
      <c r="NKC312" s="15"/>
      <c r="NKE312" s="13"/>
      <c r="NKF312" s="35"/>
      <c r="NKG312" s="35"/>
      <c r="NKH312" s="15"/>
      <c r="NKJ312" s="13"/>
      <c r="NKK312" s="35"/>
      <c r="NKL312" s="35"/>
      <c r="NKM312" s="15"/>
      <c r="NKO312" s="13"/>
      <c r="NKP312" s="35"/>
      <c r="NKQ312" s="35"/>
      <c r="NKR312" s="15"/>
      <c r="NKT312" s="13"/>
      <c r="NKU312" s="35"/>
      <c r="NKV312" s="35"/>
      <c r="NKW312" s="15"/>
      <c r="NKY312" s="13"/>
      <c r="NKZ312" s="35"/>
      <c r="NLA312" s="35"/>
      <c r="NLB312" s="15"/>
      <c r="NLD312" s="13"/>
      <c r="NLE312" s="35"/>
      <c r="NLF312" s="35"/>
      <c r="NLG312" s="15"/>
      <c r="NLI312" s="13"/>
      <c r="NLJ312" s="35"/>
      <c r="NLK312" s="35"/>
      <c r="NLL312" s="15"/>
      <c r="NLN312" s="13"/>
      <c r="NLO312" s="35"/>
      <c r="NLP312" s="35"/>
      <c r="NLQ312" s="15"/>
      <c r="NLS312" s="13"/>
      <c r="NLT312" s="35"/>
      <c r="NLU312" s="35"/>
      <c r="NLV312" s="15"/>
      <c r="NLX312" s="13"/>
      <c r="NLY312" s="35"/>
      <c r="NLZ312" s="35"/>
      <c r="NMA312" s="15"/>
      <c r="NMC312" s="13"/>
      <c r="NMD312" s="35"/>
      <c r="NME312" s="35"/>
      <c r="NMF312" s="15"/>
      <c r="NMH312" s="13"/>
      <c r="NMI312" s="35"/>
      <c r="NMJ312" s="35"/>
      <c r="NMK312" s="15"/>
      <c r="NMM312" s="13"/>
      <c r="NMN312" s="35"/>
      <c r="NMO312" s="35"/>
      <c r="NMP312" s="15"/>
      <c r="NMR312" s="13"/>
      <c r="NMS312" s="35"/>
      <c r="NMT312" s="35"/>
      <c r="NMU312" s="15"/>
      <c r="NMW312" s="13"/>
      <c r="NMX312" s="35"/>
      <c r="NMY312" s="35"/>
      <c r="NMZ312" s="15"/>
      <c r="NNB312" s="13"/>
      <c r="NNC312" s="35"/>
      <c r="NND312" s="35"/>
      <c r="NNE312" s="15"/>
      <c r="NNG312" s="13"/>
      <c r="NNH312" s="35"/>
      <c r="NNI312" s="35"/>
      <c r="NNJ312" s="15"/>
      <c r="NNL312" s="13"/>
      <c r="NNM312" s="35"/>
      <c r="NNN312" s="35"/>
      <c r="NNO312" s="15"/>
      <c r="NNQ312" s="13"/>
      <c r="NNR312" s="35"/>
      <c r="NNS312" s="35"/>
      <c r="NNT312" s="15"/>
      <c r="NNV312" s="13"/>
      <c r="NNW312" s="35"/>
      <c r="NNX312" s="35"/>
      <c r="NNY312" s="15"/>
      <c r="NOA312" s="13"/>
      <c r="NOB312" s="35"/>
      <c r="NOC312" s="35"/>
      <c r="NOD312" s="15"/>
      <c r="NOF312" s="13"/>
      <c r="NOG312" s="35"/>
      <c r="NOH312" s="35"/>
      <c r="NOI312" s="15"/>
      <c r="NOK312" s="13"/>
      <c r="NOL312" s="35"/>
      <c r="NOM312" s="35"/>
      <c r="NON312" s="15"/>
      <c r="NOP312" s="13"/>
      <c r="NOQ312" s="35"/>
      <c r="NOR312" s="35"/>
      <c r="NOS312" s="15"/>
      <c r="NOU312" s="13"/>
      <c r="NOV312" s="35"/>
      <c r="NOW312" s="35"/>
      <c r="NOX312" s="15"/>
      <c r="NOZ312" s="13"/>
      <c r="NPA312" s="35"/>
      <c r="NPB312" s="35"/>
      <c r="NPC312" s="15"/>
      <c r="NPE312" s="13"/>
      <c r="NPF312" s="35"/>
      <c r="NPG312" s="35"/>
      <c r="NPH312" s="15"/>
      <c r="NPJ312" s="13"/>
      <c r="NPK312" s="35"/>
      <c r="NPL312" s="35"/>
      <c r="NPM312" s="15"/>
      <c r="NPO312" s="13"/>
      <c r="NPP312" s="35"/>
      <c r="NPQ312" s="35"/>
      <c r="NPR312" s="15"/>
      <c r="NPT312" s="13"/>
      <c r="NPU312" s="35"/>
      <c r="NPV312" s="35"/>
      <c r="NPW312" s="15"/>
      <c r="NPY312" s="13"/>
      <c r="NPZ312" s="35"/>
      <c r="NQA312" s="35"/>
      <c r="NQB312" s="15"/>
      <c r="NQD312" s="13"/>
      <c r="NQE312" s="35"/>
      <c r="NQF312" s="35"/>
      <c r="NQG312" s="15"/>
      <c r="NQI312" s="13"/>
      <c r="NQJ312" s="35"/>
      <c r="NQK312" s="35"/>
      <c r="NQL312" s="15"/>
      <c r="NQN312" s="13"/>
      <c r="NQO312" s="35"/>
      <c r="NQP312" s="35"/>
      <c r="NQQ312" s="15"/>
      <c r="NQS312" s="13"/>
      <c r="NQT312" s="35"/>
      <c r="NQU312" s="35"/>
      <c r="NQV312" s="15"/>
      <c r="NQX312" s="13"/>
      <c r="NQY312" s="35"/>
      <c r="NQZ312" s="35"/>
      <c r="NRA312" s="15"/>
      <c r="NRC312" s="13"/>
      <c r="NRD312" s="35"/>
      <c r="NRE312" s="35"/>
      <c r="NRF312" s="15"/>
      <c r="NRH312" s="13"/>
      <c r="NRI312" s="35"/>
      <c r="NRJ312" s="35"/>
      <c r="NRK312" s="15"/>
      <c r="NRM312" s="13"/>
      <c r="NRN312" s="35"/>
      <c r="NRO312" s="35"/>
      <c r="NRP312" s="15"/>
      <c r="NRR312" s="13"/>
      <c r="NRS312" s="35"/>
      <c r="NRT312" s="35"/>
      <c r="NRU312" s="15"/>
      <c r="NRW312" s="13"/>
      <c r="NRX312" s="35"/>
      <c r="NRY312" s="35"/>
      <c r="NRZ312" s="15"/>
      <c r="NSB312" s="13"/>
      <c r="NSC312" s="35"/>
      <c r="NSD312" s="35"/>
      <c r="NSE312" s="15"/>
      <c r="NSG312" s="13"/>
      <c r="NSH312" s="35"/>
      <c r="NSI312" s="35"/>
      <c r="NSJ312" s="15"/>
      <c r="NSL312" s="13"/>
      <c r="NSM312" s="35"/>
      <c r="NSN312" s="35"/>
      <c r="NSO312" s="15"/>
      <c r="NSQ312" s="13"/>
      <c r="NSR312" s="35"/>
      <c r="NSS312" s="35"/>
      <c r="NST312" s="15"/>
      <c r="NSV312" s="13"/>
      <c r="NSW312" s="35"/>
      <c r="NSX312" s="35"/>
      <c r="NSY312" s="15"/>
      <c r="NTA312" s="13"/>
      <c r="NTB312" s="35"/>
      <c r="NTC312" s="35"/>
      <c r="NTD312" s="15"/>
      <c r="NTF312" s="13"/>
      <c r="NTG312" s="35"/>
      <c r="NTH312" s="35"/>
      <c r="NTI312" s="15"/>
      <c r="NTK312" s="13"/>
      <c r="NTL312" s="35"/>
      <c r="NTM312" s="35"/>
      <c r="NTN312" s="15"/>
      <c r="NTP312" s="13"/>
      <c r="NTQ312" s="35"/>
      <c r="NTR312" s="35"/>
      <c r="NTS312" s="15"/>
      <c r="NTU312" s="13"/>
      <c r="NTV312" s="35"/>
      <c r="NTW312" s="35"/>
      <c r="NTX312" s="15"/>
      <c r="NTZ312" s="13"/>
      <c r="NUA312" s="35"/>
      <c r="NUB312" s="35"/>
      <c r="NUC312" s="15"/>
      <c r="NUE312" s="13"/>
      <c r="NUF312" s="35"/>
      <c r="NUG312" s="35"/>
      <c r="NUH312" s="15"/>
      <c r="NUJ312" s="13"/>
      <c r="NUK312" s="35"/>
      <c r="NUL312" s="35"/>
      <c r="NUM312" s="15"/>
      <c r="NUO312" s="13"/>
      <c r="NUP312" s="35"/>
      <c r="NUQ312" s="35"/>
      <c r="NUR312" s="15"/>
      <c r="NUT312" s="13"/>
      <c r="NUU312" s="35"/>
      <c r="NUV312" s="35"/>
      <c r="NUW312" s="15"/>
      <c r="NUY312" s="13"/>
      <c r="NUZ312" s="35"/>
      <c r="NVA312" s="35"/>
      <c r="NVB312" s="15"/>
      <c r="NVD312" s="13"/>
      <c r="NVE312" s="35"/>
      <c r="NVF312" s="35"/>
      <c r="NVG312" s="15"/>
      <c r="NVI312" s="13"/>
      <c r="NVJ312" s="35"/>
      <c r="NVK312" s="35"/>
      <c r="NVL312" s="15"/>
      <c r="NVN312" s="13"/>
      <c r="NVO312" s="35"/>
      <c r="NVP312" s="35"/>
      <c r="NVQ312" s="15"/>
      <c r="NVS312" s="13"/>
      <c r="NVT312" s="35"/>
      <c r="NVU312" s="35"/>
      <c r="NVV312" s="15"/>
      <c r="NVX312" s="13"/>
      <c r="NVY312" s="35"/>
      <c r="NVZ312" s="35"/>
      <c r="NWA312" s="15"/>
      <c r="NWC312" s="13"/>
      <c r="NWD312" s="35"/>
      <c r="NWE312" s="35"/>
      <c r="NWF312" s="15"/>
      <c r="NWH312" s="13"/>
      <c r="NWI312" s="35"/>
      <c r="NWJ312" s="35"/>
      <c r="NWK312" s="15"/>
      <c r="NWM312" s="13"/>
      <c r="NWN312" s="35"/>
      <c r="NWO312" s="35"/>
      <c r="NWP312" s="15"/>
      <c r="NWR312" s="13"/>
      <c r="NWS312" s="35"/>
      <c r="NWT312" s="35"/>
      <c r="NWU312" s="15"/>
      <c r="NWW312" s="13"/>
      <c r="NWX312" s="35"/>
      <c r="NWY312" s="35"/>
      <c r="NWZ312" s="15"/>
      <c r="NXB312" s="13"/>
      <c r="NXC312" s="35"/>
      <c r="NXD312" s="35"/>
      <c r="NXE312" s="15"/>
      <c r="NXG312" s="13"/>
      <c r="NXH312" s="35"/>
      <c r="NXI312" s="35"/>
      <c r="NXJ312" s="15"/>
      <c r="NXL312" s="13"/>
      <c r="NXM312" s="35"/>
      <c r="NXN312" s="35"/>
      <c r="NXO312" s="15"/>
      <c r="NXQ312" s="13"/>
      <c r="NXR312" s="35"/>
      <c r="NXS312" s="35"/>
      <c r="NXT312" s="15"/>
      <c r="NXV312" s="13"/>
      <c r="NXW312" s="35"/>
      <c r="NXX312" s="35"/>
      <c r="NXY312" s="15"/>
      <c r="NYA312" s="13"/>
      <c r="NYB312" s="35"/>
      <c r="NYC312" s="35"/>
      <c r="NYD312" s="15"/>
      <c r="NYF312" s="13"/>
      <c r="NYG312" s="35"/>
      <c r="NYH312" s="35"/>
      <c r="NYI312" s="15"/>
      <c r="NYK312" s="13"/>
      <c r="NYL312" s="35"/>
      <c r="NYM312" s="35"/>
      <c r="NYN312" s="15"/>
      <c r="NYP312" s="13"/>
      <c r="NYQ312" s="35"/>
      <c r="NYR312" s="35"/>
      <c r="NYS312" s="15"/>
      <c r="NYU312" s="13"/>
      <c r="NYV312" s="35"/>
      <c r="NYW312" s="35"/>
      <c r="NYX312" s="15"/>
      <c r="NYZ312" s="13"/>
      <c r="NZA312" s="35"/>
      <c r="NZB312" s="35"/>
      <c r="NZC312" s="15"/>
      <c r="NZE312" s="13"/>
      <c r="NZF312" s="35"/>
      <c r="NZG312" s="35"/>
      <c r="NZH312" s="15"/>
      <c r="NZJ312" s="13"/>
      <c r="NZK312" s="35"/>
      <c r="NZL312" s="35"/>
      <c r="NZM312" s="15"/>
      <c r="NZO312" s="13"/>
      <c r="NZP312" s="35"/>
      <c r="NZQ312" s="35"/>
      <c r="NZR312" s="15"/>
      <c r="NZT312" s="13"/>
      <c r="NZU312" s="35"/>
      <c r="NZV312" s="35"/>
      <c r="NZW312" s="15"/>
      <c r="NZY312" s="13"/>
      <c r="NZZ312" s="35"/>
      <c r="OAA312" s="35"/>
      <c r="OAB312" s="15"/>
      <c r="OAD312" s="13"/>
      <c r="OAE312" s="35"/>
      <c r="OAF312" s="35"/>
      <c r="OAG312" s="15"/>
      <c r="OAI312" s="13"/>
      <c r="OAJ312" s="35"/>
      <c r="OAK312" s="35"/>
      <c r="OAL312" s="15"/>
      <c r="OAN312" s="13"/>
      <c r="OAO312" s="35"/>
      <c r="OAP312" s="35"/>
      <c r="OAQ312" s="15"/>
      <c r="OAS312" s="13"/>
      <c r="OAT312" s="35"/>
      <c r="OAU312" s="35"/>
      <c r="OAV312" s="15"/>
      <c r="OAX312" s="13"/>
      <c r="OAY312" s="35"/>
      <c r="OAZ312" s="35"/>
      <c r="OBA312" s="15"/>
      <c r="OBC312" s="13"/>
      <c r="OBD312" s="35"/>
      <c r="OBE312" s="35"/>
      <c r="OBF312" s="15"/>
      <c r="OBH312" s="13"/>
      <c r="OBI312" s="35"/>
      <c r="OBJ312" s="35"/>
      <c r="OBK312" s="15"/>
      <c r="OBM312" s="13"/>
      <c r="OBN312" s="35"/>
      <c r="OBO312" s="35"/>
      <c r="OBP312" s="15"/>
      <c r="OBR312" s="13"/>
      <c r="OBS312" s="35"/>
      <c r="OBT312" s="35"/>
      <c r="OBU312" s="15"/>
      <c r="OBW312" s="13"/>
      <c r="OBX312" s="35"/>
      <c r="OBY312" s="35"/>
      <c r="OBZ312" s="15"/>
      <c r="OCB312" s="13"/>
      <c r="OCC312" s="35"/>
      <c r="OCD312" s="35"/>
      <c r="OCE312" s="15"/>
      <c r="OCG312" s="13"/>
      <c r="OCH312" s="35"/>
      <c r="OCI312" s="35"/>
      <c r="OCJ312" s="15"/>
      <c r="OCL312" s="13"/>
      <c r="OCM312" s="35"/>
      <c r="OCN312" s="35"/>
      <c r="OCO312" s="15"/>
      <c r="OCQ312" s="13"/>
      <c r="OCR312" s="35"/>
      <c r="OCS312" s="35"/>
      <c r="OCT312" s="15"/>
      <c r="OCV312" s="13"/>
      <c r="OCW312" s="35"/>
      <c r="OCX312" s="35"/>
      <c r="OCY312" s="15"/>
      <c r="ODA312" s="13"/>
      <c r="ODB312" s="35"/>
      <c r="ODC312" s="35"/>
      <c r="ODD312" s="15"/>
      <c r="ODF312" s="13"/>
      <c r="ODG312" s="35"/>
      <c r="ODH312" s="35"/>
      <c r="ODI312" s="15"/>
      <c r="ODK312" s="13"/>
      <c r="ODL312" s="35"/>
      <c r="ODM312" s="35"/>
      <c r="ODN312" s="15"/>
      <c r="ODP312" s="13"/>
      <c r="ODQ312" s="35"/>
      <c r="ODR312" s="35"/>
      <c r="ODS312" s="15"/>
      <c r="ODU312" s="13"/>
      <c r="ODV312" s="35"/>
      <c r="ODW312" s="35"/>
      <c r="ODX312" s="15"/>
      <c r="ODZ312" s="13"/>
      <c r="OEA312" s="35"/>
      <c r="OEB312" s="35"/>
      <c r="OEC312" s="15"/>
      <c r="OEE312" s="13"/>
      <c r="OEF312" s="35"/>
      <c r="OEG312" s="35"/>
      <c r="OEH312" s="15"/>
      <c r="OEJ312" s="13"/>
      <c r="OEK312" s="35"/>
      <c r="OEL312" s="35"/>
      <c r="OEM312" s="15"/>
      <c r="OEO312" s="13"/>
      <c r="OEP312" s="35"/>
      <c r="OEQ312" s="35"/>
      <c r="OER312" s="15"/>
      <c r="OET312" s="13"/>
      <c r="OEU312" s="35"/>
      <c r="OEV312" s="35"/>
      <c r="OEW312" s="15"/>
      <c r="OEY312" s="13"/>
      <c r="OEZ312" s="35"/>
      <c r="OFA312" s="35"/>
      <c r="OFB312" s="15"/>
      <c r="OFD312" s="13"/>
      <c r="OFE312" s="35"/>
      <c r="OFF312" s="35"/>
      <c r="OFG312" s="15"/>
      <c r="OFI312" s="13"/>
      <c r="OFJ312" s="35"/>
      <c r="OFK312" s="35"/>
      <c r="OFL312" s="15"/>
      <c r="OFN312" s="13"/>
      <c r="OFO312" s="35"/>
      <c r="OFP312" s="35"/>
      <c r="OFQ312" s="15"/>
      <c r="OFS312" s="13"/>
      <c r="OFT312" s="35"/>
      <c r="OFU312" s="35"/>
      <c r="OFV312" s="15"/>
      <c r="OFX312" s="13"/>
      <c r="OFY312" s="35"/>
      <c r="OFZ312" s="35"/>
      <c r="OGA312" s="15"/>
      <c r="OGC312" s="13"/>
      <c r="OGD312" s="35"/>
      <c r="OGE312" s="35"/>
      <c r="OGF312" s="15"/>
      <c r="OGH312" s="13"/>
      <c r="OGI312" s="35"/>
      <c r="OGJ312" s="35"/>
      <c r="OGK312" s="15"/>
      <c r="OGM312" s="13"/>
      <c r="OGN312" s="35"/>
      <c r="OGO312" s="35"/>
      <c r="OGP312" s="15"/>
      <c r="OGR312" s="13"/>
      <c r="OGS312" s="35"/>
      <c r="OGT312" s="35"/>
      <c r="OGU312" s="15"/>
      <c r="OGW312" s="13"/>
      <c r="OGX312" s="35"/>
      <c r="OGY312" s="35"/>
      <c r="OGZ312" s="15"/>
      <c r="OHB312" s="13"/>
      <c r="OHC312" s="35"/>
      <c r="OHD312" s="35"/>
      <c r="OHE312" s="15"/>
      <c r="OHG312" s="13"/>
      <c r="OHH312" s="35"/>
      <c r="OHI312" s="35"/>
      <c r="OHJ312" s="15"/>
      <c r="OHL312" s="13"/>
      <c r="OHM312" s="35"/>
      <c r="OHN312" s="35"/>
      <c r="OHO312" s="15"/>
      <c r="OHQ312" s="13"/>
      <c r="OHR312" s="35"/>
      <c r="OHS312" s="35"/>
      <c r="OHT312" s="15"/>
      <c r="OHV312" s="13"/>
      <c r="OHW312" s="35"/>
      <c r="OHX312" s="35"/>
      <c r="OHY312" s="15"/>
      <c r="OIA312" s="13"/>
      <c r="OIB312" s="35"/>
      <c r="OIC312" s="35"/>
      <c r="OID312" s="15"/>
      <c r="OIF312" s="13"/>
      <c r="OIG312" s="35"/>
      <c r="OIH312" s="35"/>
      <c r="OII312" s="15"/>
      <c r="OIK312" s="13"/>
      <c r="OIL312" s="35"/>
      <c r="OIM312" s="35"/>
      <c r="OIN312" s="15"/>
      <c r="OIP312" s="13"/>
      <c r="OIQ312" s="35"/>
      <c r="OIR312" s="35"/>
      <c r="OIS312" s="15"/>
      <c r="OIU312" s="13"/>
      <c r="OIV312" s="35"/>
      <c r="OIW312" s="35"/>
      <c r="OIX312" s="15"/>
      <c r="OIZ312" s="13"/>
      <c r="OJA312" s="35"/>
      <c r="OJB312" s="35"/>
      <c r="OJC312" s="15"/>
      <c r="OJE312" s="13"/>
      <c r="OJF312" s="35"/>
      <c r="OJG312" s="35"/>
      <c r="OJH312" s="15"/>
      <c r="OJJ312" s="13"/>
      <c r="OJK312" s="35"/>
      <c r="OJL312" s="35"/>
      <c r="OJM312" s="15"/>
      <c r="OJO312" s="13"/>
      <c r="OJP312" s="35"/>
      <c r="OJQ312" s="35"/>
      <c r="OJR312" s="15"/>
      <c r="OJT312" s="13"/>
      <c r="OJU312" s="35"/>
      <c r="OJV312" s="35"/>
      <c r="OJW312" s="15"/>
      <c r="OJY312" s="13"/>
      <c r="OJZ312" s="35"/>
      <c r="OKA312" s="35"/>
      <c r="OKB312" s="15"/>
      <c r="OKD312" s="13"/>
      <c r="OKE312" s="35"/>
      <c r="OKF312" s="35"/>
      <c r="OKG312" s="15"/>
      <c r="OKI312" s="13"/>
      <c r="OKJ312" s="35"/>
      <c r="OKK312" s="35"/>
      <c r="OKL312" s="15"/>
      <c r="OKN312" s="13"/>
      <c r="OKO312" s="35"/>
      <c r="OKP312" s="35"/>
      <c r="OKQ312" s="15"/>
      <c r="OKS312" s="13"/>
      <c r="OKT312" s="35"/>
      <c r="OKU312" s="35"/>
      <c r="OKV312" s="15"/>
      <c r="OKX312" s="13"/>
      <c r="OKY312" s="35"/>
      <c r="OKZ312" s="35"/>
      <c r="OLA312" s="15"/>
      <c r="OLC312" s="13"/>
      <c r="OLD312" s="35"/>
      <c r="OLE312" s="35"/>
      <c r="OLF312" s="15"/>
      <c r="OLH312" s="13"/>
      <c r="OLI312" s="35"/>
      <c r="OLJ312" s="35"/>
      <c r="OLK312" s="15"/>
      <c r="OLM312" s="13"/>
      <c r="OLN312" s="35"/>
      <c r="OLO312" s="35"/>
      <c r="OLP312" s="15"/>
      <c r="OLR312" s="13"/>
      <c r="OLS312" s="35"/>
      <c r="OLT312" s="35"/>
      <c r="OLU312" s="15"/>
      <c r="OLW312" s="13"/>
      <c r="OLX312" s="35"/>
      <c r="OLY312" s="35"/>
      <c r="OLZ312" s="15"/>
      <c r="OMB312" s="13"/>
      <c r="OMC312" s="35"/>
      <c r="OMD312" s="35"/>
      <c r="OME312" s="15"/>
      <c r="OMG312" s="13"/>
      <c r="OMH312" s="35"/>
      <c r="OMI312" s="35"/>
      <c r="OMJ312" s="15"/>
      <c r="OML312" s="13"/>
      <c r="OMM312" s="35"/>
      <c r="OMN312" s="35"/>
      <c r="OMO312" s="15"/>
      <c r="OMQ312" s="13"/>
      <c r="OMR312" s="35"/>
      <c r="OMS312" s="35"/>
      <c r="OMT312" s="15"/>
      <c r="OMV312" s="13"/>
      <c r="OMW312" s="35"/>
      <c r="OMX312" s="35"/>
      <c r="OMY312" s="15"/>
      <c r="ONA312" s="13"/>
      <c r="ONB312" s="35"/>
      <c r="ONC312" s="35"/>
      <c r="OND312" s="15"/>
      <c r="ONF312" s="13"/>
      <c r="ONG312" s="35"/>
      <c r="ONH312" s="35"/>
      <c r="ONI312" s="15"/>
      <c r="ONK312" s="13"/>
      <c r="ONL312" s="35"/>
      <c r="ONM312" s="35"/>
      <c r="ONN312" s="15"/>
      <c r="ONP312" s="13"/>
      <c r="ONQ312" s="35"/>
      <c r="ONR312" s="35"/>
      <c r="ONS312" s="15"/>
      <c r="ONU312" s="13"/>
      <c r="ONV312" s="35"/>
      <c r="ONW312" s="35"/>
      <c r="ONX312" s="15"/>
      <c r="ONZ312" s="13"/>
      <c r="OOA312" s="35"/>
      <c r="OOB312" s="35"/>
      <c r="OOC312" s="15"/>
      <c r="OOE312" s="13"/>
      <c r="OOF312" s="35"/>
      <c r="OOG312" s="35"/>
      <c r="OOH312" s="15"/>
      <c r="OOJ312" s="13"/>
      <c r="OOK312" s="35"/>
      <c r="OOL312" s="35"/>
      <c r="OOM312" s="15"/>
      <c r="OOO312" s="13"/>
      <c r="OOP312" s="35"/>
      <c r="OOQ312" s="35"/>
      <c r="OOR312" s="15"/>
      <c r="OOT312" s="13"/>
      <c r="OOU312" s="35"/>
      <c r="OOV312" s="35"/>
      <c r="OOW312" s="15"/>
      <c r="OOY312" s="13"/>
      <c r="OOZ312" s="35"/>
      <c r="OPA312" s="35"/>
      <c r="OPB312" s="15"/>
      <c r="OPD312" s="13"/>
      <c r="OPE312" s="35"/>
      <c r="OPF312" s="35"/>
      <c r="OPG312" s="15"/>
      <c r="OPI312" s="13"/>
      <c r="OPJ312" s="35"/>
      <c r="OPK312" s="35"/>
      <c r="OPL312" s="15"/>
      <c r="OPN312" s="13"/>
      <c r="OPO312" s="35"/>
      <c r="OPP312" s="35"/>
      <c r="OPQ312" s="15"/>
      <c r="OPS312" s="13"/>
      <c r="OPT312" s="35"/>
      <c r="OPU312" s="35"/>
      <c r="OPV312" s="15"/>
      <c r="OPX312" s="13"/>
      <c r="OPY312" s="35"/>
      <c r="OPZ312" s="35"/>
      <c r="OQA312" s="15"/>
      <c r="OQC312" s="13"/>
      <c r="OQD312" s="35"/>
      <c r="OQE312" s="35"/>
      <c r="OQF312" s="15"/>
      <c r="OQH312" s="13"/>
      <c r="OQI312" s="35"/>
      <c r="OQJ312" s="35"/>
      <c r="OQK312" s="15"/>
      <c r="OQM312" s="13"/>
      <c r="OQN312" s="35"/>
      <c r="OQO312" s="35"/>
      <c r="OQP312" s="15"/>
      <c r="OQR312" s="13"/>
      <c r="OQS312" s="35"/>
      <c r="OQT312" s="35"/>
      <c r="OQU312" s="15"/>
      <c r="OQW312" s="13"/>
      <c r="OQX312" s="35"/>
      <c r="OQY312" s="35"/>
      <c r="OQZ312" s="15"/>
      <c r="ORB312" s="13"/>
      <c r="ORC312" s="35"/>
      <c r="ORD312" s="35"/>
      <c r="ORE312" s="15"/>
      <c r="ORG312" s="13"/>
      <c r="ORH312" s="35"/>
      <c r="ORI312" s="35"/>
      <c r="ORJ312" s="15"/>
      <c r="ORL312" s="13"/>
      <c r="ORM312" s="35"/>
      <c r="ORN312" s="35"/>
      <c r="ORO312" s="15"/>
      <c r="ORQ312" s="13"/>
      <c r="ORR312" s="35"/>
      <c r="ORS312" s="35"/>
      <c r="ORT312" s="15"/>
      <c r="ORV312" s="13"/>
      <c r="ORW312" s="35"/>
      <c r="ORX312" s="35"/>
      <c r="ORY312" s="15"/>
      <c r="OSA312" s="13"/>
      <c r="OSB312" s="35"/>
      <c r="OSC312" s="35"/>
      <c r="OSD312" s="15"/>
      <c r="OSF312" s="13"/>
      <c r="OSG312" s="35"/>
      <c r="OSH312" s="35"/>
      <c r="OSI312" s="15"/>
      <c r="OSK312" s="13"/>
      <c r="OSL312" s="35"/>
      <c r="OSM312" s="35"/>
      <c r="OSN312" s="15"/>
      <c r="OSP312" s="13"/>
      <c r="OSQ312" s="35"/>
      <c r="OSR312" s="35"/>
      <c r="OSS312" s="15"/>
      <c r="OSU312" s="13"/>
      <c r="OSV312" s="35"/>
      <c r="OSW312" s="35"/>
      <c r="OSX312" s="15"/>
      <c r="OSZ312" s="13"/>
      <c r="OTA312" s="35"/>
      <c r="OTB312" s="35"/>
      <c r="OTC312" s="15"/>
      <c r="OTE312" s="13"/>
      <c r="OTF312" s="35"/>
      <c r="OTG312" s="35"/>
      <c r="OTH312" s="15"/>
      <c r="OTJ312" s="13"/>
      <c r="OTK312" s="35"/>
      <c r="OTL312" s="35"/>
      <c r="OTM312" s="15"/>
      <c r="OTO312" s="13"/>
      <c r="OTP312" s="35"/>
      <c r="OTQ312" s="35"/>
      <c r="OTR312" s="15"/>
      <c r="OTT312" s="13"/>
      <c r="OTU312" s="35"/>
      <c r="OTV312" s="35"/>
      <c r="OTW312" s="15"/>
      <c r="OTY312" s="13"/>
      <c r="OTZ312" s="35"/>
      <c r="OUA312" s="35"/>
      <c r="OUB312" s="15"/>
      <c r="OUD312" s="13"/>
      <c r="OUE312" s="35"/>
      <c r="OUF312" s="35"/>
      <c r="OUG312" s="15"/>
      <c r="OUI312" s="13"/>
      <c r="OUJ312" s="35"/>
      <c r="OUK312" s="35"/>
      <c r="OUL312" s="15"/>
      <c r="OUN312" s="13"/>
      <c r="OUO312" s="35"/>
      <c r="OUP312" s="35"/>
      <c r="OUQ312" s="15"/>
      <c r="OUS312" s="13"/>
      <c r="OUT312" s="35"/>
      <c r="OUU312" s="35"/>
      <c r="OUV312" s="15"/>
      <c r="OUX312" s="13"/>
      <c r="OUY312" s="35"/>
      <c r="OUZ312" s="35"/>
      <c r="OVA312" s="15"/>
      <c r="OVC312" s="13"/>
      <c r="OVD312" s="35"/>
      <c r="OVE312" s="35"/>
      <c r="OVF312" s="15"/>
      <c r="OVH312" s="13"/>
      <c r="OVI312" s="35"/>
      <c r="OVJ312" s="35"/>
      <c r="OVK312" s="15"/>
      <c r="OVM312" s="13"/>
      <c r="OVN312" s="35"/>
      <c r="OVO312" s="35"/>
      <c r="OVP312" s="15"/>
      <c r="OVR312" s="13"/>
      <c r="OVS312" s="35"/>
      <c r="OVT312" s="35"/>
      <c r="OVU312" s="15"/>
      <c r="OVW312" s="13"/>
      <c r="OVX312" s="35"/>
      <c r="OVY312" s="35"/>
      <c r="OVZ312" s="15"/>
      <c r="OWB312" s="13"/>
      <c r="OWC312" s="35"/>
      <c r="OWD312" s="35"/>
      <c r="OWE312" s="15"/>
      <c r="OWG312" s="13"/>
      <c r="OWH312" s="35"/>
      <c r="OWI312" s="35"/>
      <c r="OWJ312" s="15"/>
      <c r="OWL312" s="13"/>
      <c r="OWM312" s="35"/>
      <c r="OWN312" s="35"/>
      <c r="OWO312" s="15"/>
      <c r="OWQ312" s="13"/>
      <c r="OWR312" s="35"/>
      <c r="OWS312" s="35"/>
      <c r="OWT312" s="15"/>
      <c r="OWV312" s="13"/>
      <c r="OWW312" s="35"/>
      <c r="OWX312" s="35"/>
      <c r="OWY312" s="15"/>
      <c r="OXA312" s="13"/>
      <c r="OXB312" s="35"/>
      <c r="OXC312" s="35"/>
      <c r="OXD312" s="15"/>
      <c r="OXF312" s="13"/>
      <c r="OXG312" s="35"/>
      <c r="OXH312" s="35"/>
      <c r="OXI312" s="15"/>
      <c r="OXK312" s="13"/>
      <c r="OXL312" s="35"/>
      <c r="OXM312" s="35"/>
      <c r="OXN312" s="15"/>
      <c r="OXP312" s="13"/>
      <c r="OXQ312" s="35"/>
      <c r="OXR312" s="35"/>
      <c r="OXS312" s="15"/>
      <c r="OXU312" s="13"/>
      <c r="OXV312" s="35"/>
      <c r="OXW312" s="35"/>
      <c r="OXX312" s="15"/>
      <c r="OXZ312" s="13"/>
      <c r="OYA312" s="35"/>
      <c r="OYB312" s="35"/>
      <c r="OYC312" s="15"/>
      <c r="OYE312" s="13"/>
      <c r="OYF312" s="35"/>
      <c r="OYG312" s="35"/>
      <c r="OYH312" s="15"/>
      <c r="OYJ312" s="13"/>
      <c r="OYK312" s="35"/>
      <c r="OYL312" s="35"/>
      <c r="OYM312" s="15"/>
      <c r="OYO312" s="13"/>
      <c r="OYP312" s="35"/>
      <c r="OYQ312" s="35"/>
      <c r="OYR312" s="15"/>
      <c r="OYT312" s="13"/>
      <c r="OYU312" s="35"/>
      <c r="OYV312" s="35"/>
      <c r="OYW312" s="15"/>
      <c r="OYY312" s="13"/>
      <c r="OYZ312" s="35"/>
      <c r="OZA312" s="35"/>
      <c r="OZB312" s="15"/>
      <c r="OZD312" s="13"/>
      <c r="OZE312" s="35"/>
      <c r="OZF312" s="35"/>
      <c r="OZG312" s="15"/>
      <c r="OZI312" s="13"/>
      <c r="OZJ312" s="35"/>
      <c r="OZK312" s="35"/>
      <c r="OZL312" s="15"/>
      <c r="OZN312" s="13"/>
      <c r="OZO312" s="35"/>
      <c r="OZP312" s="35"/>
      <c r="OZQ312" s="15"/>
      <c r="OZS312" s="13"/>
      <c r="OZT312" s="35"/>
      <c r="OZU312" s="35"/>
      <c r="OZV312" s="15"/>
      <c r="OZX312" s="13"/>
      <c r="OZY312" s="35"/>
      <c r="OZZ312" s="35"/>
      <c r="PAA312" s="15"/>
      <c r="PAC312" s="13"/>
      <c r="PAD312" s="35"/>
      <c r="PAE312" s="35"/>
      <c r="PAF312" s="15"/>
      <c r="PAH312" s="13"/>
      <c r="PAI312" s="35"/>
      <c r="PAJ312" s="35"/>
      <c r="PAK312" s="15"/>
      <c r="PAM312" s="13"/>
      <c r="PAN312" s="35"/>
      <c r="PAO312" s="35"/>
      <c r="PAP312" s="15"/>
      <c r="PAR312" s="13"/>
      <c r="PAS312" s="35"/>
      <c r="PAT312" s="35"/>
      <c r="PAU312" s="15"/>
      <c r="PAW312" s="13"/>
      <c r="PAX312" s="35"/>
      <c r="PAY312" s="35"/>
      <c r="PAZ312" s="15"/>
      <c r="PBB312" s="13"/>
      <c r="PBC312" s="35"/>
      <c r="PBD312" s="35"/>
      <c r="PBE312" s="15"/>
      <c r="PBG312" s="13"/>
      <c r="PBH312" s="35"/>
      <c r="PBI312" s="35"/>
      <c r="PBJ312" s="15"/>
      <c r="PBL312" s="13"/>
      <c r="PBM312" s="35"/>
      <c r="PBN312" s="35"/>
      <c r="PBO312" s="15"/>
      <c r="PBQ312" s="13"/>
      <c r="PBR312" s="35"/>
      <c r="PBS312" s="35"/>
      <c r="PBT312" s="15"/>
      <c r="PBV312" s="13"/>
      <c r="PBW312" s="35"/>
      <c r="PBX312" s="35"/>
      <c r="PBY312" s="15"/>
      <c r="PCA312" s="13"/>
      <c r="PCB312" s="35"/>
      <c r="PCC312" s="35"/>
      <c r="PCD312" s="15"/>
      <c r="PCF312" s="13"/>
      <c r="PCG312" s="35"/>
      <c r="PCH312" s="35"/>
      <c r="PCI312" s="15"/>
      <c r="PCK312" s="13"/>
      <c r="PCL312" s="35"/>
      <c r="PCM312" s="35"/>
      <c r="PCN312" s="15"/>
      <c r="PCP312" s="13"/>
      <c r="PCQ312" s="35"/>
      <c r="PCR312" s="35"/>
      <c r="PCS312" s="15"/>
      <c r="PCU312" s="13"/>
      <c r="PCV312" s="35"/>
      <c r="PCW312" s="35"/>
      <c r="PCX312" s="15"/>
      <c r="PCZ312" s="13"/>
      <c r="PDA312" s="35"/>
      <c r="PDB312" s="35"/>
      <c r="PDC312" s="15"/>
      <c r="PDE312" s="13"/>
      <c r="PDF312" s="35"/>
      <c r="PDG312" s="35"/>
      <c r="PDH312" s="15"/>
      <c r="PDJ312" s="13"/>
      <c r="PDK312" s="35"/>
      <c r="PDL312" s="35"/>
      <c r="PDM312" s="15"/>
      <c r="PDO312" s="13"/>
      <c r="PDP312" s="35"/>
      <c r="PDQ312" s="35"/>
      <c r="PDR312" s="15"/>
      <c r="PDT312" s="13"/>
      <c r="PDU312" s="35"/>
      <c r="PDV312" s="35"/>
      <c r="PDW312" s="15"/>
      <c r="PDY312" s="13"/>
      <c r="PDZ312" s="35"/>
      <c r="PEA312" s="35"/>
      <c r="PEB312" s="15"/>
      <c r="PED312" s="13"/>
      <c r="PEE312" s="35"/>
      <c r="PEF312" s="35"/>
      <c r="PEG312" s="15"/>
      <c r="PEI312" s="13"/>
      <c r="PEJ312" s="35"/>
      <c r="PEK312" s="35"/>
      <c r="PEL312" s="15"/>
      <c r="PEN312" s="13"/>
      <c r="PEO312" s="35"/>
      <c r="PEP312" s="35"/>
      <c r="PEQ312" s="15"/>
      <c r="PES312" s="13"/>
      <c r="PET312" s="35"/>
      <c r="PEU312" s="35"/>
      <c r="PEV312" s="15"/>
      <c r="PEX312" s="13"/>
      <c r="PEY312" s="35"/>
      <c r="PEZ312" s="35"/>
      <c r="PFA312" s="15"/>
      <c r="PFC312" s="13"/>
      <c r="PFD312" s="35"/>
      <c r="PFE312" s="35"/>
      <c r="PFF312" s="15"/>
      <c r="PFH312" s="13"/>
      <c r="PFI312" s="35"/>
      <c r="PFJ312" s="35"/>
      <c r="PFK312" s="15"/>
      <c r="PFM312" s="13"/>
      <c r="PFN312" s="35"/>
      <c r="PFO312" s="35"/>
      <c r="PFP312" s="15"/>
      <c r="PFR312" s="13"/>
      <c r="PFS312" s="35"/>
      <c r="PFT312" s="35"/>
      <c r="PFU312" s="15"/>
      <c r="PFW312" s="13"/>
      <c r="PFX312" s="35"/>
      <c r="PFY312" s="35"/>
      <c r="PFZ312" s="15"/>
      <c r="PGB312" s="13"/>
      <c r="PGC312" s="35"/>
      <c r="PGD312" s="35"/>
      <c r="PGE312" s="15"/>
      <c r="PGG312" s="13"/>
      <c r="PGH312" s="35"/>
      <c r="PGI312" s="35"/>
      <c r="PGJ312" s="15"/>
      <c r="PGL312" s="13"/>
      <c r="PGM312" s="35"/>
      <c r="PGN312" s="35"/>
      <c r="PGO312" s="15"/>
      <c r="PGQ312" s="13"/>
      <c r="PGR312" s="35"/>
      <c r="PGS312" s="35"/>
      <c r="PGT312" s="15"/>
      <c r="PGV312" s="13"/>
      <c r="PGW312" s="35"/>
      <c r="PGX312" s="35"/>
      <c r="PGY312" s="15"/>
      <c r="PHA312" s="13"/>
      <c r="PHB312" s="35"/>
      <c r="PHC312" s="35"/>
      <c r="PHD312" s="15"/>
      <c r="PHF312" s="13"/>
      <c r="PHG312" s="35"/>
      <c r="PHH312" s="35"/>
      <c r="PHI312" s="15"/>
      <c r="PHK312" s="13"/>
      <c r="PHL312" s="35"/>
      <c r="PHM312" s="35"/>
      <c r="PHN312" s="15"/>
      <c r="PHP312" s="13"/>
      <c r="PHQ312" s="35"/>
      <c r="PHR312" s="35"/>
      <c r="PHS312" s="15"/>
      <c r="PHU312" s="13"/>
      <c r="PHV312" s="35"/>
      <c r="PHW312" s="35"/>
      <c r="PHX312" s="15"/>
      <c r="PHZ312" s="13"/>
      <c r="PIA312" s="35"/>
      <c r="PIB312" s="35"/>
      <c r="PIC312" s="15"/>
      <c r="PIE312" s="13"/>
      <c r="PIF312" s="35"/>
      <c r="PIG312" s="35"/>
      <c r="PIH312" s="15"/>
      <c r="PIJ312" s="13"/>
      <c r="PIK312" s="35"/>
      <c r="PIL312" s="35"/>
      <c r="PIM312" s="15"/>
      <c r="PIO312" s="13"/>
      <c r="PIP312" s="35"/>
      <c r="PIQ312" s="35"/>
      <c r="PIR312" s="15"/>
      <c r="PIT312" s="13"/>
      <c r="PIU312" s="35"/>
      <c r="PIV312" s="35"/>
      <c r="PIW312" s="15"/>
      <c r="PIY312" s="13"/>
      <c r="PIZ312" s="35"/>
      <c r="PJA312" s="35"/>
      <c r="PJB312" s="15"/>
      <c r="PJD312" s="13"/>
      <c r="PJE312" s="35"/>
      <c r="PJF312" s="35"/>
      <c r="PJG312" s="15"/>
      <c r="PJI312" s="13"/>
      <c r="PJJ312" s="35"/>
      <c r="PJK312" s="35"/>
      <c r="PJL312" s="15"/>
      <c r="PJN312" s="13"/>
      <c r="PJO312" s="35"/>
      <c r="PJP312" s="35"/>
      <c r="PJQ312" s="15"/>
      <c r="PJS312" s="13"/>
      <c r="PJT312" s="35"/>
      <c r="PJU312" s="35"/>
      <c r="PJV312" s="15"/>
      <c r="PJX312" s="13"/>
      <c r="PJY312" s="35"/>
      <c r="PJZ312" s="35"/>
      <c r="PKA312" s="15"/>
      <c r="PKC312" s="13"/>
      <c r="PKD312" s="35"/>
      <c r="PKE312" s="35"/>
      <c r="PKF312" s="15"/>
      <c r="PKH312" s="13"/>
      <c r="PKI312" s="35"/>
      <c r="PKJ312" s="35"/>
      <c r="PKK312" s="15"/>
      <c r="PKM312" s="13"/>
      <c r="PKN312" s="35"/>
      <c r="PKO312" s="35"/>
      <c r="PKP312" s="15"/>
      <c r="PKR312" s="13"/>
      <c r="PKS312" s="35"/>
      <c r="PKT312" s="35"/>
      <c r="PKU312" s="15"/>
      <c r="PKW312" s="13"/>
      <c r="PKX312" s="35"/>
      <c r="PKY312" s="35"/>
      <c r="PKZ312" s="15"/>
      <c r="PLB312" s="13"/>
      <c r="PLC312" s="35"/>
      <c r="PLD312" s="35"/>
      <c r="PLE312" s="15"/>
      <c r="PLG312" s="13"/>
      <c r="PLH312" s="35"/>
      <c r="PLI312" s="35"/>
      <c r="PLJ312" s="15"/>
      <c r="PLL312" s="13"/>
      <c r="PLM312" s="35"/>
      <c r="PLN312" s="35"/>
      <c r="PLO312" s="15"/>
      <c r="PLQ312" s="13"/>
      <c r="PLR312" s="35"/>
      <c r="PLS312" s="35"/>
      <c r="PLT312" s="15"/>
      <c r="PLV312" s="13"/>
      <c r="PLW312" s="35"/>
      <c r="PLX312" s="35"/>
      <c r="PLY312" s="15"/>
      <c r="PMA312" s="13"/>
      <c r="PMB312" s="35"/>
      <c r="PMC312" s="35"/>
      <c r="PMD312" s="15"/>
      <c r="PMF312" s="13"/>
      <c r="PMG312" s="35"/>
      <c r="PMH312" s="35"/>
      <c r="PMI312" s="15"/>
      <c r="PMK312" s="13"/>
      <c r="PML312" s="35"/>
      <c r="PMM312" s="35"/>
      <c r="PMN312" s="15"/>
      <c r="PMP312" s="13"/>
      <c r="PMQ312" s="35"/>
      <c r="PMR312" s="35"/>
      <c r="PMS312" s="15"/>
      <c r="PMU312" s="13"/>
      <c r="PMV312" s="35"/>
      <c r="PMW312" s="35"/>
      <c r="PMX312" s="15"/>
      <c r="PMZ312" s="13"/>
      <c r="PNA312" s="35"/>
      <c r="PNB312" s="35"/>
      <c r="PNC312" s="15"/>
      <c r="PNE312" s="13"/>
      <c r="PNF312" s="35"/>
      <c r="PNG312" s="35"/>
      <c r="PNH312" s="15"/>
      <c r="PNJ312" s="13"/>
      <c r="PNK312" s="35"/>
      <c r="PNL312" s="35"/>
      <c r="PNM312" s="15"/>
      <c r="PNO312" s="13"/>
      <c r="PNP312" s="35"/>
      <c r="PNQ312" s="35"/>
      <c r="PNR312" s="15"/>
      <c r="PNT312" s="13"/>
      <c r="PNU312" s="35"/>
      <c r="PNV312" s="35"/>
      <c r="PNW312" s="15"/>
      <c r="PNY312" s="13"/>
      <c r="PNZ312" s="35"/>
      <c r="POA312" s="35"/>
      <c r="POB312" s="15"/>
      <c r="POD312" s="13"/>
      <c r="POE312" s="35"/>
      <c r="POF312" s="35"/>
      <c r="POG312" s="15"/>
      <c r="POI312" s="13"/>
      <c r="POJ312" s="35"/>
      <c r="POK312" s="35"/>
      <c r="POL312" s="15"/>
      <c r="PON312" s="13"/>
      <c r="POO312" s="35"/>
      <c r="POP312" s="35"/>
      <c r="POQ312" s="15"/>
      <c r="POS312" s="13"/>
      <c r="POT312" s="35"/>
      <c r="POU312" s="35"/>
      <c r="POV312" s="15"/>
      <c r="POX312" s="13"/>
      <c r="POY312" s="35"/>
      <c r="POZ312" s="35"/>
      <c r="PPA312" s="15"/>
      <c r="PPC312" s="13"/>
      <c r="PPD312" s="35"/>
      <c r="PPE312" s="35"/>
      <c r="PPF312" s="15"/>
      <c r="PPH312" s="13"/>
      <c r="PPI312" s="35"/>
      <c r="PPJ312" s="35"/>
      <c r="PPK312" s="15"/>
      <c r="PPM312" s="13"/>
      <c r="PPN312" s="35"/>
      <c r="PPO312" s="35"/>
      <c r="PPP312" s="15"/>
      <c r="PPR312" s="13"/>
      <c r="PPS312" s="35"/>
      <c r="PPT312" s="35"/>
      <c r="PPU312" s="15"/>
      <c r="PPW312" s="13"/>
      <c r="PPX312" s="35"/>
      <c r="PPY312" s="35"/>
      <c r="PPZ312" s="15"/>
      <c r="PQB312" s="13"/>
      <c r="PQC312" s="35"/>
      <c r="PQD312" s="35"/>
      <c r="PQE312" s="15"/>
      <c r="PQG312" s="13"/>
      <c r="PQH312" s="35"/>
      <c r="PQI312" s="35"/>
      <c r="PQJ312" s="15"/>
      <c r="PQL312" s="13"/>
      <c r="PQM312" s="35"/>
      <c r="PQN312" s="35"/>
      <c r="PQO312" s="15"/>
      <c r="PQQ312" s="13"/>
      <c r="PQR312" s="35"/>
      <c r="PQS312" s="35"/>
      <c r="PQT312" s="15"/>
      <c r="PQV312" s="13"/>
      <c r="PQW312" s="35"/>
      <c r="PQX312" s="35"/>
      <c r="PQY312" s="15"/>
      <c r="PRA312" s="13"/>
      <c r="PRB312" s="35"/>
      <c r="PRC312" s="35"/>
      <c r="PRD312" s="15"/>
      <c r="PRF312" s="13"/>
      <c r="PRG312" s="35"/>
      <c r="PRH312" s="35"/>
      <c r="PRI312" s="15"/>
      <c r="PRK312" s="13"/>
      <c r="PRL312" s="35"/>
      <c r="PRM312" s="35"/>
      <c r="PRN312" s="15"/>
      <c r="PRP312" s="13"/>
      <c r="PRQ312" s="35"/>
      <c r="PRR312" s="35"/>
      <c r="PRS312" s="15"/>
      <c r="PRU312" s="13"/>
      <c r="PRV312" s="35"/>
      <c r="PRW312" s="35"/>
      <c r="PRX312" s="15"/>
      <c r="PRZ312" s="13"/>
      <c r="PSA312" s="35"/>
      <c r="PSB312" s="35"/>
      <c r="PSC312" s="15"/>
      <c r="PSE312" s="13"/>
      <c r="PSF312" s="35"/>
      <c r="PSG312" s="35"/>
      <c r="PSH312" s="15"/>
      <c r="PSJ312" s="13"/>
      <c r="PSK312" s="35"/>
      <c r="PSL312" s="35"/>
      <c r="PSM312" s="15"/>
      <c r="PSO312" s="13"/>
      <c r="PSP312" s="35"/>
      <c r="PSQ312" s="35"/>
      <c r="PSR312" s="15"/>
      <c r="PST312" s="13"/>
      <c r="PSU312" s="35"/>
      <c r="PSV312" s="35"/>
      <c r="PSW312" s="15"/>
      <c r="PSY312" s="13"/>
      <c r="PSZ312" s="35"/>
      <c r="PTA312" s="35"/>
      <c r="PTB312" s="15"/>
      <c r="PTD312" s="13"/>
      <c r="PTE312" s="35"/>
      <c r="PTF312" s="35"/>
      <c r="PTG312" s="15"/>
      <c r="PTI312" s="13"/>
      <c r="PTJ312" s="35"/>
      <c r="PTK312" s="35"/>
      <c r="PTL312" s="15"/>
      <c r="PTN312" s="13"/>
      <c r="PTO312" s="35"/>
      <c r="PTP312" s="35"/>
      <c r="PTQ312" s="15"/>
      <c r="PTS312" s="13"/>
      <c r="PTT312" s="35"/>
      <c r="PTU312" s="35"/>
      <c r="PTV312" s="15"/>
      <c r="PTX312" s="13"/>
      <c r="PTY312" s="35"/>
      <c r="PTZ312" s="35"/>
      <c r="PUA312" s="15"/>
      <c r="PUC312" s="13"/>
      <c r="PUD312" s="35"/>
      <c r="PUE312" s="35"/>
      <c r="PUF312" s="15"/>
      <c r="PUH312" s="13"/>
      <c r="PUI312" s="35"/>
      <c r="PUJ312" s="35"/>
      <c r="PUK312" s="15"/>
      <c r="PUM312" s="13"/>
      <c r="PUN312" s="35"/>
      <c r="PUO312" s="35"/>
      <c r="PUP312" s="15"/>
      <c r="PUR312" s="13"/>
      <c r="PUS312" s="35"/>
      <c r="PUT312" s="35"/>
      <c r="PUU312" s="15"/>
      <c r="PUW312" s="13"/>
      <c r="PUX312" s="35"/>
      <c r="PUY312" s="35"/>
      <c r="PUZ312" s="15"/>
      <c r="PVB312" s="13"/>
      <c r="PVC312" s="35"/>
      <c r="PVD312" s="35"/>
      <c r="PVE312" s="15"/>
      <c r="PVG312" s="13"/>
      <c r="PVH312" s="35"/>
      <c r="PVI312" s="35"/>
      <c r="PVJ312" s="15"/>
      <c r="PVL312" s="13"/>
      <c r="PVM312" s="35"/>
      <c r="PVN312" s="35"/>
      <c r="PVO312" s="15"/>
      <c r="PVQ312" s="13"/>
      <c r="PVR312" s="35"/>
      <c r="PVS312" s="35"/>
      <c r="PVT312" s="15"/>
      <c r="PVV312" s="13"/>
      <c r="PVW312" s="35"/>
      <c r="PVX312" s="35"/>
      <c r="PVY312" s="15"/>
      <c r="PWA312" s="13"/>
      <c r="PWB312" s="35"/>
      <c r="PWC312" s="35"/>
      <c r="PWD312" s="15"/>
      <c r="PWF312" s="13"/>
      <c r="PWG312" s="35"/>
      <c r="PWH312" s="35"/>
      <c r="PWI312" s="15"/>
      <c r="PWK312" s="13"/>
      <c r="PWL312" s="35"/>
      <c r="PWM312" s="35"/>
      <c r="PWN312" s="15"/>
      <c r="PWP312" s="13"/>
      <c r="PWQ312" s="35"/>
      <c r="PWR312" s="35"/>
      <c r="PWS312" s="15"/>
      <c r="PWU312" s="13"/>
      <c r="PWV312" s="35"/>
      <c r="PWW312" s="35"/>
      <c r="PWX312" s="15"/>
      <c r="PWZ312" s="13"/>
      <c r="PXA312" s="35"/>
      <c r="PXB312" s="35"/>
      <c r="PXC312" s="15"/>
      <c r="PXE312" s="13"/>
      <c r="PXF312" s="35"/>
      <c r="PXG312" s="35"/>
      <c r="PXH312" s="15"/>
      <c r="PXJ312" s="13"/>
      <c r="PXK312" s="35"/>
      <c r="PXL312" s="35"/>
      <c r="PXM312" s="15"/>
      <c r="PXO312" s="13"/>
      <c r="PXP312" s="35"/>
      <c r="PXQ312" s="35"/>
      <c r="PXR312" s="15"/>
      <c r="PXT312" s="13"/>
      <c r="PXU312" s="35"/>
      <c r="PXV312" s="35"/>
      <c r="PXW312" s="15"/>
      <c r="PXY312" s="13"/>
      <c r="PXZ312" s="35"/>
      <c r="PYA312" s="35"/>
      <c r="PYB312" s="15"/>
      <c r="PYD312" s="13"/>
      <c r="PYE312" s="35"/>
      <c r="PYF312" s="35"/>
      <c r="PYG312" s="15"/>
      <c r="PYI312" s="13"/>
      <c r="PYJ312" s="35"/>
      <c r="PYK312" s="35"/>
      <c r="PYL312" s="15"/>
      <c r="PYN312" s="13"/>
      <c r="PYO312" s="35"/>
      <c r="PYP312" s="35"/>
      <c r="PYQ312" s="15"/>
      <c r="PYS312" s="13"/>
      <c r="PYT312" s="35"/>
      <c r="PYU312" s="35"/>
      <c r="PYV312" s="15"/>
      <c r="PYX312" s="13"/>
      <c r="PYY312" s="35"/>
      <c r="PYZ312" s="35"/>
      <c r="PZA312" s="15"/>
      <c r="PZC312" s="13"/>
      <c r="PZD312" s="35"/>
      <c r="PZE312" s="35"/>
      <c r="PZF312" s="15"/>
      <c r="PZH312" s="13"/>
      <c r="PZI312" s="35"/>
      <c r="PZJ312" s="35"/>
      <c r="PZK312" s="15"/>
      <c r="PZM312" s="13"/>
      <c r="PZN312" s="35"/>
      <c r="PZO312" s="35"/>
      <c r="PZP312" s="15"/>
      <c r="PZR312" s="13"/>
      <c r="PZS312" s="35"/>
      <c r="PZT312" s="35"/>
      <c r="PZU312" s="15"/>
      <c r="PZW312" s="13"/>
      <c r="PZX312" s="35"/>
      <c r="PZY312" s="35"/>
      <c r="PZZ312" s="15"/>
      <c r="QAB312" s="13"/>
      <c r="QAC312" s="35"/>
      <c r="QAD312" s="35"/>
      <c r="QAE312" s="15"/>
      <c r="QAG312" s="13"/>
      <c r="QAH312" s="35"/>
      <c r="QAI312" s="35"/>
      <c r="QAJ312" s="15"/>
      <c r="QAL312" s="13"/>
      <c r="QAM312" s="35"/>
      <c r="QAN312" s="35"/>
      <c r="QAO312" s="15"/>
      <c r="QAQ312" s="13"/>
      <c r="QAR312" s="35"/>
      <c r="QAS312" s="35"/>
      <c r="QAT312" s="15"/>
      <c r="QAV312" s="13"/>
      <c r="QAW312" s="35"/>
      <c r="QAX312" s="35"/>
      <c r="QAY312" s="15"/>
      <c r="QBA312" s="13"/>
      <c r="QBB312" s="35"/>
      <c r="QBC312" s="35"/>
      <c r="QBD312" s="15"/>
      <c r="QBF312" s="13"/>
      <c r="QBG312" s="35"/>
      <c r="QBH312" s="35"/>
      <c r="QBI312" s="15"/>
      <c r="QBK312" s="13"/>
      <c r="QBL312" s="35"/>
      <c r="QBM312" s="35"/>
      <c r="QBN312" s="15"/>
      <c r="QBP312" s="13"/>
      <c r="QBQ312" s="35"/>
      <c r="QBR312" s="35"/>
      <c r="QBS312" s="15"/>
      <c r="QBU312" s="13"/>
      <c r="QBV312" s="35"/>
      <c r="QBW312" s="35"/>
      <c r="QBX312" s="15"/>
      <c r="QBZ312" s="13"/>
      <c r="QCA312" s="35"/>
      <c r="QCB312" s="35"/>
      <c r="QCC312" s="15"/>
      <c r="QCE312" s="13"/>
      <c r="QCF312" s="35"/>
      <c r="QCG312" s="35"/>
      <c r="QCH312" s="15"/>
      <c r="QCJ312" s="13"/>
      <c r="QCK312" s="35"/>
      <c r="QCL312" s="35"/>
      <c r="QCM312" s="15"/>
      <c r="QCO312" s="13"/>
      <c r="QCP312" s="35"/>
      <c r="QCQ312" s="35"/>
      <c r="QCR312" s="15"/>
      <c r="QCT312" s="13"/>
      <c r="QCU312" s="35"/>
      <c r="QCV312" s="35"/>
      <c r="QCW312" s="15"/>
      <c r="QCY312" s="13"/>
      <c r="QCZ312" s="35"/>
      <c r="QDA312" s="35"/>
      <c r="QDB312" s="15"/>
      <c r="QDD312" s="13"/>
      <c r="QDE312" s="35"/>
      <c r="QDF312" s="35"/>
      <c r="QDG312" s="15"/>
      <c r="QDI312" s="13"/>
      <c r="QDJ312" s="35"/>
      <c r="QDK312" s="35"/>
      <c r="QDL312" s="15"/>
      <c r="QDN312" s="13"/>
      <c r="QDO312" s="35"/>
      <c r="QDP312" s="35"/>
      <c r="QDQ312" s="15"/>
      <c r="QDS312" s="13"/>
      <c r="QDT312" s="35"/>
      <c r="QDU312" s="35"/>
      <c r="QDV312" s="15"/>
      <c r="QDX312" s="13"/>
      <c r="QDY312" s="35"/>
      <c r="QDZ312" s="35"/>
      <c r="QEA312" s="15"/>
      <c r="QEC312" s="13"/>
      <c r="QED312" s="35"/>
      <c r="QEE312" s="35"/>
      <c r="QEF312" s="15"/>
      <c r="QEH312" s="13"/>
      <c r="QEI312" s="35"/>
      <c r="QEJ312" s="35"/>
      <c r="QEK312" s="15"/>
      <c r="QEM312" s="13"/>
      <c r="QEN312" s="35"/>
      <c r="QEO312" s="35"/>
      <c r="QEP312" s="15"/>
      <c r="QER312" s="13"/>
      <c r="QES312" s="35"/>
      <c r="QET312" s="35"/>
      <c r="QEU312" s="15"/>
      <c r="QEW312" s="13"/>
      <c r="QEX312" s="35"/>
      <c r="QEY312" s="35"/>
      <c r="QEZ312" s="15"/>
      <c r="QFB312" s="13"/>
      <c r="QFC312" s="35"/>
      <c r="QFD312" s="35"/>
      <c r="QFE312" s="15"/>
      <c r="QFG312" s="13"/>
      <c r="QFH312" s="35"/>
      <c r="QFI312" s="35"/>
      <c r="QFJ312" s="15"/>
      <c r="QFL312" s="13"/>
      <c r="QFM312" s="35"/>
      <c r="QFN312" s="35"/>
      <c r="QFO312" s="15"/>
      <c r="QFQ312" s="13"/>
      <c r="QFR312" s="35"/>
      <c r="QFS312" s="35"/>
      <c r="QFT312" s="15"/>
      <c r="QFV312" s="13"/>
      <c r="QFW312" s="35"/>
      <c r="QFX312" s="35"/>
      <c r="QFY312" s="15"/>
      <c r="QGA312" s="13"/>
      <c r="QGB312" s="35"/>
      <c r="QGC312" s="35"/>
      <c r="QGD312" s="15"/>
      <c r="QGF312" s="13"/>
      <c r="QGG312" s="35"/>
      <c r="QGH312" s="35"/>
      <c r="QGI312" s="15"/>
      <c r="QGK312" s="13"/>
      <c r="QGL312" s="35"/>
      <c r="QGM312" s="35"/>
      <c r="QGN312" s="15"/>
      <c r="QGP312" s="13"/>
      <c r="QGQ312" s="35"/>
      <c r="QGR312" s="35"/>
      <c r="QGS312" s="15"/>
      <c r="QGU312" s="13"/>
      <c r="QGV312" s="35"/>
      <c r="QGW312" s="35"/>
      <c r="QGX312" s="15"/>
      <c r="QGZ312" s="13"/>
      <c r="QHA312" s="35"/>
      <c r="QHB312" s="35"/>
      <c r="QHC312" s="15"/>
      <c r="QHE312" s="13"/>
      <c r="QHF312" s="35"/>
      <c r="QHG312" s="35"/>
      <c r="QHH312" s="15"/>
      <c r="QHJ312" s="13"/>
      <c r="QHK312" s="35"/>
      <c r="QHL312" s="35"/>
      <c r="QHM312" s="15"/>
      <c r="QHO312" s="13"/>
      <c r="QHP312" s="35"/>
      <c r="QHQ312" s="35"/>
      <c r="QHR312" s="15"/>
      <c r="QHT312" s="13"/>
      <c r="QHU312" s="35"/>
      <c r="QHV312" s="35"/>
      <c r="QHW312" s="15"/>
      <c r="QHY312" s="13"/>
      <c r="QHZ312" s="35"/>
      <c r="QIA312" s="35"/>
      <c r="QIB312" s="15"/>
      <c r="QID312" s="13"/>
      <c r="QIE312" s="35"/>
      <c r="QIF312" s="35"/>
      <c r="QIG312" s="15"/>
      <c r="QII312" s="13"/>
      <c r="QIJ312" s="35"/>
      <c r="QIK312" s="35"/>
      <c r="QIL312" s="15"/>
      <c r="QIN312" s="13"/>
      <c r="QIO312" s="35"/>
      <c r="QIP312" s="35"/>
      <c r="QIQ312" s="15"/>
      <c r="QIS312" s="13"/>
      <c r="QIT312" s="35"/>
      <c r="QIU312" s="35"/>
      <c r="QIV312" s="15"/>
      <c r="QIX312" s="13"/>
      <c r="QIY312" s="35"/>
      <c r="QIZ312" s="35"/>
      <c r="QJA312" s="15"/>
      <c r="QJC312" s="13"/>
      <c r="QJD312" s="35"/>
      <c r="QJE312" s="35"/>
      <c r="QJF312" s="15"/>
      <c r="QJH312" s="13"/>
      <c r="QJI312" s="35"/>
      <c r="QJJ312" s="35"/>
      <c r="QJK312" s="15"/>
      <c r="QJM312" s="13"/>
      <c r="QJN312" s="35"/>
      <c r="QJO312" s="35"/>
      <c r="QJP312" s="15"/>
      <c r="QJR312" s="13"/>
      <c r="QJS312" s="35"/>
      <c r="QJT312" s="35"/>
      <c r="QJU312" s="15"/>
      <c r="QJW312" s="13"/>
      <c r="QJX312" s="35"/>
      <c r="QJY312" s="35"/>
      <c r="QJZ312" s="15"/>
      <c r="QKB312" s="13"/>
      <c r="QKC312" s="35"/>
      <c r="QKD312" s="35"/>
      <c r="QKE312" s="15"/>
      <c r="QKG312" s="13"/>
      <c r="QKH312" s="35"/>
      <c r="QKI312" s="35"/>
      <c r="QKJ312" s="15"/>
      <c r="QKL312" s="13"/>
      <c r="QKM312" s="35"/>
      <c r="QKN312" s="35"/>
      <c r="QKO312" s="15"/>
      <c r="QKQ312" s="13"/>
      <c r="QKR312" s="35"/>
      <c r="QKS312" s="35"/>
      <c r="QKT312" s="15"/>
      <c r="QKV312" s="13"/>
      <c r="QKW312" s="35"/>
      <c r="QKX312" s="35"/>
      <c r="QKY312" s="15"/>
      <c r="QLA312" s="13"/>
      <c r="QLB312" s="35"/>
      <c r="QLC312" s="35"/>
      <c r="QLD312" s="15"/>
      <c r="QLF312" s="13"/>
      <c r="QLG312" s="35"/>
      <c r="QLH312" s="35"/>
      <c r="QLI312" s="15"/>
      <c r="QLK312" s="13"/>
      <c r="QLL312" s="35"/>
      <c r="QLM312" s="35"/>
      <c r="QLN312" s="15"/>
      <c r="QLP312" s="13"/>
      <c r="QLQ312" s="35"/>
      <c r="QLR312" s="35"/>
      <c r="QLS312" s="15"/>
      <c r="QLU312" s="13"/>
      <c r="QLV312" s="35"/>
      <c r="QLW312" s="35"/>
      <c r="QLX312" s="15"/>
      <c r="QLZ312" s="13"/>
      <c r="QMA312" s="35"/>
      <c r="QMB312" s="35"/>
      <c r="QMC312" s="15"/>
      <c r="QME312" s="13"/>
      <c r="QMF312" s="35"/>
      <c r="QMG312" s="35"/>
      <c r="QMH312" s="15"/>
      <c r="QMJ312" s="13"/>
      <c r="QMK312" s="35"/>
      <c r="QML312" s="35"/>
      <c r="QMM312" s="15"/>
      <c r="QMO312" s="13"/>
      <c r="QMP312" s="35"/>
      <c r="QMQ312" s="35"/>
      <c r="QMR312" s="15"/>
      <c r="QMT312" s="13"/>
      <c r="QMU312" s="35"/>
      <c r="QMV312" s="35"/>
      <c r="QMW312" s="15"/>
      <c r="QMY312" s="13"/>
      <c r="QMZ312" s="35"/>
      <c r="QNA312" s="35"/>
      <c r="QNB312" s="15"/>
      <c r="QND312" s="13"/>
      <c r="QNE312" s="35"/>
      <c r="QNF312" s="35"/>
      <c r="QNG312" s="15"/>
      <c r="QNI312" s="13"/>
      <c r="QNJ312" s="35"/>
      <c r="QNK312" s="35"/>
      <c r="QNL312" s="15"/>
      <c r="QNN312" s="13"/>
      <c r="QNO312" s="35"/>
      <c r="QNP312" s="35"/>
      <c r="QNQ312" s="15"/>
      <c r="QNS312" s="13"/>
      <c r="QNT312" s="35"/>
      <c r="QNU312" s="35"/>
      <c r="QNV312" s="15"/>
      <c r="QNX312" s="13"/>
      <c r="QNY312" s="35"/>
      <c r="QNZ312" s="35"/>
      <c r="QOA312" s="15"/>
      <c r="QOC312" s="13"/>
      <c r="QOD312" s="35"/>
      <c r="QOE312" s="35"/>
      <c r="QOF312" s="15"/>
      <c r="QOH312" s="13"/>
      <c r="QOI312" s="35"/>
      <c r="QOJ312" s="35"/>
      <c r="QOK312" s="15"/>
      <c r="QOM312" s="13"/>
      <c r="QON312" s="35"/>
      <c r="QOO312" s="35"/>
      <c r="QOP312" s="15"/>
      <c r="QOR312" s="13"/>
      <c r="QOS312" s="35"/>
      <c r="QOT312" s="35"/>
      <c r="QOU312" s="15"/>
      <c r="QOW312" s="13"/>
      <c r="QOX312" s="35"/>
      <c r="QOY312" s="35"/>
      <c r="QOZ312" s="15"/>
      <c r="QPB312" s="13"/>
      <c r="QPC312" s="35"/>
      <c r="QPD312" s="35"/>
      <c r="QPE312" s="15"/>
      <c r="QPG312" s="13"/>
      <c r="QPH312" s="35"/>
      <c r="QPI312" s="35"/>
      <c r="QPJ312" s="15"/>
      <c r="QPL312" s="13"/>
      <c r="QPM312" s="35"/>
      <c r="QPN312" s="35"/>
      <c r="QPO312" s="15"/>
      <c r="QPQ312" s="13"/>
      <c r="QPR312" s="35"/>
      <c r="QPS312" s="35"/>
      <c r="QPT312" s="15"/>
      <c r="QPV312" s="13"/>
      <c r="QPW312" s="35"/>
      <c r="QPX312" s="35"/>
      <c r="QPY312" s="15"/>
      <c r="QQA312" s="13"/>
      <c r="QQB312" s="35"/>
      <c r="QQC312" s="35"/>
      <c r="QQD312" s="15"/>
      <c r="QQF312" s="13"/>
      <c r="QQG312" s="35"/>
      <c r="QQH312" s="35"/>
      <c r="QQI312" s="15"/>
      <c r="QQK312" s="13"/>
      <c r="QQL312" s="35"/>
      <c r="QQM312" s="35"/>
      <c r="QQN312" s="15"/>
      <c r="QQP312" s="13"/>
      <c r="QQQ312" s="35"/>
      <c r="QQR312" s="35"/>
      <c r="QQS312" s="15"/>
      <c r="QQU312" s="13"/>
      <c r="QQV312" s="35"/>
      <c r="QQW312" s="35"/>
      <c r="QQX312" s="15"/>
      <c r="QQZ312" s="13"/>
      <c r="QRA312" s="35"/>
      <c r="QRB312" s="35"/>
      <c r="QRC312" s="15"/>
      <c r="QRE312" s="13"/>
      <c r="QRF312" s="35"/>
      <c r="QRG312" s="35"/>
      <c r="QRH312" s="15"/>
      <c r="QRJ312" s="13"/>
      <c r="QRK312" s="35"/>
      <c r="QRL312" s="35"/>
      <c r="QRM312" s="15"/>
      <c r="QRO312" s="13"/>
      <c r="QRP312" s="35"/>
      <c r="QRQ312" s="35"/>
      <c r="QRR312" s="15"/>
      <c r="QRT312" s="13"/>
      <c r="QRU312" s="35"/>
      <c r="QRV312" s="35"/>
      <c r="QRW312" s="15"/>
      <c r="QRY312" s="13"/>
      <c r="QRZ312" s="35"/>
      <c r="QSA312" s="35"/>
      <c r="QSB312" s="15"/>
      <c r="QSD312" s="13"/>
      <c r="QSE312" s="35"/>
      <c r="QSF312" s="35"/>
      <c r="QSG312" s="15"/>
      <c r="QSI312" s="13"/>
      <c r="QSJ312" s="35"/>
      <c r="QSK312" s="35"/>
      <c r="QSL312" s="15"/>
      <c r="QSN312" s="13"/>
      <c r="QSO312" s="35"/>
      <c r="QSP312" s="35"/>
      <c r="QSQ312" s="15"/>
      <c r="QSS312" s="13"/>
      <c r="QST312" s="35"/>
      <c r="QSU312" s="35"/>
      <c r="QSV312" s="15"/>
      <c r="QSX312" s="13"/>
      <c r="QSY312" s="35"/>
      <c r="QSZ312" s="35"/>
      <c r="QTA312" s="15"/>
      <c r="QTC312" s="13"/>
      <c r="QTD312" s="35"/>
      <c r="QTE312" s="35"/>
      <c r="QTF312" s="15"/>
      <c r="QTH312" s="13"/>
      <c r="QTI312" s="35"/>
      <c r="QTJ312" s="35"/>
      <c r="QTK312" s="15"/>
      <c r="QTM312" s="13"/>
      <c r="QTN312" s="35"/>
      <c r="QTO312" s="35"/>
      <c r="QTP312" s="15"/>
      <c r="QTR312" s="13"/>
      <c r="QTS312" s="35"/>
      <c r="QTT312" s="35"/>
      <c r="QTU312" s="15"/>
      <c r="QTW312" s="13"/>
      <c r="QTX312" s="35"/>
      <c r="QTY312" s="35"/>
      <c r="QTZ312" s="15"/>
      <c r="QUB312" s="13"/>
      <c r="QUC312" s="35"/>
      <c r="QUD312" s="35"/>
      <c r="QUE312" s="15"/>
      <c r="QUG312" s="13"/>
      <c r="QUH312" s="35"/>
      <c r="QUI312" s="35"/>
      <c r="QUJ312" s="15"/>
      <c r="QUL312" s="13"/>
      <c r="QUM312" s="35"/>
      <c r="QUN312" s="35"/>
      <c r="QUO312" s="15"/>
      <c r="QUQ312" s="13"/>
      <c r="QUR312" s="35"/>
      <c r="QUS312" s="35"/>
      <c r="QUT312" s="15"/>
      <c r="QUV312" s="13"/>
      <c r="QUW312" s="35"/>
      <c r="QUX312" s="35"/>
      <c r="QUY312" s="15"/>
      <c r="QVA312" s="13"/>
      <c r="QVB312" s="35"/>
      <c r="QVC312" s="35"/>
      <c r="QVD312" s="15"/>
      <c r="QVF312" s="13"/>
      <c r="QVG312" s="35"/>
      <c r="QVH312" s="35"/>
      <c r="QVI312" s="15"/>
      <c r="QVK312" s="13"/>
      <c r="QVL312" s="35"/>
      <c r="QVM312" s="35"/>
      <c r="QVN312" s="15"/>
      <c r="QVP312" s="13"/>
      <c r="QVQ312" s="35"/>
      <c r="QVR312" s="35"/>
      <c r="QVS312" s="15"/>
      <c r="QVU312" s="13"/>
      <c r="QVV312" s="35"/>
      <c r="QVW312" s="35"/>
      <c r="QVX312" s="15"/>
      <c r="QVZ312" s="13"/>
      <c r="QWA312" s="35"/>
      <c r="QWB312" s="35"/>
      <c r="QWC312" s="15"/>
      <c r="QWE312" s="13"/>
      <c r="QWF312" s="35"/>
      <c r="QWG312" s="35"/>
      <c r="QWH312" s="15"/>
      <c r="QWJ312" s="13"/>
      <c r="QWK312" s="35"/>
      <c r="QWL312" s="35"/>
      <c r="QWM312" s="15"/>
      <c r="QWO312" s="13"/>
      <c r="QWP312" s="35"/>
      <c r="QWQ312" s="35"/>
      <c r="QWR312" s="15"/>
      <c r="QWT312" s="13"/>
      <c r="QWU312" s="35"/>
      <c r="QWV312" s="35"/>
      <c r="QWW312" s="15"/>
      <c r="QWY312" s="13"/>
      <c r="QWZ312" s="35"/>
      <c r="QXA312" s="35"/>
      <c r="QXB312" s="15"/>
      <c r="QXD312" s="13"/>
      <c r="QXE312" s="35"/>
      <c r="QXF312" s="35"/>
      <c r="QXG312" s="15"/>
      <c r="QXI312" s="13"/>
      <c r="QXJ312" s="35"/>
      <c r="QXK312" s="35"/>
      <c r="QXL312" s="15"/>
      <c r="QXN312" s="13"/>
      <c r="QXO312" s="35"/>
      <c r="QXP312" s="35"/>
      <c r="QXQ312" s="15"/>
      <c r="QXS312" s="13"/>
      <c r="QXT312" s="35"/>
      <c r="QXU312" s="35"/>
      <c r="QXV312" s="15"/>
      <c r="QXX312" s="13"/>
      <c r="QXY312" s="35"/>
      <c r="QXZ312" s="35"/>
      <c r="QYA312" s="15"/>
      <c r="QYC312" s="13"/>
      <c r="QYD312" s="35"/>
      <c r="QYE312" s="35"/>
      <c r="QYF312" s="15"/>
      <c r="QYH312" s="13"/>
      <c r="QYI312" s="35"/>
      <c r="QYJ312" s="35"/>
      <c r="QYK312" s="15"/>
      <c r="QYM312" s="13"/>
      <c r="QYN312" s="35"/>
      <c r="QYO312" s="35"/>
      <c r="QYP312" s="15"/>
      <c r="QYR312" s="13"/>
      <c r="QYS312" s="35"/>
      <c r="QYT312" s="35"/>
      <c r="QYU312" s="15"/>
      <c r="QYW312" s="13"/>
      <c r="QYX312" s="35"/>
      <c r="QYY312" s="35"/>
      <c r="QYZ312" s="15"/>
      <c r="QZB312" s="13"/>
      <c r="QZC312" s="35"/>
      <c r="QZD312" s="35"/>
      <c r="QZE312" s="15"/>
      <c r="QZG312" s="13"/>
      <c r="QZH312" s="35"/>
      <c r="QZI312" s="35"/>
      <c r="QZJ312" s="15"/>
      <c r="QZL312" s="13"/>
      <c r="QZM312" s="35"/>
      <c r="QZN312" s="35"/>
      <c r="QZO312" s="15"/>
      <c r="QZQ312" s="13"/>
      <c r="QZR312" s="35"/>
      <c r="QZS312" s="35"/>
      <c r="QZT312" s="15"/>
      <c r="QZV312" s="13"/>
      <c r="QZW312" s="35"/>
      <c r="QZX312" s="35"/>
      <c r="QZY312" s="15"/>
      <c r="RAA312" s="13"/>
      <c r="RAB312" s="35"/>
      <c r="RAC312" s="35"/>
      <c r="RAD312" s="15"/>
      <c r="RAF312" s="13"/>
      <c r="RAG312" s="35"/>
      <c r="RAH312" s="35"/>
      <c r="RAI312" s="15"/>
      <c r="RAK312" s="13"/>
      <c r="RAL312" s="35"/>
      <c r="RAM312" s="35"/>
      <c r="RAN312" s="15"/>
      <c r="RAP312" s="13"/>
      <c r="RAQ312" s="35"/>
      <c r="RAR312" s="35"/>
      <c r="RAS312" s="15"/>
      <c r="RAU312" s="13"/>
      <c r="RAV312" s="35"/>
      <c r="RAW312" s="35"/>
      <c r="RAX312" s="15"/>
      <c r="RAZ312" s="13"/>
      <c r="RBA312" s="35"/>
      <c r="RBB312" s="35"/>
      <c r="RBC312" s="15"/>
      <c r="RBE312" s="13"/>
      <c r="RBF312" s="35"/>
      <c r="RBG312" s="35"/>
      <c r="RBH312" s="15"/>
      <c r="RBJ312" s="13"/>
      <c r="RBK312" s="35"/>
      <c r="RBL312" s="35"/>
      <c r="RBM312" s="15"/>
      <c r="RBO312" s="13"/>
      <c r="RBP312" s="35"/>
      <c r="RBQ312" s="35"/>
      <c r="RBR312" s="15"/>
      <c r="RBT312" s="13"/>
      <c r="RBU312" s="35"/>
      <c r="RBV312" s="35"/>
      <c r="RBW312" s="15"/>
      <c r="RBY312" s="13"/>
      <c r="RBZ312" s="35"/>
      <c r="RCA312" s="35"/>
      <c r="RCB312" s="15"/>
      <c r="RCD312" s="13"/>
      <c r="RCE312" s="35"/>
      <c r="RCF312" s="35"/>
      <c r="RCG312" s="15"/>
      <c r="RCI312" s="13"/>
      <c r="RCJ312" s="35"/>
      <c r="RCK312" s="35"/>
      <c r="RCL312" s="15"/>
      <c r="RCN312" s="13"/>
      <c r="RCO312" s="35"/>
      <c r="RCP312" s="35"/>
      <c r="RCQ312" s="15"/>
      <c r="RCS312" s="13"/>
      <c r="RCT312" s="35"/>
      <c r="RCU312" s="35"/>
      <c r="RCV312" s="15"/>
      <c r="RCX312" s="13"/>
      <c r="RCY312" s="35"/>
      <c r="RCZ312" s="35"/>
      <c r="RDA312" s="15"/>
      <c r="RDC312" s="13"/>
      <c r="RDD312" s="35"/>
      <c r="RDE312" s="35"/>
      <c r="RDF312" s="15"/>
      <c r="RDH312" s="13"/>
      <c r="RDI312" s="35"/>
      <c r="RDJ312" s="35"/>
      <c r="RDK312" s="15"/>
      <c r="RDM312" s="13"/>
      <c r="RDN312" s="35"/>
      <c r="RDO312" s="35"/>
      <c r="RDP312" s="15"/>
      <c r="RDR312" s="13"/>
      <c r="RDS312" s="35"/>
      <c r="RDT312" s="35"/>
      <c r="RDU312" s="15"/>
      <c r="RDW312" s="13"/>
      <c r="RDX312" s="35"/>
      <c r="RDY312" s="35"/>
      <c r="RDZ312" s="15"/>
      <c r="REB312" s="13"/>
      <c r="REC312" s="35"/>
      <c r="RED312" s="35"/>
      <c r="REE312" s="15"/>
      <c r="REG312" s="13"/>
      <c r="REH312" s="35"/>
      <c r="REI312" s="35"/>
      <c r="REJ312" s="15"/>
      <c r="REL312" s="13"/>
      <c r="REM312" s="35"/>
      <c r="REN312" s="35"/>
      <c r="REO312" s="15"/>
      <c r="REQ312" s="13"/>
      <c r="RER312" s="35"/>
      <c r="RES312" s="35"/>
      <c r="RET312" s="15"/>
      <c r="REV312" s="13"/>
      <c r="REW312" s="35"/>
      <c r="REX312" s="35"/>
      <c r="REY312" s="15"/>
      <c r="RFA312" s="13"/>
      <c r="RFB312" s="35"/>
      <c r="RFC312" s="35"/>
      <c r="RFD312" s="15"/>
      <c r="RFF312" s="13"/>
      <c r="RFG312" s="35"/>
      <c r="RFH312" s="35"/>
      <c r="RFI312" s="15"/>
      <c r="RFK312" s="13"/>
      <c r="RFL312" s="35"/>
      <c r="RFM312" s="35"/>
      <c r="RFN312" s="15"/>
      <c r="RFP312" s="13"/>
      <c r="RFQ312" s="35"/>
      <c r="RFR312" s="35"/>
      <c r="RFS312" s="15"/>
      <c r="RFU312" s="13"/>
      <c r="RFV312" s="35"/>
      <c r="RFW312" s="35"/>
      <c r="RFX312" s="15"/>
      <c r="RFZ312" s="13"/>
      <c r="RGA312" s="35"/>
      <c r="RGB312" s="35"/>
      <c r="RGC312" s="15"/>
      <c r="RGE312" s="13"/>
      <c r="RGF312" s="35"/>
      <c r="RGG312" s="35"/>
      <c r="RGH312" s="15"/>
      <c r="RGJ312" s="13"/>
      <c r="RGK312" s="35"/>
      <c r="RGL312" s="35"/>
      <c r="RGM312" s="15"/>
      <c r="RGO312" s="13"/>
      <c r="RGP312" s="35"/>
      <c r="RGQ312" s="35"/>
      <c r="RGR312" s="15"/>
      <c r="RGT312" s="13"/>
      <c r="RGU312" s="35"/>
      <c r="RGV312" s="35"/>
      <c r="RGW312" s="15"/>
      <c r="RGY312" s="13"/>
      <c r="RGZ312" s="35"/>
      <c r="RHA312" s="35"/>
      <c r="RHB312" s="15"/>
      <c r="RHD312" s="13"/>
      <c r="RHE312" s="35"/>
      <c r="RHF312" s="35"/>
      <c r="RHG312" s="15"/>
      <c r="RHI312" s="13"/>
      <c r="RHJ312" s="35"/>
      <c r="RHK312" s="35"/>
      <c r="RHL312" s="15"/>
      <c r="RHN312" s="13"/>
      <c r="RHO312" s="35"/>
      <c r="RHP312" s="35"/>
      <c r="RHQ312" s="15"/>
      <c r="RHS312" s="13"/>
      <c r="RHT312" s="35"/>
      <c r="RHU312" s="35"/>
      <c r="RHV312" s="15"/>
      <c r="RHX312" s="13"/>
      <c r="RHY312" s="35"/>
      <c r="RHZ312" s="35"/>
      <c r="RIA312" s="15"/>
      <c r="RIC312" s="13"/>
      <c r="RID312" s="35"/>
      <c r="RIE312" s="35"/>
      <c r="RIF312" s="15"/>
      <c r="RIH312" s="13"/>
      <c r="RII312" s="35"/>
      <c r="RIJ312" s="35"/>
      <c r="RIK312" s="15"/>
      <c r="RIM312" s="13"/>
      <c r="RIN312" s="35"/>
      <c r="RIO312" s="35"/>
      <c r="RIP312" s="15"/>
      <c r="RIR312" s="13"/>
      <c r="RIS312" s="35"/>
      <c r="RIT312" s="35"/>
      <c r="RIU312" s="15"/>
      <c r="RIW312" s="13"/>
      <c r="RIX312" s="35"/>
      <c r="RIY312" s="35"/>
      <c r="RIZ312" s="15"/>
      <c r="RJB312" s="13"/>
      <c r="RJC312" s="35"/>
      <c r="RJD312" s="35"/>
      <c r="RJE312" s="15"/>
      <c r="RJG312" s="13"/>
      <c r="RJH312" s="35"/>
      <c r="RJI312" s="35"/>
      <c r="RJJ312" s="15"/>
      <c r="RJL312" s="13"/>
      <c r="RJM312" s="35"/>
      <c r="RJN312" s="35"/>
      <c r="RJO312" s="15"/>
      <c r="RJQ312" s="13"/>
      <c r="RJR312" s="35"/>
      <c r="RJS312" s="35"/>
      <c r="RJT312" s="15"/>
      <c r="RJV312" s="13"/>
      <c r="RJW312" s="35"/>
      <c r="RJX312" s="35"/>
      <c r="RJY312" s="15"/>
      <c r="RKA312" s="13"/>
      <c r="RKB312" s="35"/>
      <c r="RKC312" s="35"/>
      <c r="RKD312" s="15"/>
      <c r="RKF312" s="13"/>
      <c r="RKG312" s="35"/>
      <c r="RKH312" s="35"/>
      <c r="RKI312" s="15"/>
      <c r="RKK312" s="13"/>
      <c r="RKL312" s="35"/>
      <c r="RKM312" s="35"/>
      <c r="RKN312" s="15"/>
      <c r="RKP312" s="13"/>
      <c r="RKQ312" s="35"/>
      <c r="RKR312" s="35"/>
      <c r="RKS312" s="15"/>
      <c r="RKU312" s="13"/>
      <c r="RKV312" s="35"/>
      <c r="RKW312" s="35"/>
      <c r="RKX312" s="15"/>
      <c r="RKZ312" s="13"/>
      <c r="RLA312" s="35"/>
      <c r="RLB312" s="35"/>
      <c r="RLC312" s="15"/>
      <c r="RLE312" s="13"/>
      <c r="RLF312" s="35"/>
      <c r="RLG312" s="35"/>
      <c r="RLH312" s="15"/>
      <c r="RLJ312" s="13"/>
      <c r="RLK312" s="35"/>
      <c r="RLL312" s="35"/>
      <c r="RLM312" s="15"/>
      <c r="RLO312" s="13"/>
      <c r="RLP312" s="35"/>
      <c r="RLQ312" s="35"/>
      <c r="RLR312" s="15"/>
      <c r="RLT312" s="13"/>
      <c r="RLU312" s="35"/>
      <c r="RLV312" s="35"/>
      <c r="RLW312" s="15"/>
      <c r="RLY312" s="13"/>
      <c r="RLZ312" s="35"/>
      <c r="RMA312" s="35"/>
      <c r="RMB312" s="15"/>
      <c r="RMD312" s="13"/>
      <c r="RME312" s="35"/>
      <c r="RMF312" s="35"/>
      <c r="RMG312" s="15"/>
      <c r="RMI312" s="13"/>
      <c r="RMJ312" s="35"/>
      <c r="RMK312" s="35"/>
      <c r="RML312" s="15"/>
      <c r="RMN312" s="13"/>
      <c r="RMO312" s="35"/>
      <c r="RMP312" s="35"/>
      <c r="RMQ312" s="15"/>
      <c r="RMS312" s="13"/>
      <c r="RMT312" s="35"/>
      <c r="RMU312" s="35"/>
      <c r="RMV312" s="15"/>
      <c r="RMX312" s="13"/>
      <c r="RMY312" s="35"/>
      <c r="RMZ312" s="35"/>
      <c r="RNA312" s="15"/>
      <c r="RNC312" s="13"/>
      <c r="RND312" s="35"/>
      <c r="RNE312" s="35"/>
      <c r="RNF312" s="15"/>
      <c r="RNH312" s="13"/>
      <c r="RNI312" s="35"/>
      <c r="RNJ312" s="35"/>
      <c r="RNK312" s="15"/>
      <c r="RNM312" s="13"/>
      <c r="RNN312" s="35"/>
      <c r="RNO312" s="35"/>
      <c r="RNP312" s="15"/>
      <c r="RNR312" s="13"/>
      <c r="RNS312" s="35"/>
      <c r="RNT312" s="35"/>
      <c r="RNU312" s="15"/>
      <c r="RNW312" s="13"/>
      <c r="RNX312" s="35"/>
      <c r="RNY312" s="35"/>
      <c r="RNZ312" s="15"/>
      <c r="ROB312" s="13"/>
      <c r="ROC312" s="35"/>
      <c r="ROD312" s="35"/>
      <c r="ROE312" s="15"/>
      <c r="ROG312" s="13"/>
      <c r="ROH312" s="35"/>
      <c r="ROI312" s="35"/>
      <c r="ROJ312" s="15"/>
      <c r="ROL312" s="13"/>
      <c r="ROM312" s="35"/>
      <c r="RON312" s="35"/>
      <c r="ROO312" s="15"/>
      <c r="ROQ312" s="13"/>
      <c r="ROR312" s="35"/>
      <c r="ROS312" s="35"/>
      <c r="ROT312" s="15"/>
      <c r="ROV312" s="13"/>
      <c r="ROW312" s="35"/>
      <c r="ROX312" s="35"/>
      <c r="ROY312" s="15"/>
      <c r="RPA312" s="13"/>
      <c r="RPB312" s="35"/>
      <c r="RPC312" s="35"/>
      <c r="RPD312" s="15"/>
      <c r="RPF312" s="13"/>
      <c r="RPG312" s="35"/>
      <c r="RPH312" s="35"/>
      <c r="RPI312" s="15"/>
      <c r="RPK312" s="13"/>
      <c r="RPL312" s="35"/>
      <c r="RPM312" s="35"/>
      <c r="RPN312" s="15"/>
      <c r="RPP312" s="13"/>
      <c r="RPQ312" s="35"/>
      <c r="RPR312" s="35"/>
      <c r="RPS312" s="15"/>
      <c r="RPU312" s="13"/>
      <c r="RPV312" s="35"/>
      <c r="RPW312" s="35"/>
      <c r="RPX312" s="15"/>
      <c r="RPZ312" s="13"/>
      <c r="RQA312" s="35"/>
      <c r="RQB312" s="35"/>
      <c r="RQC312" s="15"/>
      <c r="RQE312" s="13"/>
      <c r="RQF312" s="35"/>
      <c r="RQG312" s="35"/>
      <c r="RQH312" s="15"/>
      <c r="RQJ312" s="13"/>
      <c r="RQK312" s="35"/>
      <c r="RQL312" s="35"/>
      <c r="RQM312" s="15"/>
      <c r="RQO312" s="13"/>
      <c r="RQP312" s="35"/>
      <c r="RQQ312" s="35"/>
      <c r="RQR312" s="15"/>
      <c r="RQT312" s="13"/>
      <c r="RQU312" s="35"/>
      <c r="RQV312" s="35"/>
      <c r="RQW312" s="15"/>
      <c r="RQY312" s="13"/>
      <c r="RQZ312" s="35"/>
      <c r="RRA312" s="35"/>
      <c r="RRB312" s="15"/>
      <c r="RRD312" s="13"/>
      <c r="RRE312" s="35"/>
      <c r="RRF312" s="35"/>
      <c r="RRG312" s="15"/>
      <c r="RRI312" s="13"/>
      <c r="RRJ312" s="35"/>
      <c r="RRK312" s="35"/>
      <c r="RRL312" s="15"/>
      <c r="RRN312" s="13"/>
      <c r="RRO312" s="35"/>
      <c r="RRP312" s="35"/>
      <c r="RRQ312" s="15"/>
      <c r="RRS312" s="13"/>
      <c r="RRT312" s="35"/>
      <c r="RRU312" s="35"/>
      <c r="RRV312" s="15"/>
      <c r="RRX312" s="13"/>
      <c r="RRY312" s="35"/>
      <c r="RRZ312" s="35"/>
      <c r="RSA312" s="15"/>
      <c r="RSC312" s="13"/>
      <c r="RSD312" s="35"/>
      <c r="RSE312" s="35"/>
      <c r="RSF312" s="15"/>
      <c r="RSH312" s="13"/>
      <c r="RSI312" s="35"/>
      <c r="RSJ312" s="35"/>
      <c r="RSK312" s="15"/>
      <c r="RSM312" s="13"/>
      <c r="RSN312" s="35"/>
      <c r="RSO312" s="35"/>
      <c r="RSP312" s="15"/>
      <c r="RSR312" s="13"/>
      <c r="RSS312" s="35"/>
      <c r="RST312" s="35"/>
      <c r="RSU312" s="15"/>
      <c r="RSW312" s="13"/>
      <c r="RSX312" s="35"/>
      <c r="RSY312" s="35"/>
      <c r="RSZ312" s="15"/>
      <c r="RTB312" s="13"/>
      <c r="RTC312" s="35"/>
      <c r="RTD312" s="35"/>
      <c r="RTE312" s="15"/>
      <c r="RTG312" s="13"/>
      <c r="RTH312" s="35"/>
      <c r="RTI312" s="35"/>
      <c r="RTJ312" s="15"/>
      <c r="RTL312" s="13"/>
      <c r="RTM312" s="35"/>
      <c r="RTN312" s="35"/>
      <c r="RTO312" s="15"/>
      <c r="RTQ312" s="13"/>
      <c r="RTR312" s="35"/>
      <c r="RTS312" s="35"/>
      <c r="RTT312" s="15"/>
      <c r="RTV312" s="13"/>
      <c r="RTW312" s="35"/>
      <c r="RTX312" s="35"/>
      <c r="RTY312" s="15"/>
      <c r="RUA312" s="13"/>
      <c r="RUB312" s="35"/>
      <c r="RUC312" s="35"/>
      <c r="RUD312" s="15"/>
      <c r="RUF312" s="13"/>
      <c r="RUG312" s="35"/>
      <c r="RUH312" s="35"/>
      <c r="RUI312" s="15"/>
      <c r="RUK312" s="13"/>
      <c r="RUL312" s="35"/>
      <c r="RUM312" s="35"/>
      <c r="RUN312" s="15"/>
      <c r="RUP312" s="13"/>
      <c r="RUQ312" s="35"/>
      <c r="RUR312" s="35"/>
      <c r="RUS312" s="15"/>
      <c r="RUU312" s="13"/>
      <c r="RUV312" s="35"/>
      <c r="RUW312" s="35"/>
      <c r="RUX312" s="15"/>
      <c r="RUZ312" s="13"/>
      <c r="RVA312" s="35"/>
      <c r="RVB312" s="35"/>
      <c r="RVC312" s="15"/>
      <c r="RVE312" s="13"/>
      <c r="RVF312" s="35"/>
      <c r="RVG312" s="35"/>
      <c r="RVH312" s="15"/>
      <c r="RVJ312" s="13"/>
      <c r="RVK312" s="35"/>
      <c r="RVL312" s="35"/>
      <c r="RVM312" s="15"/>
      <c r="RVO312" s="13"/>
      <c r="RVP312" s="35"/>
      <c r="RVQ312" s="35"/>
      <c r="RVR312" s="15"/>
      <c r="RVT312" s="13"/>
      <c r="RVU312" s="35"/>
      <c r="RVV312" s="35"/>
      <c r="RVW312" s="15"/>
      <c r="RVY312" s="13"/>
      <c r="RVZ312" s="35"/>
      <c r="RWA312" s="35"/>
      <c r="RWB312" s="15"/>
      <c r="RWD312" s="13"/>
      <c r="RWE312" s="35"/>
      <c r="RWF312" s="35"/>
      <c r="RWG312" s="15"/>
      <c r="RWI312" s="13"/>
      <c r="RWJ312" s="35"/>
      <c r="RWK312" s="35"/>
      <c r="RWL312" s="15"/>
      <c r="RWN312" s="13"/>
      <c r="RWO312" s="35"/>
      <c r="RWP312" s="35"/>
      <c r="RWQ312" s="15"/>
      <c r="RWS312" s="13"/>
      <c r="RWT312" s="35"/>
      <c r="RWU312" s="35"/>
      <c r="RWV312" s="15"/>
      <c r="RWX312" s="13"/>
      <c r="RWY312" s="35"/>
      <c r="RWZ312" s="35"/>
      <c r="RXA312" s="15"/>
      <c r="RXC312" s="13"/>
      <c r="RXD312" s="35"/>
      <c r="RXE312" s="35"/>
      <c r="RXF312" s="15"/>
      <c r="RXH312" s="13"/>
      <c r="RXI312" s="35"/>
      <c r="RXJ312" s="35"/>
      <c r="RXK312" s="15"/>
      <c r="RXM312" s="13"/>
      <c r="RXN312" s="35"/>
      <c r="RXO312" s="35"/>
      <c r="RXP312" s="15"/>
      <c r="RXR312" s="13"/>
      <c r="RXS312" s="35"/>
      <c r="RXT312" s="35"/>
      <c r="RXU312" s="15"/>
      <c r="RXW312" s="13"/>
      <c r="RXX312" s="35"/>
      <c r="RXY312" s="35"/>
      <c r="RXZ312" s="15"/>
      <c r="RYB312" s="13"/>
      <c r="RYC312" s="35"/>
      <c r="RYD312" s="35"/>
      <c r="RYE312" s="15"/>
      <c r="RYG312" s="13"/>
      <c r="RYH312" s="35"/>
      <c r="RYI312" s="35"/>
      <c r="RYJ312" s="15"/>
      <c r="RYL312" s="13"/>
      <c r="RYM312" s="35"/>
      <c r="RYN312" s="35"/>
      <c r="RYO312" s="15"/>
      <c r="RYQ312" s="13"/>
      <c r="RYR312" s="35"/>
      <c r="RYS312" s="35"/>
      <c r="RYT312" s="15"/>
      <c r="RYV312" s="13"/>
      <c r="RYW312" s="35"/>
      <c r="RYX312" s="35"/>
      <c r="RYY312" s="15"/>
      <c r="RZA312" s="13"/>
      <c r="RZB312" s="35"/>
      <c r="RZC312" s="35"/>
      <c r="RZD312" s="15"/>
      <c r="RZF312" s="13"/>
      <c r="RZG312" s="35"/>
      <c r="RZH312" s="35"/>
      <c r="RZI312" s="15"/>
      <c r="RZK312" s="13"/>
      <c r="RZL312" s="35"/>
      <c r="RZM312" s="35"/>
      <c r="RZN312" s="15"/>
      <c r="RZP312" s="13"/>
      <c r="RZQ312" s="35"/>
      <c r="RZR312" s="35"/>
      <c r="RZS312" s="15"/>
      <c r="RZU312" s="13"/>
      <c r="RZV312" s="35"/>
      <c r="RZW312" s="35"/>
      <c r="RZX312" s="15"/>
      <c r="RZZ312" s="13"/>
      <c r="SAA312" s="35"/>
      <c r="SAB312" s="35"/>
      <c r="SAC312" s="15"/>
      <c r="SAE312" s="13"/>
      <c r="SAF312" s="35"/>
      <c r="SAG312" s="35"/>
      <c r="SAH312" s="15"/>
      <c r="SAJ312" s="13"/>
      <c r="SAK312" s="35"/>
      <c r="SAL312" s="35"/>
      <c r="SAM312" s="15"/>
      <c r="SAO312" s="13"/>
      <c r="SAP312" s="35"/>
      <c r="SAQ312" s="35"/>
      <c r="SAR312" s="15"/>
      <c r="SAT312" s="13"/>
      <c r="SAU312" s="35"/>
      <c r="SAV312" s="35"/>
      <c r="SAW312" s="15"/>
      <c r="SAY312" s="13"/>
      <c r="SAZ312" s="35"/>
      <c r="SBA312" s="35"/>
      <c r="SBB312" s="15"/>
      <c r="SBD312" s="13"/>
      <c r="SBE312" s="35"/>
      <c r="SBF312" s="35"/>
      <c r="SBG312" s="15"/>
      <c r="SBI312" s="13"/>
      <c r="SBJ312" s="35"/>
      <c r="SBK312" s="35"/>
      <c r="SBL312" s="15"/>
      <c r="SBN312" s="13"/>
      <c r="SBO312" s="35"/>
      <c r="SBP312" s="35"/>
      <c r="SBQ312" s="15"/>
      <c r="SBS312" s="13"/>
      <c r="SBT312" s="35"/>
      <c r="SBU312" s="35"/>
      <c r="SBV312" s="15"/>
      <c r="SBX312" s="13"/>
      <c r="SBY312" s="35"/>
      <c r="SBZ312" s="35"/>
      <c r="SCA312" s="15"/>
      <c r="SCC312" s="13"/>
      <c r="SCD312" s="35"/>
      <c r="SCE312" s="35"/>
      <c r="SCF312" s="15"/>
      <c r="SCH312" s="13"/>
      <c r="SCI312" s="35"/>
      <c r="SCJ312" s="35"/>
      <c r="SCK312" s="15"/>
      <c r="SCM312" s="13"/>
      <c r="SCN312" s="35"/>
      <c r="SCO312" s="35"/>
      <c r="SCP312" s="15"/>
      <c r="SCR312" s="13"/>
      <c r="SCS312" s="35"/>
      <c r="SCT312" s="35"/>
      <c r="SCU312" s="15"/>
      <c r="SCW312" s="13"/>
      <c r="SCX312" s="35"/>
      <c r="SCY312" s="35"/>
      <c r="SCZ312" s="15"/>
      <c r="SDB312" s="13"/>
      <c r="SDC312" s="35"/>
      <c r="SDD312" s="35"/>
      <c r="SDE312" s="15"/>
      <c r="SDG312" s="13"/>
      <c r="SDH312" s="35"/>
      <c r="SDI312" s="35"/>
      <c r="SDJ312" s="15"/>
      <c r="SDL312" s="13"/>
      <c r="SDM312" s="35"/>
      <c r="SDN312" s="35"/>
      <c r="SDO312" s="15"/>
      <c r="SDQ312" s="13"/>
      <c r="SDR312" s="35"/>
      <c r="SDS312" s="35"/>
      <c r="SDT312" s="15"/>
      <c r="SDV312" s="13"/>
      <c r="SDW312" s="35"/>
      <c r="SDX312" s="35"/>
      <c r="SDY312" s="15"/>
      <c r="SEA312" s="13"/>
      <c r="SEB312" s="35"/>
      <c r="SEC312" s="35"/>
      <c r="SED312" s="15"/>
      <c r="SEF312" s="13"/>
      <c r="SEG312" s="35"/>
      <c r="SEH312" s="35"/>
      <c r="SEI312" s="15"/>
      <c r="SEK312" s="13"/>
      <c r="SEL312" s="35"/>
      <c r="SEM312" s="35"/>
      <c r="SEN312" s="15"/>
      <c r="SEP312" s="13"/>
      <c r="SEQ312" s="35"/>
      <c r="SER312" s="35"/>
      <c r="SES312" s="15"/>
      <c r="SEU312" s="13"/>
      <c r="SEV312" s="35"/>
      <c r="SEW312" s="35"/>
      <c r="SEX312" s="15"/>
      <c r="SEZ312" s="13"/>
      <c r="SFA312" s="35"/>
      <c r="SFB312" s="35"/>
      <c r="SFC312" s="15"/>
      <c r="SFE312" s="13"/>
      <c r="SFF312" s="35"/>
      <c r="SFG312" s="35"/>
      <c r="SFH312" s="15"/>
      <c r="SFJ312" s="13"/>
      <c r="SFK312" s="35"/>
      <c r="SFL312" s="35"/>
      <c r="SFM312" s="15"/>
      <c r="SFO312" s="13"/>
      <c r="SFP312" s="35"/>
      <c r="SFQ312" s="35"/>
      <c r="SFR312" s="15"/>
      <c r="SFT312" s="13"/>
      <c r="SFU312" s="35"/>
      <c r="SFV312" s="35"/>
      <c r="SFW312" s="15"/>
      <c r="SFY312" s="13"/>
      <c r="SFZ312" s="35"/>
      <c r="SGA312" s="35"/>
      <c r="SGB312" s="15"/>
      <c r="SGD312" s="13"/>
      <c r="SGE312" s="35"/>
      <c r="SGF312" s="35"/>
      <c r="SGG312" s="15"/>
      <c r="SGI312" s="13"/>
      <c r="SGJ312" s="35"/>
      <c r="SGK312" s="35"/>
      <c r="SGL312" s="15"/>
      <c r="SGN312" s="13"/>
      <c r="SGO312" s="35"/>
      <c r="SGP312" s="35"/>
      <c r="SGQ312" s="15"/>
      <c r="SGS312" s="13"/>
      <c r="SGT312" s="35"/>
      <c r="SGU312" s="35"/>
      <c r="SGV312" s="15"/>
      <c r="SGX312" s="13"/>
      <c r="SGY312" s="35"/>
      <c r="SGZ312" s="35"/>
      <c r="SHA312" s="15"/>
      <c r="SHC312" s="13"/>
      <c r="SHD312" s="35"/>
      <c r="SHE312" s="35"/>
      <c r="SHF312" s="15"/>
      <c r="SHH312" s="13"/>
      <c r="SHI312" s="35"/>
      <c r="SHJ312" s="35"/>
      <c r="SHK312" s="15"/>
      <c r="SHM312" s="13"/>
      <c r="SHN312" s="35"/>
      <c r="SHO312" s="35"/>
      <c r="SHP312" s="15"/>
      <c r="SHR312" s="13"/>
      <c r="SHS312" s="35"/>
      <c r="SHT312" s="35"/>
      <c r="SHU312" s="15"/>
      <c r="SHW312" s="13"/>
      <c r="SHX312" s="35"/>
      <c r="SHY312" s="35"/>
      <c r="SHZ312" s="15"/>
      <c r="SIB312" s="13"/>
      <c r="SIC312" s="35"/>
      <c r="SID312" s="35"/>
      <c r="SIE312" s="15"/>
      <c r="SIG312" s="13"/>
      <c r="SIH312" s="35"/>
      <c r="SII312" s="35"/>
      <c r="SIJ312" s="15"/>
      <c r="SIL312" s="13"/>
      <c r="SIM312" s="35"/>
      <c r="SIN312" s="35"/>
      <c r="SIO312" s="15"/>
      <c r="SIQ312" s="13"/>
      <c r="SIR312" s="35"/>
      <c r="SIS312" s="35"/>
      <c r="SIT312" s="15"/>
      <c r="SIV312" s="13"/>
      <c r="SIW312" s="35"/>
      <c r="SIX312" s="35"/>
      <c r="SIY312" s="15"/>
      <c r="SJA312" s="13"/>
      <c r="SJB312" s="35"/>
      <c r="SJC312" s="35"/>
      <c r="SJD312" s="15"/>
      <c r="SJF312" s="13"/>
      <c r="SJG312" s="35"/>
      <c r="SJH312" s="35"/>
      <c r="SJI312" s="15"/>
      <c r="SJK312" s="13"/>
      <c r="SJL312" s="35"/>
      <c r="SJM312" s="35"/>
      <c r="SJN312" s="15"/>
      <c r="SJP312" s="13"/>
      <c r="SJQ312" s="35"/>
      <c r="SJR312" s="35"/>
      <c r="SJS312" s="15"/>
      <c r="SJU312" s="13"/>
      <c r="SJV312" s="35"/>
      <c r="SJW312" s="35"/>
      <c r="SJX312" s="15"/>
      <c r="SJZ312" s="13"/>
      <c r="SKA312" s="35"/>
      <c r="SKB312" s="35"/>
      <c r="SKC312" s="15"/>
      <c r="SKE312" s="13"/>
      <c r="SKF312" s="35"/>
      <c r="SKG312" s="35"/>
      <c r="SKH312" s="15"/>
      <c r="SKJ312" s="13"/>
      <c r="SKK312" s="35"/>
      <c r="SKL312" s="35"/>
      <c r="SKM312" s="15"/>
      <c r="SKO312" s="13"/>
      <c r="SKP312" s="35"/>
      <c r="SKQ312" s="35"/>
      <c r="SKR312" s="15"/>
      <c r="SKT312" s="13"/>
      <c r="SKU312" s="35"/>
      <c r="SKV312" s="35"/>
      <c r="SKW312" s="15"/>
      <c r="SKY312" s="13"/>
      <c r="SKZ312" s="35"/>
      <c r="SLA312" s="35"/>
      <c r="SLB312" s="15"/>
      <c r="SLD312" s="13"/>
      <c r="SLE312" s="35"/>
      <c r="SLF312" s="35"/>
      <c r="SLG312" s="15"/>
      <c r="SLI312" s="13"/>
      <c r="SLJ312" s="35"/>
      <c r="SLK312" s="35"/>
      <c r="SLL312" s="15"/>
      <c r="SLN312" s="13"/>
      <c r="SLO312" s="35"/>
      <c r="SLP312" s="35"/>
      <c r="SLQ312" s="15"/>
      <c r="SLS312" s="13"/>
      <c r="SLT312" s="35"/>
      <c r="SLU312" s="35"/>
      <c r="SLV312" s="15"/>
      <c r="SLX312" s="13"/>
      <c r="SLY312" s="35"/>
      <c r="SLZ312" s="35"/>
      <c r="SMA312" s="15"/>
      <c r="SMC312" s="13"/>
      <c r="SMD312" s="35"/>
      <c r="SME312" s="35"/>
      <c r="SMF312" s="15"/>
      <c r="SMH312" s="13"/>
      <c r="SMI312" s="35"/>
      <c r="SMJ312" s="35"/>
      <c r="SMK312" s="15"/>
      <c r="SMM312" s="13"/>
      <c r="SMN312" s="35"/>
      <c r="SMO312" s="35"/>
      <c r="SMP312" s="15"/>
      <c r="SMR312" s="13"/>
      <c r="SMS312" s="35"/>
      <c r="SMT312" s="35"/>
      <c r="SMU312" s="15"/>
      <c r="SMW312" s="13"/>
      <c r="SMX312" s="35"/>
      <c r="SMY312" s="35"/>
      <c r="SMZ312" s="15"/>
      <c r="SNB312" s="13"/>
      <c r="SNC312" s="35"/>
      <c r="SND312" s="35"/>
      <c r="SNE312" s="15"/>
      <c r="SNG312" s="13"/>
      <c r="SNH312" s="35"/>
      <c r="SNI312" s="35"/>
      <c r="SNJ312" s="15"/>
      <c r="SNL312" s="13"/>
      <c r="SNM312" s="35"/>
      <c r="SNN312" s="35"/>
      <c r="SNO312" s="15"/>
      <c r="SNQ312" s="13"/>
      <c r="SNR312" s="35"/>
      <c r="SNS312" s="35"/>
      <c r="SNT312" s="15"/>
      <c r="SNV312" s="13"/>
      <c r="SNW312" s="35"/>
      <c r="SNX312" s="35"/>
      <c r="SNY312" s="15"/>
      <c r="SOA312" s="13"/>
      <c r="SOB312" s="35"/>
      <c r="SOC312" s="35"/>
      <c r="SOD312" s="15"/>
      <c r="SOF312" s="13"/>
      <c r="SOG312" s="35"/>
      <c r="SOH312" s="35"/>
      <c r="SOI312" s="15"/>
      <c r="SOK312" s="13"/>
      <c r="SOL312" s="35"/>
      <c r="SOM312" s="35"/>
      <c r="SON312" s="15"/>
      <c r="SOP312" s="13"/>
      <c r="SOQ312" s="35"/>
      <c r="SOR312" s="35"/>
      <c r="SOS312" s="15"/>
      <c r="SOU312" s="13"/>
      <c r="SOV312" s="35"/>
      <c r="SOW312" s="35"/>
      <c r="SOX312" s="15"/>
      <c r="SOZ312" s="13"/>
      <c r="SPA312" s="35"/>
      <c r="SPB312" s="35"/>
      <c r="SPC312" s="15"/>
      <c r="SPE312" s="13"/>
      <c r="SPF312" s="35"/>
      <c r="SPG312" s="35"/>
      <c r="SPH312" s="15"/>
      <c r="SPJ312" s="13"/>
      <c r="SPK312" s="35"/>
      <c r="SPL312" s="35"/>
      <c r="SPM312" s="15"/>
      <c r="SPO312" s="13"/>
      <c r="SPP312" s="35"/>
      <c r="SPQ312" s="35"/>
      <c r="SPR312" s="15"/>
      <c r="SPT312" s="13"/>
      <c r="SPU312" s="35"/>
      <c r="SPV312" s="35"/>
      <c r="SPW312" s="15"/>
      <c r="SPY312" s="13"/>
      <c r="SPZ312" s="35"/>
      <c r="SQA312" s="35"/>
      <c r="SQB312" s="15"/>
      <c r="SQD312" s="13"/>
      <c r="SQE312" s="35"/>
      <c r="SQF312" s="35"/>
      <c r="SQG312" s="15"/>
      <c r="SQI312" s="13"/>
      <c r="SQJ312" s="35"/>
      <c r="SQK312" s="35"/>
      <c r="SQL312" s="15"/>
      <c r="SQN312" s="13"/>
      <c r="SQO312" s="35"/>
      <c r="SQP312" s="35"/>
      <c r="SQQ312" s="15"/>
      <c r="SQS312" s="13"/>
      <c r="SQT312" s="35"/>
      <c r="SQU312" s="35"/>
      <c r="SQV312" s="15"/>
      <c r="SQX312" s="13"/>
      <c r="SQY312" s="35"/>
      <c r="SQZ312" s="35"/>
      <c r="SRA312" s="15"/>
      <c r="SRC312" s="13"/>
      <c r="SRD312" s="35"/>
      <c r="SRE312" s="35"/>
      <c r="SRF312" s="15"/>
      <c r="SRH312" s="13"/>
      <c r="SRI312" s="35"/>
      <c r="SRJ312" s="35"/>
      <c r="SRK312" s="15"/>
      <c r="SRM312" s="13"/>
      <c r="SRN312" s="35"/>
      <c r="SRO312" s="35"/>
      <c r="SRP312" s="15"/>
      <c r="SRR312" s="13"/>
      <c r="SRS312" s="35"/>
      <c r="SRT312" s="35"/>
      <c r="SRU312" s="15"/>
      <c r="SRW312" s="13"/>
      <c r="SRX312" s="35"/>
      <c r="SRY312" s="35"/>
      <c r="SRZ312" s="15"/>
      <c r="SSB312" s="13"/>
      <c r="SSC312" s="35"/>
      <c r="SSD312" s="35"/>
      <c r="SSE312" s="15"/>
      <c r="SSG312" s="13"/>
      <c r="SSH312" s="35"/>
      <c r="SSI312" s="35"/>
      <c r="SSJ312" s="15"/>
      <c r="SSL312" s="13"/>
      <c r="SSM312" s="35"/>
      <c r="SSN312" s="35"/>
      <c r="SSO312" s="15"/>
      <c r="SSQ312" s="13"/>
      <c r="SSR312" s="35"/>
      <c r="SSS312" s="35"/>
      <c r="SST312" s="15"/>
      <c r="SSV312" s="13"/>
      <c r="SSW312" s="35"/>
      <c r="SSX312" s="35"/>
      <c r="SSY312" s="15"/>
      <c r="STA312" s="13"/>
      <c r="STB312" s="35"/>
      <c r="STC312" s="35"/>
      <c r="STD312" s="15"/>
      <c r="STF312" s="13"/>
      <c r="STG312" s="35"/>
      <c r="STH312" s="35"/>
      <c r="STI312" s="15"/>
      <c r="STK312" s="13"/>
      <c r="STL312" s="35"/>
      <c r="STM312" s="35"/>
      <c r="STN312" s="15"/>
      <c r="STP312" s="13"/>
      <c r="STQ312" s="35"/>
      <c r="STR312" s="35"/>
      <c r="STS312" s="15"/>
      <c r="STU312" s="13"/>
      <c r="STV312" s="35"/>
      <c r="STW312" s="35"/>
      <c r="STX312" s="15"/>
      <c r="STZ312" s="13"/>
      <c r="SUA312" s="35"/>
      <c r="SUB312" s="35"/>
      <c r="SUC312" s="15"/>
      <c r="SUE312" s="13"/>
      <c r="SUF312" s="35"/>
      <c r="SUG312" s="35"/>
      <c r="SUH312" s="15"/>
      <c r="SUJ312" s="13"/>
      <c r="SUK312" s="35"/>
      <c r="SUL312" s="35"/>
      <c r="SUM312" s="15"/>
      <c r="SUO312" s="13"/>
      <c r="SUP312" s="35"/>
      <c r="SUQ312" s="35"/>
      <c r="SUR312" s="15"/>
      <c r="SUT312" s="13"/>
      <c r="SUU312" s="35"/>
      <c r="SUV312" s="35"/>
      <c r="SUW312" s="15"/>
      <c r="SUY312" s="13"/>
      <c r="SUZ312" s="35"/>
      <c r="SVA312" s="35"/>
      <c r="SVB312" s="15"/>
      <c r="SVD312" s="13"/>
      <c r="SVE312" s="35"/>
      <c r="SVF312" s="35"/>
      <c r="SVG312" s="15"/>
      <c r="SVI312" s="13"/>
      <c r="SVJ312" s="35"/>
      <c r="SVK312" s="35"/>
      <c r="SVL312" s="15"/>
      <c r="SVN312" s="13"/>
      <c r="SVO312" s="35"/>
      <c r="SVP312" s="35"/>
      <c r="SVQ312" s="15"/>
      <c r="SVS312" s="13"/>
      <c r="SVT312" s="35"/>
      <c r="SVU312" s="35"/>
      <c r="SVV312" s="15"/>
      <c r="SVX312" s="13"/>
      <c r="SVY312" s="35"/>
      <c r="SVZ312" s="35"/>
      <c r="SWA312" s="15"/>
      <c r="SWC312" s="13"/>
      <c r="SWD312" s="35"/>
      <c r="SWE312" s="35"/>
      <c r="SWF312" s="15"/>
      <c r="SWH312" s="13"/>
      <c r="SWI312" s="35"/>
      <c r="SWJ312" s="35"/>
      <c r="SWK312" s="15"/>
      <c r="SWM312" s="13"/>
      <c r="SWN312" s="35"/>
      <c r="SWO312" s="35"/>
      <c r="SWP312" s="15"/>
      <c r="SWR312" s="13"/>
      <c r="SWS312" s="35"/>
      <c r="SWT312" s="35"/>
      <c r="SWU312" s="15"/>
      <c r="SWW312" s="13"/>
      <c r="SWX312" s="35"/>
      <c r="SWY312" s="35"/>
      <c r="SWZ312" s="15"/>
      <c r="SXB312" s="13"/>
      <c r="SXC312" s="35"/>
      <c r="SXD312" s="35"/>
      <c r="SXE312" s="15"/>
      <c r="SXG312" s="13"/>
      <c r="SXH312" s="35"/>
      <c r="SXI312" s="35"/>
      <c r="SXJ312" s="15"/>
      <c r="SXL312" s="13"/>
      <c r="SXM312" s="35"/>
      <c r="SXN312" s="35"/>
      <c r="SXO312" s="15"/>
      <c r="SXQ312" s="13"/>
      <c r="SXR312" s="35"/>
      <c r="SXS312" s="35"/>
      <c r="SXT312" s="15"/>
      <c r="SXV312" s="13"/>
      <c r="SXW312" s="35"/>
      <c r="SXX312" s="35"/>
      <c r="SXY312" s="15"/>
      <c r="SYA312" s="13"/>
      <c r="SYB312" s="35"/>
      <c r="SYC312" s="35"/>
      <c r="SYD312" s="15"/>
      <c r="SYF312" s="13"/>
      <c r="SYG312" s="35"/>
      <c r="SYH312" s="35"/>
      <c r="SYI312" s="15"/>
      <c r="SYK312" s="13"/>
      <c r="SYL312" s="35"/>
      <c r="SYM312" s="35"/>
      <c r="SYN312" s="15"/>
      <c r="SYP312" s="13"/>
      <c r="SYQ312" s="35"/>
      <c r="SYR312" s="35"/>
      <c r="SYS312" s="15"/>
      <c r="SYU312" s="13"/>
      <c r="SYV312" s="35"/>
      <c r="SYW312" s="35"/>
      <c r="SYX312" s="15"/>
      <c r="SYZ312" s="13"/>
      <c r="SZA312" s="35"/>
      <c r="SZB312" s="35"/>
      <c r="SZC312" s="15"/>
      <c r="SZE312" s="13"/>
      <c r="SZF312" s="35"/>
      <c r="SZG312" s="35"/>
      <c r="SZH312" s="15"/>
      <c r="SZJ312" s="13"/>
      <c r="SZK312" s="35"/>
      <c r="SZL312" s="35"/>
      <c r="SZM312" s="15"/>
      <c r="SZO312" s="13"/>
      <c r="SZP312" s="35"/>
      <c r="SZQ312" s="35"/>
      <c r="SZR312" s="15"/>
      <c r="SZT312" s="13"/>
      <c r="SZU312" s="35"/>
      <c r="SZV312" s="35"/>
      <c r="SZW312" s="15"/>
      <c r="SZY312" s="13"/>
      <c r="SZZ312" s="35"/>
      <c r="TAA312" s="35"/>
      <c r="TAB312" s="15"/>
      <c r="TAD312" s="13"/>
      <c r="TAE312" s="35"/>
      <c r="TAF312" s="35"/>
      <c r="TAG312" s="15"/>
      <c r="TAI312" s="13"/>
      <c r="TAJ312" s="35"/>
      <c r="TAK312" s="35"/>
      <c r="TAL312" s="15"/>
      <c r="TAN312" s="13"/>
      <c r="TAO312" s="35"/>
      <c r="TAP312" s="35"/>
      <c r="TAQ312" s="15"/>
      <c r="TAS312" s="13"/>
      <c r="TAT312" s="35"/>
      <c r="TAU312" s="35"/>
      <c r="TAV312" s="15"/>
      <c r="TAX312" s="13"/>
      <c r="TAY312" s="35"/>
      <c r="TAZ312" s="35"/>
      <c r="TBA312" s="15"/>
      <c r="TBC312" s="13"/>
      <c r="TBD312" s="35"/>
      <c r="TBE312" s="35"/>
      <c r="TBF312" s="15"/>
      <c r="TBH312" s="13"/>
      <c r="TBI312" s="35"/>
      <c r="TBJ312" s="35"/>
      <c r="TBK312" s="15"/>
      <c r="TBM312" s="13"/>
      <c r="TBN312" s="35"/>
      <c r="TBO312" s="35"/>
      <c r="TBP312" s="15"/>
      <c r="TBR312" s="13"/>
      <c r="TBS312" s="35"/>
      <c r="TBT312" s="35"/>
      <c r="TBU312" s="15"/>
      <c r="TBW312" s="13"/>
      <c r="TBX312" s="35"/>
      <c r="TBY312" s="35"/>
      <c r="TBZ312" s="15"/>
      <c r="TCB312" s="13"/>
      <c r="TCC312" s="35"/>
      <c r="TCD312" s="35"/>
      <c r="TCE312" s="15"/>
      <c r="TCG312" s="13"/>
      <c r="TCH312" s="35"/>
      <c r="TCI312" s="35"/>
      <c r="TCJ312" s="15"/>
      <c r="TCL312" s="13"/>
      <c r="TCM312" s="35"/>
      <c r="TCN312" s="35"/>
      <c r="TCO312" s="15"/>
      <c r="TCQ312" s="13"/>
      <c r="TCR312" s="35"/>
      <c r="TCS312" s="35"/>
      <c r="TCT312" s="15"/>
      <c r="TCV312" s="13"/>
      <c r="TCW312" s="35"/>
      <c r="TCX312" s="35"/>
      <c r="TCY312" s="15"/>
      <c r="TDA312" s="13"/>
      <c r="TDB312" s="35"/>
      <c r="TDC312" s="35"/>
      <c r="TDD312" s="15"/>
      <c r="TDF312" s="13"/>
      <c r="TDG312" s="35"/>
      <c r="TDH312" s="35"/>
      <c r="TDI312" s="15"/>
      <c r="TDK312" s="13"/>
      <c r="TDL312" s="35"/>
      <c r="TDM312" s="35"/>
      <c r="TDN312" s="15"/>
      <c r="TDP312" s="13"/>
      <c r="TDQ312" s="35"/>
      <c r="TDR312" s="35"/>
      <c r="TDS312" s="15"/>
      <c r="TDU312" s="13"/>
      <c r="TDV312" s="35"/>
      <c r="TDW312" s="35"/>
      <c r="TDX312" s="15"/>
      <c r="TDZ312" s="13"/>
      <c r="TEA312" s="35"/>
      <c r="TEB312" s="35"/>
      <c r="TEC312" s="15"/>
      <c r="TEE312" s="13"/>
      <c r="TEF312" s="35"/>
      <c r="TEG312" s="35"/>
      <c r="TEH312" s="15"/>
      <c r="TEJ312" s="13"/>
      <c r="TEK312" s="35"/>
      <c r="TEL312" s="35"/>
      <c r="TEM312" s="15"/>
      <c r="TEO312" s="13"/>
      <c r="TEP312" s="35"/>
      <c r="TEQ312" s="35"/>
      <c r="TER312" s="15"/>
      <c r="TET312" s="13"/>
      <c r="TEU312" s="35"/>
      <c r="TEV312" s="35"/>
      <c r="TEW312" s="15"/>
      <c r="TEY312" s="13"/>
      <c r="TEZ312" s="35"/>
      <c r="TFA312" s="35"/>
      <c r="TFB312" s="15"/>
      <c r="TFD312" s="13"/>
      <c r="TFE312" s="35"/>
      <c r="TFF312" s="35"/>
      <c r="TFG312" s="15"/>
      <c r="TFI312" s="13"/>
      <c r="TFJ312" s="35"/>
      <c r="TFK312" s="35"/>
      <c r="TFL312" s="15"/>
      <c r="TFN312" s="13"/>
      <c r="TFO312" s="35"/>
      <c r="TFP312" s="35"/>
      <c r="TFQ312" s="15"/>
      <c r="TFS312" s="13"/>
      <c r="TFT312" s="35"/>
      <c r="TFU312" s="35"/>
      <c r="TFV312" s="15"/>
      <c r="TFX312" s="13"/>
      <c r="TFY312" s="35"/>
      <c r="TFZ312" s="35"/>
      <c r="TGA312" s="15"/>
      <c r="TGC312" s="13"/>
      <c r="TGD312" s="35"/>
      <c r="TGE312" s="35"/>
      <c r="TGF312" s="15"/>
      <c r="TGH312" s="13"/>
      <c r="TGI312" s="35"/>
      <c r="TGJ312" s="35"/>
      <c r="TGK312" s="15"/>
      <c r="TGM312" s="13"/>
      <c r="TGN312" s="35"/>
      <c r="TGO312" s="35"/>
      <c r="TGP312" s="15"/>
      <c r="TGR312" s="13"/>
      <c r="TGS312" s="35"/>
      <c r="TGT312" s="35"/>
      <c r="TGU312" s="15"/>
      <c r="TGW312" s="13"/>
      <c r="TGX312" s="35"/>
      <c r="TGY312" s="35"/>
      <c r="TGZ312" s="15"/>
      <c r="THB312" s="13"/>
      <c r="THC312" s="35"/>
      <c r="THD312" s="35"/>
      <c r="THE312" s="15"/>
      <c r="THG312" s="13"/>
      <c r="THH312" s="35"/>
      <c r="THI312" s="35"/>
      <c r="THJ312" s="15"/>
      <c r="THL312" s="13"/>
      <c r="THM312" s="35"/>
      <c r="THN312" s="35"/>
      <c r="THO312" s="15"/>
      <c r="THQ312" s="13"/>
      <c r="THR312" s="35"/>
      <c r="THS312" s="35"/>
      <c r="THT312" s="15"/>
      <c r="THV312" s="13"/>
      <c r="THW312" s="35"/>
      <c r="THX312" s="35"/>
      <c r="THY312" s="15"/>
      <c r="TIA312" s="13"/>
      <c r="TIB312" s="35"/>
      <c r="TIC312" s="35"/>
      <c r="TID312" s="15"/>
      <c r="TIF312" s="13"/>
      <c r="TIG312" s="35"/>
      <c r="TIH312" s="35"/>
      <c r="TII312" s="15"/>
      <c r="TIK312" s="13"/>
      <c r="TIL312" s="35"/>
      <c r="TIM312" s="35"/>
      <c r="TIN312" s="15"/>
      <c r="TIP312" s="13"/>
      <c r="TIQ312" s="35"/>
      <c r="TIR312" s="35"/>
      <c r="TIS312" s="15"/>
      <c r="TIU312" s="13"/>
      <c r="TIV312" s="35"/>
      <c r="TIW312" s="35"/>
      <c r="TIX312" s="15"/>
      <c r="TIZ312" s="13"/>
      <c r="TJA312" s="35"/>
      <c r="TJB312" s="35"/>
      <c r="TJC312" s="15"/>
      <c r="TJE312" s="13"/>
      <c r="TJF312" s="35"/>
      <c r="TJG312" s="35"/>
      <c r="TJH312" s="15"/>
      <c r="TJJ312" s="13"/>
      <c r="TJK312" s="35"/>
      <c r="TJL312" s="35"/>
      <c r="TJM312" s="15"/>
      <c r="TJO312" s="13"/>
      <c r="TJP312" s="35"/>
      <c r="TJQ312" s="35"/>
      <c r="TJR312" s="15"/>
      <c r="TJT312" s="13"/>
      <c r="TJU312" s="35"/>
      <c r="TJV312" s="35"/>
      <c r="TJW312" s="15"/>
      <c r="TJY312" s="13"/>
      <c r="TJZ312" s="35"/>
      <c r="TKA312" s="35"/>
      <c r="TKB312" s="15"/>
      <c r="TKD312" s="13"/>
      <c r="TKE312" s="35"/>
      <c r="TKF312" s="35"/>
      <c r="TKG312" s="15"/>
      <c r="TKI312" s="13"/>
      <c r="TKJ312" s="35"/>
      <c r="TKK312" s="35"/>
      <c r="TKL312" s="15"/>
      <c r="TKN312" s="13"/>
      <c r="TKO312" s="35"/>
      <c r="TKP312" s="35"/>
      <c r="TKQ312" s="15"/>
      <c r="TKS312" s="13"/>
      <c r="TKT312" s="35"/>
      <c r="TKU312" s="35"/>
      <c r="TKV312" s="15"/>
      <c r="TKX312" s="13"/>
      <c r="TKY312" s="35"/>
      <c r="TKZ312" s="35"/>
      <c r="TLA312" s="15"/>
      <c r="TLC312" s="13"/>
      <c r="TLD312" s="35"/>
      <c r="TLE312" s="35"/>
      <c r="TLF312" s="15"/>
      <c r="TLH312" s="13"/>
      <c r="TLI312" s="35"/>
      <c r="TLJ312" s="35"/>
      <c r="TLK312" s="15"/>
      <c r="TLM312" s="13"/>
      <c r="TLN312" s="35"/>
      <c r="TLO312" s="35"/>
      <c r="TLP312" s="15"/>
      <c r="TLR312" s="13"/>
      <c r="TLS312" s="35"/>
      <c r="TLT312" s="35"/>
      <c r="TLU312" s="15"/>
      <c r="TLW312" s="13"/>
      <c r="TLX312" s="35"/>
      <c r="TLY312" s="35"/>
      <c r="TLZ312" s="15"/>
      <c r="TMB312" s="13"/>
      <c r="TMC312" s="35"/>
      <c r="TMD312" s="35"/>
      <c r="TME312" s="15"/>
      <c r="TMG312" s="13"/>
      <c r="TMH312" s="35"/>
      <c r="TMI312" s="35"/>
      <c r="TMJ312" s="15"/>
      <c r="TML312" s="13"/>
      <c r="TMM312" s="35"/>
      <c r="TMN312" s="35"/>
      <c r="TMO312" s="15"/>
      <c r="TMQ312" s="13"/>
      <c r="TMR312" s="35"/>
      <c r="TMS312" s="35"/>
      <c r="TMT312" s="15"/>
      <c r="TMV312" s="13"/>
      <c r="TMW312" s="35"/>
      <c r="TMX312" s="35"/>
      <c r="TMY312" s="15"/>
      <c r="TNA312" s="13"/>
      <c r="TNB312" s="35"/>
      <c r="TNC312" s="35"/>
      <c r="TND312" s="15"/>
      <c r="TNF312" s="13"/>
      <c r="TNG312" s="35"/>
      <c r="TNH312" s="35"/>
      <c r="TNI312" s="15"/>
      <c r="TNK312" s="13"/>
      <c r="TNL312" s="35"/>
      <c r="TNM312" s="35"/>
      <c r="TNN312" s="15"/>
      <c r="TNP312" s="13"/>
      <c r="TNQ312" s="35"/>
      <c r="TNR312" s="35"/>
      <c r="TNS312" s="15"/>
      <c r="TNU312" s="13"/>
      <c r="TNV312" s="35"/>
      <c r="TNW312" s="35"/>
      <c r="TNX312" s="15"/>
      <c r="TNZ312" s="13"/>
      <c r="TOA312" s="35"/>
      <c r="TOB312" s="35"/>
      <c r="TOC312" s="15"/>
      <c r="TOE312" s="13"/>
      <c r="TOF312" s="35"/>
      <c r="TOG312" s="35"/>
      <c r="TOH312" s="15"/>
      <c r="TOJ312" s="13"/>
      <c r="TOK312" s="35"/>
      <c r="TOL312" s="35"/>
      <c r="TOM312" s="15"/>
      <c r="TOO312" s="13"/>
      <c r="TOP312" s="35"/>
      <c r="TOQ312" s="35"/>
      <c r="TOR312" s="15"/>
      <c r="TOT312" s="13"/>
      <c r="TOU312" s="35"/>
      <c r="TOV312" s="35"/>
      <c r="TOW312" s="15"/>
      <c r="TOY312" s="13"/>
      <c r="TOZ312" s="35"/>
      <c r="TPA312" s="35"/>
      <c r="TPB312" s="15"/>
      <c r="TPD312" s="13"/>
      <c r="TPE312" s="35"/>
      <c r="TPF312" s="35"/>
      <c r="TPG312" s="15"/>
      <c r="TPI312" s="13"/>
      <c r="TPJ312" s="35"/>
      <c r="TPK312" s="35"/>
      <c r="TPL312" s="15"/>
      <c r="TPN312" s="13"/>
      <c r="TPO312" s="35"/>
      <c r="TPP312" s="35"/>
      <c r="TPQ312" s="15"/>
      <c r="TPS312" s="13"/>
      <c r="TPT312" s="35"/>
      <c r="TPU312" s="35"/>
      <c r="TPV312" s="15"/>
      <c r="TPX312" s="13"/>
      <c r="TPY312" s="35"/>
      <c r="TPZ312" s="35"/>
      <c r="TQA312" s="15"/>
      <c r="TQC312" s="13"/>
      <c r="TQD312" s="35"/>
      <c r="TQE312" s="35"/>
      <c r="TQF312" s="15"/>
      <c r="TQH312" s="13"/>
      <c r="TQI312" s="35"/>
      <c r="TQJ312" s="35"/>
      <c r="TQK312" s="15"/>
      <c r="TQM312" s="13"/>
      <c r="TQN312" s="35"/>
      <c r="TQO312" s="35"/>
      <c r="TQP312" s="15"/>
      <c r="TQR312" s="13"/>
      <c r="TQS312" s="35"/>
      <c r="TQT312" s="35"/>
      <c r="TQU312" s="15"/>
      <c r="TQW312" s="13"/>
      <c r="TQX312" s="35"/>
      <c r="TQY312" s="35"/>
      <c r="TQZ312" s="15"/>
      <c r="TRB312" s="13"/>
      <c r="TRC312" s="35"/>
      <c r="TRD312" s="35"/>
      <c r="TRE312" s="15"/>
      <c r="TRG312" s="13"/>
      <c r="TRH312" s="35"/>
      <c r="TRI312" s="35"/>
      <c r="TRJ312" s="15"/>
      <c r="TRL312" s="13"/>
      <c r="TRM312" s="35"/>
      <c r="TRN312" s="35"/>
      <c r="TRO312" s="15"/>
      <c r="TRQ312" s="13"/>
      <c r="TRR312" s="35"/>
      <c r="TRS312" s="35"/>
      <c r="TRT312" s="15"/>
      <c r="TRV312" s="13"/>
      <c r="TRW312" s="35"/>
      <c r="TRX312" s="35"/>
      <c r="TRY312" s="15"/>
      <c r="TSA312" s="13"/>
      <c r="TSB312" s="35"/>
      <c r="TSC312" s="35"/>
      <c r="TSD312" s="15"/>
      <c r="TSF312" s="13"/>
      <c r="TSG312" s="35"/>
      <c r="TSH312" s="35"/>
      <c r="TSI312" s="15"/>
      <c r="TSK312" s="13"/>
      <c r="TSL312" s="35"/>
      <c r="TSM312" s="35"/>
      <c r="TSN312" s="15"/>
      <c r="TSP312" s="13"/>
      <c r="TSQ312" s="35"/>
      <c r="TSR312" s="35"/>
      <c r="TSS312" s="15"/>
      <c r="TSU312" s="13"/>
      <c r="TSV312" s="35"/>
      <c r="TSW312" s="35"/>
      <c r="TSX312" s="15"/>
      <c r="TSZ312" s="13"/>
      <c r="TTA312" s="35"/>
      <c r="TTB312" s="35"/>
      <c r="TTC312" s="15"/>
      <c r="TTE312" s="13"/>
      <c r="TTF312" s="35"/>
      <c r="TTG312" s="35"/>
      <c r="TTH312" s="15"/>
      <c r="TTJ312" s="13"/>
      <c r="TTK312" s="35"/>
      <c r="TTL312" s="35"/>
      <c r="TTM312" s="15"/>
      <c r="TTO312" s="13"/>
      <c r="TTP312" s="35"/>
      <c r="TTQ312" s="35"/>
      <c r="TTR312" s="15"/>
      <c r="TTT312" s="13"/>
      <c r="TTU312" s="35"/>
      <c r="TTV312" s="35"/>
      <c r="TTW312" s="15"/>
      <c r="TTY312" s="13"/>
      <c r="TTZ312" s="35"/>
      <c r="TUA312" s="35"/>
      <c r="TUB312" s="15"/>
      <c r="TUD312" s="13"/>
      <c r="TUE312" s="35"/>
      <c r="TUF312" s="35"/>
      <c r="TUG312" s="15"/>
      <c r="TUI312" s="13"/>
      <c r="TUJ312" s="35"/>
      <c r="TUK312" s="35"/>
      <c r="TUL312" s="15"/>
      <c r="TUN312" s="13"/>
      <c r="TUO312" s="35"/>
      <c r="TUP312" s="35"/>
      <c r="TUQ312" s="15"/>
      <c r="TUS312" s="13"/>
      <c r="TUT312" s="35"/>
      <c r="TUU312" s="35"/>
      <c r="TUV312" s="15"/>
      <c r="TUX312" s="13"/>
      <c r="TUY312" s="35"/>
      <c r="TUZ312" s="35"/>
      <c r="TVA312" s="15"/>
      <c r="TVC312" s="13"/>
      <c r="TVD312" s="35"/>
      <c r="TVE312" s="35"/>
      <c r="TVF312" s="15"/>
      <c r="TVH312" s="13"/>
      <c r="TVI312" s="35"/>
      <c r="TVJ312" s="35"/>
      <c r="TVK312" s="15"/>
      <c r="TVM312" s="13"/>
      <c r="TVN312" s="35"/>
      <c r="TVO312" s="35"/>
      <c r="TVP312" s="15"/>
      <c r="TVR312" s="13"/>
      <c r="TVS312" s="35"/>
      <c r="TVT312" s="35"/>
      <c r="TVU312" s="15"/>
      <c r="TVW312" s="13"/>
      <c r="TVX312" s="35"/>
      <c r="TVY312" s="35"/>
      <c r="TVZ312" s="15"/>
      <c r="TWB312" s="13"/>
      <c r="TWC312" s="35"/>
      <c r="TWD312" s="35"/>
      <c r="TWE312" s="15"/>
      <c r="TWG312" s="13"/>
      <c r="TWH312" s="35"/>
      <c r="TWI312" s="35"/>
      <c r="TWJ312" s="15"/>
      <c r="TWL312" s="13"/>
      <c r="TWM312" s="35"/>
      <c r="TWN312" s="35"/>
      <c r="TWO312" s="15"/>
      <c r="TWQ312" s="13"/>
      <c r="TWR312" s="35"/>
      <c r="TWS312" s="35"/>
      <c r="TWT312" s="15"/>
      <c r="TWV312" s="13"/>
      <c r="TWW312" s="35"/>
      <c r="TWX312" s="35"/>
      <c r="TWY312" s="15"/>
      <c r="TXA312" s="13"/>
      <c r="TXB312" s="35"/>
      <c r="TXC312" s="35"/>
      <c r="TXD312" s="15"/>
      <c r="TXF312" s="13"/>
      <c r="TXG312" s="35"/>
      <c r="TXH312" s="35"/>
      <c r="TXI312" s="15"/>
      <c r="TXK312" s="13"/>
      <c r="TXL312" s="35"/>
      <c r="TXM312" s="35"/>
      <c r="TXN312" s="15"/>
      <c r="TXP312" s="13"/>
      <c r="TXQ312" s="35"/>
      <c r="TXR312" s="35"/>
      <c r="TXS312" s="15"/>
      <c r="TXU312" s="13"/>
      <c r="TXV312" s="35"/>
      <c r="TXW312" s="35"/>
      <c r="TXX312" s="15"/>
      <c r="TXZ312" s="13"/>
      <c r="TYA312" s="35"/>
      <c r="TYB312" s="35"/>
      <c r="TYC312" s="15"/>
      <c r="TYE312" s="13"/>
      <c r="TYF312" s="35"/>
      <c r="TYG312" s="35"/>
      <c r="TYH312" s="15"/>
      <c r="TYJ312" s="13"/>
      <c r="TYK312" s="35"/>
      <c r="TYL312" s="35"/>
      <c r="TYM312" s="15"/>
      <c r="TYO312" s="13"/>
      <c r="TYP312" s="35"/>
      <c r="TYQ312" s="35"/>
      <c r="TYR312" s="15"/>
      <c r="TYT312" s="13"/>
      <c r="TYU312" s="35"/>
      <c r="TYV312" s="35"/>
      <c r="TYW312" s="15"/>
      <c r="TYY312" s="13"/>
      <c r="TYZ312" s="35"/>
      <c r="TZA312" s="35"/>
      <c r="TZB312" s="15"/>
      <c r="TZD312" s="13"/>
      <c r="TZE312" s="35"/>
      <c r="TZF312" s="35"/>
      <c r="TZG312" s="15"/>
      <c r="TZI312" s="13"/>
      <c r="TZJ312" s="35"/>
      <c r="TZK312" s="35"/>
      <c r="TZL312" s="15"/>
      <c r="TZN312" s="13"/>
      <c r="TZO312" s="35"/>
      <c r="TZP312" s="35"/>
      <c r="TZQ312" s="15"/>
      <c r="TZS312" s="13"/>
      <c r="TZT312" s="35"/>
      <c r="TZU312" s="35"/>
      <c r="TZV312" s="15"/>
      <c r="TZX312" s="13"/>
      <c r="TZY312" s="35"/>
      <c r="TZZ312" s="35"/>
      <c r="UAA312" s="15"/>
      <c r="UAC312" s="13"/>
      <c r="UAD312" s="35"/>
      <c r="UAE312" s="35"/>
      <c r="UAF312" s="15"/>
      <c r="UAH312" s="13"/>
      <c r="UAI312" s="35"/>
      <c r="UAJ312" s="35"/>
      <c r="UAK312" s="15"/>
      <c r="UAM312" s="13"/>
      <c r="UAN312" s="35"/>
      <c r="UAO312" s="35"/>
      <c r="UAP312" s="15"/>
      <c r="UAR312" s="13"/>
      <c r="UAS312" s="35"/>
      <c r="UAT312" s="35"/>
      <c r="UAU312" s="15"/>
      <c r="UAW312" s="13"/>
      <c r="UAX312" s="35"/>
      <c r="UAY312" s="35"/>
      <c r="UAZ312" s="15"/>
      <c r="UBB312" s="13"/>
      <c r="UBC312" s="35"/>
      <c r="UBD312" s="35"/>
      <c r="UBE312" s="15"/>
      <c r="UBG312" s="13"/>
      <c r="UBH312" s="35"/>
      <c r="UBI312" s="35"/>
      <c r="UBJ312" s="15"/>
      <c r="UBL312" s="13"/>
      <c r="UBM312" s="35"/>
      <c r="UBN312" s="35"/>
      <c r="UBO312" s="15"/>
      <c r="UBQ312" s="13"/>
      <c r="UBR312" s="35"/>
      <c r="UBS312" s="35"/>
      <c r="UBT312" s="15"/>
      <c r="UBV312" s="13"/>
      <c r="UBW312" s="35"/>
      <c r="UBX312" s="35"/>
      <c r="UBY312" s="15"/>
      <c r="UCA312" s="13"/>
      <c r="UCB312" s="35"/>
      <c r="UCC312" s="35"/>
      <c r="UCD312" s="15"/>
      <c r="UCF312" s="13"/>
      <c r="UCG312" s="35"/>
      <c r="UCH312" s="35"/>
      <c r="UCI312" s="15"/>
      <c r="UCK312" s="13"/>
      <c r="UCL312" s="35"/>
      <c r="UCM312" s="35"/>
      <c r="UCN312" s="15"/>
      <c r="UCP312" s="13"/>
      <c r="UCQ312" s="35"/>
      <c r="UCR312" s="35"/>
      <c r="UCS312" s="15"/>
      <c r="UCU312" s="13"/>
      <c r="UCV312" s="35"/>
      <c r="UCW312" s="35"/>
      <c r="UCX312" s="15"/>
      <c r="UCZ312" s="13"/>
      <c r="UDA312" s="35"/>
      <c r="UDB312" s="35"/>
      <c r="UDC312" s="15"/>
      <c r="UDE312" s="13"/>
      <c r="UDF312" s="35"/>
      <c r="UDG312" s="35"/>
      <c r="UDH312" s="15"/>
      <c r="UDJ312" s="13"/>
      <c r="UDK312" s="35"/>
      <c r="UDL312" s="35"/>
      <c r="UDM312" s="15"/>
      <c r="UDO312" s="13"/>
      <c r="UDP312" s="35"/>
      <c r="UDQ312" s="35"/>
      <c r="UDR312" s="15"/>
      <c r="UDT312" s="13"/>
      <c r="UDU312" s="35"/>
      <c r="UDV312" s="35"/>
      <c r="UDW312" s="15"/>
      <c r="UDY312" s="13"/>
      <c r="UDZ312" s="35"/>
      <c r="UEA312" s="35"/>
      <c r="UEB312" s="15"/>
      <c r="UED312" s="13"/>
      <c r="UEE312" s="35"/>
      <c r="UEF312" s="35"/>
      <c r="UEG312" s="15"/>
      <c r="UEI312" s="13"/>
      <c r="UEJ312" s="35"/>
      <c r="UEK312" s="35"/>
      <c r="UEL312" s="15"/>
      <c r="UEN312" s="13"/>
      <c r="UEO312" s="35"/>
      <c r="UEP312" s="35"/>
      <c r="UEQ312" s="15"/>
      <c r="UES312" s="13"/>
      <c r="UET312" s="35"/>
      <c r="UEU312" s="35"/>
      <c r="UEV312" s="15"/>
      <c r="UEX312" s="13"/>
      <c r="UEY312" s="35"/>
      <c r="UEZ312" s="35"/>
      <c r="UFA312" s="15"/>
      <c r="UFC312" s="13"/>
      <c r="UFD312" s="35"/>
      <c r="UFE312" s="35"/>
      <c r="UFF312" s="15"/>
      <c r="UFH312" s="13"/>
      <c r="UFI312" s="35"/>
      <c r="UFJ312" s="35"/>
      <c r="UFK312" s="15"/>
      <c r="UFM312" s="13"/>
      <c r="UFN312" s="35"/>
      <c r="UFO312" s="35"/>
      <c r="UFP312" s="15"/>
      <c r="UFR312" s="13"/>
      <c r="UFS312" s="35"/>
      <c r="UFT312" s="35"/>
      <c r="UFU312" s="15"/>
      <c r="UFW312" s="13"/>
      <c r="UFX312" s="35"/>
      <c r="UFY312" s="35"/>
      <c r="UFZ312" s="15"/>
      <c r="UGB312" s="13"/>
      <c r="UGC312" s="35"/>
      <c r="UGD312" s="35"/>
      <c r="UGE312" s="15"/>
      <c r="UGG312" s="13"/>
      <c r="UGH312" s="35"/>
      <c r="UGI312" s="35"/>
      <c r="UGJ312" s="15"/>
      <c r="UGL312" s="13"/>
      <c r="UGM312" s="35"/>
      <c r="UGN312" s="35"/>
      <c r="UGO312" s="15"/>
      <c r="UGQ312" s="13"/>
      <c r="UGR312" s="35"/>
      <c r="UGS312" s="35"/>
      <c r="UGT312" s="15"/>
      <c r="UGV312" s="13"/>
      <c r="UGW312" s="35"/>
      <c r="UGX312" s="35"/>
      <c r="UGY312" s="15"/>
      <c r="UHA312" s="13"/>
      <c r="UHB312" s="35"/>
      <c r="UHC312" s="35"/>
      <c r="UHD312" s="15"/>
      <c r="UHF312" s="13"/>
      <c r="UHG312" s="35"/>
      <c r="UHH312" s="35"/>
      <c r="UHI312" s="15"/>
      <c r="UHK312" s="13"/>
      <c r="UHL312" s="35"/>
      <c r="UHM312" s="35"/>
      <c r="UHN312" s="15"/>
      <c r="UHP312" s="13"/>
      <c r="UHQ312" s="35"/>
      <c r="UHR312" s="35"/>
      <c r="UHS312" s="15"/>
      <c r="UHU312" s="13"/>
      <c r="UHV312" s="35"/>
      <c r="UHW312" s="35"/>
      <c r="UHX312" s="15"/>
      <c r="UHZ312" s="13"/>
      <c r="UIA312" s="35"/>
      <c r="UIB312" s="35"/>
      <c r="UIC312" s="15"/>
      <c r="UIE312" s="13"/>
      <c r="UIF312" s="35"/>
      <c r="UIG312" s="35"/>
      <c r="UIH312" s="15"/>
      <c r="UIJ312" s="13"/>
      <c r="UIK312" s="35"/>
      <c r="UIL312" s="35"/>
      <c r="UIM312" s="15"/>
      <c r="UIO312" s="13"/>
      <c r="UIP312" s="35"/>
      <c r="UIQ312" s="35"/>
      <c r="UIR312" s="15"/>
      <c r="UIT312" s="13"/>
      <c r="UIU312" s="35"/>
      <c r="UIV312" s="35"/>
      <c r="UIW312" s="15"/>
      <c r="UIY312" s="13"/>
      <c r="UIZ312" s="35"/>
      <c r="UJA312" s="35"/>
      <c r="UJB312" s="15"/>
      <c r="UJD312" s="13"/>
      <c r="UJE312" s="35"/>
      <c r="UJF312" s="35"/>
      <c r="UJG312" s="15"/>
      <c r="UJI312" s="13"/>
      <c r="UJJ312" s="35"/>
      <c r="UJK312" s="35"/>
      <c r="UJL312" s="15"/>
      <c r="UJN312" s="13"/>
      <c r="UJO312" s="35"/>
      <c r="UJP312" s="35"/>
      <c r="UJQ312" s="15"/>
      <c r="UJS312" s="13"/>
      <c r="UJT312" s="35"/>
      <c r="UJU312" s="35"/>
      <c r="UJV312" s="15"/>
      <c r="UJX312" s="13"/>
      <c r="UJY312" s="35"/>
      <c r="UJZ312" s="35"/>
      <c r="UKA312" s="15"/>
      <c r="UKC312" s="13"/>
      <c r="UKD312" s="35"/>
      <c r="UKE312" s="35"/>
      <c r="UKF312" s="15"/>
      <c r="UKH312" s="13"/>
      <c r="UKI312" s="35"/>
      <c r="UKJ312" s="35"/>
      <c r="UKK312" s="15"/>
      <c r="UKM312" s="13"/>
      <c r="UKN312" s="35"/>
      <c r="UKO312" s="35"/>
      <c r="UKP312" s="15"/>
      <c r="UKR312" s="13"/>
      <c r="UKS312" s="35"/>
      <c r="UKT312" s="35"/>
      <c r="UKU312" s="15"/>
      <c r="UKW312" s="13"/>
      <c r="UKX312" s="35"/>
      <c r="UKY312" s="35"/>
      <c r="UKZ312" s="15"/>
      <c r="ULB312" s="13"/>
      <c r="ULC312" s="35"/>
      <c r="ULD312" s="35"/>
      <c r="ULE312" s="15"/>
      <c r="ULG312" s="13"/>
      <c r="ULH312" s="35"/>
      <c r="ULI312" s="35"/>
      <c r="ULJ312" s="15"/>
      <c r="ULL312" s="13"/>
      <c r="ULM312" s="35"/>
      <c r="ULN312" s="35"/>
      <c r="ULO312" s="15"/>
      <c r="ULQ312" s="13"/>
      <c r="ULR312" s="35"/>
      <c r="ULS312" s="35"/>
      <c r="ULT312" s="15"/>
      <c r="ULV312" s="13"/>
      <c r="ULW312" s="35"/>
      <c r="ULX312" s="35"/>
      <c r="ULY312" s="15"/>
      <c r="UMA312" s="13"/>
      <c r="UMB312" s="35"/>
      <c r="UMC312" s="35"/>
      <c r="UMD312" s="15"/>
      <c r="UMF312" s="13"/>
      <c r="UMG312" s="35"/>
      <c r="UMH312" s="35"/>
      <c r="UMI312" s="15"/>
      <c r="UMK312" s="13"/>
      <c r="UML312" s="35"/>
      <c r="UMM312" s="35"/>
      <c r="UMN312" s="15"/>
      <c r="UMP312" s="13"/>
      <c r="UMQ312" s="35"/>
      <c r="UMR312" s="35"/>
      <c r="UMS312" s="15"/>
      <c r="UMU312" s="13"/>
      <c r="UMV312" s="35"/>
      <c r="UMW312" s="35"/>
      <c r="UMX312" s="15"/>
      <c r="UMZ312" s="13"/>
      <c r="UNA312" s="35"/>
      <c r="UNB312" s="35"/>
      <c r="UNC312" s="15"/>
      <c r="UNE312" s="13"/>
      <c r="UNF312" s="35"/>
      <c r="UNG312" s="35"/>
      <c r="UNH312" s="15"/>
      <c r="UNJ312" s="13"/>
      <c r="UNK312" s="35"/>
      <c r="UNL312" s="35"/>
      <c r="UNM312" s="15"/>
      <c r="UNO312" s="13"/>
      <c r="UNP312" s="35"/>
      <c r="UNQ312" s="35"/>
      <c r="UNR312" s="15"/>
      <c r="UNT312" s="13"/>
      <c r="UNU312" s="35"/>
      <c r="UNV312" s="35"/>
      <c r="UNW312" s="15"/>
      <c r="UNY312" s="13"/>
      <c r="UNZ312" s="35"/>
      <c r="UOA312" s="35"/>
      <c r="UOB312" s="15"/>
      <c r="UOD312" s="13"/>
      <c r="UOE312" s="35"/>
      <c r="UOF312" s="35"/>
      <c r="UOG312" s="15"/>
      <c r="UOI312" s="13"/>
      <c r="UOJ312" s="35"/>
      <c r="UOK312" s="35"/>
      <c r="UOL312" s="15"/>
      <c r="UON312" s="13"/>
      <c r="UOO312" s="35"/>
      <c r="UOP312" s="35"/>
      <c r="UOQ312" s="15"/>
      <c r="UOS312" s="13"/>
      <c r="UOT312" s="35"/>
      <c r="UOU312" s="35"/>
      <c r="UOV312" s="15"/>
      <c r="UOX312" s="13"/>
      <c r="UOY312" s="35"/>
      <c r="UOZ312" s="35"/>
      <c r="UPA312" s="15"/>
      <c r="UPC312" s="13"/>
      <c r="UPD312" s="35"/>
      <c r="UPE312" s="35"/>
      <c r="UPF312" s="15"/>
      <c r="UPH312" s="13"/>
      <c r="UPI312" s="35"/>
      <c r="UPJ312" s="35"/>
      <c r="UPK312" s="15"/>
      <c r="UPM312" s="13"/>
      <c r="UPN312" s="35"/>
      <c r="UPO312" s="35"/>
      <c r="UPP312" s="15"/>
      <c r="UPR312" s="13"/>
      <c r="UPS312" s="35"/>
      <c r="UPT312" s="35"/>
      <c r="UPU312" s="15"/>
      <c r="UPW312" s="13"/>
      <c r="UPX312" s="35"/>
      <c r="UPY312" s="35"/>
      <c r="UPZ312" s="15"/>
      <c r="UQB312" s="13"/>
      <c r="UQC312" s="35"/>
      <c r="UQD312" s="35"/>
      <c r="UQE312" s="15"/>
      <c r="UQG312" s="13"/>
      <c r="UQH312" s="35"/>
      <c r="UQI312" s="35"/>
      <c r="UQJ312" s="15"/>
      <c r="UQL312" s="13"/>
      <c r="UQM312" s="35"/>
      <c r="UQN312" s="35"/>
      <c r="UQO312" s="15"/>
      <c r="UQQ312" s="13"/>
      <c r="UQR312" s="35"/>
      <c r="UQS312" s="35"/>
      <c r="UQT312" s="15"/>
      <c r="UQV312" s="13"/>
      <c r="UQW312" s="35"/>
      <c r="UQX312" s="35"/>
      <c r="UQY312" s="15"/>
      <c r="URA312" s="13"/>
      <c r="URB312" s="35"/>
      <c r="URC312" s="35"/>
      <c r="URD312" s="15"/>
      <c r="URF312" s="13"/>
      <c r="URG312" s="35"/>
      <c r="URH312" s="35"/>
      <c r="URI312" s="15"/>
      <c r="URK312" s="13"/>
      <c r="URL312" s="35"/>
      <c r="URM312" s="35"/>
      <c r="URN312" s="15"/>
      <c r="URP312" s="13"/>
      <c r="URQ312" s="35"/>
      <c r="URR312" s="35"/>
      <c r="URS312" s="15"/>
      <c r="URU312" s="13"/>
      <c r="URV312" s="35"/>
      <c r="URW312" s="35"/>
      <c r="URX312" s="15"/>
      <c r="URZ312" s="13"/>
      <c r="USA312" s="35"/>
      <c r="USB312" s="35"/>
      <c r="USC312" s="15"/>
      <c r="USE312" s="13"/>
      <c r="USF312" s="35"/>
      <c r="USG312" s="35"/>
      <c r="USH312" s="15"/>
      <c r="USJ312" s="13"/>
      <c r="USK312" s="35"/>
      <c r="USL312" s="35"/>
      <c r="USM312" s="15"/>
      <c r="USO312" s="13"/>
      <c r="USP312" s="35"/>
      <c r="USQ312" s="35"/>
      <c r="USR312" s="15"/>
      <c r="UST312" s="13"/>
      <c r="USU312" s="35"/>
      <c r="USV312" s="35"/>
      <c r="USW312" s="15"/>
      <c r="USY312" s="13"/>
      <c r="USZ312" s="35"/>
      <c r="UTA312" s="35"/>
      <c r="UTB312" s="15"/>
      <c r="UTD312" s="13"/>
      <c r="UTE312" s="35"/>
      <c r="UTF312" s="35"/>
      <c r="UTG312" s="15"/>
      <c r="UTI312" s="13"/>
      <c r="UTJ312" s="35"/>
      <c r="UTK312" s="35"/>
      <c r="UTL312" s="15"/>
      <c r="UTN312" s="13"/>
      <c r="UTO312" s="35"/>
      <c r="UTP312" s="35"/>
      <c r="UTQ312" s="15"/>
      <c r="UTS312" s="13"/>
      <c r="UTT312" s="35"/>
      <c r="UTU312" s="35"/>
      <c r="UTV312" s="15"/>
      <c r="UTX312" s="13"/>
      <c r="UTY312" s="35"/>
      <c r="UTZ312" s="35"/>
      <c r="UUA312" s="15"/>
      <c r="UUC312" s="13"/>
      <c r="UUD312" s="35"/>
      <c r="UUE312" s="35"/>
      <c r="UUF312" s="15"/>
      <c r="UUH312" s="13"/>
      <c r="UUI312" s="35"/>
      <c r="UUJ312" s="35"/>
      <c r="UUK312" s="15"/>
      <c r="UUM312" s="13"/>
      <c r="UUN312" s="35"/>
      <c r="UUO312" s="35"/>
      <c r="UUP312" s="15"/>
      <c r="UUR312" s="13"/>
      <c r="UUS312" s="35"/>
      <c r="UUT312" s="35"/>
      <c r="UUU312" s="15"/>
      <c r="UUW312" s="13"/>
      <c r="UUX312" s="35"/>
      <c r="UUY312" s="35"/>
      <c r="UUZ312" s="15"/>
      <c r="UVB312" s="13"/>
      <c r="UVC312" s="35"/>
      <c r="UVD312" s="35"/>
      <c r="UVE312" s="15"/>
      <c r="UVG312" s="13"/>
      <c r="UVH312" s="35"/>
      <c r="UVI312" s="35"/>
      <c r="UVJ312" s="15"/>
      <c r="UVL312" s="13"/>
      <c r="UVM312" s="35"/>
      <c r="UVN312" s="35"/>
      <c r="UVO312" s="15"/>
      <c r="UVQ312" s="13"/>
      <c r="UVR312" s="35"/>
      <c r="UVS312" s="35"/>
      <c r="UVT312" s="15"/>
      <c r="UVV312" s="13"/>
      <c r="UVW312" s="35"/>
      <c r="UVX312" s="35"/>
      <c r="UVY312" s="15"/>
      <c r="UWA312" s="13"/>
      <c r="UWB312" s="35"/>
      <c r="UWC312" s="35"/>
      <c r="UWD312" s="15"/>
      <c r="UWF312" s="13"/>
      <c r="UWG312" s="35"/>
      <c r="UWH312" s="35"/>
      <c r="UWI312" s="15"/>
      <c r="UWK312" s="13"/>
      <c r="UWL312" s="35"/>
      <c r="UWM312" s="35"/>
      <c r="UWN312" s="15"/>
      <c r="UWP312" s="13"/>
      <c r="UWQ312" s="35"/>
      <c r="UWR312" s="35"/>
      <c r="UWS312" s="15"/>
      <c r="UWU312" s="13"/>
      <c r="UWV312" s="35"/>
      <c r="UWW312" s="35"/>
      <c r="UWX312" s="15"/>
      <c r="UWZ312" s="13"/>
      <c r="UXA312" s="35"/>
      <c r="UXB312" s="35"/>
      <c r="UXC312" s="15"/>
      <c r="UXE312" s="13"/>
      <c r="UXF312" s="35"/>
      <c r="UXG312" s="35"/>
      <c r="UXH312" s="15"/>
      <c r="UXJ312" s="13"/>
      <c r="UXK312" s="35"/>
      <c r="UXL312" s="35"/>
      <c r="UXM312" s="15"/>
      <c r="UXO312" s="13"/>
      <c r="UXP312" s="35"/>
      <c r="UXQ312" s="35"/>
      <c r="UXR312" s="15"/>
      <c r="UXT312" s="13"/>
      <c r="UXU312" s="35"/>
      <c r="UXV312" s="35"/>
      <c r="UXW312" s="15"/>
      <c r="UXY312" s="13"/>
      <c r="UXZ312" s="35"/>
      <c r="UYA312" s="35"/>
      <c r="UYB312" s="15"/>
      <c r="UYD312" s="13"/>
      <c r="UYE312" s="35"/>
      <c r="UYF312" s="35"/>
      <c r="UYG312" s="15"/>
      <c r="UYI312" s="13"/>
      <c r="UYJ312" s="35"/>
      <c r="UYK312" s="35"/>
      <c r="UYL312" s="15"/>
      <c r="UYN312" s="13"/>
      <c r="UYO312" s="35"/>
      <c r="UYP312" s="35"/>
      <c r="UYQ312" s="15"/>
      <c r="UYS312" s="13"/>
      <c r="UYT312" s="35"/>
      <c r="UYU312" s="35"/>
      <c r="UYV312" s="15"/>
      <c r="UYX312" s="13"/>
      <c r="UYY312" s="35"/>
      <c r="UYZ312" s="35"/>
      <c r="UZA312" s="15"/>
      <c r="UZC312" s="13"/>
      <c r="UZD312" s="35"/>
      <c r="UZE312" s="35"/>
      <c r="UZF312" s="15"/>
      <c r="UZH312" s="13"/>
      <c r="UZI312" s="35"/>
      <c r="UZJ312" s="35"/>
      <c r="UZK312" s="15"/>
      <c r="UZM312" s="13"/>
      <c r="UZN312" s="35"/>
      <c r="UZO312" s="35"/>
      <c r="UZP312" s="15"/>
      <c r="UZR312" s="13"/>
      <c r="UZS312" s="35"/>
      <c r="UZT312" s="35"/>
      <c r="UZU312" s="15"/>
      <c r="UZW312" s="13"/>
      <c r="UZX312" s="35"/>
      <c r="UZY312" s="35"/>
      <c r="UZZ312" s="15"/>
      <c r="VAB312" s="13"/>
      <c r="VAC312" s="35"/>
      <c r="VAD312" s="35"/>
      <c r="VAE312" s="15"/>
      <c r="VAG312" s="13"/>
      <c r="VAH312" s="35"/>
      <c r="VAI312" s="35"/>
      <c r="VAJ312" s="15"/>
      <c r="VAL312" s="13"/>
      <c r="VAM312" s="35"/>
      <c r="VAN312" s="35"/>
      <c r="VAO312" s="15"/>
      <c r="VAQ312" s="13"/>
      <c r="VAR312" s="35"/>
      <c r="VAS312" s="35"/>
      <c r="VAT312" s="15"/>
      <c r="VAV312" s="13"/>
      <c r="VAW312" s="35"/>
      <c r="VAX312" s="35"/>
      <c r="VAY312" s="15"/>
      <c r="VBA312" s="13"/>
      <c r="VBB312" s="35"/>
      <c r="VBC312" s="35"/>
      <c r="VBD312" s="15"/>
      <c r="VBF312" s="13"/>
      <c r="VBG312" s="35"/>
      <c r="VBH312" s="35"/>
      <c r="VBI312" s="15"/>
      <c r="VBK312" s="13"/>
      <c r="VBL312" s="35"/>
      <c r="VBM312" s="35"/>
      <c r="VBN312" s="15"/>
      <c r="VBP312" s="13"/>
      <c r="VBQ312" s="35"/>
      <c r="VBR312" s="35"/>
      <c r="VBS312" s="15"/>
      <c r="VBU312" s="13"/>
      <c r="VBV312" s="35"/>
      <c r="VBW312" s="35"/>
      <c r="VBX312" s="15"/>
      <c r="VBZ312" s="13"/>
      <c r="VCA312" s="35"/>
      <c r="VCB312" s="35"/>
      <c r="VCC312" s="15"/>
      <c r="VCE312" s="13"/>
      <c r="VCF312" s="35"/>
      <c r="VCG312" s="35"/>
      <c r="VCH312" s="15"/>
      <c r="VCJ312" s="13"/>
      <c r="VCK312" s="35"/>
      <c r="VCL312" s="35"/>
      <c r="VCM312" s="15"/>
      <c r="VCO312" s="13"/>
      <c r="VCP312" s="35"/>
      <c r="VCQ312" s="35"/>
      <c r="VCR312" s="15"/>
      <c r="VCT312" s="13"/>
      <c r="VCU312" s="35"/>
      <c r="VCV312" s="35"/>
      <c r="VCW312" s="15"/>
      <c r="VCY312" s="13"/>
      <c r="VCZ312" s="35"/>
      <c r="VDA312" s="35"/>
      <c r="VDB312" s="15"/>
      <c r="VDD312" s="13"/>
      <c r="VDE312" s="35"/>
      <c r="VDF312" s="35"/>
      <c r="VDG312" s="15"/>
      <c r="VDI312" s="13"/>
      <c r="VDJ312" s="35"/>
      <c r="VDK312" s="35"/>
      <c r="VDL312" s="15"/>
      <c r="VDN312" s="13"/>
      <c r="VDO312" s="35"/>
      <c r="VDP312" s="35"/>
      <c r="VDQ312" s="15"/>
      <c r="VDS312" s="13"/>
      <c r="VDT312" s="35"/>
      <c r="VDU312" s="35"/>
      <c r="VDV312" s="15"/>
      <c r="VDX312" s="13"/>
      <c r="VDY312" s="35"/>
      <c r="VDZ312" s="35"/>
      <c r="VEA312" s="15"/>
      <c r="VEC312" s="13"/>
      <c r="VED312" s="35"/>
      <c r="VEE312" s="35"/>
      <c r="VEF312" s="15"/>
      <c r="VEH312" s="13"/>
      <c r="VEI312" s="35"/>
      <c r="VEJ312" s="35"/>
      <c r="VEK312" s="15"/>
      <c r="VEM312" s="13"/>
      <c r="VEN312" s="35"/>
      <c r="VEO312" s="35"/>
      <c r="VEP312" s="15"/>
      <c r="VER312" s="13"/>
      <c r="VES312" s="35"/>
      <c r="VET312" s="35"/>
      <c r="VEU312" s="15"/>
      <c r="VEW312" s="13"/>
      <c r="VEX312" s="35"/>
      <c r="VEY312" s="35"/>
      <c r="VEZ312" s="15"/>
      <c r="VFB312" s="13"/>
      <c r="VFC312" s="35"/>
      <c r="VFD312" s="35"/>
      <c r="VFE312" s="15"/>
      <c r="VFG312" s="13"/>
      <c r="VFH312" s="35"/>
      <c r="VFI312" s="35"/>
      <c r="VFJ312" s="15"/>
      <c r="VFL312" s="13"/>
      <c r="VFM312" s="35"/>
      <c r="VFN312" s="35"/>
      <c r="VFO312" s="15"/>
      <c r="VFQ312" s="13"/>
      <c r="VFR312" s="35"/>
      <c r="VFS312" s="35"/>
      <c r="VFT312" s="15"/>
      <c r="VFV312" s="13"/>
      <c r="VFW312" s="35"/>
      <c r="VFX312" s="35"/>
      <c r="VFY312" s="15"/>
      <c r="VGA312" s="13"/>
      <c r="VGB312" s="35"/>
      <c r="VGC312" s="35"/>
      <c r="VGD312" s="15"/>
      <c r="VGF312" s="13"/>
      <c r="VGG312" s="35"/>
      <c r="VGH312" s="35"/>
      <c r="VGI312" s="15"/>
      <c r="VGK312" s="13"/>
      <c r="VGL312" s="35"/>
      <c r="VGM312" s="35"/>
      <c r="VGN312" s="15"/>
      <c r="VGP312" s="13"/>
      <c r="VGQ312" s="35"/>
      <c r="VGR312" s="35"/>
      <c r="VGS312" s="15"/>
      <c r="VGU312" s="13"/>
      <c r="VGV312" s="35"/>
      <c r="VGW312" s="35"/>
      <c r="VGX312" s="15"/>
      <c r="VGZ312" s="13"/>
      <c r="VHA312" s="35"/>
      <c r="VHB312" s="35"/>
      <c r="VHC312" s="15"/>
      <c r="VHE312" s="13"/>
      <c r="VHF312" s="35"/>
      <c r="VHG312" s="35"/>
      <c r="VHH312" s="15"/>
      <c r="VHJ312" s="13"/>
      <c r="VHK312" s="35"/>
      <c r="VHL312" s="35"/>
      <c r="VHM312" s="15"/>
      <c r="VHO312" s="13"/>
      <c r="VHP312" s="35"/>
      <c r="VHQ312" s="35"/>
      <c r="VHR312" s="15"/>
      <c r="VHT312" s="13"/>
      <c r="VHU312" s="35"/>
      <c r="VHV312" s="35"/>
      <c r="VHW312" s="15"/>
      <c r="VHY312" s="13"/>
      <c r="VHZ312" s="35"/>
      <c r="VIA312" s="35"/>
      <c r="VIB312" s="15"/>
      <c r="VID312" s="13"/>
      <c r="VIE312" s="35"/>
      <c r="VIF312" s="35"/>
      <c r="VIG312" s="15"/>
      <c r="VII312" s="13"/>
      <c r="VIJ312" s="35"/>
      <c r="VIK312" s="35"/>
      <c r="VIL312" s="15"/>
      <c r="VIN312" s="13"/>
      <c r="VIO312" s="35"/>
      <c r="VIP312" s="35"/>
      <c r="VIQ312" s="15"/>
      <c r="VIS312" s="13"/>
      <c r="VIT312" s="35"/>
      <c r="VIU312" s="35"/>
      <c r="VIV312" s="15"/>
      <c r="VIX312" s="13"/>
      <c r="VIY312" s="35"/>
      <c r="VIZ312" s="35"/>
      <c r="VJA312" s="15"/>
      <c r="VJC312" s="13"/>
      <c r="VJD312" s="35"/>
      <c r="VJE312" s="35"/>
      <c r="VJF312" s="15"/>
      <c r="VJH312" s="13"/>
      <c r="VJI312" s="35"/>
      <c r="VJJ312" s="35"/>
      <c r="VJK312" s="15"/>
      <c r="VJM312" s="13"/>
      <c r="VJN312" s="35"/>
      <c r="VJO312" s="35"/>
      <c r="VJP312" s="15"/>
      <c r="VJR312" s="13"/>
      <c r="VJS312" s="35"/>
      <c r="VJT312" s="35"/>
      <c r="VJU312" s="15"/>
      <c r="VJW312" s="13"/>
      <c r="VJX312" s="35"/>
      <c r="VJY312" s="35"/>
      <c r="VJZ312" s="15"/>
      <c r="VKB312" s="13"/>
      <c r="VKC312" s="35"/>
      <c r="VKD312" s="35"/>
      <c r="VKE312" s="15"/>
      <c r="VKG312" s="13"/>
      <c r="VKH312" s="35"/>
      <c r="VKI312" s="35"/>
      <c r="VKJ312" s="15"/>
      <c r="VKL312" s="13"/>
      <c r="VKM312" s="35"/>
      <c r="VKN312" s="35"/>
      <c r="VKO312" s="15"/>
      <c r="VKQ312" s="13"/>
      <c r="VKR312" s="35"/>
      <c r="VKS312" s="35"/>
      <c r="VKT312" s="15"/>
      <c r="VKV312" s="13"/>
      <c r="VKW312" s="35"/>
      <c r="VKX312" s="35"/>
      <c r="VKY312" s="15"/>
      <c r="VLA312" s="13"/>
      <c r="VLB312" s="35"/>
      <c r="VLC312" s="35"/>
      <c r="VLD312" s="15"/>
      <c r="VLF312" s="13"/>
      <c r="VLG312" s="35"/>
      <c r="VLH312" s="35"/>
      <c r="VLI312" s="15"/>
      <c r="VLK312" s="13"/>
      <c r="VLL312" s="35"/>
      <c r="VLM312" s="35"/>
      <c r="VLN312" s="15"/>
      <c r="VLP312" s="13"/>
      <c r="VLQ312" s="35"/>
      <c r="VLR312" s="35"/>
      <c r="VLS312" s="15"/>
      <c r="VLU312" s="13"/>
      <c r="VLV312" s="35"/>
      <c r="VLW312" s="35"/>
      <c r="VLX312" s="15"/>
      <c r="VLZ312" s="13"/>
      <c r="VMA312" s="35"/>
      <c r="VMB312" s="35"/>
      <c r="VMC312" s="15"/>
      <c r="VME312" s="13"/>
      <c r="VMF312" s="35"/>
      <c r="VMG312" s="35"/>
      <c r="VMH312" s="15"/>
      <c r="VMJ312" s="13"/>
      <c r="VMK312" s="35"/>
      <c r="VML312" s="35"/>
      <c r="VMM312" s="15"/>
      <c r="VMO312" s="13"/>
      <c r="VMP312" s="35"/>
      <c r="VMQ312" s="35"/>
      <c r="VMR312" s="15"/>
      <c r="VMT312" s="13"/>
      <c r="VMU312" s="35"/>
      <c r="VMV312" s="35"/>
      <c r="VMW312" s="15"/>
      <c r="VMY312" s="13"/>
      <c r="VMZ312" s="35"/>
      <c r="VNA312" s="35"/>
      <c r="VNB312" s="15"/>
      <c r="VND312" s="13"/>
      <c r="VNE312" s="35"/>
      <c r="VNF312" s="35"/>
      <c r="VNG312" s="15"/>
      <c r="VNI312" s="13"/>
      <c r="VNJ312" s="35"/>
      <c r="VNK312" s="35"/>
      <c r="VNL312" s="15"/>
      <c r="VNN312" s="13"/>
      <c r="VNO312" s="35"/>
      <c r="VNP312" s="35"/>
      <c r="VNQ312" s="15"/>
      <c r="VNS312" s="13"/>
      <c r="VNT312" s="35"/>
      <c r="VNU312" s="35"/>
      <c r="VNV312" s="15"/>
      <c r="VNX312" s="13"/>
      <c r="VNY312" s="35"/>
      <c r="VNZ312" s="35"/>
      <c r="VOA312" s="15"/>
      <c r="VOC312" s="13"/>
      <c r="VOD312" s="35"/>
      <c r="VOE312" s="35"/>
      <c r="VOF312" s="15"/>
      <c r="VOH312" s="13"/>
      <c r="VOI312" s="35"/>
      <c r="VOJ312" s="35"/>
      <c r="VOK312" s="15"/>
      <c r="VOM312" s="13"/>
      <c r="VON312" s="35"/>
      <c r="VOO312" s="35"/>
      <c r="VOP312" s="15"/>
      <c r="VOR312" s="13"/>
      <c r="VOS312" s="35"/>
      <c r="VOT312" s="35"/>
      <c r="VOU312" s="15"/>
      <c r="VOW312" s="13"/>
      <c r="VOX312" s="35"/>
      <c r="VOY312" s="35"/>
      <c r="VOZ312" s="15"/>
      <c r="VPB312" s="13"/>
      <c r="VPC312" s="35"/>
      <c r="VPD312" s="35"/>
      <c r="VPE312" s="15"/>
      <c r="VPG312" s="13"/>
      <c r="VPH312" s="35"/>
      <c r="VPI312" s="35"/>
      <c r="VPJ312" s="15"/>
      <c r="VPL312" s="13"/>
      <c r="VPM312" s="35"/>
      <c r="VPN312" s="35"/>
      <c r="VPO312" s="15"/>
      <c r="VPQ312" s="13"/>
      <c r="VPR312" s="35"/>
      <c r="VPS312" s="35"/>
      <c r="VPT312" s="15"/>
      <c r="VPV312" s="13"/>
      <c r="VPW312" s="35"/>
      <c r="VPX312" s="35"/>
      <c r="VPY312" s="15"/>
      <c r="VQA312" s="13"/>
      <c r="VQB312" s="35"/>
      <c r="VQC312" s="35"/>
      <c r="VQD312" s="15"/>
      <c r="VQF312" s="13"/>
      <c r="VQG312" s="35"/>
      <c r="VQH312" s="35"/>
      <c r="VQI312" s="15"/>
      <c r="VQK312" s="13"/>
      <c r="VQL312" s="35"/>
      <c r="VQM312" s="35"/>
      <c r="VQN312" s="15"/>
      <c r="VQP312" s="13"/>
      <c r="VQQ312" s="35"/>
      <c r="VQR312" s="35"/>
      <c r="VQS312" s="15"/>
      <c r="VQU312" s="13"/>
      <c r="VQV312" s="35"/>
      <c r="VQW312" s="35"/>
      <c r="VQX312" s="15"/>
      <c r="VQZ312" s="13"/>
      <c r="VRA312" s="35"/>
      <c r="VRB312" s="35"/>
      <c r="VRC312" s="15"/>
      <c r="VRE312" s="13"/>
      <c r="VRF312" s="35"/>
      <c r="VRG312" s="35"/>
      <c r="VRH312" s="15"/>
      <c r="VRJ312" s="13"/>
      <c r="VRK312" s="35"/>
      <c r="VRL312" s="35"/>
      <c r="VRM312" s="15"/>
      <c r="VRO312" s="13"/>
      <c r="VRP312" s="35"/>
      <c r="VRQ312" s="35"/>
      <c r="VRR312" s="15"/>
      <c r="VRT312" s="13"/>
      <c r="VRU312" s="35"/>
      <c r="VRV312" s="35"/>
      <c r="VRW312" s="15"/>
      <c r="VRY312" s="13"/>
      <c r="VRZ312" s="35"/>
      <c r="VSA312" s="35"/>
      <c r="VSB312" s="15"/>
      <c r="VSD312" s="13"/>
      <c r="VSE312" s="35"/>
      <c r="VSF312" s="35"/>
      <c r="VSG312" s="15"/>
      <c r="VSI312" s="13"/>
      <c r="VSJ312" s="35"/>
      <c r="VSK312" s="35"/>
      <c r="VSL312" s="15"/>
      <c r="VSN312" s="13"/>
      <c r="VSO312" s="35"/>
      <c r="VSP312" s="35"/>
      <c r="VSQ312" s="15"/>
      <c r="VSS312" s="13"/>
      <c r="VST312" s="35"/>
      <c r="VSU312" s="35"/>
      <c r="VSV312" s="15"/>
      <c r="VSX312" s="13"/>
      <c r="VSY312" s="35"/>
      <c r="VSZ312" s="35"/>
      <c r="VTA312" s="15"/>
      <c r="VTC312" s="13"/>
      <c r="VTD312" s="35"/>
      <c r="VTE312" s="35"/>
      <c r="VTF312" s="15"/>
      <c r="VTH312" s="13"/>
      <c r="VTI312" s="35"/>
      <c r="VTJ312" s="35"/>
      <c r="VTK312" s="15"/>
      <c r="VTM312" s="13"/>
      <c r="VTN312" s="35"/>
      <c r="VTO312" s="35"/>
      <c r="VTP312" s="15"/>
      <c r="VTR312" s="13"/>
      <c r="VTS312" s="35"/>
      <c r="VTT312" s="35"/>
      <c r="VTU312" s="15"/>
      <c r="VTW312" s="13"/>
      <c r="VTX312" s="35"/>
      <c r="VTY312" s="35"/>
      <c r="VTZ312" s="15"/>
      <c r="VUB312" s="13"/>
      <c r="VUC312" s="35"/>
      <c r="VUD312" s="35"/>
      <c r="VUE312" s="15"/>
      <c r="VUG312" s="13"/>
      <c r="VUH312" s="35"/>
      <c r="VUI312" s="35"/>
      <c r="VUJ312" s="15"/>
      <c r="VUL312" s="13"/>
      <c r="VUM312" s="35"/>
      <c r="VUN312" s="35"/>
      <c r="VUO312" s="15"/>
      <c r="VUQ312" s="13"/>
      <c r="VUR312" s="35"/>
      <c r="VUS312" s="35"/>
      <c r="VUT312" s="15"/>
      <c r="VUV312" s="13"/>
      <c r="VUW312" s="35"/>
      <c r="VUX312" s="35"/>
      <c r="VUY312" s="15"/>
      <c r="VVA312" s="13"/>
      <c r="VVB312" s="35"/>
      <c r="VVC312" s="35"/>
      <c r="VVD312" s="15"/>
      <c r="VVF312" s="13"/>
      <c r="VVG312" s="35"/>
      <c r="VVH312" s="35"/>
      <c r="VVI312" s="15"/>
      <c r="VVK312" s="13"/>
      <c r="VVL312" s="35"/>
      <c r="VVM312" s="35"/>
      <c r="VVN312" s="15"/>
      <c r="VVP312" s="13"/>
      <c r="VVQ312" s="35"/>
      <c r="VVR312" s="35"/>
      <c r="VVS312" s="15"/>
      <c r="VVU312" s="13"/>
      <c r="VVV312" s="35"/>
      <c r="VVW312" s="35"/>
      <c r="VVX312" s="15"/>
      <c r="VVZ312" s="13"/>
      <c r="VWA312" s="35"/>
      <c r="VWB312" s="35"/>
      <c r="VWC312" s="15"/>
      <c r="VWE312" s="13"/>
      <c r="VWF312" s="35"/>
      <c r="VWG312" s="35"/>
      <c r="VWH312" s="15"/>
      <c r="VWJ312" s="13"/>
      <c r="VWK312" s="35"/>
      <c r="VWL312" s="35"/>
      <c r="VWM312" s="15"/>
      <c r="VWO312" s="13"/>
      <c r="VWP312" s="35"/>
      <c r="VWQ312" s="35"/>
      <c r="VWR312" s="15"/>
      <c r="VWT312" s="13"/>
      <c r="VWU312" s="35"/>
      <c r="VWV312" s="35"/>
      <c r="VWW312" s="15"/>
      <c r="VWY312" s="13"/>
      <c r="VWZ312" s="35"/>
      <c r="VXA312" s="35"/>
      <c r="VXB312" s="15"/>
      <c r="VXD312" s="13"/>
      <c r="VXE312" s="35"/>
      <c r="VXF312" s="35"/>
      <c r="VXG312" s="15"/>
      <c r="VXI312" s="13"/>
      <c r="VXJ312" s="35"/>
      <c r="VXK312" s="35"/>
      <c r="VXL312" s="15"/>
      <c r="VXN312" s="13"/>
      <c r="VXO312" s="35"/>
      <c r="VXP312" s="35"/>
      <c r="VXQ312" s="15"/>
      <c r="VXS312" s="13"/>
      <c r="VXT312" s="35"/>
      <c r="VXU312" s="35"/>
      <c r="VXV312" s="15"/>
      <c r="VXX312" s="13"/>
      <c r="VXY312" s="35"/>
      <c r="VXZ312" s="35"/>
      <c r="VYA312" s="15"/>
      <c r="VYC312" s="13"/>
      <c r="VYD312" s="35"/>
      <c r="VYE312" s="35"/>
      <c r="VYF312" s="15"/>
      <c r="VYH312" s="13"/>
      <c r="VYI312" s="35"/>
      <c r="VYJ312" s="35"/>
      <c r="VYK312" s="15"/>
      <c r="VYM312" s="13"/>
      <c r="VYN312" s="35"/>
      <c r="VYO312" s="35"/>
      <c r="VYP312" s="15"/>
      <c r="VYR312" s="13"/>
      <c r="VYS312" s="35"/>
      <c r="VYT312" s="35"/>
      <c r="VYU312" s="15"/>
      <c r="VYW312" s="13"/>
      <c r="VYX312" s="35"/>
      <c r="VYY312" s="35"/>
      <c r="VYZ312" s="15"/>
      <c r="VZB312" s="13"/>
      <c r="VZC312" s="35"/>
      <c r="VZD312" s="35"/>
      <c r="VZE312" s="15"/>
      <c r="VZG312" s="13"/>
      <c r="VZH312" s="35"/>
      <c r="VZI312" s="35"/>
      <c r="VZJ312" s="15"/>
      <c r="VZL312" s="13"/>
      <c r="VZM312" s="35"/>
      <c r="VZN312" s="35"/>
      <c r="VZO312" s="15"/>
      <c r="VZQ312" s="13"/>
      <c r="VZR312" s="35"/>
      <c r="VZS312" s="35"/>
      <c r="VZT312" s="15"/>
      <c r="VZV312" s="13"/>
      <c r="VZW312" s="35"/>
      <c r="VZX312" s="35"/>
      <c r="VZY312" s="15"/>
      <c r="WAA312" s="13"/>
      <c r="WAB312" s="35"/>
      <c r="WAC312" s="35"/>
      <c r="WAD312" s="15"/>
      <c r="WAF312" s="13"/>
      <c r="WAG312" s="35"/>
      <c r="WAH312" s="35"/>
      <c r="WAI312" s="15"/>
      <c r="WAK312" s="13"/>
      <c r="WAL312" s="35"/>
      <c r="WAM312" s="35"/>
      <c r="WAN312" s="15"/>
      <c r="WAP312" s="13"/>
      <c r="WAQ312" s="35"/>
      <c r="WAR312" s="35"/>
      <c r="WAS312" s="15"/>
      <c r="WAU312" s="13"/>
      <c r="WAV312" s="35"/>
      <c r="WAW312" s="35"/>
      <c r="WAX312" s="15"/>
      <c r="WAZ312" s="13"/>
      <c r="WBA312" s="35"/>
      <c r="WBB312" s="35"/>
      <c r="WBC312" s="15"/>
      <c r="WBE312" s="13"/>
      <c r="WBF312" s="35"/>
      <c r="WBG312" s="35"/>
      <c r="WBH312" s="15"/>
      <c r="WBJ312" s="13"/>
      <c r="WBK312" s="35"/>
      <c r="WBL312" s="35"/>
      <c r="WBM312" s="15"/>
      <c r="WBO312" s="13"/>
      <c r="WBP312" s="35"/>
      <c r="WBQ312" s="35"/>
      <c r="WBR312" s="15"/>
      <c r="WBT312" s="13"/>
      <c r="WBU312" s="35"/>
      <c r="WBV312" s="35"/>
      <c r="WBW312" s="15"/>
      <c r="WBY312" s="13"/>
      <c r="WBZ312" s="35"/>
      <c r="WCA312" s="35"/>
      <c r="WCB312" s="15"/>
      <c r="WCD312" s="13"/>
      <c r="WCE312" s="35"/>
      <c r="WCF312" s="35"/>
      <c r="WCG312" s="15"/>
      <c r="WCI312" s="13"/>
      <c r="WCJ312" s="35"/>
      <c r="WCK312" s="35"/>
      <c r="WCL312" s="15"/>
      <c r="WCN312" s="13"/>
      <c r="WCO312" s="35"/>
      <c r="WCP312" s="35"/>
      <c r="WCQ312" s="15"/>
      <c r="WCS312" s="13"/>
      <c r="WCT312" s="35"/>
      <c r="WCU312" s="35"/>
      <c r="WCV312" s="15"/>
      <c r="WCX312" s="13"/>
      <c r="WCY312" s="35"/>
      <c r="WCZ312" s="35"/>
      <c r="WDA312" s="15"/>
      <c r="WDC312" s="13"/>
      <c r="WDD312" s="35"/>
      <c r="WDE312" s="35"/>
      <c r="WDF312" s="15"/>
      <c r="WDH312" s="13"/>
      <c r="WDI312" s="35"/>
      <c r="WDJ312" s="35"/>
      <c r="WDK312" s="15"/>
      <c r="WDM312" s="13"/>
      <c r="WDN312" s="35"/>
      <c r="WDO312" s="35"/>
      <c r="WDP312" s="15"/>
      <c r="WDR312" s="13"/>
      <c r="WDS312" s="35"/>
      <c r="WDT312" s="35"/>
      <c r="WDU312" s="15"/>
      <c r="WDW312" s="13"/>
      <c r="WDX312" s="35"/>
      <c r="WDY312" s="35"/>
      <c r="WDZ312" s="15"/>
      <c r="WEB312" s="13"/>
      <c r="WEC312" s="35"/>
      <c r="WED312" s="35"/>
      <c r="WEE312" s="15"/>
      <c r="WEG312" s="13"/>
      <c r="WEH312" s="35"/>
      <c r="WEI312" s="35"/>
      <c r="WEJ312" s="15"/>
      <c r="WEL312" s="13"/>
      <c r="WEM312" s="35"/>
      <c r="WEN312" s="35"/>
      <c r="WEO312" s="15"/>
      <c r="WEQ312" s="13"/>
      <c r="WER312" s="35"/>
      <c r="WES312" s="35"/>
      <c r="WET312" s="15"/>
      <c r="WEV312" s="13"/>
      <c r="WEW312" s="35"/>
      <c r="WEX312" s="35"/>
      <c r="WEY312" s="15"/>
      <c r="WFA312" s="13"/>
      <c r="WFB312" s="35"/>
      <c r="WFC312" s="35"/>
      <c r="WFD312" s="15"/>
      <c r="WFF312" s="13"/>
      <c r="WFG312" s="35"/>
      <c r="WFH312" s="35"/>
      <c r="WFI312" s="15"/>
      <c r="WFK312" s="13"/>
      <c r="WFL312" s="35"/>
      <c r="WFM312" s="35"/>
      <c r="WFN312" s="15"/>
      <c r="WFP312" s="13"/>
      <c r="WFQ312" s="35"/>
      <c r="WFR312" s="35"/>
      <c r="WFS312" s="15"/>
      <c r="WFU312" s="13"/>
      <c r="WFV312" s="35"/>
      <c r="WFW312" s="35"/>
      <c r="WFX312" s="15"/>
      <c r="WFZ312" s="13"/>
      <c r="WGA312" s="35"/>
      <c r="WGB312" s="35"/>
      <c r="WGC312" s="15"/>
      <c r="WGE312" s="13"/>
      <c r="WGF312" s="35"/>
      <c r="WGG312" s="35"/>
      <c r="WGH312" s="15"/>
      <c r="WGJ312" s="13"/>
      <c r="WGK312" s="35"/>
      <c r="WGL312" s="35"/>
      <c r="WGM312" s="15"/>
      <c r="WGO312" s="13"/>
      <c r="WGP312" s="35"/>
      <c r="WGQ312" s="35"/>
      <c r="WGR312" s="15"/>
      <c r="WGT312" s="13"/>
      <c r="WGU312" s="35"/>
      <c r="WGV312" s="35"/>
      <c r="WGW312" s="15"/>
      <c r="WGY312" s="13"/>
      <c r="WGZ312" s="35"/>
      <c r="WHA312" s="35"/>
      <c r="WHB312" s="15"/>
      <c r="WHD312" s="13"/>
      <c r="WHE312" s="35"/>
      <c r="WHF312" s="35"/>
      <c r="WHG312" s="15"/>
      <c r="WHI312" s="13"/>
      <c r="WHJ312" s="35"/>
      <c r="WHK312" s="35"/>
      <c r="WHL312" s="15"/>
      <c r="WHN312" s="13"/>
      <c r="WHO312" s="35"/>
      <c r="WHP312" s="35"/>
      <c r="WHQ312" s="15"/>
      <c r="WHS312" s="13"/>
      <c r="WHT312" s="35"/>
      <c r="WHU312" s="35"/>
      <c r="WHV312" s="15"/>
      <c r="WHX312" s="13"/>
      <c r="WHY312" s="35"/>
      <c r="WHZ312" s="35"/>
      <c r="WIA312" s="15"/>
      <c r="WIC312" s="13"/>
      <c r="WID312" s="35"/>
      <c r="WIE312" s="35"/>
      <c r="WIF312" s="15"/>
      <c r="WIH312" s="13"/>
      <c r="WII312" s="35"/>
      <c r="WIJ312" s="35"/>
      <c r="WIK312" s="15"/>
      <c r="WIM312" s="13"/>
      <c r="WIN312" s="35"/>
      <c r="WIO312" s="35"/>
      <c r="WIP312" s="15"/>
      <c r="WIR312" s="13"/>
      <c r="WIS312" s="35"/>
      <c r="WIT312" s="35"/>
      <c r="WIU312" s="15"/>
      <c r="WIW312" s="13"/>
      <c r="WIX312" s="35"/>
      <c r="WIY312" s="35"/>
      <c r="WIZ312" s="15"/>
      <c r="WJB312" s="13"/>
      <c r="WJC312" s="35"/>
      <c r="WJD312" s="35"/>
      <c r="WJE312" s="15"/>
      <c r="WJG312" s="13"/>
      <c r="WJH312" s="35"/>
      <c r="WJI312" s="35"/>
      <c r="WJJ312" s="15"/>
      <c r="WJL312" s="13"/>
      <c r="WJM312" s="35"/>
      <c r="WJN312" s="35"/>
      <c r="WJO312" s="15"/>
      <c r="WJQ312" s="13"/>
      <c r="WJR312" s="35"/>
      <c r="WJS312" s="35"/>
      <c r="WJT312" s="15"/>
      <c r="WJV312" s="13"/>
      <c r="WJW312" s="35"/>
      <c r="WJX312" s="35"/>
      <c r="WJY312" s="15"/>
      <c r="WKA312" s="13"/>
      <c r="WKB312" s="35"/>
      <c r="WKC312" s="35"/>
      <c r="WKD312" s="15"/>
      <c r="WKF312" s="13"/>
      <c r="WKG312" s="35"/>
      <c r="WKH312" s="35"/>
      <c r="WKI312" s="15"/>
      <c r="WKK312" s="13"/>
      <c r="WKL312" s="35"/>
      <c r="WKM312" s="35"/>
      <c r="WKN312" s="15"/>
      <c r="WKP312" s="13"/>
      <c r="WKQ312" s="35"/>
      <c r="WKR312" s="35"/>
      <c r="WKS312" s="15"/>
      <c r="WKU312" s="13"/>
      <c r="WKV312" s="35"/>
      <c r="WKW312" s="35"/>
      <c r="WKX312" s="15"/>
      <c r="WKZ312" s="13"/>
      <c r="WLA312" s="35"/>
      <c r="WLB312" s="35"/>
      <c r="WLC312" s="15"/>
      <c r="WLE312" s="13"/>
      <c r="WLF312" s="35"/>
      <c r="WLG312" s="35"/>
      <c r="WLH312" s="15"/>
      <c r="WLJ312" s="13"/>
      <c r="WLK312" s="35"/>
      <c r="WLL312" s="35"/>
      <c r="WLM312" s="15"/>
      <c r="WLO312" s="13"/>
      <c r="WLP312" s="35"/>
      <c r="WLQ312" s="35"/>
      <c r="WLR312" s="15"/>
      <c r="WLT312" s="13"/>
      <c r="WLU312" s="35"/>
      <c r="WLV312" s="35"/>
      <c r="WLW312" s="15"/>
      <c r="WLY312" s="13"/>
      <c r="WLZ312" s="35"/>
      <c r="WMA312" s="35"/>
      <c r="WMB312" s="15"/>
      <c r="WMD312" s="13"/>
      <c r="WME312" s="35"/>
      <c r="WMF312" s="35"/>
      <c r="WMG312" s="15"/>
      <c r="WMI312" s="13"/>
      <c r="WMJ312" s="35"/>
      <c r="WMK312" s="35"/>
      <c r="WML312" s="15"/>
      <c r="WMN312" s="13"/>
      <c r="WMO312" s="35"/>
      <c r="WMP312" s="35"/>
      <c r="WMQ312" s="15"/>
      <c r="WMS312" s="13"/>
      <c r="WMT312" s="35"/>
      <c r="WMU312" s="35"/>
      <c r="WMV312" s="15"/>
      <c r="WMX312" s="13"/>
      <c r="WMY312" s="35"/>
      <c r="WMZ312" s="35"/>
      <c r="WNA312" s="15"/>
      <c r="WNC312" s="13"/>
      <c r="WND312" s="35"/>
      <c r="WNE312" s="35"/>
      <c r="WNF312" s="15"/>
      <c r="WNH312" s="13"/>
      <c r="WNI312" s="35"/>
      <c r="WNJ312" s="35"/>
      <c r="WNK312" s="15"/>
      <c r="WNM312" s="13"/>
      <c r="WNN312" s="35"/>
      <c r="WNO312" s="35"/>
      <c r="WNP312" s="15"/>
      <c r="WNR312" s="13"/>
      <c r="WNS312" s="35"/>
      <c r="WNT312" s="35"/>
      <c r="WNU312" s="15"/>
      <c r="WNW312" s="13"/>
      <c r="WNX312" s="35"/>
      <c r="WNY312" s="35"/>
      <c r="WNZ312" s="15"/>
      <c r="WOB312" s="13"/>
      <c r="WOC312" s="35"/>
      <c r="WOD312" s="35"/>
      <c r="WOE312" s="15"/>
      <c r="WOG312" s="13"/>
      <c r="WOH312" s="35"/>
      <c r="WOI312" s="35"/>
      <c r="WOJ312" s="15"/>
      <c r="WOL312" s="13"/>
      <c r="WOM312" s="35"/>
      <c r="WON312" s="35"/>
      <c r="WOO312" s="15"/>
      <c r="WOQ312" s="13"/>
      <c r="WOR312" s="35"/>
      <c r="WOS312" s="35"/>
      <c r="WOT312" s="15"/>
      <c r="WOV312" s="13"/>
      <c r="WOW312" s="35"/>
      <c r="WOX312" s="35"/>
      <c r="WOY312" s="15"/>
      <c r="WPA312" s="13"/>
      <c r="WPB312" s="35"/>
      <c r="WPC312" s="35"/>
      <c r="WPD312" s="15"/>
      <c r="WPF312" s="13"/>
      <c r="WPG312" s="35"/>
      <c r="WPH312" s="35"/>
      <c r="WPI312" s="15"/>
      <c r="WPK312" s="13"/>
      <c r="WPL312" s="35"/>
      <c r="WPM312" s="35"/>
      <c r="WPN312" s="15"/>
      <c r="WPP312" s="13"/>
      <c r="WPQ312" s="35"/>
      <c r="WPR312" s="35"/>
      <c r="WPS312" s="15"/>
      <c r="WPU312" s="13"/>
      <c r="WPV312" s="35"/>
      <c r="WPW312" s="35"/>
      <c r="WPX312" s="15"/>
      <c r="WPZ312" s="13"/>
      <c r="WQA312" s="35"/>
      <c r="WQB312" s="35"/>
      <c r="WQC312" s="15"/>
      <c r="WQE312" s="13"/>
      <c r="WQF312" s="35"/>
      <c r="WQG312" s="35"/>
      <c r="WQH312" s="15"/>
      <c r="WQJ312" s="13"/>
      <c r="WQK312" s="35"/>
      <c r="WQL312" s="35"/>
      <c r="WQM312" s="15"/>
      <c r="WQO312" s="13"/>
      <c r="WQP312" s="35"/>
      <c r="WQQ312" s="35"/>
      <c r="WQR312" s="15"/>
      <c r="WQT312" s="13"/>
      <c r="WQU312" s="35"/>
      <c r="WQV312" s="35"/>
      <c r="WQW312" s="15"/>
      <c r="WQY312" s="13"/>
      <c r="WQZ312" s="35"/>
      <c r="WRA312" s="35"/>
      <c r="WRB312" s="15"/>
      <c r="WRD312" s="13"/>
      <c r="WRE312" s="35"/>
      <c r="WRF312" s="35"/>
      <c r="WRG312" s="15"/>
      <c r="WRI312" s="13"/>
      <c r="WRJ312" s="35"/>
      <c r="WRK312" s="35"/>
      <c r="WRL312" s="15"/>
      <c r="WRN312" s="13"/>
      <c r="WRO312" s="35"/>
      <c r="WRP312" s="35"/>
      <c r="WRQ312" s="15"/>
      <c r="WRS312" s="13"/>
      <c r="WRT312" s="35"/>
      <c r="WRU312" s="35"/>
      <c r="WRV312" s="15"/>
      <c r="WRX312" s="13"/>
      <c r="WRY312" s="35"/>
      <c r="WRZ312" s="35"/>
      <c r="WSA312" s="15"/>
      <c r="WSC312" s="13"/>
      <c r="WSD312" s="35"/>
      <c r="WSE312" s="35"/>
      <c r="WSF312" s="15"/>
      <c r="WSH312" s="13"/>
      <c r="WSI312" s="35"/>
      <c r="WSJ312" s="35"/>
      <c r="WSK312" s="15"/>
      <c r="WSM312" s="13"/>
      <c r="WSN312" s="35"/>
      <c r="WSO312" s="35"/>
      <c r="WSP312" s="15"/>
      <c r="WSR312" s="13"/>
      <c r="WSS312" s="35"/>
      <c r="WST312" s="35"/>
      <c r="WSU312" s="15"/>
      <c r="WSW312" s="13"/>
      <c r="WSX312" s="35"/>
      <c r="WSY312" s="35"/>
      <c r="WSZ312" s="15"/>
      <c r="WTB312" s="13"/>
      <c r="WTC312" s="35"/>
      <c r="WTD312" s="35"/>
      <c r="WTE312" s="15"/>
      <c r="WTG312" s="13"/>
      <c r="WTH312" s="35"/>
      <c r="WTI312" s="35"/>
      <c r="WTJ312" s="15"/>
      <c r="WTL312" s="13"/>
      <c r="WTM312" s="35"/>
      <c r="WTN312" s="35"/>
      <c r="WTO312" s="15"/>
      <c r="WTQ312" s="13"/>
      <c r="WTR312" s="35"/>
      <c r="WTS312" s="35"/>
      <c r="WTT312" s="15"/>
      <c r="WTV312" s="13"/>
      <c r="WTW312" s="35"/>
      <c r="WTX312" s="35"/>
      <c r="WTY312" s="15"/>
      <c r="WUA312" s="13"/>
      <c r="WUB312" s="35"/>
      <c r="WUC312" s="35"/>
      <c r="WUD312" s="15"/>
      <c r="WUF312" s="13"/>
      <c r="WUG312" s="35"/>
      <c r="WUH312" s="35"/>
      <c r="WUI312" s="15"/>
      <c r="WUK312" s="13"/>
      <c r="WUL312" s="35"/>
      <c r="WUM312" s="35"/>
      <c r="WUN312" s="15"/>
      <c r="WUP312" s="13"/>
      <c r="WUQ312" s="35"/>
      <c r="WUR312" s="35"/>
      <c r="WUS312" s="15"/>
      <c r="WUU312" s="13"/>
      <c r="WUV312" s="35"/>
      <c r="WUW312" s="35"/>
      <c r="WUX312" s="15"/>
      <c r="WUZ312" s="13"/>
      <c r="WVA312" s="35"/>
      <c r="WVB312" s="35"/>
      <c r="WVC312" s="15"/>
      <c r="WVE312" s="13"/>
      <c r="WVF312" s="35"/>
      <c r="WVG312" s="35"/>
      <c r="WVH312" s="15"/>
      <c r="WVJ312" s="13"/>
      <c r="WVK312" s="35"/>
      <c r="WVL312" s="35"/>
      <c r="WVM312" s="15"/>
      <c r="WVO312" s="13"/>
      <c r="WVP312" s="35"/>
      <c r="WVQ312" s="35"/>
      <c r="WVR312" s="15"/>
      <c r="WVT312" s="13"/>
      <c r="WVU312" s="35"/>
      <c r="WVV312" s="35"/>
      <c r="WVW312" s="15"/>
      <c r="WVY312" s="13"/>
      <c r="WVZ312" s="35"/>
      <c r="WWA312" s="35"/>
      <c r="WWB312" s="15"/>
      <c r="WWD312" s="13"/>
      <c r="WWE312" s="35"/>
      <c r="WWF312" s="35"/>
      <c r="WWG312" s="15"/>
      <c r="WWI312" s="13"/>
      <c r="WWJ312" s="35"/>
      <c r="WWK312" s="35"/>
      <c r="WWL312" s="15"/>
      <c r="WWN312" s="13"/>
      <c r="WWO312" s="35"/>
      <c r="WWP312" s="35"/>
      <c r="WWQ312" s="15"/>
      <c r="WWS312" s="13"/>
      <c r="WWT312" s="35"/>
      <c r="WWU312" s="35"/>
      <c r="WWV312" s="15"/>
      <c r="WWX312" s="13"/>
      <c r="WWY312" s="35"/>
      <c r="WWZ312" s="35"/>
      <c r="WXA312" s="15"/>
      <c r="WXC312" s="13"/>
      <c r="WXD312" s="35"/>
      <c r="WXE312" s="35"/>
      <c r="WXF312" s="15"/>
      <c r="WXH312" s="13"/>
      <c r="WXI312" s="35"/>
      <c r="WXJ312" s="35"/>
      <c r="WXK312" s="15"/>
      <c r="WXM312" s="13"/>
      <c r="WXN312" s="35"/>
      <c r="WXO312" s="35"/>
      <c r="WXP312" s="15"/>
      <c r="WXR312" s="13"/>
      <c r="WXS312" s="35"/>
      <c r="WXT312" s="35"/>
      <c r="WXU312" s="15"/>
      <c r="WXW312" s="13"/>
      <c r="WXX312" s="35"/>
      <c r="WXY312" s="35"/>
      <c r="WXZ312" s="15"/>
      <c r="WYB312" s="13"/>
      <c r="WYC312" s="35"/>
      <c r="WYD312" s="35"/>
      <c r="WYE312" s="15"/>
      <c r="WYG312" s="13"/>
      <c r="WYH312" s="35"/>
      <c r="WYI312" s="35"/>
      <c r="WYJ312" s="15"/>
      <c r="WYL312" s="13"/>
      <c r="WYM312" s="35"/>
      <c r="WYN312" s="35"/>
      <c r="WYO312" s="15"/>
      <c r="WYQ312" s="13"/>
      <c r="WYR312" s="35"/>
      <c r="WYS312" s="35"/>
      <c r="WYT312" s="15"/>
      <c r="WYV312" s="13"/>
      <c r="WYW312" s="35"/>
      <c r="WYX312" s="35"/>
      <c r="WYY312" s="15"/>
      <c r="WZA312" s="13"/>
      <c r="WZB312" s="35"/>
      <c r="WZC312" s="35"/>
      <c r="WZD312" s="15"/>
      <c r="WZF312" s="13"/>
      <c r="WZG312" s="35"/>
      <c r="WZH312" s="35"/>
      <c r="WZI312" s="15"/>
      <c r="WZK312" s="13"/>
      <c r="WZL312" s="35"/>
      <c r="WZM312" s="35"/>
      <c r="WZN312" s="15"/>
      <c r="WZP312" s="13"/>
      <c r="WZQ312" s="35"/>
      <c r="WZR312" s="35"/>
      <c r="WZS312" s="15"/>
      <c r="WZU312" s="13"/>
      <c r="WZV312" s="35"/>
      <c r="WZW312" s="35"/>
      <c r="WZX312" s="15"/>
      <c r="WZZ312" s="13"/>
      <c r="XAA312" s="35"/>
      <c r="XAB312" s="35"/>
      <c r="XAC312" s="15"/>
      <c r="XAE312" s="13"/>
      <c r="XAF312" s="35"/>
      <c r="XAG312" s="35"/>
      <c r="XAH312" s="15"/>
      <c r="XAJ312" s="13"/>
      <c r="XAK312" s="35"/>
      <c r="XAL312" s="35"/>
      <c r="XAM312" s="15"/>
      <c r="XAO312" s="13"/>
      <c r="XAP312" s="35"/>
      <c r="XAQ312" s="35"/>
      <c r="XAR312" s="15"/>
      <c r="XAT312" s="13"/>
      <c r="XAU312" s="35"/>
      <c r="XAV312" s="35"/>
      <c r="XAW312" s="15"/>
      <c r="XAY312" s="13"/>
      <c r="XAZ312" s="35"/>
      <c r="XBA312" s="35"/>
      <c r="XBB312" s="15"/>
      <c r="XBD312" s="13"/>
      <c r="XBE312" s="35"/>
      <c r="XBF312" s="35"/>
      <c r="XBG312" s="15"/>
      <c r="XBI312" s="13"/>
      <c r="XBJ312" s="35"/>
      <c r="XBK312" s="35"/>
      <c r="XBL312" s="15"/>
      <c r="XBN312" s="13"/>
      <c r="XBO312" s="35"/>
      <c r="XBP312" s="35"/>
      <c r="XBQ312" s="15"/>
      <c r="XBS312" s="13"/>
      <c r="XBT312" s="35"/>
      <c r="XBU312" s="35"/>
      <c r="XBV312" s="15"/>
      <c r="XBX312" s="13"/>
      <c r="XBY312" s="35"/>
      <c r="XBZ312" s="35"/>
      <c r="XCA312" s="15"/>
      <c r="XCC312" s="13"/>
      <c r="XCD312" s="35"/>
      <c r="XCE312" s="35"/>
      <c r="XCF312" s="15"/>
      <c r="XCH312" s="13"/>
      <c r="XCI312" s="35"/>
      <c r="XCJ312" s="35"/>
      <c r="XCK312" s="15"/>
      <c r="XCM312" s="13"/>
      <c r="XCN312" s="35"/>
      <c r="XCO312" s="35"/>
      <c r="XCP312" s="15"/>
      <c r="XCR312" s="13"/>
      <c r="XCS312" s="35"/>
      <c r="XCT312" s="35"/>
      <c r="XCU312" s="15"/>
      <c r="XCW312" s="13"/>
      <c r="XCX312" s="35"/>
      <c r="XCY312" s="35"/>
      <c r="XCZ312" s="15"/>
      <c r="XDB312" s="13"/>
      <c r="XDC312" s="35"/>
      <c r="XDD312" s="35"/>
      <c r="XDE312" s="15"/>
      <c r="XDG312" s="13"/>
      <c r="XDH312" s="35"/>
      <c r="XDI312" s="35"/>
      <c r="XDJ312" s="15"/>
      <c r="XDL312" s="13"/>
      <c r="XDM312" s="35"/>
      <c r="XDN312" s="35"/>
      <c r="XDO312" s="15"/>
      <c r="XDQ312" s="13"/>
      <c r="XDR312" s="35"/>
      <c r="XDS312" s="35"/>
      <c r="XDT312" s="15"/>
      <c r="XDV312" s="13"/>
      <c r="XDW312" s="35"/>
      <c r="XDX312" s="35"/>
      <c r="XDY312" s="15"/>
      <c r="XEA312" s="13"/>
      <c r="XEB312" s="35"/>
      <c r="XEC312" s="35"/>
      <c r="XED312" s="15"/>
      <c r="XEF312" s="13"/>
      <c r="XEG312" s="35"/>
      <c r="XEH312" s="35"/>
      <c r="XEI312" s="15"/>
      <c r="XEK312" s="13"/>
      <c r="XEL312" s="35"/>
      <c r="XEM312" s="35"/>
      <c r="XEN312" s="15"/>
      <c r="XEP312" s="13"/>
      <c r="XEQ312" s="35"/>
      <c r="XER312" s="35"/>
      <c r="XES312" s="15"/>
      <c r="XEU312" s="13"/>
      <c r="XEV312" s="35"/>
      <c r="XEW312" s="35"/>
      <c r="XEX312" s="15"/>
      <c r="XEZ312" s="13"/>
      <c r="XFA312" s="35"/>
      <c r="XFB312" s="35"/>
      <c r="XFC312" s="15"/>
    </row>
    <row r="313" spans="1:1023 1025:2048 2050:6143 6145:7168 7170:11263 11265:12288 12290:16383" x14ac:dyDescent="0.3">
      <c r="A313" s="35">
        <v>46106</v>
      </c>
      <c r="B313" s="35" t="s">
        <v>1072</v>
      </c>
      <c r="C313" s="15" t="s">
        <v>1560</v>
      </c>
      <c r="D313" s="1" t="s">
        <v>701</v>
      </c>
      <c r="E313" s="13">
        <v>46262</v>
      </c>
      <c r="F313" s="53">
        <f t="shared" si="13"/>
        <v>156</v>
      </c>
      <c r="G313" s="19">
        <v>-153</v>
      </c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  <c r="AK313" s="36"/>
      <c r="AL313" s="36"/>
      <c r="AM313" s="36"/>
      <c r="AN313" s="36"/>
      <c r="AO313" s="36"/>
      <c r="AP313" s="36"/>
      <c r="AQ313" s="36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  <c r="BK313" s="36"/>
      <c r="BL313" s="36"/>
      <c r="BM313" s="36"/>
      <c r="BN313" s="36"/>
      <c r="BO313" s="36"/>
      <c r="BP313" s="36"/>
      <c r="BQ313" s="36"/>
      <c r="BR313" s="36"/>
      <c r="BS313" s="36"/>
      <c r="BT313" s="36"/>
      <c r="BU313" s="36"/>
      <c r="BV313" s="36"/>
      <c r="BW313" s="36"/>
      <c r="BX313" s="36"/>
      <c r="BY313" s="36"/>
      <c r="BZ313" s="36"/>
      <c r="CA313" s="36"/>
      <c r="CB313" s="36"/>
      <c r="CC313" s="36"/>
      <c r="CD313" s="36"/>
      <c r="CE313" s="36"/>
      <c r="CF313" s="36"/>
      <c r="CG313" s="36"/>
      <c r="CH313" s="36"/>
      <c r="CI313" s="36"/>
      <c r="CJ313" s="36"/>
      <c r="CK313" s="36"/>
      <c r="CL313" s="36"/>
      <c r="CM313" s="36"/>
      <c r="CN313" s="36"/>
      <c r="CO313" s="36"/>
      <c r="CP313" s="36"/>
      <c r="CQ313" s="36"/>
      <c r="CR313" s="36"/>
      <c r="CS313" s="36"/>
      <c r="CT313" s="36"/>
      <c r="CU313" s="36"/>
      <c r="CV313" s="36"/>
      <c r="CW313" s="36"/>
      <c r="CX313" s="36"/>
      <c r="CY313" s="36"/>
      <c r="CZ313" s="36"/>
      <c r="DA313" s="36"/>
      <c r="DB313" s="36"/>
      <c r="DC313" s="36"/>
      <c r="DD313" s="36"/>
      <c r="DE313" s="36"/>
      <c r="DF313" s="36"/>
      <c r="DG313" s="36"/>
      <c r="DH313" s="36"/>
      <c r="DI313" s="36"/>
      <c r="DJ313" s="36"/>
      <c r="DK313" s="36"/>
      <c r="DL313" s="36"/>
      <c r="DM313" s="36"/>
      <c r="DN313" s="36"/>
      <c r="DO313" s="36"/>
      <c r="DP313" s="36"/>
      <c r="DQ313" s="36"/>
      <c r="DR313" s="36"/>
      <c r="DS313" s="36"/>
      <c r="DT313" s="36"/>
      <c r="DU313" s="36"/>
      <c r="DV313" s="36"/>
      <c r="DW313" s="36"/>
      <c r="DX313" s="36"/>
      <c r="DY313" s="36"/>
      <c r="DZ313" s="36"/>
      <c r="EA313" s="36"/>
      <c r="EB313" s="36"/>
      <c r="EC313" s="36"/>
      <c r="ED313" s="36"/>
      <c r="EE313" s="36"/>
      <c r="EF313" s="36"/>
      <c r="EG313" s="36"/>
      <c r="EH313" s="36"/>
      <c r="EI313" s="36"/>
      <c r="EJ313" s="36"/>
      <c r="EK313" s="36"/>
      <c r="EL313" s="36"/>
      <c r="EM313" s="36"/>
      <c r="EN313" s="36"/>
      <c r="EO313" s="36"/>
      <c r="EP313" s="36"/>
      <c r="EQ313" s="36"/>
      <c r="ER313" s="36"/>
      <c r="ES313" s="36"/>
      <c r="ET313" s="36"/>
      <c r="EU313" s="36"/>
      <c r="EV313" s="36"/>
      <c r="EW313" s="36"/>
      <c r="EX313" s="36"/>
      <c r="EY313" s="36"/>
      <c r="EZ313" s="36"/>
      <c r="FA313" s="36"/>
      <c r="FB313" s="36"/>
      <c r="FC313" s="36"/>
      <c r="FD313" s="36"/>
      <c r="FE313" s="36"/>
      <c r="FF313" s="36"/>
      <c r="FG313" s="36"/>
      <c r="FH313" s="36"/>
      <c r="FI313" s="36"/>
      <c r="FJ313" s="36"/>
      <c r="FK313" s="36"/>
      <c r="FL313" s="36"/>
      <c r="FM313" s="36"/>
      <c r="FN313" s="36"/>
      <c r="FO313" s="36"/>
      <c r="FP313" s="36"/>
      <c r="FQ313" s="36"/>
      <c r="FR313" s="36"/>
      <c r="FS313" s="36"/>
      <c r="FT313" s="36"/>
      <c r="FU313" s="36"/>
      <c r="FV313" s="36"/>
      <c r="FW313" s="36"/>
      <c r="FX313" s="36"/>
      <c r="FY313" s="36"/>
      <c r="FZ313" s="36"/>
      <c r="GA313" s="36"/>
      <c r="GB313" s="36"/>
      <c r="GC313" s="36"/>
      <c r="GD313" s="36"/>
      <c r="GE313" s="36"/>
      <c r="GF313" s="36"/>
      <c r="GG313" s="36"/>
      <c r="GH313" s="36"/>
      <c r="GI313" s="36"/>
      <c r="GJ313" s="36"/>
      <c r="GK313" s="36"/>
      <c r="GL313" s="36"/>
      <c r="GM313" s="36"/>
      <c r="GN313" s="36"/>
      <c r="GO313" s="36"/>
      <c r="GP313" s="36"/>
      <c r="GQ313" s="36"/>
      <c r="GR313" s="36"/>
      <c r="GS313" s="36"/>
      <c r="GT313" s="36"/>
      <c r="GU313" s="36"/>
      <c r="GV313" s="36"/>
      <c r="GW313" s="36"/>
      <c r="GX313" s="36"/>
      <c r="GY313" s="36"/>
      <c r="GZ313" s="36"/>
      <c r="HA313" s="36"/>
      <c r="HB313" s="36"/>
      <c r="HC313" s="36"/>
      <c r="HD313" s="36"/>
      <c r="HE313" s="36"/>
      <c r="HF313" s="36"/>
      <c r="HG313" s="36"/>
      <c r="HH313" s="36"/>
      <c r="HI313" s="36"/>
      <c r="HJ313" s="36"/>
      <c r="HK313" s="36"/>
      <c r="HL313" s="36"/>
      <c r="HM313" s="36"/>
      <c r="HN313" s="36"/>
      <c r="HO313" s="36"/>
      <c r="HP313" s="36"/>
      <c r="HQ313" s="36"/>
      <c r="HR313" s="36"/>
      <c r="HS313" s="36"/>
      <c r="HT313" s="36"/>
      <c r="HU313" s="36"/>
      <c r="HV313" s="36"/>
      <c r="HW313" s="36"/>
      <c r="HX313" s="36"/>
      <c r="HY313" s="36"/>
      <c r="HZ313" s="36"/>
      <c r="IA313" s="36"/>
      <c r="IB313" s="36"/>
      <c r="IC313" s="36"/>
      <c r="ID313" s="36"/>
      <c r="IE313" s="36"/>
      <c r="IF313" s="36"/>
      <c r="IG313" s="36"/>
      <c r="IH313" s="36"/>
      <c r="II313" s="36"/>
      <c r="IJ313" s="36"/>
      <c r="IK313" s="36"/>
      <c r="IL313" s="36"/>
      <c r="IM313" s="36"/>
      <c r="IN313" s="36"/>
      <c r="IO313" s="36"/>
      <c r="IP313" s="36"/>
      <c r="IQ313" s="36"/>
      <c r="IR313" s="36"/>
      <c r="IS313" s="36"/>
      <c r="IT313" s="36"/>
      <c r="IU313" s="36"/>
      <c r="IV313" s="36"/>
      <c r="IW313" s="36"/>
      <c r="IX313" s="36"/>
      <c r="IY313" s="36"/>
      <c r="IZ313" s="36"/>
      <c r="JA313" s="36"/>
      <c r="JB313" s="36"/>
      <c r="JC313" s="36"/>
      <c r="JD313" s="36"/>
      <c r="JE313" s="36"/>
      <c r="JF313" s="36"/>
      <c r="JG313" s="36"/>
      <c r="JH313" s="36"/>
      <c r="JI313" s="36"/>
      <c r="JJ313" s="36"/>
      <c r="JK313" s="36"/>
      <c r="JL313" s="36"/>
      <c r="JM313" s="36"/>
      <c r="JN313" s="36"/>
      <c r="JO313" s="36"/>
      <c r="JP313" s="36"/>
      <c r="JQ313" s="36"/>
      <c r="JR313" s="36"/>
      <c r="JS313" s="36"/>
      <c r="JT313" s="36"/>
      <c r="JU313" s="36"/>
      <c r="JV313" s="36"/>
      <c r="JW313" s="36"/>
      <c r="JX313" s="36"/>
      <c r="JY313" s="36"/>
      <c r="JZ313" s="36"/>
      <c r="KA313" s="36"/>
      <c r="KB313" s="36"/>
      <c r="KC313" s="36"/>
      <c r="KD313" s="36"/>
      <c r="KE313" s="36"/>
      <c r="KF313" s="36"/>
      <c r="KG313" s="36"/>
      <c r="KH313" s="36"/>
      <c r="KI313" s="36"/>
      <c r="KJ313" s="36"/>
      <c r="KK313" s="36"/>
      <c r="KL313" s="36"/>
      <c r="KM313" s="36"/>
      <c r="KN313" s="36"/>
      <c r="KO313" s="36"/>
      <c r="KP313" s="36"/>
      <c r="KQ313" s="36"/>
      <c r="KR313" s="36"/>
      <c r="KS313" s="36"/>
      <c r="KT313" s="36"/>
      <c r="KU313" s="36"/>
      <c r="KV313" s="36"/>
      <c r="KW313" s="36"/>
      <c r="KX313" s="36"/>
      <c r="KY313" s="36"/>
      <c r="KZ313" s="36"/>
      <c r="LA313" s="36"/>
      <c r="LB313" s="36"/>
      <c r="LC313" s="36"/>
      <c r="LD313" s="36"/>
      <c r="LE313" s="36"/>
      <c r="LF313" s="36"/>
      <c r="LG313" s="36"/>
      <c r="LH313" s="36"/>
      <c r="LI313" s="36"/>
      <c r="LJ313" s="36"/>
      <c r="LK313" s="36"/>
      <c r="LL313" s="36"/>
      <c r="LM313" s="36"/>
      <c r="LN313" s="36"/>
      <c r="LO313" s="36"/>
      <c r="LP313" s="36"/>
      <c r="LQ313" s="36"/>
      <c r="LR313" s="36"/>
      <c r="LS313" s="36"/>
      <c r="LT313" s="36"/>
      <c r="LU313" s="36"/>
      <c r="LV313" s="36"/>
      <c r="LW313" s="36"/>
      <c r="LX313" s="36"/>
      <c r="LY313" s="36"/>
      <c r="LZ313" s="36"/>
      <c r="MA313" s="36"/>
      <c r="MB313" s="36"/>
      <c r="MC313" s="36"/>
      <c r="MD313" s="36"/>
      <c r="ME313" s="36"/>
      <c r="MF313" s="36"/>
      <c r="MG313" s="36"/>
      <c r="MH313" s="36"/>
      <c r="MI313" s="36"/>
      <c r="MJ313" s="36"/>
      <c r="MK313" s="36"/>
      <c r="ML313" s="36"/>
      <c r="MM313" s="36"/>
      <c r="MN313" s="36"/>
      <c r="MO313" s="36"/>
      <c r="MP313" s="36"/>
      <c r="MQ313" s="36"/>
      <c r="MR313" s="36"/>
      <c r="MS313" s="36"/>
      <c r="MT313" s="36"/>
      <c r="MU313" s="36"/>
      <c r="MV313" s="36"/>
      <c r="MW313" s="36"/>
      <c r="MX313" s="36"/>
      <c r="MY313" s="36"/>
      <c r="MZ313" s="36"/>
      <c r="NA313" s="36"/>
      <c r="NB313" s="36"/>
      <c r="NC313" s="36"/>
      <c r="ND313" s="36"/>
      <c r="NE313" s="36"/>
      <c r="NF313" s="36"/>
      <c r="NG313" s="36"/>
      <c r="NH313" s="36"/>
      <c r="NI313" s="36"/>
      <c r="NJ313" s="36"/>
      <c r="NK313" s="36"/>
      <c r="NL313" s="36"/>
      <c r="NM313" s="36"/>
      <c r="NN313" s="36"/>
      <c r="NO313" s="36"/>
      <c r="NP313" s="36"/>
      <c r="NQ313" s="36"/>
      <c r="NR313" s="36"/>
      <c r="NS313" s="36"/>
      <c r="NT313" s="36"/>
      <c r="NU313" s="36"/>
      <c r="NV313" s="36"/>
      <c r="NW313" s="36"/>
      <c r="NX313" s="36"/>
      <c r="NY313" s="36"/>
      <c r="NZ313" s="36"/>
      <c r="OA313" s="36"/>
      <c r="OB313" s="36"/>
      <c r="OC313" s="36"/>
      <c r="OD313" s="36"/>
      <c r="OE313" s="36"/>
      <c r="OF313" s="36"/>
      <c r="OG313" s="36"/>
      <c r="OH313" s="36"/>
      <c r="OI313" s="36"/>
      <c r="OJ313" s="36"/>
      <c r="OK313" s="36"/>
      <c r="OL313" s="36"/>
      <c r="OM313" s="36"/>
      <c r="ON313" s="36"/>
      <c r="OO313" s="36"/>
      <c r="OP313" s="36"/>
      <c r="OQ313" s="36"/>
      <c r="OR313" s="36"/>
      <c r="OS313" s="36"/>
      <c r="OT313" s="36"/>
      <c r="OU313" s="36"/>
      <c r="OV313" s="36"/>
      <c r="OW313" s="36"/>
      <c r="OX313" s="36"/>
      <c r="OY313" s="36"/>
      <c r="OZ313" s="36"/>
      <c r="PA313" s="36"/>
      <c r="PB313" s="36"/>
      <c r="PC313" s="36"/>
      <c r="PD313" s="36"/>
      <c r="PE313" s="36"/>
      <c r="PF313" s="36"/>
      <c r="PG313" s="36"/>
      <c r="PH313" s="36"/>
      <c r="PI313" s="36"/>
      <c r="PJ313" s="36"/>
      <c r="PK313" s="36"/>
      <c r="PL313" s="36"/>
      <c r="PM313" s="36"/>
      <c r="PN313" s="36"/>
      <c r="PO313" s="36"/>
      <c r="PP313" s="36"/>
      <c r="PQ313" s="36"/>
      <c r="PR313" s="36"/>
      <c r="PS313" s="36"/>
      <c r="PT313" s="36"/>
      <c r="PU313" s="36"/>
      <c r="PV313" s="36"/>
      <c r="PW313" s="36"/>
      <c r="PX313" s="36"/>
      <c r="PY313" s="36"/>
      <c r="PZ313" s="36"/>
      <c r="QA313" s="36"/>
      <c r="QB313" s="36"/>
      <c r="QC313" s="36"/>
      <c r="QD313" s="36"/>
      <c r="QE313" s="36"/>
      <c r="QF313" s="36"/>
      <c r="QG313" s="36"/>
      <c r="QH313" s="36"/>
      <c r="QI313" s="36"/>
      <c r="QJ313" s="36"/>
      <c r="QK313" s="36"/>
      <c r="QL313" s="36"/>
      <c r="QM313" s="36"/>
      <c r="QN313" s="36"/>
      <c r="QO313" s="36"/>
      <c r="QP313" s="36"/>
      <c r="QQ313" s="36"/>
      <c r="QR313" s="36"/>
      <c r="QS313" s="36"/>
      <c r="QT313" s="36"/>
      <c r="QU313" s="36"/>
      <c r="QV313" s="36"/>
      <c r="QW313" s="36"/>
      <c r="QX313" s="36"/>
      <c r="QY313" s="36"/>
      <c r="QZ313" s="36"/>
      <c r="RA313" s="36"/>
      <c r="RB313" s="36"/>
      <c r="RC313" s="36"/>
      <c r="RD313" s="36"/>
      <c r="RE313" s="36"/>
      <c r="RF313" s="36"/>
      <c r="RG313" s="36"/>
      <c r="RH313" s="36"/>
      <c r="RI313" s="36"/>
      <c r="RJ313" s="36"/>
      <c r="RK313" s="36"/>
      <c r="RL313" s="36"/>
      <c r="RM313" s="36"/>
      <c r="RN313" s="36"/>
      <c r="RO313" s="36"/>
      <c r="RP313" s="36"/>
      <c r="RQ313" s="36"/>
      <c r="RR313" s="36"/>
      <c r="RS313" s="36"/>
      <c r="RT313" s="36"/>
      <c r="RU313" s="36"/>
      <c r="RV313" s="36"/>
      <c r="RW313" s="36"/>
      <c r="RX313" s="36"/>
      <c r="RY313" s="36"/>
      <c r="RZ313" s="36"/>
      <c r="SA313" s="36"/>
      <c r="SB313" s="36"/>
      <c r="SC313" s="36"/>
      <c r="SD313" s="36"/>
      <c r="SE313" s="36"/>
      <c r="SF313" s="36"/>
      <c r="SG313" s="36"/>
      <c r="SH313" s="36"/>
      <c r="SI313" s="36"/>
      <c r="SJ313" s="36"/>
      <c r="SK313" s="36"/>
      <c r="SL313" s="36"/>
      <c r="SM313" s="36"/>
      <c r="SN313" s="36"/>
      <c r="SO313" s="36"/>
      <c r="SP313" s="36"/>
      <c r="SQ313" s="36"/>
      <c r="SR313" s="36"/>
      <c r="SS313" s="36"/>
      <c r="ST313" s="36"/>
      <c r="SU313" s="36"/>
      <c r="SV313" s="36"/>
      <c r="SW313" s="36"/>
      <c r="SX313" s="36"/>
      <c r="SY313" s="36"/>
      <c r="SZ313" s="36"/>
      <c r="TA313" s="36"/>
      <c r="TB313" s="36"/>
      <c r="TC313" s="36"/>
      <c r="TD313" s="36"/>
      <c r="TE313" s="36"/>
      <c r="TF313" s="36"/>
      <c r="TG313" s="36"/>
      <c r="TH313" s="36"/>
      <c r="TI313" s="36"/>
      <c r="TJ313" s="36"/>
      <c r="TK313" s="36"/>
      <c r="TL313" s="36"/>
      <c r="TM313" s="36"/>
      <c r="TN313" s="36"/>
      <c r="TO313" s="36"/>
      <c r="TP313" s="36"/>
      <c r="TQ313" s="36"/>
      <c r="TR313" s="36"/>
      <c r="TS313" s="36"/>
      <c r="TT313" s="36"/>
      <c r="TU313" s="36"/>
      <c r="TV313" s="36"/>
      <c r="TW313" s="36"/>
      <c r="TX313" s="36"/>
      <c r="TY313" s="36"/>
      <c r="TZ313" s="36"/>
      <c r="UA313" s="36"/>
      <c r="UB313" s="36"/>
      <c r="UC313" s="36"/>
      <c r="UD313" s="36"/>
      <c r="UE313" s="36"/>
      <c r="UF313" s="36"/>
      <c r="UG313" s="36"/>
      <c r="UH313" s="36"/>
      <c r="UI313" s="36"/>
      <c r="UJ313" s="36"/>
      <c r="UK313" s="36"/>
      <c r="UL313" s="36"/>
      <c r="UM313" s="36"/>
      <c r="UN313" s="36"/>
      <c r="UO313" s="36"/>
      <c r="UP313" s="36"/>
      <c r="UQ313" s="36"/>
      <c r="UR313" s="36"/>
      <c r="US313" s="36"/>
      <c r="UT313" s="36"/>
      <c r="UU313" s="36"/>
      <c r="UV313" s="36"/>
      <c r="UW313" s="36"/>
      <c r="UX313" s="36"/>
      <c r="UY313" s="36"/>
      <c r="UZ313" s="36"/>
      <c r="VA313" s="36"/>
      <c r="VB313" s="36"/>
      <c r="VC313" s="36"/>
      <c r="VD313" s="36"/>
      <c r="VE313" s="36"/>
      <c r="VF313" s="36"/>
      <c r="VG313" s="36"/>
      <c r="VH313" s="36"/>
      <c r="VI313" s="36"/>
      <c r="VJ313" s="36"/>
      <c r="VK313" s="36"/>
      <c r="VL313" s="36"/>
      <c r="VM313" s="36"/>
      <c r="VN313" s="36"/>
      <c r="VO313" s="36"/>
      <c r="VP313" s="36"/>
      <c r="VQ313" s="36"/>
      <c r="VR313" s="36"/>
      <c r="VS313" s="36"/>
      <c r="VT313" s="36"/>
      <c r="VU313" s="36"/>
      <c r="VV313" s="36"/>
      <c r="VW313" s="36"/>
      <c r="VX313" s="36"/>
      <c r="VY313" s="36"/>
      <c r="VZ313" s="36"/>
      <c r="WA313" s="36"/>
      <c r="WB313" s="36"/>
      <c r="WC313" s="36"/>
      <c r="WD313" s="36"/>
      <c r="WE313" s="36"/>
      <c r="WF313" s="36"/>
      <c r="WG313" s="36"/>
      <c r="WH313" s="36"/>
      <c r="WI313" s="36"/>
      <c r="WJ313" s="36"/>
      <c r="WK313" s="36"/>
      <c r="WL313" s="36"/>
      <c r="WM313" s="36"/>
      <c r="WN313" s="36"/>
      <c r="WO313" s="36"/>
      <c r="WP313" s="36"/>
      <c r="WQ313" s="36"/>
      <c r="WR313" s="36"/>
      <c r="WS313" s="36"/>
      <c r="WT313" s="36"/>
      <c r="WU313" s="36"/>
      <c r="WV313" s="36"/>
      <c r="WW313" s="36"/>
      <c r="WX313" s="36"/>
      <c r="WY313" s="36"/>
      <c r="WZ313" s="36"/>
      <c r="XA313" s="36"/>
      <c r="XB313" s="36"/>
      <c r="XC313" s="36"/>
      <c r="XD313" s="36"/>
      <c r="XE313" s="36"/>
      <c r="XF313" s="36"/>
      <c r="XG313" s="36"/>
      <c r="XH313" s="36"/>
      <c r="XI313" s="36"/>
      <c r="XJ313" s="36"/>
      <c r="XK313" s="36"/>
      <c r="XL313" s="36"/>
      <c r="XM313" s="36"/>
      <c r="XN313" s="36"/>
      <c r="XO313" s="36"/>
      <c r="XP313" s="36"/>
      <c r="XQ313" s="36"/>
      <c r="XR313" s="36"/>
      <c r="XS313" s="36"/>
      <c r="XT313" s="36"/>
      <c r="XU313" s="36"/>
      <c r="XV313" s="36"/>
      <c r="XW313" s="36"/>
      <c r="XX313" s="36"/>
      <c r="XY313" s="36"/>
      <c r="XZ313" s="36"/>
      <c r="YA313" s="36"/>
      <c r="YB313" s="36"/>
      <c r="YC313" s="36"/>
      <c r="YD313" s="36"/>
      <c r="YE313" s="36"/>
      <c r="YF313" s="36"/>
      <c r="YG313" s="36"/>
      <c r="YH313" s="36"/>
      <c r="YI313" s="36"/>
      <c r="YJ313" s="36"/>
      <c r="YK313" s="36"/>
      <c r="YL313" s="36"/>
      <c r="YM313" s="36"/>
      <c r="YN313" s="36"/>
      <c r="YO313" s="36"/>
      <c r="YP313" s="36"/>
      <c r="YQ313" s="36"/>
      <c r="YR313" s="36"/>
      <c r="YS313" s="36"/>
      <c r="YT313" s="36"/>
      <c r="YU313" s="36"/>
      <c r="YV313" s="36"/>
      <c r="YW313" s="36"/>
      <c r="YX313" s="36"/>
      <c r="YY313" s="36"/>
      <c r="YZ313" s="36"/>
      <c r="ZA313" s="36"/>
      <c r="ZB313" s="36"/>
      <c r="ZC313" s="36"/>
      <c r="ZD313" s="36"/>
      <c r="ZE313" s="36"/>
      <c r="ZF313" s="36"/>
      <c r="ZG313" s="36"/>
      <c r="ZH313" s="36"/>
      <c r="ZI313" s="36"/>
      <c r="ZJ313" s="36"/>
      <c r="ZK313" s="36"/>
      <c r="ZL313" s="36"/>
      <c r="ZM313" s="36"/>
      <c r="ZN313" s="36"/>
      <c r="ZO313" s="36"/>
      <c r="ZP313" s="36"/>
      <c r="ZQ313" s="36"/>
      <c r="ZR313" s="36"/>
      <c r="ZS313" s="36"/>
      <c r="ZT313" s="36"/>
      <c r="ZU313" s="36"/>
      <c r="ZV313" s="36"/>
      <c r="ZW313" s="36"/>
      <c r="ZX313" s="36"/>
      <c r="ZY313" s="36"/>
      <c r="ZZ313" s="36"/>
      <c r="AAA313" s="36"/>
      <c r="AAB313" s="36"/>
      <c r="AAC313" s="36"/>
      <c r="AAD313" s="36"/>
      <c r="AAE313" s="36"/>
      <c r="AAF313" s="36"/>
      <c r="AAG313" s="36"/>
      <c r="AAH313" s="36"/>
      <c r="AAI313" s="36"/>
      <c r="AAJ313" s="36"/>
      <c r="AAK313" s="36"/>
      <c r="AAL313" s="36"/>
      <c r="AAM313" s="36"/>
      <c r="AAN313" s="36"/>
      <c r="AAO313" s="36"/>
      <c r="AAP313" s="36"/>
      <c r="AAQ313" s="36"/>
      <c r="AAR313" s="36"/>
      <c r="AAS313" s="36"/>
      <c r="AAT313" s="36"/>
      <c r="AAU313" s="36"/>
      <c r="AAV313" s="36"/>
      <c r="AAW313" s="36"/>
      <c r="AAX313" s="36"/>
      <c r="AAY313" s="36"/>
      <c r="AAZ313" s="36"/>
      <c r="ABA313" s="36"/>
      <c r="ABB313" s="36"/>
      <c r="ABC313" s="36"/>
      <c r="ABD313" s="36"/>
      <c r="ABE313" s="36"/>
      <c r="ABF313" s="36"/>
      <c r="ABG313" s="36"/>
      <c r="ABH313" s="36"/>
      <c r="ABI313" s="36"/>
      <c r="ABJ313" s="36"/>
      <c r="ABK313" s="36"/>
      <c r="ABL313" s="36"/>
      <c r="ABM313" s="36"/>
      <c r="ABN313" s="36"/>
      <c r="ABO313" s="36"/>
      <c r="ABP313" s="36"/>
      <c r="ABQ313" s="36"/>
      <c r="ABR313" s="36"/>
      <c r="ABS313" s="36"/>
      <c r="ABT313" s="36"/>
      <c r="ABV313" s="13"/>
      <c r="ABW313" s="35"/>
      <c r="ABX313" s="35"/>
      <c r="ABY313" s="15"/>
      <c r="ACA313" s="13"/>
      <c r="ACB313" s="35"/>
      <c r="ACC313" s="35"/>
      <c r="ACD313" s="15"/>
      <c r="ACF313" s="13"/>
      <c r="ACG313" s="35"/>
      <c r="ACH313" s="35"/>
      <c r="ACI313" s="15"/>
      <c r="ACK313" s="13"/>
      <c r="ACL313" s="35"/>
      <c r="ACM313" s="35"/>
      <c r="ACN313" s="15"/>
      <c r="ACP313" s="13"/>
      <c r="ACQ313" s="35"/>
      <c r="ACR313" s="35"/>
      <c r="ACS313" s="15"/>
      <c r="ACU313" s="13"/>
      <c r="ACV313" s="35"/>
      <c r="ACW313" s="35"/>
      <c r="ACX313" s="15"/>
      <c r="ACZ313" s="13"/>
      <c r="ADA313" s="35"/>
      <c r="ADB313" s="35"/>
      <c r="ADC313" s="15"/>
      <c r="ADE313" s="13"/>
      <c r="ADF313" s="35"/>
      <c r="ADG313" s="35"/>
      <c r="ADH313" s="15"/>
      <c r="ADJ313" s="13"/>
      <c r="ADK313" s="35"/>
      <c r="ADL313" s="35"/>
      <c r="ADM313" s="15"/>
      <c r="ADO313" s="13"/>
      <c r="ADP313" s="35"/>
      <c r="ADQ313" s="35"/>
      <c r="ADR313" s="15"/>
      <c r="ADT313" s="13"/>
      <c r="ADU313" s="35"/>
      <c r="ADV313" s="35"/>
      <c r="ADW313" s="15"/>
      <c r="ADY313" s="13"/>
      <c r="ADZ313" s="35"/>
      <c r="AEA313" s="35"/>
      <c r="AEB313" s="15"/>
      <c r="AED313" s="13"/>
      <c r="AEE313" s="35"/>
      <c r="AEF313" s="35"/>
      <c r="AEG313" s="15"/>
      <c r="AEI313" s="13"/>
      <c r="AEJ313" s="35"/>
      <c r="AEK313" s="35"/>
      <c r="AEL313" s="15"/>
      <c r="AEN313" s="13"/>
      <c r="AEO313" s="35"/>
      <c r="AEP313" s="35"/>
      <c r="AEQ313" s="15"/>
      <c r="AES313" s="13"/>
      <c r="AET313" s="35"/>
      <c r="AEU313" s="35"/>
      <c r="AEV313" s="15"/>
      <c r="AEX313" s="13"/>
      <c r="AEY313" s="35"/>
      <c r="AEZ313" s="35"/>
      <c r="AFA313" s="15"/>
      <c r="AFC313" s="13"/>
      <c r="AFD313" s="35"/>
      <c r="AFE313" s="35"/>
      <c r="AFF313" s="15"/>
      <c r="AFH313" s="13"/>
      <c r="AFI313" s="35"/>
      <c r="AFJ313" s="35"/>
      <c r="AFK313" s="15"/>
      <c r="AFM313" s="13"/>
      <c r="AFN313" s="35"/>
      <c r="AFO313" s="35"/>
      <c r="AFP313" s="15"/>
      <c r="AFR313" s="13"/>
      <c r="AFS313" s="35"/>
      <c r="AFT313" s="35"/>
      <c r="AFU313" s="15"/>
      <c r="AFW313" s="13"/>
      <c r="AFX313" s="35"/>
      <c r="AFY313" s="35"/>
      <c r="AFZ313" s="15"/>
      <c r="AGB313" s="13"/>
      <c r="AGC313" s="35"/>
      <c r="AGD313" s="35"/>
      <c r="AGE313" s="15"/>
      <c r="AGG313" s="13"/>
      <c r="AGH313" s="35"/>
      <c r="AGI313" s="35"/>
      <c r="AGJ313" s="15"/>
      <c r="AGL313" s="13"/>
      <c r="AGM313" s="35"/>
      <c r="AGN313" s="35"/>
      <c r="AGO313" s="15"/>
      <c r="AGQ313" s="13"/>
      <c r="AGR313" s="35"/>
      <c r="AGS313" s="35"/>
      <c r="AGT313" s="15"/>
      <c r="AGV313" s="13"/>
      <c r="AGW313" s="35"/>
      <c r="AGX313" s="35"/>
      <c r="AGY313" s="15"/>
      <c r="AHA313" s="13"/>
      <c r="AHB313" s="35"/>
      <c r="AHC313" s="35"/>
      <c r="AHD313" s="15"/>
      <c r="AHF313" s="13"/>
      <c r="AHG313" s="35"/>
      <c r="AHH313" s="35"/>
      <c r="AHI313" s="15"/>
      <c r="AHK313" s="13"/>
      <c r="AHL313" s="35"/>
      <c r="AHM313" s="35"/>
      <c r="AHN313" s="15"/>
      <c r="AHP313" s="13"/>
      <c r="AHQ313" s="35"/>
      <c r="AHR313" s="35"/>
      <c r="AHS313" s="15"/>
      <c r="AHU313" s="13"/>
      <c r="AHV313" s="35"/>
      <c r="AHW313" s="35"/>
      <c r="AHX313" s="15"/>
      <c r="AHZ313" s="13"/>
      <c r="AIA313" s="35"/>
      <c r="AIB313" s="35"/>
      <c r="AIC313" s="15"/>
      <c r="AIE313" s="13"/>
      <c r="AIF313" s="35"/>
      <c r="AIG313" s="35"/>
      <c r="AIH313" s="15"/>
      <c r="AIJ313" s="13"/>
      <c r="AIK313" s="35"/>
      <c r="AIL313" s="35"/>
      <c r="AIM313" s="15"/>
      <c r="AIO313" s="13"/>
      <c r="AIP313" s="35"/>
      <c r="AIQ313" s="35"/>
      <c r="AIR313" s="15"/>
      <c r="AIT313" s="13"/>
      <c r="AIU313" s="35"/>
      <c r="AIV313" s="35"/>
      <c r="AIW313" s="15"/>
      <c r="AIY313" s="13"/>
      <c r="AIZ313" s="35"/>
      <c r="AJA313" s="35"/>
      <c r="AJB313" s="15"/>
      <c r="AJD313" s="13"/>
      <c r="AJE313" s="35"/>
      <c r="AJF313" s="35"/>
      <c r="AJG313" s="15"/>
      <c r="AJI313" s="13"/>
      <c r="AJJ313" s="35"/>
      <c r="AJK313" s="35"/>
      <c r="AJL313" s="15"/>
      <c r="AJN313" s="13"/>
      <c r="AJO313" s="35"/>
      <c r="AJP313" s="35"/>
      <c r="AJQ313" s="15"/>
      <c r="AJS313" s="13"/>
      <c r="AJT313" s="35"/>
      <c r="AJU313" s="35"/>
      <c r="AJV313" s="15"/>
      <c r="AJX313" s="13"/>
      <c r="AJY313" s="35"/>
      <c r="AJZ313" s="35"/>
      <c r="AKA313" s="15"/>
      <c r="AKC313" s="13"/>
      <c r="AKD313" s="35"/>
      <c r="AKE313" s="35"/>
      <c r="AKF313" s="15"/>
      <c r="AKH313" s="13"/>
      <c r="AKI313" s="35"/>
      <c r="AKJ313" s="35"/>
      <c r="AKK313" s="15"/>
      <c r="AKM313" s="13"/>
      <c r="AKN313" s="35"/>
      <c r="AKO313" s="35"/>
      <c r="AKP313" s="15"/>
      <c r="AKR313" s="13"/>
      <c r="AKS313" s="35"/>
      <c r="AKT313" s="35"/>
      <c r="AKU313" s="15"/>
      <c r="AKW313" s="13"/>
      <c r="AKX313" s="35"/>
      <c r="AKY313" s="35"/>
      <c r="AKZ313" s="15"/>
      <c r="ALB313" s="13"/>
      <c r="ALC313" s="35"/>
      <c r="ALD313" s="35"/>
      <c r="ALE313" s="15"/>
      <c r="ALG313" s="13"/>
      <c r="ALH313" s="35"/>
      <c r="ALI313" s="35"/>
      <c r="ALJ313" s="15"/>
      <c r="ALL313" s="13"/>
      <c r="ALM313" s="35"/>
      <c r="ALN313" s="35"/>
      <c r="ALO313" s="15"/>
      <c r="ALQ313" s="13"/>
      <c r="ALR313" s="35"/>
      <c r="ALS313" s="35"/>
      <c r="ALT313" s="15"/>
      <c r="ALV313" s="13"/>
      <c r="ALW313" s="35"/>
      <c r="ALX313" s="35"/>
      <c r="ALY313" s="15"/>
      <c r="AMA313" s="13"/>
      <c r="AMB313" s="35"/>
      <c r="AMC313" s="35"/>
      <c r="AMD313" s="15"/>
      <c r="AMF313" s="13"/>
      <c r="AMG313" s="35"/>
      <c r="AMH313" s="35"/>
      <c r="AMI313" s="15"/>
      <c r="AMK313" s="13"/>
      <c r="AML313" s="35"/>
      <c r="AMM313" s="35"/>
      <c r="AMN313" s="15"/>
      <c r="AMP313" s="13"/>
      <c r="AMQ313" s="35"/>
      <c r="AMR313" s="35"/>
      <c r="AMS313" s="15"/>
      <c r="AMU313" s="13"/>
      <c r="AMV313" s="35"/>
      <c r="AMW313" s="35"/>
      <c r="AMX313" s="15"/>
      <c r="AMZ313" s="13"/>
      <c r="ANA313" s="35"/>
      <c r="ANB313" s="35"/>
      <c r="ANC313" s="15"/>
      <c r="ANE313" s="13"/>
      <c r="ANF313" s="35"/>
      <c r="ANG313" s="35"/>
      <c r="ANH313" s="15"/>
      <c r="ANJ313" s="13"/>
      <c r="ANK313" s="35"/>
      <c r="ANL313" s="35"/>
      <c r="ANM313" s="15"/>
      <c r="ANO313" s="13"/>
      <c r="ANP313" s="35"/>
      <c r="ANQ313" s="35"/>
      <c r="ANR313" s="15"/>
      <c r="ANT313" s="13"/>
      <c r="ANU313" s="35"/>
      <c r="ANV313" s="35"/>
      <c r="ANW313" s="15"/>
      <c r="ANY313" s="13"/>
      <c r="ANZ313" s="35"/>
      <c r="AOA313" s="35"/>
      <c r="AOB313" s="15"/>
      <c r="AOD313" s="13"/>
      <c r="AOE313" s="35"/>
      <c r="AOF313" s="35"/>
      <c r="AOG313" s="15"/>
      <c r="AOI313" s="13"/>
      <c r="AOJ313" s="35"/>
      <c r="AOK313" s="35"/>
      <c r="AOL313" s="15"/>
      <c r="AON313" s="13"/>
      <c r="AOO313" s="35"/>
      <c r="AOP313" s="35"/>
      <c r="AOQ313" s="15"/>
      <c r="AOS313" s="13"/>
      <c r="AOT313" s="35"/>
      <c r="AOU313" s="35"/>
      <c r="AOV313" s="15"/>
      <c r="AOX313" s="13"/>
      <c r="AOY313" s="35"/>
      <c r="AOZ313" s="35"/>
      <c r="APA313" s="15"/>
      <c r="APC313" s="13"/>
      <c r="APD313" s="35"/>
      <c r="APE313" s="35"/>
      <c r="APF313" s="15"/>
      <c r="APH313" s="13"/>
      <c r="API313" s="35"/>
      <c r="APJ313" s="35"/>
      <c r="APK313" s="15"/>
      <c r="APM313" s="13"/>
      <c r="APN313" s="35"/>
      <c r="APO313" s="35"/>
      <c r="APP313" s="15"/>
      <c r="APR313" s="13"/>
      <c r="APS313" s="35"/>
      <c r="APT313" s="35"/>
      <c r="APU313" s="15"/>
      <c r="APW313" s="13"/>
      <c r="APX313" s="35"/>
      <c r="APY313" s="35"/>
      <c r="APZ313" s="15"/>
      <c r="AQB313" s="13"/>
      <c r="AQC313" s="35"/>
      <c r="AQD313" s="35"/>
      <c r="AQE313" s="15"/>
      <c r="AQG313" s="13"/>
      <c r="AQH313" s="35"/>
      <c r="AQI313" s="35"/>
      <c r="AQJ313" s="15"/>
      <c r="AQL313" s="13"/>
      <c r="AQM313" s="35"/>
      <c r="AQN313" s="35"/>
      <c r="AQO313" s="15"/>
      <c r="AQQ313" s="13"/>
      <c r="AQR313" s="35"/>
      <c r="AQS313" s="35"/>
      <c r="AQT313" s="15"/>
      <c r="AQV313" s="13"/>
      <c r="AQW313" s="35"/>
      <c r="AQX313" s="35"/>
      <c r="AQY313" s="15"/>
      <c r="ARA313" s="13"/>
      <c r="ARB313" s="35"/>
      <c r="ARC313" s="35"/>
      <c r="ARD313" s="15"/>
      <c r="ARF313" s="13"/>
      <c r="ARG313" s="35"/>
      <c r="ARH313" s="35"/>
      <c r="ARI313" s="15"/>
      <c r="ARK313" s="13"/>
      <c r="ARL313" s="35"/>
      <c r="ARM313" s="35"/>
      <c r="ARN313" s="15"/>
      <c r="ARP313" s="13"/>
      <c r="ARQ313" s="35"/>
      <c r="ARR313" s="35"/>
      <c r="ARS313" s="15"/>
      <c r="ARU313" s="13"/>
      <c r="ARV313" s="35"/>
      <c r="ARW313" s="35"/>
      <c r="ARX313" s="15"/>
      <c r="ARZ313" s="13"/>
      <c r="ASA313" s="35"/>
      <c r="ASB313" s="35"/>
      <c r="ASC313" s="15"/>
      <c r="ASE313" s="13"/>
      <c r="ASF313" s="35"/>
      <c r="ASG313" s="35"/>
      <c r="ASH313" s="15"/>
      <c r="ASJ313" s="13"/>
      <c r="ASK313" s="35"/>
      <c r="ASL313" s="35"/>
      <c r="ASM313" s="15"/>
      <c r="ASO313" s="13"/>
      <c r="ASP313" s="35"/>
      <c r="ASQ313" s="35"/>
      <c r="ASR313" s="15"/>
      <c r="AST313" s="13"/>
      <c r="ASU313" s="35"/>
      <c r="ASV313" s="35"/>
      <c r="ASW313" s="15"/>
      <c r="ASY313" s="13"/>
      <c r="ASZ313" s="35"/>
      <c r="ATA313" s="35"/>
      <c r="ATB313" s="15"/>
      <c r="ATD313" s="13"/>
      <c r="ATE313" s="35"/>
      <c r="ATF313" s="35"/>
      <c r="ATG313" s="15"/>
      <c r="ATI313" s="13"/>
      <c r="ATJ313" s="35"/>
      <c r="ATK313" s="35"/>
      <c r="ATL313" s="15"/>
      <c r="ATN313" s="13"/>
      <c r="ATO313" s="35"/>
      <c r="ATP313" s="35"/>
      <c r="ATQ313" s="15"/>
      <c r="ATS313" s="13"/>
      <c r="ATT313" s="35"/>
      <c r="ATU313" s="35"/>
      <c r="ATV313" s="15"/>
      <c r="ATX313" s="13"/>
      <c r="ATY313" s="35"/>
      <c r="ATZ313" s="35"/>
      <c r="AUA313" s="15"/>
      <c r="AUC313" s="13"/>
      <c r="AUD313" s="35"/>
      <c r="AUE313" s="35"/>
      <c r="AUF313" s="15"/>
      <c r="AUH313" s="13"/>
      <c r="AUI313" s="35"/>
      <c r="AUJ313" s="35"/>
      <c r="AUK313" s="15"/>
      <c r="AUM313" s="13"/>
      <c r="AUN313" s="35"/>
      <c r="AUO313" s="35"/>
      <c r="AUP313" s="15"/>
      <c r="AUR313" s="13"/>
      <c r="AUS313" s="35"/>
      <c r="AUT313" s="35"/>
      <c r="AUU313" s="15"/>
      <c r="AUW313" s="13"/>
      <c r="AUX313" s="35"/>
      <c r="AUY313" s="35"/>
      <c r="AUZ313" s="15"/>
      <c r="AVB313" s="13"/>
      <c r="AVC313" s="35"/>
      <c r="AVD313" s="35"/>
      <c r="AVE313" s="15"/>
      <c r="AVG313" s="13"/>
      <c r="AVH313" s="35"/>
      <c r="AVI313" s="35"/>
      <c r="AVJ313" s="15"/>
      <c r="AVL313" s="13"/>
      <c r="AVM313" s="35"/>
      <c r="AVN313" s="35"/>
      <c r="AVO313" s="15"/>
      <c r="AVQ313" s="13"/>
      <c r="AVR313" s="35"/>
      <c r="AVS313" s="35"/>
      <c r="AVT313" s="15"/>
      <c r="AVV313" s="13"/>
      <c r="AVW313" s="35"/>
      <c r="AVX313" s="35"/>
      <c r="AVY313" s="15"/>
      <c r="AWA313" s="13"/>
      <c r="AWB313" s="35"/>
      <c r="AWC313" s="35"/>
      <c r="AWD313" s="15"/>
      <c r="AWF313" s="13"/>
      <c r="AWG313" s="35"/>
      <c r="AWH313" s="35"/>
      <c r="AWI313" s="15"/>
      <c r="AWK313" s="13"/>
      <c r="AWL313" s="35"/>
      <c r="AWM313" s="35"/>
      <c r="AWN313" s="15"/>
      <c r="AWP313" s="13"/>
      <c r="AWQ313" s="35"/>
      <c r="AWR313" s="35"/>
      <c r="AWS313" s="15"/>
      <c r="AWU313" s="13"/>
      <c r="AWV313" s="35"/>
      <c r="AWW313" s="35"/>
      <c r="AWX313" s="15"/>
      <c r="AWZ313" s="13"/>
      <c r="AXA313" s="35"/>
      <c r="AXB313" s="35"/>
      <c r="AXC313" s="15"/>
      <c r="AXE313" s="13"/>
      <c r="AXF313" s="35"/>
      <c r="AXG313" s="35"/>
      <c r="AXH313" s="15"/>
      <c r="AXJ313" s="13"/>
      <c r="AXK313" s="35"/>
      <c r="AXL313" s="35"/>
      <c r="AXM313" s="15"/>
      <c r="AXO313" s="13"/>
      <c r="AXP313" s="35"/>
      <c r="AXQ313" s="35"/>
      <c r="AXR313" s="15"/>
      <c r="AXT313" s="13"/>
      <c r="AXU313" s="35"/>
      <c r="AXV313" s="35"/>
      <c r="AXW313" s="15"/>
      <c r="AXY313" s="13"/>
      <c r="AXZ313" s="35"/>
      <c r="AYA313" s="35"/>
      <c r="AYB313" s="15"/>
      <c r="AYD313" s="13"/>
      <c r="AYE313" s="35"/>
      <c r="AYF313" s="35"/>
      <c r="AYG313" s="15"/>
      <c r="AYI313" s="13"/>
      <c r="AYJ313" s="35"/>
      <c r="AYK313" s="35"/>
      <c r="AYL313" s="15"/>
      <c r="AYN313" s="13"/>
      <c r="AYO313" s="35"/>
      <c r="AYP313" s="35"/>
      <c r="AYQ313" s="15"/>
      <c r="AYS313" s="13"/>
      <c r="AYT313" s="35"/>
      <c r="AYU313" s="35"/>
      <c r="AYV313" s="15"/>
      <c r="AYX313" s="13"/>
      <c r="AYY313" s="35"/>
      <c r="AYZ313" s="35"/>
      <c r="AZA313" s="15"/>
      <c r="AZC313" s="13"/>
      <c r="AZD313" s="35"/>
      <c r="AZE313" s="35"/>
      <c r="AZF313" s="15"/>
      <c r="AZH313" s="13"/>
      <c r="AZI313" s="35"/>
      <c r="AZJ313" s="35"/>
      <c r="AZK313" s="15"/>
      <c r="AZM313" s="13"/>
      <c r="AZN313" s="35"/>
      <c r="AZO313" s="35"/>
      <c r="AZP313" s="15"/>
      <c r="AZR313" s="13"/>
      <c r="AZS313" s="35"/>
      <c r="AZT313" s="35"/>
      <c r="AZU313" s="15"/>
      <c r="AZW313" s="13"/>
      <c r="AZX313" s="35"/>
      <c r="AZY313" s="35"/>
      <c r="AZZ313" s="15"/>
      <c r="BAB313" s="13"/>
      <c r="BAC313" s="35"/>
      <c r="BAD313" s="35"/>
      <c r="BAE313" s="15"/>
      <c r="BAG313" s="13"/>
      <c r="BAH313" s="35"/>
      <c r="BAI313" s="35"/>
      <c r="BAJ313" s="15"/>
      <c r="BAL313" s="13"/>
      <c r="BAM313" s="35"/>
      <c r="BAN313" s="35"/>
      <c r="BAO313" s="15"/>
      <c r="BAQ313" s="13"/>
      <c r="BAR313" s="35"/>
      <c r="BAS313" s="35"/>
      <c r="BAT313" s="15"/>
      <c r="BAV313" s="13"/>
      <c r="BAW313" s="35"/>
      <c r="BAX313" s="35"/>
      <c r="BAY313" s="15"/>
      <c r="BBA313" s="13"/>
      <c r="BBB313" s="35"/>
      <c r="BBC313" s="35"/>
      <c r="BBD313" s="15"/>
      <c r="BBF313" s="13"/>
      <c r="BBG313" s="35"/>
      <c r="BBH313" s="35"/>
      <c r="BBI313" s="15"/>
      <c r="BBK313" s="13"/>
      <c r="BBL313" s="35"/>
      <c r="BBM313" s="35"/>
      <c r="BBN313" s="15"/>
      <c r="BBP313" s="13"/>
      <c r="BBQ313" s="35"/>
      <c r="BBR313" s="35"/>
      <c r="BBS313" s="15"/>
      <c r="BBU313" s="13"/>
      <c r="BBV313" s="35"/>
      <c r="BBW313" s="35"/>
      <c r="BBX313" s="15"/>
      <c r="BBZ313" s="13"/>
      <c r="BCA313" s="35"/>
      <c r="BCB313" s="35"/>
      <c r="BCC313" s="15"/>
      <c r="BCE313" s="13"/>
      <c r="BCF313" s="35"/>
      <c r="BCG313" s="35"/>
      <c r="BCH313" s="15"/>
      <c r="BCJ313" s="13"/>
      <c r="BCK313" s="35"/>
      <c r="BCL313" s="35"/>
      <c r="BCM313" s="15"/>
      <c r="BCO313" s="13"/>
      <c r="BCP313" s="35"/>
      <c r="BCQ313" s="35"/>
      <c r="BCR313" s="15"/>
      <c r="BCT313" s="13"/>
      <c r="BCU313" s="35"/>
      <c r="BCV313" s="35"/>
      <c r="BCW313" s="15"/>
      <c r="BCY313" s="13"/>
      <c r="BCZ313" s="35"/>
      <c r="BDA313" s="35"/>
      <c r="BDB313" s="15"/>
      <c r="BDD313" s="13"/>
      <c r="BDE313" s="35"/>
      <c r="BDF313" s="35"/>
      <c r="BDG313" s="15"/>
      <c r="BDI313" s="13"/>
      <c r="BDJ313" s="35"/>
      <c r="BDK313" s="35"/>
      <c r="BDL313" s="15"/>
      <c r="BDN313" s="13"/>
      <c r="BDO313" s="35"/>
      <c r="BDP313" s="35"/>
      <c r="BDQ313" s="15"/>
      <c r="BDS313" s="13"/>
      <c r="BDT313" s="35"/>
      <c r="BDU313" s="35"/>
      <c r="BDV313" s="15"/>
      <c r="BDX313" s="13"/>
      <c r="BDY313" s="35"/>
      <c r="BDZ313" s="35"/>
      <c r="BEA313" s="15"/>
      <c r="BEC313" s="13"/>
      <c r="BED313" s="35"/>
      <c r="BEE313" s="35"/>
      <c r="BEF313" s="15"/>
      <c r="BEH313" s="13"/>
      <c r="BEI313" s="35"/>
      <c r="BEJ313" s="35"/>
      <c r="BEK313" s="15"/>
      <c r="BEM313" s="13"/>
      <c r="BEN313" s="35"/>
      <c r="BEO313" s="35"/>
      <c r="BEP313" s="15"/>
      <c r="BER313" s="13"/>
      <c r="BES313" s="35"/>
      <c r="BET313" s="35"/>
      <c r="BEU313" s="15"/>
      <c r="BEW313" s="13"/>
      <c r="BEX313" s="35"/>
      <c r="BEY313" s="35"/>
      <c r="BEZ313" s="15"/>
      <c r="BFB313" s="13"/>
      <c r="BFC313" s="35"/>
      <c r="BFD313" s="35"/>
      <c r="BFE313" s="15"/>
      <c r="BFG313" s="13"/>
      <c r="BFH313" s="35"/>
      <c r="BFI313" s="35"/>
      <c r="BFJ313" s="15"/>
      <c r="BFL313" s="13"/>
      <c r="BFM313" s="35"/>
      <c r="BFN313" s="35"/>
      <c r="BFO313" s="15"/>
      <c r="BFQ313" s="13"/>
      <c r="BFR313" s="35"/>
      <c r="BFS313" s="35"/>
      <c r="BFT313" s="15"/>
      <c r="BFV313" s="13"/>
      <c r="BFW313" s="35"/>
      <c r="BFX313" s="35"/>
      <c r="BFY313" s="15"/>
      <c r="BGA313" s="13"/>
      <c r="BGB313" s="35"/>
      <c r="BGC313" s="35"/>
      <c r="BGD313" s="15"/>
      <c r="BGF313" s="13"/>
      <c r="BGG313" s="35"/>
      <c r="BGH313" s="35"/>
      <c r="BGI313" s="15"/>
      <c r="BGK313" s="13"/>
      <c r="BGL313" s="35"/>
      <c r="BGM313" s="35"/>
      <c r="BGN313" s="15"/>
      <c r="BGP313" s="13"/>
      <c r="BGQ313" s="35"/>
      <c r="BGR313" s="35"/>
      <c r="BGS313" s="15"/>
      <c r="BGU313" s="13"/>
      <c r="BGV313" s="35"/>
      <c r="BGW313" s="35"/>
      <c r="BGX313" s="15"/>
      <c r="BGZ313" s="13"/>
      <c r="BHA313" s="35"/>
      <c r="BHB313" s="35"/>
      <c r="BHC313" s="15"/>
      <c r="BHE313" s="13"/>
      <c r="BHF313" s="35"/>
      <c r="BHG313" s="35"/>
      <c r="BHH313" s="15"/>
      <c r="BHJ313" s="13"/>
      <c r="BHK313" s="35"/>
      <c r="BHL313" s="35"/>
      <c r="BHM313" s="15"/>
      <c r="BHO313" s="13"/>
      <c r="BHP313" s="35"/>
      <c r="BHQ313" s="35"/>
      <c r="BHR313" s="15"/>
      <c r="BHT313" s="13"/>
      <c r="BHU313" s="35"/>
      <c r="BHV313" s="35"/>
      <c r="BHW313" s="15"/>
      <c r="BHY313" s="13"/>
      <c r="BHZ313" s="35"/>
      <c r="BIA313" s="35"/>
      <c r="BIB313" s="15"/>
      <c r="BID313" s="13"/>
      <c r="BIE313" s="35"/>
      <c r="BIF313" s="35"/>
      <c r="BIG313" s="15"/>
      <c r="BII313" s="13"/>
      <c r="BIJ313" s="35"/>
      <c r="BIK313" s="35"/>
      <c r="BIL313" s="15"/>
      <c r="BIN313" s="13"/>
      <c r="BIO313" s="35"/>
      <c r="BIP313" s="35"/>
      <c r="BIQ313" s="15"/>
      <c r="BIS313" s="13"/>
      <c r="BIT313" s="35"/>
      <c r="BIU313" s="35"/>
      <c r="BIV313" s="15"/>
      <c r="BIX313" s="13"/>
      <c r="BIY313" s="35"/>
      <c r="BIZ313" s="35"/>
      <c r="BJA313" s="15"/>
      <c r="BJC313" s="13"/>
      <c r="BJD313" s="35"/>
      <c r="BJE313" s="35"/>
      <c r="BJF313" s="15"/>
      <c r="BJH313" s="13"/>
      <c r="BJI313" s="35"/>
      <c r="BJJ313" s="35"/>
      <c r="BJK313" s="15"/>
      <c r="BJM313" s="13"/>
      <c r="BJN313" s="35"/>
      <c r="BJO313" s="35"/>
      <c r="BJP313" s="15"/>
      <c r="BJR313" s="13"/>
      <c r="BJS313" s="35"/>
      <c r="BJT313" s="35"/>
      <c r="BJU313" s="15"/>
      <c r="BJW313" s="13"/>
      <c r="BJX313" s="35"/>
      <c r="BJY313" s="35"/>
      <c r="BJZ313" s="15"/>
      <c r="BKB313" s="13"/>
      <c r="BKC313" s="35"/>
      <c r="BKD313" s="35"/>
      <c r="BKE313" s="15"/>
      <c r="BKG313" s="13"/>
      <c r="BKH313" s="35"/>
      <c r="BKI313" s="35"/>
      <c r="BKJ313" s="15"/>
      <c r="BKL313" s="13"/>
      <c r="BKM313" s="35"/>
      <c r="BKN313" s="35"/>
      <c r="BKO313" s="15"/>
      <c r="BKQ313" s="13"/>
      <c r="BKR313" s="35"/>
      <c r="BKS313" s="35"/>
      <c r="BKT313" s="15"/>
      <c r="BKV313" s="13"/>
      <c r="BKW313" s="35"/>
      <c r="BKX313" s="35"/>
      <c r="BKY313" s="15"/>
      <c r="BLA313" s="13"/>
      <c r="BLB313" s="35"/>
      <c r="BLC313" s="35"/>
      <c r="BLD313" s="15"/>
      <c r="BLF313" s="13"/>
      <c r="BLG313" s="35"/>
      <c r="BLH313" s="35"/>
      <c r="BLI313" s="15"/>
      <c r="BLK313" s="13"/>
      <c r="BLL313" s="35"/>
      <c r="BLM313" s="35"/>
      <c r="BLN313" s="15"/>
      <c r="BLP313" s="13"/>
      <c r="BLQ313" s="35"/>
      <c r="BLR313" s="35"/>
      <c r="BLS313" s="15"/>
      <c r="BLU313" s="13"/>
      <c r="BLV313" s="35"/>
      <c r="BLW313" s="35"/>
      <c r="BLX313" s="15"/>
      <c r="BLZ313" s="13"/>
      <c r="BMA313" s="35"/>
      <c r="BMB313" s="35"/>
      <c r="BMC313" s="15"/>
      <c r="BME313" s="13"/>
      <c r="BMF313" s="35"/>
      <c r="BMG313" s="35"/>
      <c r="BMH313" s="15"/>
      <c r="BMJ313" s="13"/>
      <c r="BMK313" s="35"/>
      <c r="BML313" s="35"/>
      <c r="BMM313" s="15"/>
      <c r="BMO313" s="13"/>
      <c r="BMP313" s="35"/>
      <c r="BMQ313" s="35"/>
      <c r="BMR313" s="15"/>
      <c r="BMT313" s="13"/>
      <c r="BMU313" s="35"/>
      <c r="BMV313" s="35"/>
      <c r="BMW313" s="15"/>
      <c r="BMY313" s="13"/>
      <c r="BMZ313" s="35"/>
      <c r="BNA313" s="35"/>
      <c r="BNB313" s="15"/>
      <c r="BND313" s="13"/>
      <c r="BNE313" s="35"/>
      <c r="BNF313" s="35"/>
      <c r="BNG313" s="15"/>
      <c r="BNI313" s="13"/>
      <c r="BNJ313" s="35"/>
      <c r="BNK313" s="35"/>
      <c r="BNL313" s="15"/>
      <c r="BNN313" s="13"/>
      <c r="BNO313" s="35"/>
      <c r="BNP313" s="35"/>
      <c r="BNQ313" s="15"/>
      <c r="BNS313" s="13"/>
      <c r="BNT313" s="35"/>
      <c r="BNU313" s="35"/>
      <c r="BNV313" s="15"/>
      <c r="BNX313" s="13"/>
      <c r="BNY313" s="35"/>
      <c r="BNZ313" s="35"/>
      <c r="BOA313" s="15"/>
      <c r="BOC313" s="13"/>
      <c r="BOD313" s="35"/>
      <c r="BOE313" s="35"/>
      <c r="BOF313" s="15"/>
      <c r="BOH313" s="13"/>
      <c r="BOI313" s="35"/>
      <c r="BOJ313" s="35"/>
      <c r="BOK313" s="15"/>
      <c r="BOM313" s="13"/>
      <c r="BON313" s="35"/>
      <c r="BOO313" s="35"/>
      <c r="BOP313" s="15"/>
      <c r="BOR313" s="13"/>
      <c r="BOS313" s="35"/>
      <c r="BOT313" s="35"/>
      <c r="BOU313" s="15"/>
      <c r="BOW313" s="13"/>
      <c r="BOX313" s="35"/>
      <c r="BOY313" s="35"/>
      <c r="BOZ313" s="15"/>
      <c r="BPB313" s="13"/>
      <c r="BPC313" s="35"/>
      <c r="BPD313" s="35"/>
      <c r="BPE313" s="15"/>
      <c r="BPG313" s="13"/>
      <c r="BPH313" s="35"/>
      <c r="BPI313" s="35"/>
      <c r="BPJ313" s="15"/>
      <c r="BPL313" s="13"/>
      <c r="BPM313" s="35"/>
      <c r="BPN313" s="35"/>
      <c r="BPO313" s="15"/>
      <c r="BPQ313" s="13"/>
      <c r="BPR313" s="35"/>
      <c r="BPS313" s="35"/>
      <c r="BPT313" s="15"/>
      <c r="BPV313" s="13"/>
      <c r="BPW313" s="35"/>
      <c r="BPX313" s="35"/>
      <c r="BPY313" s="15"/>
      <c r="BQA313" s="13"/>
      <c r="BQB313" s="35"/>
      <c r="BQC313" s="35"/>
      <c r="BQD313" s="15"/>
      <c r="BQF313" s="13"/>
      <c r="BQG313" s="35"/>
      <c r="BQH313" s="35"/>
      <c r="BQI313" s="15"/>
      <c r="BQK313" s="13"/>
      <c r="BQL313" s="35"/>
      <c r="BQM313" s="35"/>
      <c r="BQN313" s="15"/>
      <c r="BQP313" s="13"/>
      <c r="BQQ313" s="35"/>
      <c r="BQR313" s="35"/>
      <c r="BQS313" s="15"/>
      <c r="BQU313" s="13"/>
      <c r="BQV313" s="35"/>
      <c r="BQW313" s="35"/>
      <c r="BQX313" s="15"/>
      <c r="BQZ313" s="13"/>
      <c r="BRA313" s="35"/>
      <c r="BRB313" s="35"/>
      <c r="BRC313" s="15"/>
      <c r="BRE313" s="13"/>
      <c r="BRF313" s="35"/>
      <c r="BRG313" s="35"/>
      <c r="BRH313" s="15"/>
      <c r="BRJ313" s="13"/>
      <c r="BRK313" s="35"/>
      <c r="BRL313" s="35"/>
      <c r="BRM313" s="15"/>
      <c r="BRO313" s="13"/>
      <c r="BRP313" s="35"/>
      <c r="BRQ313" s="35"/>
      <c r="BRR313" s="15"/>
      <c r="BRT313" s="13"/>
      <c r="BRU313" s="35"/>
      <c r="BRV313" s="35"/>
      <c r="BRW313" s="15"/>
      <c r="BRY313" s="13"/>
      <c r="BRZ313" s="35"/>
      <c r="BSA313" s="35"/>
      <c r="BSB313" s="15"/>
      <c r="BSD313" s="13"/>
      <c r="BSE313" s="35"/>
      <c r="BSF313" s="35"/>
      <c r="BSG313" s="15"/>
      <c r="BSI313" s="13"/>
      <c r="BSJ313" s="35"/>
      <c r="BSK313" s="35"/>
      <c r="BSL313" s="15"/>
      <c r="BSN313" s="13"/>
      <c r="BSO313" s="35"/>
      <c r="BSP313" s="35"/>
      <c r="BSQ313" s="15"/>
      <c r="BSS313" s="13"/>
      <c r="BST313" s="35"/>
      <c r="BSU313" s="35"/>
      <c r="BSV313" s="15"/>
      <c r="BSX313" s="13"/>
      <c r="BSY313" s="35"/>
      <c r="BSZ313" s="35"/>
      <c r="BTA313" s="15"/>
      <c r="BTC313" s="13"/>
      <c r="BTD313" s="35"/>
      <c r="BTE313" s="35"/>
      <c r="BTF313" s="15"/>
      <c r="BTH313" s="13"/>
      <c r="BTI313" s="35"/>
      <c r="BTJ313" s="35"/>
      <c r="BTK313" s="15"/>
      <c r="BTM313" s="13"/>
      <c r="BTN313" s="35"/>
      <c r="BTO313" s="35"/>
      <c r="BTP313" s="15"/>
      <c r="BTR313" s="13"/>
      <c r="BTS313" s="35"/>
      <c r="BTT313" s="35"/>
      <c r="BTU313" s="15"/>
      <c r="BTW313" s="13"/>
      <c r="BTX313" s="35"/>
      <c r="BTY313" s="35"/>
      <c r="BTZ313" s="15"/>
      <c r="BUB313" s="13"/>
      <c r="BUC313" s="35"/>
      <c r="BUD313" s="35"/>
      <c r="BUE313" s="15"/>
      <c r="BUG313" s="13"/>
      <c r="BUH313" s="35"/>
      <c r="BUI313" s="35"/>
      <c r="BUJ313" s="15"/>
      <c r="BUL313" s="13"/>
      <c r="BUM313" s="35"/>
      <c r="BUN313" s="35"/>
      <c r="BUO313" s="15"/>
      <c r="BUQ313" s="13"/>
      <c r="BUR313" s="35"/>
      <c r="BUS313" s="35"/>
      <c r="BUT313" s="15"/>
      <c r="BUV313" s="13"/>
      <c r="BUW313" s="35"/>
      <c r="BUX313" s="35"/>
      <c r="BUY313" s="15"/>
      <c r="BVA313" s="13"/>
      <c r="BVB313" s="35"/>
      <c r="BVC313" s="35"/>
      <c r="BVD313" s="15"/>
      <c r="BVF313" s="13"/>
      <c r="BVG313" s="35"/>
      <c r="BVH313" s="35"/>
      <c r="BVI313" s="15"/>
      <c r="BVK313" s="13"/>
      <c r="BVL313" s="35"/>
      <c r="BVM313" s="35"/>
      <c r="BVN313" s="15"/>
      <c r="BVP313" s="13"/>
      <c r="BVQ313" s="35"/>
      <c r="BVR313" s="35"/>
      <c r="BVS313" s="15"/>
      <c r="BVU313" s="13"/>
      <c r="BVV313" s="35"/>
      <c r="BVW313" s="35"/>
      <c r="BVX313" s="15"/>
      <c r="BVZ313" s="13"/>
      <c r="BWA313" s="35"/>
      <c r="BWB313" s="35"/>
      <c r="BWC313" s="15"/>
      <c r="BWE313" s="13"/>
      <c r="BWF313" s="35"/>
      <c r="BWG313" s="35"/>
      <c r="BWH313" s="15"/>
      <c r="BWJ313" s="13"/>
      <c r="BWK313" s="35"/>
      <c r="BWL313" s="35"/>
      <c r="BWM313" s="15"/>
      <c r="BWO313" s="13"/>
      <c r="BWP313" s="35"/>
      <c r="BWQ313" s="35"/>
      <c r="BWR313" s="15"/>
      <c r="BWT313" s="13"/>
      <c r="BWU313" s="35"/>
      <c r="BWV313" s="35"/>
      <c r="BWW313" s="15"/>
      <c r="BWY313" s="13"/>
      <c r="BWZ313" s="35"/>
      <c r="BXA313" s="35"/>
      <c r="BXB313" s="15"/>
      <c r="BXD313" s="13"/>
      <c r="BXE313" s="35"/>
      <c r="BXF313" s="35"/>
      <c r="BXG313" s="15"/>
      <c r="BXI313" s="13"/>
      <c r="BXJ313" s="35"/>
      <c r="BXK313" s="35"/>
      <c r="BXL313" s="15"/>
      <c r="BXN313" s="13"/>
      <c r="BXO313" s="35"/>
      <c r="BXP313" s="35"/>
      <c r="BXQ313" s="15"/>
      <c r="BXS313" s="13"/>
      <c r="BXT313" s="35"/>
      <c r="BXU313" s="35"/>
      <c r="BXV313" s="15"/>
      <c r="BXX313" s="13"/>
      <c r="BXY313" s="35"/>
      <c r="BXZ313" s="35"/>
      <c r="BYA313" s="15"/>
      <c r="BYC313" s="13"/>
      <c r="BYD313" s="35"/>
      <c r="BYE313" s="35"/>
      <c r="BYF313" s="15"/>
      <c r="BYH313" s="13"/>
      <c r="BYI313" s="35"/>
      <c r="BYJ313" s="35"/>
      <c r="BYK313" s="15"/>
      <c r="BYM313" s="13"/>
      <c r="BYN313" s="35"/>
      <c r="BYO313" s="35"/>
      <c r="BYP313" s="15"/>
      <c r="BYR313" s="13"/>
      <c r="BYS313" s="35"/>
      <c r="BYT313" s="35"/>
      <c r="BYU313" s="15"/>
      <c r="BYW313" s="13"/>
      <c r="BYX313" s="35"/>
      <c r="BYY313" s="35"/>
      <c r="BYZ313" s="15"/>
      <c r="BZB313" s="13"/>
      <c r="BZC313" s="35"/>
      <c r="BZD313" s="35"/>
      <c r="BZE313" s="15"/>
      <c r="BZG313" s="13"/>
      <c r="BZH313" s="35"/>
      <c r="BZI313" s="35"/>
      <c r="BZJ313" s="15"/>
      <c r="BZL313" s="13"/>
      <c r="BZM313" s="35"/>
      <c r="BZN313" s="35"/>
      <c r="BZO313" s="15"/>
      <c r="BZQ313" s="13"/>
      <c r="BZR313" s="35"/>
      <c r="BZS313" s="35"/>
      <c r="BZT313" s="15"/>
      <c r="BZV313" s="13"/>
      <c r="BZW313" s="35"/>
      <c r="BZX313" s="35"/>
      <c r="BZY313" s="15"/>
      <c r="CAA313" s="13"/>
      <c r="CAB313" s="35"/>
      <c r="CAC313" s="35"/>
      <c r="CAD313" s="15"/>
      <c r="CAF313" s="13"/>
      <c r="CAG313" s="35"/>
      <c r="CAH313" s="35"/>
      <c r="CAI313" s="15"/>
      <c r="CAK313" s="13"/>
      <c r="CAL313" s="35"/>
      <c r="CAM313" s="35"/>
      <c r="CAN313" s="15"/>
      <c r="CAP313" s="13"/>
      <c r="CAQ313" s="35"/>
      <c r="CAR313" s="35"/>
      <c r="CAS313" s="15"/>
      <c r="CAU313" s="13"/>
      <c r="CAV313" s="35"/>
      <c r="CAW313" s="35"/>
      <c r="CAX313" s="15"/>
      <c r="CAZ313" s="13"/>
      <c r="CBA313" s="35"/>
      <c r="CBB313" s="35"/>
      <c r="CBC313" s="15"/>
      <c r="CBE313" s="13"/>
      <c r="CBF313" s="35"/>
      <c r="CBG313" s="35"/>
      <c r="CBH313" s="15"/>
      <c r="CBJ313" s="13"/>
      <c r="CBK313" s="35"/>
      <c r="CBL313" s="35"/>
      <c r="CBM313" s="15"/>
      <c r="CBO313" s="13"/>
      <c r="CBP313" s="35"/>
      <c r="CBQ313" s="35"/>
      <c r="CBR313" s="15"/>
      <c r="CBT313" s="13"/>
      <c r="CBU313" s="35"/>
      <c r="CBV313" s="35"/>
      <c r="CBW313" s="15"/>
      <c r="CBY313" s="13"/>
      <c r="CBZ313" s="35"/>
      <c r="CCA313" s="35"/>
      <c r="CCB313" s="15"/>
      <c r="CCD313" s="13"/>
      <c r="CCE313" s="35"/>
      <c r="CCF313" s="35"/>
      <c r="CCG313" s="15"/>
      <c r="CCI313" s="13"/>
      <c r="CCJ313" s="35"/>
      <c r="CCK313" s="35"/>
      <c r="CCL313" s="15"/>
      <c r="CCN313" s="13"/>
      <c r="CCO313" s="35"/>
      <c r="CCP313" s="35"/>
      <c r="CCQ313" s="15"/>
      <c r="CCS313" s="13"/>
      <c r="CCT313" s="35"/>
      <c r="CCU313" s="35"/>
      <c r="CCV313" s="15"/>
      <c r="CCX313" s="13"/>
      <c r="CCY313" s="35"/>
      <c r="CCZ313" s="35"/>
      <c r="CDA313" s="15"/>
      <c r="CDC313" s="13"/>
      <c r="CDD313" s="35"/>
      <c r="CDE313" s="35"/>
      <c r="CDF313" s="15"/>
      <c r="CDH313" s="13"/>
      <c r="CDI313" s="35"/>
      <c r="CDJ313" s="35"/>
      <c r="CDK313" s="15"/>
      <c r="CDM313" s="13"/>
      <c r="CDN313" s="35"/>
      <c r="CDO313" s="35"/>
      <c r="CDP313" s="15"/>
      <c r="CDR313" s="13"/>
      <c r="CDS313" s="35"/>
      <c r="CDT313" s="35"/>
      <c r="CDU313" s="15"/>
      <c r="CDW313" s="13"/>
      <c r="CDX313" s="35"/>
      <c r="CDY313" s="35"/>
      <c r="CDZ313" s="15"/>
      <c r="CEB313" s="13"/>
      <c r="CEC313" s="35"/>
      <c r="CED313" s="35"/>
      <c r="CEE313" s="15"/>
      <c r="CEG313" s="13"/>
      <c r="CEH313" s="35"/>
      <c r="CEI313" s="35"/>
      <c r="CEJ313" s="15"/>
      <c r="CEL313" s="13"/>
      <c r="CEM313" s="35"/>
      <c r="CEN313" s="35"/>
      <c r="CEO313" s="15"/>
      <c r="CEQ313" s="13"/>
      <c r="CER313" s="35"/>
      <c r="CES313" s="35"/>
      <c r="CET313" s="15"/>
      <c r="CEV313" s="13"/>
      <c r="CEW313" s="35"/>
      <c r="CEX313" s="35"/>
      <c r="CEY313" s="15"/>
      <c r="CFA313" s="13"/>
      <c r="CFB313" s="35"/>
      <c r="CFC313" s="35"/>
      <c r="CFD313" s="15"/>
      <c r="CFF313" s="13"/>
      <c r="CFG313" s="35"/>
      <c r="CFH313" s="35"/>
      <c r="CFI313" s="15"/>
      <c r="CFK313" s="13"/>
      <c r="CFL313" s="35"/>
      <c r="CFM313" s="35"/>
      <c r="CFN313" s="15"/>
      <c r="CFP313" s="13"/>
      <c r="CFQ313" s="35"/>
      <c r="CFR313" s="35"/>
      <c r="CFS313" s="15"/>
      <c r="CFU313" s="13"/>
      <c r="CFV313" s="35"/>
      <c r="CFW313" s="35"/>
      <c r="CFX313" s="15"/>
      <c r="CFZ313" s="13"/>
      <c r="CGA313" s="35"/>
      <c r="CGB313" s="35"/>
      <c r="CGC313" s="15"/>
      <c r="CGE313" s="13"/>
      <c r="CGF313" s="35"/>
      <c r="CGG313" s="35"/>
      <c r="CGH313" s="15"/>
      <c r="CGJ313" s="13"/>
      <c r="CGK313" s="35"/>
      <c r="CGL313" s="35"/>
      <c r="CGM313" s="15"/>
      <c r="CGO313" s="13"/>
      <c r="CGP313" s="35"/>
      <c r="CGQ313" s="35"/>
      <c r="CGR313" s="15"/>
      <c r="CGT313" s="13"/>
      <c r="CGU313" s="35"/>
      <c r="CGV313" s="35"/>
      <c r="CGW313" s="15"/>
      <c r="CGY313" s="13"/>
      <c r="CGZ313" s="35"/>
      <c r="CHA313" s="35"/>
      <c r="CHB313" s="15"/>
      <c r="CHD313" s="13"/>
      <c r="CHE313" s="35"/>
      <c r="CHF313" s="35"/>
      <c r="CHG313" s="15"/>
      <c r="CHI313" s="13"/>
      <c r="CHJ313" s="35"/>
      <c r="CHK313" s="35"/>
      <c r="CHL313" s="15"/>
      <c r="CHN313" s="13"/>
      <c r="CHO313" s="35"/>
      <c r="CHP313" s="35"/>
      <c r="CHQ313" s="15"/>
      <c r="CHS313" s="13"/>
      <c r="CHT313" s="35"/>
      <c r="CHU313" s="35"/>
      <c r="CHV313" s="15"/>
      <c r="CHX313" s="13"/>
      <c r="CHY313" s="35"/>
      <c r="CHZ313" s="35"/>
      <c r="CIA313" s="15"/>
      <c r="CIC313" s="13"/>
      <c r="CID313" s="35"/>
      <c r="CIE313" s="35"/>
      <c r="CIF313" s="15"/>
      <c r="CIH313" s="13"/>
      <c r="CII313" s="35"/>
      <c r="CIJ313" s="35"/>
      <c r="CIK313" s="15"/>
      <c r="CIM313" s="13"/>
      <c r="CIN313" s="35"/>
      <c r="CIO313" s="35"/>
      <c r="CIP313" s="15"/>
      <c r="CIR313" s="13"/>
      <c r="CIS313" s="35"/>
      <c r="CIT313" s="35"/>
      <c r="CIU313" s="15"/>
      <c r="CIW313" s="13"/>
      <c r="CIX313" s="35"/>
      <c r="CIY313" s="35"/>
      <c r="CIZ313" s="15"/>
      <c r="CJB313" s="13"/>
      <c r="CJC313" s="35"/>
      <c r="CJD313" s="35"/>
      <c r="CJE313" s="15"/>
      <c r="CJG313" s="13"/>
      <c r="CJH313" s="35"/>
      <c r="CJI313" s="35"/>
      <c r="CJJ313" s="15"/>
      <c r="CJL313" s="13"/>
      <c r="CJM313" s="35"/>
      <c r="CJN313" s="35"/>
      <c r="CJO313" s="15"/>
      <c r="CJQ313" s="13"/>
      <c r="CJR313" s="35"/>
      <c r="CJS313" s="35"/>
      <c r="CJT313" s="15"/>
      <c r="CJV313" s="13"/>
      <c r="CJW313" s="35"/>
      <c r="CJX313" s="35"/>
      <c r="CJY313" s="15"/>
      <c r="CKA313" s="13"/>
      <c r="CKB313" s="35"/>
      <c r="CKC313" s="35"/>
      <c r="CKD313" s="15"/>
      <c r="CKF313" s="13"/>
      <c r="CKG313" s="35"/>
      <c r="CKH313" s="35"/>
      <c r="CKI313" s="15"/>
      <c r="CKK313" s="13"/>
      <c r="CKL313" s="35"/>
      <c r="CKM313" s="35"/>
      <c r="CKN313" s="15"/>
      <c r="CKP313" s="13"/>
      <c r="CKQ313" s="35"/>
      <c r="CKR313" s="35"/>
      <c r="CKS313" s="15"/>
      <c r="CKU313" s="13"/>
      <c r="CKV313" s="35"/>
      <c r="CKW313" s="35"/>
      <c r="CKX313" s="15"/>
      <c r="CKZ313" s="13"/>
      <c r="CLA313" s="35"/>
      <c r="CLB313" s="35"/>
      <c r="CLC313" s="15"/>
      <c r="CLE313" s="13"/>
      <c r="CLF313" s="35"/>
      <c r="CLG313" s="35"/>
      <c r="CLH313" s="15"/>
      <c r="CLJ313" s="13"/>
      <c r="CLK313" s="35"/>
      <c r="CLL313" s="35"/>
      <c r="CLM313" s="15"/>
      <c r="CLO313" s="13"/>
      <c r="CLP313" s="35"/>
      <c r="CLQ313" s="35"/>
      <c r="CLR313" s="15"/>
      <c r="CLT313" s="13"/>
      <c r="CLU313" s="35"/>
      <c r="CLV313" s="35"/>
      <c r="CLW313" s="15"/>
      <c r="CLY313" s="13"/>
      <c r="CLZ313" s="35"/>
      <c r="CMA313" s="35"/>
      <c r="CMB313" s="15"/>
      <c r="CMD313" s="13"/>
      <c r="CME313" s="35"/>
      <c r="CMF313" s="35"/>
      <c r="CMG313" s="15"/>
      <c r="CMI313" s="13"/>
      <c r="CMJ313" s="35"/>
      <c r="CMK313" s="35"/>
      <c r="CML313" s="15"/>
      <c r="CMN313" s="13"/>
      <c r="CMO313" s="35"/>
      <c r="CMP313" s="35"/>
      <c r="CMQ313" s="15"/>
      <c r="CMS313" s="13"/>
      <c r="CMT313" s="35"/>
      <c r="CMU313" s="35"/>
      <c r="CMV313" s="15"/>
      <c r="CMX313" s="13"/>
      <c r="CMY313" s="35"/>
      <c r="CMZ313" s="35"/>
      <c r="CNA313" s="15"/>
      <c r="CNC313" s="13"/>
      <c r="CND313" s="35"/>
      <c r="CNE313" s="35"/>
      <c r="CNF313" s="15"/>
      <c r="CNH313" s="13"/>
      <c r="CNI313" s="35"/>
      <c r="CNJ313" s="35"/>
      <c r="CNK313" s="15"/>
      <c r="CNM313" s="13"/>
      <c r="CNN313" s="35"/>
      <c r="CNO313" s="35"/>
      <c r="CNP313" s="15"/>
      <c r="CNR313" s="13"/>
      <c r="CNS313" s="35"/>
      <c r="CNT313" s="35"/>
      <c r="CNU313" s="15"/>
      <c r="CNW313" s="13"/>
      <c r="CNX313" s="35"/>
      <c r="CNY313" s="35"/>
      <c r="CNZ313" s="15"/>
      <c r="COB313" s="13"/>
      <c r="COC313" s="35"/>
      <c r="COD313" s="35"/>
      <c r="COE313" s="15"/>
      <c r="COG313" s="13"/>
      <c r="COH313" s="35"/>
      <c r="COI313" s="35"/>
      <c r="COJ313" s="15"/>
      <c r="COL313" s="13"/>
      <c r="COM313" s="35"/>
      <c r="CON313" s="35"/>
      <c r="COO313" s="15"/>
      <c r="COQ313" s="13"/>
      <c r="COR313" s="35"/>
      <c r="COS313" s="35"/>
      <c r="COT313" s="15"/>
      <c r="COV313" s="13"/>
      <c r="COW313" s="35"/>
      <c r="COX313" s="35"/>
      <c r="COY313" s="15"/>
      <c r="CPA313" s="13"/>
      <c r="CPB313" s="35"/>
      <c r="CPC313" s="35"/>
      <c r="CPD313" s="15"/>
      <c r="CPF313" s="13"/>
      <c r="CPG313" s="35"/>
      <c r="CPH313" s="35"/>
      <c r="CPI313" s="15"/>
      <c r="CPK313" s="13"/>
      <c r="CPL313" s="35"/>
      <c r="CPM313" s="35"/>
      <c r="CPN313" s="15"/>
      <c r="CPP313" s="13"/>
      <c r="CPQ313" s="35"/>
      <c r="CPR313" s="35"/>
      <c r="CPS313" s="15"/>
      <c r="CPU313" s="13"/>
      <c r="CPV313" s="35"/>
      <c r="CPW313" s="35"/>
      <c r="CPX313" s="15"/>
      <c r="CPZ313" s="13"/>
      <c r="CQA313" s="35"/>
      <c r="CQB313" s="35"/>
      <c r="CQC313" s="15"/>
      <c r="CQE313" s="13"/>
      <c r="CQF313" s="35"/>
      <c r="CQG313" s="35"/>
      <c r="CQH313" s="15"/>
      <c r="CQJ313" s="13"/>
      <c r="CQK313" s="35"/>
      <c r="CQL313" s="35"/>
      <c r="CQM313" s="15"/>
      <c r="CQO313" s="13"/>
      <c r="CQP313" s="35"/>
      <c r="CQQ313" s="35"/>
      <c r="CQR313" s="15"/>
      <c r="CQT313" s="13"/>
      <c r="CQU313" s="35"/>
      <c r="CQV313" s="35"/>
      <c r="CQW313" s="15"/>
      <c r="CQY313" s="13"/>
      <c r="CQZ313" s="35"/>
      <c r="CRA313" s="35"/>
      <c r="CRB313" s="15"/>
      <c r="CRD313" s="13"/>
      <c r="CRE313" s="35"/>
      <c r="CRF313" s="35"/>
      <c r="CRG313" s="15"/>
      <c r="CRI313" s="13"/>
      <c r="CRJ313" s="35"/>
      <c r="CRK313" s="35"/>
      <c r="CRL313" s="15"/>
      <c r="CRN313" s="13"/>
      <c r="CRO313" s="35"/>
      <c r="CRP313" s="35"/>
      <c r="CRQ313" s="15"/>
      <c r="CRS313" s="13"/>
      <c r="CRT313" s="35"/>
      <c r="CRU313" s="35"/>
      <c r="CRV313" s="15"/>
      <c r="CRX313" s="13"/>
      <c r="CRY313" s="35"/>
      <c r="CRZ313" s="35"/>
      <c r="CSA313" s="15"/>
      <c r="CSC313" s="13"/>
      <c r="CSD313" s="35"/>
      <c r="CSE313" s="35"/>
      <c r="CSF313" s="15"/>
      <c r="CSH313" s="13"/>
      <c r="CSI313" s="35"/>
      <c r="CSJ313" s="35"/>
      <c r="CSK313" s="15"/>
      <c r="CSM313" s="13"/>
      <c r="CSN313" s="35"/>
      <c r="CSO313" s="35"/>
      <c r="CSP313" s="15"/>
      <c r="CSR313" s="13"/>
      <c r="CSS313" s="35"/>
      <c r="CST313" s="35"/>
      <c r="CSU313" s="15"/>
      <c r="CSW313" s="13"/>
      <c r="CSX313" s="35"/>
      <c r="CSY313" s="35"/>
      <c r="CSZ313" s="15"/>
      <c r="CTB313" s="13"/>
      <c r="CTC313" s="35"/>
      <c r="CTD313" s="35"/>
      <c r="CTE313" s="15"/>
      <c r="CTG313" s="13"/>
      <c r="CTH313" s="35"/>
      <c r="CTI313" s="35"/>
      <c r="CTJ313" s="15"/>
      <c r="CTL313" s="13"/>
      <c r="CTM313" s="35"/>
      <c r="CTN313" s="35"/>
      <c r="CTO313" s="15"/>
      <c r="CTQ313" s="13"/>
      <c r="CTR313" s="35"/>
      <c r="CTS313" s="35"/>
      <c r="CTT313" s="15"/>
      <c r="CTV313" s="13"/>
      <c r="CTW313" s="35"/>
      <c r="CTX313" s="35"/>
      <c r="CTY313" s="15"/>
      <c r="CUA313" s="13"/>
      <c r="CUB313" s="35"/>
      <c r="CUC313" s="35"/>
      <c r="CUD313" s="15"/>
      <c r="CUF313" s="13"/>
      <c r="CUG313" s="35"/>
      <c r="CUH313" s="35"/>
      <c r="CUI313" s="15"/>
      <c r="CUK313" s="13"/>
      <c r="CUL313" s="35"/>
      <c r="CUM313" s="35"/>
      <c r="CUN313" s="15"/>
      <c r="CUP313" s="13"/>
      <c r="CUQ313" s="35"/>
      <c r="CUR313" s="35"/>
      <c r="CUS313" s="15"/>
      <c r="CUU313" s="13"/>
      <c r="CUV313" s="35"/>
      <c r="CUW313" s="35"/>
      <c r="CUX313" s="15"/>
      <c r="CUZ313" s="13"/>
      <c r="CVA313" s="35"/>
      <c r="CVB313" s="35"/>
      <c r="CVC313" s="15"/>
      <c r="CVE313" s="13"/>
      <c r="CVF313" s="35"/>
      <c r="CVG313" s="35"/>
      <c r="CVH313" s="15"/>
      <c r="CVJ313" s="13"/>
      <c r="CVK313" s="35"/>
      <c r="CVL313" s="35"/>
      <c r="CVM313" s="15"/>
      <c r="CVO313" s="13"/>
      <c r="CVP313" s="35"/>
      <c r="CVQ313" s="35"/>
      <c r="CVR313" s="15"/>
      <c r="CVT313" s="13"/>
      <c r="CVU313" s="35"/>
      <c r="CVV313" s="35"/>
      <c r="CVW313" s="15"/>
      <c r="CVY313" s="13"/>
      <c r="CVZ313" s="35"/>
      <c r="CWA313" s="35"/>
      <c r="CWB313" s="15"/>
      <c r="CWD313" s="13"/>
      <c r="CWE313" s="35"/>
      <c r="CWF313" s="35"/>
      <c r="CWG313" s="15"/>
      <c r="CWI313" s="13"/>
      <c r="CWJ313" s="35"/>
      <c r="CWK313" s="35"/>
      <c r="CWL313" s="15"/>
      <c r="CWN313" s="13"/>
      <c r="CWO313" s="35"/>
      <c r="CWP313" s="35"/>
      <c r="CWQ313" s="15"/>
      <c r="CWS313" s="13"/>
      <c r="CWT313" s="35"/>
      <c r="CWU313" s="35"/>
      <c r="CWV313" s="15"/>
      <c r="CWX313" s="13"/>
      <c r="CWY313" s="35"/>
      <c r="CWZ313" s="35"/>
      <c r="CXA313" s="15"/>
      <c r="CXC313" s="13"/>
      <c r="CXD313" s="35"/>
      <c r="CXE313" s="35"/>
      <c r="CXF313" s="15"/>
      <c r="CXH313" s="13"/>
      <c r="CXI313" s="35"/>
      <c r="CXJ313" s="35"/>
      <c r="CXK313" s="15"/>
      <c r="CXM313" s="13"/>
      <c r="CXN313" s="35"/>
      <c r="CXO313" s="35"/>
      <c r="CXP313" s="15"/>
      <c r="CXR313" s="13"/>
      <c r="CXS313" s="35"/>
      <c r="CXT313" s="35"/>
      <c r="CXU313" s="15"/>
      <c r="CXW313" s="13"/>
      <c r="CXX313" s="35"/>
      <c r="CXY313" s="35"/>
      <c r="CXZ313" s="15"/>
      <c r="CYB313" s="13"/>
      <c r="CYC313" s="35"/>
      <c r="CYD313" s="35"/>
      <c r="CYE313" s="15"/>
      <c r="CYG313" s="13"/>
      <c r="CYH313" s="35"/>
      <c r="CYI313" s="35"/>
      <c r="CYJ313" s="15"/>
      <c r="CYL313" s="13"/>
      <c r="CYM313" s="35"/>
      <c r="CYN313" s="35"/>
      <c r="CYO313" s="15"/>
      <c r="CYQ313" s="13"/>
      <c r="CYR313" s="35"/>
      <c r="CYS313" s="35"/>
      <c r="CYT313" s="15"/>
      <c r="CYV313" s="13"/>
      <c r="CYW313" s="35"/>
      <c r="CYX313" s="35"/>
      <c r="CYY313" s="15"/>
      <c r="CZA313" s="13"/>
      <c r="CZB313" s="35"/>
      <c r="CZC313" s="35"/>
      <c r="CZD313" s="15"/>
      <c r="CZF313" s="13"/>
      <c r="CZG313" s="35"/>
      <c r="CZH313" s="35"/>
      <c r="CZI313" s="15"/>
      <c r="CZK313" s="13"/>
      <c r="CZL313" s="35"/>
      <c r="CZM313" s="35"/>
      <c r="CZN313" s="15"/>
      <c r="CZP313" s="13"/>
      <c r="CZQ313" s="35"/>
      <c r="CZR313" s="35"/>
      <c r="CZS313" s="15"/>
      <c r="CZU313" s="13"/>
      <c r="CZV313" s="35"/>
      <c r="CZW313" s="35"/>
      <c r="CZX313" s="15"/>
      <c r="CZZ313" s="13"/>
      <c r="DAA313" s="35"/>
      <c r="DAB313" s="35"/>
      <c r="DAC313" s="15"/>
      <c r="DAE313" s="13"/>
      <c r="DAF313" s="35"/>
      <c r="DAG313" s="35"/>
      <c r="DAH313" s="15"/>
      <c r="DAJ313" s="13"/>
      <c r="DAK313" s="35"/>
      <c r="DAL313" s="35"/>
      <c r="DAM313" s="15"/>
      <c r="DAO313" s="13"/>
      <c r="DAP313" s="35"/>
      <c r="DAQ313" s="35"/>
      <c r="DAR313" s="15"/>
      <c r="DAT313" s="13"/>
      <c r="DAU313" s="35"/>
      <c r="DAV313" s="35"/>
      <c r="DAW313" s="15"/>
      <c r="DAY313" s="13"/>
      <c r="DAZ313" s="35"/>
      <c r="DBA313" s="35"/>
      <c r="DBB313" s="15"/>
      <c r="DBD313" s="13"/>
      <c r="DBE313" s="35"/>
      <c r="DBF313" s="35"/>
      <c r="DBG313" s="15"/>
      <c r="DBI313" s="13"/>
      <c r="DBJ313" s="35"/>
      <c r="DBK313" s="35"/>
      <c r="DBL313" s="15"/>
      <c r="DBN313" s="13"/>
      <c r="DBO313" s="35"/>
      <c r="DBP313" s="35"/>
      <c r="DBQ313" s="15"/>
      <c r="DBS313" s="13"/>
      <c r="DBT313" s="35"/>
      <c r="DBU313" s="35"/>
      <c r="DBV313" s="15"/>
      <c r="DBX313" s="13"/>
      <c r="DBY313" s="35"/>
      <c r="DBZ313" s="35"/>
      <c r="DCA313" s="15"/>
      <c r="DCC313" s="13"/>
      <c r="DCD313" s="35"/>
      <c r="DCE313" s="35"/>
      <c r="DCF313" s="15"/>
      <c r="DCH313" s="13"/>
      <c r="DCI313" s="35"/>
      <c r="DCJ313" s="35"/>
      <c r="DCK313" s="15"/>
      <c r="DCM313" s="13"/>
      <c r="DCN313" s="35"/>
      <c r="DCO313" s="35"/>
      <c r="DCP313" s="15"/>
      <c r="DCR313" s="13"/>
      <c r="DCS313" s="35"/>
      <c r="DCT313" s="35"/>
      <c r="DCU313" s="15"/>
      <c r="DCW313" s="13"/>
      <c r="DCX313" s="35"/>
      <c r="DCY313" s="35"/>
      <c r="DCZ313" s="15"/>
      <c r="DDB313" s="13"/>
      <c r="DDC313" s="35"/>
      <c r="DDD313" s="35"/>
      <c r="DDE313" s="15"/>
      <c r="DDG313" s="13"/>
      <c r="DDH313" s="35"/>
      <c r="DDI313" s="35"/>
      <c r="DDJ313" s="15"/>
      <c r="DDL313" s="13"/>
      <c r="DDM313" s="35"/>
      <c r="DDN313" s="35"/>
      <c r="DDO313" s="15"/>
      <c r="DDQ313" s="13"/>
      <c r="DDR313" s="35"/>
      <c r="DDS313" s="35"/>
      <c r="DDT313" s="15"/>
      <c r="DDV313" s="13"/>
      <c r="DDW313" s="35"/>
      <c r="DDX313" s="35"/>
      <c r="DDY313" s="15"/>
      <c r="DEA313" s="13"/>
      <c r="DEB313" s="35"/>
      <c r="DEC313" s="35"/>
      <c r="DED313" s="15"/>
      <c r="DEF313" s="13"/>
      <c r="DEG313" s="35"/>
      <c r="DEH313" s="35"/>
      <c r="DEI313" s="15"/>
      <c r="DEK313" s="13"/>
      <c r="DEL313" s="35"/>
      <c r="DEM313" s="35"/>
      <c r="DEN313" s="15"/>
      <c r="DEP313" s="13"/>
      <c r="DEQ313" s="35"/>
      <c r="DER313" s="35"/>
      <c r="DES313" s="15"/>
      <c r="DEU313" s="13"/>
      <c r="DEV313" s="35"/>
      <c r="DEW313" s="35"/>
      <c r="DEX313" s="15"/>
      <c r="DEZ313" s="13"/>
      <c r="DFA313" s="35"/>
      <c r="DFB313" s="35"/>
      <c r="DFC313" s="15"/>
      <c r="DFE313" s="13"/>
      <c r="DFF313" s="35"/>
      <c r="DFG313" s="35"/>
      <c r="DFH313" s="15"/>
      <c r="DFJ313" s="13"/>
      <c r="DFK313" s="35"/>
      <c r="DFL313" s="35"/>
      <c r="DFM313" s="15"/>
      <c r="DFO313" s="13"/>
      <c r="DFP313" s="35"/>
      <c r="DFQ313" s="35"/>
      <c r="DFR313" s="15"/>
      <c r="DFT313" s="13"/>
      <c r="DFU313" s="35"/>
      <c r="DFV313" s="35"/>
      <c r="DFW313" s="15"/>
      <c r="DFY313" s="13"/>
      <c r="DFZ313" s="35"/>
      <c r="DGA313" s="35"/>
      <c r="DGB313" s="15"/>
      <c r="DGD313" s="13"/>
      <c r="DGE313" s="35"/>
      <c r="DGF313" s="35"/>
      <c r="DGG313" s="15"/>
      <c r="DGI313" s="13"/>
      <c r="DGJ313" s="35"/>
      <c r="DGK313" s="35"/>
      <c r="DGL313" s="15"/>
      <c r="DGN313" s="13"/>
      <c r="DGO313" s="35"/>
      <c r="DGP313" s="35"/>
      <c r="DGQ313" s="15"/>
      <c r="DGS313" s="13"/>
      <c r="DGT313" s="35"/>
      <c r="DGU313" s="35"/>
      <c r="DGV313" s="15"/>
      <c r="DGX313" s="13"/>
      <c r="DGY313" s="35"/>
      <c r="DGZ313" s="35"/>
      <c r="DHA313" s="15"/>
      <c r="DHC313" s="13"/>
      <c r="DHD313" s="35"/>
      <c r="DHE313" s="35"/>
      <c r="DHF313" s="15"/>
      <c r="DHH313" s="13"/>
      <c r="DHI313" s="35"/>
      <c r="DHJ313" s="35"/>
      <c r="DHK313" s="15"/>
      <c r="DHM313" s="13"/>
      <c r="DHN313" s="35"/>
      <c r="DHO313" s="35"/>
      <c r="DHP313" s="15"/>
      <c r="DHR313" s="13"/>
      <c r="DHS313" s="35"/>
      <c r="DHT313" s="35"/>
      <c r="DHU313" s="15"/>
      <c r="DHW313" s="13"/>
      <c r="DHX313" s="35"/>
      <c r="DHY313" s="35"/>
      <c r="DHZ313" s="15"/>
      <c r="DIB313" s="13"/>
      <c r="DIC313" s="35"/>
      <c r="DID313" s="35"/>
      <c r="DIE313" s="15"/>
      <c r="DIG313" s="13"/>
      <c r="DIH313" s="35"/>
      <c r="DII313" s="35"/>
      <c r="DIJ313" s="15"/>
      <c r="DIL313" s="13"/>
      <c r="DIM313" s="35"/>
      <c r="DIN313" s="35"/>
      <c r="DIO313" s="15"/>
      <c r="DIQ313" s="13"/>
      <c r="DIR313" s="35"/>
      <c r="DIS313" s="35"/>
      <c r="DIT313" s="15"/>
      <c r="DIV313" s="13"/>
      <c r="DIW313" s="35"/>
      <c r="DIX313" s="35"/>
      <c r="DIY313" s="15"/>
      <c r="DJA313" s="13"/>
      <c r="DJB313" s="35"/>
      <c r="DJC313" s="35"/>
      <c r="DJD313" s="15"/>
      <c r="DJF313" s="13"/>
      <c r="DJG313" s="35"/>
      <c r="DJH313" s="35"/>
      <c r="DJI313" s="15"/>
      <c r="DJK313" s="13"/>
      <c r="DJL313" s="35"/>
      <c r="DJM313" s="35"/>
      <c r="DJN313" s="15"/>
      <c r="DJP313" s="13"/>
      <c r="DJQ313" s="35"/>
      <c r="DJR313" s="35"/>
      <c r="DJS313" s="15"/>
      <c r="DJU313" s="13"/>
      <c r="DJV313" s="35"/>
      <c r="DJW313" s="35"/>
      <c r="DJX313" s="15"/>
      <c r="DJZ313" s="13"/>
      <c r="DKA313" s="35"/>
      <c r="DKB313" s="35"/>
      <c r="DKC313" s="15"/>
      <c r="DKE313" s="13"/>
      <c r="DKF313" s="35"/>
      <c r="DKG313" s="35"/>
      <c r="DKH313" s="15"/>
      <c r="DKJ313" s="13"/>
      <c r="DKK313" s="35"/>
      <c r="DKL313" s="35"/>
      <c r="DKM313" s="15"/>
      <c r="DKO313" s="13"/>
      <c r="DKP313" s="35"/>
      <c r="DKQ313" s="35"/>
      <c r="DKR313" s="15"/>
      <c r="DKT313" s="13"/>
      <c r="DKU313" s="35"/>
      <c r="DKV313" s="35"/>
      <c r="DKW313" s="15"/>
      <c r="DKY313" s="13"/>
      <c r="DKZ313" s="35"/>
      <c r="DLA313" s="35"/>
      <c r="DLB313" s="15"/>
      <c r="DLD313" s="13"/>
      <c r="DLE313" s="35"/>
      <c r="DLF313" s="35"/>
      <c r="DLG313" s="15"/>
      <c r="DLI313" s="13"/>
      <c r="DLJ313" s="35"/>
      <c r="DLK313" s="35"/>
      <c r="DLL313" s="15"/>
      <c r="DLN313" s="13"/>
      <c r="DLO313" s="35"/>
      <c r="DLP313" s="35"/>
      <c r="DLQ313" s="15"/>
      <c r="DLS313" s="13"/>
      <c r="DLT313" s="35"/>
      <c r="DLU313" s="35"/>
      <c r="DLV313" s="15"/>
      <c r="DLX313" s="13"/>
      <c r="DLY313" s="35"/>
      <c r="DLZ313" s="35"/>
      <c r="DMA313" s="15"/>
      <c r="DMC313" s="13"/>
      <c r="DMD313" s="35"/>
      <c r="DME313" s="35"/>
      <c r="DMF313" s="15"/>
      <c r="DMH313" s="13"/>
      <c r="DMI313" s="35"/>
      <c r="DMJ313" s="35"/>
      <c r="DMK313" s="15"/>
      <c r="DMM313" s="13"/>
      <c r="DMN313" s="35"/>
      <c r="DMO313" s="35"/>
      <c r="DMP313" s="15"/>
      <c r="DMR313" s="13"/>
      <c r="DMS313" s="35"/>
      <c r="DMT313" s="35"/>
      <c r="DMU313" s="15"/>
      <c r="DMW313" s="13"/>
      <c r="DMX313" s="35"/>
      <c r="DMY313" s="35"/>
      <c r="DMZ313" s="15"/>
      <c r="DNB313" s="13"/>
      <c r="DNC313" s="35"/>
      <c r="DND313" s="35"/>
      <c r="DNE313" s="15"/>
      <c r="DNG313" s="13"/>
      <c r="DNH313" s="35"/>
      <c r="DNI313" s="35"/>
      <c r="DNJ313" s="15"/>
      <c r="DNL313" s="13"/>
      <c r="DNM313" s="35"/>
      <c r="DNN313" s="35"/>
      <c r="DNO313" s="15"/>
      <c r="DNQ313" s="13"/>
      <c r="DNR313" s="35"/>
      <c r="DNS313" s="35"/>
      <c r="DNT313" s="15"/>
      <c r="DNV313" s="13"/>
      <c r="DNW313" s="35"/>
      <c r="DNX313" s="35"/>
      <c r="DNY313" s="15"/>
      <c r="DOA313" s="13"/>
      <c r="DOB313" s="35"/>
      <c r="DOC313" s="35"/>
      <c r="DOD313" s="15"/>
      <c r="DOF313" s="13"/>
      <c r="DOG313" s="35"/>
      <c r="DOH313" s="35"/>
      <c r="DOI313" s="15"/>
      <c r="DOK313" s="13"/>
      <c r="DOL313" s="35"/>
      <c r="DOM313" s="35"/>
      <c r="DON313" s="15"/>
      <c r="DOP313" s="13"/>
      <c r="DOQ313" s="35"/>
      <c r="DOR313" s="35"/>
      <c r="DOS313" s="15"/>
      <c r="DOU313" s="13"/>
      <c r="DOV313" s="35"/>
      <c r="DOW313" s="35"/>
      <c r="DOX313" s="15"/>
      <c r="DOZ313" s="13"/>
      <c r="DPA313" s="35"/>
      <c r="DPB313" s="35"/>
      <c r="DPC313" s="15"/>
      <c r="DPE313" s="13"/>
      <c r="DPF313" s="35"/>
      <c r="DPG313" s="35"/>
      <c r="DPH313" s="15"/>
      <c r="DPJ313" s="13"/>
      <c r="DPK313" s="35"/>
      <c r="DPL313" s="35"/>
      <c r="DPM313" s="15"/>
      <c r="DPO313" s="13"/>
      <c r="DPP313" s="35"/>
      <c r="DPQ313" s="35"/>
      <c r="DPR313" s="15"/>
      <c r="DPT313" s="13"/>
      <c r="DPU313" s="35"/>
      <c r="DPV313" s="35"/>
      <c r="DPW313" s="15"/>
      <c r="DPY313" s="13"/>
      <c r="DPZ313" s="35"/>
      <c r="DQA313" s="35"/>
      <c r="DQB313" s="15"/>
      <c r="DQD313" s="13"/>
      <c r="DQE313" s="35"/>
      <c r="DQF313" s="35"/>
      <c r="DQG313" s="15"/>
      <c r="DQI313" s="13"/>
      <c r="DQJ313" s="35"/>
      <c r="DQK313" s="35"/>
      <c r="DQL313" s="15"/>
      <c r="DQN313" s="13"/>
      <c r="DQO313" s="35"/>
      <c r="DQP313" s="35"/>
      <c r="DQQ313" s="15"/>
      <c r="DQS313" s="13"/>
      <c r="DQT313" s="35"/>
      <c r="DQU313" s="35"/>
      <c r="DQV313" s="15"/>
      <c r="DQX313" s="13"/>
      <c r="DQY313" s="35"/>
      <c r="DQZ313" s="35"/>
      <c r="DRA313" s="15"/>
      <c r="DRC313" s="13"/>
      <c r="DRD313" s="35"/>
      <c r="DRE313" s="35"/>
      <c r="DRF313" s="15"/>
      <c r="DRH313" s="13"/>
      <c r="DRI313" s="35"/>
      <c r="DRJ313" s="35"/>
      <c r="DRK313" s="15"/>
      <c r="DRM313" s="13"/>
      <c r="DRN313" s="35"/>
      <c r="DRO313" s="35"/>
      <c r="DRP313" s="15"/>
      <c r="DRR313" s="13"/>
      <c r="DRS313" s="35"/>
      <c r="DRT313" s="35"/>
      <c r="DRU313" s="15"/>
      <c r="DRW313" s="13"/>
      <c r="DRX313" s="35"/>
      <c r="DRY313" s="35"/>
      <c r="DRZ313" s="15"/>
      <c r="DSB313" s="13"/>
      <c r="DSC313" s="35"/>
      <c r="DSD313" s="35"/>
      <c r="DSE313" s="15"/>
      <c r="DSG313" s="13"/>
      <c r="DSH313" s="35"/>
      <c r="DSI313" s="35"/>
      <c r="DSJ313" s="15"/>
      <c r="DSL313" s="13"/>
      <c r="DSM313" s="35"/>
      <c r="DSN313" s="35"/>
      <c r="DSO313" s="15"/>
      <c r="DSQ313" s="13"/>
      <c r="DSR313" s="35"/>
      <c r="DSS313" s="35"/>
      <c r="DST313" s="15"/>
      <c r="DSV313" s="13"/>
      <c r="DSW313" s="35"/>
      <c r="DSX313" s="35"/>
      <c r="DSY313" s="15"/>
      <c r="DTA313" s="13"/>
      <c r="DTB313" s="35"/>
      <c r="DTC313" s="35"/>
      <c r="DTD313" s="15"/>
      <c r="DTF313" s="13"/>
      <c r="DTG313" s="35"/>
      <c r="DTH313" s="35"/>
      <c r="DTI313" s="15"/>
      <c r="DTK313" s="13"/>
      <c r="DTL313" s="35"/>
      <c r="DTM313" s="35"/>
      <c r="DTN313" s="15"/>
      <c r="DTP313" s="13"/>
      <c r="DTQ313" s="35"/>
      <c r="DTR313" s="35"/>
      <c r="DTS313" s="15"/>
      <c r="DTU313" s="13"/>
      <c r="DTV313" s="35"/>
      <c r="DTW313" s="35"/>
      <c r="DTX313" s="15"/>
      <c r="DTZ313" s="13"/>
      <c r="DUA313" s="35"/>
      <c r="DUB313" s="35"/>
      <c r="DUC313" s="15"/>
      <c r="DUE313" s="13"/>
      <c r="DUF313" s="35"/>
      <c r="DUG313" s="35"/>
      <c r="DUH313" s="15"/>
      <c r="DUJ313" s="13"/>
      <c r="DUK313" s="35"/>
      <c r="DUL313" s="35"/>
      <c r="DUM313" s="15"/>
      <c r="DUO313" s="13"/>
      <c r="DUP313" s="35"/>
      <c r="DUQ313" s="35"/>
      <c r="DUR313" s="15"/>
      <c r="DUT313" s="13"/>
      <c r="DUU313" s="35"/>
      <c r="DUV313" s="35"/>
      <c r="DUW313" s="15"/>
      <c r="DUY313" s="13"/>
      <c r="DUZ313" s="35"/>
      <c r="DVA313" s="35"/>
      <c r="DVB313" s="15"/>
      <c r="DVD313" s="13"/>
      <c r="DVE313" s="35"/>
      <c r="DVF313" s="35"/>
      <c r="DVG313" s="15"/>
      <c r="DVI313" s="13"/>
      <c r="DVJ313" s="35"/>
      <c r="DVK313" s="35"/>
      <c r="DVL313" s="15"/>
      <c r="DVN313" s="13"/>
      <c r="DVO313" s="35"/>
      <c r="DVP313" s="35"/>
      <c r="DVQ313" s="15"/>
      <c r="DVS313" s="13"/>
      <c r="DVT313" s="35"/>
      <c r="DVU313" s="35"/>
      <c r="DVV313" s="15"/>
      <c r="DVX313" s="13"/>
      <c r="DVY313" s="35"/>
      <c r="DVZ313" s="35"/>
      <c r="DWA313" s="15"/>
      <c r="DWC313" s="13"/>
      <c r="DWD313" s="35"/>
      <c r="DWE313" s="35"/>
      <c r="DWF313" s="15"/>
      <c r="DWH313" s="13"/>
      <c r="DWI313" s="35"/>
      <c r="DWJ313" s="35"/>
      <c r="DWK313" s="15"/>
      <c r="DWM313" s="13"/>
      <c r="DWN313" s="35"/>
      <c r="DWO313" s="35"/>
      <c r="DWP313" s="15"/>
      <c r="DWR313" s="13"/>
      <c r="DWS313" s="35"/>
      <c r="DWT313" s="35"/>
      <c r="DWU313" s="15"/>
      <c r="DWW313" s="13"/>
      <c r="DWX313" s="35"/>
      <c r="DWY313" s="35"/>
      <c r="DWZ313" s="15"/>
      <c r="DXB313" s="13"/>
      <c r="DXC313" s="35"/>
      <c r="DXD313" s="35"/>
      <c r="DXE313" s="15"/>
      <c r="DXG313" s="13"/>
      <c r="DXH313" s="35"/>
      <c r="DXI313" s="35"/>
      <c r="DXJ313" s="15"/>
      <c r="DXL313" s="13"/>
      <c r="DXM313" s="35"/>
      <c r="DXN313" s="35"/>
      <c r="DXO313" s="15"/>
      <c r="DXQ313" s="13"/>
      <c r="DXR313" s="35"/>
      <c r="DXS313" s="35"/>
      <c r="DXT313" s="15"/>
      <c r="DXV313" s="13"/>
      <c r="DXW313" s="35"/>
      <c r="DXX313" s="35"/>
      <c r="DXY313" s="15"/>
      <c r="DYA313" s="13"/>
      <c r="DYB313" s="35"/>
      <c r="DYC313" s="35"/>
      <c r="DYD313" s="15"/>
      <c r="DYF313" s="13"/>
      <c r="DYG313" s="35"/>
      <c r="DYH313" s="35"/>
      <c r="DYI313" s="15"/>
      <c r="DYK313" s="13"/>
      <c r="DYL313" s="35"/>
      <c r="DYM313" s="35"/>
      <c r="DYN313" s="15"/>
      <c r="DYP313" s="13"/>
      <c r="DYQ313" s="35"/>
      <c r="DYR313" s="35"/>
      <c r="DYS313" s="15"/>
      <c r="DYU313" s="13"/>
      <c r="DYV313" s="35"/>
      <c r="DYW313" s="35"/>
      <c r="DYX313" s="15"/>
      <c r="DYZ313" s="13"/>
      <c r="DZA313" s="35"/>
      <c r="DZB313" s="35"/>
      <c r="DZC313" s="15"/>
      <c r="DZE313" s="13"/>
      <c r="DZF313" s="35"/>
      <c r="DZG313" s="35"/>
      <c r="DZH313" s="15"/>
      <c r="DZJ313" s="13"/>
      <c r="DZK313" s="35"/>
      <c r="DZL313" s="35"/>
      <c r="DZM313" s="15"/>
      <c r="DZO313" s="13"/>
      <c r="DZP313" s="35"/>
      <c r="DZQ313" s="35"/>
      <c r="DZR313" s="15"/>
      <c r="DZT313" s="13"/>
      <c r="DZU313" s="35"/>
      <c r="DZV313" s="35"/>
      <c r="DZW313" s="15"/>
      <c r="DZY313" s="13"/>
      <c r="DZZ313" s="35"/>
      <c r="EAA313" s="35"/>
      <c r="EAB313" s="15"/>
      <c r="EAD313" s="13"/>
      <c r="EAE313" s="35"/>
      <c r="EAF313" s="35"/>
      <c r="EAG313" s="15"/>
      <c r="EAI313" s="13"/>
      <c r="EAJ313" s="35"/>
      <c r="EAK313" s="35"/>
      <c r="EAL313" s="15"/>
      <c r="EAN313" s="13"/>
      <c r="EAO313" s="35"/>
      <c r="EAP313" s="35"/>
      <c r="EAQ313" s="15"/>
      <c r="EAS313" s="13"/>
      <c r="EAT313" s="35"/>
      <c r="EAU313" s="35"/>
      <c r="EAV313" s="15"/>
      <c r="EAX313" s="13"/>
      <c r="EAY313" s="35"/>
      <c r="EAZ313" s="35"/>
      <c r="EBA313" s="15"/>
      <c r="EBC313" s="13"/>
      <c r="EBD313" s="35"/>
      <c r="EBE313" s="35"/>
      <c r="EBF313" s="15"/>
      <c r="EBH313" s="13"/>
      <c r="EBI313" s="35"/>
      <c r="EBJ313" s="35"/>
      <c r="EBK313" s="15"/>
      <c r="EBM313" s="13"/>
      <c r="EBN313" s="35"/>
      <c r="EBO313" s="35"/>
      <c r="EBP313" s="15"/>
      <c r="EBR313" s="13"/>
      <c r="EBS313" s="35"/>
      <c r="EBT313" s="35"/>
      <c r="EBU313" s="15"/>
      <c r="EBW313" s="13"/>
      <c r="EBX313" s="35"/>
      <c r="EBY313" s="35"/>
      <c r="EBZ313" s="15"/>
      <c r="ECB313" s="13"/>
      <c r="ECC313" s="35"/>
      <c r="ECD313" s="35"/>
      <c r="ECE313" s="15"/>
      <c r="ECG313" s="13"/>
      <c r="ECH313" s="35"/>
      <c r="ECI313" s="35"/>
      <c r="ECJ313" s="15"/>
      <c r="ECL313" s="13"/>
      <c r="ECM313" s="35"/>
      <c r="ECN313" s="35"/>
      <c r="ECO313" s="15"/>
      <c r="ECQ313" s="13"/>
      <c r="ECR313" s="35"/>
      <c r="ECS313" s="35"/>
      <c r="ECT313" s="15"/>
      <c r="ECV313" s="13"/>
      <c r="ECW313" s="35"/>
      <c r="ECX313" s="35"/>
      <c r="ECY313" s="15"/>
      <c r="EDA313" s="13"/>
      <c r="EDB313" s="35"/>
      <c r="EDC313" s="35"/>
      <c r="EDD313" s="15"/>
      <c r="EDF313" s="13"/>
      <c r="EDG313" s="35"/>
      <c r="EDH313" s="35"/>
      <c r="EDI313" s="15"/>
      <c r="EDK313" s="13"/>
      <c r="EDL313" s="35"/>
      <c r="EDM313" s="35"/>
      <c r="EDN313" s="15"/>
      <c r="EDP313" s="13"/>
      <c r="EDQ313" s="35"/>
      <c r="EDR313" s="35"/>
      <c r="EDS313" s="15"/>
      <c r="EDU313" s="13"/>
      <c r="EDV313" s="35"/>
      <c r="EDW313" s="35"/>
      <c r="EDX313" s="15"/>
      <c r="EDZ313" s="13"/>
      <c r="EEA313" s="35"/>
      <c r="EEB313" s="35"/>
      <c r="EEC313" s="15"/>
      <c r="EEE313" s="13"/>
      <c r="EEF313" s="35"/>
      <c r="EEG313" s="35"/>
      <c r="EEH313" s="15"/>
      <c r="EEJ313" s="13"/>
      <c r="EEK313" s="35"/>
      <c r="EEL313" s="35"/>
      <c r="EEM313" s="15"/>
      <c r="EEO313" s="13"/>
      <c r="EEP313" s="35"/>
      <c r="EEQ313" s="35"/>
      <c r="EER313" s="15"/>
      <c r="EET313" s="13"/>
      <c r="EEU313" s="35"/>
      <c r="EEV313" s="35"/>
      <c r="EEW313" s="15"/>
      <c r="EEY313" s="13"/>
      <c r="EEZ313" s="35"/>
      <c r="EFA313" s="35"/>
      <c r="EFB313" s="15"/>
      <c r="EFD313" s="13"/>
      <c r="EFE313" s="35"/>
      <c r="EFF313" s="35"/>
      <c r="EFG313" s="15"/>
      <c r="EFI313" s="13"/>
      <c r="EFJ313" s="35"/>
      <c r="EFK313" s="35"/>
      <c r="EFL313" s="15"/>
      <c r="EFN313" s="13"/>
      <c r="EFO313" s="35"/>
      <c r="EFP313" s="35"/>
      <c r="EFQ313" s="15"/>
      <c r="EFS313" s="13"/>
      <c r="EFT313" s="35"/>
      <c r="EFU313" s="35"/>
      <c r="EFV313" s="15"/>
      <c r="EFX313" s="13"/>
      <c r="EFY313" s="35"/>
      <c r="EFZ313" s="35"/>
      <c r="EGA313" s="15"/>
      <c r="EGC313" s="13"/>
      <c r="EGD313" s="35"/>
      <c r="EGE313" s="35"/>
      <c r="EGF313" s="15"/>
      <c r="EGH313" s="13"/>
      <c r="EGI313" s="35"/>
      <c r="EGJ313" s="35"/>
      <c r="EGK313" s="15"/>
      <c r="EGM313" s="13"/>
      <c r="EGN313" s="35"/>
      <c r="EGO313" s="35"/>
      <c r="EGP313" s="15"/>
      <c r="EGR313" s="13"/>
      <c r="EGS313" s="35"/>
      <c r="EGT313" s="35"/>
      <c r="EGU313" s="15"/>
      <c r="EGW313" s="13"/>
      <c r="EGX313" s="35"/>
      <c r="EGY313" s="35"/>
      <c r="EGZ313" s="15"/>
      <c r="EHB313" s="13"/>
      <c r="EHC313" s="35"/>
      <c r="EHD313" s="35"/>
      <c r="EHE313" s="15"/>
      <c r="EHG313" s="13"/>
      <c r="EHH313" s="35"/>
      <c r="EHI313" s="35"/>
      <c r="EHJ313" s="15"/>
      <c r="EHL313" s="13"/>
      <c r="EHM313" s="35"/>
      <c r="EHN313" s="35"/>
      <c r="EHO313" s="15"/>
      <c r="EHQ313" s="13"/>
      <c r="EHR313" s="35"/>
      <c r="EHS313" s="35"/>
      <c r="EHT313" s="15"/>
      <c r="EHV313" s="13"/>
      <c r="EHW313" s="35"/>
      <c r="EHX313" s="35"/>
      <c r="EHY313" s="15"/>
      <c r="EIA313" s="13"/>
      <c r="EIB313" s="35"/>
      <c r="EIC313" s="35"/>
      <c r="EID313" s="15"/>
      <c r="EIF313" s="13"/>
      <c r="EIG313" s="35"/>
      <c r="EIH313" s="35"/>
      <c r="EII313" s="15"/>
      <c r="EIK313" s="13"/>
      <c r="EIL313" s="35"/>
      <c r="EIM313" s="35"/>
      <c r="EIN313" s="15"/>
      <c r="EIP313" s="13"/>
      <c r="EIQ313" s="35"/>
      <c r="EIR313" s="35"/>
      <c r="EIS313" s="15"/>
      <c r="EIU313" s="13"/>
      <c r="EIV313" s="35"/>
      <c r="EIW313" s="35"/>
      <c r="EIX313" s="15"/>
      <c r="EIZ313" s="13"/>
      <c r="EJA313" s="35"/>
      <c r="EJB313" s="35"/>
      <c r="EJC313" s="15"/>
      <c r="EJE313" s="13"/>
      <c r="EJF313" s="35"/>
      <c r="EJG313" s="35"/>
      <c r="EJH313" s="15"/>
      <c r="EJJ313" s="13"/>
      <c r="EJK313" s="35"/>
      <c r="EJL313" s="35"/>
      <c r="EJM313" s="15"/>
      <c r="EJO313" s="13"/>
      <c r="EJP313" s="35"/>
      <c r="EJQ313" s="35"/>
      <c r="EJR313" s="15"/>
      <c r="EJT313" s="13"/>
      <c r="EJU313" s="35"/>
      <c r="EJV313" s="35"/>
      <c r="EJW313" s="15"/>
      <c r="EJY313" s="13"/>
      <c r="EJZ313" s="35"/>
      <c r="EKA313" s="35"/>
      <c r="EKB313" s="15"/>
      <c r="EKD313" s="13"/>
      <c r="EKE313" s="35"/>
      <c r="EKF313" s="35"/>
      <c r="EKG313" s="15"/>
      <c r="EKI313" s="13"/>
      <c r="EKJ313" s="35"/>
      <c r="EKK313" s="35"/>
      <c r="EKL313" s="15"/>
      <c r="EKN313" s="13"/>
      <c r="EKO313" s="35"/>
      <c r="EKP313" s="35"/>
      <c r="EKQ313" s="15"/>
      <c r="EKS313" s="13"/>
      <c r="EKT313" s="35"/>
      <c r="EKU313" s="35"/>
      <c r="EKV313" s="15"/>
      <c r="EKX313" s="13"/>
      <c r="EKY313" s="35"/>
      <c r="EKZ313" s="35"/>
      <c r="ELA313" s="15"/>
      <c r="ELC313" s="13"/>
      <c r="ELD313" s="35"/>
      <c r="ELE313" s="35"/>
      <c r="ELF313" s="15"/>
      <c r="ELH313" s="13"/>
      <c r="ELI313" s="35"/>
      <c r="ELJ313" s="35"/>
      <c r="ELK313" s="15"/>
      <c r="ELM313" s="13"/>
      <c r="ELN313" s="35"/>
      <c r="ELO313" s="35"/>
      <c r="ELP313" s="15"/>
      <c r="ELR313" s="13"/>
      <c r="ELS313" s="35"/>
      <c r="ELT313" s="35"/>
      <c r="ELU313" s="15"/>
      <c r="ELW313" s="13"/>
      <c r="ELX313" s="35"/>
      <c r="ELY313" s="35"/>
      <c r="ELZ313" s="15"/>
      <c r="EMB313" s="13"/>
      <c r="EMC313" s="35"/>
      <c r="EMD313" s="35"/>
      <c r="EME313" s="15"/>
      <c r="EMG313" s="13"/>
      <c r="EMH313" s="35"/>
      <c r="EMI313" s="35"/>
      <c r="EMJ313" s="15"/>
      <c r="EML313" s="13"/>
      <c r="EMM313" s="35"/>
      <c r="EMN313" s="35"/>
      <c r="EMO313" s="15"/>
      <c r="EMQ313" s="13"/>
      <c r="EMR313" s="35"/>
      <c r="EMS313" s="35"/>
      <c r="EMT313" s="15"/>
      <c r="EMV313" s="13"/>
      <c r="EMW313" s="35"/>
      <c r="EMX313" s="35"/>
      <c r="EMY313" s="15"/>
      <c r="ENA313" s="13"/>
      <c r="ENB313" s="35"/>
      <c r="ENC313" s="35"/>
      <c r="END313" s="15"/>
      <c r="ENF313" s="13"/>
      <c r="ENG313" s="35"/>
      <c r="ENH313" s="35"/>
      <c r="ENI313" s="15"/>
      <c r="ENK313" s="13"/>
      <c r="ENL313" s="35"/>
      <c r="ENM313" s="35"/>
      <c r="ENN313" s="15"/>
      <c r="ENP313" s="13"/>
      <c r="ENQ313" s="35"/>
      <c r="ENR313" s="35"/>
      <c r="ENS313" s="15"/>
      <c r="ENU313" s="13"/>
      <c r="ENV313" s="35"/>
      <c r="ENW313" s="35"/>
      <c r="ENX313" s="15"/>
      <c r="ENZ313" s="13"/>
      <c r="EOA313" s="35"/>
      <c r="EOB313" s="35"/>
      <c r="EOC313" s="15"/>
      <c r="EOE313" s="13"/>
      <c r="EOF313" s="35"/>
      <c r="EOG313" s="35"/>
      <c r="EOH313" s="15"/>
      <c r="EOJ313" s="13"/>
      <c r="EOK313" s="35"/>
      <c r="EOL313" s="35"/>
      <c r="EOM313" s="15"/>
      <c r="EOO313" s="13"/>
      <c r="EOP313" s="35"/>
      <c r="EOQ313" s="35"/>
      <c r="EOR313" s="15"/>
      <c r="EOT313" s="13"/>
      <c r="EOU313" s="35"/>
      <c r="EOV313" s="35"/>
      <c r="EOW313" s="15"/>
      <c r="EOY313" s="13"/>
      <c r="EOZ313" s="35"/>
      <c r="EPA313" s="35"/>
      <c r="EPB313" s="15"/>
      <c r="EPD313" s="13"/>
      <c r="EPE313" s="35"/>
      <c r="EPF313" s="35"/>
      <c r="EPG313" s="15"/>
      <c r="EPI313" s="13"/>
      <c r="EPJ313" s="35"/>
      <c r="EPK313" s="35"/>
      <c r="EPL313" s="15"/>
      <c r="EPN313" s="13"/>
      <c r="EPO313" s="35"/>
      <c r="EPP313" s="35"/>
      <c r="EPQ313" s="15"/>
      <c r="EPS313" s="13"/>
      <c r="EPT313" s="35"/>
      <c r="EPU313" s="35"/>
      <c r="EPV313" s="15"/>
      <c r="EPX313" s="13"/>
      <c r="EPY313" s="35"/>
      <c r="EPZ313" s="35"/>
      <c r="EQA313" s="15"/>
      <c r="EQC313" s="13"/>
      <c r="EQD313" s="35"/>
      <c r="EQE313" s="35"/>
      <c r="EQF313" s="15"/>
      <c r="EQH313" s="13"/>
      <c r="EQI313" s="35"/>
      <c r="EQJ313" s="35"/>
      <c r="EQK313" s="15"/>
      <c r="EQM313" s="13"/>
      <c r="EQN313" s="35"/>
      <c r="EQO313" s="35"/>
      <c r="EQP313" s="15"/>
      <c r="EQR313" s="13"/>
      <c r="EQS313" s="35"/>
      <c r="EQT313" s="35"/>
      <c r="EQU313" s="15"/>
      <c r="EQW313" s="13"/>
      <c r="EQX313" s="35"/>
      <c r="EQY313" s="35"/>
      <c r="EQZ313" s="15"/>
      <c r="ERB313" s="13"/>
      <c r="ERC313" s="35"/>
      <c r="ERD313" s="35"/>
      <c r="ERE313" s="15"/>
      <c r="ERG313" s="13"/>
      <c r="ERH313" s="35"/>
      <c r="ERI313" s="35"/>
      <c r="ERJ313" s="15"/>
      <c r="ERL313" s="13"/>
      <c r="ERM313" s="35"/>
      <c r="ERN313" s="35"/>
      <c r="ERO313" s="15"/>
      <c r="ERQ313" s="13"/>
      <c r="ERR313" s="35"/>
      <c r="ERS313" s="35"/>
      <c r="ERT313" s="15"/>
      <c r="ERV313" s="13"/>
      <c r="ERW313" s="35"/>
      <c r="ERX313" s="35"/>
      <c r="ERY313" s="15"/>
      <c r="ESA313" s="13"/>
      <c r="ESB313" s="35"/>
      <c r="ESC313" s="35"/>
      <c r="ESD313" s="15"/>
      <c r="ESF313" s="13"/>
      <c r="ESG313" s="35"/>
      <c r="ESH313" s="35"/>
      <c r="ESI313" s="15"/>
      <c r="ESK313" s="13"/>
      <c r="ESL313" s="35"/>
      <c r="ESM313" s="35"/>
      <c r="ESN313" s="15"/>
      <c r="ESP313" s="13"/>
      <c r="ESQ313" s="35"/>
      <c r="ESR313" s="35"/>
      <c r="ESS313" s="15"/>
      <c r="ESU313" s="13"/>
      <c r="ESV313" s="35"/>
      <c r="ESW313" s="35"/>
      <c r="ESX313" s="15"/>
      <c r="ESZ313" s="13"/>
      <c r="ETA313" s="35"/>
      <c r="ETB313" s="35"/>
      <c r="ETC313" s="15"/>
      <c r="ETE313" s="13"/>
      <c r="ETF313" s="35"/>
      <c r="ETG313" s="35"/>
      <c r="ETH313" s="15"/>
      <c r="ETJ313" s="13"/>
      <c r="ETK313" s="35"/>
      <c r="ETL313" s="35"/>
      <c r="ETM313" s="15"/>
      <c r="ETO313" s="13"/>
      <c r="ETP313" s="35"/>
      <c r="ETQ313" s="35"/>
      <c r="ETR313" s="15"/>
      <c r="ETT313" s="13"/>
      <c r="ETU313" s="35"/>
      <c r="ETV313" s="35"/>
      <c r="ETW313" s="15"/>
      <c r="ETY313" s="13"/>
      <c r="ETZ313" s="35"/>
      <c r="EUA313" s="35"/>
      <c r="EUB313" s="15"/>
      <c r="EUD313" s="13"/>
      <c r="EUE313" s="35"/>
      <c r="EUF313" s="35"/>
      <c r="EUG313" s="15"/>
      <c r="EUI313" s="13"/>
      <c r="EUJ313" s="35"/>
      <c r="EUK313" s="35"/>
      <c r="EUL313" s="15"/>
      <c r="EUN313" s="13"/>
      <c r="EUO313" s="35"/>
      <c r="EUP313" s="35"/>
      <c r="EUQ313" s="15"/>
      <c r="EUS313" s="13"/>
      <c r="EUT313" s="35"/>
      <c r="EUU313" s="35"/>
      <c r="EUV313" s="15"/>
      <c r="EUX313" s="13"/>
      <c r="EUY313" s="35"/>
      <c r="EUZ313" s="35"/>
      <c r="EVA313" s="15"/>
      <c r="EVC313" s="13"/>
      <c r="EVD313" s="35"/>
      <c r="EVE313" s="35"/>
      <c r="EVF313" s="15"/>
      <c r="EVH313" s="13"/>
      <c r="EVI313" s="35"/>
      <c r="EVJ313" s="35"/>
      <c r="EVK313" s="15"/>
      <c r="EVM313" s="13"/>
      <c r="EVN313" s="35"/>
      <c r="EVO313" s="35"/>
      <c r="EVP313" s="15"/>
      <c r="EVR313" s="13"/>
      <c r="EVS313" s="35"/>
      <c r="EVT313" s="35"/>
      <c r="EVU313" s="15"/>
      <c r="EVW313" s="13"/>
      <c r="EVX313" s="35"/>
      <c r="EVY313" s="35"/>
      <c r="EVZ313" s="15"/>
      <c r="EWB313" s="13"/>
      <c r="EWC313" s="35"/>
      <c r="EWD313" s="35"/>
      <c r="EWE313" s="15"/>
      <c r="EWG313" s="13"/>
      <c r="EWH313" s="35"/>
      <c r="EWI313" s="35"/>
      <c r="EWJ313" s="15"/>
      <c r="EWL313" s="13"/>
      <c r="EWM313" s="35"/>
      <c r="EWN313" s="35"/>
      <c r="EWO313" s="15"/>
      <c r="EWQ313" s="13"/>
      <c r="EWR313" s="35"/>
      <c r="EWS313" s="35"/>
      <c r="EWT313" s="15"/>
      <c r="EWV313" s="13"/>
      <c r="EWW313" s="35"/>
      <c r="EWX313" s="35"/>
      <c r="EWY313" s="15"/>
      <c r="EXA313" s="13"/>
      <c r="EXB313" s="35"/>
      <c r="EXC313" s="35"/>
      <c r="EXD313" s="15"/>
      <c r="EXF313" s="13"/>
      <c r="EXG313" s="35"/>
      <c r="EXH313" s="35"/>
      <c r="EXI313" s="15"/>
      <c r="EXK313" s="13"/>
      <c r="EXL313" s="35"/>
      <c r="EXM313" s="35"/>
      <c r="EXN313" s="15"/>
      <c r="EXP313" s="13"/>
      <c r="EXQ313" s="35"/>
      <c r="EXR313" s="35"/>
      <c r="EXS313" s="15"/>
      <c r="EXU313" s="13"/>
      <c r="EXV313" s="35"/>
      <c r="EXW313" s="35"/>
      <c r="EXX313" s="15"/>
      <c r="EXZ313" s="13"/>
      <c r="EYA313" s="35"/>
      <c r="EYB313" s="35"/>
      <c r="EYC313" s="15"/>
      <c r="EYE313" s="13"/>
      <c r="EYF313" s="35"/>
      <c r="EYG313" s="35"/>
      <c r="EYH313" s="15"/>
      <c r="EYJ313" s="13"/>
      <c r="EYK313" s="35"/>
      <c r="EYL313" s="35"/>
      <c r="EYM313" s="15"/>
      <c r="EYO313" s="13"/>
      <c r="EYP313" s="35"/>
      <c r="EYQ313" s="35"/>
      <c r="EYR313" s="15"/>
      <c r="EYT313" s="13"/>
      <c r="EYU313" s="35"/>
      <c r="EYV313" s="35"/>
      <c r="EYW313" s="15"/>
      <c r="EYY313" s="13"/>
      <c r="EYZ313" s="35"/>
      <c r="EZA313" s="35"/>
      <c r="EZB313" s="15"/>
      <c r="EZD313" s="13"/>
      <c r="EZE313" s="35"/>
      <c r="EZF313" s="35"/>
      <c r="EZG313" s="15"/>
      <c r="EZI313" s="13"/>
      <c r="EZJ313" s="35"/>
      <c r="EZK313" s="35"/>
      <c r="EZL313" s="15"/>
      <c r="EZN313" s="13"/>
      <c r="EZO313" s="35"/>
      <c r="EZP313" s="35"/>
      <c r="EZQ313" s="15"/>
      <c r="EZS313" s="13"/>
      <c r="EZT313" s="35"/>
      <c r="EZU313" s="35"/>
      <c r="EZV313" s="15"/>
      <c r="EZX313" s="13"/>
      <c r="EZY313" s="35"/>
      <c r="EZZ313" s="35"/>
      <c r="FAA313" s="15"/>
      <c r="FAC313" s="13"/>
      <c r="FAD313" s="35"/>
      <c r="FAE313" s="35"/>
      <c r="FAF313" s="15"/>
      <c r="FAH313" s="13"/>
      <c r="FAI313" s="35"/>
      <c r="FAJ313" s="35"/>
      <c r="FAK313" s="15"/>
      <c r="FAM313" s="13"/>
      <c r="FAN313" s="35"/>
      <c r="FAO313" s="35"/>
      <c r="FAP313" s="15"/>
      <c r="FAR313" s="13"/>
      <c r="FAS313" s="35"/>
      <c r="FAT313" s="35"/>
      <c r="FAU313" s="15"/>
      <c r="FAW313" s="13"/>
      <c r="FAX313" s="35"/>
      <c r="FAY313" s="35"/>
      <c r="FAZ313" s="15"/>
      <c r="FBB313" s="13"/>
      <c r="FBC313" s="35"/>
      <c r="FBD313" s="35"/>
      <c r="FBE313" s="15"/>
      <c r="FBG313" s="13"/>
      <c r="FBH313" s="35"/>
      <c r="FBI313" s="35"/>
      <c r="FBJ313" s="15"/>
      <c r="FBL313" s="13"/>
      <c r="FBM313" s="35"/>
      <c r="FBN313" s="35"/>
      <c r="FBO313" s="15"/>
      <c r="FBQ313" s="13"/>
      <c r="FBR313" s="35"/>
      <c r="FBS313" s="35"/>
      <c r="FBT313" s="15"/>
      <c r="FBV313" s="13"/>
      <c r="FBW313" s="35"/>
      <c r="FBX313" s="35"/>
      <c r="FBY313" s="15"/>
      <c r="FCA313" s="13"/>
      <c r="FCB313" s="35"/>
      <c r="FCC313" s="35"/>
      <c r="FCD313" s="15"/>
      <c r="FCF313" s="13"/>
      <c r="FCG313" s="35"/>
      <c r="FCH313" s="35"/>
      <c r="FCI313" s="15"/>
      <c r="FCK313" s="13"/>
      <c r="FCL313" s="35"/>
      <c r="FCM313" s="35"/>
      <c r="FCN313" s="15"/>
      <c r="FCP313" s="13"/>
      <c r="FCQ313" s="35"/>
      <c r="FCR313" s="35"/>
      <c r="FCS313" s="15"/>
      <c r="FCU313" s="13"/>
      <c r="FCV313" s="35"/>
      <c r="FCW313" s="35"/>
      <c r="FCX313" s="15"/>
      <c r="FCZ313" s="13"/>
      <c r="FDA313" s="35"/>
      <c r="FDB313" s="35"/>
      <c r="FDC313" s="15"/>
      <c r="FDE313" s="13"/>
      <c r="FDF313" s="35"/>
      <c r="FDG313" s="35"/>
      <c r="FDH313" s="15"/>
      <c r="FDJ313" s="13"/>
      <c r="FDK313" s="35"/>
      <c r="FDL313" s="35"/>
      <c r="FDM313" s="15"/>
      <c r="FDO313" s="13"/>
      <c r="FDP313" s="35"/>
      <c r="FDQ313" s="35"/>
      <c r="FDR313" s="15"/>
      <c r="FDT313" s="13"/>
      <c r="FDU313" s="35"/>
      <c r="FDV313" s="35"/>
      <c r="FDW313" s="15"/>
      <c r="FDY313" s="13"/>
      <c r="FDZ313" s="35"/>
      <c r="FEA313" s="35"/>
      <c r="FEB313" s="15"/>
      <c r="FED313" s="13"/>
      <c r="FEE313" s="35"/>
      <c r="FEF313" s="35"/>
      <c r="FEG313" s="15"/>
      <c r="FEI313" s="13"/>
      <c r="FEJ313" s="35"/>
      <c r="FEK313" s="35"/>
      <c r="FEL313" s="15"/>
      <c r="FEN313" s="13"/>
      <c r="FEO313" s="35"/>
      <c r="FEP313" s="35"/>
      <c r="FEQ313" s="15"/>
      <c r="FES313" s="13"/>
      <c r="FET313" s="35"/>
      <c r="FEU313" s="35"/>
      <c r="FEV313" s="15"/>
      <c r="FEX313" s="13"/>
      <c r="FEY313" s="35"/>
      <c r="FEZ313" s="35"/>
      <c r="FFA313" s="15"/>
      <c r="FFC313" s="13"/>
      <c r="FFD313" s="35"/>
      <c r="FFE313" s="35"/>
      <c r="FFF313" s="15"/>
      <c r="FFH313" s="13"/>
      <c r="FFI313" s="35"/>
      <c r="FFJ313" s="35"/>
      <c r="FFK313" s="15"/>
      <c r="FFM313" s="13"/>
      <c r="FFN313" s="35"/>
      <c r="FFO313" s="35"/>
      <c r="FFP313" s="15"/>
      <c r="FFR313" s="13"/>
      <c r="FFS313" s="35"/>
      <c r="FFT313" s="35"/>
      <c r="FFU313" s="15"/>
      <c r="FFW313" s="13"/>
      <c r="FFX313" s="35"/>
      <c r="FFY313" s="35"/>
      <c r="FFZ313" s="15"/>
      <c r="FGB313" s="13"/>
      <c r="FGC313" s="35"/>
      <c r="FGD313" s="35"/>
      <c r="FGE313" s="15"/>
      <c r="FGG313" s="13"/>
      <c r="FGH313" s="35"/>
      <c r="FGI313" s="35"/>
      <c r="FGJ313" s="15"/>
      <c r="FGL313" s="13"/>
      <c r="FGM313" s="35"/>
      <c r="FGN313" s="35"/>
      <c r="FGO313" s="15"/>
      <c r="FGQ313" s="13"/>
      <c r="FGR313" s="35"/>
      <c r="FGS313" s="35"/>
      <c r="FGT313" s="15"/>
      <c r="FGV313" s="13"/>
      <c r="FGW313" s="35"/>
      <c r="FGX313" s="35"/>
      <c r="FGY313" s="15"/>
      <c r="FHA313" s="13"/>
      <c r="FHB313" s="35"/>
      <c r="FHC313" s="35"/>
      <c r="FHD313" s="15"/>
      <c r="FHF313" s="13"/>
      <c r="FHG313" s="35"/>
      <c r="FHH313" s="35"/>
      <c r="FHI313" s="15"/>
      <c r="FHK313" s="13"/>
      <c r="FHL313" s="35"/>
      <c r="FHM313" s="35"/>
      <c r="FHN313" s="15"/>
      <c r="FHP313" s="13"/>
      <c r="FHQ313" s="35"/>
      <c r="FHR313" s="35"/>
      <c r="FHS313" s="15"/>
      <c r="FHU313" s="13"/>
      <c r="FHV313" s="35"/>
      <c r="FHW313" s="35"/>
      <c r="FHX313" s="15"/>
      <c r="FHZ313" s="13"/>
      <c r="FIA313" s="35"/>
      <c r="FIB313" s="35"/>
      <c r="FIC313" s="15"/>
      <c r="FIE313" s="13"/>
      <c r="FIF313" s="35"/>
      <c r="FIG313" s="35"/>
      <c r="FIH313" s="15"/>
      <c r="FIJ313" s="13"/>
      <c r="FIK313" s="35"/>
      <c r="FIL313" s="35"/>
      <c r="FIM313" s="15"/>
      <c r="FIO313" s="13"/>
      <c r="FIP313" s="35"/>
      <c r="FIQ313" s="35"/>
      <c r="FIR313" s="15"/>
      <c r="FIT313" s="13"/>
      <c r="FIU313" s="35"/>
      <c r="FIV313" s="35"/>
      <c r="FIW313" s="15"/>
      <c r="FIY313" s="13"/>
      <c r="FIZ313" s="35"/>
      <c r="FJA313" s="35"/>
      <c r="FJB313" s="15"/>
      <c r="FJD313" s="13"/>
      <c r="FJE313" s="35"/>
      <c r="FJF313" s="35"/>
      <c r="FJG313" s="15"/>
      <c r="FJI313" s="13"/>
      <c r="FJJ313" s="35"/>
      <c r="FJK313" s="35"/>
      <c r="FJL313" s="15"/>
      <c r="FJN313" s="13"/>
      <c r="FJO313" s="35"/>
      <c r="FJP313" s="35"/>
      <c r="FJQ313" s="15"/>
      <c r="FJS313" s="13"/>
      <c r="FJT313" s="35"/>
      <c r="FJU313" s="35"/>
      <c r="FJV313" s="15"/>
      <c r="FJX313" s="13"/>
      <c r="FJY313" s="35"/>
      <c r="FJZ313" s="35"/>
      <c r="FKA313" s="15"/>
      <c r="FKC313" s="13"/>
      <c r="FKD313" s="35"/>
      <c r="FKE313" s="35"/>
      <c r="FKF313" s="15"/>
      <c r="FKH313" s="13"/>
      <c r="FKI313" s="35"/>
      <c r="FKJ313" s="35"/>
      <c r="FKK313" s="15"/>
      <c r="FKM313" s="13"/>
      <c r="FKN313" s="35"/>
      <c r="FKO313" s="35"/>
      <c r="FKP313" s="15"/>
      <c r="FKR313" s="13"/>
      <c r="FKS313" s="35"/>
      <c r="FKT313" s="35"/>
      <c r="FKU313" s="15"/>
      <c r="FKW313" s="13"/>
      <c r="FKX313" s="35"/>
      <c r="FKY313" s="35"/>
      <c r="FKZ313" s="15"/>
      <c r="FLB313" s="13"/>
      <c r="FLC313" s="35"/>
      <c r="FLD313" s="35"/>
      <c r="FLE313" s="15"/>
      <c r="FLG313" s="13"/>
      <c r="FLH313" s="35"/>
      <c r="FLI313" s="35"/>
      <c r="FLJ313" s="15"/>
      <c r="FLL313" s="13"/>
      <c r="FLM313" s="35"/>
      <c r="FLN313" s="35"/>
      <c r="FLO313" s="15"/>
      <c r="FLQ313" s="13"/>
      <c r="FLR313" s="35"/>
      <c r="FLS313" s="35"/>
      <c r="FLT313" s="15"/>
      <c r="FLV313" s="13"/>
      <c r="FLW313" s="35"/>
      <c r="FLX313" s="35"/>
      <c r="FLY313" s="15"/>
      <c r="FMA313" s="13"/>
      <c r="FMB313" s="35"/>
      <c r="FMC313" s="35"/>
      <c r="FMD313" s="15"/>
      <c r="FMF313" s="13"/>
      <c r="FMG313" s="35"/>
      <c r="FMH313" s="35"/>
      <c r="FMI313" s="15"/>
      <c r="FMK313" s="13"/>
      <c r="FML313" s="35"/>
      <c r="FMM313" s="35"/>
      <c r="FMN313" s="15"/>
      <c r="FMP313" s="13"/>
      <c r="FMQ313" s="35"/>
      <c r="FMR313" s="35"/>
      <c r="FMS313" s="15"/>
      <c r="FMU313" s="13"/>
      <c r="FMV313" s="35"/>
      <c r="FMW313" s="35"/>
      <c r="FMX313" s="15"/>
      <c r="FMZ313" s="13"/>
      <c r="FNA313" s="35"/>
      <c r="FNB313" s="35"/>
      <c r="FNC313" s="15"/>
      <c r="FNE313" s="13"/>
      <c r="FNF313" s="35"/>
      <c r="FNG313" s="35"/>
      <c r="FNH313" s="15"/>
      <c r="FNJ313" s="13"/>
      <c r="FNK313" s="35"/>
      <c r="FNL313" s="35"/>
      <c r="FNM313" s="15"/>
      <c r="FNO313" s="13"/>
      <c r="FNP313" s="35"/>
      <c r="FNQ313" s="35"/>
      <c r="FNR313" s="15"/>
      <c r="FNT313" s="13"/>
      <c r="FNU313" s="35"/>
      <c r="FNV313" s="35"/>
      <c r="FNW313" s="15"/>
      <c r="FNY313" s="13"/>
      <c r="FNZ313" s="35"/>
      <c r="FOA313" s="35"/>
      <c r="FOB313" s="15"/>
      <c r="FOD313" s="13"/>
      <c r="FOE313" s="35"/>
      <c r="FOF313" s="35"/>
      <c r="FOG313" s="15"/>
      <c r="FOI313" s="13"/>
      <c r="FOJ313" s="35"/>
      <c r="FOK313" s="35"/>
      <c r="FOL313" s="15"/>
      <c r="FON313" s="13"/>
      <c r="FOO313" s="35"/>
      <c r="FOP313" s="35"/>
      <c r="FOQ313" s="15"/>
      <c r="FOS313" s="13"/>
      <c r="FOT313" s="35"/>
      <c r="FOU313" s="35"/>
      <c r="FOV313" s="15"/>
      <c r="FOX313" s="13"/>
      <c r="FOY313" s="35"/>
      <c r="FOZ313" s="35"/>
      <c r="FPA313" s="15"/>
      <c r="FPC313" s="13"/>
      <c r="FPD313" s="35"/>
      <c r="FPE313" s="35"/>
      <c r="FPF313" s="15"/>
      <c r="FPH313" s="13"/>
      <c r="FPI313" s="35"/>
      <c r="FPJ313" s="35"/>
      <c r="FPK313" s="15"/>
      <c r="FPM313" s="13"/>
      <c r="FPN313" s="35"/>
      <c r="FPO313" s="35"/>
      <c r="FPP313" s="15"/>
      <c r="FPR313" s="13"/>
      <c r="FPS313" s="35"/>
      <c r="FPT313" s="35"/>
      <c r="FPU313" s="15"/>
      <c r="FPW313" s="13"/>
      <c r="FPX313" s="35"/>
      <c r="FPY313" s="35"/>
      <c r="FPZ313" s="15"/>
      <c r="FQB313" s="13"/>
      <c r="FQC313" s="35"/>
      <c r="FQD313" s="35"/>
      <c r="FQE313" s="15"/>
      <c r="FQG313" s="13"/>
      <c r="FQH313" s="35"/>
      <c r="FQI313" s="35"/>
      <c r="FQJ313" s="15"/>
      <c r="FQL313" s="13"/>
      <c r="FQM313" s="35"/>
      <c r="FQN313" s="35"/>
      <c r="FQO313" s="15"/>
      <c r="FQQ313" s="13"/>
      <c r="FQR313" s="35"/>
      <c r="FQS313" s="35"/>
      <c r="FQT313" s="15"/>
      <c r="FQV313" s="13"/>
      <c r="FQW313" s="35"/>
      <c r="FQX313" s="35"/>
      <c r="FQY313" s="15"/>
      <c r="FRA313" s="13"/>
      <c r="FRB313" s="35"/>
      <c r="FRC313" s="35"/>
      <c r="FRD313" s="15"/>
      <c r="FRF313" s="13"/>
      <c r="FRG313" s="35"/>
      <c r="FRH313" s="35"/>
      <c r="FRI313" s="15"/>
      <c r="FRK313" s="13"/>
      <c r="FRL313" s="35"/>
      <c r="FRM313" s="35"/>
      <c r="FRN313" s="15"/>
      <c r="FRP313" s="13"/>
      <c r="FRQ313" s="35"/>
      <c r="FRR313" s="35"/>
      <c r="FRS313" s="15"/>
      <c r="FRU313" s="13"/>
      <c r="FRV313" s="35"/>
      <c r="FRW313" s="35"/>
      <c r="FRX313" s="15"/>
      <c r="FRZ313" s="13"/>
      <c r="FSA313" s="35"/>
      <c r="FSB313" s="35"/>
      <c r="FSC313" s="15"/>
      <c r="FSE313" s="13"/>
      <c r="FSF313" s="35"/>
      <c r="FSG313" s="35"/>
      <c r="FSH313" s="15"/>
      <c r="FSJ313" s="13"/>
      <c r="FSK313" s="35"/>
      <c r="FSL313" s="35"/>
      <c r="FSM313" s="15"/>
      <c r="FSO313" s="13"/>
      <c r="FSP313" s="35"/>
      <c r="FSQ313" s="35"/>
      <c r="FSR313" s="15"/>
      <c r="FST313" s="13"/>
      <c r="FSU313" s="35"/>
      <c r="FSV313" s="35"/>
      <c r="FSW313" s="15"/>
      <c r="FSY313" s="13"/>
      <c r="FSZ313" s="35"/>
      <c r="FTA313" s="35"/>
      <c r="FTB313" s="15"/>
      <c r="FTD313" s="13"/>
      <c r="FTE313" s="35"/>
      <c r="FTF313" s="35"/>
      <c r="FTG313" s="15"/>
      <c r="FTI313" s="13"/>
      <c r="FTJ313" s="35"/>
      <c r="FTK313" s="35"/>
      <c r="FTL313" s="15"/>
      <c r="FTN313" s="13"/>
      <c r="FTO313" s="35"/>
      <c r="FTP313" s="35"/>
      <c r="FTQ313" s="15"/>
      <c r="FTS313" s="13"/>
      <c r="FTT313" s="35"/>
      <c r="FTU313" s="35"/>
      <c r="FTV313" s="15"/>
      <c r="FTX313" s="13"/>
      <c r="FTY313" s="35"/>
      <c r="FTZ313" s="35"/>
      <c r="FUA313" s="15"/>
      <c r="FUC313" s="13"/>
      <c r="FUD313" s="35"/>
      <c r="FUE313" s="35"/>
      <c r="FUF313" s="15"/>
      <c r="FUH313" s="13"/>
      <c r="FUI313" s="35"/>
      <c r="FUJ313" s="35"/>
      <c r="FUK313" s="15"/>
      <c r="FUM313" s="13"/>
      <c r="FUN313" s="35"/>
      <c r="FUO313" s="35"/>
      <c r="FUP313" s="15"/>
      <c r="FUR313" s="13"/>
      <c r="FUS313" s="35"/>
      <c r="FUT313" s="35"/>
      <c r="FUU313" s="15"/>
      <c r="FUW313" s="13"/>
      <c r="FUX313" s="35"/>
      <c r="FUY313" s="35"/>
      <c r="FUZ313" s="15"/>
      <c r="FVB313" s="13"/>
      <c r="FVC313" s="35"/>
      <c r="FVD313" s="35"/>
      <c r="FVE313" s="15"/>
      <c r="FVG313" s="13"/>
      <c r="FVH313" s="35"/>
      <c r="FVI313" s="35"/>
      <c r="FVJ313" s="15"/>
      <c r="FVL313" s="13"/>
      <c r="FVM313" s="35"/>
      <c r="FVN313" s="35"/>
      <c r="FVO313" s="15"/>
      <c r="FVQ313" s="13"/>
      <c r="FVR313" s="35"/>
      <c r="FVS313" s="35"/>
      <c r="FVT313" s="15"/>
      <c r="FVV313" s="13"/>
      <c r="FVW313" s="35"/>
      <c r="FVX313" s="35"/>
      <c r="FVY313" s="15"/>
      <c r="FWA313" s="13"/>
      <c r="FWB313" s="35"/>
      <c r="FWC313" s="35"/>
      <c r="FWD313" s="15"/>
      <c r="FWF313" s="13"/>
      <c r="FWG313" s="35"/>
      <c r="FWH313" s="35"/>
      <c r="FWI313" s="15"/>
      <c r="FWK313" s="13"/>
      <c r="FWL313" s="35"/>
      <c r="FWM313" s="35"/>
      <c r="FWN313" s="15"/>
      <c r="FWP313" s="13"/>
      <c r="FWQ313" s="35"/>
      <c r="FWR313" s="35"/>
      <c r="FWS313" s="15"/>
      <c r="FWU313" s="13"/>
      <c r="FWV313" s="35"/>
      <c r="FWW313" s="35"/>
      <c r="FWX313" s="15"/>
      <c r="FWZ313" s="13"/>
      <c r="FXA313" s="35"/>
      <c r="FXB313" s="35"/>
      <c r="FXC313" s="15"/>
      <c r="FXE313" s="13"/>
      <c r="FXF313" s="35"/>
      <c r="FXG313" s="35"/>
      <c r="FXH313" s="15"/>
      <c r="FXJ313" s="13"/>
      <c r="FXK313" s="35"/>
      <c r="FXL313" s="35"/>
      <c r="FXM313" s="15"/>
      <c r="FXO313" s="13"/>
      <c r="FXP313" s="35"/>
      <c r="FXQ313" s="35"/>
      <c r="FXR313" s="15"/>
      <c r="FXT313" s="13"/>
      <c r="FXU313" s="35"/>
      <c r="FXV313" s="35"/>
      <c r="FXW313" s="15"/>
      <c r="FXY313" s="13"/>
      <c r="FXZ313" s="35"/>
      <c r="FYA313" s="35"/>
      <c r="FYB313" s="15"/>
      <c r="FYD313" s="13"/>
      <c r="FYE313" s="35"/>
      <c r="FYF313" s="35"/>
      <c r="FYG313" s="15"/>
      <c r="FYI313" s="13"/>
      <c r="FYJ313" s="35"/>
      <c r="FYK313" s="35"/>
      <c r="FYL313" s="15"/>
      <c r="FYN313" s="13"/>
      <c r="FYO313" s="35"/>
      <c r="FYP313" s="35"/>
      <c r="FYQ313" s="15"/>
      <c r="FYS313" s="13"/>
      <c r="FYT313" s="35"/>
      <c r="FYU313" s="35"/>
      <c r="FYV313" s="15"/>
      <c r="FYX313" s="13"/>
      <c r="FYY313" s="35"/>
      <c r="FYZ313" s="35"/>
      <c r="FZA313" s="15"/>
      <c r="FZC313" s="13"/>
      <c r="FZD313" s="35"/>
      <c r="FZE313" s="35"/>
      <c r="FZF313" s="15"/>
      <c r="FZH313" s="13"/>
      <c r="FZI313" s="35"/>
      <c r="FZJ313" s="35"/>
      <c r="FZK313" s="15"/>
      <c r="FZM313" s="13"/>
      <c r="FZN313" s="35"/>
      <c r="FZO313" s="35"/>
      <c r="FZP313" s="15"/>
      <c r="FZR313" s="13"/>
      <c r="FZS313" s="35"/>
      <c r="FZT313" s="35"/>
      <c r="FZU313" s="15"/>
      <c r="FZW313" s="13"/>
      <c r="FZX313" s="35"/>
      <c r="FZY313" s="35"/>
      <c r="FZZ313" s="15"/>
      <c r="GAB313" s="13"/>
      <c r="GAC313" s="35"/>
      <c r="GAD313" s="35"/>
      <c r="GAE313" s="15"/>
      <c r="GAG313" s="13"/>
      <c r="GAH313" s="35"/>
      <c r="GAI313" s="35"/>
      <c r="GAJ313" s="15"/>
      <c r="GAL313" s="13"/>
      <c r="GAM313" s="35"/>
      <c r="GAN313" s="35"/>
      <c r="GAO313" s="15"/>
      <c r="GAQ313" s="13"/>
      <c r="GAR313" s="35"/>
      <c r="GAS313" s="35"/>
      <c r="GAT313" s="15"/>
      <c r="GAV313" s="13"/>
      <c r="GAW313" s="35"/>
      <c r="GAX313" s="35"/>
      <c r="GAY313" s="15"/>
      <c r="GBA313" s="13"/>
      <c r="GBB313" s="35"/>
      <c r="GBC313" s="35"/>
      <c r="GBD313" s="15"/>
      <c r="GBF313" s="13"/>
      <c r="GBG313" s="35"/>
      <c r="GBH313" s="35"/>
      <c r="GBI313" s="15"/>
      <c r="GBK313" s="13"/>
      <c r="GBL313" s="35"/>
      <c r="GBM313" s="35"/>
      <c r="GBN313" s="15"/>
      <c r="GBP313" s="13"/>
      <c r="GBQ313" s="35"/>
      <c r="GBR313" s="35"/>
      <c r="GBS313" s="15"/>
      <c r="GBU313" s="13"/>
      <c r="GBV313" s="35"/>
      <c r="GBW313" s="35"/>
      <c r="GBX313" s="15"/>
      <c r="GBZ313" s="13"/>
      <c r="GCA313" s="35"/>
      <c r="GCB313" s="35"/>
      <c r="GCC313" s="15"/>
      <c r="GCE313" s="13"/>
      <c r="GCF313" s="35"/>
      <c r="GCG313" s="35"/>
      <c r="GCH313" s="15"/>
      <c r="GCJ313" s="13"/>
      <c r="GCK313" s="35"/>
      <c r="GCL313" s="35"/>
      <c r="GCM313" s="15"/>
      <c r="GCO313" s="13"/>
      <c r="GCP313" s="35"/>
      <c r="GCQ313" s="35"/>
      <c r="GCR313" s="15"/>
      <c r="GCT313" s="13"/>
      <c r="GCU313" s="35"/>
      <c r="GCV313" s="35"/>
      <c r="GCW313" s="15"/>
      <c r="GCY313" s="13"/>
      <c r="GCZ313" s="35"/>
      <c r="GDA313" s="35"/>
      <c r="GDB313" s="15"/>
      <c r="GDD313" s="13"/>
      <c r="GDE313" s="35"/>
      <c r="GDF313" s="35"/>
      <c r="GDG313" s="15"/>
      <c r="GDI313" s="13"/>
      <c r="GDJ313" s="35"/>
      <c r="GDK313" s="35"/>
      <c r="GDL313" s="15"/>
      <c r="GDN313" s="13"/>
      <c r="GDO313" s="35"/>
      <c r="GDP313" s="35"/>
      <c r="GDQ313" s="15"/>
      <c r="GDS313" s="13"/>
      <c r="GDT313" s="35"/>
      <c r="GDU313" s="35"/>
      <c r="GDV313" s="15"/>
      <c r="GDX313" s="13"/>
      <c r="GDY313" s="35"/>
      <c r="GDZ313" s="35"/>
      <c r="GEA313" s="15"/>
      <c r="GEC313" s="13"/>
      <c r="GED313" s="35"/>
      <c r="GEE313" s="35"/>
      <c r="GEF313" s="15"/>
      <c r="GEH313" s="13"/>
      <c r="GEI313" s="35"/>
      <c r="GEJ313" s="35"/>
      <c r="GEK313" s="15"/>
      <c r="GEM313" s="13"/>
      <c r="GEN313" s="35"/>
      <c r="GEO313" s="35"/>
      <c r="GEP313" s="15"/>
      <c r="GER313" s="13"/>
      <c r="GES313" s="35"/>
      <c r="GET313" s="35"/>
      <c r="GEU313" s="15"/>
      <c r="GEW313" s="13"/>
      <c r="GEX313" s="35"/>
      <c r="GEY313" s="35"/>
      <c r="GEZ313" s="15"/>
      <c r="GFB313" s="13"/>
      <c r="GFC313" s="35"/>
      <c r="GFD313" s="35"/>
      <c r="GFE313" s="15"/>
      <c r="GFG313" s="13"/>
      <c r="GFH313" s="35"/>
      <c r="GFI313" s="35"/>
      <c r="GFJ313" s="15"/>
      <c r="GFL313" s="13"/>
      <c r="GFM313" s="35"/>
      <c r="GFN313" s="35"/>
      <c r="GFO313" s="15"/>
      <c r="GFQ313" s="13"/>
      <c r="GFR313" s="35"/>
      <c r="GFS313" s="35"/>
      <c r="GFT313" s="15"/>
      <c r="GFV313" s="13"/>
      <c r="GFW313" s="35"/>
      <c r="GFX313" s="35"/>
      <c r="GFY313" s="15"/>
      <c r="GGA313" s="13"/>
      <c r="GGB313" s="35"/>
      <c r="GGC313" s="35"/>
      <c r="GGD313" s="15"/>
      <c r="GGF313" s="13"/>
      <c r="GGG313" s="35"/>
      <c r="GGH313" s="35"/>
      <c r="GGI313" s="15"/>
      <c r="GGK313" s="13"/>
      <c r="GGL313" s="35"/>
      <c r="GGM313" s="35"/>
      <c r="GGN313" s="15"/>
      <c r="GGP313" s="13"/>
      <c r="GGQ313" s="35"/>
      <c r="GGR313" s="35"/>
      <c r="GGS313" s="15"/>
      <c r="GGU313" s="13"/>
      <c r="GGV313" s="35"/>
      <c r="GGW313" s="35"/>
      <c r="GGX313" s="15"/>
      <c r="GGZ313" s="13"/>
      <c r="GHA313" s="35"/>
      <c r="GHB313" s="35"/>
      <c r="GHC313" s="15"/>
      <c r="GHE313" s="13"/>
      <c r="GHF313" s="35"/>
      <c r="GHG313" s="35"/>
      <c r="GHH313" s="15"/>
      <c r="GHJ313" s="13"/>
      <c r="GHK313" s="35"/>
      <c r="GHL313" s="35"/>
      <c r="GHM313" s="15"/>
      <c r="GHO313" s="13"/>
      <c r="GHP313" s="35"/>
      <c r="GHQ313" s="35"/>
      <c r="GHR313" s="15"/>
      <c r="GHT313" s="13"/>
      <c r="GHU313" s="35"/>
      <c r="GHV313" s="35"/>
      <c r="GHW313" s="15"/>
      <c r="GHY313" s="13"/>
      <c r="GHZ313" s="35"/>
      <c r="GIA313" s="35"/>
      <c r="GIB313" s="15"/>
      <c r="GID313" s="13"/>
      <c r="GIE313" s="35"/>
      <c r="GIF313" s="35"/>
      <c r="GIG313" s="15"/>
      <c r="GII313" s="13"/>
      <c r="GIJ313" s="35"/>
      <c r="GIK313" s="35"/>
      <c r="GIL313" s="15"/>
      <c r="GIN313" s="13"/>
      <c r="GIO313" s="35"/>
      <c r="GIP313" s="35"/>
      <c r="GIQ313" s="15"/>
      <c r="GIS313" s="13"/>
      <c r="GIT313" s="35"/>
      <c r="GIU313" s="35"/>
      <c r="GIV313" s="15"/>
      <c r="GIX313" s="13"/>
      <c r="GIY313" s="35"/>
      <c r="GIZ313" s="35"/>
      <c r="GJA313" s="15"/>
      <c r="GJC313" s="13"/>
      <c r="GJD313" s="35"/>
      <c r="GJE313" s="35"/>
      <c r="GJF313" s="15"/>
      <c r="GJH313" s="13"/>
      <c r="GJI313" s="35"/>
      <c r="GJJ313" s="35"/>
      <c r="GJK313" s="15"/>
      <c r="GJM313" s="13"/>
      <c r="GJN313" s="35"/>
      <c r="GJO313" s="35"/>
      <c r="GJP313" s="15"/>
      <c r="GJR313" s="13"/>
      <c r="GJS313" s="35"/>
      <c r="GJT313" s="35"/>
      <c r="GJU313" s="15"/>
      <c r="GJW313" s="13"/>
      <c r="GJX313" s="35"/>
      <c r="GJY313" s="35"/>
      <c r="GJZ313" s="15"/>
      <c r="GKB313" s="13"/>
      <c r="GKC313" s="35"/>
      <c r="GKD313" s="35"/>
      <c r="GKE313" s="15"/>
      <c r="GKG313" s="13"/>
      <c r="GKH313" s="35"/>
      <c r="GKI313" s="35"/>
      <c r="GKJ313" s="15"/>
      <c r="GKL313" s="13"/>
      <c r="GKM313" s="35"/>
      <c r="GKN313" s="35"/>
      <c r="GKO313" s="15"/>
      <c r="GKQ313" s="13"/>
      <c r="GKR313" s="35"/>
      <c r="GKS313" s="35"/>
      <c r="GKT313" s="15"/>
      <c r="GKV313" s="13"/>
      <c r="GKW313" s="35"/>
      <c r="GKX313" s="35"/>
      <c r="GKY313" s="15"/>
      <c r="GLA313" s="13"/>
      <c r="GLB313" s="35"/>
      <c r="GLC313" s="35"/>
      <c r="GLD313" s="15"/>
      <c r="GLF313" s="13"/>
      <c r="GLG313" s="35"/>
      <c r="GLH313" s="35"/>
      <c r="GLI313" s="15"/>
      <c r="GLK313" s="13"/>
      <c r="GLL313" s="35"/>
      <c r="GLM313" s="35"/>
      <c r="GLN313" s="15"/>
      <c r="GLP313" s="13"/>
      <c r="GLQ313" s="35"/>
      <c r="GLR313" s="35"/>
      <c r="GLS313" s="15"/>
      <c r="GLU313" s="13"/>
      <c r="GLV313" s="35"/>
      <c r="GLW313" s="35"/>
      <c r="GLX313" s="15"/>
      <c r="GLZ313" s="13"/>
      <c r="GMA313" s="35"/>
      <c r="GMB313" s="35"/>
      <c r="GMC313" s="15"/>
      <c r="GME313" s="13"/>
      <c r="GMF313" s="35"/>
      <c r="GMG313" s="35"/>
      <c r="GMH313" s="15"/>
      <c r="GMJ313" s="13"/>
      <c r="GMK313" s="35"/>
      <c r="GML313" s="35"/>
      <c r="GMM313" s="15"/>
      <c r="GMO313" s="13"/>
      <c r="GMP313" s="35"/>
      <c r="GMQ313" s="35"/>
      <c r="GMR313" s="15"/>
      <c r="GMT313" s="13"/>
      <c r="GMU313" s="35"/>
      <c r="GMV313" s="35"/>
      <c r="GMW313" s="15"/>
      <c r="GMY313" s="13"/>
      <c r="GMZ313" s="35"/>
      <c r="GNA313" s="35"/>
      <c r="GNB313" s="15"/>
      <c r="GND313" s="13"/>
      <c r="GNE313" s="35"/>
      <c r="GNF313" s="35"/>
      <c r="GNG313" s="15"/>
      <c r="GNI313" s="13"/>
      <c r="GNJ313" s="35"/>
      <c r="GNK313" s="35"/>
      <c r="GNL313" s="15"/>
      <c r="GNN313" s="13"/>
      <c r="GNO313" s="35"/>
      <c r="GNP313" s="35"/>
      <c r="GNQ313" s="15"/>
      <c r="GNS313" s="13"/>
      <c r="GNT313" s="35"/>
      <c r="GNU313" s="35"/>
      <c r="GNV313" s="15"/>
      <c r="GNX313" s="13"/>
      <c r="GNY313" s="35"/>
      <c r="GNZ313" s="35"/>
      <c r="GOA313" s="15"/>
      <c r="GOC313" s="13"/>
      <c r="GOD313" s="35"/>
      <c r="GOE313" s="35"/>
      <c r="GOF313" s="15"/>
      <c r="GOH313" s="13"/>
      <c r="GOI313" s="35"/>
      <c r="GOJ313" s="35"/>
      <c r="GOK313" s="15"/>
      <c r="GOM313" s="13"/>
      <c r="GON313" s="35"/>
      <c r="GOO313" s="35"/>
      <c r="GOP313" s="15"/>
      <c r="GOR313" s="13"/>
      <c r="GOS313" s="35"/>
      <c r="GOT313" s="35"/>
      <c r="GOU313" s="15"/>
      <c r="GOW313" s="13"/>
      <c r="GOX313" s="35"/>
      <c r="GOY313" s="35"/>
      <c r="GOZ313" s="15"/>
      <c r="GPB313" s="13"/>
      <c r="GPC313" s="35"/>
      <c r="GPD313" s="35"/>
      <c r="GPE313" s="15"/>
      <c r="GPG313" s="13"/>
      <c r="GPH313" s="35"/>
      <c r="GPI313" s="35"/>
      <c r="GPJ313" s="15"/>
      <c r="GPL313" s="13"/>
      <c r="GPM313" s="35"/>
      <c r="GPN313" s="35"/>
      <c r="GPO313" s="15"/>
      <c r="GPQ313" s="13"/>
      <c r="GPR313" s="35"/>
      <c r="GPS313" s="35"/>
      <c r="GPT313" s="15"/>
      <c r="GPV313" s="13"/>
      <c r="GPW313" s="35"/>
      <c r="GPX313" s="35"/>
      <c r="GPY313" s="15"/>
      <c r="GQA313" s="13"/>
      <c r="GQB313" s="35"/>
      <c r="GQC313" s="35"/>
      <c r="GQD313" s="15"/>
      <c r="GQF313" s="13"/>
      <c r="GQG313" s="35"/>
      <c r="GQH313" s="35"/>
      <c r="GQI313" s="15"/>
      <c r="GQK313" s="13"/>
      <c r="GQL313" s="35"/>
      <c r="GQM313" s="35"/>
      <c r="GQN313" s="15"/>
      <c r="GQP313" s="13"/>
      <c r="GQQ313" s="35"/>
      <c r="GQR313" s="35"/>
      <c r="GQS313" s="15"/>
      <c r="GQU313" s="13"/>
      <c r="GQV313" s="35"/>
      <c r="GQW313" s="35"/>
      <c r="GQX313" s="15"/>
      <c r="GQZ313" s="13"/>
      <c r="GRA313" s="35"/>
      <c r="GRB313" s="35"/>
      <c r="GRC313" s="15"/>
      <c r="GRE313" s="13"/>
      <c r="GRF313" s="35"/>
      <c r="GRG313" s="35"/>
      <c r="GRH313" s="15"/>
      <c r="GRJ313" s="13"/>
      <c r="GRK313" s="35"/>
      <c r="GRL313" s="35"/>
      <c r="GRM313" s="15"/>
      <c r="GRO313" s="13"/>
      <c r="GRP313" s="35"/>
      <c r="GRQ313" s="35"/>
      <c r="GRR313" s="15"/>
      <c r="GRT313" s="13"/>
      <c r="GRU313" s="35"/>
      <c r="GRV313" s="35"/>
      <c r="GRW313" s="15"/>
      <c r="GRY313" s="13"/>
      <c r="GRZ313" s="35"/>
      <c r="GSA313" s="35"/>
      <c r="GSB313" s="15"/>
      <c r="GSD313" s="13"/>
      <c r="GSE313" s="35"/>
      <c r="GSF313" s="35"/>
      <c r="GSG313" s="15"/>
      <c r="GSI313" s="13"/>
      <c r="GSJ313" s="35"/>
      <c r="GSK313" s="35"/>
      <c r="GSL313" s="15"/>
      <c r="GSN313" s="13"/>
      <c r="GSO313" s="35"/>
      <c r="GSP313" s="35"/>
      <c r="GSQ313" s="15"/>
      <c r="GSS313" s="13"/>
      <c r="GST313" s="35"/>
      <c r="GSU313" s="35"/>
      <c r="GSV313" s="15"/>
      <c r="GSX313" s="13"/>
      <c r="GSY313" s="35"/>
      <c r="GSZ313" s="35"/>
      <c r="GTA313" s="15"/>
      <c r="GTC313" s="13"/>
      <c r="GTD313" s="35"/>
      <c r="GTE313" s="35"/>
      <c r="GTF313" s="15"/>
      <c r="GTH313" s="13"/>
      <c r="GTI313" s="35"/>
      <c r="GTJ313" s="35"/>
      <c r="GTK313" s="15"/>
      <c r="GTM313" s="13"/>
      <c r="GTN313" s="35"/>
      <c r="GTO313" s="35"/>
      <c r="GTP313" s="15"/>
      <c r="GTR313" s="13"/>
      <c r="GTS313" s="35"/>
      <c r="GTT313" s="35"/>
      <c r="GTU313" s="15"/>
      <c r="GTW313" s="13"/>
      <c r="GTX313" s="35"/>
      <c r="GTY313" s="35"/>
      <c r="GTZ313" s="15"/>
      <c r="GUB313" s="13"/>
      <c r="GUC313" s="35"/>
      <c r="GUD313" s="35"/>
      <c r="GUE313" s="15"/>
      <c r="GUG313" s="13"/>
      <c r="GUH313" s="35"/>
      <c r="GUI313" s="35"/>
      <c r="GUJ313" s="15"/>
      <c r="GUL313" s="13"/>
      <c r="GUM313" s="35"/>
      <c r="GUN313" s="35"/>
      <c r="GUO313" s="15"/>
      <c r="GUQ313" s="13"/>
      <c r="GUR313" s="35"/>
      <c r="GUS313" s="35"/>
      <c r="GUT313" s="15"/>
      <c r="GUV313" s="13"/>
      <c r="GUW313" s="35"/>
      <c r="GUX313" s="35"/>
      <c r="GUY313" s="15"/>
      <c r="GVA313" s="13"/>
      <c r="GVB313" s="35"/>
      <c r="GVC313" s="35"/>
      <c r="GVD313" s="15"/>
      <c r="GVF313" s="13"/>
      <c r="GVG313" s="35"/>
      <c r="GVH313" s="35"/>
      <c r="GVI313" s="15"/>
      <c r="GVK313" s="13"/>
      <c r="GVL313" s="35"/>
      <c r="GVM313" s="35"/>
      <c r="GVN313" s="15"/>
      <c r="GVP313" s="13"/>
      <c r="GVQ313" s="35"/>
      <c r="GVR313" s="35"/>
      <c r="GVS313" s="15"/>
      <c r="GVU313" s="13"/>
      <c r="GVV313" s="35"/>
      <c r="GVW313" s="35"/>
      <c r="GVX313" s="15"/>
      <c r="GVZ313" s="13"/>
      <c r="GWA313" s="35"/>
      <c r="GWB313" s="35"/>
      <c r="GWC313" s="15"/>
      <c r="GWE313" s="13"/>
      <c r="GWF313" s="35"/>
      <c r="GWG313" s="35"/>
      <c r="GWH313" s="15"/>
      <c r="GWJ313" s="13"/>
      <c r="GWK313" s="35"/>
      <c r="GWL313" s="35"/>
      <c r="GWM313" s="15"/>
      <c r="GWO313" s="13"/>
      <c r="GWP313" s="35"/>
      <c r="GWQ313" s="35"/>
      <c r="GWR313" s="15"/>
      <c r="GWT313" s="13"/>
      <c r="GWU313" s="35"/>
      <c r="GWV313" s="35"/>
      <c r="GWW313" s="15"/>
      <c r="GWY313" s="13"/>
      <c r="GWZ313" s="35"/>
      <c r="GXA313" s="35"/>
      <c r="GXB313" s="15"/>
      <c r="GXD313" s="13"/>
      <c r="GXE313" s="35"/>
      <c r="GXF313" s="35"/>
      <c r="GXG313" s="15"/>
      <c r="GXI313" s="13"/>
      <c r="GXJ313" s="35"/>
      <c r="GXK313" s="35"/>
      <c r="GXL313" s="15"/>
      <c r="GXN313" s="13"/>
      <c r="GXO313" s="35"/>
      <c r="GXP313" s="35"/>
      <c r="GXQ313" s="15"/>
      <c r="GXS313" s="13"/>
      <c r="GXT313" s="35"/>
      <c r="GXU313" s="35"/>
      <c r="GXV313" s="15"/>
      <c r="GXX313" s="13"/>
      <c r="GXY313" s="35"/>
      <c r="GXZ313" s="35"/>
      <c r="GYA313" s="15"/>
      <c r="GYC313" s="13"/>
      <c r="GYD313" s="35"/>
      <c r="GYE313" s="35"/>
      <c r="GYF313" s="15"/>
      <c r="GYH313" s="13"/>
      <c r="GYI313" s="35"/>
      <c r="GYJ313" s="35"/>
      <c r="GYK313" s="15"/>
      <c r="GYM313" s="13"/>
      <c r="GYN313" s="35"/>
      <c r="GYO313" s="35"/>
      <c r="GYP313" s="15"/>
      <c r="GYR313" s="13"/>
      <c r="GYS313" s="35"/>
      <c r="GYT313" s="35"/>
      <c r="GYU313" s="15"/>
      <c r="GYW313" s="13"/>
      <c r="GYX313" s="35"/>
      <c r="GYY313" s="35"/>
      <c r="GYZ313" s="15"/>
      <c r="GZB313" s="13"/>
      <c r="GZC313" s="35"/>
      <c r="GZD313" s="35"/>
      <c r="GZE313" s="15"/>
      <c r="GZG313" s="13"/>
      <c r="GZH313" s="35"/>
      <c r="GZI313" s="35"/>
      <c r="GZJ313" s="15"/>
      <c r="GZL313" s="13"/>
      <c r="GZM313" s="35"/>
      <c r="GZN313" s="35"/>
      <c r="GZO313" s="15"/>
      <c r="GZQ313" s="13"/>
      <c r="GZR313" s="35"/>
      <c r="GZS313" s="35"/>
      <c r="GZT313" s="15"/>
      <c r="GZV313" s="13"/>
      <c r="GZW313" s="35"/>
      <c r="GZX313" s="35"/>
      <c r="GZY313" s="15"/>
      <c r="HAA313" s="13"/>
      <c r="HAB313" s="35"/>
      <c r="HAC313" s="35"/>
      <c r="HAD313" s="15"/>
      <c r="HAF313" s="13"/>
      <c r="HAG313" s="35"/>
      <c r="HAH313" s="35"/>
      <c r="HAI313" s="15"/>
      <c r="HAK313" s="13"/>
      <c r="HAL313" s="35"/>
      <c r="HAM313" s="35"/>
      <c r="HAN313" s="15"/>
      <c r="HAP313" s="13"/>
      <c r="HAQ313" s="35"/>
      <c r="HAR313" s="35"/>
      <c r="HAS313" s="15"/>
      <c r="HAU313" s="13"/>
      <c r="HAV313" s="35"/>
      <c r="HAW313" s="35"/>
      <c r="HAX313" s="15"/>
      <c r="HAZ313" s="13"/>
      <c r="HBA313" s="35"/>
      <c r="HBB313" s="35"/>
      <c r="HBC313" s="15"/>
      <c r="HBE313" s="13"/>
      <c r="HBF313" s="35"/>
      <c r="HBG313" s="35"/>
      <c r="HBH313" s="15"/>
      <c r="HBJ313" s="13"/>
      <c r="HBK313" s="35"/>
      <c r="HBL313" s="35"/>
      <c r="HBM313" s="15"/>
      <c r="HBO313" s="13"/>
      <c r="HBP313" s="35"/>
      <c r="HBQ313" s="35"/>
      <c r="HBR313" s="15"/>
      <c r="HBT313" s="13"/>
      <c r="HBU313" s="35"/>
      <c r="HBV313" s="35"/>
      <c r="HBW313" s="15"/>
      <c r="HBY313" s="13"/>
      <c r="HBZ313" s="35"/>
      <c r="HCA313" s="35"/>
      <c r="HCB313" s="15"/>
      <c r="HCD313" s="13"/>
      <c r="HCE313" s="35"/>
      <c r="HCF313" s="35"/>
      <c r="HCG313" s="15"/>
      <c r="HCI313" s="13"/>
      <c r="HCJ313" s="35"/>
      <c r="HCK313" s="35"/>
      <c r="HCL313" s="15"/>
      <c r="HCN313" s="13"/>
      <c r="HCO313" s="35"/>
      <c r="HCP313" s="35"/>
      <c r="HCQ313" s="15"/>
      <c r="HCS313" s="13"/>
      <c r="HCT313" s="35"/>
      <c r="HCU313" s="35"/>
      <c r="HCV313" s="15"/>
      <c r="HCX313" s="13"/>
      <c r="HCY313" s="35"/>
      <c r="HCZ313" s="35"/>
      <c r="HDA313" s="15"/>
      <c r="HDC313" s="13"/>
      <c r="HDD313" s="35"/>
      <c r="HDE313" s="35"/>
      <c r="HDF313" s="15"/>
      <c r="HDH313" s="13"/>
      <c r="HDI313" s="35"/>
      <c r="HDJ313" s="35"/>
      <c r="HDK313" s="15"/>
      <c r="HDM313" s="13"/>
      <c r="HDN313" s="35"/>
      <c r="HDO313" s="35"/>
      <c r="HDP313" s="15"/>
      <c r="HDR313" s="13"/>
      <c r="HDS313" s="35"/>
      <c r="HDT313" s="35"/>
      <c r="HDU313" s="15"/>
      <c r="HDW313" s="13"/>
      <c r="HDX313" s="35"/>
      <c r="HDY313" s="35"/>
      <c r="HDZ313" s="15"/>
      <c r="HEB313" s="13"/>
      <c r="HEC313" s="35"/>
      <c r="HED313" s="35"/>
      <c r="HEE313" s="15"/>
      <c r="HEG313" s="13"/>
      <c r="HEH313" s="35"/>
      <c r="HEI313" s="35"/>
      <c r="HEJ313" s="15"/>
      <c r="HEL313" s="13"/>
      <c r="HEM313" s="35"/>
      <c r="HEN313" s="35"/>
      <c r="HEO313" s="15"/>
      <c r="HEQ313" s="13"/>
      <c r="HER313" s="35"/>
      <c r="HES313" s="35"/>
      <c r="HET313" s="15"/>
      <c r="HEV313" s="13"/>
      <c r="HEW313" s="35"/>
      <c r="HEX313" s="35"/>
      <c r="HEY313" s="15"/>
      <c r="HFA313" s="13"/>
      <c r="HFB313" s="35"/>
      <c r="HFC313" s="35"/>
      <c r="HFD313" s="15"/>
      <c r="HFF313" s="13"/>
      <c r="HFG313" s="35"/>
      <c r="HFH313" s="35"/>
      <c r="HFI313" s="15"/>
      <c r="HFK313" s="13"/>
      <c r="HFL313" s="35"/>
      <c r="HFM313" s="35"/>
      <c r="HFN313" s="15"/>
      <c r="HFP313" s="13"/>
      <c r="HFQ313" s="35"/>
      <c r="HFR313" s="35"/>
      <c r="HFS313" s="15"/>
      <c r="HFU313" s="13"/>
      <c r="HFV313" s="35"/>
      <c r="HFW313" s="35"/>
      <c r="HFX313" s="15"/>
      <c r="HFZ313" s="13"/>
      <c r="HGA313" s="35"/>
      <c r="HGB313" s="35"/>
      <c r="HGC313" s="15"/>
      <c r="HGE313" s="13"/>
      <c r="HGF313" s="35"/>
      <c r="HGG313" s="35"/>
      <c r="HGH313" s="15"/>
      <c r="HGJ313" s="13"/>
      <c r="HGK313" s="35"/>
      <c r="HGL313" s="35"/>
      <c r="HGM313" s="15"/>
      <c r="HGO313" s="13"/>
      <c r="HGP313" s="35"/>
      <c r="HGQ313" s="35"/>
      <c r="HGR313" s="15"/>
      <c r="HGT313" s="13"/>
      <c r="HGU313" s="35"/>
      <c r="HGV313" s="35"/>
      <c r="HGW313" s="15"/>
      <c r="HGY313" s="13"/>
      <c r="HGZ313" s="35"/>
      <c r="HHA313" s="35"/>
      <c r="HHB313" s="15"/>
      <c r="HHD313" s="13"/>
      <c r="HHE313" s="35"/>
      <c r="HHF313" s="35"/>
      <c r="HHG313" s="15"/>
      <c r="HHI313" s="13"/>
      <c r="HHJ313" s="35"/>
      <c r="HHK313" s="35"/>
      <c r="HHL313" s="15"/>
      <c r="HHN313" s="13"/>
      <c r="HHO313" s="35"/>
      <c r="HHP313" s="35"/>
      <c r="HHQ313" s="15"/>
      <c r="HHS313" s="13"/>
      <c r="HHT313" s="35"/>
      <c r="HHU313" s="35"/>
      <c r="HHV313" s="15"/>
      <c r="HHX313" s="13"/>
      <c r="HHY313" s="35"/>
      <c r="HHZ313" s="35"/>
      <c r="HIA313" s="15"/>
      <c r="HIC313" s="13"/>
      <c r="HID313" s="35"/>
      <c r="HIE313" s="35"/>
      <c r="HIF313" s="15"/>
      <c r="HIH313" s="13"/>
      <c r="HII313" s="35"/>
      <c r="HIJ313" s="35"/>
      <c r="HIK313" s="15"/>
      <c r="HIM313" s="13"/>
      <c r="HIN313" s="35"/>
      <c r="HIO313" s="35"/>
      <c r="HIP313" s="15"/>
      <c r="HIR313" s="13"/>
      <c r="HIS313" s="35"/>
      <c r="HIT313" s="35"/>
      <c r="HIU313" s="15"/>
      <c r="HIW313" s="13"/>
      <c r="HIX313" s="35"/>
      <c r="HIY313" s="35"/>
      <c r="HIZ313" s="15"/>
      <c r="HJB313" s="13"/>
      <c r="HJC313" s="35"/>
      <c r="HJD313" s="35"/>
      <c r="HJE313" s="15"/>
      <c r="HJG313" s="13"/>
      <c r="HJH313" s="35"/>
      <c r="HJI313" s="35"/>
      <c r="HJJ313" s="15"/>
      <c r="HJL313" s="13"/>
      <c r="HJM313" s="35"/>
      <c r="HJN313" s="35"/>
      <c r="HJO313" s="15"/>
      <c r="HJQ313" s="13"/>
      <c r="HJR313" s="35"/>
      <c r="HJS313" s="35"/>
      <c r="HJT313" s="15"/>
      <c r="HJV313" s="13"/>
      <c r="HJW313" s="35"/>
      <c r="HJX313" s="35"/>
      <c r="HJY313" s="15"/>
      <c r="HKA313" s="13"/>
      <c r="HKB313" s="35"/>
      <c r="HKC313" s="35"/>
      <c r="HKD313" s="15"/>
      <c r="HKF313" s="13"/>
      <c r="HKG313" s="35"/>
      <c r="HKH313" s="35"/>
      <c r="HKI313" s="15"/>
      <c r="HKK313" s="13"/>
      <c r="HKL313" s="35"/>
      <c r="HKM313" s="35"/>
      <c r="HKN313" s="15"/>
      <c r="HKP313" s="13"/>
      <c r="HKQ313" s="35"/>
      <c r="HKR313" s="35"/>
      <c r="HKS313" s="15"/>
      <c r="HKU313" s="13"/>
      <c r="HKV313" s="35"/>
      <c r="HKW313" s="35"/>
      <c r="HKX313" s="15"/>
      <c r="HKZ313" s="13"/>
      <c r="HLA313" s="35"/>
      <c r="HLB313" s="35"/>
      <c r="HLC313" s="15"/>
      <c r="HLE313" s="13"/>
      <c r="HLF313" s="35"/>
      <c r="HLG313" s="35"/>
      <c r="HLH313" s="15"/>
      <c r="HLJ313" s="13"/>
      <c r="HLK313" s="35"/>
      <c r="HLL313" s="35"/>
      <c r="HLM313" s="15"/>
      <c r="HLO313" s="13"/>
      <c r="HLP313" s="35"/>
      <c r="HLQ313" s="35"/>
      <c r="HLR313" s="15"/>
      <c r="HLT313" s="13"/>
      <c r="HLU313" s="35"/>
      <c r="HLV313" s="35"/>
      <c r="HLW313" s="15"/>
      <c r="HLY313" s="13"/>
      <c r="HLZ313" s="35"/>
      <c r="HMA313" s="35"/>
      <c r="HMB313" s="15"/>
      <c r="HMD313" s="13"/>
      <c r="HME313" s="35"/>
      <c r="HMF313" s="35"/>
      <c r="HMG313" s="15"/>
      <c r="HMI313" s="13"/>
      <c r="HMJ313" s="35"/>
      <c r="HMK313" s="35"/>
      <c r="HML313" s="15"/>
      <c r="HMN313" s="13"/>
      <c r="HMO313" s="35"/>
      <c r="HMP313" s="35"/>
      <c r="HMQ313" s="15"/>
      <c r="HMS313" s="13"/>
      <c r="HMT313" s="35"/>
      <c r="HMU313" s="35"/>
      <c r="HMV313" s="15"/>
      <c r="HMX313" s="13"/>
      <c r="HMY313" s="35"/>
      <c r="HMZ313" s="35"/>
      <c r="HNA313" s="15"/>
      <c r="HNC313" s="13"/>
      <c r="HND313" s="35"/>
      <c r="HNE313" s="35"/>
      <c r="HNF313" s="15"/>
      <c r="HNH313" s="13"/>
      <c r="HNI313" s="35"/>
      <c r="HNJ313" s="35"/>
      <c r="HNK313" s="15"/>
      <c r="HNM313" s="13"/>
      <c r="HNN313" s="35"/>
      <c r="HNO313" s="35"/>
      <c r="HNP313" s="15"/>
      <c r="HNR313" s="13"/>
      <c r="HNS313" s="35"/>
      <c r="HNT313" s="35"/>
      <c r="HNU313" s="15"/>
      <c r="HNW313" s="13"/>
      <c r="HNX313" s="35"/>
      <c r="HNY313" s="35"/>
      <c r="HNZ313" s="15"/>
      <c r="HOB313" s="13"/>
      <c r="HOC313" s="35"/>
      <c r="HOD313" s="35"/>
      <c r="HOE313" s="15"/>
      <c r="HOG313" s="13"/>
      <c r="HOH313" s="35"/>
      <c r="HOI313" s="35"/>
      <c r="HOJ313" s="15"/>
      <c r="HOL313" s="13"/>
      <c r="HOM313" s="35"/>
      <c r="HON313" s="35"/>
      <c r="HOO313" s="15"/>
      <c r="HOQ313" s="13"/>
      <c r="HOR313" s="35"/>
      <c r="HOS313" s="35"/>
      <c r="HOT313" s="15"/>
      <c r="HOV313" s="13"/>
      <c r="HOW313" s="35"/>
      <c r="HOX313" s="35"/>
      <c r="HOY313" s="15"/>
      <c r="HPA313" s="13"/>
      <c r="HPB313" s="35"/>
      <c r="HPC313" s="35"/>
      <c r="HPD313" s="15"/>
      <c r="HPF313" s="13"/>
      <c r="HPG313" s="35"/>
      <c r="HPH313" s="35"/>
      <c r="HPI313" s="15"/>
      <c r="HPK313" s="13"/>
      <c r="HPL313" s="35"/>
      <c r="HPM313" s="35"/>
      <c r="HPN313" s="15"/>
      <c r="HPP313" s="13"/>
      <c r="HPQ313" s="35"/>
      <c r="HPR313" s="35"/>
      <c r="HPS313" s="15"/>
      <c r="HPU313" s="13"/>
      <c r="HPV313" s="35"/>
      <c r="HPW313" s="35"/>
      <c r="HPX313" s="15"/>
      <c r="HPZ313" s="13"/>
      <c r="HQA313" s="35"/>
      <c r="HQB313" s="35"/>
      <c r="HQC313" s="15"/>
      <c r="HQE313" s="13"/>
      <c r="HQF313" s="35"/>
      <c r="HQG313" s="35"/>
      <c r="HQH313" s="15"/>
      <c r="HQJ313" s="13"/>
      <c r="HQK313" s="35"/>
      <c r="HQL313" s="35"/>
      <c r="HQM313" s="15"/>
      <c r="HQO313" s="13"/>
      <c r="HQP313" s="35"/>
      <c r="HQQ313" s="35"/>
      <c r="HQR313" s="15"/>
      <c r="HQT313" s="13"/>
      <c r="HQU313" s="35"/>
      <c r="HQV313" s="35"/>
      <c r="HQW313" s="15"/>
      <c r="HQY313" s="13"/>
      <c r="HQZ313" s="35"/>
      <c r="HRA313" s="35"/>
      <c r="HRB313" s="15"/>
      <c r="HRD313" s="13"/>
      <c r="HRE313" s="35"/>
      <c r="HRF313" s="35"/>
      <c r="HRG313" s="15"/>
      <c r="HRI313" s="13"/>
      <c r="HRJ313" s="35"/>
      <c r="HRK313" s="35"/>
      <c r="HRL313" s="15"/>
      <c r="HRN313" s="13"/>
      <c r="HRO313" s="35"/>
      <c r="HRP313" s="35"/>
      <c r="HRQ313" s="15"/>
      <c r="HRS313" s="13"/>
      <c r="HRT313" s="35"/>
      <c r="HRU313" s="35"/>
      <c r="HRV313" s="15"/>
      <c r="HRX313" s="13"/>
      <c r="HRY313" s="35"/>
      <c r="HRZ313" s="35"/>
      <c r="HSA313" s="15"/>
      <c r="HSC313" s="13"/>
      <c r="HSD313" s="35"/>
      <c r="HSE313" s="35"/>
      <c r="HSF313" s="15"/>
      <c r="HSH313" s="13"/>
      <c r="HSI313" s="35"/>
      <c r="HSJ313" s="35"/>
      <c r="HSK313" s="15"/>
      <c r="HSM313" s="13"/>
      <c r="HSN313" s="35"/>
      <c r="HSO313" s="35"/>
      <c r="HSP313" s="15"/>
      <c r="HSR313" s="13"/>
      <c r="HSS313" s="35"/>
      <c r="HST313" s="35"/>
      <c r="HSU313" s="15"/>
      <c r="HSW313" s="13"/>
      <c r="HSX313" s="35"/>
      <c r="HSY313" s="35"/>
      <c r="HSZ313" s="15"/>
      <c r="HTB313" s="13"/>
      <c r="HTC313" s="35"/>
      <c r="HTD313" s="35"/>
      <c r="HTE313" s="15"/>
      <c r="HTG313" s="13"/>
      <c r="HTH313" s="35"/>
      <c r="HTI313" s="35"/>
      <c r="HTJ313" s="15"/>
      <c r="HTL313" s="13"/>
      <c r="HTM313" s="35"/>
      <c r="HTN313" s="35"/>
      <c r="HTO313" s="15"/>
      <c r="HTQ313" s="13"/>
      <c r="HTR313" s="35"/>
      <c r="HTS313" s="35"/>
      <c r="HTT313" s="15"/>
      <c r="HTV313" s="13"/>
      <c r="HTW313" s="35"/>
      <c r="HTX313" s="35"/>
      <c r="HTY313" s="15"/>
      <c r="HUA313" s="13"/>
      <c r="HUB313" s="35"/>
      <c r="HUC313" s="35"/>
      <c r="HUD313" s="15"/>
      <c r="HUF313" s="13"/>
      <c r="HUG313" s="35"/>
      <c r="HUH313" s="35"/>
      <c r="HUI313" s="15"/>
      <c r="HUK313" s="13"/>
      <c r="HUL313" s="35"/>
      <c r="HUM313" s="35"/>
      <c r="HUN313" s="15"/>
      <c r="HUP313" s="13"/>
      <c r="HUQ313" s="35"/>
      <c r="HUR313" s="35"/>
      <c r="HUS313" s="15"/>
      <c r="HUU313" s="13"/>
      <c r="HUV313" s="35"/>
      <c r="HUW313" s="35"/>
      <c r="HUX313" s="15"/>
      <c r="HUZ313" s="13"/>
      <c r="HVA313" s="35"/>
      <c r="HVB313" s="35"/>
      <c r="HVC313" s="15"/>
      <c r="HVE313" s="13"/>
      <c r="HVF313" s="35"/>
      <c r="HVG313" s="35"/>
      <c r="HVH313" s="15"/>
      <c r="HVJ313" s="13"/>
      <c r="HVK313" s="35"/>
      <c r="HVL313" s="35"/>
      <c r="HVM313" s="15"/>
      <c r="HVO313" s="13"/>
      <c r="HVP313" s="35"/>
      <c r="HVQ313" s="35"/>
      <c r="HVR313" s="15"/>
      <c r="HVT313" s="13"/>
      <c r="HVU313" s="35"/>
      <c r="HVV313" s="35"/>
      <c r="HVW313" s="15"/>
      <c r="HVY313" s="13"/>
      <c r="HVZ313" s="35"/>
      <c r="HWA313" s="35"/>
      <c r="HWB313" s="15"/>
      <c r="HWD313" s="13"/>
      <c r="HWE313" s="35"/>
      <c r="HWF313" s="35"/>
      <c r="HWG313" s="15"/>
      <c r="HWI313" s="13"/>
      <c r="HWJ313" s="35"/>
      <c r="HWK313" s="35"/>
      <c r="HWL313" s="15"/>
      <c r="HWN313" s="13"/>
      <c r="HWO313" s="35"/>
      <c r="HWP313" s="35"/>
      <c r="HWQ313" s="15"/>
      <c r="HWS313" s="13"/>
      <c r="HWT313" s="35"/>
      <c r="HWU313" s="35"/>
      <c r="HWV313" s="15"/>
      <c r="HWX313" s="13"/>
      <c r="HWY313" s="35"/>
      <c r="HWZ313" s="35"/>
      <c r="HXA313" s="15"/>
      <c r="HXC313" s="13"/>
      <c r="HXD313" s="35"/>
      <c r="HXE313" s="35"/>
      <c r="HXF313" s="15"/>
      <c r="HXH313" s="13"/>
      <c r="HXI313" s="35"/>
      <c r="HXJ313" s="35"/>
      <c r="HXK313" s="15"/>
      <c r="HXM313" s="13"/>
      <c r="HXN313" s="35"/>
      <c r="HXO313" s="35"/>
      <c r="HXP313" s="15"/>
      <c r="HXR313" s="13"/>
      <c r="HXS313" s="35"/>
      <c r="HXT313" s="35"/>
      <c r="HXU313" s="15"/>
      <c r="HXW313" s="13"/>
      <c r="HXX313" s="35"/>
      <c r="HXY313" s="35"/>
      <c r="HXZ313" s="15"/>
      <c r="HYB313" s="13"/>
      <c r="HYC313" s="35"/>
      <c r="HYD313" s="35"/>
      <c r="HYE313" s="15"/>
      <c r="HYG313" s="13"/>
      <c r="HYH313" s="35"/>
      <c r="HYI313" s="35"/>
      <c r="HYJ313" s="15"/>
      <c r="HYL313" s="13"/>
      <c r="HYM313" s="35"/>
      <c r="HYN313" s="35"/>
      <c r="HYO313" s="15"/>
      <c r="HYQ313" s="13"/>
      <c r="HYR313" s="35"/>
      <c r="HYS313" s="35"/>
      <c r="HYT313" s="15"/>
      <c r="HYV313" s="13"/>
      <c r="HYW313" s="35"/>
      <c r="HYX313" s="35"/>
      <c r="HYY313" s="15"/>
      <c r="HZA313" s="13"/>
      <c r="HZB313" s="35"/>
      <c r="HZC313" s="35"/>
      <c r="HZD313" s="15"/>
      <c r="HZF313" s="13"/>
      <c r="HZG313" s="35"/>
      <c r="HZH313" s="35"/>
      <c r="HZI313" s="15"/>
      <c r="HZK313" s="13"/>
      <c r="HZL313" s="35"/>
      <c r="HZM313" s="35"/>
      <c r="HZN313" s="15"/>
      <c r="HZP313" s="13"/>
      <c r="HZQ313" s="35"/>
      <c r="HZR313" s="35"/>
      <c r="HZS313" s="15"/>
      <c r="HZU313" s="13"/>
      <c r="HZV313" s="35"/>
      <c r="HZW313" s="35"/>
      <c r="HZX313" s="15"/>
      <c r="HZZ313" s="13"/>
      <c r="IAA313" s="35"/>
      <c r="IAB313" s="35"/>
      <c r="IAC313" s="15"/>
      <c r="IAE313" s="13"/>
      <c r="IAF313" s="35"/>
      <c r="IAG313" s="35"/>
      <c r="IAH313" s="15"/>
      <c r="IAJ313" s="13"/>
      <c r="IAK313" s="35"/>
      <c r="IAL313" s="35"/>
      <c r="IAM313" s="15"/>
      <c r="IAO313" s="13"/>
      <c r="IAP313" s="35"/>
      <c r="IAQ313" s="35"/>
      <c r="IAR313" s="15"/>
      <c r="IAT313" s="13"/>
      <c r="IAU313" s="35"/>
      <c r="IAV313" s="35"/>
      <c r="IAW313" s="15"/>
      <c r="IAY313" s="13"/>
      <c r="IAZ313" s="35"/>
      <c r="IBA313" s="35"/>
      <c r="IBB313" s="15"/>
      <c r="IBD313" s="13"/>
      <c r="IBE313" s="35"/>
      <c r="IBF313" s="35"/>
      <c r="IBG313" s="15"/>
      <c r="IBI313" s="13"/>
      <c r="IBJ313" s="35"/>
      <c r="IBK313" s="35"/>
      <c r="IBL313" s="15"/>
      <c r="IBN313" s="13"/>
      <c r="IBO313" s="35"/>
      <c r="IBP313" s="35"/>
      <c r="IBQ313" s="15"/>
      <c r="IBS313" s="13"/>
      <c r="IBT313" s="35"/>
      <c r="IBU313" s="35"/>
      <c r="IBV313" s="15"/>
      <c r="IBX313" s="13"/>
      <c r="IBY313" s="35"/>
      <c r="IBZ313" s="35"/>
      <c r="ICA313" s="15"/>
      <c r="ICC313" s="13"/>
      <c r="ICD313" s="35"/>
      <c r="ICE313" s="35"/>
      <c r="ICF313" s="15"/>
      <c r="ICH313" s="13"/>
      <c r="ICI313" s="35"/>
      <c r="ICJ313" s="35"/>
      <c r="ICK313" s="15"/>
      <c r="ICM313" s="13"/>
      <c r="ICN313" s="35"/>
      <c r="ICO313" s="35"/>
      <c r="ICP313" s="15"/>
      <c r="ICR313" s="13"/>
      <c r="ICS313" s="35"/>
      <c r="ICT313" s="35"/>
      <c r="ICU313" s="15"/>
      <c r="ICW313" s="13"/>
      <c r="ICX313" s="35"/>
      <c r="ICY313" s="35"/>
      <c r="ICZ313" s="15"/>
      <c r="IDB313" s="13"/>
      <c r="IDC313" s="35"/>
      <c r="IDD313" s="35"/>
      <c r="IDE313" s="15"/>
      <c r="IDG313" s="13"/>
      <c r="IDH313" s="35"/>
      <c r="IDI313" s="35"/>
      <c r="IDJ313" s="15"/>
      <c r="IDL313" s="13"/>
      <c r="IDM313" s="35"/>
      <c r="IDN313" s="35"/>
      <c r="IDO313" s="15"/>
      <c r="IDQ313" s="13"/>
      <c r="IDR313" s="35"/>
      <c r="IDS313" s="35"/>
      <c r="IDT313" s="15"/>
      <c r="IDV313" s="13"/>
      <c r="IDW313" s="35"/>
      <c r="IDX313" s="35"/>
      <c r="IDY313" s="15"/>
      <c r="IEA313" s="13"/>
      <c r="IEB313" s="35"/>
      <c r="IEC313" s="35"/>
      <c r="IED313" s="15"/>
      <c r="IEF313" s="13"/>
      <c r="IEG313" s="35"/>
      <c r="IEH313" s="35"/>
      <c r="IEI313" s="15"/>
      <c r="IEK313" s="13"/>
      <c r="IEL313" s="35"/>
      <c r="IEM313" s="35"/>
      <c r="IEN313" s="15"/>
      <c r="IEP313" s="13"/>
      <c r="IEQ313" s="35"/>
      <c r="IER313" s="35"/>
      <c r="IES313" s="15"/>
      <c r="IEU313" s="13"/>
      <c r="IEV313" s="35"/>
      <c r="IEW313" s="35"/>
      <c r="IEX313" s="15"/>
      <c r="IEZ313" s="13"/>
      <c r="IFA313" s="35"/>
      <c r="IFB313" s="35"/>
      <c r="IFC313" s="15"/>
      <c r="IFE313" s="13"/>
      <c r="IFF313" s="35"/>
      <c r="IFG313" s="35"/>
      <c r="IFH313" s="15"/>
      <c r="IFJ313" s="13"/>
      <c r="IFK313" s="35"/>
      <c r="IFL313" s="35"/>
      <c r="IFM313" s="15"/>
      <c r="IFO313" s="13"/>
      <c r="IFP313" s="35"/>
      <c r="IFQ313" s="35"/>
      <c r="IFR313" s="15"/>
      <c r="IFT313" s="13"/>
      <c r="IFU313" s="35"/>
      <c r="IFV313" s="35"/>
      <c r="IFW313" s="15"/>
      <c r="IFY313" s="13"/>
      <c r="IFZ313" s="35"/>
      <c r="IGA313" s="35"/>
      <c r="IGB313" s="15"/>
      <c r="IGD313" s="13"/>
      <c r="IGE313" s="35"/>
      <c r="IGF313" s="35"/>
      <c r="IGG313" s="15"/>
      <c r="IGI313" s="13"/>
      <c r="IGJ313" s="35"/>
      <c r="IGK313" s="35"/>
      <c r="IGL313" s="15"/>
      <c r="IGN313" s="13"/>
      <c r="IGO313" s="35"/>
      <c r="IGP313" s="35"/>
      <c r="IGQ313" s="15"/>
      <c r="IGS313" s="13"/>
      <c r="IGT313" s="35"/>
      <c r="IGU313" s="35"/>
      <c r="IGV313" s="15"/>
      <c r="IGX313" s="13"/>
      <c r="IGY313" s="35"/>
      <c r="IGZ313" s="35"/>
      <c r="IHA313" s="15"/>
      <c r="IHC313" s="13"/>
      <c r="IHD313" s="35"/>
      <c r="IHE313" s="35"/>
      <c r="IHF313" s="15"/>
      <c r="IHH313" s="13"/>
      <c r="IHI313" s="35"/>
      <c r="IHJ313" s="35"/>
      <c r="IHK313" s="15"/>
      <c r="IHM313" s="13"/>
      <c r="IHN313" s="35"/>
      <c r="IHO313" s="35"/>
      <c r="IHP313" s="15"/>
      <c r="IHR313" s="13"/>
      <c r="IHS313" s="35"/>
      <c r="IHT313" s="35"/>
      <c r="IHU313" s="15"/>
      <c r="IHW313" s="13"/>
      <c r="IHX313" s="35"/>
      <c r="IHY313" s="35"/>
      <c r="IHZ313" s="15"/>
      <c r="IIB313" s="13"/>
      <c r="IIC313" s="35"/>
      <c r="IID313" s="35"/>
      <c r="IIE313" s="15"/>
      <c r="IIG313" s="13"/>
      <c r="IIH313" s="35"/>
      <c r="III313" s="35"/>
      <c r="IIJ313" s="15"/>
      <c r="IIL313" s="13"/>
      <c r="IIM313" s="35"/>
      <c r="IIN313" s="35"/>
      <c r="IIO313" s="15"/>
      <c r="IIQ313" s="13"/>
      <c r="IIR313" s="35"/>
      <c r="IIS313" s="35"/>
      <c r="IIT313" s="15"/>
      <c r="IIV313" s="13"/>
      <c r="IIW313" s="35"/>
      <c r="IIX313" s="35"/>
      <c r="IIY313" s="15"/>
      <c r="IJA313" s="13"/>
      <c r="IJB313" s="35"/>
      <c r="IJC313" s="35"/>
      <c r="IJD313" s="15"/>
      <c r="IJF313" s="13"/>
      <c r="IJG313" s="35"/>
      <c r="IJH313" s="35"/>
      <c r="IJI313" s="15"/>
      <c r="IJK313" s="13"/>
      <c r="IJL313" s="35"/>
      <c r="IJM313" s="35"/>
      <c r="IJN313" s="15"/>
      <c r="IJP313" s="13"/>
      <c r="IJQ313" s="35"/>
      <c r="IJR313" s="35"/>
      <c r="IJS313" s="15"/>
      <c r="IJU313" s="13"/>
      <c r="IJV313" s="35"/>
      <c r="IJW313" s="35"/>
      <c r="IJX313" s="15"/>
      <c r="IJZ313" s="13"/>
      <c r="IKA313" s="35"/>
      <c r="IKB313" s="35"/>
      <c r="IKC313" s="15"/>
      <c r="IKE313" s="13"/>
      <c r="IKF313" s="35"/>
      <c r="IKG313" s="35"/>
      <c r="IKH313" s="15"/>
      <c r="IKJ313" s="13"/>
      <c r="IKK313" s="35"/>
      <c r="IKL313" s="35"/>
      <c r="IKM313" s="15"/>
      <c r="IKO313" s="13"/>
      <c r="IKP313" s="35"/>
      <c r="IKQ313" s="35"/>
      <c r="IKR313" s="15"/>
      <c r="IKT313" s="13"/>
      <c r="IKU313" s="35"/>
      <c r="IKV313" s="35"/>
      <c r="IKW313" s="15"/>
      <c r="IKY313" s="13"/>
      <c r="IKZ313" s="35"/>
      <c r="ILA313" s="35"/>
      <c r="ILB313" s="15"/>
      <c r="ILD313" s="13"/>
      <c r="ILE313" s="35"/>
      <c r="ILF313" s="35"/>
      <c r="ILG313" s="15"/>
      <c r="ILI313" s="13"/>
      <c r="ILJ313" s="35"/>
      <c r="ILK313" s="35"/>
      <c r="ILL313" s="15"/>
      <c r="ILN313" s="13"/>
      <c r="ILO313" s="35"/>
      <c r="ILP313" s="35"/>
      <c r="ILQ313" s="15"/>
      <c r="ILS313" s="13"/>
      <c r="ILT313" s="35"/>
      <c r="ILU313" s="35"/>
      <c r="ILV313" s="15"/>
      <c r="ILX313" s="13"/>
      <c r="ILY313" s="35"/>
      <c r="ILZ313" s="35"/>
      <c r="IMA313" s="15"/>
      <c r="IMC313" s="13"/>
      <c r="IMD313" s="35"/>
      <c r="IME313" s="35"/>
      <c r="IMF313" s="15"/>
      <c r="IMH313" s="13"/>
      <c r="IMI313" s="35"/>
      <c r="IMJ313" s="35"/>
      <c r="IMK313" s="15"/>
      <c r="IMM313" s="13"/>
      <c r="IMN313" s="35"/>
      <c r="IMO313" s="35"/>
      <c r="IMP313" s="15"/>
      <c r="IMR313" s="13"/>
      <c r="IMS313" s="35"/>
      <c r="IMT313" s="35"/>
      <c r="IMU313" s="15"/>
      <c r="IMW313" s="13"/>
      <c r="IMX313" s="35"/>
      <c r="IMY313" s="35"/>
      <c r="IMZ313" s="15"/>
      <c r="INB313" s="13"/>
      <c r="INC313" s="35"/>
      <c r="IND313" s="35"/>
      <c r="INE313" s="15"/>
      <c r="ING313" s="13"/>
      <c r="INH313" s="35"/>
      <c r="INI313" s="35"/>
      <c r="INJ313" s="15"/>
      <c r="INL313" s="13"/>
      <c r="INM313" s="35"/>
      <c r="INN313" s="35"/>
      <c r="INO313" s="15"/>
      <c r="INQ313" s="13"/>
      <c r="INR313" s="35"/>
      <c r="INS313" s="35"/>
      <c r="INT313" s="15"/>
      <c r="INV313" s="13"/>
      <c r="INW313" s="35"/>
      <c r="INX313" s="35"/>
      <c r="INY313" s="15"/>
      <c r="IOA313" s="13"/>
      <c r="IOB313" s="35"/>
      <c r="IOC313" s="35"/>
      <c r="IOD313" s="15"/>
      <c r="IOF313" s="13"/>
      <c r="IOG313" s="35"/>
      <c r="IOH313" s="35"/>
      <c r="IOI313" s="15"/>
      <c r="IOK313" s="13"/>
      <c r="IOL313" s="35"/>
      <c r="IOM313" s="35"/>
      <c r="ION313" s="15"/>
      <c r="IOP313" s="13"/>
      <c r="IOQ313" s="35"/>
      <c r="IOR313" s="35"/>
      <c r="IOS313" s="15"/>
      <c r="IOU313" s="13"/>
      <c r="IOV313" s="35"/>
      <c r="IOW313" s="35"/>
      <c r="IOX313" s="15"/>
      <c r="IOZ313" s="13"/>
      <c r="IPA313" s="35"/>
      <c r="IPB313" s="35"/>
      <c r="IPC313" s="15"/>
      <c r="IPE313" s="13"/>
      <c r="IPF313" s="35"/>
      <c r="IPG313" s="35"/>
      <c r="IPH313" s="15"/>
      <c r="IPJ313" s="13"/>
      <c r="IPK313" s="35"/>
      <c r="IPL313" s="35"/>
      <c r="IPM313" s="15"/>
      <c r="IPO313" s="13"/>
      <c r="IPP313" s="35"/>
      <c r="IPQ313" s="35"/>
      <c r="IPR313" s="15"/>
      <c r="IPT313" s="13"/>
      <c r="IPU313" s="35"/>
      <c r="IPV313" s="35"/>
      <c r="IPW313" s="15"/>
      <c r="IPY313" s="13"/>
      <c r="IPZ313" s="35"/>
      <c r="IQA313" s="35"/>
      <c r="IQB313" s="15"/>
      <c r="IQD313" s="13"/>
      <c r="IQE313" s="35"/>
      <c r="IQF313" s="35"/>
      <c r="IQG313" s="15"/>
      <c r="IQI313" s="13"/>
      <c r="IQJ313" s="35"/>
      <c r="IQK313" s="35"/>
      <c r="IQL313" s="15"/>
      <c r="IQN313" s="13"/>
      <c r="IQO313" s="35"/>
      <c r="IQP313" s="35"/>
      <c r="IQQ313" s="15"/>
      <c r="IQS313" s="13"/>
      <c r="IQT313" s="35"/>
      <c r="IQU313" s="35"/>
      <c r="IQV313" s="15"/>
      <c r="IQX313" s="13"/>
      <c r="IQY313" s="35"/>
      <c r="IQZ313" s="35"/>
      <c r="IRA313" s="15"/>
      <c r="IRC313" s="13"/>
      <c r="IRD313" s="35"/>
      <c r="IRE313" s="35"/>
      <c r="IRF313" s="15"/>
      <c r="IRH313" s="13"/>
      <c r="IRI313" s="35"/>
      <c r="IRJ313" s="35"/>
      <c r="IRK313" s="15"/>
      <c r="IRM313" s="13"/>
      <c r="IRN313" s="35"/>
      <c r="IRO313" s="35"/>
      <c r="IRP313" s="15"/>
      <c r="IRR313" s="13"/>
      <c r="IRS313" s="35"/>
      <c r="IRT313" s="35"/>
      <c r="IRU313" s="15"/>
      <c r="IRW313" s="13"/>
      <c r="IRX313" s="35"/>
      <c r="IRY313" s="35"/>
      <c r="IRZ313" s="15"/>
      <c r="ISB313" s="13"/>
      <c r="ISC313" s="35"/>
      <c r="ISD313" s="35"/>
      <c r="ISE313" s="15"/>
      <c r="ISG313" s="13"/>
      <c r="ISH313" s="35"/>
      <c r="ISI313" s="35"/>
      <c r="ISJ313" s="15"/>
      <c r="ISL313" s="13"/>
      <c r="ISM313" s="35"/>
      <c r="ISN313" s="35"/>
      <c r="ISO313" s="15"/>
      <c r="ISQ313" s="13"/>
      <c r="ISR313" s="35"/>
      <c r="ISS313" s="35"/>
      <c r="IST313" s="15"/>
      <c r="ISV313" s="13"/>
      <c r="ISW313" s="35"/>
      <c r="ISX313" s="35"/>
      <c r="ISY313" s="15"/>
      <c r="ITA313" s="13"/>
      <c r="ITB313" s="35"/>
      <c r="ITC313" s="35"/>
      <c r="ITD313" s="15"/>
      <c r="ITF313" s="13"/>
      <c r="ITG313" s="35"/>
      <c r="ITH313" s="35"/>
      <c r="ITI313" s="15"/>
      <c r="ITK313" s="13"/>
      <c r="ITL313" s="35"/>
      <c r="ITM313" s="35"/>
      <c r="ITN313" s="15"/>
      <c r="ITP313" s="13"/>
      <c r="ITQ313" s="35"/>
      <c r="ITR313" s="35"/>
      <c r="ITS313" s="15"/>
      <c r="ITU313" s="13"/>
      <c r="ITV313" s="35"/>
      <c r="ITW313" s="35"/>
      <c r="ITX313" s="15"/>
      <c r="ITZ313" s="13"/>
      <c r="IUA313" s="35"/>
      <c r="IUB313" s="35"/>
      <c r="IUC313" s="15"/>
      <c r="IUE313" s="13"/>
      <c r="IUF313" s="35"/>
      <c r="IUG313" s="35"/>
      <c r="IUH313" s="15"/>
      <c r="IUJ313" s="13"/>
      <c r="IUK313" s="35"/>
      <c r="IUL313" s="35"/>
      <c r="IUM313" s="15"/>
      <c r="IUO313" s="13"/>
      <c r="IUP313" s="35"/>
      <c r="IUQ313" s="35"/>
      <c r="IUR313" s="15"/>
      <c r="IUT313" s="13"/>
      <c r="IUU313" s="35"/>
      <c r="IUV313" s="35"/>
      <c r="IUW313" s="15"/>
      <c r="IUY313" s="13"/>
      <c r="IUZ313" s="35"/>
      <c r="IVA313" s="35"/>
      <c r="IVB313" s="15"/>
      <c r="IVD313" s="13"/>
      <c r="IVE313" s="35"/>
      <c r="IVF313" s="35"/>
      <c r="IVG313" s="15"/>
      <c r="IVI313" s="13"/>
      <c r="IVJ313" s="35"/>
      <c r="IVK313" s="35"/>
      <c r="IVL313" s="15"/>
      <c r="IVN313" s="13"/>
      <c r="IVO313" s="35"/>
      <c r="IVP313" s="35"/>
      <c r="IVQ313" s="15"/>
      <c r="IVS313" s="13"/>
      <c r="IVT313" s="35"/>
      <c r="IVU313" s="35"/>
      <c r="IVV313" s="15"/>
      <c r="IVX313" s="13"/>
      <c r="IVY313" s="35"/>
      <c r="IVZ313" s="35"/>
      <c r="IWA313" s="15"/>
      <c r="IWC313" s="13"/>
      <c r="IWD313" s="35"/>
      <c r="IWE313" s="35"/>
      <c r="IWF313" s="15"/>
      <c r="IWH313" s="13"/>
      <c r="IWI313" s="35"/>
      <c r="IWJ313" s="35"/>
      <c r="IWK313" s="15"/>
      <c r="IWM313" s="13"/>
      <c r="IWN313" s="35"/>
      <c r="IWO313" s="35"/>
      <c r="IWP313" s="15"/>
      <c r="IWR313" s="13"/>
      <c r="IWS313" s="35"/>
      <c r="IWT313" s="35"/>
      <c r="IWU313" s="15"/>
      <c r="IWW313" s="13"/>
      <c r="IWX313" s="35"/>
      <c r="IWY313" s="35"/>
      <c r="IWZ313" s="15"/>
      <c r="IXB313" s="13"/>
      <c r="IXC313" s="35"/>
      <c r="IXD313" s="35"/>
      <c r="IXE313" s="15"/>
      <c r="IXG313" s="13"/>
      <c r="IXH313" s="35"/>
      <c r="IXI313" s="35"/>
      <c r="IXJ313" s="15"/>
      <c r="IXL313" s="13"/>
      <c r="IXM313" s="35"/>
      <c r="IXN313" s="35"/>
      <c r="IXO313" s="15"/>
      <c r="IXQ313" s="13"/>
      <c r="IXR313" s="35"/>
      <c r="IXS313" s="35"/>
      <c r="IXT313" s="15"/>
      <c r="IXV313" s="13"/>
      <c r="IXW313" s="35"/>
      <c r="IXX313" s="35"/>
      <c r="IXY313" s="15"/>
      <c r="IYA313" s="13"/>
      <c r="IYB313" s="35"/>
      <c r="IYC313" s="35"/>
      <c r="IYD313" s="15"/>
      <c r="IYF313" s="13"/>
      <c r="IYG313" s="35"/>
      <c r="IYH313" s="35"/>
      <c r="IYI313" s="15"/>
      <c r="IYK313" s="13"/>
      <c r="IYL313" s="35"/>
      <c r="IYM313" s="35"/>
      <c r="IYN313" s="15"/>
      <c r="IYP313" s="13"/>
      <c r="IYQ313" s="35"/>
      <c r="IYR313" s="35"/>
      <c r="IYS313" s="15"/>
      <c r="IYU313" s="13"/>
      <c r="IYV313" s="35"/>
      <c r="IYW313" s="35"/>
      <c r="IYX313" s="15"/>
      <c r="IYZ313" s="13"/>
      <c r="IZA313" s="35"/>
      <c r="IZB313" s="35"/>
      <c r="IZC313" s="15"/>
      <c r="IZE313" s="13"/>
      <c r="IZF313" s="35"/>
      <c r="IZG313" s="35"/>
      <c r="IZH313" s="15"/>
      <c r="IZJ313" s="13"/>
      <c r="IZK313" s="35"/>
      <c r="IZL313" s="35"/>
      <c r="IZM313" s="15"/>
      <c r="IZO313" s="13"/>
      <c r="IZP313" s="35"/>
      <c r="IZQ313" s="35"/>
      <c r="IZR313" s="15"/>
      <c r="IZT313" s="13"/>
      <c r="IZU313" s="35"/>
      <c r="IZV313" s="35"/>
      <c r="IZW313" s="15"/>
      <c r="IZY313" s="13"/>
      <c r="IZZ313" s="35"/>
      <c r="JAA313" s="35"/>
      <c r="JAB313" s="15"/>
      <c r="JAD313" s="13"/>
      <c r="JAE313" s="35"/>
      <c r="JAF313" s="35"/>
      <c r="JAG313" s="15"/>
      <c r="JAI313" s="13"/>
      <c r="JAJ313" s="35"/>
      <c r="JAK313" s="35"/>
      <c r="JAL313" s="15"/>
      <c r="JAN313" s="13"/>
      <c r="JAO313" s="35"/>
      <c r="JAP313" s="35"/>
      <c r="JAQ313" s="15"/>
      <c r="JAS313" s="13"/>
      <c r="JAT313" s="35"/>
      <c r="JAU313" s="35"/>
      <c r="JAV313" s="15"/>
      <c r="JAX313" s="13"/>
      <c r="JAY313" s="35"/>
      <c r="JAZ313" s="35"/>
      <c r="JBA313" s="15"/>
      <c r="JBC313" s="13"/>
      <c r="JBD313" s="35"/>
      <c r="JBE313" s="35"/>
      <c r="JBF313" s="15"/>
      <c r="JBH313" s="13"/>
      <c r="JBI313" s="35"/>
      <c r="JBJ313" s="35"/>
      <c r="JBK313" s="15"/>
      <c r="JBM313" s="13"/>
      <c r="JBN313" s="35"/>
      <c r="JBO313" s="35"/>
      <c r="JBP313" s="15"/>
      <c r="JBR313" s="13"/>
      <c r="JBS313" s="35"/>
      <c r="JBT313" s="35"/>
      <c r="JBU313" s="15"/>
      <c r="JBW313" s="13"/>
      <c r="JBX313" s="35"/>
      <c r="JBY313" s="35"/>
      <c r="JBZ313" s="15"/>
      <c r="JCB313" s="13"/>
      <c r="JCC313" s="35"/>
      <c r="JCD313" s="35"/>
      <c r="JCE313" s="15"/>
      <c r="JCG313" s="13"/>
      <c r="JCH313" s="35"/>
      <c r="JCI313" s="35"/>
      <c r="JCJ313" s="15"/>
      <c r="JCL313" s="13"/>
      <c r="JCM313" s="35"/>
      <c r="JCN313" s="35"/>
      <c r="JCO313" s="15"/>
      <c r="JCQ313" s="13"/>
      <c r="JCR313" s="35"/>
      <c r="JCS313" s="35"/>
      <c r="JCT313" s="15"/>
      <c r="JCV313" s="13"/>
      <c r="JCW313" s="35"/>
      <c r="JCX313" s="35"/>
      <c r="JCY313" s="15"/>
      <c r="JDA313" s="13"/>
      <c r="JDB313" s="35"/>
      <c r="JDC313" s="35"/>
      <c r="JDD313" s="15"/>
      <c r="JDF313" s="13"/>
      <c r="JDG313" s="35"/>
      <c r="JDH313" s="35"/>
      <c r="JDI313" s="15"/>
      <c r="JDK313" s="13"/>
      <c r="JDL313" s="35"/>
      <c r="JDM313" s="35"/>
      <c r="JDN313" s="15"/>
      <c r="JDP313" s="13"/>
      <c r="JDQ313" s="35"/>
      <c r="JDR313" s="35"/>
      <c r="JDS313" s="15"/>
      <c r="JDU313" s="13"/>
      <c r="JDV313" s="35"/>
      <c r="JDW313" s="35"/>
      <c r="JDX313" s="15"/>
      <c r="JDZ313" s="13"/>
      <c r="JEA313" s="35"/>
      <c r="JEB313" s="35"/>
      <c r="JEC313" s="15"/>
      <c r="JEE313" s="13"/>
      <c r="JEF313" s="35"/>
      <c r="JEG313" s="35"/>
      <c r="JEH313" s="15"/>
      <c r="JEJ313" s="13"/>
      <c r="JEK313" s="35"/>
      <c r="JEL313" s="35"/>
      <c r="JEM313" s="15"/>
      <c r="JEO313" s="13"/>
      <c r="JEP313" s="35"/>
      <c r="JEQ313" s="35"/>
      <c r="JER313" s="15"/>
      <c r="JET313" s="13"/>
      <c r="JEU313" s="35"/>
      <c r="JEV313" s="35"/>
      <c r="JEW313" s="15"/>
      <c r="JEY313" s="13"/>
      <c r="JEZ313" s="35"/>
      <c r="JFA313" s="35"/>
      <c r="JFB313" s="15"/>
      <c r="JFD313" s="13"/>
      <c r="JFE313" s="35"/>
      <c r="JFF313" s="35"/>
      <c r="JFG313" s="15"/>
      <c r="JFI313" s="13"/>
      <c r="JFJ313" s="35"/>
      <c r="JFK313" s="35"/>
      <c r="JFL313" s="15"/>
      <c r="JFN313" s="13"/>
      <c r="JFO313" s="35"/>
      <c r="JFP313" s="35"/>
      <c r="JFQ313" s="15"/>
      <c r="JFS313" s="13"/>
      <c r="JFT313" s="35"/>
      <c r="JFU313" s="35"/>
      <c r="JFV313" s="15"/>
      <c r="JFX313" s="13"/>
      <c r="JFY313" s="35"/>
      <c r="JFZ313" s="35"/>
      <c r="JGA313" s="15"/>
      <c r="JGC313" s="13"/>
      <c r="JGD313" s="35"/>
      <c r="JGE313" s="35"/>
      <c r="JGF313" s="15"/>
      <c r="JGH313" s="13"/>
      <c r="JGI313" s="35"/>
      <c r="JGJ313" s="35"/>
      <c r="JGK313" s="15"/>
      <c r="JGM313" s="13"/>
      <c r="JGN313" s="35"/>
      <c r="JGO313" s="35"/>
      <c r="JGP313" s="15"/>
      <c r="JGR313" s="13"/>
      <c r="JGS313" s="35"/>
      <c r="JGT313" s="35"/>
      <c r="JGU313" s="15"/>
      <c r="JGW313" s="13"/>
      <c r="JGX313" s="35"/>
      <c r="JGY313" s="35"/>
      <c r="JGZ313" s="15"/>
      <c r="JHB313" s="13"/>
      <c r="JHC313" s="35"/>
      <c r="JHD313" s="35"/>
      <c r="JHE313" s="15"/>
      <c r="JHG313" s="13"/>
      <c r="JHH313" s="35"/>
      <c r="JHI313" s="35"/>
      <c r="JHJ313" s="15"/>
      <c r="JHL313" s="13"/>
      <c r="JHM313" s="35"/>
      <c r="JHN313" s="35"/>
      <c r="JHO313" s="15"/>
      <c r="JHQ313" s="13"/>
      <c r="JHR313" s="35"/>
      <c r="JHS313" s="35"/>
      <c r="JHT313" s="15"/>
      <c r="JHV313" s="13"/>
      <c r="JHW313" s="35"/>
      <c r="JHX313" s="35"/>
      <c r="JHY313" s="15"/>
      <c r="JIA313" s="13"/>
      <c r="JIB313" s="35"/>
      <c r="JIC313" s="35"/>
      <c r="JID313" s="15"/>
      <c r="JIF313" s="13"/>
      <c r="JIG313" s="35"/>
      <c r="JIH313" s="35"/>
      <c r="JII313" s="15"/>
      <c r="JIK313" s="13"/>
      <c r="JIL313" s="35"/>
      <c r="JIM313" s="35"/>
      <c r="JIN313" s="15"/>
      <c r="JIP313" s="13"/>
      <c r="JIQ313" s="35"/>
      <c r="JIR313" s="35"/>
      <c r="JIS313" s="15"/>
      <c r="JIU313" s="13"/>
      <c r="JIV313" s="35"/>
      <c r="JIW313" s="35"/>
      <c r="JIX313" s="15"/>
      <c r="JIZ313" s="13"/>
      <c r="JJA313" s="35"/>
      <c r="JJB313" s="35"/>
      <c r="JJC313" s="15"/>
      <c r="JJE313" s="13"/>
      <c r="JJF313" s="35"/>
      <c r="JJG313" s="35"/>
      <c r="JJH313" s="15"/>
      <c r="JJJ313" s="13"/>
      <c r="JJK313" s="35"/>
      <c r="JJL313" s="35"/>
      <c r="JJM313" s="15"/>
      <c r="JJO313" s="13"/>
      <c r="JJP313" s="35"/>
      <c r="JJQ313" s="35"/>
      <c r="JJR313" s="15"/>
      <c r="JJT313" s="13"/>
      <c r="JJU313" s="35"/>
      <c r="JJV313" s="35"/>
      <c r="JJW313" s="15"/>
      <c r="JJY313" s="13"/>
      <c r="JJZ313" s="35"/>
      <c r="JKA313" s="35"/>
      <c r="JKB313" s="15"/>
      <c r="JKD313" s="13"/>
      <c r="JKE313" s="35"/>
      <c r="JKF313" s="35"/>
      <c r="JKG313" s="15"/>
      <c r="JKI313" s="13"/>
      <c r="JKJ313" s="35"/>
      <c r="JKK313" s="35"/>
      <c r="JKL313" s="15"/>
      <c r="JKN313" s="13"/>
      <c r="JKO313" s="35"/>
      <c r="JKP313" s="35"/>
      <c r="JKQ313" s="15"/>
      <c r="JKS313" s="13"/>
      <c r="JKT313" s="35"/>
      <c r="JKU313" s="35"/>
      <c r="JKV313" s="15"/>
      <c r="JKX313" s="13"/>
      <c r="JKY313" s="35"/>
      <c r="JKZ313" s="35"/>
      <c r="JLA313" s="15"/>
      <c r="JLC313" s="13"/>
      <c r="JLD313" s="35"/>
      <c r="JLE313" s="35"/>
      <c r="JLF313" s="15"/>
      <c r="JLH313" s="13"/>
      <c r="JLI313" s="35"/>
      <c r="JLJ313" s="35"/>
      <c r="JLK313" s="15"/>
      <c r="JLM313" s="13"/>
      <c r="JLN313" s="35"/>
      <c r="JLO313" s="35"/>
      <c r="JLP313" s="15"/>
      <c r="JLR313" s="13"/>
      <c r="JLS313" s="35"/>
      <c r="JLT313" s="35"/>
      <c r="JLU313" s="15"/>
      <c r="JLW313" s="13"/>
      <c r="JLX313" s="35"/>
      <c r="JLY313" s="35"/>
      <c r="JLZ313" s="15"/>
      <c r="JMB313" s="13"/>
      <c r="JMC313" s="35"/>
      <c r="JMD313" s="35"/>
      <c r="JME313" s="15"/>
      <c r="JMG313" s="13"/>
      <c r="JMH313" s="35"/>
      <c r="JMI313" s="35"/>
      <c r="JMJ313" s="15"/>
      <c r="JML313" s="13"/>
      <c r="JMM313" s="35"/>
      <c r="JMN313" s="35"/>
      <c r="JMO313" s="15"/>
      <c r="JMQ313" s="13"/>
      <c r="JMR313" s="35"/>
      <c r="JMS313" s="35"/>
      <c r="JMT313" s="15"/>
      <c r="JMV313" s="13"/>
      <c r="JMW313" s="35"/>
      <c r="JMX313" s="35"/>
      <c r="JMY313" s="15"/>
      <c r="JNA313" s="13"/>
      <c r="JNB313" s="35"/>
      <c r="JNC313" s="35"/>
      <c r="JND313" s="15"/>
      <c r="JNF313" s="13"/>
      <c r="JNG313" s="35"/>
      <c r="JNH313" s="35"/>
      <c r="JNI313" s="15"/>
      <c r="JNK313" s="13"/>
      <c r="JNL313" s="35"/>
      <c r="JNM313" s="35"/>
      <c r="JNN313" s="15"/>
      <c r="JNP313" s="13"/>
      <c r="JNQ313" s="35"/>
      <c r="JNR313" s="35"/>
      <c r="JNS313" s="15"/>
      <c r="JNU313" s="13"/>
      <c r="JNV313" s="35"/>
      <c r="JNW313" s="35"/>
      <c r="JNX313" s="15"/>
      <c r="JNZ313" s="13"/>
      <c r="JOA313" s="35"/>
      <c r="JOB313" s="35"/>
      <c r="JOC313" s="15"/>
      <c r="JOE313" s="13"/>
      <c r="JOF313" s="35"/>
      <c r="JOG313" s="35"/>
      <c r="JOH313" s="15"/>
      <c r="JOJ313" s="13"/>
      <c r="JOK313" s="35"/>
      <c r="JOL313" s="35"/>
      <c r="JOM313" s="15"/>
      <c r="JOO313" s="13"/>
      <c r="JOP313" s="35"/>
      <c r="JOQ313" s="35"/>
      <c r="JOR313" s="15"/>
      <c r="JOT313" s="13"/>
      <c r="JOU313" s="35"/>
      <c r="JOV313" s="35"/>
      <c r="JOW313" s="15"/>
      <c r="JOY313" s="13"/>
      <c r="JOZ313" s="35"/>
      <c r="JPA313" s="35"/>
      <c r="JPB313" s="15"/>
      <c r="JPD313" s="13"/>
      <c r="JPE313" s="35"/>
      <c r="JPF313" s="35"/>
      <c r="JPG313" s="15"/>
      <c r="JPI313" s="13"/>
      <c r="JPJ313" s="35"/>
      <c r="JPK313" s="35"/>
      <c r="JPL313" s="15"/>
      <c r="JPN313" s="13"/>
      <c r="JPO313" s="35"/>
      <c r="JPP313" s="35"/>
      <c r="JPQ313" s="15"/>
      <c r="JPS313" s="13"/>
      <c r="JPT313" s="35"/>
      <c r="JPU313" s="35"/>
      <c r="JPV313" s="15"/>
      <c r="JPX313" s="13"/>
      <c r="JPY313" s="35"/>
      <c r="JPZ313" s="35"/>
      <c r="JQA313" s="15"/>
      <c r="JQC313" s="13"/>
      <c r="JQD313" s="35"/>
      <c r="JQE313" s="35"/>
      <c r="JQF313" s="15"/>
      <c r="JQH313" s="13"/>
      <c r="JQI313" s="35"/>
      <c r="JQJ313" s="35"/>
      <c r="JQK313" s="15"/>
      <c r="JQM313" s="13"/>
      <c r="JQN313" s="35"/>
      <c r="JQO313" s="35"/>
      <c r="JQP313" s="15"/>
      <c r="JQR313" s="13"/>
      <c r="JQS313" s="35"/>
      <c r="JQT313" s="35"/>
      <c r="JQU313" s="15"/>
      <c r="JQW313" s="13"/>
      <c r="JQX313" s="35"/>
      <c r="JQY313" s="35"/>
      <c r="JQZ313" s="15"/>
      <c r="JRB313" s="13"/>
      <c r="JRC313" s="35"/>
      <c r="JRD313" s="35"/>
      <c r="JRE313" s="15"/>
      <c r="JRG313" s="13"/>
      <c r="JRH313" s="35"/>
      <c r="JRI313" s="35"/>
      <c r="JRJ313" s="15"/>
      <c r="JRL313" s="13"/>
      <c r="JRM313" s="35"/>
      <c r="JRN313" s="35"/>
      <c r="JRO313" s="15"/>
      <c r="JRQ313" s="13"/>
      <c r="JRR313" s="35"/>
      <c r="JRS313" s="35"/>
      <c r="JRT313" s="15"/>
      <c r="JRV313" s="13"/>
      <c r="JRW313" s="35"/>
      <c r="JRX313" s="35"/>
      <c r="JRY313" s="15"/>
      <c r="JSA313" s="13"/>
      <c r="JSB313" s="35"/>
      <c r="JSC313" s="35"/>
      <c r="JSD313" s="15"/>
      <c r="JSF313" s="13"/>
      <c r="JSG313" s="35"/>
      <c r="JSH313" s="35"/>
      <c r="JSI313" s="15"/>
      <c r="JSK313" s="13"/>
      <c r="JSL313" s="35"/>
      <c r="JSM313" s="35"/>
      <c r="JSN313" s="15"/>
      <c r="JSP313" s="13"/>
      <c r="JSQ313" s="35"/>
      <c r="JSR313" s="35"/>
      <c r="JSS313" s="15"/>
      <c r="JSU313" s="13"/>
      <c r="JSV313" s="35"/>
      <c r="JSW313" s="35"/>
      <c r="JSX313" s="15"/>
      <c r="JSZ313" s="13"/>
      <c r="JTA313" s="35"/>
      <c r="JTB313" s="35"/>
      <c r="JTC313" s="15"/>
      <c r="JTE313" s="13"/>
      <c r="JTF313" s="35"/>
      <c r="JTG313" s="35"/>
      <c r="JTH313" s="15"/>
      <c r="JTJ313" s="13"/>
      <c r="JTK313" s="35"/>
      <c r="JTL313" s="35"/>
      <c r="JTM313" s="15"/>
      <c r="JTO313" s="13"/>
      <c r="JTP313" s="35"/>
      <c r="JTQ313" s="35"/>
      <c r="JTR313" s="15"/>
      <c r="JTT313" s="13"/>
      <c r="JTU313" s="35"/>
      <c r="JTV313" s="35"/>
      <c r="JTW313" s="15"/>
      <c r="JTY313" s="13"/>
      <c r="JTZ313" s="35"/>
      <c r="JUA313" s="35"/>
      <c r="JUB313" s="15"/>
      <c r="JUD313" s="13"/>
      <c r="JUE313" s="35"/>
      <c r="JUF313" s="35"/>
      <c r="JUG313" s="15"/>
      <c r="JUI313" s="13"/>
      <c r="JUJ313" s="35"/>
      <c r="JUK313" s="35"/>
      <c r="JUL313" s="15"/>
      <c r="JUN313" s="13"/>
      <c r="JUO313" s="35"/>
      <c r="JUP313" s="35"/>
      <c r="JUQ313" s="15"/>
      <c r="JUS313" s="13"/>
      <c r="JUT313" s="35"/>
      <c r="JUU313" s="35"/>
      <c r="JUV313" s="15"/>
      <c r="JUX313" s="13"/>
      <c r="JUY313" s="35"/>
      <c r="JUZ313" s="35"/>
      <c r="JVA313" s="15"/>
      <c r="JVC313" s="13"/>
      <c r="JVD313" s="35"/>
      <c r="JVE313" s="35"/>
      <c r="JVF313" s="15"/>
      <c r="JVH313" s="13"/>
      <c r="JVI313" s="35"/>
      <c r="JVJ313" s="35"/>
      <c r="JVK313" s="15"/>
      <c r="JVM313" s="13"/>
      <c r="JVN313" s="35"/>
      <c r="JVO313" s="35"/>
      <c r="JVP313" s="15"/>
      <c r="JVR313" s="13"/>
      <c r="JVS313" s="35"/>
      <c r="JVT313" s="35"/>
      <c r="JVU313" s="15"/>
      <c r="JVW313" s="13"/>
      <c r="JVX313" s="35"/>
      <c r="JVY313" s="35"/>
      <c r="JVZ313" s="15"/>
      <c r="JWB313" s="13"/>
      <c r="JWC313" s="35"/>
      <c r="JWD313" s="35"/>
      <c r="JWE313" s="15"/>
      <c r="JWG313" s="13"/>
      <c r="JWH313" s="35"/>
      <c r="JWI313" s="35"/>
      <c r="JWJ313" s="15"/>
      <c r="JWL313" s="13"/>
      <c r="JWM313" s="35"/>
      <c r="JWN313" s="35"/>
      <c r="JWO313" s="15"/>
      <c r="JWQ313" s="13"/>
      <c r="JWR313" s="35"/>
      <c r="JWS313" s="35"/>
      <c r="JWT313" s="15"/>
      <c r="JWV313" s="13"/>
      <c r="JWW313" s="35"/>
      <c r="JWX313" s="35"/>
      <c r="JWY313" s="15"/>
      <c r="JXA313" s="13"/>
      <c r="JXB313" s="35"/>
      <c r="JXC313" s="35"/>
      <c r="JXD313" s="15"/>
      <c r="JXF313" s="13"/>
      <c r="JXG313" s="35"/>
      <c r="JXH313" s="35"/>
      <c r="JXI313" s="15"/>
      <c r="JXK313" s="13"/>
      <c r="JXL313" s="35"/>
      <c r="JXM313" s="35"/>
      <c r="JXN313" s="15"/>
      <c r="JXP313" s="13"/>
      <c r="JXQ313" s="35"/>
      <c r="JXR313" s="35"/>
      <c r="JXS313" s="15"/>
      <c r="JXU313" s="13"/>
      <c r="JXV313" s="35"/>
      <c r="JXW313" s="35"/>
      <c r="JXX313" s="15"/>
      <c r="JXZ313" s="13"/>
      <c r="JYA313" s="35"/>
      <c r="JYB313" s="35"/>
      <c r="JYC313" s="15"/>
      <c r="JYE313" s="13"/>
      <c r="JYF313" s="35"/>
      <c r="JYG313" s="35"/>
      <c r="JYH313" s="15"/>
      <c r="JYJ313" s="13"/>
      <c r="JYK313" s="35"/>
      <c r="JYL313" s="35"/>
      <c r="JYM313" s="15"/>
      <c r="JYO313" s="13"/>
      <c r="JYP313" s="35"/>
      <c r="JYQ313" s="35"/>
      <c r="JYR313" s="15"/>
      <c r="JYT313" s="13"/>
      <c r="JYU313" s="35"/>
      <c r="JYV313" s="35"/>
      <c r="JYW313" s="15"/>
      <c r="JYY313" s="13"/>
      <c r="JYZ313" s="35"/>
      <c r="JZA313" s="35"/>
      <c r="JZB313" s="15"/>
      <c r="JZD313" s="13"/>
      <c r="JZE313" s="35"/>
      <c r="JZF313" s="35"/>
      <c r="JZG313" s="15"/>
      <c r="JZI313" s="13"/>
      <c r="JZJ313" s="35"/>
      <c r="JZK313" s="35"/>
      <c r="JZL313" s="15"/>
      <c r="JZN313" s="13"/>
      <c r="JZO313" s="35"/>
      <c r="JZP313" s="35"/>
      <c r="JZQ313" s="15"/>
      <c r="JZS313" s="13"/>
      <c r="JZT313" s="35"/>
      <c r="JZU313" s="35"/>
      <c r="JZV313" s="15"/>
      <c r="JZX313" s="13"/>
      <c r="JZY313" s="35"/>
      <c r="JZZ313" s="35"/>
      <c r="KAA313" s="15"/>
      <c r="KAC313" s="13"/>
      <c r="KAD313" s="35"/>
      <c r="KAE313" s="35"/>
      <c r="KAF313" s="15"/>
      <c r="KAH313" s="13"/>
      <c r="KAI313" s="35"/>
      <c r="KAJ313" s="35"/>
      <c r="KAK313" s="15"/>
      <c r="KAM313" s="13"/>
      <c r="KAN313" s="35"/>
      <c r="KAO313" s="35"/>
      <c r="KAP313" s="15"/>
      <c r="KAR313" s="13"/>
      <c r="KAS313" s="35"/>
      <c r="KAT313" s="35"/>
      <c r="KAU313" s="15"/>
      <c r="KAW313" s="13"/>
      <c r="KAX313" s="35"/>
      <c r="KAY313" s="35"/>
      <c r="KAZ313" s="15"/>
      <c r="KBB313" s="13"/>
      <c r="KBC313" s="35"/>
      <c r="KBD313" s="35"/>
      <c r="KBE313" s="15"/>
      <c r="KBG313" s="13"/>
      <c r="KBH313" s="35"/>
      <c r="KBI313" s="35"/>
      <c r="KBJ313" s="15"/>
      <c r="KBL313" s="13"/>
      <c r="KBM313" s="35"/>
      <c r="KBN313" s="35"/>
      <c r="KBO313" s="15"/>
      <c r="KBQ313" s="13"/>
      <c r="KBR313" s="35"/>
      <c r="KBS313" s="35"/>
      <c r="KBT313" s="15"/>
      <c r="KBV313" s="13"/>
      <c r="KBW313" s="35"/>
      <c r="KBX313" s="35"/>
      <c r="KBY313" s="15"/>
      <c r="KCA313" s="13"/>
      <c r="KCB313" s="35"/>
      <c r="KCC313" s="35"/>
      <c r="KCD313" s="15"/>
      <c r="KCF313" s="13"/>
      <c r="KCG313" s="35"/>
      <c r="KCH313" s="35"/>
      <c r="KCI313" s="15"/>
      <c r="KCK313" s="13"/>
      <c r="KCL313" s="35"/>
      <c r="KCM313" s="35"/>
      <c r="KCN313" s="15"/>
      <c r="KCP313" s="13"/>
      <c r="KCQ313" s="35"/>
      <c r="KCR313" s="35"/>
      <c r="KCS313" s="15"/>
      <c r="KCU313" s="13"/>
      <c r="KCV313" s="35"/>
      <c r="KCW313" s="35"/>
      <c r="KCX313" s="15"/>
      <c r="KCZ313" s="13"/>
      <c r="KDA313" s="35"/>
      <c r="KDB313" s="35"/>
      <c r="KDC313" s="15"/>
      <c r="KDE313" s="13"/>
      <c r="KDF313" s="35"/>
      <c r="KDG313" s="35"/>
      <c r="KDH313" s="15"/>
      <c r="KDJ313" s="13"/>
      <c r="KDK313" s="35"/>
      <c r="KDL313" s="35"/>
      <c r="KDM313" s="15"/>
      <c r="KDO313" s="13"/>
      <c r="KDP313" s="35"/>
      <c r="KDQ313" s="35"/>
      <c r="KDR313" s="15"/>
      <c r="KDT313" s="13"/>
      <c r="KDU313" s="35"/>
      <c r="KDV313" s="35"/>
      <c r="KDW313" s="15"/>
      <c r="KDY313" s="13"/>
      <c r="KDZ313" s="35"/>
      <c r="KEA313" s="35"/>
      <c r="KEB313" s="15"/>
      <c r="KED313" s="13"/>
      <c r="KEE313" s="35"/>
      <c r="KEF313" s="35"/>
      <c r="KEG313" s="15"/>
      <c r="KEI313" s="13"/>
      <c r="KEJ313" s="35"/>
      <c r="KEK313" s="35"/>
      <c r="KEL313" s="15"/>
      <c r="KEN313" s="13"/>
      <c r="KEO313" s="35"/>
      <c r="KEP313" s="35"/>
      <c r="KEQ313" s="15"/>
      <c r="KES313" s="13"/>
      <c r="KET313" s="35"/>
      <c r="KEU313" s="35"/>
      <c r="KEV313" s="15"/>
      <c r="KEX313" s="13"/>
      <c r="KEY313" s="35"/>
      <c r="KEZ313" s="35"/>
      <c r="KFA313" s="15"/>
      <c r="KFC313" s="13"/>
      <c r="KFD313" s="35"/>
      <c r="KFE313" s="35"/>
      <c r="KFF313" s="15"/>
      <c r="KFH313" s="13"/>
      <c r="KFI313" s="35"/>
      <c r="KFJ313" s="35"/>
      <c r="KFK313" s="15"/>
      <c r="KFM313" s="13"/>
      <c r="KFN313" s="35"/>
      <c r="KFO313" s="35"/>
      <c r="KFP313" s="15"/>
      <c r="KFR313" s="13"/>
      <c r="KFS313" s="35"/>
      <c r="KFT313" s="35"/>
      <c r="KFU313" s="15"/>
      <c r="KFW313" s="13"/>
      <c r="KFX313" s="35"/>
      <c r="KFY313" s="35"/>
      <c r="KFZ313" s="15"/>
      <c r="KGB313" s="13"/>
      <c r="KGC313" s="35"/>
      <c r="KGD313" s="35"/>
      <c r="KGE313" s="15"/>
      <c r="KGG313" s="13"/>
      <c r="KGH313" s="35"/>
      <c r="KGI313" s="35"/>
      <c r="KGJ313" s="15"/>
      <c r="KGL313" s="13"/>
      <c r="KGM313" s="35"/>
      <c r="KGN313" s="35"/>
      <c r="KGO313" s="15"/>
      <c r="KGQ313" s="13"/>
      <c r="KGR313" s="35"/>
      <c r="KGS313" s="35"/>
      <c r="KGT313" s="15"/>
      <c r="KGV313" s="13"/>
      <c r="KGW313" s="35"/>
      <c r="KGX313" s="35"/>
      <c r="KGY313" s="15"/>
      <c r="KHA313" s="13"/>
      <c r="KHB313" s="35"/>
      <c r="KHC313" s="35"/>
      <c r="KHD313" s="15"/>
      <c r="KHF313" s="13"/>
      <c r="KHG313" s="35"/>
      <c r="KHH313" s="35"/>
      <c r="KHI313" s="15"/>
      <c r="KHK313" s="13"/>
      <c r="KHL313" s="35"/>
      <c r="KHM313" s="35"/>
      <c r="KHN313" s="15"/>
      <c r="KHP313" s="13"/>
      <c r="KHQ313" s="35"/>
      <c r="KHR313" s="35"/>
      <c r="KHS313" s="15"/>
      <c r="KHU313" s="13"/>
      <c r="KHV313" s="35"/>
      <c r="KHW313" s="35"/>
      <c r="KHX313" s="15"/>
      <c r="KHZ313" s="13"/>
      <c r="KIA313" s="35"/>
      <c r="KIB313" s="35"/>
      <c r="KIC313" s="15"/>
      <c r="KIE313" s="13"/>
      <c r="KIF313" s="35"/>
      <c r="KIG313" s="35"/>
      <c r="KIH313" s="15"/>
      <c r="KIJ313" s="13"/>
      <c r="KIK313" s="35"/>
      <c r="KIL313" s="35"/>
      <c r="KIM313" s="15"/>
      <c r="KIO313" s="13"/>
      <c r="KIP313" s="35"/>
      <c r="KIQ313" s="35"/>
      <c r="KIR313" s="15"/>
      <c r="KIT313" s="13"/>
      <c r="KIU313" s="35"/>
      <c r="KIV313" s="35"/>
      <c r="KIW313" s="15"/>
      <c r="KIY313" s="13"/>
      <c r="KIZ313" s="35"/>
      <c r="KJA313" s="35"/>
      <c r="KJB313" s="15"/>
      <c r="KJD313" s="13"/>
      <c r="KJE313" s="35"/>
      <c r="KJF313" s="35"/>
      <c r="KJG313" s="15"/>
      <c r="KJI313" s="13"/>
      <c r="KJJ313" s="35"/>
      <c r="KJK313" s="35"/>
      <c r="KJL313" s="15"/>
      <c r="KJN313" s="13"/>
      <c r="KJO313" s="35"/>
      <c r="KJP313" s="35"/>
      <c r="KJQ313" s="15"/>
      <c r="KJS313" s="13"/>
      <c r="KJT313" s="35"/>
      <c r="KJU313" s="35"/>
      <c r="KJV313" s="15"/>
      <c r="KJX313" s="13"/>
      <c r="KJY313" s="35"/>
      <c r="KJZ313" s="35"/>
      <c r="KKA313" s="15"/>
      <c r="KKC313" s="13"/>
      <c r="KKD313" s="35"/>
      <c r="KKE313" s="35"/>
      <c r="KKF313" s="15"/>
      <c r="KKH313" s="13"/>
      <c r="KKI313" s="35"/>
      <c r="KKJ313" s="35"/>
      <c r="KKK313" s="15"/>
      <c r="KKM313" s="13"/>
      <c r="KKN313" s="35"/>
      <c r="KKO313" s="35"/>
      <c r="KKP313" s="15"/>
      <c r="KKR313" s="13"/>
      <c r="KKS313" s="35"/>
      <c r="KKT313" s="35"/>
      <c r="KKU313" s="15"/>
      <c r="KKW313" s="13"/>
      <c r="KKX313" s="35"/>
      <c r="KKY313" s="35"/>
      <c r="KKZ313" s="15"/>
      <c r="KLB313" s="13"/>
      <c r="KLC313" s="35"/>
      <c r="KLD313" s="35"/>
      <c r="KLE313" s="15"/>
      <c r="KLG313" s="13"/>
      <c r="KLH313" s="35"/>
      <c r="KLI313" s="35"/>
      <c r="KLJ313" s="15"/>
      <c r="KLL313" s="13"/>
      <c r="KLM313" s="35"/>
      <c r="KLN313" s="35"/>
      <c r="KLO313" s="15"/>
      <c r="KLQ313" s="13"/>
      <c r="KLR313" s="35"/>
      <c r="KLS313" s="35"/>
      <c r="KLT313" s="15"/>
      <c r="KLV313" s="13"/>
      <c r="KLW313" s="35"/>
      <c r="KLX313" s="35"/>
      <c r="KLY313" s="15"/>
      <c r="KMA313" s="13"/>
      <c r="KMB313" s="35"/>
      <c r="KMC313" s="35"/>
      <c r="KMD313" s="15"/>
      <c r="KMF313" s="13"/>
      <c r="KMG313" s="35"/>
      <c r="KMH313" s="35"/>
      <c r="KMI313" s="15"/>
      <c r="KMK313" s="13"/>
      <c r="KML313" s="35"/>
      <c r="KMM313" s="35"/>
      <c r="KMN313" s="15"/>
      <c r="KMP313" s="13"/>
      <c r="KMQ313" s="35"/>
      <c r="KMR313" s="35"/>
      <c r="KMS313" s="15"/>
      <c r="KMU313" s="13"/>
      <c r="KMV313" s="35"/>
      <c r="KMW313" s="35"/>
      <c r="KMX313" s="15"/>
      <c r="KMZ313" s="13"/>
      <c r="KNA313" s="35"/>
      <c r="KNB313" s="35"/>
      <c r="KNC313" s="15"/>
      <c r="KNE313" s="13"/>
      <c r="KNF313" s="35"/>
      <c r="KNG313" s="35"/>
      <c r="KNH313" s="15"/>
      <c r="KNJ313" s="13"/>
      <c r="KNK313" s="35"/>
      <c r="KNL313" s="35"/>
      <c r="KNM313" s="15"/>
      <c r="KNO313" s="13"/>
      <c r="KNP313" s="35"/>
      <c r="KNQ313" s="35"/>
      <c r="KNR313" s="15"/>
      <c r="KNT313" s="13"/>
      <c r="KNU313" s="35"/>
      <c r="KNV313" s="35"/>
      <c r="KNW313" s="15"/>
      <c r="KNY313" s="13"/>
      <c r="KNZ313" s="35"/>
      <c r="KOA313" s="35"/>
      <c r="KOB313" s="15"/>
      <c r="KOD313" s="13"/>
      <c r="KOE313" s="35"/>
      <c r="KOF313" s="35"/>
      <c r="KOG313" s="15"/>
      <c r="KOI313" s="13"/>
      <c r="KOJ313" s="35"/>
      <c r="KOK313" s="35"/>
      <c r="KOL313" s="15"/>
      <c r="KON313" s="13"/>
      <c r="KOO313" s="35"/>
      <c r="KOP313" s="35"/>
      <c r="KOQ313" s="15"/>
      <c r="KOS313" s="13"/>
      <c r="KOT313" s="35"/>
      <c r="KOU313" s="35"/>
      <c r="KOV313" s="15"/>
      <c r="KOX313" s="13"/>
      <c r="KOY313" s="35"/>
      <c r="KOZ313" s="35"/>
      <c r="KPA313" s="15"/>
      <c r="KPC313" s="13"/>
      <c r="KPD313" s="35"/>
      <c r="KPE313" s="35"/>
      <c r="KPF313" s="15"/>
      <c r="KPH313" s="13"/>
      <c r="KPI313" s="35"/>
      <c r="KPJ313" s="35"/>
      <c r="KPK313" s="15"/>
      <c r="KPM313" s="13"/>
      <c r="KPN313" s="35"/>
      <c r="KPO313" s="35"/>
      <c r="KPP313" s="15"/>
      <c r="KPR313" s="13"/>
      <c r="KPS313" s="35"/>
      <c r="KPT313" s="35"/>
      <c r="KPU313" s="15"/>
      <c r="KPW313" s="13"/>
      <c r="KPX313" s="35"/>
      <c r="KPY313" s="35"/>
      <c r="KPZ313" s="15"/>
      <c r="KQB313" s="13"/>
      <c r="KQC313" s="35"/>
      <c r="KQD313" s="35"/>
      <c r="KQE313" s="15"/>
      <c r="KQG313" s="13"/>
      <c r="KQH313" s="35"/>
      <c r="KQI313" s="35"/>
      <c r="KQJ313" s="15"/>
      <c r="KQL313" s="13"/>
      <c r="KQM313" s="35"/>
      <c r="KQN313" s="35"/>
      <c r="KQO313" s="15"/>
      <c r="KQQ313" s="13"/>
      <c r="KQR313" s="35"/>
      <c r="KQS313" s="35"/>
      <c r="KQT313" s="15"/>
      <c r="KQV313" s="13"/>
      <c r="KQW313" s="35"/>
      <c r="KQX313" s="35"/>
      <c r="KQY313" s="15"/>
      <c r="KRA313" s="13"/>
      <c r="KRB313" s="35"/>
      <c r="KRC313" s="35"/>
      <c r="KRD313" s="15"/>
      <c r="KRF313" s="13"/>
      <c r="KRG313" s="35"/>
      <c r="KRH313" s="35"/>
      <c r="KRI313" s="15"/>
      <c r="KRK313" s="13"/>
      <c r="KRL313" s="35"/>
      <c r="KRM313" s="35"/>
      <c r="KRN313" s="15"/>
      <c r="KRP313" s="13"/>
      <c r="KRQ313" s="35"/>
      <c r="KRR313" s="35"/>
      <c r="KRS313" s="15"/>
      <c r="KRU313" s="13"/>
      <c r="KRV313" s="35"/>
      <c r="KRW313" s="35"/>
      <c r="KRX313" s="15"/>
      <c r="KRZ313" s="13"/>
      <c r="KSA313" s="35"/>
      <c r="KSB313" s="35"/>
      <c r="KSC313" s="15"/>
      <c r="KSE313" s="13"/>
      <c r="KSF313" s="35"/>
      <c r="KSG313" s="35"/>
      <c r="KSH313" s="15"/>
      <c r="KSJ313" s="13"/>
      <c r="KSK313" s="35"/>
      <c r="KSL313" s="35"/>
      <c r="KSM313" s="15"/>
      <c r="KSO313" s="13"/>
      <c r="KSP313" s="35"/>
      <c r="KSQ313" s="35"/>
      <c r="KSR313" s="15"/>
      <c r="KST313" s="13"/>
      <c r="KSU313" s="35"/>
      <c r="KSV313" s="35"/>
      <c r="KSW313" s="15"/>
      <c r="KSY313" s="13"/>
      <c r="KSZ313" s="35"/>
      <c r="KTA313" s="35"/>
      <c r="KTB313" s="15"/>
      <c r="KTD313" s="13"/>
      <c r="KTE313" s="35"/>
      <c r="KTF313" s="35"/>
      <c r="KTG313" s="15"/>
      <c r="KTI313" s="13"/>
      <c r="KTJ313" s="35"/>
      <c r="KTK313" s="35"/>
      <c r="KTL313" s="15"/>
      <c r="KTN313" s="13"/>
      <c r="KTO313" s="35"/>
      <c r="KTP313" s="35"/>
      <c r="KTQ313" s="15"/>
      <c r="KTS313" s="13"/>
      <c r="KTT313" s="35"/>
      <c r="KTU313" s="35"/>
      <c r="KTV313" s="15"/>
      <c r="KTX313" s="13"/>
      <c r="KTY313" s="35"/>
      <c r="KTZ313" s="35"/>
      <c r="KUA313" s="15"/>
      <c r="KUC313" s="13"/>
      <c r="KUD313" s="35"/>
      <c r="KUE313" s="35"/>
      <c r="KUF313" s="15"/>
      <c r="KUH313" s="13"/>
      <c r="KUI313" s="35"/>
      <c r="KUJ313" s="35"/>
      <c r="KUK313" s="15"/>
      <c r="KUM313" s="13"/>
      <c r="KUN313" s="35"/>
      <c r="KUO313" s="35"/>
      <c r="KUP313" s="15"/>
      <c r="KUR313" s="13"/>
      <c r="KUS313" s="35"/>
      <c r="KUT313" s="35"/>
      <c r="KUU313" s="15"/>
      <c r="KUW313" s="13"/>
      <c r="KUX313" s="35"/>
      <c r="KUY313" s="35"/>
      <c r="KUZ313" s="15"/>
      <c r="KVB313" s="13"/>
      <c r="KVC313" s="35"/>
      <c r="KVD313" s="35"/>
      <c r="KVE313" s="15"/>
      <c r="KVG313" s="13"/>
      <c r="KVH313" s="35"/>
      <c r="KVI313" s="35"/>
      <c r="KVJ313" s="15"/>
      <c r="KVL313" s="13"/>
      <c r="KVM313" s="35"/>
      <c r="KVN313" s="35"/>
      <c r="KVO313" s="15"/>
      <c r="KVQ313" s="13"/>
      <c r="KVR313" s="35"/>
      <c r="KVS313" s="35"/>
      <c r="KVT313" s="15"/>
      <c r="KVV313" s="13"/>
      <c r="KVW313" s="35"/>
      <c r="KVX313" s="35"/>
      <c r="KVY313" s="15"/>
      <c r="KWA313" s="13"/>
      <c r="KWB313" s="35"/>
      <c r="KWC313" s="35"/>
      <c r="KWD313" s="15"/>
      <c r="KWF313" s="13"/>
      <c r="KWG313" s="35"/>
      <c r="KWH313" s="35"/>
      <c r="KWI313" s="15"/>
      <c r="KWK313" s="13"/>
      <c r="KWL313" s="35"/>
      <c r="KWM313" s="35"/>
      <c r="KWN313" s="15"/>
      <c r="KWP313" s="13"/>
      <c r="KWQ313" s="35"/>
      <c r="KWR313" s="35"/>
      <c r="KWS313" s="15"/>
      <c r="KWU313" s="13"/>
      <c r="KWV313" s="35"/>
      <c r="KWW313" s="35"/>
      <c r="KWX313" s="15"/>
      <c r="KWZ313" s="13"/>
      <c r="KXA313" s="35"/>
      <c r="KXB313" s="35"/>
      <c r="KXC313" s="15"/>
      <c r="KXE313" s="13"/>
      <c r="KXF313" s="35"/>
      <c r="KXG313" s="35"/>
      <c r="KXH313" s="15"/>
      <c r="KXJ313" s="13"/>
      <c r="KXK313" s="35"/>
      <c r="KXL313" s="35"/>
      <c r="KXM313" s="15"/>
      <c r="KXO313" s="13"/>
      <c r="KXP313" s="35"/>
      <c r="KXQ313" s="35"/>
      <c r="KXR313" s="15"/>
      <c r="KXT313" s="13"/>
      <c r="KXU313" s="35"/>
      <c r="KXV313" s="35"/>
      <c r="KXW313" s="15"/>
      <c r="KXY313" s="13"/>
      <c r="KXZ313" s="35"/>
      <c r="KYA313" s="35"/>
      <c r="KYB313" s="15"/>
      <c r="KYD313" s="13"/>
      <c r="KYE313" s="35"/>
      <c r="KYF313" s="35"/>
      <c r="KYG313" s="15"/>
      <c r="KYI313" s="13"/>
      <c r="KYJ313" s="35"/>
      <c r="KYK313" s="35"/>
      <c r="KYL313" s="15"/>
      <c r="KYN313" s="13"/>
      <c r="KYO313" s="35"/>
      <c r="KYP313" s="35"/>
      <c r="KYQ313" s="15"/>
      <c r="KYS313" s="13"/>
      <c r="KYT313" s="35"/>
      <c r="KYU313" s="35"/>
      <c r="KYV313" s="15"/>
      <c r="KYX313" s="13"/>
      <c r="KYY313" s="35"/>
      <c r="KYZ313" s="35"/>
      <c r="KZA313" s="15"/>
      <c r="KZC313" s="13"/>
      <c r="KZD313" s="35"/>
      <c r="KZE313" s="35"/>
      <c r="KZF313" s="15"/>
      <c r="KZH313" s="13"/>
      <c r="KZI313" s="35"/>
      <c r="KZJ313" s="35"/>
      <c r="KZK313" s="15"/>
      <c r="KZM313" s="13"/>
      <c r="KZN313" s="35"/>
      <c r="KZO313" s="35"/>
      <c r="KZP313" s="15"/>
      <c r="KZR313" s="13"/>
      <c r="KZS313" s="35"/>
      <c r="KZT313" s="35"/>
      <c r="KZU313" s="15"/>
      <c r="KZW313" s="13"/>
      <c r="KZX313" s="35"/>
      <c r="KZY313" s="35"/>
      <c r="KZZ313" s="15"/>
      <c r="LAB313" s="13"/>
      <c r="LAC313" s="35"/>
      <c r="LAD313" s="35"/>
      <c r="LAE313" s="15"/>
      <c r="LAG313" s="13"/>
      <c r="LAH313" s="35"/>
      <c r="LAI313" s="35"/>
      <c r="LAJ313" s="15"/>
      <c r="LAL313" s="13"/>
      <c r="LAM313" s="35"/>
      <c r="LAN313" s="35"/>
      <c r="LAO313" s="15"/>
      <c r="LAQ313" s="13"/>
      <c r="LAR313" s="35"/>
      <c r="LAS313" s="35"/>
      <c r="LAT313" s="15"/>
      <c r="LAV313" s="13"/>
      <c r="LAW313" s="35"/>
      <c r="LAX313" s="35"/>
      <c r="LAY313" s="15"/>
      <c r="LBA313" s="13"/>
      <c r="LBB313" s="35"/>
      <c r="LBC313" s="35"/>
      <c r="LBD313" s="15"/>
      <c r="LBF313" s="13"/>
      <c r="LBG313" s="35"/>
      <c r="LBH313" s="35"/>
      <c r="LBI313" s="15"/>
      <c r="LBK313" s="13"/>
      <c r="LBL313" s="35"/>
      <c r="LBM313" s="35"/>
      <c r="LBN313" s="15"/>
      <c r="LBP313" s="13"/>
      <c r="LBQ313" s="35"/>
      <c r="LBR313" s="35"/>
      <c r="LBS313" s="15"/>
      <c r="LBU313" s="13"/>
      <c r="LBV313" s="35"/>
      <c r="LBW313" s="35"/>
      <c r="LBX313" s="15"/>
      <c r="LBZ313" s="13"/>
      <c r="LCA313" s="35"/>
      <c r="LCB313" s="35"/>
      <c r="LCC313" s="15"/>
      <c r="LCE313" s="13"/>
      <c r="LCF313" s="35"/>
      <c r="LCG313" s="35"/>
      <c r="LCH313" s="15"/>
      <c r="LCJ313" s="13"/>
      <c r="LCK313" s="35"/>
      <c r="LCL313" s="35"/>
      <c r="LCM313" s="15"/>
      <c r="LCO313" s="13"/>
      <c r="LCP313" s="35"/>
      <c r="LCQ313" s="35"/>
      <c r="LCR313" s="15"/>
      <c r="LCT313" s="13"/>
      <c r="LCU313" s="35"/>
      <c r="LCV313" s="35"/>
      <c r="LCW313" s="15"/>
      <c r="LCY313" s="13"/>
      <c r="LCZ313" s="35"/>
      <c r="LDA313" s="35"/>
      <c r="LDB313" s="15"/>
      <c r="LDD313" s="13"/>
      <c r="LDE313" s="35"/>
      <c r="LDF313" s="35"/>
      <c r="LDG313" s="15"/>
      <c r="LDI313" s="13"/>
      <c r="LDJ313" s="35"/>
      <c r="LDK313" s="35"/>
      <c r="LDL313" s="15"/>
      <c r="LDN313" s="13"/>
      <c r="LDO313" s="35"/>
      <c r="LDP313" s="35"/>
      <c r="LDQ313" s="15"/>
      <c r="LDS313" s="13"/>
      <c r="LDT313" s="35"/>
      <c r="LDU313" s="35"/>
      <c r="LDV313" s="15"/>
      <c r="LDX313" s="13"/>
      <c r="LDY313" s="35"/>
      <c r="LDZ313" s="35"/>
      <c r="LEA313" s="15"/>
      <c r="LEC313" s="13"/>
      <c r="LED313" s="35"/>
      <c r="LEE313" s="35"/>
      <c r="LEF313" s="15"/>
      <c r="LEH313" s="13"/>
      <c r="LEI313" s="35"/>
      <c r="LEJ313" s="35"/>
      <c r="LEK313" s="15"/>
      <c r="LEM313" s="13"/>
      <c r="LEN313" s="35"/>
      <c r="LEO313" s="35"/>
      <c r="LEP313" s="15"/>
      <c r="LER313" s="13"/>
      <c r="LES313" s="35"/>
      <c r="LET313" s="35"/>
      <c r="LEU313" s="15"/>
      <c r="LEW313" s="13"/>
      <c r="LEX313" s="35"/>
      <c r="LEY313" s="35"/>
      <c r="LEZ313" s="15"/>
      <c r="LFB313" s="13"/>
      <c r="LFC313" s="35"/>
      <c r="LFD313" s="35"/>
      <c r="LFE313" s="15"/>
      <c r="LFG313" s="13"/>
      <c r="LFH313" s="35"/>
      <c r="LFI313" s="35"/>
      <c r="LFJ313" s="15"/>
      <c r="LFL313" s="13"/>
      <c r="LFM313" s="35"/>
      <c r="LFN313" s="35"/>
      <c r="LFO313" s="15"/>
      <c r="LFQ313" s="13"/>
      <c r="LFR313" s="35"/>
      <c r="LFS313" s="35"/>
      <c r="LFT313" s="15"/>
      <c r="LFV313" s="13"/>
      <c r="LFW313" s="35"/>
      <c r="LFX313" s="35"/>
      <c r="LFY313" s="15"/>
      <c r="LGA313" s="13"/>
      <c r="LGB313" s="35"/>
      <c r="LGC313" s="35"/>
      <c r="LGD313" s="15"/>
      <c r="LGF313" s="13"/>
      <c r="LGG313" s="35"/>
      <c r="LGH313" s="35"/>
      <c r="LGI313" s="15"/>
      <c r="LGK313" s="13"/>
      <c r="LGL313" s="35"/>
      <c r="LGM313" s="35"/>
      <c r="LGN313" s="15"/>
      <c r="LGP313" s="13"/>
      <c r="LGQ313" s="35"/>
      <c r="LGR313" s="35"/>
      <c r="LGS313" s="15"/>
      <c r="LGU313" s="13"/>
      <c r="LGV313" s="35"/>
      <c r="LGW313" s="35"/>
      <c r="LGX313" s="15"/>
      <c r="LGZ313" s="13"/>
      <c r="LHA313" s="35"/>
      <c r="LHB313" s="35"/>
      <c r="LHC313" s="15"/>
      <c r="LHE313" s="13"/>
      <c r="LHF313" s="35"/>
      <c r="LHG313" s="35"/>
      <c r="LHH313" s="15"/>
      <c r="LHJ313" s="13"/>
      <c r="LHK313" s="35"/>
      <c r="LHL313" s="35"/>
      <c r="LHM313" s="15"/>
      <c r="LHO313" s="13"/>
      <c r="LHP313" s="35"/>
      <c r="LHQ313" s="35"/>
      <c r="LHR313" s="15"/>
      <c r="LHT313" s="13"/>
      <c r="LHU313" s="35"/>
      <c r="LHV313" s="35"/>
      <c r="LHW313" s="15"/>
      <c r="LHY313" s="13"/>
      <c r="LHZ313" s="35"/>
      <c r="LIA313" s="35"/>
      <c r="LIB313" s="15"/>
      <c r="LID313" s="13"/>
      <c r="LIE313" s="35"/>
      <c r="LIF313" s="35"/>
      <c r="LIG313" s="15"/>
      <c r="LII313" s="13"/>
      <c r="LIJ313" s="35"/>
      <c r="LIK313" s="35"/>
      <c r="LIL313" s="15"/>
      <c r="LIN313" s="13"/>
      <c r="LIO313" s="35"/>
      <c r="LIP313" s="35"/>
      <c r="LIQ313" s="15"/>
      <c r="LIS313" s="13"/>
      <c r="LIT313" s="35"/>
      <c r="LIU313" s="35"/>
      <c r="LIV313" s="15"/>
      <c r="LIX313" s="13"/>
      <c r="LIY313" s="35"/>
      <c r="LIZ313" s="35"/>
      <c r="LJA313" s="15"/>
      <c r="LJC313" s="13"/>
      <c r="LJD313" s="35"/>
      <c r="LJE313" s="35"/>
      <c r="LJF313" s="15"/>
      <c r="LJH313" s="13"/>
      <c r="LJI313" s="35"/>
      <c r="LJJ313" s="35"/>
      <c r="LJK313" s="15"/>
      <c r="LJM313" s="13"/>
      <c r="LJN313" s="35"/>
      <c r="LJO313" s="35"/>
      <c r="LJP313" s="15"/>
      <c r="LJR313" s="13"/>
      <c r="LJS313" s="35"/>
      <c r="LJT313" s="35"/>
      <c r="LJU313" s="15"/>
      <c r="LJW313" s="13"/>
      <c r="LJX313" s="35"/>
      <c r="LJY313" s="35"/>
      <c r="LJZ313" s="15"/>
      <c r="LKB313" s="13"/>
      <c r="LKC313" s="35"/>
      <c r="LKD313" s="35"/>
      <c r="LKE313" s="15"/>
      <c r="LKG313" s="13"/>
      <c r="LKH313" s="35"/>
      <c r="LKI313" s="35"/>
      <c r="LKJ313" s="15"/>
      <c r="LKL313" s="13"/>
      <c r="LKM313" s="35"/>
      <c r="LKN313" s="35"/>
      <c r="LKO313" s="15"/>
      <c r="LKQ313" s="13"/>
      <c r="LKR313" s="35"/>
      <c r="LKS313" s="35"/>
      <c r="LKT313" s="15"/>
      <c r="LKV313" s="13"/>
      <c r="LKW313" s="35"/>
      <c r="LKX313" s="35"/>
      <c r="LKY313" s="15"/>
      <c r="LLA313" s="13"/>
      <c r="LLB313" s="35"/>
      <c r="LLC313" s="35"/>
      <c r="LLD313" s="15"/>
      <c r="LLF313" s="13"/>
      <c r="LLG313" s="35"/>
      <c r="LLH313" s="35"/>
      <c r="LLI313" s="15"/>
      <c r="LLK313" s="13"/>
      <c r="LLL313" s="35"/>
      <c r="LLM313" s="35"/>
      <c r="LLN313" s="15"/>
      <c r="LLP313" s="13"/>
      <c r="LLQ313" s="35"/>
      <c r="LLR313" s="35"/>
      <c r="LLS313" s="15"/>
      <c r="LLU313" s="13"/>
      <c r="LLV313" s="35"/>
      <c r="LLW313" s="35"/>
      <c r="LLX313" s="15"/>
      <c r="LLZ313" s="13"/>
      <c r="LMA313" s="35"/>
      <c r="LMB313" s="35"/>
      <c r="LMC313" s="15"/>
      <c r="LME313" s="13"/>
      <c r="LMF313" s="35"/>
      <c r="LMG313" s="35"/>
      <c r="LMH313" s="15"/>
      <c r="LMJ313" s="13"/>
      <c r="LMK313" s="35"/>
      <c r="LML313" s="35"/>
      <c r="LMM313" s="15"/>
      <c r="LMO313" s="13"/>
      <c r="LMP313" s="35"/>
      <c r="LMQ313" s="35"/>
      <c r="LMR313" s="15"/>
      <c r="LMT313" s="13"/>
      <c r="LMU313" s="35"/>
      <c r="LMV313" s="35"/>
      <c r="LMW313" s="15"/>
      <c r="LMY313" s="13"/>
      <c r="LMZ313" s="35"/>
      <c r="LNA313" s="35"/>
      <c r="LNB313" s="15"/>
      <c r="LND313" s="13"/>
      <c r="LNE313" s="35"/>
      <c r="LNF313" s="35"/>
      <c r="LNG313" s="15"/>
      <c r="LNI313" s="13"/>
      <c r="LNJ313" s="35"/>
      <c r="LNK313" s="35"/>
      <c r="LNL313" s="15"/>
      <c r="LNN313" s="13"/>
      <c r="LNO313" s="35"/>
      <c r="LNP313" s="35"/>
      <c r="LNQ313" s="15"/>
      <c r="LNS313" s="13"/>
      <c r="LNT313" s="35"/>
      <c r="LNU313" s="35"/>
      <c r="LNV313" s="15"/>
      <c r="LNX313" s="13"/>
      <c r="LNY313" s="35"/>
      <c r="LNZ313" s="35"/>
      <c r="LOA313" s="15"/>
      <c r="LOC313" s="13"/>
      <c r="LOD313" s="35"/>
      <c r="LOE313" s="35"/>
      <c r="LOF313" s="15"/>
      <c r="LOH313" s="13"/>
      <c r="LOI313" s="35"/>
      <c r="LOJ313" s="35"/>
      <c r="LOK313" s="15"/>
      <c r="LOM313" s="13"/>
      <c r="LON313" s="35"/>
      <c r="LOO313" s="35"/>
      <c r="LOP313" s="15"/>
      <c r="LOR313" s="13"/>
      <c r="LOS313" s="35"/>
      <c r="LOT313" s="35"/>
      <c r="LOU313" s="15"/>
      <c r="LOW313" s="13"/>
      <c r="LOX313" s="35"/>
      <c r="LOY313" s="35"/>
      <c r="LOZ313" s="15"/>
      <c r="LPB313" s="13"/>
      <c r="LPC313" s="35"/>
      <c r="LPD313" s="35"/>
      <c r="LPE313" s="15"/>
      <c r="LPG313" s="13"/>
      <c r="LPH313" s="35"/>
      <c r="LPI313" s="35"/>
      <c r="LPJ313" s="15"/>
      <c r="LPL313" s="13"/>
      <c r="LPM313" s="35"/>
      <c r="LPN313" s="35"/>
      <c r="LPO313" s="15"/>
      <c r="LPQ313" s="13"/>
      <c r="LPR313" s="35"/>
      <c r="LPS313" s="35"/>
      <c r="LPT313" s="15"/>
      <c r="LPV313" s="13"/>
      <c r="LPW313" s="35"/>
      <c r="LPX313" s="35"/>
      <c r="LPY313" s="15"/>
      <c r="LQA313" s="13"/>
      <c r="LQB313" s="35"/>
      <c r="LQC313" s="35"/>
      <c r="LQD313" s="15"/>
      <c r="LQF313" s="13"/>
      <c r="LQG313" s="35"/>
      <c r="LQH313" s="35"/>
      <c r="LQI313" s="15"/>
      <c r="LQK313" s="13"/>
      <c r="LQL313" s="35"/>
      <c r="LQM313" s="35"/>
      <c r="LQN313" s="15"/>
      <c r="LQP313" s="13"/>
      <c r="LQQ313" s="35"/>
      <c r="LQR313" s="35"/>
      <c r="LQS313" s="15"/>
      <c r="LQU313" s="13"/>
      <c r="LQV313" s="35"/>
      <c r="LQW313" s="35"/>
      <c r="LQX313" s="15"/>
      <c r="LQZ313" s="13"/>
      <c r="LRA313" s="35"/>
      <c r="LRB313" s="35"/>
      <c r="LRC313" s="15"/>
      <c r="LRE313" s="13"/>
      <c r="LRF313" s="35"/>
      <c r="LRG313" s="35"/>
      <c r="LRH313" s="15"/>
      <c r="LRJ313" s="13"/>
      <c r="LRK313" s="35"/>
      <c r="LRL313" s="35"/>
      <c r="LRM313" s="15"/>
      <c r="LRO313" s="13"/>
      <c r="LRP313" s="35"/>
      <c r="LRQ313" s="35"/>
      <c r="LRR313" s="15"/>
      <c r="LRT313" s="13"/>
      <c r="LRU313" s="35"/>
      <c r="LRV313" s="35"/>
      <c r="LRW313" s="15"/>
      <c r="LRY313" s="13"/>
      <c r="LRZ313" s="35"/>
      <c r="LSA313" s="35"/>
      <c r="LSB313" s="15"/>
      <c r="LSD313" s="13"/>
      <c r="LSE313" s="35"/>
      <c r="LSF313" s="35"/>
      <c r="LSG313" s="15"/>
      <c r="LSI313" s="13"/>
      <c r="LSJ313" s="35"/>
      <c r="LSK313" s="35"/>
      <c r="LSL313" s="15"/>
      <c r="LSN313" s="13"/>
      <c r="LSO313" s="35"/>
      <c r="LSP313" s="35"/>
      <c r="LSQ313" s="15"/>
      <c r="LSS313" s="13"/>
      <c r="LST313" s="35"/>
      <c r="LSU313" s="35"/>
      <c r="LSV313" s="15"/>
      <c r="LSX313" s="13"/>
      <c r="LSY313" s="35"/>
      <c r="LSZ313" s="35"/>
      <c r="LTA313" s="15"/>
      <c r="LTC313" s="13"/>
      <c r="LTD313" s="35"/>
      <c r="LTE313" s="35"/>
      <c r="LTF313" s="15"/>
      <c r="LTH313" s="13"/>
      <c r="LTI313" s="35"/>
      <c r="LTJ313" s="35"/>
      <c r="LTK313" s="15"/>
      <c r="LTM313" s="13"/>
      <c r="LTN313" s="35"/>
      <c r="LTO313" s="35"/>
      <c r="LTP313" s="15"/>
      <c r="LTR313" s="13"/>
      <c r="LTS313" s="35"/>
      <c r="LTT313" s="35"/>
      <c r="LTU313" s="15"/>
      <c r="LTW313" s="13"/>
      <c r="LTX313" s="35"/>
      <c r="LTY313" s="35"/>
      <c r="LTZ313" s="15"/>
      <c r="LUB313" s="13"/>
      <c r="LUC313" s="35"/>
      <c r="LUD313" s="35"/>
      <c r="LUE313" s="15"/>
      <c r="LUG313" s="13"/>
      <c r="LUH313" s="35"/>
      <c r="LUI313" s="35"/>
      <c r="LUJ313" s="15"/>
      <c r="LUL313" s="13"/>
      <c r="LUM313" s="35"/>
      <c r="LUN313" s="35"/>
      <c r="LUO313" s="15"/>
      <c r="LUQ313" s="13"/>
      <c r="LUR313" s="35"/>
      <c r="LUS313" s="35"/>
      <c r="LUT313" s="15"/>
      <c r="LUV313" s="13"/>
      <c r="LUW313" s="35"/>
      <c r="LUX313" s="35"/>
      <c r="LUY313" s="15"/>
      <c r="LVA313" s="13"/>
      <c r="LVB313" s="35"/>
      <c r="LVC313" s="35"/>
      <c r="LVD313" s="15"/>
      <c r="LVF313" s="13"/>
      <c r="LVG313" s="35"/>
      <c r="LVH313" s="35"/>
      <c r="LVI313" s="15"/>
      <c r="LVK313" s="13"/>
      <c r="LVL313" s="35"/>
      <c r="LVM313" s="35"/>
      <c r="LVN313" s="15"/>
      <c r="LVP313" s="13"/>
      <c r="LVQ313" s="35"/>
      <c r="LVR313" s="35"/>
      <c r="LVS313" s="15"/>
      <c r="LVU313" s="13"/>
      <c r="LVV313" s="35"/>
      <c r="LVW313" s="35"/>
      <c r="LVX313" s="15"/>
      <c r="LVZ313" s="13"/>
      <c r="LWA313" s="35"/>
      <c r="LWB313" s="35"/>
      <c r="LWC313" s="15"/>
      <c r="LWE313" s="13"/>
      <c r="LWF313" s="35"/>
      <c r="LWG313" s="35"/>
      <c r="LWH313" s="15"/>
      <c r="LWJ313" s="13"/>
      <c r="LWK313" s="35"/>
      <c r="LWL313" s="35"/>
      <c r="LWM313" s="15"/>
      <c r="LWO313" s="13"/>
      <c r="LWP313" s="35"/>
      <c r="LWQ313" s="35"/>
      <c r="LWR313" s="15"/>
      <c r="LWT313" s="13"/>
      <c r="LWU313" s="35"/>
      <c r="LWV313" s="35"/>
      <c r="LWW313" s="15"/>
      <c r="LWY313" s="13"/>
      <c r="LWZ313" s="35"/>
      <c r="LXA313" s="35"/>
      <c r="LXB313" s="15"/>
      <c r="LXD313" s="13"/>
      <c r="LXE313" s="35"/>
      <c r="LXF313" s="35"/>
      <c r="LXG313" s="15"/>
      <c r="LXI313" s="13"/>
      <c r="LXJ313" s="35"/>
      <c r="LXK313" s="35"/>
      <c r="LXL313" s="15"/>
      <c r="LXN313" s="13"/>
      <c r="LXO313" s="35"/>
      <c r="LXP313" s="35"/>
      <c r="LXQ313" s="15"/>
      <c r="LXS313" s="13"/>
      <c r="LXT313" s="35"/>
      <c r="LXU313" s="35"/>
      <c r="LXV313" s="15"/>
      <c r="LXX313" s="13"/>
      <c r="LXY313" s="35"/>
      <c r="LXZ313" s="35"/>
      <c r="LYA313" s="15"/>
      <c r="LYC313" s="13"/>
      <c r="LYD313" s="35"/>
      <c r="LYE313" s="35"/>
      <c r="LYF313" s="15"/>
      <c r="LYH313" s="13"/>
      <c r="LYI313" s="35"/>
      <c r="LYJ313" s="35"/>
      <c r="LYK313" s="15"/>
      <c r="LYM313" s="13"/>
      <c r="LYN313" s="35"/>
      <c r="LYO313" s="35"/>
      <c r="LYP313" s="15"/>
      <c r="LYR313" s="13"/>
      <c r="LYS313" s="35"/>
      <c r="LYT313" s="35"/>
      <c r="LYU313" s="15"/>
      <c r="LYW313" s="13"/>
      <c r="LYX313" s="35"/>
      <c r="LYY313" s="35"/>
      <c r="LYZ313" s="15"/>
      <c r="LZB313" s="13"/>
      <c r="LZC313" s="35"/>
      <c r="LZD313" s="35"/>
      <c r="LZE313" s="15"/>
      <c r="LZG313" s="13"/>
      <c r="LZH313" s="35"/>
      <c r="LZI313" s="35"/>
      <c r="LZJ313" s="15"/>
      <c r="LZL313" s="13"/>
      <c r="LZM313" s="35"/>
      <c r="LZN313" s="35"/>
      <c r="LZO313" s="15"/>
      <c r="LZQ313" s="13"/>
      <c r="LZR313" s="35"/>
      <c r="LZS313" s="35"/>
      <c r="LZT313" s="15"/>
      <c r="LZV313" s="13"/>
      <c r="LZW313" s="35"/>
      <c r="LZX313" s="35"/>
      <c r="LZY313" s="15"/>
      <c r="MAA313" s="13"/>
      <c r="MAB313" s="35"/>
      <c r="MAC313" s="35"/>
      <c r="MAD313" s="15"/>
      <c r="MAF313" s="13"/>
      <c r="MAG313" s="35"/>
      <c r="MAH313" s="35"/>
      <c r="MAI313" s="15"/>
      <c r="MAK313" s="13"/>
      <c r="MAL313" s="35"/>
      <c r="MAM313" s="35"/>
      <c r="MAN313" s="15"/>
      <c r="MAP313" s="13"/>
      <c r="MAQ313" s="35"/>
      <c r="MAR313" s="35"/>
      <c r="MAS313" s="15"/>
      <c r="MAU313" s="13"/>
      <c r="MAV313" s="35"/>
      <c r="MAW313" s="35"/>
      <c r="MAX313" s="15"/>
      <c r="MAZ313" s="13"/>
      <c r="MBA313" s="35"/>
      <c r="MBB313" s="35"/>
      <c r="MBC313" s="15"/>
      <c r="MBE313" s="13"/>
      <c r="MBF313" s="35"/>
      <c r="MBG313" s="35"/>
      <c r="MBH313" s="15"/>
      <c r="MBJ313" s="13"/>
      <c r="MBK313" s="35"/>
      <c r="MBL313" s="35"/>
      <c r="MBM313" s="15"/>
      <c r="MBO313" s="13"/>
      <c r="MBP313" s="35"/>
      <c r="MBQ313" s="35"/>
      <c r="MBR313" s="15"/>
      <c r="MBT313" s="13"/>
      <c r="MBU313" s="35"/>
      <c r="MBV313" s="35"/>
      <c r="MBW313" s="15"/>
      <c r="MBY313" s="13"/>
      <c r="MBZ313" s="35"/>
      <c r="MCA313" s="35"/>
      <c r="MCB313" s="15"/>
      <c r="MCD313" s="13"/>
      <c r="MCE313" s="35"/>
      <c r="MCF313" s="35"/>
      <c r="MCG313" s="15"/>
      <c r="MCI313" s="13"/>
      <c r="MCJ313" s="35"/>
      <c r="MCK313" s="35"/>
      <c r="MCL313" s="15"/>
      <c r="MCN313" s="13"/>
      <c r="MCO313" s="35"/>
      <c r="MCP313" s="35"/>
      <c r="MCQ313" s="15"/>
      <c r="MCS313" s="13"/>
      <c r="MCT313" s="35"/>
      <c r="MCU313" s="35"/>
      <c r="MCV313" s="15"/>
      <c r="MCX313" s="13"/>
      <c r="MCY313" s="35"/>
      <c r="MCZ313" s="35"/>
      <c r="MDA313" s="15"/>
      <c r="MDC313" s="13"/>
      <c r="MDD313" s="35"/>
      <c r="MDE313" s="35"/>
      <c r="MDF313" s="15"/>
      <c r="MDH313" s="13"/>
      <c r="MDI313" s="35"/>
      <c r="MDJ313" s="35"/>
      <c r="MDK313" s="15"/>
      <c r="MDM313" s="13"/>
      <c r="MDN313" s="35"/>
      <c r="MDO313" s="35"/>
      <c r="MDP313" s="15"/>
      <c r="MDR313" s="13"/>
      <c r="MDS313" s="35"/>
      <c r="MDT313" s="35"/>
      <c r="MDU313" s="15"/>
      <c r="MDW313" s="13"/>
      <c r="MDX313" s="35"/>
      <c r="MDY313" s="35"/>
      <c r="MDZ313" s="15"/>
      <c r="MEB313" s="13"/>
      <c r="MEC313" s="35"/>
      <c r="MED313" s="35"/>
      <c r="MEE313" s="15"/>
      <c r="MEG313" s="13"/>
      <c r="MEH313" s="35"/>
      <c r="MEI313" s="35"/>
      <c r="MEJ313" s="15"/>
      <c r="MEL313" s="13"/>
      <c r="MEM313" s="35"/>
      <c r="MEN313" s="35"/>
      <c r="MEO313" s="15"/>
      <c r="MEQ313" s="13"/>
      <c r="MER313" s="35"/>
      <c r="MES313" s="35"/>
      <c r="MET313" s="15"/>
      <c r="MEV313" s="13"/>
      <c r="MEW313" s="35"/>
      <c r="MEX313" s="35"/>
      <c r="MEY313" s="15"/>
      <c r="MFA313" s="13"/>
      <c r="MFB313" s="35"/>
      <c r="MFC313" s="35"/>
      <c r="MFD313" s="15"/>
      <c r="MFF313" s="13"/>
      <c r="MFG313" s="35"/>
      <c r="MFH313" s="35"/>
      <c r="MFI313" s="15"/>
      <c r="MFK313" s="13"/>
      <c r="MFL313" s="35"/>
      <c r="MFM313" s="35"/>
      <c r="MFN313" s="15"/>
      <c r="MFP313" s="13"/>
      <c r="MFQ313" s="35"/>
      <c r="MFR313" s="35"/>
      <c r="MFS313" s="15"/>
      <c r="MFU313" s="13"/>
      <c r="MFV313" s="35"/>
      <c r="MFW313" s="35"/>
      <c r="MFX313" s="15"/>
      <c r="MFZ313" s="13"/>
      <c r="MGA313" s="35"/>
      <c r="MGB313" s="35"/>
      <c r="MGC313" s="15"/>
      <c r="MGE313" s="13"/>
      <c r="MGF313" s="35"/>
      <c r="MGG313" s="35"/>
      <c r="MGH313" s="15"/>
      <c r="MGJ313" s="13"/>
      <c r="MGK313" s="35"/>
      <c r="MGL313" s="35"/>
      <c r="MGM313" s="15"/>
      <c r="MGO313" s="13"/>
      <c r="MGP313" s="35"/>
      <c r="MGQ313" s="35"/>
      <c r="MGR313" s="15"/>
      <c r="MGT313" s="13"/>
      <c r="MGU313" s="35"/>
      <c r="MGV313" s="35"/>
      <c r="MGW313" s="15"/>
      <c r="MGY313" s="13"/>
      <c r="MGZ313" s="35"/>
      <c r="MHA313" s="35"/>
      <c r="MHB313" s="15"/>
      <c r="MHD313" s="13"/>
      <c r="MHE313" s="35"/>
      <c r="MHF313" s="35"/>
      <c r="MHG313" s="15"/>
      <c r="MHI313" s="13"/>
      <c r="MHJ313" s="35"/>
      <c r="MHK313" s="35"/>
      <c r="MHL313" s="15"/>
      <c r="MHN313" s="13"/>
      <c r="MHO313" s="35"/>
      <c r="MHP313" s="35"/>
      <c r="MHQ313" s="15"/>
      <c r="MHS313" s="13"/>
      <c r="MHT313" s="35"/>
      <c r="MHU313" s="35"/>
      <c r="MHV313" s="15"/>
      <c r="MHX313" s="13"/>
      <c r="MHY313" s="35"/>
      <c r="MHZ313" s="35"/>
      <c r="MIA313" s="15"/>
      <c r="MIC313" s="13"/>
      <c r="MID313" s="35"/>
      <c r="MIE313" s="35"/>
      <c r="MIF313" s="15"/>
      <c r="MIH313" s="13"/>
      <c r="MII313" s="35"/>
      <c r="MIJ313" s="35"/>
      <c r="MIK313" s="15"/>
      <c r="MIM313" s="13"/>
      <c r="MIN313" s="35"/>
      <c r="MIO313" s="35"/>
      <c r="MIP313" s="15"/>
      <c r="MIR313" s="13"/>
      <c r="MIS313" s="35"/>
      <c r="MIT313" s="35"/>
      <c r="MIU313" s="15"/>
      <c r="MIW313" s="13"/>
      <c r="MIX313" s="35"/>
      <c r="MIY313" s="35"/>
      <c r="MIZ313" s="15"/>
      <c r="MJB313" s="13"/>
      <c r="MJC313" s="35"/>
      <c r="MJD313" s="35"/>
      <c r="MJE313" s="15"/>
      <c r="MJG313" s="13"/>
      <c r="MJH313" s="35"/>
      <c r="MJI313" s="35"/>
      <c r="MJJ313" s="15"/>
      <c r="MJL313" s="13"/>
      <c r="MJM313" s="35"/>
      <c r="MJN313" s="35"/>
      <c r="MJO313" s="15"/>
      <c r="MJQ313" s="13"/>
      <c r="MJR313" s="35"/>
      <c r="MJS313" s="35"/>
      <c r="MJT313" s="15"/>
      <c r="MJV313" s="13"/>
      <c r="MJW313" s="35"/>
      <c r="MJX313" s="35"/>
      <c r="MJY313" s="15"/>
      <c r="MKA313" s="13"/>
      <c r="MKB313" s="35"/>
      <c r="MKC313" s="35"/>
      <c r="MKD313" s="15"/>
      <c r="MKF313" s="13"/>
      <c r="MKG313" s="35"/>
      <c r="MKH313" s="35"/>
      <c r="MKI313" s="15"/>
      <c r="MKK313" s="13"/>
      <c r="MKL313" s="35"/>
      <c r="MKM313" s="35"/>
      <c r="MKN313" s="15"/>
      <c r="MKP313" s="13"/>
      <c r="MKQ313" s="35"/>
      <c r="MKR313" s="35"/>
      <c r="MKS313" s="15"/>
      <c r="MKU313" s="13"/>
      <c r="MKV313" s="35"/>
      <c r="MKW313" s="35"/>
      <c r="MKX313" s="15"/>
      <c r="MKZ313" s="13"/>
      <c r="MLA313" s="35"/>
      <c r="MLB313" s="35"/>
      <c r="MLC313" s="15"/>
      <c r="MLE313" s="13"/>
      <c r="MLF313" s="35"/>
      <c r="MLG313" s="35"/>
      <c r="MLH313" s="15"/>
      <c r="MLJ313" s="13"/>
      <c r="MLK313" s="35"/>
      <c r="MLL313" s="35"/>
      <c r="MLM313" s="15"/>
      <c r="MLO313" s="13"/>
      <c r="MLP313" s="35"/>
      <c r="MLQ313" s="35"/>
      <c r="MLR313" s="15"/>
      <c r="MLT313" s="13"/>
      <c r="MLU313" s="35"/>
      <c r="MLV313" s="35"/>
      <c r="MLW313" s="15"/>
      <c r="MLY313" s="13"/>
      <c r="MLZ313" s="35"/>
      <c r="MMA313" s="35"/>
      <c r="MMB313" s="15"/>
      <c r="MMD313" s="13"/>
      <c r="MME313" s="35"/>
      <c r="MMF313" s="35"/>
      <c r="MMG313" s="15"/>
      <c r="MMI313" s="13"/>
      <c r="MMJ313" s="35"/>
      <c r="MMK313" s="35"/>
      <c r="MML313" s="15"/>
      <c r="MMN313" s="13"/>
      <c r="MMO313" s="35"/>
      <c r="MMP313" s="35"/>
      <c r="MMQ313" s="15"/>
      <c r="MMS313" s="13"/>
      <c r="MMT313" s="35"/>
      <c r="MMU313" s="35"/>
      <c r="MMV313" s="15"/>
      <c r="MMX313" s="13"/>
      <c r="MMY313" s="35"/>
      <c r="MMZ313" s="35"/>
      <c r="MNA313" s="15"/>
      <c r="MNC313" s="13"/>
      <c r="MND313" s="35"/>
      <c r="MNE313" s="35"/>
      <c r="MNF313" s="15"/>
      <c r="MNH313" s="13"/>
      <c r="MNI313" s="35"/>
      <c r="MNJ313" s="35"/>
      <c r="MNK313" s="15"/>
      <c r="MNM313" s="13"/>
      <c r="MNN313" s="35"/>
      <c r="MNO313" s="35"/>
      <c r="MNP313" s="15"/>
      <c r="MNR313" s="13"/>
      <c r="MNS313" s="35"/>
      <c r="MNT313" s="35"/>
      <c r="MNU313" s="15"/>
      <c r="MNW313" s="13"/>
      <c r="MNX313" s="35"/>
      <c r="MNY313" s="35"/>
      <c r="MNZ313" s="15"/>
      <c r="MOB313" s="13"/>
      <c r="MOC313" s="35"/>
      <c r="MOD313" s="35"/>
      <c r="MOE313" s="15"/>
      <c r="MOG313" s="13"/>
      <c r="MOH313" s="35"/>
      <c r="MOI313" s="35"/>
      <c r="MOJ313" s="15"/>
      <c r="MOL313" s="13"/>
      <c r="MOM313" s="35"/>
      <c r="MON313" s="35"/>
      <c r="MOO313" s="15"/>
      <c r="MOQ313" s="13"/>
      <c r="MOR313" s="35"/>
      <c r="MOS313" s="35"/>
      <c r="MOT313" s="15"/>
      <c r="MOV313" s="13"/>
      <c r="MOW313" s="35"/>
      <c r="MOX313" s="35"/>
      <c r="MOY313" s="15"/>
      <c r="MPA313" s="13"/>
      <c r="MPB313" s="35"/>
      <c r="MPC313" s="35"/>
      <c r="MPD313" s="15"/>
      <c r="MPF313" s="13"/>
      <c r="MPG313" s="35"/>
      <c r="MPH313" s="35"/>
      <c r="MPI313" s="15"/>
      <c r="MPK313" s="13"/>
      <c r="MPL313" s="35"/>
      <c r="MPM313" s="35"/>
      <c r="MPN313" s="15"/>
      <c r="MPP313" s="13"/>
      <c r="MPQ313" s="35"/>
      <c r="MPR313" s="35"/>
      <c r="MPS313" s="15"/>
      <c r="MPU313" s="13"/>
      <c r="MPV313" s="35"/>
      <c r="MPW313" s="35"/>
      <c r="MPX313" s="15"/>
      <c r="MPZ313" s="13"/>
      <c r="MQA313" s="35"/>
      <c r="MQB313" s="35"/>
      <c r="MQC313" s="15"/>
      <c r="MQE313" s="13"/>
      <c r="MQF313" s="35"/>
      <c r="MQG313" s="35"/>
      <c r="MQH313" s="15"/>
      <c r="MQJ313" s="13"/>
      <c r="MQK313" s="35"/>
      <c r="MQL313" s="35"/>
      <c r="MQM313" s="15"/>
      <c r="MQO313" s="13"/>
      <c r="MQP313" s="35"/>
      <c r="MQQ313" s="35"/>
      <c r="MQR313" s="15"/>
      <c r="MQT313" s="13"/>
      <c r="MQU313" s="35"/>
      <c r="MQV313" s="35"/>
      <c r="MQW313" s="15"/>
      <c r="MQY313" s="13"/>
      <c r="MQZ313" s="35"/>
      <c r="MRA313" s="35"/>
      <c r="MRB313" s="15"/>
      <c r="MRD313" s="13"/>
      <c r="MRE313" s="35"/>
      <c r="MRF313" s="35"/>
      <c r="MRG313" s="15"/>
      <c r="MRI313" s="13"/>
      <c r="MRJ313" s="35"/>
      <c r="MRK313" s="35"/>
      <c r="MRL313" s="15"/>
      <c r="MRN313" s="13"/>
      <c r="MRO313" s="35"/>
      <c r="MRP313" s="35"/>
      <c r="MRQ313" s="15"/>
      <c r="MRS313" s="13"/>
      <c r="MRT313" s="35"/>
      <c r="MRU313" s="35"/>
      <c r="MRV313" s="15"/>
      <c r="MRX313" s="13"/>
      <c r="MRY313" s="35"/>
      <c r="MRZ313" s="35"/>
      <c r="MSA313" s="15"/>
      <c r="MSC313" s="13"/>
      <c r="MSD313" s="35"/>
      <c r="MSE313" s="35"/>
      <c r="MSF313" s="15"/>
      <c r="MSH313" s="13"/>
      <c r="MSI313" s="35"/>
      <c r="MSJ313" s="35"/>
      <c r="MSK313" s="15"/>
      <c r="MSM313" s="13"/>
      <c r="MSN313" s="35"/>
      <c r="MSO313" s="35"/>
      <c r="MSP313" s="15"/>
      <c r="MSR313" s="13"/>
      <c r="MSS313" s="35"/>
      <c r="MST313" s="35"/>
      <c r="MSU313" s="15"/>
      <c r="MSW313" s="13"/>
      <c r="MSX313" s="35"/>
      <c r="MSY313" s="35"/>
      <c r="MSZ313" s="15"/>
      <c r="MTB313" s="13"/>
      <c r="MTC313" s="35"/>
      <c r="MTD313" s="35"/>
      <c r="MTE313" s="15"/>
      <c r="MTG313" s="13"/>
      <c r="MTH313" s="35"/>
      <c r="MTI313" s="35"/>
      <c r="MTJ313" s="15"/>
      <c r="MTL313" s="13"/>
      <c r="MTM313" s="35"/>
      <c r="MTN313" s="35"/>
      <c r="MTO313" s="15"/>
      <c r="MTQ313" s="13"/>
      <c r="MTR313" s="35"/>
      <c r="MTS313" s="35"/>
      <c r="MTT313" s="15"/>
      <c r="MTV313" s="13"/>
      <c r="MTW313" s="35"/>
      <c r="MTX313" s="35"/>
      <c r="MTY313" s="15"/>
      <c r="MUA313" s="13"/>
      <c r="MUB313" s="35"/>
      <c r="MUC313" s="35"/>
      <c r="MUD313" s="15"/>
      <c r="MUF313" s="13"/>
      <c r="MUG313" s="35"/>
      <c r="MUH313" s="35"/>
      <c r="MUI313" s="15"/>
      <c r="MUK313" s="13"/>
      <c r="MUL313" s="35"/>
      <c r="MUM313" s="35"/>
      <c r="MUN313" s="15"/>
      <c r="MUP313" s="13"/>
      <c r="MUQ313" s="35"/>
      <c r="MUR313" s="35"/>
      <c r="MUS313" s="15"/>
      <c r="MUU313" s="13"/>
      <c r="MUV313" s="35"/>
      <c r="MUW313" s="35"/>
      <c r="MUX313" s="15"/>
      <c r="MUZ313" s="13"/>
      <c r="MVA313" s="35"/>
      <c r="MVB313" s="35"/>
      <c r="MVC313" s="15"/>
      <c r="MVE313" s="13"/>
      <c r="MVF313" s="35"/>
      <c r="MVG313" s="35"/>
      <c r="MVH313" s="15"/>
      <c r="MVJ313" s="13"/>
      <c r="MVK313" s="35"/>
      <c r="MVL313" s="35"/>
      <c r="MVM313" s="15"/>
      <c r="MVO313" s="13"/>
      <c r="MVP313" s="35"/>
      <c r="MVQ313" s="35"/>
      <c r="MVR313" s="15"/>
      <c r="MVT313" s="13"/>
      <c r="MVU313" s="35"/>
      <c r="MVV313" s="35"/>
      <c r="MVW313" s="15"/>
      <c r="MVY313" s="13"/>
      <c r="MVZ313" s="35"/>
      <c r="MWA313" s="35"/>
      <c r="MWB313" s="15"/>
      <c r="MWD313" s="13"/>
      <c r="MWE313" s="35"/>
      <c r="MWF313" s="35"/>
      <c r="MWG313" s="15"/>
      <c r="MWI313" s="13"/>
      <c r="MWJ313" s="35"/>
      <c r="MWK313" s="35"/>
      <c r="MWL313" s="15"/>
      <c r="MWN313" s="13"/>
      <c r="MWO313" s="35"/>
      <c r="MWP313" s="35"/>
      <c r="MWQ313" s="15"/>
      <c r="MWS313" s="13"/>
      <c r="MWT313" s="35"/>
      <c r="MWU313" s="35"/>
      <c r="MWV313" s="15"/>
      <c r="MWX313" s="13"/>
      <c r="MWY313" s="35"/>
      <c r="MWZ313" s="35"/>
      <c r="MXA313" s="15"/>
      <c r="MXC313" s="13"/>
      <c r="MXD313" s="35"/>
      <c r="MXE313" s="35"/>
      <c r="MXF313" s="15"/>
      <c r="MXH313" s="13"/>
      <c r="MXI313" s="35"/>
      <c r="MXJ313" s="35"/>
      <c r="MXK313" s="15"/>
      <c r="MXM313" s="13"/>
      <c r="MXN313" s="35"/>
      <c r="MXO313" s="35"/>
      <c r="MXP313" s="15"/>
      <c r="MXR313" s="13"/>
      <c r="MXS313" s="35"/>
      <c r="MXT313" s="35"/>
      <c r="MXU313" s="15"/>
      <c r="MXW313" s="13"/>
      <c r="MXX313" s="35"/>
      <c r="MXY313" s="35"/>
      <c r="MXZ313" s="15"/>
      <c r="MYB313" s="13"/>
      <c r="MYC313" s="35"/>
      <c r="MYD313" s="35"/>
      <c r="MYE313" s="15"/>
      <c r="MYG313" s="13"/>
      <c r="MYH313" s="35"/>
      <c r="MYI313" s="35"/>
      <c r="MYJ313" s="15"/>
      <c r="MYL313" s="13"/>
      <c r="MYM313" s="35"/>
      <c r="MYN313" s="35"/>
      <c r="MYO313" s="15"/>
      <c r="MYQ313" s="13"/>
      <c r="MYR313" s="35"/>
      <c r="MYS313" s="35"/>
      <c r="MYT313" s="15"/>
      <c r="MYV313" s="13"/>
      <c r="MYW313" s="35"/>
      <c r="MYX313" s="35"/>
      <c r="MYY313" s="15"/>
      <c r="MZA313" s="13"/>
      <c r="MZB313" s="35"/>
      <c r="MZC313" s="35"/>
      <c r="MZD313" s="15"/>
      <c r="MZF313" s="13"/>
      <c r="MZG313" s="35"/>
      <c r="MZH313" s="35"/>
      <c r="MZI313" s="15"/>
      <c r="MZK313" s="13"/>
      <c r="MZL313" s="35"/>
      <c r="MZM313" s="35"/>
      <c r="MZN313" s="15"/>
      <c r="MZP313" s="13"/>
      <c r="MZQ313" s="35"/>
      <c r="MZR313" s="35"/>
      <c r="MZS313" s="15"/>
      <c r="MZU313" s="13"/>
      <c r="MZV313" s="35"/>
      <c r="MZW313" s="35"/>
      <c r="MZX313" s="15"/>
      <c r="MZZ313" s="13"/>
      <c r="NAA313" s="35"/>
      <c r="NAB313" s="35"/>
      <c r="NAC313" s="15"/>
      <c r="NAE313" s="13"/>
      <c r="NAF313" s="35"/>
      <c r="NAG313" s="35"/>
      <c r="NAH313" s="15"/>
      <c r="NAJ313" s="13"/>
      <c r="NAK313" s="35"/>
      <c r="NAL313" s="35"/>
      <c r="NAM313" s="15"/>
      <c r="NAO313" s="13"/>
      <c r="NAP313" s="35"/>
      <c r="NAQ313" s="35"/>
      <c r="NAR313" s="15"/>
      <c r="NAT313" s="13"/>
      <c r="NAU313" s="35"/>
      <c r="NAV313" s="35"/>
      <c r="NAW313" s="15"/>
      <c r="NAY313" s="13"/>
      <c r="NAZ313" s="35"/>
      <c r="NBA313" s="35"/>
      <c r="NBB313" s="15"/>
      <c r="NBD313" s="13"/>
      <c r="NBE313" s="35"/>
      <c r="NBF313" s="35"/>
      <c r="NBG313" s="15"/>
      <c r="NBI313" s="13"/>
      <c r="NBJ313" s="35"/>
      <c r="NBK313" s="35"/>
      <c r="NBL313" s="15"/>
      <c r="NBN313" s="13"/>
      <c r="NBO313" s="35"/>
      <c r="NBP313" s="35"/>
      <c r="NBQ313" s="15"/>
      <c r="NBS313" s="13"/>
      <c r="NBT313" s="35"/>
      <c r="NBU313" s="35"/>
      <c r="NBV313" s="15"/>
      <c r="NBX313" s="13"/>
      <c r="NBY313" s="35"/>
      <c r="NBZ313" s="35"/>
      <c r="NCA313" s="15"/>
      <c r="NCC313" s="13"/>
      <c r="NCD313" s="35"/>
      <c r="NCE313" s="35"/>
      <c r="NCF313" s="15"/>
      <c r="NCH313" s="13"/>
      <c r="NCI313" s="35"/>
      <c r="NCJ313" s="35"/>
      <c r="NCK313" s="15"/>
      <c r="NCM313" s="13"/>
      <c r="NCN313" s="35"/>
      <c r="NCO313" s="35"/>
      <c r="NCP313" s="15"/>
      <c r="NCR313" s="13"/>
      <c r="NCS313" s="35"/>
      <c r="NCT313" s="35"/>
      <c r="NCU313" s="15"/>
      <c r="NCW313" s="13"/>
      <c r="NCX313" s="35"/>
      <c r="NCY313" s="35"/>
      <c r="NCZ313" s="15"/>
      <c r="NDB313" s="13"/>
      <c r="NDC313" s="35"/>
      <c r="NDD313" s="35"/>
      <c r="NDE313" s="15"/>
      <c r="NDG313" s="13"/>
      <c r="NDH313" s="35"/>
      <c r="NDI313" s="35"/>
      <c r="NDJ313" s="15"/>
      <c r="NDL313" s="13"/>
      <c r="NDM313" s="35"/>
      <c r="NDN313" s="35"/>
      <c r="NDO313" s="15"/>
      <c r="NDQ313" s="13"/>
      <c r="NDR313" s="35"/>
      <c r="NDS313" s="35"/>
      <c r="NDT313" s="15"/>
      <c r="NDV313" s="13"/>
      <c r="NDW313" s="35"/>
      <c r="NDX313" s="35"/>
      <c r="NDY313" s="15"/>
      <c r="NEA313" s="13"/>
      <c r="NEB313" s="35"/>
      <c r="NEC313" s="35"/>
      <c r="NED313" s="15"/>
      <c r="NEF313" s="13"/>
      <c r="NEG313" s="35"/>
      <c r="NEH313" s="35"/>
      <c r="NEI313" s="15"/>
      <c r="NEK313" s="13"/>
      <c r="NEL313" s="35"/>
      <c r="NEM313" s="35"/>
      <c r="NEN313" s="15"/>
      <c r="NEP313" s="13"/>
      <c r="NEQ313" s="35"/>
      <c r="NER313" s="35"/>
      <c r="NES313" s="15"/>
      <c r="NEU313" s="13"/>
      <c r="NEV313" s="35"/>
      <c r="NEW313" s="35"/>
      <c r="NEX313" s="15"/>
      <c r="NEZ313" s="13"/>
      <c r="NFA313" s="35"/>
      <c r="NFB313" s="35"/>
      <c r="NFC313" s="15"/>
      <c r="NFE313" s="13"/>
      <c r="NFF313" s="35"/>
      <c r="NFG313" s="35"/>
      <c r="NFH313" s="15"/>
      <c r="NFJ313" s="13"/>
      <c r="NFK313" s="35"/>
      <c r="NFL313" s="35"/>
      <c r="NFM313" s="15"/>
      <c r="NFO313" s="13"/>
      <c r="NFP313" s="35"/>
      <c r="NFQ313" s="35"/>
      <c r="NFR313" s="15"/>
      <c r="NFT313" s="13"/>
      <c r="NFU313" s="35"/>
      <c r="NFV313" s="35"/>
      <c r="NFW313" s="15"/>
      <c r="NFY313" s="13"/>
      <c r="NFZ313" s="35"/>
      <c r="NGA313" s="35"/>
      <c r="NGB313" s="15"/>
      <c r="NGD313" s="13"/>
      <c r="NGE313" s="35"/>
      <c r="NGF313" s="35"/>
      <c r="NGG313" s="15"/>
      <c r="NGI313" s="13"/>
      <c r="NGJ313" s="35"/>
      <c r="NGK313" s="35"/>
      <c r="NGL313" s="15"/>
      <c r="NGN313" s="13"/>
      <c r="NGO313" s="35"/>
      <c r="NGP313" s="35"/>
      <c r="NGQ313" s="15"/>
      <c r="NGS313" s="13"/>
      <c r="NGT313" s="35"/>
      <c r="NGU313" s="35"/>
      <c r="NGV313" s="15"/>
      <c r="NGX313" s="13"/>
      <c r="NGY313" s="35"/>
      <c r="NGZ313" s="35"/>
      <c r="NHA313" s="15"/>
      <c r="NHC313" s="13"/>
      <c r="NHD313" s="35"/>
      <c r="NHE313" s="35"/>
      <c r="NHF313" s="15"/>
      <c r="NHH313" s="13"/>
      <c r="NHI313" s="35"/>
      <c r="NHJ313" s="35"/>
      <c r="NHK313" s="15"/>
      <c r="NHM313" s="13"/>
      <c r="NHN313" s="35"/>
      <c r="NHO313" s="35"/>
      <c r="NHP313" s="15"/>
      <c r="NHR313" s="13"/>
      <c r="NHS313" s="35"/>
      <c r="NHT313" s="35"/>
      <c r="NHU313" s="15"/>
      <c r="NHW313" s="13"/>
      <c r="NHX313" s="35"/>
      <c r="NHY313" s="35"/>
      <c r="NHZ313" s="15"/>
      <c r="NIB313" s="13"/>
      <c r="NIC313" s="35"/>
      <c r="NID313" s="35"/>
      <c r="NIE313" s="15"/>
      <c r="NIG313" s="13"/>
      <c r="NIH313" s="35"/>
      <c r="NII313" s="35"/>
      <c r="NIJ313" s="15"/>
      <c r="NIL313" s="13"/>
      <c r="NIM313" s="35"/>
      <c r="NIN313" s="35"/>
      <c r="NIO313" s="15"/>
      <c r="NIQ313" s="13"/>
      <c r="NIR313" s="35"/>
      <c r="NIS313" s="35"/>
      <c r="NIT313" s="15"/>
      <c r="NIV313" s="13"/>
      <c r="NIW313" s="35"/>
      <c r="NIX313" s="35"/>
      <c r="NIY313" s="15"/>
      <c r="NJA313" s="13"/>
      <c r="NJB313" s="35"/>
      <c r="NJC313" s="35"/>
      <c r="NJD313" s="15"/>
      <c r="NJF313" s="13"/>
      <c r="NJG313" s="35"/>
      <c r="NJH313" s="35"/>
      <c r="NJI313" s="15"/>
      <c r="NJK313" s="13"/>
      <c r="NJL313" s="35"/>
      <c r="NJM313" s="35"/>
      <c r="NJN313" s="15"/>
      <c r="NJP313" s="13"/>
      <c r="NJQ313" s="35"/>
      <c r="NJR313" s="35"/>
      <c r="NJS313" s="15"/>
      <c r="NJU313" s="13"/>
      <c r="NJV313" s="35"/>
      <c r="NJW313" s="35"/>
      <c r="NJX313" s="15"/>
      <c r="NJZ313" s="13"/>
      <c r="NKA313" s="35"/>
      <c r="NKB313" s="35"/>
      <c r="NKC313" s="15"/>
      <c r="NKE313" s="13"/>
      <c r="NKF313" s="35"/>
      <c r="NKG313" s="35"/>
      <c r="NKH313" s="15"/>
      <c r="NKJ313" s="13"/>
      <c r="NKK313" s="35"/>
      <c r="NKL313" s="35"/>
      <c r="NKM313" s="15"/>
      <c r="NKO313" s="13"/>
      <c r="NKP313" s="35"/>
      <c r="NKQ313" s="35"/>
      <c r="NKR313" s="15"/>
      <c r="NKT313" s="13"/>
      <c r="NKU313" s="35"/>
      <c r="NKV313" s="35"/>
      <c r="NKW313" s="15"/>
      <c r="NKY313" s="13"/>
      <c r="NKZ313" s="35"/>
      <c r="NLA313" s="35"/>
      <c r="NLB313" s="15"/>
      <c r="NLD313" s="13"/>
      <c r="NLE313" s="35"/>
      <c r="NLF313" s="35"/>
      <c r="NLG313" s="15"/>
      <c r="NLI313" s="13"/>
      <c r="NLJ313" s="35"/>
      <c r="NLK313" s="35"/>
      <c r="NLL313" s="15"/>
      <c r="NLN313" s="13"/>
      <c r="NLO313" s="35"/>
      <c r="NLP313" s="35"/>
      <c r="NLQ313" s="15"/>
      <c r="NLS313" s="13"/>
      <c r="NLT313" s="35"/>
      <c r="NLU313" s="35"/>
      <c r="NLV313" s="15"/>
      <c r="NLX313" s="13"/>
      <c r="NLY313" s="35"/>
      <c r="NLZ313" s="35"/>
      <c r="NMA313" s="15"/>
      <c r="NMC313" s="13"/>
      <c r="NMD313" s="35"/>
      <c r="NME313" s="35"/>
      <c r="NMF313" s="15"/>
      <c r="NMH313" s="13"/>
      <c r="NMI313" s="35"/>
      <c r="NMJ313" s="35"/>
      <c r="NMK313" s="15"/>
      <c r="NMM313" s="13"/>
      <c r="NMN313" s="35"/>
      <c r="NMO313" s="35"/>
      <c r="NMP313" s="15"/>
      <c r="NMR313" s="13"/>
      <c r="NMS313" s="35"/>
      <c r="NMT313" s="35"/>
      <c r="NMU313" s="15"/>
      <c r="NMW313" s="13"/>
      <c r="NMX313" s="35"/>
      <c r="NMY313" s="35"/>
      <c r="NMZ313" s="15"/>
      <c r="NNB313" s="13"/>
      <c r="NNC313" s="35"/>
      <c r="NND313" s="35"/>
      <c r="NNE313" s="15"/>
      <c r="NNG313" s="13"/>
      <c r="NNH313" s="35"/>
      <c r="NNI313" s="35"/>
      <c r="NNJ313" s="15"/>
      <c r="NNL313" s="13"/>
      <c r="NNM313" s="35"/>
      <c r="NNN313" s="35"/>
      <c r="NNO313" s="15"/>
      <c r="NNQ313" s="13"/>
      <c r="NNR313" s="35"/>
      <c r="NNS313" s="35"/>
      <c r="NNT313" s="15"/>
      <c r="NNV313" s="13"/>
      <c r="NNW313" s="35"/>
      <c r="NNX313" s="35"/>
      <c r="NNY313" s="15"/>
      <c r="NOA313" s="13"/>
      <c r="NOB313" s="35"/>
      <c r="NOC313" s="35"/>
      <c r="NOD313" s="15"/>
      <c r="NOF313" s="13"/>
      <c r="NOG313" s="35"/>
      <c r="NOH313" s="35"/>
      <c r="NOI313" s="15"/>
      <c r="NOK313" s="13"/>
      <c r="NOL313" s="35"/>
      <c r="NOM313" s="35"/>
      <c r="NON313" s="15"/>
      <c r="NOP313" s="13"/>
      <c r="NOQ313" s="35"/>
      <c r="NOR313" s="35"/>
      <c r="NOS313" s="15"/>
      <c r="NOU313" s="13"/>
      <c r="NOV313" s="35"/>
      <c r="NOW313" s="35"/>
      <c r="NOX313" s="15"/>
      <c r="NOZ313" s="13"/>
      <c r="NPA313" s="35"/>
      <c r="NPB313" s="35"/>
      <c r="NPC313" s="15"/>
      <c r="NPE313" s="13"/>
      <c r="NPF313" s="35"/>
      <c r="NPG313" s="35"/>
      <c r="NPH313" s="15"/>
      <c r="NPJ313" s="13"/>
      <c r="NPK313" s="35"/>
      <c r="NPL313" s="35"/>
      <c r="NPM313" s="15"/>
      <c r="NPO313" s="13"/>
      <c r="NPP313" s="35"/>
      <c r="NPQ313" s="35"/>
      <c r="NPR313" s="15"/>
      <c r="NPT313" s="13"/>
      <c r="NPU313" s="35"/>
      <c r="NPV313" s="35"/>
      <c r="NPW313" s="15"/>
      <c r="NPY313" s="13"/>
      <c r="NPZ313" s="35"/>
      <c r="NQA313" s="35"/>
      <c r="NQB313" s="15"/>
      <c r="NQD313" s="13"/>
      <c r="NQE313" s="35"/>
      <c r="NQF313" s="35"/>
      <c r="NQG313" s="15"/>
      <c r="NQI313" s="13"/>
      <c r="NQJ313" s="35"/>
      <c r="NQK313" s="35"/>
      <c r="NQL313" s="15"/>
      <c r="NQN313" s="13"/>
      <c r="NQO313" s="35"/>
      <c r="NQP313" s="35"/>
      <c r="NQQ313" s="15"/>
      <c r="NQS313" s="13"/>
      <c r="NQT313" s="35"/>
      <c r="NQU313" s="35"/>
      <c r="NQV313" s="15"/>
      <c r="NQX313" s="13"/>
      <c r="NQY313" s="35"/>
      <c r="NQZ313" s="35"/>
      <c r="NRA313" s="15"/>
      <c r="NRC313" s="13"/>
      <c r="NRD313" s="35"/>
      <c r="NRE313" s="35"/>
      <c r="NRF313" s="15"/>
      <c r="NRH313" s="13"/>
      <c r="NRI313" s="35"/>
      <c r="NRJ313" s="35"/>
      <c r="NRK313" s="15"/>
      <c r="NRM313" s="13"/>
      <c r="NRN313" s="35"/>
      <c r="NRO313" s="35"/>
      <c r="NRP313" s="15"/>
      <c r="NRR313" s="13"/>
      <c r="NRS313" s="35"/>
      <c r="NRT313" s="35"/>
      <c r="NRU313" s="15"/>
      <c r="NRW313" s="13"/>
      <c r="NRX313" s="35"/>
      <c r="NRY313" s="35"/>
      <c r="NRZ313" s="15"/>
      <c r="NSB313" s="13"/>
      <c r="NSC313" s="35"/>
      <c r="NSD313" s="35"/>
      <c r="NSE313" s="15"/>
      <c r="NSG313" s="13"/>
      <c r="NSH313" s="35"/>
      <c r="NSI313" s="35"/>
      <c r="NSJ313" s="15"/>
      <c r="NSL313" s="13"/>
      <c r="NSM313" s="35"/>
      <c r="NSN313" s="35"/>
      <c r="NSO313" s="15"/>
      <c r="NSQ313" s="13"/>
      <c r="NSR313" s="35"/>
      <c r="NSS313" s="35"/>
      <c r="NST313" s="15"/>
      <c r="NSV313" s="13"/>
      <c r="NSW313" s="35"/>
      <c r="NSX313" s="35"/>
      <c r="NSY313" s="15"/>
      <c r="NTA313" s="13"/>
      <c r="NTB313" s="35"/>
      <c r="NTC313" s="35"/>
      <c r="NTD313" s="15"/>
      <c r="NTF313" s="13"/>
      <c r="NTG313" s="35"/>
      <c r="NTH313" s="35"/>
      <c r="NTI313" s="15"/>
      <c r="NTK313" s="13"/>
      <c r="NTL313" s="35"/>
      <c r="NTM313" s="35"/>
      <c r="NTN313" s="15"/>
      <c r="NTP313" s="13"/>
      <c r="NTQ313" s="35"/>
      <c r="NTR313" s="35"/>
      <c r="NTS313" s="15"/>
      <c r="NTU313" s="13"/>
      <c r="NTV313" s="35"/>
      <c r="NTW313" s="35"/>
      <c r="NTX313" s="15"/>
      <c r="NTZ313" s="13"/>
      <c r="NUA313" s="35"/>
      <c r="NUB313" s="35"/>
      <c r="NUC313" s="15"/>
      <c r="NUE313" s="13"/>
      <c r="NUF313" s="35"/>
      <c r="NUG313" s="35"/>
      <c r="NUH313" s="15"/>
      <c r="NUJ313" s="13"/>
      <c r="NUK313" s="35"/>
      <c r="NUL313" s="35"/>
      <c r="NUM313" s="15"/>
      <c r="NUO313" s="13"/>
      <c r="NUP313" s="35"/>
      <c r="NUQ313" s="35"/>
      <c r="NUR313" s="15"/>
      <c r="NUT313" s="13"/>
      <c r="NUU313" s="35"/>
      <c r="NUV313" s="35"/>
      <c r="NUW313" s="15"/>
      <c r="NUY313" s="13"/>
      <c r="NUZ313" s="35"/>
      <c r="NVA313" s="35"/>
      <c r="NVB313" s="15"/>
      <c r="NVD313" s="13"/>
      <c r="NVE313" s="35"/>
      <c r="NVF313" s="35"/>
      <c r="NVG313" s="15"/>
      <c r="NVI313" s="13"/>
      <c r="NVJ313" s="35"/>
      <c r="NVK313" s="35"/>
      <c r="NVL313" s="15"/>
      <c r="NVN313" s="13"/>
      <c r="NVO313" s="35"/>
      <c r="NVP313" s="35"/>
      <c r="NVQ313" s="15"/>
      <c r="NVS313" s="13"/>
      <c r="NVT313" s="35"/>
      <c r="NVU313" s="35"/>
      <c r="NVV313" s="15"/>
      <c r="NVX313" s="13"/>
      <c r="NVY313" s="35"/>
      <c r="NVZ313" s="35"/>
      <c r="NWA313" s="15"/>
      <c r="NWC313" s="13"/>
      <c r="NWD313" s="35"/>
      <c r="NWE313" s="35"/>
      <c r="NWF313" s="15"/>
      <c r="NWH313" s="13"/>
      <c r="NWI313" s="35"/>
      <c r="NWJ313" s="35"/>
      <c r="NWK313" s="15"/>
      <c r="NWM313" s="13"/>
      <c r="NWN313" s="35"/>
      <c r="NWO313" s="35"/>
      <c r="NWP313" s="15"/>
      <c r="NWR313" s="13"/>
      <c r="NWS313" s="35"/>
      <c r="NWT313" s="35"/>
      <c r="NWU313" s="15"/>
      <c r="NWW313" s="13"/>
      <c r="NWX313" s="35"/>
      <c r="NWY313" s="35"/>
      <c r="NWZ313" s="15"/>
      <c r="NXB313" s="13"/>
      <c r="NXC313" s="35"/>
      <c r="NXD313" s="35"/>
      <c r="NXE313" s="15"/>
      <c r="NXG313" s="13"/>
      <c r="NXH313" s="35"/>
      <c r="NXI313" s="35"/>
      <c r="NXJ313" s="15"/>
      <c r="NXL313" s="13"/>
      <c r="NXM313" s="35"/>
      <c r="NXN313" s="35"/>
      <c r="NXO313" s="15"/>
      <c r="NXQ313" s="13"/>
      <c r="NXR313" s="35"/>
      <c r="NXS313" s="35"/>
      <c r="NXT313" s="15"/>
      <c r="NXV313" s="13"/>
      <c r="NXW313" s="35"/>
      <c r="NXX313" s="35"/>
      <c r="NXY313" s="15"/>
      <c r="NYA313" s="13"/>
      <c r="NYB313" s="35"/>
      <c r="NYC313" s="35"/>
      <c r="NYD313" s="15"/>
      <c r="NYF313" s="13"/>
      <c r="NYG313" s="35"/>
      <c r="NYH313" s="35"/>
      <c r="NYI313" s="15"/>
      <c r="NYK313" s="13"/>
      <c r="NYL313" s="35"/>
      <c r="NYM313" s="35"/>
      <c r="NYN313" s="15"/>
      <c r="NYP313" s="13"/>
      <c r="NYQ313" s="35"/>
      <c r="NYR313" s="35"/>
      <c r="NYS313" s="15"/>
      <c r="NYU313" s="13"/>
      <c r="NYV313" s="35"/>
      <c r="NYW313" s="35"/>
      <c r="NYX313" s="15"/>
      <c r="NYZ313" s="13"/>
      <c r="NZA313" s="35"/>
      <c r="NZB313" s="35"/>
      <c r="NZC313" s="15"/>
      <c r="NZE313" s="13"/>
      <c r="NZF313" s="35"/>
      <c r="NZG313" s="35"/>
      <c r="NZH313" s="15"/>
      <c r="NZJ313" s="13"/>
      <c r="NZK313" s="35"/>
      <c r="NZL313" s="35"/>
      <c r="NZM313" s="15"/>
      <c r="NZO313" s="13"/>
      <c r="NZP313" s="35"/>
      <c r="NZQ313" s="35"/>
      <c r="NZR313" s="15"/>
      <c r="NZT313" s="13"/>
      <c r="NZU313" s="35"/>
      <c r="NZV313" s="35"/>
      <c r="NZW313" s="15"/>
      <c r="NZY313" s="13"/>
      <c r="NZZ313" s="35"/>
      <c r="OAA313" s="35"/>
      <c r="OAB313" s="15"/>
      <c r="OAD313" s="13"/>
      <c r="OAE313" s="35"/>
      <c r="OAF313" s="35"/>
      <c r="OAG313" s="15"/>
      <c r="OAI313" s="13"/>
      <c r="OAJ313" s="35"/>
      <c r="OAK313" s="35"/>
      <c r="OAL313" s="15"/>
      <c r="OAN313" s="13"/>
      <c r="OAO313" s="35"/>
      <c r="OAP313" s="35"/>
      <c r="OAQ313" s="15"/>
      <c r="OAS313" s="13"/>
      <c r="OAT313" s="35"/>
      <c r="OAU313" s="35"/>
      <c r="OAV313" s="15"/>
      <c r="OAX313" s="13"/>
      <c r="OAY313" s="35"/>
      <c r="OAZ313" s="35"/>
      <c r="OBA313" s="15"/>
      <c r="OBC313" s="13"/>
      <c r="OBD313" s="35"/>
      <c r="OBE313" s="35"/>
      <c r="OBF313" s="15"/>
      <c r="OBH313" s="13"/>
      <c r="OBI313" s="35"/>
      <c r="OBJ313" s="35"/>
      <c r="OBK313" s="15"/>
      <c r="OBM313" s="13"/>
      <c r="OBN313" s="35"/>
      <c r="OBO313" s="35"/>
      <c r="OBP313" s="15"/>
      <c r="OBR313" s="13"/>
      <c r="OBS313" s="35"/>
      <c r="OBT313" s="35"/>
      <c r="OBU313" s="15"/>
      <c r="OBW313" s="13"/>
      <c r="OBX313" s="35"/>
      <c r="OBY313" s="35"/>
      <c r="OBZ313" s="15"/>
      <c r="OCB313" s="13"/>
      <c r="OCC313" s="35"/>
      <c r="OCD313" s="35"/>
      <c r="OCE313" s="15"/>
      <c r="OCG313" s="13"/>
      <c r="OCH313" s="35"/>
      <c r="OCI313" s="35"/>
      <c r="OCJ313" s="15"/>
      <c r="OCL313" s="13"/>
      <c r="OCM313" s="35"/>
      <c r="OCN313" s="35"/>
      <c r="OCO313" s="15"/>
      <c r="OCQ313" s="13"/>
      <c r="OCR313" s="35"/>
      <c r="OCS313" s="35"/>
      <c r="OCT313" s="15"/>
      <c r="OCV313" s="13"/>
      <c r="OCW313" s="35"/>
      <c r="OCX313" s="35"/>
      <c r="OCY313" s="15"/>
      <c r="ODA313" s="13"/>
      <c r="ODB313" s="35"/>
      <c r="ODC313" s="35"/>
      <c r="ODD313" s="15"/>
      <c r="ODF313" s="13"/>
      <c r="ODG313" s="35"/>
      <c r="ODH313" s="35"/>
      <c r="ODI313" s="15"/>
      <c r="ODK313" s="13"/>
      <c r="ODL313" s="35"/>
      <c r="ODM313" s="35"/>
      <c r="ODN313" s="15"/>
      <c r="ODP313" s="13"/>
      <c r="ODQ313" s="35"/>
      <c r="ODR313" s="35"/>
      <c r="ODS313" s="15"/>
      <c r="ODU313" s="13"/>
      <c r="ODV313" s="35"/>
      <c r="ODW313" s="35"/>
      <c r="ODX313" s="15"/>
      <c r="ODZ313" s="13"/>
      <c r="OEA313" s="35"/>
      <c r="OEB313" s="35"/>
      <c r="OEC313" s="15"/>
      <c r="OEE313" s="13"/>
      <c r="OEF313" s="35"/>
      <c r="OEG313" s="35"/>
      <c r="OEH313" s="15"/>
      <c r="OEJ313" s="13"/>
      <c r="OEK313" s="35"/>
      <c r="OEL313" s="35"/>
      <c r="OEM313" s="15"/>
      <c r="OEO313" s="13"/>
      <c r="OEP313" s="35"/>
      <c r="OEQ313" s="35"/>
      <c r="OER313" s="15"/>
      <c r="OET313" s="13"/>
      <c r="OEU313" s="35"/>
      <c r="OEV313" s="35"/>
      <c r="OEW313" s="15"/>
      <c r="OEY313" s="13"/>
      <c r="OEZ313" s="35"/>
      <c r="OFA313" s="35"/>
      <c r="OFB313" s="15"/>
      <c r="OFD313" s="13"/>
      <c r="OFE313" s="35"/>
      <c r="OFF313" s="35"/>
      <c r="OFG313" s="15"/>
      <c r="OFI313" s="13"/>
      <c r="OFJ313" s="35"/>
      <c r="OFK313" s="35"/>
      <c r="OFL313" s="15"/>
      <c r="OFN313" s="13"/>
      <c r="OFO313" s="35"/>
      <c r="OFP313" s="35"/>
      <c r="OFQ313" s="15"/>
      <c r="OFS313" s="13"/>
      <c r="OFT313" s="35"/>
      <c r="OFU313" s="35"/>
      <c r="OFV313" s="15"/>
      <c r="OFX313" s="13"/>
      <c r="OFY313" s="35"/>
      <c r="OFZ313" s="35"/>
      <c r="OGA313" s="15"/>
      <c r="OGC313" s="13"/>
      <c r="OGD313" s="35"/>
      <c r="OGE313" s="35"/>
      <c r="OGF313" s="15"/>
      <c r="OGH313" s="13"/>
      <c r="OGI313" s="35"/>
      <c r="OGJ313" s="35"/>
      <c r="OGK313" s="15"/>
      <c r="OGM313" s="13"/>
      <c r="OGN313" s="35"/>
      <c r="OGO313" s="35"/>
      <c r="OGP313" s="15"/>
      <c r="OGR313" s="13"/>
      <c r="OGS313" s="35"/>
      <c r="OGT313" s="35"/>
      <c r="OGU313" s="15"/>
      <c r="OGW313" s="13"/>
      <c r="OGX313" s="35"/>
      <c r="OGY313" s="35"/>
      <c r="OGZ313" s="15"/>
      <c r="OHB313" s="13"/>
      <c r="OHC313" s="35"/>
      <c r="OHD313" s="35"/>
      <c r="OHE313" s="15"/>
      <c r="OHG313" s="13"/>
      <c r="OHH313" s="35"/>
      <c r="OHI313" s="35"/>
      <c r="OHJ313" s="15"/>
      <c r="OHL313" s="13"/>
      <c r="OHM313" s="35"/>
      <c r="OHN313" s="35"/>
      <c r="OHO313" s="15"/>
      <c r="OHQ313" s="13"/>
      <c r="OHR313" s="35"/>
      <c r="OHS313" s="35"/>
      <c r="OHT313" s="15"/>
      <c r="OHV313" s="13"/>
      <c r="OHW313" s="35"/>
      <c r="OHX313" s="35"/>
      <c r="OHY313" s="15"/>
      <c r="OIA313" s="13"/>
      <c r="OIB313" s="35"/>
      <c r="OIC313" s="35"/>
      <c r="OID313" s="15"/>
      <c r="OIF313" s="13"/>
      <c r="OIG313" s="35"/>
      <c r="OIH313" s="35"/>
      <c r="OII313" s="15"/>
      <c r="OIK313" s="13"/>
      <c r="OIL313" s="35"/>
      <c r="OIM313" s="35"/>
      <c r="OIN313" s="15"/>
      <c r="OIP313" s="13"/>
      <c r="OIQ313" s="35"/>
      <c r="OIR313" s="35"/>
      <c r="OIS313" s="15"/>
      <c r="OIU313" s="13"/>
      <c r="OIV313" s="35"/>
      <c r="OIW313" s="35"/>
      <c r="OIX313" s="15"/>
      <c r="OIZ313" s="13"/>
      <c r="OJA313" s="35"/>
      <c r="OJB313" s="35"/>
      <c r="OJC313" s="15"/>
      <c r="OJE313" s="13"/>
      <c r="OJF313" s="35"/>
      <c r="OJG313" s="35"/>
      <c r="OJH313" s="15"/>
      <c r="OJJ313" s="13"/>
      <c r="OJK313" s="35"/>
      <c r="OJL313" s="35"/>
      <c r="OJM313" s="15"/>
      <c r="OJO313" s="13"/>
      <c r="OJP313" s="35"/>
      <c r="OJQ313" s="35"/>
      <c r="OJR313" s="15"/>
      <c r="OJT313" s="13"/>
      <c r="OJU313" s="35"/>
      <c r="OJV313" s="35"/>
      <c r="OJW313" s="15"/>
      <c r="OJY313" s="13"/>
      <c r="OJZ313" s="35"/>
      <c r="OKA313" s="35"/>
      <c r="OKB313" s="15"/>
      <c r="OKD313" s="13"/>
      <c r="OKE313" s="35"/>
      <c r="OKF313" s="35"/>
      <c r="OKG313" s="15"/>
      <c r="OKI313" s="13"/>
      <c r="OKJ313" s="35"/>
      <c r="OKK313" s="35"/>
      <c r="OKL313" s="15"/>
      <c r="OKN313" s="13"/>
      <c r="OKO313" s="35"/>
      <c r="OKP313" s="35"/>
      <c r="OKQ313" s="15"/>
      <c r="OKS313" s="13"/>
      <c r="OKT313" s="35"/>
      <c r="OKU313" s="35"/>
      <c r="OKV313" s="15"/>
      <c r="OKX313" s="13"/>
      <c r="OKY313" s="35"/>
      <c r="OKZ313" s="35"/>
      <c r="OLA313" s="15"/>
      <c r="OLC313" s="13"/>
      <c r="OLD313" s="35"/>
      <c r="OLE313" s="35"/>
      <c r="OLF313" s="15"/>
      <c r="OLH313" s="13"/>
      <c r="OLI313" s="35"/>
      <c r="OLJ313" s="35"/>
      <c r="OLK313" s="15"/>
      <c r="OLM313" s="13"/>
      <c r="OLN313" s="35"/>
      <c r="OLO313" s="35"/>
      <c r="OLP313" s="15"/>
      <c r="OLR313" s="13"/>
      <c r="OLS313" s="35"/>
      <c r="OLT313" s="35"/>
      <c r="OLU313" s="15"/>
      <c r="OLW313" s="13"/>
      <c r="OLX313" s="35"/>
      <c r="OLY313" s="35"/>
      <c r="OLZ313" s="15"/>
      <c r="OMB313" s="13"/>
      <c r="OMC313" s="35"/>
      <c r="OMD313" s="35"/>
      <c r="OME313" s="15"/>
      <c r="OMG313" s="13"/>
      <c r="OMH313" s="35"/>
      <c r="OMI313" s="35"/>
      <c r="OMJ313" s="15"/>
      <c r="OML313" s="13"/>
      <c r="OMM313" s="35"/>
      <c r="OMN313" s="35"/>
      <c r="OMO313" s="15"/>
      <c r="OMQ313" s="13"/>
      <c r="OMR313" s="35"/>
      <c r="OMS313" s="35"/>
      <c r="OMT313" s="15"/>
      <c r="OMV313" s="13"/>
      <c r="OMW313" s="35"/>
      <c r="OMX313" s="35"/>
      <c r="OMY313" s="15"/>
      <c r="ONA313" s="13"/>
      <c r="ONB313" s="35"/>
      <c r="ONC313" s="35"/>
      <c r="OND313" s="15"/>
      <c r="ONF313" s="13"/>
      <c r="ONG313" s="35"/>
      <c r="ONH313" s="35"/>
      <c r="ONI313" s="15"/>
      <c r="ONK313" s="13"/>
      <c r="ONL313" s="35"/>
      <c r="ONM313" s="35"/>
      <c r="ONN313" s="15"/>
      <c r="ONP313" s="13"/>
      <c r="ONQ313" s="35"/>
      <c r="ONR313" s="35"/>
      <c r="ONS313" s="15"/>
      <c r="ONU313" s="13"/>
      <c r="ONV313" s="35"/>
      <c r="ONW313" s="35"/>
      <c r="ONX313" s="15"/>
      <c r="ONZ313" s="13"/>
      <c r="OOA313" s="35"/>
      <c r="OOB313" s="35"/>
      <c r="OOC313" s="15"/>
      <c r="OOE313" s="13"/>
      <c r="OOF313" s="35"/>
      <c r="OOG313" s="35"/>
      <c r="OOH313" s="15"/>
      <c r="OOJ313" s="13"/>
      <c r="OOK313" s="35"/>
      <c r="OOL313" s="35"/>
      <c r="OOM313" s="15"/>
      <c r="OOO313" s="13"/>
      <c r="OOP313" s="35"/>
      <c r="OOQ313" s="35"/>
      <c r="OOR313" s="15"/>
      <c r="OOT313" s="13"/>
      <c r="OOU313" s="35"/>
      <c r="OOV313" s="35"/>
      <c r="OOW313" s="15"/>
      <c r="OOY313" s="13"/>
      <c r="OOZ313" s="35"/>
      <c r="OPA313" s="35"/>
      <c r="OPB313" s="15"/>
      <c r="OPD313" s="13"/>
      <c r="OPE313" s="35"/>
      <c r="OPF313" s="35"/>
      <c r="OPG313" s="15"/>
      <c r="OPI313" s="13"/>
      <c r="OPJ313" s="35"/>
      <c r="OPK313" s="35"/>
      <c r="OPL313" s="15"/>
      <c r="OPN313" s="13"/>
      <c r="OPO313" s="35"/>
      <c r="OPP313" s="35"/>
      <c r="OPQ313" s="15"/>
      <c r="OPS313" s="13"/>
      <c r="OPT313" s="35"/>
      <c r="OPU313" s="35"/>
      <c r="OPV313" s="15"/>
      <c r="OPX313" s="13"/>
      <c r="OPY313" s="35"/>
      <c r="OPZ313" s="35"/>
      <c r="OQA313" s="15"/>
      <c r="OQC313" s="13"/>
      <c r="OQD313" s="35"/>
      <c r="OQE313" s="35"/>
      <c r="OQF313" s="15"/>
      <c r="OQH313" s="13"/>
      <c r="OQI313" s="35"/>
      <c r="OQJ313" s="35"/>
      <c r="OQK313" s="15"/>
      <c r="OQM313" s="13"/>
      <c r="OQN313" s="35"/>
      <c r="OQO313" s="35"/>
      <c r="OQP313" s="15"/>
      <c r="OQR313" s="13"/>
      <c r="OQS313" s="35"/>
      <c r="OQT313" s="35"/>
      <c r="OQU313" s="15"/>
      <c r="OQW313" s="13"/>
      <c r="OQX313" s="35"/>
      <c r="OQY313" s="35"/>
      <c r="OQZ313" s="15"/>
      <c r="ORB313" s="13"/>
      <c r="ORC313" s="35"/>
      <c r="ORD313" s="35"/>
      <c r="ORE313" s="15"/>
      <c r="ORG313" s="13"/>
      <c r="ORH313" s="35"/>
      <c r="ORI313" s="35"/>
      <c r="ORJ313" s="15"/>
      <c r="ORL313" s="13"/>
      <c r="ORM313" s="35"/>
      <c r="ORN313" s="35"/>
      <c r="ORO313" s="15"/>
      <c r="ORQ313" s="13"/>
      <c r="ORR313" s="35"/>
      <c r="ORS313" s="35"/>
      <c r="ORT313" s="15"/>
      <c r="ORV313" s="13"/>
      <c r="ORW313" s="35"/>
      <c r="ORX313" s="35"/>
      <c r="ORY313" s="15"/>
      <c r="OSA313" s="13"/>
      <c r="OSB313" s="35"/>
      <c r="OSC313" s="35"/>
      <c r="OSD313" s="15"/>
      <c r="OSF313" s="13"/>
      <c r="OSG313" s="35"/>
      <c r="OSH313" s="35"/>
      <c r="OSI313" s="15"/>
      <c r="OSK313" s="13"/>
      <c r="OSL313" s="35"/>
      <c r="OSM313" s="35"/>
      <c r="OSN313" s="15"/>
      <c r="OSP313" s="13"/>
      <c r="OSQ313" s="35"/>
      <c r="OSR313" s="35"/>
      <c r="OSS313" s="15"/>
      <c r="OSU313" s="13"/>
      <c r="OSV313" s="35"/>
      <c r="OSW313" s="35"/>
      <c r="OSX313" s="15"/>
      <c r="OSZ313" s="13"/>
      <c r="OTA313" s="35"/>
      <c r="OTB313" s="35"/>
      <c r="OTC313" s="15"/>
      <c r="OTE313" s="13"/>
      <c r="OTF313" s="35"/>
      <c r="OTG313" s="35"/>
      <c r="OTH313" s="15"/>
      <c r="OTJ313" s="13"/>
      <c r="OTK313" s="35"/>
      <c r="OTL313" s="35"/>
      <c r="OTM313" s="15"/>
      <c r="OTO313" s="13"/>
      <c r="OTP313" s="35"/>
      <c r="OTQ313" s="35"/>
      <c r="OTR313" s="15"/>
      <c r="OTT313" s="13"/>
      <c r="OTU313" s="35"/>
      <c r="OTV313" s="35"/>
      <c r="OTW313" s="15"/>
      <c r="OTY313" s="13"/>
      <c r="OTZ313" s="35"/>
      <c r="OUA313" s="35"/>
      <c r="OUB313" s="15"/>
      <c r="OUD313" s="13"/>
      <c r="OUE313" s="35"/>
      <c r="OUF313" s="35"/>
      <c r="OUG313" s="15"/>
      <c r="OUI313" s="13"/>
      <c r="OUJ313" s="35"/>
      <c r="OUK313" s="35"/>
      <c r="OUL313" s="15"/>
      <c r="OUN313" s="13"/>
      <c r="OUO313" s="35"/>
      <c r="OUP313" s="35"/>
      <c r="OUQ313" s="15"/>
      <c r="OUS313" s="13"/>
      <c r="OUT313" s="35"/>
      <c r="OUU313" s="35"/>
      <c r="OUV313" s="15"/>
      <c r="OUX313" s="13"/>
      <c r="OUY313" s="35"/>
      <c r="OUZ313" s="35"/>
      <c r="OVA313" s="15"/>
      <c r="OVC313" s="13"/>
      <c r="OVD313" s="35"/>
      <c r="OVE313" s="35"/>
      <c r="OVF313" s="15"/>
      <c r="OVH313" s="13"/>
      <c r="OVI313" s="35"/>
      <c r="OVJ313" s="35"/>
      <c r="OVK313" s="15"/>
      <c r="OVM313" s="13"/>
      <c r="OVN313" s="35"/>
      <c r="OVO313" s="35"/>
      <c r="OVP313" s="15"/>
      <c r="OVR313" s="13"/>
      <c r="OVS313" s="35"/>
      <c r="OVT313" s="35"/>
      <c r="OVU313" s="15"/>
      <c r="OVW313" s="13"/>
      <c r="OVX313" s="35"/>
      <c r="OVY313" s="35"/>
      <c r="OVZ313" s="15"/>
      <c r="OWB313" s="13"/>
      <c r="OWC313" s="35"/>
      <c r="OWD313" s="35"/>
      <c r="OWE313" s="15"/>
      <c r="OWG313" s="13"/>
      <c r="OWH313" s="35"/>
      <c r="OWI313" s="35"/>
      <c r="OWJ313" s="15"/>
      <c r="OWL313" s="13"/>
      <c r="OWM313" s="35"/>
      <c r="OWN313" s="35"/>
      <c r="OWO313" s="15"/>
      <c r="OWQ313" s="13"/>
      <c r="OWR313" s="35"/>
      <c r="OWS313" s="35"/>
      <c r="OWT313" s="15"/>
      <c r="OWV313" s="13"/>
      <c r="OWW313" s="35"/>
      <c r="OWX313" s="35"/>
      <c r="OWY313" s="15"/>
      <c r="OXA313" s="13"/>
      <c r="OXB313" s="35"/>
      <c r="OXC313" s="35"/>
      <c r="OXD313" s="15"/>
      <c r="OXF313" s="13"/>
      <c r="OXG313" s="35"/>
      <c r="OXH313" s="35"/>
      <c r="OXI313" s="15"/>
      <c r="OXK313" s="13"/>
      <c r="OXL313" s="35"/>
      <c r="OXM313" s="35"/>
      <c r="OXN313" s="15"/>
      <c r="OXP313" s="13"/>
      <c r="OXQ313" s="35"/>
      <c r="OXR313" s="35"/>
      <c r="OXS313" s="15"/>
      <c r="OXU313" s="13"/>
      <c r="OXV313" s="35"/>
      <c r="OXW313" s="35"/>
      <c r="OXX313" s="15"/>
      <c r="OXZ313" s="13"/>
      <c r="OYA313" s="35"/>
      <c r="OYB313" s="35"/>
      <c r="OYC313" s="15"/>
      <c r="OYE313" s="13"/>
      <c r="OYF313" s="35"/>
      <c r="OYG313" s="35"/>
      <c r="OYH313" s="15"/>
      <c r="OYJ313" s="13"/>
      <c r="OYK313" s="35"/>
      <c r="OYL313" s="35"/>
      <c r="OYM313" s="15"/>
      <c r="OYO313" s="13"/>
      <c r="OYP313" s="35"/>
      <c r="OYQ313" s="35"/>
      <c r="OYR313" s="15"/>
      <c r="OYT313" s="13"/>
      <c r="OYU313" s="35"/>
      <c r="OYV313" s="35"/>
      <c r="OYW313" s="15"/>
      <c r="OYY313" s="13"/>
      <c r="OYZ313" s="35"/>
      <c r="OZA313" s="35"/>
      <c r="OZB313" s="15"/>
      <c r="OZD313" s="13"/>
      <c r="OZE313" s="35"/>
      <c r="OZF313" s="35"/>
      <c r="OZG313" s="15"/>
      <c r="OZI313" s="13"/>
      <c r="OZJ313" s="35"/>
      <c r="OZK313" s="35"/>
      <c r="OZL313" s="15"/>
      <c r="OZN313" s="13"/>
      <c r="OZO313" s="35"/>
      <c r="OZP313" s="35"/>
      <c r="OZQ313" s="15"/>
      <c r="OZS313" s="13"/>
      <c r="OZT313" s="35"/>
      <c r="OZU313" s="35"/>
      <c r="OZV313" s="15"/>
      <c r="OZX313" s="13"/>
      <c r="OZY313" s="35"/>
      <c r="OZZ313" s="35"/>
      <c r="PAA313" s="15"/>
      <c r="PAC313" s="13"/>
      <c r="PAD313" s="35"/>
      <c r="PAE313" s="35"/>
      <c r="PAF313" s="15"/>
      <c r="PAH313" s="13"/>
      <c r="PAI313" s="35"/>
      <c r="PAJ313" s="35"/>
      <c r="PAK313" s="15"/>
      <c r="PAM313" s="13"/>
      <c r="PAN313" s="35"/>
      <c r="PAO313" s="35"/>
      <c r="PAP313" s="15"/>
      <c r="PAR313" s="13"/>
      <c r="PAS313" s="35"/>
      <c r="PAT313" s="35"/>
      <c r="PAU313" s="15"/>
      <c r="PAW313" s="13"/>
      <c r="PAX313" s="35"/>
      <c r="PAY313" s="35"/>
      <c r="PAZ313" s="15"/>
      <c r="PBB313" s="13"/>
      <c r="PBC313" s="35"/>
      <c r="PBD313" s="35"/>
      <c r="PBE313" s="15"/>
      <c r="PBG313" s="13"/>
      <c r="PBH313" s="35"/>
      <c r="PBI313" s="35"/>
      <c r="PBJ313" s="15"/>
      <c r="PBL313" s="13"/>
      <c r="PBM313" s="35"/>
      <c r="PBN313" s="35"/>
      <c r="PBO313" s="15"/>
      <c r="PBQ313" s="13"/>
      <c r="PBR313" s="35"/>
      <c r="PBS313" s="35"/>
      <c r="PBT313" s="15"/>
      <c r="PBV313" s="13"/>
      <c r="PBW313" s="35"/>
      <c r="PBX313" s="35"/>
      <c r="PBY313" s="15"/>
      <c r="PCA313" s="13"/>
      <c r="PCB313" s="35"/>
      <c r="PCC313" s="35"/>
      <c r="PCD313" s="15"/>
      <c r="PCF313" s="13"/>
      <c r="PCG313" s="35"/>
      <c r="PCH313" s="35"/>
      <c r="PCI313" s="15"/>
      <c r="PCK313" s="13"/>
      <c r="PCL313" s="35"/>
      <c r="PCM313" s="35"/>
      <c r="PCN313" s="15"/>
      <c r="PCP313" s="13"/>
      <c r="PCQ313" s="35"/>
      <c r="PCR313" s="35"/>
      <c r="PCS313" s="15"/>
      <c r="PCU313" s="13"/>
      <c r="PCV313" s="35"/>
      <c r="PCW313" s="35"/>
      <c r="PCX313" s="15"/>
      <c r="PCZ313" s="13"/>
      <c r="PDA313" s="35"/>
      <c r="PDB313" s="35"/>
      <c r="PDC313" s="15"/>
      <c r="PDE313" s="13"/>
      <c r="PDF313" s="35"/>
      <c r="PDG313" s="35"/>
      <c r="PDH313" s="15"/>
      <c r="PDJ313" s="13"/>
      <c r="PDK313" s="35"/>
      <c r="PDL313" s="35"/>
      <c r="PDM313" s="15"/>
      <c r="PDO313" s="13"/>
      <c r="PDP313" s="35"/>
      <c r="PDQ313" s="35"/>
      <c r="PDR313" s="15"/>
      <c r="PDT313" s="13"/>
      <c r="PDU313" s="35"/>
      <c r="PDV313" s="35"/>
      <c r="PDW313" s="15"/>
      <c r="PDY313" s="13"/>
      <c r="PDZ313" s="35"/>
      <c r="PEA313" s="35"/>
      <c r="PEB313" s="15"/>
      <c r="PED313" s="13"/>
      <c r="PEE313" s="35"/>
      <c r="PEF313" s="35"/>
      <c r="PEG313" s="15"/>
      <c r="PEI313" s="13"/>
      <c r="PEJ313" s="35"/>
      <c r="PEK313" s="35"/>
      <c r="PEL313" s="15"/>
      <c r="PEN313" s="13"/>
      <c r="PEO313" s="35"/>
      <c r="PEP313" s="35"/>
      <c r="PEQ313" s="15"/>
      <c r="PES313" s="13"/>
      <c r="PET313" s="35"/>
      <c r="PEU313" s="35"/>
      <c r="PEV313" s="15"/>
      <c r="PEX313" s="13"/>
      <c r="PEY313" s="35"/>
      <c r="PEZ313" s="35"/>
      <c r="PFA313" s="15"/>
      <c r="PFC313" s="13"/>
      <c r="PFD313" s="35"/>
      <c r="PFE313" s="35"/>
      <c r="PFF313" s="15"/>
      <c r="PFH313" s="13"/>
      <c r="PFI313" s="35"/>
      <c r="PFJ313" s="35"/>
      <c r="PFK313" s="15"/>
      <c r="PFM313" s="13"/>
      <c r="PFN313" s="35"/>
      <c r="PFO313" s="35"/>
      <c r="PFP313" s="15"/>
      <c r="PFR313" s="13"/>
      <c r="PFS313" s="35"/>
      <c r="PFT313" s="35"/>
      <c r="PFU313" s="15"/>
      <c r="PFW313" s="13"/>
      <c r="PFX313" s="35"/>
      <c r="PFY313" s="35"/>
      <c r="PFZ313" s="15"/>
      <c r="PGB313" s="13"/>
      <c r="PGC313" s="35"/>
      <c r="PGD313" s="35"/>
      <c r="PGE313" s="15"/>
      <c r="PGG313" s="13"/>
      <c r="PGH313" s="35"/>
      <c r="PGI313" s="35"/>
      <c r="PGJ313" s="15"/>
      <c r="PGL313" s="13"/>
      <c r="PGM313" s="35"/>
      <c r="PGN313" s="35"/>
      <c r="PGO313" s="15"/>
      <c r="PGQ313" s="13"/>
      <c r="PGR313" s="35"/>
      <c r="PGS313" s="35"/>
      <c r="PGT313" s="15"/>
      <c r="PGV313" s="13"/>
      <c r="PGW313" s="35"/>
      <c r="PGX313" s="35"/>
      <c r="PGY313" s="15"/>
      <c r="PHA313" s="13"/>
      <c r="PHB313" s="35"/>
      <c r="PHC313" s="35"/>
      <c r="PHD313" s="15"/>
      <c r="PHF313" s="13"/>
      <c r="PHG313" s="35"/>
      <c r="PHH313" s="35"/>
      <c r="PHI313" s="15"/>
      <c r="PHK313" s="13"/>
      <c r="PHL313" s="35"/>
      <c r="PHM313" s="35"/>
      <c r="PHN313" s="15"/>
      <c r="PHP313" s="13"/>
      <c r="PHQ313" s="35"/>
      <c r="PHR313" s="35"/>
      <c r="PHS313" s="15"/>
      <c r="PHU313" s="13"/>
      <c r="PHV313" s="35"/>
      <c r="PHW313" s="35"/>
      <c r="PHX313" s="15"/>
      <c r="PHZ313" s="13"/>
      <c r="PIA313" s="35"/>
      <c r="PIB313" s="35"/>
      <c r="PIC313" s="15"/>
      <c r="PIE313" s="13"/>
      <c r="PIF313" s="35"/>
      <c r="PIG313" s="35"/>
      <c r="PIH313" s="15"/>
      <c r="PIJ313" s="13"/>
      <c r="PIK313" s="35"/>
      <c r="PIL313" s="35"/>
      <c r="PIM313" s="15"/>
      <c r="PIO313" s="13"/>
      <c r="PIP313" s="35"/>
      <c r="PIQ313" s="35"/>
      <c r="PIR313" s="15"/>
      <c r="PIT313" s="13"/>
      <c r="PIU313" s="35"/>
      <c r="PIV313" s="35"/>
      <c r="PIW313" s="15"/>
      <c r="PIY313" s="13"/>
      <c r="PIZ313" s="35"/>
      <c r="PJA313" s="35"/>
      <c r="PJB313" s="15"/>
      <c r="PJD313" s="13"/>
      <c r="PJE313" s="35"/>
      <c r="PJF313" s="35"/>
      <c r="PJG313" s="15"/>
      <c r="PJI313" s="13"/>
      <c r="PJJ313" s="35"/>
      <c r="PJK313" s="35"/>
      <c r="PJL313" s="15"/>
      <c r="PJN313" s="13"/>
      <c r="PJO313" s="35"/>
      <c r="PJP313" s="35"/>
      <c r="PJQ313" s="15"/>
      <c r="PJS313" s="13"/>
      <c r="PJT313" s="35"/>
      <c r="PJU313" s="35"/>
      <c r="PJV313" s="15"/>
      <c r="PJX313" s="13"/>
      <c r="PJY313" s="35"/>
      <c r="PJZ313" s="35"/>
      <c r="PKA313" s="15"/>
      <c r="PKC313" s="13"/>
      <c r="PKD313" s="35"/>
      <c r="PKE313" s="35"/>
      <c r="PKF313" s="15"/>
      <c r="PKH313" s="13"/>
      <c r="PKI313" s="35"/>
      <c r="PKJ313" s="35"/>
      <c r="PKK313" s="15"/>
      <c r="PKM313" s="13"/>
      <c r="PKN313" s="35"/>
      <c r="PKO313" s="35"/>
      <c r="PKP313" s="15"/>
      <c r="PKR313" s="13"/>
      <c r="PKS313" s="35"/>
      <c r="PKT313" s="35"/>
      <c r="PKU313" s="15"/>
      <c r="PKW313" s="13"/>
      <c r="PKX313" s="35"/>
      <c r="PKY313" s="35"/>
      <c r="PKZ313" s="15"/>
      <c r="PLB313" s="13"/>
      <c r="PLC313" s="35"/>
      <c r="PLD313" s="35"/>
      <c r="PLE313" s="15"/>
      <c r="PLG313" s="13"/>
      <c r="PLH313" s="35"/>
      <c r="PLI313" s="35"/>
      <c r="PLJ313" s="15"/>
      <c r="PLL313" s="13"/>
      <c r="PLM313" s="35"/>
      <c r="PLN313" s="35"/>
      <c r="PLO313" s="15"/>
      <c r="PLQ313" s="13"/>
      <c r="PLR313" s="35"/>
      <c r="PLS313" s="35"/>
      <c r="PLT313" s="15"/>
      <c r="PLV313" s="13"/>
      <c r="PLW313" s="35"/>
      <c r="PLX313" s="35"/>
      <c r="PLY313" s="15"/>
      <c r="PMA313" s="13"/>
      <c r="PMB313" s="35"/>
      <c r="PMC313" s="35"/>
      <c r="PMD313" s="15"/>
      <c r="PMF313" s="13"/>
      <c r="PMG313" s="35"/>
      <c r="PMH313" s="35"/>
      <c r="PMI313" s="15"/>
      <c r="PMK313" s="13"/>
      <c r="PML313" s="35"/>
      <c r="PMM313" s="35"/>
      <c r="PMN313" s="15"/>
      <c r="PMP313" s="13"/>
      <c r="PMQ313" s="35"/>
      <c r="PMR313" s="35"/>
      <c r="PMS313" s="15"/>
      <c r="PMU313" s="13"/>
      <c r="PMV313" s="35"/>
      <c r="PMW313" s="35"/>
      <c r="PMX313" s="15"/>
      <c r="PMZ313" s="13"/>
      <c r="PNA313" s="35"/>
      <c r="PNB313" s="35"/>
      <c r="PNC313" s="15"/>
      <c r="PNE313" s="13"/>
      <c r="PNF313" s="35"/>
      <c r="PNG313" s="35"/>
      <c r="PNH313" s="15"/>
      <c r="PNJ313" s="13"/>
      <c r="PNK313" s="35"/>
      <c r="PNL313" s="35"/>
      <c r="PNM313" s="15"/>
      <c r="PNO313" s="13"/>
      <c r="PNP313" s="35"/>
      <c r="PNQ313" s="35"/>
      <c r="PNR313" s="15"/>
      <c r="PNT313" s="13"/>
      <c r="PNU313" s="35"/>
      <c r="PNV313" s="35"/>
      <c r="PNW313" s="15"/>
      <c r="PNY313" s="13"/>
      <c r="PNZ313" s="35"/>
      <c r="POA313" s="35"/>
      <c r="POB313" s="15"/>
      <c r="POD313" s="13"/>
      <c r="POE313" s="35"/>
      <c r="POF313" s="35"/>
      <c r="POG313" s="15"/>
      <c r="POI313" s="13"/>
      <c r="POJ313" s="35"/>
      <c r="POK313" s="35"/>
      <c r="POL313" s="15"/>
      <c r="PON313" s="13"/>
      <c r="POO313" s="35"/>
      <c r="POP313" s="35"/>
      <c r="POQ313" s="15"/>
      <c r="POS313" s="13"/>
      <c r="POT313" s="35"/>
      <c r="POU313" s="35"/>
      <c r="POV313" s="15"/>
      <c r="POX313" s="13"/>
      <c r="POY313" s="35"/>
      <c r="POZ313" s="35"/>
      <c r="PPA313" s="15"/>
      <c r="PPC313" s="13"/>
      <c r="PPD313" s="35"/>
      <c r="PPE313" s="35"/>
      <c r="PPF313" s="15"/>
      <c r="PPH313" s="13"/>
      <c r="PPI313" s="35"/>
      <c r="PPJ313" s="35"/>
      <c r="PPK313" s="15"/>
      <c r="PPM313" s="13"/>
      <c r="PPN313" s="35"/>
      <c r="PPO313" s="35"/>
      <c r="PPP313" s="15"/>
      <c r="PPR313" s="13"/>
      <c r="PPS313" s="35"/>
      <c r="PPT313" s="35"/>
      <c r="PPU313" s="15"/>
      <c r="PPW313" s="13"/>
      <c r="PPX313" s="35"/>
      <c r="PPY313" s="35"/>
      <c r="PPZ313" s="15"/>
      <c r="PQB313" s="13"/>
      <c r="PQC313" s="35"/>
      <c r="PQD313" s="35"/>
      <c r="PQE313" s="15"/>
      <c r="PQG313" s="13"/>
      <c r="PQH313" s="35"/>
      <c r="PQI313" s="35"/>
      <c r="PQJ313" s="15"/>
      <c r="PQL313" s="13"/>
      <c r="PQM313" s="35"/>
      <c r="PQN313" s="35"/>
      <c r="PQO313" s="15"/>
      <c r="PQQ313" s="13"/>
      <c r="PQR313" s="35"/>
      <c r="PQS313" s="35"/>
      <c r="PQT313" s="15"/>
      <c r="PQV313" s="13"/>
      <c r="PQW313" s="35"/>
      <c r="PQX313" s="35"/>
      <c r="PQY313" s="15"/>
      <c r="PRA313" s="13"/>
      <c r="PRB313" s="35"/>
      <c r="PRC313" s="35"/>
      <c r="PRD313" s="15"/>
      <c r="PRF313" s="13"/>
      <c r="PRG313" s="35"/>
      <c r="PRH313" s="35"/>
      <c r="PRI313" s="15"/>
      <c r="PRK313" s="13"/>
      <c r="PRL313" s="35"/>
      <c r="PRM313" s="35"/>
      <c r="PRN313" s="15"/>
      <c r="PRP313" s="13"/>
      <c r="PRQ313" s="35"/>
      <c r="PRR313" s="35"/>
      <c r="PRS313" s="15"/>
      <c r="PRU313" s="13"/>
      <c r="PRV313" s="35"/>
      <c r="PRW313" s="35"/>
      <c r="PRX313" s="15"/>
      <c r="PRZ313" s="13"/>
      <c r="PSA313" s="35"/>
      <c r="PSB313" s="35"/>
      <c r="PSC313" s="15"/>
      <c r="PSE313" s="13"/>
      <c r="PSF313" s="35"/>
      <c r="PSG313" s="35"/>
      <c r="PSH313" s="15"/>
      <c r="PSJ313" s="13"/>
      <c r="PSK313" s="35"/>
      <c r="PSL313" s="35"/>
      <c r="PSM313" s="15"/>
      <c r="PSO313" s="13"/>
      <c r="PSP313" s="35"/>
      <c r="PSQ313" s="35"/>
      <c r="PSR313" s="15"/>
      <c r="PST313" s="13"/>
      <c r="PSU313" s="35"/>
      <c r="PSV313" s="35"/>
      <c r="PSW313" s="15"/>
      <c r="PSY313" s="13"/>
      <c r="PSZ313" s="35"/>
      <c r="PTA313" s="35"/>
      <c r="PTB313" s="15"/>
      <c r="PTD313" s="13"/>
      <c r="PTE313" s="35"/>
      <c r="PTF313" s="35"/>
      <c r="PTG313" s="15"/>
      <c r="PTI313" s="13"/>
      <c r="PTJ313" s="35"/>
      <c r="PTK313" s="35"/>
      <c r="PTL313" s="15"/>
      <c r="PTN313" s="13"/>
      <c r="PTO313" s="35"/>
      <c r="PTP313" s="35"/>
      <c r="PTQ313" s="15"/>
      <c r="PTS313" s="13"/>
      <c r="PTT313" s="35"/>
      <c r="PTU313" s="35"/>
      <c r="PTV313" s="15"/>
      <c r="PTX313" s="13"/>
      <c r="PTY313" s="35"/>
      <c r="PTZ313" s="35"/>
      <c r="PUA313" s="15"/>
      <c r="PUC313" s="13"/>
      <c r="PUD313" s="35"/>
      <c r="PUE313" s="35"/>
      <c r="PUF313" s="15"/>
      <c r="PUH313" s="13"/>
      <c r="PUI313" s="35"/>
      <c r="PUJ313" s="35"/>
      <c r="PUK313" s="15"/>
      <c r="PUM313" s="13"/>
      <c r="PUN313" s="35"/>
      <c r="PUO313" s="35"/>
      <c r="PUP313" s="15"/>
      <c r="PUR313" s="13"/>
      <c r="PUS313" s="35"/>
      <c r="PUT313" s="35"/>
      <c r="PUU313" s="15"/>
      <c r="PUW313" s="13"/>
      <c r="PUX313" s="35"/>
      <c r="PUY313" s="35"/>
      <c r="PUZ313" s="15"/>
      <c r="PVB313" s="13"/>
      <c r="PVC313" s="35"/>
      <c r="PVD313" s="35"/>
      <c r="PVE313" s="15"/>
      <c r="PVG313" s="13"/>
      <c r="PVH313" s="35"/>
      <c r="PVI313" s="35"/>
      <c r="PVJ313" s="15"/>
      <c r="PVL313" s="13"/>
      <c r="PVM313" s="35"/>
      <c r="PVN313" s="35"/>
      <c r="PVO313" s="15"/>
      <c r="PVQ313" s="13"/>
      <c r="PVR313" s="35"/>
      <c r="PVS313" s="35"/>
      <c r="PVT313" s="15"/>
      <c r="PVV313" s="13"/>
      <c r="PVW313" s="35"/>
      <c r="PVX313" s="35"/>
      <c r="PVY313" s="15"/>
      <c r="PWA313" s="13"/>
      <c r="PWB313" s="35"/>
      <c r="PWC313" s="35"/>
      <c r="PWD313" s="15"/>
      <c r="PWF313" s="13"/>
      <c r="PWG313" s="35"/>
      <c r="PWH313" s="35"/>
      <c r="PWI313" s="15"/>
      <c r="PWK313" s="13"/>
      <c r="PWL313" s="35"/>
      <c r="PWM313" s="35"/>
      <c r="PWN313" s="15"/>
      <c r="PWP313" s="13"/>
      <c r="PWQ313" s="35"/>
      <c r="PWR313" s="35"/>
      <c r="PWS313" s="15"/>
      <c r="PWU313" s="13"/>
      <c r="PWV313" s="35"/>
      <c r="PWW313" s="35"/>
      <c r="PWX313" s="15"/>
      <c r="PWZ313" s="13"/>
      <c r="PXA313" s="35"/>
      <c r="PXB313" s="35"/>
      <c r="PXC313" s="15"/>
      <c r="PXE313" s="13"/>
      <c r="PXF313" s="35"/>
      <c r="PXG313" s="35"/>
      <c r="PXH313" s="15"/>
      <c r="PXJ313" s="13"/>
      <c r="PXK313" s="35"/>
      <c r="PXL313" s="35"/>
      <c r="PXM313" s="15"/>
      <c r="PXO313" s="13"/>
      <c r="PXP313" s="35"/>
      <c r="PXQ313" s="35"/>
      <c r="PXR313" s="15"/>
      <c r="PXT313" s="13"/>
      <c r="PXU313" s="35"/>
      <c r="PXV313" s="35"/>
      <c r="PXW313" s="15"/>
      <c r="PXY313" s="13"/>
      <c r="PXZ313" s="35"/>
      <c r="PYA313" s="35"/>
      <c r="PYB313" s="15"/>
      <c r="PYD313" s="13"/>
      <c r="PYE313" s="35"/>
      <c r="PYF313" s="35"/>
      <c r="PYG313" s="15"/>
      <c r="PYI313" s="13"/>
      <c r="PYJ313" s="35"/>
      <c r="PYK313" s="35"/>
      <c r="PYL313" s="15"/>
      <c r="PYN313" s="13"/>
      <c r="PYO313" s="35"/>
      <c r="PYP313" s="35"/>
      <c r="PYQ313" s="15"/>
      <c r="PYS313" s="13"/>
      <c r="PYT313" s="35"/>
      <c r="PYU313" s="35"/>
      <c r="PYV313" s="15"/>
      <c r="PYX313" s="13"/>
      <c r="PYY313" s="35"/>
      <c r="PYZ313" s="35"/>
      <c r="PZA313" s="15"/>
      <c r="PZC313" s="13"/>
      <c r="PZD313" s="35"/>
      <c r="PZE313" s="35"/>
      <c r="PZF313" s="15"/>
      <c r="PZH313" s="13"/>
      <c r="PZI313" s="35"/>
      <c r="PZJ313" s="35"/>
      <c r="PZK313" s="15"/>
      <c r="PZM313" s="13"/>
      <c r="PZN313" s="35"/>
      <c r="PZO313" s="35"/>
      <c r="PZP313" s="15"/>
      <c r="PZR313" s="13"/>
      <c r="PZS313" s="35"/>
      <c r="PZT313" s="35"/>
      <c r="PZU313" s="15"/>
      <c r="PZW313" s="13"/>
      <c r="PZX313" s="35"/>
      <c r="PZY313" s="35"/>
      <c r="PZZ313" s="15"/>
      <c r="QAB313" s="13"/>
      <c r="QAC313" s="35"/>
      <c r="QAD313" s="35"/>
      <c r="QAE313" s="15"/>
      <c r="QAG313" s="13"/>
      <c r="QAH313" s="35"/>
      <c r="QAI313" s="35"/>
      <c r="QAJ313" s="15"/>
      <c r="QAL313" s="13"/>
      <c r="QAM313" s="35"/>
      <c r="QAN313" s="35"/>
      <c r="QAO313" s="15"/>
      <c r="QAQ313" s="13"/>
      <c r="QAR313" s="35"/>
      <c r="QAS313" s="35"/>
      <c r="QAT313" s="15"/>
      <c r="QAV313" s="13"/>
      <c r="QAW313" s="35"/>
      <c r="QAX313" s="35"/>
      <c r="QAY313" s="15"/>
      <c r="QBA313" s="13"/>
      <c r="QBB313" s="35"/>
      <c r="QBC313" s="35"/>
      <c r="QBD313" s="15"/>
      <c r="QBF313" s="13"/>
      <c r="QBG313" s="35"/>
      <c r="QBH313" s="35"/>
      <c r="QBI313" s="15"/>
      <c r="QBK313" s="13"/>
      <c r="QBL313" s="35"/>
      <c r="QBM313" s="35"/>
      <c r="QBN313" s="15"/>
      <c r="QBP313" s="13"/>
      <c r="QBQ313" s="35"/>
      <c r="QBR313" s="35"/>
      <c r="QBS313" s="15"/>
      <c r="QBU313" s="13"/>
      <c r="QBV313" s="35"/>
      <c r="QBW313" s="35"/>
      <c r="QBX313" s="15"/>
      <c r="QBZ313" s="13"/>
      <c r="QCA313" s="35"/>
      <c r="QCB313" s="35"/>
      <c r="QCC313" s="15"/>
      <c r="QCE313" s="13"/>
      <c r="QCF313" s="35"/>
      <c r="QCG313" s="35"/>
      <c r="QCH313" s="15"/>
      <c r="QCJ313" s="13"/>
      <c r="QCK313" s="35"/>
      <c r="QCL313" s="35"/>
      <c r="QCM313" s="15"/>
      <c r="QCO313" s="13"/>
      <c r="QCP313" s="35"/>
      <c r="QCQ313" s="35"/>
      <c r="QCR313" s="15"/>
      <c r="QCT313" s="13"/>
      <c r="QCU313" s="35"/>
      <c r="QCV313" s="35"/>
      <c r="QCW313" s="15"/>
      <c r="QCY313" s="13"/>
      <c r="QCZ313" s="35"/>
      <c r="QDA313" s="35"/>
      <c r="QDB313" s="15"/>
      <c r="QDD313" s="13"/>
      <c r="QDE313" s="35"/>
      <c r="QDF313" s="35"/>
      <c r="QDG313" s="15"/>
      <c r="QDI313" s="13"/>
      <c r="QDJ313" s="35"/>
      <c r="QDK313" s="35"/>
      <c r="QDL313" s="15"/>
      <c r="QDN313" s="13"/>
      <c r="QDO313" s="35"/>
      <c r="QDP313" s="35"/>
      <c r="QDQ313" s="15"/>
      <c r="QDS313" s="13"/>
      <c r="QDT313" s="35"/>
      <c r="QDU313" s="35"/>
      <c r="QDV313" s="15"/>
      <c r="QDX313" s="13"/>
      <c r="QDY313" s="35"/>
      <c r="QDZ313" s="35"/>
      <c r="QEA313" s="15"/>
      <c r="QEC313" s="13"/>
      <c r="QED313" s="35"/>
      <c r="QEE313" s="35"/>
      <c r="QEF313" s="15"/>
      <c r="QEH313" s="13"/>
      <c r="QEI313" s="35"/>
      <c r="QEJ313" s="35"/>
      <c r="QEK313" s="15"/>
      <c r="QEM313" s="13"/>
      <c r="QEN313" s="35"/>
      <c r="QEO313" s="35"/>
      <c r="QEP313" s="15"/>
      <c r="QER313" s="13"/>
      <c r="QES313" s="35"/>
      <c r="QET313" s="35"/>
      <c r="QEU313" s="15"/>
      <c r="QEW313" s="13"/>
      <c r="QEX313" s="35"/>
      <c r="QEY313" s="35"/>
      <c r="QEZ313" s="15"/>
      <c r="QFB313" s="13"/>
      <c r="QFC313" s="35"/>
      <c r="QFD313" s="35"/>
      <c r="QFE313" s="15"/>
      <c r="QFG313" s="13"/>
      <c r="QFH313" s="35"/>
      <c r="QFI313" s="35"/>
      <c r="QFJ313" s="15"/>
      <c r="QFL313" s="13"/>
      <c r="QFM313" s="35"/>
      <c r="QFN313" s="35"/>
      <c r="QFO313" s="15"/>
      <c r="QFQ313" s="13"/>
      <c r="QFR313" s="35"/>
      <c r="QFS313" s="35"/>
      <c r="QFT313" s="15"/>
      <c r="QFV313" s="13"/>
      <c r="QFW313" s="35"/>
      <c r="QFX313" s="35"/>
      <c r="QFY313" s="15"/>
      <c r="QGA313" s="13"/>
      <c r="QGB313" s="35"/>
      <c r="QGC313" s="35"/>
      <c r="QGD313" s="15"/>
      <c r="QGF313" s="13"/>
      <c r="QGG313" s="35"/>
      <c r="QGH313" s="35"/>
      <c r="QGI313" s="15"/>
      <c r="QGK313" s="13"/>
      <c r="QGL313" s="35"/>
      <c r="QGM313" s="35"/>
      <c r="QGN313" s="15"/>
      <c r="QGP313" s="13"/>
      <c r="QGQ313" s="35"/>
      <c r="QGR313" s="35"/>
      <c r="QGS313" s="15"/>
      <c r="QGU313" s="13"/>
      <c r="QGV313" s="35"/>
      <c r="QGW313" s="35"/>
      <c r="QGX313" s="15"/>
      <c r="QGZ313" s="13"/>
      <c r="QHA313" s="35"/>
      <c r="QHB313" s="35"/>
      <c r="QHC313" s="15"/>
      <c r="QHE313" s="13"/>
      <c r="QHF313" s="35"/>
      <c r="QHG313" s="35"/>
      <c r="QHH313" s="15"/>
      <c r="QHJ313" s="13"/>
      <c r="QHK313" s="35"/>
      <c r="QHL313" s="35"/>
      <c r="QHM313" s="15"/>
      <c r="QHO313" s="13"/>
      <c r="QHP313" s="35"/>
      <c r="QHQ313" s="35"/>
      <c r="QHR313" s="15"/>
      <c r="QHT313" s="13"/>
      <c r="QHU313" s="35"/>
      <c r="QHV313" s="35"/>
      <c r="QHW313" s="15"/>
      <c r="QHY313" s="13"/>
      <c r="QHZ313" s="35"/>
      <c r="QIA313" s="35"/>
      <c r="QIB313" s="15"/>
      <c r="QID313" s="13"/>
      <c r="QIE313" s="35"/>
      <c r="QIF313" s="35"/>
      <c r="QIG313" s="15"/>
      <c r="QII313" s="13"/>
      <c r="QIJ313" s="35"/>
      <c r="QIK313" s="35"/>
      <c r="QIL313" s="15"/>
      <c r="QIN313" s="13"/>
      <c r="QIO313" s="35"/>
      <c r="QIP313" s="35"/>
      <c r="QIQ313" s="15"/>
      <c r="QIS313" s="13"/>
      <c r="QIT313" s="35"/>
      <c r="QIU313" s="35"/>
      <c r="QIV313" s="15"/>
      <c r="QIX313" s="13"/>
      <c r="QIY313" s="35"/>
      <c r="QIZ313" s="35"/>
      <c r="QJA313" s="15"/>
      <c r="QJC313" s="13"/>
      <c r="QJD313" s="35"/>
      <c r="QJE313" s="35"/>
      <c r="QJF313" s="15"/>
      <c r="QJH313" s="13"/>
      <c r="QJI313" s="35"/>
      <c r="QJJ313" s="35"/>
      <c r="QJK313" s="15"/>
      <c r="QJM313" s="13"/>
      <c r="QJN313" s="35"/>
      <c r="QJO313" s="35"/>
      <c r="QJP313" s="15"/>
      <c r="QJR313" s="13"/>
      <c r="QJS313" s="35"/>
      <c r="QJT313" s="35"/>
      <c r="QJU313" s="15"/>
      <c r="QJW313" s="13"/>
      <c r="QJX313" s="35"/>
      <c r="QJY313" s="35"/>
      <c r="QJZ313" s="15"/>
      <c r="QKB313" s="13"/>
      <c r="QKC313" s="35"/>
      <c r="QKD313" s="35"/>
      <c r="QKE313" s="15"/>
      <c r="QKG313" s="13"/>
      <c r="QKH313" s="35"/>
      <c r="QKI313" s="35"/>
      <c r="QKJ313" s="15"/>
      <c r="QKL313" s="13"/>
      <c r="QKM313" s="35"/>
      <c r="QKN313" s="35"/>
      <c r="QKO313" s="15"/>
      <c r="QKQ313" s="13"/>
      <c r="QKR313" s="35"/>
      <c r="QKS313" s="35"/>
      <c r="QKT313" s="15"/>
      <c r="QKV313" s="13"/>
      <c r="QKW313" s="35"/>
      <c r="QKX313" s="35"/>
      <c r="QKY313" s="15"/>
      <c r="QLA313" s="13"/>
      <c r="QLB313" s="35"/>
      <c r="QLC313" s="35"/>
      <c r="QLD313" s="15"/>
      <c r="QLF313" s="13"/>
      <c r="QLG313" s="35"/>
      <c r="QLH313" s="35"/>
      <c r="QLI313" s="15"/>
      <c r="QLK313" s="13"/>
      <c r="QLL313" s="35"/>
      <c r="QLM313" s="35"/>
      <c r="QLN313" s="15"/>
      <c r="QLP313" s="13"/>
      <c r="QLQ313" s="35"/>
      <c r="QLR313" s="35"/>
      <c r="QLS313" s="15"/>
      <c r="QLU313" s="13"/>
      <c r="QLV313" s="35"/>
      <c r="QLW313" s="35"/>
      <c r="QLX313" s="15"/>
      <c r="QLZ313" s="13"/>
      <c r="QMA313" s="35"/>
      <c r="QMB313" s="35"/>
      <c r="QMC313" s="15"/>
      <c r="QME313" s="13"/>
      <c r="QMF313" s="35"/>
      <c r="QMG313" s="35"/>
      <c r="QMH313" s="15"/>
      <c r="QMJ313" s="13"/>
      <c r="QMK313" s="35"/>
      <c r="QML313" s="35"/>
      <c r="QMM313" s="15"/>
      <c r="QMO313" s="13"/>
      <c r="QMP313" s="35"/>
      <c r="QMQ313" s="35"/>
      <c r="QMR313" s="15"/>
      <c r="QMT313" s="13"/>
      <c r="QMU313" s="35"/>
      <c r="QMV313" s="35"/>
      <c r="QMW313" s="15"/>
      <c r="QMY313" s="13"/>
      <c r="QMZ313" s="35"/>
      <c r="QNA313" s="35"/>
      <c r="QNB313" s="15"/>
      <c r="QND313" s="13"/>
      <c r="QNE313" s="35"/>
      <c r="QNF313" s="35"/>
      <c r="QNG313" s="15"/>
      <c r="QNI313" s="13"/>
      <c r="QNJ313" s="35"/>
      <c r="QNK313" s="35"/>
      <c r="QNL313" s="15"/>
      <c r="QNN313" s="13"/>
      <c r="QNO313" s="35"/>
      <c r="QNP313" s="35"/>
      <c r="QNQ313" s="15"/>
      <c r="QNS313" s="13"/>
      <c r="QNT313" s="35"/>
      <c r="QNU313" s="35"/>
      <c r="QNV313" s="15"/>
      <c r="QNX313" s="13"/>
      <c r="QNY313" s="35"/>
      <c r="QNZ313" s="35"/>
      <c r="QOA313" s="15"/>
      <c r="QOC313" s="13"/>
      <c r="QOD313" s="35"/>
      <c r="QOE313" s="35"/>
      <c r="QOF313" s="15"/>
      <c r="QOH313" s="13"/>
      <c r="QOI313" s="35"/>
      <c r="QOJ313" s="35"/>
      <c r="QOK313" s="15"/>
      <c r="QOM313" s="13"/>
      <c r="QON313" s="35"/>
      <c r="QOO313" s="35"/>
      <c r="QOP313" s="15"/>
      <c r="QOR313" s="13"/>
      <c r="QOS313" s="35"/>
      <c r="QOT313" s="35"/>
      <c r="QOU313" s="15"/>
      <c r="QOW313" s="13"/>
      <c r="QOX313" s="35"/>
      <c r="QOY313" s="35"/>
      <c r="QOZ313" s="15"/>
      <c r="QPB313" s="13"/>
      <c r="QPC313" s="35"/>
      <c r="QPD313" s="35"/>
      <c r="QPE313" s="15"/>
      <c r="QPG313" s="13"/>
      <c r="QPH313" s="35"/>
      <c r="QPI313" s="35"/>
      <c r="QPJ313" s="15"/>
      <c r="QPL313" s="13"/>
      <c r="QPM313" s="35"/>
      <c r="QPN313" s="35"/>
      <c r="QPO313" s="15"/>
      <c r="QPQ313" s="13"/>
      <c r="QPR313" s="35"/>
      <c r="QPS313" s="35"/>
      <c r="QPT313" s="15"/>
      <c r="QPV313" s="13"/>
      <c r="QPW313" s="35"/>
      <c r="QPX313" s="35"/>
      <c r="QPY313" s="15"/>
      <c r="QQA313" s="13"/>
      <c r="QQB313" s="35"/>
      <c r="QQC313" s="35"/>
      <c r="QQD313" s="15"/>
      <c r="QQF313" s="13"/>
      <c r="QQG313" s="35"/>
      <c r="QQH313" s="35"/>
      <c r="QQI313" s="15"/>
      <c r="QQK313" s="13"/>
      <c r="QQL313" s="35"/>
      <c r="QQM313" s="35"/>
      <c r="QQN313" s="15"/>
      <c r="QQP313" s="13"/>
      <c r="QQQ313" s="35"/>
      <c r="QQR313" s="35"/>
      <c r="QQS313" s="15"/>
      <c r="QQU313" s="13"/>
      <c r="QQV313" s="35"/>
      <c r="QQW313" s="35"/>
      <c r="QQX313" s="15"/>
      <c r="QQZ313" s="13"/>
      <c r="QRA313" s="35"/>
      <c r="QRB313" s="35"/>
      <c r="QRC313" s="15"/>
      <c r="QRE313" s="13"/>
      <c r="QRF313" s="35"/>
      <c r="QRG313" s="35"/>
      <c r="QRH313" s="15"/>
      <c r="QRJ313" s="13"/>
      <c r="QRK313" s="35"/>
      <c r="QRL313" s="35"/>
      <c r="QRM313" s="15"/>
      <c r="QRO313" s="13"/>
      <c r="QRP313" s="35"/>
      <c r="QRQ313" s="35"/>
      <c r="QRR313" s="15"/>
      <c r="QRT313" s="13"/>
      <c r="QRU313" s="35"/>
      <c r="QRV313" s="35"/>
      <c r="QRW313" s="15"/>
      <c r="QRY313" s="13"/>
      <c r="QRZ313" s="35"/>
      <c r="QSA313" s="35"/>
      <c r="QSB313" s="15"/>
      <c r="QSD313" s="13"/>
      <c r="QSE313" s="35"/>
      <c r="QSF313" s="35"/>
      <c r="QSG313" s="15"/>
      <c r="QSI313" s="13"/>
      <c r="QSJ313" s="35"/>
      <c r="QSK313" s="35"/>
      <c r="QSL313" s="15"/>
      <c r="QSN313" s="13"/>
      <c r="QSO313" s="35"/>
      <c r="QSP313" s="35"/>
      <c r="QSQ313" s="15"/>
      <c r="QSS313" s="13"/>
      <c r="QST313" s="35"/>
      <c r="QSU313" s="35"/>
      <c r="QSV313" s="15"/>
      <c r="QSX313" s="13"/>
      <c r="QSY313" s="35"/>
      <c r="QSZ313" s="35"/>
      <c r="QTA313" s="15"/>
      <c r="QTC313" s="13"/>
      <c r="QTD313" s="35"/>
      <c r="QTE313" s="35"/>
      <c r="QTF313" s="15"/>
      <c r="QTH313" s="13"/>
      <c r="QTI313" s="35"/>
      <c r="QTJ313" s="35"/>
      <c r="QTK313" s="15"/>
      <c r="QTM313" s="13"/>
      <c r="QTN313" s="35"/>
      <c r="QTO313" s="35"/>
      <c r="QTP313" s="15"/>
      <c r="QTR313" s="13"/>
      <c r="QTS313" s="35"/>
      <c r="QTT313" s="35"/>
      <c r="QTU313" s="15"/>
      <c r="QTW313" s="13"/>
      <c r="QTX313" s="35"/>
      <c r="QTY313" s="35"/>
      <c r="QTZ313" s="15"/>
      <c r="QUB313" s="13"/>
      <c r="QUC313" s="35"/>
      <c r="QUD313" s="35"/>
      <c r="QUE313" s="15"/>
      <c r="QUG313" s="13"/>
      <c r="QUH313" s="35"/>
      <c r="QUI313" s="35"/>
      <c r="QUJ313" s="15"/>
      <c r="QUL313" s="13"/>
      <c r="QUM313" s="35"/>
      <c r="QUN313" s="35"/>
      <c r="QUO313" s="15"/>
      <c r="QUQ313" s="13"/>
      <c r="QUR313" s="35"/>
      <c r="QUS313" s="35"/>
      <c r="QUT313" s="15"/>
      <c r="QUV313" s="13"/>
      <c r="QUW313" s="35"/>
      <c r="QUX313" s="35"/>
      <c r="QUY313" s="15"/>
      <c r="QVA313" s="13"/>
      <c r="QVB313" s="35"/>
      <c r="QVC313" s="35"/>
      <c r="QVD313" s="15"/>
      <c r="QVF313" s="13"/>
      <c r="QVG313" s="35"/>
      <c r="QVH313" s="35"/>
      <c r="QVI313" s="15"/>
      <c r="QVK313" s="13"/>
      <c r="QVL313" s="35"/>
      <c r="QVM313" s="35"/>
      <c r="QVN313" s="15"/>
      <c r="QVP313" s="13"/>
      <c r="QVQ313" s="35"/>
      <c r="QVR313" s="35"/>
      <c r="QVS313" s="15"/>
      <c r="QVU313" s="13"/>
      <c r="QVV313" s="35"/>
      <c r="QVW313" s="35"/>
      <c r="QVX313" s="15"/>
      <c r="QVZ313" s="13"/>
      <c r="QWA313" s="35"/>
      <c r="QWB313" s="35"/>
      <c r="QWC313" s="15"/>
      <c r="QWE313" s="13"/>
      <c r="QWF313" s="35"/>
      <c r="QWG313" s="35"/>
      <c r="QWH313" s="15"/>
      <c r="QWJ313" s="13"/>
      <c r="QWK313" s="35"/>
      <c r="QWL313" s="35"/>
      <c r="QWM313" s="15"/>
      <c r="QWO313" s="13"/>
      <c r="QWP313" s="35"/>
      <c r="QWQ313" s="35"/>
      <c r="QWR313" s="15"/>
      <c r="QWT313" s="13"/>
      <c r="QWU313" s="35"/>
      <c r="QWV313" s="35"/>
      <c r="QWW313" s="15"/>
      <c r="QWY313" s="13"/>
      <c r="QWZ313" s="35"/>
      <c r="QXA313" s="35"/>
      <c r="QXB313" s="15"/>
      <c r="QXD313" s="13"/>
      <c r="QXE313" s="35"/>
      <c r="QXF313" s="35"/>
      <c r="QXG313" s="15"/>
      <c r="QXI313" s="13"/>
      <c r="QXJ313" s="35"/>
      <c r="QXK313" s="35"/>
      <c r="QXL313" s="15"/>
      <c r="QXN313" s="13"/>
      <c r="QXO313" s="35"/>
      <c r="QXP313" s="35"/>
      <c r="QXQ313" s="15"/>
      <c r="QXS313" s="13"/>
      <c r="QXT313" s="35"/>
      <c r="QXU313" s="35"/>
      <c r="QXV313" s="15"/>
      <c r="QXX313" s="13"/>
      <c r="QXY313" s="35"/>
      <c r="QXZ313" s="35"/>
      <c r="QYA313" s="15"/>
      <c r="QYC313" s="13"/>
      <c r="QYD313" s="35"/>
      <c r="QYE313" s="35"/>
      <c r="QYF313" s="15"/>
      <c r="QYH313" s="13"/>
      <c r="QYI313" s="35"/>
      <c r="QYJ313" s="35"/>
      <c r="QYK313" s="15"/>
      <c r="QYM313" s="13"/>
      <c r="QYN313" s="35"/>
      <c r="QYO313" s="35"/>
      <c r="QYP313" s="15"/>
      <c r="QYR313" s="13"/>
      <c r="QYS313" s="35"/>
      <c r="QYT313" s="35"/>
      <c r="QYU313" s="15"/>
      <c r="QYW313" s="13"/>
      <c r="QYX313" s="35"/>
      <c r="QYY313" s="35"/>
      <c r="QYZ313" s="15"/>
      <c r="QZB313" s="13"/>
      <c r="QZC313" s="35"/>
      <c r="QZD313" s="35"/>
      <c r="QZE313" s="15"/>
      <c r="QZG313" s="13"/>
      <c r="QZH313" s="35"/>
      <c r="QZI313" s="35"/>
      <c r="QZJ313" s="15"/>
      <c r="QZL313" s="13"/>
      <c r="QZM313" s="35"/>
      <c r="QZN313" s="35"/>
      <c r="QZO313" s="15"/>
      <c r="QZQ313" s="13"/>
      <c r="QZR313" s="35"/>
      <c r="QZS313" s="35"/>
      <c r="QZT313" s="15"/>
      <c r="QZV313" s="13"/>
      <c r="QZW313" s="35"/>
      <c r="QZX313" s="35"/>
      <c r="QZY313" s="15"/>
      <c r="RAA313" s="13"/>
      <c r="RAB313" s="35"/>
      <c r="RAC313" s="35"/>
      <c r="RAD313" s="15"/>
      <c r="RAF313" s="13"/>
      <c r="RAG313" s="35"/>
      <c r="RAH313" s="35"/>
      <c r="RAI313" s="15"/>
      <c r="RAK313" s="13"/>
      <c r="RAL313" s="35"/>
      <c r="RAM313" s="35"/>
      <c r="RAN313" s="15"/>
      <c r="RAP313" s="13"/>
      <c r="RAQ313" s="35"/>
      <c r="RAR313" s="35"/>
      <c r="RAS313" s="15"/>
      <c r="RAU313" s="13"/>
      <c r="RAV313" s="35"/>
      <c r="RAW313" s="35"/>
      <c r="RAX313" s="15"/>
      <c r="RAZ313" s="13"/>
      <c r="RBA313" s="35"/>
      <c r="RBB313" s="35"/>
      <c r="RBC313" s="15"/>
      <c r="RBE313" s="13"/>
      <c r="RBF313" s="35"/>
      <c r="RBG313" s="35"/>
      <c r="RBH313" s="15"/>
      <c r="RBJ313" s="13"/>
      <c r="RBK313" s="35"/>
      <c r="RBL313" s="35"/>
      <c r="RBM313" s="15"/>
      <c r="RBO313" s="13"/>
      <c r="RBP313" s="35"/>
      <c r="RBQ313" s="35"/>
      <c r="RBR313" s="15"/>
      <c r="RBT313" s="13"/>
      <c r="RBU313" s="35"/>
      <c r="RBV313" s="35"/>
      <c r="RBW313" s="15"/>
      <c r="RBY313" s="13"/>
      <c r="RBZ313" s="35"/>
      <c r="RCA313" s="35"/>
      <c r="RCB313" s="15"/>
      <c r="RCD313" s="13"/>
      <c r="RCE313" s="35"/>
      <c r="RCF313" s="35"/>
      <c r="RCG313" s="15"/>
      <c r="RCI313" s="13"/>
      <c r="RCJ313" s="35"/>
      <c r="RCK313" s="35"/>
      <c r="RCL313" s="15"/>
      <c r="RCN313" s="13"/>
      <c r="RCO313" s="35"/>
      <c r="RCP313" s="35"/>
      <c r="RCQ313" s="15"/>
      <c r="RCS313" s="13"/>
      <c r="RCT313" s="35"/>
      <c r="RCU313" s="35"/>
      <c r="RCV313" s="15"/>
      <c r="RCX313" s="13"/>
      <c r="RCY313" s="35"/>
      <c r="RCZ313" s="35"/>
      <c r="RDA313" s="15"/>
      <c r="RDC313" s="13"/>
      <c r="RDD313" s="35"/>
      <c r="RDE313" s="35"/>
      <c r="RDF313" s="15"/>
      <c r="RDH313" s="13"/>
      <c r="RDI313" s="35"/>
      <c r="RDJ313" s="35"/>
      <c r="RDK313" s="15"/>
      <c r="RDM313" s="13"/>
      <c r="RDN313" s="35"/>
      <c r="RDO313" s="35"/>
      <c r="RDP313" s="15"/>
      <c r="RDR313" s="13"/>
      <c r="RDS313" s="35"/>
      <c r="RDT313" s="35"/>
      <c r="RDU313" s="15"/>
      <c r="RDW313" s="13"/>
      <c r="RDX313" s="35"/>
      <c r="RDY313" s="35"/>
      <c r="RDZ313" s="15"/>
      <c r="REB313" s="13"/>
      <c r="REC313" s="35"/>
      <c r="RED313" s="35"/>
      <c r="REE313" s="15"/>
      <c r="REG313" s="13"/>
      <c r="REH313" s="35"/>
      <c r="REI313" s="35"/>
      <c r="REJ313" s="15"/>
      <c r="REL313" s="13"/>
      <c r="REM313" s="35"/>
      <c r="REN313" s="35"/>
      <c r="REO313" s="15"/>
      <c r="REQ313" s="13"/>
      <c r="RER313" s="35"/>
      <c r="RES313" s="35"/>
      <c r="RET313" s="15"/>
      <c r="REV313" s="13"/>
      <c r="REW313" s="35"/>
      <c r="REX313" s="35"/>
      <c r="REY313" s="15"/>
      <c r="RFA313" s="13"/>
      <c r="RFB313" s="35"/>
      <c r="RFC313" s="35"/>
      <c r="RFD313" s="15"/>
      <c r="RFF313" s="13"/>
      <c r="RFG313" s="35"/>
      <c r="RFH313" s="35"/>
      <c r="RFI313" s="15"/>
      <c r="RFK313" s="13"/>
      <c r="RFL313" s="35"/>
      <c r="RFM313" s="35"/>
      <c r="RFN313" s="15"/>
      <c r="RFP313" s="13"/>
      <c r="RFQ313" s="35"/>
      <c r="RFR313" s="35"/>
      <c r="RFS313" s="15"/>
      <c r="RFU313" s="13"/>
      <c r="RFV313" s="35"/>
      <c r="RFW313" s="35"/>
      <c r="RFX313" s="15"/>
      <c r="RFZ313" s="13"/>
      <c r="RGA313" s="35"/>
      <c r="RGB313" s="35"/>
      <c r="RGC313" s="15"/>
      <c r="RGE313" s="13"/>
      <c r="RGF313" s="35"/>
      <c r="RGG313" s="35"/>
      <c r="RGH313" s="15"/>
      <c r="RGJ313" s="13"/>
      <c r="RGK313" s="35"/>
      <c r="RGL313" s="35"/>
      <c r="RGM313" s="15"/>
      <c r="RGO313" s="13"/>
      <c r="RGP313" s="35"/>
      <c r="RGQ313" s="35"/>
      <c r="RGR313" s="15"/>
      <c r="RGT313" s="13"/>
      <c r="RGU313" s="35"/>
      <c r="RGV313" s="35"/>
      <c r="RGW313" s="15"/>
      <c r="RGY313" s="13"/>
      <c r="RGZ313" s="35"/>
      <c r="RHA313" s="35"/>
      <c r="RHB313" s="15"/>
      <c r="RHD313" s="13"/>
      <c r="RHE313" s="35"/>
      <c r="RHF313" s="35"/>
      <c r="RHG313" s="15"/>
      <c r="RHI313" s="13"/>
      <c r="RHJ313" s="35"/>
      <c r="RHK313" s="35"/>
      <c r="RHL313" s="15"/>
      <c r="RHN313" s="13"/>
      <c r="RHO313" s="35"/>
      <c r="RHP313" s="35"/>
      <c r="RHQ313" s="15"/>
      <c r="RHS313" s="13"/>
      <c r="RHT313" s="35"/>
      <c r="RHU313" s="35"/>
      <c r="RHV313" s="15"/>
      <c r="RHX313" s="13"/>
      <c r="RHY313" s="35"/>
      <c r="RHZ313" s="35"/>
      <c r="RIA313" s="15"/>
      <c r="RIC313" s="13"/>
      <c r="RID313" s="35"/>
      <c r="RIE313" s="35"/>
      <c r="RIF313" s="15"/>
      <c r="RIH313" s="13"/>
      <c r="RII313" s="35"/>
      <c r="RIJ313" s="35"/>
      <c r="RIK313" s="15"/>
      <c r="RIM313" s="13"/>
      <c r="RIN313" s="35"/>
      <c r="RIO313" s="35"/>
      <c r="RIP313" s="15"/>
      <c r="RIR313" s="13"/>
      <c r="RIS313" s="35"/>
      <c r="RIT313" s="35"/>
      <c r="RIU313" s="15"/>
      <c r="RIW313" s="13"/>
      <c r="RIX313" s="35"/>
      <c r="RIY313" s="35"/>
      <c r="RIZ313" s="15"/>
      <c r="RJB313" s="13"/>
      <c r="RJC313" s="35"/>
      <c r="RJD313" s="35"/>
      <c r="RJE313" s="15"/>
      <c r="RJG313" s="13"/>
      <c r="RJH313" s="35"/>
      <c r="RJI313" s="35"/>
      <c r="RJJ313" s="15"/>
      <c r="RJL313" s="13"/>
      <c r="RJM313" s="35"/>
      <c r="RJN313" s="35"/>
      <c r="RJO313" s="15"/>
      <c r="RJQ313" s="13"/>
      <c r="RJR313" s="35"/>
      <c r="RJS313" s="35"/>
      <c r="RJT313" s="15"/>
      <c r="RJV313" s="13"/>
      <c r="RJW313" s="35"/>
      <c r="RJX313" s="35"/>
      <c r="RJY313" s="15"/>
      <c r="RKA313" s="13"/>
      <c r="RKB313" s="35"/>
      <c r="RKC313" s="35"/>
      <c r="RKD313" s="15"/>
      <c r="RKF313" s="13"/>
      <c r="RKG313" s="35"/>
      <c r="RKH313" s="35"/>
      <c r="RKI313" s="15"/>
      <c r="RKK313" s="13"/>
      <c r="RKL313" s="35"/>
      <c r="RKM313" s="35"/>
      <c r="RKN313" s="15"/>
      <c r="RKP313" s="13"/>
      <c r="RKQ313" s="35"/>
      <c r="RKR313" s="35"/>
      <c r="RKS313" s="15"/>
      <c r="RKU313" s="13"/>
      <c r="RKV313" s="35"/>
      <c r="RKW313" s="35"/>
      <c r="RKX313" s="15"/>
      <c r="RKZ313" s="13"/>
      <c r="RLA313" s="35"/>
      <c r="RLB313" s="35"/>
      <c r="RLC313" s="15"/>
      <c r="RLE313" s="13"/>
      <c r="RLF313" s="35"/>
      <c r="RLG313" s="35"/>
      <c r="RLH313" s="15"/>
      <c r="RLJ313" s="13"/>
      <c r="RLK313" s="35"/>
      <c r="RLL313" s="35"/>
      <c r="RLM313" s="15"/>
      <c r="RLO313" s="13"/>
      <c r="RLP313" s="35"/>
      <c r="RLQ313" s="35"/>
      <c r="RLR313" s="15"/>
      <c r="RLT313" s="13"/>
      <c r="RLU313" s="35"/>
      <c r="RLV313" s="35"/>
      <c r="RLW313" s="15"/>
      <c r="RLY313" s="13"/>
      <c r="RLZ313" s="35"/>
      <c r="RMA313" s="35"/>
      <c r="RMB313" s="15"/>
      <c r="RMD313" s="13"/>
      <c r="RME313" s="35"/>
      <c r="RMF313" s="35"/>
      <c r="RMG313" s="15"/>
      <c r="RMI313" s="13"/>
      <c r="RMJ313" s="35"/>
      <c r="RMK313" s="35"/>
      <c r="RML313" s="15"/>
      <c r="RMN313" s="13"/>
      <c r="RMO313" s="35"/>
      <c r="RMP313" s="35"/>
      <c r="RMQ313" s="15"/>
      <c r="RMS313" s="13"/>
      <c r="RMT313" s="35"/>
      <c r="RMU313" s="35"/>
      <c r="RMV313" s="15"/>
      <c r="RMX313" s="13"/>
      <c r="RMY313" s="35"/>
      <c r="RMZ313" s="35"/>
      <c r="RNA313" s="15"/>
      <c r="RNC313" s="13"/>
      <c r="RND313" s="35"/>
      <c r="RNE313" s="35"/>
      <c r="RNF313" s="15"/>
      <c r="RNH313" s="13"/>
      <c r="RNI313" s="35"/>
      <c r="RNJ313" s="35"/>
      <c r="RNK313" s="15"/>
      <c r="RNM313" s="13"/>
      <c r="RNN313" s="35"/>
      <c r="RNO313" s="35"/>
      <c r="RNP313" s="15"/>
      <c r="RNR313" s="13"/>
      <c r="RNS313" s="35"/>
      <c r="RNT313" s="35"/>
      <c r="RNU313" s="15"/>
      <c r="RNW313" s="13"/>
      <c r="RNX313" s="35"/>
      <c r="RNY313" s="35"/>
      <c r="RNZ313" s="15"/>
      <c r="ROB313" s="13"/>
      <c r="ROC313" s="35"/>
      <c r="ROD313" s="35"/>
      <c r="ROE313" s="15"/>
      <c r="ROG313" s="13"/>
      <c r="ROH313" s="35"/>
      <c r="ROI313" s="35"/>
      <c r="ROJ313" s="15"/>
      <c r="ROL313" s="13"/>
      <c r="ROM313" s="35"/>
      <c r="RON313" s="35"/>
      <c r="ROO313" s="15"/>
      <c r="ROQ313" s="13"/>
      <c r="ROR313" s="35"/>
      <c r="ROS313" s="35"/>
      <c r="ROT313" s="15"/>
      <c r="ROV313" s="13"/>
      <c r="ROW313" s="35"/>
      <c r="ROX313" s="35"/>
      <c r="ROY313" s="15"/>
      <c r="RPA313" s="13"/>
      <c r="RPB313" s="35"/>
      <c r="RPC313" s="35"/>
      <c r="RPD313" s="15"/>
      <c r="RPF313" s="13"/>
      <c r="RPG313" s="35"/>
      <c r="RPH313" s="35"/>
      <c r="RPI313" s="15"/>
      <c r="RPK313" s="13"/>
      <c r="RPL313" s="35"/>
      <c r="RPM313" s="35"/>
      <c r="RPN313" s="15"/>
      <c r="RPP313" s="13"/>
      <c r="RPQ313" s="35"/>
      <c r="RPR313" s="35"/>
      <c r="RPS313" s="15"/>
      <c r="RPU313" s="13"/>
      <c r="RPV313" s="35"/>
      <c r="RPW313" s="35"/>
      <c r="RPX313" s="15"/>
      <c r="RPZ313" s="13"/>
      <c r="RQA313" s="35"/>
      <c r="RQB313" s="35"/>
      <c r="RQC313" s="15"/>
      <c r="RQE313" s="13"/>
      <c r="RQF313" s="35"/>
      <c r="RQG313" s="35"/>
      <c r="RQH313" s="15"/>
      <c r="RQJ313" s="13"/>
      <c r="RQK313" s="35"/>
      <c r="RQL313" s="35"/>
      <c r="RQM313" s="15"/>
      <c r="RQO313" s="13"/>
      <c r="RQP313" s="35"/>
      <c r="RQQ313" s="35"/>
      <c r="RQR313" s="15"/>
      <c r="RQT313" s="13"/>
      <c r="RQU313" s="35"/>
      <c r="RQV313" s="35"/>
      <c r="RQW313" s="15"/>
      <c r="RQY313" s="13"/>
      <c r="RQZ313" s="35"/>
      <c r="RRA313" s="35"/>
      <c r="RRB313" s="15"/>
      <c r="RRD313" s="13"/>
      <c r="RRE313" s="35"/>
      <c r="RRF313" s="35"/>
      <c r="RRG313" s="15"/>
      <c r="RRI313" s="13"/>
      <c r="RRJ313" s="35"/>
      <c r="RRK313" s="35"/>
      <c r="RRL313" s="15"/>
      <c r="RRN313" s="13"/>
      <c r="RRO313" s="35"/>
      <c r="RRP313" s="35"/>
      <c r="RRQ313" s="15"/>
      <c r="RRS313" s="13"/>
      <c r="RRT313" s="35"/>
      <c r="RRU313" s="35"/>
      <c r="RRV313" s="15"/>
      <c r="RRX313" s="13"/>
      <c r="RRY313" s="35"/>
      <c r="RRZ313" s="35"/>
      <c r="RSA313" s="15"/>
      <c r="RSC313" s="13"/>
      <c r="RSD313" s="35"/>
      <c r="RSE313" s="35"/>
      <c r="RSF313" s="15"/>
      <c r="RSH313" s="13"/>
      <c r="RSI313" s="35"/>
      <c r="RSJ313" s="35"/>
      <c r="RSK313" s="15"/>
      <c r="RSM313" s="13"/>
      <c r="RSN313" s="35"/>
      <c r="RSO313" s="35"/>
      <c r="RSP313" s="15"/>
      <c r="RSR313" s="13"/>
      <c r="RSS313" s="35"/>
      <c r="RST313" s="35"/>
      <c r="RSU313" s="15"/>
      <c r="RSW313" s="13"/>
      <c r="RSX313" s="35"/>
      <c r="RSY313" s="35"/>
      <c r="RSZ313" s="15"/>
      <c r="RTB313" s="13"/>
      <c r="RTC313" s="35"/>
      <c r="RTD313" s="35"/>
      <c r="RTE313" s="15"/>
      <c r="RTG313" s="13"/>
      <c r="RTH313" s="35"/>
      <c r="RTI313" s="35"/>
      <c r="RTJ313" s="15"/>
      <c r="RTL313" s="13"/>
      <c r="RTM313" s="35"/>
      <c r="RTN313" s="35"/>
      <c r="RTO313" s="15"/>
      <c r="RTQ313" s="13"/>
      <c r="RTR313" s="35"/>
      <c r="RTS313" s="35"/>
      <c r="RTT313" s="15"/>
      <c r="RTV313" s="13"/>
      <c r="RTW313" s="35"/>
      <c r="RTX313" s="35"/>
      <c r="RTY313" s="15"/>
      <c r="RUA313" s="13"/>
      <c r="RUB313" s="35"/>
      <c r="RUC313" s="35"/>
      <c r="RUD313" s="15"/>
      <c r="RUF313" s="13"/>
      <c r="RUG313" s="35"/>
      <c r="RUH313" s="35"/>
      <c r="RUI313" s="15"/>
      <c r="RUK313" s="13"/>
      <c r="RUL313" s="35"/>
      <c r="RUM313" s="35"/>
      <c r="RUN313" s="15"/>
      <c r="RUP313" s="13"/>
      <c r="RUQ313" s="35"/>
      <c r="RUR313" s="35"/>
      <c r="RUS313" s="15"/>
      <c r="RUU313" s="13"/>
      <c r="RUV313" s="35"/>
      <c r="RUW313" s="35"/>
      <c r="RUX313" s="15"/>
      <c r="RUZ313" s="13"/>
      <c r="RVA313" s="35"/>
      <c r="RVB313" s="35"/>
      <c r="RVC313" s="15"/>
      <c r="RVE313" s="13"/>
      <c r="RVF313" s="35"/>
      <c r="RVG313" s="35"/>
      <c r="RVH313" s="15"/>
      <c r="RVJ313" s="13"/>
      <c r="RVK313" s="35"/>
      <c r="RVL313" s="35"/>
      <c r="RVM313" s="15"/>
      <c r="RVO313" s="13"/>
      <c r="RVP313" s="35"/>
      <c r="RVQ313" s="35"/>
      <c r="RVR313" s="15"/>
      <c r="RVT313" s="13"/>
      <c r="RVU313" s="35"/>
      <c r="RVV313" s="35"/>
      <c r="RVW313" s="15"/>
      <c r="RVY313" s="13"/>
      <c r="RVZ313" s="35"/>
      <c r="RWA313" s="35"/>
      <c r="RWB313" s="15"/>
      <c r="RWD313" s="13"/>
      <c r="RWE313" s="35"/>
      <c r="RWF313" s="35"/>
      <c r="RWG313" s="15"/>
      <c r="RWI313" s="13"/>
      <c r="RWJ313" s="35"/>
      <c r="RWK313" s="35"/>
      <c r="RWL313" s="15"/>
      <c r="RWN313" s="13"/>
      <c r="RWO313" s="35"/>
      <c r="RWP313" s="35"/>
      <c r="RWQ313" s="15"/>
      <c r="RWS313" s="13"/>
      <c r="RWT313" s="35"/>
      <c r="RWU313" s="35"/>
      <c r="RWV313" s="15"/>
      <c r="RWX313" s="13"/>
      <c r="RWY313" s="35"/>
      <c r="RWZ313" s="35"/>
      <c r="RXA313" s="15"/>
      <c r="RXC313" s="13"/>
      <c r="RXD313" s="35"/>
      <c r="RXE313" s="35"/>
      <c r="RXF313" s="15"/>
      <c r="RXH313" s="13"/>
      <c r="RXI313" s="35"/>
      <c r="RXJ313" s="35"/>
      <c r="RXK313" s="15"/>
      <c r="RXM313" s="13"/>
      <c r="RXN313" s="35"/>
      <c r="RXO313" s="35"/>
      <c r="RXP313" s="15"/>
      <c r="RXR313" s="13"/>
      <c r="RXS313" s="35"/>
      <c r="RXT313" s="35"/>
      <c r="RXU313" s="15"/>
      <c r="RXW313" s="13"/>
      <c r="RXX313" s="35"/>
      <c r="RXY313" s="35"/>
      <c r="RXZ313" s="15"/>
      <c r="RYB313" s="13"/>
      <c r="RYC313" s="35"/>
      <c r="RYD313" s="35"/>
      <c r="RYE313" s="15"/>
      <c r="RYG313" s="13"/>
      <c r="RYH313" s="35"/>
      <c r="RYI313" s="35"/>
      <c r="RYJ313" s="15"/>
      <c r="RYL313" s="13"/>
      <c r="RYM313" s="35"/>
      <c r="RYN313" s="35"/>
      <c r="RYO313" s="15"/>
      <c r="RYQ313" s="13"/>
      <c r="RYR313" s="35"/>
      <c r="RYS313" s="35"/>
      <c r="RYT313" s="15"/>
      <c r="RYV313" s="13"/>
      <c r="RYW313" s="35"/>
      <c r="RYX313" s="35"/>
      <c r="RYY313" s="15"/>
      <c r="RZA313" s="13"/>
      <c r="RZB313" s="35"/>
      <c r="RZC313" s="35"/>
      <c r="RZD313" s="15"/>
      <c r="RZF313" s="13"/>
      <c r="RZG313" s="35"/>
      <c r="RZH313" s="35"/>
      <c r="RZI313" s="15"/>
      <c r="RZK313" s="13"/>
      <c r="RZL313" s="35"/>
      <c r="RZM313" s="35"/>
      <c r="RZN313" s="15"/>
      <c r="RZP313" s="13"/>
      <c r="RZQ313" s="35"/>
      <c r="RZR313" s="35"/>
      <c r="RZS313" s="15"/>
      <c r="RZU313" s="13"/>
      <c r="RZV313" s="35"/>
      <c r="RZW313" s="35"/>
      <c r="RZX313" s="15"/>
      <c r="RZZ313" s="13"/>
      <c r="SAA313" s="35"/>
      <c r="SAB313" s="35"/>
      <c r="SAC313" s="15"/>
      <c r="SAE313" s="13"/>
      <c r="SAF313" s="35"/>
      <c r="SAG313" s="35"/>
      <c r="SAH313" s="15"/>
      <c r="SAJ313" s="13"/>
      <c r="SAK313" s="35"/>
      <c r="SAL313" s="35"/>
      <c r="SAM313" s="15"/>
      <c r="SAO313" s="13"/>
      <c r="SAP313" s="35"/>
      <c r="SAQ313" s="35"/>
      <c r="SAR313" s="15"/>
      <c r="SAT313" s="13"/>
      <c r="SAU313" s="35"/>
      <c r="SAV313" s="35"/>
      <c r="SAW313" s="15"/>
      <c r="SAY313" s="13"/>
      <c r="SAZ313" s="35"/>
      <c r="SBA313" s="35"/>
      <c r="SBB313" s="15"/>
      <c r="SBD313" s="13"/>
      <c r="SBE313" s="35"/>
      <c r="SBF313" s="35"/>
      <c r="SBG313" s="15"/>
      <c r="SBI313" s="13"/>
      <c r="SBJ313" s="35"/>
      <c r="SBK313" s="35"/>
      <c r="SBL313" s="15"/>
      <c r="SBN313" s="13"/>
      <c r="SBO313" s="35"/>
      <c r="SBP313" s="35"/>
      <c r="SBQ313" s="15"/>
      <c r="SBS313" s="13"/>
      <c r="SBT313" s="35"/>
      <c r="SBU313" s="35"/>
      <c r="SBV313" s="15"/>
      <c r="SBX313" s="13"/>
      <c r="SBY313" s="35"/>
      <c r="SBZ313" s="35"/>
      <c r="SCA313" s="15"/>
      <c r="SCC313" s="13"/>
      <c r="SCD313" s="35"/>
      <c r="SCE313" s="35"/>
      <c r="SCF313" s="15"/>
      <c r="SCH313" s="13"/>
      <c r="SCI313" s="35"/>
      <c r="SCJ313" s="35"/>
      <c r="SCK313" s="15"/>
      <c r="SCM313" s="13"/>
      <c r="SCN313" s="35"/>
      <c r="SCO313" s="35"/>
      <c r="SCP313" s="15"/>
      <c r="SCR313" s="13"/>
      <c r="SCS313" s="35"/>
      <c r="SCT313" s="35"/>
      <c r="SCU313" s="15"/>
      <c r="SCW313" s="13"/>
      <c r="SCX313" s="35"/>
      <c r="SCY313" s="35"/>
      <c r="SCZ313" s="15"/>
      <c r="SDB313" s="13"/>
      <c r="SDC313" s="35"/>
      <c r="SDD313" s="35"/>
      <c r="SDE313" s="15"/>
      <c r="SDG313" s="13"/>
      <c r="SDH313" s="35"/>
      <c r="SDI313" s="35"/>
      <c r="SDJ313" s="15"/>
      <c r="SDL313" s="13"/>
      <c r="SDM313" s="35"/>
      <c r="SDN313" s="35"/>
      <c r="SDO313" s="15"/>
      <c r="SDQ313" s="13"/>
      <c r="SDR313" s="35"/>
      <c r="SDS313" s="35"/>
      <c r="SDT313" s="15"/>
      <c r="SDV313" s="13"/>
      <c r="SDW313" s="35"/>
      <c r="SDX313" s="35"/>
      <c r="SDY313" s="15"/>
      <c r="SEA313" s="13"/>
      <c r="SEB313" s="35"/>
      <c r="SEC313" s="35"/>
      <c r="SED313" s="15"/>
      <c r="SEF313" s="13"/>
      <c r="SEG313" s="35"/>
      <c r="SEH313" s="35"/>
      <c r="SEI313" s="15"/>
      <c r="SEK313" s="13"/>
      <c r="SEL313" s="35"/>
      <c r="SEM313" s="35"/>
      <c r="SEN313" s="15"/>
      <c r="SEP313" s="13"/>
      <c r="SEQ313" s="35"/>
      <c r="SER313" s="35"/>
      <c r="SES313" s="15"/>
      <c r="SEU313" s="13"/>
      <c r="SEV313" s="35"/>
      <c r="SEW313" s="35"/>
      <c r="SEX313" s="15"/>
      <c r="SEZ313" s="13"/>
      <c r="SFA313" s="35"/>
      <c r="SFB313" s="35"/>
      <c r="SFC313" s="15"/>
      <c r="SFE313" s="13"/>
      <c r="SFF313" s="35"/>
      <c r="SFG313" s="35"/>
      <c r="SFH313" s="15"/>
      <c r="SFJ313" s="13"/>
      <c r="SFK313" s="35"/>
      <c r="SFL313" s="35"/>
      <c r="SFM313" s="15"/>
      <c r="SFO313" s="13"/>
      <c r="SFP313" s="35"/>
      <c r="SFQ313" s="35"/>
      <c r="SFR313" s="15"/>
      <c r="SFT313" s="13"/>
      <c r="SFU313" s="35"/>
      <c r="SFV313" s="35"/>
      <c r="SFW313" s="15"/>
      <c r="SFY313" s="13"/>
      <c r="SFZ313" s="35"/>
      <c r="SGA313" s="35"/>
      <c r="SGB313" s="15"/>
      <c r="SGD313" s="13"/>
      <c r="SGE313" s="35"/>
      <c r="SGF313" s="35"/>
      <c r="SGG313" s="15"/>
      <c r="SGI313" s="13"/>
      <c r="SGJ313" s="35"/>
      <c r="SGK313" s="35"/>
      <c r="SGL313" s="15"/>
      <c r="SGN313" s="13"/>
      <c r="SGO313" s="35"/>
      <c r="SGP313" s="35"/>
      <c r="SGQ313" s="15"/>
      <c r="SGS313" s="13"/>
      <c r="SGT313" s="35"/>
      <c r="SGU313" s="35"/>
      <c r="SGV313" s="15"/>
      <c r="SGX313" s="13"/>
      <c r="SGY313" s="35"/>
      <c r="SGZ313" s="35"/>
      <c r="SHA313" s="15"/>
      <c r="SHC313" s="13"/>
      <c r="SHD313" s="35"/>
      <c r="SHE313" s="35"/>
      <c r="SHF313" s="15"/>
      <c r="SHH313" s="13"/>
      <c r="SHI313" s="35"/>
      <c r="SHJ313" s="35"/>
      <c r="SHK313" s="15"/>
      <c r="SHM313" s="13"/>
      <c r="SHN313" s="35"/>
      <c r="SHO313" s="35"/>
      <c r="SHP313" s="15"/>
      <c r="SHR313" s="13"/>
      <c r="SHS313" s="35"/>
      <c r="SHT313" s="35"/>
      <c r="SHU313" s="15"/>
      <c r="SHW313" s="13"/>
      <c r="SHX313" s="35"/>
      <c r="SHY313" s="35"/>
      <c r="SHZ313" s="15"/>
      <c r="SIB313" s="13"/>
      <c r="SIC313" s="35"/>
      <c r="SID313" s="35"/>
      <c r="SIE313" s="15"/>
      <c r="SIG313" s="13"/>
      <c r="SIH313" s="35"/>
      <c r="SII313" s="35"/>
      <c r="SIJ313" s="15"/>
      <c r="SIL313" s="13"/>
      <c r="SIM313" s="35"/>
      <c r="SIN313" s="35"/>
      <c r="SIO313" s="15"/>
      <c r="SIQ313" s="13"/>
      <c r="SIR313" s="35"/>
      <c r="SIS313" s="35"/>
      <c r="SIT313" s="15"/>
      <c r="SIV313" s="13"/>
      <c r="SIW313" s="35"/>
      <c r="SIX313" s="35"/>
      <c r="SIY313" s="15"/>
      <c r="SJA313" s="13"/>
      <c r="SJB313" s="35"/>
      <c r="SJC313" s="35"/>
      <c r="SJD313" s="15"/>
      <c r="SJF313" s="13"/>
      <c r="SJG313" s="35"/>
      <c r="SJH313" s="35"/>
      <c r="SJI313" s="15"/>
      <c r="SJK313" s="13"/>
      <c r="SJL313" s="35"/>
      <c r="SJM313" s="35"/>
      <c r="SJN313" s="15"/>
      <c r="SJP313" s="13"/>
      <c r="SJQ313" s="35"/>
      <c r="SJR313" s="35"/>
      <c r="SJS313" s="15"/>
      <c r="SJU313" s="13"/>
      <c r="SJV313" s="35"/>
      <c r="SJW313" s="35"/>
      <c r="SJX313" s="15"/>
      <c r="SJZ313" s="13"/>
      <c r="SKA313" s="35"/>
      <c r="SKB313" s="35"/>
      <c r="SKC313" s="15"/>
      <c r="SKE313" s="13"/>
      <c r="SKF313" s="35"/>
      <c r="SKG313" s="35"/>
      <c r="SKH313" s="15"/>
      <c r="SKJ313" s="13"/>
      <c r="SKK313" s="35"/>
      <c r="SKL313" s="35"/>
      <c r="SKM313" s="15"/>
      <c r="SKO313" s="13"/>
      <c r="SKP313" s="35"/>
      <c r="SKQ313" s="35"/>
      <c r="SKR313" s="15"/>
      <c r="SKT313" s="13"/>
      <c r="SKU313" s="35"/>
      <c r="SKV313" s="35"/>
      <c r="SKW313" s="15"/>
      <c r="SKY313" s="13"/>
      <c r="SKZ313" s="35"/>
      <c r="SLA313" s="35"/>
      <c r="SLB313" s="15"/>
      <c r="SLD313" s="13"/>
      <c r="SLE313" s="35"/>
      <c r="SLF313" s="35"/>
      <c r="SLG313" s="15"/>
      <c r="SLI313" s="13"/>
      <c r="SLJ313" s="35"/>
      <c r="SLK313" s="35"/>
      <c r="SLL313" s="15"/>
      <c r="SLN313" s="13"/>
      <c r="SLO313" s="35"/>
      <c r="SLP313" s="35"/>
      <c r="SLQ313" s="15"/>
      <c r="SLS313" s="13"/>
      <c r="SLT313" s="35"/>
      <c r="SLU313" s="35"/>
      <c r="SLV313" s="15"/>
      <c r="SLX313" s="13"/>
      <c r="SLY313" s="35"/>
      <c r="SLZ313" s="35"/>
      <c r="SMA313" s="15"/>
      <c r="SMC313" s="13"/>
      <c r="SMD313" s="35"/>
      <c r="SME313" s="35"/>
      <c r="SMF313" s="15"/>
      <c r="SMH313" s="13"/>
      <c r="SMI313" s="35"/>
      <c r="SMJ313" s="35"/>
      <c r="SMK313" s="15"/>
      <c r="SMM313" s="13"/>
      <c r="SMN313" s="35"/>
      <c r="SMO313" s="35"/>
      <c r="SMP313" s="15"/>
      <c r="SMR313" s="13"/>
      <c r="SMS313" s="35"/>
      <c r="SMT313" s="35"/>
      <c r="SMU313" s="15"/>
      <c r="SMW313" s="13"/>
      <c r="SMX313" s="35"/>
      <c r="SMY313" s="35"/>
      <c r="SMZ313" s="15"/>
      <c r="SNB313" s="13"/>
      <c r="SNC313" s="35"/>
      <c r="SND313" s="35"/>
      <c r="SNE313" s="15"/>
      <c r="SNG313" s="13"/>
      <c r="SNH313" s="35"/>
      <c r="SNI313" s="35"/>
      <c r="SNJ313" s="15"/>
      <c r="SNL313" s="13"/>
      <c r="SNM313" s="35"/>
      <c r="SNN313" s="35"/>
      <c r="SNO313" s="15"/>
      <c r="SNQ313" s="13"/>
      <c r="SNR313" s="35"/>
      <c r="SNS313" s="35"/>
      <c r="SNT313" s="15"/>
      <c r="SNV313" s="13"/>
      <c r="SNW313" s="35"/>
      <c r="SNX313" s="35"/>
      <c r="SNY313" s="15"/>
      <c r="SOA313" s="13"/>
      <c r="SOB313" s="35"/>
      <c r="SOC313" s="35"/>
      <c r="SOD313" s="15"/>
      <c r="SOF313" s="13"/>
      <c r="SOG313" s="35"/>
      <c r="SOH313" s="35"/>
      <c r="SOI313" s="15"/>
      <c r="SOK313" s="13"/>
      <c r="SOL313" s="35"/>
      <c r="SOM313" s="35"/>
      <c r="SON313" s="15"/>
      <c r="SOP313" s="13"/>
      <c r="SOQ313" s="35"/>
      <c r="SOR313" s="35"/>
      <c r="SOS313" s="15"/>
      <c r="SOU313" s="13"/>
      <c r="SOV313" s="35"/>
      <c r="SOW313" s="35"/>
      <c r="SOX313" s="15"/>
      <c r="SOZ313" s="13"/>
      <c r="SPA313" s="35"/>
      <c r="SPB313" s="35"/>
      <c r="SPC313" s="15"/>
      <c r="SPE313" s="13"/>
      <c r="SPF313" s="35"/>
      <c r="SPG313" s="35"/>
      <c r="SPH313" s="15"/>
      <c r="SPJ313" s="13"/>
      <c r="SPK313" s="35"/>
      <c r="SPL313" s="35"/>
      <c r="SPM313" s="15"/>
      <c r="SPO313" s="13"/>
      <c r="SPP313" s="35"/>
      <c r="SPQ313" s="35"/>
      <c r="SPR313" s="15"/>
      <c r="SPT313" s="13"/>
      <c r="SPU313" s="35"/>
      <c r="SPV313" s="35"/>
      <c r="SPW313" s="15"/>
      <c r="SPY313" s="13"/>
      <c r="SPZ313" s="35"/>
      <c r="SQA313" s="35"/>
      <c r="SQB313" s="15"/>
      <c r="SQD313" s="13"/>
      <c r="SQE313" s="35"/>
      <c r="SQF313" s="35"/>
      <c r="SQG313" s="15"/>
      <c r="SQI313" s="13"/>
      <c r="SQJ313" s="35"/>
      <c r="SQK313" s="35"/>
      <c r="SQL313" s="15"/>
      <c r="SQN313" s="13"/>
      <c r="SQO313" s="35"/>
      <c r="SQP313" s="35"/>
      <c r="SQQ313" s="15"/>
      <c r="SQS313" s="13"/>
      <c r="SQT313" s="35"/>
      <c r="SQU313" s="35"/>
      <c r="SQV313" s="15"/>
      <c r="SQX313" s="13"/>
      <c r="SQY313" s="35"/>
      <c r="SQZ313" s="35"/>
      <c r="SRA313" s="15"/>
      <c r="SRC313" s="13"/>
      <c r="SRD313" s="35"/>
      <c r="SRE313" s="35"/>
      <c r="SRF313" s="15"/>
      <c r="SRH313" s="13"/>
      <c r="SRI313" s="35"/>
      <c r="SRJ313" s="35"/>
      <c r="SRK313" s="15"/>
      <c r="SRM313" s="13"/>
      <c r="SRN313" s="35"/>
      <c r="SRO313" s="35"/>
      <c r="SRP313" s="15"/>
      <c r="SRR313" s="13"/>
      <c r="SRS313" s="35"/>
      <c r="SRT313" s="35"/>
      <c r="SRU313" s="15"/>
      <c r="SRW313" s="13"/>
      <c r="SRX313" s="35"/>
      <c r="SRY313" s="35"/>
      <c r="SRZ313" s="15"/>
      <c r="SSB313" s="13"/>
      <c r="SSC313" s="35"/>
      <c r="SSD313" s="35"/>
      <c r="SSE313" s="15"/>
      <c r="SSG313" s="13"/>
      <c r="SSH313" s="35"/>
      <c r="SSI313" s="35"/>
      <c r="SSJ313" s="15"/>
      <c r="SSL313" s="13"/>
      <c r="SSM313" s="35"/>
      <c r="SSN313" s="35"/>
      <c r="SSO313" s="15"/>
      <c r="SSQ313" s="13"/>
      <c r="SSR313" s="35"/>
      <c r="SSS313" s="35"/>
      <c r="SST313" s="15"/>
      <c r="SSV313" s="13"/>
      <c r="SSW313" s="35"/>
      <c r="SSX313" s="35"/>
      <c r="SSY313" s="15"/>
      <c r="STA313" s="13"/>
      <c r="STB313" s="35"/>
      <c r="STC313" s="35"/>
      <c r="STD313" s="15"/>
      <c r="STF313" s="13"/>
      <c r="STG313" s="35"/>
      <c r="STH313" s="35"/>
      <c r="STI313" s="15"/>
      <c r="STK313" s="13"/>
      <c r="STL313" s="35"/>
      <c r="STM313" s="35"/>
      <c r="STN313" s="15"/>
      <c r="STP313" s="13"/>
      <c r="STQ313" s="35"/>
      <c r="STR313" s="35"/>
      <c r="STS313" s="15"/>
      <c r="STU313" s="13"/>
      <c r="STV313" s="35"/>
      <c r="STW313" s="35"/>
      <c r="STX313" s="15"/>
      <c r="STZ313" s="13"/>
      <c r="SUA313" s="35"/>
      <c r="SUB313" s="35"/>
      <c r="SUC313" s="15"/>
      <c r="SUE313" s="13"/>
      <c r="SUF313" s="35"/>
      <c r="SUG313" s="35"/>
      <c r="SUH313" s="15"/>
      <c r="SUJ313" s="13"/>
      <c r="SUK313" s="35"/>
      <c r="SUL313" s="35"/>
      <c r="SUM313" s="15"/>
      <c r="SUO313" s="13"/>
      <c r="SUP313" s="35"/>
      <c r="SUQ313" s="35"/>
      <c r="SUR313" s="15"/>
      <c r="SUT313" s="13"/>
      <c r="SUU313" s="35"/>
      <c r="SUV313" s="35"/>
      <c r="SUW313" s="15"/>
      <c r="SUY313" s="13"/>
      <c r="SUZ313" s="35"/>
      <c r="SVA313" s="35"/>
      <c r="SVB313" s="15"/>
      <c r="SVD313" s="13"/>
      <c r="SVE313" s="35"/>
      <c r="SVF313" s="35"/>
      <c r="SVG313" s="15"/>
      <c r="SVI313" s="13"/>
      <c r="SVJ313" s="35"/>
      <c r="SVK313" s="35"/>
      <c r="SVL313" s="15"/>
      <c r="SVN313" s="13"/>
      <c r="SVO313" s="35"/>
      <c r="SVP313" s="35"/>
      <c r="SVQ313" s="15"/>
      <c r="SVS313" s="13"/>
      <c r="SVT313" s="35"/>
      <c r="SVU313" s="35"/>
      <c r="SVV313" s="15"/>
      <c r="SVX313" s="13"/>
      <c r="SVY313" s="35"/>
      <c r="SVZ313" s="35"/>
      <c r="SWA313" s="15"/>
      <c r="SWC313" s="13"/>
      <c r="SWD313" s="35"/>
      <c r="SWE313" s="35"/>
      <c r="SWF313" s="15"/>
      <c r="SWH313" s="13"/>
      <c r="SWI313" s="35"/>
      <c r="SWJ313" s="35"/>
      <c r="SWK313" s="15"/>
      <c r="SWM313" s="13"/>
      <c r="SWN313" s="35"/>
      <c r="SWO313" s="35"/>
      <c r="SWP313" s="15"/>
      <c r="SWR313" s="13"/>
      <c r="SWS313" s="35"/>
      <c r="SWT313" s="35"/>
      <c r="SWU313" s="15"/>
      <c r="SWW313" s="13"/>
      <c r="SWX313" s="35"/>
      <c r="SWY313" s="35"/>
      <c r="SWZ313" s="15"/>
      <c r="SXB313" s="13"/>
      <c r="SXC313" s="35"/>
      <c r="SXD313" s="35"/>
      <c r="SXE313" s="15"/>
      <c r="SXG313" s="13"/>
      <c r="SXH313" s="35"/>
      <c r="SXI313" s="35"/>
      <c r="SXJ313" s="15"/>
      <c r="SXL313" s="13"/>
      <c r="SXM313" s="35"/>
      <c r="SXN313" s="35"/>
      <c r="SXO313" s="15"/>
      <c r="SXQ313" s="13"/>
      <c r="SXR313" s="35"/>
      <c r="SXS313" s="35"/>
      <c r="SXT313" s="15"/>
      <c r="SXV313" s="13"/>
      <c r="SXW313" s="35"/>
      <c r="SXX313" s="35"/>
      <c r="SXY313" s="15"/>
      <c r="SYA313" s="13"/>
      <c r="SYB313" s="35"/>
      <c r="SYC313" s="35"/>
      <c r="SYD313" s="15"/>
      <c r="SYF313" s="13"/>
      <c r="SYG313" s="35"/>
      <c r="SYH313" s="35"/>
      <c r="SYI313" s="15"/>
      <c r="SYK313" s="13"/>
      <c r="SYL313" s="35"/>
      <c r="SYM313" s="35"/>
      <c r="SYN313" s="15"/>
      <c r="SYP313" s="13"/>
      <c r="SYQ313" s="35"/>
      <c r="SYR313" s="35"/>
      <c r="SYS313" s="15"/>
      <c r="SYU313" s="13"/>
      <c r="SYV313" s="35"/>
      <c r="SYW313" s="35"/>
      <c r="SYX313" s="15"/>
      <c r="SYZ313" s="13"/>
      <c r="SZA313" s="35"/>
      <c r="SZB313" s="35"/>
      <c r="SZC313" s="15"/>
      <c r="SZE313" s="13"/>
      <c r="SZF313" s="35"/>
      <c r="SZG313" s="35"/>
      <c r="SZH313" s="15"/>
      <c r="SZJ313" s="13"/>
      <c r="SZK313" s="35"/>
      <c r="SZL313" s="35"/>
      <c r="SZM313" s="15"/>
      <c r="SZO313" s="13"/>
      <c r="SZP313" s="35"/>
      <c r="SZQ313" s="35"/>
      <c r="SZR313" s="15"/>
      <c r="SZT313" s="13"/>
      <c r="SZU313" s="35"/>
      <c r="SZV313" s="35"/>
      <c r="SZW313" s="15"/>
      <c r="SZY313" s="13"/>
      <c r="SZZ313" s="35"/>
      <c r="TAA313" s="35"/>
      <c r="TAB313" s="15"/>
      <c r="TAD313" s="13"/>
      <c r="TAE313" s="35"/>
      <c r="TAF313" s="35"/>
      <c r="TAG313" s="15"/>
      <c r="TAI313" s="13"/>
      <c r="TAJ313" s="35"/>
      <c r="TAK313" s="35"/>
      <c r="TAL313" s="15"/>
      <c r="TAN313" s="13"/>
      <c r="TAO313" s="35"/>
      <c r="TAP313" s="35"/>
      <c r="TAQ313" s="15"/>
      <c r="TAS313" s="13"/>
      <c r="TAT313" s="35"/>
      <c r="TAU313" s="35"/>
      <c r="TAV313" s="15"/>
      <c r="TAX313" s="13"/>
      <c r="TAY313" s="35"/>
      <c r="TAZ313" s="35"/>
      <c r="TBA313" s="15"/>
      <c r="TBC313" s="13"/>
      <c r="TBD313" s="35"/>
      <c r="TBE313" s="35"/>
      <c r="TBF313" s="15"/>
      <c r="TBH313" s="13"/>
      <c r="TBI313" s="35"/>
      <c r="TBJ313" s="35"/>
      <c r="TBK313" s="15"/>
      <c r="TBM313" s="13"/>
      <c r="TBN313" s="35"/>
      <c r="TBO313" s="35"/>
      <c r="TBP313" s="15"/>
      <c r="TBR313" s="13"/>
      <c r="TBS313" s="35"/>
      <c r="TBT313" s="35"/>
      <c r="TBU313" s="15"/>
      <c r="TBW313" s="13"/>
      <c r="TBX313" s="35"/>
      <c r="TBY313" s="35"/>
      <c r="TBZ313" s="15"/>
      <c r="TCB313" s="13"/>
      <c r="TCC313" s="35"/>
      <c r="TCD313" s="35"/>
      <c r="TCE313" s="15"/>
      <c r="TCG313" s="13"/>
      <c r="TCH313" s="35"/>
      <c r="TCI313" s="35"/>
      <c r="TCJ313" s="15"/>
      <c r="TCL313" s="13"/>
      <c r="TCM313" s="35"/>
      <c r="TCN313" s="35"/>
      <c r="TCO313" s="15"/>
      <c r="TCQ313" s="13"/>
      <c r="TCR313" s="35"/>
      <c r="TCS313" s="35"/>
      <c r="TCT313" s="15"/>
      <c r="TCV313" s="13"/>
      <c r="TCW313" s="35"/>
      <c r="TCX313" s="35"/>
      <c r="TCY313" s="15"/>
      <c r="TDA313" s="13"/>
      <c r="TDB313" s="35"/>
      <c r="TDC313" s="35"/>
      <c r="TDD313" s="15"/>
      <c r="TDF313" s="13"/>
      <c r="TDG313" s="35"/>
      <c r="TDH313" s="35"/>
      <c r="TDI313" s="15"/>
      <c r="TDK313" s="13"/>
      <c r="TDL313" s="35"/>
      <c r="TDM313" s="35"/>
      <c r="TDN313" s="15"/>
      <c r="TDP313" s="13"/>
      <c r="TDQ313" s="35"/>
      <c r="TDR313" s="35"/>
      <c r="TDS313" s="15"/>
      <c r="TDU313" s="13"/>
      <c r="TDV313" s="35"/>
      <c r="TDW313" s="35"/>
      <c r="TDX313" s="15"/>
      <c r="TDZ313" s="13"/>
      <c r="TEA313" s="35"/>
      <c r="TEB313" s="35"/>
      <c r="TEC313" s="15"/>
      <c r="TEE313" s="13"/>
      <c r="TEF313" s="35"/>
      <c r="TEG313" s="35"/>
      <c r="TEH313" s="15"/>
      <c r="TEJ313" s="13"/>
      <c r="TEK313" s="35"/>
      <c r="TEL313" s="35"/>
      <c r="TEM313" s="15"/>
      <c r="TEO313" s="13"/>
      <c r="TEP313" s="35"/>
      <c r="TEQ313" s="35"/>
      <c r="TER313" s="15"/>
      <c r="TET313" s="13"/>
      <c r="TEU313" s="35"/>
      <c r="TEV313" s="35"/>
      <c r="TEW313" s="15"/>
      <c r="TEY313" s="13"/>
      <c r="TEZ313" s="35"/>
      <c r="TFA313" s="35"/>
      <c r="TFB313" s="15"/>
      <c r="TFD313" s="13"/>
      <c r="TFE313" s="35"/>
      <c r="TFF313" s="35"/>
      <c r="TFG313" s="15"/>
      <c r="TFI313" s="13"/>
      <c r="TFJ313" s="35"/>
      <c r="TFK313" s="35"/>
      <c r="TFL313" s="15"/>
      <c r="TFN313" s="13"/>
      <c r="TFO313" s="35"/>
      <c r="TFP313" s="35"/>
      <c r="TFQ313" s="15"/>
      <c r="TFS313" s="13"/>
      <c r="TFT313" s="35"/>
      <c r="TFU313" s="35"/>
      <c r="TFV313" s="15"/>
      <c r="TFX313" s="13"/>
      <c r="TFY313" s="35"/>
      <c r="TFZ313" s="35"/>
      <c r="TGA313" s="15"/>
      <c r="TGC313" s="13"/>
      <c r="TGD313" s="35"/>
      <c r="TGE313" s="35"/>
      <c r="TGF313" s="15"/>
      <c r="TGH313" s="13"/>
      <c r="TGI313" s="35"/>
      <c r="TGJ313" s="35"/>
      <c r="TGK313" s="15"/>
      <c r="TGM313" s="13"/>
      <c r="TGN313" s="35"/>
      <c r="TGO313" s="35"/>
      <c r="TGP313" s="15"/>
      <c r="TGR313" s="13"/>
      <c r="TGS313" s="35"/>
      <c r="TGT313" s="35"/>
      <c r="TGU313" s="15"/>
      <c r="TGW313" s="13"/>
      <c r="TGX313" s="35"/>
      <c r="TGY313" s="35"/>
      <c r="TGZ313" s="15"/>
      <c r="THB313" s="13"/>
      <c r="THC313" s="35"/>
      <c r="THD313" s="35"/>
      <c r="THE313" s="15"/>
      <c r="THG313" s="13"/>
      <c r="THH313" s="35"/>
      <c r="THI313" s="35"/>
      <c r="THJ313" s="15"/>
      <c r="THL313" s="13"/>
      <c r="THM313" s="35"/>
      <c r="THN313" s="35"/>
      <c r="THO313" s="15"/>
      <c r="THQ313" s="13"/>
      <c r="THR313" s="35"/>
      <c r="THS313" s="35"/>
      <c r="THT313" s="15"/>
      <c r="THV313" s="13"/>
      <c r="THW313" s="35"/>
      <c r="THX313" s="35"/>
      <c r="THY313" s="15"/>
      <c r="TIA313" s="13"/>
      <c r="TIB313" s="35"/>
      <c r="TIC313" s="35"/>
      <c r="TID313" s="15"/>
      <c r="TIF313" s="13"/>
      <c r="TIG313" s="35"/>
      <c r="TIH313" s="35"/>
      <c r="TII313" s="15"/>
      <c r="TIK313" s="13"/>
      <c r="TIL313" s="35"/>
      <c r="TIM313" s="35"/>
      <c r="TIN313" s="15"/>
      <c r="TIP313" s="13"/>
      <c r="TIQ313" s="35"/>
      <c r="TIR313" s="35"/>
      <c r="TIS313" s="15"/>
      <c r="TIU313" s="13"/>
      <c r="TIV313" s="35"/>
      <c r="TIW313" s="35"/>
      <c r="TIX313" s="15"/>
      <c r="TIZ313" s="13"/>
      <c r="TJA313" s="35"/>
      <c r="TJB313" s="35"/>
      <c r="TJC313" s="15"/>
      <c r="TJE313" s="13"/>
      <c r="TJF313" s="35"/>
      <c r="TJG313" s="35"/>
      <c r="TJH313" s="15"/>
      <c r="TJJ313" s="13"/>
      <c r="TJK313" s="35"/>
      <c r="TJL313" s="35"/>
      <c r="TJM313" s="15"/>
      <c r="TJO313" s="13"/>
      <c r="TJP313" s="35"/>
      <c r="TJQ313" s="35"/>
      <c r="TJR313" s="15"/>
      <c r="TJT313" s="13"/>
      <c r="TJU313" s="35"/>
      <c r="TJV313" s="35"/>
      <c r="TJW313" s="15"/>
      <c r="TJY313" s="13"/>
      <c r="TJZ313" s="35"/>
      <c r="TKA313" s="35"/>
      <c r="TKB313" s="15"/>
      <c r="TKD313" s="13"/>
      <c r="TKE313" s="35"/>
      <c r="TKF313" s="35"/>
      <c r="TKG313" s="15"/>
      <c r="TKI313" s="13"/>
      <c r="TKJ313" s="35"/>
      <c r="TKK313" s="35"/>
      <c r="TKL313" s="15"/>
      <c r="TKN313" s="13"/>
      <c r="TKO313" s="35"/>
      <c r="TKP313" s="35"/>
      <c r="TKQ313" s="15"/>
      <c r="TKS313" s="13"/>
      <c r="TKT313" s="35"/>
      <c r="TKU313" s="35"/>
      <c r="TKV313" s="15"/>
      <c r="TKX313" s="13"/>
      <c r="TKY313" s="35"/>
      <c r="TKZ313" s="35"/>
      <c r="TLA313" s="15"/>
      <c r="TLC313" s="13"/>
      <c r="TLD313" s="35"/>
      <c r="TLE313" s="35"/>
      <c r="TLF313" s="15"/>
      <c r="TLH313" s="13"/>
      <c r="TLI313" s="35"/>
      <c r="TLJ313" s="35"/>
      <c r="TLK313" s="15"/>
      <c r="TLM313" s="13"/>
      <c r="TLN313" s="35"/>
      <c r="TLO313" s="35"/>
      <c r="TLP313" s="15"/>
      <c r="TLR313" s="13"/>
      <c r="TLS313" s="35"/>
      <c r="TLT313" s="35"/>
      <c r="TLU313" s="15"/>
      <c r="TLW313" s="13"/>
      <c r="TLX313" s="35"/>
      <c r="TLY313" s="35"/>
      <c r="TLZ313" s="15"/>
      <c r="TMB313" s="13"/>
      <c r="TMC313" s="35"/>
      <c r="TMD313" s="35"/>
      <c r="TME313" s="15"/>
      <c r="TMG313" s="13"/>
      <c r="TMH313" s="35"/>
      <c r="TMI313" s="35"/>
      <c r="TMJ313" s="15"/>
      <c r="TML313" s="13"/>
      <c r="TMM313" s="35"/>
      <c r="TMN313" s="35"/>
      <c r="TMO313" s="15"/>
      <c r="TMQ313" s="13"/>
      <c r="TMR313" s="35"/>
      <c r="TMS313" s="35"/>
      <c r="TMT313" s="15"/>
      <c r="TMV313" s="13"/>
      <c r="TMW313" s="35"/>
      <c r="TMX313" s="35"/>
      <c r="TMY313" s="15"/>
      <c r="TNA313" s="13"/>
      <c r="TNB313" s="35"/>
      <c r="TNC313" s="35"/>
      <c r="TND313" s="15"/>
      <c r="TNF313" s="13"/>
      <c r="TNG313" s="35"/>
      <c r="TNH313" s="35"/>
      <c r="TNI313" s="15"/>
      <c r="TNK313" s="13"/>
      <c r="TNL313" s="35"/>
      <c r="TNM313" s="35"/>
      <c r="TNN313" s="15"/>
      <c r="TNP313" s="13"/>
      <c r="TNQ313" s="35"/>
      <c r="TNR313" s="35"/>
      <c r="TNS313" s="15"/>
      <c r="TNU313" s="13"/>
      <c r="TNV313" s="35"/>
      <c r="TNW313" s="35"/>
      <c r="TNX313" s="15"/>
      <c r="TNZ313" s="13"/>
      <c r="TOA313" s="35"/>
      <c r="TOB313" s="35"/>
      <c r="TOC313" s="15"/>
      <c r="TOE313" s="13"/>
      <c r="TOF313" s="35"/>
      <c r="TOG313" s="35"/>
      <c r="TOH313" s="15"/>
      <c r="TOJ313" s="13"/>
      <c r="TOK313" s="35"/>
      <c r="TOL313" s="35"/>
      <c r="TOM313" s="15"/>
      <c r="TOO313" s="13"/>
      <c r="TOP313" s="35"/>
      <c r="TOQ313" s="35"/>
      <c r="TOR313" s="15"/>
      <c r="TOT313" s="13"/>
      <c r="TOU313" s="35"/>
      <c r="TOV313" s="35"/>
      <c r="TOW313" s="15"/>
      <c r="TOY313" s="13"/>
      <c r="TOZ313" s="35"/>
      <c r="TPA313" s="35"/>
      <c r="TPB313" s="15"/>
      <c r="TPD313" s="13"/>
      <c r="TPE313" s="35"/>
      <c r="TPF313" s="35"/>
      <c r="TPG313" s="15"/>
      <c r="TPI313" s="13"/>
      <c r="TPJ313" s="35"/>
      <c r="TPK313" s="35"/>
      <c r="TPL313" s="15"/>
      <c r="TPN313" s="13"/>
      <c r="TPO313" s="35"/>
      <c r="TPP313" s="35"/>
      <c r="TPQ313" s="15"/>
      <c r="TPS313" s="13"/>
      <c r="TPT313" s="35"/>
      <c r="TPU313" s="35"/>
      <c r="TPV313" s="15"/>
      <c r="TPX313" s="13"/>
      <c r="TPY313" s="35"/>
      <c r="TPZ313" s="35"/>
      <c r="TQA313" s="15"/>
      <c r="TQC313" s="13"/>
      <c r="TQD313" s="35"/>
      <c r="TQE313" s="35"/>
      <c r="TQF313" s="15"/>
      <c r="TQH313" s="13"/>
      <c r="TQI313" s="35"/>
      <c r="TQJ313" s="35"/>
      <c r="TQK313" s="15"/>
      <c r="TQM313" s="13"/>
      <c r="TQN313" s="35"/>
      <c r="TQO313" s="35"/>
      <c r="TQP313" s="15"/>
      <c r="TQR313" s="13"/>
      <c r="TQS313" s="35"/>
      <c r="TQT313" s="35"/>
      <c r="TQU313" s="15"/>
      <c r="TQW313" s="13"/>
      <c r="TQX313" s="35"/>
      <c r="TQY313" s="35"/>
      <c r="TQZ313" s="15"/>
      <c r="TRB313" s="13"/>
      <c r="TRC313" s="35"/>
      <c r="TRD313" s="35"/>
      <c r="TRE313" s="15"/>
      <c r="TRG313" s="13"/>
      <c r="TRH313" s="35"/>
      <c r="TRI313" s="35"/>
      <c r="TRJ313" s="15"/>
      <c r="TRL313" s="13"/>
      <c r="TRM313" s="35"/>
      <c r="TRN313" s="35"/>
      <c r="TRO313" s="15"/>
      <c r="TRQ313" s="13"/>
      <c r="TRR313" s="35"/>
      <c r="TRS313" s="35"/>
      <c r="TRT313" s="15"/>
      <c r="TRV313" s="13"/>
      <c r="TRW313" s="35"/>
      <c r="TRX313" s="35"/>
      <c r="TRY313" s="15"/>
      <c r="TSA313" s="13"/>
      <c r="TSB313" s="35"/>
      <c r="TSC313" s="35"/>
      <c r="TSD313" s="15"/>
      <c r="TSF313" s="13"/>
      <c r="TSG313" s="35"/>
      <c r="TSH313" s="35"/>
      <c r="TSI313" s="15"/>
      <c r="TSK313" s="13"/>
      <c r="TSL313" s="35"/>
      <c r="TSM313" s="35"/>
      <c r="TSN313" s="15"/>
      <c r="TSP313" s="13"/>
      <c r="TSQ313" s="35"/>
      <c r="TSR313" s="35"/>
      <c r="TSS313" s="15"/>
      <c r="TSU313" s="13"/>
      <c r="TSV313" s="35"/>
      <c r="TSW313" s="35"/>
      <c r="TSX313" s="15"/>
      <c r="TSZ313" s="13"/>
      <c r="TTA313" s="35"/>
      <c r="TTB313" s="35"/>
      <c r="TTC313" s="15"/>
      <c r="TTE313" s="13"/>
      <c r="TTF313" s="35"/>
      <c r="TTG313" s="35"/>
      <c r="TTH313" s="15"/>
      <c r="TTJ313" s="13"/>
      <c r="TTK313" s="35"/>
      <c r="TTL313" s="35"/>
      <c r="TTM313" s="15"/>
      <c r="TTO313" s="13"/>
      <c r="TTP313" s="35"/>
      <c r="TTQ313" s="35"/>
      <c r="TTR313" s="15"/>
      <c r="TTT313" s="13"/>
      <c r="TTU313" s="35"/>
      <c r="TTV313" s="35"/>
      <c r="TTW313" s="15"/>
      <c r="TTY313" s="13"/>
      <c r="TTZ313" s="35"/>
      <c r="TUA313" s="35"/>
      <c r="TUB313" s="15"/>
      <c r="TUD313" s="13"/>
      <c r="TUE313" s="35"/>
      <c r="TUF313" s="35"/>
      <c r="TUG313" s="15"/>
      <c r="TUI313" s="13"/>
      <c r="TUJ313" s="35"/>
      <c r="TUK313" s="35"/>
      <c r="TUL313" s="15"/>
      <c r="TUN313" s="13"/>
      <c r="TUO313" s="35"/>
      <c r="TUP313" s="35"/>
      <c r="TUQ313" s="15"/>
      <c r="TUS313" s="13"/>
      <c r="TUT313" s="35"/>
      <c r="TUU313" s="35"/>
      <c r="TUV313" s="15"/>
      <c r="TUX313" s="13"/>
      <c r="TUY313" s="35"/>
      <c r="TUZ313" s="35"/>
      <c r="TVA313" s="15"/>
      <c r="TVC313" s="13"/>
      <c r="TVD313" s="35"/>
      <c r="TVE313" s="35"/>
      <c r="TVF313" s="15"/>
      <c r="TVH313" s="13"/>
      <c r="TVI313" s="35"/>
      <c r="TVJ313" s="35"/>
      <c r="TVK313" s="15"/>
      <c r="TVM313" s="13"/>
      <c r="TVN313" s="35"/>
      <c r="TVO313" s="35"/>
      <c r="TVP313" s="15"/>
      <c r="TVR313" s="13"/>
      <c r="TVS313" s="35"/>
      <c r="TVT313" s="35"/>
      <c r="TVU313" s="15"/>
      <c r="TVW313" s="13"/>
      <c r="TVX313" s="35"/>
      <c r="TVY313" s="35"/>
      <c r="TVZ313" s="15"/>
      <c r="TWB313" s="13"/>
      <c r="TWC313" s="35"/>
      <c r="TWD313" s="35"/>
      <c r="TWE313" s="15"/>
      <c r="TWG313" s="13"/>
      <c r="TWH313" s="35"/>
      <c r="TWI313" s="35"/>
      <c r="TWJ313" s="15"/>
      <c r="TWL313" s="13"/>
      <c r="TWM313" s="35"/>
      <c r="TWN313" s="35"/>
      <c r="TWO313" s="15"/>
      <c r="TWQ313" s="13"/>
      <c r="TWR313" s="35"/>
      <c r="TWS313" s="35"/>
      <c r="TWT313" s="15"/>
      <c r="TWV313" s="13"/>
      <c r="TWW313" s="35"/>
      <c r="TWX313" s="35"/>
      <c r="TWY313" s="15"/>
      <c r="TXA313" s="13"/>
      <c r="TXB313" s="35"/>
      <c r="TXC313" s="35"/>
      <c r="TXD313" s="15"/>
      <c r="TXF313" s="13"/>
      <c r="TXG313" s="35"/>
      <c r="TXH313" s="35"/>
      <c r="TXI313" s="15"/>
      <c r="TXK313" s="13"/>
      <c r="TXL313" s="35"/>
      <c r="TXM313" s="35"/>
      <c r="TXN313" s="15"/>
      <c r="TXP313" s="13"/>
      <c r="TXQ313" s="35"/>
      <c r="TXR313" s="35"/>
      <c r="TXS313" s="15"/>
      <c r="TXU313" s="13"/>
      <c r="TXV313" s="35"/>
      <c r="TXW313" s="35"/>
      <c r="TXX313" s="15"/>
      <c r="TXZ313" s="13"/>
      <c r="TYA313" s="35"/>
      <c r="TYB313" s="35"/>
      <c r="TYC313" s="15"/>
      <c r="TYE313" s="13"/>
      <c r="TYF313" s="35"/>
      <c r="TYG313" s="35"/>
      <c r="TYH313" s="15"/>
      <c r="TYJ313" s="13"/>
      <c r="TYK313" s="35"/>
      <c r="TYL313" s="35"/>
      <c r="TYM313" s="15"/>
      <c r="TYO313" s="13"/>
      <c r="TYP313" s="35"/>
      <c r="TYQ313" s="35"/>
      <c r="TYR313" s="15"/>
      <c r="TYT313" s="13"/>
      <c r="TYU313" s="35"/>
      <c r="TYV313" s="35"/>
      <c r="TYW313" s="15"/>
      <c r="TYY313" s="13"/>
      <c r="TYZ313" s="35"/>
      <c r="TZA313" s="35"/>
      <c r="TZB313" s="15"/>
      <c r="TZD313" s="13"/>
      <c r="TZE313" s="35"/>
      <c r="TZF313" s="35"/>
      <c r="TZG313" s="15"/>
      <c r="TZI313" s="13"/>
      <c r="TZJ313" s="35"/>
      <c r="TZK313" s="35"/>
      <c r="TZL313" s="15"/>
      <c r="TZN313" s="13"/>
      <c r="TZO313" s="35"/>
      <c r="TZP313" s="35"/>
      <c r="TZQ313" s="15"/>
      <c r="TZS313" s="13"/>
      <c r="TZT313" s="35"/>
      <c r="TZU313" s="35"/>
      <c r="TZV313" s="15"/>
      <c r="TZX313" s="13"/>
      <c r="TZY313" s="35"/>
      <c r="TZZ313" s="35"/>
      <c r="UAA313" s="15"/>
      <c r="UAC313" s="13"/>
      <c r="UAD313" s="35"/>
      <c r="UAE313" s="35"/>
      <c r="UAF313" s="15"/>
      <c r="UAH313" s="13"/>
      <c r="UAI313" s="35"/>
      <c r="UAJ313" s="35"/>
      <c r="UAK313" s="15"/>
      <c r="UAM313" s="13"/>
      <c r="UAN313" s="35"/>
      <c r="UAO313" s="35"/>
      <c r="UAP313" s="15"/>
      <c r="UAR313" s="13"/>
      <c r="UAS313" s="35"/>
      <c r="UAT313" s="35"/>
      <c r="UAU313" s="15"/>
      <c r="UAW313" s="13"/>
      <c r="UAX313" s="35"/>
      <c r="UAY313" s="35"/>
      <c r="UAZ313" s="15"/>
      <c r="UBB313" s="13"/>
      <c r="UBC313" s="35"/>
      <c r="UBD313" s="35"/>
      <c r="UBE313" s="15"/>
      <c r="UBG313" s="13"/>
      <c r="UBH313" s="35"/>
      <c r="UBI313" s="35"/>
      <c r="UBJ313" s="15"/>
      <c r="UBL313" s="13"/>
      <c r="UBM313" s="35"/>
      <c r="UBN313" s="35"/>
      <c r="UBO313" s="15"/>
      <c r="UBQ313" s="13"/>
      <c r="UBR313" s="35"/>
      <c r="UBS313" s="35"/>
      <c r="UBT313" s="15"/>
      <c r="UBV313" s="13"/>
      <c r="UBW313" s="35"/>
      <c r="UBX313" s="35"/>
      <c r="UBY313" s="15"/>
      <c r="UCA313" s="13"/>
      <c r="UCB313" s="35"/>
      <c r="UCC313" s="35"/>
      <c r="UCD313" s="15"/>
      <c r="UCF313" s="13"/>
      <c r="UCG313" s="35"/>
      <c r="UCH313" s="35"/>
      <c r="UCI313" s="15"/>
      <c r="UCK313" s="13"/>
      <c r="UCL313" s="35"/>
      <c r="UCM313" s="35"/>
      <c r="UCN313" s="15"/>
      <c r="UCP313" s="13"/>
      <c r="UCQ313" s="35"/>
      <c r="UCR313" s="35"/>
      <c r="UCS313" s="15"/>
      <c r="UCU313" s="13"/>
      <c r="UCV313" s="35"/>
      <c r="UCW313" s="35"/>
      <c r="UCX313" s="15"/>
      <c r="UCZ313" s="13"/>
      <c r="UDA313" s="35"/>
      <c r="UDB313" s="35"/>
      <c r="UDC313" s="15"/>
      <c r="UDE313" s="13"/>
      <c r="UDF313" s="35"/>
      <c r="UDG313" s="35"/>
      <c r="UDH313" s="15"/>
      <c r="UDJ313" s="13"/>
      <c r="UDK313" s="35"/>
      <c r="UDL313" s="35"/>
      <c r="UDM313" s="15"/>
      <c r="UDO313" s="13"/>
      <c r="UDP313" s="35"/>
      <c r="UDQ313" s="35"/>
      <c r="UDR313" s="15"/>
      <c r="UDT313" s="13"/>
      <c r="UDU313" s="35"/>
      <c r="UDV313" s="35"/>
      <c r="UDW313" s="15"/>
      <c r="UDY313" s="13"/>
      <c r="UDZ313" s="35"/>
      <c r="UEA313" s="35"/>
      <c r="UEB313" s="15"/>
      <c r="UED313" s="13"/>
      <c r="UEE313" s="35"/>
      <c r="UEF313" s="35"/>
      <c r="UEG313" s="15"/>
      <c r="UEI313" s="13"/>
      <c r="UEJ313" s="35"/>
      <c r="UEK313" s="35"/>
      <c r="UEL313" s="15"/>
      <c r="UEN313" s="13"/>
      <c r="UEO313" s="35"/>
      <c r="UEP313" s="35"/>
      <c r="UEQ313" s="15"/>
      <c r="UES313" s="13"/>
      <c r="UET313" s="35"/>
      <c r="UEU313" s="35"/>
      <c r="UEV313" s="15"/>
      <c r="UEX313" s="13"/>
      <c r="UEY313" s="35"/>
      <c r="UEZ313" s="35"/>
      <c r="UFA313" s="15"/>
      <c r="UFC313" s="13"/>
      <c r="UFD313" s="35"/>
      <c r="UFE313" s="35"/>
      <c r="UFF313" s="15"/>
      <c r="UFH313" s="13"/>
      <c r="UFI313" s="35"/>
      <c r="UFJ313" s="35"/>
      <c r="UFK313" s="15"/>
      <c r="UFM313" s="13"/>
      <c r="UFN313" s="35"/>
      <c r="UFO313" s="35"/>
      <c r="UFP313" s="15"/>
      <c r="UFR313" s="13"/>
      <c r="UFS313" s="35"/>
      <c r="UFT313" s="35"/>
      <c r="UFU313" s="15"/>
      <c r="UFW313" s="13"/>
      <c r="UFX313" s="35"/>
      <c r="UFY313" s="35"/>
      <c r="UFZ313" s="15"/>
      <c r="UGB313" s="13"/>
      <c r="UGC313" s="35"/>
      <c r="UGD313" s="35"/>
      <c r="UGE313" s="15"/>
      <c r="UGG313" s="13"/>
      <c r="UGH313" s="35"/>
      <c r="UGI313" s="35"/>
      <c r="UGJ313" s="15"/>
      <c r="UGL313" s="13"/>
      <c r="UGM313" s="35"/>
      <c r="UGN313" s="35"/>
      <c r="UGO313" s="15"/>
      <c r="UGQ313" s="13"/>
      <c r="UGR313" s="35"/>
      <c r="UGS313" s="35"/>
      <c r="UGT313" s="15"/>
      <c r="UGV313" s="13"/>
      <c r="UGW313" s="35"/>
      <c r="UGX313" s="35"/>
      <c r="UGY313" s="15"/>
      <c r="UHA313" s="13"/>
      <c r="UHB313" s="35"/>
      <c r="UHC313" s="35"/>
      <c r="UHD313" s="15"/>
      <c r="UHF313" s="13"/>
      <c r="UHG313" s="35"/>
      <c r="UHH313" s="35"/>
      <c r="UHI313" s="15"/>
      <c r="UHK313" s="13"/>
      <c r="UHL313" s="35"/>
      <c r="UHM313" s="35"/>
      <c r="UHN313" s="15"/>
      <c r="UHP313" s="13"/>
      <c r="UHQ313" s="35"/>
      <c r="UHR313" s="35"/>
      <c r="UHS313" s="15"/>
      <c r="UHU313" s="13"/>
      <c r="UHV313" s="35"/>
      <c r="UHW313" s="35"/>
      <c r="UHX313" s="15"/>
      <c r="UHZ313" s="13"/>
      <c r="UIA313" s="35"/>
      <c r="UIB313" s="35"/>
      <c r="UIC313" s="15"/>
      <c r="UIE313" s="13"/>
      <c r="UIF313" s="35"/>
      <c r="UIG313" s="35"/>
      <c r="UIH313" s="15"/>
      <c r="UIJ313" s="13"/>
      <c r="UIK313" s="35"/>
      <c r="UIL313" s="35"/>
      <c r="UIM313" s="15"/>
      <c r="UIO313" s="13"/>
      <c r="UIP313" s="35"/>
      <c r="UIQ313" s="35"/>
      <c r="UIR313" s="15"/>
      <c r="UIT313" s="13"/>
      <c r="UIU313" s="35"/>
      <c r="UIV313" s="35"/>
      <c r="UIW313" s="15"/>
      <c r="UIY313" s="13"/>
      <c r="UIZ313" s="35"/>
      <c r="UJA313" s="35"/>
      <c r="UJB313" s="15"/>
      <c r="UJD313" s="13"/>
      <c r="UJE313" s="35"/>
      <c r="UJF313" s="35"/>
      <c r="UJG313" s="15"/>
      <c r="UJI313" s="13"/>
      <c r="UJJ313" s="35"/>
      <c r="UJK313" s="35"/>
      <c r="UJL313" s="15"/>
      <c r="UJN313" s="13"/>
      <c r="UJO313" s="35"/>
      <c r="UJP313" s="35"/>
      <c r="UJQ313" s="15"/>
      <c r="UJS313" s="13"/>
      <c r="UJT313" s="35"/>
      <c r="UJU313" s="35"/>
      <c r="UJV313" s="15"/>
      <c r="UJX313" s="13"/>
      <c r="UJY313" s="35"/>
      <c r="UJZ313" s="35"/>
      <c r="UKA313" s="15"/>
      <c r="UKC313" s="13"/>
      <c r="UKD313" s="35"/>
      <c r="UKE313" s="35"/>
      <c r="UKF313" s="15"/>
      <c r="UKH313" s="13"/>
      <c r="UKI313" s="35"/>
      <c r="UKJ313" s="35"/>
      <c r="UKK313" s="15"/>
      <c r="UKM313" s="13"/>
      <c r="UKN313" s="35"/>
      <c r="UKO313" s="35"/>
      <c r="UKP313" s="15"/>
      <c r="UKR313" s="13"/>
      <c r="UKS313" s="35"/>
      <c r="UKT313" s="35"/>
      <c r="UKU313" s="15"/>
      <c r="UKW313" s="13"/>
      <c r="UKX313" s="35"/>
      <c r="UKY313" s="35"/>
      <c r="UKZ313" s="15"/>
      <c r="ULB313" s="13"/>
      <c r="ULC313" s="35"/>
      <c r="ULD313" s="35"/>
      <c r="ULE313" s="15"/>
      <c r="ULG313" s="13"/>
      <c r="ULH313" s="35"/>
      <c r="ULI313" s="35"/>
      <c r="ULJ313" s="15"/>
      <c r="ULL313" s="13"/>
      <c r="ULM313" s="35"/>
      <c r="ULN313" s="35"/>
      <c r="ULO313" s="15"/>
      <c r="ULQ313" s="13"/>
      <c r="ULR313" s="35"/>
      <c r="ULS313" s="35"/>
      <c r="ULT313" s="15"/>
      <c r="ULV313" s="13"/>
      <c r="ULW313" s="35"/>
      <c r="ULX313" s="35"/>
      <c r="ULY313" s="15"/>
      <c r="UMA313" s="13"/>
      <c r="UMB313" s="35"/>
      <c r="UMC313" s="35"/>
      <c r="UMD313" s="15"/>
      <c r="UMF313" s="13"/>
      <c r="UMG313" s="35"/>
      <c r="UMH313" s="35"/>
      <c r="UMI313" s="15"/>
      <c r="UMK313" s="13"/>
      <c r="UML313" s="35"/>
      <c r="UMM313" s="35"/>
      <c r="UMN313" s="15"/>
      <c r="UMP313" s="13"/>
      <c r="UMQ313" s="35"/>
      <c r="UMR313" s="35"/>
      <c r="UMS313" s="15"/>
      <c r="UMU313" s="13"/>
      <c r="UMV313" s="35"/>
      <c r="UMW313" s="35"/>
      <c r="UMX313" s="15"/>
      <c r="UMZ313" s="13"/>
      <c r="UNA313" s="35"/>
      <c r="UNB313" s="35"/>
      <c r="UNC313" s="15"/>
      <c r="UNE313" s="13"/>
      <c r="UNF313" s="35"/>
      <c r="UNG313" s="35"/>
      <c r="UNH313" s="15"/>
      <c r="UNJ313" s="13"/>
      <c r="UNK313" s="35"/>
      <c r="UNL313" s="35"/>
      <c r="UNM313" s="15"/>
      <c r="UNO313" s="13"/>
      <c r="UNP313" s="35"/>
      <c r="UNQ313" s="35"/>
      <c r="UNR313" s="15"/>
      <c r="UNT313" s="13"/>
      <c r="UNU313" s="35"/>
      <c r="UNV313" s="35"/>
      <c r="UNW313" s="15"/>
      <c r="UNY313" s="13"/>
      <c r="UNZ313" s="35"/>
      <c r="UOA313" s="35"/>
      <c r="UOB313" s="15"/>
      <c r="UOD313" s="13"/>
      <c r="UOE313" s="35"/>
      <c r="UOF313" s="35"/>
      <c r="UOG313" s="15"/>
      <c r="UOI313" s="13"/>
      <c r="UOJ313" s="35"/>
      <c r="UOK313" s="35"/>
      <c r="UOL313" s="15"/>
      <c r="UON313" s="13"/>
      <c r="UOO313" s="35"/>
      <c r="UOP313" s="35"/>
      <c r="UOQ313" s="15"/>
      <c r="UOS313" s="13"/>
      <c r="UOT313" s="35"/>
      <c r="UOU313" s="35"/>
      <c r="UOV313" s="15"/>
      <c r="UOX313" s="13"/>
      <c r="UOY313" s="35"/>
      <c r="UOZ313" s="35"/>
      <c r="UPA313" s="15"/>
      <c r="UPC313" s="13"/>
      <c r="UPD313" s="35"/>
      <c r="UPE313" s="35"/>
      <c r="UPF313" s="15"/>
      <c r="UPH313" s="13"/>
      <c r="UPI313" s="35"/>
      <c r="UPJ313" s="35"/>
      <c r="UPK313" s="15"/>
      <c r="UPM313" s="13"/>
      <c r="UPN313" s="35"/>
      <c r="UPO313" s="35"/>
      <c r="UPP313" s="15"/>
      <c r="UPR313" s="13"/>
      <c r="UPS313" s="35"/>
      <c r="UPT313" s="35"/>
      <c r="UPU313" s="15"/>
      <c r="UPW313" s="13"/>
      <c r="UPX313" s="35"/>
      <c r="UPY313" s="35"/>
      <c r="UPZ313" s="15"/>
      <c r="UQB313" s="13"/>
      <c r="UQC313" s="35"/>
      <c r="UQD313" s="35"/>
      <c r="UQE313" s="15"/>
      <c r="UQG313" s="13"/>
      <c r="UQH313" s="35"/>
      <c r="UQI313" s="35"/>
      <c r="UQJ313" s="15"/>
      <c r="UQL313" s="13"/>
      <c r="UQM313" s="35"/>
      <c r="UQN313" s="35"/>
      <c r="UQO313" s="15"/>
      <c r="UQQ313" s="13"/>
      <c r="UQR313" s="35"/>
      <c r="UQS313" s="35"/>
      <c r="UQT313" s="15"/>
      <c r="UQV313" s="13"/>
      <c r="UQW313" s="35"/>
      <c r="UQX313" s="35"/>
      <c r="UQY313" s="15"/>
      <c r="URA313" s="13"/>
      <c r="URB313" s="35"/>
      <c r="URC313" s="35"/>
      <c r="URD313" s="15"/>
      <c r="URF313" s="13"/>
      <c r="URG313" s="35"/>
      <c r="URH313" s="35"/>
      <c r="URI313" s="15"/>
      <c r="URK313" s="13"/>
      <c r="URL313" s="35"/>
      <c r="URM313" s="35"/>
      <c r="URN313" s="15"/>
      <c r="URP313" s="13"/>
      <c r="URQ313" s="35"/>
      <c r="URR313" s="35"/>
      <c r="URS313" s="15"/>
      <c r="URU313" s="13"/>
      <c r="URV313" s="35"/>
      <c r="URW313" s="35"/>
      <c r="URX313" s="15"/>
      <c r="URZ313" s="13"/>
      <c r="USA313" s="35"/>
      <c r="USB313" s="35"/>
      <c r="USC313" s="15"/>
      <c r="USE313" s="13"/>
      <c r="USF313" s="35"/>
      <c r="USG313" s="35"/>
      <c r="USH313" s="15"/>
      <c r="USJ313" s="13"/>
      <c r="USK313" s="35"/>
      <c r="USL313" s="35"/>
      <c r="USM313" s="15"/>
      <c r="USO313" s="13"/>
      <c r="USP313" s="35"/>
      <c r="USQ313" s="35"/>
      <c r="USR313" s="15"/>
      <c r="UST313" s="13"/>
      <c r="USU313" s="35"/>
      <c r="USV313" s="35"/>
      <c r="USW313" s="15"/>
      <c r="USY313" s="13"/>
      <c r="USZ313" s="35"/>
      <c r="UTA313" s="35"/>
      <c r="UTB313" s="15"/>
      <c r="UTD313" s="13"/>
      <c r="UTE313" s="35"/>
      <c r="UTF313" s="35"/>
      <c r="UTG313" s="15"/>
      <c r="UTI313" s="13"/>
      <c r="UTJ313" s="35"/>
      <c r="UTK313" s="35"/>
      <c r="UTL313" s="15"/>
      <c r="UTN313" s="13"/>
      <c r="UTO313" s="35"/>
      <c r="UTP313" s="35"/>
      <c r="UTQ313" s="15"/>
      <c r="UTS313" s="13"/>
      <c r="UTT313" s="35"/>
      <c r="UTU313" s="35"/>
      <c r="UTV313" s="15"/>
      <c r="UTX313" s="13"/>
      <c r="UTY313" s="35"/>
      <c r="UTZ313" s="35"/>
      <c r="UUA313" s="15"/>
      <c r="UUC313" s="13"/>
      <c r="UUD313" s="35"/>
      <c r="UUE313" s="35"/>
      <c r="UUF313" s="15"/>
      <c r="UUH313" s="13"/>
      <c r="UUI313" s="35"/>
      <c r="UUJ313" s="35"/>
      <c r="UUK313" s="15"/>
      <c r="UUM313" s="13"/>
      <c r="UUN313" s="35"/>
      <c r="UUO313" s="35"/>
      <c r="UUP313" s="15"/>
      <c r="UUR313" s="13"/>
      <c r="UUS313" s="35"/>
      <c r="UUT313" s="35"/>
      <c r="UUU313" s="15"/>
      <c r="UUW313" s="13"/>
      <c r="UUX313" s="35"/>
      <c r="UUY313" s="35"/>
      <c r="UUZ313" s="15"/>
      <c r="UVB313" s="13"/>
      <c r="UVC313" s="35"/>
      <c r="UVD313" s="35"/>
      <c r="UVE313" s="15"/>
      <c r="UVG313" s="13"/>
      <c r="UVH313" s="35"/>
      <c r="UVI313" s="35"/>
      <c r="UVJ313" s="15"/>
      <c r="UVL313" s="13"/>
      <c r="UVM313" s="35"/>
      <c r="UVN313" s="35"/>
      <c r="UVO313" s="15"/>
      <c r="UVQ313" s="13"/>
      <c r="UVR313" s="35"/>
      <c r="UVS313" s="35"/>
      <c r="UVT313" s="15"/>
      <c r="UVV313" s="13"/>
      <c r="UVW313" s="35"/>
      <c r="UVX313" s="35"/>
      <c r="UVY313" s="15"/>
      <c r="UWA313" s="13"/>
      <c r="UWB313" s="35"/>
      <c r="UWC313" s="35"/>
      <c r="UWD313" s="15"/>
      <c r="UWF313" s="13"/>
      <c r="UWG313" s="35"/>
      <c r="UWH313" s="35"/>
      <c r="UWI313" s="15"/>
      <c r="UWK313" s="13"/>
      <c r="UWL313" s="35"/>
      <c r="UWM313" s="35"/>
      <c r="UWN313" s="15"/>
      <c r="UWP313" s="13"/>
      <c r="UWQ313" s="35"/>
      <c r="UWR313" s="35"/>
      <c r="UWS313" s="15"/>
      <c r="UWU313" s="13"/>
      <c r="UWV313" s="35"/>
      <c r="UWW313" s="35"/>
      <c r="UWX313" s="15"/>
      <c r="UWZ313" s="13"/>
      <c r="UXA313" s="35"/>
      <c r="UXB313" s="35"/>
      <c r="UXC313" s="15"/>
      <c r="UXE313" s="13"/>
      <c r="UXF313" s="35"/>
      <c r="UXG313" s="35"/>
      <c r="UXH313" s="15"/>
      <c r="UXJ313" s="13"/>
      <c r="UXK313" s="35"/>
      <c r="UXL313" s="35"/>
      <c r="UXM313" s="15"/>
      <c r="UXO313" s="13"/>
      <c r="UXP313" s="35"/>
      <c r="UXQ313" s="35"/>
      <c r="UXR313" s="15"/>
      <c r="UXT313" s="13"/>
      <c r="UXU313" s="35"/>
      <c r="UXV313" s="35"/>
      <c r="UXW313" s="15"/>
      <c r="UXY313" s="13"/>
      <c r="UXZ313" s="35"/>
      <c r="UYA313" s="35"/>
      <c r="UYB313" s="15"/>
      <c r="UYD313" s="13"/>
      <c r="UYE313" s="35"/>
      <c r="UYF313" s="35"/>
      <c r="UYG313" s="15"/>
      <c r="UYI313" s="13"/>
      <c r="UYJ313" s="35"/>
      <c r="UYK313" s="35"/>
      <c r="UYL313" s="15"/>
      <c r="UYN313" s="13"/>
      <c r="UYO313" s="35"/>
      <c r="UYP313" s="35"/>
      <c r="UYQ313" s="15"/>
      <c r="UYS313" s="13"/>
      <c r="UYT313" s="35"/>
      <c r="UYU313" s="35"/>
      <c r="UYV313" s="15"/>
      <c r="UYX313" s="13"/>
      <c r="UYY313" s="35"/>
      <c r="UYZ313" s="35"/>
      <c r="UZA313" s="15"/>
      <c r="UZC313" s="13"/>
      <c r="UZD313" s="35"/>
      <c r="UZE313" s="35"/>
      <c r="UZF313" s="15"/>
      <c r="UZH313" s="13"/>
      <c r="UZI313" s="35"/>
      <c r="UZJ313" s="35"/>
      <c r="UZK313" s="15"/>
      <c r="UZM313" s="13"/>
      <c r="UZN313" s="35"/>
      <c r="UZO313" s="35"/>
      <c r="UZP313" s="15"/>
      <c r="UZR313" s="13"/>
      <c r="UZS313" s="35"/>
      <c r="UZT313" s="35"/>
      <c r="UZU313" s="15"/>
      <c r="UZW313" s="13"/>
      <c r="UZX313" s="35"/>
      <c r="UZY313" s="35"/>
      <c r="UZZ313" s="15"/>
      <c r="VAB313" s="13"/>
      <c r="VAC313" s="35"/>
      <c r="VAD313" s="35"/>
      <c r="VAE313" s="15"/>
      <c r="VAG313" s="13"/>
      <c r="VAH313" s="35"/>
      <c r="VAI313" s="35"/>
      <c r="VAJ313" s="15"/>
      <c r="VAL313" s="13"/>
      <c r="VAM313" s="35"/>
      <c r="VAN313" s="35"/>
      <c r="VAO313" s="15"/>
      <c r="VAQ313" s="13"/>
      <c r="VAR313" s="35"/>
      <c r="VAS313" s="35"/>
      <c r="VAT313" s="15"/>
      <c r="VAV313" s="13"/>
      <c r="VAW313" s="35"/>
      <c r="VAX313" s="35"/>
      <c r="VAY313" s="15"/>
      <c r="VBA313" s="13"/>
      <c r="VBB313" s="35"/>
      <c r="VBC313" s="35"/>
      <c r="VBD313" s="15"/>
      <c r="VBF313" s="13"/>
      <c r="VBG313" s="35"/>
      <c r="VBH313" s="35"/>
      <c r="VBI313" s="15"/>
      <c r="VBK313" s="13"/>
      <c r="VBL313" s="35"/>
      <c r="VBM313" s="35"/>
      <c r="VBN313" s="15"/>
      <c r="VBP313" s="13"/>
      <c r="VBQ313" s="35"/>
      <c r="VBR313" s="35"/>
      <c r="VBS313" s="15"/>
      <c r="VBU313" s="13"/>
      <c r="VBV313" s="35"/>
      <c r="VBW313" s="35"/>
      <c r="VBX313" s="15"/>
      <c r="VBZ313" s="13"/>
      <c r="VCA313" s="35"/>
      <c r="VCB313" s="35"/>
      <c r="VCC313" s="15"/>
      <c r="VCE313" s="13"/>
      <c r="VCF313" s="35"/>
      <c r="VCG313" s="35"/>
      <c r="VCH313" s="15"/>
      <c r="VCJ313" s="13"/>
      <c r="VCK313" s="35"/>
      <c r="VCL313" s="35"/>
      <c r="VCM313" s="15"/>
      <c r="VCO313" s="13"/>
      <c r="VCP313" s="35"/>
      <c r="VCQ313" s="35"/>
      <c r="VCR313" s="15"/>
      <c r="VCT313" s="13"/>
      <c r="VCU313" s="35"/>
      <c r="VCV313" s="35"/>
      <c r="VCW313" s="15"/>
      <c r="VCY313" s="13"/>
      <c r="VCZ313" s="35"/>
      <c r="VDA313" s="35"/>
      <c r="VDB313" s="15"/>
      <c r="VDD313" s="13"/>
      <c r="VDE313" s="35"/>
      <c r="VDF313" s="35"/>
      <c r="VDG313" s="15"/>
      <c r="VDI313" s="13"/>
      <c r="VDJ313" s="35"/>
      <c r="VDK313" s="35"/>
      <c r="VDL313" s="15"/>
      <c r="VDN313" s="13"/>
      <c r="VDO313" s="35"/>
      <c r="VDP313" s="35"/>
      <c r="VDQ313" s="15"/>
      <c r="VDS313" s="13"/>
      <c r="VDT313" s="35"/>
      <c r="VDU313" s="35"/>
      <c r="VDV313" s="15"/>
      <c r="VDX313" s="13"/>
      <c r="VDY313" s="35"/>
      <c r="VDZ313" s="35"/>
      <c r="VEA313" s="15"/>
      <c r="VEC313" s="13"/>
      <c r="VED313" s="35"/>
      <c r="VEE313" s="35"/>
      <c r="VEF313" s="15"/>
      <c r="VEH313" s="13"/>
      <c r="VEI313" s="35"/>
      <c r="VEJ313" s="35"/>
      <c r="VEK313" s="15"/>
      <c r="VEM313" s="13"/>
      <c r="VEN313" s="35"/>
      <c r="VEO313" s="35"/>
      <c r="VEP313" s="15"/>
      <c r="VER313" s="13"/>
      <c r="VES313" s="35"/>
      <c r="VET313" s="35"/>
      <c r="VEU313" s="15"/>
      <c r="VEW313" s="13"/>
      <c r="VEX313" s="35"/>
      <c r="VEY313" s="35"/>
      <c r="VEZ313" s="15"/>
      <c r="VFB313" s="13"/>
      <c r="VFC313" s="35"/>
      <c r="VFD313" s="35"/>
      <c r="VFE313" s="15"/>
      <c r="VFG313" s="13"/>
      <c r="VFH313" s="35"/>
      <c r="VFI313" s="35"/>
      <c r="VFJ313" s="15"/>
      <c r="VFL313" s="13"/>
      <c r="VFM313" s="35"/>
      <c r="VFN313" s="35"/>
      <c r="VFO313" s="15"/>
      <c r="VFQ313" s="13"/>
      <c r="VFR313" s="35"/>
      <c r="VFS313" s="35"/>
      <c r="VFT313" s="15"/>
      <c r="VFV313" s="13"/>
      <c r="VFW313" s="35"/>
      <c r="VFX313" s="35"/>
      <c r="VFY313" s="15"/>
      <c r="VGA313" s="13"/>
      <c r="VGB313" s="35"/>
      <c r="VGC313" s="35"/>
      <c r="VGD313" s="15"/>
      <c r="VGF313" s="13"/>
      <c r="VGG313" s="35"/>
      <c r="VGH313" s="35"/>
      <c r="VGI313" s="15"/>
      <c r="VGK313" s="13"/>
      <c r="VGL313" s="35"/>
      <c r="VGM313" s="35"/>
      <c r="VGN313" s="15"/>
      <c r="VGP313" s="13"/>
      <c r="VGQ313" s="35"/>
      <c r="VGR313" s="35"/>
      <c r="VGS313" s="15"/>
      <c r="VGU313" s="13"/>
      <c r="VGV313" s="35"/>
      <c r="VGW313" s="35"/>
      <c r="VGX313" s="15"/>
      <c r="VGZ313" s="13"/>
      <c r="VHA313" s="35"/>
      <c r="VHB313" s="35"/>
      <c r="VHC313" s="15"/>
      <c r="VHE313" s="13"/>
      <c r="VHF313" s="35"/>
      <c r="VHG313" s="35"/>
      <c r="VHH313" s="15"/>
      <c r="VHJ313" s="13"/>
      <c r="VHK313" s="35"/>
      <c r="VHL313" s="35"/>
      <c r="VHM313" s="15"/>
      <c r="VHO313" s="13"/>
      <c r="VHP313" s="35"/>
      <c r="VHQ313" s="35"/>
      <c r="VHR313" s="15"/>
      <c r="VHT313" s="13"/>
      <c r="VHU313" s="35"/>
      <c r="VHV313" s="35"/>
      <c r="VHW313" s="15"/>
      <c r="VHY313" s="13"/>
      <c r="VHZ313" s="35"/>
      <c r="VIA313" s="35"/>
      <c r="VIB313" s="15"/>
      <c r="VID313" s="13"/>
      <c r="VIE313" s="35"/>
      <c r="VIF313" s="35"/>
      <c r="VIG313" s="15"/>
      <c r="VII313" s="13"/>
      <c r="VIJ313" s="35"/>
      <c r="VIK313" s="35"/>
      <c r="VIL313" s="15"/>
      <c r="VIN313" s="13"/>
      <c r="VIO313" s="35"/>
      <c r="VIP313" s="35"/>
      <c r="VIQ313" s="15"/>
      <c r="VIS313" s="13"/>
      <c r="VIT313" s="35"/>
      <c r="VIU313" s="35"/>
      <c r="VIV313" s="15"/>
      <c r="VIX313" s="13"/>
      <c r="VIY313" s="35"/>
      <c r="VIZ313" s="35"/>
      <c r="VJA313" s="15"/>
      <c r="VJC313" s="13"/>
      <c r="VJD313" s="35"/>
      <c r="VJE313" s="35"/>
      <c r="VJF313" s="15"/>
      <c r="VJH313" s="13"/>
      <c r="VJI313" s="35"/>
      <c r="VJJ313" s="35"/>
      <c r="VJK313" s="15"/>
      <c r="VJM313" s="13"/>
      <c r="VJN313" s="35"/>
      <c r="VJO313" s="35"/>
      <c r="VJP313" s="15"/>
      <c r="VJR313" s="13"/>
      <c r="VJS313" s="35"/>
      <c r="VJT313" s="35"/>
      <c r="VJU313" s="15"/>
      <c r="VJW313" s="13"/>
      <c r="VJX313" s="35"/>
      <c r="VJY313" s="35"/>
      <c r="VJZ313" s="15"/>
      <c r="VKB313" s="13"/>
      <c r="VKC313" s="35"/>
      <c r="VKD313" s="35"/>
      <c r="VKE313" s="15"/>
      <c r="VKG313" s="13"/>
      <c r="VKH313" s="35"/>
      <c r="VKI313" s="35"/>
      <c r="VKJ313" s="15"/>
      <c r="VKL313" s="13"/>
      <c r="VKM313" s="35"/>
      <c r="VKN313" s="35"/>
      <c r="VKO313" s="15"/>
      <c r="VKQ313" s="13"/>
      <c r="VKR313" s="35"/>
      <c r="VKS313" s="35"/>
      <c r="VKT313" s="15"/>
      <c r="VKV313" s="13"/>
      <c r="VKW313" s="35"/>
      <c r="VKX313" s="35"/>
      <c r="VKY313" s="15"/>
      <c r="VLA313" s="13"/>
      <c r="VLB313" s="35"/>
      <c r="VLC313" s="35"/>
      <c r="VLD313" s="15"/>
      <c r="VLF313" s="13"/>
      <c r="VLG313" s="35"/>
      <c r="VLH313" s="35"/>
      <c r="VLI313" s="15"/>
      <c r="VLK313" s="13"/>
      <c r="VLL313" s="35"/>
      <c r="VLM313" s="35"/>
      <c r="VLN313" s="15"/>
      <c r="VLP313" s="13"/>
      <c r="VLQ313" s="35"/>
      <c r="VLR313" s="35"/>
      <c r="VLS313" s="15"/>
      <c r="VLU313" s="13"/>
      <c r="VLV313" s="35"/>
      <c r="VLW313" s="35"/>
      <c r="VLX313" s="15"/>
      <c r="VLZ313" s="13"/>
      <c r="VMA313" s="35"/>
      <c r="VMB313" s="35"/>
      <c r="VMC313" s="15"/>
      <c r="VME313" s="13"/>
      <c r="VMF313" s="35"/>
      <c r="VMG313" s="35"/>
      <c r="VMH313" s="15"/>
      <c r="VMJ313" s="13"/>
      <c r="VMK313" s="35"/>
      <c r="VML313" s="35"/>
      <c r="VMM313" s="15"/>
      <c r="VMO313" s="13"/>
      <c r="VMP313" s="35"/>
      <c r="VMQ313" s="35"/>
      <c r="VMR313" s="15"/>
      <c r="VMT313" s="13"/>
      <c r="VMU313" s="35"/>
      <c r="VMV313" s="35"/>
      <c r="VMW313" s="15"/>
      <c r="VMY313" s="13"/>
      <c r="VMZ313" s="35"/>
      <c r="VNA313" s="35"/>
      <c r="VNB313" s="15"/>
      <c r="VND313" s="13"/>
      <c r="VNE313" s="35"/>
      <c r="VNF313" s="35"/>
      <c r="VNG313" s="15"/>
      <c r="VNI313" s="13"/>
      <c r="VNJ313" s="35"/>
      <c r="VNK313" s="35"/>
      <c r="VNL313" s="15"/>
      <c r="VNN313" s="13"/>
      <c r="VNO313" s="35"/>
      <c r="VNP313" s="35"/>
      <c r="VNQ313" s="15"/>
      <c r="VNS313" s="13"/>
      <c r="VNT313" s="35"/>
      <c r="VNU313" s="35"/>
      <c r="VNV313" s="15"/>
      <c r="VNX313" s="13"/>
      <c r="VNY313" s="35"/>
      <c r="VNZ313" s="35"/>
      <c r="VOA313" s="15"/>
      <c r="VOC313" s="13"/>
      <c r="VOD313" s="35"/>
      <c r="VOE313" s="35"/>
      <c r="VOF313" s="15"/>
      <c r="VOH313" s="13"/>
      <c r="VOI313" s="35"/>
      <c r="VOJ313" s="35"/>
      <c r="VOK313" s="15"/>
      <c r="VOM313" s="13"/>
      <c r="VON313" s="35"/>
      <c r="VOO313" s="35"/>
      <c r="VOP313" s="15"/>
      <c r="VOR313" s="13"/>
      <c r="VOS313" s="35"/>
      <c r="VOT313" s="35"/>
      <c r="VOU313" s="15"/>
      <c r="VOW313" s="13"/>
      <c r="VOX313" s="35"/>
      <c r="VOY313" s="35"/>
      <c r="VOZ313" s="15"/>
      <c r="VPB313" s="13"/>
      <c r="VPC313" s="35"/>
      <c r="VPD313" s="35"/>
      <c r="VPE313" s="15"/>
      <c r="VPG313" s="13"/>
      <c r="VPH313" s="35"/>
      <c r="VPI313" s="35"/>
      <c r="VPJ313" s="15"/>
      <c r="VPL313" s="13"/>
      <c r="VPM313" s="35"/>
      <c r="VPN313" s="35"/>
      <c r="VPO313" s="15"/>
      <c r="VPQ313" s="13"/>
      <c r="VPR313" s="35"/>
      <c r="VPS313" s="35"/>
      <c r="VPT313" s="15"/>
      <c r="VPV313" s="13"/>
      <c r="VPW313" s="35"/>
      <c r="VPX313" s="35"/>
      <c r="VPY313" s="15"/>
      <c r="VQA313" s="13"/>
      <c r="VQB313" s="35"/>
      <c r="VQC313" s="35"/>
      <c r="VQD313" s="15"/>
      <c r="VQF313" s="13"/>
      <c r="VQG313" s="35"/>
      <c r="VQH313" s="35"/>
      <c r="VQI313" s="15"/>
      <c r="VQK313" s="13"/>
      <c r="VQL313" s="35"/>
      <c r="VQM313" s="35"/>
      <c r="VQN313" s="15"/>
      <c r="VQP313" s="13"/>
      <c r="VQQ313" s="35"/>
      <c r="VQR313" s="35"/>
      <c r="VQS313" s="15"/>
      <c r="VQU313" s="13"/>
      <c r="VQV313" s="35"/>
      <c r="VQW313" s="35"/>
      <c r="VQX313" s="15"/>
      <c r="VQZ313" s="13"/>
      <c r="VRA313" s="35"/>
      <c r="VRB313" s="35"/>
      <c r="VRC313" s="15"/>
      <c r="VRE313" s="13"/>
      <c r="VRF313" s="35"/>
      <c r="VRG313" s="35"/>
      <c r="VRH313" s="15"/>
      <c r="VRJ313" s="13"/>
      <c r="VRK313" s="35"/>
      <c r="VRL313" s="35"/>
      <c r="VRM313" s="15"/>
      <c r="VRO313" s="13"/>
      <c r="VRP313" s="35"/>
      <c r="VRQ313" s="35"/>
      <c r="VRR313" s="15"/>
      <c r="VRT313" s="13"/>
      <c r="VRU313" s="35"/>
      <c r="VRV313" s="35"/>
      <c r="VRW313" s="15"/>
      <c r="VRY313" s="13"/>
      <c r="VRZ313" s="35"/>
      <c r="VSA313" s="35"/>
      <c r="VSB313" s="15"/>
      <c r="VSD313" s="13"/>
      <c r="VSE313" s="35"/>
      <c r="VSF313" s="35"/>
      <c r="VSG313" s="15"/>
      <c r="VSI313" s="13"/>
      <c r="VSJ313" s="35"/>
      <c r="VSK313" s="35"/>
      <c r="VSL313" s="15"/>
      <c r="VSN313" s="13"/>
      <c r="VSO313" s="35"/>
      <c r="VSP313" s="35"/>
      <c r="VSQ313" s="15"/>
      <c r="VSS313" s="13"/>
      <c r="VST313" s="35"/>
      <c r="VSU313" s="35"/>
      <c r="VSV313" s="15"/>
      <c r="VSX313" s="13"/>
      <c r="VSY313" s="35"/>
      <c r="VSZ313" s="35"/>
      <c r="VTA313" s="15"/>
      <c r="VTC313" s="13"/>
      <c r="VTD313" s="35"/>
      <c r="VTE313" s="35"/>
      <c r="VTF313" s="15"/>
      <c r="VTH313" s="13"/>
      <c r="VTI313" s="35"/>
      <c r="VTJ313" s="35"/>
      <c r="VTK313" s="15"/>
      <c r="VTM313" s="13"/>
      <c r="VTN313" s="35"/>
      <c r="VTO313" s="35"/>
      <c r="VTP313" s="15"/>
      <c r="VTR313" s="13"/>
      <c r="VTS313" s="35"/>
      <c r="VTT313" s="35"/>
      <c r="VTU313" s="15"/>
      <c r="VTW313" s="13"/>
      <c r="VTX313" s="35"/>
      <c r="VTY313" s="35"/>
      <c r="VTZ313" s="15"/>
      <c r="VUB313" s="13"/>
      <c r="VUC313" s="35"/>
      <c r="VUD313" s="35"/>
      <c r="VUE313" s="15"/>
      <c r="VUG313" s="13"/>
      <c r="VUH313" s="35"/>
      <c r="VUI313" s="35"/>
      <c r="VUJ313" s="15"/>
      <c r="VUL313" s="13"/>
      <c r="VUM313" s="35"/>
      <c r="VUN313" s="35"/>
      <c r="VUO313" s="15"/>
      <c r="VUQ313" s="13"/>
      <c r="VUR313" s="35"/>
      <c r="VUS313" s="35"/>
      <c r="VUT313" s="15"/>
      <c r="VUV313" s="13"/>
      <c r="VUW313" s="35"/>
      <c r="VUX313" s="35"/>
      <c r="VUY313" s="15"/>
      <c r="VVA313" s="13"/>
      <c r="VVB313" s="35"/>
      <c r="VVC313" s="35"/>
      <c r="VVD313" s="15"/>
      <c r="VVF313" s="13"/>
      <c r="VVG313" s="35"/>
      <c r="VVH313" s="35"/>
      <c r="VVI313" s="15"/>
      <c r="VVK313" s="13"/>
      <c r="VVL313" s="35"/>
      <c r="VVM313" s="35"/>
      <c r="VVN313" s="15"/>
      <c r="VVP313" s="13"/>
      <c r="VVQ313" s="35"/>
      <c r="VVR313" s="35"/>
      <c r="VVS313" s="15"/>
      <c r="VVU313" s="13"/>
      <c r="VVV313" s="35"/>
      <c r="VVW313" s="35"/>
      <c r="VVX313" s="15"/>
      <c r="VVZ313" s="13"/>
      <c r="VWA313" s="35"/>
      <c r="VWB313" s="35"/>
      <c r="VWC313" s="15"/>
      <c r="VWE313" s="13"/>
      <c r="VWF313" s="35"/>
      <c r="VWG313" s="35"/>
      <c r="VWH313" s="15"/>
      <c r="VWJ313" s="13"/>
      <c r="VWK313" s="35"/>
      <c r="VWL313" s="35"/>
      <c r="VWM313" s="15"/>
      <c r="VWO313" s="13"/>
      <c r="VWP313" s="35"/>
      <c r="VWQ313" s="35"/>
      <c r="VWR313" s="15"/>
      <c r="VWT313" s="13"/>
      <c r="VWU313" s="35"/>
      <c r="VWV313" s="35"/>
      <c r="VWW313" s="15"/>
      <c r="VWY313" s="13"/>
      <c r="VWZ313" s="35"/>
      <c r="VXA313" s="35"/>
      <c r="VXB313" s="15"/>
      <c r="VXD313" s="13"/>
      <c r="VXE313" s="35"/>
      <c r="VXF313" s="35"/>
      <c r="VXG313" s="15"/>
      <c r="VXI313" s="13"/>
      <c r="VXJ313" s="35"/>
      <c r="VXK313" s="35"/>
      <c r="VXL313" s="15"/>
      <c r="VXN313" s="13"/>
      <c r="VXO313" s="35"/>
      <c r="VXP313" s="35"/>
      <c r="VXQ313" s="15"/>
      <c r="VXS313" s="13"/>
      <c r="VXT313" s="35"/>
      <c r="VXU313" s="35"/>
      <c r="VXV313" s="15"/>
      <c r="VXX313" s="13"/>
      <c r="VXY313" s="35"/>
      <c r="VXZ313" s="35"/>
      <c r="VYA313" s="15"/>
      <c r="VYC313" s="13"/>
      <c r="VYD313" s="35"/>
      <c r="VYE313" s="35"/>
      <c r="VYF313" s="15"/>
      <c r="VYH313" s="13"/>
      <c r="VYI313" s="35"/>
      <c r="VYJ313" s="35"/>
      <c r="VYK313" s="15"/>
      <c r="VYM313" s="13"/>
      <c r="VYN313" s="35"/>
      <c r="VYO313" s="35"/>
      <c r="VYP313" s="15"/>
      <c r="VYR313" s="13"/>
      <c r="VYS313" s="35"/>
      <c r="VYT313" s="35"/>
      <c r="VYU313" s="15"/>
      <c r="VYW313" s="13"/>
      <c r="VYX313" s="35"/>
      <c r="VYY313" s="35"/>
      <c r="VYZ313" s="15"/>
      <c r="VZB313" s="13"/>
      <c r="VZC313" s="35"/>
      <c r="VZD313" s="35"/>
      <c r="VZE313" s="15"/>
      <c r="VZG313" s="13"/>
      <c r="VZH313" s="35"/>
      <c r="VZI313" s="35"/>
      <c r="VZJ313" s="15"/>
      <c r="VZL313" s="13"/>
      <c r="VZM313" s="35"/>
      <c r="VZN313" s="35"/>
      <c r="VZO313" s="15"/>
      <c r="VZQ313" s="13"/>
      <c r="VZR313" s="35"/>
      <c r="VZS313" s="35"/>
      <c r="VZT313" s="15"/>
      <c r="VZV313" s="13"/>
      <c r="VZW313" s="35"/>
      <c r="VZX313" s="35"/>
      <c r="VZY313" s="15"/>
      <c r="WAA313" s="13"/>
      <c r="WAB313" s="35"/>
      <c r="WAC313" s="35"/>
      <c r="WAD313" s="15"/>
      <c r="WAF313" s="13"/>
      <c r="WAG313" s="35"/>
      <c r="WAH313" s="35"/>
      <c r="WAI313" s="15"/>
      <c r="WAK313" s="13"/>
      <c r="WAL313" s="35"/>
      <c r="WAM313" s="35"/>
      <c r="WAN313" s="15"/>
      <c r="WAP313" s="13"/>
      <c r="WAQ313" s="35"/>
      <c r="WAR313" s="35"/>
      <c r="WAS313" s="15"/>
      <c r="WAU313" s="13"/>
      <c r="WAV313" s="35"/>
      <c r="WAW313" s="35"/>
      <c r="WAX313" s="15"/>
      <c r="WAZ313" s="13"/>
      <c r="WBA313" s="35"/>
      <c r="WBB313" s="35"/>
      <c r="WBC313" s="15"/>
      <c r="WBE313" s="13"/>
      <c r="WBF313" s="35"/>
      <c r="WBG313" s="35"/>
      <c r="WBH313" s="15"/>
      <c r="WBJ313" s="13"/>
      <c r="WBK313" s="35"/>
      <c r="WBL313" s="35"/>
      <c r="WBM313" s="15"/>
      <c r="WBO313" s="13"/>
      <c r="WBP313" s="35"/>
      <c r="WBQ313" s="35"/>
      <c r="WBR313" s="15"/>
      <c r="WBT313" s="13"/>
      <c r="WBU313" s="35"/>
      <c r="WBV313" s="35"/>
      <c r="WBW313" s="15"/>
      <c r="WBY313" s="13"/>
      <c r="WBZ313" s="35"/>
      <c r="WCA313" s="35"/>
      <c r="WCB313" s="15"/>
      <c r="WCD313" s="13"/>
      <c r="WCE313" s="35"/>
      <c r="WCF313" s="35"/>
      <c r="WCG313" s="15"/>
      <c r="WCI313" s="13"/>
      <c r="WCJ313" s="35"/>
      <c r="WCK313" s="35"/>
      <c r="WCL313" s="15"/>
      <c r="WCN313" s="13"/>
      <c r="WCO313" s="35"/>
      <c r="WCP313" s="35"/>
      <c r="WCQ313" s="15"/>
      <c r="WCS313" s="13"/>
      <c r="WCT313" s="35"/>
      <c r="WCU313" s="35"/>
      <c r="WCV313" s="15"/>
      <c r="WCX313" s="13"/>
      <c r="WCY313" s="35"/>
      <c r="WCZ313" s="35"/>
      <c r="WDA313" s="15"/>
      <c r="WDC313" s="13"/>
      <c r="WDD313" s="35"/>
      <c r="WDE313" s="35"/>
      <c r="WDF313" s="15"/>
      <c r="WDH313" s="13"/>
      <c r="WDI313" s="35"/>
      <c r="WDJ313" s="35"/>
      <c r="WDK313" s="15"/>
      <c r="WDM313" s="13"/>
      <c r="WDN313" s="35"/>
      <c r="WDO313" s="35"/>
      <c r="WDP313" s="15"/>
      <c r="WDR313" s="13"/>
      <c r="WDS313" s="35"/>
      <c r="WDT313" s="35"/>
      <c r="WDU313" s="15"/>
      <c r="WDW313" s="13"/>
      <c r="WDX313" s="35"/>
      <c r="WDY313" s="35"/>
      <c r="WDZ313" s="15"/>
      <c r="WEB313" s="13"/>
      <c r="WEC313" s="35"/>
      <c r="WED313" s="35"/>
      <c r="WEE313" s="15"/>
      <c r="WEG313" s="13"/>
      <c r="WEH313" s="35"/>
      <c r="WEI313" s="35"/>
      <c r="WEJ313" s="15"/>
      <c r="WEL313" s="13"/>
      <c r="WEM313" s="35"/>
      <c r="WEN313" s="35"/>
      <c r="WEO313" s="15"/>
      <c r="WEQ313" s="13"/>
      <c r="WER313" s="35"/>
      <c r="WES313" s="35"/>
      <c r="WET313" s="15"/>
      <c r="WEV313" s="13"/>
      <c r="WEW313" s="35"/>
      <c r="WEX313" s="35"/>
      <c r="WEY313" s="15"/>
      <c r="WFA313" s="13"/>
      <c r="WFB313" s="35"/>
      <c r="WFC313" s="35"/>
      <c r="WFD313" s="15"/>
      <c r="WFF313" s="13"/>
      <c r="WFG313" s="35"/>
      <c r="WFH313" s="35"/>
      <c r="WFI313" s="15"/>
      <c r="WFK313" s="13"/>
      <c r="WFL313" s="35"/>
      <c r="WFM313" s="35"/>
      <c r="WFN313" s="15"/>
      <c r="WFP313" s="13"/>
      <c r="WFQ313" s="35"/>
      <c r="WFR313" s="35"/>
      <c r="WFS313" s="15"/>
      <c r="WFU313" s="13"/>
      <c r="WFV313" s="35"/>
      <c r="WFW313" s="35"/>
      <c r="WFX313" s="15"/>
      <c r="WFZ313" s="13"/>
      <c r="WGA313" s="35"/>
      <c r="WGB313" s="35"/>
      <c r="WGC313" s="15"/>
      <c r="WGE313" s="13"/>
      <c r="WGF313" s="35"/>
      <c r="WGG313" s="35"/>
      <c r="WGH313" s="15"/>
      <c r="WGJ313" s="13"/>
      <c r="WGK313" s="35"/>
      <c r="WGL313" s="35"/>
      <c r="WGM313" s="15"/>
      <c r="WGO313" s="13"/>
      <c r="WGP313" s="35"/>
      <c r="WGQ313" s="35"/>
      <c r="WGR313" s="15"/>
      <c r="WGT313" s="13"/>
      <c r="WGU313" s="35"/>
      <c r="WGV313" s="35"/>
      <c r="WGW313" s="15"/>
      <c r="WGY313" s="13"/>
      <c r="WGZ313" s="35"/>
      <c r="WHA313" s="35"/>
      <c r="WHB313" s="15"/>
      <c r="WHD313" s="13"/>
      <c r="WHE313" s="35"/>
      <c r="WHF313" s="35"/>
      <c r="WHG313" s="15"/>
      <c r="WHI313" s="13"/>
      <c r="WHJ313" s="35"/>
      <c r="WHK313" s="35"/>
      <c r="WHL313" s="15"/>
      <c r="WHN313" s="13"/>
      <c r="WHO313" s="35"/>
      <c r="WHP313" s="35"/>
      <c r="WHQ313" s="15"/>
      <c r="WHS313" s="13"/>
      <c r="WHT313" s="35"/>
      <c r="WHU313" s="35"/>
      <c r="WHV313" s="15"/>
      <c r="WHX313" s="13"/>
      <c r="WHY313" s="35"/>
      <c r="WHZ313" s="35"/>
      <c r="WIA313" s="15"/>
      <c r="WIC313" s="13"/>
      <c r="WID313" s="35"/>
      <c r="WIE313" s="35"/>
      <c r="WIF313" s="15"/>
      <c r="WIH313" s="13"/>
      <c r="WII313" s="35"/>
      <c r="WIJ313" s="35"/>
      <c r="WIK313" s="15"/>
      <c r="WIM313" s="13"/>
      <c r="WIN313" s="35"/>
      <c r="WIO313" s="35"/>
      <c r="WIP313" s="15"/>
      <c r="WIR313" s="13"/>
      <c r="WIS313" s="35"/>
      <c r="WIT313" s="35"/>
      <c r="WIU313" s="15"/>
      <c r="WIW313" s="13"/>
      <c r="WIX313" s="35"/>
      <c r="WIY313" s="35"/>
      <c r="WIZ313" s="15"/>
      <c r="WJB313" s="13"/>
      <c r="WJC313" s="35"/>
      <c r="WJD313" s="35"/>
      <c r="WJE313" s="15"/>
      <c r="WJG313" s="13"/>
      <c r="WJH313" s="35"/>
      <c r="WJI313" s="35"/>
      <c r="WJJ313" s="15"/>
      <c r="WJL313" s="13"/>
      <c r="WJM313" s="35"/>
      <c r="WJN313" s="35"/>
      <c r="WJO313" s="15"/>
      <c r="WJQ313" s="13"/>
      <c r="WJR313" s="35"/>
      <c r="WJS313" s="35"/>
      <c r="WJT313" s="15"/>
      <c r="WJV313" s="13"/>
      <c r="WJW313" s="35"/>
      <c r="WJX313" s="35"/>
      <c r="WJY313" s="15"/>
      <c r="WKA313" s="13"/>
      <c r="WKB313" s="35"/>
      <c r="WKC313" s="35"/>
      <c r="WKD313" s="15"/>
      <c r="WKF313" s="13"/>
      <c r="WKG313" s="35"/>
      <c r="WKH313" s="35"/>
      <c r="WKI313" s="15"/>
      <c r="WKK313" s="13"/>
      <c r="WKL313" s="35"/>
      <c r="WKM313" s="35"/>
      <c r="WKN313" s="15"/>
      <c r="WKP313" s="13"/>
      <c r="WKQ313" s="35"/>
      <c r="WKR313" s="35"/>
      <c r="WKS313" s="15"/>
      <c r="WKU313" s="13"/>
      <c r="WKV313" s="35"/>
      <c r="WKW313" s="35"/>
      <c r="WKX313" s="15"/>
      <c r="WKZ313" s="13"/>
      <c r="WLA313" s="35"/>
      <c r="WLB313" s="35"/>
      <c r="WLC313" s="15"/>
      <c r="WLE313" s="13"/>
      <c r="WLF313" s="35"/>
      <c r="WLG313" s="35"/>
      <c r="WLH313" s="15"/>
      <c r="WLJ313" s="13"/>
      <c r="WLK313" s="35"/>
      <c r="WLL313" s="35"/>
      <c r="WLM313" s="15"/>
      <c r="WLO313" s="13"/>
      <c r="WLP313" s="35"/>
      <c r="WLQ313" s="35"/>
      <c r="WLR313" s="15"/>
      <c r="WLT313" s="13"/>
      <c r="WLU313" s="35"/>
      <c r="WLV313" s="35"/>
      <c r="WLW313" s="15"/>
      <c r="WLY313" s="13"/>
      <c r="WLZ313" s="35"/>
      <c r="WMA313" s="35"/>
      <c r="WMB313" s="15"/>
      <c r="WMD313" s="13"/>
      <c r="WME313" s="35"/>
      <c r="WMF313" s="35"/>
      <c r="WMG313" s="15"/>
      <c r="WMI313" s="13"/>
      <c r="WMJ313" s="35"/>
      <c r="WMK313" s="35"/>
      <c r="WML313" s="15"/>
      <c r="WMN313" s="13"/>
      <c r="WMO313" s="35"/>
      <c r="WMP313" s="35"/>
      <c r="WMQ313" s="15"/>
      <c r="WMS313" s="13"/>
      <c r="WMT313" s="35"/>
      <c r="WMU313" s="35"/>
      <c r="WMV313" s="15"/>
      <c r="WMX313" s="13"/>
      <c r="WMY313" s="35"/>
      <c r="WMZ313" s="35"/>
      <c r="WNA313" s="15"/>
      <c r="WNC313" s="13"/>
      <c r="WND313" s="35"/>
      <c r="WNE313" s="35"/>
      <c r="WNF313" s="15"/>
      <c r="WNH313" s="13"/>
      <c r="WNI313" s="35"/>
      <c r="WNJ313" s="35"/>
      <c r="WNK313" s="15"/>
      <c r="WNM313" s="13"/>
      <c r="WNN313" s="35"/>
      <c r="WNO313" s="35"/>
      <c r="WNP313" s="15"/>
      <c r="WNR313" s="13"/>
      <c r="WNS313" s="35"/>
      <c r="WNT313" s="35"/>
      <c r="WNU313" s="15"/>
      <c r="WNW313" s="13"/>
      <c r="WNX313" s="35"/>
      <c r="WNY313" s="35"/>
      <c r="WNZ313" s="15"/>
      <c r="WOB313" s="13"/>
      <c r="WOC313" s="35"/>
      <c r="WOD313" s="35"/>
      <c r="WOE313" s="15"/>
      <c r="WOG313" s="13"/>
      <c r="WOH313" s="35"/>
      <c r="WOI313" s="35"/>
      <c r="WOJ313" s="15"/>
      <c r="WOL313" s="13"/>
      <c r="WOM313" s="35"/>
      <c r="WON313" s="35"/>
      <c r="WOO313" s="15"/>
      <c r="WOQ313" s="13"/>
      <c r="WOR313" s="35"/>
      <c r="WOS313" s="35"/>
      <c r="WOT313" s="15"/>
      <c r="WOV313" s="13"/>
      <c r="WOW313" s="35"/>
      <c r="WOX313" s="35"/>
      <c r="WOY313" s="15"/>
      <c r="WPA313" s="13"/>
      <c r="WPB313" s="35"/>
      <c r="WPC313" s="35"/>
      <c r="WPD313" s="15"/>
      <c r="WPF313" s="13"/>
      <c r="WPG313" s="35"/>
      <c r="WPH313" s="35"/>
      <c r="WPI313" s="15"/>
      <c r="WPK313" s="13"/>
      <c r="WPL313" s="35"/>
      <c r="WPM313" s="35"/>
      <c r="WPN313" s="15"/>
      <c r="WPP313" s="13"/>
      <c r="WPQ313" s="35"/>
      <c r="WPR313" s="35"/>
      <c r="WPS313" s="15"/>
      <c r="WPU313" s="13"/>
      <c r="WPV313" s="35"/>
      <c r="WPW313" s="35"/>
      <c r="WPX313" s="15"/>
      <c r="WPZ313" s="13"/>
      <c r="WQA313" s="35"/>
      <c r="WQB313" s="35"/>
      <c r="WQC313" s="15"/>
      <c r="WQE313" s="13"/>
      <c r="WQF313" s="35"/>
      <c r="WQG313" s="35"/>
      <c r="WQH313" s="15"/>
      <c r="WQJ313" s="13"/>
      <c r="WQK313" s="35"/>
      <c r="WQL313" s="35"/>
      <c r="WQM313" s="15"/>
      <c r="WQO313" s="13"/>
      <c r="WQP313" s="35"/>
      <c r="WQQ313" s="35"/>
      <c r="WQR313" s="15"/>
      <c r="WQT313" s="13"/>
      <c r="WQU313" s="35"/>
      <c r="WQV313" s="35"/>
      <c r="WQW313" s="15"/>
      <c r="WQY313" s="13"/>
      <c r="WQZ313" s="35"/>
      <c r="WRA313" s="35"/>
      <c r="WRB313" s="15"/>
      <c r="WRD313" s="13"/>
      <c r="WRE313" s="35"/>
      <c r="WRF313" s="35"/>
      <c r="WRG313" s="15"/>
      <c r="WRI313" s="13"/>
      <c r="WRJ313" s="35"/>
      <c r="WRK313" s="35"/>
      <c r="WRL313" s="15"/>
      <c r="WRN313" s="13"/>
      <c r="WRO313" s="35"/>
      <c r="WRP313" s="35"/>
      <c r="WRQ313" s="15"/>
      <c r="WRS313" s="13"/>
      <c r="WRT313" s="35"/>
      <c r="WRU313" s="35"/>
      <c r="WRV313" s="15"/>
      <c r="WRX313" s="13"/>
      <c r="WRY313" s="35"/>
      <c r="WRZ313" s="35"/>
      <c r="WSA313" s="15"/>
      <c r="WSC313" s="13"/>
      <c r="WSD313" s="35"/>
      <c r="WSE313" s="35"/>
      <c r="WSF313" s="15"/>
      <c r="WSH313" s="13"/>
      <c r="WSI313" s="35"/>
      <c r="WSJ313" s="35"/>
      <c r="WSK313" s="15"/>
      <c r="WSM313" s="13"/>
      <c r="WSN313" s="35"/>
      <c r="WSO313" s="35"/>
      <c r="WSP313" s="15"/>
      <c r="WSR313" s="13"/>
      <c r="WSS313" s="35"/>
      <c r="WST313" s="35"/>
      <c r="WSU313" s="15"/>
      <c r="WSW313" s="13"/>
      <c r="WSX313" s="35"/>
      <c r="WSY313" s="35"/>
      <c r="WSZ313" s="15"/>
      <c r="WTB313" s="13"/>
      <c r="WTC313" s="35"/>
      <c r="WTD313" s="35"/>
      <c r="WTE313" s="15"/>
      <c r="WTG313" s="13"/>
      <c r="WTH313" s="35"/>
      <c r="WTI313" s="35"/>
      <c r="WTJ313" s="15"/>
      <c r="WTL313" s="13"/>
      <c r="WTM313" s="35"/>
      <c r="WTN313" s="35"/>
      <c r="WTO313" s="15"/>
      <c r="WTQ313" s="13"/>
      <c r="WTR313" s="35"/>
      <c r="WTS313" s="35"/>
      <c r="WTT313" s="15"/>
      <c r="WTV313" s="13"/>
      <c r="WTW313" s="35"/>
      <c r="WTX313" s="35"/>
      <c r="WTY313" s="15"/>
      <c r="WUA313" s="13"/>
      <c r="WUB313" s="35"/>
      <c r="WUC313" s="35"/>
      <c r="WUD313" s="15"/>
      <c r="WUF313" s="13"/>
      <c r="WUG313" s="35"/>
      <c r="WUH313" s="35"/>
      <c r="WUI313" s="15"/>
      <c r="WUK313" s="13"/>
      <c r="WUL313" s="35"/>
      <c r="WUM313" s="35"/>
      <c r="WUN313" s="15"/>
      <c r="WUP313" s="13"/>
      <c r="WUQ313" s="35"/>
      <c r="WUR313" s="35"/>
      <c r="WUS313" s="15"/>
      <c r="WUU313" s="13"/>
      <c r="WUV313" s="35"/>
      <c r="WUW313" s="35"/>
      <c r="WUX313" s="15"/>
      <c r="WUZ313" s="13"/>
      <c r="WVA313" s="35"/>
      <c r="WVB313" s="35"/>
      <c r="WVC313" s="15"/>
      <c r="WVE313" s="13"/>
      <c r="WVF313" s="35"/>
      <c r="WVG313" s="35"/>
      <c r="WVH313" s="15"/>
      <c r="WVJ313" s="13"/>
      <c r="WVK313" s="35"/>
      <c r="WVL313" s="35"/>
      <c r="WVM313" s="15"/>
      <c r="WVO313" s="13"/>
      <c r="WVP313" s="35"/>
      <c r="WVQ313" s="35"/>
      <c r="WVR313" s="15"/>
      <c r="WVT313" s="13"/>
      <c r="WVU313" s="35"/>
      <c r="WVV313" s="35"/>
      <c r="WVW313" s="15"/>
      <c r="WVY313" s="13"/>
      <c r="WVZ313" s="35"/>
      <c r="WWA313" s="35"/>
      <c r="WWB313" s="15"/>
      <c r="WWD313" s="13"/>
      <c r="WWE313" s="35"/>
      <c r="WWF313" s="35"/>
      <c r="WWG313" s="15"/>
      <c r="WWI313" s="13"/>
      <c r="WWJ313" s="35"/>
      <c r="WWK313" s="35"/>
      <c r="WWL313" s="15"/>
      <c r="WWN313" s="13"/>
      <c r="WWO313" s="35"/>
      <c r="WWP313" s="35"/>
      <c r="WWQ313" s="15"/>
      <c r="WWS313" s="13"/>
      <c r="WWT313" s="35"/>
      <c r="WWU313" s="35"/>
      <c r="WWV313" s="15"/>
      <c r="WWX313" s="13"/>
      <c r="WWY313" s="35"/>
      <c r="WWZ313" s="35"/>
      <c r="WXA313" s="15"/>
      <c r="WXC313" s="13"/>
      <c r="WXD313" s="35"/>
      <c r="WXE313" s="35"/>
      <c r="WXF313" s="15"/>
      <c r="WXH313" s="13"/>
      <c r="WXI313" s="35"/>
      <c r="WXJ313" s="35"/>
      <c r="WXK313" s="15"/>
      <c r="WXM313" s="13"/>
      <c r="WXN313" s="35"/>
      <c r="WXO313" s="35"/>
      <c r="WXP313" s="15"/>
      <c r="WXR313" s="13"/>
      <c r="WXS313" s="35"/>
      <c r="WXT313" s="35"/>
      <c r="WXU313" s="15"/>
      <c r="WXW313" s="13"/>
      <c r="WXX313" s="35"/>
      <c r="WXY313" s="35"/>
      <c r="WXZ313" s="15"/>
      <c r="WYB313" s="13"/>
      <c r="WYC313" s="35"/>
      <c r="WYD313" s="35"/>
      <c r="WYE313" s="15"/>
      <c r="WYG313" s="13"/>
      <c r="WYH313" s="35"/>
      <c r="WYI313" s="35"/>
      <c r="WYJ313" s="15"/>
      <c r="WYL313" s="13"/>
      <c r="WYM313" s="35"/>
      <c r="WYN313" s="35"/>
      <c r="WYO313" s="15"/>
      <c r="WYQ313" s="13"/>
      <c r="WYR313" s="35"/>
      <c r="WYS313" s="35"/>
      <c r="WYT313" s="15"/>
      <c r="WYV313" s="13"/>
      <c r="WYW313" s="35"/>
      <c r="WYX313" s="35"/>
      <c r="WYY313" s="15"/>
      <c r="WZA313" s="13"/>
      <c r="WZB313" s="35"/>
      <c r="WZC313" s="35"/>
      <c r="WZD313" s="15"/>
      <c r="WZF313" s="13"/>
      <c r="WZG313" s="35"/>
      <c r="WZH313" s="35"/>
      <c r="WZI313" s="15"/>
      <c r="WZK313" s="13"/>
      <c r="WZL313" s="35"/>
      <c r="WZM313" s="35"/>
      <c r="WZN313" s="15"/>
      <c r="WZP313" s="13"/>
      <c r="WZQ313" s="35"/>
      <c r="WZR313" s="35"/>
      <c r="WZS313" s="15"/>
      <c r="WZU313" s="13"/>
      <c r="WZV313" s="35"/>
      <c r="WZW313" s="35"/>
      <c r="WZX313" s="15"/>
      <c r="WZZ313" s="13"/>
      <c r="XAA313" s="35"/>
      <c r="XAB313" s="35"/>
      <c r="XAC313" s="15"/>
      <c r="XAE313" s="13"/>
      <c r="XAF313" s="35"/>
      <c r="XAG313" s="35"/>
      <c r="XAH313" s="15"/>
      <c r="XAJ313" s="13"/>
      <c r="XAK313" s="35"/>
      <c r="XAL313" s="35"/>
      <c r="XAM313" s="15"/>
      <c r="XAO313" s="13"/>
      <c r="XAP313" s="35"/>
      <c r="XAQ313" s="35"/>
      <c r="XAR313" s="15"/>
      <c r="XAT313" s="13"/>
      <c r="XAU313" s="35"/>
      <c r="XAV313" s="35"/>
      <c r="XAW313" s="15"/>
      <c r="XAY313" s="13"/>
      <c r="XAZ313" s="35"/>
      <c r="XBA313" s="35"/>
      <c r="XBB313" s="15"/>
      <c r="XBD313" s="13"/>
      <c r="XBE313" s="35"/>
      <c r="XBF313" s="35"/>
      <c r="XBG313" s="15"/>
      <c r="XBI313" s="13"/>
      <c r="XBJ313" s="35"/>
      <c r="XBK313" s="35"/>
      <c r="XBL313" s="15"/>
      <c r="XBN313" s="13"/>
      <c r="XBO313" s="35"/>
      <c r="XBP313" s="35"/>
      <c r="XBQ313" s="15"/>
      <c r="XBS313" s="13"/>
      <c r="XBT313" s="35"/>
      <c r="XBU313" s="35"/>
      <c r="XBV313" s="15"/>
      <c r="XBX313" s="13"/>
      <c r="XBY313" s="35"/>
      <c r="XBZ313" s="35"/>
      <c r="XCA313" s="15"/>
      <c r="XCC313" s="13"/>
      <c r="XCD313" s="35"/>
      <c r="XCE313" s="35"/>
      <c r="XCF313" s="15"/>
      <c r="XCH313" s="13"/>
      <c r="XCI313" s="35"/>
      <c r="XCJ313" s="35"/>
      <c r="XCK313" s="15"/>
      <c r="XCM313" s="13"/>
      <c r="XCN313" s="35"/>
      <c r="XCO313" s="35"/>
      <c r="XCP313" s="15"/>
      <c r="XCR313" s="13"/>
      <c r="XCS313" s="35"/>
      <c r="XCT313" s="35"/>
      <c r="XCU313" s="15"/>
      <c r="XCW313" s="13"/>
      <c r="XCX313" s="35"/>
      <c r="XCY313" s="35"/>
      <c r="XCZ313" s="15"/>
      <c r="XDB313" s="13"/>
      <c r="XDC313" s="35"/>
      <c r="XDD313" s="35"/>
      <c r="XDE313" s="15"/>
      <c r="XDG313" s="13"/>
      <c r="XDH313" s="35"/>
      <c r="XDI313" s="35"/>
      <c r="XDJ313" s="15"/>
      <c r="XDL313" s="13"/>
      <c r="XDM313" s="35"/>
      <c r="XDN313" s="35"/>
      <c r="XDO313" s="15"/>
      <c r="XDQ313" s="13"/>
      <c r="XDR313" s="35"/>
      <c r="XDS313" s="35"/>
      <c r="XDT313" s="15"/>
      <c r="XDV313" s="13"/>
      <c r="XDW313" s="35"/>
      <c r="XDX313" s="35"/>
      <c r="XDY313" s="15"/>
      <c r="XEA313" s="13"/>
      <c r="XEB313" s="35"/>
      <c r="XEC313" s="35"/>
      <c r="XED313" s="15"/>
      <c r="XEF313" s="13"/>
      <c r="XEG313" s="35"/>
      <c r="XEH313" s="35"/>
      <c r="XEI313" s="15"/>
      <c r="XEK313" s="13"/>
      <c r="XEL313" s="35"/>
      <c r="XEM313" s="35"/>
      <c r="XEN313" s="15"/>
      <c r="XEP313" s="13"/>
      <c r="XEQ313" s="35"/>
      <c r="XER313" s="35"/>
      <c r="XES313" s="15"/>
      <c r="XEU313" s="13"/>
      <c r="XEV313" s="35"/>
      <c r="XEW313" s="35"/>
      <c r="XEX313" s="15"/>
      <c r="XEZ313" s="13"/>
      <c r="XFA313" s="35"/>
      <c r="XFB313" s="35"/>
      <c r="XFC313" s="15"/>
    </row>
    <row r="314" spans="1:1023 1025:2048 2050:6143 6145:7168 7170:11263 11265:12288 12290:16383" x14ac:dyDescent="0.3">
      <c r="A314" s="35">
        <v>46106</v>
      </c>
      <c r="B314" s="35" t="s">
        <v>1072</v>
      </c>
      <c r="C314" s="15" t="s">
        <v>1438</v>
      </c>
      <c r="D314" s="1" t="s">
        <v>701</v>
      </c>
      <c r="E314" s="13">
        <v>46269</v>
      </c>
      <c r="F314" s="53">
        <f t="shared" si="13"/>
        <v>163</v>
      </c>
      <c r="G314" s="19">
        <v>-102</v>
      </c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  <c r="AK314" s="36"/>
      <c r="AL314" s="36"/>
      <c r="AM314" s="36"/>
      <c r="AN314" s="36"/>
      <c r="AO314" s="36"/>
      <c r="AP314" s="36"/>
      <c r="AQ314" s="36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  <c r="BK314" s="36"/>
      <c r="BL314" s="36"/>
      <c r="BM314" s="36"/>
      <c r="BN314" s="36"/>
      <c r="BO314" s="36"/>
      <c r="BP314" s="36"/>
      <c r="BQ314" s="36"/>
      <c r="BR314" s="36"/>
      <c r="BS314" s="36"/>
      <c r="BT314" s="36"/>
      <c r="BU314" s="36"/>
      <c r="BV314" s="36"/>
      <c r="BW314" s="36"/>
      <c r="BX314" s="36"/>
      <c r="BY314" s="36"/>
      <c r="BZ314" s="36"/>
      <c r="CA314" s="36"/>
      <c r="CB314" s="36"/>
      <c r="CC314" s="36"/>
      <c r="CD314" s="36"/>
      <c r="CE314" s="36"/>
      <c r="CF314" s="36"/>
      <c r="CG314" s="36"/>
      <c r="CH314" s="36"/>
      <c r="CI314" s="36"/>
      <c r="CJ314" s="36"/>
      <c r="CK314" s="36"/>
      <c r="CL314" s="36"/>
      <c r="CM314" s="36"/>
      <c r="CN314" s="36"/>
      <c r="CO314" s="36"/>
      <c r="CP314" s="36"/>
      <c r="CQ314" s="36"/>
      <c r="CR314" s="36"/>
      <c r="CS314" s="36"/>
      <c r="CT314" s="36"/>
      <c r="CU314" s="36"/>
      <c r="CV314" s="36"/>
      <c r="CW314" s="36"/>
      <c r="CX314" s="36"/>
      <c r="CY314" s="36"/>
      <c r="CZ314" s="36"/>
      <c r="DA314" s="36"/>
      <c r="DB314" s="36"/>
      <c r="DC314" s="36"/>
      <c r="DD314" s="36"/>
      <c r="DE314" s="36"/>
      <c r="DF314" s="36"/>
      <c r="DG314" s="36"/>
      <c r="DH314" s="36"/>
      <c r="DI314" s="36"/>
      <c r="DJ314" s="36"/>
      <c r="DK314" s="36"/>
      <c r="DL314" s="36"/>
      <c r="DM314" s="36"/>
      <c r="DN314" s="36"/>
      <c r="DO314" s="36"/>
      <c r="DP314" s="36"/>
      <c r="DQ314" s="36"/>
      <c r="DR314" s="36"/>
      <c r="DS314" s="36"/>
      <c r="DT314" s="36"/>
      <c r="DU314" s="36"/>
      <c r="DV314" s="36"/>
      <c r="DW314" s="36"/>
      <c r="DX314" s="36"/>
      <c r="DY314" s="36"/>
      <c r="DZ314" s="36"/>
      <c r="EA314" s="36"/>
      <c r="EB314" s="36"/>
      <c r="EC314" s="36"/>
      <c r="ED314" s="36"/>
      <c r="EE314" s="36"/>
      <c r="EF314" s="36"/>
      <c r="EG314" s="36"/>
      <c r="EH314" s="36"/>
      <c r="EI314" s="36"/>
      <c r="EJ314" s="36"/>
      <c r="EK314" s="36"/>
      <c r="EL314" s="36"/>
      <c r="EM314" s="36"/>
      <c r="EN314" s="36"/>
      <c r="EO314" s="36"/>
      <c r="EP314" s="36"/>
      <c r="EQ314" s="36"/>
      <c r="ER314" s="36"/>
      <c r="ES314" s="36"/>
      <c r="ET314" s="36"/>
      <c r="EU314" s="36"/>
      <c r="EV314" s="36"/>
      <c r="EW314" s="36"/>
      <c r="EX314" s="36"/>
      <c r="EY314" s="36"/>
      <c r="EZ314" s="36"/>
      <c r="FA314" s="36"/>
      <c r="FB314" s="36"/>
      <c r="FC314" s="36"/>
      <c r="FD314" s="36"/>
      <c r="FE314" s="36"/>
      <c r="FF314" s="36"/>
      <c r="FG314" s="36"/>
      <c r="FH314" s="36"/>
      <c r="FI314" s="36"/>
      <c r="FJ314" s="36"/>
      <c r="FK314" s="36"/>
      <c r="FL314" s="36"/>
      <c r="FM314" s="36"/>
      <c r="FN314" s="36"/>
      <c r="FO314" s="36"/>
      <c r="FP314" s="36"/>
      <c r="FQ314" s="36"/>
      <c r="FR314" s="36"/>
      <c r="FS314" s="36"/>
      <c r="FT314" s="36"/>
      <c r="FU314" s="36"/>
      <c r="FV314" s="36"/>
      <c r="FW314" s="36"/>
      <c r="FX314" s="36"/>
      <c r="FY314" s="36"/>
      <c r="FZ314" s="36"/>
      <c r="GA314" s="36"/>
      <c r="GB314" s="36"/>
      <c r="GC314" s="36"/>
      <c r="GD314" s="36"/>
      <c r="GE314" s="36"/>
      <c r="GF314" s="36"/>
      <c r="GG314" s="36"/>
      <c r="GH314" s="36"/>
      <c r="GI314" s="36"/>
      <c r="GJ314" s="36"/>
      <c r="GK314" s="36"/>
      <c r="GL314" s="36"/>
      <c r="GM314" s="36"/>
      <c r="GN314" s="36"/>
      <c r="GO314" s="36"/>
      <c r="GP314" s="36"/>
      <c r="GQ314" s="36"/>
      <c r="GR314" s="36"/>
      <c r="GS314" s="36"/>
      <c r="GT314" s="36"/>
      <c r="GU314" s="36"/>
      <c r="GV314" s="36"/>
      <c r="GW314" s="36"/>
      <c r="GX314" s="36"/>
      <c r="GY314" s="36"/>
      <c r="GZ314" s="36"/>
      <c r="HA314" s="36"/>
      <c r="HB314" s="36"/>
      <c r="HC314" s="36"/>
      <c r="HD314" s="36"/>
      <c r="HE314" s="36"/>
      <c r="HF314" s="36"/>
      <c r="HG314" s="36"/>
      <c r="HH314" s="36"/>
      <c r="HI314" s="36"/>
      <c r="HJ314" s="36"/>
      <c r="HK314" s="36"/>
      <c r="HL314" s="36"/>
      <c r="HM314" s="36"/>
      <c r="HN314" s="36"/>
      <c r="HO314" s="36"/>
      <c r="HP314" s="36"/>
      <c r="HQ314" s="36"/>
      <c r="HR314" s="36"/>
      <c r="HS314" s="36"/>
      <c r="HT314" s="36"/>
      <c r="HU314" s="36"/>
      <c r="HV314" s="36"/>
      <c r="HW314" s="36"/>
      <c r="HX314" s="36"/>
      <c r="HY314" s="36"/>
      <c r="HZ314" s="36"/>
      <c r="IA314" s="36"/>
      <c r="IB314" s="36"/>
      <c r="IC314" s="36"/>
      <c r="ID314" s="36"/>
      <c r="IE314" s="36"/>
      <c r="IF314" s="36"/>
      <c r="IG314" s="36"/>
      <c r="IH314" s="36"/>
      <c r="II314" s="36"/>
      <c r="IJ314" s="36"/>
      <c r="IK314" s="36"/>
      <c r="IL314" s="36"/>
      <c r="IM314" s="36"/>
      <c r="IN314" s="36"/>
      <c r="IO314" s="36"/>
      <c r="IP314" s="36"/>
      <c r="IQ314" s="36"/>
      <c r="IR314" s="36"/>
      <c r="IS314" s="36"/>
      <c r="IT314" s="36"/>
      <c r="IU314" s="36"/>
      <c r="IV314" s="36"/>
      <c r="IW314" s="36"/>
      <c r="IX314" s="36"/>
      <c r="IY314" s="36"/>
      <c r="IZ314" s="36"/>
      <c r="JA314" s="36"/>
      <c r="JB314" s="36"/>
      <c r="JC314" s="36"/>
      <c r="JD314" s="36"/>
      <c r="JE314" s="36"/>
      <c r="JF314" s="36"/>
      <c r="JG314" s="36"/>
      <c r="JH314" s="36"/>
      <c r="JI314" s="36"/>
      <c r="JJ314" s="36"/>
      <c r="JK314" s="36"/>
      <c r="JL314" s="36"/>
      <c r="JM314" s="36"/>
      <c r="JN314" s="36"/>
      <c r="JO314" s="36"/>
      <c r="JP314" s="36"/>
      <c r="JQ314" s="36"/>
      <c r="JR314" s="36"/>
      <c r="JS314" s="36"/>
      <c r="JT314" s="36"/>
      <c r="JU314" s="36"/>
      <c r="JV314" s="36"/>
      <c r="JW314" s="36"/>
      <c r="JX314" s="36"/>
      <c r="JY314" s="36"/>
      <c r="JZ314" s="36"/>
      <c r="KA314" s="36"/>
      <c r="KB314" s="36"/>
      <c r="KC314" s="36"/>
      <c r="KD314" s="36"/>
      <c r="KE314" s="36"/>
      <c r="KF314" s="36"/>
      <c r="KG314" s="36"/>
      <c r="KH314" s="36"/>
      <c r="KI314" s="36"/>
      <c r="KJ314" s="36"/>
      <c r="KK314" s="36"/>
      <c r="KL314" s="36"/>
      <c r="KM314" s="36"/>
      <c r="KN314" s="36"/>
      <c r="KO314" s="36"/>
      <c r="KP314" s="36"/>
      <c r="KQ314" s="36"/>
      <c r="KR314" s="36"/>
      <c r="KS314" s="36"/>
      <c r="KT314" s="36"/>
      <c r="KU314" s="36"/>
      <c r="KV314" s="36"/>
      <c r="KW314" s="36"/>
      <c r="KX314" s="36"/>
      <c r="KY314" s="36"/>
      <c r="KZ314" s="36"/>
      <c r="LA314" s="36"/>
      <c r="LB314" s="36"/>
      <c r="LC314" s="36"/>
      <c r="LD314" s="36"/>
      <c r="LE314" s="36"/>
      <c r="LF314" s="36"/>
      <c r="LG314" s="36"/>
      <c r="LH314" s="36"/>
      <c r="LI314" s="36"/>
      <c r="LJ314" s="36"/>
      <c r="LK314" s="36"/>
      <c r="LL314" s="36"/>
      <c r="LM314" s="36"/>
      <c r="LN314" s="36"/>
      <c r="LO314" s="36"/>
      <c r="LP314" s="36"/>
      <c r="LQ314" s="36"/>
      <c r="LR314" s="36"/>
      <c r="LS314" s="36"/>
      <c r="LT314" s="36"/>
      <c r="LU314" s="36"/>
      <c r="LV314" s="36"/>
      <c r="LW314" s="36"/>
      <c r="LX314" s="36"/>
      <c r="LY314" s="36"/>
      <c r="LZ314" s="36"/>
      <c r="MA314" s="36"/>
      <c r="MB314" s="36"/>
      <c r="MC314" s="36"/>
      <c r="MD314" s="36"/>
      <c r="ME314" s="36"/>
      <c r="MF314" s="36"/>
      <c r="MG314" s="36"/>
      <c r="MH314" s="36"/>
      <c r="MI314" s="36"/>
      <c r="MJ314" s="36"/>
      <c r="MK314" s="36"/>
      <c r="ML314" s="36"/>
      <c r="MM314" s="36"/>
      <c r="MN314" s="36"/>
      <c r="MO314" s="36"/>
      <c r="MP314" s="36"/>
      <c r="MQ314" s="36"/>
      <c r="MR314" s="36"/>
      <c r="MS314" s="36"/>
      <c r="MT314" s="36"/>
      <c r="MU314" s="36"/>
      <c r="MV314" s="36"/>
      <c r="MW314" s="36"/>
      <c r="MX314" s="36"/>
      <c r="MY314" s="36"/>
      <c r="MZ314" s="36"/>
      <c r="NA314" s="36"/>
      <c r="NB314" s="36"/>
      <c r="NC314" s="36"/>
      <c r="ND314" s="36"/>
      <c r="NE314" s="36"/>
      <c r="NF314" s="36"/>
      <c r="NG314" s="36"/>
      <c r="NH314" s="36"/>
      <c r="NI314" s="36"/>
      <c r="NJ314" s="36"/>
      <c r="NK314" s="36"/>
      <c r="NL314" s="36"/>
      <c r="NM314" s="36"/>
      <c r="NN314" s="36"/>
      <c r="NO314" s="36"/>
      <c r="NP314" s="36"/>
      <c r="NQ314" s="36"/>
      <c r="NR314" s="36"/>
      <c r="NS314" s="36"/>
      <c r="NT314" s="36"/>
      <c r="NU314" s="36"/>
      <c r="NV314" s="36"/>
      <c r="NW314" s="36"/>
      <c r="NX314" s="36"/>
      <c r="NY314" s="36"/>
      <c r="NZ314" s="36"/>
      <c r="OA314" s="36"/>
      <c r="OB314" s="36"/>
      <c r="OC314" s="36"/>
      <c r="OD314" s="36"/>
      <c r="OE314" s="36"/>
      <c r="OF314" s="36"/>
      <c r="OG314" s="36"/>
      <c r="OH314" s="36"/>
      <c r="OI314" s="36"/>
      <c r="OJ314" s="36"/>
      <c r="OK314" s="36"/>
      <c r="OL314" s="36"/>
      <c r="OM314" s="36"/>
      <c r="ON314" s="36"/>
      <c r="OO314" s="36"/>
      <c r="OP314" s="36"/>
      <c r="OQ314" s="36"/>
      <c r="OR314" s="36"/>
      <c r="OS314" s="36"/>
      <c r="OT314" s="36"/>
      <c r="OU314" s="36"/>
      <c r="OV314" s="36"/>
      <c r="OW314" s="36"/>
      <c r="OX314" s="36"/>
      <c r="OY314" s="36"/>
      <c r="OZ314" s="36"/>
      <c r="PA314" s="36"/>
      <c r="PB314" s="36"/>
      <c r="PC314" s="36"/>
      <c r="PD314" s="36"/>
      <c r="PE314" s="36"/>
      <c r="PF314" s="36"/>
      <c r="PG314" s="36"/>
      <c r="PH314" s="36"/>
      <c r="PI314" s="36"/>
      <c r="PJ314" s="36"/>
      <c r="PK314" s="36"/>
      <c r="PL314" s="36"/>
      <c r="PM314" s="36"/>
      <c r="PN314" s="36"/>
      <c r="PO314" s="36"/>
      <c r="PP314" s="36"/>
      <c r="PQ314" s="36"/>
      <c r="PR314" s="36"/>
      <c r="PS314" s="36"/>
      <c r="PT314" s="36"/>
      <c r="PU314" s="36"/>
      <c r="PV314" s="36"/>
      <c r="PW314" s="36"/>
      <c r="PX314" s="36"/>
      <c r="PY314" s="36"/>
      <c r="PZ314" s="36"/>
      <c r="QA314" s="36"/>
      <c r="QB314" s="36"/>
      <c r="QC314" s="36"/>
      <c r="QD314" s="36"/>
      <c r="QE314" s="36"/>
      <c r="QF314" s="36"/>
      <c r="QG314" s="36"/>
      <c r="QH314" s="36"/>
      <c r="QI314" s="36"/>
      <c r="QJ314" s="36"/>
      <c r="QK314" s="36"/>
      <c r="QL314" s="36"/>
      <c r="QM314" s="36"/>
      <c r="QN314" s="36"/>
      <c r="QO314" s="36"/>
      <c r="QP314" s="36"/>
      <c r="QQ314" s="36"/>
      <c r="QR314" s="36"/>
      <c r="QS314" s="36"/>
      <c r="QT314" s="36"/>
      <c r="QU314" s="36"/>
      <c r="QV314" s="36"/>
      <c r="QW314" s="36"/>
      <c r="QX314" s="36"/>
      <c r="QY314" s="36"/>
      <c r="QZ314" s="36"/>
      <c r="RA314" s="36"/>
      <c r="RB314" s="36"/>
      <c r="RC314" s="36"/>
      <c r="RD314" s="36"/>
      <c r="RE314" s="36"/>
      <c r="RF314" s="36"/>
      <c r="RG314" s="36"/>
      <c r="RH314" s="36"/>
      <c r="RI314" s="36"/>
      <c r="RJ314" s="36"/>
      <c r="RK314" s="36"/>
      <c r="RL314" s="36"/>
      <c r="RM314" s="36"/>
      <c r="RN314" s="36"/>
      <c r="RO314" s="36"/>
      <c r="RP314" s="36"/>
      <c r="RQ314" s="36"/>
      <c r="RR314" s="36"/>
      <c r="RS314" s="36"/>
      <c r="RT314" s="36"/>
      <c r="RU314" s="36"/>
      <c r="RV314" s="36"/>
      <c r="RW314" s="36"/>
      <c r="RX314" s="36"/>
      <c r="RY314" s="36"/>
      <c r="RZ314" s="36"/>
      <c r="SA314" s="36"/>
      <c r="SB314" s="36"/>
      <c r="SC314" s="36"/>
      <c r="SD314" s="36"/>
      <c r="SE314" s="36"/>
      <c r="SF314" s="36"/>
      <c r="SG314" s="36"/>
      <c r="SH314" s="36"/>
      <c r="SI314" s="36"/>
      <c r="SJ314" s="36"/>
      <c r="SK314" s="36"/>
      <c r="SL314" s="36"/>
      <c r="SM314" s="36"/>
      <c r="SN314" s="36"/>
      <c r="SO314" s="36"/>
      <c r="SP314" s="36"/>
      <c r="SQ314" s="36"/>
      <c r="SR314" s="36"/>
      <c r="SS314" s="36"/>
      <c r="ST314" s="36"/>
      <c r="SU314" s="36"/>
      <c r="SV314" s="36"/>
      <c r="SW314" s="36"/>
      <c r="SX314" s="36"/>
      <c r="SY314" s="36"/>
      <c r="SZ314" s="36"/>
      <c r="TA314" s="36"/>
      <c r="TB314" s="36"/>
      <c r="TC314" s="36"/>
      <c r="TD314" s="36"/>
      <c r="TE314" s="36"/>
      <c r="TF314" s="36"/>
      <c r="TG314" s="36"/>
      <c r="TH314" s="36"/>
      <c r="TI314" s="36"/>
      <c r="TJ314" s="36"/>
      <c r="TK314" s="36"/>
      <c r="TL314" s="36"/>
      <c r="TM314" s="36"/>
      <c r="TN314" s="36"/>
      <c r="TO314" s="36"/>
      <c r="TP314" s="36"/>
      <c r="TQ314" s="36"/>
      <c r="TR314" s="36"/>
      <c r="TS314" s="36"/>
      <c r="TT314" s="36"/>
      <c r="TU314" s="36"/>
      <c r="TV314" s="36"/>
      <c r="TW314" s="36"/>
      <c r="TX314" s="36"/>
      <c r="TY314" s="36"/>
      <c r="TZ314" s="36"/>
      <c r="UA314" s="36"/>
      <c r="UB314" s="36"/>
      <c r="UC314" s="36"/>
      <c r="UD314" s="36"/>
      <c r="UE314" s="36"/>
      <c r="UF314" s="36"/>
      <c r="UG314" s="36"/>
      <c r="UH314" s="36"/>
      <c r="UI314" s="36"/>
      <c r="UJ314" s="36"/>
      <c r="UK314" s="36"/>
      <c r="UL314" s="36"/>
      <c r="UM314" s="36"/>
      <c r="UN314" s="36"/>
      <c r="UO314" s="36"/>
      <c r="UP314" s="36"/>
      <c r="UQ314" s="36"/>
      <c r="UR314" s="36"/>
      <c r="US314" s="36"/>
      <c r="UT314" s="36"/>
      <c r="UU314" s="36"/>
      <c r="UV314" s="36"/>
      <c r="UW314" s="36"/>
      <c r="UX314" s="36"/>
      <c r="UY314" s="36"/>
      <c r="UZ314" s="36"/>
      <c r="VA314" s="36"/>
      <c r="VB314" s="36"/>
      <c r="VC314" s="36"/>
      <c r="VD314" s="36"/>
      <c r="VE314" s="36"/>
      <c r="VF314" s="36"/>
      <c r="VG314" s="36"/>
      <c r="VH314" s="36"/>
      <c r="VI314" s="36"/>
      <c r="VJ314" s="36"/>
      <c r="VK314" s="36"/>
      <c r="VL314" s="36"/>
      <c r="VM314" s="36"/>
      <c r="VN314" s="36"/>
      <c r="VO314" s="36"/>
      <c r="VP314" s="36"/>
      <c r="VQ314" s="36"/>
      <c r="VR314" s="36"/>
      <c r="VS314" s="36"/>
      <c r="VT314" s="36"/>
      <c r="VU314" s="36"/>
      <c r="VV314" s="36"/>
      <c r="VW314" s="36"/>
      <c r="VX314" s="36"/>
      <c r="VY314" s="36"/>
      <c r="VZ314" s="36"/>
      <c r="WA314" s="36"/>
      <c r="WB314" s="36"/>
      <c r="WC314" s="36"/>
      <c r="WD314" s="36"/>
      <c r="WE314" s="36"/>
      <c r="WF314" s="36"/>
      <c r="WG314" s="36"/>
      <c r="WH314" s="36"/>
      <c r="WI314" s="36"/>
      <c r="WJ314" s="36"/>
      <c r="WK314" s="36"/>
      <c r="WL314" s="36"/>
      <c r="WM314" s="36"/>
      <c r="WN314" s="36"/>
      <c r="WO314" s="36"/>
      <c r="WP314" s="36"/>
      <c r="WQ314" s="36"/>
      <c r="WR314" s="36"/>
      <c r="WS314" s="36"/>
      <c r="WT314" s="36"/>
      <c r="WU314" s="36"/>
      <c r="WV314" s="36"/>
      <c r="WW314" s="36"/>
      <c r="WX314" s="36"/>
      <c r="WY314" s="36"/>
      <c r="WZ314" s="36"/>
      <c r="XA314" s="36"/>
      <c r="XB314" s="36"/>
      <c r="XC314" s="36"/>
      <c r="XD314" s="36"/>
      <c r="XE314" s="36"/>
      <c r="XF314" s="36"/>
      <c r="XG314" s="36"/>
      <c r="XH314" s="36"/>
      <c r="XI314" s="36"/>
      <c r="XJ314" s="36"/>
      <c r="XK314" s="36"/>
      <c r="XL314" s="36"/>
      <c r="XM314" s="36"/>
      <c r="XN314" s="36"/>
      <c r="XO314" s="36"/>
      <c r="XP314" s="36"/>
      <c r="XQ314" s="36"/>
      <c r="XR314" s="36"/>
      <c r="XS314" s="36"/>
      <c r="XT314" s="36"/>
      <c r="XU314" s="36"/>
      <c r="XV314" s="36"/>
      <c r="XW314" s="36"/>
      <c r="XX314" s="36"/>
      <c r="XY314" s="36"/>
      <c r="XZ314" s="36"/>
      <c r="YA314" s="36"/>
      <c r="YB314" s="36"/>
      <c r="YC314" s="36"/>
      <c r="YD314" s="36"/>
      <c r="YE314" s="36"/>
      <c r="YF314" s="36"/>
      <c r="YG314" s="36"/>
      <c r="YH314" s="36"/>
      <c r="YI314" s="36"/>
      <c r="YJ314" s="36"/>
      <c r="YK314" s="36"/>
      <c r="YL314" s="36"/>
      <c r="YM314" s="36"/>
      <c r="YN314" s="36"/>
      <c r="YO314" s="36"/>
      <c r="YP314" s="36"/>
      <c r="YQ314" s="36"/>
      <c r="YR314" s="36"/>
      <c r="YS314" s="36"/>
      <c r="YT314" s="36"/>
      <c r="YU314" s="36"/>
      <c r="YV314" s="36"/>
      <c r="YW314" s="36"/>
      <c r="YX314" s="36"/>
      <c r="YY314" s="36"/>
      <c r="YZ314" s="36"/>
      <c r="ZA314" s="36"/>
      <c r="ZB314" s="36"/>
      <c r="ZC314" s="36"/>
      <c r="ZD314" s="36"/>
      <c r="ZE314" s="36"/>
      <c r="ZF314" s="36"/>
      <c r="ZG314" s="36"/>
      <c r="ZH314" s="36"/>
      <c r="ZI314" s="36"/>
      <c r="ZJ314" s="36"/>
      <c r="ZK314" s="36"/>
      <c r="ZL314" s="36"/>
      <c r="ZM314" s="36"/>
      <c r="ZN314" s="36"/>
      <c r="ZO314" s="36"/>
      <c r="ZP314" s="36"/>
      <c r="ZQ314" s="36"/>
      <c r="ZR314" s="36"/>
      <c r="ZS314" s="36"/>
      <c r="ZT314" s="36"/>
      <c r="ZU314" s="36"/>
      <c r="ZV314" s="36"/>
      <c r="ZW314" s="36"/>
      <c r="ZX314" s="36"/>
      <c r="ZY314" s="36"/>
      <c r="ZZ314" s="36"/>
      <c r="AAA314" s="36"/>
      <c r="AAB314" s="36"/>
      <c r="AAC314" s="36"/>
      <c r="AAD314" s="36"/>
      <c r="AAE314" s="36"/>
      <c r="AAF314" s="36"/>
      <c r="AAG314" s="36"/>
      <c r="AAH314" s="36"/>
      <c r="AAI314" s="36"/>
      <c r="AAJ314" s="36"/>
      <c r="AAK314" s="36"/>
      <c r="AAL314" s="36"/>
      <c r="AAM314" s="36"/>
      <c r="AAN314" s="36"/>
      <c r="AAO314" s="36"/>
      <c r="AAP314" s="36"/>
      <c r="AAQ314" s="36"/>
      <c r="AAR314" s="36"/>
      <c r="AAS314" s="36"/>
      <c r="AAT314" s="36"/>
      <c r="AAU314" s="36"/>
      <c r="AAV314" s="36"/>
      <c r="AAW314" s="36"/>
      <c r="AAX314" s="36"/>
      <c r="AAY314" s="36"/>
      <c r="AAZ314" s="36"/>
      <c r="ABA314" s="36"/>
      <c r="ABB314" s="36"/>
      <c r="ABC314" s="36"/>
      <c r="ABD314" s="36"/>
      <c r="ABE314" s="36"/>
      <c r="ABF314" s="36"/>
      <c r="ABG314" s="36"/>
      <c r="ABH314" s="36"/>
      <c r="ABI314" s="36"/>
      <c r="ABJ314" s="36"/>
      <c r="ABK314" s="36"/>
      <c r="ABL314" s="36"/>
      <c r="ABM314" s="36"/>
      <c r="ABN314" s="36"/>
      <c r="ABO314" s="36"/>
      <c r="ABP314" s="36"/>
      <c r="ABQ314" s="36"/>
      <c r="ABR314" s="36"/>
      <c r="ABS314" s="36"/>
      <c r="ABT314" s="36"/>
      <c r="ABV314" s="13"/>
      <c r="ABW314" s="35"/>
      <c r="ABX314" s="35"/>
      <c r="ABY314" s="15"/>
      <c r="ACA314" s="13"/>
      <c r="ACB314" s="35"/>
      <c r="ACC314" s="35"/>
      <c r="ACD314" s="15"/>
      <c r="ACF314" s="13"/>
      <c r="ACG314" s="35"/>
      <c r="ACH314" s="35"/>
      <c r="ACI314" s="15"/>
      <c r="ACK314" s="13"/>
      <c r="ACL314" s="35"/>
      <c r="ACM314" s="35"/>
      <c r="ACN314" s="15"/>
      <c r="ACP314" s="13"/>
      <c r="ACQ314" s="35"/>
      <c r="ACR314" s="35"/>
      <c r="ACS314" s="15"/>
      <c r="ACU314" s="13"/>
      <c r="ACV314" s="35"/>
      <c r="ACW314" s="35"/>
      <c r="ACX314" s="15"/>
      <c r="ACZ314" s="13"/>
      <c r="ADA314" s="35"/>
      <c r="ADB314" s="35"/>
      <c r="ADC314" s="15"/>
      <c r="ADE314" s="13"/>
      <c r="ADF314" s="35"/>
      <c r="ADG314" s="35"/>
      <c r="ADH314" s="15"/>
      <c r="ADJ314" s="13"/>
      <c r="ADK314" s="35"/>
      <c r="ADL314" s="35"/>
      <c r="ADM314" s="15"/>
      <c r="ADO314" s="13"/>
      <c r="ADP314" s="35"/>
      <c r="ADQ314" s="35"/>
      <c r="ADR314" s="15"/>
      <c r="ADT314" s="13"/>
      <c r="ADU314" s="35"/>
      <c r="ADV314" s="35"/>
      <c r="ADW314" s="15"/>
      <c r="ADY314" s="13"/>
      <c r="ADZ314" s="35"/>
      <c r="AEA314" s="35"/>
      <c r="AEB314" s="15"/>
      <c r="AED314" s="13"/>
      <c r="AEE314" s="35"/>
      <c r="AEF314" s="35"/>
      <c r="AEG314" s="15"/>
      <c r="AEI314" s="13"/>
      <c r="AEJ314" s="35"/>
      <c r="AEK314" s="35"/>
      <c r="AEL314" s="15"/>
      <c r="AEN314" s="13"/>
      <c r="AEO314" s="35"/>
      <c r="AEP314" s="35"/>
      <c r="AEQ314" s="15"/>
      <c r="AES314" s="13"/>
      <c r="AET314" s="35"/>
      <c r="AEU314" s="35"/>
      <c r="AEV314" s="15"/>
      <c r="AEX314" s="13"/>
      <c r="AEY314" s="35"/>
      <c r="AEZ314" s="35"/>
      <c r="AFA314" s="15"/>
      <c r="AFC314" s="13"/>
      <c r="AFD314" s="35"/>
      <c r="AFE314" s="35"/>
      <c r="AFF314" s="15"/>
      <c r="AFH314" s="13"/>
      <c r="AFI314" s="35"/>
      <c r="AFJ314" s="35"/>
      <c r="AFK314" s="15"/>
      <c r="AFM314" s="13"/>
      <c r="AFN314" s="35"/>
      <c r="AFO314" s="35"/>
      <c r="AFP314" s="15"/>
      <c r="AFR314" s="13"/>
      <c r="AFS314" s="35"/>
      <c r="AFT314" s="35"/>
      <c r="AFU314" s="15"/>
      <c r="AFW314" s="13"/>
      <c r="AFX314" s="35"/>
      <c r="AFY314" s="35"/>
      <c r="AFZ314" s="15"/>
      <c r="AGB314" s="13"/>
      <c r="AGC314" s="35"/>
      <c r="AGD314" s="35"/>
      <c r="AGE314" s="15"/>
      <c r="AGG314" s="13"/>
      <c r="AGH314" s="35"/>
      <c r="AGI314" s="35"/>
      <c r="AGJ314" s="15"/>
      <c r="AGL314" s="13"/>
      <c r="AGM314" s="35"/>
      <c r="AGN314" s="35"/>
      <c r="AGO314" s="15"/>
      <c r="AGQ314" s="13"/>
      <c r="AGR314" s="35"/>
      <c r="AGS314" s="35"/>
      <c r="AGT314" s="15"/>
      <c r="AGV314" s="13"/>
      <c r="AGW314" s="35"/>
      <c r="AGX314" s="35"/>
      <c r="AGY314" s="15"/>
      <c r="AHA314" s="13"/>
      <c r="AHB314" s="35"/>
      <c r="AHC314" s="35"/>
      <c r="AHD314" s="15"/>
      <c r="AHF314" s="13"/>
      <c r="AHG314" s="35"/>
      <c r="AHH314" s="35"/>
      <c r="AHI314" s="15"/>
      <c r="AHK314" s="13"/>
      <c r="AHL314" s="35"/>
      <c r="AHM314" s="35"/>
      <c r="AHN314" s="15"/>
      <c r="AHP314" s="13"/>
      <c r="AHQ314" s="35"/>
      <c r="AHR314" s="35"/>
      <c r="AHS314" s="15"/>
      <c r="AHU314" s="13"/>
      <c r="AHV314" s="35"/>
      <c r="AHW314" s="35"/>
      <c r="AHX314" s="15"/>
      <c r="AHZ314" s="13"/>
      <c r="AIA314" s="35"/>
      <c r="AIB314" s="35"/>
      <c r="AIC314" s="15"/>
      <c r="AIE314" s="13"/>
      <c r="AIF314" s="35"/>
      <c r="AIG314" s="35"/>
      <c r="AIH314" s="15"/>
      <c r="AIJ314" s="13"/>
      <c r="AIK314" s="35"/>
      <c r="AIL314" s="35"/>
      <c r="AIM314" s="15"/>
      <c r="AIO314" s="13"/>
      <c r="AIP314" s="35"/>
      <c r="AIQ314" s="35"/>
      <c r="AIR314" s="15"/>
      <c r="AIT314" s="13"/>
      <c r="AIU314" s="35"/>
      <c r="AIV314" s="35"/>
      <c r="AIW314" s="15"/>
      <c r="AIY314" s="13"/>
      <c r="AIZ314" s="35"/>
      <c r="AJA314" s="35"/>
      <c r="AJB314" s="15"/>
      <c r="AJD314" s="13"/>
      <c r="AJE314" s="35"/>
      <c r="AJF314" s="35"/>
      <c r="AJG314" s="15"/>
      <c r="AJI314" s="13"/>
      <c r="AJJ314" s="35"/>
      <c r="AJK314" s="35"/>
      <c r="AJL314" s="15"/>
      <c r="AJN314" s="13"/>
      <c r="AJO314" s="35"/>
      <c r="AJP314" s="35"/>
      <c r="AJQ314" s="15"/>
      <c r="AJS314" s="13"/>
      <c r="AJT314" s="35"/>
      <c r="AJU314" s="35"/>
      <c r="AJV314" s="15"/>
      <c r="AJX314" s="13"/>
      <c r="AJY314" s="35"/>
      <c r="AJZ314" s="35"/>
      <c r="AKA314" s="15"/>
      <c r="AKC314" s="13"/>
      <c r="AKD314" s="35"/>
      <c r="AKE314" s="35"/>
      <c r="AKF314" s="15"/>
      <c r="AKH314" s="13"/>
      <c r="AKI314" s="35"/>
      <c r="AKJ314" s="35"/>
      <c r="AKK314" s="15"/>
      <c r="AKM314" s="13"/>
      <c r="AKN314" s="35"/>
      <c r="AKO314" s="35"/>
      <c r="AKP314" s="15"/>
      <c r="AKR314" s="13"/>
      <c r="AKS314" s="35"/>
      <c r="AKT314" s="35"/>
      <c r="AKU314" s="15"/>
      <c r="AKW314" s="13"/>
      <c r="AKX314" s="35"/>
      <c r="AKY314" s="35"/>
      <c r="AKZ314" s="15"/>
      <c r="ALB314" s="13"/>
      <c r="ALC314" s="35"/>
      <c r="ALD314" s="35"/>
      <c r="ALE314" s="15"/>
      <c r="ALG314" s="13"/>
      <c r="ALH314" s="35"/>
      <c r="ALI314" s="35"/>
      <c r="ALJ314" s="15"/>
      <c r="ALL314" s="13"/>
      <c r="ALM314" s="35"/>
      <c r="ALN314" s="35"/>
      <c r="ALO314" s="15"/>
      <c r="ALQ314" s="13"/>
      <c r="ALR314" s="35"/>
      <c r="ALS314" s="35"/>
      <c r="ALT314" s="15"/>
      <c r="ALV314" s="13"/>
      <c r="ALW314" s="35"/>
      <c r="ALX314" s="35"/>
      <c r="ALY314" s="15"/>
      <c r="AMA314" s="13"/>
      <c r="AMB314" s="35"/>
      <c r="AMC314" s="35"/>
      <c r="AMD314" s="15"/>
      <c r="AMF314" s="13"/>
      <c r="AMG314" s="35"/>
      <c r="AMH314" s="35"/>
      <c r="AMI314" s="15"/>
      <c r="AMK314" s="13"/>
      <c r="AML314" s="35"/>
      <c r="AMM314" s="35"/>
      <c r="AMN314" s="15"/>
      <c r="AMP314" s="13"/>
      <c r="AMQ314" s="35"/>
      <c r="AMR314" s="35"/>
      <c r="AMS314" s="15"/>
      <c r="AMU314" s="13"/>
      <c r="AMV314" s="35"/>
      <c r="AMW314" s="35"/>
      <c r="AMX314" s="15"/>
      <c r="AMZ314" s="13"/>
      <c r="ANA314" s="35"/>
      <c r="ANB314" s="35"/>
      <c r="ANC314" s="15"/>
      <c r="ANE314" s="13"/>
      <c r="ANF314" s="35"/>
      <c r="ANG314" s="35"/>
      <c r="ANH314" s="15"/>
      <c r="ANJ314" s="13"/>
      <c r="ANK314" s="35"/>
      <c r="ANL314" s="35"/>
      <c r="ANM314" s="15"/>
      <c r="ANO314" s="13"/>
      <c r="ANP314" s="35"/>
      <c r="ANQ314" s="35"/>
      <c r="ANR314" s="15"/>
      <c r="ANT314" s="13"/>
      <c r="ANU314" s="35"/>
      <c r="ANV314" s="35"/>
      <c r="ANW314" s="15"/>
      <c r="ANY314" s="13"/>
      <c r="ANZ314" s="35"/>
      <c r="AOA314" s="35"/>
      <c r="AOB314" s="15"/>
      <c r="AOD314" s="13"/>
      <c r="AOE314" s="35"/>
      <c r="AOF314" s="35"/>
      <c r="AOG314" s="15"/>
      <c r="AOI314" s="13"/>
      <c r="AOJ314" s="35"/>
      <c r="AOK314" s="35"/>
      <c r="AOL314" s="15"/>
      <c r="AON314" s="13"/>
      <c r="AOO314" s="35"/>
      <c r="AOP314" s="35"/>
      <c r="AOQ314" s="15"/>
      <c r="AOS314" s="13"/>
      <c r="AOT314" s="35"/>
      <c r="AOU314" s="35"/>
      <c r="AOV314" s="15"/>
      <c r="AOX314" s="13"/>
      <c r="AOY314" s="35"/>
      <c r="AOZ314" s="35"/>
      <c r="APA314" s="15"/>
      <c r="APC314" s="13"/>
      <c r="APD314" s="35"/>
      <c r="APE314" s="35"/>
      <c r="APF314" s="15"/>
      <c r="APH314" s="13"/>
      <c r="API314" s="35"/>
      <c r="APJ314" s="35"/>
      <c r="APK314" s="15"/>
      <c r="APM314" s="13"/>
      <c r="APN314" s="35"/>
      <c r="APO314" s="35"/>
      <c r="APP314" s="15"/>
      <c r="APR314" s="13"/>
      <c r="APS314" s="35"/>
      <c r="APT314" s="35"/>
      <c r="APU314" s="15"/>
      <c r="APW314" s="13"/>
      <c r="APX314" s="35"/>
      <c r="APY314" s="35"/>
      <c r="APZ314" s="15"/>
      <c r="AQB314" s="13"/>
      <c r="AQC314" s="35"/>
      <c r="AQD314" s="35"/>
      <c r="AQE314" s="15"/>
      <c r="AQG314" s="13"/>
      <c r="AQH314" s="35"/>
      <c r="AQI314" s="35"/>
      <c r="AQJ314" s="15"/>
      <c r="AQL314" s="13"/>
      <c r="AQM314" s="35"/>
      <c r="AQN314" s="35"/>
      <c r="AQO314" s="15"/>
      <c r="AQQ314" s="13"/>
      <c r="AQR314" s="35"/>
      <c r="AQS314" s="35"/>
      <c r="AQT314" s="15"/>
      <c r="AQV314" s="13"/>
      <c r="AQW314" s="35"/>
      <c r="AQX314" s="35"/>
      <c r="AQY314" s="15"/>
      <c r="ARA314" s="13"/>
      <c r="ARB314" s="35"/>
      <c r="ARC314" s="35"/>
      <c r="ARD314" s="15"/>
      <c r="ARF314" s="13"/>
      <c r="ARG314" s="35"/>
      <c r="ARH314" s="35"/>
      <c r="ARI314" s="15"/>
      <c r="ARK314" s="13"/>
      <c r="ARL314" s="35"/>
      <c r="ARM314" s="35"/>
      <c r="ARN314" s="15"/>
      <c r="ARP314" s="13"/>
      <c r="ARQ314" s="35"/>
      <c r="ARR314" s="35"/>
      <c r="ARS314" s="15"/>
      <c r="ARU314" s="13"/>
      <c r="ARV314" s="35"/>
      <c r="ARW314" s="35"/>
      <c r="ARX314" s="15"/>
      <c r="ARZ314" s="13"/>
      <c r="ASA314" s="35"/>
      <c r="ASB314" s="35"/>
      <c r="ASC314" s="15"/>
      <c r="ASE314" s="13"/>
      <c r="ASF314" s="35"/>
      <c r="ASG314" s="35"/>
      <c r="ASH314" s="15"/>
      <c r="ASJ314" s="13"/>
      <c r="ASK314" s="35"/>
      <c r="ASL314" s="35"/>
      <c r="ASM314" s="15"/>
      <c r="ASO314" s="13"/>
      <c r="ASP314" s="35"/>
      <c r="ASQ314" s="35"/>
      <c r="ASR314" s="15"/>
      <c r="AST314" s="13"/>
      <c r="ASU314" s="35"/>
      <c r="ASV314" s="35"/>
      <c r="ASW314" s="15"/>
      <c r="ASY314" s="13"/>
      <c r="ASZ314" s="35"/>
      <c r="ATA314" s="35"/>
      <c r="ATB314" s="15"/>
      <c r="ATD314" s="13"/>
      <c r="ATE314" s="35"/>
      <c r="ATF314" s="35"/>
      <c r="ATG314" s="15"/>
      <c r="ATI314" s="13"/>
      <c r="ATJ314" s="35"/>
      <c r="ATK314" s="35"/>
      <c r="ATL314" s="15"/>
      <c r="ATN314" s="13"/>
      <c r="ATO314" s="35"/>
      <c r="ATP314" s="35"/>
      <c r="ATQ314" s="15"/>
      <c r="ATS314" s="13"/>
      <c r="ATT314" s="35"/>
      <c r="ATU314" s="35"/>
      <c r="ATV314" s="15"/>
      <c r="ATX314" s="13"/>
      <c r="ATY314" s="35"/>
      <c r="ATZ314" s="35"/>
      <c r="AUA314" s="15"/>
      <c r="AUC314" s="13"/>
      <c r="AUD314" s="35"/>
      <c r="AUE314" s="35"/>
      <c r="AUF314" s="15"/>
      <c r="AUH314" s="13"/>
      <c r="AUI314" s="35"/>
      <c r="AUJ314" s="35"/>
      <c r="AUK314" s="15"/>
      <c r="AUM314" s="13"/>
      <c r="AUN314" s="35"/>
      <c r="AUO314" s="35"/>
      <c r="AUP314" s="15"/>
      <c r="AUR314" s="13"/>
      <c r="AUS314" s="35"/>
      <c r="AUT314" s="35"/>
      <c r="AUU314" s="15"/>
      <c r="AUW314" s="13"/>
      <c r="AUX314" s="35"/>
      <c r="AUY314" s="35"/>
      <c r="AUZ314" s="15"/>
      <c r="AVB314" s="13"/>
      <c r="AVC314" s="35"/>
      <c r="AVD314" s="35"/>
      <c r="AVE314" s="15"/>
      <c r="AVG314" s="13"/>
      <c r="AVH314" s="35"/>
      <c r="AVI314" s="35"/>
      <c r="AVJ314" s="15"/>
      <c r="AVL314" s="13"/>
      <c r="AVM314" s="35"/>
      <c r="AVN314" s="35"/>
      <c r="AVO314" s="15"/>
      <c r="AVQ314" s="13"/>
      <c r="AVR314" s="35"/>
      <c r="AVS314" s="35"/>
      <c r="AVT314" s="15"/>
      <c r="AVV314" s="13"/>
      <c r="AVW314" s="35"/>
      <c r="AVX314" s="35"/>
      <c r="AVY314" s="15"/>
      <c r="AWA314" s="13"/>
      <c r="AWB314" s="35"/>
      <c r="AWC314" s="35"/>
      <c r="AWD314" s="15"/>
      <c r="AWF314" s="13"/>
      <c r="AWG314" s="35"/>
      <c r="AWH314" s="35"/>
      <c r="AWI314" s="15"/>
      <c r="AWK314" s="13"/>
      <c r="AWL314" s="35"/>
      <c r="AWM314" s="35"/>
      <c r="AWN314" s="15"/>
      <c r="AWP314" s="13"/>
      <c r="AWQ314" s="35"/>
      <c r="AWR314" s="35"/>
      <c r="AWS314" s="15"/>
      <c r="AWU314" s="13"/>
      <c r="AWV314" s="35"/>
      <c r="AWW314" s="35"/>
      <c r="AWX314" s="15"/>
      <c r="AWZ314" s="13"/>
      <c r="AXA314" s="35"/>
      <c r="AXB314" s="35"/>
      <c r="AXC314" s="15"/>
      <c r="AXE314" s="13"/>
      <c r="AXF314" s="35"/>
      <c r="AXG314" s="35"/>
      <c r="AXH314" s="15"/>
      <c r="AXJ314" s="13"/>
      <c r="AXK314" s="35"/>
      <c r="AXL314" s="35"/>
      <c r="AXM314" s="15"/>
      <c r="AXO314" s="13"/>
      <c r="AXP314" s="35"/>
      <c r="AXQ314" s="35"/>
      <c r="AXR314" s="15"/>
      <c r="AXT314" s="13"/>
      <c r="AXU314" s="35"/>
      <c r="AXV314" s="35"/>
      <c r="AXW314" s="15"/>
      <c r="AXY314" s="13"/>
      <c r="AXZ314" s="35"/>
      <c r="AYA314" s="35"/>
      <c r="AYB314" s="15"/>
      <c r="AYD314" s="13"/>
      <c r="AYE314" s="35"/>
      <c r="AYF314" s="35"/>
      <c r="AYG314" s="15"/>
      <c r="AYI314" s="13"/>
      <c r="AYJ314" s="35"/>
      <c r="AYK314" s="35"/>
      <c r="AYL314" s="15"/>
      <c r="AYN314" s="13"/>
      <c r="AYO314" s="35"/>
      <c r="AYP314" s="35"/>
      <c r="AYQ314" s="15"/>
      <c r="AYS314" s="13"/>
      <c r="AYT314" s="35"/>
      <c r="AYU314" s="35"/>
      <c r="AYV314" s="15"/>
      <c r="AYX314" s="13"/>
      <c r="AYY314" s="35"/>
      <c r="AYZ314" s="35"/>
      <c r="AZA314" s="15"/>
      <c r="AZC314" s="13"/>
      <c r="AZD314" s="35"/>
      <c r="AZE314" s="35"/>
      <c r="AZF314" s="15"/>
      <c r="AZH314" s="13"/>
      <c r="AZI314" s="35"/>
      <c r="AZJ314" s="35"/>
      <c r="AZK314" s="15"/>
      <c r="AZM314" s="13"/>
      <c r="AZN314" s="35"/>
      <c r="AZO314" s="35"/>
      <c r="AZP314" s="15"/>
      <c r="AZR314" s="13"/>
      <c r="AZS314" s="35"/>
      <c r="AZT314" s="35"/>
      <c r="AZU314" s="15"/>
      <c r="AZW314" s="13"/>
      <c r="AZX314" s="35"/>
      <c r="AZY314" s="35"/>
      <c r="AZZ314" s="15"/>
      <c r="BAB314" s="13"/>
      <c r="BAC314" s="35"/>
      <c r="BAD314" s="35"/>
      <c r="BAE314" s="15"/>
      <c r="BAG314" s="13"/>
      <c r="BAH314" s="35"/>
      <c r="BAI314" s="35"/>
      <c r="BAJ314" s="15"/>
      <c r="BAL314" s="13"/>
      <c r="BAM314" s="35"/>
      <c r="BAN314" s="35"/>
      <c r="BAO314" s="15"/>
      <c r="BAQ314" s="13"/>
      <c r="BAR314" s="35"/>
      <c r="BAS314" s="35"/>
      <c r="BAT314" s="15"/>
      <c r="BAV314" s="13"/>
      <c r="BAW314" s="35"/>
      <c r="BAX314" s="35"/>
      <c r="BAY314" s="15"/>
      <c r="BBA314" s="13"/>
      <c r="BBB314" s="35"/>
      <c r="BBC314" s="35"/>
      <c r="BBD314" s="15"/>
      <c r="BBF314" s="13"/>
      <c r="BBG314" s="35"/>
      <c r="BBH314" s="35"/>
      <c r="BBI314" s="15"/>
      <c r="BBK314" s="13"/>
      <c r="BBL314" s="35"/>
      <c r="BBM314" s="35"/>
      <c r="BBN314" s="15"/>
      <c r="BBP314" s="13"/>
      <c r="BBQ314" s="35"/>
      <c r="BBR314" s="35"/>
      <c r="BBS314" s="15"/>
      <c r="BBU314" s="13"/>
      <c r="BBV314" s="35"/>
      <c r="BBW314" s="35"/>
      <c r="BBX314" s="15"/>
      <c r="BBZ314" s="13"/>
      <c r="BCA314" s="35"/>
      <c r="BCB314" s="35"/>
      <c r="BCC314" s="15"/>
      <c r="BCE314" s="13"/>
      <c r="BCF314" s="35"/>
      <c r="BCG314" s="35"/>
      <c r="BCH314" s="15"/>
      <c r="BCJ314" s="13"/>
      <c r="BCK314" s="35"/>
      <c r="BCL314" s="35"/>
      <c r="BCM314" s="15"/>
      <c r="BCO314" s="13"/>
      <c r="BCP314" s="35"/>
      <c r="BCQ314" s="35"/>
      <c r="BCR314" s="15"/>
      <c r="BCT314" s="13"/>
      <c r="BCU314" s="35"/>
      <c r="BCV314" s="35"/>
      <c r="BCW314" s="15"/>
      <c r="BCY314" s="13"/>
      <c r="BCZ314" s="35"/>
      <c r="BDA314" s="35"/>
      <c r="BDB314" s="15"/>
      <c r="BDD314" s="13"/>
      <c r="BDE314" s="35"/>
      <c r="BDF314" s="35"/>
      <c r="BDG314" s="15"/>
      <c r="BDI314" s="13"/>
      <c r="BDJ314" s="35"/>
      <c r="BDK314" s="35"/>
      <c r="BDL314" s="15"/>
      <c r="BDN314" s="13"/>
      <c r="BDO314" s="35"/>
      <c r="BDP314" s="35"/>
      <c r="BDQ314" s="15"/>
      <c r="BDS314" s="13"/>
      <c r="BDT314" s="35"/>
      <c r="BDU314" s="35"/>
      <c r="BDV314" s="15"/>
      <c r="BDX314" s="13"/>
      <c r="BDY314" s="35"/>
      <c r="BDZ314" s="35"/>
      <c r="BEA314" s="15"/>
      <c r="BEC314" s="13"/>
      <c r="BED314" s="35"/>
      <c r="BEE314" s="35"/>
      <c r="BEF314" s="15"/>
      <c r="BEH314" s="13"/>
      <c r="BEI314" s="35"/>
      <c r="BEJ314" s="35"/>
      <c r="BEK314" s="15"/>
      <c r="BEM314" s="13"/>
      <c r="BEN314" s="35"/>
      <c r="BEO314" s="35"/>
      <c r="BEP314" s="15"/>
      <c r="BER314" s="13"/>
      <c r="BES314" s="35"/>
      <c r="BET314" s="35"/>
      <c r="BEU314" s="15"/>
      <c r="BEW314" s="13"/>
      <c r="BEX314" s="35"/>
      <c r="BEY314" s="35"/>
      <c r="BEZ314" s="15"/>
      <c r="BFB314" s="13"/>
      <c r="BFC314" s="35"/>
      <c r="BFD314" s="35"/>
      <c r="BFE314" s="15"/>
      <c r="BFG314" s="13"/>
      <c r="BFH314" s="35"/>
      <c r="BFI314" s="35"/>
      <c r="BFJ314" s="15"/>
      <c r="BFL314" s="13"/>
      <c r="BFM314" s="35"/>
      <c r="BFN314" s="35"/>
      <c r="BFO314" s="15"/>
      <c r="BFQ314" s="13"/>
      <c r="BFR314" s="35"/>
      <c r="BFS314" s="35"/>
      <c r="BFT314" s="15"/>
      <c r="BFV314" s="13"/>
      <c r="BFW314" s="35"/>
      <c r="BFX314" s="35"/>
      <c r="BFY314" s="15"/>
      <c r="BGA314" s="13"/>
      <c r="BGB314" s="35"/>
      <c r="BGC314" s="35"/>
      <c r="BGD314" s="15"/>
      <c r="BGF314" s="13"/>
      <c r="BGG314" s="35"/>
      <c r="BGH314" s="35"/>
      <c r="BGI314" s="15"/>
      <c r="BGK314" s="13"/>
      <c r="BGL314" s="35"/>
      <c r="BGM314" s="35"/>
      <c r="BGN314" s="15"/>
      <c r="BGP314" s="13"/>
      <c r="BGQ314" s="35"/>
      <c r="BGR314" s="35"/>
      <c r="BGS314" s="15"/>
      <c r="BGU314" s="13"/>
      <c r="BGV314" s="35"/>
      <c r="BGW314" s="35"/>
      <c r="BGX314" s="15"/>
      <c r="BGZ314" s="13"/>
      <c r="BHA314" s="35"/>
      <c r="BHB314" s="35"/>
      <c r="BHC314" s="15"/>
      <c r="BHE314" s="13"/>
      <c r="BHF314" s="35"/>
      <c r="BHG314" s="35"/>
      <c r="BHH314" s="15"/>
      <c r="BHJ314" s="13"/>
      <c r="BHK314" s="35"/>
      <c r="BHL314" s="35"/>
      <c r="BHM314" s="15"/>
      <c r="BHO314" s="13"/>
      <c r="BHP314" s="35"/>
      <c r="BHQ314" s="35"/>
      <c r="BHR314" s="15"/>
      <c r="BHT314" s="13"/>
      <c r="BHU314" s="35"/>
      <c r="BHV314" s="35"/>
      <c r="BHW314" s="15"/>
      <c r="BHY314" s="13"/>
      <c r="BHZ314" s="35"/>
      <c r="BIA314" s="35"/>
      <c r="BIB314" s="15"/>
      <c r="BID314" s="13"/>
      <c r="BIE314" s="35"/>
      <c r="BIF314" s="35"/>
      <c r="BIG314" s="15"/>
      <c r="BII314" s="13"/>
      <c r="BIJ314" s="35"/>
      <c r="BIK314" s="35"/>
      <c r="BIL314" s="15"/>
      <c r="BIN314" s="13"/>
      <c r="BIO314" s="35"/>
      <c r="BIP314" s="35"/>
      <c r="BIQ314" s="15"/>
      <c r="BIS314" s="13"/>
      <c r="BIT314" s="35"/>
      <c r="BIU314" s="35"/>
      <c r="BIV314" s="15"/>
      <c r="BIX314" s="13"/>
      <c r="BIY314" s="35"/>
      <c r="BIZ314" s="35"/>
      <c r="BJA314" s="15"/>
      <c r="BJC314" s="13"/>
      <c r="BJD314" s="35"/>
      <c r="BJE314" s="35"/>
      <c r="BJF314" s="15"/>
      <c r="BJH314" s="13"/>
      <c r="BJI314" s="35"/>
      <c r="BJJ314" s="35"/>
      <c r="BJK314" s="15"/>
      <c r="BJM314" s="13"/>
      <c r="BJN314" s="35"/>
      <c r="BJO314" s="35"/>
      <c r="BJP314" s="15"/>
      <c r="BJR314" s="13"/>
      <c r="BJS314" s="35"/>
      <c r="BJT314" s="35"/>
      <c r="BJU314" s="15"/>
      <c r="BJW314" s="13"/>
      <c r="BJX314" s="35"/>
      <c r="BJY314" s="35"/>
      <c r="BJZ314" s="15"/>
      <c r="BKB314" s="13"/>
      <c r="BKC314" s="35"/>
      <c r="BKD314" s="35"/>
      <c r="BKE314" s="15"/>
      <c r="BKG314" s="13"/>
      <c r="BKH314" s="35"/>
      <c r="BKI314" s="35"/>
      <c r="BKJ314" s="15"/>
      <c r="BKL314" s="13"/>
      <c r="BKM314" s="35"/>
      <c r="BKN314" s="35"/>
      <c r="BKO314" s="15"/>
      <c r="BKQ314" s="13"/>
      <c r="BKR314" s="35"/>
      <c r="BKS314" s="35"/>
      <c r="BKT314" s="15"/>
      <c r="BKV314" s="13"/>
      <c r="BKW314" s="35"/>
      <c r="BKX314" s="35"/>
      <c r="BKY314" s="15"/>
      <c r="BLA314" s="13"/>
      <c r="BLB314" s="35"/>
      <c r="BLC314" s="35"/>
      <c r="BLD314" s="15"/>
      <c r="BLF314" s="13"/>
      <c r="BLG314" s="35"/>
      <c r="BLH314" s="35"/>
      <c r="BLI314" s="15"/>
      <c r="BLK314" s="13"/>
      <c r="BLL314" s="35"/>
      <c r="BLM314" s="35"/>
      <c r="BLN314" s="15"/>
      <c r="BLP314" s="13"/>
      <c r="BLQ314" s="35"/>
      <c r="BLR314" s="35"/>
      <c r="BLS314" s="15"/>
      <c r="BLU314" s="13"/>
      <c r="BLV314" s="35"/>
      <c r="BLW314" s="35"/>
      <c r="BLX314" s="15"/>
      <c r="BLZ314" s="13"/>
      <c r="BMA314" s="35"/>
      <c r="BMB314" s="35"/>
      <c r="BMC314" s="15"/>
      <c r="BME314" s="13"/>
      <c r="BMF314" s="35"/>
      <c r="BMG314" s="35"/>
      <c r="BMH314" s="15"/>
      <c r="BMJ314" s="13"/>
      <c r="BMK314" s="35"/>
      <c r="BML314" s="35"/>
      <c r="BMM314" s="15"/>
      <c r="BMO314" s="13"/>
      <c r="BMP314" s="35"/>
      <c r="BMQ314" s="35"/>
      <c r="BMR314" s="15"/>
      <c r="BMT314" s="13"/>
      <c r="BMU314" s="35"/>
      <c r="BMV314" s="35"/>
      <c r="BMW314" s="15"/>
      <c r="BMY314" s="13"/>
      <c r="BMZ314" s="35"/>
      <c r="BNA314" s="35"/>
      <c r="BNB314" s="15"/>
      <c r="BND314" s="13"/>
      <c r="BNE314" s="35"/>
      <c r="BNF314" s="35"/>
      <c r="BNG314" s="15"/>
      <c r="BNI314" s="13"/>
      <c r="BNJ314" s="35"/>
      <c r="BNK314" s="35"/>
      <c r="BNL314" s="15"/>
      <c r="BNN314" s="13"/>
      <c r="BNO314" s="35"/>
      <c r="BNP314" s="35"/>
      <c r="BNQ314" s="15"/>
      <c r="BNS314" s="13"/>
      <c r="BNT314" s="35"/>
      <c r="BNU314" s="35"/>
      <c r="BNV314" s="15"/>
      <c r="BNX314" s="13"/>
      <c r="BNY314" s="35"/>
      <c r="BNZ314" s="35"/>
      <c r="BOA314" s="15"/>
      <c r="BOC314" s="13"/>
      <c r="BOD314" s="35"/>
      <c r="BOE314" s="35"/>
      <c r="BOF314" s="15"/>
      <c r="BOH314" s="13"/>
      <c r="BOI314" s="35"/>
      <c r="BOJ314" s="35"/>
      <c r="BOK314" s="15"/>
      <c r="BOM314" s="13"/>
      <c r="BON314" s="35"/>
      <c r="BOO314" s="35"/>
      <c r="BOP314" s="15"/>
      <c r="BOR314" s="13"/>
      <c r="BOS314" s="35"/>
      <c r="BOT314" s="35"/>
      <c r="BOU314" s="15"/>
      <c r="BOW314" s="13"/>
      <c r="BOX314" s="35"/>
      <c r="BOY314" s="35"/>
      <c r="BOZ314" s="15"/>
      <c r="BPB314" s="13"/>
      <c r="BPC314" s="35"/>
      <c r="BPD314" s="35"/>
      <c r="BPE314" s="15"/>
      <c r="BPG314" s="13"/>
      <c r="BPH314" s="35"/>
      <c r="BPI314" s="35"/>
      <c r="BPJ314" s="15"/>
      <c r="BPL314" s="13"/>
      <c r="BPM314" s="35"/>
      <c r="BPN314" s="35"/>
      <c r="BPO314" s="15"/>
      <c r="BPQ314" s="13"/>
      <c r="BPR314" s="35"/>
      <c r="BPS314" s="35"/>
      <c r="BPT314" s="15"/>
      <c r="BPV314" s="13"/>
      <c r="BPW314" s="35"/>
      <c r="BPX314" s="35"/>
      <c r="BPY314" s="15"/>
      <c r="BQA314" s="13"/>
      <c r="BQB314" s="35"/>
      <c r="BQC314" s="35"/>
      <c r="BQD314" s="15"/>
      <c r="BQF314" s="13"/>
      <c r="BQG314" s="35"/>
      <c r="BQH314" s="35"/>
      <c r="BQI314" s="15"/>
      <c r="BQK314" s="13"/>
      <c r="BQL314" s="35"/>
      <c r="BQM314" s="35"/>
      <c r="BQN314" s="15"/>
      <c r="BQP314" s="13"/>
      <c r="BQQ314" s="35"/>
      <c r="BQR314" s="35"/>
      <c r="BQS314" s="15"/>
      <c r="BQU314" s="13"/>
      <c r="BQV314" s="35"/>
      <c r="BQW314" s="35"/>
      <c r="BQX314" s="15"/>
      <c r="BQZ314" s="13"/>
      <c r="BRA314" s="35"/>
      <c r="BRB314" s="35"/>
      <c r="BRC314" s="15"/>
      <c r="BRE314" s="13"/>
      <c r="BRF314" s="35"/>
      <c r="BRG314" s="35"/>
      <c r="BRH314" s="15"/>
      <c r="BRJ314" s="13"/>
      <c r="BRK314" s="35"/>
      <c r="BRL314" s="35"/>
      <c r="BRM314" s="15"/>
      <c r="BRO314" s="13"/>
      <c r="BRP314" s="35"/>
      <c r="BRQ314" s="35"/>
      <c r="BRR314" s="15"/>
      <c r="BRT314" s="13"/>
      <c r="BRU314" s="35"/>
      <c r="BRV314" s="35"/>
      <c r="BRW314" s="15"/>
      <c r="BRY314" s="13"/>
      <c r="BRZ314" s="35"/>
      <c r="BSA314" s="35"/>
      <c r="BSB314" s="15"/>
      <c r="BSD314" s="13"/>
      <c r="BSE314" s="35"/>
      <c r="BSF314" s="35"/>
      <c r="BSG314" s="15"/>
      <c r="BSI314" s="13"/>
      <c r="BSJ314" s="35"/>
      <c r="BSK314" s="35"/>
      <c r="BSL314" s="15"/>
      <c r="BSN314" s="13"/>
      <c r="BSO314" s="35"/>
      <c r="BSP314" s="35"/>
      <c r="BSQ314" s="15"/>
      <c r="BSS314" s="13"/>
      <c r="BST314" s="35"/>
      <c r="BSU314" s="35"/>
      <c r="BSV314" s="15"/>
      <c r="BSX314" s="13"/>
      <c r="BSY314" s="35"/>
      <c r="BSZ314" s="35"/>
      <c r="BTA314" s="15"/>
      <c r="BTC314" s="13"/>
      <c r="BTD314" s="35"/>
      <c r="BTE314" s="35"/>
      <c r="BTF314" s="15"/>
      <c r="BTH314" s="13"/>
      <c r="BTI314" s="35"/>
      <c r="BTJ314" s="35"/>
      <c r="BTK314" s="15"/>
      <c r="BTM314" s="13"/>
      <c r="BTN314" s="35"/>
      <c r="BTO314" s="35"/>
      <c r="BTP314" s="15"/>
      <c r="BTR314" s="13"/>
      <c r="BTS314" s="35"/>
      <c r="BTT314" s="35"/>
      <c r="BTU314" s="15"/>
      <c r="BTW314" s="13"/>
      <c r="BTX314" s="35"/>
      <c r="BTY314" s="35"/>
      <c r="BTZ314" s="15"/>
      <c r="BUB314" s="13"/>
      <c r="BUC314" s="35"/>
      <c r="BUD314" s="35"/>
      <c r="BUE314" s="15"/>
      <c r="BUG314" s="13"/>
      <c r="BUH314" s="35"/>
      <c r="BUI314" s="35"/>
      <c r="BUJ314" s="15"/>
      <c r="BUL314" s="13"/>
      <c r="BUM314" s="35"/>
      <c r="BUN314" s="35"/>
      <c r="BUO314" s="15"/>
      <c r="BUQ314" s="13"/>
      <c r="BUR314" s="35"/>
      <c r="BUS314" s="35"/>
      <c r="BUT314" s="15"/>
      <c r="BUV314" s="13"/>
      <c r="BUW314" s="35"/>
      <c r="BUX314" s="35"/>
      <c r="BUY314" s="15"/>
      <c r="BVA314" s="13"/>
      <c r="BVB314" s="35"/>
      <c r="BVC314" s="35"/>
      <c r="BVD314" s="15"/>
      <c r="BVF314" s="13"/>
      <c r="BVG314" s="35"/>
      <c r="BVH314" s="35"/>
      <c r="BVI314" s="15"/>
      <c r="BVK314" s="13"/>
      <c r="BVL314" s="35"/>
      <c r="BVM314" s="35"/>
      <c r="BVN314" s="15"/>
      <c r="BVP314" s="13"/>
      <c r="BVQ314" s="35"/>
      <c r="BVR314" s="35"/>
      <c r="BVS314" s="15"/>
      <c r="BVU314" s="13"/>
      <c r="BVV314" s="35"/>
      <c r="BVW314" s="35"/>
      <c r="BVX314" s="15"/>
      <c r="BVZ314" s="13"/>
      <c r="BWA314" s="35"/>
      <c r="BWB314" s="35"/>
      <c r="BWC314" s="15"/>
      <c r="BWE314" s="13"/>
      <c r="BWF314" s="35"/>
      <c r="BWG314" s="35"/>
      <c r="BWH314" s="15"/>
      <c r="BWJ314" s="13"/>
      <c r="BWK314" s="35"/>
      <c r="BWL314" s="35"/>
      <c r="BWM314" s="15"/>
      <c r="BWO314" s="13"/>
      <c r="BWP314" s="35"/>
      <c r="BWQ314" s="35"/>
      <c r="BWR314" s="15"/>
      <c r="BWT314" s="13"/>
      <c r="BWU314" s="35"/>
      <c r="BWV314" s="35"/>
      <c r="BWW314" s="15"/>
      <c r="BWY314" s="13"/>
      <c r="BWZ314" s="35"/>
      <c r="BXA314" s="35"/>
      <c r="BXB314" s="15"/>
      <c r="BXD314" s="13"/>
      <c r="BXE314" s="35"/>
      <c r="BXF314" s="35"/>
      <c r="BXG314" s="15"/>
      <c r="BXI314" s="13"/>
      <c r="BXJ314" s="35"/>
      <c r="BXK314" s="35"/>
      <c r="BXL314" s="15"/>
      <c r="BXN314" s="13"/>
      <c r="BXO314" s="35"/>
      <c r="BXP314" s="35"/>
      <c r="BXQ314" s="15"/>
      <c r="BXS314" s="13"/>
      <c r="BXT314" s="35"/>
      <c r="BXU314" s="35"/>
      <c r="BXV314" s="15"/>
      <c r="BXX314" s="13"/>
      <c r="BXY314" s="35"/>
      <c r="BXZ314" s="35"/>
      <c r="BYA314" s="15"/>
      <c r="BYC314" s="13"/>
      <c r="BYD314" s="35"/>
      <c r="BYE314" s="35"/>
      <c r="BYF314" s="15"/>
      <c r="BYH314" s="13"/>
      <c r="BYI314" s="35"/>
      <c r="BYJ314" s="35"/>
      <c r="BYK314" s="15"/>
      <c r="BYM314" s="13"/>
      <c r="BYN314" s="35"/>
      <c r="BYO314" s="35"/>
      <c r="BYP314" s="15"/>
      <c r="BYR314" s="13"/>
      <c r="BYS314" s="35"/>
      <c r="BYT314" s="35"/>
      <c r="BYU314" s="15"/>
      <c r="BYW314" s="13"/>
      <c r="BYX314" s="35"/>
      <c r="BYY314" s="35"/>
      <c r="BYZ314" s="15"/>
      <c r="BZB314" s="13"/>
      <c r="BZC314" s="35"/>
      <c r="BZD314" s="35"/>
      <c r="BZE314" s="15"/>
      <c r="BZG314" s="13"/>
      <c r="BZH314" s="35"/>
      <c r="BZI314" s="35"/>
      <c r="BZJ314" s="15"/>
      <c r="BZL314" s="13"/>
      <c r="BZM314" s="35"/>
      <c r="BZN314" s="35"/>
      <c r="BZO314" s="15"/>
      <c r="BZQ314" s="13"/>
      <c r="BZR314" s="35"/>
      <c r="BZS314" s="35"/>
      <c r="BZT314" s="15"/>
      <c r="BZV314" s="13"/>
      <c r="BZW314" s="35"/>
      <c r="BZX314" s="35"/>
      <c r="BZY314" s="15"/>
      <c r="CAA314" s="13"/>
      <c r="CAB314" s="35"/>
      <c r="CAC314" s="35"/>
      <c r="CAD314" s="15"/>
      <c r="CAF314" s="13"/>
      <c r="CAG314" s="35"/>
      <c r="CAH314" s="35"/>
      <c r="CAI314" s="15"/>
      <c r="CAK314" s="13"/>
      <c r="CAL314" s="35"/>
      <c r="CAM314" s="35"/>
      <c r="CAN314" s="15"/>
      <c r="CAP314" s="13"/>
      <c r="CAQ314" s="35"/>
      <c r="CAR314" s="35"/>
      <c r="CAS314" s="15"/>
      <c r="CAU314" s="13"/>
      <c r="CAV314" s="35"/>
      <c r="CAW314" s="35"/>
      <c r="CAX314" s="15"/>
      <c r="CAZ314" s="13"/>
      <c r="CBA314" s="35"/>
      <c r="CBB314" s="35"/>
      <c r="CBC314" s="15"/>
      <c r="CBE314" s="13"/>
      <c r="CBF314" s="35"/>
      <c r="CBG314" s="35"/>
      <c r="CBH314" s="15"/>
      <c r="CBJ314" s="13"/>
      <c r="CBK314" s="35"/>
      <c r="CBL314" s="35"/>
      <c r="CBM314" s="15"/>
      <c r="CBO314" s="13"/>
      <c r="CBP314" s="35"/>
      <c r="CBQ314" s="35"/>
      <c r="CBR314" s="15"/>
      <c r="CBT314" s="13"/>
      <c r="CBU314" s="35"/>
      <c r="CBV314" s="35"/>
      <c r="CBW314" s="15"/>
      <c r="CBY314" s="13"/>
      <c r="CBZ314" s="35"/>
      <c r="CCA314" s="35"/>
      <c r="CCB314" s="15"/>
      <c r="CCD314" s="13"/>
      <c r="CCE314" s="35"/>
      <c r="CCF314" s="35"/>
      <c r="CCG314" s="15"/>
      <c r="CCI314" s="13"/>
      <c r="CCJ314" s="35"/>
      <c r="CCK314" s="35"/>
      <c r="CCL314" s="15"/>
      <c r="CCN314" s="13"/>
      <c r="CCO314" s="35"/>
      <c r="CCP314" s="35"/>
      <c r="CCQ314" s="15"/>
      <c r="CCS314" s="13"/>
      <c r="CCT314" s="35"/>
      <c r="CCU314" s="35"/>
      <c r="CCV314" s="15"/>
      <c r="CCX314" s="13"/>
      <c r="CCY314" s="35"/>
      <c r="CCZ314" s="35"/>
      <c r="CDA314" s="15"/>
      <c r="CDC314" s="13"/>
      <c r="CDD314" s="35"/>
      <c r="CDE314" s="35"/>
      <c r="CDF314" s="15"/>
      <c r="CDH314" s="13"/>
      <c r="CDI314" s="35"/>
      <c r="CDJ314" s="35"/>
      <c r="CDK314" s="15"/>
      <c r="CDM314" s="13"/>
      <c r="CDN314" s="35"/>
      <c r="CDO314" s="35"/>
      <c r="CDP314" s="15"/>
      <c r="CDR314" s="13"/>
      <c r="CDS314" s="35"/>
      <c r="CDT314" s="35"/>
      <c r="CDU314" s="15"/>
      <c r="CDW314" s="13"/>
      <c r="CDX314" s="35"/>
      <c r="CDY314" s="35"/>
      <c r="CDZ314" s="15"/>
      <c r="CEB314" s="13"/>
      <c r="CEC314" s="35"/>
      <c r="CED314" s="35"/>
      <c r="CEE314" s="15"/>
      <c r="CEG314" s="13"/>
      <c r="CEH314" s="35"/>
      <c r="CEI314" s="35"/>
      <c r="CEJ314" s="15"/>
      <c r="CEL314" s="13"/>
      <c r="CEM314" s="35"/>
      <c r="CEN314" s="35"/>
      <c r="CEO314" s="15"/>
      <c r="CEQ314" s="13"/>
      <c r="CER314" s="35"/>
      <c r="CES314" s="35"/>
      <c r="CET314" s="15"/>
      <c r="CEV314" s="13"/>
      <c r="CEW314" s="35"/>
      <c r="CEX314" s="35"/>
      <c r="CEY314" s="15"/>
      <c r="CFA314" s="13"/>
      <c r="CFB314" s="35"/>
      <c r="CFC314" s="35"/>
      <c r="CFD314" s="15"/>
      <c r="CFF314" s="13"/>
      <c r="CFG314" s="35"/>
      <c r="CFH314" s="35"/>
      <c r="CFI314" s="15"/>
      <c r="CFK314" s="13"/>
      <c r="CFL314" s="35"/>
      <c r="CFM314" s="35"/>
      <c r="CFN314" s="15"/>
      <c r="CFP314" s="13"/>
      <c r="CFQ314" s="35"/>
      <c r="CFR314" s="35"/>
      <c r="CFS314" s="15"/>
      <c r="CFU314" s="13"/>
      <c r="CFV314" s="35"/>
      <c r="CFW314" s="35"/>
      <c r="CFX314" s="15"/>
      <c r="CFZ314" s="13"/>
      <c r="CGA314" s="35"/>
      <c r="CGB314" s="35"/>
      <c r="CGC314" s="15"/>
      <c r="CGE314" s="13"/>
      <c r="CGF314" s="35"/>
      <c r="CGG314" s="35"/>
      <c r="CGH314" s="15"/>
      <c r="CGJ314" s="13"/>
      <c r="CGK314" s="35"/>
      <c r="CGL314" s="35"/>
      <c r="CGM314" s="15"/>
      <c r="CGO314" s="13"/>
      <c r="CGP314" s="35"/>
      <c r="CGQ314" s="35"/>
      <c r="CGR314" s="15"/>
      <c r="CGT314" s="13"/>
      <c r="CGU314" s="35"/>
      <c r="CGV314" s="35"/>
      <c r="CGW314" s="15"/>
      <c r="CGY314" s="13"/>
      <c r="CGZ314" s="35"/>
      <c r="CHA314" s="35"/>
      <c r="CHB314" s="15"/>
      <c r="CHD314" s="13"/>
      <c r="CHE314" s="35"/>
      <c r="CHF314" s="35"/>
      <c r="CHG314" s="15"/>
      <c r="CHI314" s="13"/>
      <c r="CHJ314" s="35"/>
      <c r="CHK314" s="35"/>
      <c r="CHL314" s="15"/>
      <c r="CHN314" s="13"/>
      <c r="CHO314" s="35"/>
      <c r="CHP314" s="35"/>
      <c r="CHQ314" s="15"/>
      <c r="CHS314" s="13"/>
      <c r="CHT314" s="35"/>
      <c r="CHU314" s="35"/>
      <c r="CHV314" s="15"/>
      <c r="CHX314" s="13"/>
      <c r="CHY314" s="35"/>
      <c r="CHZ314" s="35"/>
      <c r="CIA314" s="15"/>
      <c r="CIC314" s="13"/>
      <c r="CID314" s="35"/>
      <c r="CIE314" s="35"/>
      <c r="CIF314" s="15"/>
      <c r="CIH314" s="13"/>
      <c r="CII314" s="35"/>
      <c r="CIJ314" s="35"/>
      <c r="CIK314" s="15"/>
      <c r="CIM314" s="13"/>
      <c r="CIN314" s="35"/>
      <c r="CIO314" s="35"/>
      <c r="CIP314" s="15"/>
      <c r="CIR314" s="13"/>
      <c r="CIS314" s="35"/>
      <c r="CIT314" s="35"/>
      <c r="CIU314" s="15"/>
      <c r="CIW314" s="13"/>
      <c r="CIX314" s="35"/>
      <c r="CIY314" s="35"/>
      <c r="CIZ314" s="15"/>
      <c r="CJB314" s="13"/>
      <c r="CJC314" s="35"/>
      <c r="CJD314" s="35"/>
      <c r="CJE314" s="15"/>
      <c r="CJG314" s="13"/>
      <c r="CJH314" s="35"/>
      <c r="CJI314" s="35"/>
      <c r="CJJ314" s="15"/>
      <c r="CJL314" s="13"/>
      <c r="CJM314" s="35"/>
      <c r="CJN314" s="35"/>
      <c r="CJO314" s="15"/>
      <c r="CJQ314" s="13"/>
      <c r="CJR314" s="35"/>
      <c r="CJS314" s="35"/>
      <c r="CJT314" s="15"/>
      <c r="CJV314" s="13"/>
      <c r="CJW314" s="35"/>
      <c r="CJX314" s="35"/>
      <c r="CJY314" s="15"/>
      <c r="CKA314" s="13"/>
      <c r="CKB314" s="35"/>
      <c r="CKC314" s="35"/>
      <c r="CKD314" s="15"/>
      <c r="CKF314" s="13"/>
      <c r="CKG314" s="35"/>
      <c r="CKH314" s="35"/>
      <c r="CKI314" s="15"/>
      <c r="CKK314" s="13"/>
      <c r="CKL314" s="35"/>
      <c r="CKM314" s="35"/>
      <c r="CKN314" s="15"/>
      <c r="CKP314" s="13"/>
      <c r="CKQ314" s="35"/>
      <c r="CKR314" s="35"/>
      <c r="CKS314" s="15"/>
      <c r="CKU314" s="13"/>
      <c r="CKV314" s="35"/>
      <c r="CKW314" s="35"/>
      <c r="CKX314" s="15"/>
      <c r="CKZ314" s="13"/>
      <c r="CLA314" s="35"/>
      <c r="CLB314" s="35"/>
      <c r="CLC314" s="15"/>
      <c r="CLE314" s="13"/>
      <c r="CLF314" s="35"/>
      <c r="CLG314" s="35"/>
      <c r="CLH314" s="15"/>
      <c r="CLJ314" s="13"/>
      <c r="CLK314" s="35"/>
      <c r="CLL314" s="35"/>
      <c r="CLM314" s="15"/>
      <c r="CLO314" s="13"/>
      <c r="CLP314" s="35"/>
      <c r="CLQ314" s="35"/>
      <c r="CLR314" s="15"/>
      <c r="CLT314" s="13"/>
      <c r="CLU314" s="35"/>
      <c r="CLV314" s="35"/>
      <c r="CLW314" s="15"/>
      <c r="CLY314" s="13"/>
      <c r="CLZ314" s="35"/>
      <c r="CMA314" s="35"/>
      <c r="CMB314" s="15"/>
      <c r="CMD314" s="13"/>
      <c r="CME314" s="35"/>
      <c r="CMF314" s="35"/>
      <c r="CMG314" s="15"/>
      <c r="CMI314" s="13"/>
      <c r="CMJ314" s="35"/>
      <c r="CMK314" s="35"/>
      <c r="CML314" s="15"/>
      <c r="CMN314" s="13"/>
      <c r="CMO314" s="35"/>
      <c r="CMP314" s="35"/>
      <c r="CMQ314" s="15"/>
      <c r="CMS314" s="13"/>
      <c r="CMT314" s="35"/>
      <c r="CMU314" s="35"/>
      <c r="CMV314" s="15"/>
      <c r="CMX314" s="13"/>
      <c r="CMY314" s="35"/>
      <c r="CMZ314" s="35"/>
      <c r="CNA314" s="15"/>
      <c r="CNC314" s="13"/>
      <c r="CND314" s="35"/>
      <c r="CNE314" s="35"/>
      <c r="CNF314" s="15"/>
      <c r="CNH314" s="13"/>
      <c r="CNI314" s="35"/>
      <c r="CNJ314" s="35"/>
      <c r="CNK314" s="15"/>
      <c r="CNM314" s="13"/>
      <c r="CNN314" s="35"/>
      <c r="CNO314" s="35"/>
      <c r="CNP314" s="15"/>
      <c r="CNR314" s="13"/>
      <c r="CNS314" s="35"/>
      <c r="CNT314" s="35"/>
      <c r="CNU314" s="15"/>
      <c r="CNW314" s="13"/>
      <c r="CNX314" s="35"/>
      <c r="CNY314" s="35"/>
      <c r="CNZ314" s="15"/>
      <c r="COB314" s="13"/>
      <c r="COC314" s="35"/>
      <c r="COD314" s="35"/>
      <c r="COE314" s="15"/>
      <c r="COG314" s="13"/>
      <c r="COH314" s="35"/>
      <c r="COI314" s="35"/>
      <c r="COJ314" s="15"/>
      <c r="COL314" s="13"/>
      <c r="COM314" s="35"/>
      <c r="CON314" s="35"/>
      <c r="COO314" s="15"/>
      <c r="COQ314" s="13"/>
      <c r="COR314" s="35"/>
      <c r="COS314" s="35"/>
      <c r="COT314" s="15"/>
      <c r="COV314" s="13"/>
      <c r="COW314" s="35"/>
      <c r="COX314" s="35"/>
      <c r="COY314" s="15"/>
      <c r="CPA314" s="13"/>
      <c r="CPB314" s="35"/>
      <c r="CPC314" s="35"/>
      <c r="CPD314" s="15"/>
      <c r="CPF314" s="13"/>
      <c r="CPG314" s="35"/>
      <c r="CPH314" s="35"/>
      <c r="CPI314" s="15"/>
      <c r="CPK314" s="13"/>
      <c r="CPL314" s="35"/>
      <c r="CPM314" s="35"/>
      <c r="CPN314" s="15"/>
      <c r="CPP314" s="13"/>
      <c r="CPQ314" s="35"/>
      <c r="CPR314" s="35"/>
      <c r="CPS314" s="15"/>
      <c r="CPU314" s="13"/>
      <c r="CPV314" s="35"/>
      <c r="CPW314" s="35"/>
      <c r="CPX314" s="15"/>
      <c r="CPZ314" s="13"/>
      <c r="CQA314" s="35"/>
      <c r="CQB314" s="35"/>
      <c r="CQC314" s="15"/>
      <c r="CQE314" s="13"/>
      <c r="CQF314" s="35"/>
      <c r="CQG314" s="35"/>
      <c r="CQH314" s="15"/>
      <c r="CQJ314" s="13"/>
      <c r="CQK314" s="35"/>
      <c r="CQL314" s="35"/>
      <c r="CQM314" s="15"/>
      <c r="CQO314" s="13"/>
      <c r="CQP314" s="35"/>
      <c r="CQQ314" s="35"/>
      <c r="CQR314" s="15"/>
      <c r="CQT314" s="13"/>
      <c r="CQU314" s="35"/>
      <c r="CQV314" s="35"/>
      <c r="CQW314" s="15"/>
      <c r="CQY314" s="13"/>
      <c r="CQZ314" s="35"/>
      <c r="CRA314" s="35"/>
      <c r="CRB314" s="15"/>
      <c r="CRD314" s="13"/>
      <c r="CRE314" s="35"/>
      <c r="CRF314" s="35"/>
      <c r="CRG314" s="15"/>
      <c r="CRI314" s="13"/>
      <c r="CRJ314" s="35"/>
      <c r="CRK314" s="35"/>
      <c r="CRL314" s="15"/>
      <c r="CRN314" s="13"/>
      <c r="CRO314" s="35"/>
      <c r="CRP314" s="35"/>
      <c r="CRQ314" s="15"/>
      <c r="CRS314" s="13"/>
      <c r="CRT314" s="35"/>
      <c r="CRU314" s="35"/>
      <c r="CRV314" s="15"/>
      <c r="CRX314" s="13"/>
      <c r="CRY314" s="35"/>
      <c r="CRZ314" s="35"/>
      <c r="CSA314" s="15"/>
      <c r="CSC314" s="13"/>
      <c r="CSD314" s="35"/>
      <c r="CSE314" s="35"/>
      <c r="CSF314" s="15"/>
      <c r="CSH314" s="13"/>
      <c r="CSI314" s="35"/>
      <c r="CSJ314" s="35"/>
      <c r="CSK314" s="15"/>
      <c r="CSM314" s="13"/>
      <c r="CSN314" s="35"/>
      <c r="CSO314" s="35"/>
      <c r="CSP314" s="15"/>
      <c r="CSR314" s="13"/>
      <c r="CSS314" s="35"/>
      <c r="CST314" s="35"/>
      <c r="CSU314" s="15"/>
      <c r="CSW314" s="13"/>
      <c r="CSX314" s="35"/>
      <c r="CSY314" s="35"/>
      <c r="CSZ314" s="15"/>
      <c r="CTB314" s="13"/>
      <c r="CTC314" s="35"/>
      <c r="CTD314" s="35"/>
      <c r="CTE314" s="15"/>
      <c r="CTG314" s="13"/>
      <c r="CTH314" s="35"/>
      <c r="CTI314" s="35"/>
      <c r="CTJ314" s="15"/>
      <c r="CTL314" s="13"/>
      <c r="CTM314" s="35"/>
      <c r="CTN314" s="35"/>
      <c r="CTO314" s="15"/>
      <c r="CTQ314" s="13"/>
      <c r="CTR314" s="35"/>
      <c r="CTS314" s="35"/>
      <c r="CTT314" s="15"/>
      <c r="CTV314" s="13"/>
      <c r="CTW314" s="35"/>
      <c r="CTX314" s="35"/>
      <c r="CTY314" s="15"/>
      <c r="CUA314" s="13"/>
      <c r="CUB314" s="35"/>
      <c r="CUC314" s="35"/>
      <c r="CUD314" s="15"/>
      <c r="CUF314" s="13"/>
      <c r="CUG314" s="35"/>
      <c r="CUH314" s="35"/>
      <c r="CUI314" s="15"/>
      <c r="CUK314" s="13"/>
      <c r="CUL314" s="35"/>
      <c r="CUM314" s="35"/>
      <c r="CUN314" s="15"/>
      <c r="CUP314" s="13"/>
      <c r="CUQ314" s="35"/>
      <c r="CUR314" s="35"/>
      <c r="CUS314" s="15"/>
      <c r="CUU314" s="13"/>
      <c r="CUV314" s="35"/>
      <c r="CUW314" s="35"/>
      <c r="CUX314" s="15"/>
      <c r="CUZ314" s="13"/>
      <c r="CVA314" s="35"/>
      <c r="CVB314" s="35"/>
      <c r="CVC314" s="15"/>
      <c r="CVE314" s="13"/>
      <c r="CVF314" s="35"/>
      <c r="CVG314" s="35"/>
      <c r="CVH314" s="15"/>
      <c r="CVJ314" s="13"/>
      <c r="CVK314" s="35"/>
      <c r="CVL314" s="35"/>
      <c r="CVM314" s="15"/>
      <c r="CVO314" s="13"/>
      <c r="CVP314" s="35"/>
      <c r="CVQ314" s="35"/>
      <c r="CVR314" s="15"/>
      <c r="CVT314" s="13"/>
      <c r="CVU314" s="35"/>
      <c r="CVV314" s="35"/>
      <c r="CVW314" s="15"/>
      <c r="CVY314" s="13"/>
      <c r="CVZ314" s="35"/>
      <c r="CWA314" s="35"/>
      <c r="CWB314" s="15"/>
      <c r="CWD314" s="13"/>
      <c r="CWE314" s="35"/>
      <c r="CWF314" s="35"/>
      <c r="CWG314" s="15"/>
      <c r="CWI314" s="13"/>
      <c r="CWJ314" s="35"/>
      <c r="CWK314" s="35"/>
      <c r="CWL314" s="15"/>
      <c r="CWN314" s="13"/>
      <c r="CWO314" s="35"/>
      <c r="CWP314" s="35"/>
      <c r="CWQ314" s="15"/>
      <c r="CWS314" s="13"/>
      <c r="CWT314" s="35"/>
      <c r="CWU314" s="35"/>
      <c r="CWV314" s="15"/>
      <c r="CWX314" s="13"/>
      <c r="CWY314" s="35"/>
      <c r="CWZ314" s="35"/>
      <c r="CXA314" s="15"/>
      <c r="CXC314" s="13"/>
      <c r="CXD314" s="35"/>
      <c r="CXE314" s="35"/>
      <c r="CXF314" s="15"/>
      <c r="CXH314" s="13"/>
      <c r="CXI314" s="35"/>
      <c r="CXJ314" s="35"/>
      <c r="CXK314" s="15"/>
      <c r="CXM314" s="13"/>
      <c r="CXN314" s="35"/>
      <c r="CXO314" s="35"/>
      <c r="CXP314" s="15"/>
      <c r="CXR314" s="13"/>
      <c r="CXS314" s="35"/>
      <c r="CXT314" s="35"/>
      <c r="CXU314" s="15"/>
      <c r="CXW314" s="13"/>
      <c r="CXX314" s="35"/>
      <c r="CXY314" s="35"/>
      <c r="CXZ314" s="15"/>
      <c r="CYB314" s="13"/>
      <c r="CYC314" s="35"/>
      <c r="CYD314" s="35"/>
      <c r="CYE314" s="15"/>
      <c r="CYG314" s="13"/>
      <c r="CYH314" s="35"/>
      <c r="CYI314" s="35"/>
      <c r="CYJ314" s="15"/>
      <c r="CYL314" s="13"/>
      <c r="CYM314" s="35"/>
      <c r="CYN314" s="35"/>
      <c r="CYO314" s="15"/>
      <c r="CYQ314" s="13"/>
      <c r="CYR314" s="35"/>
      <c r="CYS314" s="35"/>
      <c r="CYT314" s="15"/>
      <c r="CYV314" s="13"/>
      <c r="CYW314" s="35"/>
      <c r="CYX314" s="35"/>
      <c r="CYY314" s="15"/>
      <c r="CZA314" s="13"/>
      <c r="CZB314" s="35"/>
      <c r="CZC314" s="35"/>
      <c r="CZD314" s="15"/>
      <c r="CZF314" s="13"/>
      <c r="CZG314" s="35"/>
      <c r="CZH314" s="35"/>
      <c r="CZI314" s="15"/>
      <c r="CZK314" s="13"/>
      <c r="CZL314" s="35"/>
      <c r="CZM314" s="35"/>
      <c r="CZN314" s="15"/>
      <c r="CZP314" s="13"/>
      <c r="CZQ314" s="35"/>
      <c r="CZR314" s="35"/>
      <c r="CZS314" s="15"/>
      <c r="CZU314" s="13"/>
      <c r="CZV314" s="35"/>
      <c r="CZW314" s="35"/>
      <c r="CZX314" s="15"/>
      <c r="CZZ314" s="13"/>
      <c r="DAA314" s="35"/>
      <c r="DAB314" s="35"/>
      <c r="DAC314" s="15"/>
      <c r="DAE314" s="13"/>
      <c r="DAF314" s="35"/>
      <c r="DAG314" s="35"/>
      <c r="DAH314" s="15"/>
      <c r="DAJ314" s="13"/>
      <c r="DAK314" s="35"/>
      <c r="DAL314" s="35"/>
      <c r="DAM314" s="15"/>
      <c r="DAO314" s="13"/>
      <c r="DAP314" s="35"/>
      <c r="DAQ314" s="35"/>
      <c r="DAR314" s="15"/>
      <c r="DAT314" s="13"/>
      <c r="DAU314" s="35"/>
      <c r="DAV314" s="35"/>
      <c r="DAW314" s="15"/>
      <c r="DAY314" s="13"/>
      <c r="DAZ314" s="35"/>
      <c r="DBA314" s="35"/>
      <c r="DBB314" s="15"/>
      <c r="DBD314" s="13"/>
      <c r="DBE314" s="35"/>
      <c r="DBF314" s="35"/>
      <c r="DBG314" s="15"/>
      <c r="DBI314" s="13"/>
      <c r="DBJ314" s="35"/>
      <c r="DBK314" s="35"/>
      <c r="DBL314" s="15"/>
      <c r="DBN314" s="13"/>
      <c r="DBO314" s="35"/>
      <c r="DBP314" s="35"/>
      <c r="DBQ314" s="15"/>
      <c r="DBS314" s="13"/>
      <c r="DBT314" s="35"/>
      <c r="DBU314" s="35"/>
      <c r="DBV314" s="15"/>
      <c r="DBX314" s="13"/>
      <c r="DBY314" s="35"/>
      <c r="DBZ314" s="35"/>
      <c r="DCA314" s="15"/>
      <c r="DCC314" s="13"/>
      <c r="DCD314" s="35"/>
      <c r="DCE314" s="35"/>
      <c r="DCF314" s="15"/>
      <c r="DCH314" s="13"/>
      <c r="DCI314" s="35"/>
      <c r="DCJ314" s="35"/>
      <c r="DCK314" s="15"/>
      <c r="DCM314" s="13"/>
      <c r="DCN314" s="35"/>
      <c r="DCO314" s="35"/>
      <c r="DCP314" s="15"/>
      <c r="DCR314" s="13"/>
      <c r="DCS314" s="35"/>
      <c r="DCT314" s="35"/>
      <c r="DCU314" s="15"/>
      <c r="DCW314" s="13"/>
      <c r="DCX314" s="35"/>
      <c r="DCY314" s="35"/>
      <c r="DCZ314" s="15"/>
      <c r="DDB314" s="13"/>
      <c r="DDC314" s="35"/>
      <c r="DDD314" s="35"/>
      <c r="DDE314" s="15"/>
      <c r="DDG314" s="13"/>
      <c r="DDH314" s="35"/>
      <c r="DDI314" s="35"/>
      <c r="DDJ314" s="15"/>
      <c r="DDL314" s="13"/>
      <c r="DDM314" s="35"/>
      <c r="DDN314" s="35"/>
      <c r="DDO314" s="15"/>
      <c r="DDQ314" s="13"/>
      <c r="DDR314" s="35"/>
      <c r="DDS314" s="35"/>
      <c r="DDT314" s="15"/>
      <c r="DDV314" s="13"/>
      <c r="DDW314" s="35"/>
      <c r="DDX314" s="35"/>
      <c r="DDY314" s="15"/>
      <c r="DEA314" s="13"/>
      <c r="DEB314" s="35"/>
      <c r="DEC314" s="35"/>
      <c r="DED314" s="15"/>
      <c r="DEF314" s="13"/>
      <c r="DEG314" s="35"/>
      <c r="DEH314" s="35"/>
      <c r="DEI314" s="15"/>
      <c r="DEK314" s="13"/>
      <c r="DEL314" s="35"/>
      <c r="DEM314" s="35"/>
      <c r="DEN314" s="15"/>
      <c r="DEP314" s="13"/>
      <c r="DEQ314" s="35"/>
      <c r="DER314" s="35"/>
      <c r="DES314" s="15"/>
      <c r="DEU314" s="13"/>
      <c r="DEV314" s="35"/>
      <c r="DEW314" s="35"/>
      <c r="DEX314" s="15"/>
      <c r="DEZ314" s="13"/>
      <c r="DFA314" s="35"/>
      <c r="DFB314" s="35"/>
      <c r="DFC314" s="15"/>
      <c r="DFE314" s="13"/>
      <c r="DFF314" s="35"/>
      <c r="DFG314" s="35"/>
      <c r="DFH314" s="15"/>
      <c r="DFJ314" s="13"/>
      <c r="DFK314" s="35"/>
      <c r="DFL314" s="35"/>
      <c r="DFM314" s="15"/>
      <c r="DFO314" s="13"/>
      <c r="DFP314" s="35"/>
      <c r="DFQ314" s="35"/>
      <c r="DFR314" s="15"/>
      <c r="DFT314" s="13"/>
      <c r="DFU314" s="35"/>
      <c r="DFV314" s="35"/>
      <c r="DFW314" s="15"/>
      <c r="DFY314" s="13"/>
      <c r="DFZ314" s="35"/>
      <c r="DGA314" s="35"/>
      <c r="DGB314" s="15"/>
      <c r="DGD314" s="13"/>
      <c r="DGE314" s="35"/>
      <c r="DGF314" s="35"/>
      <c r="DGG314" s="15"/>
      <c r="DGI314" s="13"/>
      <c r="DGJ314" s="35"/>
      <c r="DGK314" s="35"/>
      <c r="DGL314" s="15"/>
      <c r="DGN314" s="13"/>
      <c r="DGO314" s="35"/>
      <c r="DGP314" s="35"/>
      <c r="DGQ314" s="15"/>
      <c r="DGS314" s="13"/>
      <c r="DGT314" s="35"/>
      <c r="DGU314" s="35"/>
      <c r="DGV314" s="15"/>
      <c r="DGX314" s="13"/>
      <c r="DGY314" s="35"/>
      <c r="DGZ314" s="35"/>
      <c r="DHA314" s="15"/>
      <c r="DHC314" s="13"/>
      <c r="DHD314" s="35"/>
      <c r="DHE314" s="35"/>
      <c r="DHF314" s="15"/>
      <c r="DHH314" s="13"/>
      <c r="DHI314" s="35"/>
      <c r="DHJ314" s="35"/>
      <c r="DHK314" s="15"/>
      <c r="DHM314" s="13"/>
      <c r="DHN314" s="35"/>
      <c r="DHO314" s="35"/>
      <c r="DHP314" s="15"/>
      <c r="DHR314" s="13"/>
      <c r="DHS314" s="35"/>
      <c r="DHT314" s="35"/>
      <c r="DHU314" s="15"/>
      <c r="DHW314" s="13"/>
      <c r="DHX314" s="35"/>
      <c r="DHY314" s="35"/>
      <c r="DHZ314" s="15"/>
      <c r="DIB314" s="13"/>
      <c r="DIC314" s="35"/>
      <c r="DID314" s="35"/>
      <c r="DIE314" s="15"/>
      <c r="DIG314" s="13"/>
      <c r="DIH314" s="35"/>
      <c r="DII314" s="35"/>
      <c r="DIJ314" s="15"/>
      <c r="DIL314" s="13"/>
      <c r="DIM314" s="35"/>
      <c r="DIN314" s="35"/>
      <c r="DIO314" s="15"/>
      <c r="DIQ314" s="13"/>
      <c r="DIR314" s="35"/>
      <c r="DIS314" s="35"/>
      <c r="DIT314" s="15"/>
      <c r="DIV314" s="13"/>
      <c r="DIW314" s="35"/>
      <c r="DIX314" s="35"/>
      <c r="DIY314" s="15"/>
      <c r="DJA314" s="13"/>
      <c r="DJB314" s="35"/>
      <c r="DJC314" s="35"/>
      <c r="DJD314" s="15"/>
      <c r="DJF314" s="13"/>
      <c r="DJG314" s="35"/>
      <c r="DJH314" s="35"/>
      <c r="DJI314" s="15"/>
      <c r="DJK314" s="13"/>
      <c r="DJL314" s="35"/>
      <c r="DJM314" s="35"/>
      <c r="DJN314" s="15"/>
      <c r="DJP314" s="13"/>
      <c r="DJQ314" s="35"/>
      <c r="DJR314" s="35"/>
      <c r="DJS314" s="15"/>
      <c r="DJU314" s="13"/>
      <c r="DJV314" s="35"/>
      <c r="DJW314" s="35"/>
      <c r="DJX314" s="15"/>
      <c r="DJZ314" s="13"/>
      <c r="DKA314" s="35"/>
      <c r="DKB314" s="35"/>
      <c r="DKC314" s="15"/>
      <c r="DKE314" s="13"/>
      <c r="DKF314" s="35"/>
      <c r="DKG314" s="35"/>
      <c r="DKH314" s="15"/>
      <c r="DKJ314" s="13"/>
      <c r="DKK314" s="35"/>
      <c r="DKL314" s="35"/>
      <c r="DKM314" s="15"/>
      <c r="DKO314" s="13"/>
      <c r="DKP314" s="35"/>
      <c r="DKQ314" s="35"/>
      <c r="DKR314" s="15"/>
      <c r="DKT314" s="13"/>
      <c r="DKU314" s="35"/>
      <c r="DKV314" s="35"/>
      <c r="DKW314" s="15"/>
      <c r="DKY314" s="13"/>
      <c r="DKZ314" s="35"/>
      <c r="DLA314" s="35"/>
      <c r="DLB314" s="15"/>
      <c r="DLD314" s="13"/>
      <c r="DLE314" s="35"/>
      <c r="DLF314" s="35"/>
      <c r="DLG314" s="15"/>
      <c r="DLI314" s="13"/>
      <c r="DLJ314" s="35"/>
      <c r="DLK314" s="35"/>
      <c r="DLL314" s="15"/>
      <c r="DLN314" s="13"/>
      <c r="DLO314" s="35"/>
      <c r="DLP314" s="35"/>
      <c r="DLQ314" s="15"/>
      <c r="DLS314" s="13"/>
      <c r="DLT314" s="35"/>
      <c r="DLU314" s="35"/>
      <c r="DLV314" s="15"/>
      <c r="DLX314" s="13"/>
      <c r="DLY314" s="35"/>
      <c r="DLZ314" s="35"/>
      <c r="DMA314" s="15"/>
      <c r="DMC314" s="13"/>
      <c r="DMD314" s="35"/>
      <c r="DME314" s="35"/>
      <c r="DMF314" s="15"/>
      <c r="DMH314" s="13"/>
      <c r="DMI314" s="35"/>
      <c r="DMJ314" s="35"/>
      <c r="DMK314" s="15"/>
      <c r="DMM314" s="13"/>
      <c r="DMN314" s="35"/>
      <c r="DMO314" s="35"/>
      <c r="DMP314" s="15"/>
      <c r="DMR314" s="13"/>
      <c r="DMS314" s="35"/>
      <c r="DMT314" s="35"/>
      <c r="DMU314" s="15"/>
      <c r="DMW314" s="13"/>
      <c r="DMX314" s="35"/>
      <c r="DMY314" s="35"/>
      <c r="DMZ314" s="15"/>
      <c r="DNB314" s="13"/>
      <c r="DNC314" s="35"/>
      <c r="DND314" s="35"/>
      <c r="DNE314" s="15"/>
      <c r="DNG314" s="13"/>
      <c r="DNH314" s="35"/>
      <c r="DNI314" s="35"/>
      <c r="DNJ314" s="15"/>
      <c r="DNL314" s="13"/>
      <c r="DNM314" s="35"/>
      <c r="DNN314" s="35"/>
      <c r="DNO314" s="15"/>
      <c r="DNQ314" s="13"/>
      <c r="DNR314" s="35"/>
      <c r="DNS314" s="35"/>
      <c r="DNT314" s="15"/>
      <c r="DNV314" s="13"/>
      <c r="DNW314" s="35"/>
      <c r="DNX314" s="35"/>
      <c r="DNY314" s="15"/>
      <c r="DOA314" s="13"/>
      <c r="DOB314" s="35"/>
      <c r="DOC314" s="35"/>
      <c r="DOD314" s="15"/>
      <c r="DOF314" s="13"/>
      <c r="DOG314" s="35"/>
      <c r="DOH314" s="35"/>
      <c r="DOI314" s="15"/>
      <c r="DOK314" s="13"/>
      <c r="DOL314" s="35"/>
      <c r="DOM314" s="35"/>
      <c r="DON314" s="15"/>
      <c r="DOP314" s="13"/>
      <c r="DOQ314" s="35"/>
      <c r="DOR314" s="35"/>
      <c r="DOS314" s="15"/>
      <c r="DOU314" s="13"/>
      <c r="DOV314" s="35"/>
      <c r="DOW314" s="35"/>
      <c r="DOX314" s="15"/>
      <c r="DOZ314" s="13"/>
      <c r="DPA314" s="35"/>
      <c r="DPB314" s="35"/>
      <c r="DPC314" s="15"/>
      <c r="DPE314" s="13"/>
      <c r="DPF314" s="35"/>
      <c r="DPG314" s="35"/>
      <c r="DPH314" s="15"/>
      <c r="DPJ314" s="13"/>
      <c r="DPK314" s="35"/>
      <c r="DPL314" s="35"/>
      <c r="DPM314" s="15"/>
      <c r="DPO314" s="13"/>
      <c r="DPP314" s="35"/>
      <c r="DPQ314" s="35"/>
      <c r="DPR314" s="15"/>
      <c r="DPT314" s="13"/>
      <c r="DPU314" s="35"/>
      <c r="DPV314" s="35"/>
      <c r="DPW314" s="15"/>
      <c r="DPY314" s="13"/>
      <c r="DPZ314" s="35"/>
      <c r="DQA314" s="35"/>
      <c r="DQB314" s="15"/>
      <c r="DQD314" s="13"/>
      <c r="DQE314" s="35"/>
      <c r="DQF314" s="35"/>
      <c r="DQG314" s="15"/>
      <c r="DQI314" s="13"/>
      <c r="DQJ314" s="35"/>
      <c r="DQK314" s="35"/>
      <c r="DQL314" s="15"/>
      <c r="DQN314" s="13"/>
      <c r="DQO314" s="35"/>
      <c r="DQP314" s="35"/>
      <c r="DQQ314" s="15"/>
      <c r="DQS314" s="13"/>
      <c r="DQT314" s="35"/>
      <c r="DQU314" s="35"/>
      <c r="DQV314" s="15"/>
      <c r="DQX314" s="13"/>
      <c r="DQY314" s="35"/>
      <c r="DQZ314" s="35"/>
      <c r="DRA314" s="15"/>
      <c r="DRC314" s="13"/>
      <c r="DRD314" s="35"/>
      <c r="DRE314" s="35"/>
      <c r="DRF314" s="15"/>
      <c r="DRH314" s="13"/>
      <c r="DRI314" s="35"/>
      <c r="DRJ314" s="35"/>
      <c r="DRK314" s="15"/>
      <c r="DRM314" s="13"/>
      <c r="DRN314" s="35"/>
      <c r="DRO314" s="35"/>
      <c r="DRP314" s="15"/>
      <c r="DRR314" s="13"/>
      <c r="DRS314" s="35"/>
      <c r="DRT314" s="35"/>
      <c r="DRU314" s="15"/>
      <c r="DRW314" s="13"/>
      <c r="DRX314" s="35"/>
      <c r="DRY314" s="35"/>
      <c r="DRZ314" s="15"/>
      <c r="DSB314" s="13"/>
      <c r="DSC314" s="35"/>
      <c r="DSD314" s="35"/>
      <c r="DSE314" s="15"/>
      <c r="DSG314" s="13"/>
      <c r="DSH314" s="35"/>
      <c r="DSI314" s="35"/>
      <c r="DSJ314" s="15"/>
      <c r="DSL314" s="13"/>
      <c r="DSM314" s="35"/>
      <c r="DSN314" s="35"/>
      <c r="DSO314" s="15"/>
      <c r="DSQ314" s="13"/>
      <c r="DSR314" s="35"/>
      <c r="DSS314" s="35"/>
      <c r="DST314" s="15"/>
      <c r="DSV314" s="13"/>
      <c r="DSW314" s="35"/>
      <c r="DSX314" s="35"/>
      <c r="DSY314" s="15"/>
      <c r="DTA314" s="13"/>
      <c r="DTB314" s="35"/>
      <c r="DTC314" s="35"/>
      <c r="DTD314" s="15"/>
      <c r="DTF314" s="13"/>
      <c r="DTG314" s="35"/>
      <c r="DTH314" s="35"/>
      <c r="DTI314" s="15"/>
      <c r="DTK314" s="13"/>
      <c r="DTL314" s="35"/>
      <c r="DTM314" s="35"/>
      <c r="DTN314" s="15"/>
      <c r="DTP314" s="13"/>
      <c r="DTQ314" s="35"/>
      <c r="DTR314" s="35"/>
      <c r="DTS314" s="15"/>
      <c r="DTU314" s="13"/>
      <c r="DTV314" s="35"/>
      <c r="DTW314" s="35"/>
      <c r="DTX314" s="15"/>
      <c r="DTZ314" s="13"/>
      <c r="DUA314" s="35"/>
      <c r="DUB314" s="35"/>
      <c r="DUC314" s="15"/>
      <c r="DUE314" s="13"/>
      <c r="DUF314" s="35"/>
      <c r="DUG314" s="35"/>
      <c r="DUH314" s="15"/>
      <c r="DUJ314" s="13"/>
      <c r="DUK314" s="35"/>
      <c r="DUL314" s="35"/>
      <c r="DUM314" s="15"/>
      <c r="DUO314" s="13"/>
      <c r="DUP314" s="35"/>
      <c r="DUQ314" s="35"/>
      <c r="DUR314" s="15"/>
      <c r="DUT314" s="13"/>
      <c r="DUU314" s="35"/>
      <c r="DUV314" s="35"/>
      <c r="DUW314" s="15"/>
      <c r="DUY314" s="13"/>
      <c r="DUZ314" s="35"/>
      <c r="DVA314" s="35"/>
      <c r="DVB314" s="15"/>
      <c r="DVD314" s="13"/>
      <c r="DVE314" s="35"/>
      <c r="DVF314" s="35"/>
      <c r="DVG314" s="15"/>
      <c r="DVI314" s="13"/>
      <c r="DVJ314" s="35"/>
      <c r="DVK314" s="35"/>
      <c r="DVL314" s="15"/>
      <c r="DVN314" s="13"/>
      <c r="DVO314" s="35"/>
      <c r="DVP314" s="35"/>
      <c r="DVQ314" s="15"/>
      <c r="DVS314" s="13"/>
      <c r="DVT314" s="35"/>
      <c r="DVU314" s="35"/>
      <c r="DVV314" s="15"/>
      <c r="DVX314" s="13"/>
      <c r="DVY314" s="35"/>
      <c r="DVZ314" s="35"/>
      <c r="DWA314" s="15"/>
      <c r="DWC314" s="13"/>
      <c r="DWD314" s="35"/>
      <c r="DWE314" s="35"/>
      <c r="DWF314" s="15"/>
      <c r="DWH314" s="13"/>
      <c r="DWI314" s="35"/>
      <c r="DWJ314" s="35"/>
      <c r="DWK314" s="15"/>
      <c r="DWM314" s="13"/>
      <c r="DWN314" s="35"/>
      <c r="DWO314" s="35"/>
      <c r="DWP314" s="15"/>
      <c r="DWR314" s="13"/>
      <c r="DWS314" s="35"/>
      <c r="DWT314" s="35"/>
      <c r="DWU314" s="15"/>
      <c r="DWW314" s="13"/>
      <c r="DWX314" s="35"/>
      <c r="DWY314" s="35"/>
      <c r="DWZ314" s="15"/>
      <c r="DXB314" s="13"/>
      <c r="DXC314" s="35"/>
      <c r="DXD314" s="35"/>
      <c r="DXE314" s="15"/>
      <c r="DXG314" s="13"/>
      <c r="DXH314" s="35"/>
      <c r="DXI314" s="35"/>
      <c r="DXJ314" s="15"/>
      <c r="DXL314" s="13"/>
      <c r="DXM314" s="35"/>
      <c r="DXN314" s="35"/>
      <c r="DXO314" s="15"/>
      <c r="DXQ314" s="13"/>
      <c r="DXR314" s="35"/>
      <c r="DXS314" s="35"/>
      <c r="DXT314" s="15"/>
      <c r="DXV314" s="13"/>
      <c r="DXW314" s="35"/>
      <c r="DXX314" s="35"/>
      <c r="DXY314" s="15"/>
      <c r="DYA314" s="13"/>
      <c r="DYB314" s="35"/>
      <c r="DYC314" s="35"/>
      <c r="DYD314" s="15"/>
      <c r="DYF314" s="13"/>
      <c r="DYG314" s="35"/>
      <c r="DYH314" s="35"/>
      <c r="DYI314" s="15"/>
      <c r="DYK314" s="13"/>
      <c r="DYL314" s="35"/>
      <c r="DYM314" s="35"/>
      <c r="DYN314" s="15"/>
      <c r="DYP314" s="13"/>
      <c r="DYQ314" s="35"/>
      <c r="DYR314" s="35"/>
      <c r="DYS314" s="15"/>
      <c r="DYU314" s="13"/>
      <c r="DYV314" s="35"/>
      <c r="DYW314" s="35"/>
      <c r="DYX314" s="15"/>
      <c r="DYZ314" s="13"/>
      <c r="DZA314" s="35"/>
      <c r="DZB314" s="35"/>
      <c r="DZC314" s="15"/>
      <c r="DZE314" s="13"/>
      <c r="DZF314" s="35"/>
      <c r="DZG314" s="35"/>
      <c r="DZH314" s="15"/>
      <c r="DZJ314" s="13"/>
      <c r="DZK314" s="35"/>
      <c r="DZL314" s="35"/>
      <c r="DZM314" s="15"/>
      <c r="DZO314" s="13"/>
      <c r="DZP314" s="35"/>
      <c r="DZQ314" s="35"/>
      <c r="DZR314" s="15"/>
      <c r="DZT314" s="13"/>
      <c r="DZU314" s="35"/>
      <c r="DZV314" s="35"/>
      <c r="DZW314" s="15"/>
      <c r="DZY314" s="13"/>
      <c r="DZZ314" s="35"/>
      <c r="EAA314" s="35"/>
      <c r="EAB314" s="15"/>
      <c r="EAD314" s="13"/>
      <c r="EAE314" s="35"/>
      <c r="EAF314" s="35"/>
      <c r="EAG314" s="15"/>
      <c r="EAI314" s="13"/>
      <c r="EAJ314" s="35"/>
      <c r="EAK314" s="35"/>
      <c r="EAL314" s="15"/>
      <c r="EAN314" s="13"/>
      <c r="EAO314" s="35"/>
      <c r="EAP314" s="35"/>
      <c r="EAQ314" s="15"/>
      <c r="EAS314" s="13"/>
      <c r="EAT314" s="35"/>
      <c r="EAU314" s="35"/>
      <c r="EAV314" s="15"/>
      <c r="EAX314" s="13"/>
      <c r="EAY314" s="35"/>
      <c r="EAZ314" s="35"/>
      <c r="EBA314" s="15"/>
      <c r="EBC314" s="13"/>
      <c r="EBD314" s="35"/>
      <c r="EBE314" s="35"/>
      <c r="EBF314" s="15"/>
      <c r="EBH314" s="13"/>
      <c r="EBI314" s="35"/>
      <c r="EBJ314" s="35"/>
      <c r="EBK314" s="15"/>
      <c r="EBM314" s="13"/>
      <c r="EBN314" s="35"/>
      <c r="EBO314" s="35"/>
      <c r="EBP314" s="15"/>
      <c r="EBR314" s="13"/>
      <c r="EBS314" s="35"/>
      <c r="EBT314" s="35"/>
      <c r="EBU314" s="15"/>
      <c r="EBW314" s="13"/>
      <c r="EBX314" s="35"/>
      <c r="EBY314" s="35"/>
      <c r="EBZ314" s="15"/>
      <c r="ECB314" s="13"/>
      <c r="ECC314" s="35"/>
      <c r="ECD314" s="35"/>
      <c r="ECE314" s="15"/>
      <c r="ECG314" s="13"/>
      <c r="ECH314" s="35"/>
      <c r="ECI314" s="35"/>
      <c r="ECJ314" s="15"/>
      <c r="ECL314" s="13"/>
      <c r="ECM314" s="35"/>
      <c r="ECN314" s="35"/>
      <c r="ECO314" s="15"/>
      <c r="ECQ314" s="13"/>
      <c r="ECR314" s="35"/>
      <c r="ECS314" s="35"/>
      <c r="ECT314" s="15"/>
      <c r="ECV314" s="13"/>
      <c r="ECW314" s="35"/>
      <c r="ECX314" s="35"/>
      <c r="ECY314" s="15"/>
      <c r="EDA314" s="13"/>
      <c r="EDB314" s="35"/>
      <c r="EDC314" s="35"/>
      <c r="EDD314" s="15"/>
      <c r="EDF314" s="13"/>
      <c r="EDG314" s="35"/>
      <c r="EDH314" s="35"/>
      <c r="EDI314" s="15"/>
      <c r="EDK314" s="13"/>
      <c r="EDL314" s="35"/>
      <c r="EDM314" s="35"/>
      <c r="EDN314" s="15"/>
      <c r="EDP314" s="13"/>
      <c r="EDQ314" s="35"/>
      <c r="EDR314" s="35"/>
      <c r="EDS314" s="15"/>
      <c r="EDU314" s="13"/>
      <c r="EDV314" s="35"/>
      <c r="EDW314" s="35"/>
      <c r="EDX314" s="15"/>
      <c r="EDZ314" s="13"/>
      <c r="EEA314" s="35"/>
      <c r="EEB314" s="35"/>
      <c r="EEC314" s="15"/>
      <c r="EEE314" s="13"/>
      <c r="EEF314" s="35"/>
      <c r="EEG314" s="35"/>
      <c r="EEH314" s="15"/>
      <c r="EEJ314" s="13"/>
      <c r="EEK314" s="35"/>
      <c r="EEL314" s="35"/>
      <c r="EEM314" s="15"/>
      <c r="EEO314" s="13"/>
      <c r="EEP314" s="35"/>
      <c r="EEQ314" s="35"/>
      <c r="EER314" s="15"/>
      <c r="EET314" s="13"/>
      <c r="EEU314" s="35"/>
      <c r="EEV314" s="35"/>
      <c r="EEW314" s="15"/>
      <c r="EEY314" s="13"/>
      <c r="EEZ314" s="35"/>
      <c r="EFA314" s="35"/>
      <c r="EFB314" s="15"/>
      <c r="EFD314" s="13"/>
      <c r="EFE314" s="35"/>
      <c r="EFF314" s="35"/>
      <c r="EFG314" s="15"/>
      <c r="EFI314" s="13"/>
      <c r="EFJ314" s="35"/>
      <c r="EFK314" s="35"/>
      <c r="EFL314" s="15"/>
      <c r="EFN314" s="13"/>
      <c r="EFO314" s="35"/>
      <c r="EFP314" s="35"/>
      <c r="EFQ314" s="15"/>
      <c r="EFS314" s="13"/>
      <c r="EFT314" s="35"/>
      <c r="EFU314" s="35"/>
      <c r="EFV314" s="15"/>
      <c r="EFX314" s="13"/>
      <c r="EFY314" s="35"/>
      <c r="EFZ314" s="35"/>
      <c r="EGA314" s="15"/>
      <c r="EGC314" s="13"/>
      <c r="EGD314" s="35"/>
      <c r="EGE314" s="35"/>
      <c r="EGF314" s="15"/>
      <c r="EGH314" s="13"/>
      <c r="EGI314" s="35"/>
      <c r="EGJ314" s="35"/>
      <c r="EGK314" s="15"/>
      <c r="EGM314" s="13"/>
      <c r="EGN314" s="35"/>
      <c r="EGO314" s="35"/>
      <c r="EGP314" s="15"/>
      <c r="EGR314" s="13"/>
      <c r="EGS314" s="35"/>
      <c r="EGT314" s="35"/>
      <c r="EGU314" s="15"/>
      <c r="EGW314" s="13"/>
      <c r="EGX314" s="35"/>
      <c r="EGY314" s="35"/>
      <c r="EGZ314" s="15"/>
      <c r="EHB314" s="13"/>
      <c r="EHC314" s="35"/>
      <c r="EHD314" s="35"/>
      <c r="EHE314" s="15"/>
      <c r="EHG314" s="13"/>
      <c r="EHH314" s="35"/>
      <c r="EHI314" s="35"/>
      <c r="EHJ314" s="15"/>
      <c r="EHL314" s="13"/>
      <c r="EHM314" s="35"/>
      <c r="EHN314" s="35"/>
      <c r="EHO314" s="15"/>
      <c r="EHQ314" s="13"/>
      <c r="EHR314" s="35"/>
      <c r="EHS314" s="35"/>
      <c r="EHT314" s="15"/>
      <c r="EHV314" s="13"/>
      <c r="EHW314" s="35"/>
      <c r="EHX314" s="35"/>
      <c r="EHY314" s="15"/>
      <c r="EIA314" s="13"/>
      <c r="EIB314" s="35"/>
      <c r="EIC314" s="35"/>
      <c r="EID314" s="15"/>
      <c r="EIF314" s="13"/>
      <c r="EIG314" s="35"/>
      <c r="EIH314" s="35"/>
      <c r="EII314" s="15"/>
      <c r="EIK314" s="13"/>
      <c r="EIL314" s="35"/>
      <c r="EIM314" s="35"/>
      <c r="EIN314" s="15"/>
      <c r="EIP314" s="13"/>
      <c r="EIQ314" s="35"/>
      <c r="EIR314" s="35"/>
      <c r="EIS314" s="15"/>
      <c r="EIU314" s="13"/>
      <c r="EIV314" s="35"/>
      <c r="EIW314" s="35"/>
      <c r="EIX314" s="15"/>
      <c r="EIZ314" s="13"/>
      <c r="EJA314" s="35"/>
      <c r="EJB314" s="35"/>
      <c r="EJC314" s="15"/>
      <c r="EJE314" s="13"/>
      <c r="EJF314" s="35"/>
      <c r="EJG314" s="35"/>
      <c r="EJH314" s="15"/>
      <c r="EJJ314" s="13"/>
      <c r="EJK314" s="35"/>
      <c r="EJL314" s="35"/>
      <c r="EJM314" s="15"/>
      <c r="EJO314" s="13"/>
      <c r="EJP314" s="35"/>
      <c r="EJQ314" s="35"/>
      <c r="EJR314" s="15"/>
      <c r="EJT314" s="13"/>
      <c r="EJU314" s="35"/>
      <c r="EJV314" s="35"/>
      <c r="EJW314" s="15"/>
      <c r="EJY314" s="13"/>
      <c r="EJZ314" s="35"/>
      <c r="EKA314" s="35"/>
      <c r="EKB314" s="15"/>
      <c r="EKD314" s="13"/>
      <c r="EKE314" s="35"/>
      <c r="EKF314" s="35"/>
      <c r="EKG314" s="15"/>
      <c r="EKI314" s="13"/>
      <c r="EKJ314" s="35"/>
      <c r="EKK314" s="35"/>
      <c r="EKL314" s="15"/>
      <c r="EKN314" s="13"/>
      <c r="EKO314" s="35"/>
      <c r="EKP314" s="35"/>
      <c r="EKQ314" s="15"/>
      <c r="EKS314" s="13"/>
      <c r="EKT314" s="35"/>
      <c r="EKU314" s="35"/>
      <c r="EKV314" s="15"/>
      <c r="EKX314" s="13"/>
      <c r="EKY314" s="35"/>
      <c r="EKZ314" s="35"/>
      <c r="ELA314" s="15"/>
      <c r="ELC314" s="13"/>
      <c r="ELD314" s="35"/>
      <c r="ELE314" s="35"/>
      <c r="ELF314" s="15"/>
      <c r="ELH314" s="13"/>
      <c r="ELI314" s="35"/>
      <c r="ELJ314" s="35"/>
      <c r="ELK314" s="15"/>
      <c r="ELM314" s="13"/>
      <c r="ELN314" s="35"/>
      <c r="ELO314" s="35"/>
      <c r="ELP314" s="15"/>
      <c r="ELR314" s="13"/>
      <c r="ELS314" s="35"/>
      <c r="ELT314" s="35"/>
      <c r="ELU314" s="15"/>
      <c r="ELW314" s="13"/>
      <c r="ELX314" s="35"/>
      <c r="ELY314" s="35"/>
      <c r="ELZ314" s="15"/>
      <c r="EMB314" s="13"/>
      <c r="EMC314" s="35"/>
      <c r="EMD314" s="35"/>
      <c r="EME314" s="15"/>
      <c r="EMG314" s="13"/>
      <c r="EMH314" s="35"/>
      <c r="EMI314" s="35"/>
      <c r="EMJ314" s="15"/>
      <c r="EML314" s="13"/>
      <c r="EMM314" s="35"/>
      <c r="EMN314" s="35"/>
      <c r="EMO314" s="15"/>
      <c r="EMQ314" s="13"/>
      <c r="EMR314" s="35"/>
      <c r="EMS314" s="35"/>
      <c r="EMT314" s="15"/>
      <c r="EMV314" s="13"/>
      <c r="EMW314" s="35"/>
      <c r="EMX314" s="35"/>
      <c r="EMY314" s="15"/>
      <c r="ENA314" s="13"/>
      <c r="ENB314" s="35"/>
      <c r="ENC314" s="35"/>
      <c r="END314" s="15"/>
      <c r="ENF314" s="13"/>
      <c r="ENG314" s="35"/>
      <c r="ENH314" s="35"/>
      <c r="ENI314" s="15"/>
      <c r="ENK314" s="13"/>
      <c r="ENL314" s="35"/>
      <c r="ENM314" s="35"/>
      <c r="ENN314" s="15"/>
      <c r="ENP314" s="13"/>
      <c r="ENQ314" s="35"/>
      <c r="ENR314" s="35"/>
      <c r="ENS314" s="15"/>
      <c r="ENU314" s="13"/>
      <c r="ENV314" s="35"/>
      <c r="ENW314" s="35"/>
      <c r="ENX314" s="15"/>
      <c r="ENZ314" s="13"/>
      <c r="EOA314" s="35"/>
      <c r="EOB314" s="35"/>
      <c r="EOC314" s="15"/>
      <c r="EOE314" s="13"/>
      <c r="EOF314" s="35"/>
      <c r="EOG314" s="35"/>
      <c r="EOH314" s="15"/>
      <c r="EOJ314" s="13"/>
      <c r="EOK314" s="35"/>
      <c r="EOL314" s="35"/>
      <c r="EOM314" s="15"/>
      <c r="EOO314" s="13"/>
      <c r="EOP314" s="35"/>
      <c r="EOQ314" s="35"/>
      <c r="EOR314" s="15"/>
      <c r="EOT314" s="13"/>
      <c r="EOU314" s="35"/>
      <c r="EOV314" s="35"/>
      <c r="EOW314" s="15"/>
      <c r="EOY314" s="13"/>
      <c r="EOZ314" s="35"/>
      <c r="EPA314" s="35"/>
      <c r="EPB314" s="15"/>
      <c r="EPD314" s="13"/>
      <c r="EPE314" s="35"/>
      <c r="EPF314" s="35"/>
      <c r="EPG314" s="15"/>
      <c r="EPI314" s="13"/>
      <c r="EPJ314" s="35"/>
      <c r="EPK314" s="35"/>
      <c r="EPL314" s="15"/>
      <c r="EPN314" s="13"/>
      <c r="EPO314" s="35"/>
      <c r="EPP314" s="35"/>
      <c r="EPQ314" s="15"/>
      <c r="EPS314" s="13"/>
      <c r="EPT314" s="35"/>
      <c r="EPU314" s="35"/>
      <c r="EPV314" s="15"/>
      <c r="EPX314" s="13"/>
      <c r="EPY314" s="35"/>
      <c r="EPZ314" s="35"/>
      <c r="EQA314" s="15"/>
      <c r="EQC314" s="13"/>
      <c r="EQD314" s="35"/>
      <c r="EQE314" s="35"/>
      <c r="EQF314" s="15"/>
      <c r="EQH314" s="13"/>
      <c r="EQI314" s="35"/>
      <c r="EQJ314" s="35"/>
      <c r="EQK314" s="15"/>
      <c r="EQM314" s="13"/>
      <c r="EQN314" s="35"/>
      <c r="EQO314" s="35"/>
      <c r="EQP314" s="15"/>
      <c r="EQR314" s="13"/>
      <c r="EQS314" s="35"/>
      <c r="EQT314" s="35"/>
      <c r="EQU314" s="15"/>
      <c r="EQW314" s="13"/>
      <c r="EQX314" s="35"/>
      <c r="EQY314" s="35"/>
      <c r="EQZ314" s="15"/>
      <c r="ERB314" s="13"/>
      <c r="ERC314" s="35"/>
      <c r="ERD314" s="35"/>
      <c r="ERE314" s="15"/>
      <c r="ERG314" s="13"/>
      <c r="ERH314" s="35"/>
      <c r="ERI314" s="35"/>
      <c r="ERJ314" s="15"/>
      <c r="ERL314" s="13"/>
      <c r="ERM314" s="35"/>
      <c r="ERN314" s="35"/>
      <c r="ERO314" s="15"/>
      <c r="ERQ314" s="13"/>
      <c r="ERR314" s="35"/>
      <c r="ERS314" s="35"/>
      <c r="ERT314" s="15"/>
      <c r="ERV314" s="13"/>
      <c r="ERW314" s="35"/>
      <c r="ERX314" s="35"/>
      <c r="ERY314" s="15"/>
      <c r="ESA314" s="13"/>
      <c r="ESB314" s="35"/>
      <c r="ESC314" s="35"/>
      <c r="ESD314" s="15"/>
      <c r="ESF314" s="13"/>
      <c r="ESG314" s="35"/>
      <c r="ESH314" s="35"/>
      <c r="ESI314" s="15"/>
      <c r="ESK314" s="13"/>
      <c r="ESL314" s="35"/>
      <c r="ESM314" s="35"/>
      <c r="ESN314" s="15"/>
      <c r="ESP314" s="13"/>
      <c r="ESQ314" s="35"/>
      <c r="ESR314" s="35"/>
      <c r="ESS314" s="15"/>
      <c r="ESU314" s="13"/>
      <c r="ESV314" s="35"/>
      <c r="ESW314" s="35"/>
      <c r="ESX314" s="15"/>
      <c r="ESZ314" s="13"/>
      <c r="ETA314" s="35"/>
      <c r="ETB314" s="35"/>
      <c r="ETC314" s="15"/>
      <c r="ETE314" s="13"/>
      <c r="ETF314" s="35"/>
      <c r="ETG314" s="35"/>
      <c r="ETH314" s="15"/>
      <c r="ETJ314" s="13"/>
      <c r="ETK314" s="35"/>
      <c r="ETL314" s="35"/>
      <c r="ETM314" s="15"/>
      <c r="ETO314" s="13"/>
      <c r="ETP314" s="35"/>
      <c r="ETQ314" s="35"/>
      <c r="ETR314" s="15"/>
      <c r="ETT314" s="13"/>
      <c r="ETU314" s="35"/>
      <c r="ETV314" s="35"/>
      <c r="ETW314" s="15"/>
      <c r="ETY314" s="13"/>
      <c r="ETZ314" s="35"/>
      <c r="EUA314" s="35"/>
      <c r="EUB314" s="15"/>
      <c r="EUD314" s="13"/>
      <c r="EUE314" s="35"/>
      <c r="EUF314" s="35"/>
      <c r="EUG314" s="15"/>
      <c r="EUI314" s="13"/>
      <c r="EUJ314" s="35"/>
      <c r="EUK314" s="35"/>
      <c r="EUL314" s="15"/>
      <c r="EUN314" s="13"/>
      <c r="EUO314" s="35"/>
      <c r="EUP314" s="35"/>
      <c r="EUQ314" s="15"/>
      <c r="EUS314" s="13"/>
      <c r="EUT314" s="35"/>
      <c r="EUU314" s="35"/>
      <c r="EUV314" s="15"/>
      <c r="EUX314" s="13"/>
      <c r="EUY314" s="35"/>
      <c r="EUZ314" s="35"/>
      <c r="EVA314" s="15"/>
      <c r="EVC314" s="13"/>
      <c r="EVD314" s="35"/>
      <c r="EVE314" s="35"/>
      <c r="EVF314" s="15"/>
      <c r="EVH314" s="13"/>
      <c r="EVI314" s="35"/>
      <c r="EVJ314" s="35"/>
      <c r="EVK314" s="15"/>
      <c r="EVM314" s="13"/>
      <c r="EVN314" s="35"/>
      <c r="EVO314" s="35"/>
      <c r="EVP314" s="15"/>
      <c r="EVR314" s="13"/>
      <c r="EVS314" s="35"/>
      <c r="EVT314" s="35"/>
      <c r="EVU314" s="15"/>
      <c r="EVW314" s="13"/>
      <c r="EVX314" s="35"/>
      <c r="EVY314" s="35"/>
      <c r="EVZ314" s="15"/>
      <c r="EWB314" s="13"/>
      <c r="EWC314" s="35"/>
      <c r="EWD314" s="35"/>
      <c r="EWE314" s="15"/>
      <c r="EWG314" s="13"/>
      <c r="EWH314" s="35"/>
      <c r="EWI314" s="35"/>
      <c r="EWJ314" s="15"/>
      <c r="EWL314" s="13"/>
      <c r="EWM314" s="35"/>
      <c r="EWN314" s="35"/>
      <c r="EWO314" s="15"/>
      <c r="EWQ314" s="13"/>
      <c r="EWR314" s="35"/>
      <c r="EWS314" s="35"/>
      <c r="EWT314" s="15"/>
      <c r="EWV314" s="13"/>
      <c r="EWW314" s="35"/>
      <c r="EWX314" s="35"/>
      <c r="EWY314" s="15"/>
      <c r="EXA314" s="13"/>
      <c r="EXB314" s="35"/>
      <c r="EXC314" s="35"/>
      <c r="EXD314" s="15"/>
      <c r="EXF314" s="13"/>
      <c r="EXG314" s="35"/>
      <c r="EXH314" s="35"/>
      <c r="EXI314" s="15"/>
      <c r="EXK314" s="13"/>
      <c r="EXL314" s="35"/>
      <c r="EXM314" s="35"/>
      <c r="EXN314" s="15"/>
      <c r="EXP314" s="13"/>
      <c r="EXQ314" s="35"/>
      <c r="EXR314" s="35"/>
      <c r="EXS314" s="15"/>
      <c r="EXU314" s="13"/>
      <c r="EXV314" s="35"/>
      <c r="EXW314" s="35"/>
      <c r="EXX314" s="15"/>
      <c r="EXZ314" s="13"/>
      <c r="EYA314" s="35"/>
      <c r="EYB314" s="35"/>
      <c r="EYC314" s="15"/>
      <c r="EYE314" s="13"/>
      <c r="EYF314" s="35"/>
      <c r="EYG314" s="35"/>
      <c r="EYH314" s="15"/>
      <c r="EYJ314" s="13"/>
      <c r="EYK314" s="35"/>
      <c r="EYL314" s="35"/>
      <c r="EYM314" s="15"/>
      <c r="EYO314" s="13"/>
      <c r="EYP314" s="35"/>
      <c r="EYQ314" s="35"/>
      <c r="EYR314" s="15"/>
      <c r="EYT314" s="13"/>
      <c r="EYU314" s="35"/>
      <c r="EYV314" s="35"/>
      <c r="EYW314" s="15"/>
      <c r="EYY314" s="13"/>
      <c r="EYZ314" s="35"/>
      <c r="EZA314" s="35"/>
      <c r="EZB314" s="15"/>
      <c r="EZD314" s="13"/>
      <c r="EZE314" s="35"/>
      <c r="EZF314" s="35"/>
      <c r="EZG314" s="15"/>
      <c r="EZI314" s="13"/>
      <c r="EZJ314" s="35"/>
      <c r="EZK314" s="35"/>
      <c r="EZL314" s="15"/>
      <c r="EZN314" s="13"/>
      <c r="EZO314" s="35"/>
      <c r="EZP314" s="35"/>
      <c r="EZQ314" s="15"/>
      <c r="EZS314" s="13"/>
      <c r="EZT314" s="35"/>
      <c r="EZU314" s="35"/>
      <c r="EZV314" s="15"/>
      <c r="EZX314" s="13"/>
      <c r="EZY314" s="35"/>
      <c r="EZZ314" s="35"/>
      <c r="FAA314" s="15"/>
      <c r="FAC314" s="13"/>
      <c r="FAD314" s="35"/>
      <c r="FAE314" s="35"/>
      <c r="FAF314" s="15"/>
      <c r="FAH314" s="13"/>
      <c r="FAI314" s="35"/>
      <c r="FAJ314" s="35"/>
      <c r="FAK314" s="15"/>
      <c r="FAM314" s="13"/>
      <c r="FAN314" s="35"/>
      <c r="FAO314" s="35"/>
      <c r="FAP314" s="15"/>
      <c r="FAR314" s="13"/>
      <c r="FAS314" s="35"/>
      <c r="FAT314" s="35"/>
      <c r="FAU314" s="15"/>
      <c r="FAW314" s="13"/>
      <c r="FAX314" s="35"/>
      <c r="FAY314" s="35"/>
      <c r="FAZ314" s="15"/>
      <c r="FBB314" s="13"/>
      <c r="FBC314" s="35"/>
      <c r="FBD314" s="35"/>
      <c r="FBE314" s="15"/>
      <c r="FBG314" s="13"/>
      <c r="FBH314" s="35"/>
      <c r="FBI314" s="35"/>
      <c r="FBJ314" s="15"/>
      <c r="FBL314" s="13"/>
      <c r="FBM314" s="35"/>
      <c r="FBN314" s="35"/>
      <c r="FBO314" s="15"/>
      <c r="FBQ314" s="13"/>
      <c r="FBR314" s="35"/>
      <c r="FBS314" s="35"/>
      <c r="FBT314" s="15"/>
      <c r="FBV314" s="13"/>
      <c r="FBW314" s="35"/>
      <c r="FBX314" s="35"/>
      <c r="FBY314" s="15"/>
      <c r="FCA314" s="13"/>
      <c r="FCB314" s="35"/>
      <c r="FCC314" s="35"/>
      <c r="FCD314" s="15"/>
      <c r="FCF314" s="13"/>
      <c r="FCG314" s="35"/>
      <c r="FCH314" s="35"/>
      <c r="FCI314" s="15"/>
      <c r="FCK314" s="13"/>
      <c r="FCL314" s="35"/>
      <c r="FCM314" s="35"/>
      <c r="FCN314" s="15"/>
      <c r="FCP314" s="13"/>
      <c r="FCQ314" s="35"/>
      <c r="FCR314" s="35"/>
      <c r="FCS314" s="15"/>
      <c r="FCU314" s="13"/>
      <c r="FCV314" s="35"/>
      <c r="FCW314" s="35"/>
      <c r="FCX314" s="15"/>
      <c r="FCZ314" s="13"/>
      <c r="FDA314" s="35"/>
      <c r="FDB314" s="35"/>
      <c r="FDC314" s="15"/>
      <c r="FDE314" s="13"/>
      <c r="FDF314" s="35"/>
      <c r="FDG314" s="35"/>
      <c r="FDH314" s="15"/>
      <c r="FDJ314" s="13"/>
      <c r="FDK314" s="35"/>
      <c r="FDL314" s="35"/>
      <c r="FDM314" s="15"/>
      <c r="FDO314" s="13"/>
      <c r="FDP314" s="35"/>
      <c r="FDQ314" s="35"/>
      <c r="FDR314" s="15"/>
      <c r="FDT314" s="13"/>
      <c r="FDU314" s="35"/>
      <c r="FDV314" s="35"/>
      <c r="FDW314" s="15"/>
      <c r="FDY314" s="13"/>
      <c r="FDZ314" s="35"/>
      <c r="FEA314" s="35"/>
      <c r="FEB314" s="15"/>
      <c r="FED314" s="13"/>
      <c r="FEE314" s="35"/>
      <c r="FEF314" s="35"/>
      <c r="FEG314" s="15"/>
      <c r="FEI314" s="13"/>
      <c r="FEJ314" s="35"/>
      <c r="FEK314" s="35"/>
      <c r="FEL314" s="15"/>
      <c r="FEN314" s="13"/>
      <c r="FEO314" s="35"/>
      <c r="FEP314" s="35"/>
      <c r="FEQ314" s="15"/>
      <c r="FES314" s="13"/>
      <c r="FET314" s="35"/>
      <c r="FEU314" s="35"/>
      <c r="FEV314" s="15"/>
      <c r="FEX314" s="13"/>
      <c r="FEY314" s="35"/>
      <c r="FEZ314" s="35"/>
      <c r="FFA314" s="15"/>
      <c r="FFC314" s="13"/>
      <c r="FFD314" s="35"/>
      <c r="FFE314" s="35"/>
      <c r="FFF314" s="15"/>
      <c r="FFH314" s="13"/>
      <c r="FFI314" s="35"/>
      <c r="FFJ314" s="35"/>
      <c r="FFK314" s="15"/>
      <c r="FFM314" s="13"/>
      <c r="FFN314" s="35"/>
      <c r="FFO314" s="35"/>
      <c r="FFP314" s="15"/>
      <c r="FFR314" s="13"/>
      <c r="FFS314" s="35"/>
      <c r="FFT314" s="35"/>
      <c r="FFU314" s="15"/>
      <c r="FFW314" s="13"/>
      <c r="FFX314" s="35"/>
      <c r="FFY314" s="35"/>
      <c r="FFZ314" s="15"/>
      <c r="FGB314" s="13"/>
      <c r="FGC314" s="35"/>
      <c r="FGD314" s="35"/>
      <c r="FGE314" s="15"/>
      <c r="FGG314" s="13"/>
      <c r="FGH314" s="35"/>
      <c r="FGI314" s="35"/>
      <c r="FGJ314" s="15"/>
      <c r="FGL314" s="13"/>
      <c r="FGM314" s="35"/>
      <c r="FGN314" s="35"/>
      <c r="FGO314" s="15"/>
      <c r="FGQ314" s="13"/>
      <c r="FGR314" s="35"/>
      <c r="FGS314" s="35"/>
      <c r="FGT314" s="15"/>
      <c r="FGV314" s="13"/>
      <c r="FGW314" s="35"/>
      <c r="FGX314" s="35"/>
      <c r="FGY314" s="15"/>
      <c r="FHA314" s="13"/>
      <c r="FHB314" s="35"/>
      <c r="FHC314" s="35"/>
      <c r="FHD314" s="15"/>
      <c r="FHF314" s="13"/>
      <c r="FHG314" s="35"/>
      <c r="FHH314" s="35"/>
      <c r="FHI314" s="15"/>
      <c r="FHK314" s="13"/>
      <c r="FHL314" s="35"/>
      <c r="FHM314" s="35"/>
      <c r="FHN314" s="15"/>
      <c r="FHP314" s="13"/>
      <c r="FHQ314" s="35"/>
      <c r="FHR314" s="35"/>
      <c r="FHS314" s="15"/>
      <c r="FHU314" s="13"/>
      <c r="FHV314" s="35"/>
      <c r="FHW314" s="35"/>
      <c r="FHX314" s="15"/>
      <c r="FHZ314" s="13"/>
      <c r="FIA314" s="35"/>
      <c r="FIB314" s="35"/>
      <c r="FIC314" s="15"/>
      <c r="FIE314" s="13"/>
      <c r="FIF314" s="35"/>
      <c r="FIG314" s="35"/>
      <c r="FIH314" s="15"/>
      <c r="FIJ314" s="13"/>
      <c r="FIK314" s="35"/>
      <c r="FIL314" s="35"/>
      <c r="FIM314" s="15"/>
      <c r="FIO314" s="13"/>
      <c r="FIP314" s="35"/>
      <c r="FIQ314" s="35"/>
      <c r="FIR314" s="15"/>
      <c r="FIT314" s="13"/>
      <c r="FIU314" s="35"/>
      <c r="FIV314" s="35"/>
      <c r="FIW314" s="15"/>
      <c r="FIY314" s="13"/>
      <c r="FIZ314" s="35"/>
      <c r="FJA314" s="35"/>
      <c r="FJB314" s="15"/>
      <c r="FJD314" s="13"/>
      <c r="FJE314" s="35"/>
      <c r="FJF314" s="35"/>
      <c r="FJG314" s="15"/>
      <c r="FJI314" s="13"/>
      <c r="FJJ314" s="35"/>
      <c r="FJK314" s="35"/>
      <c r="FJL314" s="15"/>
      <c r="FJN314" s="13"/>
      <c r="FJO314" s="35"/>
      <c r="FJP314" s="35"/>
      <c r="FJQ314" s="15"/>
      <c r="FJS314" s="13"/>
      <c r="FJT314" s="35"/>
      <c r="FJU314" s="35"/>
      <c r="FJV314" s="15"/>
      <c r="FJX314" s="13"/>
      <c r="FJY314" s="35"/>
      <c r="FJZ314" s="35"/>
      <c r="FKA314" s="15"/>
      <c r="FKC314" s="13"/>
      <c r="FKD314" s="35"/>
      <c r="FKE314" s="35"/>
      <c r="FKF314" s="15"/>
      <c r="FKH314" s="13"/>
      <c r="FKI314" s="35"/>
      <c r="FKJ314" s="35"/>
      <c r="FKK314" s="15"/>
      <c r="FKM314" s="13"/>
      <c r="FKN314" s="35"/>
      <c r="FKO314" s="35"/>
      <c r="FKP314" s="15"/>
      <c r="FKR314" s="13"/>
      <c r="FKS314" s="35"/>
      <c r="FKT314" s="35"/>
      <c r="FKU314" s="15"/>
      <c r="FKW314" s="13"/>
      <c r="FKX314" s="35"/>
      <c r="FKY314" s="35"/>
      <c r="FKZ314" s="15"/>
      <c r="FLB314" s="13"/>
      <c r="FLC314" s="35"/>
      <c r="FLD314" s="35"/>
      <c r="FLE314" s="15"/>
      <c r="FLG314" s="13"/>
      <c r="FLH314" s="35"/>
      <c r="FLI314" s="35"/>
      <c r="FLJ314" s="15"/>
      <c r="FLL314" s="13"/>
      <c r="FLM314" s="35"/>
      <c r="FLN314" s="35"/>
      <c r="FLO314" s="15"/>
      <c r="FLQ314" s="13"/>
      <c r="FLR314" s="35"/>
      <c r="FLS314" s="35"/>
      <c r="FLT314" s="15"/>
      <c r="FLV314" s="13"/>
      <c r="FLW314" s="35"/>
      <c r="FLX314" s="35"/>
      <c r="FLY314" s="15"/>
      <c r="FMA314" s="13"/>
      <c r="FMB314" s="35"/>
      <c r="FMC314" s="35"/>
      <c r="FMD314" s="15"/>
      <c r="FMF314" s="13"/>
      <c r="FMG314" s="35"/>
      <c r="FMH314" s="35"/>
      <c r="FMI314" s="15"/>
      <c r="FMK314" s="13"/>
      <c r="FML314" s="35"/>
      <c r="FMM314" s="35"/>
      <c r="FMN314" s="15"/>
      <c r="FMP314" s="13"/>
      <c r="FMQ314" s="35"/>
      <c r="FMR314" s="35"/>
      <c r="FMS314" s="15"/>
      <c r="FMU314" s="13"/>
      <c r="FMV314" s="35"/>
      <c r="FMW314" s="35"/>
      <c r="FMX314" s="15"/>
      <c r="FMZ314" s="13"/>
      <c r="FNA314" s="35"/>
      <c r="FNB314" s="35"/>
      <c r="FNC314" s="15"/>
      <c r="FNE314" s="13"/>
      <c r="FNF314" s="35"/>
      <c r="FNG314" s="35"/>
      <c r="FNH314" s="15"/>
      <c r="FNJ314" s="13"/>
      <c r="FNK314" s="35"/>
      <c r="FNL314" s="35"/>
      <c r="FNM314" s="15"/>
      <c r="FNO314" s="13"/>
      <c r="FNP314" s="35"/>
      <c r="FNQ314" s="35"/>
      <c r="FNR314" s="15"/>
      <c r="FNT314" s="13"/>
      <c r="FNU314" s="35"/>
      <c r="FNV314" s="35"/>
      <c r="FNW314" s="15"/>
      <c r="FNY314" s="13"/>
      <c r="FNZ314" s="35"/>
      <c r="FOA314" s="35"/>
      <c r="FOB314" s="15"/>
      <c r="FOD314" s="13"/>
      <c r="FOE314" s="35"/>
      <c r="FOF314" s="35"/>
      <c r="FOG314" s="15"/>
      <c r="FOI314" s="13"/>
      <c r="FOJ314" s="35"/>
      <c r="FOK314" s="35"/>
      <c r="FOL314" s="15"/>
      <c r="FON314" s="13"/>
      <c r="FOO314" s="35"/>
      <c r="FOP314" s="35"/>
      <c r="FOQ314" s="15"/>
      <c r="FOS314" s="13"/>
      <c r="FOT314" s="35"/>
      <c r="FOU314" s="35"/>
      <c r="FOV314" s="15"/>
      <c r="FOX314" s="13"/>
      <c r="FOY314" s="35"/>
      <c r="FOZ314" s="35"/>
      <c r="FPA314" s="15"/>
      <c r="FPC314" s="13"/>
      <c r="FPD314" s="35"/>
      <c r="FPE314" s="35"/>
      <c r="FPF314" s="15"/>
      <c r="FPH314" s="13"/>
      <c r="FPI314" s="35"/>
      <c r="FPJ314" s="35"/>
      <c r="FPK314" s="15"/>
      <c r="FPM314" s="13"/>
      <c r="FPN314" s="35"/>
      <c r="FPO314" s="35"/>
      <c r="FPP314" s="15"/>
      <c r="FPR314" s="13"/>
      <c r="FPS314" s="35"/>
      <c r="FPT314" s="35"/>
      <c r="FPU314" s="15"/>
      <c r="FPW314" s="13"/>
      <c r="FPX314" s="35"/>
      <c r="FPY314" s="35"/>
      <c r="FPZ314" s="15"/>
      <c r="FQB314" s="13"/>
      <c r="FQC314" s="35"/>
      <c r="FQD314" s="35"/>
      <c r="FQE314" s="15"/>
      <c r="FQG314" s="13"/>
      <c r="FQH314" s="35"/>
      <c r="FQI314" s="35"/>
      <c r="FQJ314" s="15"/>
      <c r="FQL314" s="13"/>
      <c r="FQM314" s="35"/>
      <c r="FQN314" s="35"/>
      <c r="FQO314" s="15"/>
      <c r="FQQ314" s="13"/>
      <c r="FQR314" s="35"/>
      <c r="FQS314" s="35"/>
      <c r="FQT314" s="15"/>
      <c r="FQV314" s="13"/>
      <c r="FQW314" s="35"/>
      <c r="FQX314" s="35"/>
      <c r="FQY314" s="15"/>
      <c r="FRA314" s="13"/>
      <c r="FRB314" s="35"/>
      <c r="FRC314" s="35"/>
      <c r="FRD314" s="15"/>
      <c r="FRF314" s="13"/>
      <c r="FRG314" s="35"/>
      <c r="FRH314" s="35"/>
      <c r="FRI314" s="15"/>
      <c r="FRK314" s="13"/>
      <c r="FRL314" s="35"/>
      <c r="FRM314" s="35"/>
      <c r="FRN314" s="15"/>
      <c r="FRP314" s="13"/>
      <c r="FRQ314" s="35"/>
      <c r="FRR314" s="35"/>
      <c r="FRS314" s="15"/>
      <c r="FRU314" s="13"/>
      <c r="FRV314" s="35"/>
      <c r="FRW314" s="35"/>
      <c r="FRX314" s="15"/>
      <c r="FRZ314" s="13"/>
      <c r="FSA314" s="35"/>
      <c r="FSB314" s="35"/>
      <c r="FSC314" s="15"/>
      <c r="FSE314" s="13"/>
      <c r="FSF314" s="35"/>
      <c r="FSG314" s="35"/>
      <c r="FSH314" s="15"/>
      <c r="FSJ314" s="13"/>
      <c r="FSK314" s="35"/>
      <c r="FSL314" s="35"/>
      <c r="FSM314" s="15"/>
      <c r="FSO314" s="13"/>
      <c r="FSP314" s="35"/>
      <c r="FSQ314" s="35"/>
      <c r="FSR314" s="15"/>
      <c r="FST314" s="13"/>
      <c r="FSU314" s="35"/>
      <c r="FSV314" s="35"/>
      <c r="FSW314" s="15"/>
      <c r="FSY314" s="13"/>
      <c r="FSZ314" s="35"/>
      <c r="FTA314" s="35"/>
      <c r="FTB314" s="15"/>
      <c r="FTD314" s="13"/>
      <c r="FTE314" s="35"/>
      <c r="FTF314" s="35"/>
      <c r="FTG314" s="15"/>
      <c r="FTI314" s="13"/>
      <c r="FTJ314" s="35"/>
      <c r="FTK314" s="35"/>
      <c r="FTL314" s="15"/>
      <c r="FTN314" s="13"/>
      <c r="FTO314" s="35"/>
      <c r="FTP314" s="35"/>
      <c r="FTQ314" s="15"/>
      <c r="FTS314" s="13"/>
      <c r="FTT314" s="35"/>
      <c r="FTU314" s="35"/>
      <c r="FTV314" s="15"/>
      <c r="FTX314" s="13"/>
      <c r="FTY314" s="35"/>
      <c r="FTZ314" s="35"/>
      <c r="FUA314" s="15"/>
      <c r="FUC314" s="13"/>
      <c r="FUD314" s="35"/>
      <c r="FUE314" s="35"/>
      <c r="FUF314" s="15"/>
      <c r="FUH314" s="13"/>
      <c r="FUI314" s="35"/>
      <c r="FUJ314" s="35"/>
      <c r="FUK314" s="15"/>
      <c r="FUM314" s="13"/>
      <c r="FUN314" s="35"/>
      <c r="FUO314" s="35"/>
      <c r="FUP314" s="15"/>
      <c r="FUR314" s="13"/>
      <c r="FUS314" s="35"/>
      <c r="FUT314" s="35"/>
      <c r="FUU314" s="15"/>
      <c r="FUW314" s="13"/>
      <c r="FUX314" s="35"/>
      <c r="FUY314" s="35"/>
      <c r="FUZ314" s="15"/>
      <c r="FVB314" s="13"/>
      <c r="FVC314" s="35"/>
      <c r="FVD314" s="35"/>
      <c r="FVE314" s="15"/>
      <c r="FVG314" s="13"/>
      <c r="FVH314" s="35"/>
      <c r="FVI314" s="35"/>
      <c r="FVJ314" s="15"/>
      <c r="FVL314" s="13"/>
      <c r="FVM314" s="35"/>
      <c r="FVN314" s="35"/>
      <c r="FVO314" s="15"/>
      <c r="FVQ314" s="13"/>
      <c r="FVR314" s="35"/>
      <c r="FVS314" s="35"/>
      <c r="FVT314" s="15"/>
      <c r="FVV314" s="13"/>
      <c r="FVW314" s="35"/>
      <c r="FVX314" s="35"/>
      <c r="FVY314" s="15"/>
      <c r="FWA314" s="13"/>
      <c r="FWB314" s="35"/>
      <c r="FWC314" s="35"/>
      <c r="FWD314" s="15"/>
      <c r="FWF314" s="13"/>
      <c r="FWG314" s="35"/>
      <c r="FWH314" s="35"/>
      <c r="FWI314" s="15"/>
      <c r="FWK314" s="13"/>
      <c r="FWL314" s="35"/>
      <c r="FWM314" s="35"/>
      <c r="FWN314" s="15"/>
      <c r="FWP314" s="13"/>
      <c r="FWQ314" s="35"/>
      <c r="FWR314" s="35"/>
      <c r="FWS314" s="15"/>
      <c r="FWU314" s="13"/>
      <c r="FWV314" s="35"/>
      <c r="FWW314" s="35"/>
      <c r="FWX314" s="15"/>
      <c r="FWZ314" s="13"/>
      <c r="FXA314" s="35"/>
      <c r="FXB314" s="35"/>
      <c r="FXC314" s="15"/>
      <c r="FXE314" s="13"/>
      <c r="FXF314" s="35"/>
      <c r="FXG314" s="35"/>
      <c r="FXH314" s="15"/>
      <c r="FXJ314" s="13"/>
      <c r="FXK314" s="35"/>
      <c r="FXL314" s="35"/>
      <c r="FXM314" s="15"/>
      <c r="FXO314" s="13"/>
      <c r="FXP314" s="35"/>
      <c r="FXQ314" s="35"/>
      <c r="FXR314" s="15"/>
      <c r="FXT314" s="13"/>
      <c r="FXU314" s="35"/>
      <c r="FXV314" s="35"/>
      <c r="FXW314" s="15"/>
      <c r="FXY314" s="13"/>
      <c r="FXZ314" s="35"/>
      <c r="FYA314" s="35"/>
      <c r="FYB314" s="15"/>
      <c r="FYD314" s="13"/>
      <c r="FYE314" s="35"/>
      <c r="FYF314" s="35"/>
      <c r="FYG314" s="15"/>
      <c r="FYI314" s="13"/>
      <c r="FYJ314" s="35"/>
      <c r="FYK314" s="35"/>
      <c r="FYL314" s="15"/>
      <c r="FYN314" s="13"/>
      <c r="FYO314" s="35"/>
      <c r="FYP314" s="35"/>
      <c r="FYQ314" s="15"/>
      <c r="FYS314" s="13"/>
      <c r="FYT314" s="35"/>
      <c r="FYU314" s="35"/>
      <c r="FYV314" s="15"/>
      <c r="FYX314" s="13"/>
      <c r="FYY314" s="35"/>
      <c r="FYZ314" s="35"/>
      <c r="FZA314" s="15"/>
      <c r="FZC314" s="13"/>
      <c r="FZD314" s="35"/>
      <c r="FZE314" s="35"/>
      <c r="FZF314" s="15"/>
      <c r="FZH314" s="13"/>
      <c r="FZI314" s="35"/>
      <c r="FZJ314" s="35"/>
      <c r="FZK314" s="15"/>
      <c r="FZM314" s="13"/>
      <c r="FZN314" s="35"/>
      <c r="FZO314" s="35"/>
      <c r="FZP314" s="15"/>
      <c r="FZR314" s="13"/>
      <c r="FZS314" s="35"/>
      <c r="FZT314" s="35"/>
      <c r="FZU314" s="15"/>
      <c r="FZW314" s="13"/>
      <c r="FZX314" s="35"/>
      <c r="FZY314" s="35"/>
      <c r="FZZ314" s="15"/>
      <c r="GAB314" s="13"/>
      <c r="GAC314" s="35"/>
      <c r="GAD314" s="35"/>
      <c r="GAE314" s="15"/>
      <c r="GAG314" s="13"/>
      <c r="GAH314" s="35"/>
      <c r="GAI314" s="35"/>
      <c r="GAJ314" s="15"/>
      <c r="GAL314" s="13"/>
      <c r="GAM314" s="35"/>
      <c r="GAN314" s="35"/>
      <c r="GAO314" s="15"/>
      <c r="GAQ314" s="13"/>
      <c r="GAR314" s="35"/>
      <c r="GAS314" s="35"/>
      <c r="GAT314" s="15"/>
      <c r="GAV314" s="13"/>
      <c r="GAW314" s="35"/>
      <c r="GAX314" s="35"/>
      <c r="GAY314" s="15"/>
      <c r="GBA314" s="13"/>
      <c r="GBB314" s="35"/>
      <c r="GBC314" s="35"/>
      <c r="GBD314" s="15"/>
      <c r="GBF314" s="13"/>
      <c r="GBG314" s="35"/>
      <c r="GBH314" s="35"/>
      <c r="GBI314" s="15"/>
      <c r="GBK314" s="13"/>
      <c r="GBL314" s="35"/>
      <c r="GBM314" s="35"/>
      <c r="GBN314" s="15"/>
      <c r="GBP314" s="13"/>
      <c r="GBQ314" s="35"/>
      <c r="GBR314" s="35"/>
      <c r="GBS314" s="15"/>
      <c r="GBU314" s="13"/>
      <c r="GBV314" s="35"/>
      <c r="GBW314" s="35"/>
      <c r="GBX314" s="15"/>
      <c r="GBZ314" s="13"/>
      <c r="GCA314" s="35"/>
      <c r="GCB314" s="35"/>
      <c r="GCC314" s="15"/>
      <c r="GCE314" s="13"/>
      <c r="GCF314" s="35"/>
      <c r="GCG314" s="35"/>
      <c r="GCH314" s="15"/>
      <c r="GCJ314" s="13"/>
      <c r="GCK314" s="35"/>
      <c r="GCL314" s="35"/>
      <c r="GCM314" s="15"/>
      <c r="GCO314" s="13"/>
      <c r="GCP314" s="35"/>
      <c r="GCQ314" s="35"/>
      <c r="GCR314" s="15"/>
      <c r="GCT314" s="13"/>
      <c r="GCU314" s="35"/>
      <c r="GCV314" s="35"/>
      <c r="GCW314" s="15"/>
      <c r="GCY314" s="13"/>
      <c r="GCZ314" s="35"/>
      <c r="GDA314" s="35"/>
      <c r="GDB314" s="15"/>
      <c r="GDD314" s="13"/>
      <c r="GDE314" s="35"/>
      <c r="GDF314" s="35"/>
      <c r="GDG314" s="15"/>
      <c r="GDI314" s="13"/>
      <c r="GDJ314" s="35"/>
      <c r="GDK314" s="35"/>
      <c r="GDL314" s="15"/>
      <c r="GDN314" s="13"/>
      <c r="GDO314" s="35"/>
      <c r="GDP314" s="35"/>
      <c r="GDQ314" s="15"/>
      <c r="GDS314" s="13"/>
      <c r="GDT314" s="35"/>
      <c r="GDU314" s="35"/>
      <c r="GDV314" s="15"/>
      <c r="GDX314" s="13"/>
      <c r="GDY314" s="35"/>
      <c r="GDZ314" s="35"/>
      <c r="GEA314" s="15"/>
      <c r="GEC314" s="13"/>
      <c r="GED314" s="35"/>
      <c r="GEE314" s="35"/>
      <c r="GEF314" s="15"/>
      <c r="GEH314" s="13"/>
      <c r="GEI314" s="35"/>
      <c r="GEJ314" s="35"/>
      <c r="GEK314" s="15"/>
      <c r="GEM314" s="13"/>
      <c r="GEN314" s="35"/>
      <c r="GEO314" s="35"/>
      <c r="GEP314" s="15"/>
      <c r="GER314" s="13"/>
      <c r="GES314" s="35"/>
      <c r="GET314" s="35"/>
      <c r="GEU314" s="15"/>
      <c r="GEW314" s="13"/>
      <c r="GEX314" s="35"/>
      <c r="GEY314" s="35"/>
      <c r="GEZ314" s="15"/>
      <c r="GFB314" s="13"/>
      <c r="GFC314" s="35"/>
      <c r="GFD314" s="35"/>
      <c r="GFE314" s="15"/>
      <c r="GFG314" s="13"/>
      <c r="GFH314" s="35"/>
      <c r="GFI314" s="35"/>
      <c r="GFJ314" s="15"/>
      <c r="GFL314" s="13"/>
      <c r="GFM314" s="35"/>
      <c r="GFN314" s="35"/>
      <c r="GFO314" s="15"/>
      <c r="GFQ314" s="13"/>
      <c r="GFR314" s="35"/>
      <c r="GFS314" s="35"/>
      <c r="GFT314" s="15"/>
      <c r="GFV314" s="13"/>
      <c r="GFW314" s="35"/>
      <c r="GFX314" s="35"/>
      <c r="GFY314" s="15"/>
      <c r="GGA314" s="13"/>
      <c r="GGB314" s="35"/>
      <c r="GGC314" s="35"/>
      <c r="GGD314" s="15"/>
      <c r="GGF314" s="13"/>
      <c r="GGG314" s="35"/>
      <c r="GGH314" s="35"/>
      <c r="GGI314" s="15"/>
      <c r="GGK314" s="13"/>
      <c r="GGL314" s="35"/>
      <c r="GGM314" s="35"/>
      <c r="GGN314" s="15"/>
      <c r="GGP314" s="13"/>
      <c r="GGQ314" s="35"/>
      <c r="GGR314" s="35"/>
      <c r="GGS314" s="15"/>
      <c r="GGU314" s="13"/>
      <c r="GGV314" s="35"/>
      <c r="GGW314" s="35"/>
      <c r="GGX314" s="15"/>
      <c r="GGZ314" s="13"/>
      <c r="GHA314" s="35"/>
      <c r="GHB314" s="35"/>
      <c r="GHC314" s="15"/>
      <c r="GHE314" s="13"/>
      <c r="GHF314" s="35"/>
      <c r="GHG314" s="35"/>
      <c r="GHH314" s="15"/>
      <c r="GHJ314" s="13"/>
      <c r="GHK314" s="35"/>
      <c r="GHL314" s="35"/>
      <c r="GHM314" s="15"/>
      <c r="GHO314" s="13"/>
      <c r="GHP314" s="35"/>
      <c r="GHQ314" s="35"/>
      <c r="GHR314" s="15"/>
      <c r="GHT314" s="13"/>
      <c r="GHU314" s="35"/>
      <c r="GHV314" s="35"/>
      <c r="GHW314" s="15"/>
      <c r="GHY314" s="13"/>
      <c r="GHZ314" s="35"/>
      <c r="GIA314" s="35"/>
      <c r="GIB314" s="15"/>
      <c r="GID314" s="13"/>
      <c r="GIE314" s="35"/>
      <c r="GIF314" s="35"/>
      <c r="GIG314" s="15"/>
      <c r="GII314" s="13"/>
      <c r="GIJ314" s="35"/>
      <c r="GIK314" s="35"/>
      <c r="GIL314" s="15"/>
      <c r="GIN314" s="13"/>
      <c r="GIO314" s="35"/>
      <c r="GIP314" s="35"/>
      <c r="GIQ314" s="15"/>
      <c r="GIS314" s="13"/>
      <c r="GIT314" s="35"/>
      <c r="GIU314" s="35"/>
      <c r="GIV314" s="15"/>
      <c r="GIX314" s="13"/>
      <c r="GIY314" s="35"/>
      <c r="GIZ314" s="35"/>
      <c r="GJA314" s="15"/>
      <c r="GJC314" s="13"/>
      <c r="GJD314" s="35"/>
      <c r="GJE314" s="35"/>
      <c r="GJF314" s="15"/>
      <c r="GJH314" s="13"/>
      <c r="GJI314" s="35"/>
      <c r="GJJ314" s="35"/>
      <c r="GJK314" s="15"/>
      <c r="GJM314" s="13"/>
      <c r="GJN314" s="35"/>
      <c r="GJO314" s="35"/>
      <c r="GJP314" s="15"/>
      <c r="GJR314" s="13"/>
      <c r="GJS314" s="35"/>
      <c r="GJT314" s="35"/>
      <c r="GJU314" s="15"/>
      <c r="GJW314" s="13"/>
      <c r="GJX314" s="35"/>
      <c r="GJY314" s="35"/>
      <c r="GJZ314" s="15"/>
      <c r="GKB314" s="13"/>
      <c r="GKC314" s="35"/>
      <c r="GKD314" s="35"/>
      <c r="GKE314" s="15"/>
      <c r="GKG314" s="13"/>
      <c r="GKH314" s="35"/>
      <c r="GKI314" s="35"/>
      <c r="GKJ314" s="15"/>
      <c r="GKL314" s="13"/>
      <c r="GKM314" s="35"/>
      <c r="GKN314" s="35"/>
      <c r="GKO314" s="15"/>
      <c r="GKQ314" s="13"/>
      <c r="GKR314" s="35"/>
      <c r="GKS314" s="35"/>
      <c r="GKT314" s="15"/>
      <c r="GKV314" s="13"/>
      <c r="GKW314" s="35"/>
      <c r="GKX314" s="35"/>
      <c r="GKY314" s="15"/>
      <c r="GLA314" s="13"/>
      <c r="GLB314" s="35"/>
      <c r="GLC314" s="35"/>
      <c r="GLD314" s="15"/>
      <c r="GLF314" s="13"/>
      <c r="GLG314" s="35"/>
      <c r="GLH314" s="35"/>
      <c r="GLI314" s="15"/>
      <c r="GLK314" s="13"/>
      <c r="GLL314" s="35"/>
      <c r="GLM314" s="35"/>
      <c r="GLN314" s="15"/>
      <c r="GLP314" s="13"/>
      <c r="GLQ314" s="35"/>
      <c r="GLR314" s="35"/>
      <c r="GLS314" s="15"/>
      <c r="GLU314" s="13"/>
      <c r="GLV314" s="35"/>
      <c r="GLW314" s="35"/>
      <c r="GLX314" s="15"/>
      <c r="GLZ314" s="13"/>
      <c r="GMA314" s="35"/>
      <c r="GMB314" s="35"/>
      <c r="GMC314" s="15"/>
      <c r="GME314" s="13"/>
      <c r="GMF314" s="35"/>
      <c r="GMG314" s="35"/>
      <c r="GMH314" s="15"/>
      <c r="GMJ314" s="13"/>
      <c r="GMK314" s="35"/>
      <c r="GML314" s="35"/>
      <c r="GMM314" s="15"/>
      <c r="GMO314" s="13"/>
      <c r="GMP314" s="35"/>
      <c r="GMQ314" s="35"/>
      <c r="GMR314" s="15"/>
      <c r="GMT314" s="13"/>
      <c r="GMU314" s="35"/>
      <c r="GMV314" s="35"/>
      <c r="GMW314" s="15"/>
      <c r="GMY314" s="13"/>
      <c r="GMZ314" s="35"/>
      <c r="GNA314" s="35"/>
      <c r="GNB314" s="15"/>
      <c r="GND314" s="13"/>
      <c r="GNE314" s="35"/>
      <c r="GNF314" s="35"/>
      <c r="GNG314" s="15"/>
      <c r="GNI314" s="13"/>
      <c r="GNJ314" s="35"/>
      <c r="GNK314" s="35"/>
      <c r="GNL314" s="15"/>
      <c r="GNN314" s="13"/>
      <c r="GNO314" s="35"/>
      <c r="GNP314" s="35"/>
      <c r="GNQ314" s="15"/>
      <c r="GNS314" s="13"/>
      <c r="GNT314" s="35"/>
      <c r="GNU314" s="35"/>
      <c r="GNV314" s="15"/>
      <c r="GNX314" s="13"/>
      <c r="GNY314" s="35"/>
      <c r="GNZ314" s="35"/>
      <c r="GOA314" s="15"/>
      <c r="GOC314" s="13"/>
      <c r="GOD314" s="35"/>
      <c r="GOE314" s="35"/>
      <c r="GOF314" s="15"/>
      <c r="GOH314" s="13"/>
      <c r="GOI314" s="35"/>
      <c r="GOJ314" s="35"/>
      <c r="GOK314" s="15"/>
      <c r="GOM314" s="13"/>
      <c r="GON314" s="35"/>
      <c r="GOO314" s="35"/>
      <c r="GOP314" s="15"/>
      <c r="GOR314" s="13"/>
      <c r="GOS314" s="35"/>
      <c r="GOT314" s="35"/>
      <c r="GOU314" s="15"/>
      <c r="GOW314" s="13"/>
      <c r="GOX314" s="35"/>
      <c r="GOY314" s="35"/>
      <c r="GOZ314" s="15"/>
      <c r="GPB314" s="13"/>
      <c r="GPC314" s="35"/>
      <c r="GPD314" s="35"/>
      <c r="GPE314" s="15"/>
      <c r="GPG314" s="13"/>
      <c r="GPH314" s="35"/>
      <c r="GPI314" s="35"/>
      <c r="GPJ314" s="15"/>
      <c r="GPL314" s="13"/>
      <c r="GPM314" s="35"/>
      <c r="GPN314" s="35"/>
      <c r="GPO314" s="15"/>
      <c r="GPQ314" s="13"/>
      <c r="GPR314" s="35"/>
      <c r="GPS314" s="35"/>
      <c r="GPT314" s="15"/>
      <c r="GPV314" s="13"/>
      <c r="GPW314" s="35"/>
      <c r="GPX314" s="35"/>
      <c r="GPY314" s="15"/>
      <c r="GQA314" s="13"/>
      <c r="GQB314" s="35"/>
      <c r="GQC314" s="35"/>
      <c r="GQD314" s="15"/>
      <c r="GQF314" s="13"/>
      <c r="GQG314" s="35"/>
      <c r="GQH314" s="35"/>
      <c r="GQI314" s="15"/>
      <c r="GQK314" s="13"/>
      <c r="GQL314" s="35"/>
      <c r="GQM314" s="35"/>
      <c r="GQN314" s="15"/>
      <c r="GQP314" s="13"/>
      <c r="GQQ314" s="35"/>
      <c r="GQR314" s="35"/>
      <c r="GQS314" s="15"/>
      <c r="GQU314" s="13"/>
      <c r="GQV314" s="35"/>
      <c r="GQW314" s="35"/>
      <c r="GQX314" s="15"/>
      <c r="GQZ314" s="13"/>
      <c r="GRA314" s="35"/>
      <c r="GRB314" s="35"/>
      <c r="GRC314" s="15"/>
      <c r="GRE314" s="13"/>
      <c r="GRF314" s="35"/>
      <c r="GRG314" s="35"/>
      <c r="GRH314" s="15"/>
      <c r="GRJ314" s="13"/>
      <c r="GRK314" s="35"/>
      <c r="GRL314" s="35"/>
      <c r="GRM314" s="15"/>
      <c r="GRO314" s="13"/>
      <c r="GRP314" s="35"/>
      <c r="GRQ314" s="35"/>
      <c r="GRR314" s="15"/>
      <c r="GRT314" s="13"/>
      <c r="GRU314" s="35"/>
      <c r="GRV314" s="35"/>
      <c r="GRW314" s="15"/>
      <c r="GRY314" s="13"/>
      <c r="GRZ314" s="35"/>
      <c r="GSA314" s="35"/>
      <c r="GSB314" s="15"/>
      <c r="GSD314" s="13"/>
      <c r="GSE314" s="35"/>
      <c r="GSF314" s="35"/>
      <c r="GSG314" s="15"/>
      <c r="GSI314" s="13"/>
      <c r="GSJ314" s="35"/>
      <c r="GSK314" s="35"/>
      <c r="GSL314" s="15"/>
      <c r="GSN314" s="13"/>
      <c r="GSO314" s="35"/>
      <c r="GSP314" s="35"/>
      <c r="GSQ314" s="15"/>
      <c r="GSS314" s="13"/>
      <c r="GST314" s="35"/>
      <c r="GSU314" s="35"/>
      <c r="GSV314" s="15"/>
      <c r="GSX314" s="13"/>
      <c r="GSY314" s="35"/>
      <c r="GSZ314" s="35"/>
      <c r="GTA314" s="15"/>
      <c r="GTC314" s="13"/>
      <c r="GTD314" s="35"/>
      <c r="GTE314" s="35"/>
      <c r="GTF314" s="15"/>
      <c r="GTH314" s="13"/>
      <c r="GTI314" s="35"/>
      <c r="GTJ314" s="35"/>
      <c r="GTK314" s="15"/>
      <c r="GTM314" s="13"/>
      <c r="GTN314" s="35"/>
      <c r="GTO314" s="35"/>
      <c r="GTP314" s="15"/>
      <c r="GTR314" s="13"/>
      <c r="GTS314" s="35"/>
      <c r="GTT314" s="35"/>
      <c r="GTU314" s="15"/>
      <c r="GTW314" s="13"/>
      <c r="GTX314" s="35"/>
      <c r="GTY314" s="35"/>
      <c r="GTZ314" s="15"/>
      <c r="GUB314" s="13"/>
      <c r="GUC314" s="35"/>
      <c r="GUD314" s="35"/>
      <c r="GUE314" s="15"/>
      <c r="GUG314" s="13"/>
      <c r="GUH314" s="35"/>
      <c r="GUI314" s="35"/>
      <c r="GUJ314" s="15"/>
      <c r="GUL314" s="13"/>
      <c r="GUM314" s="35"/>
      <c r="GUN314" s="35"/>
      <c r="GUO314" s="15"/>
      <c r="GUQ314" s="13"/>
      <c r="GUR314" s="35"/>
      <c r="GUS314" s="35"/>
      <c r="GUT314" s="15"/>
      <c r="GUV314" s="13"/>
      <c r="GUW314" s="35"/>
      <c r="GUX314" s="35"/>
      <c r="GUY314" s="15"/>
      <c r="GVA314" s="13"/>
      <c r="GVB314" s="35"/>
      <c r="GVC314" s="35"/>
      <c r="GVD314" s="15"/>
      <c r="GVF314" s="13"/>
      <c r="GVG314" s="35"/>
      <c r="GVH314" s="35"/>
      <c r="GVI314" s="15"/>
      <c r="GVK314" s="13"/>
      <c r="GVL314" s="35"/>
      <c r="GVM314" s="35"/>
      <c r="GVN314" s="15"/>
      <c r="GVP314" s="13"/>
      <c r="GVQ314" s="35"/>
      <c r="GVR314" s="35"/>
      <c r="GVS314" s="15"/>
      <c r="GVU314" s="13"/>
      <c r="GVV314" s="35"/>
      <c r="GVW314" s="35"/>
      <c r="GVX314" s="15"/>
      <c r="GVZ314" s="13"/>
      <c r="GWA314" s="35"/>
      <c r="GWB314" s="35"/>
      <c r="GWC314" s="15"/>
      <c r="GWE314" s="13"/>
      <c r="GWF314" s="35"/>
      <c r="GWG314" s="35"/>
      <c r="GWH314" s="15"/>
      <c r="GWJ314" s="13"/>
      <c r="GWK314" s="35"/>
      <c r="GWL314" s="35"/>
      <c r="GWM314" s="15"/>
      <c r="GWO314" s="13"/>
      <c r="GWP314" s="35"/>
      <c r="GWQ314" s="35"/>
      <c r="GWR314" s="15"/>
      <c r="GWT314" s="13"/>
      <c r="GWU314" s="35"/>
      <c r="GWV314" s="35"/>
      <c r="GWW314" s="15"/>
      <c r="GWY314" s="13"/>
      <c r="GWZ314" s="35"/>
      <c r="GXA314" s="35"/>
      <c r="GXB314" s="15"/>
      <c r="GXD314" s="13"/>
      <c r="GXE314" s="35"/>
      <c r="GXF314" s="35"/>
      <c r="GXG314" s="15"/>
      <c r="GXI314" s="13"/>
      <c r="GXJ314" s="35"/>
      <c r="GXK314" s="35"/>
      <c r="GXL314" s="15"/>
      <c r="GXN314" s="13"/>
      <c r="GXO314" s="35"/>
      <c r="GXP314" s="35"/>
      <c r="GXQ314" s="15"/>
      <c r="GXS314" s="13"/>
      <c r="GXT314" s="35"/>
      <c r="GXU314" s="35"/>
      <c r="GXV314" s="15"/>
      <c r="GXX314" s="13"/>
      <c r="GXY314" s="35"/>
      <c r="GXZ314" s="35"/>
      <c r="GYA314" s="15"/>
      <c r="GYC314" s="13"/>
      <c r="GYD314" s="35"/>
      <c r="GYE314" s="35"/>
      <c r="GYF314" s="15"/>
      <c r="GYH314" s="13"/>
      <c r="GYI314" s="35"/>
      <c r="GYJ314" s="35"/>
      <c r="GYK314" s="15"/>
      <c r="GYM314" s="13"/>
      <c r="GYN314" s="35"/>
      <c r="GYO314" s="35"/>
      <c r="GYP314" s="15"/>
      <c r="GYR314" s="13"/>
      <c r="GYS314" s="35"/>
      <c r="GYT314" s="35"/>
      <c r="GYU314" s="15"/>
      <c r="GYW314" s="13"/>
      <c r="GYX314" s="35"/>
      <c r="GYY314" s="35"/>
      <c r="GYZ314" s="15"/>
      <c r="GZB314" s="13"/>
      <c r="GZC314" s="35"/>
      <c r="GZD314" s="35"/>
      <c r="GZE314" s="15"/>
      <c r="GZG314" s="13"/>
      <c r="GZH314" s="35"/>
      <c r="GZI314" s="35"/>
      <c r="GZJ314" s="15"/>
      <c r="GZL314" s="13"/>
      <c r="GZM314" s="35"/>
      <c r="GZN314" s="35"/>
      <c r="GZO314" s="15"/>
      <c r="GZQ314" s="13"/>
      <c r="GZR314" s="35"/>
      <c r="GZS314" s="35"/>
      <c r="GZT314" s="15"/>
      <c r="GZV314" s="13"/>
      <c r="GZW314" s="35"/>
      <c r="GZX314" s="35"/>
      <c r="GZY314" s="15"/>
      <c r="HAA314" s="13"/>
      <c r="HAB314" s="35"/>
      <c r="HAC314" s="35"/>
      <c r="HAD314" s="15"/>
      <c r="HAF314" s="13"/>
      <c r="HAG314" s="35"/>
      <c r="HAH314" s="35"/>
      <c r="HAI314" s="15"/>
      <c r="HAK314" s="13"/>
      <c r="HAL314" s="35"/>
      <c r="HAM314" s="35"/>
      <c r="HAN314" s="15"/>
      <c r="HAP314" s="13"/>
      <c r="HAQ314" s="35"/>
      <c r="HAR314" s="35"/>
      <c r="HAS314" s="15"/>
      <c r="HAU314" s="13"/>
      <c r="HAV314" s="35"/>
      <c r="HAW314" s="35"/>
      <c r="HAX314" s="15"/>
      <c r="HAZ314" s="13"/>
      <c r="HBA314" s="35"/>
      <c r="HBB314" s="35"/>
      <c r="HBC314" s="15"/>
      <c r="HBE314" s="13"/>
      <c r="HBF314" s="35"/>
      <c r="HBG314" s="35"/>
      <c r="HBH314" s="15"/>
      <c r="HBJ314" s="13"/>
      <c r="HBK314" s="35"/>
      <c r="HBL314" s="35"/>
      <c r="HBM314" s="15"/>
      <c r="HBO314" s="13"/>
      <c r="HBP314" s="35"/>
      <c r="HBQ314" s="35"/>
      <c r="HBR314" s="15"/>
      <c r="HBT314" s="13"/>
      <c r="HBU314" s="35"/>
      <c r="HBV314" s="35"/>
      <c r="HBW314" s="15"/>
      <c r="HBY314" s="13"/>
      <c r="HBZ314" s="35"/>
      <c r="HCA314" s="35"/>
      <c r="HCB314" s="15"/>
      <c r="HCD314" s="13"/>
      <c r="HCE314" s="35"/>
      <c r="HCF314" s="35"/>
      <c r="HCG314" s="15"/>
      <c r="HCI314" s="13"/>
      <c r="HCJ314" s="35"/>
      <c r="HCK314" s="35"/>
      <c r="HCL314" s="15"/>
      <c r="HCN314" s="13"/>
      <c r="HCO314" s="35"/>
      <c r="HCP314" s="35"/>
      <c r="HCQ314" s="15"/>
      <c r="HCS314" s="13"/>
      <c r="HCT314" s="35"/>
      <c r="HCU314" s="35"/>
      <c r="HCV314" s="15"/>
      <c r="HCX314" s="13"/>
      <c r="HCY314" s="35"/>
      <c r="HCZ314" s="35"/>
      <c r="HDA314" s="15"/>
      <c r="HDC314" s="13"/>
      <c r="HDD314" s="35"/>
      <c r="HDE314" s="35"/>
      <c r="HDF314" s="15"/>
      <c r="HDH314" s="13"/>
      <c r="HDI314" s="35"/>
      <c r="HDJ314" s="35"/>
      <c r="HDK314" s="15"/>
      <c r="HDM314" s="13"/>
      <c r="HDN314" s="35"/>
      <c r="HDO314" s="35"/>
      <c r="HDP314" s="15"/>
      <c r="HDR314" s="13"/>
      <c r="HDS314" s="35"/>
      <c r="HDT314" s="35"/>
      <c r="HDU314" s="15"/>
      <c r="HDW314" s="13"/>
      <c r="HDX314" s="35"/>
      <c r="HDY314" s="35"/>
      <c r="HDZ314" s="15"/>
      <c r="HEB314" s="13"/>
      <c r="HEC314" s="35"/>
      <c r="HED314" s="35"/>
      <c r="HEE314" s="15"/>
      <c r="HEG314" s="13"/>
      <c r="HEH314" s="35"/>
      <c r="HEI314" s="35"/>
      <c r="HEJ314" s="15"/>
      <c r="HEL314" s="13"/>
      <c r="HEM314" s="35"/>
      <c r="HEN314" s="35"/>
      <c r="HEO314" s="15"/>
      <c r="HEQ314" s="13"/>
      <c r="HER314" s="35"/>
      <c r="HES314" s="35"/>
      <c r="HET314" s="15"/>
      <c r="HEV314" s="13"/>
      <c r="HEW314" s="35"/>
      <c r="HEX314" s="35"/>
      <c r="HEY314" s="15"/>
      <c r="HFA314" s="13"/>
      <c r="HFB314" s="35"/>
      <c r="HFC314" s="35"/>
      <c r="HFD314" s="15"/>
      <c r="HFF314" s="13"/>
      <c r="HFG314" s="35"/>
      <c r="HFH314" s="35"/>
      <c r="HFI314" s="15"/>
      <c r="HFK314" s="13"/>
      <c r="HFL314" s="35"/>
      <c r="HFM314" s="35"/>
      <c r="HFN314" s="15"/>
      <c r="HFP314" s="13"/>
      <c r="HFQ314" s="35"/>
      <c r="HFR314" s="35"/>
      <c r="HFS314" s="15"/>
      <c r="HFU314" s="13"/>
      <c r="HFV314" s="35"/>
      <c r="HFW314" s="35"/>
      <c r="HFX314" s="15"/>
      <c r="HFZ314" s="13"/>
      <c r="HGA314" s="35"/>
      <c r="HGB314" s="35"/>
      <c r="HGC314" s="15"/>
      <c r="HGE314" s="13"/>
      <c r="HGF314" s="35"/>
      <c r="HGG314" s="35"/>
      <c r="HGH314" s="15"/>
      <c r="HGJ314" s="13"/>
      <c r="HGK314" s="35"/>
      <c r="HGL314" s="35"/>
      <c r="HGM314" s="15"/>
      <c r="HGO314" s="13"/>
      <c r="HGP314" s="35"/>
      <c r="HGQ314" s="35"/>
      <c r="HGR314" s="15"/>
      <c r="HGT314" s="13"/>
      <c r="HGU314" s="35"/>
      <c r="HGV314" s="35"/>
      <c r="HGW314" s="15"/>
      <c r="HGY314" s="13"/>
      <c r="HGZ314" s="35"/>
      <c r="HHA314" s="35"/>
      <c r="HHB314" s="15"/>
      <c r="HHD314" s="13"/>
      <c r="HHE314" s="35"/>
      <c r="HHF314" s="35"/>
      <c r="HHG314" s="15"/>
      <c r="HHI314" s="13"/>
      <c r="HHJ314" s="35"/>
      <c r="HHK314" s="35"/>
      <c r="HHL314" s="15"/>
      <c r="HHN314" s="13"/>
      <c r="HHO314" s="35"/>
      <c r="HHP314" s="35"/>
      <c r="HHQ314" s="15"/>
      <c r="HHS314" s="13"/>
      <c r="HHT314" s="35"/>
      <c r="HHU314" s="35"/>
      <c r="HHV314" s="15"/>
      <c r="HHX314" s="13"/>
      <c r="HHY314" s="35"/>
      <c r="HHZ314" s="35"/>
      <c r="HIA314" s="15"/>
      <c r="HIC314" s="13"/>
      <c r="HID314" s="35"/>
      <c r="HIE314" s="35"/>
      <c r="HIF314" s="15"/>
      <c r="HIH314" s="13"/>
      <c r="HII314" s="35"/>
      <c r="HIJ314" s="35"/>
      <c r="HIK314" s="15"/>
      <c r="HIM314" s="13"/>
      <c r="HIN314" s="35"/>
      <c r="HIO314" s="35"/>
      <c r="HIP314" s="15"/>
      <c r="HIR314" s="13"/>
      <c r="HIS314" s="35"/>
      <c r="HIT314" s="35"/>
      <c r="HIU314" s="15"/>
      <c r="HIW314" s="13"/>
      <c r="HIX314" s="35"/>
      <c r="HIY314" s="35"/>
      <c r="HIZ314" s="15"/>
      <c r="HJB314" s="13"/>
      <c r="HJC314" s="35"/>
      <c r="HJD314" s="35"/>
      <c r="HJE314" s="15"/>
      <c r="HJG314" s="13"/>
      <c r="HJH314" s="35"/>
      <c r="HJI314" s="35"/>
      <c r="HJJ314" s="15"/>
      <c r="HJL314" s="13"/>
      <c r="HJM314" s="35"/>
      <c r="HJN314" s="35"/>
      <c r="HJO314" s="15"/>
      <c r="HJQ314" s="13"/>
      <c r="HJR314" s="35"/>
      <c r="HJS314" s="35"/>
      <c r="HJT314" s="15"/>
      <c r="HJV314" s="13"/>
      <c r="HJW314" s="35"/>
      <c r="HJX314" s="35"/>
      <c r="HJY314" s="15"/>
      <c r="HKA314" s="13"/>
      <c r="HKB314" s="35"/>
      <c r="HKC314" s="35"/>
      <c r="HKD314" s="15"/>
      <c r="HKF314" s="13"/>
      <c r="HKG314" s="35"/>
      <c r="HKH314" s="35"/>
      <c r="HKI314" s="15"/>
      <c r="HKK314" s="13"/>
      <c r="HKL314" s="35"/>
      <c r="HKM314" s="35"/>
      <c r="HKN314" s="15"/>
      <c r="HKP314" s="13"/>
      <c r="HKQ314" s="35"/>
      <c r="HKR314" s="35"/>
      <c r="HKS314" s="15"/>
      <c r="HKU314" s="13"/>
      <c r="HKV314" s="35"/>
      <c r="HKW314" s="35"/>
      <c r="HKX314" s="15"/>
      <c r="HKZ314" s="13"/>
      <c r="HLA314" s="35"/>
      <c r="HLB314" s="35"/>
      <c r="HLC314" s="15"/>
      <c r="HLE314" s="13"/>
      <c r="HLF314" s="35"/>
      <c r="HLG314" s="35"/>
      <c r="HLH314" s="15"/>
      <c r="HLJ314" s="13"/>
      <c r="HLK314" s="35"/>
      <c r="HLL314" s="35"/>
      <c r="HLM314" s="15"/>
      <c r="HLO314" s="13"/>
      <c r="HLP314" s="35"/>
      <c r="HLQ314" s="35"/>
      <c r="HLR314" s="15"/>
      <c r="HLT314" s="13"/>
      <c r="HLU314" s="35"/>
      <c r="HLV314" s="35"/>
      <c r="HLW314" s="15"/>
      <c r="HLY314" s="13"/>
      <c r="HLZ314" s="35"/>
      <c r="HMA314" s="35"/>
      <c r="HMB314" s="15"/>
      <c r="HMD314" s="13"/>
      <c r="HME314" s="35"/>
      <c r="HMF314" s="35"/>
      <c r="HMG314" s="15"/>
      <c r="HMI314" s="13"/>
      <c r="HMJ314" s="35"/>
      <c r="HMK314" s="35"/>
      <c r="HML314" s="15"/>
      <c r="HMN314" s="13"/>
      <c r="HMO314" s="35"/>
      <c r="HMP314" s="35"/>
      <c r="HMQ314" s="15"/>
      <c r="HMS314" s="13"/>
      <c r="HMT314" s="35"/>
      <c r="HMU314" s="35"/>
      <c r="HMV314" s="15"/>
      <c r="HMX314" s="13"/>
      <c r="HMY314" s="35"/>
      <c r="HMZ314" s="35"/>
      <c r="HNA314" s="15"/>
      <c r="HNC314" s="13"/>
      <c r="HND314" s="35"/>
      <c r="HNE314" s="35"/>
      <c r="HNF314" s="15"/>
      <c r="HNH314" s="13"/>
      <c r="HNI314" s="35"/>
      <c r="HNJ314" s="35"/>
      <c r="HNK314" s="15"/>
      <c r="HNM314" s="13"/>
      <c r="HNN314" s="35"/>
      <c r="HNO314" s="35"/>
      <c r="HNP314" s="15"/>
      <c r="HNR314" s="13"/>
      <c r="HNS314" s="35"/>
      <c r="HNT314" s="35"/>
      <c r="HNU314" s="15"/>
      <c r="HNW314" s="13"/>
      <c r="HNX314" s="35"/>
      <c r="HNY314" s="35"/>
      <c r="HNZ314" s="15"/>
      <c r="HOB314" s="13"/>
      <c r="HOC314" s="35"/>
      <c r="HOD314" s="35"/>
      <c r="HOE314" s="15"/>
      <c r="HOG314" s="13"/>
      <c r="HOH314" s="35"/>
      <c r="HOI314" s="35"/>
      <c r="HOJ314" s="15"/>
      <c r="HOL314" s="13"/>
      <c r="HOM314" s="35"/>
      <c r="HON314" s="35"/>
      <c r="HOO314" s="15"/>
      <c r="HOQ314" s="13"/>
      <c r="HOR314" s="35"/>
      <c r="HOS314" s="35"/>
      <c r="HOT314" s="15"/>
      <c r="HOV314" s="13"/>
      <c r="HOW314" s="35"/>
      <c r="HOX314" s="35"/>
      <c r="HOY314" s="15"/>
      <c r="HPA314" s="13"/>
      <c r="HPB314" s="35"/>
      <c r="HPC314" s="35"/>
      <c r="HPD314" s="15"/>
      <c r="HPF314" s="13"/>
      <c r="HPG314" s="35"/>
      <c r="HPH314" s="35"/>
      <c r="HPI314" s="15"/>
      <c r="HPK314" s="13"/>
      <c r="HPL314" s="35"/>
      <c r="HPM314" s="35"/>
      <c r="HPN314" s="15"/>
      <c r="HPP314" s="13"/>
      <c r="HPQ314" s="35"/>
      <c r="HPR314" s="35"/>
      <c r="HPS314" s="15"/>
      <c r="HPU314" s="13"/>
      <c r="HPV314" s="35"/>
      <c r="HPW314" s="35"/>
      <c r="HPX314" s="15"/>
      <c r="HPZ314" s="13"/>
      <c r="HQA314" s="35"/>
      <c r="HQB314" s="35"/>
      <c r="HQC314" s="15"/>
      <c r="HQE314" s="13"/>
      <c r="HQF314" s="35"/>
      <c r="HQG314" s="35"/>
      <c r="HQH314" s="15"/>
      <c r="HQJ314" s="13"/>
      <c r="HQK314" s="35"/>
      <c r="HQL314" s="35"/>
      <c r="HQM314" s="15"/>
      <c r="HQO314" s="13"/>
      <c r="HQP314" s="35"/>
      <c r="HQQ314" s="35"/>
      <c r="HQR314" s="15"/>
      <c r="HQT314" s="13"/>
      <c r="HQU314" s="35"/>
      <c r="HQV314" s="35"/>
      <c r="HQW314" s="15"/>
      <c r="HQY314" s="13"/>
      <c r="HQZ314" s="35"/>
      <c r="HRA314" s="35"/>
      <c r="HRB314" s="15"/>
      <c r="HRD314" s="13"/>
      <c r="HRE314" s="35"/>
      <c r="HRF314" s="35"/>
      <c r="HRG314" s="15"/>
      <c r="HRI314" s="13"/>
      <c r="HRJ314" s="35"/>
      <c r="HRK314" s="35"/>
      <c r="HRL314" s="15"/>
      <c r="HRN314" s="13"/>
      <c r="HRO314" s="35"/>
      <c r="HRP314" s="35"/>
      <c r="HRQ314" s="15"/>
      <c r="HRS314" s="13"/>
      <c r="HRT314" s="35"/>
      <c r="HRU314" s="35"/>
      <c r="HRV314" s="15"/>
      <c r="HRX314" s="13"/>
      <c r="HRY314" s="35"/>
      <c r="HRZ314" s="35"/>
      <c r="HSA314" s="15"/>
      <c r="HSC314" s="13"/>
      <c r="HSD314" s="35"/>
      <c r="HSE314" s="35"/>
      <c r="HSF314" s="15"/>
      <c r="HSH314" s="13"/>
      <c r="HSI314" s="35"/>
      <c r="HSJ314" s="35"/>
      <c r="HSK314" s="15"/>
      <c r="HSM314" s="13"/>
      <c r="HSN314" s="35"/>
      <c r="HSO314" s="35"/>
      <c r="HSP314" s="15"/>
      <c r="HSR314" s="13"/>
      <c r="HSS314" s="35"/>
      <c r="HST314" s="35"/>
      <c r="HSU314" s="15"/>
      <c r="HSW314" s="13"/>
      <c r="HSX314" s="35"/>
      <c r="HSY314" s="35"/>
      <c r="HSZ314" s="15"/>
      <c r="HTB314" s="13"/>
      <c r="HTC314" s="35"/>
      <c r="HTD314" s="35"/>
      <c r="HTE314" s="15"/>
      <c r="HTG314" s="13"/>
      <c r="HTH314" s="35"/>
      <c r="HTI314" s="35"/>
      <c r="HTJ314" s="15"/>
      <c r="HTL314" s="13"/>
      <c r="HTM314" s="35"/>
      <c r="HTN314" s="35"/>
      <c r="HTO314" s="15"/>
      <c r="HTQ314" s="13"/>
      <c r="HTR314" s="35"/>
      <c r="HTS314" s="35"/>
      <c r="HTT314" s="15"/>
      <c r="HTV314" s="13"/>
      <c r="HTW314" s="35"/>
      <c r="HTX314" s="35"/>
      <c r="HTY314" s="15"/>
      <c r="HUA314" s="13"/>
      <c r="HUB314" s="35"/>
      <c r="HUC314" s="35"/>
      <c r="HUD314" s="15"/>
      <c r="HUF314" s="13"/>
      <c r="HUG314" s="35"/>
      <c r="HUH314" s="35"/>
      <c r="HUI314" s="15"/>
      <c r="HUK314" s="13"/>
      <c r="HUL314" s="35"/>
      <c r="HUM314" s="35"/>
      <c r="HUN314" s="15"/>
      <c r="HUP314" s="13"/>
      <c r="HUQ314" s="35"/>
      <c r="HUR314" s="35"/>
      <c r="HUS314" s="15"/>
      <c r="HUU314" s="13"/>
      <c r="HUV314" s="35"/>
      <c r="HUW314" s="35"/>
      <c r="HUX314" s="15"/>
      <c r="HUZ314" s="13"/>
      <c r="HVA314" s="35"/>
      <c r="HVB314" s="35"/>
      <c r="HVC314" s="15"/>
      <c r="HVE314" s="13"/>
      <c r="HVF314" s="35"/>
      <c r="HVG314" s="35"/>
      <c r="HVH314" s="15"/>
      <c r="HVJ314" s="13"/>
      <c r="HVK314" s="35"/>
      <c r="HVL314" s="35"/>
      <c r="HVM314" s="15"/>
      <c r="HVO314" s="13"/>
      <c r="HVP314" s="35"/>
      <c r="HVQ314" s="35"/>
      <c r="HVR314" s="15"/>
      <c r="HVT314" s="13"/>
      <c r="HVU314" s="35"/>
      <c r="HVV314" s="35"/>
      <c r="HVW314" s="15"/>
      <c r="HVY314" s="13"/>
      <c r="HVZ314" s="35"/>
      <c r="HWA314" s="35"/>
      <c r="HWB314" s="15"/>
      <c r="HWD314" s="13"/>
      <c r="HWE314" s="35"/>
      <c r="HWF314" s="35"/>
      <c r="HWG314" s="15"/>
      <c r="HWI314" s="13"/>
      <c r="HWJ314" s="35"/>
      <c r="HWK314" s="35"/>
      <c r="HWL314" s="15"/>
      <c r="HWN314" s="13"/>
      <c r="HWO314" s="35"/>
      <c r="HWP314" s="35"/>
      <c r="HWQ314" s="15"/>
      <c r="HWS314" s="13"/>
      <c r="HWT314" s="35"/>
      <c r="HWU314" s="35"/>
      <c r="HWV314" s="15"/>
      <c r="HWX314" s="13"/>
      <c r="HWY314" s="35"/>
      <c r="HWZ314" s="35"/>
      <c r="HXA314" s="15"/>
      <c r="HXC314" s="13"/>
      <c r="HXD314" s="35"/>
      <c r="HXE314" s="35"/>
      <c r="HXF314" s="15"/>
      <c r="HXH314" s="13"/>
      <c r="HXI314" s="35"/>
      <c r="HXJ314" s="35"/>
      <c r="HXK314" s="15"/>
      <c r="HXM314" s="13"/>
      <c r="HXN314" s="35"/>
      <c r="HXO314" s="35"/>
      <c r="HXP314" s="15"/>
      <c r="HXR314" s="13"/>
      <c r="HXS314" s="35"/>
      <c r="HXT314" s="35"/>
      <c r="HXU314" s="15"/>
      <c r="HXW314" s="13"/>
      <c r="HXX314" s="35"/>
      <c r="HXY314" s="35"/>
      <c r="HXZ314" s="15"/>
      <c r="HYB314" s="13"/>
      <c r="HYC314" s="35"/>
      <c r="HYD314" s="35"/>
      <c r="HYE314" s="15"/>
      <c r="HYG314" s="13"/>
      <c r="HYH314" s="35"/>
      <c r="HYI314" s="35"/>
      <c r="HYJ314" s="15"/>
      <c r="HYL314" s="13"/>
      <c r="HYM314" s="35"/>
      <c r="HYN314" s="35"/>
      <c r="HYO314" s="15"/>
      <c r="HYQ314" s="13"/>
      <c r="HYR314" s="35"/>
      <c r="HYS314" s="35"/>
      <c r="HYT314" s="15"/>
      <c r="HYV314" s="13"/>
      <c r="HYW314" s="35"/>
      <c r="HYX314" s="35"/>
      <c r="HYY314" s="15"/>
      <c r="HZA314" s="13"/>
      <c r="HZB314" s="35"/>
      <c r="HZC314" s="35"/>
      <c r="HZD314" s="15"/>
      <c r="HZF314" s="13"/>
      <c r="HZG314" s="35"/>
      <c r="HZH314" s="35"/>
      <c r="HZI314" s="15"/>
      <c r="HZK314" s="13"/>
      <c r="HZL314" s="35"/>
      <c r="HZM314" s="35"/>
      <c r="HZN314" s="15"/>
      <c r="HZP314" s="13"/>
      <c r="HZQ314" s="35"/>
      <c r="HZR314" s="35"/>
      <c r="HZS314" s="15"/>
      <c r="HZU314" s="13"/>
      <c r="HZV314" s="35"/>
      <c r="HZW314" s="35"/>
      <c r="HZX314" s="15"/>
      <c r="HZZ314" s="13"/>
      <c r="IAA314" s="35"/>
      <c r="IAB314" s="35"/>
      <c r="IAC314" s="15"/>
      <c r="IAE314" s="13"/>
      <c r="IAF314" s="35"/>
      <c r="IAG314" s="35"/>
      <c r="IAH314" s="15"/>
      <c r="IAJ314" s="13"/>
      <c r="IAK314" s="35"/>
      <c r="IAL314" s="35"/>
      <c r="IAM314" s="15"/>
      <c r="IAO314" s="13"/>
      <c r="IAP314" s="35"/>
      <c r="IAQ314" s="35"/>
      <c r="IAR314" s="15"/>
      <c r="IAT314" s="13"/>
      <c r="IAU314" s="35"/>
      <c r="IAV314" s="35"/>
      <c r="IAW314" s="15"/>
      <c r="IAY314" s="13"/>
      <c r="IAZ314" s="35"/>
      <c r="IBA314" s="35"/>
      <c r="IBB314" s="15"/>
      <c r="IBD314" s="13"/>
      <c r="IBE314" s="35"/>
      <c r="IBF314" s="35"/>
      <c r="IBG314" s="15"/>
      <c r="IBI314" s="13"/>
      <c r="IBJ314" s="35"/>
      <c r="IBK314" s="35"/>
      <c r="IBL314" s="15"/>
      <c r="IBN314" s="13"/>
      <c r="IBO314" s="35"/>
      <c r="IBP314" s="35"/>
      <c r="IBQ314" s="15"/>
      <c r="IBS314" s="13"/>
      <c r="IBT314" s="35"/>
      <c r="IBU314" s="35"/>
      <c r="IBV314" s="15"/>
      <c r="IBX314" s="13"/>
      <c r="IBY314" s="35"/>
      <c r="IBZ314" s="35"/>
      <c r="ICA314" s="15"/>
      <c r="ICC314" s="13"/>
      <c r="ICD314" s="35"/>
      <c r="ICE314" s="35"/>
      <c r="ICF314" s="15"/>
      <c r="ICH314" s="13"/>
      <c r="ICI314" s="35"/>
      <c r="ICJ314" s="35"/>
      <c r="ICK314" s="15"/>
      <c r="ICM314" s="13"/>
      <c r="ICN314" s="35"/>
      <c r="ICO314" s="35"/>
      <c r="ICP314" s="15"/>
      <c r="ICR314" s="13"/>
      <c r="ICS314" s="35"/>
      <c r="ICT314" s="35"/>
      <c r="ICU314" s="15"/>
      <c r="ICW314" s="13"/>
      <c r="ICX314" s="35"/>
      <c r="ICY314" s="35"/>
      <c r="ICZ314" s="15"/>
      <c r="IDB314" s="13"/>
      <c r="IDC314" s="35"/>
      <c r="IDD314" s="35"/>
      <c r="IDE314" s="15"/>
      <c r="IDG314" s="13"/>
      <c r="IDH314" s="35"/>
      <c r="IDI314" s="35"/>
      <c r="IDJ314" s="15"/>
      <c r="IDL314" s="13"/>
      <c r="IDM314" s="35"/>
      <c r="IDN314" s="35"/>
      <c r="IDO314" s="15"/>
      <c r="IDQ314" s="13"/>
      <c r="IDR314" s="35"/>
      <c r="IDS314" s="35"/>
      <c r="IDT314" s="15"/>
      <c r="IDV314" s="13"/>
      <c r="IDW314" s="35"/>
      <c r="IDX314" s="35"/>
      <c r="IDY314" s="15"/>
      <c r="IEA314" s="13"/>
      <c r="IEB314" s="35"/>
      <c r="IEC314" s="35"/>
      <c r="IED314" s="15"/>
      <c r="IEF314" s="13"/>
      <c r="IEG314" s="35"/>
      <c r="IEH314" s="35"/>
      <c r="IEI314" s="15"/>
      <c r="IEK314" s="13"/>
      <c r="IEL314" s="35"/>
      <c r="IEM314" s="35"/>
      <c r="IEN314" s="15"/>
      <c r="IEP314" s="13"/>
      <c r="IEQ314" s="35"/>
      <c r="IER314" s="35"/>
      <c r="IES314" s="15"/>
      <c r="IEU314" s="13"/>
      <c r="IEV314" s="35"/>
      <c r="IEW314" s="35"/>
      <c r="IEX314" s="15"/>
      <c r="IEZ314" s="13"/>
      <c r="IFA314" s="35"/>
      <c r="IFB314" s="35"/>
      <c r="IFC314" s="15"/>
      <c r="IFE314" s="13"/>
      <c r="IFF314" s="35"/>
      <c r="IFG314" s="35"/>
      <c r="IFH314" s="15"/>
      <c r="IFJ314" s="13"/>
      <c r="IFK314" s="35"/>
      <c r="IFL314" s="35"/>
      <c r="IFM314" s="15"/>
      <c r="IFO314" s="13"/>
      <c r="IFP314" s="35"/>
      <c r="IFQ314" s="35"/>
      <c r="IFR314" s="15"/>
      <c r="IFT314" s="13"/>
      <c r="IFU314" s="35"/>
      <c r="IFV314" s="35"/>
      <c r="IFW314" s="15"/>
      <c r="IFY314" s="13"/>
      <c r="IFZ314" s="35"/>
      <c r="IGA314" s="35"/>
      <c r="IGB314" s="15"/>
      <c r="IGD314" s="13"/>
      <c r="IGE314" s="35"/>
      <c r="IGF314" s="35"/>
      <c r="IGG314" s="15"/>
      <c r="IGI314" s="13"/>
      <c r="IGJ314" s="35"/>
      <c r="IGK314" s="35"/>
      <c r="IGL314" s="15"/>
      <c r="IGN314" s="13"/>
      <c r="IGO314" s="35"/>
      <c r="IGP314" s="35"/>
      <c r="IGQ314" s="15"/>
      <c r="IGS314" s="13"/>
      <c r="IGT314" s="35"/>
      <c r="IGU314" s="35"/>
      <c r="IGV314" s="15"/>
      <c r="IGX314" s="13"/>
      <c r="IGY314" s="35"/>
      <c r="IGZ314" s="35"/>
      <c r="IHA314" s="15"/>
      <c r="IHC314" s="13"/>
      <c r="IHD314" s="35"/>
      <c r="IHE314" s="35"/>
      <c r="IHF314" s="15"/>
      <c r="IHH314" s="13"/>
      <c r="IHI314" s="35"/>
      <c r="IHJ314" s="35"/>
      <c r="IHK314" s="15"/>
      <c r="IHM314" s="13"/>
      <c r="IHN314" s="35"/>
      <c r="IHO314" s="35"/>
      <c r="IHP314" s="15"/>
      <c r="IHR314" s="13"/>
      <c r="IHS314" s="35"/>
      <c r="IHT314" s="35"/>
      <c r="IHU314" s="15"/>
      <c r="IHW314" s="13"/>
      <c r="IHX314" s="35"/>
      <c r="IHY314" s="35"/>
      <c r="IHZ314" s="15"/>
      <c r="IIB314" s="13"/>
      <c r="IIC314" s="35"/>
      <c r="IID314" s="35"/>
      <c r="IIE314" s="15"/>
      <c r="IIG314" s="13"/>
      <c r="IIH314" s="35"/>
      <c r="III314" s="35"/>
      <c r="IIJ314" s="15"/>
      <c r="IIL314" s="13"/>
      <c r="IIM314" s="35"/>
      <c r="IIN314" s="35"/>
      <c r="IIO314" s="15"/>
      <c r="IIQ314" s="13"/>
      <c r="IIR314" s="35"/>
      <c r="IIS314" s="35"/>
      <c r="IIT314" s="15"/>
      <c r="IIV314" s="13"/>
      <c r="IIW314" s="35"/>
      <c r="IIX314" s="35"/>
      <c r="IIY314" s="15"/>
      <c r="IJA314" s="13"/>
      <c r="IJB314" s="35"/>
      <c r="IJC314" s="35"/>
      <c r="IJD314" s="15"/>
      <c r="IJF314" s="13"/>
      <c r="IJG314" s="35"/>
      <c r="IJH314" s="35"/>
      <c r="IJI314" s="15"/>
      <c r="IJK314" s="13"/>
      <c r="IJL314" s="35"/>
      <c r="IJM314" s="35"/>
      <c r="IJN314" s="15"/>
      <c r="IJP314" s="13"/>
      <c r="IJQ314" s="35"/>
      <c r="IJR314" s="35"/>
      <c r="IJS314" s="15"/>
      <c r="IJU314" s="13"/>
      <c r="IJV314" s="35"/>
      <c r="IJW314" s="35"/>
      <c r="IJX314" s="15"/>
      <c r="IJZ314" s="13"/>
      <c r="IKA314" s="35"/>
      <c r="IKB314" s="35"/>
      <c r="IKC314" s="15"/>
      <c r="IKE314" s="13"/>
      <c r="IKF314" s="35"/>
      <c r="IKG314" s="35"/>
      <c r="IKH314" s="15"/>
      <c r="IKJ314" s="13"/>
      <c r="IKK314" s="35"/>
      <c r="IKL314" s="35"/>
      <c r="IKM314" s="15"/>
      <c r="IKO314" s="13"/>
      <c r="IKP314" s="35"/>
      <c r="IKQ314" s="35"/>
      <c r="IKR314" s="15"/>
      <c r="IKT314" s="13"/>
      <c r="IKU314" s="35"/>
      <c r="IKV314" s="35"/>
      <c r="IKW314" s="15"/>
      <c r="IKY314" s="13"/>
      <c r="IKZ314" s="35"/>
      <c r="ILA314" s="35"/>
      <c r="ILB314" s="15"/>
      <c r="ILD314" s="13"/>
      <c r="ILE314" s="35"/>
      <c r="ILF314" s="35"/>
      <c r="ILG314" s="15"/>
      <c r="ILI314" s="13"/>
      <c r="ILJ314" s="35"/>
      <c r="ILK314" s="35"/>
      <c r="ILL314" s="15"/>
      <c r="ILN314" s="13"/>
      <c r="ILO314" s="35"/>
      <c r="ILP314" s="35"/>
      <c r="ILQ314" s="15"/>
      <c r="ILS314" s="13"/>
      <c r="ILT314" s="35"/>
      <c r="ILU314" s="35"/>
      <c r="ILV314" s="15"/>
      <c r="ILX314" s="13"/>
      <c r="ILY314" s="35"/>
      <c r="ILZ314" s="35"/>
      <c r="IMA314" s="15"/>
      <c r="IMC314" s="13"/>
      <c r="IMD314" s="35"/>
      <c r="IME314" s="35"/>
      <c r="IMF314" s="15"/>
      <c r="IMH314" s="13"/>
      <c r="IMI314" s="35"/>
      <c r="IMJ314" s="35"/>
      <c r="IMK314" s="15"/>
      <c r="IMM314" s="13"/>
      <c r="IMN314" s="35"/>
      <c r="IMO314" s="35"/>
      <c r="IMP314" s="15"/>
      <c r="IMR314" s="13"/>
      <c r="IMS314" s="35"/>
      <c r="IMT314" s="35"/>
      <c r="IMU314" s="15"/>
      <c r="IMW314" s="13"/>
      <c r="IMX314" s="35"/>
      <c r="IMY314" s="35"/>
      <c r="IMZ314" s="15"/>
      <c r="INB314" s="13"/>
      <c r="INC314" s="35"/>
      <c r="IND314" s="35"/>
      <c r="INE314" s="15"/>
      <c r="ING314" s="13"/>
      <c r="INH314" s="35"/>
      <c r="INI314" s="35"/>
      <c r="INJ314" s="15"/>
      <c r="INL314" s="13"/>
      <c r="INM314" s="35"/>
      <c r="INN314" s="35"/>
      <c r="INO314" s="15"/>
      <c r="INQ314" s="13"/>
      <c r="INR314" s="35"/>
      <c r="INS314" s="35"/>
      <c r="INT314" s="15"/>
      <c r="INV314" s="13"/>
      <c r="INW314" s="35"/>
      <c r="INX314" s="35"/>
      <c r="INY314" s="15"/>
      <c r="IOA314" s="13"/>
      <c r="IOB314" s="35"/>
      <c r="IOC314" s="35"/>
      <c r="IOD314" s="15"/>
      <c r="IOF314" s="13"/>
      <c r="IOG314" s="35"/>
      <c r="IOH314" s="35"/>
      <c r="IOI314" s="15"/>
      <c r="IOK314" s="13"/>
      <c r="IOL314" s="35"/>
      <c r="IOM314" s="35"/>
      <c r="ION314" s="15"/>
      <c r="IOP314" s="13"/>
      <c r="IOQ314" s="35"/>
      <c r="IOR314" s="35"/>
      <c r="IOS314" s="15"/>
      <c r="IOU314" s="13"/>
      <c r="IOV314" s="35"/>
      <c r="IOW314" s="35"/>
      <c r="IOX314" s="15"/>
      <c r="IOZ314" s="13"/>
      <c r="IPA314" s="35"/>
      <c r="IPB314" s="35"/>
      <c r="IPC314" s="15"/>
      <c r="IPE314" s="13"/>
      <c r="IPF314" s="35"/>
      <c r="IPG314" s="35"/>
      <c r="IPH314" s="15"/>
      <c r="IPJ314" s="13"/>
      <c r="IPK314" s="35"/>
      <c r="IPL314" s="35"/>
      <c r="IPM314" s="15"/>
      <c r="IPO314" s="13"/>
      <c r="IPP314" s="35"/>
      <c r="IPQ314" s="35"/>
      <c r="IPR314" s="15"/>
      <c r="IPT314" s="13"/>
      <c r="IPU314" s="35"/>
      <c r="IPV314" s="35"/>
      <c r="IPW314" s="15"/>
      <c r="IPY314" s="13"/>
      <c r="IPZ314" s="35"/>
      <c r="IQA314" s="35"/>
      <c r="IQB314" s="15"/>
      <c r="IQD314" s="13"/>
      <c r="IQE314" s="35"/>
      <c r="IQF314" s="35"/>
      <c r="IQG314" s="15"/>
      <c r="IQI314" s="13"/>
      <c r="IQJ314" s="35"/>
      <c r="IQK314" s="35"/>
      <c r="IQL314" s="15"/>
      <c r="IQN314" s="13"/>
      <c r="IQO314" s="35"/>
      <c r="IQP314" s="35"/>
      <c r="IQQ314" s="15"/>
      <c r="IQS314" s="13"/>
      <c r="IQT314" s="35"/>
      <c r="IQU314" s="35"/>
      <c r="IQV314" s="15"/>
      <c r="IQX314" s="13"/>
      <c r="IQY314" s="35"/>
      <c r="IQZ314" s="35"/>
      <c r="IRA314" s="15"/>
      <c r="IRC314" s="13"/>
      <c r="IRD314" s="35"/>
      <c r="IRE314" s="35"/>
      <c r="IRF314" s="15"/>
      <c r="IRH314" s="13"/>
      <c r="IRI314" s="35"/>
      <c r="IRJ314" s="35"/>
      <c r="IRK314" s="15"/>
      <c r="IRM314" s="13"/>
      <c r="IRN314" s="35"/>
      <c r="IRO314" s="35"/>
      <c r="IRP314" s="15"/>
      <c r="IRR314" s="13"/>
      <c r="IRS314" s="35"/>
      <c r="IRT314" s="35"/>
      <c r="IRU314" s="15"/>
      <c r="IRW314" s="13"/>
      <c r="IRX314" s="35"/>
      <c r="IRY314" s="35"/>
      <c r="IRZ314" s="15"/>
      <c r="ISB314" s="13"/>
      <c r="ISC314" s="35"/>
      <c r="ISD314" s="35"/>
      <c r="ISE314" s="15"/>
      <c r="ISG314" s="13"/>
      <c r="ISH314" s="35"/>
      <c r="ISI314" s="35"/>
      <c r="ISJ314" s="15"/>
      <c r="ISL314" s="13"/>
      <c r="ISM314" s="35"/>
      <c r="ISN314" s="35"/>
      <c r="ISO314" s="15"/>
      <c r="ISQ314" s="13"/>
      <c r="ISR314" s="35"/>
      <c r="ISS314" s="35"/>
      <c r="IST314" s="15"/>
      <c r="ISV314" s="13"/>
      <c r="ISW314" s="35"/>
      <c r="ISX314" s="35"/>
      <c r="ISY314" s="15"/>
      <c r="ITA314" s="13"/>
      <c r="ITB314" s="35"/>
      <c r="ITC314" s="35"/>
      <c r="ITD314" s="15"/>
      <c r="ITF314" s="13"/>
      <c r="ITG314" s="35"/>
      <c r="ITH314" s="35"/>
      <c r="ITI314" s="15"/>
      <c r="ITK314" s="13"/>
      <c r="ITL314" s="35"/>
      <c r="ITM314" s="35"/>
      <c r="ITN314" s="15"/>
      <c r="ITP314" s="13"/>
      <c r="ITQ314" s="35"/>
      <c r="ITR314" s="35"/>
      <c r="ITS314" s="15"/>
      <c r="ITU314" s="13"/>
      <c r="ITV314" s="35"/>
      <c r="ITW314" s="35"/>
      <c r="ITX314" s="15"/>
      <c r="ITZ314" s="13"/>
      <c r="IUA314" s="35"/>
      <c r="IUB314" s="35"/>
      <c r="IUC314" s="15"/>
      <c r="IUE314" s="13"/>
      <c r="IUF314" s="35"/>
      <c r="IUG314" s="35"/>
      <c r="IUH314" s="15"/>
      <c r="IUJ314" s="13"/>
      <c r="IUK314" s="35"/>
      <c r="IUL314" s="35"/>
      <c r="IUM314" s="15"/>
      <c r="IUO314" s="13"/>
      <c r="IUP314" s="35"/>
      <c r="IUQ314" s="35"/>
      <c r="IUR314" s="15"/>
      <c r="IUT314" s="13"/>
      <c r="IUU314" s="35"/>
      <c r="IUV314" s="35"/>
      <c r="IUW314" s="15"/>
      <c r="IUY314" s="13"/>
      <c r="IUZ314" s="35"/>
      <c r="IVA314" s="35"/>
      <c r="IVB314" s="15"/>
      <c r="IVD314" s="13"/>
      <c r="IVE314" s="35"/>
      <c r="IVF314" s="35"/>
      <c r="IVG314" s="15"/>
      <c r="IVI314" s="13"/>
      <c r="IVJ314" s="35"/>
      <c r="IVK314" s="35"/>
      <c r="IVL314" s="15"/>
      <c r="IVN314" s="13"/>
      <c r="IVO314" s="35"/>
      <c r="IVP314" s="35"/>
      <c r="IVQ314" s="15"/>
      <c r="IVS314" s="13"/>
      <c r="IVT314" s="35"/>
      <c r="IVU314" s="35"/>
      <c r="IVV314" s="15"/>
      <c r="IVX314" s="13"/>
      <c r="IVY314" s="35"/>
      <c r="IVZ314" s="35"/>
      <c r="IWA314" s="15"/>
      <c r="IWC314" s="13"/>
      <c r="IWD314" s="35"/>
      <c r="IWE314" s="35"/>
      <c r="IWF314" s="15"/>
      <c r="IWH314" s="13"/>
      <c r="IWI314" s="35"/>
      <c r="IWJ314" s="35"/>
      <c r="IWK314" s="15"/>
      <c r="IWM314" s="13"/>
      <c r="IWN314" s="35"/>
      <c r="IWO314" s="35"/>
      <c r="IWP314" s="15"/>
      <c r="IWR314" s="13"/>
      <c r="IWS314" s="35"/>
      <c r="IWT314" s="35"/>
      <c r="IWU314" s="15"/>
      <c r="IWW314" s="13"/>
      <c r="IWX314" s="35"/>
      <c r="IWY314" s="35"/>
      <c r="IWZ314" s="15"/>
      <c r="IXB314" s="13"/>
      <c r="IXC314" s="35"/>
      <c r="IXD314" s="35"/>
      <c r="IXE314" s="15"/>
      <c r="IXG314" s="13"/>
      <c r="IXH314" s="35"/>
      <c r="IXI314" s="35"/>
      <c r="IXJ314" s="15"/>
      <c r="IXL314" s="13"/>
      <c r="IXM314" s="35"/>
      <c r="IXN314" s="35"/>
      <c r="IXO314" s="15"/>
      <c r="IXQ314" s="13"/>
      <c r="IXR314" s="35"/>
      <c r="IXS314" s="35"/>
      <c r="IXT314" s="15"/>
      <c r="IXV314" s="13"/>
      <c r="IXW314" s="35"/>
      <c r="IXX314" s="35"/>
      <c r="IXY314" s="15"/>
      <c r="IYA314" s="13"/>
      <c r="IYB314" s="35"/>
      <c r="IYC314" s="35"/>
      <c r="IYD314" s="15"/>
      <c r="IYF314" s="13"/>
      <c r="IYG314" s="35"/>
      <c r="IYH314" s="35"/>
      <c r="IYI314" s="15"/>
      <c r="IYK314" s="13"/>
      <c r="IYL314" s="35"/>
      <c r="IYM314" s="35"/>
      <c r="IYN314" s="15"/>
      <c r="IYP314" s="13"/>
      <c r="IYQ314" s="35"/>
      <c r="IYR314" s="35"/>
      <c r="IYS314" s="15"/>
      <c r="IYU314" s="13"/>
      <c r="IYV314" s="35"/>
      <c r="IYW314" s="35"/>
      <c r="IYX314" s="15"/>
      <c r="IYZ314" s="13"/>
      <c r="IZA314" s="35"/>
      <c r="IZB314" s="35"/>
      <c r="IZC314" s="15"/>
      <c r="IZE314" s="13"/>
      <c r="IZF314" s="35"/>
      <c r="IZG314" s="35"/>
      <c r="IZH314" s="15"/>
      <c r="IZJ314" s="13"/>
      <c r="IZK314" s="35"/>
      <c r="IZL314" s="35"/>
      <c r="IZM314" s="15"/>
      <c r="IZO314" s="13"/>
      <c r="IZP314" s="35"/>
      <c r="IZQ314" s="35"/>
      <c r="IZR314" s="15"/>
      <c r="IZT314" s="13"/>
      <c r="IZU314" s="35"/>
      <c r="IZV314" s="35"/>
      <c r="IZW314" s="15"/>
      <c r="IZY314" s="13"/>
      <c r="IZZ314" s="35"/>
      <c r="JAA314" s="35"/>
      <c r="JAB314" s="15"/>
      <c r="JAD314" s="13"/>
      <c r="JAE314" s="35"/>
      <c r="JAF314" s="35"/>
      <c r="JAG314" s="15"/>
      <c r="JAI314" s="13"/>
      <c r="JAJ314" s="35"/>
      <c r="JAK314" s="35"/>
      <c r="JAL314" s="15"/>
      <c r="JAN314" s="13"/>
      <c r="JAO314" s="35"/>
      <c r="JAP314" s="35"/>
      <c r="JAQ314" s="15"/>
      <c r="JAS314" s="13"/>
      <c r="JAT314" s="35"/>
      <c r="JAU314" s="35"/>
      <c r="JAV314" s="15"/>
      <c r="JAX314" s="13"/>
      <c r="JAY314" s="35"/>
      <c r="JAZ314" s="35"/>
      <c r="JBA314" s="15"/>
      <c r="JBC314" s="13"/>
      <c r="JBD314" s="35"/>
      <c r="JBE314" s="35"/>
      <c r="JBF314" s="15"/>
      <c r="JBH314" s="13"/>
      <c r="JBI314" s="35"/>
      <c r="JBJ314" s="35"/>
      <c r="JBK314" s="15"/>
      <c r="JBM314" s="13"/>
      <c r="JBN314" s="35"/>
      <c r="JBO314" s="35"/>
      <c r="JBP314" s="15"/>
      <c r="JBR314" s="13"/>
      <c r="JBS314" s="35"/>
      <c r="JBT314" s="35"/>
      <c r="JBU314" s="15"/>
      <c r="JBW314" s="13"/>
      <c r="JBX314" s="35"/>
      <c r="JBY314" s="35"/>
      <c r="JBZ314" s="15"/>
      <c r="JCB314" s="13"/>
      <c r="JCC314" s="35"/>
      <c r="JCD314" s="35"/>
      <c r="JCE314" s="15"/>
      <c r="JCG314" s="13"/>
      <c r="JCH314" s="35"/>
      <c r="JCI314" s="35"/>
      <c r="JCJ314" s="15"/>
      <c r="JCL314" s="13"/>
      <c r="JCM314" s="35"/>
      <c r="JCN314" s="35"/>
      <c r="JCO314" s="15"/>
      <c r="JCQ314" s="13"/>
      <c r="JCR314" s="35"/>
      <c r="JCS314" s="35"/>
      <c r="JCT314" s="15"/>
      <c r="JCV314" s="13"/>
      <c r="JCW314" s="35"/>
      <c r="JCX314" s="35"/>
      <c r="JCY314" s="15"/>
      <c r="JDA314" s="13"/>
      <c r="JDB314" s="35"/>
      <c r="JDC314" s="35"/>
      <c r="JDD314" s="15"/>
      <c r="JDF314" s="13"/>
      <c r="JDG314" s="35"/>
      <c r="JDH314" s="35"/>
      <c r="JDI314" s="15"/>
      <c r="JDK314" s="13"/>
      <c r="JDL314" s="35"/>
      <c r="JDM314" s="35"/>
      <c r="JDN314" s="15"/>
      <c r="JDP314" s="13"/>
      <c r="JDQ314" s="35"/>
      <c r="JDR314" s="35"/>
      <c r="JDS314" s="15"/>
      <c r="JDU314" s="13"/>
      <c r="JDV314" s="35"/>
      <c r="JDW314" s="35"/>
      <c r="JDX314" s="15"/>
      <c r="JDZ314" s="13"/>
      <c r="JEA314" s="35"/>
      <c r="JEB314" s="35"/>
      <c r="JEC314" s="15"/>
      <c r="JEE314" s="13"/>
      <c r="JEF314" s="35"/>
      <c r="JEG314" s="35"/>
      <c r="JEH314" s="15"/>
      <c r="JEJ314" s="13"/>
      <c r="JEK314" s="35"/>
      <c r="JEL314" s="35"/>
      <c r="JEM314" s="15"/>
      <c r="JEO314" s="13"/>
      <c r="JEP314" s="35"/>
      <c r="JEQ314" s="35"/>
      <c r="JER314" s="15"/>
      <c r="JET314" s="13"/>
      <c r="JEU314" s="35"/>
      <c r="JEV314" s="35"/>
      <c r="JEW314" s="15"/>
      <c r="JEY314" s="13"/>
      <c r="JEZ314" s="35"/>
      <c r="JFA314" s="35"/>
      <c r="JFB314" s="15"/>
      <c r="JFD314" s="13"/>
      <c r="JFE314" s="35"/>
      <c r="JFF314" s="35"/>
      <c r="JFG314" s="15"/>
      <c r="JFI314" s="13"/>
      <c r="JFJ314" s="35"/>
      <c r="JFK314" s="35"/>
      <c r="JFL314" s="15"/>
      <c r="JFN314" s="13"/>
      <c r="JFO314" s="35"/>
      <c r="JFP314" s="35"/>
      <c r="JFQ314" s="15"/>
      <c r="JFS314" s="13"/>
      <c r="JFT314" s="35"/>
      <c r="JFU314" s="35"/>
      <c r="JFV314" s="15"/>
      <c r="JFX314" s="13"/>
      <c r="JFY314" s="35"/>
      <c r="JFZ314" s="35"/>
      <c r="JGA314" s="15"/>
      <c r="JGC314" s="13"/>
      <c r="JGD314" s="35"/>
      <c r="JGE314" s="35"/>
      <c r="JGF314" s="15"/>
      <c r="JGH314" s="13"/>
      <c r="JGI314" s="35"/>
      <c r="JGJ314" s="35"/>
      <c r="JGK314" s="15"/>
      <c r="JGM314" s="13"/>
      <c r="JGN314" s="35"/>
      <c r="JGO314" s="35"/>
      <c r="JGP314" s="15"/>
      <c r="JGR314" s="13"/>
      <c r="JGS314" s="35"/>
      <c r="JGT314" s="35"/>
      <c r="JGU314" s="15"/>
      <c r="JGW314" s="13"/>
      <c r="JGX314" s="35"/>
      <c r="JGY314" s="35"/>
      <c r="JGZ314" s="15"/>
      <c r="JHB314" s="13"/>
      <c r="JHC314" s="35"/>
      <c r="JHD314" s="35"/>
      <c r="JHE314" s="15"/>
      <c r="JHG314" s="13"/>
      <c r="JHH314" s="35"/>
      <c r="JHI314" s="35"/>
      <c r="JHJ314" s="15"/>
      <c r="JHL314" s="13"/>
      <c r="JHM314" s="35"/>
      <c r="JHN314" s="35"/>
      <c r="JHO314" s="15"/>
      <c r="JHQ314" s="13"/>
      <c r="JHR314" s="35"/>
      <c r="JHS314" s="35"/>
      <c r="JHT314" s="15"/>
      <c r="JHV314" s="13"/>
      <c r="JHW314" s="35"/>
      <c r="JHX314" s="35"/>
      <c r="JHY314" s="15"/>
      <c r="JIA314" s="13"/>
      <c r="JIB314" s="35"/>
      <c r="JIC314" s="35"/>
      <c r="JID314" s="15"/>
      <c r="JIF314" s="13"/>
      <c r="JIG314" s="35"/>
      <c r="JIH314" s="35"/>
      <c r="JII314" s="15"/>
      <c r="JIK314" s="13"/>
      <c r="JIL314" s="35"/>
      <c r="JIM314" s="35"/>
      <c r="JIN314" s="15"/>
      <c r="JIP314" s="13"/>
      <c r="JIQ314" s="35"/>
      <c r="JIR314" s="35"/>
      <c r="JIS314" s="15"/>
      <c r="JIU314" s="13"/>
      <c r="JIV314" s="35"/>
      <c r="JIW314" s="35"/>
      <c r="JIX314" s="15"/>
      <c r="JIZ314" s="13"/>
      <c r="JJA314" s="35"/>
      <c r="JJB314" s="35"/>
      <c r="JJC314" s="15"/>
      <c r="JJE314" s="13"/>
      <c r="JJF314" s="35"/>
      <c r="JJG314" s="35"/>
      <c r="JJH314" s="15"/>
      <c r="JJJ314" s="13"/>
      <c r="JJK314" s="35"/>
      <c r="JJL314" s="35"/>
      <c r="JJM314" s="15"/>
      <c r="JJO314" s="13"/>
      <c r="JJP314" s="35"/>
      <c r="JJQ314" s="35"/>
      <c r="JJR314" s="15"/>
      <c r="JJT314" s="13"/>
      <c r="JJU314" s="35"/>
      <c r="JJV314" s="35"/>
      <c r="JJW314" s="15"/>
      <c r="JJY314" s="13"/>
      <c r="JJZ314" s="35"/>
      <c r="JKA314" s="35"/>
      <c r="JKB314" s="15"/>
      <c r="JKD314" s="13"/>
      <c r="JKE314" s="35"/>
      <c r="JKF314" s="35"/>
      <c r="JKG314" s="15"/>
      <c r="JKI314" s="13"/>
      <c r="JKJ314" s="35"/>
      <c r="JKK314" s="35"/>
      <c r="JKL314" s="15"/>
      <c r="JKN314" s="13"/>
      <c r="JKO314" s="35"/>
      <c r="JKP314" s="35"/>
      <c r="JKQ314" s="15"/>
      <c r="JKS314" s="13"/>
      <c r="JKT314" s="35"/>
      <c r="JKU314" s="35"/>
      <c r="JKV314" s="15"/>
      <c r="JKX314" s="13"/>
      <c r="JKY314" s="35"/>
      <c r="JKZ314" s="35"/>
      <c r="JLA314" s="15"/>
      <c r="JLC314" s="13"/>
      <c r="JLD314" s="35"/>
      <c r="JLE314" s="35"/>
      <c r="JLF314" s="15"/>
      <c r="JLH314" s="13"/>
      <c r="JLI314" s="35"/>
      <c r="JLJ314" s="35"/>
      <c r="JLK314" s="15"/>
      <c r="JLM314" s="13"/>
      <c r="JLN314" s="35"/>
      <c r="JLO314" s="35"/>
      <c r="JLP314" s="15"/>
      <c r="JLR314" s="13"/>
      <c r="JLS314" s="35"/>
      <c r="JLT314" s="35"/>
      <c r="JLU314" s="15"/>
      <c r="JLW314" s="13"/>
      <c r="JLX314" s="35"/>
      <c r="JLY314" s="35"/>
      <c r="JLZ314" s="15"/>
      <c r="JMB314" s="13"/>
      <c r="JMC314" s="35"/>
      <c r="JMD314" s="35"/>
      <c r="JME314" s="15"/>
      <c r="JMG314" s="13"/>
      <c r="JMH314" s="35"/>
      <c r="JMI314" s="35"/>
      <c r="JMJ314" s="15"/>
      <c r="JML314" s="13"/>
      <c r="JMM314" s="35"/>
      <c r="JMN314" s="35"/>
      <c r="JMO314" s="15"/>
      <c r="JMQ314" s="13"/>
      <c r="JMR314" s="35"/>
      <c r="JMS314" s="35"/>
      <c r="JMT314" s="15"/>
      <c r="JMV314" s="13"/>
      <c r="JMW314" s="35"/>
      <c r="JMX314" s="35"/>
      <c r="JMY314" s="15"/>
      <c r="JNA314" s="13"/>
      <c r="JNB314" s="35"/>
      <c r="JNC314" s="35"/>
      <c r="JND314" s="15"/>
      <c r="JNF314" s="13"/>
      <c r="JNG314" s="35"/>
      <c r="JNH314" s="35"/>
      <c r="JNI314" s="15"/>
      <c r="JNK314" s="13"/>
      <c r="JNL314" s="35"/>
      <c r="JNM314" s="35"/>
      <c r="JNN314" s="15"/>
      <c r="JNP314" s="13"/>
      <c r="JNQ314" s="35"/>
      <c r="JNR314" s="35"/>
      <c r="JNS314" s="15"/>
      <c r="JNU314" s="13"/>
      <c r="JNV314" s="35"/>
      <c r="JNW314" s="35"/>
      <c r="JNX314" s="15"/>
      <c r="JNZ314" s="13"/>
      <c r="JOA314" s="35"/>
      <c r="JOB314" s="35"/>
      <c r="JOC314" s="15"/>
      <c r="JOE314" s="13"/>
      <c r="JOF314" s="35"/>
      <c r="JOG314" s="35"/>
      <c r="JOH314" s="15"/>
      <c r="JOJ314" s="13"/>
      <c r="JOK314" s="35"/>
      <c r="JOL314" s="35"/>
      <c r="JOM314" s="15"/>
      <c r="JOO314" s="13"/>
      <c r="JOP314" s="35"/>
      <c r="JOQ314" s="35"/>
      <c r="JOR314" s="15"/>
      <c r="JOT314" s="13"/>
      <c r="JOU314" s="35"/>
      <c r="JOV314" s="35"/>
      <c r="JOW314" s="15"/>
      <c r="JOY314" s="13"/>
      <c r="JOZ314" s="35"/>
      <c r="JPA314" s="35"/>
      <c r="JPB314" s="15"/>
      <c r="JPD314" s="13"/>
      <c r="JPE314" s="35"/>
      <c r="JPF314" s="35"/>
      <c r="JPG314" s="15"/>
      <c r="JPI314" s="13"/>
      <c r="JPJ314" s="35"/>
      <c r="JPK314" s="35"/>
      <c r="JPL314" s="15"/>
      <c r="JPN314" s="13"/>
      <c r="JPO314" s="35"/>
      <c r="JPP314" s="35"/>
      <c r="JPQ314" s="15"/>
      <c r="JPS314" s="13"/>
      <c r="JPT314" s="35"/>
      <c r="JPU314" s="35"/>
      <c r="JPV314" s="15"/>
      <c r="JPX314" s="13"/>
      <c r="JPY314" s="35"/>
      <c r="JPZ314" s="35"/>
      <c r="JQA314" s="15"/>
      <c r="JQC314" s="13"/>
      <c r="JQD314" s="35"/>
      <c r="JQE314" s="35"/>
      <c r="JQF314" s="15"/>
      <c r="JQH314" s="13"/>
      <c r="JQI314" s="35"/>
      <c r="JQJ314" s="35"/>
      <c r="JQK314" s="15"/>
      <c r="JQM314" s="13"/>
      <c r="JQN314" s="35"/>
      <c r="JQO314" s="35"/>
      <c r="JQP314" s="15"/>
      <c r="JQR314" s="13"/>
      <c r="JQS314" s="35"/>
      <c r="JQT314" s="35"/>
      <c r="JQU314" s="15"/>
      <c r="JQW314" s="13"/>
      <c r="JQX314" s="35"/>
      <c r="JQY314" s="35"/>
      <c r="JQZ314" s="15"/>
      <c r="JRB314" s="13"/>
      <c r="JRC314" s="35"/>
      <c r="JRD314" s="35"/>
      <c r="JRE314" s="15"/>
      <c r="JRG314" s="13"/>
      <c r="JRH314" s="35"/>
      <c r="JRI314" s="35"/>
      <c r="JRJ314" s="15"/>
      <c r="JRL314" s="13"/>
      <c r="JRM314" s="35"/>
      <c r="JRN314" s="35"/>
      <c r="JRO314" s="15"/>
      <c r="JRQ314" s="13"/>
      <c r="JRR314" s="35"/>
      <c r="JRS314" s="35"/>
      <c r="JRT314" s="15"/>
      <c r="JRV314" s="13"/>
      <c r="JRW314" s="35"/>
      <c r="JRX314" s="35"/>
      <c r="JRY314" s="15"/>
      <c r="JSA314" s="13"/>
      <c r="JSB314" s="35"/>
      <c r="JSC314" s="35"/>
      <c r="JSD314" s="15"/>
      <c r="JSF314" s="13"/>
      <c r="JSG314" s="35"/>
      <c r="JSH314" s="35"/>
      <c r="JSI314" s="15"/>
      <c r="JSK314" s="13"/>
      <c r="JSL314" s="35"/>
      <c r="JSM314" s="35"/>
      <c r="JSN314" s="15"/>
      <c r="JSP314" s="13"/>
      <c r="JSQ314" s="35"/>
      <c r="JSR314" s="35"/>
      <c r="JSS314" s="15"/>
      <c r="JSU314" s="13"/>
      <c r="JSV314" s="35"/>
      <c r="JSW314" s="35"/>
      <c r="JSX314" s="15"/>
      <c r="JSZ314" s="13"/>
      <c r="JTA314" s="35"/>
      <c r="JTB314" s="35"/>
      <c r="JTC314" s="15"/>
      <c r="JTE314" s="13"/>
      <c r="JTF314" s="35"/>
      <c r="JTG314" s="35"/>
      <c r="JTH314" s="15"/>
      <c r="JTJ314" s="13"/>
      <c r="JTK314" s="35"/>
      <c r="JTL314" s="35"/>
      <c r="JTM314" s="15"/>
      <c r="JTO314" s="13"/>
      <c r="JTP314" s="35"/>
      <c r="JTQ314" s="35"/>
      <c r="JTR314" s="15"/>
      <c r="JTT314" s="13"/>
      <c r="JTU314" s="35"/>
      <c r="JTV314" s="35"/>
      <c r="JTW314" s="15"/>
      <c r="JTY314" s="13"/>
      <c r="JTZ314" s="35"/>
      <c r="JUA314" s="35"/>
      <c r="JUB314" s="15"/>
      <c r="JUD314" s="13"/>
      <c r="JUE314" s="35"/>
      <c r="JUF314" s="35"/>
      <c r="JUG314" s="15"/>
      <c r="JUI314" s="13"/>
      <c r="JUJ314" s="35"/>
      <c r="JUK314" s="35"/>
      <c r="JUL314" s="15"/>
      <c r="JUN314" s="13"/>
      <c r="JUO314" s="35"/>
      <c r="JUP314" s="35"/>
      <c r="JUQ314" s="15"/>
      <c r="JUS314" s="13"/>
      <c r="JUT314" s="35"/>
      <c r="JUU314" s="35"/>
      <c r="JUV314" s="15"/>
      <c r="JUX314" s="13"/>
      <c r="JUY314" s="35"/>
      <c r="JUZ314" s="35"/>
      <c r="JVA314" s="15"/>
      <c r="JVC314" s="13"/>
      <c r="JVD314" s="35"/>
      <c r="JVE314" s="35"/>
      <c r="JVF314" s="15"/>
      <c r="JVH314" s="13"/>
      <c r="JVI314" s="35"/>
      <c r="JVJ314" s="35"/>
      <c r="JVK314" s="15"/>
      <c r="JVM314" s="13"/>
      <c r="JVN314" s="35"/>
      <c r="JVO314" s="35"/>
      <c r="JVP314" s="15"/>
      <c r="JVR314" s="13"/>
      <c r="JVS314" s="35"/>
      <c r="JVT314" s="35"/>
      <c r="JVU314" s="15"/>
      <c r="JVW314" s="13"/>
      <c r="JVX314" s="35"/>
      <c r="JVY314" s="35"/>
      <c r="JVZ314" s="15"/>
      <c r="JWB314" s="13"/>
      <c r="JWC314" s="35"/>
      <c r="JWD314" s="35"/>
      <c r="JWE314" s="15"/>
      <c r="JWG314" s="13"/>
      <c r="JWH314" s="35"/>
      <c r="JWI314" s="35"/>
      <c r="JWJ314" s="15"/>
      <c r="JWL314" s="13"/>
      <c r="JWM314" s="35"/>
      <c r="JWN314" s="35"/>
      <c r="JWO314" s="15"/>
      <c r="JWQ314" s="13"/>
      <c r="JWR314" s="35"/>
      <c r="JWS314" s="35"/>
      <c r="JWT314" s="15"/>
      <c r="JWV314" s="13"/>
      <c r="JWW314" s="35"/>
      <c r="JWX314" s="35"/>
      <c r="JWY314" s="15"/>
      <c r="JXA314" s="13"/>
      <c r="JXB314" s="35"/>
      <c r="JXC314" s="35"/>
      <c r="JXD314" s="15"/>
      <c r="JXF314" s="13"/>
      <c r="JXG314" s="35"/>
      <c r="JXH314" s="35"/>
      <c r="JXI314" s="15"/>
      <c r="JXK314" s="13"/>
      <c r="JXL314" s="35"/>
      <c r="JXM314" s="35"/>
      <c r="JXN314" s="15"/>
      <c r="JXP314" s="13"/>
      <c r="JXQ314" s="35"/>
      <c r="JXR314" s="35"/>
      <c r="JXS314" s="15"/>
      <c r="JXU314" s="13"/>
      <c r="JXV314" s="35"/>
      <c r="JXW314" s="35"/>
      <c r="JXX314" s="15"/>
      <c r="JXZ314" s="13"/>
      <c r="JYA314" s="35"/>
      <c r="JYB314" s="35"/>
      <c r="JYC314" s="15"/>
      <c r="JYE314" s="13"/>
      <c r="JYF314" s="35"/>
      <c r="JYG314" s="35"/>
      <c r="JYH314" s="15"/>
      <c r="JYJ314" s="13"/>
      <c r="JYK314" s="35"/>
      <c r="JYL314" s="35"/>
      <c r="JYM314" s="15"/>
      <c r="JYO314" s="13"/>
      <c r="JYP314" s="35"/>
      <c r="JYQ314" s="35"/>
      <c r="JYR314" s="15"/>
      <c r="JYT314" s="13"/>
      <c r="JYU314" s="35"/>
      <c r="JYV314" s="35"/>
      <c r="JYW314" s="15"/>
      <c r="JYY314" s="13"/>
      <c r="JYZ314" s="35"/>
      <c r="JZA314" s="35"/>
      <c r="JZB314" s="15"/>
      <c r="JZD314" s="13"/>
      <c r="JZE314" s="35"/>
      <c r="JZF314" s="35"/>
      <c r="JZG314" s="15"/>
      <c r="JZI314" s="13"/>
      <c r="JZJ314" s="35"/>
      <c r="JZK314" s="35"/>
      <c r="JZL314" s="15"/>
      <c r="JZN314" s="13"/>
      <c r="JZO314" s="35"/>
      <c r="JZP314" s="35"/>
      <c r="JZQ314" s="15"/>
      <c r="JZS314" s="13"/>
      <c r="JZT314" s="35"/>
      <c r="JZU314" s="35"/>
      <c r="JZV314" s="15"/>
      <c r="JZX314" s="13"/>
      <c r="JZY314" s="35"/>
      <c r="JZZ314" s="35"/>
      <c r="KAA314" s="15"/>
      <c r="KAC314" s="13"/>
      <c r="KAD314" s="35"/>
      <c r="KAE314" s="35"/>
      <c r="KAF314" s="15"/>
      <c r="KAH314" s="13"/>
      <c r="KAI314" s="35"/>
      <c r="KAJ314" s="35"/>
      <c r="KAK314" s="15"/>
      <c r="KAM314" s="13"/>
      <c r="KAN314" s="35"/>
      <c r="KAO314" s="35"/>
      <c r="KAP314" s="15"/>
      <c r="KAR314" s="13"/>
      <c r="KAS314" s="35"/>
      <c r="KAT314" s="35"/>
      <c r="KAU314" s="15"/>
      <c r="KAW314" s="13"/>
      <c r="KAX314" s="35"/>
      <c r="KAY314" s="35"/>
      <c r="KAZ314" s="15"/>
      <c r="KBB314" s="13"/>
      <c r="KBC314" s="35"/>
      <c r="KBD314" s="35"/>
      <c r="KBE314" s="15"/>
      <c r="KBG314" s="13"/>
      <c r="KBH314" s="35"/>
      <c r="KBI314" s="35"/>
      <c r="KBJ314" s="15"/>
      <c r="KBL314" s="13"/>
      <c r="KBM314" s="35"/>
      <c r="KBN314" s="35"/>
      <c r="KBO314" s="15"/>
      <c r="KBQ314" s="13"/>
      <c r="KBR314" s="35"/>
      <c r="KBS314" s="35"/>
      <c r="KBT314" s="15"/>
      <c r="KBV314" s="13"/>
      <c r="KBW314" s="35"/>
      <c r="KBX314" s="35"/>
      <c r="KBY314" s="15"/>
      <c r="KCA314" s="13"/>
      <c r="KCB314" s="35"/>
      <c r="KCC314" s="35"/>
      <c r="KCD314" s="15"/>
      <c r="KCF314" s="13"/>
      <c r="KCG314" s="35"/>
      <c r="KCH314" s="35"/>
      <c r="KCI314" s="15"/>
      <c r="KCK314" s="13"/>
      <c r="KCL314" s="35"/>
      <c r="KCM314" s="35"/>
      <c r="KCN314" s="15"/>
      <c r="KCP314" s="13"/>
      <c r="KCQ314" s="35"/>
      <c r="KCR314" s="35"/>
      <c r="KCS314" s="15"/>
      <c r="KCU314" s="13"/>
      <c r="KCV314" s="35"/>
      <c r="KCW314" s="35"/>
      <c r="KCX314" s="15"/>
      <c r="KCZ314" s="13"/>
      <c r="KDA314" s="35"/>
      <c r="KDB314" s="35"/>
      <c r="KDC314" s="15"/>
      <c r="KDE314" s="13"/>
      <c r="KDF314" s="35"/>
      <c r="KDG314" s="35"/>
      <c r="KDH314" s="15"/>
      <c r="KDJ314" s="13"/>
      <c r="KDK314" s="35"/>
      <c r="KDL314" s="35"/>
      <c r="KDM314" s="15"/>
      <c r="KDO314" s="13"/>
      <c r="KDP314" s="35"/>
      <c r="KDQ314" s="35"/>
      <c r="KDR314" s="15"/>
      <c r="KDT314" s="13"/>
      <c r="KDU314" s="35"/>
      <c r="KDV314" s="35"/>
      <c r="KDW314" s="15"/>
      <c r="KDY314" s="13"/>
      <c r="KDZ314" s="35"/>
      <c r="KEA314" s="35"/>
      <c r="KEB314" s="15"/>
      <c r="KED314" s="13"/>
      <c r="KEE314" s="35"/>
      <c r="KEF314" s="35"/>
      <c r="KEG314" s="15"/>
      <c r="KEI314" s="13"/>
      <c r="KEJ314" s="35"/>
      <c r="KEK314" s="35"/>
      <c r="KEL314" s="15"/>
      <c r="KEN314" s="13"/>
      <c r="KEO314" s="35"/>
      <c r="KEP314" s="35"/>
      <c r="KEQ314" s="15"/>
      <c r="KES314" s="13"/>
      <c r="KET314" s="35"/>
      <c r="KEU314" s="35"/>
      <c r="KEV314" s="15"/>
      <c r="KEX314" s="13"/>
      <c r="KEY314" s="35"/>
      <c r="KEZ314" s="35"/>
      <c r="KFA314" s="15"/>
      <c r="KFC314" s="13"/>
      <c r="KFD314" s="35"/>
      <c r="KFE314" s="35"/>
      <c r="KFF314" s="15"/>
      <c r="KFH314" s="13"/>
      <c r="KFI314" s="35"/>
      <c r="KFJ314" s="35"/>
      <c r="KFK314" s="15"/>
      <c r="KFM314" s="13"/>
      <c r="KFN314" s="35"/>
      <c r="KFO314" s="35"/>
      <c r="KFP314" s="15"/>
      <c r="KFR314" s="13"/>
      <c r="KFS314" s="35"/>
      <c r="KFT314" s="35"/>
      <c r="KFU314" s="15"/>
      <c r="KFW314" s="13"/>
      <c r="KFX314" s="35"/>
      <c r="KFY314" s="35"/>
      <c r="KFZ314" s="15"/>
      <c r="KGB314" s="13"/>
      <c r="KGC314" s="35"/>
      <c r="KGD314" s="35"/>
      <c r="KGE314" s="15"/>
      <c r="KGG314" s="13"/>
      <c r="KGH314" s="35"/>
      <c r="KGI314" s="35"/>
      <c r="KGJ314" s="15"/>
      <c r="KGL314" s="13"/>
      <c r="KGM314" s="35"/>
      <c r="KGN314" s="35"/>
      <c r="KGO314" s="15"/>
      <c r="KGQ314" s="13"/>
      <c r="KGR314" s="35"/>
      <c r="KGS314" s="35"/>
      <c r="KGT314" s="15"/>
      <c r="KGV314" s="13"/>
      <c r="KGW314" s="35"/>
      <c r="KGX314" s="35"/>
      <c r="KGY314" s="15"/>
      <c r="KHA314" s="13"/>
      <c r="KHB314" s="35"/>
      <c r="KHC314" s="35"/>
      <c r="KHD314" s="15"/>
      <c r="KHF314" s="13"/>
      <c r="KHG314" s="35"/>
      <c r="KHH314" s="35"/>
      <c r="KHI314" s="15"/>
      <c r="KHK314" s="13"/>
      <c r="KHL314" s="35"/>
      <c r="KHM314" s="35"/>
      <c r="KHN314" s="15"/>
      <c r="KHP314" s="13"/>
      <c r="KHQ314" s="35"/>
      <c r="KHR314" s="35"/>
      <c r="KHS314" s="15"/>
      <c r="KHU314" s="13"/>
      <c r="KHV314" s="35"/>
      <c r="KHW314" s="35"/>
      <c r="KHX314" s="15"/>
      <c r="KHZ314" s="13"/>
      <c r="KIA314" s="35"/>
      <c r="KIB314" s="35"/>
      <c r="KIC314" s="15"/>
      <c r="KIE314" s="13"/>
      <c r="KIF314" s="35"/>
      <c r="KIG314" s="35"/>
      <c r="KIH314" s="15"/>
      <c r="KIJ314" s="13"/>
      <c r="KIK314" s="35"/>
      <c r="KIL314" s="35"/>
      <c r="KIM314" s="15"/>
      <c r="KIO314" s="13"/>
      <c r="KIP314" s="35"/>
      <c r="KIQ314" s="35"/>
      <c r="KIR314" s="15"/>
      <c r="KIT314" s="13"/>
      <c r="KIU314" s="35"/>
      <c r="KIV314" s="35"/>
      <c r="KIW314" s="15"/>
      <c r="KIY314" s="13"/>
      <c r="KIZ314" s="35"/>
      <c r="KJA314" s="35"/>
      <c r="KJB314" s="15"/>
      <c r="KJD314" s="13"/>
      <c r="KJE314" s="35"/>
      <c r="KJF314" s="35"/>
      <c r="KJG314" s="15"/>
      <c r="KJI314" s="13"/>
      <c r="KJJ314" s="35"/>
      <c r="KJK314" s="35"/>
      <c r="KJL314" s="15"/>
      <c r="KJN314" s="13"/>
      <c r="KJO314" s="35"/>
      <c r="KJP314" s="35"/>
      <c r="KJQ314" s="15"/>
      <c r="KJS314" s="13"/>
      <c r="KJT314" s="35"/>
      <c r="KJU314" s="35"/>
      <c r="KJV314" s="15"/>
      <c r="KJX314" s="13"/>
      <c r="KJY314" s="35"/>
      <c r="KJZ314" s="35"/>
      <c r="KKA314" s="15"/>
      <c r="KKC314" s="13"/>
      <c r="KKD314" s="35"/>
      <c r="KKE314" s="35"/>
      <c r="KKF314" s="15"/>
      <c r="KKH314" s="13"/>
      <c r="KKI314" s="35"/>
      <c r="KKJ314" s="35"/>
      <c r="KKK314" s="15"/>
      <c r="KKM314" s="13"/>
      <c r="KKN314" s="35"/>
      <c r="KKO314" s="35"/>
      <c r="KKP314" s="15"/>
      <c r="KKR314" s="13"/>
      <c r="KKS314" s="35"/>
      <c r="KKT314" s="35"/>
      <c r="KKU314" s="15"/>
      <c r="KKW314" s="13"/>
      <c r="KKX314" s="35"/>
      <c r="KKY314" s="35"/>
      <c r="KKZ314" s="15"/>
      <c r="KLB314" s="13"/>
      <c r="KLC314" s="35"/>
      <c r="KLD314" s="35"/>
      <c r="KLE314" s="15"/>
      <c r="KLG314" s="13"/>
      <c r="KLH314" s="35"/>
      <c r="KLI314" s="35"/>
      <c r="KLJ314" s="15"/>
      <c r="KLL314" s="13"/>
      <c r="KLM314" s="35"/>
      <c r="KLN314" s="35"/>
      <c r="KLO314" s="15"/>
      <c r="KLQ314" s="13"/>
      <c r="KLR314" s="35"/>
      <c r="KLS314" s="35"/>
      <c r="KLT314" s="15"/>
      <c r="KLV314" s="13"/>
      <c r="KLW314" s="35"/>
      <c r="KLX314" s="35"/>
      <c r="KLY314" s="15"/>
      <c r="KMA314" s="13"/>
      <c r="KMB314" s="35"/>
      <c r="KMC314" s="35"/>
      <c r="KMD314" s="15"/>
      <c r="KMF314" s="13"/>
      <c r="KMG314" s="35"/>
      <c r="KMH314" s="35"/>
      <c r="KMI314" s="15"/>
      <c r="KMK314" s="13"/>
      <c r="KML314" s="35"/>
      <c r="KMM314" s="35"/>
      <c r="KMN314" s="15"/>
      <c r="KMP314" s="13"/>
      <c r="KMQ314" s="35"/>
      <c r="KMR314" s="35"/>
      <c r="KMS314" s="15"/>
      <c r="KMU314" s="13"/>
      <c r="KMV314" s="35"/>
      <c r="KMW314" s="35"/>
      <c r="KMX314" s="15"/>
      <c r="KMZ314" s="13"/>
      <c r="KNA314" s="35"/>
      <c r="KNB314" s="35"/>
      <c r="KNC314" s="15"/>
      <c r="KNE314" s="13"/>
      <c r="KNF314" s="35"/>
      <c r="KNG314" s="35"/>
      <c r="KNH314" s="15"/>
      <c r="KNJ314" s="13"/>
      <c r="KNK314" s="35"/>
      <c r="KNL314" s="35"/>
      <c r="KNM314" s="15"/>
      <c r="KNO314" s="13"/>
      <c r="KNP314" s="35"/>
      <c r="KNQ314" s="35"/>
      <c r="KNR314" s="15"/>
      <c r="KNT314" s="13"/>
      <c r="KNU314" s="35"/>
      <c r="KNV314" s="35"/>
      <c r="KNW314" s="15"/>
      <c r="KNY314" s="13"/>
      <c r="KNZ314" s="35"/>
      <c r="KOA314" s="35"/>
      <c r="KOB314" s="15"/>
      <c r="KOD314" s="13"/>
      <c r="KOE314" s="35"/>
      <c r="KOF314" s="35"/>
      <c r="KOG314" s="15"/>
      <c r="KOI314" s="13"/>
      <c r="KOJ314" s="35"/>
      <c r="KOK314" s="35"/>
      <c r="KOL314" s="15"/>
      <c r="KON314" s="13"/>
      <c r="KOO314" s="35"/>
      <c r="KOP314" s="35"/>
      <c r="KOQ314" s="15"/>
      <c r="KOS314" s="13"/>
      <c r="KOT314" s="35"/>
      <c r="KOU314" s="35"/>
      <c r="KOV314" s="15"/>
      <c r="KOX314" s="13"/>
      <c r="KOY314" s="35"/>
      <c r="KOZ314" s="35"/>
      <c r="KPA314" s="15"/>
      <c r="KPC314" s="13"/>
      <c r="KPD314" s="35"/>
      <c r="KPE314" s="35"/>
      <c r="KPF314" s="15"/>
      <c r="KPH314" s="13"/>
      <c r="KPI314" s="35"/>
      <c r="KPJ314" s="35"/>
      <c r="KPK314" s="15"/>
      <c r="KPM314" s="13"/>
      <c r="KPN314" s="35"/>
      <c r="KPO314" s="35"/>
      <c r="KPP314" s="15"/>
      <c r="KPR314" s="13"/>
      <c r="KPS314" s="35"/>
      <c r="KPT314" s="35"/>
      <c r="KPU314" s="15"/>
      <c r="KPW314" s="13"/>
      <c r="KPX314" s="35"/>
      <c r="KPY314" s="35"/>
      <c r="KPZ314" s="15"/>
      <c r="KQB314" s="13"/>
      <c r="KQC314" s="35"/>
      <c r="KQD314" s="35"/>
      <c r="KQE314" s="15"/>
      <c r="KQG314" s="13"/>
      <c r="KQH314" s="35"/>
      <c r="KQI314" s="35"/>
      <c r="KQJ314" s="15"/>
      <c r="KQL314" s="13"/>
      <c r="KQM314" s="35"/>
      <c r="KQN314" s="35"/>
      <c r="KQO314" s="15"/>
      <c r="KQQ314" s="13"/>
      <c r="KQR314" s="35"/>
      <c r="KQS314" s="35"/>
      <c r="KQT314" s="15"/>
      <c r="KQV314" s="13"/>
      <c r="KQW314" s="35"/>
      <c r="KQX314" s="35"/>
      <c r="KQY314" s="15"/>
      <c r="KRA314" s="13"/>
      <c r="KRB314" s="35"/>
      <c r="KRC314" s="35"/>
      <c r="KRD314" s="15"/>
      <c r="KRF314" s="13"/>
      <c r="KRG314" s="35"/>
      <c r="KRH314" s="35"/>
      <c r="KRI314" s="15"/>
      <c r="KRK314" s="13"/>
      <c r="KRL314" s="35"/>
      <c r="KRM314" s="35"/>
      <c r="KRN314" s="15"/>
      <c r="KRP314" s="13"/>
      <c r="KRQ314" s="35"/>
      <c r="KRR314" s="35"/>
      <c r="KRS314" s="15"/>
      <c r="KRU314" s="13"/>
      <c r="KRV314" s="35"/>
      <c r="KRW314" s="35"/>
      <c r="KRX314" s="15"/>
      <c r="KRZ314" s="13"/>
      <c r="KSA314" s="35"/>
      <c r="KSB314" s="35"/>
      <c r="KSC314" s="15"/>
      <c r="KSE314" s="13"/>
      <c r="KSF314" s="35"/>
      <c r="KSG314" s="35"/>
      <c r="KSH314" s="15"/>
      <c r="KSJ314" s="13"/>
      <c r="KSK314" s="35"/>
      <c r="KSL314" s="35"/>
      <c r="KSM314" s="15"/>
      <c r="KSO314" s="13"/>
      <c r="KSP314" s="35"/>
      <c r="KSQ314" s="35"/>
      <c r="KSR314" s="15"/>
      <c r="KST314" s="13"/>
      <c r="KSU314" s="35"/>
      <c r="KSV314" s="35"/>
      <c r="KSW314" s="15"/>
      <c r="KSY314" s="13"/>
      <c r="KSZ314" s="35"/>
      <c r="KTA314" s="35"/>
      <c r="KTB314" s="15"/>
      <c r="KTD314" s="13"/>
      <c r="KTE314" s="35"/>
      <c r="KTF314" s="35"/>
      <c r="KTG314" s="15"/>
      <c r="KTI314" s="13"/>
      <c r="KTJ314" s="35"/>
      <c r="KTK314" s="35"/>
      <c r="KTL314" s="15"/>
      <c r="KTN314" s="13"/>
      <c r="KTO314" s="35"/>
      <c r="KTP314" s="35"/>
      <c r="KTQ314" s="15"/>
      <c r="KTS314" s="13"/>
      <c r="KTT314" s="35"/>
      <c r="KTU314" s="35"/>
      <c r="KTV314" s="15"/>
      <c r="KTX314" s="13"/>
      <c r="KTY314" s="35"/>
      <c r="KTZ314" s="35"/>
      <c r="KUA314" s="15"/>
      <c r="KUC314" s="13"/>
      <c r="KUD314" s="35"/>
      <c r="KUE314" s="35"/>
      <c r="KUF314" s="15"/>
      <c r="KUH314" s="13"/>
      <c r="KUI314" s="35"/>
      <c r="KUJ314" s="35"/>
      <c r="KUK314" s="15"/>
      <c r="KUM314" s="13"/>
      <c r="KUN314" s="35"/>
      <c r="KUO314" s="35"/>
      <c r="KUP314" s="15"/>
      <c r="KUR314" s="13"/>
      <c r="KUS314" s="35"/>
      <c r="KUT314" s="35"/>
      <c r="KUU314" s="15"/>
      <c r="KUW314" s="13"/>
      <c r="KUX314" s="35"/>
      <c r="KUY314" s="35"/>
      <c r="KUZ314" s="15"/>
      <c r="KVB314" s="13"/>
      <c r="KVC314" s="35"/>
      <c r="KVD314" s="35"/>
      <c r="KVE314" s="15"/>
      <c r="KVG314" s="13"/>
      <c r="KVH314" s="35"/>
      <c r="KVI314" s="35"/>
      <c r="KVJ314" s="15"/>
      <c r="KVL314" s="13"/>
      <c r="KVM314" s="35"/>
      <c r="KVN314" s="35"/>
      <c r="KVO314" s="15"/>
      <c r="KVQ314" s="13"/>
      <c r="KVR314" s="35"/>
      <c r="KVS314" s="35"/>
      <c r="KVT314" s="15"/>
      <c r="KVV314" s="13"/>
      <c r="KVW314" s="35"/>
      <c r="KVX314" s="35"/>
      <c r="KVY314" s="15"/>
      <c r="KWA314" s="13"/>
      <c r="KWB314" s="35"/>
      <c r="KWC314" s="35"/>
      <c r="KWD314" s="15"/>
      <c r="KWF314" s="13"/>
      <c r="KWG314" s="35"/>
      <c r="KWH314" s="35"/>
      <c r="KWI314" s="15"/>
      <c r="KWK314" s="13"/>
      <c r="KWL314" s="35"/>
      <c r="KWM314" s="35"/>
      <c r="KWN314" s="15"/>
      <c r="KWP314" s="13"/>
      <c r="KWQ314" s="35"/>
      <c r="KWR314" s="35"/>
      <c r="KWS314" s="15"/>
      <c r="KWU314" s="13"/>
      <c r="KWV314" s="35"/>
      <c r="KWW314" s="35"/>
      <c r="KWX314" s="15"/>
      <c r="KWZ314" s="13"/>
      <c r="KXA314" s="35"/>
      <c r="KXB314" s="35"/>
      <c r="KXC314" s="15"/>
      <c r="KXE314" s="13"/>
      <c r="KXF314" s="35"/>
      <c r="KXG314" s="35"/>
      <c r="KXH314" s="15"/>
      <c r="KXJ314" s="13"/>
      <c r="KXK314" s="35"/>
      <c r="KXL314" s="35"/>
      <c r="KXM314" s="15"/>
      <c r="KXO314" s="13"/>
      <c r="KXP314" s="35"/>
      <c r="KXQ314" s="35"/>
      <c r="KXR314" s="15"/>
      <c r="KXT314" s="13"/>
      <c r="KXU314" s="35"/>
      <c r="KXV314" s="35"/>
      <c r="KXW314" s="15"/>
      <c r="KXY314" s="13"/>
      <c r="KXZ314" s="35"/>
      <c r="KYA314" s="35"/>
      <c r="KYB314" s="15"/>
      <c r="KYD314" s="13"/>
      <c r="KYE314" s="35"/>
      <c r="KYF314" s="35"/>
      <c r="KYG314" s="15"/>
      <c r="KYI314" s="13"/>
      <c r="KYJ314" s="35"/>
      <c r="KYK314" s="35"/>
      <c r="KYL314" s="15"/>
      <c r="KYN314" s="13"/>
      <c r="KYO314" s="35"/>
      <c r="KYP314" s="35"/>
      <c r="KYQ314" s="15"/>
      <c r="KYS314" s="13"/>
      <c r="KYT314" s="35"/>
      <c r="KYU314" s="35"/>
      <c r="KYV314" s="15"/>
      <c r="KYX314" s="13"/>
      <c r="KYY314" s="35"/>
      <c r="KYZ314" s="35"/>
      <c r="KZA314" s="15"/>
      <c r="KZC314" s="13"/>
      <c r="KZD314" s="35"/>
      <c r="KZE314" s="35"/>
      <c r="KZF314" s="15"/>
      <c r="KZH314" s="13"/>
      <c r="KZI314" s="35"/>
      <c r="KZJ314" s="35"/>
      <c r="KZK314" s="15"/>
      <c r="KZM314" s="13"/>
      <c r="KZN314" s="35"/>
      <c r="KZO314" s="35"/>
      <c r="KZP314" s="15"/>
      <c r="KZR314" s="13"/>
      <c r="KZS314" s="35"/>
      <c r="KZT314" s="35"/>
      <c r="KZU314" s="15"/>
      <c r="KZW314" s="13"/>
      <c r="KZX314" s="35"/>
      <c r="KZY314" s="35"/>
      <c r="KZZ314" s="15"/>
      <c r="LAB314" s="13"/>
      <c r="LAC314" s="35"/>
      <c r="LAD314" s="35"/>
      <c r="LAE314" s="15"/>
      <c r="LAG314" s="13"/>
      <c r="LAH314" s="35"/>
      <c r="LAI314" s="35"/>
      <c r="LAJ314" s="15"/>
      <c r="LAL314" s="13"/>
      <c r="LAM314" s="35"/>
      <c r="LAN314" s="35"/>
      <c r="LAO314" s="15"/>
      <c r="LAQ314" s="13"/>
      <c r="LAR314" s="35"/>
      <c r="LAS314" s="35"/>
      <c r="LAT314" s="15"/>
      <c r="LAV314" s="13"/>
      <c r="LAW314" s="35"/>
      <c r="LAX314" s="35"/>
      <c r="LAY314" s="15"/>
      <c r="LBA314" s="13"/>
      <c r="LBB314" s="35"/>
      <c r="LBC314" s="35"/>
      <c r="LBD314" s="15"/>
      <c r="LBF314" s="13"/>
      <c r="LBG314" s="35"/>
      <c r="LBH314" s="35"/>
      <c r="LBI314" s="15"/>
      <c r="LBK314" s="13"/>
      <c r="LBL314" s="35"/>
      <c r="LBM314" s="35"/>
      <c r="LBN314" s="15"/>
      <c r="LBP314" s="13"/>
      <c r="LBQ314" s="35"/>
      <c r="LBR314" s="35"/>
      <c r="LBS314" s="15"/>
      <c r="LBU314" s="13"/>
      <c r="LBV314" s="35"/>
      <c r="LBW314" s="35"/>
      <c r="LBX314" s="15"/>
      <c r="LBZ314" s="13"/>
      <c r="LCA314" s="35"/>
      <c r="LCB314" s="35"/>
      <c r="LCC314" s="15"/>
      <c r="LCE314" s="13"/>
      <c r="LCF314" s="35"/>
      <c r="LCG314" s="35"/>
      <c r="LCH314" s="15"/>
      <c r="LCJ314" s="13"/>
      <c r="LCK314" s="35"/>
      <c r="LCL314" s="35"/>
      <c r="LCM314" s="15"/>
      <c r="LCO314" s="13"/>
      <c r="LCP314" s="35"/>
      <c r="LCQ314" s="35"/>
      <c r="LCR314" s="15"/>
      <c r="LCT314" s="13"/>
      <c r="LCU314" s="35"/>
      <c r="LCV314" s="35"/>
      <c r="LCW314" s="15"/>
      <c r="LCY314" s="13"/>
      <c r="LCZ314" s="35"/>
      <c r="LDA314" s="35"/>
      <c r="LDB314" s="15"/>
      <c r="LDD314" s="13"/>
      <c r="LDE314" s="35"/>
      <c r="LDF314" s="35"/>
      <c r="LDG314" s="15"/>
      <c r="LDI314" s="13"/>
      <c r="LDJ314" s="35"/>
      <c r="LDK314" s="35"/>
      <c r="LDL314" s="15"/>
      <c r="LDN314" s="13"/>
      <c r="LDO314" s="35"/>
      <c r="LDP314" s="35"/>
      <c r="LDQ314" s="15"/>
      <c r="LDS314" s="13"/>
      <c r="LDT314" s="35"/>
      <c r="LDU314" s="35"/>
      <c r="LDV314" s="15"/>
      <c r="LDX314" s="13"/>
      <c r="LDY314" s="35"/>
      <c r="LDZ314" s="35"/>
      <c r="LEA314" s="15"/>
      <c r="LEC314" s="13"/>
      <c r="LED314" s="35"/>
      <c r="LEE314" s="35"/>
      <c r="LEF314" s="15"/>
      <c r="LEH314" s="13"/>
      <c r="LEI314" s="35"/>
      <c r="LEJ314" s="35"/>
      <c r="LEK314" s="15"/>
      <c r="LEM314" s="13"/>
      <c r="LEN314" s="35"/>
      <c r="LEO314" s="35"/>
      <c r="LEP314" s="15"/>
      <c r="LER314" s="13"/>
      <c r="LES314" s="35"/>
      <c r="LET314" s="35"/>
      <c r="LEU314" s="15"/>
      <c r="LEW314" s="13"/>
      <c r="LEX314" s="35"/>
      <c r="LEY314" s="35"/>
      <c r="LEZ314" s="15"/>
      <c r="LFB314" s="13"/>
      <c r="LFC314" s="35"/>
      <c r="LFD314" s="35"/>
      <c r="LFE314" s="15"/>
      <c r="LFG314" s="13"/>
      <c r="LFH314" s="35"/>
      <c r="LFI314" s="35"/>
      <c r="LFJ314" s="15"/>
      <c r="LFL314" s="13"/>
      <c r="LFM314" s="35"/>
      <c r="LFN314" s="35"/>
      <c r="LFO314" s="15"/>
      <c r="LFQ314" s="13"/>
      <c r="LFR314" s="35"/>
      <c r="LFS314" s="35"/>
      <c r="LFT314" s="15"/>
      <c r="LFV314" s="13"/>
      <c r="LFW314" s="35"/>
      <c r="LFX314" s="35"/>
      <c r="LFY314" s="15"/>
      <c r="LGA314" s="13"/>
      <c r="LGB314" s="35"/>
      <c r="LGC314" s="35"/>
      <c r="LGD314" s="15"/>
      <c r="LGF314" s="13"/>
      <c r="LGG314" s="35"/>
      <c r="LGH314" s="35"/>
      <c r="LGI314" s="15"/>
      <c r="LGK314" s="13"/>
      <c r="LGL314" s="35"/>
      <c r="LGM314" s="35"/>
      <c r="LGN314" s="15"/>
      <c r="LGP314" s="13"/>
      <c r="LGQ314" s="35"/>
      <c r="LGR314" s="35"/>
      <c r="LGS314" s="15"/>
      <c r="LGU314" s="13"/>
      <c r="LGV314" s="35"/>
      <c r="LGW314" s="35"/>
      <c r="LGX314" s="15"/>
      <c r="LGZ314" s="13"/>
      <c r="LHA314" s="35"/>
      <c r="LHB314" s="35"/>
      <c r="LHC314" s="15"/>
      <c r="LHE314" s="13"/>
      <c r="LHF314" s="35"/>
      <c r="LHG314" s="35"/>
      <c r="LHH314" s="15"/>
      <c r="LHJ314" s="13"/>
      <c r="LHK314" s="35"/>
      <c r="LHL314" s="35"/>
      <c r="LHM314" s="15"/>
      <c r="LHO314" s="13"/>
      <c r="LHP314" s="35"/>
      <c r="LHQ314" s="35"/>
      <c r="LHR314" s="15"/>
      <c r="LHT314" s="13"/>
      <c r="LHU314" s="35"/>
      <c r="LHV314" s="35"/>
      <c r="LHW314" s="15"/>
      <c r="LHY314" s="13"/>
      <c r="LHZ314" s="35"/>
      <c r="LIA314" s="35"/>
      <c r="LIB314" s="15"/>
      <c r="LID314" s="13"/>
      <c r="LIE314" s="35"/>
      <c r="LIF314" s="35"/>
      <c r="LIG314" s="15"/>
      <c r="LII314" s="13"/>
      <c r="LIJ314" s="35"/>
      <c r="LIK314" s="35"/>
      <c r="LIL314" s="15"/>
      <c r="LIN314" s="13"/>
      <c r="LIO314" s="35"/>
      <c r="LIP314" s="35"/>
      <c r="LIQ314" s="15"/>
      <c r="LIS314" s="13"/>
      <c r="LIT314" s="35"/>
      <c r="LIU314" s="35"/>
      <c r="LIV314" s="15"/>
      <c r="LIX314" s="13"/>
      <c r="LIY314" s="35"/>
      <c r="LIZ314" s="35"/>
      <c r="LJA314" s="15"/>
      <c r="LJC314" s="13"/>
      <c r="LJD314" s="35"/>
      <c r="LJE314" s="35"/>
      <c r="LJF314" s="15"/>
      <c r="LJH314" s="13"/>
      <c r="LJI314" s="35"/>
      <c r="LJJ314" s="35"/>
      <c r="LJK314" s="15"/>
      <c r="LJM314" s="13"/>
      <c r="LJN314" s="35"/>
      <c r="LJO314" s="35"/>
      <c r="LJP314" s="15"/>
      <c r="LJR314" s="13"/>
      <c r="LJS314" s="35"/>
      <c r="LJT314" s="35"/>
      <c r="LJU314" s="15"/>
      <c r="LJW314" s="13"/>
      <c r="LJX314" s="35"/>
      <c r="LJY314" s="35"/>
      <c r="LJZ314" s="15"/>
      <c r="LKB314" s="13"/>
      <c r="LKC314" s="35"/>
      <c r="LKD314" s="35"/>
      <c r="LKE314" s="15"/>
      <c r="LKG314" s="13"/>
      <c r="LKH314" s="35"/>
      <c r="LKI314" s="35"/>
      <c r="LKJ314" s="15"/>
      <c r="LKL314" s="13"/>
      <c r="LKM314" s="35"/>
      <c r="LKN314" s="35"/>
      <c r="LKO314" s="15"/>
      <c r="LKQ314" s="13"/>
      <c r="LKR314" s="35"/>
      <c r="LKS314" s="35"/>
      <c r="LKT314" s="15"/>
      <c r="LKV314" s="13"/>
      <c r="LKW314" s="35"/>
      <c r="LKX314" s="35"/>
      <c r="LKY314" s="15"/>
      <c r="LLA314" s="13"/>
      <c r="LLB314" s="35"/>
      <c r="LLC314" s="35"/>
      <c r="LLD314" s="15"/>
      <c r="LLF314" s="13"/>
      <c r="LLG314" s="35"/>
      <c r="LLH314" s="35"/>
      <c r="LLI314" s="15"/>
      <c r="LLK314" s="13"/>
      <c r="LLL314" s="35"/>
      <c r="LLM314" s="35"/>
      <c r="LLN314" s="15"/>
      <c r="LLP314" s="13"/>
      <c r="LLQ314" s="35"/>
      <c r="LLR314" s="35"/>
      <c r="LLS314" s="15"/>
      <c r="LLU314" s="13"/>
      <c r="LLV314" s="35"/>
      <c r="LLW314" s="35"/>
      <c r="LLX314" s="15"/>
      <c r="LLZ314" s="13"/>
      <c r="LMA314" s="35"/>
      <c r="LMB314" s="35"/>
      <c r="LMC314" s="15"/>
      <c r="LME314" s="13"/>
      <c r="LMF314" s="35"/>
      <c r="LMG314" s="35"/>
      <c r="LMH314" s="15"/>
      <c r="LMJ314" s="13"/>
      <c r="LMK314" s="35"/>
      <c r="LML314" s="35"/>
      <c r="LMM314" s="15"/>
      <c r="LMO314" s="13"/>
      <c r="LMP314" s="35"/>
      <c r="LMQ314" s="35"/>
      <c r="LMR314" s="15"/>
      <c r="LMT314" s="13"/>
      <c r="LMU314" s="35"/>
      <c r="LMV314" s="35"/>
      <c r="LMW314" s="15"/>
      <c r="LMY314" s="13"/>
      <c r="LMZ314" s="35"/>
      <c r="LNA314" s="35"/>
      <c r="LNB314" s="15"/>
      <c r="LND314" s="13"/>
      <c r="LNE314" s="35"/>
      <c r="LNF314" s="35"/>
      <c r="LNG314" s="15"/>
      <c r="LNI314" s="13"/>
      <c r="LNJ314" s="35"/>
      <c r="LNK314" s="35"/>
      <c r="LNL314" s="15"/>
      <c r="LNN314" s="13"/>
      <c r="LNO314" s="35"/>
      <c r="LNP314" s="35"/>
      <c r="LNQ314" s="15"/>
      <c r="LNS314" s="13"/>
      <c r="LNT314" s="35"/>
      <c r="LNU314" s="35"/>
      <c r="LNV314" s="15"/>
      <c r="LNX314" s="13"/>
      <c r="LNY314" s="35"/>
      <c r="LNZ314" s="35"/>
      <c r="LOA314" s="15"/>
      <c r="LOC314" s="13"/>
      <c r="LOD314" s="35"/>
      <c r="LOE314" s="35"/>
      <c r="LOF314" s="15"/>
      <c r="LOH314" s="13"/>
      <c r="LOI314" s="35"/>
      <c r="LOJ314" s="35"/>
      <c r="LOK314" s="15"/>
      <c r="LOM314" s="13"/>
      <c r="LON314" s="35"/>
      <c r="LOO314" s="35"/>
      <c r="LOP314" s="15"/>
      <c r="LOR314" s="13"/>
      <c r="LOS314" s="35"/>
      <c r="LOT314" s="35"/>
      <c r="LOU314" s="15"/>
      <c r="LOW314" s="13"/>
      <c r="LOX314" s="35"/>
      <c r="LOY314" s="35"/>
      <c r="LOZ314" s="15"/>
      <c r="LPB314" s="13"/>
      <c r="LPC314" s="35"/>
      <c r="LPD314" s="35"/>
      <c r="LPE314" s="15"/>
      <c r="LPG314" s="13"/>
      <c r="LPH314" s="35"/>
      <c r="LPI314" s="35"/>
      <c r="LPJ314" s="15"/>
      <c r="LPL314" s="13"/>
      <c r="LPM314" s="35"/>
      <c r="LPN314" s="35"/>
      <c r="LPO314" s="15"/>
      <c r="LPQ314" s="13"/>
      <c r="LPR314" s="35"/>
      <c r="LPS314" s="35"/>
      <c r="LPT314" s="15"/>
      <c r="LPV314" s="13"/>
      <c r="LPW314" s="35"/>
      <c r="LPX314" s="35"/>
      <c r="LPY314" s="15"/>
      <c r="LQA314" s="13"/>
      <c r="LQB314" s="35"/>
      <c r="LQC314" s="35"/>
      <c r="LQD314" s="15"/>
      <c r="LQF314" s="13"/>
      <c r="LQG314" s="35"/>
      <c r="LQH314" s="35"/>
      <c r="LQI314" s="15"/>
      <c r="LQK314" s="13"/>
      <c r="LQL314" s="35"/>
      <c r="LQM314" s="35"/>
      <c r="LQN314" s="15"/>
      <c r="LQP314" s="13"/>
      <c r="LQQ314" s="35"/>
      <c r="LQR314" s="35"/>
      <c r="LQS314" s="15"/>
      <c r="LQU314" s="13"/>
      <c r="LQV314" s="35"/>
      <c r="LQW314" s="35"/>
      <c r="LQX314" s="15"/>
      <c r="LQZ314" s="13"/>
      <c r="LRA314" s="35"/>
      <c r="LRB314" s="35"/>
      <c r="LRC314" s="15"/>
      <c r="LRE314" s="13"/>
      <c r="LRF314" s="35"/>
      <c r="LRG314" s="35"/>
      <c r="LRH314" s="15"/>
      <c r="LRJ314" s="13"/>
      <c r="LRK314" s="35"/>
      <c r="LRL314" s="35"/>
      <c r="LRM314" s="15"/>
      <c r="LRO314" s="13"/>
      <c r="LRP314" s="35"/>
      <c r="LRQ314" s="35"/>
      <c r="LRR314" s="15"/>
      <c r="LRT314" s="13"/>
      <c r="LRU314" s="35"/>
      <c r="LRV314" s="35"/>
      <c r="LRW314" s="15"/>
      <c r="LRY314" s="13"/>
      <c r="LRZ314" s="35"/>
      <c r="LSA314" s="35"/>
      <c r="LSB314" s="15"/>
      <c r="LSD314" s="13"/>
      <c r="LSE314" s="35"/>
      <c r="LSF314" s="35"/>
      <c r="LSG314" s="15"/>
      <c r="LSI314" s="13"/>
      <c r="LSJ314" s="35"/>
      <c r="LSK314" s="35"/>
      <c r="LSL314" s="15"/>
      <c r="LSN314" s="13"/>
      <c r="LSO314" s="35"/>
      <c r="LSP314" s="35"/>
      <c r="LSQ314" s="15"/>
      <c r="LSS314" s="13"/>
      <c r="LST314" s="35"/>
      <c r="LSU314" s="35"/>
      <c r="LSV314" s="15"/>
      <c r="LSX314" s="13"/>
      <c r="LSY314" s="35"/>
      <c r="LSZ314" s="35"/>
      <c r="LTA314" s="15"/>
      <c r="LTC314" s="13"/>
      <c r="LTD314" s="35"/>
      <c r="LTE314" s="35"/>
      <c r="LTF314" s="15"/>
      <c r="LTH314" s="13"/>
      <c r="LTI314" s="35"/>
      <c r="LTJ314" s="35"/>
      <c r="LTK314" s="15"/>
      <c r="LTM314" s="13"/>
      <c r="LTN314" s="35"/>
      <c r="LTO314" s="35"/>
      <c r="LTP314" s="15"/>
      <c r="LTR314" s="13"/>
      <c r="LTS314" s="35"/>
      <c r="LTT314" s="35"/>
      <c r="LTU314" s="15"/>
      <c r="LTW314" s="13"/>
      <c r="LTX314" s="35"/>
      <c r="LTY314" s="35"/>
      <c r="LTZ314" s="15"/>
      <c r="LUB314" s="13"/>
      <c r="LUC314" s="35"/>
      <c r="LUD314" s="35"/>
      <c r="LUE314" s="15"/>
      <c r="LUG314" s="13"/>
      <c r="LUH314" s="35"/>
      <c r="LUI314" s="35"/>
      <c r="LUJ314" s="15"/>
      <c r="LUL314" s="13"/>
      <c r="LUM314" s="35"/>
      <c r="LUN314" s="35"/>
      <c r="LUO314" s="15"/>
      <c r="LUQ314" s="13"/>
      <c r="LUR314" s="35"/>
      <c r="LUS314" s="35"/>
      <c r="LUT314" s="15"/>
      <c r="LUV314" s="13"/>
      <c r="LUW314" s="35"/>
      <c r="LUX314" s="35"/>
      <c r="LUY314" s="15"/>
      <c r="LVA314" s="13"/>
      <c r="LVB314" s="35"/>
      <c r="LVC314" s="35"/>
      <c r="LVD314" s="15"/>
      <c r="LVF314" s="13"/>
      <c r="LVG314" s="35"/>
      <c r="LVH314" s="35"/>
      <c r="LVI314" s="15"/>
      <c r="LVK314" s="13"/>
      <c r="LVL314" s="35"/>
      <c r="LVM314" s="35"/>
      <c r="LVN314" s="15"/>
      <c r="LVP314" s="13"/>
      <c r="LVQ314" s="35"/>
      <c r="LVR314" s="35"/>
      <c r="LVS314" s="15"/>
      <c r="LVU314" s="13"/>
      <c r="LVV314" s="35"/>
      <c r="LVW314" s="35"/>
      <c r="LVX314" s="15"/>
      <c r="LVZ314" s="13"/>
      <c r="LWA314" s="35"/>
      <c r="LWB314" s="35"/>
      <c r="LWC314" s="15"/>
      <c r="LWE314" s="13"/>
      <c r="LWF314" s="35"/>
      <c r="LWG314" s="35"/>
      <c r="LWH314" s="15"/>
      <c r="LWJ314" s="13"/>
      <c r="LWK314" s="35"/>
      <c r="LWL314" s="35"/>
      <c r="LWM314" s="15"/>
      <c r="LWO314" s="13"/>
      <c r="LWP314" s="35"/>
      <c r="LWQ314" s="35"/>
      <c r="LWR314" s="15"/>
      <c r="LWT314" s="13"/>
      <c r="LWU314" s="35"/>
      <c r="LWV314" s="35"/>
      <c r="LWW314" s="15"/>
      <c r="LWY314" s="13"/>
      <c r="LWZ314" s="35"/>
      <c r="LXA314" s="35"/>
      <c r="LXB314" s="15"/>
      <c r="LXD314" s="13"/>
      <c r="LXE314" s="35"/>
      <c r="LXF314" s="35"/>
      <c r="LXG314" s="15"/>
      <c r="LXI314" s="13"/>
      <c r="LXJ314" s="35"/>
      <c r="LXK314" s="35"/>
      <c r="LXL314" s="15"/>
      <c r="LXN314" s="13"/>
      <c r="LXO314" s="35"/>
      <c r="LXP314" s="35"/>
      <c r="LXQ314" s="15"/>
      <c r="LXS314" s="13"/>
      <c r="LXT314" s="35"/>
      <c r="LXU314" s="35"/>
      <c r="LXV314" s="15"/>
      <c r="LXX314" s="13"/>
      <c r="LXY314" s="35"/>
      <c r="LXZ314" s="35"/>
      <c r="LYA314" s="15"/>
      <c r="LYC314" s="13"/>
      <c r="LYD314" s="35"/>
      <c r="LYE314" s="35"/>
      <c r="LYF314" s="15"/>
      <c r="LYH314" s="13"/>
      <c r="LYI314" s="35"/>
      <c r="LYJ314" s="35"/>
      <c r="LYK314" s="15"/>
      <c r="LYM314" s="13"/>
      <c r="LYN314" s="35"/>
      <c r="LYO314" s="35"/>
      <c r="LYP314" s="15"/>
      <c r="LYR314" s="13"/>
      <c r="LYS314" s="35"/>
      <c r="LYT314" s="35"/>
      <c r="LYU314" s="15"/>
      <c r="LYW314" s="13"/>
      <c r="LYX314" s="35"/>
      <c r="LYY314" s="35"/>
      <c r="LYZ314" s="15"/>
      <c r="LZB314" s="13"/>
      <c r="LZC314" s="35"/>
      <c r="LZD314" s="35"/>
      <c r="LZE314" s="15"/>
      <c r="LZG314" s="13"/>
      <c r="LZH314" s="35"/>
      <c r="LZI314" s="35"/>
      <c r="LZJ314" s="15"/>
      <c r="LZL314" s="13"/>
      <c r="LZM314" s="35"/>
      <c r="LZN314" s="35"/>
      <c r="LZO314" s="15"/>
      <c r="LZQ314" s="13"/>
      <c r="LZR314" s="35"/>
      <c r="LZS314" s="35"/>
      <c r="LZT314" s="15"/>
      <c r="LZV314" s="13"/>
      <c r="LZW314" s="35"/>
      <c r="LZX314" s="35"/>
      <c r="LZY314" s="15"/>
      <c r="MAA314" s="13"/>
      <c r="MAB314" s="35"/>
      <c r="MAC314" s="35"/>
      <c r="MAD314" s="15"/>
      <c r="MAF314" s="13"/>
      <c r="MAG314" s="35"/>
      <c r="MAH314" s="35"/>
      <c r="MAI314" s="15"/>
      <c r="MAK314" s="13"/>
      <c r="MAL314" s="35"/>
      <c r="MAM314" s="35"/>
      <c r="MAN314" s="15"/>
      <c r="MAP314" s="13"/>
      <c r="MAQ314" s="35"/>
      <c r="MAR314" s="35"/>
      <c r="MAS314" s="15"/>
      <c r="MAU314" s="13"/>
      <c r="MAV314" s="35"/>
      <c r="MAW314" s="35"/>
      <c r="MAX314" s="15"/>
      <c r="MAZ314" s="13"/>
      <c r="MBA314" s="35"/>
      <c r="MBB314" s="35"/>
      <c r="MBC314" s="15"/>
      <c r="MBE314" s="13"/>
      <c r="MBF314" s="35"/>
      <c r="MBG314" s="35"/>
      <c r="MBH314" s="15"/>
      <c r="MBJ314" s="13"/>
      <c r="MBK314" s="35"/>
      <c r="MBL314" s="35"/>
      <c r="MBM314" s="15"/>
      <c r="MBO314" s="13"/>
      <c r="MBP314" s="35"/>
      <c r="MBQ314" s="35"/>
      <c r="MBR314" s="15"/>
      <c r="MBT314" s="13"/>
      <c r="MBU314" s="35"/>
      <c r="MBV314" s="35"/>
      <c r="MBW314" s="15"/>
      <c r="MBY314" s="13"/>
      <c r="MBZ314" s="35"/>
      <c r="MCA314" s="35"/>
      <c r="MCB314" s="15"/>
      <c r="MCD314" s="13"/>
      <c r="MCE314" s="35"/>
      <c r="MCF314" s="35"/>
      <c r="MCG314" s="15"/>
      <c r="MCI314" s="13"/>
      <c r="MCJ314" s="35"/>
      <c r="MCK314" s="35"/>
      <c r="MCL314" s="15"/>
      <c r="MCN314" s="13"/>
      <c r="MCO314" s="35"/>
      <c r="MCP314" s="35"/>
      <c r="MCQ314" s="15"/>
      <c r="MCS314" s="13"/>
      <c r="MCT314" s="35"/>
      <c r="MCU314" s="35"/>
      <c r="MCV314" s="15"/>
      <c r="MCX314" s="13"/>
      <c r="MCY314" s="35"/>
      <c r="MCZ314" s="35"/>
      <c r="MDA314" s="15"/>
      <c r="MDC314" s="13"/>
      <c r="MDD314" s="35"/>
      <c r="MDE314" s="35"/>
      <c r="MDF314" s="15"/>
      <c r="MDH314" s="13"/>
      <c r="MDI314" s="35"/>
      <c r="MDJ314" s="35"/>
      <c r="MDK314" s="15"/>
      <c r="MDM314" s="13"/>
      <c r="MDN314" s="35"/>
      <c r="MDO314" s="35"/>
      <c r="MDP314" s="15"/>
      <c r="MDR314" s="13"/>
      <c r="MDS314" s="35"/>
      <c r="MDT314" s="35"/>
      <c r="MDU314" s="15"/>
      <c r="MDW314" s="13"/>
      <c r="MDX314" s="35"/>
      <c r="MDY314" s="35"/>
      <c r="MDZ314" s="15"/>
      <c r="MEB314" s="13"/>
      <c r="MEC314" s="35"/>
      <c r="MED314" s="35"/>
      <c r="MEE314" s="15"/>
      <c r="MEG314" s="13"/>
      <c r="MEH314" s="35"/>
      <c r="MEI314" s="35"/>
      <c r="MEJ314" s="15"/>
      <c r="MEL314" s="13"/>
      <c r="MEM314" s="35"/>
      <c r="MEN314" s="35"/>
      <c r="MEO314" s="15"/>
      <c r="MEQ314" s="13"/>
      <c r="MER314" s="35"/>
      <c r="MES314" s="35"/>
      <c r="MET314" s="15"/>
      <c r="MEV314" s="13"/>
      <c r="MEW314" s="35"/>
      <c r="MEX314" s="35"/>
      <c r="MEY314" s="15"/>
      <c r="MFA314" s="13"/>
      <c r="MFB314" s="35"/>
      <c r="MFC314" s="35"/>
      <c r="MFD314" s="15"/>
      <c r="MFF314" s="13"/>
      <c r="MFG314" s="35"/>
      <c r="MFH314" s="35"/>
      <c r="MFI314" s="15"/>
      <c r="MFK314" s="13"/>
      <c r="MFL314" s="35"/>
      <c r="MFM314" s="35"/>
      <c r="MFN314" s="15"/>
      <c r="MFP314" s="13"/>
      <c r="MFQ314" s="35"/>
      <c r="MFR314" s="35"/>
      <c r="MFS314" s="15"/>
      <c r="MFU314" s="13"/>
      <c r="MFV314" s="35"/>
      <c r="MFW314" s="35"/>
      <c r="MFX314" s="15"/>
      <c r="MFZ314" s="13"/>
      <c r="MGA314" s="35"/>
      <c r="MGB314" s="35"/>
      <c r="MGC314" s="15"/>
      <c r="MGE314" s="13"/>
      <c r="MGF314" s="35"/>
      <c r="MGG314" s="35"/>
      <c r="MGH314" s="15"/>
      <c r="MGJ314" s="13"/>
      <c r="MGK314" s="35"/>
      <c r="MGL314" s="35"/>
      <c r="MGM314" s="15"/>
      <c r="MGO314" s="13"/>
      <c r="MGP314" s="35"/>
      <c r="MGQ314" s="35"/>
      <c r="MGR314" s="15"/>
      <c r="MGT314" s="13"/>
      <c r="MGU314" s="35"/>
      <c r="MGV314" s="35"/>
      <c r="MGW314" s="15"/>
      <c r="MGY314" s="13"/>
      <c r="MGZ314" s="35"/>
      <c r="MHA314" s="35"/>
      <c r="MHB314" s="15"/>
      <c r="MHD314" s="13"/>
      <c r="MHE314" s="35"/>
      <c r="MHF314" s="35"/>
      <c r="MHG314" s="15"/>
      <c r="MHI314" s="13"/>
      <c r="MHJ314" s="35"/>
      <c r="MHK314" s="35"/>
      <c r="MHL314" s="15"/>
      <c r="MHN314" s="13"/>
      <c r="MHO314" s="35"/>
      <c r="MHP314" s="35"/>
      <c r="MHQ314" s="15"/>
      <c r="MHS314" s="13"/>
      <c r="MHT314" s="35"/>
      <c r="MHU314" s="35"/>
      <c r="MHV314" s="15"/>
      <c r="MHX314" s="13"/>
      <c r="MHY314" s="35"/>
      <c r="MHZ314" s="35"/>
      <c r="MIA314" s="15"/>
      <c r="MIC314" s="13"/>
      <c r="MID314" s="35"/>
      <c r="MIE314" s="35"/>
      <c r="MIF314" s="15"/>
      <c r="MIH314" s="13"/>
      <c r="MII314" s="35"/>
      <c r="MIJ314" s="35"/>
      <c r="MIK314" s="15"/>
      <c r="MIM314" s="13"/>
      <c r="MIN314" s="35"/>
      <c r="MIO314" s="35"/>
      <c r="MIP314" s="15"/>
      <c r="MIR314" s="13"/>
      <c r="MIS314" s="35"/>
      <c r="MIT314" s="35"/>
      <c r="MIU314" s="15"/>
      <c r="MIW314" s="13"/>
      <c r="MIX314" s="35"/>
      <c r="MIY314" s="35"/>
      <c r="MIZ314" s="15"/>
      <c r="MJB314" s="13"/>
      <c r="MJC314" s="35"/>
      <c r="MJD314" s="35"/>
      <c r="MJE314" s="15"/>
      <c r="MJG314" s="13"/>
      <c r="MJH314" s="35"/>
      <c r="MJI314" s="35"/>
      <c r="MJJ314" s="15"/>
      <c r="MJL314" s="13"/>
      <c r="MJM314" s="35"/>
      <c r="MJN314" s="35"/>
      <c r="MJO314" s="15"/>
      <c r="MJQ314" s="13"/>
      <c r="MJR314" s="35"/>
      <c r="MJS314" s="35"/>
      <c r="MJT314" s="15"/>
      <c r="MJV314" s="13"/>
      <c r="MJW314" s="35"/>
      <c r="MJX314" s="35"/>
      <c r="MJY314" s="15"/>
      <c r="MKA314" s="13"/>
      <c r="MKB314" s="35"/>
      <c r="MKC314" s="35"/>
      <c r="MKD314" s="15"/>
      <c r="MKF314" s="13"/>
      <c r="MKG314" s="35"/>
      <c r="MKH314" s="35"/>
      <c r="MKI314" s="15"/>
      <c r="MKK314" s="13"/>
      <c r="MKL314" s="35"/>
      <c r="MKM314" s="35"/>
      <c r="MKN314" s="15"/>
      <c r="MKP314" s="13"/>
      <c r="MKQ314" s="35"/>
      <c r="MKR314" s="35"/>
      <c r="MKS314" s="15"/>
      <c r="MKU314" s="13"/>
      <c r="MKV314" s="35"/>
      <c r="MKW314" s="35"/>
      <c r="MKX314" s="15"/>
      <c r="MKZ314" s="13"/>
      <c r="MLA314" s="35"/>
      <c r="MLB314" s="35"/>
      <c r="MLC314" s="15"/>
      <c r="MLE314" s="13"/>
      <c r="MLF314" s="35"/>
      <c r="MLG314" s="35"/>
      <c r="MLH314" s="15"/>
      <c r="MLJ314" s="13"/>
      <c r="MLK314" s="35"/>
      <c r="MLL314" s="35"/>
      <c r="MLM314" s="15"/>
      <c r="MLO314" s="13"/>
      <c r="MLP314" s="35"/>
      <c r="MLQ314" s="35"/>
      <c r="MLR314" s="15"/>
      <c r="MLT314" s="13"/>
      <c r="MLU314" s="35"/>
      <c r="MLV314" s="35"/>
      <c r="MLW314" s="15"/>
      <c r="MLY314" s="13"/>
      <c r="MLZ314" s="35"/>
      <c r="MMA314" s="35"/>
      <c r="MMB314" s="15"/>
      <c r="MMD314" s="13"/>
      <c r="MME314" s="35"/>
      <c r="MMF314" s="35"/>
      <c r="MMG314" s="15"/>
      <c r="MMI314" s="13"/>
      <c r="MMJ314" s="35"/>
      <c r="MMK314" s="35"/>
      <c r="MML314" s="15"/>
      <c r="MMN314" s="13"/>
      <c r="MMO314" s="35"/>
      <c r="MMP314" s="35"/>
      <c r="MMQ314" s="15"/>
      <c r="MMS314" s="13"/>
      <c r="MMT314" s="35"/>
      <c r="MMU314" s="35"/>
      <c r="MMV314" s="15"/>
      <c r="MMX314" s="13"/>
      <c r="MMY314" s="35"/>
      <c r="MMZ314" s="35"/>
      <c r="MNA314" s="15"/>
      <c r="MNC314" s="13"/>
      <c r="MND314" s="35"/>
      <c r="MNE314" s="35"/>
      <c r="MNF314" s="15"/>
      <c r="MNH314" s="13"/>
      <c r="MNI314" s="35"/>
      <c r="MNJ314" s="35"/>
      <c r="MNK314" s="15"/>
      <c r="MNM314" s="13"/>
      <c r="MNN314" s="35"/>
      <c r="MNO314" s="35"/>
      <c r="MNP314" s="15"/>
      <c r="MNR314" s="13"/>
      <c r="MNS314" s="35"/>
      <c r="MNT314" s="35"/>
      <c r="MNU314" s="15"/>
      <c r="MNW314" s="13"/>
      <c r="MNX314" s="35"/>
      <c r="MNY314" s="35"/>
      <c r="MNZ314" s="15"/>
      <c r="MOB314" s="13"/>
      <c r="MOC314" s="35"/>
      <c r="MOD314" s="35"/>
      <c r="MOE314" s="15"/>
      <c r="MOG314" s="13"/>
      <c r="MOH314" s="35"/>
      <c r="MOI314" s="35"/>
      <c r="MOJ314" s="15"/>
      <c r="MOL314" s="13"/>
      <c r="MOM314" s="35"/>
      <c r="MON314" s="35"/>
      <c r="MOO314" s="15"/>
      <c r="MOQ314" s="13"/>
      <c r="MOR314" s="35"/>
      <c r="MOS314" s="35"/>
      <c r="MOT314" s="15"/>
      <c r="MOV314" s="13"/>
      <c r="MOW314" s="35"/>
      <c r="MOX314" s="35"/>
      <c r="MOY314" s="15"/>
      <c r="MPA314" s="13"/>
      <c r="MPB314" s="35"/>
      <c r="MPC314" s="35"/>
      <c r="MPD314" s="15"/>
      <c r="MPF314" s="13"/>
      <c r="MPG314" s="35"/>
      <c r="MPH314" s="35"/>
      <c r="MPI314" s="15"/>
      <c r="MPK314" s="13"/>
      <c r="MPL314" s="35"/>
      <c r="MPM314" s="35"/>
      <c r="MPN314" s="15"/>
      <c r="MPP314" s="13"/>
      <c r="MPQ314" s="35"/>
      <c r="MPR314" s="35"/>
      <c r="MPS314" s="15"/>
      <c r="MPU314" s="13"/>
      <c r="MPV314" s="35"/>
      <c r="MPW314" s="35"/>
      <c r="MPX314" s="15"/>
      <c r="MPZ314" s="13"/>
      <c r="MQA314" s="35"/>
      <c r="MQB314" s="35"/>
      <c r="MQC314" s="15"/>
      <c r="MQE314" s="13"/>
      <c r="MQF314" s="35"/>
      <c r="MQG314" s="35"/>
      <c r="MQH314" s="15"/>
      <c r="MQJ314" s="13"/>
      <c r="MQK314" s="35"/>
      <c r="MQL314" s="35"/>
      <c r="MQM314" s="15"/>
      <c r="MQO314" s="13"/>
      <c r="MQP314" s="35"/>
      <c r="MQQ314" s="35"/>
      <c r="MQR314" s="15"/>
      <c r="MQT314" s="13"/>
      <c r="MQU314" s="35"/>
      <c r="MQV314" s="35"/>
      <c r="MQW314" s="15"/>
      <c r="MQY314" s="13"/>
      <c r="MQZ314" s="35"/>
      <c r="MRA314" s="35"/>
      <c r="MRB314" s="15"/>
      <c r="MRD314" s="13"/>
      <c r="MRE314" s="35"/>
      <c r="MRF314" s="35"/>
      <c r="MRG314" s="15"/>
      <c r="MRI314" s="13"/>
      <c r="MRJ314" s="35"/>
      <c r="MRK314" s="35"/>
      <c r="MRL314" s="15"/>
      <c r="MRN314" s="13"/>
      <c r="MRO314" s="35"/>
      <c r="MRP314" s="35"/>
      <c r="MRQ314" s="15"/>
      <c r="MRS314" s="13"/>
      <c r="MRT314" s="35"/>
      <c r="MRU314" s="35"/>
      <c r="MRV314" s="15"/>
      <c r="MRX314" s="13"/>
      <c r="MRY314" s="35"/>
      <c r="MRZ314" s="35"/>
      <c r="MSA314" s="15"/>
      <c r="MSC314" s="13"/>
      <c r="MSD314" s="35"/>
      <c r="MSE314" s="35"/>
      <c r="MSF314" s="15"/>
      <c r="MSH314" s="13"/>
      <c r="MSI314" s="35"/>
      <c r="MSJ314" s="35"/>
      <c r="MSK314" s="15"/>
      <c r="MSM314" s="13"/>
      <c r="MSN314" s="35"/>
      <c r="MSO314" s="35"/>
      <c r="MSP314" s="15"/>
      <c r="MSR314" s="13"/>
      <c r="MSS314" s="35"/>
      <c r="MST314" s="35"/>
      <c r="MSU314" s="15"/>
      <c r="MSW314" s="13"/>
      <c r="MSX314" s="35"/>
      <c r="MSY314" s="35"/>
      <c r="MSZ314" s="15"/>
      <c r="MTB314" s="13"/>
      <c r="MTC314" s="35"/>
      <c r="MTD314" s="35"/>
      <c r="MTE314" s="15"/>
      <c r="MTG314" s="13"/>
      <c r="MTH314" s="35"/>
      <c r="MTI314" s="35"/>
      <c r="MTJ314" s="15"/>
      <c r="MTL314" s="13"/>
      <c r="MTM314" s="35"/>
      <c r="MTN314" s="35"/>
      <c r="MTO314" s="15"/>
      <c r="MTQ314" s="13"/>
      <c r="MTR314" s="35"/>
      <c r="MTS314" s="35"/>
      <c r="MTT314" s="15"/>
      <c r="MTV314" s="13"/>
      <c r="MTW314" s="35"/>
      <c r="MTX314" s="35"/>
      <c r="MTY314" s="15"/>
      <c r="MUA314" s="13"/>
      <c r="MUB314" s="35"/>
      <c r="MUC314" s="35"/>
      <c r="MUD314" s="15"/>
      <c r="MUF314" s="13"/>
      <c r="MUG314" s="35"/>
      <c r="MUH314" s="35"/>
      <c r="MUI314" s="15"/>
      <c r="MUK314" s="13"/>
      <c r="MUL314" s="35"/>
      <c r="MUM314" s="35"/>
      <c r="MUN314" s="15"/>
      <c r="MUP314" s="13"/>
      <c r="MUQ314" s="35"/>
      <c r="MUR314" s="35"/>
      <c r="MUS314" s="15"/>
      <c r="MUU314" s="13"/>
      <c r="MUV314" s="35"/>
      <c r="MUW314" s="35"/>
      <c r="MUX314" s="15"/>
      <c r="MUZ314" s="13"/>
      <c r="MVA314" s="35"/>
      <c r="MVB314" s="35"/>
      <c r="MVC314" s="15"/>
      <c r="MVE314" s="13"/>
      <c r="MVF314" s="35"/>
      <c r="MVG314" s="35"/>
      <c r="MVH314" s="15"/>
      <c r="MVJ314" s="13"/>
      <c r="MVK314" s="35"/>
      <c r="MVL314" s="35"/>
      <c r="MVM314" s="15"/>
      <c r="MVO314" s="13"/>
      <c r="MVP314" s="35"/>
      <c r="MVQ314" s="35"/>
      <c r="MVR314" s="15"/>
      <c r="MVT314" s="13"/>
      <c r="MVU314" s="35"/>
      <c r="MVV314" s="35"/>
      <c r="MVW314" s="15"/>
      <c r="MVY314" s="13"/>
      <c r="MVZ314" s="35"/>
      <c r="MWA314" s="35"/>
      <c r="MWB314" s="15"/>
      <c r="MWD314" s="13"/>
      <c r="MWE314" s="35"/>
      <c r="MWF314" s="35"/>
      <c r="MWG314" s="15"/>
      <c r="MWI314" s="13"/>
      <c r="MWJ314" s="35"/>
      <c r="MWK314" s="35"/>
      <c r="MWL314" s="15"/>
      <c r="MWN314" s="13"/>
      <c r="MWO314" s="35"/>
      <c r="MWP314" s="35"/>
      <c r="MWQ314" s="15"/>
      <c r="MWS314" s="13"/>
      <c r="MWT314" s="35"/>
      <c r="MWU314" s="35"/>
      <c r="MWV314" s="15"/>
      <c r="MWX314" s="13"/>
      <c r="MWY314" s="35"/>
      <c r="MWZ314" s="35"/>
      <c r="MXA314" s="15"/>
      <c r="MXC314" s="13"/>
      <c r="MXD314" s="35"/>
      <c r="MXE314" s="35"/>
      <c r="MXF314" s="15"/>
      <c r="MXH314" s="13"/>
      <c r="MXI314" s="35"/>
      <c r="MXJ314" s="35"/>
      <c r="MXK314" s="15"/>
      <c r="MXM314" s="13"/>
      <c r="MXN314" s="35"/>
      <c r="MXO314" s="35"/>
      <c r="MXP314" s="15"/>
      <c r="MXR314" s="13"/>
      <c r="MXS314" s="35"/>
      <c r="MXT314" s="35"/>
      <c r="MXU314" s="15"/>
      <c r="MXW314" s="13"/>
      <c r="MXX314" s="35"/>
      <c r="MXY314" s="35"/>
      <c r="MXZ314" s="15"/>
      <c r="MYB314" s="13"/>
      <c r="MYC314" s="35"/>
      <c r="MYD314" s="35"/>
      <c r="MYE314" s="15"/>
      <c r="MYG314" s="13"/>
      <c r="MYH314" s="35"/>
      <c r="MYI314" s="35"/>
      <c r="MYJ314" s="15"/>
      <c r="MYL314" s="13"/>
      <c r="MYM314" s="35"/>
      <c r="MYN314" s="35"/>
      <c r="MYO314" s="15"/>
      <c r="MYQ314" s="13"/>
      <c r="MYR314" s="35"/>
      <c r="MYS314" s="35"/>
      <c r="MYT314" s="15"/>
      <c r="MYV314" s="13"/>
      <c r="MYW314" s="35"/>
      <c r="MYX314" s="35"/>
      <c r="MYY314" s="15"/>
      <c r="MZA314" s="13"/>
      <c r="MZB314" s="35"/>
      <c r="MZC314" s="35"/>
      <c r="MZD314" s="15"/>
      <c r="MZF314" s="13"/>
      <c r="MZG314" s="35"/>
      <c r="MZH314" s="35"/>
      <c r="MZI314" s="15"/>
      <c r="MZK314" s="13"/>
      <c r="MZL314" s="35"/>
      <c r="MZM314" s="35"/>
      <c r="MZN314" s="15"/>
      <c r="MZP314" s="13"/>
      <c r="MZQ314" s="35"/>
      <c r="MZR314" s="35"/>
      <c r="MZS314" s="15"/>
      <c r="MZU314" s="13"/>
      <c r="MZV314" s="35"/>
      <c r="MZW314" s="35"/>
      <c r="MZX314" s="15"/>
      <c r="MZZ314" s="13"/>
      <c r="NAA314" s="35"/>
      <c r="NAB314" s="35"/>
      <c r="NAC314" s="15"/>
      <c r="NAE314" s="13"/>
      <c r="NAF314" s="35"/>
      <c r="NAG314" s="35"/>
      <c r="NAH314" s="15"/>
      <c r="NAJ314" s="13"/>
      <c r="NAK314" s="35"/>
      <c r="NAL314" s="35"/>
      <c r="NAM314" s="15"/>
      <c r="NAO314" s="13"/>
      <c r="NAP314" s="35"/>
      <c r="NAQ314" s="35"/>
      <c r="NAR314" s="15"/>
      <c r="NAT314" s="13"/>
      <c r="NAU314" s="35"/>
      <c r="NAV314" s="35"/>
      <c r="NAW314" s="15"/>
      <c r="NAY314" s="13"/>
      <c r="NAZ314" s="35"/>
      <c r="NBA314" s="35"/>
      <c r="NBB314" s="15"/>
      <c r="NBD314" s="13"/>
      <c r="NBE314" s="35"/>
      <c r="NBF314" s="35"/>
      <c r="NBG314" s="15"/>
      <c r="NBI314" s="13"/>
      <c r="NBJ314" s="35"/>
      <c r="NBK314" s="35"/>
      <c r="NBL314" s="15"/>
      <c r="NBN314" s="13"/>
      <c r="NBO314" s="35"/>
      <c r="NBP314" s="35"/>
      <c r="NBQ314" s="15"/>
      <c r="NBS314" s="13"/>
      <c r="NBT314" s="35"/>
      <c r="NBU314" s="35"/>
      <c r="NBV314" s="15"/>
      <c r="NBX314" s="13"/>
      <c r="NBY314" s="35"/>
      <c r="NBZ314" s="35"/>
      <c r="NCA314" s="15"/>
      <c r="NCC314" s="13"/>
      <c r="NCD314" s="35"/>
      <c r="NCE314" s="35"/>
      <c r="NCF314" s="15"/>
      <c r="NCH314" s="13"/>
      <c r="NCI314" s="35"/>
      <c r="NCJ314" s="35"/>
      <c r="NCK314" s="15"/>
      <c r="NCM314" s="13"/>
      <c r="NCN314" s="35"/>
      <c r="NCO314" s="35"/>
      <c r="NCP314" s="15"/>
      <c r="NCR314" s="13"/>
      <c r="NCS314" s="35"/>
      <c r="NCT314" s="35"/>
      <c r="NCU314" s="15"/>
      <c r="NCW314" s="13"/>
      <c r="NCX314" s="35"/>
      <c r="NCY314" s="35"/>
      <c r="NCZ314" s="15"/>
      <c r="NDB314" s="13"/>
      <c r="NDC314" s="35"/>
      <c r="NDD314" s="35"/>
      <c r="NDE314" s="15"/>
      <c r="NDG314" s="13"/>
      <c r="NDH314" s="35"/>
      <c r="NDI314" s="35"/>
      <c r="NDJ314" s="15"/>
      <c r="NDL314" s="13"/>
      <c r="NDM314" s="35"/>
      <c r="NDN314" s="35"/>
      <c r="NDO314" s="15"/>
      <c r="NDQ314" s="13"/>
      <c r="NDR314" s="35"/>
      <c r="NDS314" s="35"/>
      <c r="NDT314" s="15"/>
      <c r="NDV314" s="13"/>
      <c r="NDW314" s="35"/>
      <c r="NDX314" s="35"/>
      <c r="NDY314" s="15"/>
      <c r="NEA314" s="13"/>
      <c r="NEB314" s="35"/>
      <c r="NEC314" s="35"/>
      <c r="NED314" s="15"/>
      <c r="NEF314" s="13"/>
      <c r="NEG314" s="35"/>
      <c r="NEH314" s="35"/>
      <c r="NEI314" s="15"/>
      <c r="NEK314" s="13"/>
      <c r="NEL314" s="35"/>
      <c r="NEM314" s="35"/>
      <c r="NEN314" s="15"/>
      <c r="NEP314" s="13"/>
      <c r="NEQ314" s="35"/>
      <c r="NER314" s="35"/>
      <c r="NES314" s="15"/>
      <c r="NEU314" s="13"/>
      <c r="NEV314" s="35"/>
      <c r="NEW314" s="35"/>
      <c r="NEX314" s="15"/>
      <c r="NEZ314" s="13"/>
      <c r="NFA314" s="35"/>
      <c r="NFB314" s="35"/>
      <c r="NFC314" s="15"/>
      <c r="NFE314" s="13"/>
      <c r="NFF314" s="35"/>
      <c r="NFG314" s="35"/>
      <c r="NFH314" s="15"/>
      <c r="NFJ314" s="13"/>
      <c r="NFK314" s="35"/>
      <c r="NFL314" s="35"/>
      <c r="NFM314" s="15"/>
      <c r="NFO314" s="13"/>
      <c r="NFP314" s="35"/>
      <c r="NFQ314" s="35"/>
      <c r="NFR314" s="15"/>
      <c r="NFT314" s="13"/>
      <c r="NFU314" s="35"/>
      <c r="NFV314" s="35"/>
      <c r="NFW314" s="15"/>
      <c r="NFY314" s="13"/>
      <c r="NFZ314" s="35"/>
      <c r="NGA314" s="35"/>
      <c r="NGB314" s="15"/>
      <c r="NGD314" s="13"/>
      <c r="NGE314" s="35"/>
      <c r="NGF314" s="35"/>
      <c r="NGG314" s="15"/>
      <c r="NGI314" s="13"/>
      <c r="NGJ314" s="35"/>
      <c r="NGK314" s="35"/>
      <c r="NGL314" s="15"/>
      <c r="NGN314" s="13"/>
      <c r="NGO314" s="35"/>
      <c r="NGP314" s="35"/>
      <c r="NGQ314" s="15"/>
      <c r="NGS314" s="13"/>
      <c r="NGT314" s="35"/>
      <c r="NGU314" s="35"/>
      <c r="NGV314" s="15"/>
      <c r="NGX314" s="13"/>
      <c r="NGY314" s="35"/>
      <c r="NGZ314" s="35"/>
      <c r="NHA314" s="15"/>
      <c r="NHC314" s="13"/>
      <c r="NHD314" s="35"/>
      <c r="NHE314" s="35"/>
      <c r="NHF314" s="15"/>
      <c r="NHH314" s="13"/>
      <c r="NHI314" s="35"/>
      <c r="NHJ314" s="35"/>
      <c r="NHK314" s="15"/>
      <c r="NHM314" s="13"/>
      <c r="NHN314" s="35"/>
      <c r="NHO314" s="35"/>
      <c r="NHP314" s="15"/>
      <c r="NHR314" s="13"/>
      <c r="NHS314" s="35"/>
      <c r="NHT314" s="35"/>
      <c r="NHU314" s="15"/>
      <c r="NHW314" s="13"/>
      <c r="NHX314" s="35"/>
      <c r="NHY314" s="35"/>
      <c r="NHZ314" s="15"/>
      <c r="NIB314" s="13"/>
      <c r="NIC314" s="35"/>
      <c r="NID314" s="35"/>
      <c r="NIE314" s="15"/>
      <c r="NIG314" s="13"/>
      <c r="NIH314" s="35"/>
      <c r="NII314" s="35"/>
      <c r="NIJ314" s="15"/>
      <c r="NIL314" s="13"/>
      <c r="NIM314" s="35"/>
      <c r="NIN314" s="35"/>
      <c r="NIO314" s="15"/>
      <c r="NIQ314" s="13"/>
      <c r="NIR314" s="35"/>
      <c r="NIS314" s="35"/>
      <c r="NIT314" s="15"/>
      <c r="NIV314" s="13"/>
      <c r="NIW314" s="35"/>
      <c r="NIX314" s="35"/>
      <c r="NIY314" s="15"/>
      <c r="NJA314" s="13"/>
      <c r="NJB314" s="35"/>
      <c r="NJC314" s="35"/>
      <c r="NJD314" s="15"/>
      <c r="NJF314" s="13"/>
      <c r="NJG314" s="35"/>
      <c r="NJH314" s="35"/>
      <c r="NJI314" s="15"/>
      <c r="NJK314" s="13"/>
      <c r="NJL314" s="35"/>
      <c r="NJM314" s="35"/>
      <c r="NJN314" s="15"/>
      <c r="NJP314" s="13"/>
      <c r="NJQ314" s="35"/>
      <c r="NJR314" s="35"/>
      <c r="NJS314" s="15"/>
      <c r="NJU314" s="13"/>
      <c r="NJV314" s="35"/>
      <c r="NJW314" s="35"/>
      <c r="NJX314" s="15"/>
      <c r="NJZ314" s="13"/>
      <c r="NKA314" s="35"/>
      <c r="NKB314" s="35"/>
      <c r="NKC314" s="15"/>
      <c r="NKE314" s="13"/>
      <c r="NKF314" s="35"/>
      <c r="NKG314" s="35"/>
      <c r="NKH314" s="15"/>
      <c r="NKJ314" s="13"/>
      <c r="NKK314" s="35"/>
      <c r="NKL314" s="35"/>
      <c r="NKM314" s="15"/>
      <c r="NKO314" s="13"/>
      <c r="NKP314" s="35"/>
      <c r="NKQ314" s="35"/>
      <c r="NKR314" s="15"/>
      <c r="NKT314" s="13"/>
      <c r="NKU314" s="35"/>
      <c r="NKV314" s="35"/>
      <c r="NKW314" s="15"/>
      <c r="NKY314" s="13"/>
      <c r="NKZ314" s="35"/>
      <c r="NLA314" s="35"/>
      <c r="NLB314" s="15"/>
      <c r="NLD314" s="13"/>
      <c r="NLE314" s="35"/>
      <c r="NLF314" s="35"/>
      <c r="NLG314" s="15"/>
      <c r="NLI314" s="13"/>
      <c r="NLJ314" s="35"/>
      <c r="NLK314" s="35"/>
      <c r="NLL314" s="15"/>
      <c r="NLN314" s="13"/>
      <c r="NLO314" s="35"/>
      <c r="NLP314" s="35"/>
      <c r="NLQ314" s="15"/>
      <c r="NLS314" s="13"/>
      <c r="NLT314" s="35"/>
      <c r="NLU314" s="35"/>
      <c r="NLV314" s="15"/>
      <c r="NLX314" s="13"/>
      <c r="NLY314" s="35"/>
      <c r="NLZ314" s="35"/>
      <c r="NMA314" s="15"/>
      <c r="NMC314" s="13"/>
      <c r="NMD314" s="35"/>
      <c r="NME314" s="35"/>
      <c r="NMF314" s="15"/>
      <c r="NMH314" s="13"/>
      <c r="NMI314" s="35"/>
      <c r="NMJ314" s="35"/>
      <c r="NMK314" s="15"/>
      <c r="NMM314" s="13"/>
      <c r="NMN314" s="35"/>
      <c r="NMO314" s="35"/>
      <c r="NMP314" s="15"/>
      <c r="NMR314" s="13"/>
      <c r="NMS314" s="35"/>
      <c r="NMT314" s="35"/>
      <c r="NMU314" s="15"/>
      <c r="NMW314" s="13"/>
      <c r="NMX314" s="35"/>
      <c r="NMY314" s="35"/>
      <c r="NMZ314" s="15"/>
      <c r="NNB314" s="13"/>
      <c r="NNC314" s="35"/>
      <c r="NND314" s="35"/>
      <c r="NNE314" s="15"/>
      <c r="NNG314" s="13"/>
      <c r="NNH314" s="35"/>
      <c r="NNI314" s="35"/>
      <c r="NNJ314" s="15"/>
      <c r="NNL314" s="13"/>
      <c r="NNM314" s="35"/>
      <c r="NNN314" s="35"/>
      <c r="NNO314" s="15"/>
      <c r="NNQ314" s="13"/>
      <c r="NNR314" s="35"/>
      <c r="NNS314" s="35"/>
      <c r="NNT314" s="15"/>
      <c r="NNV314" s="13"/>
      <c r="NNW314" s="35"/>
      <c r="NNX314" s="35"/>
      <c r="NNY314" s="15"/>
      <c r="NOA314" s="13"/>
      <c r="NOB314" s="35"/>
      <c r="NOC314" s="35"/>
      <c r="NOD314" s="15"/>
      <c r="NOF314" s="13"/>
      <c r="NOG314" s="35"/>
      <c r="NOH314" s="35"/>
      <c r="NOI314" s="15"/>
      <c r="NOK314" s="13"/>
      <c r="NOL314" s="35"/>
      <c r="NOM314" s="35"/>
      <c r="NON314" s="15"/>
      <c r="NOP314" s="13"/>
      <c r="NOQ314" s="35"/>
      <c r="NOR314" s="35"/>
      <c r="NOS314" s="15"/>
      <c r="NOU314" s="13"/>
      <c r="NOV314" s="35"/>
      <c r="NOW314" s="35"/>
      <c r="NOX314" s="15"/>
      <c r="NOZ314" s="13"/>
      <c r="NPA314" s="35"/>
      <c r="NPB314" s="35"/>
      <c r="NPC314" s="15"/>
      <c r="NPE314" s="13"/>
      <c r="NPF314" s="35"/>
      <c r="NPG314" s="35"/>
      <c r="NPH314" s="15"/>
      <c r="NPJ314" s="13"/>
      <c r="NPK314" s="35"/>
      <c r="NPL314" s="35"/>
      <c r="NPM314" s="15"/>
      <c r="NPO314" s="13"/>
      <c r="NPP314" s="35"/>
      <c r="NPQ314" s="35"/>
      <c r="NPR314" s="15"/>
      <c r="NPT314" s="13"/>
      <c r="NPU314" s="35"/>
      <c r="NPV314" s="35"/>
      <c r="NPW314" s="15"/>
      <c r="NPY314" s="13"/>
      <c r="NPZ314" s="35"/>
      <c r="NQA314" s="35"/>
      <c r="NQB314" s="15"/>
      <c r="NQD314" s="13"/>
      <c r="NQE314" s="35"/>
      <c r="NQF314" s="35"/>
      <c r="NQG314" s="15"/>
      <c r="NQI314" s="13"/>
      <c r="NQJ314" s="35"/>
      <c r="NQK314" s="35"/>
      <c r="NQL314" s="15"/>
      <c r="NQN314" s="13"/>
      <c r="NQO314" s="35"/>
      <c r="NQP314" s="35"/>
      <c r="NQQ314" s="15"/>
      <c r="NQS314" s="13"/>
      <c r="NQT314" s="35"/>
      <c r="NQU314" s="35"/>
      <c r="NQV314" s="15"/>
      <c r="NQX314" s="13"/>
      <c r="NQY314" s="35"/>
      <c r="NQZ314" s="35"/>
      <c r="NRA314" s="15"/>
      <c r="NRC314" s="13"/>
      <c r="NRD314" s="35"/>
      <c r="NRE314" s="35"/>
      <c r="NRF314" s="15"/>
      <c r="NRH314" s="13"/>
      <c r="NRI314" s="35"/>
      <c r="NRJ314" s="35"/>
      <c r="NRK314" s="15"/>
      <c r="NRM314" s="13"/>
      <c r="NRN314" s="35"/>
      <c r="NRO314" s="35"/>
      <c r="NRP314" s="15"/>
      <c r="NRR314" s="13"/>
      <c r="NRS314" s="35"/>
      <c r="NRT314" s="35"/>
      <c r="NRU314" s="15"/>
      <c r="NRW314" s="13"/>
      <c r="NRX314" s="35"/>
      <c r="NRY314" s="35"/>
      <c r="NRZ314" s="15"/>
      <c r="NSB314" s="13"/>
      <c r="NSC314" s="35"/>
      <c r="NSD314" s="35"/>
      <c r="NSE314" s="15"/>
      <c r="NSG314" s="13"/>
      <c r="NSH314" s="35"/>
      <c r="NSI314" s="35"/>
      <c r="NSJ314" s="15"/>
      <c r="NSL314" s="13"/>
      <c r="NSM314" s="35"/>
      <c r="NSN314" s="35"/>
      <c r="NSO314" s="15"/>
      <c r="NSQ314" s="13"/>
      <c r="NSR314" s="35"/>
      <c r="NSS314" s="35"/>
      <c r="NST314" s="15"/>
      <c r="NSV314" s="13"/>
      <c r="NSW314" s="35"/>
      <c r="NSX314" s="35"/>
      <c r="NSY314" s="15"/>
      <c r="NTA314" s="13"/>
      <c r="NTB314" s="35"/>
      <c r="NTC314" s="35"/>
      <c r="NTD314" s="15"/>
      <c r="NTF314" s="13"/>
      <c r="NTG314" s="35"/>
      <c r="NTH314" s="35"/>
      <c r="NTI314" s="15"/>
      <c r="NTK314" s="13"/>
      <c r="NTL314" s="35"/>
      <c r="NTM314" s="35"/>
      <c r="NTN314" s="15"/>
      <c r="NTP314" s="13"/>
      <c r="NTQ314" s="35"/>
      <c r="NTR314" s="35"/>
      <c r="NTS314" s="15"/>
      <c r="NTU314" s="13"/>
      <c r="NTV314" s="35"/>
      <c r="NTW314" s="35"/>
      <c r="NTX314" s="15"/>
      <c r="NTZ314" s="13"/>
      <c r="NUA314" s="35"/>
      <c r="NUB314" s="35"/>
      <c r="NUC314" s="15"/>
      <c r="NUE314" s="13"/>
      <c r="NUF314" s="35"/>
      <c r="NUG314" s="35"/>
      <c r="NUH314" s="15"/>
      <c r="NUJ314" s="13"/>
      <c r="NUK314" s="35"/>
      <c r="NUL314" s="35"/>
      <c r="NUM314" s="15"/>
      <c r="NUO314" s="13"/>
      <c r="NUP314" s="35"/>
      <c r="NUQ314" s="35"/>
      <c r="NUR314" s="15"/>
      <c r="NUT314" s="13"/>
      <c r="NUU314" s="35"/>
      <c r="NUV314" s="35"/>
      <c r="NUW314" s="15"/>
      <c r="NUY314" s="13"/>
      <c r="NUZ314" s="35"/>
      <c r="NVA314" s="35"/>
      <c r="NVB314" s="15"/>
      <c r="NVD314" s="13"/>
      <c r="NVE314" s="35"/>
      <c r="NVF314" s="35"/>
      <c r="NVG314" s="15"/>
      <c r="NVI314" s="13"/>
      <c r="NVJ314" s="35"/>
      <c r="NVK314" s="35"/>
      <c r="NVL314" s="15"/>
      <c r="NVN314" s="13"/>
      <c r="NVO314" s="35"/>
      <c r="NVP314" s="35"/>
      <c r="NVQ314" s="15"/>
      <c r="NVS314" s="13"/>
      <c r="NVT314" s="35"/>
      <c r="NVU314" s="35"/>
      <c r="NVV314" s="15"/>
      <c r="NVX314" s="13"/>
      <c r="NVY314" s="35"/>
      <c r="NVZ314" s="35"/>
      <c r="NWA314" s="15"/>
      <c r="NWC314" s="13"/>
      <c r="NWD314" s="35"/>
      <c r="NWE314" s="35"/>
      <c r="NWF314" s="15"/>
      <c r="NWH314" s="13"/>
      <c r="NWI314" s="35"/>
      <c r="NWJ314" s="35"/>
      <c r="NWK314" s="15"/>
      <c r="NWM314" s="13"/>
      <c r="NWN314" s="35"/>
      <c r="NWO314" s="35"/>
      <c r="NWP314" s="15"/>
      <c r="NWR314" s="13"/>
      <c r="NWS314" s="35"/>
      <c r="NWT314" s="35"/>
      <c r="NWU314" s="15"/>
      <c r="NWW314" s="13"/>
      <c r="NWX314" s="35"/>
      <c r="NWY314" s="35"/>
      <c r="NWZ314" s="15"/>
      <c r="NXB314" s="13"/>
      <c r="NXC314" s="35"/>
      <c r="NXD314" s="35"/>
      <c r="NXE314" s="15"/>
      <c r="NXG314" s="13"/>
      <c r="NXH314" s="35"/>
      <c r="NXI314" s="35"/>
      <c r="NXJ314" s="15"/>
      <c r="NXL314" s="13"/>
      <c r="NXM314" s="35"/>
      <c r="NXN314" s="35"/>
      <c r="NXO314" s="15"/>
      <c r="NXQ314" s="13"/>
      <c r="NXR314" s="35"/>
      <c r="NXS314" s="35"/>
      <c r="NXT314" s="15"/>
      <c r="NXV314" s="13"/>
      <c r="NXW314" s="35"/>
      <c r="NXX314" s="35"/>
      <c r="NXY314" s="15"/>
      <c r="NYA314" s="13"/>
      <c r="NYB314" s="35"/>
      <c r="NYC314" s="35"/>
      <c r="NYD314" s="15"/>
      <c r="NYF314" s="13"/>
      <c r="NYG314" s="35"/>
      <c r="NYH314" s="35"/>
      <c r="NYI314" s="15"/>
      <c r="NYK314" s="13"/>
      <c r="NYL314" s="35"/>
      <c r="NYM314" s="35"/>
      <c r="NYN314" s="15"/>
      <c r="NYP314" s="13"/>
      <c r="NYQ314" s="35"/>
      <c r="NYR314" s="35"/>
      <c r="NYS314" s="15"/>
      <c r="NYU314" s="13"/>
      <c r="NYV314" s="35"/>
      <c r="NYW314" s="35"/>
      <c r="NYX314" s="15"/>
      <c r="NYZ314" s="13"/>
      <c r="NZA314" s="35"/>
      <c r="NZB314" s="35"/>
      <c r="NZC314" s="15"/>
      <c r="NZE314" s="13"/>
      <c r="NZF314" s="35"/>
      <c r="NZG314" s="35"/>
      <c r="NZH314" s="15"/>
      <c r="NZJ314" s="13"/>
      <c r="NZK314" s="35"/>
      <c r="NZL314" s="35"/>
      <c r="NZM314" s="15"/>
      <c r="NZO314" s="13"/>
      <c r="NZP314" s="35"/>
      <c r="NZQ314" s="35"/>
      <c r="NZR314" s="15"/>
      <c r="NZT314" s="13"/>
      <c r="NZU314" s="35"/>
      <c r="NZV314" s="35"/>
      <c r="NZW314" s="15"/>
      <c r="NZY314" s="13"/>
      <c r="NZZ314" s="35"/>
      <c r="OAA314" s="35"/>
      <c r="OAB314" s="15"/>
      <c r="OAD314" s="13"/>
      <c r="OAE314" s="35"/>
      <c r="OAF314" s="35"/>
      <c r="OAG314" s="15"/>
      <c r="OAI314" s="13"/>
      <c r="OAJ314" s="35"/>
      <c r="OAK314" s="35"/>
      <c r="OAL314" s="15"/>
      <c r="OAN314" s="13"/>
      <c r="OAO314" s="35"/>
      <c r="OAP314" s="35"/>
      <c r="OAQ314" s="15"/>
      <c r="OAS314" s="13"/>
      <c r="OAT314" s="35"/>
      <c r="OAU314" s="35"/>
      <c r="OAV314" s="15"/>
      <c r="OAX314" s="13"/>
      <c r="OAY314" s="35"/>
      <c r="OAZ314" s="35"/>
      <c r="OBA314" s="15"/>
      <c r="OBC314" s="13"/>
      <c r="OBD314" s="35"/>
      <c r="OBE314" s="35"/>
      <c r="OBF314" s="15"/>
      <c r="OBH314" s="13"/>
      <c r="OBI314" s="35"/>
      <c r="OBJ314" s="35"/>
      <c r="OBK314" s="15"/>
      <c r="OBM314" s="13"/>
      <c r="OBN314" s="35"/>
      <c r="OBO314" s="35"/>
      <c r="OBP314" s="15"/>
      <c r="OBR314" s="13"/>
      <c r="OBS314" s="35"/>
      <c r="OBT314" s="35"/>
      <c r="OBU314" s="15"/>
      <c r="OBW314" s="13"/>
      <c r="OBX314" s="35"/>
      <c r="OBY314" s="35"/>
      <c r="OBZ314" s="15"/>
      <c r="OCB314" s="13"/>
      <c r="OCC314" s="35"/>
      <c r="OCD314" s="35"/>
      <c r="OCE314" s="15"/>
      <c r="OCG314" s="13"/>
      <c r="OCH314" s="35"/>
      <c r="OCI314" s="35"/>
      <c r="OCJ314" s="15"/>
      <c r="OCL314" s="13"/>
      <c r="OCM314" s="35"/>
      <c r="OCN314" s="35"/>
      <c r="OCO314" s="15"/>
      <c r="OCQ314" s="13"/>
      <c r="OCR314" s="35"/>
      <c r="OCS314" s="35"/>
      <c r="OCT314" s="15"/>
      <c r="OCV314" s="13"/>
      <c r="OCW314" s="35"/>
      <c r="OCX314" s="35"/>
      <c r="OCY314" s="15"/>
      <c r="ODA314" s="13"/>
      <c r="ODB314" s="35"/>
      <c r="ODC314" s="35"/>
      <c r="ODD314" s="15"/>
      <c r="ODF314" s="13"/>
      <c r="ODG314" s="35"/>
      <c r="ODH314" s="35"/>
      <c r="ODI314" s="15"/>
      <c r="ODK314" s="13"/>
      <c r="ODL314" s="35"/>
      <c r="ODM314" s="35"/>
      <c r="ODN314" s="15"/>
      <c r="ODP314" s="13"/>
      <c r="ODQ314" s="35"/>
      <c r="ODR314" s="35"/>
      <c r="ODS314" s="15"/>
      <c r="ODU314" s="13"/>
      <c r="ODV314" s="35"/>
      <c r="ODW314" s="35"/>
      <c r="ODX314" s="15"/>
      <c r="ODZ314" s="13"/>
      <c r="OEA314" s="35"/>
      <c r="OEB314" s="35"/>
      <c r="OEC314" s="15"/>
      <c r="OEE314" s="13"/>
      <c r="OEF314" s="35"/>
      <c r="OEG314" s="35"/>
      <c r="OEH314" s="15"/>
      <c r="OEJ314" s="13"/>
      <c r="OEK314" s="35"/>
      <c r="OEL314" s="35"/>
      <c r="OEM314" s="15"/>
      <c r="OEO314" s="13"/>
      <c r="OEP314" s="35"/>
      <c r="OEQ314" s="35"/>
      <c r="OER314" s="15"/>
      <c r="OET314" s="13"/>
      <c r="OEU314" s="35"/>
      <c r="OEV314" s="35"/>
      <c r="OEW314" s="15"/>
      <c r="OEY314" s="13"/>
      <c r="OEZ314" s="35"/>
      <c r="OFA314" s="35"/>
      <c r="OFB314" s="15"/>
      <c r="OFD314" s="13"/>
      <c r="OFE314" s="35"/>
      <c r="OFF314" s="35"/>
      <c r="OFG314" s="15"/>
      <c r="OFI314" s="13"/>
      <c r="OFJ314" s="35"/>
      <c r="OFK314" s="35"/>
      <c r="OFL314" s="15"/>
      <c r="OFN314" s="13"/>
      <c r="OFO314" s="35"/>
      <c r="OFP314" s="35"/>
      <c r="OFQ314" s="15"/>
      <c r="OFS314" s="13"/>
      <c r="OFT314" s="35"/>
      <c r="OFU314" s="35"/>
      <c r="OFV314" s="15"/>
      <c r="OFX314" s="13"/>
      <c r="OFY314" s="35"/>
      <c r="OFZ314" s="35"/>
      <c r="OGA314" s="15"/>
      <c r="OGC314" s="13"/>
      <c r="OGD314" s="35"/>
      <c r="OGE314" s="35"/>
      <c r="OGF314" s="15"/>
      <c r="OGH314" s="13"/>
      <c r="OGI314" s="35"/>
      <c r="OGJ314" s="35"/>
      <c r="OGK314" s="15"/>
      <c r="OGM314" s="13"/>
      <c r="OGN314" s="35"/>
      <c r="OGO314" s="35"/>
      <c r="OGP314" s="15"/>
      <c r="OGR314" s="13"/>
      <c r="OGS314" s="35"/>
      <c r="OGT314" s="35"/>
      <c r="OGU314" s="15"/>
      <c r="OGW314" s="13"/>
      <c r="OGX314" s="35"/>
      <c r="OGY314" s="35"/>
      <c r="OGZ314" s="15"/>
      <c r="OHB314" s="13"/>
      <c r="OHC314" s="35"/>
      <c r="OHD314" s="35"/>
      <c r="OHE314" s="15"/>
      <c r="OHG314" s="13"/>
      <c r="OHH314" s="35"/>
      <c r="OHI314" s="35"/>
      <c r="OHJ314" s="15"/>
      <c r="OHL314" s="13"/>
      <c r="OHM314" s="35"/>
      <c r="OHN314" s="35"/>
      <c r="OHO314" s="15"/>
      <c r="OHQ314" s="13"/>
      <c r="OHR314" s="35"/>
      <c r="OHS314" s="35"/>
      <c r="OHT314" s="15"/>
      <c r="OHV314" s="13"/>
      <c r="OHW314" s="35"/>
      <c r="OHX314" s="35"/>
      <c r="OHY314" s="15"/>
      <c r="OIA314" s="13"/>
      <c r="OIB314" s="35"/>
      <c r="OIC314" s="35"/>
      <c r="OID314" s="15"/>
      <c r="OIF314" s="13"/>
      <c r="OIG314" s="35"/>
      <c r="OIH314" s="35"/>
      <c r="OII314" s="15"/>
      <c r="OIK314" s="13"/>
      <c r="OIL314" s="35"/>
      <c r="OIM314" s="35"/>
      <c r="OIN314" s="15"/>
      <c r="OIP314" s="13"/>
      <c r="OIQ314" s="35"/>
      <c r="OIR314" s="35"/>
      <c r="OIS314" s="15"/>
      <c r="OIU314" s="13"/>
      <c r="OIV314" s="35"/>
      <c r="OIW314" s="35"/>
      <c r="OIX314" s="15"/>
      <c r="OIZ314" s="13"/>
      <c r="OJA314" s="35"/>
      <c r="OJB314" s="35"/>
      <c r="OJC314" s="15"/>
      <c r="OJE314" s="13"/>
      <c r="OJF314" s="35"/>
      <c r="OJG314" s="35"/>
      <c r="OJH314" s="15"/>
      <c r="OJJ314" s="13"/>
      <c r="OJK314" s="35"/>
      <c r="OJL314" s="35"/>
      <c r="OJM314" s="15"/>
      <c r="OJO314" s="13"/>
      <c r="OJP314" s="35"/>
      <c r="OJQ314" s="35"/>
      <c r="OJR314" s="15"/>
      <c r="OJT314" s="13"/>
      <c r="OJU314" s="35"/>
      <c r="OJV314" s="35"/>
      <c r="OJW314" s="15"/>
      <c r="OJY314" s="13"/>
      <c r="OJZ314" s="35"/>
      <c r="OKA314" s="35"/>
      <c r="OKB314" s="15"/>
      <c r="OKD314" s="13"/>
      <c r="OKE314" s="35"/>
      <c r="OKF314" s="35"/>
      <c r="OKG314" s="15"/>
      <c r="OKI314" s="13"/>
      <c r="OKJ314" s="35"/>
      <c r="OKK314" s="35"/>
      <c r="OKL314" s="15"/>
      <c r="OKN314" s="13"/>
      <c r="OKO314" s="35"/>
      <c r="OKP314" s="35"/>
      <c r="OKQ314" s="15"/>
      <c r="OKS314" s="13"/>
      <c r="OKT314" s="35"/>
      <c r="OKU314" s="35"/>
      <c r="OKV314" s="15"/>
      <c r="OKX314" s="13"/>
      <c r="OKY314" s="35"/>
      <c r="OKZ314" s="35"/>
      <c r="OLA314" s="15"/>
      <c r="OLC314" s="13"/>
      <c r="OLD314" s="35"/>
      <c r="OLE314" s="35"/>
      <c r="OLF314" s="15"/>
      <c r="OLH314" s="13"/>
      <c r="OLI314" s="35"/>
      <c r="OLJ314" s="35"/>
      <c r="OLK314" s="15"/>
      <c r="OLM314" s="13"/>
      <c r="OLN314" s="35"/>
      <c r="OLO314" s="35"/>
      <c r="OLP314" s="15"/>
      <c r="OLR314" s="13"/>
      <c r="OLS314" s="35"/>
      <c r="OLT314" s="35"/>
      <c r="OLU314" s="15"/>
      <c r="OLW314" s="13"/>
      <c r="OLX314" s="35"/>
      <c r="OLY314" s="35"/>
      <c r="OLZ314" s="15"/>
      <c r="OMB314" s="13"/>
      <c r="OMC314" s="35"/>
      <c r="OMD314" s="35"/>
      <c r="OME314" s="15"/>
      <c r="OMG314" s="13"/>
      <c r="OMH314" s="35"/>
      <c r="OMI314" s="35"/>
      <c r="OMJ314" s="15"/>
      <c r="OML314" s="13"/>
      <c r="OMM314" s="35"/>
      <c r="OMN314" s="35"/>
      <c r="OMO314" s="15"/>
      <c r="OMQ314" s="13"/>
      <c r="OMR314" s="35"/>
      <c r="OMS314" s="35"/>
      <c r="OMT314" s="15"/>
      <c r="OMV314" s="13"/>
      <c r="OMW314" s="35"/>
      <c r="OMX314" s="35"/>
      <c r="OMY314" s="15"/>
      <c r="ONA314" s="13"/>
      <c r="ONB314" s="35"/>
      <c r="ONC314" s="35"/>
      <c r="OND314" s="15"/>
      <c r="ONF314" s="13"/>
      <c r="ONG314" s="35"/>
      <c r="ONH314" s="35"/>
      <c r="ONI314" s="15"/>
      <c r="ONK314" s="13"/>
      <c r="ONL314" s="35"/>
      <c r="ONM314" s="35"/>
      <c r="ONN314" s="15"/>
      <c r="ONP314" s="13"/>
      <c r="ONQ314" s="35"/>
      <c r="ONR314" s="35"/>
      <c r="ONS314" s="15"/>
      <c r="ONU314" s="13"/>
      <c r="ONV314" s="35"/>
      <c r="ONW314" s="35"/>
      <c r="ONX314" s="15"/>
      <c r="ONZ314" s="13"/>
      <c r="OOA314" s="35"/>
      <c r="OOB314" s="35"/>
      <c r="OOC314" s="15"/>
      <c r="OOE314" s="13"/>
      <c r="OOF314" s="35"/>
      <c r="OOG314" s="35"/>
      <c r="OOH314" s="15"/>
      <c r="OOJ314" s="13"/>
      <c r="OOK314" s="35"/>
      <c r="OOL314" s="35"/>
      <c r="OOM314" s="15"/>
      <c r="OOO314" s="13"/>
      <c r="OOP314" s="35"/>
      <c r="OOQ314" s="35"/>
      <c r="OOR314" s="15"/>
      <c r="OOT314" s="13"/>
      <c r="OOU314" s="35"/>
      <c r="OOV314" s="35"/>
      <c r="OOW314" s="15"/>
      <c r="OOY314" s="13"/>
      <c r="OOZ314" s="35"/>
      <c r="OPA314" s="35"/>
      <c r="OPB314" s="15"/>
      <c r="OPD314" s="13"/>
      <c r="OPE314" s="35"/>
      <c r="OPF314" s="35"/>
      <c r="OPG314" s="15"/>
      <c r="OPI314" s="13"/>
      <c r="OPJ314" s="35"/>
      <c r="OPK314" s="35"/>
      <c r="OPL314" s="15"/>
      <c r="OPN314" s="13"/>
      <c r="OPO314" s="35"/>
      <c r="OPP314" s="35"/>
      <c r="OPQ314" s="15"/>
      <c r="OPS314" s="13"/>
      <c r="OPT314" s="35"/>
      <c r="OPU314" s="35"/>
      <c r="OPV314" s="15"/>
      <c r="OPX314" s="13"/>
      <c r="OPY314" s="35"/>
      <c r="OPZ314" s="35"/>
      <c r="OQA314" s="15"/>
      <c r="OQC314" s="13"/>
      <c r="OQD314" s="35"/>
      <c r="OQE314" s="35"/>
      <c r="OQF314" s="15"/>
      <c r="OQH314" s="13"/>
      <c r="OQI314" s="35"/>
      <c r="OQJ314" s="35"/>
      <c r="OQK314" s="15"/>
      <c r="OQM314" s="13"/>
      <c r="OQN314" s="35"/>
      <c r="OQO314" s="35"/>
      <c r="OQP314" s="15"/>
      <c r="OQR314" s="13"/>
      <c r="OQS314" s="35"/>
      <c r="OQT314" s="35"/>
      <c r="OQU314" s="15"/>
      <c r="OQW314" s="13"/>
      <c r="OQX314" s="35"/>
      <c r="OQY314" s="35"/>
      <c r="OQZ314" s="15"/>
      <c r="ORB314" s="13"/>
      <c r="ORC314" s="35"/>
      <c r="ORD314" s="35"/>
      <c r="ORE314" s="15"/>
      <c r="ORG314" s="13"/>
      <c r="ORH314" s="35"/>
      <c r="ORI314" s="35"/>
      <c r="ORJ314" s="15"/>
      <c r="ORL314" s="13"/>
      <c r="ORM314" s="35"/>
      <c r="ORN314" s="35"/>
      <c r="ORO314" s="15"/>
      <c r="ORQ314" s="13"/>
      <c r="ORR314" s="35"/>
      <c r="ORS314" s="35"/>
      <c r="ORT314" s="15"/>
      <c r="ORV314" s="13"/>
      <c r="ORW314" s="35"/>
      <c r="ORX314" s="35"/>
      <c r="ORY314" s="15"/>
      <c r="OSA314" s="13"/>
      <c r="OSB314" s="35"/>
      <c r="OSC314" s="35"/>
      <c r="OSD314" s="15"/>
      <c r="OSF314" s="13"/>
      <c r="OSG314" s="35"/>
      <c r="OSH314" s="35"/>
      <c r="OSI314" s="15"/>
      <c r="OSK314" s="13"/>
      <c r="OSL314" s="35"/>
      <c r="OSM314" s="35"/>
      <c r="OSN314" s="15"/>
      <c r="OSP314" s="13"/>
      <c r="OSQ314" s="35"/>
      <c r="OSR314" s="35"/>
      <c r="OSS314" s="15"/>
      <c r="OSU314" s="13"/>
      <c r="OSV314" s="35"/>
      <c r="OSW314" s="35"/>
      <c r="OSX314" s="15"/>
      <c r="OSZ314" s="13"/>
      <c r="OTA314" s="35"/>
      <c r="OTB314" s="35"/>
      <c r="OTC314" s="15"/>
      <c r="OTE314" s="13"/>
      <c r="OTF314" s="35"/>
      <c r="OTG314" s="35"/>
      <c r="OTH314" s="15"/>
      <c r="OTJ314" s="13"/>
      <c r="OTK314" s="35"/>
      <c r="OTL314" s="35"/>
      <c r="OTM314" s="15"/>
      <c r="OTO314" s="13"/>
      <c r="OTP314" s="35"/>
      <c r="OTQ314" s="35"/>
      <c r="OTR314" s="15"/>
      <c r="OTT314" s="13"/>
      <c r="OTU314" s="35"/>
      <c r="OTV314" s="35"/>
      <c r="OTW314" s="15"/>
      <c r="OTY314" s="13"/>
      <c r="OTZ314" s="35"/>
      <c r="OUA314" s="35"/>
      <c r="OUB314" s="15"/>
      <c r="OUD314" s="13"/>
      <c r="OUE314" s="35"/>
      <c r="OUF314" s="35"/>
      <c r="OUG314" s="15"/>
      <c r="OUI314" s="13"/>
      <c r="OUJ314" s="35"/>
      <c r="OUK314" s="35"/>
      <c r="OUL314" s="15"/>
      <c r="OUN314" s="13"/>
      <c r="OUO314" s="35"/>
      <c r="OUP314" s="35"/>
      <c r="OUQ314" s="15"/>
      <c r="OUS314" s="13"/>
      <c r="OUT314" s="35"/>
      <c r="OUU314" s="35"/>
      <c r="OUV314" s="15"/>
      <c r="OUX314" s="13"/>
      <c r="OUY314" s="35"/>
      <c r="OUZ314" s="35"/>
      <c r="OVA314" s="15"/>
      <c r="OVC314" s="13"/>
      <c r="OVD314" s="35"/>
      <c r="OVE314" s="35"/>
      <c r="OVF314" s="15"/>
      <c r="OVH314" s="13"/>
      <c r="OVI314" s="35"/>
      <c r="OVJ314" s="35"/>
      <c r="OVK314" s="15"/>
      <c r="OVM314" s="13"/>
      <c r="OVN314" s="35"/>
      <c r="OVO314" s="35"/>
      <c r="OVP314" s="15"/>
      <c r="OVR314" s="13"/>
      <c r="OVS314" s="35"/>
      <c r="OVT314" s="35"/>
      <c r="OVU314" s="15"/>
      <c r="OVW314" s="13"/>
      <c r="OVX314" s="35"/>
      <c r="OVY314" s="35"/>
      <c r="OVZ314" s="15"/>
      <c r="OWB314" s="13"/>
      <c r="OWC314" s="35"/>
      <c r="OWD314" s="35"/>
      <c r="OWE314" s="15"/>
      <c r="OWG314" s="13"/>
      <c r="OWH314" s="35"/>
      <c r="OWI314" s="35"/>
      <c r="OWJ314" s="15"/>
      <c r="OWL314" s="13"/>
      <c r="OWM314" s="35"/>
      <c r="OWN314" s="35"/>
      <c r="OWO314" s="15"/>
      <c r="OWQ314" s="13"/>
      <c r="OWR314" s="35"/>
      <c r="OWS314" s="35"/>
      <c r="OWT314" s="15"/>
      <c r="OWV314" s="13"/>
      <c r="OWW314" s="35"/>
      <c r="OWX314" s="35"/>
      <c r="OWY314" s="15"/>
      <c r="OXA314" s="13"/>
      <c r="OXB314" s="35"/>
      <c r="OXC314" s="35"/>
      <c r="OXD314" s="15"/>
      <c r="OXF314" s="13"/>
      <c r="OXG314" s="35"/>
      <c r="OXH314" s="35"/>
      <c r="OXI314" s="15"/>
      <c r="OXK314" s="13"/>
      <c r="OXL314" s="35"/>
      <c r="OXM314" s="35"/>
      <c r="OXN314" s="15"/>
      <c r="OXP314" s="13"/>
      <c r="OXQ314" s="35"/>
      <c r="OXR314" s="35"/>
      <c r="OXS314" s="15"/>
      <c r="OXU314" s="13"/>
      <c r="OXV314" s="35"/>
      <c r="OXW314" s="35"/>
      <c r="OXX314" s="15"/>
      <c r="OXZ314" s="13"/>
      <c r="OYA314" s="35"/>
      <c r="OYB314" s="35"/>
      <c r="OYC314" s="15"/>
      <c r="OYE314" s="13"/>
      <c r="OYF314" s="35"/>
      <c r="OYG314" s="35"/>
      <c r="OYH314" s="15"/>
      <c r="OYJ314" s="13"/>
      <c r="OYK314" s="35"/>
      <c r="OYL314" s="35"/>
      <c r="OYM314" s="15"/>
      <c r="OYO314" s="13"/>
      <c r="OYP314" s="35"/>
      <c r="OYQ314" s="35"/>
      <c r="OYR314" s="15"/>
      <c r="OYT314" s="13"/>
      <c r="OYU314" s="35"/>
      <c r="OYV314" s="35"/>
      <c r="OYW314" s="15"/>
      <c r="OYY314" s="13"/>
      <c r="OYZ314" s="35"/>
      <c r="OZA314" s="35"/>
      <c r="OZB314" s="15"/>
      <c r="OZD314" s="13"/>
      <c r="OZE314" s="35"/>
      <c r="OZF314" s="35"/>
      <c r="OZG314" s="15"/>
      <c r="OZI314" s="13"/>
      <c r="OZJ314" s="35"/>
      <c r="OZK314" s="35"/>
      <c r="OZL314" s="15"/>
      <c r="OZN314" s="13"/>
      <c r="OZO314" s="35"/>
      <c r="OZP314" s="35"/>
      <c r="OZQ314" s="15"/>
      <c r="OZS314" s="13"/>
      <c r="OZT314" s="35"/>
      <c r="OZU314" s="35"/>
      <c r="OZV314" s="15"/>
      <c r="OZX314" s="13"/>
      <c r="OZY314" s="35"/>
      <c r="OZZ314" s="35"/>
      <c r="PAA314" s="15"/>
      <c r="PAC314" s="13"/>
      <c r="PAD314" s="35"/>
      <c r="PAE314" s="35"/>
      <c r="PAF314" s="15"/>
      <c r="PAH314" s="13"/>
      <c r="PAI314" s="35"/>
      <c r="PAJ314" s="35"/>
      <c r="PAK314" s="15"/>
      <c r="PAM314" s="13"/>
      <c r="PAN314" s="35"/>
      <c r="PAO314" s="35"/>
      <c r="PAP314" s="15"/>
      <c r="PAR314" s="13"/>
      <c r="PAS314" s="35"/>
      <c r="PAT314" s="35"/>
      <c r="PAU314" s="15"/>
      <c r="PAW314" s="13"/>
      <c r="PAX314" s="35"/>
      <c r="PAY314" s="35"/>
      <c r="PAZ314" s="15"/>
      <c r="PBB314" s="13"/>
      <c r="PBC314" s="35"/>
      <c r="PBD314" s="35"/>
      <c r="PBE314" s="15"/>
      <c r="PBG314" s="13"/>
      <c r="PBH314" s="35"/>
      <c r="PBI314" s="35"/>
      <c r="PBJ314" s="15"/>
      <c r="PBL314" s="13"/>
      <c r="PBM314" s="35"/>
      <c r="PBN314" s="35"/>
      <c r="PBO314" s="15"/>
      <c r="PBQ314" s="13"/>
      <c r="PBR314" s="35"/>
      <c r="PBS314" s="35"/>
      <c r="PBT314" s="15"/>
      <c r="PBV314" s="13"/>
      <c r="PBW314" s="35"/>
      <c r="PBX314" s="35"/>
      <c r="PBY314" s="15"/>
      <c r="PCA314" s="13"/>
      <c r="PCB314" s="35"/>
      <c r="PCC314" s="35"/>
      <c r="PCD314" s="15"/>
      <c r="PCF314" s="13"/>
      <c r="PCG314" s="35"/>
      <c r="PCH314" s="35"/>
      <c r="PCI314" s="15"/>
      <c r="PCK314" s="13"/>
      <c r="PCL314" s="35"/>
      <c r="PCM314" s="35"/>
      <c r="PCN314" s="15"/>
      <c r="PCP314" s="13"/>
      <c r="PCQ314" s="35"/>
      <c r="PCR314" s="35"/>
      <c r="PCS314" s="15"/>
      <c r="PCU314" s="13"/>
      <c r="PCV314" s="35"/>
      <c r="PCW314" s="35"/>
      <c r="PCX314" s="15"/>
      <c r="PCZ314" s="13"/>
      <c r="PDA314" s="35"/>
      <c r="PDB314" s="35"/>
      <c r="PDC314" s="15"/>
      <c r="PDE314" s="13"/>
      <c r="PDF314" s="35"/>
      <c r="PDG314" s="35"/>
      <c r="PDH314" s="15"/>
      <c r="PDJ314" s="13"/>
      <c r="PDK314" s="35"/>
      <c r="PDL314" s="35"/>
      <c r="PDM314" s="15"/>
      <c r="PDO314" s="13"/>
      <c r="PDP314" s="35"/>
      <c r="PDQ314" s="35"/>
      <c r="PDR314" s="15"/>
      <c r="PDT314" s="13"/>
      <c r="PDU314" s="35"/>
      <c r="PDV314" s="35"/>
      <c r="PDW314" s="15"/>
      <c r="PDY314" s="13"/>
      <c r="PDZ314" s="35"/>
      <c r="PEA314" s="35"/>
      <c r="PEB314" s="15"/>
      <c r="PED314" s="13"/>
      <c r="PEE314" s="35"/>
      <c r="PEF314" s="35"/>
      <c r="PEG314" s="15"/>
      <c r="PEI314" s="13"/>
      <c r="PEJ314" s="35"/>
      <c r="PEK314" s="35"/>
      <c r="PEL314" s="15"/>
      <c r="PEN314" s="13"/>
      <c r="PEO314" s="35"/>
      <c r="PEP314" s="35"/>
      <c r="PEQ314" s="15"/>
      <c r="PES314" s="13"/>
      <c r="PET314" s="35"/>
      <c r="PEU314" s="35"/>
      <c r="PEV314" s="15"/>
      <c r="PEX314" s="13"/>
      <c r="PEY314" s="35"/>
      <c r="PEZ314" s="35"/>
      <c r="PFA314" s="15"/>
      <c r="PFC314" s="13"/>
      <c r="PFD314" s="35"/>
      <c r="PFE314" s="35"/>
      <c r="PFF314" s="15"/>
      <c r="PFH314" s="13"/>
      <c r="PFI314" s="35"/>
      <c r="PFJ314" s="35"/>
      <c r="PFK314" s="15"/>
      <c r="PFM314" s="13"/>
      <c r="PFN314" s="35"/>
      <c r="PFO314" s="35"/>
      <c r="PFP314" s="15"/>
      <c r="PFR314" s="13"/>
      <c r="PFS314" s="35"/>
      <c r="PFT314" s="35"/>
      <c r="PFU314" s="15"/>
      <c r="PFW314" s="13"/>
      <c r="PFX314" s="35"/>
      <c r="PFY314" s="35"/>
      <c r="PFZ314" s="15"/>
      <c r="PGB314" s="13"/>
      <c r="PGC314" s="35"/>
      <c r="PGD314" s="35"/>
      <c r="PGE314" s="15"/>
      <c r="PGG314" s="13"/>
      <c r="PGH314" s="35"/>
      <c r="PGI314" s="35"/>
      <c r="PGJ314" s="15"/>
      <c r="PGL314" s="13"/>
      <c r="PGM314" s="35"/>
      <c r="PGN314" s="35"/>
      <c r="PGO314" s="15"/>
      <c r="PGQ314" s="13"/>
      <c r="PGR314" s="35"/>
      <c r="PGS314" s="35"/>
      <c r="PGT314" s="15"/>
      <c r="PGV314" s="13"/>
      <c r="PGW314" s="35"/>
      <c r="PGX314" s="35"/>
      <c r="PGY314" s="15"/>
      <c r="PHA314" s="13"/>
      <c r="PHB314" s="35"/>
      <c r="PHC314" s="35"/>
      <c r="PHD314" s="15"/>
      <c r="PHF314" s="13"/>
      <c r="PHG314" s="35"/>
      <c r="PHH314" s="35"/>
      <c r="PHI314" s="15"/>
      <c r="PHK314" s="13"/>
      <c r="PHL314" s="35"/>
      <c r="PHM314" s="35"/>
      <c r="PHN314" s="15"/>
      <c r="PHP314" s="13"/>
      <c r="PHQ314" s="35"/>
      <c r="PHR314" s="35"/>
      <c r="PHS314" s="15"/>
      <c r="PHU314" s="13"/>
      <c r="PHV314" s="35"/>
      <c r="PHW314" s="35"/>
      <c r="PHX314" s="15"/>
      <c r="PHZ314" s="13"/>
      <c r="PIA314" s="35"/>
      <c r="PIB314" s="35"/>
      <c r="PIC314" s="15"/>
      <c r="PIE314" s="13"/>
      <c r="PIF314" s="35"/>
      <c r="PIG314" s="35"/>
      <c r="PIH314" s="15"/>
      <c r="PIJ314" s="13"/>
      <c r="PIK314" s="35"/>
      <c r="PIL314" s="35"/>
      <c r="PIM314" s="15"/>
      <c r="PIO314" s="13"/>
      <c r="PIP314" s="35"/>
      <c r="PIQ314" s="35"/>
      <c r="PIR314" s="15"/>
      <c r="PIT314" s="13"/>
      <c r="PIU314" s="35"/>
      <c r="PIV314" s="35"/>
      <c r="PIW314" s="15"/>
      <c r="PIY314" s="13"/>
      <c r="PIZ314" s="35"/>
      <c r="PJA314" s="35"/>
      <c r="PJB314" s="15"/>
      <c r="PJD314" s="13"/>
      <c r="PJE314" s="35"/>
      <c r="PJF314" s="35"/>
      <c r="PJG314" s="15"/>
      <c r="PJI314" s="13"/>
      <c r="PJJ314" s="35"/>
      <c r="PJK314" s="35"/>
      <c r="PJL314" s="15"/>
      <c r="PJN314" s="13"/>
      <c r="PJO314" s="35"/>
      <c r="PJP314" s="35"/>
      <c r="PJQ314" s="15"/>
      <c r="PJS314" s="13"/>
      <c r="PJT314" s="35"/>
      <c r="PJU314" s="35"/>
      <c r="PJV314" s="15"/>
      <c r="PJX314" s="13"/>
      <c r="PJY314" s="35"/>
      <c r="PJZ314" s="35"/>
      <c r="PKA314" s="15"/>
      <c r="PKC314" s="13"/>
      <c r="PKD314" s="35"/>
      <c r="PKE314" s="35"/>
      <c r="PKF314" s="15"/>
      <c r="PKH314" s="13"/>
      <c r="PKI314" s="35"/>
      <c r="PKJ314" s="35"/>
      <c r="PKK314" s="15"/>
      <c r="PKM314" s="13"/>
      <c r="PKN314" s="35"/>
      <c r="PKO314" s="35"/>
      <c r="PKP314" s="15"/>
      <c r="PKR314" s="13"/>
      <c r="PKS314" s="35"/>
      <c r="PKT314" s="35"/>
      <c r="PKU314" s="15"/>
      <c r="PKW314" s="13"/>
      <c r="PKX314" s="35"/>
      <c r="PKY314" s="35"/>
      <c r="PKZ314" s="15"/>
      <c r="PLB314" s="13"/>
      <c r="PLC314" s="35"/>
      <c r="PLD314" s="35"/>
      <c r="PLE314" s="15"/>
      <c r="PLG314" s="13"/>
      <c r="PLH314" s="35"/>
      <c r="PLI314" s="35"/>
      <c r="PLJ314" s="15"/>
      <c r="PLL314" s="13"/>
      <c r="PLM314" s="35"/>
      <c r="PLN314" s="35"/>
      <c r="PLO314" s="15"/>
      <c r="PLQ314" s="13"/>
      <c r="PLR314" s="35"/>
      <c r="PLS314" s="35"/>
      <c r="PLT314" s="15"/>
      <c r="PLV314" s="13"/>
      <c r="PLW314" s="35"/>
      <c r="PLX314" s="35"/>
      <c r="PLY314" s="15"/>
      <c r="PMA314" s="13"/>
      <c r="PMB314" s="35"/>
      <c r="PMC314" s="35"/>
      <c r="PMD314" s="15"/>
      <c r="PMF314" s="13"/>
      <c r="PMG314" s="35"/>
      <c r="PMH314" s="35"/>
      <c r="PMI314" s="15"/>
      <c r="PMK314" s="13"/>
      <c r="PML314" s="35"/>
      <c r="PMM314" s="35"/>
      <c r="PMN314" s="15"/>
      <c r="PMP314" s="13"/>
      <c r="PMQ314" s="35"/>
      <c r="PMR314" s="35"/>
      <c r="PMS314" s="15"/>
      <c r="PMU314" s="13"/>
      <c r="PMV314" s="35"/>
      <c r="PMW314" s="35"/>
      <c r="PMX314" s="15"/>
      <c r="PMZ314" s="13"/>
      <c r="PNA314" s="35"/>
      <c r="PNB314" s="35"/>
      <c r="PNC314" s="15"/>
      <c r="PNE314" s="13"/>
      <c r="PNF314" s="35"/>
      <c r="PNG314" s="35"/>
      <c r="PNH314" s="15"/>
      <c r="PNJ314" s="13"/>
      <c r="PNK314" s="35"/>
      <c r="PNL314" s="35"/>
      <c r="PNM314" s="15"/>
      <c r="PNO314" s="13"/>
      <c r="PNP314" s="35"/>
      <c r="PNQ314" s="35"/>
      <c r="PNR314" s="15"/>
      <c r="PNT314" s="13"/>
      <c r="PNU314" s="35"/>
      <c r="PNV314" s="35"/>
      <c r="PNW314" s="15"/>
      <c r="PNY314" s="13"/>
      <c r="PNZ314" s="35"/>
      <c r="POA314" s="35"/>
      <c r="POB314" s="15"/>
      <c r="POD314" s="13"/>
      <c r="POE314" s="35"/>
      <c r="POF314" s="35"/>
      <c r="POG314" s="15"/>
      <c r="POI314" s="13"/>
      <c r="POJ314" s="35"/>
      <c r="POK314" s="35"/>
      <c r="POL314" s="15"/>
      <c r="PON314" s="13"/>
      <c r="POO314" s="35"/>
      <c r="POP314" s="35"/>
      <c r="POQ314" s="15"/>
      <c r="POS314" s="13"/>
      <c r="POT314" s="35"/>
      <c r="POU314" s="35"/>
      <c r="POV314" s="15"/>
      <c r="POX314" s="13"/>
      <c r="POY314" s="35"/>
      <c r="POZ314" s="35"/>
      <c r="PPA314" s="15"/>
      <c r="PPC314" s="13"/>
      <c r="PPD314" s="35"/>
      <c r="PPE314" s="35"/>
      <c r="PPF314" s="15"/>
      <c r="PPH314" s="13"/>
      <c r="PPI314" s="35"/>
      <c r="PPJ314" s="35"/>
      <c r="PPK314" s="15"/>
      <c r="PPM314" s="13"/>
      <c r="PPN314" s="35"/>
      <c r="PPO314" s="35"/>
      <c r="PPP314" s="15"/>
      <c r="PPR314" s="13"/>
      <c r="PPS314" s="35"/>
      <c r="PPT314" s="35"/>
      <c r="PPU314" s="15"/>
      <c r="PPW314" s="13"/>
      <c r="PPX314" s="35"/>
      <c r="PPY314" s="35"/>
      <c r="PPZ314" s="15"/>
      <c r="PQB314" s="13"/>
      <c r="PQC314" s="35"/>
      <c r="PQD314" s="35"/>
      <c r="PQE314" s="15"/>
      <c r="PQG314" s="13"/>
      <c r="PQH314" s="35"/>
      <c r="PQI314" s="35"/>
      <c r="PQJ314" s="15"/>
      <c r="PQL314" s="13"/>
      <c r="PQM314" s="35"/>
      <c r="PQN314" s="35"/>
      <c r="PQO314" s="15"/>
      <c r="PQQ314" s="13"/>
      <c r="PQR314" s="35"/>
      <c r="PQS314" s="35"/>
      <c r="PQT314" s="15"/>
      <c r="PQV314" s="13"/>
      <c r="PQW314" s="35"/>
      <c r="PQX314" s="35"/>
      <c r="PQY314" s="15"/>
      <c r="PRA314" s="13"/>
      <c r="PRB314" s="35"/>
      <c r="PRC314" s="35"/>
      <c r="PRD314" s="15"/>
      <c r="PRF314" s="13"/>
      <c r="PRG314" s="35"/>
      <c r="PRH314" s="35"/>
      <c r="PRI314" s="15"/>
      <c r="PRK314" s="13"/>
      <c r="PRL314" s="35"/>
      <c r="PRM314" s="35"/>
      <c r="PRN314" s="15"/>
      <c r="PRP314" s="13"/>
      <c r="PRQ314" s="35"/>
      <c r="PRR314" s="35"/>
      <c r="PRS314" s="15"/>
      <c r="PRU314" s="13"/>
      <c r="PRV314" s="35"/>
      <c r="PRW314" s="35"/>
      <c r="PRX314" s="15"/>
      <c r="PRZ314" s="13"/>
      <c r="PSA314" s="35"/>
      <c r="PSB314" s="35"/>
      <c r="PSC314" s="15"/>
      <c r="PSE314" s="13"/>
      <c r="PSF314" s="35"/>
      <c r="PSG314" s="35"/>
      <c r="PSH314" s="15"/>
      <c r="PSJ314" s="13"/>
      <c r="PSK314" s="35"/>
      <c r="PSL314" s="35"/>
      <c r="PSM314" s="15"/>
      <c r="PSO314" s="13"/>
      <c r="PSP314" s="35"/>
      <c r="PSQ314" s="35"/>
      <c r="PSR314" s="15"/>
      <c r="PST314" s="13"/>
      <c r="PSU314" s="35"/>
      <c r="PSV314" s="35"/>
      <c r="PSW314" s="15"/>
      <c r="PSY314" s="13"/>
      <c r="PSZ314" s="35"/>
      <c r="PTA314" s="35"/>
      <c r="PTB314" s="15"/>
      <c r="PTD314" s="13"/>
      <c r="PTE314" s="35"/>
      <c r="PTF314" s="35"/>
      <c r="PTG314" s="15"/>
      <c r="PTI314" s="13"/>
      <c r="PTJ314" s="35"/>
      <c r="PTK314" s="35"/>
      <c r="PTL314" s="15"/>
      <c r="PTN314" s="13"/>
      <c r="PTO314" s="35"/>
      <c r="PTP314" s="35"/>
      <c r="PTQ314" s="15"/>
      <c r="PTS314" s="13"/>
      <c r="PTT314" s="35"/>
      <c r="PTU314" s="35"/>
      <c r="PTV314" s="15"/>
      <c r="PTX314" s="13"/>
      <c r="PTY314" s="35"/>
      <c r="PTZ314" s="35"/>
      <c r="PUA314" s="15"/>
      <c r="PUC314" s="13"/>
      <c r="PUD314" s="35"/>
      <c r="PUE314" s="35"/>
      <c r="PUF314" s="15"/>
      <c r="PUH314" s="13"/>
      <c r="PUI314" s="35"/>
      <c r="PUJ314" s="35"/>
      <c r="PUK314" s="15"/>
      <c r="PUM314" s="13"/>
      <c r="PUN314" s="35"/>
      <c r="PUO314" s="35"/>
      <c r="PUP314" s="15"/>
      <c r="PUR314" s="13"/>
      <c r="PUS314" s="35"/>
      <c r="PUT314" s="35"/>
      <c r="PUU314" s="15"/>
      <c r="PUW314" s="13"/>
      <c r="PUX314" s="35"/>
      <c r="PUY314" s="35"/>
      <c r="PUZ314" s="15"/>
      <c r="PVB314" s="13"/>
      <c r="PVC314" s="35"/>
      <c r="PVD314" s="35"/>
      <c r="PVE314" s="15"/>
      <c r="PVG314" s="13"/>
      <c r="PVH314" s="35"/>
      <c r="PVI314" s="35"/>
      <c r="PVJ314" s="15"/>
      <c r="PVL314" s="13"/>
      <c r="PVM314" s="35"/>
      <c r="PVN314" s="35"/>
      <c r="PVO314" s="15"/>
      <c r="PVQ314" s="13"/>
      <c r="PVR314" s="35"/>
      <c r="PVS314" s="35"/>
      <c r="PVT314" s="15"/>
      <c r="PVV314" s="13"/>
      <c r="PVW314" s="35"/>
      <c r="PVX314" s="35"/>
      <c r="PVY314" s="15"/>
      <c r="PWA314" s="13"/>
      <c r="PWB314" s="35"/>
      <c r="PWC314" s="35"/>
      <c r="PWD314" s="15"/>
      <c r="PWF314" s="13"/>
      <c r="PWG314" s="35"/>
      <c r="PWH314" s="35"/>
      <c r="PWI314" s="15"/>
      <c r="PWK314" s="13"/>
      <c r="PWL314" s="35"/>
      <c r="PWM314" s="35"/>
      <c r="PWN314" s="15"/>
      <c r="PWP314" s="13"/>
      <c r="PWQ314" s="35"/>
      <c r="PWR314" s="35"/>
      <c r="PWS314" s="15"/>
      <c r="PWU314" s="13"/>
      <c r="PWV314" s="35"/>
      <c r="PWW314" s="35"/>
      <c r="PWX314" s="15"/>
      <c r="PWZ314" s="13"/>
      <c r="PXA314" s="35"/>
      <c r="PXB314" s="35"/>
      <c r="PXC314" s="15"/>
      <c r="PXE314" s="13"/>
      <c r="PXF314" s="35"/>
      <c r="PXG314" s="35"/>
      <c r="PXH314" s="15"/>
      <c r="PXJ314" s="13"/>
      <c r="PXK314" s="35"/>
      <c r="PXL314" s="35"/>
      <c r="PXM314" s="15"/>
      <c r="PXO314" s="13"/>
      <c r="PXP314" s="35"/>
      <c r="PXQ314" s="35"/>
      <c r="PXR314" s="15"/>
      <c r="PXT314" s="13"/>
      <c r="PXU314" s="35"/>
      <c r="PXV314" s="35"/>
      <c r="PXW314" s="15"/>
      <c r="PXY314" s="13"/>
      <c r="PXZ314" s="35"/>
      <c r="PYA314" s="35"/>
      <c r="PYB314" s="15"/>
      <c r="PYD314" s="13"/>
      <c r="PYE314" s="35"/>
      <c r="PYF314" s="35"/>
      <c r="PYG314" s="15"/>
      <c r="PYI314" s="13"/>
      <c r="PYJ314" s="35"/>
      <c r="PYK314" s="35"/>
      <c r="PYL314" s="15"/>
      <c r="PYN314" s="13"/>
      <c r="PYO314" s="35"/>
      <c r="PYP314" s="35"/>
      <c r="PYQ314" s="15"/>
      <c r="PYS314" s="13"/>
      <c r="PYT314" s="35"/>
      <c r="PYU314" s="35"/>
      <c r="PYV314" s="15"/>
      <c r="PYX314" s="13"/>
      <c r="PYY314" s="35"/>
      <c r="PYZ314" s="35"/>
      <c r="PZA314" s="15"/>
      <c r="PZC314" s="13"/>
      <c r="PZD314" s="35"/>
      <c r="PZE314" s="35"/>
      <c r="PZF314" s="15"/>
      <c r="PZH314" s="13"/>
      <c r="PZI314" s="35"/>
      <c r="PZJ314" s="35"/>
      <c r="PZK314" s="15"/>
      <c r="PZM314" s="13"/>
      <c r="PZN314" s="35"/>
      <c r="PZO314" s="35"/>
      <c r="PZP314" s="15"/>
      <c r="PZR314" s="13"/>
      <c r="PZS314" s="35"/>
      <c r="PZT314" s="35"/>
      <c r="PZU314" s="15"/>
      <c r="PZW314" s="13"/>
      <c r="PZX314" s="35"/>
      <c r="PZY314" s="35"/>
      <c r="PZZ314" s="15"/>
      <c r="QAB314" s="13"/>
      <c r="QAC314" s="35"/>
      <c r="QAD314" s="35"/>
      <c r="QAE314" s="15"/>
      <c r="QAG314" s="13"/>
      <c r="QAH314" s="35"/>
      <c r="QAI314" s="35"/>
      <c r="QAJ314" s="15"/>
      <c r="QAL314" s="13"/>
      <c r="QAM314" s="35"/>
      <c r="QAN314" s="35"/>
      <c r="QAO314" s="15"/>
      <c r="QAQ314" s="13"/>
      <c r="QAR314" s="35"/>
      <c r="QAS314" s="35"/>
      <c r="QAT314" s="15"/>
      <c r="QAV314" s="13"/>
      <c r="QAW314" s="35"/>
      <c r="QAX314" s="35"/>
      <c r="QAY314" s="15"/>
      <c r="QBA314" s="13"/>
      <c r="QBB314" s="35"/>
      <c r="QBC314" s="35"/>
      <c r="QBD314" s="15"/>
      <c r="QBF314" s="13"/>
      <c r="QBG314" s="35"/>
      <c r="QBH314" s="35"/>
      <c r="QBI314" s="15"/>
      <c r="QBK314" s="13"/>
      <c r="QBL314" s="35"/>
      <c r="QBM314" s="35"/>
      <c r="QBN314" s="15"/>
      <c r="QBP314" s="13"/>
      <c r="QBQ314" s="35"/>
      <c r="QBR314" s="35"/>
      <c r="QBS314" s="15"/>
      <c r="QBU314" s="13"/>
      <c r="QBV314" s="35"/>
      <c r="QBW314" s="35"/>
      <c r="QBX314" s="15"/>
      <c r="QBZ314" s="13"/>
      <c r="QCA314" s="35"/>
      <c r="QCB314" s="35"/>
      <c r="QCC314" s="15"/>
      <c r="QCE314" s="13"/>
      <c r="QCF314" s="35"/>
      <c r="QCG314" s="35"/>
      <c r="QCH314" s="15"/>
      <c r="QCJ314" s="13"/>
      <c r="QCK314" s="35"/>
      <c r="QCL314" s="35"/>
      <c r="QCM314" s="15"/>
      <c r="QCO314" s="13"/>
      <c r="QCP314" s="35"/>
      <c r="QCQ314" s="35"/>
      <c r="QCR314" s="15"/>
      <c r="QCT314" s="13"/>
      <c r="QCU314" s="35"/>
      <c r="QCV314" s="35"/>
      <c r="QCW314" s="15"/>
      <c r="QCY314" s="13"/>
      <c r="QCZ314" s="35"/>
      <c r="QDA314" s="35"/>
      <c r="QDB314" s="15"/>
      <c r="QDD314" s="13"/>
      <c r="QDE314" s="35"/>
      <c r="QDF314" s="35"/>
      <c r="QDG314" s="15"/>
      <c r="QDI314" s="13"/>
      <c r="QDJ314" s="35"/>
      <c r="QDK314" s="35"/>
      <c r="QDL314" s="15"/>
      <c r="QDN314" s="13"/>
      <c r="QDO314" s="35"/>
      <c r="QDP314" s="35"/>
      <c r="QDQ314" s="15"/>
      <c r="QDS314" s="13"/>
      <c r="QDT314" s="35"/>
      <c r="QDU314" s="35"/>
      <c r="QDV314" s="15"/>
      <c r="QDX314" s="13"/>
      <c r="QDY314" s="35"/>
      <c r="QDZ314" s="35"/>
      <c r="QEA314" s="15"/>
      <c r="QEC314" s="13"/>
      <c r="QED314" s="35"/>
      <c r="QEE314" s="35"/>
      <c r="QEF314" s="15"/>
      <c r="QEH314" s="13"/>
      <c r="QEI314" s="35"/>
      <c r="QEJ314" s="35"/>
      <c r="QEK314" s="15"/>
      <c r="QEM314" s="13"/>
      <c r="QEN314" s="35"/>
      <c r="QEO314" s="35"/>
      <c r="QEP314" s="15"/>
      <c r="QER314" s="13"/>
      <c r="QES314" s="35"/>
      <c r="QET314" s="35"/>
      <c r="QEU314" s="15"/>
      <c r="QEW314" s="13"/>
      <c r="QEX314" s="35"/>
      <c r="QEY314" s="35"/>
      <c r="QEZ314" s="15"/>
      <c r="QFB314" s="13"/>
      <c r="QFC314" s="35"/>
      <c r="QFD314" s="35"/>
      <c r="QFE314" s="15"/>
      <c r="QFG314" s="13"/>
      <c r="QFH314" s="35"/>
      <c r="QFI314" s="35"/>
      <c r="QFJ314" s="15"/>
      <c r="QFL314" s="13"/>
      <c r="QFM314" s="35"/>
      <c r="QFN314" s="35"/>
      <c r="QFO314" s="15"/>
      <c r="QFQ314" s="13"/>
      <c r="QFR314" s="35"/>
      <c r="QFS314" s="35"/>
      <c r="QFT314" s="15"/>
      <c r="QFV314" s="13"/>
      <c r="QFW314" s="35"/>
      <c r="QFX314" s="35"/>
      <c r="QFY314" s="15"/>
      <c r="QGA314" s="13"/>
      <c r="QGB314" s="35"/>
      <c r="QGC314" s="35"/>
      <c r="QGD314" s="15"/>
      <c r="QGF314" s="13"/>
      <c r="QGG314" s="35"/>
      <c r="QGH314" s="35"/>
      <c r="QGI314" s="15"/>
      <c r="QGK314" s="13"/>
      <c r="QGL314" s="35"/>
      <c r="QGM314" s="35"/>
      <c r="QGN314" s="15"/>
      <c r="QGP314" s="13"/>
      <c r="QGQ314" s="35"/>
      <c r="QGR314" s="35"/>
      <c r="QGS314" s="15"/>
      <c r="QGU314" s="13"/>
      <c r="QGV314" s="35"/>
      <c r="QGW314" s="35"/>
      <c r="QGX314" s="15"/>
      <c r="QGZ314" s="13"/>
      <c r="QHA314" s="35"/>
      <c r="QHB314" s="35"/>
      <c r="QHC314" s="15"/>
      <c r="QHE314" s="13"/>
      <c r="QHF314" s="35"/>
      <c r="QHG314" s="35"/>
      <c r="QHH314" s="15"/>
      <c r="QHJ314" s="13"/>
      <c r="QHK314" s="35"/>
      <c r="QHL314" s="35"/>
      <c r="QHM314" s="15"/>
      <c r="QHO314" s="13"/>
      <c r="QHP314" s="35"/>
      <c r="QHQ314" s="35"/>
      <c r="QHR314" s="15"/>
      <c r="QHT314" s="13"/>
      <c r="QHU314" s="35"/>
      <c r="QHV314" s="35"/>
      <c r="QHW314" s="15"/>
      <c r="QHY314" s="13"/>
      <c r="QHZ314" s="35"/>
      <c r="QIA314" s="35"/>
      <c r="QIB314" s="15"/>
      <c r="QID314" s="13"/>
      <c r="QIE314" s="35"/>
      <c r="QIF314" s="35"/>
      <c r="QIG314" s="15"/>
      <c r="QII314" s="13"/>
      <c r="QIJ314" s="35"/>
      <c r="QIK314" s="35"/>
      <c r="QIL314" s="15"/>
      <c r="QIN314" s="13"/>
      <c r="QIO314" s="35"/>
      <c r="QIP314" s="35"/>
      <c r="QIQ314" s="15"/>
      <c r="QIS314" s="13"/>
      <c r="QIT314" s="35"/>
      <c r="QIU314" s="35"/>
      <c r="QIV314" s="15"/>
      <c r="QIX314" s="13"/>
      <c r="QIY314" s="35"/>
      <c r="QIZ314" s="35"/>
      <c r="QJA314" s="15"/>
      <c r="QJC314" s="13"/>
      <c r="QJD314" s="35"/>
      <c r="QJE314" s="35"/>
      <c r="QJF314" s="15"/>
      <c r="QJH314" s="13"/>
      <c r="QJI314" s="35"/>
      <c r="QJJ314" s="35"/>
      <c r="QJK314" s="15"/>
      <c r="QJM314" s="13"/>
      <c r="QJN314" s="35"/>
      <c r="QJO314" s="35"/>
      <c r="QJP314" s="15"/>
      <c r="QJR314" s="13"/>
      <c r="QJS314" s="35"/>
      <c r="QJT314" s="35"/>
      <c r="QJU314" s="15"/>
      <c r="QJW314" s="13"/>
      <c r="QJX314" s="35"/>
      <c r="QJY314" s="35"/>
      <c r="QJZ314" s="15"/>
      <c r="QKB314" s="13"/>
      <c r="QKC314" s="35"/>
      <c r="QKD314" s="35"/>
      <c r="QKE314" s="15"/>
      <c r="QKG314" s="13"/>
      <c r="QKH314" s="35"/>
      <c r="QKI314" s="35"/>
      <c r="QKJ314" s="15"/>
      <c r="QKL314" s="13"/>
      <c r="QKM314" s="35"/>
      <c r="QKN314" s="35"/>
      <c r="QKO314" s="15"/>
      <c r="QKQ314" s="13"/>
      <c r="QKR314" s="35"/>
      <c r="QKS314" s="35"/>
      <c r="QKT314" s="15"/>
      <c r="QKV314" s="13"/>
      <c r="QKW314" s="35"/>
      <c r="QKX314" s="35"/>
      <c r="QKY314" s="15"/>
      <c r="QLA314" s="13"/>
      <c r="QLB314" s="35"/>
      <c r="QLC314" s="35"/>
      <c r="QLD314" s="15"/>
      <c r="QLF314" s="13"/>
      <c r="QLG314" s="35"/>
      <c r="QLH314" s="35"/>
      <c r="QLI314" s="15"/>
      <c r="QLK314" s="13"/>
      <c r="QLL314" s="35"/>
      <c r="QLM314" s="35"/>
      <c r="QLN314" s="15"/>
      <c r="QLP314" s="13"/>
      <c r="QLQ314" s="35"/>
      <c r="QLR314" s="35"/>
      <c r="QLS314" s="15"/>
      <c r="QLU314" s="13"/>
      <c r="QLV314" s="35"/>
      <c r="QLW314" s="35"/>
      <c r="QLX314" s="15"/>
      <c r="QLZ314" s="13"/>
      <c r="QMA314" s="35"/>
      <c r="QMB314" s="35"/>
      <c r="QMC314" s="15"/>
      <c r="QME314" s="13"/>
      <c r="QMF314" s="35"/>
      <c r="QMG314" s="35"/>
      <c r="QMH314" s="15"/>
      <c r="QMJ314" s="13"/>
      <c r="QMK314" s="35"/>
      <c r="QML314" s="35"/>
      <c r="QMM314" s="15"/>
      <c r="QMO314" s="13"/>
      <c r="QMP314" s="35"/>
      <c r="QMQ314" s="35"/>
      <c r="QMR314" s="15"/>
      <c r="QMT314" s="13"/>
      <c r="QMU314" s="35"/>
      <c r="QMV314" s="35"/>
      <c r="QMW314" s="15"/>
      <c r="QMY314" s="13"/>
      <c r="QMZ314" s="35"/>
      <c r="QNA314" s="35"/>
      <c r="QNB314" s="15"/>
      <c r="QND314" s="13"/>
      <c r="QNE314" s="35"/>
      <c r="QNF314" s="35"/>
      <c r="QNG314" s="15"/>
      <c r="QNI314" s="13"/>
      <c r="QNJ314" s="35"/>
      <c r="QNK314" s="35"/>
      <c r="QNL314" s="15"/>
      <c r="QNN314" s="13"/>
      <c r="QNO314" s="35"/>
      <c r="QNP314" s="35"/>
      <c r="QNQ314" s="15"/>
      <c r="QNS314" s="13"/>
      <c r="QNT314" s="35"/>
      <c r="QNU314" s="35"/>
      <c r="QNV314" s="15"/>
      <c r="QNX314" s="13"/>
      <c r="QNY314" s="35"/>
      <c r="QNZ314" s="35"/>
      <c r="QOA314" s="15"/>
      <c r="QOC314" s="13"/>
      <c r="QOD314" s="35"/>
      <c r="QOE314" s="35"/>
      <c r="QOF314" s="15"/>
      <c r="QOH314" s="13"/>
      <c r="QOI314" s="35"/>
      <c r="QOJ314" s="35"/>
      <c r="QOK314" s="15"/>
      <c r="QOM314" s="13"/>
      <c r="QON314" s="35"/>
      <c r="QOO314" s="35"/>
      <c r="QOP314" s="15"/>
      <c r="QOR314" s="13"/>
      <c r="QOS314" s="35"/>
      <c r="QOT314" s="35"/>
      <c r="QOU314" s="15"/>
      <c r="QOW314" s="13"/>
      <c r="QOX314" s="35"/>
      <c r="QOY314" s="35"/>
      <c r="QOZ314" s="15"/>
      <c r="QPB314" s="13"/>
      <c r="QPC314" s="35"/>
      <c r="QPD314" s="35"/>
      <c r="QPE314" s="15"/>
      <c r="QPG314" s="13"/>
      <c r="QPH314" s="35"/>
      <c r="QPI314" s="35"/>
      <c r="QPJ314" s="15"/>
      <c r="QPL314" s="13"/>
      <c r="QPM314" s="35"/>
      <c r="QPN314" s="35"/>
      <c r="QPO314" s="15"/>
      <c r="QPQ314" s="13"/>
      <c r="QPR314" s="35"/>
      <c r="QPS314" s="35"/>
      <c r="QPT314" s="15"/>
      <c r="QPV314" s="13"/>
      <c r="QPW314" s="35"/>
      <c r="QPX314" s="35"/>
      <c r="QPY314" s="15"/>
      <c r="QQA314" s="13"/>
      <c r="QQB314" s="35"/>
      <c r="QQC314" s="35"/>
      <c r="QQD314" s="15"/>
      <c r="QQF314" s="13"/>
      <c r="QQG314" s="35"/>
      <c r="QQH314" s="35"/>
      <c r="QQI314" s="15"/>
      <c r="QQK314" s="13"/>
      <c r="QQL314" s="35"/>
      <c r="QQM314" s="35"/>
      <c r="QQN314" s="15"/>
      <c r="QQP314" s="13"/>
      <c r="QQQ314" s="35"/>
      <c r="QQR314" s="35"/>
      <c r="QQS314" s="15"/>
      <c r="QQU314" s="13"/>
      <c r="QQV314" s="35"/>
      <c r="QQW314" s="35"/>
      <c r="QQX314" s="15"/>
      <c r="QQZ314" s="13"/>
      <c r="QRA314" s="35"/>
      <c r="QRB314" s="35"/>
      <c r="QRC314" s="15"/>
      <c r="QRE314" s="13"/>
      <c r="QRF314" s="35"/>
      <c r="QRG314" s="35"/>
      <c r="QRH314" s="15"/>
      <c r="QRJ314" s="13"/>
      <c r="QRK314" s="35"/>
      <c r="QRL314" s="35"/>
      <c r="QRM314" s="15"/>
      <c r="QRO314" s="13"/>
      <c r="QRP314" s="35"/>
      <c r="QRQ314" s="35"/>
      <c r="QRR314" s="15"/>
      <c r="QRT314" s="13"/>
      <c r="QRU314" s="35"/>
      <c r="QRV314" s="35"/>
      <c r="QRW314" s="15"/>
      <c r="QRY314" s="13"/>
      <c r="QRZ314" s="35"/>
      <c r="QSA314" s="35"/>
      <c r="QSB314" s="15"/>
      <c r="QSD314" s="13"/>
      <c r="QSE314" s="35"/>
      <c r="QSF314" s="35"/>
      <c r="QSG314" s="15"/>
      <c r="QSI314" s="13"/>
      <c r="QSJ314" s="35"/>
      <c r="QSK314" s="35"/>
      <c r="QSL314" s="15"/>
      <c r="QSN314" s="13"/>
      <c r="QSO314" s="35"/>
      <c r="QSP314" s="35"/>
      <c r="QSQ314" s="15"/>
      <c r="QSS314" s="13"/>
      <c r="QST314" s="35"/>
      <c r="QSU314" s="35"/>
      <c r="QSV314" s="15"/>
      <c r="QSX314" s="13"/>
      <c r="QSY314" s="35"/>
      <c r="QSZ314" s="35"/>
      <c r="QTA314" s="15"/>
      <c r="QTC314" s="13"/>
      <c r="QTD314" s="35"/>
      <c r="QTE314" s="35"/>
      <c r="QTF314" s="15"/>
      <c r="QTH314" s="13"/>
      <c r="QTI314" s="35"/>
      <c r="QTJ314" s="35"/>
      <c r="QTK314" s="15"/>
      <c r="QTM314" s="13"/>
      <c r="QTN314" s="35"/>
      <c r="QTO314" s="35"/>
      <c r="QTP314" s="15"/>
      <c r="QTR314" s="13"/>
      <c r="QTS314" s="35"/>
      <c r="QTT314" s="35"/>
      <c r="QTU314" s="15"/>
      <c r="QTW314" s="13"/>
      <c r="QTX314" s="35"/>
      <c r="QTY314" s="35"/>
      <c r="QTZ314" s="15"/>
      <c r="QUB314" s="13"/>
      <c r="QUC314" s="35"/>
      <c r="QUD314" s="35"/>
      <c r="QUE314" s="15"/>
      <c r="QUG314" s="13"/>
      <c r="QUH314" s="35"/>
      <c r="QUI314" s="35"/>
      <c r="QUJ314" s="15"/>
      <c r="QUL314" s="13"/>
      <c r="QUM314" s="35"/>
      <c r="QUN314" s="35"/>
      <c r="QUO314" s="15"/>
      <c r="QUQ314" s="13"/>
      <c r="QUR314" s="35"/>
      <c r="QUS314" s="35"/>
      <c r="QUT314" s="15"/>
      <c r="QUV314" s="13"/>
      <c r="QUW314" s="35"/>
      <c r="QUX314" s="35"/>
      <c r="QUY314" s="15"/>
      <c r="QVA314" s="13"/>
      <c r="QVB314" s="35"/>
      <c r="QVC314" s="35"/>
      <c r="QVD314" s="15"/>
      <c r="QVF314" s="13"/>
      <c r="QVG314" s="35"/>
      <c r="QVH314" s="35"/>
      <c r="QVI314" s="15"/>
      <c r="QVK314" s="13"/>
      <c r="QVL314" s="35"/>
      <c r="QVM314" s="35"/>
      <c r="QVN314" s="15"/>
      <c r="QVP314" s="13"/>
      <c r="QVQ314" s="35"/>
      <c r="QVR314" s="35"/>
      <c r="QVS314" s="15"/>
      <c r="QVU314" s="13"/>
      <c r="QVV314" s="35"/>
      <c r="QVW314" s="35"/>
      <c r="QVX314" s="15"/>
      <c r="QVZ314" s="13"/>
      <c r="QWA314" s="35"/>
      <c r="QWB314" s="35"/>
      <c r="QWC314" s="15"/>
      <c r="QWE314" s="13"/>
      <c r="QWF314" s="35"/>
      <c r="QWG314" s="35"/>
      <c r="QWH314" s="15"/>
      <c r="QWJ314" s="13"/>
      <c r="QWK314" s="35"/>
      <c r="QWL314" s="35"/>
      <c r="QWM314" s="15"/>
      <c r="QWO314" s="13"/>
      <c r="QWP314" s="35"/>
      <c r="QWQ314" s="35"/>
      <c r="QWR314" s="15"/>
      <c r="QWT314" s="13"/>
      <c r="QWU314" s="35"/>
      <c r="QWV314" s="35"/>
      <c r="QWW314" s="15"/>
      <c r="QWY314" s="13"/>
      <c r="QWZ314" s="35"/>
      <c r="QXA314" s="35"/>
      <c r="QXB314" s="15"/>
      <c r="QXD314" s="13"/>
      <c r="QXE314" s="35"/>
      <c r="QXF314" s="35"/>
      <c r="QXG314" s="15"/>
      <c r="QXI314" s="13"/>
      <c r="QXJ314" s="35"/>
      <c r="QXK314" s="35"/>
      <c r="QXL314" s="15"/>
      <c r="QXN314" s="13"/>
      <c r="QXO314" s="35"/>
      <c r="QXP314" s="35"/>
      <c r="QXQ314" s="15"/>
      <c r="QXS314" s="13"/>
      <c r="QXT314" s="35"/>
      <c r="QXU314" s="35"/>
      <c r="QXV314" s="15"/>
      <c r="QXX314" s="13"/>
      <c r="QXY314" s="35"/>
      <c r="QXZ314" s="35"/>
      <c r="QYA314" s="15"/>
      <c r="QYC314" s="13"/>
      <c r="QYD314" s="35"/>
      <c r="QYE314" s="35"/>
      <c r="QYF314" s="15"/>
      <c r="QYH314" s="13"/>
      <c r="QYI314" s="35"/>
      <c r="QYJ314" s="35"/>
      <c r="QYK314" s="15"/>
      <c r="QYM314" s="13"/>
      <c r="QYN314" s="35"/>
      <c r="QYO314" s="35"/>
      <c r="QYP314" s="15"/>
      <c r="QYR314" s="13"/>
      <c r="QYS314" s="35"/>
      <c r="QYT314" s="35"/>
      <c r="QYU314" s="15"/>
      <c r="QYW314" s="13"/>
      <c r="QYX314" s="35"/>
      <c r="QYY314" s="35"/>
      <c r="QYZ314" s="15"/>
      <c r="QZB314" s="13"/>
      <c r="QZC314" s="35"/>
      <c r="QZD314" s="35"/>
      <c r="QZE314" s="15"/>
      <c r="QZG314" s="13"/>
      <c r="QZH314" s="35"/>
      <c r="QZI314" s="35"/>
      <c r="QZJ314" s="15"/>
      <c r="QZL314" s="13"/>
      <c r="QZM314" s="35"/>
      <c r="QZN314" s="35"/>
      <c r="QZO314" s="15"/>
      <c r="QZQ314" s="13"/>
      <c r="QZR314" s="35"/>
      <c r="QZS314" s="35"/>
      <c r="QZT314" s="15"/>
      <c r="QZV314" s="13"/>
      <c r="QZW314" s="35"/>
      <c r="QZX314" s="35"/>
      <c r="QZY314" s="15"/>
      <c r="RAA314" s="13"/>
      <c r="RAB314" s="35"/>
      <c r="RAC314" s="35"/>
      <c r="RAD314" s="15"/>
      <c r="RAF314" s="13"/>
      <c r="RAG314" s="35"/>
      <c r="RAH314" s="35"/>
      <c r="RAI314" s="15"/>
      <c r="RAK314" s="13"/>
      <c r="RAL314" s="35"/>
      <c r="RAM314" s="35"/>
      <c r="RAN314" s="15"/>
      <c r="RAP314" s="13"/>
      <c r="RAQ314" s="35"/>
      <c r="RAR314" s="35"/>
      <c r="RAS314" s="15"/>
      <c r="RAU314" s="13"/>
      <c r="RAV314" s="35"/>
      <c r="RAW314" s="35"/>
      <c r="RAX314" s="15"/>
      <c r="RAZ314" s="13"/>
      <c r="RBA314" s="35"/>
      <c r="RBB314" s="35"/>
      <c r="RBC314" s="15"/>
      <c r="RBE314" s="13"/>
      <c r="RBF314" s="35"/>
      <c r="RBG314" s="35"/>
      <c r="RBH314" s="15"/>
      <c r="RBJ314" s="13"/>
      <c r="RBK314" s="35"/>
      <c r="RBL314" s="35"/>
      <c r="RBM314" s="15"/>
      <c r="RBO314" s="13"/>
      <c r="RBP314" s="35"/>
      <c r="RBQ314" s="35"/>
      <c r="RBR314" s="15"/>
      <c r="RBT314" s="13"/>
      <c r="RBU314" s="35"/>
      <c r="RBV314" s="35"/>
      <c r="RBW314" s="15"/>
      <c r="RBY314" s="13"/>
      <c r="RBZ314" s="35"/>
      <c r="RCA314" s="35"/>
      <c r="RCB314" s="15"/>
      <c r="RCD314" s="13"/>
      <c r="RCE314" s="35"/>
      <c r="RCF314" s="35"/>
      <c r="RCG314" s="15"/>
      <c r="RCI314" s="13"/>
      <c r="RCJ314" s="35"/>
      <c r="RCK314" s="35"/>
      <c r="RCL314" s="15"/>
      <c r="RCN314" s="13"/>
      <c r="RCO314" s="35"/>
      <c r="RCP314" s="35"/>
      <c r="RCQ314" s="15"/>
      <c r="RCS314" s="13"/>
      <c r="RCT314" s="35"/>
      <c r="RCU314" s="35"/>
      <c r="RCV314" s="15"/>
      <c r="RCX314" s="13"/>
      <c r="RCY314" s="35"/>
      <c r="RCZ314" s="35"/>
      <c r="RDA314" s="15"/>
      <c r="RDC314" s="13"/>
      <c r="RDD314" s="35"/>
      <c r="RDE314" s="35"/>
      <c r="RDF314" s="15"/>
      <c r="RDH314" s="13"/>
      <c r="RDI314" s="35"/>
      <c r="RDJ314" s="35"/>
      <c r="RDK314" s="15"/>
      <c r="RDM314" s="13"/>
      <c r="RDN314" s="35"/>
      <c r="RDO314" s="35"/>
      <c r="RDP314" s="15"/>
      <c r="RDR314" s="13"/>
      <c r="RDS314" s="35"/>
      <c r="RDT314" s="35"/>
      <c r="RDU314" s="15"/>
      <c r="RDW314" s="13"/>
      <c r="RDX314" s="35"/>
      <c r="RDY314" s="35"/>
      <c r="RDZ314" s="15"/>
      <c r="REB314" s="13"/>
      <c r="REC314" s="35"/>
      <c r="RED314" s="35"/>
      <c r="REE314" s="15"/>
      <c r="REG314" s="13"/>
      <c r="REH314" s="35"/>
      <c r="REI314" s="35"/>
      <c r="REJ314" s="15"/>
      <c r="REL314" s="13"/>
      <c r="REM314" s="35"/>
      <c r="REN314" s="35"/>
      <c r="REO314" s="15"/>
      <c r="REQ314" s="13"/>
      <c r="RER314" s="35"/>
      <c r="RES314" s="35"/>
      <c r="RET314" s="15"/>
      <c r="REV314" s="13"/>
      <c r="REW314" s="35"/>
      <c r="REX314" s="35"/>
      <c r="REY314" s="15"/>
      <c r="RFA314" s="13"/>
      <c r="RFB314" s="35"/>
      <c r="RFC314" s="35"/>
      <c r="RFD314" s="15"/>
      <c r="RFF314" s="13"/>
      <c r="RFG314" s="35"/>
      <c r="RFH314" s="35"/>
      <c r="RFI314" s="15"/>
      <c r="RFK314" s="13"/>
      <c r="RFL314" s="35"/>
      <c r="RFM314" s="35"/>
      <c r="RFN314" s="15"/>
      <c r="RFP314" s="13"/>
      <c r="RFQ314" s="35"/>
      <c r="RFR314" s="35"/>
      <c r="RFS314" s="15"/>
      <c r="RFU314" s="13"/>
      <c r="RFV314" s="35"/>
      <c r="RFW314" s="35"/>
      <c r="RFX314" s="15"/>
      <c r="RFZ314" s="13"/>
      <c r="RGA314" s="35"/>
      <c r="RGB314" s="35"/>
      <c r="RGC314" s="15"/>
      <c r="RGE314" s="13"/>
      <c r="RGF314" s="35"/>
      <c r="RGG314" s="35"/>
      <c r="RGH314" s="15"/>
      <c r="RGJ314" s="13"/>
      <c r="RGK314" s="35"/>
      <c r="RGL314" s="35"/>
      <c r="RGM314" s="15"/>
      <c r="RGO314" s="13"/>
      <c r="RGP314" s="35"/>
      <c r="RGQ314" s="35"/>
      <c r="RGR314" s="15"/>
      <c r="RGT314" s="13"/>
      <c r="RGU314" s="35"/>
      <c r="RGV314" s="35"/>
      <c r="RGW314" s="15"/>
      <c r="RGY314" s="13"/>
      <c r="RGZ314" s="35"/>
      <c r="RHA314" s="35"/>
      <c r="RHB314" s="15"/>
      <c r="RHD314" s="13"/>
      <c r="RHE314" s="35"/>
      <c r="RHF314" s="35"/>
      <c r="RHG314" s="15"/>
      <c r="RHI314" s="13"/>
      <c r="RHJ314" s="35"/>
      <c r="RHK314" s="35"/>
      <c r="RHL314" s="15"/>
      <c r="RHN314" s="13"/>
      <c r="RHO314" s="35"/>
      <c r="RHP314" s="35"/>
      <c r="RHQ314" s="15"/>
      <c r="RHS314" s="13"/>
      <c r="RHT314" s="35"/>
      <c r="RHU314" s="35"/>
      <c r="RHV314" s="15"/>
      <c r="RHX314" s="13"/>
      <c r="RHY314" s="35"/>
      <c r="RHZ314" s="35"/>
      <c r="RIA314" s="15"/>
      <c r="RIC314" s="13"/>
      <c r="RID314" s="35"/>
      <c r="RIE314" s="35"/>
      <c r="RIF314" s="15"/>
      <c r="RIH314" s="13"/>
      <c r="RII314" s="35"/>
      <c r="RIJ314" s="35"/>
      <c r="RIK314" s="15"/>
      <c r="RIM314" s="13"/>
      <c r="RIN314" s="35"/>
      <c r="RIO314" s="35"/>
      <c r="RIP314" s="15"/>
      <c r="RIR314" s="13"/>
      <c r="RIS314" s="35"/>
      <c r="RIT314" s="35"/>
      <c r="RIU314" s="15"/>
      <c r="RIW314" s="13"/>
      <c r="RIX314" s="35"/>
      <c r="RIY314" s="35"/>
      <c r="RIZ314" s="15"/>
      <c r="RJB314" s="13"/>
      <c r="RJC314" s="35"/>
      <c r="RJD314" s="35"/>
      <c r="RJE314" s="15"/>
      <c r="RJG314" s="13"/>
      <c r="RJH314" s="35"/>
      <c r="RJI314" s="35"/>
      <c r="RJJ314" s="15"/>
      <c r="RJL314" s="13"/>
      <c r="RJM314" s="35"/>
      <c r="RJN314" s="35"/>
      <c r="RJO314" s="15"/>
      <c r="RJQ314" s="13"/>
      <c r="RJR314" s="35"/>
      <c r="RJS314" s="35"/>
      <c r="RJT314" s="15"/>
      <c r="RJV314" s="13"/>
      <c r="RJW314" s="35"/>
      <c r="RJX314" s="35"/>
      <c r="RJY314" s="15"/>
      <c r="RKA314" s="13"/>
      <c r="RKB314" s="35"/>
      <c r="RKC314" s="35"/>
      <c r="RKD314" s="15"/>
      <c r="RKF314" s="13"/>
      <c r="RKG314" s="35"/>
      <c r="RKH314" s="35"/>
      <c r="RKI314" s="15"/>
      <c r="RKK314" s="13"/>
      <c r="RKL314" s="35"/>
      <c r="RKM314" s="35"/>
      <c r="RKN314" s="15"/>
      <c r="RKP314" s="13"/>
      <c r="RKQ314" s="35"/>
      <c r="RKR314" s="35"/>
      <c r="RKS314" s="15"/>
      <c r="RKU314" s="13"/>
      <c r="RKV314" s="35"/>
      <c r="RKW314" s="35"/>
      <c r="RKX314" s="15"/>
      <c r="RKZ314" s="13"/>
      <c r="RLA314" s="35"/>
      <c r="RLB314" s="35"/>
      <c r="RLC314" s="15"/>
      <c r="RLE314" s="13"/>
      <c r="RLF314" s="35"/>
      <c r="RLG314" s="35"/>
      <c r="RLH314" s="15"/>
      <c r="RLJ314" s="13"/>
      <c r="RLK314" s="35"/>
      <c r="RLL314" s="35"/>
      <c r="RLM314" s="15"/>
      <c r="RLO314" s="13"/>
      <c r="RLP314" s="35"/>
      <c r="RLQ314" s="35"/>
      <c r="RLR314" s="15"/>
      <c r="RLT314" s="13"/>
      <c r="RLU314" s="35"/>
      <c r="RLV314" s="35"/>
      <c r="RLW314" s="15"/>
      <c r="RLY314" s="13"/>
      <c r="RLZ314" s="35"/>
      <c r="RMA314" s="35"/>
      <c r="RMB314" s="15"/>
      <c r="RMD314" s="13"/>
      <c r="RME314" s="35"/>
      <c r="RMF314" s="35"/>
      <c r="RMG314" s="15"/>
      <c r="RMI314" s="13"/>
      <c r="RMJ314" s="35"/>
      <c r="RMK314" s="35"/>
      <c r="RML314" s="15"/>
      <c r="RMN314" s="13"/>
      <c r="RMO314" s="35"/>
      <c r="RMP314" s="35"/>
      <c r="RMQ314" s="15"/>
      <c r="RMS314" s="13"/>
      <c r="RMT314" s="35"/>
      <c r="RMU314" s="35"/>
      <c r="RMV314" s="15"/>
      <c r="RMX314" s="13"/>
      <c r="RMY314" s="35"/>
      <c r="RMZ314" s="35"/>
      <c r="RNA314" s="15"/>
      <c r="RNC314" s="13"/>
      <c r="RND314" s="35"/>
      <c r="RNE314" s="35"/>
      <c r="RNF314" s="15"/>
      <c r="RNH314" s="13"/>
      <c r="RNI314" s="35"/>
      <c r="RNJ314" s="35"/>
      <c r="RNK314" s="15"/>
      <c r="RNM314" s="13"/>
      <c r="RNN314" s="35"/>
      <c r="RNO314" s="35"/>
      <c r="RNP314" s="15"/>
      <c r="RNR314" s="13"/>
      <c r="RNS314" s="35"/>
      <c r="RNT314" s="35"/>
      <c r="RNU314" s="15"/>
      <c r="RNW314" s="13"/>
      <c r="RNX314" s="35"/>
      <c r="RNY314" s="35"/>
      <c r="RNZ314" s="15"/>
      <c r="ROB314" s="13"/>
      <c r="ROC314" s="35"/>
      <c r="ROD314" s="35"/>
      <c r="ROE314" s="15"/>
      <c r="ROG314" s="13"/>
      <c r="ROH314" s="35"/>
      <c r="ROI314" s="35"/>
      <c r="ROJ314" s="15"/>
      <c r="ROL314" s="13"/>
      <c r="ROM314" s="35"/>
      <c r="RON314" s="35"/>
      <c r="ROO314" s="15"/>
      <c r="ROQ314" s="13"/>
      <c r="ROR314" s="35"/>
      <c r="ROS314" s="35"/>
      <c r="ROT314" s="15"/>
      <c r="ROV314" s="13"/>
      <c r="ROW314" s="35"/>
      <c r="ROX314" s="35"/>
      <c r="ROY314" s="15"/>
      <c r="RPA314" s="13"/>
      <c r="RPB314" s="35"/>
      <c r="RPC314" s="35"/>
      <c r="RPD314" s="15"/>
      <c r="RPF314" s="13"/>
      <c r="RPG314" s="35"/>
      <c r="RPH314" s="35"/>
      <c r="RPI314" s="15"/>
      <c r="RPK314" s="13"/>
      <c r="RPL314" s="35"/>
      <c r="RPM314" s="35"/>
      <c r="RPN314" s="15"/>
      <c r="RPP314" s="13"/>
      <c r="RPQ314" s="35"/>
      <c r="RPR314" s="35"/>
      <c r="RPS314" s="15"/>
      <c r="RPU314" s="13"/>
      <c r="RPV314" s="35"/>
      <c r="RPW314" s="35"/>
      <c r="RPX314" s="15"/>
      <c r="RPZ314" s="13"/>
      <c r="RQA314" s="35"/>
      <c r="RQB314" s="35"/>
      <c r="RQC314" s="15"/>
      <c r="RQE314" s="13"/>
      <c r="RQF314" s="35"/>
      <c r="RQG314" s="35"/>
      <c r="RQH314" s="15"/>
      <c r="RQJ314" s="13"/>
      <c r="RQK314" s="35"/>
      <c r="RQL314" s="35"/>
      <c r="RQM314" s="15"/>
      <c r="RQO314" s="13"/>
      <c r="RQP314" s="35"/>
      <c r="RQQ314" s="35"/>
      <c r="RQR314" s="15"/>
      <c r="RQT314" s="13"/>
      <c r="RQU314" s="35"/>
      <c r="RQV314" s="35"/>
      <c r="RQW314" s="15"/>
      <c r="RQY314" s="13"/>
      <c r="RQZ314" s="35"/>
      <c r="RRA314" s="35"/>
      <c r="RRB314" s="15"/>
      <c r="RRD314" s="13"/>
      <c r="RRE314" s="35"/>
      <c r="RRF314" s="35"/>
      <c r="RRG314" s="15"/>
      <c r="RRI314" s="13"/>
      <c r="RRJ314" s="35"/>
      <c r="RRK314" s="35"/>
      <c r="RRL314" s="15"/>
      <c r="RRN314" s="13"/>
      <c r="RRO314" s="35"/>
      <c r="RRP314" s="35"/>
      <c r="RRQ314" s="15"/>
      <c r="RRS314" s="13"/>
      <c r="RRT314" s="35"/>
      <c r="RRU314" s="35"/>
      <c r="RRV314" s="15"/>
      <c r="RRX314" s="13"/>
      <c r="RRY314" s="35"/>
      <c r="RRZ314" s="35"/>
      <c r="RSA314" s="15"/>
      <c r="RSC314" s="13"/>
      <c r="RSD314" s="35"/>
      <c r="RSE314" s="35"/>
      <c r="RSF314" s="15"/>
      <c r="RSH314" s="13"/>
      <c r="RSI314" s="35"/>
      <c r="RSJ314" s="35"/>
      <c r="RSK314" s="15"/>
      <c r="RSM314" s="13"/>
      <c r="RSN314" s="35"/>
      <c r="RSO314" s="35"/>
      <c r="RSP314" s="15"/>
      <c r="RSR314" s="13"/>
      <c r="RSS314" s="35"/>
      <c r="RST314" s="35"/>
      <c r="RSU314" s="15"/>
      <c r="RSW314" s="13"/>
      <c r="RSX314" s="35"/>
      <c r="RSY314" s="35"/>
      <c r="RSZ314" s="15"/>
      <c r="RTB314" s="13"/>
      <c r="RTC314" s="35"/>
      <c r="RTD314" s="35"/>
      <c r="RTE314" s="15"/>
      <c r="RTG314" s="13"/>
      <c r="RTH314" s="35"/>
      <c r="RTI314" s="35"/>
      <c r="RTJ314" s="15"/>
      <c r="RTL314" s="13"/>
      <c r="RTM314" s="35"/>
      <c r="RTN314" s="35"/>
      <c r="RTO314" s="15"/>
      <c r="RTQ314" s="13"/>
      <c r="RTR314" s="35"/>
      <c r="RTS314" s="35"/>
      <c r="RTT314" s="15"/>
      <c r="RTV314" s="13"/>
      <c r="RTW314" s="35"/>
      <c r="RTX314" s="35"/>
      <c r="RTY314" s="15"/>
      <c r="RUA314" s="13"/>
      <c r="RUB314" s="35"/>
      <c r="RUC314" s="35"/>
      <c r="RUD314" s="15"/>
      <c r="RUF314" s="13"/>
      <c r="RUG314" s="35"/>
      <c r="RUH314" s="35"/>
      <c r="RUI314" s="15"/>
      <c r="RUK314" s="13"/>
      <c r="RUL314" s="35"/>
      <c r="RUM314" s="35"/>
      <c r="RUN314" s="15"/>
      <c r="RUP314" s="13"/>
      <c r="RUQ314" s="35"/>
      <c r="RUR314" s="35"/>
      <c r="RUS314" s="15"/>
      <c r="RUU314" s="13"/>
      <c r="RUV314" s="35"/>
      <c r="RUW314" s="35"/>
      <c r="RUX314" s="15"/>
      <c r="RUZ314" s="13"/>
      <c r="RVA314" s="35"/>
      <c r="RVB314" s="35"/>
      <c r="RVC314" s="15"/>
      <c r="RVE314" s="13"/>
      <c r="RVF314" s="35"/>
      <c r="RVG314" s="35"/>
      <c r="RVH314" s="15"/>
      <c r="RVJ314" s="13"/>
      <c r="RVK314" s="35"/>
      <c r="RVL314" s="35"/>
      <c r="RVM314" s="15"/>
      <c r="RVO314" s="13"/>
      <c r="RVP314" s="35"/>
      <c r="RVQ314" s="35"/>
      <c r="RVR314" s="15"/>
      <c r="RVT314" s="13"/>
      <c r="RVU314" s="35"/>
      <c r="RVV314" s="35"/>
      <c r="RVW314" s="15"/>
      <c r="RVY314" s="13"/>
      <c r="RVZ314" s="35"/>
      <c r="RWA314" s="35"/>
      <c r="RWB314" s="15"/>
      <c r="RWD314" s="13"/>
      <c r="RWE314" s="35"/>
      <c r="RWF314" s="35"/>
      <c r="RWG314" s="15"/>
      <c r="RWI314" s="13"/>
      <c r="RWJ314" s="35"/>
      <c r="RWK314" s="35"/>
      <c r="RWL314" s="15"/>
      <c r="RWN314" s="13"/>
      <c r="RWO314" s="35"/>
      <c r="RWP314" s="35"/>
      <c r="RWQ314" s="15"/>
      <c r="RWS314" s="13"/>
      <c r="RWT314" s="35"/>
      <c r="RWU314" s="35"/>
      <c r="RWV314" s="15"/>
      <c r="RWX314" s="13"/>
      <c r="RWY314" s="35"/>
      <c r="RWZ314" s="35"/>
      <c r="RXA314" s="15"/>
      <c r="RXC314" s="13"/>
      <c r="RXD314" s="35"/>
      <c r="RXE314" s="35"/>
      <c r="RXF314" s="15"/>
      <c r="RXH314" s="13"/>
      <c r="RXI314" s="35"/>
      <c r="RXJ314" s="35"/>
      <c r="RXK314" s="15"/>
      <c r="RXM314" s="13"/>
      <c r="RXN314" s="35"/>
      <c r="RXO314" s="35"/>
      <c r="RXP314" s="15"/>
      <c r="RXR314" s="13"/>
      <c r="RXS314" s="35"/>
      <c r="RXT314" s="35"/>
      <c r="RXU314" s="15"/>
      <c r="RXW314" s="13"/>
      <c r="RXX314" s="35"/>
      <c r="RXY314" s="35"/>
      <c r="RXZ314" s="15"/>
      <c r="RYB314" s="13"/>
      <c r="RYC314" s="35"/>
      <c r="RYD314" s="35"/>
      <c r="RYE314" s="15"/>
      <c r="RYG314" s="13"/>
      <c r="RYH314" s="35"/>
      <c r="RYI314" s="35"/>
      <c r="RYJ314" s="15"/>
      <c r="RYL314" s="13"/>
      <c r="RYM314" s="35"/>
      <c r="RYN314" s="35"/>
      <c r="RYO314" s="15"/>
      <c r="RYQ314" s="13"/>
      <c r="RYR314" s="35"/>
      <c r="RYS314" s="35"/>
      <c r="RYT314" s="15"/>
      <c r="RYV314" s="13"/>
      <c r="RYW314" s="35"/>
      <c r="RYX314" s="35"/>
      <c r="RYY314" s="15"/>
      <c r="RZA314" s="13"/>
      <c r="RZB314" s="35"/>
      <c r="RZC314" s="35"/>
      <c r="RZD314" s="15"/>
      <c r="RZF314" s="13"/>
      <c r="RZG314" s="35"/>
      <c r="RZH314" s="35"/>
      <c r="RZI314" s="15"/>
      <c r="RZK314" s="13"/>
      <c r="RZL314" s="35"/>
      <c r="RZM314" s="35"/>
      <c r="RZN314" s="15"/>
      <c r="RZP314" s="13"/>
      <c r="RZQ314" s="35"/>
      <c r="RZR314" s="35"/>
      <c r="RZS314" s="15"/>
      <c r="RZU314" s="13"/>
      <c r="RZV314" s="35"/>
      <c r="RZW314" s="35"/>
      <c r="RZX314" s="15"/>
      <c r="RZZ314" s="13"/>
      <c r="SAA314" s="35"/>
      <c r="SAB314" s="35"/>
      <c r="SAC314" s="15"/>
      <c r="SAE314" s="13"/>
      <c r="SAF314" s="35"/>
      <c r="SAG314" s="35"/>
      <c r="SAH314" s="15"/>
      <c r="SAJ314" s="13"/>
      <c r="SAK314" s="35"/>
      <c r="SAL314" s="35"/>
      <c r="SAM314" s="15"/>
      <c r="SAO314" s="13"/>
      <c r="SAP314" s="35"/>
      <c r="SAQ314" s="35"/>
      <c r="SAR314" s="15"/>
      <c r="SAT314" s="13"/>
      <c r="SAU314" s="35"/>
      <c r="SAV314" s="35"/>
      <c r="SAW314" s="15"/>
      <c r="SAY314" s="13"/>
      <c r="SAZ314" s="35"/>
      <c r="SBA314" s="35"/>
      <c r="SBB314" s="15"/>
      <c r="SBD314" s="13"/>
      <c r="SBE314" s="35"/>
      <c r="SBF314" s="35"/>
      <c r="SBG314" s="15"/>
      <c r="SBI314" s="13"/>
      <c r="SBJ314" s="35"/>
      <c r="SBK314" s="35"/>
      <c r="SBL314" s="15"/>
      <c r="SBN314" s="13"/>
      <c r="SBO314" s="35"/>
      <c r="SBP314" s="35"/>
      <c r="SBQ314" s="15"/>
      <c r="SBS314" s="13"/>
      <c r="SBT314" s="35"/>
      <c r="SBU314" s="35"/>
      <c r="SBV314" s="15"/>
      <c r="SBX314" s="13"/>
      <c r="SBY314" s="35"/>
      <c r="SBZ314" s="35"/>
      <c r="SCA314" s="15"/>
      <c r="SCC314" s="13"/>
      <c r="SCD314" s="35"/>
      <c r="SCE314" s="35"/>
      <c r="SCF314" s="15"/>
      <c r="SCH314" s="13"/>
      <c r="SCI314" s="35"/>
      <c r="SCJ314" s="35"/>
      <c r="SCK314" s="15"/>
      <c r="SCM314" s="13"/>
      <c r="SCN314" s="35"/>
      <c r="SCO314" s="35"/>
      <c r="SCP314" s="15"/>
      <c r="SCR314" s="13"/>
      <c r="SCS314" s="35"/>
      <c r="SCT314" s="35"/>
      <c r="SCU314" s="15"/>
      <c r="SCW314" s="13"/>
      <c r="SCX314" s="35"/>
      <c r="SCY314" s="35"/>
      <c r="SCZ314" s="15"/>
      <c r="SDB314" s="13"/>
      <c r="SDC314" s="35"/>
      <c r="SDD314" s="35"/>
      <c r="SDE314" s="15"/>
      <c r="SDG314" s="13"/>
      <c r="SDH314" s="35"/>
      <c r="SDI314" s="35"/>
      <c r="SDJ314" s="15"/>
      <c r="SDL314" s="13"/>
      <c r="SDM314" s="35"/>
      <c r="SDN314" s="35"/>
      <c r="SDO314" s="15"/>
      <c r="SDQ314" s="13"/>
      <c r="SDR314" s="35"/>
      <c r="SDS314" s="35"/>
      <c r="SDT314" s="15"/>
      <c r="SDV314" s="13"/>
      <c r="SDW314" s="35"/>
      <c r="SDX314" s="35"/>
      <c r="SDY314" s="15"/>
      <c r="SEA314" s="13"/>
      <c r="SEB314" s="35"/>
      <c r="SEC314" s="35"/>
      <c r="SED314" s="15"/>
      <c r="SEF314" s="13"/>
      <c r="SEG314" s="35"/>
      <c r="SEH314" s="35"/>
      <c r="SEI314" s="15"/>
      <c r="SEK314" s="13"/>
      <c r="SEL314" s="35"/>
      <c r="SEM314" s="35"/>
      <c r="SEN314" s="15"/>
      <c r="SEP314" s="13"/>
      <c r="SEQ314" s="35"/>
      <c r="SER314" s="35"/>
      <c r="SES314" s="15"/>
      <c r="SEU314" s="13"/>
      <c r="SEV314" s="35"/>
      <c r="SEW314" s="35"/>
      <c r="SEX314" s="15"/>
      <c r="SEZ314" s="13"/>
      <c r="SFA314" s="35"/>
      <c r="SFB314" s="35"/>
      <c r="SFC314" s="15"/>
      <c r="SFE314" s="13"/>
      <c r="SFF314" s="35"/>
      <c r="SFG314" s="35"/>
      <c r="SFH314" s="15"/>
      <c r="SFJ314" s="13"/>
      <c r="SFK314" s="35"/>
      <c r="SFL314" s="35"/>
      <c r="SFM314" s="15"/>
      <c r="SFO314" s="13"/>
      <c r="SFP314" s="35"/>
      <c r="SFQ314" s="35"/>
      <c r="SFR314" s="15"/>
      <c r="SFT314" s="13"/>
      <c r="SFU314" s="35"/>
      <c r="SFV314" s="35"/>
      <c r="SFW314" s="15"/>
      <c r="SFY314" s="13"/>
      <c r="SFZ314" s="35"/>
      <c r="SGA314" s="35"/>
      <c r="SGB314" s="15"/>
      <c r="SGD314" s="13"/>
      <c r="SGE314" s="35"/>
      <c r="SGF314" s="35"/>
      <c r="SGG314" s="15"/>
      <c r="SGI314" s="13"/>
      <c r="SGJ314" s="35"/>
      <c r="SGK314" s="35"/>
      <c r="SGL314" s="15"/>
      <c r="SGN314" s="13"/>
      <c r="SGO314" s="35"/>
      <c r="SGP314" s="35"/>
      <c r="SGQ314" s="15"/>
      <c r="SGS314" s="13"/>
      <c r="SGT314" s="35"/>
      <c r="SGU314" s="35"/>
      <c r="SGV314" s="15"/>
      <c r="SGX314" s="13"/>
      <c r="SGY314" s="35"/>
      <c r="SGZ314" s="35"/>
      <c r="SHA314" s="15"/>
      <c r="SHC314" s="13"/>
      <c r="SHD314" s="35"/>
      <c r="SHE314" s="35"/>
      <c r="SHF314" s="15"/>
      <c r="SHH314" s="13"/>
      <c r="SHI314" s="35"/>
      <c r="SHJ314" s="35"/>
      <c r="SHK314" s="15"/>
      <c r="SHM314" s="13"/>
      <c r="SHN314" s="35"/>
      <c r="SHO314" s="35"/>
      <c r="SHP314" s="15"/>
      <c r="SHR314" s="13"/>
      <c r="SHS314" s="35"/>
      <c r="SHT314" s="35"/>
      <c r="SHU314" s="15"/>
      <c r="SHW314" s="13"/>
      <c r="SHX314" s="35"/>
      <c r="SHY314" s="35"/>
      <c r="SHZ314" s="15"/>
      <c r="SIB314" s="13"/>
      <c r="SIC314" s="35"/>
      <c r="SID314" s="35"/>
      <c r="SIE314" s="15"/>
      <c r="SIG314" s="13"/>
      <c r="SIH314" s="35"/>
      <c r="SII314" s="35"/>
      <c r="SIJ314" s="15"/>
      <c r="SIL314" s="13"/>
      <c r="SIM314" s="35"/>
      <c r="SIN314" s="35"/>
      <c r="SIO314" s="15"/>
      <c r="SIQ314" s="13"/>
      <c r="SIR314" s="35"/>
      <c r="SIS314" s="35"/>
      <c r="SIT314" s="15"/>
      <c r="SIV314" s="13"/>
      <c r="SIW314" s="35"/>
      <c r="SIX314" s="35"/>
      <c r="SIY314" s="15"/>
      <c r="SJA314" s="13"/>
      <c r="SJB314" s="35"/>
      <c r="SJC314" s="35"/>
      <c r="SJD314" s="15"/>
      <c r="SJF314" s="13"/>
      <c r="SJG314" s="35"/>
      <c r="SJH314" s="35"/>
      <c r="SJI314" s="15"/>
      <c r="SJK314" s="13"/>
      <c r="SJL314" s="35"/>
      <c r="SJM314" s="35"/>
      <c r="SJN314" s="15"/>
      <c r="SJP314" s="13"/>
      <c r="SJQ314" s="35"/>
      <c r="SJR314" s="35"/>
      <c r="SJS314" s="15"/>
      <c r="SJU314" s="13"/>
      <c r="SJV314" s="35"/>
      <c r="SJW314" s="35"/>
      <c r="SJX314" s="15"/>
      <c r="SJZ314" s="13"/>
      <c r="SKA314" s="35"/>
      <c r="SKB314" s="35"/>
      <c r="SKC314" s="15"/>
      <c r="SKE314" s="13"/>
      <c r="SKF314" s="35"/>
      <c r="SKG314" s="35"/>
      <c r="SKH314" s="15"/>
      <c r="SKJ314" s="13"/>
      <c r="SKK314" s="35"/>
      <c r="SKL314" s="35"/>
      <c r="SKM314" s="15"/>
      <c r="SKO314" s="13"/>
      <c r="SKP314" s="35"/>
      <c r="SKQ314" s="35"/>
      <c r="SKR314" s="15"/>
      <c r="SKT314" s="13"/>
      <c r="SKU314" s="35"/>
      <c r="SKV314" s="35"/>
      <c r="SKW314" s="15"/>
      <c r="SKY314" s="13"/>
      <c r="SKZ314" s="35"/>
      <c r="SLA314" s="35"/>
      <c r="SLB314" s="15"/>
      <c r="SLD314" s="13"/>
      <c r="SLE314" s="35"/>
      <c r="SLF314" s="35"/>
      <c r="SLG314" s="15"/>
      <c r="SLI314" s="13"/>
      <c r="SLJ314" s="35"/>
      <c r="SLK314" s="35"/>
      <c r="SLL314" s="15"/>
      <c r="SLN314" s="13"/>
      <c r="SLO314" s="35"/>
      <c r="SLP314" s="35"/>
      <c r="SLQ314" s="15"/>
      <c r="SLS314" s="13"/>
      <c r="SLT314" s="35"/>
      <c r="SLU314" s="35"/>
      <c r="SLV314" s="15"/>
      <c r="SLX314" s="13"/>
      <c r="SLY314" s="35"/>
      <c r="SLZ314" s="35"/>
      <c r="SMA314" s="15"/>
      <c r="SMC314" s="13"/>
      <c r="SMD314" s="35"/>
      <c r="SME314" s="35"/>
      <c r="SMF314" s="15"/>
      <c r="SMH314" s="13"/>
      <c r="SMI314" s="35"/>
      <c r="SMJ314" s="35"/>
      <c r="SMK314" s="15"/>
      <c r="SMM314" s="13"/>
      <c r="SMN314" s="35"/>
      <c r="SMO314" s="35"/>
      <c r="SMP314" s="15"/>
      <c r="SMR314" s="13"/>
      <c r="SMS314" s="35"/>
      <c r="SMT314" s="35"/>
      <c r="SMU314" s="15"/>
      <c r="SMW314" s="13"/>
      <c r="SMX314" s="35"/>
      <c r="SMY314" s="35"/>
      <c r="SMZ314" s="15"/>
      <c r="SNB314" s="13"/>
      <c r="SNC314" s="35"/>
      <c r="SND314" s="35"/>
      <c r="SNE314" s="15"/>
      <c r="SNG314" s="13"/>
      <c r="SNH314" s="35"/>
      <c r="SNI314" s="35"/>
      <c r="SNJ314" s="15"/>
      <c r="SNL314" s="13"/>
      <c r="SNM314" s="35"/>
      <c r="SNN314" s="35"/>
      <c r="SNO314" s="15"/>
      <c r="SNQ314" s="13"/>
      <c r="SNR314" s="35"/>
      <c r="SNS314" s="35"/>
      <c r="SNT314" s="15"/>
      <c r="SNV314" s="13"/>
      <c r="SNW314" s="35"/>
      <c r="SNX314" s="35"/>
      <c r="SNY314" s="15"/>
      <c r="SOA314" s="13"/>
      <c r="SOB314" s="35"/>
      <c r="SOC314" s="35"/>
      <c r="SOD314" s="15"/>
      <c r="SOF314" s="13"/>
      <c r="SOG314" s="35"/>
      <c r="SOH314" s="35"/>
      <c r="SOI314" s="15"/>
      <c r="SOK314" s="13"/>
      <c r="SOL314" s="35"/>
      <c r="SOM314" s="35"/>
      <c r="SON314" s="15"/>
      <c r="SOP314" s="13"/>
      <c r="SOQ314" s="35"/>
      <c r="SOR314" s="35"/>
      <c r="SOS314" s="15"/>
      <c r="SOU314" s="13"/>
      <c r="SOV314" s="35"/>
      <c r="SOW314" s="35"/>
      <c r="SOX314" s="15"/>
      <c r="SOZ314" s="13"/>
      <c r="SPA314" s="35"/>
      <c r="SPB314" s="35"/>
      <c r="SPC314" s="15"/>
      <c r="SPE314" s="13"/>
      <c r="SPF314" s="35"/>
      <c r="SPG314" s="35"/>
      <c r="SPH314" s="15"/>
      <c r="SPJ314" s="13"/>
      <c r="SPK314" s="35"/>
      <c r="SPL314" s="35"/>
      <c r="SPM314" s="15"/>
      <c r="SPO314" s="13"/>
      <c r="SPP314" s="35"/>
      <c r="SPQ314" s="35"/>
      <c r="SPR314" s="15"/>
      <c r="SPT314" s="13"/>
      <c r="SPU314" s="35"/>
      <c r="SPV314" s="35"/>
      <c r="SPW314" s="15"/>
      <c r="SPY314" s="13"/>
      <c r="SPZ314" s="35"/>
      <c r="SQA314" s="35"/>
      <c r="SQB314" s="15"/>
      <c r="SQD314" s="13"/>
      <c r="SQE314" s="35"/>
      <c r="SQF314" s="35"/>
      <c r="SQG314" s="15"/>
      <c r="SQI314" s="13"/>
      <c r="SQJ314" s="35"/>
      <c r="SQK314" s="35"/>
      <c r="SQL314" s="15"/>
      <c r="SQN314" s="13"/>
      <c r="SQO314" s="35"/>
      <c r="SQP314" s="35"/>
      <c r="SQQ314" s="15"/>
      <c r="SQS314" s="13"/>
      <c r="SQT314" s="35"/>
      <c r="SQU314" s="35"/>
      <c r="SQV314" s="15"/>
      <c r="SQX314" s="13"/>
      <c r="SQY314" s="35"/>
      <c r="SQZ314" s="35"/>
      <c r="SRA314" s="15"/>
      <c r="SRC314" s="13"/>
      <c r="SRD314" s="35"/>
      <c r="SRE314" s="35"/>
      <c r="SRF314" s="15"/>
      <c r="SRH314" s="13"/>
      <c r="SRI314" s="35"/>
      <c r="SRJ314" s="35"/>
      <c r="SRK314" s="15"/>
      <c r="SRM314" s="13"/>
      <c r="SRN314" s="35"/>
      <c r="SRO314" s="35"/>
      <c r="SRP314" s="15"/>
      <c r="SRR314" s="13"/>
      <c r="SRS314" s="35"/>
      <c r="SRT314" s="35"/>
      <c r="SRU314" s="15"/>
      <c r="SRW314" s="13"/>
      <c r="SRX314" s="35"/>
      <c r="SRY314" s="35"/>
      <c r="SRZ314" s="15"/>
      <c r="SSB314" s="13"/>
      <c r="SSC314" s="35"/>
      <c r="SSD314" s="35"/>
      <c r="SSE314" s="15"/>
      <c r="SSG314" s="13"/>
      <c r="SSH314" s="35"/>
      <c r="SSI314" s="35"/>
      <c r="SSJ314" s="15"/>
      <c r="SSL314" s="13"/>
      <c r="SSM314" s="35"/>
      <c r="SSN314" s="35"/>
      <c r="SSO314" s="15"/>
      <c r="SSQ314" s="13"/>
      <c r="SSR314" s="35"/>
      <c r="SSS314" s="35"/>
      <c r="SST314" s="15"/>
      <c r="SSV314" s="13"/>
      <c r="SSW314" s="35"/>
      <c r="SSX314" s="35"/>
      <c r="SSY314" s="15"/>
      <c r="STA314" s="13"/>
      <c r="STB314" s="35"/>
      <c r="STC314" s="35"/>
      <c r="STD314" s="15"/>
      <c r="STF314" s="13"/>
      <c r="STG314" s="35"/>
      <c r="STH314" s="35"/>
      <c r="STI314" s="15"/>
      <c r="STK314" s="13"/>
      <c r="STL314" s="35"/>
      <c r="STM314" s="35"/>
      <c r="STN314" s="15"/>
      <c r="STP314" s="13"/>
      <c r="STQ314" s="35"/>
      <c r="STR314" s="35"/>
      <c r="STS314" s="15"/>
      <c r="STU314" s="13"/>
      <c r="STV314" s="35"/>
      <c r="STW314" s="35"/>
      <c r="STX314" s="15"/>
      <c r="STZ314" s="13"/>
      <c r="SUA314" s="35"/>
      <c r="SUB314" s="35"/>
      <c r="SUC314" s="15"/>
      <c r="SUE314" s="13"/>
      <c r="SUF314" s="35"/>
      <c r="SUG314" s="35"/>
      <c r="SUH314" s="15"/>
      <c r="SUJ314" s="13"/>
      <c r="SUK314" s="35"/>
      <c r="SUL314" s="35"/>
      <c r="SUM314" s="15"/>
      <c r="SUO314" s="13"/>
      <c r="SUP314" s="35"/>
      <c r="SUQ314" s="35"/>
      <c r="SUR314" s="15"/>
      <c r="SUT314" s="13"/>
      <c r="SUU314" s="35"/>
      <c r="SUV314" s="35"/>
      <c r="SUW314" s="15"/>
      <c r="SUY314" s="13"/>
      <c r="SUZ314" s="35"/>
      <c r="SVA314" s="35"/>
      <c r="SVB314" s="15"/>
      <c r="SVD314" s="13"/>
      <c r="SVE314" s="35"/>
      <c r="SVF314" s="35"/>
      <c r="SVG314" s="15"/>
      <c r="SVI314" s="13"/>
      <c r="SVJ314" s="35"/>
      <c r="SVK314" s="35"/>
      <c r="SVL314" s="15"/>
      <c r="SVN314" s="13"/>
      <c r="SVO314" s="35"/>
      <c r="SVP314" s="35"/>
      <c r="SVQ314" s="15"/>
      <c r="SVS314" s="13"/>
      <c r="SVT314" s="35"/>
      <c r="SVU314" s="35"/>
      <c r="SVV314" s="15"/>
      <c r="SVX314" s="13"/>
      <c r="SVY314" s="35"/>
      <c r="SVZ314" s="35"/>
      <c r="SWA314" s="15"/>
      <c r="SWC314" s="13"/>
      <c r="SWD314" s="35"/>
      <c r="SWE314" s="35"/>
      <c r="SWF314" s="15"/>
      <c r="SWH314" s="13"/>
      <c r="SWI314" s="35"/>
      <c r="SWJ314" s="35"/>
      <c r="SWK314" s="15"/>
      <c r="SWM314" s="13"/>
      <c r="SWN314" s="35"/>
      <c r="SWO314" s="35"/>
      <c r="SWP314" s="15"/>
      <c r="SWR314" s="13"/>
      <c r="SWS314" s="35"/>
      <c r="SWT314" s="35"/>
      <c r="SWU314" s="15"/>
      <c r="SWW314" s="13"/>
      <c r="SWX314" s="35"/>
      <c r="SWY314" s="35"/>
      <c r="SWZ314" s="15"/>
      <c r="SXB314" s="13"/>
      <c r="SXC314" s="35"/>
      <c r="SXD314" s="35"/>
      <c r="SXE314" s="15"/>
      <c r="SXG314" s="13"/>
      <c r="SXH314" s="35"/>
      <c r="SXI314" s="35"/>
      <c r="SXJ314" s="15"/>
      <c r="SXL314" s="13"/>
      <c r="SXM314" s="35"/>
      <c r="SXN314" s="35"/>
      <c r="SXO314" s="15"/>
      <c r="SXQ314" s="13"/>
      <c r="SXR314" s="35"/>
      <c r="SXS314" s="35"/>
      <c r="SXT314" s="15"/>
      <c r="SXV314" s="13"/>
      <c r="SXW314" s="35"/>
      <c r="SXX314" s="35"/>
      <c r="SXY314" s="15"/>
      <c r="SYA314" s="13"/>
      <c r="SYB314" s="35"/>
      <c r="SYC314" s="35"/>
      <c r="SYD314" s="15"/>
      <c r="SYF314" s="13"/>
      <c r="SYG314" s="35"/>
      <c r="SYH314" s="35"/>
      <c r="SYI314" s="15"/>
      <c r="SYK314" s="13"/>
      <c r="SYL314" s="35"/>
      <c r="SYM314" s="35"/>
      <c r="SYN314" s="15"/>
      <c r="SYP314" s="13"/>
      <c r="SYQ314" s="35"/>
      <c r="SYR314" s="35"/>
      <c r="SYS314" s="15"/>
      <c r="SYU314" s="13"/>
      <c r="SYV314" s="35"/>
      <c r="SYW314" s="35"/>
      <c r="SYX314" s="15"/>
      <c r="SYZ314" s="13"/>
      <c r="SZA314" s="35"/>
      <c r="SZB314" s="35"/>
      <c r="SZC314" s="15"/>
      <c r="SZE314" s="13"/>
      <c r="SZF314" s="35"/>
      <c r="SZG314" s="35"/>
      <c r="SZH314" s="15"/>
      <c r="SZJ314" s="13"/>
      <c r="SZK314" s="35"/>
      <c r="SZL314" s="35"/>
      <c r="SZM314" s="15"/>
      <c r="SZO314" s="13"/>
      <c r="SZP314" s="35"/>
      <c r="SZQ314" s="35"/>
      <c r="SZR314" s="15"/>
      <c r="SZT314" s="13"/>
      <c r="SZU314" s="35"/>
      <c r="SZV314" s="35"/>
      <c r="SZW314" s="15"/>
      <c r="SZY314" s="13"/>
      <c r="SZZ314" s="35"/>
      <c r="TAA314" s="35"/>
      <c r="TAB314" s="15"/>
      <c r="TAD314" s="13"/>
      <c r="TAE314" s="35"/>
      <c r="TAF314" s="35"/>
      <c r="TAG314" s="15"/>
      <c r="TAI314" s="13"/>
      <c r="TAJ314" s="35"/>
      <c r="TAK314" s="35"/>
      <c r="TAL314" s="15"/>
      <c r="TAN314" s="13"/>
      <c r="TAO314" s="35"/>
      <c r="TAP314" s="35"/>
      <c r="TAQ314" s="15"/>
      <c r="TAS314" s="13"/>
      <c r="TAT314" s="35"/>
      <c r="TAU314" s="35"/>
      <c r="TAV314" s="15"/>
      <c r="TAX314" s="13"/>
      <c r="TAY314" s="35"/>
      <c r="TAZ314" s="35"/>
      <c r="TBA314" s="15"/>
      <c r="TBC314" s="13"/>
      <c r="TBD314" s="35"/>
      <c r="TBE314" s="35"/>
      <c r="TBF314" s="15"/>
      <c r="TBH314" s="13"/>
      <c r="TBI314" s="35"/>
      <c r="TBJ314" s="35"/>
      <c r="TBK314" s="15"/>
      <c r="TBM314" s="13"/>
      <c r="TBN314" s="35"/>
      <c r="TBO314" s="35"/>
      <c r="TBP314" s="15"/>
      <c r="TBR314" s="13"/>
      <c r="TBS314" s="35"/>
      <c r="TBT314" s="35"/>
      <c r="TBU314" s="15"/>
      <c r="TBW314" s="13"/>
      <c r="TBX314" s="35"/>
      <c r="TBY314" s="35"/>
      <c r="TBZ314" s="15"/>
      <c r="TCB314" s="13"/>
      <c r="TCC314" s="35"/>
      <c r="TCD314" s="35"/>
      <c r="TCE314" s="15"/>
      <c r="TCG314" s="13"/>
      <c r="TCH314" s="35"/>
      <c r="TCI314" s="35"/>
      <c r="TCJ314" s="15"/>
      <c r="TCL314" s="13"/>
      <c r="TCM314" s="35"/>
      <c r="TCN314" s="35"/>
      <c r="TCO314" s="15"/>
      <c r="TCQ314" s="13"/>
      <c r="TCR314" s="35"/>
      <c r="TCS314" s="35"/>
      <c r="TCT314" s="15"/>
      <c r="TCV314" s="13"/>
      <c r="TCW314" s="35"/>
      <c r="TCX314" s="35"/>
      <c r="TCY314" s="15"/>
      <c r="TDA314" s="13"/>
      <c r="TDB314" s="35"/>
      <c r="TDC314" s="35"/>
      <c r="TDD314" s="15"/>
      <c r="TDF314" s="13"/>
      <c r="TDG314" s="35"/>
      <c r="TDH314" s="35"/>
      <c r="TDI314" s="15"/>
      <c r="TDK314" s="13"/>
      <c r="TDL314" s="35"/>
      <c r="TDM314" s="35"/>
      <c r="TDN314" s="15"/>
      <c r="TDP314" s="13"/>
      <c r="TDQ314" s="35"/>
      <c r="TDR314" s="35"/>
      <c r="TDS314" s="15"/>
      <c r="TDU314" s="13"/>
      <c r="TDV314" s="35"/>
      <c r="TDW314" s="35"/>
      <c r="TDX314" s="15"/>
      <c r="TDZ314" s="13"/>
      <c r="TEA314" s="35"/>
      <c r="TEB314" s="35"/>
      <c r="TEC314" s="15"/>
      <c r="TEE314" s="13"/>
      <c r="TEF314" s="35"/>
      <c r="TEG314" s="35"/>
      <c r="TEH314" s="15"/>
      <c r="TEJ314" s="13"/>
      <c r="TEK314" s="35"/>
      <c r="TEL314" s="35"/>
      <c r="TEM314" s="15"/>
      <c r="TEO314" s="13"/>
      <c r="TEP314" s="35"/>
      <c r="TEQ314" s="35"/>
      <c r="TER314" s="15"/>
      <c r="TET314" s="13"/>
      <c r="TEU314" s="35"/>
      <c r="TEV314" s="35"/>
      <c r="TEW314" s="15"/>
      <c r="TEY314" s="13"/>
      <c r="TEZ314" s="35"/>
      <c r="TFA314" s="35"/>
      <c r="TFB314" s="15"/>
      <c r="TFD314" s="13"/>
      <c r="TFE314" s="35"/>
      <c r="TFF314" s="35"/>
      <c r="TFG314" s="15"/>
      <c r="TFI314" s="13"/>
      <c r="TFJ314" s="35"/>
      <c r="TFK314" s="35"/>
      <c r="TFL314" s="15"/>
      <c r="TFN314" s="13"/>
      <c r="TFO314" s="35"/>
      <c r="TFP314" s="35"/>
      <c r="TFQ314" s="15"/>
      <c r="TFS314" s="13"/>
      <c r="TFT314" s="35"/>
      <c r="TFU314" s="35"/>
      <c r="TFV314" s="15"/>
      <c r="TFX314" s="13"/>
      <c r="TFY314" s="35"/>
      <c r="TFZ314" s="35"/>
      <c r="TGA314" s="15"/>
      <c r="TGC314" s="13"/>
      <c r="TGD314" s="35"/>
      <c r="TGE314" s="35"/>
      <c r="TGF314" s="15"/>
      <c r="TGH314" s="13"/>
      <c r="TGI314" s="35"/>
      <c r="TGJ314" s="35"/>
      <c r="TGK314" s="15"/>
      <c r="TGM314" s="13"/>
      <c r="TGN314" s="35"/>
      <c r="TGO314" s="35"/>
      <c r="TGP314" s="15"/>
      <c r="TGR314" s="13"/>
      <c r="TGS314" s="35"/>
      <c r="TGT314" s="35"/>
      <c r="TGU314" s="15"/>
      <c r="TGW314" s="13"/>
      <c r="TGX314" s="35"/>
      <c r="TGY314" s="35"/>
      <c r="TGZ314" s="15"/>
      <c r="THB314" s="13"/>
      <c r="THC314" s="35"/>
      <c r="THD314" s="35"/>
      <c r="THE314" s="15"/>
      <c r="THG314" s="13"/>
      <c r="THH314" s="35"/>
      <c r="THI314" s="35"/>
      <c r="THJ314" s="15"/>
      <c r="THL314" s="13"/>
      <c r="THM314" s="35"/>
      <c r="THN314" s="35"/>
      <c r="THO314" s="15"/>
      <c r="THQ314" s="13"/>
      <c r="THR314" s="35"/>
      <c r="THS314" s="35"/>
      <c r="THT314" s="15"/>
      <c r="THV314" s="13"/>
      <c r="THW314" s="35"/>
      <c r="THX314" s="35"/>
      <c r="THY314" s="15"/>
      <c r="TIA314" s="13"/>
      <c r="TIB314" s="35"/>
      <c r="TIC314" s="35"/>
      <c r="TID314" s="15"/>
      <c r="TIF314" s="13"/>
      <c r="TIG314" s="35"/>
      <c r="TIH314" s="35"/>
      <c r="TII314" s="15"/>
      <c r="TIK314" s="13"/>
      <c r="TIL314" s="35"/>
      <c r="TIM314" s="35"/>
      <c r="TIN314" s="15"/>
      <c r="TIP314" s="13"/>
      <c r="TIQ314" s="35"/>
      <c r="TIR314" s="35"/>
      <c r="TIS314" s="15"/>
      <c r="TIU314" s="13"/>
      <c r="TIV314" s="35"/>
      <c r="TIW314" s="35"/>
      <c r="TIX314" s="15"/>
      <c r="TIZ314" s="13"/>
      <c r="TJA314" s="35"/>
      <c r="TJB314" s="35"/>
      <c r="TJC314" s="15"/>
      <c r="TJE314" s="13"/>
      <c r="TJF314" s="35"/>
      <c r="TJG314" s="35"/>
      <c r="TJH314" s="15"/>
      <c r="TJJ314" s="13"/>
      <c r="TJK314" s="35"/>
      <c r="TJL314" s="35"/>
      <c r="TJM314" s="15"/>
      <c r="TJO314" s="13"/>
      <c r="TJP314" s="35"/>
      <c r="TJQ314" s="35"/>
      <c r="TJR314" s="15"/>
      <c r="TJT314" s="13"/>
      <c r="TJU314" s="35"/>
      <c r="TJV314" s="35"/>
      <c r="TJW314" s="15"/>
      <c r="TJY314" s="13"/>
      <c r="TJZ314" s="35"/>
      <c r="TKA314" s="35"/>
      <c r="TKB314" s="15"/>
      <c r="TKD314" s="13"/>
      <c r="TKE314" s="35"/>
      <c r="TKF314" s="35"/>
      <c r="TKG314" s="15"/>
      <c r="TKI314" s="13"/>
      <c r="TKJ314" s="35"/>
      <c r="TKK314" s="35"/>
      <c r="TKL314" s="15"/>
      <c r="TKN314" s="13"/>
      <c r="TKO314" s="35"/>
      <c r="TKP314" s="35"/>
      <c r="TKQ314" s="15"/>
      <c r="TKS314" s="13"/>
      <c r="TKT314" s="35"/>
      <c r="TKU314" s="35"/>
      <c r="TKV314" s="15"/>
      <c r="TKX314" s="13"/>
      <c r="TKY314" s="35"/>
      <c r="TKZ314" s="35"/>
      <c r="TLA314" s="15"/>
      <c r="TLC314" s="13"/>
      <c r="TLD314" s="35"/>
      <c r="TLE314" s="35"/>
      <c r="TLF314" s="15"/>
      <c r="TLH314" s="13"/>
      <c r="TLI314" s="35"/>
      <c r="TLJ314" s="35"/>
      <c r="TLK314" s="15"/>
      <c r="TLM314" s="13"/>
      <c r="TLN314" s="35"/>
      <c r="TLO314" s="35"/>
      <c r="TLP314" s="15"/>
      <c r="TLR314" s="13"/>
      <c r="TLS314" s="35"/>
      <c r="TLT314" s="35"/>
      <c r="TLU314" s="15"/>
      <c r="TLW314" s="13"/>
      <c r="TLX314" s="35"/>
      <c r="TLY314" s="35"/>
      <c r="TLZ314" s="15"/>
      <c r="TMB314" s="13"/>
      <c r="TMC314" s="35"/>
      <c r="TMD314" s="35"/>
      <c r="TME314" s="15"/>
      <c r="TMG314" s="13"/>
      <c r="TMH314" s="35"/>
      <c r="TMI314" s="35"/>
      <c r="TMJ314" s="15"/>
      <c r="TML314" s="13"/>
      <c r="TMM314" s="35"/>
      <c r="TMN314" s="35"/>
      <c r="TMO314" s="15"/>
      <c r="TMQ314" s="13"/>
      <c r="TMR314" s="35"/>
      <c r="TMS314" s="35"/>
      <c r="TMT314" s="15"/>
      <c r="TMV314" s="13"/>
      <c r="TMW314" s="35"/>
      <c r="TMX314" s="35"/>
      <c r="TMY314" s="15"/>
      <c r="TNA314" s="13"/>
      <c r="TNB314" s="35"/>
      <c r="TNC314" s="35"/>
      <c r="TND314" s="15"/>
      <c r="TNF314" s="13"/>
      <c r="TNG314" s="35"/>
      <c r="TNH314" s="35"/>
      <c r="TNI314" s="15"/>
      <c r="TNK314" s="13"/>
      <c r="TNL314" s="35"/>
      <c r="TNM314" s="35"/>
      <c r="TNN314" s="15"/>
      <c r="TNP314" s="13"/>
      <c r="TNQ314" s="35"/>
      <c r="TNR314" s="35"/>
      <c r="TNS314" s="15"/>
      <c r="TNU314" s="13"/>
      <c r="TNV314" s="35"/>
      <c r="TNW314" s="35"/>
      <c r="TNX314" s="15"/>
      <c r="TNZ314" s="13"/>
      <c r="TOA314" s="35"/>
      <c r="TOB314" s="35"/>
      <c r="TOC314" s="15"/>
      <c r="TOE314" s="13"/>
      <c r="TOF314" s="35"/>
      <c r="TOG314" s="35"/>
      <c r="TOH314" s="15"/>
      <c r="TOJ314" s="13"/>
      <c r="TOK314" s="35"/>
      <c r="TOL314" s="35"/>
      <c r="TOM314" s="15"/>
      <c r="TOO314" s="13"/>
      <c r="TOP314" s="35"/>
      <c r="TOQ314" s="35"/>
      <c r="TOR314" s="15"/>
      <c r="TOT314" s="13"/>
      <c r="TOU314" s="35"/>
      <c r="TOV314" s="35"/>
      <c r="TOW314" s="15"/>
      <c r="TOY314" s="13"/>
      <c r="TOZ314" s="35"/>
      <c r="TPA314" s="35"/>
      <c r="TPB314" s="15"/>
      <c r="TPD314" s="13"/>
      <c r="TPE314" s="35"/>
      <c r="TPF314" s="35"/>
      <c r="TPG314" s="15"/>
      <c r="TPI314" s="13"/>
      <c r="TPJ314" s="35"/>
      <c r="TPK314" s="35"/>
      <c r="TPL314" s="15"/>
      <c r="TPN314" s="13"/>
      <c r="TPO314" s="35"/>
      <c r="TPP314" s="35"/>
      <c r="TPQ314" s="15"/>
      <c r="TPS314" s="13"/>
      <c r="TPT314" s="35"/>
      <c r="TPU314" s="35"/>
      <c r="TPV314" s="15"/>
      <c r="TPX314" s="13"/>
      <c r="TPY314" s="35"/>
      <c r="TPZ314" s="35"/>
      <c r="TQA314" s="15"/>
      <c r="TQC314" s="13"/>
      <c r="TQD314" s="35"/>
      <c r="TQE314" s="35"/>
      <c r="TQF314" s="15"/>
      <c r="TQH314" s="13"/>
      <c r="TQI314" s="35"/>
      <c r="TQJ314" s="35"/>
      <c r="TQK314" s="15"/>
      <c r="TQM314" s="13"/>
      <c r="TQN314" s="35"/>
      <c r="TQO314" s="35"/>
      <c r="TQP314" s="15"/>
      <c r="TQR314" s="13"/>
      <c r="TQS314" s="35"/>
      <c r="TQT314" s="35"/>
      <c r="TQU314" s="15"/>
      <c r="TQW314" s="13"/>
      <c r="TQX314" s="35"/>
      <c r="TQY314" s="35"/>
      <c r="TQZ314" s="15"/>
      <c r="TRB314" s="13"/>
      <c r="TRC314" s="35"/>
      <c r="TRD314" s="35"/>
      <c r="TRE314" s="15"/>
      <c r="TRG314" s="13"/>
      <c r="TRH314" s="35"/>
      <c r="TRI314" s="35"/>
      <c r="TRJ314" s="15"/>
      <c r="TRL314" s="13"/>
      <c r="TRM314" s="35"/>
      <c r="TRN314" s="35"/>
      <c r="TRO314" s="15"/>
      <c r="TRQ314" s="13"/>
      <c r="TRR314" s="35"/>
      <c r="TRS314" s="35"/>
      <c r="TRT314" s="15"/>
      <c r="TRV314" s="13"/>
      <c r="TRW314" s="35"/>
      <c r="TRX314" s="35"/>
      <c r="TRY314" s="15"/>
      <c r="TSA314" s="13"/>
      <c r="TSB314" s="35"/>
      <c r="TSC314" s="35"/>
      <c r="TSD314" s="15"/>
      <c r="TSF314" s="13"/>
      <c r="TSG314" s="35"/>
      <c r="TSH314" s="35"/>
      <c r="TSI314" s="15"/>
      <c r="TSK314" s="13"/>
      <c r="TSL314" s="35"/>
      <c r="TSM314" s="35"/>
      <c r="TSN314" s="15"/>
      <c r="TSP314" s="13"/>
      <c r="TSQ314" s="35"/>
      <c r="TSR314" s="35"/>
      <c r="TSS314" s="15"/>
      <c r="TSU314" s="13"/>
      <c r="TSV314" s="35"/>
      <c r="TSW314" s="35"/>
      <c r="TSX314" s="15"/>
      <c r="TSZ314" s="13"/>
      <c r="TTA314" s="35"/>
      <c r="TTB314" s="35"/>
      <c r="TTC314" s="15"/>
      <c r="TTE314" s="13"/>
      <c r="TTF314" s="35"/>
      <c r="TTG314" s="35"/>
      <c r="TTH314" s="15"/>
      <c r="TTJ314" s="13"/>
      <c r="TTK314" s="35"/>
      <c r="TTL314" s="35"/>
      <c r="TTM314" s="15"/>
      <c r="TTO314" s="13"/>
      <c r="TTP314" s="35"/>
      <c r="TTQ314" s="35"/>
      <c r="TTR314" s="15"/>
      <c r="TTT314" s="13"/>
      <c r="TTU314" s="35"/>
      <c r="TTV314" s="35"/>
      <c r="TTW314" s="15"/>
      <c r="TTY314" s="13"/>
      <c r="TTZ314" s="35"/>
      <c r="TUA314" s="35"/>
      <c r="TUB314" s="15"/>
      <c r="TUD314" s="13"/>
      <c r="TUE314" s="35"/>
      <c r="TUF314" s="35"/>
      <c r="TUG314" s="15"/>
      <c r="TUI314" s="13"/>
      <c r="TUJ314" s="35"/>
      <c r="TUK314" s="35"/>
      <c r="TUL314" s="15"/>
      <c r="TUN314" s="13"/>
      <c r="TUO314" s="35"/>
      <c r="TUP314" s="35"/>
      <c r="TUQ314" s="15"/>
      <c r="TUS314" s="13"/>
      <c r="TUT314" s="35"/>
      <c r="TUU314" s="35"/>
      <c r="TUV314" s="15"/>
      <c r="TUX314" s="13"/>
      <c r="TUY314" s="35"/>
      <c r="TUZ314" s="35"/>
      <c r="TVA314" s="15"/>
      <c r="TVC314" s="13"/>
      <c r="TVD314" s="35"/>
      <c r="TVE314" s="35"/>
      <c r="TVF314" s="15"/>
      <c r="TVH314" s="13"/>
      <c r="TVI314" s="35"/>
      <c r="TVJ314" s="35"/>
      <c r="TVK314" s="15"/>
      <c r="TVM314" s="13"/>
      <c r="TVN314" s="35"/>
      <c r="TVO314" s="35"/>
      <c r="TVP314" s="15"/>
      <c r="TVR314" s="13"/>
      <c r="TVS314" s="35"/>
      <c r="TVT314" s="35"/>
      <c r="TVU314" s="15"/>
      <c r="TVW314" s="13"/>
      <c r="TVX314" s="35"/>
      <c r="TVY314" s="35"/>
      <c r="TVZ314" s="15"/>
      <c r="TWB314" s="13"/>
      <c r="TWC314" s="35"/>
      <c r="TWD314" s="35"/>
      <c r="TWE314" s="15"/>
      <c r="TWG314" s="13"/>
      <c r="TWH314" s="35"/>
      <c r="TWI314" s="35"/>
      <c r="TWJ314" s="15"/>
      <c r="TWL314" s="13"/>
      <c r="TWM314" s="35"/>
      <c r="TWN314" s="35"/>
      <c r="TWO314" s="15"/>
      <c r="TWQ314" s="13"/>
      <c r="TWR314" s="35"/>
      <c r="TWS314" s="35"/>
      <c r="TWT314" s="15"/>
      <c r="TWV314" s="13"/>
      <c r="TWW314" s="35"/>
      <c r="TWX314" s="35"/>
      <c r="TWY314" s="15"/>
      <c r="TXA314" s="13"/>
      <c r="TXB314" s="35"/>
      <c r="TXC314" s="35"/>
      <c r="TXD314" s="15"/>
      <c r="TXF314" s="13"/>
      <c r="TXG314" s="35"/>
      <c r="TXH314" s="35"/>
      <c r="TXI314" s="15"/>
      <c r="TXK314" s="13"/>
      <c r="TXL314" s="35"/>
      <c r="TXM314" s="35"/>
      <c r="TXN314" s="15"/>
      <c r="TXP314" s="13"/>
      <c r="TXQ314" s="35"/>
      <c r="TXR314" s="35"/>
      <c r="TXS314" s="15"/>
      <c r="TXU314" s="13"/>
      <c r="TXV314" s="35"/>
      <c r="TXW314" s="35"/>
      <c r="TXX314" s="15"/>
      <c r="TXZ314" s="13"/>
      <c r="TYA314" s="35"/>
      <c r="TYB314" s="35"/>
      <c r="TYC314" s="15"/>
      <c r="TYE314" s="13"/>
      <c r="TYF314" s="35"/>
      <c r="TYG314" s="35"/>
      <c r="TYH314" s="15"/>
      <c r="TYJ314" s="13"/>
      <c r="TYK314" s="35"/>
      <c r="TYL314" s="35"/>
      <c r="TYM314" s="15"/>
      <c r="TYO314" s="13"/>
      <c r="TYP314" s="35"/>
      <c r="TYQ314" s="35"/>
      <c r="TYR314" s="15"/>
      <c r="TYT314" s="13"/>
      <c r="TYU314" s="35"/>
      <c r="TYV314" s="35"/>
      <c r="TYW314" s="15"/>
      <c r="TYY314" s="13"/>
      <c r="TYZ314" s="35"/>
      <c r="TZA314" s="35"/>
      <c r="TZB314" s="15"/>
      <c r="TZD314" s="13"/>
      <c r="TZE314" s="35"/>
      <c r="TZF314" s="35"/>
      <c r="TZG314" s="15"/>
      <c r="TZI314" s="13"/>
      <c r="TZJ314" s="35"/>
      <c r="TZK314" s="35"/>
      <c r="TZL314" s="15"/>
      <c r="TZN314" s="13"/>
      <c r="TZO314" s="35"/>
      <c r="TZP314" s="35"/>
      <c r="TZQ314" s="15"/>
      <c r="TZS314" s="13"/>
      <c r="TZT314" s="35"/>
      <c r="TZU314" s="35"/>
      <c r="TZV314" s="15"/>
      <c r="TZX314" s="13"/>
      <c r="TZY314" s="35"/>
      <c r="TZZ314" s="35"/>
      <c r="UAA314" s="15"/>
      <c r="UAC314" s="13"/>
      <c r="UAD314" s="35"/>
      <c r="UAE314" s="35"/>
      <c r="UAF314" s="15"/>
      <c r="UAH314" s="13"/>
      <c r="UAI314" s="35"/>
      <c r="UAJ314" s="35"/>
      <c r="UAK314" s="15"/>
      <c r="UAM314" s="13"/>
      <c r="UAN314" s="35"/>
      <c r="UAO314" s="35"/>
      <c r="UAP314" s="15"/>
      <c r="UAR314" s="13"/>
      <c r="UAS314" s="35"/>
      <c r="UAT314" s="35"/>
      <c r="UAU314" s="15"/>
      <c r="UAW314" s="13"/>
      <c r="UAX314" s="35"/>
      <c r="UAY314" s="35"/>
      <c r="UAZ314" s="15"/>
      <c r="UBB314" s="13"/>
      <c r="UBC314" s="35"/>
      <c r="UBD314" s="35"/>
      <c r="UBE314" s="15"/>
      <c r="UBG314" s="13"/>
      <c r="UBH314" s="35"/>
      <c r="UBI314" s="35"/>
      <c r="UBJ314" s="15"/>
      <c r="UBL314" s="13"/>
      <c r="UBM314" s="35"/>
      <c r="UBN314" s="35"/>
      <c r="UBO314" s="15"/>
      <c r="UBQ314" s="13"/>
      <c r="UBR314" s="35"/>
      <c r="UBS314" s="35"/>
      <c r="UBT314" s="15"/>
      <c r="UBV314" s="13"/>
      <c r="UBW314" s="35"/>
      <c r="UBX314" s="35"/>
      <c r="UBY314" s="15"/>
      <c r="UCA314" s="13"/>
      <c r="UCB314" s="35"/>
      <c r="UCC314" s="35"/>
      <c r="UCD314" s="15"/>
      <c r="UCF314" s="13"/>
      <c r="UCG314" s="35"/>
      <c r="UCH314" s="35"/>
      <c r="UCI314" s="15"/>
      <c r="UCK314" s="13"/>
      <c r="UCL314" s="35"/>
      <c r="UCM314" s="35"/>
      <c r="UCN314" s="15"/>
      <c r="UCP314" s="13"/>
      <c r="UCQ314" s="35"/>
      <c r="UCR314" s="35"/>
      <c r="UCS314" s="15"/>
      <c r="UCU314" s="13"/>
      <c r="UCV314" s="35"/>
      <c r="UCW314" s="35"/>
      <c r="UCX314" s="15"/>
      <c r="UCZ314" s="13"/>
      <c r="UDA314" s="35"/>
      <c r="UDB314" s="35"/>
      <c r="UDC314" s="15"/>
      <c r="UDE314" s="13"/>
      <c r="UDF314" s="35"/>
      <c r="UDG314" s="35"/>
      <c r="UDH314" s="15"/>
      <c r="UDJ314" s="13"/>
      <c r="UDK314" s="35"/>
      <c r="UDL314" s="35"/>
      <c r="UDM314" s="15"/>
      <c r="UDO314" s="13"/>
      <c r="UDP314" s="35"/>
      <c r="UDQ314" s="35"/>
      <c r="UDR314" s="15"/>
      <c r="UDT314" s="13"/>
      <c r="UDU314" s="35"/>
      <c r="UDV314" s="35"/>
      <c r="UDW314" s="15"/>
      <c r="UDY314" s="13"/>
      <c r="UDZ314" s="35"/>
      <c r="UEA314" s="35"/>
      <c r="UEB314" s="15"/>
      <c r="UED314" s="13"/>
      <c r="UEE314" s="35"/>
      <c r="UEF314" s="35"/>
      <c r="UEG314" s="15"/>
      <c r="UEI314" s="13"/>
      <c r="UEJ314" s="35"/>
      <c r="UEK314" s="35"/>
      <c r="UEL314" s="15"/>
      <c r="UEN314" s="13"/>
      <c r="UEO314" s="35"/>
      <c r="UEP314" s="35"/>
      <c r="UEQ314" s="15"/>
      <c r="UES314" s="13"/>
      <c r="UET314" s="35"/>
      <c r="UEU314" s="35"/>
      <c r="UEV314" s="15"/>
      <c r="UEX314" s="13"/>
      <c r="UEY314" s="35"/>
      <c r="UEZ314" s="35"/>
      <c r="UFA314" s="15"/>
      <c r="UFC314" s="13"/>
      <c r="UFD314" s="35"/>
      <c r="UFE314" s="35"/>
      <c r="UFF314" s="15"/>
      <c r="UFH314" s="13"/>
      <c r="UFI314" s="35"/>
      <c r="UFJ314" s="35"/>
      <c r="UFK314" s="15"/>
      <c r="UFM314" s="13"/>
      <c r="UFN314" s="35"/>
      <c r="UFO314" s="35"/>
      <c r="UFP314" s="15"/>
      <c r="UFR314" s="13"/>
      <c r="UFS314" s="35"/>
      <c r="UFT314" s="35"/>
      <c r="UFU314" s="15"/>
      <c r="UFW314" s="13"/>
      <c r="UFX314" s="35"/>
      <c r="UFY314" s="35"/>
      <c r="UFZ314" s="15"/>
      <c r="UGB314" s="13"/>
      <c r="UGC314" s="35"/>
      <c r="UGD314" s="35"/>
      <c r="UGE314" s="15"/>
      <c r="UGG314" s="13"/>
      <c r="UGH314" s="35"/>
      <c r="UGI314" s="35"/>
      <c r="UGJ314" s="15"/>
      <c r="UGL314" s="13"/>
      <c r="UGM314" s="35"/>
      <c r="UGN314" s="35"/>
      <c r="UGO314" s="15"/>
      <c r="UGQ314" s="13"/>
      <c r="UGR314" s="35"/>
      <c r="UGS314" s="35"/>
      <c r="UGT314" s="15"/>
      <c r="UGV314" s="13"/>
      <c r="UGW314" s="35"/>
      <c r="UGX314" s="35"/>
      <c r="UGY314" s="15"/>
      <c r="UHA314" s="13"/>
      <c r="UHB314" s="35"/>
      <c r="UHC314" s="35"/>
      <c r="UHD314" s="15"/>
      <c r="UHF314" s="13"/>
      <c r="UHG314" s="35"/>
      <c r="UHH314" s="35"/>
      <c r="UHI314" s="15"/>
      <c r="UHK314" s="13"/>
      <c r="UHL314" s="35"/>
      <c r="UHM314" s="35"/>
      <c r="UHN314" s="15"/>
      <c r="UHP314" s="13"/>
      <c r="UHQ314" s="35"/>
      <c r="UHR314" s="35"/>
      <c r="UHS314" s="15"/>
      <c r="UHU314" s="13"/>
      <c r="UHV314" s="35"/>
      <c r="UHW314" s="35"/>
      <c r="UHX314" s="15"/>
      <c r="UHZ314" s="13"/>
      <c r="UIA314" s="35"/>
      <c r="UIB314" s="35"/>
      <c r="UIC314" s="15"/>
      <c r="UIE314" s="13"/>
      <c r="UIF314" s="35"/>
      <c r="UIG314" s="35"/>
      <c r="UIH314" s="15"/>
      <c r="UIJ314" s="13"/>
      <c r="UIK314" s="35"/>
      <c r="UIL314" s="35"/>
      <c r="UIM314" s="15"/>
      <c r="UIO314" s="13"/>
      <c r="UIP314" s="35"/>
      <c r="UIQ314" s="35"/>
      <c r="UIR314" s="15"/>
      <c r="UIT314" s="13"/>
      <c r="UIU314" s="35"/>
      <c r="UIV314" s="35"/>
      <c r="UIW314" s="15"/>
      <c r="UIY314" s="13"/>
      <c r="UIZ314" s="35"/>
      <c r="UJA314" s="35"/>
      <c r="UJB314" s="15"/>
      <c r="UJD314" s="13"/>
      <c r="UJE314" s="35"/>
      <c r="UJF314" s="35"/>
      <c r="UJG314" s="15"/>
      <c r="UJI314" s="13"/>
      <c r="UJJ314" s="35"/>
      <c r="UJK314" s="35"/>
      <c r="UJL314" s="15"/>
      <c r="UJN314" s="13"/>
      <c r="UJO314" s="35"/>
      <c r="UJP314" s="35"/>
      <c r="UJQ314" s="15"/>
      <c r="UJS314" s="13"/>
      <c r="UJT314" s="35"/>
      <c r="UJU314" s="35"/>
      <c r="UJV314" s="15"/>
      <c r="UJX314" s="13"/>
      <c r="UJY314" s="35"/>
      <c r="UJZ314" s="35"/>
      <c r="UKA314" s="15"/>
      <c r="UKC314" s="13"/>
      <c r="UKD314" s="35"/>
      <c r="UKE314" s="35"/>
      <c r="UKF314" s="15"/>
      <c r="UKH314" s="13"/>
      <c r="UKI314" s="35"/>
      <c r="UKJ314" s="35"/>
      <c r="UKK314" s="15"/>
      <c r="UKM314" s="13"/>
      <c r="UKN314" s="35"/>
      <c r="UKO314" s="35"/>
      <c r="UKP314" s="15"/>
      <c r="UKR314" s="13"/>
      <c r="UKS314" s="35"/>
      <c r="UKT314" s="35"/>
      <c r="UKU314" s="15"/>
      <c r="UKW314" s="13"/>
      <c r="UKX314" s="35"/>
      <c r="UKY314" s="35"/>
      <c r="UKZ314" s="15"/>
      <c r="ULB314" s="13"/>
      <c r="ULC314" s="35"/>
      <c r="ULD314" s="35"/>
      <c r="ULE314" s="15"/>
      <c r="ULG314" s="13"/>
      <c r="ULH314" s="35"/>
      <c r="ULI314" s="35"/>
      <c r="ULJ314" s="15"/>
      <c r="ULL314" s="13"/>
      <c r="ULM314" s="35"/>
      <c r="ULN314" s="35"/>
      <c r="ULO314" s="15"/>
      <c r="ULQ314" s="13"/>
      <c r="ULR314" s="35"/>
      <c r="ULS314" s="35"/>
      <c r="ULT314" s="15"/>
      <c r="ULV314" s="13"/>
      <c r="ULW314" s="35"/>
      <c r="ULX314" s="35"/>
      <c r="ULY314" s="15"/>
      <c r="UMA314" s="13"/>
      <c r="UMB314" s="35"/>
      <c r="UMC314" s="35"/>
      <c r="UMD314" s="15"/>
      <c r="UMF314" s="13"/>
      <c r="UMG314" s="35"/>
      <c r="UMH314" s="35"/>
      <c r="UMI314" s="15"/>
      <c r="UMK314" s="13"/>
      <c r="UML314" s="35"/>
      <c r="UMM314" s="35"/>
      <c r="UMN314" s="15"/>
      <c r="UMP314" s="13"/>
      <c r="UMQ314" s="35"/>
      <c r="UMR314" s="35"/>
      <c r="UMS314" s="15"/>
      <c r="UMU314" s="13"/>
      <c r="UMV314" s="35"/>
      <c r="UMW314" s="35"/>
      <c r="UMX314" s="15"/>
      <c r="UMZ314" s="13"/>
      <c r="UNA314" s="35"/>
      <c r="UNB314" s="35"/>
      <c r="UNC314" s="15"/>
      <c r="UNE314" s="13"/>
      <c r="UNF314" s="35"/>
      <c r="UNG314" s="35"/>
      <c r="UNH314" s="15"/>
      <c r="UNJ314" s="13"/>
      <c r="UNK314" s="35"/>
      <c r="UNL314" s="35"/>
      <c r="UNM314" s="15"/>
      <c r="UNO314" s="13"/>
      <c r="UNP314" s="35"/>
      <c r="UNQ314" s="35"/>
      <c r="UNR314" s="15"/>
      <c r="UNT314" s="13"/>
      <c r="UNU314" s="35"/>
      <c r="UNV314" s="35"/>
      <c r="UNW314" s="15"/>
      <c r="UNY314" s="13"/>
      <c r="UNZ314" s="35"/>
      <c r="UOA314" s="35"/>
      <c r="UOB314" s="15"/>
      <c r="UOD314" s="13"/>
      <c r="UOE314" s="35"/>
      <c r="UOF314" s="35"/>
      <c r="UOG314" s="15"/>
      <c r="UOI314" s="13"/>
      <c r="UOJ314" s="35"/>
      <c r="UOK314" s="35"/>
      <c r="UOL314" s="15"/>
      <c r="UON314" s="13"/>
      <c r="UOO314" s="35"/>
      <c r="UOP314" s="35"/>
      <c r="UOQ314" s="15"/>
      <c r="UOS314" s="13"/>
      <c r="UOT314" s="35"/>
      <c r="UOU314" s="35"/>
      <c r="UOV314" s="15"/>
      <c r="UOX314" s="13"/>
      <c r="UOY314" s="35"/>
      <c r="UOZ314" s="35"/>
      <c r="UPA314" s="15"/>
      <c r="UPC314" s="13"/>
      <c r="UPD314" s="35"/>
      <c r="UPE314" s="35"/>
      <c r="UPF314" s="15"/>
      <c r="UPH314" s="13"/>
      <c r="UPI314" s="35"/>
      <c r="UPJ314" s="35"/>
      <c r="UPK314" s="15"/>
      <c r="UPM314" s="13"/>
      <c r="UPN314" s="35"/>
      <c r="UPO314" s="35"/>
      <c r="UPP314" s="15"/>
      <c r="UPR314" s="13"/>
      <c r="UPS314" s="35"/>
      <c r="UPT314" s="35"/>
      <c r="UPU314" s="15"/>
      <c r="UPW314" s="13"/>
      <c r="UPX314" s="35"/>
      <c r="UPY314" s="35"/>
      <c r="UPZ314" s="15"/>
      <c r="UQB314" s="13"/>
      <c r="UQC314" s="35"/>
      <c r="UQD314" s="35"/>
      <c r="UQE314" s="15"/>
      <c r="UQG314" s="13"/>
      <c r="UQH314" s="35"/>
      <c r="UQI314" s="35"/>
      <c r="UQJ314" s="15"/>
      <c r="UQL314" s="13"/>
      <c r="UQM314" s="35"/>
      <c r="UQN314" s="35"/>
      <c r="UQO314" s="15"/>
      <c r="UQQ314" s="13"/>
      <c r="UQR314" s="35"/>
      <c r="UQS314" s="35"/>
      <c r="UQT314" s="15"/>
      <c r="UQV314" s="13"/>
      <c r="UQW314" s="35"/>
      <c r="UQX314" s="35"/>
      <c r="UQY314" s="15"/>
      <c r="URA314" s="13"/>
      <c r="URB314" s="35"/>
      <c r="URC314" s="35"/>
      <c r="URD314" s="15"/>
      <c r="URF314" s="13"/>
      <c r="URG314" s="35"/>
      <c r="URH314" s="35"/>
      <c r="URI314" s="15"/>
      <c r="URK314" s="13"/>
      <c r="URL314" s="35"/>
      <c r="URM314" s="35"/>
      <c r="URN314" s="15"/>
      <c r="URP314" s="13"/>
      <c r="URQ314" s="35"/>
      <c r="URR314" s="35"/>
      <c r="URS314" s="15"/>
      <c r="URU314" s="13"/>
      <c r="URV314" s="35"/>
      <c r="URW314" s="35"/>
      <c r="URX314" s="15"/>
      <c r="URZ314" s="13"/>
      <c r="USA314" s="35"/>
      <c r="USB314" s="35"/>
      <c r="USC314" s="15"/>
      <c r="USE314" s="13"/>
      <c r="USF314" s="35"/>
      <c r="USG314" s="35"/>
      <c r="USH314" s="15"/>
      <c r="USJ314" s="13"/>
      <c r="USK314" s="35"/>
      <c r="USL314" s="35"/>
      <c r="USM314" s="15"/>
      <c r="USO314" s="13"/>
      <c r="USP314" s="35"/>
      <c r="USQ314" s="35"/>
      <c r="USR314" s="15"/>
      <c r="UST314" s="13"/>
      <c r="USU314" s="35"/>
      <c r="USV314" s="35"/>
      <c r="USW314" s="15"/>
      <c r="USY314" s="13"/>
      <c r="USZ314" s="35"/>
      <c r="UTA314" s="35"/>
      <c r="UTB314" s="15"/>
      <c r="UTD314" s="13"/>
      <c r="UTE314" s="35"/>
      <c r="UTF314" s="35"/>
      <c r="UTG314" s="15"/>
      <c r="UTI314" s="13"/>
      <c r="UTJ314" s="35"/>
      <c r="UTK314" s="35"/>
      <c r="UTL314" s="15"/>
      <c r="UTN314" s="13"/>
      <c r="UTO314" s="35"/>
      <c r="UTP314" s="35"/>
      <c r="UTQ314" s="15"/>
      <c r="UTS314" s="13"/>
      <c r="UTT314" s="35"/>
      <c r="UTU314" s="35"/>
      <c r="UTV314" s="15"/>
      <c r="UTX314" s="13"/>
      <c r="UTY314" s="35"/>
      <c r="UTZ314" s="35"/>
      <c r="UUA314" s="15"/>
      <c r="UUC314" s="13"/>
      <c r="UUD314" s="35"/>
      <c r="UUE314" s="35"/>
      <c r="UUF314" s="15"/>
      <c r="UUH314" s="13"/>
      <c r="UUI314" s="35"/>
      <c r="UUJ314" s="35"/>
      <c r="UUK314" s="15"/>
      <c r="UUM314" s="13"/>
      <c r="UUN314" s="35"/>
      <c r="UUO314" s="35"/>
      <c r="UUP314" s="15"/>
      <c r="UUR314" s="13"/>
      <c r="UUS314" s="35"/>
      <c r="UUT314" s="35"/>
      <c r="UUU314" s="15"/>
      <c r="UUW314" s="13"/>
      <c r="UUX314" s="35"/>
      <c r="UUY314" s="35"/>
      <c r="UUZ314" s="15"/>
      <c r="UVB314" s="13"/>
      <c r="UVC314" s="35"/>
      <c r="UVD314" s="35"/>
      <c r="UVE314" s="15"/>
      <c r="UVG314" s="13"/>
      <c r="UVH314" s="35"/>
      <c r="UVI314" s="35"/>
      <c r="UVJ314" s="15"/>
      <c r="UVL314" s="13"/>
      <c r="UVM314" s="35"/>
      <c r="UVN314" s="35"/>
      <c r="UVO314" s="15"/>
      <c r="UVQ314" s="13"/>
      <c r="UVR314" s="35"/>
      <c r="UVS314" s="35"/>
      <c r="UVT314" s="15"/>
      <c r="UVV314" s="13"/>
      <c r="UVW314" s="35"/>
      <c r="UVX314" s="35"/>
      <c r="UVY314" s="15"/>
      <c r="UWA314" s="13"/>
      <c r="UWB314" s="35"/>
      <c r="UWC314" s="35"/>
      <c r="UWD314" s="15"/>
      <c r="UWF314" s="13"/>
      <c r="UWG314" s="35"/>
      <c r="UWH314" s="35"/>
      <c r="UWI314" s="15"/>
      <c r="UWK314" s="13"/>
      <c r="UWL314" s="35"/>
      <c r="UWM314" s="35"/>
      <c r="UWN314" s="15"/>
      <c r="UWP314" s="13"/>
      <c r="UWQ314" s="35"/>
      <c r="UWR314" s="35"/>
      <c r="UWS314" s="15"/>
      <c r="UWU314" s="13"/>
      <c r="UWV314" s="35"/>
      <c r="UWW314" s="35"/>
      <c r="UWX314" s="15"/>
      <c r="UWZ314" s="13"/>
      <c r="UXA314" s="35"/>
      <c r="UXB314" s="35"/>
      <c r="UXC314" s="15"/>
      <c r="UXE314" s="13"/>
      <c r="UXF314" s="35"/>
      <c r="UXG314" s="35"/>
      <c r="UXH314" s="15"/>
      <c r="UXJ314" s="13"/>
      <c r="UXK314" s="35"/>
      <c r="UXL314" s="35"/>
      <c r="UXM314" s="15"/>
      <c r="UXO314" s="13"/>
      <c r="UXP314" s="35"/>
      <c r="UXQ314" s="35"/>
      <c r="UXR314" s="15"/>
      <c r="UXT314" s="13"/>
      <c r="UXU314" s="35"/>
      <c r="UXV314" s="35"/>
      <c r="UXW314" s="15"/>
      <c r="UXY314" s="13"/>
      <c r="UXZ314" s="35"/>
      <c r="UYA314" s="35"/>
      <c r="UYB314" s="15"/>
      <c r="UYD314" s="13"/>
      <c r="UYE314" s="35"/>
      <c r="UYF314" s="35"/>
      <c r="UYG314" s="15"/>
      <c r="UYI314" s="13"/>
      <c r="UYJ314" s="35"/>
      <c r="UYK314" s="35"/>
      <c r="UYL314" s="15"/>
      <c r="UYN314" s="13"/>
      <c r="UYO314" s="35"/>
      <c r="UYP314" s="35"/>
      <c r="UYQ314" s="15"/>
      <c r="UYS314" s="13"/>
      <c r="UYT314" s="35"/>
      <c r="UYU314" s="35"/>
      <c r="UYV314" s="15"/>
      <c r="UYX314" s="13"/>
      <c r="UYY314" s="35"/>
      <c r="UYZ314" s="35"/>
      <c r="UZA314" s="15"/>
      <c r="UZC314" s="13"/>
      <c r="UZD314" s="35"/>
      <c r="UZE314" s="35"/>
      <c r="UZF314" s="15"/>
      <c r="UZH314" s="13"/>
      <c r="UZI314" s="35"/>
      <c r="UZJ314" s="35"/>
      <c r="UZK314" s="15"/>
      <c r="UZM314" s="13"/>
      <c r="UZN314" s="35"/>
      <c r="UZO314" s="35"/>
      <c r="UZP314" s="15"/>
      <c r="UZR314" s="13"/>
      <c r="UZS314" s="35"/>
      <c r="UZT314" s="35"/>
      <c r="UZU314" s="15"/>
      <c r="UZW314" s="13"/>
      <c r="UZX314" s="35"/>
      <c r="UZY314" s="35"/>
      <c r="UZZ314" s="15"/>
      <c r="VAB314" s="13"/>
      <c r="VAC314" s="35"/>
      <c r="VAD314" s="35"/>
      <c r="VAE314" s="15"/>
      <c r="VAG314" s="13"/>
      <c r="VAH314" s="35"/>
      <c r="VAI314" s="35"/>
      <c r="VAJ314" s="15"/>
      <c r="VAL314" s="13"/>
      <c r="VAM314" s="35"/>
      <c r="VAN314" s="35"/>
      <c r="VAO314" s="15"/>
      <c r="VAQ314" s="13"/>
      <c r="VAR314" s="35"/>
      <c r="VAS314" s="35"/>
      <c r="VAT314" s="15"/>
      <c r="VAV314" s="13"/>
      <c r="VAW314" s="35"/>
      <c r="VAX314" s="35"/>
      <c r="VAY314" s="15"/>
      <c r="VBA314" s="13"/>
      <c r="VBB314" s="35"/>
      <c r="VBC314" s="35"/>
      <c r="VBD314" s="15"/>
      <c r="VBF314" s="13"/>
      <c r="VBG314" s="35"/>
      <c r="VBH314" s="35"/>
      <c r="VBI314" s="15"/>
      <c r="VBK314" s="13"/>
      <c r="VBL314" s="35"/>
      <c r="VBM314" s="35"/>
      <c r="VBN314" s="15"/>
      <c r="VBP314" s="13"/>
      <c r="VBQ314" s="35"/>
      <c r="VBR314" s="35"/>
      <c r="VBS314" s="15"/>
      <c r="VBU314" s="13"/>
      <c r="VBV314" s="35"/>
      <c r="VBW314" s="35"/>
      <c r="VBX314" s="15"/>
      <c r="VBZ314" s="13"/>
      <c r="VCA314" s="35"/>
      <c r="VCB314" s="35"/>
      <c r="VCC314" s="15"/>
      <c r="VCE314" s="13"/>
      <c r="VCF314" s="35"/>
      <c r="VCG314" s="35"/>
      <c r="VCH314" s="15"/>
      <c r="VCJ314" s="13"/>
      <c r="VCK314" s="35"/>
      <c r="VCL314" s="35"/>
      <c r="VCM314" s="15"/>
      <c r="VCO314" s="13"/>
      <c r="VCP314" s="35"/>
      <c r="VCQ314" s="35"/>
      <c r="VCR314" s="15"/>
      <c r="VCT314" s="13"/>
      <c r="VCU314" s="35"/>
      <c r="VCV314" s="35"/>
      <c r="VCW314" s="15"/>
      <c r="VCY314" s="13"/>
      <c r="VCZ314" s="35"/>
      <c r="VDA314" s="35"/>
      <c r="VDB314" s="15"/>
      <c r="VDD314" s="13"/>
      <c r="VDE314" s="35"/>
      <c r="VDF314" s="35"/>
      <c r="VDG314" s="15"/>
      <c r="VDI314" s="13"/>
      <c r="VDJ314" s="35"/>
      <c r="VDK314" s="35"/>
      <c r="VDL314" s="15"/>
      <c r="VDN314" s="13"/>
      <c r="VDO314" s="35"/>
      <c r="VDP314" s="35"/>
      <c r="VDQ314" s="15"/>
      <c r="VDS314" s="13"/>
      <c r="VDT314" s="35"/>
      <c r="VDU314" s="35"/>
      <c r="VDV314" s="15"/>
      <c r="VDX314" s="13"/>
      <c r="VDY314" s="35"/>
      <c r="VDZ314" s="35"/>
      <c r="VEA314" s="15"/>
      <c r="VEC314" s="13"/>
      <c r="VED314" s="35"/>
      <c r="VEE314" s="35"/>
      <c r="VEF314" s="15"/>
      <c r="VEH314" s="13"/>
      <c r="VEI314" s="35"/>
      <c r="VEJ314" s="35"/>
      <c r="VEK314" s="15"/>
      <c r="VEM314" s="13"/>
      <c r="VEN314" s="35"/>
      <c r="VEO314" s="35"/>
      <c r="VEP314" s="15"/>
      <c r="VER314" s="13"/>
      <c r="VES314" s="35"/>
      <c r="VET314" s="35"/>
      <c r="VEU314" s="15"/>
      <c r="VEW314" s="13"/>
      <c r="VEX314" s="35"/>
      <c r="VEY314" s="35"/>
      <c r="VEZ314" s="15"/>
      <c r="VFB314" s="13"/>
      <c r="VFC314" s="35"/>
      <c r="VFD314" s="35"/>
      <c r="VFE314" s="15"/>
      <c r="VFG314" s="13"/>
      <c r="VFH314" s="35"/>
      <c r="VFI314" s="35"/>
      <c r="VFJ314" s="15"/>
      <c r="VFL314" s="13"/>
      <c r="VFM314" s="35"/>
      <c r="VFN314" s="35"/>
      <c r="VFO314" s="15"/>
      <c r="VFQ314" s="13"/>
      <c r="VFR314" s="35"/>
      <c r="VFS314" s="35"/>
      <c r="VFT314" s="15"/>
      <c r="VFV314" s="13"/>
      <c r="VFW314" s="35"/>
      <c r="VFX314" s="35"/>
      <c r="VFY314" s="15"/>
      <c r="VGA314" s="13"/>
      <c r="VGB314" s="35"/>
      <c r="VGC314" s="35"/>
      <c r="VGD314" s="15"/>
      <c r="VGF314" s="13"/>
      <c r="VGG314" s="35"/>
      <c r="VGH314" s="35"/>
      <c r="VGI314" s="15"/>
      <c r="VGK314" s="13"/>
      <c r="VGL314" s="35"/>
      <c r="VGM314" s="35"/>
      <c r="VGN314" s="15"/>
      <c r="VGP314" s="13"/>
      <c r="VGQ314" s="35"/>
      <c r="VGR314" s="35"/>
      <c r="VGS314" s="15"/>
      <c r="VGU314" s="13"/>
      <c r="VGV314" s="35"/>
      <c r="VGW314" s="35"/>
      <c r="VGX314" s="15"/>
      <c r="VGZ314" s="13"/>
      <c r="VHA314" s="35"/>
      <c r="VHB314" s="35"/>
      <c r="VHC314" s="15"/>
      <c r="VHE314" s="13"/>
      <c r="VHF314" s="35"/>
      <c r="VHG314" s="35"/>
      <c r="VHH314" s="15"/>
      <c r="VHJ314" s="13"/>
      <c r="VHK314" s="35"/>
      <c r="VHL314" s="35"/>
      <c r="VHM314" s="15"/>
      <c r="VHO314" s="13"/>
      <c r="VHP314" s="35"/>
      <c r="VHQ314" s="35"/>
      <c r="VHR314" s="15"/>
      <c r="VHT314" s="13"/>
      <c r="VHU314" s="35"/>
      <c r="VHV314" s="35"/>
      <c r="VHW314" s="15"/>
      <c r="VHY314" s="13"/>
      <c r="VHZ314" s="35"/>
      <c r="VIA314" s="35"/>
      <c r="VIB314" s="15"/>
      <c r="VID314" s="13"/>
      <c r="VIE314" s="35"/>
      <c r="VIF314" s="35"/>
      <c r="VIG314" s="15"/>
      <c r="VII314" s="13"/>
      <c r="VIJ314" s="35"/>
      <c r="VIK314" s="35"/>
      <c r="VIL314" s="15"/>
      <c r="VIN314" s="13"/>
      <c r="VIO314" s="35"/>
      <c r="VIP314" s="35"/>
      <c r="VIQ314" s="15"/>
      <c r="VIS314" s="13"/>
      <c r="VIT314" s="35"/>
      <c r="VIU314" s="35"/>
      <c r="VIV314" s="15"/>
      <c r="VIX314" s="13"/>
      <c r="VIY314" s="35"/>
      <c r="VIZ314" s="35"/>
      <c r="VJA314" s="15"/>
      <c r="VJC314" s="13"/>
      <c r="VJD314" s="35"/>
      <c r="VJE314" s="35"/>
      <c r="VJF314" s="15"/>
      <c r="VJH314" s="13"/>
      <c r="VJI314" s="35"/>
      <c r="VJJ314" s="35"/>
      <c r="VJK314" s="15"/>
      <c r="VJM314" s="13"/>
      <c r="VJN314" s="35"/>
      <c r="VJO314" s="35"/>
      <c r="VJP314" s="15"/>
      <c r="VJR314" s="13"/>
      <c r="VJS314" s="35"/>
      <c r="VJT314" s="35"/>
      <c r="VJU314" s="15"/>
      <c r="VJW314" s="13"/>
      <c r="VJX314" s="35"/>
      <c r="VJY314" s="35"/>
      <c r="VJZ314" s="15"/>
      <c r="VKB314" s="13"/>
      <c r="VKC314" s="35"/>
      <c r="VKD314" s="35"/>
      <c r="VKE314" s="15"/>
      <c r="VKG314" s="13"/>
      <c r="VKH314" s="35"/>
      <c r="VKI314" s="35"/>
      <c r="VKJ314" s="15"/>
      <c r="VKL314" s="13"/>
      <c r="VKM314" s="35"/>
      <c r="VKN314" s="35"/>
      <c r="VKO314" s="15"/>
      <c r="VKQ314" s="13"/>
      <c r="VKR314" s="35"/>
      <c r="VKS314" s="35"/>
      <c r="VKT314" s="15"/>
      <c r="VKV314" s="13"/>
      <c r="VKW314" s="35"/>
      <c r="VKX314" s="35"/>
      <c r="VKY314" s="15"/>
      <c r="VLA314" s="13"/>
      <c r="VLB314" s="35"/>
      <c r="VLC314" s="35"/>
      <c r="VLD314" s="15"/>
      <c r="VLF314" s="13"/>
      <c r="VLG314" s="35"/>
      <c r="VLH314" s="35"/>
      <c r="VLI314" s="15"/>
      <c r="VLK314" s="13"/>
      <c r="VLL314" s="35"/>
      <c r="VLM314" s="35"/>
      <c r="VLN314" s="15"/>
      <c r="VLP314" s="13"/>
      <c r="VLQ314" s="35"/>
      <c r="VLR314" s="35"/>
      <c r="VLS314" s="15"/>
      <c r="VLU314" s="13"/>
      <c r="VLV314" s="35"/>
      <c r="VLW314" s="35"/>
      <c r="VLX314" s="15"/>
      <c r="VLZ314" s="13"/>
      <c r="VMA314" s="35"/>
      <c r="VMB314" s="35"/>
      <c r="VMC314" s="15"/>
      <c r="VME314" s="13"/>
      <c r="VMF314" s="35"/>
      <c r="VMG314" s="35"/>
      <c r="VMH314" s="15"/>
      <c r="VMJ314" s="13"/>
      <c r="VMK314" s="35"/>
      <c r="VML314" s="35"/>
      <c r="VMM314" s="15"/>
      <c r="VMO314" s="13"/>
      <c r="VMP314" s="35"/>
      <c r="VMQ314" s="35"/>
      <c r="VMR314" s="15"/>
      <c r="VMT314" s="13"/>
      <c r="VMU314" s="35"/>
      <c r="VMV314" s="35"/>
      <c r="VMW314" s="15"/>
      <c r="VMY314" s="13"/>
      <c r="VMZ314" s="35"/>
      <c r="VNA314" s="35"/>
      <c r="VNB314" s="15"/>
      <c r="VND314" s="13"/>
      <c r="VNE314" s="35"/>
      <c r="VNF314" s="35"/>
      <c r="VNG314" s="15"/>
      <c r="VNI314" s="13"/>
      <c r="VNJ314" s="35"/>
      <c r="VNK314" s="35"/>
      <c r="VNL314" s="15"/>
      <c r="VNN314" s="13"/>
      <c r="VNO314" s="35"/>
      <c r="VNP314" s="35"/>
      <c r="VNQ314" s="15"/>
      <c r="VNS314" s="13"/>
      <c r="VNT314" s="35"/>
      <c r="VNU314" s="35"/>
      <c r="VNV314" s="15"/>
      <c r="VNX314" s="13"/>
      <c r="VNY314" s="35"/>
      <c r="VNZ314" s="35"/>
      <c r="VOA314" s="15"/>
      <c r="VOC314" s="13"/>
      <c r="VOD314" s="35"/>
      <c r="VOE314" s="35"/>
      <c r="VOF314" s="15"/>
      <c r="VOH314" s="13"/>
      <c r="VOI314" s="35"/>
      <c r="VOJ314" s="35"/>
      <c r="VOK314" s="15"/>
      <c r="VOM314" s="13"/>
      <c r="VON314" s="35"/>
      <c r="VOO314" s="35"/>
      <c r="VOP314" s="15"/>
      <c r="VOR314" s="13"/>
      <c r="VOS314" s="35"/>
      <c r="VOT314" s="35"/>
      <c r="VOU314" s="15"/>
      <c r="VOW314" s="13"/>
      <c r="VOX314" s="35"/>
      <c r="VOY314" s="35"/>
      <c r="VOZ314" s="15"/>
      <c r="VPB314" s="13"/>
      <c r="VPC314" s="35"/>
      <c r="VPD314" s="35"/>
      <c r="VPE314" s="15"/>
      <c r="VPG314" s="13"/>
      <c r="VPH314" s="35"/>
      <c r="VPI314" s="35"/>
      <c r="VPJ314" s="15"/>
      <c r="VPL314" s="13"/>
      <c r="VPM314" s="35"/>
      <c r="VPN314" s="35"/>
      <c r="VPO314" s="15"/>
      <c r="VPQ314" s="13"/>
      <c r="VPR314" s="35"/>
      <c r="VPS314" s="35"/>
      <c r="VPT314" s="15"/>
      <c r="VPV314" s="13"/>
      <c r="VPW314" s="35"/>
      <c r="VPX314" s="35"/>
      <c r="VPY314" s="15"/>
      <c r="VQA314" s="13"/>
      <c r="VQB314" s="35"/>
      <c r="VQC314" s="35"/>
      <c r="VQD314" s="15"/>
      <c r="VQF314" s="13"/>
      <c r="VQG314" s="35"/>
      <c r="VQH314" s="35"/>
      <c r="VQI314" s="15"/>
      <c r="VQK314" s="13"/>
      <c r="VQL314" s="35"/>
      <c r="VQM314" s="35"/>
      <c r="VQN314" s="15"/>
      <c r="VQP314" s="13"/>
      <c r="VQQ314" s="35"/>
      <c r="VQR314" s="35"/>
      <c r="VQS314" s="15"/>
      <c r="VQU314" s="13"/>
      <c r="VQV314" s="35"/>
      <c r="VQW314" s="35"/>
      <c r="VQX314" s="15"/>
      <c r="VQZ314" s="13"/>
      <c r="VRA314" s="35"/>
      <c r="VRB314" s="35"/>
      <c r="VRC314" s="15"/>
      <c r="VRE314" s="13"/>
      <c r="VRF314" s="35"/>
      <c r="VRG314" s="35"/>
      <c r="VRH314" s="15"/>
      <c r="VRJ314" s="13"/>
      <c r="VRK314" s="35"/>
      <c r="VRL314" s="35"/>
      <c r="VRM314" s="15"/>
      <c r="VRO314" s="13"/>
      <c r="VRP314" s="35"/>
      <c r="VRQ314" s="35"/>
      <c r="VRR314" s="15"/>
      <c r="VRT314" s="13"/>
      <c r="VRU314" s="35"/>
      <c r="VRV314" s="35"/>
      <c r="VRW314" s="15"/>
      <c r="VRY314" s="13"/>
      <c r="VRZ314" s="35"/>
      <c r="VSA314" s="35"/>
      <c r="VSB314" s="15"/>
      <c r="VSD314" s="13"/>
      <c r="VSE314" s="35"/>
      <c r="VSF314" s="35"/>
      <c r="VSG314" s="15"/>
      <c r="VSI314" s="13"/>
      <c r="VSJ314" s="35"/>
      <c r="VSK314" s="35"/>
      <c r="VSL314" s="15"/>
      <c r="VSN314" s="13"/>
      <c r="VSO314" s="35"/>
      <c r="VSP314" s="35"/>
      <c r="VSQ314" s="15"/>
      <c r="VSS314" s="13"/>
      <c r="VST314" s="35"/>
      <c r="VSU314" s="35"/>
      <c r="VSV314" s="15"/>
      <c r="VSX314" s="13"/>
      <c r="VSY314" s="35"/>
      <c r="VSZ314" s="35"/>
      <c r="VTA314" s="15"/>
      <c r="VTC314" s="13"/>
      <c r="VTD314" s="35"/>
      <c r="VTE314" s="35"/>
      <c r="VTF314" s="15"/>
      <c r="VTH314" s="13"/>
      <c r="VTI314" s="35"/>
      <c r="VTJ314" s="35"/>
      <c r="VTK314" s="15"/>
      <c r="VTM314" s="13"/>
      <c r="VTN314" s="35"/>
      <c r="VTO314" s="35"/>
      <c r="VTP314" s="15"/>
      <c r="VTR314" s="13"/>
      <c r="VTS314" s="35"/>
      <c r="VTT314" s="35"/>
      <c r="VTU314" s="15"/>
      <c r="VTW314" s="13"/>
      <c r="VTX314" s="35"/>
      <c r="VTY314" s="35"/>
      <c r="VTZ314" s="15"/>
      <c r="VUB314" s="13"/>
      <c r="VUC314" s="35"/>
      <c r="VUD314" s="35"/>
      <c r="VUE314" s="15"/>
      <c r="VUG314" s="13"/>
      <c r="VUH314" s="35"/>
      <c r="VUI314" s="35"/>
      <c r="VUJ314" s="15"/>
      <c r="VUL314" s="13"/>
      <c r="VUM314" s="35"/>
      <c r="VUN314" s="35"/>
      <c r="VUO314" s="15"/>
      <c r="VUQ314" s="13"/>
      <c r="VUR314" s="35"/>
      <c r="VUS314" s="35"/>
      <c r="VUT314" s="15"/>
      <c r="VUV314" s="13"/>
      <c r="VUW314" s="35"/>
      <c r="VUX314" s="35"/>
      <c r="VUY314" s="15"/>
      <c r="VVA314" s="13"/>
      <c r="VVB314" s="35"/>
      <c r="VVC314" s="35"/>
      <c r="VVD314" s="15"/>
      <c r="VVF314" s="13"/>
      <c r="VVG314" s="35"/>
      <c r="VVH314" s="35"/>
      <c r="VVI314" s="15"/>
      <c r="VVK314" s="13"/>
      <c r="VVL314" s="35"/>
      <c r="VVM314" s="35"/>
      <c r="VVN314" s="15"/>
      <c r="VVP314" s="13"/>
      <c r="VVQ314" s="35"/>
      <c r="VVR314" s="35"/>
      <c r="VVS314" s="15"/>
      <c r="VVU314" s="13"/>
      <c r="VVV314" s="35"/>
      <c r="VVW314" s="35"/>
      <c r="VVX314" s="15"/>
      <c r="VVZ314" s="13"/>
      <c r="VWA314" s="35"/>
      <c r="VWB314" s="35"/>
      <c r="VWC314" s="15"/>
      <c r="VWE314" s="13"/>
      <c r="VWF314" s="35"/>
      <c r="VWG314" s="35"/>
      <c r="VWH314" s="15"/>
      <c r="VWJ314" s="13"/>
      <c r="VWK314" s="35"/>
      <c r="VWL314" s="35"/>
      <c r="VWM314" s="15"/>
      <c r="VWO314" s="13"/>
      <c r="VWP314" s="35"/>
      <c r="VWQ314" s="35"/>
      <c r="VWR314" s="15"/>
      <c r="VWT314" s="13"/>
      <c r="VWU314" s="35"/>
      <c r="VWV314" s="35"/>
      <c r="VWW314" s="15"/>
      <c r="VWY314" s="13"/>
      <c r="VWZ314" s="35"/>
      <c r="VXA314" s="35"/>
      <c r="VXB314" s="15"/>
      <c r="VXD314" s="13"/>
      <c r="VXE314" s="35"/>
      <c r="VXF314" s="35"/>
      <c r="VXG314" s="15"/>
      <c r="VXI314" s="13"/>
      <c r="VXJ314" s="35"/>
      <c r="VXK314" s="35"/>
      <c r="VXL314" s="15"/>
      <c r="VXN314" s="13"/>
      <c r="VXO314" s="35"/>
      <c r="VXP314" s="35"/>
      <c r="VXQ314" s="15"/>
      <c r="VXS314" s="13"/>
      <c r="VXT314" s="35"/>
      <c r="VXU314" s="35"/>
      <c r="VXV314" s="15"/>
      <c r="VXX314" s="13"/>
      <c r="VXY314" s="35"/>
      <c r="VXZ314" s="35"/>
      <c r="VYA314" s="15"/>
      <c r="VYC314" s="13"/>
      <c r="VYD314" s="35"/>
      <c r="VYE314" s="35"/>
      <c r="VYF314" s="15"/>
      <c r="VYH314" s="13"/>
      <c r="VYI314" s="35"/>
      <c r="VYJ314" s="35"/>
      <c r="VYK314" s="15"/>
      <c r="VYM314" s="13"/>
      <c r="VYN314" s="35"/>
      <c r="VYO314" s="35"/>
      <c r="VYP314" s="15"/>
      <c r="VYR314" s="13"/>
      <c r="VYS314" s="35"/>
      <c r="VYT314" s="35"/>
      <c r="VYU314" s="15"/>
      <c r="VYW314" s="13"/>
      <c r="VYX314" s="35"/>
      <c r="VYY314" s="35"/>
      <c r="VYZ314" s="15"/>
      <c r="VZB314" s="13"/>
      <c r="VZC314" s="35"/>
      <c r="VZD314" s="35"/>
      <c r="VZE314" s="15"/>
      <c r="VZG314" s="13"/>
      <c r="VZH314" s="35"/>
      <c r="VZI314" s="35"/>
      <c r="VZJ314" s="15"/>
      <c r="VZL314" s="13"/>
      <c r="VZM314" s="35"/>
      <c r="VZN314" s="35"/>
      <c r="VZO314" s="15"/>
      <c r="VZQ314" s="13"/>
      <c r="VZR314" s="35"/>
      <c r="VZS314" s="35"/>
      <c r="VZT314" s="15"/>
      <c r="VZV314" s="13"/>
      <c r="VZW314" s="35"/>
      <c r="VZX314" s="35"/>
      <c r="VZY314" s="15"/>
      <c r="WAA314" s="13"/>
      <c r="WAB314" s="35"/>
      <c r="WAC314" s="35"/>
      <c r="WAD314" s="15"/>
      <c r="WAF314" s="13"/>
      <c r="WAG314" s="35"/>
      <c r="WAH314" s="35"/>
      <c r="WAI314" s="15"/>
      <c r="WAK314" s="13"/>
      <c r="WAL314" s="35"/>
      <c r="WAM314" s="35"/>
      <c r="WAN314" s="15"/>
      <c r="WAP314" s="13"/>
      <c r="WAQ314" s="35"/>
      <c r="WAR314" s="35"/>
      <c r="WAS314" s="15"/>
      <c r="WAU314" s="13"/>
      <c r="WAV314" s="35"/>
      <c r="WAW314" s="35"/>
      <c r="WAX314" s="15"/>
      <c r="WAZ314" s="13"/>
      <c r="WBA314" s="35"/>
      <c r="WBB314" s="35"/>
      <c r="WBC314" s="15"/>
      <c r="WBE314" s="13"/>
      <c r="WBF314" s="35"/>
      <c r="WBG314" s="35"/>
      <c r="WBH314" s="15"/>
      <c r="WBJ314" s="13"/>
      <c r="WBK314" s="35"/>
      <c r="WBL314" s="35"/>
      <c r="WBM314" s="15"/>
      <c r="WBO314" s="13"/>
      <c r="WBP314" s="35"/>
      <c r="WBQ314" s="35"/>
      <c r="WBR314" s="15"/>
      <c r="WBT314" s="13"/>
      <c r="WBU314" s="35"/>
      <c r="WBV314" s="35"/>
      <c r="WBW314" s="15"/>
      <c r="WBY314" s="13"/>
      <c r="WBZ314" s="35"/>
      <c r="WCA314" s="35"/>
      <c r="WCB314" s="15"/>
      <c r="WCD314" s="13"/>
      <c r="WCE314" s="35"/>
      <c r="WCF314" s="35"/>
      <c r="WCG314" s="15"/>
      <c r="WCI314" s="13"/>
      <c r="WCJ314" s="35"/>
      <c r="WCK314" s="35"/>
      <c r="WCL314" s="15"/>
      <c r="WCN314" s="13"/>
      <c r="WCO314" s="35"/>
      <c r="WCP314" s="35"/>
      <c r="WCQ314" s="15"/>
      <c r="WCS314" s="13"/>
      <c r="WCT314" s="35"/>
      <c r="WCU314" s="35"/>
      <c r="WCV314" s="15"/>
      <c r="WCX314" s="13"/>
      <c r="WCY314" s="35"/>
      <c r="WCZ314" s="35"/>
      <c r="WDA314" s="15"/>
      <c r="WDC314" s="13"/>
      <c r="WDD314" s="35"/>
      <c r="WDE314" s="35"/>
      <c r="WDF314" s="15"/>
      <c r="WDH314" s="13"/>
      <c r="WDI314" s="35"/>
      <c r="WDJ314" s="35"/>
      <c r="WDK314" s="15"/>
      <c r="WDM314" s="13"/>
      <c r="WDN314" s="35"/>
      <c r="WDO314" s="35"/>
      <c r="WDP314" s="15"/>
      <c r="WDR314" s="13"/>
      <c r="WDS314" s="35"/>
      <c r="WDT314" s="35"/>
      <c r="WDU314" s="15"/>
      <c r="WDW314" s="13"/>
      <c r="WDX314" s="35"/>
      <c r="WDY314" s="35"/>
      <c r="WDZ314" s="15"/>
      <c r="WEB314" s="13"/>
      <c r="WEC314" s="35"/>
      <c r="WED314" s="35"/>
      <c r="WEE314" s="15"/>
      <c r="WEG314" s="13"/>
      <c r="WEH314" s="35"/>
      <c r="WEI314" s="35"/>
      <c r="WEJ314" s="15"/>
      <c r="WEL314" s="13"/>
      <c r="WEM314" s="35"/>
      <c r="WEN314" s="35"/>
      <c r="WEO314" s="15"/>
      <c r="WEQ314" s="13"/>
      <c r="WER314" s="35"/>
      <c r="WES314" s="35"/>
      <c r="WET314" s="15"/>
      <c r="WEV314" s="13"/>
      <c r="WEW314" s="35"/>
      <c r="WEX314" s="35"/>
      <c r="WEY314" s="15"/>
      <c r="WFA314" s="13"/>
      <c r="WFB314" s="35"/>
      <c r="WFC314" s="35"/>
      <c r="WFD314" s="15"/>
      <c r="WFF314" s="13"/>
      <c r="WFG314" s="35"/>
      <c r="WFH314" s="35"/>
      <c r="WFI314" s="15"/>
      <c r="WFK314" s="13"/>
      <c r="WFL314" s="35"/>
      <c r="WFM314" s="35"/>
      <c r="WFN314" s="15"/>
      <c r="WFP314" s="13"/>
      <c r="WFQ314" s="35"/>
      <c r="WFR314" s="35"/>
      <c r="WFS314" s="15"/>
      <c r="WFU314" s="13"/>
      <c r="WFV314" s="35"/>
      <c r="WFW314" s="35"/>
      <c r="WFX314" s="15"/>
      <c r="WFZ314" s="13"/>
      <c r="WGA314" s="35"/>
      <c r="WGB314" s="35"/>
      <c r="WGC314" s="15"/>
      <c r="WGE314" s="13"/>
      <c r="WGF314" s="35"/>
      <c r="WGG314" s="35"/>
      <c r="WGH314" s="15"/>
      <c r="WGJ314" s="13"/>
      <c r="WGK314" s="35"/>
      <c r="WGL314" s="35"/>
      <c r="WGM314" s="15"/>
      <c r="WGO314" s="13"/>
      <c r="WGP314" s="35"/>
      <c r="WGQ314" s="35"/>
      <c r="WGR314" s="15"/>
      <c r="WGT314" s="13"/>
      <c r="WGU314" s="35"/>
      <c r="WGV314" s="35"/>
      <c r="WGW314" s="15"/>
      <c r="WGY314" s="13"/>
      <c r="WGZ314" s="35"/>
      <c r="WHA314" s="35"/>
      <c r="WHB314" s="15"/>
      <c r="WHD314" s="13"/>
      <c r="WHE314" s="35"/>
      <c r="WHF314" s="35"/>
      <c r="WHG314" s="15"/>
      <c r="WHI314" s="13"/>
      <c r="WHJ314" s="35"/>
      <c r="WHK314" s="35"/>
      <c r="WHL314" s="15"/>
      <c r="WHN314" s="13"/>
      <c r="WHO314" s="35"/>
      <c r="WHP314" s="35"/>
      <c r="WHQ314" s="15"/>
      <c r="WHS314" s="13"/>
      <c r="WHT314" s="35"/>
      <c r="WHU314" s="35"/>
      <c r="WHV314" s="15"/>
      <c r="WHX314" s="13"/>
      <c r="WHY314" s="35"/>
      <c r="WHZ314" s="35"/>
      <c r="WIA314" s="15"/>
      <c r="WIC314" s="13"/>
      <c r="WID314" s="35"/>
      <c r="WIE314" s="35"/>
      <c r="WIF314" s="15"/>
      <c r="WIH314" s="13"/>
      <c r="WII314" s="35"/>
      <c r="WIJ314" s="35"/>
      <c r="WIK314" s="15"/>
      <c r="WIM314" s="13"/>
      <c r="WIN314" s="35"/>
      <c r="WIO314" s="35"/>
      <c r="WIP314" s="15"/>
      <c r="WIR314" s="13"/>
      <c r="WIS314" s="35"/>
      <c r="WIT314" s="35"/>
      <c r="WIU314" s="15"/>
      <c r="WIW314" s="13"/>
      <c r="WIX314" s="35"/>
      <c r="WIY314" s="35"/>
      <c r="WIZ314" s="15"/>
      <c r="WJB314" s="13"/>
      <c r="WJC314" s="35"/>
      <c r="WJD314" s="35"/>
      <c r="WJE314" s="15"/>
      <c r="WJG314" s="13"/>
      <c r="WJH314" s="35"/>
      <c r="WJI314" s="35"/>
      <c r="WJJ314" s="15"/>
      <c r="WJL314" s="13"/>
      <c r="WJM314" s="35"/>
      <c r="WJN314" s="35"/>
      <c r="WJO314" s="15"/>
      <c r="WJQ314" s="13"/>
      <c r="WJR314" s="35"/>
      <c r="WJS314" s="35"/>
      <c r="WJT314" s="15"/>
      <c r="WJV314" s="13"/>
      <c r="WJW314" s="35"/>
      <c r="WJX314" s="35"/>
      <c r="WJY314" s="15"/>
      <c r="WKA314" s="13"/>
      <c r="WKB314" s="35"/>
      <c r="WKC314" s="35"/>
      <c r="WKD314" s="15"/>
      <c r="WKF314" s="13"/>
      <c r="WKG314" s="35"/>
      <c r="WKH314" s="35"/>
      <c r="WKI314" s="15"/>
      <c r="WKK314" s="13"/>
      <c r="WKL314" s="35"/>
      <c r="WKM314" s="35"/>
      <c r="WKN314" s="15"/>
      <c r="WKP314" s="13"/>
      <c r="WKQ314" s="35"/>
      <c r="WKR314" s="35"/>
      <c r="WKS314" s="15"/>
      <c r="WKU314" s="13"/>
      <c r="WKV314" s="35"/>
      <c r="WKW314" s="35"/>
      <c r="WKX314" s="15"/>
      <c r="WKZ314" s="13"/>
      <c r="WLA314" s="35"/>
      <c r="WLB314" s="35"/>
      <c r="WLC314" s="15"/>
      <c r="WLE314" s="13"/>
      <c r="WLF314" s="35"/>
      <c r="WLG314" s="35"/>
      <c r="WLH314" s="15"/>
      <c r="WLJ314" s="13"/>
      <c r="WLK314" s="35"/>
      <c r="WLL314" s="35"/>
      <c r="WLM314" s="15"/>
      <c r="WLO314" s="13"/>
      <c r="WLP314" s="35"/>
      <c r="WLQ314" s="35"/>
      <c r="WLR314" s="15"/>
      <c r="WLT314" s="13"/>
      <c r="WLU314" s="35"/>
      <c r="WLV314" s="35"/>
      <c r="WLW314" s="15"/>
      <c r="WLY314" s="13"/>
      <c r="WLZ314" s="35"/>
      <c r="WMA314" s="35"/>
      <c r="WMB314" s="15"/>
      <c r="WMD314" s="13"/>
      <c r="WME314" s="35"/>
      <c r="WMF314" s="35"/>
      <c r="WMG314" s="15"/>
      <c r="WMI314" s="13"/>
      <c r="WMJ314" s="35"/>
      <c r="WMK314" s="35"/>
      <c r="WML314" s="15"/>
      <c r="WMN314" s="13"/>
      <c r="WMO314" s="35"/>
      <c r="WMP314" s="35"/>
      <c r="WMQ314" s="15"/>
      <c r="WMS314" s="13"/>
      <c r="WMT314" s="35"/>
      <c r="WMU314" s="35"/>
      <c r="WMV314" s="15"/>
      <c r="WMX314" s="13"/>
      <c r="WMY314" s="35"/>
      <c r="WMZ314" s="35"/>
      <c r="WNA314" s="15"/>
      <c r="WNC314" s="13"/>
      <c r="WND314" s="35"/>
      <c r="WNE314" s="35"/>
      <c r="WNF314" s="15"/>
      <c r="WNH314" s="13"/>
      <c r="WNI314" s="35"/>
      <c r="WNJ314" s="35"/>
      <c r="WNK314" s="15"/>
      <c r="WNM314" s="13"/>
      <c r="WNN314" s="35"/>
      <c r="WNO314" s="35"/>
      <c r="WNP314" s="15"/>
      <c r="WNR314" s="13"/>
      <c r="WNS314" s="35"/>
      <c r="WNT314" s="35"/>
      <c r="WNU314" s="15"/>
      <c r="WNW314" s="13"/>
      <c r="WNX314" s="35"/>
      <c r="WNY314" s="35"/>
      <c r="WNZ314" s="15"/>
      <c r="WOB314" s="13"/>
      <c r="WOC314" s="35"/>
      <c r="WOD314" s="35"/>
      <c r="WOE314" s="15"/>
      <c r="WOG314" s="13"/>
      <c r="WOH314" s="35"/>
      <c r="WOI314" s="35"/>
      <c r="WOJ314" s="15"/>
      <c r="WOL314" s="13"/>
      <c r="WOM314" s="35"/>
      <c r="WON314" s="35"/>
      <c r="WOO314" s="15"/>
      <c r="WOQ314" s="13"/>
      <c r="WOR314" s="35"/>
      <c r="WOS314" s="35"/>
      <c r="WOT314" s="15"/>
      <c r="WOV314" s="13"/>
      <c r="WOW314" s="35"/>
      <c r="WOX314" s="35"/>
      <c r="WOY314" s="15"/>
      <c r="WPA314" s="13"/>
      <c r="WPB314" s="35"/>
      <c r="WPC314" s="35"/>
      <c r="WPD314" s="15"/>
      <c r="WPF314" s="13"/>
      <c r="WPG314" s="35"/>
      <c r="WPH314" s="35"/>
      <c r="WPI314" s="15"/>
      <c r="WPK314" s="13"/>
      <c r="WPL314" s="35"/>
      <c r="WPM314" s="35"/>
      <c r="WPN314" s="15"/>
      <c r="WPP314" s="13"/>
      <c r="WPQ314" s="35"/>
      <c r="WPR314" s="35"/>
      <c r="WPS314" s="15"/>
      <c r="WPU314" s="13"/>
      <c r="WPV314" s="35"/>
      <c r="WPW314" s="35"/>
      <c r="WPX314" s="15"/>
      <c r="WPZ314" s="13"/>
      <c r="WQA314" s="35"/>
      <c r="WQB314" s="35"/>
      <c r="WQC314" s="15"/>
      <c r="WQE314" s="13"/>
      <c r="WQF314" s="35"/>
      <c r="WQG314" s="35"/>
      <c r="WQH314" s="15"/>
      <c r="WQJ314" s="13"/>
      <c r="WQK314" s="35"/>
      <c r="WQL314" s="35"/>
      <c r="WQM314" s="15"/>
      <c r="WQO314" s="13"/>
      <c r="WQP314" s="35"/>
      <c r="WQQ314" s="35"/>
      <c r="WQR314" s="15"/>
      <c r="WQT314" s="13"/>
      <c r="WQU314" s="35"/>
      <c r="WQV314" s="35"/>
      <c r="WQW314" s="15"/>
      <c r="WQY314" s="13"/>
      <c r="WQZ314" s="35"/>
      <c r="WRA314" s="35"/>
      <c r="WRB314" s="15"/>
      <c r="WRD314" s="13"/>
      <c r="WRE314" s="35"/>
      <c r="WRF314" s="35"/>
      <c r="WRG314" s="15"/>
      <c r="WRI314" s="13"/>
      <c r="WRJ314" s="35"/>
      <c r="WRK314" s="35"/>
      <c r="WRL314" s="15"/>
      <c r="WRN314" s="13"/>
      <c r="WRO314" s="35"/>
      <c r="WRP314" s="35"/>
      <c r="WRQ314" s="15"/>
      <c r="WRS314" s="13"/>
      <c r="WRT314" s="35"/>
      <c r="WRU314" s="35"/>
      <c r="WRV314" s="15"/>
      <c r="WRX314" s="13"/>
      <c r="WRY314" s="35"/>
      <c r="WRZ314" s="35"/>
      <c r="WSA314" s="15"/>
      <c r="WSC314" s="13"/>
      <c r="WSD314" s="35"/>
      <c r="WSE314" s="35"/>
      <c r="WSF314" s="15"/>
      <c r="WSH314" s="13"/>
      <c r="WSI314" s="35"/>
      <c r="WSJ314" s="35"/>
      <c r="WSK314" s="15"/>
      <c r="WSM314" s="13"/>
      <c r="WSN314" s="35"/>
      <c r="WSO314" s="35"/>
      <c r="WSP314" s="15"/>
      <c r="WSR314" s="13"/>
      <c r="WSS314" s="35"/>
      <c r="WST314" s="35"/>
      <c r="WSU314" s="15"/>
      <c r="WSW314" s="13"/>
      <c r="WSX314" s="35"/>
      <c r="WSY314" s="35"/>
      <c r="WSZ314" s="15"/>
      <c r="WTB314" s="13"/>
      <c r="WTC314" s="35"/>
      <c r="WTD314" s="35"/>
      <c r="WTE314" s="15"/>
      <c r="WTG314" s="13"/>
      <c r="WTH314" s="35"/>
      <c r="WTI314" s="35"/>
      <c r="WTJ314" s="15"/>
      <c r="WTL314" s="13"/>
      <c r="WTM314" s="35"/>
      <c r="WTN314" s="35"/>
      <c r="WTO314" s="15"/>
      <c r="WTQ314" s="13"/>
      <c r="WTR314" s="35"/>
      <c r="WTS314" s="35"/>
      <c r="WTT314" s="15"/>
      <c r="WTV314" s="13"/>
      <c r="WTW314" s="35"/>
      <c r="WTX314" s="35"/>
      <c r="WTY314" s="15"/>
      <c r="WUA314" s="13"/>
      <c r="WUB314" s="35"/>
      <c r="WUC314" s="35"/>
      <c r="WUD314" s="15"/>
      <c r="WUF314" s="13"/>
      <c r="WUG314" s="35"/>
      <c r="WUH314" s="35"/>
      <c r="WUI314" s="15"/>
      <c r="WUK314" s="13"/>
      <c r="WUL314" s="35"/>
      <c r="WUM314" s="35"/>
      <c r="WUN314" s="15"/>
      <c r="WUP314" s="13"/>
      <c r="WUQ314" s="35"/>
      <c r="WUR314" s="35"/>
      <c r="WUS314" s="15"/>
      <c r="WUU314" s="13"/>
      <c r="WUV314" s="35"/>
      <c r="WUW314" s="35"/>
      <c r="WUX314" s="15"/>
      <c r="WUZ314" s="13"/>
      <c r="WVA314" s="35"/>
      <c r="WVB314" s="35"/>
      <c r="WVC314" s="15"/>
      <c r="WVE314" s="13"/>
      <c r="WVF314" s="35"/>
      <c r="WVG314" s="35"/>
      <c r="WVH314" s="15"/>
      <c r="WVJ314" s="13"/>
      <c r="WVK314" s="35"/>
      <c r="WVL314" s="35"/>
      <c r="WVM314" s="15"/>
      <c r="WVO314" s="13"/>
      <c r="WVP314" s="35"/>
      <c r="WVQ314" s="35"/>
      <c r="WVR314" s="15"/>
      <c r="WVT314" s="13"/>
      <c r="WVU314" s="35"/>
      <c r="WVV314" s="35"/>
      <c r="WVW314" s="15"/>
      <c r="WVY314" s="13"/>
      <c r="WVZ314" s="35"/>
      <c r="WWA314" s="35"/>
      <c r="WWB314" s="15"/>
      <c r="WWD314" s="13"/>
      <c r="WWE314" s="35"/>
      <c r="WWF314" s="35"/>
      <c r="WWG314" s="15"/>
      <c r="WWI314" s="13"/>
      <c r="WWJ314" s="35"/>
      <c r="WWK314" s="35"/>
      <c r="WWL314" s="15"/>
      <c r="WWN314" s="13"/>
      <c r="WWO314" s="35"/>
      <c r="WWP314" s="35"/>
      <c r="WWQ314" s="15"/>
      <c r="WWS314" s="13"/>
      <c r="WWT314" s="35"/>
      <c r="WWU314" s="35"/>
      <c r="WWV314" s="15"/>
      <c r="WWX314" s="13"/>
      <c r="WWY314" s="35"/>
      <c r="WWZ314" s="35"/>
      <c r="WXA314" s="15"/>
      <c r="WXC314" s="13"/>
      <c r="WXD314" s="35"/>
      <c r="WXE314" s="35"/>
      <c r="WXF314" s="15"/>
      <c r="WXH314" s="13"/>
      <c r="WXI314" s="35"/>
      <c r="WXJ314" s="35"/>
      <c r="WXK314" s="15"/>
      <c r="WXM314" s="13"/>
      <c r="WXN314" s="35"/>
      <c r="WXO314" s="35"/>
      <c r="WXP314" s="15"/>
      <c r="WXR314" s="13"/>
      <c r="WXS314" s="35"/>
      <c r="WXT314" s="35"/>
      <c r="WXU314" s="15"/>
      <c r="WXW314" s="13"/>
      <c r="WXX314" s="35"/>
      <c r="WXY314" s="35"/>
      <c r="WXZ314" s="15"/>
      <c r="WYB314" s="13"/>
      <c r="WYC314" s="35"/>
      <c r="WYD314" s="35"/>
      <c r="WYE314" s="15"/>
      <c r="WYG314" s="13"/>
      <c r="WYH314" s="35"/>
      <c r="WYI314" s="35"/>
      <c r="WYJ314" s="15"/>
      <c r="WYL314" s="13"/>
      <c r="WYM314" s="35"/>
      <c r="WYN314" s="35"/>
      <c r="WYO314" s="15"/>
      <c r="WYQ314" s="13"/>
      <c r="WYR314" s="35"/>
      <c r="WYS314" s="35"/>
      <c r="WYT314" s="15"/>
      <c r="WYV314" s="13"/>
      <c r="WYW314" s="35"/>
      <c r="WYX314" s="35"/>
      <c r="WYY314" s="15"/>
      <c r="WZA314" s="13"/>
      <c r="WZB314" s="35"/>
      <c r="WZC314" s="35"/>
      <c r="WZD314" s="15"/>
      <c r="WZF314" s="13"/>
      <c r="WZG314" s="35"/>
      <c r="WZH314" s="35"/>
      <c r="WZI314" s="15"/>
      <c r="WZK314" s="13"/>
      <c r="WZL314" s="35"/>
      <c r="WZM314" s="35"/>
      <c r="WZN314" s="15"/>
      <c r="WZP314" s="13"/>
      <c r="WZQ314" s="35"/>
      <c r="WZR314" s="35"/>
      <c r="WZS314" s="15"/>
      <c r="WZU314" s="13"/>
      <c r="WZV314" s="35"/>
      <c r="WZW314" s="35"/>
      <c r="WZX314" s="15"/>
      <c r="WZZ314" s="13"/>
      <c r="XAA314" s="35"/>
      <c r="XAB314" s="35"/>
      <c r="XAC314" s="15"/>
      <c r="XAE314" s="13"/>
      <c r="XAF314" s="35"/>
      <c r="XAG314" s="35"/>
      <c r="XAH314" s="15"/>
      <c r="XAJ314" s="13"/>
      <c r="XAK314" s="35"/>
      <c r="XAL314" s="35"/>
      <c r="XAM314" s="15"/>
      <c r="XAO314" s="13"/>
      <c r="XAP314" s="35"/>
      <c r="XAQ314" s="35"/>
      <c r="XAR314" s="15"/>
      <c r="XAT314" s="13"/>
      <c r="XAU314" s="35"/>
      <c r="XAV314" s="35"/>
      <c r="XAW314" s="15"/>
      <c r="XAY314" s="13"/>
      <c r="XAZ314" s="35"/>
      <c r="XBA314" s="35"/>
      <c r="XBB314" s="15"/>
      <c r="XBD314" s="13"/>
      <c r="XBE314" s="35"/>
      <c r="XBF314" s="35"/>
      <c r="XBG314" s="15"/>
      <c r="XBI314" s="13"/>
      <c r="XBJ314" s="35"/>
      <c r="XBK314" s="35"/>
      <c r="XBL314" s="15"/>
      <c r="XBN314" s="13"/>
      <c r="XBO314" s="35"/>
      <c r="XBP314" s="35"/>
      <c r="XBQ314" s="15"/>
      <c r="XBS314" s="13"/>
      <c r="XBT314" s="35"/>
      <c r="XBU314" s="35"/>
      <c r="XBV314" s="15"/>
      <c r="XBX314" s="13"/>
      <c r="XBY314" s="35"/>
      <c r="XBZ314" s="35"/>
      <c r="XCA314" s="15"/>
      <c r="XCC314" s="13"/>
      <c r="XCD314" s="35"/>
      <c r="XCE314" s="35"/>
      <c r="XCF314" s="15"/>
      <c r="XCH314" s="13"/>
      <c r="XCI314" s="35"/>
      <c r="XCJ314" s="35"/>
      <c r="XCK314" s="15"/>
      <c r="XCM314" s="13"/>
      <c r="XCN314" s="35"/>
      <c r="XCO314" s="35"/>
      <c r="XCP314" s="15"/>
      <c r="XCR314" s="13"/>
      <c r="XCS314" s="35"/>
      <c r="XCT314" s="35"/>
      <c r="XCU314" s="15"/>
      <c r="XCW314" s="13"/>
      <c r="XCX314" s="35"/>
      <c r="XCY314" s="35"/>
      <c r="XCZ314" s="15"/>
      <c r="XDB314" s="13"/>
      <c r="XDC314" s="35"/>
      <c r="XDD314" s="35"/>
      <c r="XDE314" s="15"/>
      <c r="XDG314" s="13"/>
      <c r="XDH314" s="35"/>
      <c r="XDI314" s="35"/>
      <c r="XDJ314" s="15"/>
      <c r="XDL314" s="13"/>
      <c r="XDM314" s="35"/>
      <c r="XDN314" s="35"/>
      <c r="XDO314" s="15"/>
      <c r="XDQ314" s="13"/>
      <c r="XDR314" s="35"/>
      <c r="XDS314" s="35"/>
      <c r="XDT314" s="15"/>
      <c r="XDV314" s="13"/>
      <c r="XDW314" s="35"/>
      <c r="XDX314" s="35"/>
      <c r="XDY314" s="15"/>
      <c r="XEA314" s="13"/>
      <c r="XEB314" s="35"/>
      <c r="XEC314" s="35"/>
      <c r="XED314" s="15"/>
      <c r="XEF314" s="13"/>
      <c r="XEG314" s="35"/>
      <c r="XEH314" s="35"/>
      <c r="XEI314" s="15"/>
      <c r="XEK314" s="13"/>
      <c r="XEL314" s="35"/>
      <c r="XEM314" s="35"/>
      <c r="XEN314" s="15"/>
      <c r="XEP314" s="13"/>
      <c r="XEQ314" s="35"/>
      <c r="XER314" s="35"/>
      <c r="XES314" s="15"/>
      <c r="XEU314" s="13"/>
      <c r="XEV314" s="35"/>
      <c r="XEW314" s="35"/>
      <c r="XEX314" s="15"/>
      <c r="XEZ314" s="13"/>
      <c r="XFA314" s="35"/>
      <c r="XFB314" s="35"/>
      <c r="XFC314" s="15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503"/>
  <sheetViews>
    <sheetView zoomScale="90" zoomScaleNormal="90" workbookViewId="0">
      <pane ySplit="10" topLeftCell="A345" activePane="bottomLeft" state="frozen"/>
      <selection pane="bottomLeft" activeCell="U355" sqref="U355"/>
    </sheetView>
  </sheetViews>
  <sheetFormatPr baseColWidth="10" defaultColWidth="11.44140625" defaultRowHeight="14.4" x14ac:dyDescent="0.3"/>
  <cols>
    <col min="1" max="1" width="11.5546875" style="36" bestFit="1" customWidth="1"/>
    <col min="2" max="2" width="6" style="2" customWidth="1"/>
    <col min="3" max="3" width="9.5546875" style="1" bestFit="1" customWidth="1"/>
    <col min="4" max="4" width="7" style="1" bestFit="1" customWidth="1"/>
    <col min="5" max="5" width="15.88671875" style="1" bestFit="1" customWidth="1"/>
    <col min="6" max="6" width="24.88671875" style="3" bestFit="1" customWidth="1"/>
    <col min="7" max="7" width="8.6640625" style="3" bestFit="1" customWidth="1"/>
    <col min="8" max="8" width="12.6640625" style="3" bestFit="1" customWidth="1"/>
    <col min="9" max="9" width="12.6640625" style="3" customWidth="1"/>
    <col min="10" max="10" width="21.5546875" style="3" bestFit="1" customWidth="1"/>
    <col min="11" max="11" width="22.109375" style="3" bestFit="1" customWidth="1"/>
    <col min="12" max="12" width="8.88671875" style="3" bestFit="1" customWidth="1"/>
    <col min="13" max="13" width="12.33203125" style="3" bestFit="1" customWidth="1"/>
    <col min="14" max="14" width="9.88671875" style="1" bestFit="1" customWidth="1"/>
    <col min="15" max="15" width="15" style="3" bestFit="1" customWidth="1"/>
    <col min="16" max="16" width="10.109375" style="3" bestFit="1" customWidth="1"/>
    <col min="17" max="17" width="16.33203125" style="39" bestFit="1" customWidth="1"/>
    <col min="18" max="18" width="16.33203125" style="3" bestFit="1" customWidth="1"/>
    <col min="19" max="19" width="9.88671875" style="3" bestFit="1" customWidth="1"/>
    <col min="20" max="20" width="14.109375" style="3" bestFit="1" customWidth="1"/>
    <col min="21" max="21" width="14.5546875" style="1" customWidth="1"/>
    <col min="22" max="22" width="15.33203125" style="6" customWidth="1"/>
    <col min="23" max="16384" width="11.44140625" style="1"/>
  </cols>
  <sheetData>
    <row r="1" spans="1:22" x14ac:dyDescent="0.3">
      <c r="Q1" s="38"/>
    </row>
    <row r="2" spans="1:22" ht="15" customHeight="1" x14ac:dyDescent="0.3">
      <c r="F2" s="10"/>
      <c r="G2" s="40"/>
      <c r="H2" s="80" t="s">
        <v>319</v>
      </c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</row>
    <row r="3" spans="1:22" ht="15" customHeight="1" x14ac:dyDescent="0.3">
      <c r="F3" s="10"/>
      <c r="G3" s="40"/>
      <c r="H3" s="80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</row>
    <row r="4" spans="1:22" ht="15" x14ac:dyDescent="0.3">
      <c r="F4" s="10"/>
      <c r="G4" s="40"/>
      <c r="H4" s="80"/>
      <c r="I4" s="80"/>
      <c r="J4" s="80"/>
      <c r="K4" s="80"/>
      <c r="L4" s="80"/>
      <c r="M4" s="80"/>
      <c r="N4" s="80"/>
      <c r="O4" s="80"/>
      <c r="P4" s="80"/>
      <c r="Q4" s="80"/>
      <c r="R4" s="80"/>
      <c r="S4" s="80"/>
      <c r="T4" s="80"/>
      <c r="U4" s="80"/>
      <c r="V4" s="80"/>
    </row>
    <row r="5" spans="1:22" ht="15" x14ac:dyDescent="0.3">
      <c r="F5" s="10"/>
      <c r="G5" s="4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</row>
    <row r="6" spans="1:22" ht="15" x14ac:dyDescent="0.3">
      <c r="F6" s="10"/>
      <c r="G6" s="4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</row>
    <row r="7" spans="1:22" x14ac:dyDescent="0.3">
      <c r="H7" s="37" t="s">
        <v>340</v>
      </c>
      <c r="Q7" s="38"/>
    </row>
    <row r="8" spans="1:22" x14ac:dyDescent="0.3">
      <c r="A8" s="37"/>
      <c r="C8" s="3"/>
      <c r="E8" s="3"/>
      <c r="Q8" s="38"/>
      <c r="U8" s="3"/>
    </row>
    <row r="9" spans="1:22" x14ac:dyDescent="0.3">
      <c r="A9" s="37"/>
      <c r="C9" s="3"/>
      <c r="E9" s="3"/>
      <c r="Q9" s="38"/>
      <c r="U9" s="3"/>
    </row>
    <row r="10" spans="1:22" ht="15" customHeight="1" x14ac:dyDescent="0.3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x14ac:dyDescent="0.3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x14ac:dyDescent="0.3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x14ac:dyDescent="0.3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x14ac:dyDescent="0.3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x14ac:dyDescent="0.3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x14ac:dyDescent="0.3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x14ac:dyDescent="0.3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x14ac:dyDescent="0.3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x14ac:dyDescent="0.3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x14ac:dyDescent="0.3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x14ac:dyDescent="0.3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x14ac:dyDescent="0.3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x14ac:dyDescent="0.3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x14ac:dyDescent="0.3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x14ac:dyDescent="0.3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x14ac:dyDescent="0.3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x14ac:dyDescent="0.3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x14ac:dyDescent="0.3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x14ac:dyDescent="0.3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x14ac:dyDescent="0.3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x14ac:dyDescent="0.3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x14ac:dyDescent="0.3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x14ac:dyDescent="0.3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x14ac:dyDescent="0.3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x14ac:dyDescent="0.3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x14ac:dyDescent="0.3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x14ac:dyDescent="0.3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x14ac:dyDescent="0.3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x14ac:dyDescent="0.3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x14ac:dyDescent="0.3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x14ac:dyDescent="0.3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x14ac:dyDescent="0.3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x14ac:dyDescent="0.3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x14ac:dyDescent="0.3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x14ac:dyDescent="0.3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x14ac:dyDescent="0.3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x14ac:dyDescent="0.3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x14ac:dyDescent="0.3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x14ac:dyDescent="0.3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x14ac:dyDescent="0.3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x14ac:dyDescent="0.3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x14ac:dyDescent="0.3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x14ac:dyDescent="0.3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x14ac:dyDescent="0.3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x14ac:dyDescent="0.3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x14ac:dyDescent="0.3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x14ac:dyDescent="0.3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x14ac:dyDescent="0.3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x14ac:dyDescent="0.3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x14ac:dyDescent="0.3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x14ac:dyDescent="0.3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x14ac:dyDescent="0.3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x14ac:dyDescent="0.3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x14ac:dyDescent="0.3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x14ac:dyDescent="0.3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x14ac:dyDescent="0.3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x14ac:dyDescent="0.3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x14ac:dyDescent="0.3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x14ac:dyDescent="0.3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x14ac:dyDescent="0.3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x14ac:dyDescent="0.3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x14ac:dyDescent="0.3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x14ac:dyDescent="0.3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x14ac:dyDescent="0.3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x14ac:dyDescent="0.3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x14ac:dyDescent="0.3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x14ac:dyDescent="0.3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x14ac:dyDescent="0.3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x14ac:dyDescent="0.3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x14ac:dyDescent="0.3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x14ac:dyDescent="0.3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x14ac:dyDescent="0.3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x14ac:dyDescent="0.3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x14ac:dyDescent="0.3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x14ac:dyDescent="0.3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x14ac:dyDescent="0.3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x14ac:dyDescent="0.3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x14ac:dyDescent="0.3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x14ac:dyDescent="0.3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x14ac:dyDescent="0.3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x14ac:dyDescent="0.3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x14ac:dyDescent="0.3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x14ac:dyDescent="0.3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x14ac:dyDescent="0.3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x14ac:dyDescent="0.3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x14ac:dyDescent="0.3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x14ac:dyDescent="0.3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x14ac:dyDescent="0.3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x14ac:dyDescent="0.3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x14ac:dyDescent="0.3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x14ac:dyDescent="0.3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x14ac:dyDescent="0.3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x14ac:dyDescent="0.3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x14ac:dyDescent="0.3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x14ac:dyDescent="0.3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x14ac:dyDescent="0.3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x14ac:dyDescent="0.3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x14ac:dyDescent="0.3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x14ac:dyDescent="0.3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x14ac:dyDescent="0.3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x14ac:dyDescent="0.3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x14ac:dyDescent="0.3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x14ac:dyDescent="0.3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x14ac:dyDescent="0.3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x14ac:dyDescent="0.3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x14ac:dyDescent="0.3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x14ac:dyDescent="0.3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x14ac:dyDescent="0.3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x14ac:dyDescent="0.3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x14ac:dyDescent="0.3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x14ac:dyDescent="0.3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x14ac:dyDescent="0.3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x14ac:dyDescent="0.3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x14ac:dyDescent="0.3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x14ac:dyDescent="0.3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x14ac:dyDescent="0.3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x14ac:dyDescent="0.3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x14ac:dyDescent="0.3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x14ac:dyDescent="0.3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x14ac:dyDescent="0.3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x14ac:dyDescent="0.3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x14ac:dyDescent="0.3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x14ac:dyDescent="0.3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x14ac:dyDescent="0.3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x14ac:dyDescent="0.3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x14ac:dyDescent="0.3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x14ac:dyDescent="0.3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x14ac:dyDescent="0.3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x14ac:dyDescent="0.3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x14ac:dyDescent="0.3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x14ac:dyDescent="0.3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x14ac:dyDescent="0.3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x14ac:dyDescent="0.3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x14ac:dyDescent="0.3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x14ac:dyDescent="0.3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x14ac:dyDescent="0.3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x14ac:dyDescent="0.3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x14ac:dyDescent="0.3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x14ac:dyDescent="0.3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x14ac:dyDescent="0.3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x14ac:dyDescent="0.3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x14ac:dyDescent="0.3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x14ac:dyDescent="0.3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x14ac:dyDescent="0.3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x14ac:dyDescent="0.3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x14ac:dyDescent="0.3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x14ac:dyDescent="0.3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x14ac:dyDescent="0.3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x14ac:dyDescent="0.3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x14ac:dyDescent="0.3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x14ac:dyDescent="0.3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x14ac:dyDescent="0.3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x14ac:dyDescent="0.3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x14ac:dyDescent="0.3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x14ac:dyDescent="0.3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x14ac:dyDescent="0.3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x14ac:dyDescent="0.3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x14ac:dyDescent="0.3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x14ac:dyDescent="0.3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x14ac:dyDescent="0.3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x14ac:dyDescent="0.3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x14ac:dyDescent="0.3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x14ac:dyDescent="0.3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x14ac:dyDescent="0.3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x14ac:dyDescent="0.3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x14ac:dyDescent="0.3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x14ac:dyDescent="0.3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x14ac:dyDescent="0.3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x14ac:dyDescent="0.3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x14ac:dyDescent="0.3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x14ac:dyDescent="0.3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x14ac:dyDescent="0.3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x14ac:dyDescent="0.3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x14ac:dyDescent="0.3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x14ac:dyDescent="0.3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x14ac:dyDescent="0.3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x14ac:dyDescent="0.3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x14ac:dyDescent="0.3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x14ac:dyDescent="0.3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x14ac:dyDescent="0.3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x14ac:dyDescent="0.3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x14ac:dyDescent="0.3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x14ac:dyDescent="0.3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x14ac:dyDescent="0.3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x14ac:dyDescent="0.3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x14ac:dyDescent="0.3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x14ac:dyDescent="0.3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x14ac:dyDescent="0.3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x14ac:dyDescent="0.3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x14ac:dyDescent="0.3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x14ac:dyDescent="0.3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 t="shared" ref="K201:K205" si="24">(+I201-H201)/365</f>
        <v>12.852054794520548</v>
      </c>
      <c r="L201" s="17">
        <v>300</v>
      </c>
      <c r="M201" s="19">
        <v>508.49</v>
      </c>
      <c r="N201" s="20">
        <f t="shared" ref="N201:N354" si="25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6">+V201-U201</f>
        <v>99.692769999999996</v>
      </c>
      <c r="U201" s="34">
        <v>0.38723000000000002</v>
      </c>
      <c r="V201" s="34">
        <v>100.08</v>
      </c>
    </row>
    <row r="202" spans="1:22" x14ac:dyDescent="0.3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 t="shared" si="24"/>
        <v>25.863013698630137</v>
      </c>
      <c r="L202" s="17">
        <v>1000</v>
      </c>
      <c r="M202" s="19">
        <v>2550</v>
      </c>
      <c r="N202" s="20">
        <f t="shared" si="25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6"/>
        <v>101.97061000000001</v>
      </c>
      <c r="U202" s="34">
        <v>0.30939</v>
      </c>
      <c r="V202" s="34">
        <v>102.28</v>
      </c>
    </row>
    <row r="203" spans="1:22" x14ac:dyDescent="0.3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 t="shared" si="24"/>
        <v>4.1589041095890407</v>
      </c>
      <c r="L203" s="17">
        <v>500</v>
      </c>
      <c r="M203" s="17">
        <v>1806.21</v>
      </c>
      <c r="N203" s="20">
        <f t="shared" si="25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6"/>
        <v>103.1665</v>
      </c>
      <c r="U203" s="34">
        <v>0.54349999999999998</v>
      </c>
      <c r="V203" s="34">
        <v>103.71</v>
      </c>
    </row>
    <row r="204" spans="1:22" x14ac:dyDescent="0.3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 t="shared" si="24"/>
        <v>15.167123287671233</v>
      </c>
      <c r="L204" s="17">
        <v>1380</v>
      </c>
      <c r="M204" s="17">
        <v>3626</v>
      </c>
      <c r="N204" s="20">
        <f t="shared" si="25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6"/>
        <v>108.19448</v>
      </c>
      <c r="U204" s="34">
        <v>0.84552000000000005</v>
      </c>
      <c r="V204" s="34">
        <v>109.03999999999999</v>
      </c>
    </row>
    <row r="205" spans="1:22" x14ac:dyDescent="0.3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 t="shared" si="24"/>
        <v>3.6958904109589041</v>
      </c>
      <c r="L205" s="17">
        <v>1350</v>
      </c>
      <c r="M205" s="17">
        <v>1796</v>
      </c>
      <c r="N205" s="20">
        <f t="shared" si="25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6"/>
        <v>98.107389999999995</v>
      </c>
      <c r="U205" s="34">
        <v>2.28261</v>
      </c>
      <c r="V205" s="34">
        <v>100.39</v>
      </c>
    </row>
    <row r="206" spans="1:22" x14ac:dyDescent="0.3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7">(+I206-E206)/365</f>
        <v>13.008219178082191</v>
      </c>
      <c r="K206" s="32">
        <f t="shared" ref="K206:K214" si="28">(+I206-H206)/365</f>
        <v>12.698630136986301</v>
      </c>
      <c r="L206" s="17">
        <v>300</v>
      </c>
      <c r="M206" s="17">
        <v>832.15</v>
      </c>
      <c r="N206" s="20">
        <f t="shared" si="25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6"/>
        <v>99.602339999999998</v>
      </c>
      <c r="U206" s="34">
        <v>0.76766000000000001</v>
      </c>
      <c r="V206" s="34">
        <v>100.37</v>
      </c>
    </row>
    <row r="207" spans="1:22" x14ac:dyDescent="0.3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8"/>
        <v>25.709589041095889</v>
      </c>
      <c r="L207" s="17">
        <v>2270</v>
      </c>
      <c r="M207" s="17">
        <v>5035</v>
      </c>
      <c r="N207" s="20">
        <f t="shared" si="25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6"/>
        <v>101.24122</v>
      </c>
      <c r="U207" s="34">
        <v>0.61878</v>
      </c>
      <c r="V207" s="34">
        <v>101.86</v>
      </c>
    </row>
    <row r="208" spans="1:22" x14ac:dyDescent="0.3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7"/>
        <v>13.008219178082191</v>
      </c>
      <c r="K208" s="32">
        <f t="shared" si="28"/>
        <v>12.67945205479452</v>
      </c>
      <c r="L208" s="17">
        <v>300</v>
      </c>
      <c r="M208" s="17">
        <v>375.36</v>
      </c>
      <c r="N208" s="20">
        <f t="shared" si="25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x14ac:dyDescent="0.3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7"/>
        <v>5.0027397260273974</v>
      </c>
      <c r="K209" s="32">
        <f t="shared" si="28"/>
        <v>5.0027397260273974</v>
      </c>
      <c r="L209" s="17">
        <v>475</v>
      </c>
      <c r="M209" s="17">
        <v>2217.85</v>
      </c>
      <c r="N209" s="20">
        <f t="shared" si="25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x14ac:dyDescent="0.3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7"/>
        <v>17.013698630136986</v>
      </c>
      <c r="K210" s="32">
        <f t="shared" si="28"/>
        <v>15.013698630136986</v>
      </c>
      <c r="L210" s="17">
        <v>1400</v>
      </c>
      <c r="M210" s="17">
        <v>5790.2</v>
      </c>
      <c r="N210" s="20">
        <f t="shared" si="25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x14ac:dyDescent="0.3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7"/>
        <v>5.0027397260273974</v>
      </c>
      <c r="K211" s="32">
        <f t="shared" si="28"/>
        <v>4.9506849315068493</v>
      </c>
      <c r="L211" s="17">
        <v>1300</v>
      </c>
      <c r="M211" s="17">
        <v>5497.25</v>
      </c>
      <c r="N211" s="20">
        <f t="shared" si="25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x14ac:dyDescent="0.3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7"/>
        <v>13.008219178082191</v>
      </c>
      <c r="K212" s="32">
        <f t="shared" si="28"/>
        <v>12.550684931506849</v>
      </c>
      <c r="L212" s="17">
        <v>1100</v>
      </c>
      <c r="M212" s="17">
        <v>3108.02</v>
      </c>
      <c r="N212" s="20">
        <f t="shared" si="25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x14ac:dyDescent="0.3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7"/>
        <v>17.013698630136986</v>
      </c>
      <c r="K213" s="32">
        <f t="shared" si="28"/>
        <v>14.980821917808219</v>
      </c>
      <c r="L213" s="17">
        <v>3500</v>
      </c>
      <c r="M213" s="17">
        <v>11885</v>
      </c>
      <c r="N213" s="20">
        <f t="shared" si="25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x14ac:dyDescent="0.3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7"/>
        <v>26.016438356164382</v>
      </c>
      <c r="K214" s="32">
        <f t="shared" si="28"/>
        <v>25.580821917808219</v>
      </c>
      <c r="L214" s="17">
        <v>4300</v>
      </c>
      <c r="M214" s="17">
        <v>12985</v>
      </c>
      <c r="N214" s="20">
        <f t="shared" si="25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x14ac:dyDescent="0.3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 t="shared" ref="J215" si="29">(+I215-E215)/365</f>
        <v>4.0027397260273974</v>
      </c>
      <c r="K215" s="32">
        <f t="shared" ref="K215:K220" si="30">(+I215-H215)/365</f>
        <v>3.5232876712328767</v>
      </c>
      <c r="L215" s="17">
        <v>700</v>
      </c>
      <c r="M215" s="17">
        <v>3926</v>
      </c>
      <c r="N215" s="20">
        <f t="shared" si="25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31">+T215+U215</f>
        <v>100.70658</v>
      </c>
    </row>
    <row r="216" spans="1:22" x14ac:dyDescent="0.3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7"/>
        <v>13.008219178082191</v>
      </c>
      <c r="K216" s="32">
        <f t="shared" si="30"/>
        <v>12.526027397260274</v>
      </c>
      <c r="L216" s="17">
        <v>300</v>
      </c>
      <c r="M216" s="17">
        <v>796.11</v>
      </c>
      <c r="N216" s="20">
        <f t="shared" si="25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31"/>
        <v>102.19</v>
      </c>
    </row>
    <row r="217" spans="1:22" x14ac:dyDescent="0.3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7"/>
        <v>26.016438356164382</v>
      </c>
      <c r="K217" s="32">
        <f t="shared" si="30"/>
        <v>25.536986301369861</v>
      </c>
      <c r="L217" s="17">
        <v>1000</v>
      </c>
      <c r="M217" s="17">
        <v>3840</v>
      </c>
      <c r="N217" s="20">
        <f t="shared" si="25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31"/>
        <v>106.13</v>
      </c>
    </row>
    <row r="218" spans="1:22" x14ac:dyDescent="0.3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7"/>
        <v>5.0027397260273974</v>
      </c>
      <c r="K218" s="32">
        <f t="shared" si="30"/>
        <v>4.8493150684931505</v>
      </c>
      <c r="L218" s="17">
        <v>475</v>
      </c>
      <c r="M218" s="17">
        <v>1247.6199999999999</v>
      </c>
      <c r="N218" s="20">
        <f t="shared" si="25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31"/>
        <v>102.72</v>
      </c>
    </row>
    <row r="219" spans="1:22" x14ac:dyDescent="0.3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7"/>
        <v>17.013698630136986</v>
      </c>
      <c r="K219" s="32">
        <f t="shared" si="30"/>
        <v>14.860273972602739</v>
      </c>
      <c r="L219" s="17">
        <v>1400</v>
      </c>
      <c r="M219" s="17">
        <v>5530</v>
      </c>
      <c r="N219" s="20">
        <f t="shared" si="25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31"/>
        <v>110.11</v>
      </c>
    </row>
    <row r="220" spans="1:22" x14ac:dyDescent="0.3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7"/>
        <v>4.0027397260273974</v>
      </c>
      <c r="K220" s="32">
        <f t="shared" si="30"/>
        <v>3.3698630136986303</v>
      </c>
      <c r="L220" s="17">
        <v>700</v>
      </c>
      <c r="M220" s="17">
        <v>2012.8</v>
      </c>
      <c r="N220" s="20">
        <f t="shared" si="25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31"/>
        <v>96.74</v>
      </c>
    </row>
    <row r="221" spans="1:22" x14ac:dyDescent="0.3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2">(+I221-E221)/365</f>
        <v>13.008219178082191</v>
      </c>
      <c r="K221" s="32">
        <f t="shared" ref="K221:K227" si="33">(+I221-H221)/365</f>
        <v>12.353424657534246</v>
      </c>
      <c r="L221" s="17">
        <v>300</v>
      </c>
      <c r="M221" s="17">
        <v>720.72</v>
      </c>
      <c r="N221" s="20">
        <f t="shared" si="25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31"/>
        <v>101.39</v>
      </c>
    </row>
    <row r="222" spans="1:22" x14ac:dyDescent="0.3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2"/>
        <v>26.016438356164382</v>
      </c>
      <c r="K222" s="32">
        <f t="shared" si="33"/>
        <v>25.364383561643837</v>
      </c>
      <c r="L222" s="17">
        <v>1000</v>
      </c>
      <c r="M222" s="17">
        <v>3729.9</v>
      </c>
      <c r="N222" s="20">
        <f t="shared" si="25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31"/>
        <v>105.84</v>
      </c>
    </row>
    <row r="223" spans="1:22" x14ac:dyDescent="0.3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2"/>
        <v>5.0027397260273974</v>
      </c>
      <c r="K223" s="32">
        <f t="shared" si="33"/>
        <v>4.6767123287671231</v>
      </c>
      <c r="L223" s="17">
        <v>475</v>
      </c>
      <c r="M223" s="17">
        <v>1090.6500000000001</v>
      </c>
      <c r="N223" s="20">
        <f t="shared" si="25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x14ac:dyDescent="0.3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2"/>
        <v>17.013698630136986</v>
      </c>
      <c r="K224" s="32">
        <f t="shared" si="33"/>
        <v>14.687671232876712</v>
      </c>
      <c r="L224" s="17">
        <v>1400</v>
      </c>
      <c r="M224" s="17">
        <v>3070</v>
      </c>
      <c r="N224" s="20">
        <f t="shared" si="25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x14ac:dyDescent="0.3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2"/>
        <v>4.0027397260273974</v>
      </c>
      <c r="K225" s="32">
        <f t="shared" si="33"/>
        <v>3.1780821917808217</v>
      </c>
      <c r="L225" s="17">
        <v>700</v>
      </c>
      <c r="M225" s="17">
        <v>2674.5</v>
      </c>
      <c r="N225" s="20">
        <f t="shared" si="25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x14ac:dyDescent="0.3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2"/>
        <v>13.008219178082191</v>
      </c>
      <c r="K226" s="32">
        <f t="shared" si="33"/>
        <v>12.180821917808219</v>
      </c>
      <c r="L226" s="17">
        <v>300</v>
      </c>
      <c r="M226" s="17">
        <v>276</v>
      </c>
      <c r="N226" s="20">
        <f t="shared" si="25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x14ac:dyDescent="0.3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2"/>
        <v>26.016438356164382</v>
      </c>
      <c r="K227" s="32">
        <f t="shared" si="33"/>
        <v>25.19178082191781</v>
      </c>
      <c r="L227" s="17">
        <v>1000</v>
      </c>
      <c r="M227" s="17">
        <v>1700</v>
      </c>
      <c r="N227" s="20">
        <f t="shared" si="25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x14ac:dyDescent="0.3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4">(+I228-E228)/365</f>
        <v>5.0027397260273974</v>
      </c>
      <c r="K228" s="32">
        <f t="shared" ref="K228:K234" si="35">(+I228-H228)/365</f>
        <v>4.5041095890410956</v>
      </c>
      <c r="L228" s="17">
        <v>350</v>
      </c>
      <c r="M228" s="17">
        <v>250.42</v>
      </c>
      <c r="N228" s="20">
        <f t="shared" si="25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x14ac:dyDescent="0.3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4"/>
        <v>17.013698630136986</v>
      </c>
      <c r="K229" s="32">
        <f t="shared" si="35"/>
        <v>14.515068493150684</v>
      </c>
      <c r="L229" s="17">
        <v>1300</v>
      </c>
      <c r="M229" s="17">
        <v>2416</v>
      </c>
      <c r="N229" s="20">
        <f t="shared" si="25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x14ac:dyDescent="0.3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4"/>
        <v>4.0027397260273974</v>
      </c>
      <c r="K230" s="32">
        <f t="shared" si="35"/>
        <v>3.0054794520547947</v>
      </c>
      <c r="L230" s="17">
        <v>500</v>
      </c>
      <c r="M230" s="17">
        <v>2086.44</v>
      </c>
      <c r="N230" s="20">
        <f t="shared" si="25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x14ac:dyDescent="0.3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4"/>
        <v>13.008219178082191</v>
      </c>
      <c r="K231" s="32">
        <f t="shared" si="35"/>
        <v>12.008219178082191</v>
      </c>
      <c r="L231" s="17">
        <v>300</v>
      </c>
      <c r="M231" s="17">
        <v>384.14</v>
      </c>
      <c r="N231" s="20">
        <f t="shared" si="25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x14ac:dyDescent="0.3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4"/>
        <v>26.016438356164382</v>
      </c>
      <c r="K232" s="32">
        <f t="shared" si="35"/>
        <v>25.019178082191782</v>
      </c>
      <c r="L232" s="17">
        <v>1000</v>
      </c>
      <c r="M232" s="17">
        <v>2610</v>
      </c>
      <c r="N232" s="20">
        <f t="shared" si="25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x14ac:dyDescent="0.3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4"/>
        <v>5.0027397260273974</v>
      </c>
      <c r="K233" s="32">
        <f t="shared" si="35"/>
        <v>4.3315068493150681</v>
      </c>
      <c r="L233" s="17">
        <v>350</v>
      </c>
      <c r="M233" s="17">
        <v>305.18</v>
      </c>
      <c r="N233" s="20">
        <f t="shared" si="25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x14ac:dyDescent="0.3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 t="shared" ref="J234:J238" si="36">(+I234-E234)/365</f>
        <v>17.013698630136986</v>
      </c>
      <c r="K234" s="32">
        <f t="shared" si="35"/>
        <v>14.342465753424657</v>
      </c>
      <c r="L234" s="17">
        <v>1300</v>
      </c>
      <c r="M234" s="17">
        <v>2100</v>
      </c>
      <c r="N234" s="20">
        <f t="shared" si="25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x14ac:dyDescent="0.3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 t="shared" si="36"/>
        <v>4.0027397260273974</v>
      </c>
      <c r="K235" s="32">
        <f t="shared" ref="K235:K241" si="37">(+I235-H235)/365</f>
        <v>2.8520547945205479</v>
      </c>
      <c r="L235" s="17">
        <v>500</v>
      </c>
      <c r="M235" s="17">
        <v>2134.06</v>
      </c>
      <c r="N235" s="20">
        <f t="shared" si="25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x14ac:dyDescent="0.3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 t="shared" si="36"/>
        <v>13.008219178082191</v>
      </c>
      <c r="K236" s="32">
        <f t="shared" si="37"/>
        <v>11.854794520547944</v>
      </c>
      <c r="L236" s="17">
        <v>300</v>
      </c>
      <c r="M236" s="17">
        <v>593.28</v>
      </c>
      <c r="N236" s="20">
        <f t="shared" si="25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x14ac:dyDescent="0.3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 t="shared" si="36"/>
        <v>26.016438356164382</v>
      </c>
      <c r="K237" s="32">
        <f t="shared" si="37"/>
        <v>24.865753424657534</v>
      </c>
      <c r="L237" s="17">
        <v>1000</v>
      </c>
      <c r="M237" s="17">
        <v>2373</v>
      </c>
      <c r="N237" s="20">
        <f t="shared" si="25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x14ac:dyDescent="0.3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 t="shared" si="36"/>
        <v>5.0027397260273974</v>
      </c>
      <c r="K238" s="32">
        <f t="shared" si="37"/>
        <v>4.1589041095890407</v>
      </c>
      <c r="L238" s="17">
        <v>350</v>
      </c>
      <c r="M238" s="17">
        <v>203.62</v>
      </c>
      <c r="N238" s="20">
        <f t="shared" si="25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x14ac:dyDescent="0.3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8">(+I239-E239)/365</f>
        <v>17.013698630136986</v>
      </c>
      <c r="K239" s="32">
        <f t="shared" si="37"/>
        <v>14.169863013698631</v>
      </c>
      <c r="L239" s="17">
        <v>1300</v>
      </c>
      <c r="M239" s="17">
        <v>3600</v>
      </c>
      <c r="N239" s="20">
        <f t="shared" si="25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x14ac:dyDescent="0.3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8"/>
        <v>4.0027397260273974</v>
      </c>
      <c r="K240" s="32">
        <f t="shared" si="37"/>
        <v>2.6986301369863015</v>
      </c>
      <c r="L240" s="17">
        <v>500</v>
      </c>
      <c r="M240" s="17">
        <v>3002.15</v>
      </c>
      <c r="N240" s="20">
        <f t="shared" si="25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x14ac:dyDescent="0.3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8"/>
        <v>13.008219178082191</v>
      </c>
      <c r="K241" s="32">
        <f t="shared" si="37"/>
        <v>11.701369863013699</v>
      </c>
      <c r="L241" s="17">
        <v>300</v>
      </c>
      <c r="M241" s="17">
        <v>250.04</v>
      </c>
      <c r="N241" s="20">
        <f t="shared" si="25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x14ac:dyDescent="0.3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8"/>
        <v>26.016438356164382</v>
      </c>
      <c r="K242" s="32">
        <f t="shared" ref="K242:K250" si="39">(+I242-H242)/365</f>
        <v>24.712328767123289</v>
      </c>
      <c r="L242" s="17">
        <v>1150</v>
      </c>
      <c r="M242" s="17">
        <v>3163.5</v>
      </c>
      <c r="N242" s="20">
        <f t="shared" si="25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x14ac:dyDescent="0.3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8"/>
        <v>6.0054794520547947</v>
      </c>
      <c r="K243" s="32">
        <f t="shared" si="39"/>
        <v>6.0054794520547947</v>
      </c>
      <c r="L243" s="17">
        <v>200</v>
      </c>
      <c r="M243" s="19">
        <v>446.44</v>
      </c>
      <c r="N243" s="20">
        <f t="shared" si="25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x14ac:dyDescent="0.3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8"/>
        <v>21.016438356164382</v>
      </c>
      <c r="K244" s="32">
        <f t="shared" si="39"/>
        <v>17.30958904109589</v>
      </c>
      <c r="L244" s="17">
        <v>1100</v>
      </c>
      <c r="M244" s="19">
        <v>3539</v>
      </c>
      <c r="N244" s="20">
        <f t="shared" si="25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x14ac:dyDescent="0.3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8"/>
        <v>6.0054794520547947</v>
      </c>
      <c r="K245" s="32">
        <f t="shared" si="39"/>
        <v>6.0054794520547947</v>
      </c>
      <c r="L245" s="17">
        <v>800</v>
      </c>
      <c r="M245" s="17">
        <v>4179.91</v>
      </c>
      <c r="N245" s="20">
        <f t="shared" si="25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40">+T245+U245</f>
        <v>100</v>
      </c>
    </row>
    <row r="246" spans="1:22" x14ac:dyDescent="0.3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8"/>
        <v>6.0054794520547947</v>
      </c>
      <c r="K246" s="32">
        <f t="shared" si="39"/>
        <v>5.934246575342466</v>
      </c>
      <c r="L246" s="17">
        <v>700</v>
      </c>
      <c r="M246" s="17">
        <v>1879.62</v>
      </c>
      <c r="N246" s="20">
        <f t="shared" si="25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40"/>
        <v>101.03</v>
      </c>
    </row>
    <row r="247" spans="1:22" x14ac:dyDescent="0.3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8"/>
        <v>6.0054794520547947</v>
      </c>
      <c r="K247" s="32">
        <f t="shared" si="39"/>
        <v>5.9726027397260273</v>
      </c>
      <c r="L247" s="17">
        <v>4000</v>
      </c>
      <c r="M247" s="17">
        <v>9010.32</v>
      </c>
      <c r="N247" s="20">
        <f t="shared" si="25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40"/>
        <v>100.85</v>
      </c>
    </row>
    <row r="248" spans="1:22" x14ac:dyDescent="0.3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8"/>
        <v>21.016438356164382</v>
      </c>
      <c r="K248" s="32">
        <f t="shared" si="39"/>
        <v>17.257534246575343</v>
      </c>
      <c r="L248" s="17">
        <v>4100</v>
      </c>
      <c r="M248" s="17">
        <v>11100</v>
      </c>
      <c r="N248" s="20">
        <f t="shared" si="25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40"/>
        <v>101.77999999999999</v>
      </c>
    </row>
    <row r="249" spans="1:22" x14ac:dyDescent="0.3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8"/>
        <v>26.016438356164382</v>
      </c>
      <c r="K249" s="32">
        <f t="shared" si="39"/>
        <v>24.564383561643837</v>
      </c>
      <c r="L249" s="17">
        <v>4100</v>
      </c>
      <c r="M249" s="17">
        <v>9675</v>
      </c>
      <c r="N249" s="20">
        <f t="shared" si="25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40"/>
        <v>98.32</v>
      </c>
    </row>
    <row r="250" spans="1:22" x14ac:dyDescent="0.3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8"/>
        <v>26.016438356164382</v>
      </c>
      <c r="K250" s="32">
        <f t="shared" si="39"/>
        <v>24.482191780821918</v>
      </c>
      <c r="L250" s="17">
        <v>1200</v>
      </c>
      <c r="M250" s="17">
        <v>4230</v>
      </c>
      <c r="N250" s="20">
        <f t="shared" si="25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40"/>
        <v>97.25</v>
      </c>
    </row>
    <row r="251" spans="1:22" x14ac:dyDescent="0.3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4" si="41">(+I251-E251)/365</f>
        <v>6.0054794520547947</v>
      </c>
      <c r="K251" s="32">
        <f t="shared" ref="K251:K254" si="42">(+I251-H251)/365</f>
        <v>5.8520547945205479</v>
      </c>
      <c r="L251" s="17">
        <v>200</v>
      </c>
      <c r="M251" s="19">
        <v>288.42</v>
      </c>
      <c r="N251" s="20">
        <f t="shared" si="25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x14ac:dyDescent="0.3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41"/>
        <v>21.016438356164382</v>
      </c>
      <c r="K252" s="32">
        <f t="shared" si="42"/>
        <v>17.156164383561645</v>
      </c>
      <c r="L252" s="17">
        <v>1100</v>
      </c>
      <c r="M252" s="17">
        <v>1300</v>
      </c>
      <c r="N252" s="20">
        <f t="shared" si="25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x14ac:dyDescent="0.3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41"/>
        <v>6.0054794520547947</v>
      </c>
      <c r="K253" s="32">
        <f t="shared" si="42"/>
        <v>5.8520547945205479</v>
      </c>
      <c r="L253" s="17">
        <v>800</v>
      </c>
      <c r="M253" s="19">
        <v>611.79</v>
      </c>
      <c r="N253" s="20">
        <f t="shared" si="25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x14ac:dyDescent="0.3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41"/>
        <v>13.008219178082191</v>
      </c>
      <c r="K254" s="32">
        <f t="shared" si="42"/>
        <v>11.375342465753425</v>
      </c>
      <c r="L254" s="17">
        <v>200</v>
      </c>
      <c r="M254" s="17">
        <v>416.48</v>
      </c>
      <c r="N254" s="20">
        <f t="shared" si="25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x14ac:dyDescent="0.3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ref="J255:J259" si="43">(+I255-E255)/365</f>
        <v>26.016438356164382</v>
      </c>
      <c r="K255" s="32">
        <f t="shared" ref="K255:K262" si="44">(+I255-H255)/365</f>
        <v>24.386301369863013</v>
      </c>
      <c r="L255" s="17">
        <v>1200</v>
      </c>
      <c r="M255" s="17">
        <v>2308</v>
      </c>
      <c r="N255" s="20">
        <f t="shared" si="25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x14ac:dyDescent="0.3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43"/>
        <v>6.0054794520547947</v>
      </c>
      <c r="K256" s="32">
        <f t="shared" si="44"/>
        <v>5.6986301369863011</v>
      </c>
      <c r="L256" s="17">
        <v>200</v>
      </c>
      <c r="M256" s="17">
        <v>292.22000000000003</v>
      </c>
      <c r="N256" s="20">
        <f t="shared" si="25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x14ac:dyDescent="0.3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43"/>
        <v>21.016438356164382</v>
      </c>
      <c r="K257" s="32">
        <f t="shared" si="44"/>
        <v>17.002739726027396</v>
      </c>
      <c r="L257" s="17">
        <v>1100</v>
      </c>
      <c r="M257" s="17">
        <v>2565.69</v>
      </c>
      <c r="N257" s="20">
        <f t="shared" si="25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x14ac:dyDescent="0.3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43"/>
        <v>6.0054794520547947</v>
      </c>
      <c r="K258" s="32">
        <f t="shared" si="44"/>
        <v>5.6986301369863011</v>
      </c>
      <c r="L258" s="17">
        <v>800</v>
      </c>
      <c r="M258" s="17">
        <v>191.08</v>
      </c>
      <c r="N258" s="20">
        <f t="shared" si="25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x14ac:dyDescent="0.3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43"/>
        <v>13.008219178082191</v>
      </c>
      <c r="K259" s="32">
        <f t="shared" si="44"/>
        <v>11.202739726027398</v>
      </c>
      <c r="L259" s="17">
        <v>275</v>
      </c>
      <c r="M259" s="17">
        <v>349.33</v>
      </c>
      <c r="N259" s="20">
        <f t="shared" si="25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5">+T259+U259</f>
        <v>93.06</v>
      </c>
    </row>
    <row r="260" spans="1:22" x14ac:dyDescent="0.3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6">(+I260-E260)/365</f>
        <v>26.016438356164382</v>
      </c>
      <c r="K260" s="32">
        <f t="shared" si="44"/>
        <v>24.213698630136985</v>
      </c>
      <c r="L260" s="17">
        <v>1900</v>
      </c>
      <c r="M260" s="17">
        <v>3230</v>
      </c>
      <c r="N260" s="20">
        <f t="shared" si="25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5"/>
        <v>95.76</v>
      </c>
    </row>
    <row r="261" spans="1:22" x14ac:dyDescent="0.3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6"/>
        <v>13.010958904109589</v>
      </c>
      <c r="K261" s="32">
        <f t="shared" si="44"/>
        <v>13.010958904109589</v>
      </c>
      <c r="L261" s="17">
        <v>1200</v>
      </c>
      <c r="M261" s="17">
        <v>3090</v>
      </c>
      <c r="N261" s="20">
        <f t="shared" si="25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5"/>
        <v>100.52</v>
      </c>
    </row>
    <row r="262" spans="1:22" x14ac:dyDescent="0.3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6"/>
        <v>5.0027397260273974</v>
      </c>
      <c r="K262" s="32">
        <f t="shared" si="44"/>
        <v>3.4876712328767123</v>
      </c>
      <c r="L262" s="17">
        <v>200</v>
      </c>
      <c r="M262" s="17">
        <v>432.68</v>
      </c>
      <c r="N262" s="20">
        <f t="shared" si="25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5"/>
        <v>93.56</v>
      </c>
    </row>
    <row r="263" spans="1:22" x14ac:dyDescent="0.3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6"/>
        <v>6.0054794520547947</v>
      </c>
      <c r="K263" s="32">
        <f t="shared" ref="K263:K268" si="47">(+I263-H263)/365</f>
        <v>5.4876712328767123</v>
      </c>
      <c r="L263" s="17">
        <v>950</v>
      </c>
      <c r="M263" s="17">
        <v>2556.77</v>
      </c>
      <c r="N263" s="20">
        <f t="shared" si="25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5"/>
        <v>104.86</v>
      </c>
    </row>
    <row r="264" spans="1:22" x14ac:dyDescent="0.3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6"/>
        <v>13.008219178082191</v>
      </c>
      <c r="K264" s="32">
        <f t="shared" si="47"/>
        <v>11.03013698630137</v>
      </c>
      <c r="L264" s="17">
        <v>275</v>
      </c>
      <c r="M264" s="17">
        <v>524.46</v>
      </c>
      <c r="N264" s="20">
        <f t="shared" si="25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5"/>
        <v>93.7</v>
      </c>
    </row>
    <row r="265" spans="1:22" x14ac:dyDescent="0.3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6"/>
        <v>21.016438356164382</v>
      </c>
      <c r="K265" s="32">
        <f t="shared" si="47"/>
        <v>16.734246575342464</v>
      </c>
      <c r="L265" s="17">
        <v>1200</v>
      </c>
      <c r="M265" s="17">
        <v>2380</v>
      </c>
      <c r="N265" s="20">
        <f t="shared" si="25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x14ac:dyDescent="0.3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6"/>
        <v>13.010958904109589</v>
      </c>
      <c r="K266" s="32">
        <f t="shared" si="47"/>
        <v>12.860273972602739</v>
      </c>
      <c r="L266" s="17">
        <v>1200</v>
      </c>
      <c r="M266" s="17">
        <v>2480</v>
      </c>
      <c r="N266" s="20">
        <f t="shared" si="25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x14ac:dyDescent="0.3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6"/>
        <v>5.0027397260273974</v>
      </c>
      <c r="K267" s="32">
        <f t="shared" si="47"/>
        <v>3.3342465753424659</v>
      </c>
      <c r="L267" s="17">
        <v>200</v>
      </c>
      <c r="M267" s="17">
        <v>284.17</v>
      </c>
      <c r="N267" s="20">
        <f t="shared" si="25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x14ac:dyDescent="0.3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6"/>
        <v>6.0054794520547947</v>
      </c>
      <c r="K268" s="32">
        <f t="shared" si="47"/>
        <v>5.3150684931506849</v>
      </c>
      <c r="L268" s="17">
        <v>600</v>
      </c>
      <c r="M268" s="17">
        <v>393.34</v>
      </c>
      <c r="N268" s="20">
        <f t="shared" si="25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x14ac:dyDescent="0.3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8">(+I269-E269)/365</f>
        <v>13.008219178082191</v>
      </c>
      <c r="K269" s="32">
        <f t="shared" ref="K269:K281" si="49">(+I269-H269)/365</f>
        <v>10.857534246575343</v>
      </c>
      <c r="L269" s="17">
        <v>275</v>
      </c>
      <c r="M269" s="17">
        <v>262.11</v>
      </c>
      <c r="N269" s="20">
        <f t="shared" si="25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x14ac:dyDescent="0.3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8"/>
        <v>21.016438356164382</v>
      </c>
      <c r="K270" s="32">
        <f t="shared" si="49"/>
        <v>16.561643835616437</v>
      </c>
      <c r="L270" s="17">
        <v>1400</v>
      </c>
      <c r="M270" s="17">
        <v>1805</v>
      </c>
      <c r="N270" s="20">
        <f t="shared" si="25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x14ac:dyDescent="0.3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8"/>
        <v>13.010958904109589</v>
      </c>
      <c r="K271" s="32">
        <f t="shared" si="49"/>
        <v>12.687671232876712</v>
      </c>
      <c r="L271" s="17">
        <v>1200</v>
      </c>
      <c r="M271" s="17">
        <v>2125</v>
      </c>
      <c r="N271" s="20">
        <f t="shared" si="25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x14ac:dyDescent="0.3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8"/>
        <v>5.0027397260273974</v>
      </c>
      <c r="K272" s="32">
        <f t="shared" si="49"/>
        <v>3.1616438356164385</v>
      </c>
      <c r="L272" s="17">
        <v>200</v>
      </c>
      <c r="M272" s="17">
        <v>601</v>
      </c>
      <c r="N272" s="20">
        <f t="shared" si="25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x14ac:dyDescent="0.3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8"/>
        <v>7.0410958904109586</v>
      </c>
      <c r="K273" s="32">
        <f t="shared" si="49"/>
        <v>5.161643835616438</v>
      </c>
      <c r="L273" s="17">
        <v>600</v>
      </c>
      <c r="M273" s="17">
        <v>131</v>
      </c>
      <c r="N273" s="20">
        <f t="shared" si="25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x14ac:dyDescent="0.3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8"/>
        <v>13.008219178082191</v>
      </c>
      <c r="K274" s="32">
        <f t="shared" si="49"/>
        <v>10.704109589041096</v>
      </c>
      <c r="L274" s="17">
        <v>150</v>
      </c>
      <c r="M274" s="17">
        <v>339</v>
      </c>
      <c r="N274" s="20">
        <f t="shared" si="25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x14ac:dyDescent="0.3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8"/>
        <v>21.016438356164382</v>
      </c>
      <c r="K275" s="32">
        <f t="shared" si="49"/>
        <v>16.408219178082192</v>
      </c>
      <c r="L275" s="17">
        <v>1200</v>
      </c>
      <c r="M275" s="17">
        <v>2126</v>
      </c>
      <c r="N275" s="20">
        <f t="shared" si="25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x14ac:dyDescent="0.3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8"/>
        <v>13.010958904109589</v>
      </c>
      <c r="K276" s="32">
        <f t="shared" si="49"/>
        <v>12.515068493150684</v>
      </c>
      <c r="L276" s="17">
        <v>850</v>
      </c>
      <c r="M276" s="17">
        <v>3068</v>
      </c>
      <c r="N276" s="20">
        <f t="shared" si="25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x14ac:dyDescent="0.3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9"/>
        <v>4.9890410958904106</v>
      </c>
      <c r="L277" s="17">
        <v>200</v>
      </c>
      <c r="M277" s="17">
        <v>1068</v>
      </c>
      <c r="N277" s="20">
        <f t="shared" si="25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x14ac:dyDescent="0.3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8"/>
        <v>2.8328767123287673</v>
      </c>
      <c r="K278" s="32">
        <f t="shared" si="49"/>
        <v>2.8328767123287673</v>
      </c>
      <c r="L278" s="17">
        <v>600</v>
      </c>
      <c r="M278" s="17">
        <v>2513</v>
      </c>
      <c r="N278" s="20">
        <f t="shared" si="25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x14ac:dyDescent="0.3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8"/>
        <v>5.0054794520547947</v>
      </c>
      <c r="K279" s="32">
        <f t="shared" si="49"/>
        <v>5.0054794520547947</v>
      </c>
      <c r="L279" s="17">
        <v>1200</v>
      </c>
      <c r="M279" s="17">
        <v>3819.25</v>
      </c>
      <c r="N279" s="20">
        <f t="shared" si="25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x14ac:dyDescent="0.3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8"/>
        <v>12.008219178082191</v>
      </c>
      <c r="K280" s="32">
        <f t="shared" si="49"/>
        <v>12.008219178082191</v>
      </c>
      <c r="L280" s="17">
        <v>200</v>
      </c>
      <c r="M280" s="17">
        <v>614.80999999999995</v>
      </c>
      <c r="N280" s="20">
        <f t="shared" si="25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x14ac:dyDescent="0.3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50">(+I281-E281)/365</f>
        <v>2.8328767123287673</v>
      </c>
      <c r="K281" s="32">
        <f t="shared" si="49"/>
        <v>2.7561643835616438</v>
      </c>
      <c r="L281" s="17">
        <v>1000</v>
      </c>
      <c r="M281" s="17">
        <v>6268.51</v>
      </c>
      <c r="N281" s="20">
        <f t="shared" si="25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x14ac:dyDescent="0.3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50"/>
        <v>13.010958904109589</v>
      </c>
      <c r="K282" s="32">
        <f t="shared" ref="K282" si="51">(+I282-H282)/365</f>
        <v>12.361643835616439</v>
      </c>
      <c r="L282" s="17">
        <v>850</v>
      </c>
      <c r="M282" s="17">
        <v>2785.3</v>
      </c>
      <c r="N282" s="20">
        <f t="shared" si="25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x14ac:dyDescent="0.3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50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5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x14ac:dyDescent="0.3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50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5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x14ac:dyDescent="0.3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50"/>
        <v>5.0054794520547947</v>
      </c>
      <c r="K285" s="32">
        <f t="shared" ref="K285:K293" si="52">(+I285-H285)/365</f>
        <v>4.8328767123287673</v>
      </c>
      <c r="L285" s="17">
        <v>1200</v>
      </c>
      <c r="M285" s="19">
        <v>2265.15</v>
      </c>
      <c r="N285" s="20">
        <f t="shared" si="25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x14ac:dyDescent="0.3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50"/>
        <v>12.008219178082191</v>
      </c>
      <c r="K286" s="32">
        <f t="shared" si="52"/>
        <v>11.832876712328767</v>
      </c>
      <c r="L286" s="17">
        <v>200</v>
      </c>
      <c r="M286" s="17">
        <v>241.98</v>
      </c>
      <c r="N286" s="20">
        <f t="shared" si="25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x14ac:dyDescent="0.3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 t="shared" ref="J287" si="53">(+I287-E287)/365</f>
        <v>13.010958904109589</v>
      </c>
      <c r="K287" s="32">
        <f t="shared" si="52"/>
        <v>12.169863013698631</v>
      </c>
      <c r="L287" s="17">
        <v>850</v>
      </c>
      <c r="M287" s="17">
        <v>1640</v>
      </c>
      <c r="N287" s="20">
        <f t="shared" si="25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x14ac:dyDescent="0.3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52"/>
        <v>4.6438356164383565</v>
      </c>
      <c r="L288" s="17">
        <v>450</v>
      </c>
      <c r="M288" s="17">
        <v>1078.58</v>
      </c>
      <c r="N288" s="20">
        <f t="shared" si="25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x14ac:dyDescent="0.3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3" si="54">(+I289-E289)/365</f>
        <v>2.8328767123287673</v>
      </c>
      <c r="K289" s="32">
        <f t="shared" si="52"/>
        <v>2.4876712328767123</v>
      </c>
      <c r="L289" s="17">
        <v>1000</v>
      </c>
      <c r="M289" s="17">
        <v>2540.79</v>
      </c>
      <c r="N289" s="20">
        <f t="shared" si="25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x14ac:dyDescent="0.3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54"/>
        <v>5.0054794520547947</v>
      </c>
      <c r="K290" s="32">
        <f t="shared" si="52"/>
        <v>4.6767123287671231</v>
      </c>
      <c r="L290" s="17">
        <v>1200</v>
      </c>
      <c r="M290" s="17">
        <v>3025.45</v>
      </c>
      <c r="N290" s="20">
        <f t="shared" si="25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x14ac:dyDescent="0.3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54"/>
        <v>12.008219178082191</v>
      </c>
      <c r="K291" s="32">
        <f t="shared" si="52"/>
        <v>11.682191780821919</v>
      </c>
      <c r="L291" s="17">
        <v>200</v>
      </c>
      <c r="M291" s="17">
        <v>234</v>
      </c>
      <c r="N291" s="20">
        <f t="shared" si="25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x14ac:dyDescent="0.3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54"/>
        <v>21.016438356164382</v>
      </c>
      <c r="K292" s="32">
        <f t="shared" si="52"/>
        <v>15.832876712328767</v>
      </c>
      <c r="L292" s="17">
        <v>850</v>
      </c>
      <c r="M292" s="17">
        <v>2270</v>
      </c>
      <c r="N292" s="20">
        <f t="shared" si="25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x14ac:dyDescent="0.3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54"/>
        <v>6.0054794520547947</v>
      </c>
      <c r="K293" s="46">
        <f t="shared" si="52"/>
        <v>4.4904109589041097</v>
      </c>
      <c r="L293" s="17">
        <v>350</v>
      </c>
      <c r="M293" s="17">
        <v>324</v>
      </c>
      <c r="N293" s="20">
        <f t="shared" si="25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x14ac:dyDescent="0.3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ref="J294:J296" si="55">(+I294-E294)/365</f>
        <v>2.8328767123287673</v>
      </c>
      <c r="K294" s="32">
        <f t="shared" ref="K294" si="56">(+I294-H294)/365</f>
        <v>2.3534246575342466</v>
      </c>
      <c r="L294" s="17">
        <v>1200</v>
      </c>
      <c r="M294" s="17">
        <v>3569</v>
      </c>
      <c r="N294" s="20">
        <f t="shared" si="25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x14ac:dyDescent="0.3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55"/>
        <v>5.0054794520547947</v>
      </c>
      <c r="K295" s="32">
        <f>(+I295-H295)/365</f>
        <v>4.5260273972602736</v>
      </c>
      <c r="L295" s="17">
        <v>1200</v>
      </c>
      <c r="M295" s="17">
        <v>3706</v>
      </c>
      <c r="N295" s="20">
        <f t="shared" si="25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x14ac:dyDescent="0.3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55"/>
        <v>12.008219178082191</v>
      </c>
      <c r="K296" s="32">
        <f>(+I296-H296)/365</f>
        <v>11.528767123287672</v>
      </c>
      <c r="L296" s="17">
        <v>150</v>
      </c>
      <c r="M296" s="17">
        <v>298</v>
      </c>
      <c r="N296" s="20">
        <f t="shared" si="25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x14ac:dyDescent="0.3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>(+I297-H297)/365</f>
        <v>2.2767123287671232</v>
      </c>
      <c r="L297" s="17">
        <v>1200</v>
      </c>
      <c r="M297" s="17">
        <v>2318.9</v>
      </c>
      <c r="N297" s="20">
        <f t="shared" si="25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x14ac:dyDescent="0.3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 t="shared" ref="J298:J299" si="57">(+I298-E298)/365</f>
        <v>21.016438356164382</v>
      </c>
      <c r="K298" s="32">
        <f t="shared" ref="K298:K301" si="58">(+I298-H298)/365</f>
        <v>15.67945205479452</v>
      </c>
      <c r="L298" s="17">
        <v>850</v>
      </c>
      <c r="M298" s="17">
        <v>2033</v>
      </c>
      <c r="N298" s="20">
        <f t="shared" si="25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x14ac:dyDescent="0.3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 t="shared" si="57"/>
        <v>6.0054794520547947</v>
      </c>
      <c r="K299" s="32">
        <f t="shared" si="58"/>
        <v>4.3369863013698629</v>
      </c>
      <c r="L299" s="17">
        <v>250</v>
      </c>
      <c r="M299" s="71">
        <v>357.39</v>
      </c>
      <c r="N299" s="20">
        <f t="shared" si="25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x14ac:dyDescent="0.3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58"/>
        <v>2.2000000000000002</v>
      </c>
      <c r="L300" s="17">
        <v>900</v>
      </c>
      <c r="M300" s="17">
        <v>3123.9</v>
      </c>
      <c r="N300" s="20">
        <f t="shared" si="25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x14ac:dyDescent="0.3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59">(+I301-E301)/365</f>
        <v>5.0054794520547947</v>
      </c>
      <c r="K301" s="32">
        <f t="shared" si="58"/>
        <v>4.3726027397260276</v>
      </c>
      <c r="L301" s="17">
        <v>1200</v>
      </c>
      <c r="M301" s="17">
        <v>1937</v>
      </c>
      <c r="N301" s="20">
        <f t="shared" si="25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x14ac:dyDescent="0.3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59"/>
        <v>12.008219178082191</v>
      </c>
      <c r="K302" s="32">
        <f t="shared" ref="K302:K326" si="60">(+I302-H302)/365</f>
        <v>11.375342465753425</v>
      </c>
      <c r="L302" s="17">
        <v>150</v>
      </c>
      <c r="M302" s="17">
        <v>248.42</v>
      </c>
      <c r="N302" s="20">
        <f t="shared" si="25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x14ac:dyDescent="0.3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59"/>
        <v>2.8328767123287673</v>
      </c>
      <c r="K303" s="32">
        <f t="shared" si="60"/>
        <v>2.1232876712328768</v>
      </c>
      <c r="L303" s="17">
        <v>900</v>
      </c>
      <c r="M303" s="17">
        <v>3654.7</v>
      </c>
      <c r="N303" s="20">
        <f t="shared" si="25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x14ac:dyDescent="0.3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59"/>
        <v>21.016438356164382</v>
      </c>
      <c r="K304" s="32">
        <f t="shared" si="60"/>
        <v>15.526027397260274</v>
      </c>
      <c r="L304" s="17">
        <v>850</v>
      </c>
      <c r="M304" s="17">
        <v>2020</v>
      </c>
      <c r="N304" s="20">
        <f t="shared" si="25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x14ac:dyDescent="0.3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59"/>
        <v>6.0054794520547947</v>
      </c>
      <c r="K305" s="32">
        <f t="shared" si="60"/>
        <v>4.183561643835616</v>
      </c>
      <c r="L305" s="17">
        <v>250</v>
      </c>
      <c r="M305" s="17">
        <v>202.81</v>
      </c>
      <c r="N305" s="20">
        <f t="shared" si="25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x14ac:dyDescent="0.3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59"/>
        <v>2.8328767123287673</v>
      </c>
      <c r="K306" s="32">
        <f t="shared" si="60"/>
        <v>2.0465753424657533</v>
      </c>
      <c r="L306" s="17">
        <v>900</v>
      </c>
      <c r="M306" s="17">
        <v>2308.8000000000002</v>
      </c>
      <c r="N306" s="20">
        <f t="shared" si="25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x14ac:dyDescent="0.3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59"/>
        <v>5.0054794520547947</v>
      </c>
      <c r="K307" s="32">
        <f t="shared" si="60"/>
        <v>4.2191780821917808</v>
      </c>
      <c r="L307" s="17">
        <v>1200</v>
      </c>
      <c r="M307" s="17">
        <v>1833.5</v>
      </c>
      <c r="N307" s="20">
        <f t="shared" si="25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x14ac:dyDescent="0.3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59"/>
        <v>12.008219178082191</v>
      </c>
      <c r="K308" s="32">
        <f t="shared" si="60"/>
        <v>11.221917808219178</v>
      </c>
      <c r="L308" s="17">
        <v>150</v>
      </c>
      <c r="M308" s="17">
        <v>296.87</v>
      </c>
      <c r="N308" s="20">
        <f t="shared" si="25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x14ac:dyDescent="0.3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60"/>
        <v>1.9698630136986301</v>
      </c>
      <c r="L309" s="17">
        <v>2000</v>
      </c>
      <c r="M309" s="17">
        <v>1856.6</v>
      </c>
      <c r="N309" s="20">
        <f t="shared" si="25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x14ac:dyDescent="0.3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59"/>
        <v>12.008219178082191</v>
      </c>
      <c r="K310" s="32">
        <f t="shared" si="60"/>
        <v>11.126027397260273</v>
      </c>
      <c r="L310" s="17">
        <v>250</v>
      </c>
      <c r="M310" s="17">
        <v>536.4</v>
      </c>
      <c r="N310" s="20">
        <f t="shared" si="25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x14ac:dyDescent="0.3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 t="shared" ref="J311" si="61">(+I311-E311)/365</f>
        <v>5.0054794520547947</v>
      </c>
      <c r="K311" s="32">
        <f t="shared" si="60"/>
        <v>4.0849315068493155</v>
      </c>
      <c r="L311" s="17">
        <v>1200</v>
      </c>
      <c r="M311" s="17">
        <v>2863.7</v>
      </c>
      <c r="N311" s="20">
        <f t="shared" si="25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x14ac:dyDescent="0.3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60"/>
        <v>1.8547945205479452</v>
      </c>
      <c r="L312" s="17">
        <v>1200</v>
      </c>
      <c r="M312" s="17">
        <v>2603.85</v>
      </c>
      <c r="N312" s="20">
        <f t="shared" si="25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x14ac:dyDescent="0.3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 t="shared" ref="J313:J314" si="62">(+I313-E313)/365</f>
        <v>6.0054794520547947</v>
      </c>
      <c r="K313" s="32">
        <f t="shared" si="60"/>
        <v>3.9342465753424656</v>
      </c>
      <c r="L313" s="17">
        <v>200</v>
      </c>
      <c r="M313" s="17">
        <v>1008.28</v>
      </c>
      <c r="N313" s="20">
        <f t="shared" si="25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x14ac:dyDescent="0.3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 t="shared" si="62"/>
        <v>13.010958904109589</v>
      </c>
      <c r="K314" s="32">
        <f t="shared" si="60"/>
        <v>11.421917808219177</v>
      </c>
      <c r="L314" s="17">
        <v>1000</v>
      </c>
      <c r="M314" s="17">
        <v>2819</v>
      </c>
      <c r="N314" s="20">
        <f t="shared" si="25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x14ac:dyDescent="0.3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60"/>
        <v>1.7780821917808218</v>
      </c>
      <c r="L315" s="17">
        <v>1200</v>
      </c>
      <c r="M315" s="17">
        <v>3795.9</v>
      </c>
      <c r="N315" s="20">
        <f t="shared" si="25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x14ac:dyDescent="0.3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5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x14ac:dyDescent="0.3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63">(+I317-E317)/365</f>
        <v>5.0054794520547947</v>
      </c>
      <c r="K317" s="32">
        <f t="shared" si="60"/>
        <v>3.9315068493150687</v>
      </c>
      <c r="L317" s="17">
        <v>1200</v>
      </c>
      <c r="M317" s="17">
        <v>2578.8000000000002</v>
      </c>
      <c r="N317" s="20">
        <f t="shared" si="25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x14ac:dyDescent="0.3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63"/>
        <v>2.8328767123287673</v>
      </c>
      <c r="K318" s="32">
        <f t="shared" si="60"/>
        <v>1.7013698630136986</v>
      </c>
      <c r="L318" s="17">
        <v>1500</v>
      </c>
      <c r="M318" s="17">
        <v>623.67999999999995</v>
      </c>
      <c r="N318" s="20">
        <f t="shared" si="25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x14ac:dyDescent="0.3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63"/>
        <v>6.0054794520547947</v>
      </c>
      <c r="K319" s="32">
        <f t="shared" si="60"/>
        <v>3.7808219178082192</v>
      </c>
      <c r="L319" s="17">
        <v>200</v>
      </c>
      <c r="M319" s="17">
        <v>719.99</v>
      </c>
      <c r="N319" s="20">
        <f t="shared" si="25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x14ac:dyDescent="0.3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63"/>
        <v>13.010958904109589</v>
      </c>
      <c r="K320" s="32">
        <f t="shared" si="60"/>
        <v>11.24931506849315</v>
      </c>
      <c r="L320" s="17">
        <v>1000</v>
      </c>
      <c r="M320" s="17">
        <v>2167.1999999999998</v>
      </c>
      <c r="N320" s="20">
        <f t="shared" si="25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x14ac:dyDescent="0.3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63"/>
        <v>2.8328767123287673</v>
      </c>
      <c r="K321" s="32">
        <f t="shared" si="60"/>
        <v>1.6054794520547946</v>
      </c>
      <c r="L321" s="17">
        <v>1500</v>
      </c>
      <c r="M321" s="57">
        <v>5479.5</v>
      </c>
      <c r="N321" s="20">
        <f t="shared" si="25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x14ac:dyDescent="0.3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60"/>
        <v>10.8</v>
      </c>
      <c r="L322" s="17">
        <v>200</v>
      </c>
      <c r="M322" s="17">
        <v>240.78</v>
      </c>
      <c r="N322" s="20">
        <f t="shared" si="25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x14ac:dyDescent="0.3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63"/>
        <v>5.0054794520547947</v>
      </c>
      <c r="K323" s="32">
        <f t="shared" si="60"/>
        <v>3.7589041095890412</v>
      </c>
      <c r="L323" s="17">
        <v>1200</v>
      </c>
      <c r="M323" s="17">
        <v>1891.1</v>
      </c>
      <c r="N323" s="20">
        <f t="shared" si="25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x14ac:dyDescent="0.3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63"/>
        <v>2.8328767123287673</v>
      </c>
      <c r="K324" s="32">
        <f t="shared" si="60"/>
        <v>1.5287671232876712</v>
      </c>
      <c r="L324" s="17">
        <v>1500</v>
      </c>
      <c r="M324" s="17">
        <v>5431.17</v>
      </c>
      <c r="N324" s="20">
        <f t="shared" si="25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x14ac:dyDescent="0.3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60"/>
        <v>3.6082191780821917</v>
      </c>
      <c r="L325" s="17">
        <v>200</v>
      </c>
      <c r="M325" s="17">
        <v>239.66</v>
      </c>
      <c r="N325" s="20">
        <f t="shared" si="25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x14ac:dyDescent="0.3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63"/>
        <v>13.010958904109589</v>
      </c>
      <c r="K326" s="32">
        <f t="shared" si="60"/>
        <v>11.095890410958905</v>
      </c>
      <c r="L326" s="17">
        <v>1000</v>
      </c>
      <c r="M326" s="17">
        <v>1653</v>
      </c>
      <c r="N326" s="20">
        <f t="shared" si="25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x14ac:dyDescent="0.3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64">(+I327-E327)/365</f>
        <v>2.8328767123287673</v>
      </c>
      <c r="K327" s="32">
        <f t="shared" ref="K327:K332" si="65">(+I327-H327)/365</f>
        <v>1.452054794520548</v>
      </c>
      <c r="L327" s="17">
        <v>1500</v>
      </c>
      <c r="M327" s="17">
        <v>7813.89</v>
      </c>
      <c r="N327" s="20">
        <f t="shared" si="25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3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64"/>
        <v>2.5013698630136987</v>
      </c>
      <c r="K328" s="32">
        <f t="shared" si="65"/>
        <v>2.5013698630136987</v>
      </c>
      <c r="L328" s="17">
        <v>1500</v>
      </c>
      <c r="M328" s="17">
        <v>9552.8799999999992</v>
      </c>
      <c r="N328" s="20">
        <f t="shared" si="25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x14ac:dyDescent="0.3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64"/>
        <v>4.8986301369863012</v>
      </c>
      <c r="K329" s="32">
        <f t="shared" si="65"/>
        <v>4.8986301369863012</v>
      </c>
      <c r="L329" s="17">
        <v>200</v>
      </c>
      <c r="M329" s="19">
        <v>555.4</v>
      </c>
      <c r="N329" s="20">
        <f t="shared" si="25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x14ac:dyDescent="0.3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64"/>
        <v>4.8986301369863012</v>
      </c>
      <c r="K330" s="32">
        <f t="shared" si="65"/>
        <v>4.8986301369863012</v>
      </c>
      <c r="L330" s="17">
        <v>1250</v>
      </c>
      <c r="M330" s="19">
        <v>7436.2</v>
      </c>
      <c r="N330" s="20">
        <f t="shared" si="25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x14ac:dyDescent="0.3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64"/>
        <v>26.016438356164382</v>
      </c>
      <c r="K331" s="32">
        <f t="shared" si="65"/>
        <v>22.065753424657533</v>
      </c>
      <c r="L331" s="17">
        <v>1750</v>
      </c>
      <c r="M331" s="17">
        <v>3525</v>
      </c>
      <c r="N331" s="20">
        <f t="shared" si="25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3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64"/>
        <v>2.5013698630136987</v>
      </c>
      <c r="K332" s="32">
        <f t="shared" si="65"/>
        <v>2.4246575342465753</v>
      </c>
      <c r="L332" s="17">
        <v>2000</v>
      </c>
      <c r="M332" s="17">
        <v>9197.93</v>
      </c>
      <c r="N332" s="20">
        <f t="shared" si="25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x14ac:dyDescent="0.3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66">(+I333-H333)/365</f>
        <v>10.512328767123288</v>
      </c>
      <c r="L333" s="17">
        <v>100</v>
      </c>
      <c r="M333" s="17">
        <v>355.29</v>
      </c>
      <c r="N333" s="20">
        <f t="shared" si="25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3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64"/>
        <v>2.5013698630136987</v>
      </c>
      <c r="K334" s="32">
        <f t="shared" si="66"/>
        <v>2.3671232876712329</v>
      </c>
      <c r="L334" s="17">
        <v>2500</v>
      </c>
      <c r="M334" s="17">
        <v>6187.61</v>
      </c>
      <c r="N334" s="20">
        <f t="shared" si="25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x14ac:dyDescent="0.3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64"/>
        <v>4.8986301369863012</v>
      </c>
      <c r="K335" s="32">
        <f t="shared" si="66"/>
        <v>4.7643835616438359</v>
      </c>
      <c r="L335" s="17">
        <v>200</v>
      </c>
      <c r="M335" s="17">
        <v>383.69</v>
      </c>
      <c r="N335" s="20">
        <f t="shared" si="25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x14ac:dyDescent="0.3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64"/>
        <v>4.8986301369863012</v>
      </c>
      <c r="K336" s="32">
        <f t="shared" si="66"/>
        <v>4.7643835616438359</v>
      </c>
      <c r="L336" s="17">
        <v>1500</v>
      </c>
      <c r="M336" s="19">
        <v>2406.92</v>
      </c>
      <c r="N336" s="20">
        <f t="shared" si="25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54" si="67">+T336+U336</f>
        <v>101.86</v>
      </c>
    </row>
    <row r="337" spans="1:22" x14ac:dyDescent="0.3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64"/>
        <v>2.5013698630136987</v>
      </c>
      <c r="K337" s="32">
        <f t="shared" si="66"/>
        <v>2.2712328767123289</v>
      </c>
      <c r="L337" s="17">
        <v>2750</v>
      </c>
      <c r="M337" s="17">
        <v>6120.7</v>
      </c>
      <c r="N337" s="20">
        <f t="shared" si="25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67"/>
        <v>103.72</v>
      </c>
    </row>
    <row r="338" spans="1:22" x14ac:dyDescent="0.3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64"/>
        <v>26.016438356164382</v>
      </c>
      <c r="K338" s="32">
        <f t="shared" si="66"/>
        <v>21.873972602739727</v>
      </c>
      <c r="L338" s="17">
        <v>1750</v>
      </c>
      <c r="M338" s="17">
        <v>3653</v>
      </c>
      <c r="N338" s="20">
        <f t="shared" si="25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67"/>
        <v>98.78</v>
      </c>
    </row>
    <row r="339" spans="1:22" x14ac:dyDescent="0.3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66"/>
        <v>10.33972602739726</v>
      </c>
      <c r="L339" s="17">
        <v>100</v>
      </c>
      <c r="M339" s="17">
        <v>170.38</v>
      </c>
      <c r="N339" s="20">
        <f t="shared" si="25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67"/>
        <v>100.78</v>
      </c>
    </row>
    <row r="340" spans="1:22" x14ac:dyDescent="0.3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64"/>
        <v>2.5013698630136987</v>
      </c>
      <c r="K340" s="32">
        <f t="shared" si="66"/>
        <v>2.1945205479452055</v>
      </c>
      <c r="L340" s="17">
        <v>3250</v>
      </c>
      <c r="M340" s="17">
        <v>5315.3</v>
      </c>
      <c r="N340" s="20">
        <f t="shared" si="25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67"/>
        <v>104.13</v>
      </c>
    </row>
    <row r="341" spans="1:22" x14ac:dyDescent="0.3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64"/>
        <v>4.8986301369863012</v>
      </c>
      <c r="K341" s="32">
        <f t="shared" si="66"/>
        <v>4.5917808219178085</v>
      </c>
      <c r="L341" s="17">
        <v>200</v>
      </c>
      <c r="M341" s="17">
        <v>363.26</v>
      </c>
      <c r="N341" s="20">
        <f t="shared" si="25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67"/>
        <v>100.81</v>
      </c>
    </row>
    <row r="342" spans="1:22" x14ac:dyDescent="0.3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64"/>
        <v>4.8986301369863012</v>
      </c>
      <c r="K342" s="32">
        <f t="shared" si="66"/>
        <v>4.5917808219178085</v>
      </c>
      <c r="L342" s="17">
        <v>1500</v>
      </c>
      <c r="M342" s="17">
        <v>3964.14</v>
      </c>
      <c r="N342" s="20">
        <f t="shared" si="25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67"/>
        <v>103.71000000000001</v>
      </c>
    </row>
    <row r="343" spans="1:22" x14ac:dyDescent="0.3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64"/>
        <v>2.5013698630136987</v>
      </c>
      <c r="K343" s="32">
        <f t="shared" si="66"/>
        <v>2.117808219178082</v>
      </c>
      <c r="L343" s="17">
        <v>3250</v>
      </c>
      <c r="M343" s="17">
        <v>8239.2800000000007</v>
      </c>
      <c r="N343" s="20">
        <f t="shared" si="25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67"/>
        <v>104.8</v>
      </c>
    </row>
    <row r="344" spans="1:22" x14ac:dyDescent="0.3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64"/>
        <v>26.016438356164382</v>
      </c>
      <c r="K344" s="32">
        <f t="shared" si="66"/>
        <v>21.720547945205478</v>
      </c>
      <c r="L344" s="17">
        <v>1750</v>
      </c>
      <c r="M344" s="17">
        <v>3775.5</v>
      </c>
      <c r="N344" s="20">
        <f t="shared" si="25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67"/>
        <v>99.73</v>
      </c>
    </row>
    <row r="345" spans="1:22" x14ac:dyDescent="0.3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64"/>
        <v>12.008219178082191</v>
      </c>
      <c r="K345" s="32">
        <f t="shared" si="66"/>
        <v>10.186301369863013</v>
      </c>
      <c r="L345" s="17">
        <v>100</v>
      </c>
      <c r="M345" s="17">
        <v>190.06</v>
      </c>
      <c r="N345" s="20">
        <f t="shared" si="25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67"/>
        <v>102.21</v>
      </c>
    </row>
    <row r="346" spans="1:22" x14ac:dyDescent="0.3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4" si="68">(+I346-E346)/365</f>
        <v>4.8986301369863012</v>
      </c>
      <c r="K346" s="32">
        <f t="shared" ref="K346:K354" si="69">(+I346-H346)/365</f>
        <v>4.4575342465753423</v>
      </c>
      <c r="L346" s="17">
        <v>1750</v>
      </c>
      <c r="M346" s="17">
        <v>6441.07</v>
      </c>
      <c r="N346" s="20">
        <f t="shared" si="25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67"/>
        <v>103.35</v>
      </c>
    </row>
    <row r="347" spans="1:22" x14ac:dyDescent="0.3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68"/>
        <v>4.8986301369863012</v>
      </c>
      <c r="K347" s="32">
        <f t="shared" si="69"/>
        <v>4.419178082191781</v>
      </c>
      <c r="L347" s="17">
        <v>200</v>
      </c>
      <c r="M347" s="17">
        <v>697.33</v>
      </c>
      <c r="N347" s="20">
        <f t="shared" si="25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67"/>
        <v>101.06</v>
      </c>
    </row>
    <row r="348" spans="1:22" x14ac:dyDescent="0.3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68"/>
        <v>2.5013698630136987</v>
      </c>
      <c r="K348" s="32">
        <f t="shared" si="69"/>
        <v>1.9835616438356165</v>
      </c>
      <c r="L348" s="17">
        <v>4000</v>
      </c>
      <c r="M348" s="17">
        <v>8656.86</v>
      </c>
      <c r="N348" s="20">
        <f t="shared" si="25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67"/>
        <v>102.78</v>
      </c>
    </row>
    <row r="349" spans="1:22" x14ac:dyDescent="0.3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68"/>
        <v>26.016438356164382</v>
      </c>
      <c r="K349" s="32">
        <f t="shared" si="69"/>
        <v>21.586301369863012</v>
      </c>
      <c r="L349" s="17">
        <v>1750</v>
      </c>
      <c r="M349" s="17">
        <v>7849</v>
      </c>
      <c r="N349" s="20">
        <f t="shared" si="25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67"/>
        <v>100.86999999999999</v>
      </c>
    </row>
    <row r="350" spans="1:22" x14ac:dyDescent="0.3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68"/>
        <v>13.008219178082191</v>
      </c>
      <c r="K350" s="32">
        <f t="shared" si="69"/>
        <v>8.536986301369863</v>
      </c>
      <c r="L350" s="17">
        <v>100</v>
      </c>
      <c r="M350" s="17">
        <v>457.46</v>
      </c>
      <c r="N350" s="20">
        <f t="shared" si="25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67"/>
        <v>99.52000000000001</v>
      </c>
    </row>
    <row r="351" spans="1:22" x14ac:dyDescent="0.3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68"/>
        <v>2.5013698630136987</v>
      </c>
      <c r="K351" s="32">
        <f t="shared" si="69"/>
        <v>1.9068493150684931</v>
      </c>
      <c r="L351" s="17">
        <v>4000</v>
      </c>
      <c r="M351" s="17">
        <v>7959.21</v>
      </c>
      <c r="N351" s="20">
        <f t="shared" si="25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67"/>
        <v>104.32</v>
      </c>
    </row>
    <row r="352" spans="1:22" x14ac:dyDescent="0.3">
      <c r="A352" s="35">
        <v>46091</v>
      </c>
      <c r="B352" s="14">
        <v>0.58333333333333337</v>
      </c>
      <c r="C352" s="15">
        <v>13</v>
      </c>
      <c r="D352" s="15">
        <v>5</v>
      </c>
      <c r="E352" s="13">
        <v>45875</v>
      </c>
      <c r="F352" s="31" t="s">
        <v>641</v>
      </c>
      <c r="G352" s="41">
        <v>8.1250000000000003E-2</v>
      </c>
      <c r="H352" s="13">
        <v>46092</v>
      </c>
      <c r="I352" s="13">
        <v>47663</v>
      </c>
      <c r="J352" s="32">
        <v>4.9000000000000004</v>
      </c>
      <c r="K352" s="32">
        <f t="shared" si="69"/>
        <v>4.3041095890410963</v>
      </c>
      <c r="L352" s="17">
        <v>1750</v>
      </c>
      <c r="M352" s="17">
        <v>7666.5</v>
      </c>
      <c r="N352" s="20">
        <f t="shared" si="25"/>
        <v>4.3808571428571428</v>
      </c>
      <c r="O352" s="17">
        <v>2673.5</v>
      </c>
      <c r="P352" s="33">
        <v>0</v>
      </c>
      <c r="Q352" s="17">
        <v>1912</v>
      </c>
      <c r="R352" s="17">
        <v>467.68</v>
      </c>
      <c r="S352" s="30">
        <v>7.0499999999999993E-2</v>
      </c>
      <c r="T352" s="34">
        <v>103.895</v>
      </c>
      <c r="U352" s="34">
        <v>1.625</v>
      </c>
      <c r="V352" s="34">
        <f t="shared" si="67"/>
        <v>105.52</v>
      </c>
    </row>
    <row r="353" spans="1:22" x14ac:dyDescent="0.3">
      <c r="A353" s="35">
        <v>46098</v>
      </c>
      <c r="B353" s="14">
        <v>0.58333333333333337</v>
      </c>
      <c r="C353" s="15">
        <v>33</v>
      </c>
      <c r="D353" s="15">
        <v>5</v>
      </c>
      <c r="E353" s="13">
        <v>45868</v>
      </c>
      <c r="F353" s="31" t="s">
        <v>307</v>
      </c>
      <c r="G353" s="41">
        <v>0.03</v>
      </c>
      <c r="H353" s="13">
        <v>46099</v>
      </c>
      <c r="I353" s="13">
        <v>47656</v>
      </c>
      <c r="J353" s="32">
        <f t="shared" si="68"/>
        <v>4.8986301369863012</v>
      </c>
      <c r="K353" s="32">
        <f t="shared" si="69"/>
        <v>4.2657534246575342</v>
      </c>
      <c r="L353" s="17">
        <v>275</v>
      </c>
      <c r="M353" s="17">
        <v>1228.45</v>
      </c>
      <c r="N353" s="20">
        <f t="shared" si="25"/>
        <v>4.467090909090909</v>
      </c>
      <c r="O353" s="17">
        <v>550</v>
      </c>
      <c r="P353" s="33">
        <v>6.9400000000000003E-2</v>
      </c>
      <c r="Q353" s="17">
        <v>472.39</v>
      </c>
      <c r="R353" s="17">
        <v>31.62</v>
      </c>
      <c r="S353" s="30">
        <v>2.4400000000000002E-2</v>
      </c>
      <c r="T353" s="34">
        <v>102.24333</v>
      </c>
      <c r="U353" s="34">
        <v>0.71667000000000003</v>
      </c>
      <c r="V353" s="34">
        <f t="shared" si="67"/>
        <v>102.96</v>
      </c>
    </row>
    <row r="354" spans="1:22" x14ac:dyDescent="0.3">
      <c r="A354" s="35">
        <v>46105</v>
      </c>
      <c r="B354" s="14">
        <v>0.58333333333333337</v>
      </c>
      <c r="C354" s="15">
        <v>12</v>
      </c>
      <c r="D354" s="15">
        <v>9</v>
      </c>
      <c r="E354" s="13">
        <v>45861</v>
      </c>
      <c r="F354" s="31" t="s">
        <v>641</v>
      </c>
      <c r="G354" s="41">
        <v>8.5000000000000006E-2</v>
      </c>
      <c r="H354" s="13">
        <v>46106</v>
      </c>
      <c r="I354" s="13">
        <v>46774</v>
      </c>
      <c r="J354" s="32">
        <f t="shared" si="68"/>
        <v>2.5013698630136987</v>
      </c>
      <c r="K354" s="32">
        <f t="shared" si="69"/>
        <v>1.8301369863013699</v>
      </c>
      <c r="L354" s="17">
        <v>3500</v>
      </c>
      <c r="M354" s="17">
        <v>7318.86</v>
      </c>
      <c r="N354" s="20">
        <f t="shared" si="25"/>
        <v>2.0911028571428569</v>
      </c>
      <c r="O354" s="17">
        <v>4328.8599999999997</v>
      </c>
      <c r="P354" s="33">
        <v>0</v>
      </c>
      <c r="Q354" s="17">
        <v>4097.87</v>
      </c>
      <c r="R354" s="17">
        <v>0.56999999999999995</v>
      </c>
      <c r="S354" s="30">
        <v>6.7199999999999996E-2</v>
      </c>
      <c r="T354" s="34">
        <v>103.0025</v>
      </c>
      <c r="U354" s="34">
        <v>1.4875</v>
      </c>
      <c r="V354" s="34">
        <f t="shared" si="67"/>
        <v>104.49</v>
      </c>
    </row>
    <row r="355" spans="1:22" x14ac:dyDescent="0.3">
      <c r="A355" s="35">
        <v>46119</v>
      </c>
      <c r="B355" s="14">
        <v>0.58333333333333337</v>
      </c>
      <c r="C355" s="15">
        <v>5</v>
      </c>
      <c r="D355" s="15">
        <v>19</v>
      </c>
      <c r="E355" s="13">
        <v>44440</v>
      </c>
      <c r="F355" s="31" t="s">
        <v>322</v>
      </c>
      <c r="G355" s="41">
        <v>0.02</v>
      </c>
      <c r="H355" s="13">
        <v>46120</v>
      </c>
      <c r="I355" s="13">
        <v>53936</v>
      </c>
      <c r="J355" s="32">
        <f t="shared" ref="J355" si="70">(+I355-E355)/365</f>
        <v>26.016438356164382</v>
      </c>
      <c r="K355" s="32">
        <f t="shared" ref="K355" si="71">(+I355-H355)/365</f>
        <v>21.413698630136988</v>
      </c>
      <c r="L355" s="17">
        <v>1500</v>
      </c>
      <c r="M355" s="17"/>
      <c r="N355" s="20"/>
      <c r="O355" s="17"/>
      <c r="P355" s="33"/>
      <c r="Q355" s="17"/>
      <c r="R355" s="17"/>
      <c r="S355" s="30"/>
      <c r="T355" s="34"/>
      <c r="U355" s="34">
        <v>0.20555999999999999</v>
      </c>
      <c r="V355" s="34"/>
    </row>
    <row r="356" spans="1:22" x14ac:dyDescent="0.3">
      <c r="A356" s="35"/>
      <c r="B356" s="14"/>
      <c r="C356" s="15"/>
      <c r="D356" s="15"/>
      <c r="E356" s="13"/>
      <c r="F356" s="31"/>
      <c r="G356" s="41"/>
      <c r="H356" s="13"/>
      <c r="I356" s="13"/>
      <c r="J356" s="32"/>
      <c r="K356" s="32"/>
      <c r="L356" s="17"/>
      <c r="M356" s="17"/>
      <c r="N356" s="20"/>
      <c r="O356" s="17"/>
      <c r="P356" s="33"/>
      <c r="Q356" s="17"/>
      <c r="R356" s="17"/>
      <c r="S356" s="30"/>
      <c r="T356" s="34"/>
      <c r="U356" s="34"/>
      <c r="V356" s="34"/>
    </row>
    <row r="357" spans="1:22" x14ac:dyDescent="0.3">
      <c r="A357" s="35"/>
      <c r="B357" s="14"/>
      <c r="C357" s="15"/>
      <c r="D357" s="15"/>
      <c r="E357" s="13"/>
      <c r="F357" s="31"/>
      <c r="G357" s="41"/>
      <c r="H357" s="13"/>
      <c r="I357" s="13"/>
      <c r="J357" s="32"/>
      <c r="K357" s="32"/>
      <c r="L357" s="17"/>
      <c r="M357" s="17"/>
      <c r="N357" s="20"/>
      <c r="O357" s="17"/>
      <c r="P357" s="33"/>
      <c r="Q357" s="17"/>
      <c r="R357" s="17"/>
      <c r="S357" s="30"/>
      <c r="T357" s="34"/>
      <c r="U357" s="34"/>
      <c r="V357" s="34"/>
    </row>
    <row r="358" spans="1:22" x14ac:dyDescent="0.3">
      <c r="A358" s="35"/>
      <c r="B358" s="14"/>
      <c r="C358" s="15"/>
      <c r="D358" s="15"/>
      <c r="E358" s="13"/>
      <c r="F358" s="31"/>
      <c r="G358" s="41"/>
      <c r="H358" s="13"/>
      <c r="I358" s="13"/>
      <c r="J358" s="32"/>
      <c r="K358" s="32"/>
      <c r="L358" s="17"/>
      <c r="M358" s="17"/>
      <c r="N358" s="20"/>
      <c r="O358" s="17"/>
      <c r="P358" s="33"/>
      <c r="Q358" s="58"/>
      <c r="R358" s="76"/>
      <c r="S358" s="30"/>
      <c r="T358" s="34"/>
      <c r="U358" s="34"/>
      <c r="V358" s="34"/>
    </row>
    <row r="359" spans="1:22" x14ac:dyDescent="0.3">
      <c r="A359" s="35"/>
      <c r="B359" s="14"/>
      <c r="C359" s="15"/>
      <c r="D359" s="15"/>
      <c r="E359" s="13"/>
      <c r="F359" s="31"/>
      <c r="G359" s="41"/>
      <c r="H359" s="13"/>
      <c r="I359" s="13"/>
      <c r="J359" s="32"/>
      <c r="K359" s="32"/>
      <c r="L359" s="17"/>
      <c r="M359" s="17"/>
      <c r="N359" s="20"/>
      <c r="O359" s="17"/>
      <c r="P359" s="33"/>
      <c r="Q359" s="17"/>
      <c r="R359" s="17"/>
      <c r="S359" s="30"/>
      <c r="T359" s="34"/>
      <c r="U359" s="34"/>
      <c r="V359" s="34"/>
    </row>
    <row r="360" spans="1:22" x14ac:dyDescent="0.3">
      <c r="A360" s="35"/>
      <c r="B360" s="14"/>
      <c r="C360" s="15"/>
      <c r="D360" s="15"/>
      <c r="E360" s="13"/>
      <c r="F360" s="31"/>
      <c r="G360" s="41"/>
      <c r="H360" s="13"/>
      <c r="I360" s="13"/>
      <c r="J360" s="32"/>
      <c r="K360" s="32"/>
      <c r="L360" s="17"/>
      <c r="M360" s="17"/>
      <c r="N360" s="20"/>
      <c r="O360" s="17"/>
      <c r="P360" s="33"/>
      <c r="Q360" s="17"/>
      <c r="R360" s="17"/>
      <c r="S360" s="30"/>
      <c r="T360" s="34"/>
      <c r="U360" s="34"/>
      <c r="V360" s="34"/>
    </row>
    <row r="361" spans="1:22" x14ac:dyDescent="0.3">
      <c r="A361" s="35"/>
      <c r="B361" s="14"/>
      <c r="C361" s="15"/>
      <c r="D361" s="15"/>
      <c r="E361" s="13"/>
      <c r="F361" s="31"/>
      <c r="G361" s="41"/>
      <c r="H361" s="13"/>
      <c r="I361" s="13"/>
      <c r="J361" s="32"/>
      <c r="K361" s="32"/>
      <c r="L361" s="17"/>
      <c r="M361" s="17"/>
      <c r="N361" s="20"/>
      <c r="O361" s="17"/>
      <c r="P361" s="33"/>
      <c r="Q361" s="17"/>
      <c r="R361" s="17"/>
      <c r="S361" s="30"/>
      <c r="T361" s="34"/>
      <c r="U361" s="34"/>
      <c r="V361" s="34"/>
    </row>
    <row r="362" spans="1:22" x14ac:dyDescent="0.3">
      <c r="A362" s="35"/>
      <c r="B362" s="14"/>
      <c r="C362" s="15"/>
      <c r="D362" s="15"/>
      <c r="E362" s="13"/>
      <c r="F362" s="31"/>
      <c r="G362" s="41"/>
      <c r="H362" s="13"/>
      <c r="I362" s="13"/>
      <c r="J362" s="32"/>
      <c r="K362" s="32"/>
      <c r="L362" s="17"/>
      <c r="M362" s="17"/>
      <c r="N362" s="20"/>
      <c r="O362" s="17"/>
      <c r="P362" s="33"/>
      <c r="Q362" s="17"/>
      <c r="R362" s="17"/>
      <c r="S362" s="30"/>
      <c r="T362" s="34"/>
      <c r="U362" s="34"/>
      <c r="V362" s="34"/>
    </row>
    <row r="363" spans="1:22" x14ac:dyDescent="0.3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17"/>
      <c r="P363" s="33"/>
      <c r="Q363" s="17"/>
      <c r="R363" s="17"/>
      <c r="S363" s="30"/>
      <c r="T363" s="34"/>
      <c r="U363" s="34"/>
      <c r="V363" s="34"/>
    </row>
    <row r="364" spans="1:22" x14ac:dyDescent="0.3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2" x14ac:dyDescent="0.3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2" x14ac:dyDescent="0.3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2" x14ac:dyDescent="0.3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2" x14ac:dyDescent="0.3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3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3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3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3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3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3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3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3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3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3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3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3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3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3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3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3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3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3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3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3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3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3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3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3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3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3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3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3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3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3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3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3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3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3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3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3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3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3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3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3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3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3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3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3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3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3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3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3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3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3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3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3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3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3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3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3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3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3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3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3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3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3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3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3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3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3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3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3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3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3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3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3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3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3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3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3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3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3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3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3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3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3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3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3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3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3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3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3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3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3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3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3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3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3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3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3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3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3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3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3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3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3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3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3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3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3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3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3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3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3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3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3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3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3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3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3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3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3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3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3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3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3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3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3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3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3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3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3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3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3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3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3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3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3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3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76"/>
  <sheetViews>
    <sheetView zoomScale="90" zoomScaleNormal="90" workbookViewId="0">
      <pane ySplit="10" topLeftCell="A271" activePane="bottomLeft" state="frozen"/>
      <selection pane="bottomLeft" activeCell="D275" sqref="D275"/>
    </sheetView>
  </sheetViews>
  <sheetFormatPr baseColWidth="10" defaultColWidth="11.44140625" defaultRowHeight="14.4" x14ac:dyDescent="0.3"/>
  <cols>
    <col min="1" max="1" width="11.5546875" style="1" bestFit="1" customWidth="1"/>
    <col min="2" max="2" width="34.5546875" style="1" bestFit="1" customWidth="1"/>
    <col min="3" max="3" width="11.44140625" style="1"/>
    <col min="4" max="4" width="20.33203125" style="1" bestFit="1" customWidth="1"/>
    <col min="5" max="5" width="12.44140625" style="1" bestFit="1" customWidth="1"/>
    <col min="6" max="6" width="20.33203125" style="1" bestFit="1" customWidth="1"/>
    <col min="7" max="7" width="20.88671875" style="1" bestFit="1" customWidth="1"/>
    <col min="8" max="8" width="19.109375" style="62" bestFit="1" customWidth="1"/>
    <col min="9" max="9" width="29" style="1" customWidth="1"/>
    <col min="10" max="10" width="18.5546875" style="1" bestFit="1" customWidth="1"/>
    <col min="11" max="16384" width="11.44140625" style="1"/>
  </cols>
  <sheetData>
    <row r="1" spans="1:8" x14ac:dyDescent="0.3">
      <c r="A1" s="36"/>
      <c r="B1" s="2"/>
      <c r="F1" s="3"/>
      <c r="G1" s="3"/>
      <c r="H1" s="61"/>
    </row>
    <row r="2" spans="1:8" ht="15" customHeight="1" x14ac:dyDescent="0.3">
      <c r="A2" s="36"/>
      <c r="B2" s="2"/>
      <c r="E2" s="81" t="s">
        <v>337</v>
      </c>
      <c r="F2" s="81"/>
      <c r="G2" s="81"/>
      <c r="H2" s="81"/>
    </row>
    <row r="3" spans="1:8" ht="15" customHeight="1" x14ac:dyDescent="0.3">
      <c r="A3" s="36"/>
      <c r="B3" s="2"/>
      <c r="E3" s="81"/>
      <c r="F3" s="81"/>
      <c r="G3" s="81"/>
      <c r="H3" s="81"/>
    </row>
    <row r="4" spans="1:8" ht="14.25" customHeight="1" x14ac:dyDescent="0.3">
      <c r="A4" s="36"/>
      <c r="B4" s="2"/>
      <c r="E4" s="81"/>
      <c r="F4" s="81"/>
      <c r="G4" s="81"/>
      <c r="H4" s="81"/>
    </row>
    <row r="5" spans="1:8" x14ac:dyDescent="0.3">
      <c r="A5" s="36"/>
      <c r="B5" s="2"/>
      <c r="E5" s="81"/>
      <c r="F5" s="81"/>
      <c r="G5" s="81"/>
      <c r="H5" s="81"/>
    </row>
    <row r="6" spans="1:8" x14ac:dyDescent="0.3">
      <c r="A6" s="36"/>
      <c r="B6" s="2"/>
      <c r="E6" s="81"/>
      <c r="F6" s="81"/>
      <c r="G6" s="81"/>
      <c r="H6" s="81"/>
    </row>
    <row r="7" spans="1:8" x14ac:dyDescent="0.3">
      <c r="E7" s="37" t="s">
        <v>341</v>
      </c>
    </row>
    <row r="10" spans="1:8" ht="15" customHeight="1" x14ac:dyDescent="0.3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3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3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3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3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3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3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3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3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3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3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3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3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3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3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3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3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3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3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3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3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3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3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3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3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3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3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3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3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3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3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3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3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3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3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3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3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3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3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3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3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3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3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3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3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3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3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3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3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3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3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3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3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3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3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3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3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3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3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3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3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3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3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3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3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3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3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3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3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3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3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3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3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3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3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3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3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3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3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3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3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3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3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3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95" si="1">+(E93-A93)/365</f>
        <v>0.93698630136986305</v>
      </c>
      <c r="H93" s="57">
        <v>-0.17610000000000001</v>
      </c>
    </row>
    <row r="94" spans="1:8" x14ac:dyDescent="0.3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3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3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ref="G96:G98" si="2">+(E96-A96)/365</f>
        <v>0.17260273972602741</v>
      </c>
      <c r="H96" s="57">
        <v>-99.672619999999995</v>
      </c>
    </row>
    <row r="97" spans="1:9" x14ac:dyDescent="0.3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2"/>
        <v>1.5424657534246575</v>
      </c>
      <c r="H97" s="57">
        <v>-6.1915740000000001</v>
      </c>
    </row>
    <row r="98" spans="1:9" x14ac:dyDescent="0.3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2"/>
        <v>0.84109589041095889</v>
      </c>
      <c r="H98" s="57">
        <v>-2.3051680000000001</v>
      </c>
    </row>
    <row r="99" spans="1:9" x14ac:dyDescent="0.3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ref="G99:G100" si="3">+(E99-A99)/365</f>
        <v>9.5890410958904104E-2</v>
      </c>
      <c r="H99" s="57">
        <v>-509.37045999999998</v>
      </c>
    </row>
    <row r="100" spans="1:9" x14ac:dyDescent="0.3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3"/>
        <v>1.4465753424657535</v>
      </c>
      <c r="H100" s="57">
        <v>-184.977813</v>
      </c>
    </row>
    <row r="101" spans="1:9" x14ac:dyDescent="0.3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ref="G101:G102" si="4">+(E101-A101)/365</f>
        <v>1.4273972602739726</v>
      </c>
      <c r="H101" s="57">
        <v>-152.497716</v>
      </c>
    </row>
    <row r="102" spans="1:9" x14ac:dyDescent="0.3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4"/>
        <v>3.8356164383561646E-2</v>
      </c>
      <c r="H102" s="57">
        <v>-236.00233299999999</v>
      </c>
    </row>
    <row r="103" spans="1:9" x14ac:dyDescent="0.3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ref="G103:G105" si="5">+(E103-A103)/365</f>
        <v>1.9178082191780823E-2</v>
      </c>
      <c r="H103" s="57">
        <v>-1013.0760320000001</v>
      </c>
    </row>
    <row r="104" spans="1:9" x14ac:dyDescent="0.3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5"/>
        <v>2.3890410958904109</v>
      </c>
      <c r="H104" s="57">
        <v>-0.45736700000000002</v>
      </c>
    </row>
    <row r="105" spans="1:9" x14ac:dyDescent="0.3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5"/>
        <v>0.63561643835616444</v>
      </c>
      <c r="H105" s="57">
        <v>-186.299792</v>
      </c>
    </row>
    <row r="106" spans="1:9" x14ac:dyDescent="0.3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6">+(E106-A106)/365</f>
        <v>0.61095890410958908</v>
      </c>
      <c r="H106" s="57">
        <v>-259.51037700000001</v>
      </c>
    </row>
    <row r="107" spans="1:9" x14ac:dyDescent="0.3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6"/>
        <v>1.2356164383561643</v>
      </c>
      <c r="H107" s="57">
        <v>-7.2259999999999998E-3</v>
      </c>
    </row>
    <row r="108" spans="1:9" x14ac:dyDescent="0.3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6"/>
        <v>2.3123287671232875</v>
      </c>
      <c r="H108" s="57">
        <v>-0.66478000000000004</v>
      </c>
    </row>
    <row r="109" spans="1:9" x14ac:dyDescent="0.3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6"/>
        <v>0.59178082191780823</v>
      </c>
      <c r="H109" s="57">
        <v>-22.363827000000001</v>
      </c>
    </row>
    <row r="110" spans="1:9" x14ac:dyDescent="0.3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6"/>
        <v>1.2164383561643837</v>
      </c>
      <c r="H110" s="57">
        <v>-26.170857000000002</v>
      </c>
    </row>
    <row r="111" spans="1:9" x14ac:dyDescent="0.3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6"/>
        <v>0.43835616438356162</v>
      </c>
      <c r="H111" s="57">
        <v>-41.99785</v>
      </c>
      <c r="I111" s="54"/>
    </row>
    <row r="112" spans="1:9" x14ac:dyDescent="0.3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6"/>
        <v>1.0630136986301371</v>
      </c>
      <c r="H112" s="57">
        <v>-88.209366000000003</v>
      </c>
      <c r="I112" s="54"/>
    </row>
    <row r="113" spans="1:11" x14ac:dyDescent="0.3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6"/>
        <v>2.1397260273972605</v>
      </c>
      <c r="H113" s="57">
        <v>-93.321608999999995</v>
      </c>
      <c r="I113" s="54"/>
    </row>
    <row r="114" spans="1:11" x14ac:dyDescent="0.3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 t="shared" ref="G114:G116" si="7">+(E114-A114)/365</f>
        <v>2.1205479452054794</v>
      </c>
      <c r="H114" s="57">
        <v>-1.2418659999999999</v>
      </c>
    </row>
    <row r="115" spans="1:11" x14ac:dyDescent="0.3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 t="shared" si="7"/>
        <v>1</v>
      </c>
      <c r="H115" s="57">
        <v>-1699.5919226866699</v>
      </c>
      <c r="J115" s="56"/>
    </row>
    <row r="116" spans="1:11" x14ac:dyDescent="0.3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 t="shared" si="7"/>
        <v>2.0027397260273974</v>
      </c>
      <c r="H116" s="57">
        <v>-2559.2947924299992</v>
      </c>
      <c r="I116" s="60"/>
    </row>
    <row r="117" spans="1:11" x14ac:dyDescent="0.3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8">+(E117-A117)/365</f>
        <v>1.9863013698630136</v>
      </c>
      <c r="H117" s="57">
        <v>-67.907253499999996</v>
      </c>
      <c r="K117" s="2"/>
    </row>
    <row r="118" spans="1:11" x14ac:dyDescent="0.3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8"/>
        <v>0.26575342465753427</v>
      </c>
      <c r="H118" s="57">
        <v>-6.7086999999999994E-2</v>
      </c>
      <c r="K118" s="54"/>
    </row>
    <row r="119" spans="1:11" x14ac:dyDescent="0.3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8"/>
        <v>0.8904109589041096</v>
      </c>
      <c r="H119" s="57">
        <v>-0.17244200000000001</v>
      </c>
    </row>
    <row r="120" spans="1:11" x14ac:dyDescent="0.3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8"/>
        <v>1.8136986301369864</v>
      </c>
      <c r="H120" s="57">
        <v>-22.89504531</v>
      </c>
    </row>
    <row r="121" spans="1:11" x14ac:dyDescent="0.3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8"/>
        <v>0.71780821917808224</v>
      </c>
      <c r="H121" s="57">
        <v>-0.116994</v>
      </c>
    </row>
    <row r="122" spans="1:11" x14ac:dyDescent="0.3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8"/>
        <v>1.7945205479452055</v>
      </c>
      <c r="H122" s="57">
        <v>-35.812246000000002</v>
      </c>
    </row>
    <row r="123" spans="1:11" x14ac:dyDescent="0.3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8"/>
        <v>1.643835616438356E-2</v>
      </c>
      <c r="H123" s="57">
        <v>-4.3999449999999998</v>
      </c>
    </row>
    <row r="124" spans="1:11" x14ac:dyDescent="0.3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8"/>
        <v>0.64109589041095894</v>
      </c>
      <c r="H124" s="57">
        <v>-4.826333</v>
      </c>
    </row>
    <row r="125" spans="1:11" x14ac:dyDescent="0.3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8"/>
        <v>1.7178082191780821</v>
      </c>
      <c r="H125" s="57">
        <v>-0.70210099999999998</v>
      </c>
    </row>
    <row r="126" spans="1:11" x14ac:dyDescent="0.3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8"/>
        <v>1.6410958904109589</v>
      </c>
      <c r="H126" s="57">
        <v>-215.1472</v>
      </c>
    </row>
    <row r="127" spans="1:11" x14ac:dyDescent="0.3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8"/>
        <v>1.5452054794520549</v>
      </c>
      <c r="H127" s="57">
        <v>-0.19336500000000001</v>
      </c>
    </row>
    <row r="128" spans="1:11" x14ac:dyDescent="0.3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8"/>
        <v>1.526027397260274</v>
      </c>
      <c r="H128" s="57">
        <v>-102.220336</v>
      </c>
    </row>
    <row r="129" spans="1:9" x14ac:dyDescent="0.3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8"/>
        <v>1.5068493150684932</v>
      </c>
      <c r="H129" s="57">
        <v>-45.696291000000002</v>
      </c>
    </row>
    <row r="130" spans="1:9" x14ac:dyDescent="0.3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>+(E130-A130)/365</f>
        <v>1.4876712328767123</v>
      </c>
      <c r="H130" s="57">
        <v>-35.819153350000001</v>
      </c>
    </row>
    <row r="131" spans="1:9" x14ac:dyDescent="0.3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>+(E131-A131)/365</f>
        <v>0.39178082191780822</v>
      </c>
      <c r="H131" s="57">
        <v>-48.217117620000003</v>
      </c>
    </row>
    <row r="132" spans="1:9" x14ac:dyDescent="0.3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>+(E132-A132)/365</f>
        <v>1.4684931506849315</v>
      </c>
      <c r="H132" s="57">
        <v>-132.51558539999999</v>
      </c>
    </row>
    <row r="133" spans="1:9" x14ac:dyDescent="0.3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>+(E133-A133)/365</f>
        <v>2.3506849315068492</v>
      </c>
      <c r="H133" s="57">
        <v>-0.257799</v>
      </c>
    </row>
    <row r="134" spans="1:9" x14ac:dyDescent="0.3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ref="G134" si="9">+(E134-A134)/365</f>
        <v>0.31506849315068491</v>
      </c>
      <c r="H134" s="57">
        <v>-49.421649330000001</v>
      </c>
    </row>
    <row r="135" spans="1:9" x14ac:dyDescent="0.3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>+(E135-A135)/365</f>
        <v>1.3917808219178083</v>
      </c>
      <c r="H135" s="57">
        <v>-1.0499563300000001</v>
      </c>
    </row>
    <row r="136" spans="1:9" x14ac:dyDescent="0.3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>+(E136-A136)/365</f>
        <v>2.2684931506849315</v>
      </c>
      <c r="H136" s="57">
        <v>-1661.4933149999999</v>
      </c>
    </row>
    <row r="137" spans="1:9" x14ac:dyDescent="0.3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ref="G137" si="10">+(E137-A137)/365</f>
        <v>0.23287671232876711</v>
      </c>
      <c r="H137" s="57">
        <v>-0.47261566999999999</v>
      </c>
    </row>
    <row r="138" spans="1:9" x14ac:dyDescent="0.3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>+(E138-A138)/365</f>
        <v>1.3095890410958904</v>
      </c>
      <c r="H138" s="57">
        <v>-212.29558599999999</v>
      </c>
    </row>
    <row r="139" spans="1:9" x14ac:dyDescent="0.3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>+(E139-A139)/365</f>
        <v>2.4356164383561643</v>
      </c>
      <c r="H139" s="57">
        <v>-4839.4733370000004</v>
      </c>
    </row>
    <row r="140" spans="1:9" x14ac:dyDescent="0.3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ref="G140" si="11">+(E140-A140)/365</f>
        <v>0.16164383561643836</v>
      </c>
      <c r="H140" s="19">
        <v>-2.4702000000000002E-2</v>
      </c>
    </row>
    <row r="141" spans="1:9" x14ac:dyDescent="0.3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12">+(E141-A141)/365</f>
        <v>1.2383561643835617</v>
      </c>
      <c r="H141" s="57">
        <v>-47.411186669999999</v>
      </c>
    </row>
    <row r="142" spans="1:9" x14ac:dyDescent="0.3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12"/>
        <v>2.1205479452054794</v>
      </c>
      <c r="H142" s="57">
        <v>-32.354402</v>
      </c>
    </row>
    <row r="143" spans="1:9" x14ac:dyDescent="0.3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12"/>
        <v>1.1616438356164382</v>
      </c>
      <c r="H143" s="57">
        <v>-150</v>
      </c>
    </row>
    <row r="144" spans="1:9" x14ac:dyDescent="0.3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12"/>
        <v>2.1013698630136988</v>
      </c>
      <c r="H144" s="57">
        <v>-17.880500999999999</v>
      </c>
      <c r="I144" s="64"/>
    </row>
    <row r="145" spans="1:9" x14ac:dyDescent="0.3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12"/>
        <v>2.2684931506849315</v>
      </c>
      <c r="H145" s="57">
        <v>-692.57006100000001</v>
      </c>
      <c r="I145" s="54"/>
    </row>
    <row r="146" spans="1:9" x14ac:dyDescent="0.3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12"/>
        <v>2.043835616438356</v>
      </c>
      <c r="H146" s="57">
        <v>-11.856026999999999</v>
      </c>
      <c r="I146" s="65"/>
    </row>
    <row r="147" spans="1:9" x14ac:dyDescent="0.3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 t="shared" ref="G147" si="13">+(E147-A147)/365</f>
        <v>8.21917808219178E-3</v>
      </c>
      <c r="H147" s="57">
        <v>-44.22954764</v>
      </c>
      <c r="I147" s="54"/>
    </row>
    <row r="148" spans="1:9" x14ac:dyDescent="0.3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14">+(E148-A148)/365</f>
        <v>1.0849315068493151</v>
      </c>
      <c r="H148" s="57">
        <v>-122.26903939</v>
      </c>
      <c r="I148" s="54"/>
    </row>
    <row r="149" spans="1:9" x14ac:dyDescent="0.3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14"/>
        <v>2.0246575342465754</v>
      </c>
      <c r="H149" s="57">
        <v>-148.89400000000001</v>
      </c>
      <c r="I149" s="54"/>
    </row>
    <row r="150" spans="1:9" x14ac:dyDescent="0.3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14"/>
        <v>2.1917808219178081</v>
      </c>
      <c r="H150" s="57">
        <v>-1009.853833</v>
      </c>
    </row>
    <row r="151" spans="1:9" x14ac:dyDescent="0.3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14"/>
        <v>0</v>
      </c>
      <c r="H151" s="57">
        <v>-1552.1105219999999</v>
      </c>
    </row>
    <row r="152" spans="1:9" x14ac:dyDescent="0.3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14"/>
        <v>2.0027397260273974</v>
      </c>
      <c r="H152" s="57">
        <v>-2563.3109829999999</v>
      </c>
    </row>
    <row r="153" spans="1:9" x14ac:dyDescent="0.3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14"/>
        <v>1.0027397260273974</v>
      </c>
      <c r="H153" s="57">
        <v>-1963.327618</v>
      </c>
    </row>
    <row r="154" spans="1:9" x14ac:dyDescent="0.3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 t="shared" ref="G154:G156" si="15">+(E154-A154)/365</f>
        <v>1.9479452054794522</v>
      </c>
      <c r="H154" s="57">
        <v>-32.925370020000003</v>
      </c>
    </row>
    <row r="155" spans="1:9" x14ac:dyDescent="0.3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 t="shared" si="15"/>
        <v>0.989041095890411</v>
      </c>
      <c r="H155" s="57">
        <v>-37.217926299999995</v>
      </c>
    </row>
    <row r="156" spans="1:9" x14ac:dyDescent="0.3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 t="shared" si="15"/>
        <v>2.095890410958904</v>
      </c>
      <c r="H156" s="57">
        <v>-1624.681523</v>
      </c>
    </row>
    <row r="157" spans="1:9" x14ac:dyDescent="0.3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16">+(E157-A157)/365</f>
        <v>0.8904109589041096</v>
      </c>
      <c r="H157" s="57">
        <v>-6.41971867</v>
      </c>
    </row>
    <row r="158" spans="1:9" x14ac:dyDescent="0.3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16"/>
        <v>2.0164383561643837</v>
      </c>
      <c r="H158" s="57">
        <v>-900.15966900000001</v>
      </c>
    </row>
    <row r="159" spans="1:9" x14ac:dyDescent="0.3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16"/>
        <v>1.832876712328767</v>
      </c>
      <c r="H159" s="57">
        <v>-9.1635999999999995E-2</v>
      </c>
    </row>
    <row r="160" spans="1:9" x14ac:dyDescent="0.3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16"/>
        <v>0.87397260273972599</v>
      </c>
      <c r="H160" s="57">
        <v>-212.25256609000002</v>
      </c>
    </row>
    <row r="161" spans="1:10" x14ac:dyDescent="0.3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16"/>
        <v>1.9863013698630136</v>
      </c>
      <c r="H161" s="57">
        <v>-2803.8672120000001</v>
      </c>
    </row>
    <row r="162" spans="1:10" x14ac:dyDescent="0.3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16"/>
        <v>1.7945205479452055</v>
      </c>
      <c r="H162" s="57">
        <v>-0.52799333000000004</v>
      </c>
    </row>
    <row r="163" spans="1:10" x14ac:dyDescent="0.3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16"/>
        <v>0.83561643835616439</v>
      </c>
      <c r="H163" s="57">
        <v>-47.097583419999999</v>
      </c>
    </row>
    <row r="164" spans="1:10" x14ac:dyDescent="0.3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65" si="17">+(E164-A164)/365</f>
        <v>1.7753424657534247</v>
      </c>
      <c r="H164" s="57">
        <v>-105.68349072999999</v>
      </c>
    </row>
    <row r="165" spans="1:10" x14ac:dyDescent="0.3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17"/>
        <v>0.81643835616438354</v>
      </c>
      <c r="H165" s="57">
        <v>-28.616009719999997</v>
      </c>
    </row>
    <row r="166" spans="1:10" x14ac:dyDescent="0.3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>+(E166-A166)/365</f>
        <v>1.9232876712328768</v>
      </c>
      <c r="H166" s="57">
        <v>-914.62506045000009</v>
      </c>
      <c r="I166" s="54"/>
      <c r="J166" s="54"/>
    </row>
    <row r="167" spans="1:10" x14ac:dyDescent="0.3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ref="G167:G171" si="18">+(E167-A167)/365</f>
        <v>1.6986301369863013</v>
      </c>
      <c r="H167" s="57">
        <v>-153.86199808000001</v>
      </c>
    </row>
    <row r="168" spans="1:10" x14ac:dyDescent="0.3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18"/>
        <v>0.72054794520547949</v>
      </c>
      <c r="H168" s="57">
        <v>-85.768747579999996</v>
      </c>
    </row>
    <row r="169" spans="1:10" x14ac:dyDescent="0.3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18"/>
        <v>1.6219178082191781</v>
      </c>
      <c r="H169" s="57">
        <v>-10.445510000000001</v>
      </c>
    </row>
    <row r="170" spans="1:10" x14ac:dyDescent="0.3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18"/>
        <v>1.7506849315068493</v>
      </c>
      <c r="H170" s="57">
        <v>-702.38793835000001</v>
      </c>
      <c r="I170" s="54"/>
      <c r="J170" s="54"/>
    </row>
    <row r="171" spans="1:10" x14ac:dyDescent="0.3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18"/>
        <v>1.6931506849315068</v>
      </c>
      <c r="H171" s="57">
        <v>-807.82352574000004</v>
      </c>
      <c r="I171" s="54"/>
      <c r="J171" s="54"/>
    </row>
    <row r="172" spans="1:10" x14ac:dyDescent="0.3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ref="G172:G173" si="19">+(E172-A172)/365</f>
        <v>0.54794520547945202</v>
      </c>
      <c r="H172" s="57">
        <v>-338.64812499999999</v>
      </c>
    </row>
    <row r="173" spans="1:10" x14ac:dyDescent="0.3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19"/>
        <v>1.3534246575342466</v>
      </c>
      <c r="H173" s="57">
        <v>-32.297059329999996</v>
      </c>
    </row>
    <row r="174" spans="1:10" x14ac:dyDescent="0.3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ref="G174" si="20">+(E174-A174)/365</f>
        <v>2.0027397260273974</v>
      </c>
      <c r="H174" s="57">
        <v>-2357.3699976426301</v>
      </c>
    </row>
    <row r="175" spans="1:10" x14ac:dyDescent="0.3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ref="G175:G179" si="21">+(E175-A175)/365</f>
        <v>1.5671232876712329</v>
      </c>
      <c r="H175" s="57">
        <v>-567.79999999999995</v>
      </c>
    </row>
    <row r="176" spans="1:10" x14ac:dyDescent="0.3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21"/>
        <v>0.37534246575342467</v>
      </c>
      <c r="H176" s="19">
        <v>-0.03</v>
      </c>
    </row>
    <row r="177" spans="1:10" x14ac:dyDescent="0.3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21"/>
        <v>1.9917808219178081</v>
      </c>
      <c r="H177" s="19">
        <v>-0.09</v>
      </c>
      <c r="J177" s="1" t="s">
        <v>1012</v>
      </c>
    </row>
    <row r="178" spans="1:10" x14ac:dyDescent="0.3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21"/>
        <v>1.2575342465753425</v>
      </c>
      <c r="H178" s="19">
        <v>-98.698313999999996</v>
      </c>
    </row>
    <row r="179" spans="1:10" x14ac:dyDescent="0.3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21"/>
        <v>1.9150684931506849</v>
      </c>
      <c r="H179" s="19">
        <v>-5.3486339999999997</v>
      </c>
    </row>
    <row r="180" spans="1:10" x14ac:dyDescent="0.3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22">+(E180-A180)/365</f>
        <v>1.2383561643835617</v>
      </c>
      <c r="H180" s="19">
        <v>-78.175898669999995</v>
      </c>
      <c r="I180" s="54"/>
      <c r="J180" s="54"/>
    </row>
    <row r="181" spans="1:10" x14ac:dyDescent="0.3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22"/>
        <v>0.27945205479452057</v>
      </c>
      <c r="H181" s="19">
        <v>-0.21576699999999999</v>
      </c>
    </row>
    <row r="182" spans="1:10" x14ac:dyDescent="0.3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22"/>
        <v>1.8958904109589041</v>
      </c>
      <c r="H182" s="19">
        <v>-0.15314</v>
      </c>
    </row>
    <row r="183" spans="1:10" x14ac:dyDescent="0.3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22"/>
        <v>1.452054794520548</v>
      </c>
      <c r="H183" s="19">
        <v>-323.27999999999997</v>
      </c>
    </row>
    <row r="184" spans="1:10" x14ac:dyDescent="0.3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22"/>
        <v>0.26027397260273971</v>
      </c>
      <c r="H184" s="19">
        <v>-58.864712670000003</v>
      </c>
    </row>
    <row r="185" spans="1:10" x14ac:dyDescent="0.3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22"/>
        <v>1.8767123287671232</v>
      </c>
      <c r="H185" s="19">
        <v>-198.28862332999998</v>
      </c>
    </row>
    <row r="186" spans="1:10" x14ac:dyDescent="0.3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22"/>
        <v>1.2</v>
      </c>
      <c r="H186" s="19">
        <v>-76.840549999999993</v>
      </c>
    </row>
    <row r="187" spans="1:10" x14ac:dyDescent="0.3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89" si="23">+(E187-A187)/365</f>
        <v>1.1808219178082191</v>
      </c>
      <c r="H187" s="19">
        <v>-164.61160999000001</v>
      </c>
      <c r="I187" s="68"/>
      <c r="J187" s="68"/>
    </row>
    <row r="188" spans="1:10" x14ac:dyDescent="0.3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23"/>
        <v>0.22191780821917809</v>
      </c>
      <c r="H188" s="19">
        <v>-1.62787733</v>
      </c>
    </row>
    <row r="189" spans="1:10" x14ac:dyDescent="0.3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23"/>
        <v>1.8383561643835618</v>
      </c>
      <c r="H189" s="19">
        <v>-59.99000333</v>
      </c>
    </row>
    <row r="190" spans="1:10" x14ac:dyDescent="0.3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ref="G190:G193" si="24">+(E190-A190)/365</f>
        <v>1.1041095890410959</v>
      </c>
      <c r="H190" s="19">
        <v>-44.916698670000002</v>
      </c>
    </row>
    <row r="191" spans="1:10" x14ac:dyDescent="0.3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24"/>
        <v>1.7616438356164383</v>
      </c>
      <c r="H191" s="19">
        <v>-257.59128466999999</v>
      </c>
    </row>
    <row r="192" spans="1:10" x14ac:dyDescent="0.3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24"/>
        <v>1.0849315068493151</v>
      </c>
      <c r="H192" s="19">
        <v>-33.554828669999999</v>
      </c>
    </row>
    <row r="193" spans="1:8" x14ac:dyDescent="0.3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24"/>
        <v>1.0630136986301371</v>
      </c>
      <c r="H193" s="19">
        <v>-73.583603999999994</v>
      </c>
    </row>
    <row r="194" spans="1:8" x14ac:dyDescent="0.3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ref="G194:G195" si="25">+(E194-A194)/365</f>
        <v>1.7205479452054795</v>
      </c>
      <c r="H194" s="19">
        <v>-39.987560000000002</v>
      </c>
    </row>
    <row r="195" spans="1:8" x14ac:dyDescent="0.3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25"/>
        <v>7.1232876712328766E-2</v>
      </c>
      <c r="H195" s="19">
        <v>-52.817833</v>
      </c>
    </row>
    <row r="196" spans="1:8" x14ac:dyDescent="0.3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ref="G196" si="26">+(E196-A196)/365</f>
        <v>1.0301369863013699</v>
      </c>
      <c r="H196" s="19">
        <v>-484.762788</v>
      </c>
    </row>
    <row r="197" spans="1:8" x14ac:dyDescent="0.3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27">+(E197-A197)/365</f>
        <v>1</v>
      </c>
      <c r="H197" s="19">
        <v>-1867.8223117550001</v>
      </c>
    </row>
    <row r="198" spans="1:8" x14ac:dyDescent="0.3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27"/>
        <v>1.6465753424657534</v>
      </c>
      <c r="H198" s="19">
        <v>-200</v>
      </c>
    </row>
    <row r="199" spans="1:8" x14ac:dyDescent="0.3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27"/>
        <v>3.0136986301369864E-2</v>
      </c>
      <c r="H199" s="19">
        <v>-0.14208299999999999</v>
      </c>
    </row>
    <row r="200" spans="1:8" x14ac:dyDescent="0.3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27"/>
        <v>0</v>
      </c>
      <c r="H200" s="57">
        <v>-1093.6086728400001</v>
      </c>
    </row>
    <row r="201" spans="1:8" x14ac:dyDescent="0.3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27"/>
        <v>1.6082191780821917</v>
      </c>
      <c r="H201" s="57">
        <v>-20.189035329999999</v>
      </c>
    </row>
    <row r="202" spans="1:8" x14ac:dyDescent="0.3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27"/>
        <v>1.3616438356164384</v>
      </c>
      <c r="H202" s="57">
        <v>-355.12203499999998</v>
      </c>
    </row>
    <row r="203" spans="1:8" x14ac:dyDescent="0.3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27"/>
        <v>1.3424657534246576</v>
      </c>
      <c r="H203" s="57">
        <v>-39.479999999999997</v>
      </c>
    </row>
    <row r="204" spans="1:8" x14ac:dyDescent="0.3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>+(E204-A204)/365</f>
        <v>1</v>
      </c>
      <c r="H204" s="57">
        <v>-1591.4489202300001</v>
      </c>
    </row>
    <row r="205" spans="1:8" x14ac:dyDescent="0.3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>+(E205-A205)/365</f>
        <v>1.473972602739726</v>
      </c>
      <c r="H205" s="57">
        <v>-134.97300000000001</v>
      </c>
    </row>
    <row r="206" spans="1:8" x14ac:dyDescent="0.3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>+(E206-A206)/365</f>
        <v>1.4356164383561645</v>
      </c>
      <c r="H206" s="57">
        <v>-13.090999999999999</v>
      </c>
    </row>
    <row r="207" spans="1:8" x14ac:dyDescent="0.3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ref="G207:G211" si="28">+(E207-A207)/365</f>
        <v>0.75890410958904109</v>
      </c>
      <c r="H207" s="57">
        <v>-24.200013719999998</v>
      </c>
    </row>
    <row r="208" spans="1:8" x14ac:dyDescent="0.3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28"/>
        <v>1.2657534246575342</v>
      </c>
      <c r="H208" s="57">
        <v>-33.047027</v>
      </c>
    </row>
    <row r="209" spans="1:8" x14ac:dyDescent="0.3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28"/>
        <v>1.4164383561643836</v>
      </c>
      <c r="H209" s="57">
        <v>-31.524289329999998</v>
      </c>
    </row>
    <row r="210" spans="1:8" x14ac:dyDescent="0.3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28"/>
        <v>1.2493150684931507</v>
      </c>
      <c r="H210" s="57">
        <v>-130.6</v>
      </c>
    </row>
    <row r="211" spans="1:8" x14ac:dyDescent="0.3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28"/>
        <v>0.70136986301369864</v>
      </c>
      <c r="H211" s="19">
        <v>-30</v>
      </c>
    </row>
    <row r="212" spans="1:8" x14ac:dyDescent="0.3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ref="G212:G213" si="29">+(E212-A212)/365</f>
        <v>1.2082191780821918</v>
      </c>
      <c r="H212" s="57">
        <v>-25.392102000000001</v>
      </c>
    </row>
    <row r="213" spans="1:8" x14ac:dyDescent="0.3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29"/>
        <v>1.1698630136986301</v>
      </c>
      <c r="H213" s="57">
        <v>-100.562934</v>
      </c>
    </row>
    <row r="214" spans="1:8" x14ac:dyDescent="0.3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>+(E214-A214)/365</f>
        <v>1.3205479452054794</v>
      </c>
      <c r="H214" s="57">
        <v>-155.013428</v>
      </c>
    </row>
    <row r="215" spans="1:8" x14ac:dyDescent="0.3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ref="G215:G216" si="30">+(E215-A215)/365</f>
        <v>0.60547945205479448</v>
      </c>
      <c r="H215" s="19">
        <v>-28.569338999999999</v>
      </c>
    </row>
    <row r="216" spans="1:8" x14ac:dyDescent="0.3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30"/>
        <v>1.1123287671232878</v>
      </c>
      <c r="H216" s="57">
        <v>-120.491101</v>
      </c>
    </row>
    <row r="217" spans="1:8" x14ac:dyDescent="0.3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31">+(E217-A217)/365</f>
        <v>1.0931506849315069</v>
      </c>
      <c r="H217" s="19">
        <v>-93.487232000000006</v>
      </c>
    </row>
    <row r="218" spans="1:8" x14ac:dyDescent="0.3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31"/>
        <v>0.52876712328767128</v>
      </c>
      <c r="H218" s="19">
        <v>-0.107</v>
      </c>
    </row>
    <row r="219" spans="1:8" x14ac:dyDescent="0.3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31"/>
        <v>1.1863013698630136</v>
      </c>
      <c r="H219" s="57">
        <v>-21.738634000000001</v>
      </c>
    </row>
    <row r="220" spans="1:8" x14ac:dyDescent="0.3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31"/>
        <v>0.69589041095890414</v>
      </c>
      <c r="H220" s="19">
        <v>-6.1909999999999998</v>
      </c>
    </row>
    <row r="221" spans="1:8" x14ac:dyDescent="0.3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31"/>
        <v>1.167123287671233</v>
      </c>
      <c r="H221" s="19">
        <v>-72.429367999999997</v>
      </c>
    </row>
    <row r="222" spans="1:8" x14ac:dyDescent="0.3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31"/>
        <v>0.9780821917808219</v>
      </c>
      <c r="H222" s="19">
        <v>-7.7046520000000003</v>
      </c>
    </row>
    <row r="223" spans="1:8" x14ac:dyDescent="0.3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31"/>
        <v>0.45205479452054792</v>
      </c>
      <c r="H223" s="19">
        <v>-0.384517</v>
      </c>
    </row>
    <row r="224" spans="1:8" x14ac:dyDescent="0.3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31"/>
        <v>0.95890410958904104</v>
      </c>
      <c r="H224" s="19">
        <v>-103.53223800000001</v>
      </c>
    </row>
    <row r="225" spans="1:11" x14ac:dyDescent="0.3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31"/>
        <v>1.0904109589041096</v>
      </c>
      <c r="H225" s="19">
        <v>-113.67309</v>
      </c>
    </row>
    <row r="226" spans="1:11" x14ac:dyDescent="0.3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31"/>
        <v>1.0136986301369864</v>
      </c>
      <c r="H226" s="19">
        <v>-294.70883600000002</v>
      </c>
    </row>
    <row r="227" spans="1:11" x14ac:dyDescent="0.3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31"/>
        <v>0.86301369863013699</v>
      </c>
      <c r="H227" s="19">
        <v>-4.3330279999999997</v>
      </c>
    </row>
    <row r="228" spans="1:11" x14ac:dyDescent="0.3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 t="shared" ref="G228" si="32">+(E228-A228)/365</f>
        <v>1</v>
      </c>
      <c r="H228" s="19">
        <v>-1547.9743101600006</v>
      </c>
    </row>
    <row r="229" spans="1:11" x14ac:dyDescent="0.3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31"/>
        <v>0.97534246575342465</v>
      </c>
      <c r="H229" s="19">
        <v>-14.227784</v>
      </c>
    </row>
    <row r="230" spans="1:11" x14ac:dyDescent="0.3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31"/>
        <v>0.51232876712328768</v>
      </c>
      <c r="H230" s="19">
        <v>-160.80000000000001</v>
      </c>
    </row>
    <row r="231" spans="1:11" x14ac:dyDescent="0.3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31"/>
        <v>0.26027397260273971</v>
      </c>
      <c r="H231" s="19">
        <v>-0.63228099999999998</v>
      </c>
    </row>
    <row r="232" spans="1:11" x14ac:dyDescent="0.3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31"/>
        <v>0.76712328767123283</v>
      </c>
      <c r="H232" s="19">
        <v>-11.9</v>
      </c>
    </row>
    <row r="233" spans="1:11" x14ac:dyDescent="0.3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31"/>
        <v>0.9178082191780822</v>
      </c>
      <c r="H233" s="19">
        <v>-4.7739609999999999</v>
      </c>
    </row>
    <row r="234" spans="1:11" x14ac:dyDescent="0.3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31"/>
        <v>0.74794520547945209</v>
      </c>
      <c r="H234" s="19">
        <v>-71.656501000000006</v>
      </c>
    </row>
    <row r="235" spans="1:11" x14ac:dyDescent="0.3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33">+(E235-A235)/365</f>
        <v>0.69041095890410964</v>
      </c>
      <c r="H235" s="19">
        <v>-51.017763000000002</v>
      </c>
    </row>
    <row r="236" spans="1:11" x14ac:dyDescent="0.3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33"/>
        <v>0.84109589041095889</v>
      </c>
      <c r="H236" s="19">
        <v>-45.871217999999999</v>
      </c>
    </row>
    <row r="237" spans="1:11" x14ac:dyDescent="0.3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33"/>
        <v>0.12602739726027398</v>
      </c>
      <c r="H237" s="19">
        <v>-1.5</v>
      </c>
      <c r="K237"/>
    </row>
    <row r="238" spans="1:11" x14ac:dyDescent="0.3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33"/>
        <v>0.63287671232876708</v>
      </c>
      <c r="H238" s="19">
        <v>-2.9937390000000001</v>
      </c>
    </row>
    <row r="239" spans="1:11" x14ac:dyDescent="0.3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33"/>
        <v>0.57534246575342463</v>
      </c>
      <c r="H239" s="19">
        <v>-346.85345100000001</v>
      </c>
    </row>
    <row r="240" spans="1:11" x14ac:dyDescent="0.3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33"/>
        <v>0.72602739726027399</v>
      </c>
      <c r="H240" s="19">
        <v>-26.129600329999999</v>
      </c>
    </row>
    <row r="241" spans="1:8" x14ac:dyDescent="0.3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33"/>
        <v>3.0136986301369864E-2</v>
      </c>
      <c r="H241" s="19">
        <v>-7.1628812999999996</v>
      </c>
    </row>
    <row r="242" spans="1:8" x14ac:dyDescent="0.3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33"/>
        <v>0.53698630136986303</v>
      </c>
      <c r="H242" s="19">
        <v>-1.7882640000000001</v>
      </c>
    </row>
    <row r="243" spans="1:8" x14ac:dyDescent="0.3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33"/>
        <v>0.68767123287671228</v>
      </c>
      <c r="H243" s="19">
        <v>-0.12354900000000001</v>
      </c>
    </row>
    <row r="244" spans="1:8" x14ac:dyDescent="0.3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 t="shared" ref="G244:G248" si="34">+(E244-A244)/365</f>
        <v>1.0958904109589041E-2</v>
      </c>
      <c r="H244" s="19">
        <v>-365.26593608999997</v>
      </c>
    </row>
    <row r="245" spans="1:8" x14ac:dyDescent="0.3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 t="shared" si="34"/>
        <v>0</v>
      </c>
      <c r="H245" s="17">
        <v>-1410.0003436450008</v>
      </c>
    </row>
    <row r="246" spans="1:8" x14ac:dyDescent="0.3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 t="shared" si="34"/>
        <v>0.49863013698630138</v>
      </c>
      <c r="H246" s="17">
        <v>-312.55977300000001</v>
      </c>
    </row>
    <row r="247" spans="1:8" x14ac:dyDescent="0.3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 t="shared" si="34"/>
        <v>0.64931506849315068</v>
      </c>
      <c r="H247" s="17">
        <v>-61.242896999999999</v>
      </c>
    </row>
    <row r="248" spans="1:8" x14ac:dyDescent="0.3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 t="shared" si="34"/>
        <v>0.42191780821917807</v>
      </c>
      <c r="H248" s="17">
        <v>-95.498990000000006</v>
      </c>
    </row>
    <row r="249" spans="1:8" x14ac:dyDescent="0.3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35">+(E249-A249)/365</f>
        <v>0.49589041095890413</v>
      </c>
      <c r="H249" s="17">
        <v>-59.488849999999999</v>
      </c>
    </row>
    <row r="250" spans="1:8" x14ac:dyDescent="0.3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35"/>
        <v>0</v>
      </c>
      <c r="H250" s="17">
        <v>-1585.2579202300012</v>
      </c>
    </row>
    <row r="251" spans="1:8" x14ac:dyDescent="0.3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35"/>
        <v>0.47671232876712327</v>
      </c>
      <c r="H251" s="17">
        <v>-80.388535000000005</v>
      </c>
    </row>
    <row r="252" spans="1:8" x14ac:dyDescent="0.3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35"/>
        <v>3.287671232876712E-2</v>
      </c>
      <c r="H252" s="17">
        <v>-581.59324100000003</v>
      </c>
    </row>
    <row r="253" spans="1:8" x14ac:dyDescent="0.3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35"/>
        <v>0.30684931506849317</v>
      </c>
      <c r="H253" s="17">
        <v>-132.232203</v>
      </c>
    </row>
    <row r="254" spans="1:8" x14ac:dyDescent="0.3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35"/>
        <v>0.45753424657534247</v>
      </c>
      <c r="H254" s="17">
        <v>-5.85529338</v>
      </c>
    </row>
    <row r="255" spans="1:8" x14ac:dyDescent="0.3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36">+(E255-A255)/365</f>
        <v>0.26849315068493151</v>
      </c>
      <c r="H255" s="17">
        <v>-205.04178400000001</v>
      </c>
    </row>
    <row r="256" spans="1:8" x14ac:dyDescent="0.3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36"/>
        <v>0.21095890410958903</v>
      </c>
      <c r="H256" s="17">
        <v>-69.101445999999996</v>
      </c>
    </row>
    <row r="257" spans="1:8" x14ac:dyDescent="0.3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36"/>
        <v>0.36164383561643837</v>
      </c>
      <c r="H257" s="17">
        <v>-34.203705579999998</v>
      </c>
    </row>
    <row r="258" spans="1:8" x14ac:dyDescent="0.3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36"/>
        <v>0.19178082191780821</v>
      </c>
      <c r="H258" s="17">
        <v>-96.666346000000004</v>
      </c>
    </row>
    <row r="259" spans="1:8" x14ac:dyDescent="0.3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36"/>
        <v>0.34246575342465752</v>
      </c>
      <c r="H259" s="17">
        <v>-1.0157780000000001</v>
      </c>
    </row>
    <row r="260" spans="1:8" x14ac:dyDescent="0.3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36"/>
        <v>0.26575342465753427</v>
      </c>
      <c r="H260" s="17">
        <v>-16.447112669999999</v>
      </c>
    </row>
    <row r="261" spans="1:8" x14ac:dyDescent="0.3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36"/>
        <v>1.1123287671232878</v>
      </c>
      <c r="H261" s="17">
        <v>-1841.4348669999999</v>
      </c>
    </row>
    <row r="262" spans="1:8" x14ac:dyDescent="0.3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36"/>
        <v>3.2684931506849315</v>
      </c>
      <c r="H262" s="17">
        <v>-517.67999999999995</v>
      </c>
    </row>
    <row r="263" spans="1:8" x14ac:dyDescent="0.3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36"/>
        <v>7.6712328767123292E-2</v>
      </c>
      <c r="H263" s="17">
        <v>-2.0299170000000002</v>
      </c>
    </row>
    <row r="264" spans="1:8" x14ac:dyDescent="0.3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36"/>
        <v>0.22739726027397261</v>
      </c>
      <c r="H264" s="57">
        <v>-0.20899999999999999</v>
      </c>
    </row>
    <row r="265" spans="1:8" x14ac:dyDescent="0.3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36"/>
        <v>0.18904109589041096</v>
      </c>
      <c r="H265" s="57">
        <v>-3.07338033</v>
      </c>
    </row>
    <row r="266" spans="1:8" x14ac:dyDescent="0.3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 t="shared" ref="G266:G269" si="37">+(E266-A266)/365</f>
        <v>1.0684931506849316</v>
      </c>
      <c r="H266" s="57">
        <v>-448.75947300000001</v>
      </c>
    </row>
    <row r="267" spans="1:8" x14ac:dyDescent="0.3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 t="shared" si="37"/>
        <v>1.9178082191780823E-2</v>
      </c>
      <c r="H267" s="57">
        <v>-12.0564</v>
      </c>
    </row>
    <row r="268" spans="1:8" x14ac:dyDescent="0.3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 t="shared" si="37"/>
        <v>0.16986301369863013</v>
      </c>
      <c r="H268" s="57">
        <v>-0.15087999999999999</v>
      </c>
    </row>
    <row r="269" spans="1:8" x14ac:dyDescent="0.3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 t="shared" si="37"/>
        <v>1.0301369863013699</v>
      </c>
      <c r="H269" s="57">
        <v>-735.03730299999995</v>
      </c>
    </row>
    <row r="270" spans="1:8" x14ac:dyDescent="0.3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6" si="38">+(E270-A270)/365</f>
        <v>0.15068493150684931</v>
      </c>
      <c r="H270" s="57">
        <v>-64.488982120000003</v>
      </c>
    </row>
    <row r="271" spans="1:8" x14ac:dyDescent="0.3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38"/>
        <v>0.11232876712328767</v>
      </c>
      <c r="H271" s="57">
        <v>-149.54501089999999</v>
      </c>
    </row>
    <row r="272" spans="1:8" x14ac:dyDescent="0.3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38"/>
        <v>0.99178082191780825</v>
      </c>
      <c r="H272" s="57">
        <v>-464.66638799999998</v>
      </c>
    </row>
    <row r="273" spans="1:8" x14ac:dyDescent="0.3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38"/>
        <v>0.11232876712328767</v>
      </c>
      <c r="H273" s="57">
        <v>-41.199069379999997</v>
      </c>
    </row>
    <row r="274" spans="1:8" x14ac:dyDescent="0.3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38"/>
        <v>0.8575342465753425</v>
      </c>
      <c r="H274" s="57">
        <v>-1944.153523</v>
      </c>
    </row>
    <row r="275" spans="1:8" x14ac:dyDescent="0.3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38"/>
        <v>0.78082191780821919</v>
      </c>
      <c r="H275" s="57">
        <v>-1330.3411289999999</v>
      </c>
    </row>
    <row r="276" spans="1:8" x14ac:dyDescent="0.3">
      <c r="A276" s="2">
        <v>46099</v>
      </c>
      <c r="B276" s="35" t="s">
        <v>332</v>
      </c>
      <c r="C276" s="15">
        <v>30</v>
      </c>
      <c r="D276" s="1" t="s">
        <v>307</v>
      </c>
      <c r="E276" s="13">
        <v>46406</v>
      </c>
      <c r="F276" s="32">
        <v>5</v>
      </c>
      <c r="G276" s="32">
        <f t="shared" si="38"/>
        <v>0.84109589041095889</v>
      </c>
      <c r="H276" s="57">
        <v>-0.71590500000000001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B34AEA2D-8C56-4A61-AF4E-2BCF84BB8040}"/>
</file>

<file path=customXml/itemProps2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customXml/itemProps4.xml><?xml version="1.0" encoding="utf-8"?>
<ds:datastoreItem xmlns:ds="http://schemas.openxmlformats.org/officeDocument/2006/customXml" ds:itemID="{C7195BE2-C540-4841-9FFA-1FDAA851422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Maria Victoria Gzech Beghloldh</cp:lastModifiedBy>
  <dcterms:created xsi:type="dcterms:W3CDTF">2021-06-01T17:02:56Z</dcterms:created>
  <dcterms:modified xsi:type="dcterms:W3CDTF">2026-04-06T20:00:09Z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