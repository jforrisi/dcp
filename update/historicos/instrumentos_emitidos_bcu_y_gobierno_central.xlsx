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80CD483A-9318-4145-B1AB-AB9651610945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DIN!$A$9:$H$2597</definedName>
    <definedName name="_xlnm._FilterDatabase" localSheetId="1" hidden="1">LRM!$A$10:$AD$1301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54" i="5" l="1"/>
  <c r="J354" i="5"/>
  <c r="Z1301" i="1"/>
  <c r="X1301" i="1"/>
  <c r="S1301" i="1"/>
  <c r="Q1301" i="1"/>
  <c r="L1301" i="1"/>
  <c r="J1301" i="1"/>
  <c r="D2601" i="2"/>
  <c r="H2601" i="2"/>
  <c r="D2600" i="2"/>
  <c r="H2600" i="2"/>
  <c r="D2599" i="2"/>
  <c r="H2599" i="2"/>
  <c r="D2598" i="2"/>
  <c r="H2598" i="2"/>
  <c r="D2597" i="2"/>
  <c r="H2597" i="2"/>
  <c r="D2596" i="2"/>
  <c r="H2596" i="2"/>
  <c r="D2595" i="2"/>
  <c r="H2595" i="2"/>
  <c r="D2594" i="2"/>
  <c r="H2594" i="2"/>
  <c r="D2593" i="2"/>
  <c r="H2593" i="2"/>
  <c r="Z1300" i="1" l="1"/>
  <c r="X1300" i="1"/>
  <c r="S1300" i="1"/>
  <c r="Q1300" i="1"/>
  <c r="L1300" i="1"/>
  <c r="J1300" i="1"/>
  <c r="D2592" i="2"/>
  <c r="H2592" i="2"/>
  <c r="D2591" i="2"/>
  <c r="H2591" i="2"/>
  <c r="D2590" i="2"/>
  <c r="H2590" i="2"/>
  <c r="D2589" i="2"/>
  <c r="H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H2588" i="2"/>
  <c r="D2587" i="2"/>
  <c r="H2587" i="2"/>
  <c r="D2586" i="2"/>
  <c r="H2586" i="2"/>
  <c r="D2585" i="2"/>
  <c r="H2585" i="2"/>
  <c r="D2584" i="2"/>
  <c r="H2584" i="2"/>
  <c r="V353" i="5"/>
  <c r="N353" i="5"/>
  <c r="D2583" i="2"/>
  <c r="D2582" i="2"/>
  <c r="D2581" i="2"/>
  <c r="D2580" i="2"/>
  <c r="H2583" i="2"/>
  <c r="H2582" i="2"/>
  <c r="H2581" i="2"/>
  <c r="H2580" i="2"/>
  <c r="K353" i="5"/>
  <c r="J353" i="5"/>
  <c r="Z1298" i="1"/>
  <c r="X1298" i="1"/>
  <c r="Q1298" i="1"/>
  <c r="S1298" i="1"/>
  <c r="L1298" i="1"/>
  <c r="J1298" i="1"/>
  <c r="D2579" i="2"/>
  <c r="D2578" i="2"/>
  <c r="D2577" i="2"/>
  <c r="H2579" i="2"/>
  <c r="H2578" i="2"/>
  <c r="H2577" i="2"/>
  <c r="Z1297" i="1"/>
  <c r="X1297" i="1"/>
  <c r="S1297" i="1"/>
  <c r="Q1297" i="1"/>
  <c r="L1297" i="1"/>
  <c r="D2576" i="2" l="1"/>
  <c r="H2576" i="2"/>
  <c r="D2575" i="2"/>
  <c r="D2574" i="2"/>
  <c r="H2575" i="2"/>
  <c r="H2574" i="2"/>
  <c r="D2573" i="2"/>
  <c r="H2573" i="2"/>
  <c r="D2572" i="2"/>
  <c r="H2572" i="2"/>
  <c r="D2571" i="2"/>
  <c r="H2571" i="2"/>
  <c r="D2570" i="2"/>
  <c r="H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H2569" i="2"/>
  <c r="H2568" i="2"/>
  <c r="H2567" i="2"/>
  <c r="V352" i="5"/>
  <c r="N352" i="5"/>
  <c r="D2566" i="2"/>
  <c r="H2566" i="2"/>
  <c r="D2565" i="2"/>
  <c r="H2565" i="2"/>
  <c r="D2564" i="2"/>
  <c r="H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H2563" i="2"/>
  <c r="D2562" i="2"/>
  <c r="D2561" i="2"/>
  <c r="D2560" i="2"/>
  <c r="H2562" i="2"/>
  <c r="H2561" i="2"/>
  <c r="H2560" i="2"/>
  <c r="S1292" i="1"/>
  <c r="AD1293" i="1"/>
  <c r="Z1293" i="1"/>
  <c r="X1293" i="1"/>
  <c r="V1293" i="1"/>
  <c r="S1293" i="1"/>
  <c r="Q1293" i="1"/>
  <c r="L1293" i="1"/>
  <c r="J1293" i="1"/>
  <c r="D2559" i="2"/>
  <c r="D2558" i="2"/>
  <c r="H2559" i="2"/>
  <c r="H2558" i="2"/>
  <c r="D2557" i="2"/>
  <c r="H2557" i="2"/>
  <c r="D2556" i="2"/>
  <c r="H2556" i="2"/>
  <c r="H2555" i="2" l="1"/>
  <c r="D2555" i="2"/>
  <c r="D2554" i="2"/>
  <c r="H2554" i="2"/>
  <c r="D2553" i="2"/>
  <c r="H2553" i="2"/>
  <c r="D2552" i="2"/>
  <c r="H2552" i="2"/>
  <c r="F294" i="8" l="1"/>
  <c r="F295" i="8"/>
  <c r="F296" i="8"/>
  <c r="F293" i="8"/>
  <c r="G275" i="6"/>
  <c r="D2551" i="2"/>
  <c r="H2551" i="2"/>
  <c r="D2550" i="2"/>
  <c r="H2550" i="2"/>
  <c r="D2549" i="2"/>
  <c r="H2549" i="2"/>
  <c r="V351" i="5"/>
  <c r="N351" i="5"/>
  <c r="D2548" i="2"/>
  <c r="D2547" i="2"/>
  <c r="D2546" i="2"/>
  <c r="H2548" i="2"/>
  <c r="H2547" i="2"/>
  <c r="H2546" i="2"/>
  <c r="K351" i="5"/>
  <c r="J351" i="5"/>
  <c r="D2545" i="2"/>
  <c r="H2545" i="2"/>
  <c r="D2544" i="2"/>
  <c r="H2544" i="2"/>
  <c r="D2543" i="2"/>
  <c r="H2543" i="2"/>
  <c r="H2542" i="2" l="1"/>
  <c r="H2541" i="2"/>
  <c r="D2541" i="2"/>
  <c r="D2542" i="2"/>
  <c r="D2540" i="2"/>
  <c r="H2540" i="2"/>
  <c r="D2539" i="2"/>
  <c r="H2539" i="2"/>
  <c r="H2537" i="2"/>
  <c r="H2538" i="2"/>
  <c r="D2537" i="2"/>
  <c r="D2538" i="2"/>
  <c r="D2536" i="2"/>
  <c r="H2536" i="2"/>
  <c r="D2529" i="2"/>
  <c r="H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2532" i="2" s="1"/>
  <c r="H892" i="2"/>
  <c r="H11" i="2"/>
  <c r="H12" i="2"/>
  <c r="H268" i="2"/>
  <c r="H588" i="2"/>
  <c r="H573" i="2"/>
  <c r="H462" i="2"/>
  <c r="H288" i="2"/>
  <c r="H169" i="2"/>
  <c r="H490" i="2"/>
  <c r="H281" i="2"/>
  <c r="H359" i="2"/>
  <c r="H594" i="2"/>
  <c r="T191" i="5"/>
  <c r="V225" i="5"/>
  <c r="H822" i="2" l="1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<sst xmlns="http://schemas.openxmlformats.org/spreadsheetml/2006/main" count="7223" uniqueCount="1559">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</sst>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2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01"/>
  <sheetViews>
    <sheetView zoomScale="90" zoomScaleNormal="90" workbookViewId="0">
      <pane ySplit="9" topLeftCell="A2589" activePane="bottomLeft" state="frozen"/>
      <selection pane="bottomLeft" activeCell="I2604" sqref="I2604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77" t="s">
        <v>299</v>
      </c>
      <c r="F2" s="77"/>
      <c r="G2" s="77"/>
      <c r="H2" s="1"/>
    </row>
    <row r="3" spans="1:8" x14ac:dyDescent="0.25">
      <c r="E3" s="77"/>
      <c r="F3" s="77"/>
      <c r="G3" s="77"/>
      <c r="H3" s="1"/>
    </row>
    <row r="4" spans="1:8" x14ac:dyDescent="0.25">
      <c r="E4" s="77"/>
      <c r="F4" s="77"/>
      <c r="G4" s="77"/>
      <c r="H4" s="1"/>
    </row>
    <row r="5" spans="1:8" x14ac:dyDescent="0.25">
      <c r="E5" s="77"/>
      <c r="F5" s="77"/>
      <c r="G5" s="77"/>
      <c r="H5" s="1"/>
    </row>
    <row r="6" spans="1:8" x14ac:dyDescent="0.25">
      <c r="E6" s="77"/>
      <c r="F6" s="77"/>
      <c r="G6" s="77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399" si="78">+SUMIFS($E$10:$E$4506,$A$10:$A$4506,"&lt;="&amp;A2378,$D$10:$D$4506,"&gt;"&amp;A2378)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ref="H2400:H2401" si="80">+SUMIFS($E$10:$E$4506,$A$10:$A$4506,"&lt;="&amp;A2400,$D$10:$D$4506,"&gt;"&amp;A2400)</f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80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1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ref="H2402:H2404" si="82">+SUMIFS($E$10:$E$4506,$A$10:$A$4506,"&lt;="&amp;A2402,$D$10:$D$4506,"&gt;"&amp;A2402)</f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1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82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1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82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3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ref="H2405:H2409" si="84">+SUMIFS($E$10:$E$4506,$A$10:$A$4506,"&lt;="&amp;A2405,$D$10:$D$4506,"&gt;"&amp;A2405)</f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3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84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3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84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3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84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3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84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5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ref="H2410" si="86">+SUMIFS($E$10:$E$4506,$A$10:$A$4506,"&lt;="&amp;A2410,$D$10:$D$4506,"&gt;"&amp;A2410)</f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7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ref="H2411:H2432" si="88">+SUMIFS($E$10:$E$4506,$A$10:$A$4506,"&lt;="&amp;A2411,$D$10:$D$4506,"&gt;"&amp;A2411)</f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7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8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7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8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7"/>
        <v>45982</v>
      </c>
      <c r="E2414" s="15">
        <v>3900</v>
      </c>
      <c r="F2414" s="9">
        <v>0.08</v>
      </c>
      <c r="G2414" s="9">
        <v>0.08</v>
      </c>
      <c r="H2414" s="15">
        <f t="shared" si="8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7"/>
        <v>45985</v>
      </c>
      <c r="E2415" s="15">
        <v>500</v>
      </c>
      <c r="F2415" s="9">
        <v>0.08</v>
      </c>
      <c r="G2415" s="9">
        <v>0.08</v>
      </c>
      <c r="H2415" s="15">
        <f t="shared" si="8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7"/>
        <v>45985</v>
      </c>
      <c r="E2416" s="15">
        <v>8300</v>
      </c>
      <c r="F2416" s="9">
        <v>0.08</v>
      </c>
      <c r="G2416" s="9">
        <v>0.08</v>
      </c>
      <c r="H2416" s="15">
        <f t="shared" si="8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7"/>
        <v>45982</v>
      </c>
      <c r="E2417" s="15">
        <v>1000</v>
      </c>
      <c r="F2417" s="9">
        <v>0.08</v>
      </c>
      <c r="G2417" s="9">
        <v>0.08</v>
      </c>
      <c r="H2417" s="15">
        <f t="shared" si="8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7"/>
        <v>45985</v>
      </c>
      <c r="E2418" s="15">
        <v>1000</v>
      </c>
      <c r="F2418" s="9">
        <v>0.08</v>
      </c>
      <c r="G2418" s="9">
        <v>0.08</v>
      </c>
      <c r="H2418" s="15">
        <f t="shared" si="8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7"/>
        <v>45986</v>
      </c>
      <c r="E2419" s="15">
        <v>3900</v>
      </c>
      <c r="F2419" s="9">
        <v>0.08</v>
      </c>
      <c r="G2419" s="9">
        <v>0.08</v>
      </c>
      <c r="H2419" s="15">
        <f t="shared" si="8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7"/>
        <v>45987</v>
      </c>
      <c r="E2420" s="15">
        <v>3500</v>
      </c>
      <c r="F2420" s="9">
        <v>0.08</v>
      </c>
      <c r="G2420" s="9">
        <v>0.08</v>
      </c>
      <c r="H2420" s="15">
        <f t="shared" si="8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7"/>
        <v>45988</v>
      </c>
      <c r="E2421" s="15">
        <v>500</v>
      </c>
      <c r="F2421" s="9">
        <v>0.08</v>
      </c>
      <c r="G2421" s="9">
        <v>0.08</v>
      </c>
      <c r="H2421" s="15">
        <f t="shared" si="8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7"/>
        <v>45992</v>
      </c>
      <c r="E2422" s="15">
        <v>2000</v>
      </c>
      <c r="F2422" s="9">
        <v>0.08</v>
      </c>
      <c r="G2422" s="9">
        <v>0.08</v>
      </c>
      <c r="H2422" s="15">
        <f t="shared" si="8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7"/>
        <v>45986</v>
      </c>
      <c r="E2423" s="15">
        <v>500</v>
      </c>
      <c r="F2423" s="9">
        <v>7.8E-2</v>
      </c>
      <c r="G2423" s="9">
        <v>7.8E-2</v>
      </c>
      <c r="H2423" s="15">
        <f t="shared" si="8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7"/>
        <v>45987</v>
      </c>
      <c r="E2424" s="15">
        <v>5000</v>
      </c>
      <c r="F2424" s="9">
        <v>0.08</v>
      </c>
      <c r="G2424" s="9">
        <v>0.08</v>
      </c>
      <c r="H2424" s="15">
        <f t="shared" si="8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7"/>
        <v>45988</v>
      </c>
      <c r="E2425" s="15">
        <v>2500</v>
      </c>
      <c r="F2425" s="9">
        <v>0.08</v>
      </c>
      <c r="G2425" s="9">
        <v>0.08</v>
      </c>
      <c r="H2425" s="15">
        <f t="shared" si="8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7"/>
        <v>45989</v>
      </c>
      <c r="E2426" s="15">
        <v>500</v>
      </c>
      <c r="F2426" s="9">
        <v>0.08</v>
      </c>
      <c r="G2426" s="9">
        <v>0.08</v>
      </c>
      <c r="H2426" s="15">
        <f t="shared" si="8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7"/>
        <v>45992</v>
      </c>
      <c r="E2427" s="15">
        <v>1000</v>
      </c>
      <c r="F2427" s="9">
        <v>0.08</v>
      </c>
      <c r="G2427" s="9">
        <v>0.08</v>
      </c>
      <c r="H2427" s="15">
        <f t="shared" si="8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7"/>
        <v>45987</v>
      </c>
      <c r="E2428" s="15">
        <v>900</v>
      </c>
      <c r="F2428" s="9">
        <v>7.5999999999999998E-2</v>
      </c>
      <c r="G2428" s="9">
        <v>0.08</v>
      </c>
      <c r="H2428" s="15">
        <f t="shared" si="8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7"/>
        <v>45988</v>
      </c>
      <c r="E2429" s="15">
        <v>2000</v>
      </c>
      <c r="F2429" s="9">
        <v>0.08</v>
      </c>
      <c r="G2429" s="9">
        <v>0.08</v>
      </c>
      <c r="H2429" s="15">
        <f t="shared" si="8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7"/>
        <v>45989</v>
      </c>
      <c r="E2430" s="15">
        <v>3200</v>
      </c>
      <c r="F2430" s="9">
        <v>0.08</v>
      </c>
      <c r="G2430" s="9">
        <v>0.08</v>
      </c>
      <c r="H2430" s="15">
        <f t="shared" si="8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7"/>
        <v>45992</v>
      </c>
      <c r="E2431" s="15">
        <v>4000</v>
      </c>
      <c r="F2431" s="9">
        <v>0.08</v>
      </c>
      <c r="G2431" s="9">
        <v>0.08</v>
      </c>
      <c r="H2431" s="15">
        <f t="shared" si="8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7"/>
        <v>45989</v>
      </c>
      <c r="E2432" s="15">
        <v>400</v>
      </c>
      <c r="F2432" s="9">
        <v>0.08</v>
      </c>
      <c r="G2432" s="9">
        <v>0.08</v>
      </c>
      <c r="H2432" s="15">
        <f t="shared" si="8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9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ref="H2433:H2460" si="90">+SUMIFS($E$10:$E$4506,$A$10:$A$4506,"&lt;="&amp;A2433,$D$10:$D$4506,"&gt;"&amp;A2433)</f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9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90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9"/>
        <v>46001</v>
      </c>
      <c r="E2435" s="15">
        <v>500</v>
      </c>
      <c r="F2435" s="9">
        <v>0.08</v>
      </c>
      <c r="G2435" s="9">
        <v>0.08</v>
      </c>
      <c r="H2435" s="15">
        <f t="shared" si="90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9"/>
        <v>46002</v>
      </c>
      <c r="E2436" s="15">
        <v>1000</v>
      </c>
      <c r="F2436" s="9">
        <v>0.08</v>
      </c>
      <c r="G2436" s="9">
        <v>0.08</v>
      </c>
      <c r="H2436" s="15">
        <f t="shared" si="90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9"/>
        <v>46003</v>
      </c>
      <c r="E2437" s="15">
        <v>2500</v>
      </c>
      <c r="F2437" s="9">
        <v>0.08</v>
      </c>
      <c r="G2437" s="9">
        <v>0.08</v>
      </c>
      <c r="H2437" s="15">
        <f t="shared" si="90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9"/>
        <v>46006</v>
      </c>
      <c r="E2438" s="15">
        <v>1300</v>
      </c>
      <c r="F2438" s="9">
        <v>0.08</v>
      </c>
      <c r="G2438" s="9">
        <v>0.08</v>
      </c>
      <c r="H2438" s="15">
        <f t="shared" si="90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9"/>
        <v>46003</v>
      </c>
      <c r="E2439" s="15">
        <v>1400</v>
      </c>
      <c r="F2439" s="9">
        <v>0.08</v>
      </c>
      <c r="G2439" s="9">
        <v>0.08</v>
      </c>
      <c r="H2439" s="15">
        <f t="shared" si="90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9"/>
        <v>46006</v>
      </c>
      <c r="E2440" s="15">
        <v>700</v>
      </c>
      <c r="F2440" s="9">
        <v>0.08</v>
      </c>
      <c r="G2440" s="9">
        <v>0.08</v>
      </c>
      <c r="H2440" s="15">
        <f t="shared" si="90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9"/>
        <v>46007</v>
      </c>
      <c r="E2441" s="15">
        <v>1000</v>
      </c>
      <c r="F2441" s="9">
        <v>0.08</v>
      </c>
      <c r="G2441" s="9">
        <v>0.08</v>
      </c>
      <c r="H2441" s="15">
        <f t="shared" si="90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9"/>
        <v>46006</v>
      </c>
      <c r="E2442" s="15">
        <v>1000</v>
      </c>
      <c r="F2442" s="9">
        <v>0.08</v>
      </c>
      <c r="G2442" s="9">
        <v>0.08</v>
      </c>
      <c r="H2442" s="15">
        <f t="shared" si="90"/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9"/>
        <v>46007</v>
      </c>
      <c r="E2443" s="15">
        <v>1000</v>
      </c>
      <c r="F2443" s="9">
        <v>0.08</v>
      </c>
      <c r="G2443" s="9">
        <v>0.08</v>
      </c>
      <c r="H2443" s="15">
        <f t="shared" si="90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9"/>
        <v>46008</v>
      </c>
      <c r="E2444" s="15">
        <v>3000</v>
      </c>
      <c r="F2444" s="9">
        <v>0.08</v>
      </c>
      <c r="G2444" s="9">
        <v>0.08</v>
      </c>
      <c r="H2444" s="15">
        <f t="shared" si="90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9"/>
        <v>46009</v>
      </c>
      <c r="E2445" s="15">
        <v>500</v>
      </c>
      <c r="F2445" s="9">
        <v>0.08</v>
      </c>
      <c r="G2445" s="9">
        <v>0.08</v>
      </c>
      <c r="H2445" s="15">
        <f t="shared" si="90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9"/>
        <v>46010</v>
      </c>
      <c r="E2446" s="15">
        <v>500</v>
      </c>
      <c r="F2446" s="9">
        <v>0.08</v>
      </c>
      <c r="G2446" s="9">
        <v>0.08</v>
      </c>
      <c r="H2446" s="15">
        <f t="shared" si="90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9"/>
        <v>46013</v>
      </c>
      <c r="E2447" s="15">
        <v>3800</v>
      </c>
      <c r="F2447" s="9">
        <v>0.08</v>
      </c>
      <c r="G2447" s="9">
        <v>0.08</v>
      </c>
      <c r="H2447" s="15">
        <f t="shared" si="90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9"/>
        <v>46014</v>
      </c>
      <c r="E2448" s="15">
        <v>1600</v>
      </c>
      <c r="F2448" s="9">
        <v>0.08</v>
      </c>
      <c r="G2448" s="9">
        <v>0.08</v>
      </c>
      <c r="H2448" s="15">
        <f t="shared" si="90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9"/>
        <v>46014</v>
      </c>
      <c r="E2449" s="15">
        <v>2000</v>
      </c>
      <c r="F2449" s="9">
        <v>0.08</v>
      </c>
      <c r="G2449" s="9">
        <v>0.08</v>
      </c>
      <c r="H2449" s="15">
        <f t="shared" si="90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9"/>
        <v>46013</v>
      </c>
      <c r="E2450" s="15">
        <v>300</v>
      </c>
      <c r="F2450" s="9">
        <v>0.08</v>
      </c>
      <c r="G2450" s="9">
        <v>0.08</v>
      </c>
      <c r="H2450" s="15">
        <f t="shared" si="90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9"/>
        <v>46014</v>
      </c>
      <c r="E2451" s="15">
        <v>6200</v>
      </c>
      <c r="F2451" s="9">
        <v>0.08</v>
      </c>
      <c r="G2451" s="9">
        <v>0.08</v>
      </c>
      <c r="H2451" s="15">
        <f t="shared" si="90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9"/>
        <v>46015</v>
      </c>
      <c r="E2452" s="15">
        <v>1400</v>
      </c>
      <c r="F2452" s="9">
        <v>0.08</v>
      </c>
      <c r="G2452" s="9">
        <v>0.08</v>
      </c>
      <c r="H2452" s="15">
        <f t="shared" si="90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9"/>
        <v>46014</v>
      </c>
      <c r="E2453" s="15">
        <v>500</v>
      </c>
      <c r="F2453" s="9">
        <v>0.08</v>
      </c>
      <c r="G2453" s="9">
        <v>0.08</v>
      </c>
      <c r="H2453" s="15">
        <f t="shared" si="90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9"/>
        <v>46015</v>
      </c>
      <c r="E2454" s="15">
        <v>11800</v>
      </c>
      <c r="F2454" s="9">
        <v>0.08</v>
      </c>
      <c r="G2454" s="9">
        <v>0.08</v>
      </c>
      <c r="H2454" s="15">
        <f t="shared" si="90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9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90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9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90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9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90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9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90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9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90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9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90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9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ref="H2461:H2487" si="91">+SUMIFS($E$10:$E$4506,$A$10:$A$4506,"&lt;="&amp;A2461,$D$10:$D$4506,"&gt;"&amp;A2461)</f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9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91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9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91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9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91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9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91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9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91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9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91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9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91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9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91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9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91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9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91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9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91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9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91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9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91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9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91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9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91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9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91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9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91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9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91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9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91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9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91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9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91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9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91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9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91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9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91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9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91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9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91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92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ref="H2488" si="93">+SUMIFS($E$10:$E$4506,$A$10:$A$4506,"&lt;="&amp;A2488,$D$10:$D$4506,"&gt;"&amp;A2488)</f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94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ref="H2489:H2510" si="95">+SUMIFS($E$10:$E$4506,$A$10:$A$4506,"&lt;="&amp;A2489,$D$10:$D$4506,"&gt;"&amp;A2489)</f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94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9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94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9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94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9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94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9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94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9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94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9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94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9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94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9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94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9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94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9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94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9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94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9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94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9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94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9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94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9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94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9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94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si="95"/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94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95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94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95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94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95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94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95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01" si="96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ref="H2511:H2554" si="97">+SUMIFS($E$10:$E$4506,$A$10:$A$4506,"&lt;="&amp;A2511,$D$10:$D$4506,"&gt;"&amp;A2511)</f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96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97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96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97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96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97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96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97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96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97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96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97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96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97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96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97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96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97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96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97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96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97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96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97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96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97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96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97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96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97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96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97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96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97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96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97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96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97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96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97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96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97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96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97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96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97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96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97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96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97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96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97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96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97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96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97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96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97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96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97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96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97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96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97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96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97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96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97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96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97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96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97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96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97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96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97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96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97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96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97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96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97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96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97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96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97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96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ref="H2555:H2601" si="98">+SUMIFS($E$10:$E$4506,$A$10:$A$4506,"&lt;="&amp;A2555,$D$10:$D$4506,"&gt;"&amp;A2555)</f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96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9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96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9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96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9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96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9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96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9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96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9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96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9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96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9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96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9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96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9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96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9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96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9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96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9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96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9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96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si="98"/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96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8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96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8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96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8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96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8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96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8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96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8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96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8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96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8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96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8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96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8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96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8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96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8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96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8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96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8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96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8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96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8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96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8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96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8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96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8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96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8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96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8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96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8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96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8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96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8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96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8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96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8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96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8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96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8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96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8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96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8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96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8"/>
        <v>35200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5"/>
  <sheetViews>
    <sheetView tabSelected="1" zoomScaleNormal="100" workbookViewId="0">
      <pane ySplit="10" topLeftCell="A1294" activePane="bottomLeft" state="frozen"/>
      <selection pane="bottomLeft" activeCell="A1301" sqref="A1301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bestFit="1" customWidth="1"/>
    <col min="24" max="24" width="9.140625" style="47" bestFit="1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77" t="s">
        <v>294</v>
      </c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</row>
    <row r="3" spans="1:30" x14ac:dyDescent="0.25"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</row>
    <row r="4" spans="1:30" x14ac:dyDescent="0.25"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</row>
    <row r="5" spans="1:30" x14ac:dyDescent="0.25"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</row>
    <row r="6" spans="1:30" x14ac:dyDescent="0.25"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78" t="s">
        <v>297</v>
      </c>
      <c r="I9" s="79"/>
      <c r="J9" s="79"/>
      <c r="K9" s="79"/>
      <c r="L9" s="79"/>
      <c r="M9" s="79"/>
      <c r="N9" s="80"/>
      <c r="O9" s="78" t="s">
        <v>298</v>
      </c>
      <c r="P9" s="79"/>
      <c r="Q9" s="79"/>
      <c r="R9" s="79"/>
      <c r="S9" s="79"/>
      <c r="T9" s="79"/>
      <c r="U9" s="80"/>
      <c r="V9" s="78" t="s">
        <v>655</v>
      </c>
      <c r="W9" s="79"/>
      <c r="X9" s="79"/>
      <c r="Y9" s="79"/>
      <c r="Z9" s="80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01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01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01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01" si="3">+W1293/V1293</f>
        <v>1.0540724637681158</v>
      </c>
      <c r="Y1293" s="19">
        <v>10636.96</v>
      </c>
      <c r="Z1293" s="20">
        <f t="shared" ref="Z1293:Z1301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>+I1299/H1299</f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>+I1300/H1300</f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>+I1301/H1301</f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4" spans="1:30" x14ac:dyDescent="0.25">
      <c r="G1304" s="6"/>
    </row>
    <row r="1048575" spans="2:2" x14ac:dyDescent="0.25">
      <c r="B1048575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DY307"/>
  <sheetViews>
    <sheetView topLeftCell="A288" zoomScale="90" zoomScaleNormal="90" workbookViewId="0">
      <selection activeCell="E310" sqref="E310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1" t="s">
        <v>699</v>
      </c>
      <c r="E2" s="81"/>
      <c r="F2" s="81"/>
      <c r="G2" s="81"/>
    </row>
    <row r="3" spans="1:7" ht="15" customHeight="1" x14ac:dyDescent="0.25">
      <c r="A3" s="36"/>
      <c r="B3" s="2"/>
      <c r="D3" s="81"/>
      <c r="E3" s="81"/>
      <c r="F3" s="81"/>
      <c r="G3" s="81"/>
    </row>
    <row r="4" spans="1:7" ht="14.25" customHeight="1" x14ac:dyDescent="0.25">
      <c r="A4" s="36"/>
      <c r="B4" s="2"/>
      <c r="D4" s="81"/>
      <c r="E4" s="81"/>
      <c r="F4" s="81"/>
      <c r="G4" s="81"/>
    </row>
    <row r="5" spans="1:7" x14ac:dyDescent="0.25">
      <c r="A5" s="36"/>
      <c r="B5" s="2"/>
      <c r="D5" s="81"/>
      <c r="E5" s="81"/>
      <c r="F5" s="81"/>
      <c r="G5" s="81"/>
    </row>
    <row r="6" spans="1:7" x14ac:dyDescent="0.25">
      <c r="A6" s="36"/>
      <c r="B6" s="2"/>
      <c r="D6" s="81"/>
      <c r="E6" s="81"/>
      <c r="F6" s="81"/>
      <c r="G6" s="81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7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29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29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29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7" activePane="bottomLeft" state="frozen"/>
      <selection pane="bottomLeft" activeCell="A355" sqref="A355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77" t="s">
        <v>319</v>
      </c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</row>
    <row r="3" spans="1:22" ht="15" customHeight="1" x14ac:dyDescent="0.25">
      <c r="F3" s="10"/>
      <c r="G3" s="40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</row>
    <row r="4" spans="1:22" x14ac:dyDescent="0.25">
      <c r="F4" s="10"/>
      <c r="G4" s="40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</row>
    <row r="5" spans="1:22" x14ac:dyDescent="0.25">
      <c r="F5" s="10"/>
      <c r="G5" s="40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</row>
    <row r="6" spans="1:22" x14ac:dyDescent="0.25">
      <c r="F6" s="10"/>
      <c r="G6" s="40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3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3" si="67">+T336+U336</f>
        <v>101.86</v>
      </c>
    </row>
    <row r="337" spans="1:22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2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/>
      <c r="N354" s="20"/>
      <c r="O354" s="17"/>
      <c r="P354" s="33"/>
      <c r="Q354" s="17"/>
      <c r="R354" s="17"/>
      <c r="S354" s="30"/>
      <c r="T354" s="34"/>
      <c r="U354" s="34">
        <v>1.4875</v>
      </c>
      <c r="V354" s="34"/>
    </row>
    <row r="355" spans="1:22" x14ac:dyDescent="0.25">
      <c r="A355" s="35"/>
      <c r="B355" s="14"/>
      <c r="C355" s="15"/>
      <c r="D355" s="15"/>
      <c r="E355" s="13"/>
      <c r="F355" s="31"/>
      <c r="G355" s="41"/>
      <c r="H355" s="13"/>
      <c r="I355" s="13"/>
      <c r="J355" s="32"/>
      <c r="K355" s="32"/>
      <c r="L355" s="17"/>
      <c r="M355" s="17"/>
      <c r="N355" s="20"/>
      <c r="O355" s="17"/>
      <c r="P355" s="33"/>
      <c r="Q355" s="17"/>
      <c r="R355" s="17"/>
      <c r="S355" s="30"/>
      <c r="T355" s="34"/>
      <c r="U355" s="34"/>
      <c r="V355" s="34"/>
    </row>
    <row r="356" spans="1:22" x14ac:dyDescent="0.25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25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17"/>
      <c r="P360" s="33"/>
      <c r="Q360" s="17"/>
      <c r="R360" s="17"/>
      <c r="S360" s="30"/>
      <c r="T360" s="34"/>
      <c r="U360" s="34"/>
      <c r="V360" s="34"/>
    </row>
    <row r="361" spans="1:22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6"/>
  <sheetViews>
    <sheetView zoomScale="90" zoomScaleNormal="90" workbookViewId="0">
      <pane ySplit="10" topLeftCell="A250" activePane="bottomLeft" state="frozen"/>
      <selection pane="bottomLeft" activeCell="A276" sqref="A276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1" t="s">
        <v>337</v>
      </c>
      <c r="F2" s="81"/>
      <c r="G2" s="81"/>
      <c r="H2" s="81"/>
    </row>
    <row r="3" spans="1:8" ht="15" customHeight="1" x14ac:dyDescent="0.25">
      <c r="A3" s="36"/>
      <c r="B3" s="2"/>
      <c r="E3" s="81"/>
      <c r="F3" s="81"/>
      <c r="G3" s="81"/>
      <c r="H3" s="81"/>
    </row>
    <row r="4" spans="1:8" ht="14.25" customHeight="1" x14ac:dyDescent="0.25">
      <c r="A4" s="36"/>
      <c r="B4" s="2"/>
      <c r="E4" s="81"/>
      <c r="F4" s="81"/>
      <c r="G4" s="81"/>
      <c r="H4" s="81"/>
    </row>
    <row r="5" spans="1:8" x14ac:dyDescent="0.25">
      <c r="A5" s="36"/>
      <c r="B5" s="2"/>
      <c r="E5" s="81"/>
      <c r="F5" s="81"/>
      <c r="G5" s="81"/>
      <c r="H5" s="81"/>
    </row>
    <row r="6" spans="1:8" x14ac:dyDescent="0.25">
      <c r="A6" s="36"/>
      <c r="B6" s="2"/>
      <c r="E6" s="81"/>
      <c r="F6" s="81"/>
      <c r="G6" s="81"/>
      <c r="H6" s="81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486266-B401-48DE-90C2-AB724B7405E3}"/>
</file>

<file path=customXml/itemProps3.xml><?xml version="1.0" encoding="utf-8"?>
<ds:datastoreItem xmlns:ds="http://schemas.openxmlformats.org/officeDocument/2006/customXml" ds:itemID="{4E46CB2D-48F7-4CE2-B474-0371D5B913CA}"/>
</file>

<file path=customXml/itemProps4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2026-03-23T17:33:50Z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