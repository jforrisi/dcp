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048E6180-04DF-4ED6-AB9B-0EC48BC5D1D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DIN!$A$9:$H$2233</definedName>
    <definedName name="_xlnm._FilterDatabase" localSheetId="1" hidden="1">LRM!$A$10:$AD$1288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63" i="2" l="1"/>
  <c r="H2563" i="2"/>
  <c r="D2562" i="2"/>
  <c r="D2561" i="2"/>
  <c r="D2560" i="2"/>
  <c r="H2562" i="2"/>
  <c r="H2561" i="2"/>
  <c r="H2560" i="2"/>
  <c r="S1292" i="1"/>
  <c r="AD1293" i="1"/>
  <c r="Z1293" i="1"/>
  <c r="X1293" i="1"/>
  <c r="V1293" i="1"/>
  <c r="S1293" i="1"/>
  <c r="Q1293" i="1"/>
  <c r="L1293" i="1"/>
  <c r="J1293" i="1"/>
  <c r="D2559" i="2"/>
  <c r="D2558" i="2"/>
  <c r="H2559" i="2"/>
  <c r="H2558" i="2"/>
  <c r="D2557" i="2"/>
  <c r="H2557" i="2"/>
  <c r="D2556" i="2"/>
  <c r="H2556" i="2"/>
  <c r="H2555" i="2" l="1"/>
  <c r="D2555" i="2"/>
  <c r="D2554" i="2"/>
  <c r="H2554" i="2"/>
  <c r="D2553" i="2"/>
  <c r="H2553" i="2"/>
  <c r="D2552" i="2"/>
  <c r="H2552" i="2"/>
  <c r="F294" i="8" l="1"/>
  <c r="F295" i="8"/>
  <c r="F296" i="8"/>
  <c r="F293" i="8"/>
  <c r="G275" i="6"/>
  <c r="D2551" i="2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<sst xmlns="http://schemas.openxmlformats.org/spreadsheetml/2006/main" count="7133" uniqueCount="1549">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</sst>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9" fontId="0" fillId="3" borderId="0" xfId="0" applyNumberFormat="1" applyFill="1"/>
    <xf numFmtId="179" fontId="0" fillId="3" borderId="0" xfId="9" applyNumberFormat="1" applyFont="1" applyFill="1"/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1835370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563"/>
  <sheetViews>
    <sheetView tabSelected="1" zoomScale="90" zoomScaleNormal="90" workbookViewId="0">
      <pane ySplit="9" topLeftCell="A2551" activePane="bottomLeft" state="frozen"/>
      <selection pane="bottomLeft" activeCell="G2564" sqref="G2564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2" t="s">
        <v>299</v>
      </c>
      <c r="F2" s="82"/>
      <c r="G2" s="82"/>
      <c r="H2" s="1"/>
    </row>
    <row r="3" spans="1:8" x14ac:dyDescent="0.25">
      <c r="E3" s="82"/>
      <c r="F3" s="82"/>
      <c r="G3" s="82"/>
      <c r="H3" s="1"/>
    </row>
    <row r="4" spans="1:8" x14ac:dyDescent="0.25">
      <c r="E4" s="82"/>
      <c r="F4" s="82"/>
      <c r="G4" s="82"/>
      <c r="H4" s="1"/>
    </row>
    <row r="5" spans="1:8" x14ac:dyDescent="0.25">
      <c r="E5" s="82"/>
      <c r="F5" s="82"/>
      <c r="G5" s="82"/>
      <c r="H5" s="1"/>
    </row>
    <row r="6" spans="1:8" x14ac:dyDescent="0.25">
      <c r="E6" s="82"/>
      <c r="F6" s="82"/>
      <c r="G6" s="82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563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+SUMIFS($E$10:$E$4506,$A$10:$A$4506,"&lt;="&amp;A2511,$D$10:$D$4506,"&gt;"&amp;A2511)</f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>+SUMIFS($E$10:$E$4506,$A$10:$A$4506,"&lt;="&amp;A2555,$D$10:$D$4506,"&gt;"&amp;A2555)</f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>+SUMIFS($E$10:$E$4506,$A$10:$A$4506,"&lt;="&amp;A2556,$D$10:$D$4506,"&gt;"&amp;A2556)</f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>+SUMIFS($E$10:$E$4506,$A$10:$A$4506,"&lt;="&amp;A2557,$D$10:$D$4506,"&gt;"&amp;A2557)</f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>+SUMIFS($E$10:$E$4506,$A$10:$A$4506,"&lt;="&amp;A2558,$D$10:$D$4506,"&gt;"&amp;A2558)</f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>+SUMIFS($E$10:$E$4506,$A$10:$A$4506,"&lt;="&amp;A2559,$D$10:$D$4506,"&gt;"&amp;A2559)</f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>+SUMIFS($E$10:$E$4506,$A$10:$A$4506,"&lt;="&amp;A2560,$D$10:$D$4506,"&gt;"&amp;A2560)</f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>+SUMIFS($E$10:$E$4506,$A$10:$A$4506,"&lt;="&amp;A2561,$D$10:$D$4506,"&gt;"&amp;A2561)</f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>+SUMIFS($E$10:$E$4506,$A$10:$A$4506,"&lt;="&amp;A2562,$D$10:$D$4506,"&gt;"&amp;A2562)</f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>+SUMIFS($E$10:$E$4506,$A$10:$A$4506,"&lt;="&amp;A2563,$D$10:$D$4506,"&gt;"&amp;A2563)</f>
        <v>10000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zoomScale="90" zoomScaleNormal="90" workbookViewId="0">
      <pane ySplit="10" topLeftCell="A1278" activePane="bottomLeft" state="frozen"/>
      <selection pane="bottomLeft" activeCell="J1297" sqref="J1297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bestFit="1" customWidth="1"/>
    <col min="9" max="9" width="11.42578125" style="1" bestFit="1" customWidth="1"/>
    <col min="10" max="10" width="10" style="3" customWidth="1"/>
    <col min="11" max="11" width="15.140625" style="3" bestFit="1" customWidth="1"/>
    <col min="12" max="12" width="17.42578125" style="49" bestFit="1" customWidth="1"/>
    <col min="13" max="13" width="13.140625" style="3" bestFit="1" customWidth="1"/>
    <col min="14" max="14" width="14.28515625" style="3" bestFit="1" customWidth="1"/>
    <col min="15" max="15" width="12" style="3" bestFit="1" customWidth="1"/>
    <col min="16" max="16" width="11.42578125" style="3" bestFit="1" customWidth="1"/>
    <col min="17" max="17" width="7.7109375" style="3" bestFit="1" customWidth="1"/>
    <col min="18" max="18" width="15.140625" style="3" bestFit="1" customWidth="1"/>
    <col min="19" max="19" width="17.42578125" style="49" bestFit="1" customWidth="1"/>
    <col min="20" max="20" width="13.140625" style="1" bestFit="1" customWidth="1"/>
    <col min="21" max="21" width="14.28515625" style="1" bestFit="1" customWidth="1"/>
    <col min="22" max="23" width="11.28515625" style="1" bestFit="1" customWidth="1"/>
    <col min="24" max="24" width="9.140625" style="47" bestFit="1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2" t="s">
        <v>294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</row>
    <row r="3" spans="1:30" x14ac:dyDescent="0.25"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</row>
    <row r="4" spans="1:30" x14ac:dyDescent="0.25"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</row>
    <row r="5" spans="1:30" x14ac:dyDescent="0.25"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</row>
    <row r="6" spans="1:30" x14ac:dyDescent="0.25"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2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>+P1293/O1293</f>
        <v>0.38043478260869568</v>
      </c>
      <c r="R1293" s="24">
        <v>700</v>
      </c>
      <c r="S1293" s="25">
        <f>+R1293/O1293</f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>+W1293/V1293</f>
        <v>1.0540724637681158</v>
      </c>
      <c r="Y1293" s="19">
        <v>10636.96</v>
      </c>
      <c r="Z1293" s="20">
        <f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46086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/>
      <c r="J1294" s="20"/>
      <c r="K1294" s="19"/>
      <c r="L1294" s="20"/>
      <c r="M1294" s="21"/>
      <c r="N1294" s="19"/>
      <c r="O1294" s="23">
        <v>1320</v>
      </c>
      <c r="P1294" s="24"/>
      <c r="Q1294" s="25"/>
      <c r="R1294" s="24"/>
      <c r="S1294" s="25"/>
      <c r="T1294" s="25"/>
      <c r="U1294" s="24"/>
      <c r="V1294" s="19"/>
      <c r="W1294" s="19"/>
      <c r="X1294" s="21"/>
      <c r="Y1294" s="19"/>
      <c r="Z1294" s="20"/>
      <c r="AA1294" s="30"/>
      <c r="AB1294" s="27"/>
      <c r="AC1294" s="27"/>
      <c r="AD1294" s="11"/>
    </row>
    <row r="1295" spans="1:30" x14ac:dyDescent="0.25">
      <c r="H1295" s="78"/>
    </row>
    <row r="1296" spans="1:30" x14ac:dyDescent="0.25">
      <c r="H1296" s="77"/>
      <c r="AD1296"/>
    </row>
    <row r="1297" spans="8:8" x14ac:dyDescent="0.25">
      <c r="H1297" s="77"/>
    </row>
    <row r="1048575" spans="2:2" x14ac:dyDescent="0.25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296"/>
  <sheetViews>
    <sheetView topLeftCell="A263" zoomScale="90" zoomScaleNormal="90" workbookViewId="0">
      <selection activeCell="F299" sqref="F299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3" t="s">
        <v>699</v>
      </c>
      <c r="E2" s="83"/>
      <c r="F2" s="83"/>
      <c r="G2" s="83"/>
    </row>
    <row r="3" spans="1:7" ht="15" customHeight="1" x14ac:dyDescent="0.25">
      <c r="A3" s="36"/>
      <c r="B3" s="2"/>
      <c r="D3" s="83"/>
      <c r="E3" s="83"/>
      <c r="F3" s="83"/>
      <c r="G3" s="83"/>
    </row>
    <row r="4" spans="1:7" ht="14.25" customHeight="1" x14ac:dyDescent="0.25">
      <c r="A4" s="36"/>
      <c r="B4" s="2"/>
      <c r="D4" s="83"/>
      <c r="E4" s="83"/>
      <c r="F4" s="83"/>
      <c r="G4" s="83"/>
    </row>
    <row r="5" spans="1:7" x14ac:dyDescent="0.25">
      <c r="A5" s="36"/>
      <c r="B5" s="2"/>
      <c r="D5" s="83"/>
      <c r="E5" s="83"/>
      <c r="F5" s="83"/>
      <c r="G5" s="83"/>
    </row>
    <row r="6" spans="1:7" x14ac:dyDescent="0.25">
      <c r="A6" s="36"/>
      <c r="B6" s="2"/>
      <c r="D6" s="83"/>
      <c r="E6" s="83"/>
      <c r="F6" s="83"/>
      <c r="G6" s="83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296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80" zoomScaleNormal="80" workbookViewId="0">
      <pane ySplit="10" topLeftCell="A340" activePane="bottomLeft" state="frozen"/>
      <selection pane="bottomLeft" activeCell="A351" sqref="A351:XFD351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2" t="s">
        <v>319</v>
      </c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</row>
    <row r="3" spans="1:22" ht="15" customHeight="1" x14ac:dyDescent="0.25">
      <c r="F3" s="10"/>
      <c r="G3" s="40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</row>
    <row r="4" spans="1:22" x14ac:dyDescent="0.25">
      <c r="F4" s="10"/>
      <c r="G4" s="40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</row>
    <row r="5" spans="1:22" x14ac:dyDescent="0.25">
      <c r="F5" s="10"/>
      <c r="G5" s="40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</row>
    <row r="6" spans="1:22" x14ac:dyDescent="0.25">
      <c r="F6" s="10"/>
      <c r="G6" s="40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1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1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1" si="68">(+I346-E346)/365</f>
        <v>4.8986301369863012</v>
      </c>
      <c r="K346" s="32">
        <f t="shared" ref="K346:K351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/>
      <c r="B352" s="14"/>
      <c r="C352" s="15"/>
      <c r="D352" s="15"/>
      <c r="E352" s="13"/>
      <c r="F352" s="31"/>
      <c r="G352" s="41"/>
      <c r="H352" s="13"/>
      <c r="I352" s="13"/>
      <c r="J352" s="32"/>
      <c r="K352" s="32"/>
      <c r="L352" s="17"/>
      <c r="M352" s="17"/>
      <c r="N352" s="20"/>
      <c r="O352" s="17"/>
      <c r="P352" s="33"/>
      <c r="Q352" s="17"/>
      <c r="R352" s="17"/>
      <c r="S352" s="30"/>
      <c r="T352" s="34"/>
      <c r="U352" s="34"/>
      <c r="V352" s="34"/>
    </row>
    <row r="353" spans="1:22" x14ac:dyDescent="0.25">
      <c r="A353" s="35"/>
      <c r="B353" s="14"/>
      <c r="C353" s="15"/>
      <c r="D353" s="15"/>
      <c r="E353" s="13"/>
      <c r="F353" s="31"/>
      <c r="G353" s="41"/>
      <c r="H353" s="13"/>
      <c r="I353" s="13"/>
      <c r="J353" s="32"/>
      <c r="K353" s="32"/>
      <c r="L353" s="17"/>
      <c r="M353" s="17"/>
      <c r="N353" s="20"/>
      <c r="O353" s="17"/>
      <c r="P353" s="33"/>
      <c r="Q353" s="17"/>
      <c r="R353" s="17"/>
      <c r="S353" s="30"/>
      <c r="T353" s="34"/>
      <c r="U353" s="34"/>
      <c r="V353" s="34"/>
    </row>
    <row r="354" spans="1:22" x14ac:dyDescent="0.25">
      <c r="A354" s="35"/>
      <c r="B354" s="14"/>
      <c r="C354" s="15"/>
      <c r="D354" s="15"/>
      <c r="E354" s="13"/>
      <c r="F354" s="31"/>
      <c r="G354" s="41"/>
      <c r="H354" s="13"/>
      <c r="I354" s="13"/>
      <c r="J354" s="32"/>
      <c r="K354" s="32"/>
      <c r="L354" s="17"/>
      <c r="M354" s="17"/>
      <c r="N354" s="20"/>
      <c r="O354" s="17"/>
      <c r="P354" s="33"/>
      <c r="Q354" s="17"/>
      <c r="R354" s="17"/>
      <c r="S354" s="30"/>
      <c r="T354" s="34"/>
      <c r="U354" s="34"/>
      <c r="V354" s="34"/>
    </row>
    <row r="355" spans="1:22" x14ac:dyDescent="0.25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5"/>
  <sheetViews>
    <sheetView zoomScale="85" zoomScaleNormal="85" workbookViewId="0">
      <pane ySplit="10" topLeftCell="A267" activePane="bottomLeft" state="frozen"/>
      <selection pane="bottomLeft" activeCell="H275" sqref="H275"/>
    </sheetView>
  </sheetViews>
  <sheetFormatPr baseColWidth="10" defaultColWidth="11.42578125" defaultRowHeight="15" x14ac:dyDescent="0.25"/>
  <cols>
    <col min="1" max="1" width="10.8554687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3" t="s">
        <v>337</v>
      </c>
      <c r="F2" s="83"/>
      <c r="G2" s="83"/>
      <c r="H2" s="83"/>
    </row>
    <row r="3" spans="1:8" ht="15" customHeight="1" x14ac:dyDescent="0.25">
      <c r="A3" s="36"/>
      <c r="B3" s="2"/>
      <c r="E3" s="83"/>
      <c r="F3" s="83"/>
      <c r="G3" s="83"/>
      <c r="H3" s="83"/>
    </row>
    <row r="4" spans="1:8" ht="14.25" customHeight="1" x14ac:dyDescent="0.25">
      <c r="A4" s="36"/>
      <c r="B4" s="2"/>
      <c r="E4" s="83"/>
      <c r="F4" s="83"/>
      <c r="G4" s="83"/>
      <c r="H4" s="83"/>
    </row>
    <row r="5" spans="1:8" x14ac:dyDescent="0.25">
      <c r="A5" s="36"/>
      <c r="B5" s="2"/>
      <c r="E5" s="83"/>
      <c r="F5" s="83"/>
      <c r="G5" s="83"/>
      <c r="H5" s="83"/>
    </row>
    <row r="6" spans="1:8" x14ac:dyDescent="0.25">
      <c r="A6" s="36"/>
      <c r="B6" s="2"/>
      <c r="E6" s="83"/>
      <c r="F6" s="83"/>
      <c r="G6" s="83"/>
      <c r="H6" s="83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5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7F7C48-BB2D-4780-91F6-EC3558F1676E}"/>
</file>

<file path=customXml/itemProps3.xml><?xml version="1.0" encoding="utf-8"?>
<ds:datastoreItem xmlns:ds="http://schemas.openxmlformats.org/officeDocument/2006/customXml" ds:itemID="{0CE5FF93-9C8E-43B4-B082-09C9B063C7DC}"/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2026-03-04T20:00:13Z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